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D:\Selenium\Projects\AutomationTesting\Insurance\GW\Automation_GW\resources\Raters\"/>
    </mc:Choice>
  </mc:AlternateContent>
  <xr:revisionPtr revIDLastSave="0" documentId="13_ncr:1_{F6592916-815A-4F3F-BC45-1A0511B854BE}" xr6:coauthVersionLast="44" xr6:coauthVersionMax="44" xr10:uidLastSave="{00000000-0000-0000-0000-000000000000}"/>
  <bookViews>
    <workbookView xWindow="-120" yWindow="-120" windowWidth="20730" windowHeight="9825" tabRatio="632" activeTab="1" xr2:uid="{00000000-000D-0000-FFFF-FFFF00000000}"/>
  </bookViews>
  <sheets>
    <sheet name="Account Info" sheetId="1" r:id="rId1"/>
    <sheet name="Rater" sheetId="2" r:id="rId2"/>
    <sheet name="Ranges" sheetId="3" r:id="rId3"/>
    <sheet name="Base Rates" sheetId="4" r:id="rId4"/>
    <sheet name="Rate Change" sheetId="11" r:id="rId5"/>
    <sheet name="Internal" sheetId="7" state="hidden" r:id="rId6"/>
    <sheet name="Changes" sheetId="6" r:id="rId7"/>
    <sheet name="KY Local Govt Tax Sched" sheetId="8" state="hidden" r:id="rId8"/>
    <sheet name="KY Taxcodes" sheetId="9" state="hidden" r:id="rId9"/>
    <sheet name="Coding" sheetId="5" state="hidden" r:id="rId10"/>
  </sheets>
  <externalReferences>
    <externalReference r:id="rId11"/>
    <externalReference r:id="rId12"/>
    <externalReference r:id="rId13"/>
  </externalReferences>
  <definedNames>
    <definedName name="_AtRisk_FitDataRange_FIT_3D1FB_70FA" hidden="1">#REF!</definedName>
    <definedName name="_AtRisk_FitDataRange_FIT_804E2_BCBAD" hidden="1">#REF!</definedName>
    <definedName name="_AtRisk_FitDataRange_FIT_C2F39_517DB" hidden="1">#REF!</definedName>
    <definedName name="_AtRisk_FitDataRange_FIT_C5319_8F256" hidden="1">[1]ILFs!#REF!</definedName>
    <definedName name="_AtRisk_FitDataRange_FIT_E51E9_928D1" hidden="1">[1]ILFs!#REF!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3" hidden="1">'Base Rates'!$A$4:$M$129</definedName>
    <definedName name="_xlnm._FilterDatabase" localSheetId="2">Ranges!$CD$5:$CI$53</definedName>
    <definedName name="_Order1" hidden="1">255</definedName>
    <definedName name="_Order2" hidden="1">255</definedName>
    <definedName name="a" hidden="1">#REF!</definedName>
    <definedName name="Brokers2">'[2]BDX Coding Tables'!$B$4:$B$383</definedName>
    <definedName name="ClaimsCode2">'[2]BDX Coding Tables'!$B$1239:$B$1240</definedName>
    <definedName name="CoId">'[3]WINS Coding'!$C$9</definedName>
    <definedName name="CorpAssetDO">[3]Rater!$D$11</definedName>
    <definedName name="County">Rater!$F$7</definedName>
    <definedName name="County_AK">'Base Rates'!$B$8</definedName>
    <definedName name="County_AL">'Base Rates'!$B$6</definedName>
    <definedName name="County_AR">'Base Rates'!$B$12</definedName>
    <definedName name="County_AZ">'Base Rates'!$B$10</definedName>
    <definedName name="County_CA">'Base Rates'!$B$14:$B$17</definedName>
    <definedName name="County_CO">'Base Rates'!$B$19</definedName>
    <definedName name="County_CT">'Base Rates'!$B$21</definedName>
    <definedName name="County_DC">'Base Rates'!$B$25</definedName>
    <definedName name="County_DE">'Base Rates'!$B$23</definedName>
    <definedName name="County_FL">'Base Rates'!$B$27:$B$38</definedName>
    <definedName name="County_GA">'Base Rates'!$B$40</definedName>
    <definedName name="County_GU">'Base Rates'!$B$42</definedName>
    <definedName name="County_HI">'Base Rates'!$B$44</definedName>
    <definedName name="County_IA">'Base Rates'!$B$53</definedName>
    <definedName name="County_ID">'Base Rates'!$B$46</definedName>
    <definedName name="County_IL">'Base Rates'!$B$48:$B$49</definedName>
    <definedName name="County_IN">'Base Rates'!$B$51</definedName>
    <definedName name="County_KS">'Base Rates'!$B$55</definedName>
    <definedName name="County_KY">'Base Rates'!$B$57</definedName>
    <definedName name="County_LA">'Base Rates'!$B$59</definedName>
    <definedName name="County_MA">'Base Rates'!$B$65</definedName>
    <definedName name="County_MD">'Base Rates'!$B$63</definedName>
    <definedName name="County_ME">'Base Rates'!$B$61</definedName>
    <definedName name="County_MI">'Base Rates'!$B$67</definedName>
    <definedName name="County_MN">'Base Rates'!$B$69</definedName>
    <definedName name="County_MO">'Base Rates'!$B$73</definedName>
    <definedName name="County_MS">'Base Rates'!$B$71</definedName>
    <definedName name="County_MT">'Base Rates'!$B$75</definedName>
    <definedName name="County_NC">'Base Rates'!$B$90</definedName>
    <definedName name="County_ND">'Base Rates'!$B$92</definedName>
    <definedName name="County_NE">'Base Rates'!$B$77</definedName>
    <definedName name="County_NH">'Base Rates'!$B$81</definedName>
    <definedName name="County_NJ">'Base Rates'!$B$83</definedName>
    <definedName name="County_NM">'Base Rates'!$B$85</definedName>
    <definedName name="County_NV">'Base Rates'!$B$79</definedName>
    <definedName name="County_NY">'Base Rates'!$B$87:$B$88</definedName>
    <definedName name="County_OH">'Base Rates'!$B$94</definedName>
    <definedName name="County_OK">'Base Rates'!$B$96</definedName>
    <definedName name="County_OR">'Base Rates'!$B$98</definedName>
    <definedName name="County_PA">'Base Rates'!$B$100</definedName>
    <definedName name="County_PR">'Base Rates'!$B$102</definedName>
    <definedName name="County_RI">'Base Rates'!$B$104</definedName>
    <definedName name="County_SC">'Base Rates'!$B$106</definedName>
    <definedName name="County_SD">'Base Rates'!$B$108</definedName>
    <definedName name="County_TN">'Base Rates'!$B$110</definedName>
    <definedName name="County_TX">'Base Rates'!$B$112</definedName>
    <definedName name="County_UT">'Base Rates'!$B$114</definedName>
    <definedName name="County_VA">'Base Rates'!$B$120</definedName>
    <definedName name="County_VI">'Base Rates'!$B$118</definedName>
    <definedName name="County_VT">'Base Rates'!$B$116</definedName>
    <definedName name="County_WA">'Base Rates'!$B$122</definedName>
    <definedName name="County_WI">'Base Rates'!$B$126</definedName>
    <definedName name="County_WV">'Base Rates'!$B$124</definedName>
    <definedName name="County_WY">'Base Rates'!$B$128</definedName>
    <definedName name="Crime21">[3]Rater!$X$324:$X$327</definedName>
    <definedName name="Crime210">[3]Rater!$X$366:$X$368</definedName>
    <definedName name="Crime213">[3]Rater!$X$375:$X$377</definedName>
    <definedName name="Crime214">[3]Rater!$X$379:$X$382</definedName>
    <definedName name="Crime22">[3]Rater!$X$329:$X$331</definedName>
    <definedName name="Crime23">[3]Rater!$X$333:$X$335</definedName>
    <definedName name="Crime24">[3]Rater!$X$337:$X$340</definedName>
    <definedName name="Crime25">[3]Rater!$X$346:$X$348</definedName>
    <definedName name="Crime26">[3]Rater!$X$350:$X$352</definedName>
    <definedName name="Crime27">[3]Rater!$X$354:$X$356</definedName>
    <definedName name="Crime28">[3]Rater!$X$358:$X$360</definedName>
    <definedName name="Crime29">[3]Rater!$X$362:$X$364</definedName>
    <definedName name="Crime38">[3]Rater!$AD$343:$AD$345</definedName>
    <definedName name="CrmCCFrdDed">[3]Rater!$E$369</definedName>
    <definedName name="CrmCCFrdLmt">[3]Rater!$C$369</definedName>
    <definedName name="CrmCCFrdPrm">[3]Rater!$M$369</definedName>
    <definedName name="CrmClntCovDed">[3]Rater!$E$372</definedName>
    <definedName name="CrmClntCovLmt">[3]Rater!$C$372</definedName>
    <definedName name="CrmClntCovPrm">[3]Rater!$M$372</definedName>
    <definedName name="CrmDed">[3]Rater!$T$26</definedName>
    <definedName name="CrmExpCovDed">[3]Rater!$E$378</definedName>
    <definedName name="CrmExpCovLmt">[3]Rater!$C$378</definedName>
    <definedName name="CrmExpCovPrm">[3]Rater!$M$378</definedName>
    <definedName name="CrmFndsDed">[3]Rater!$E$363</definedName>
    <definedName name="CrmFndsLmt">[3]Rater!$C$363</definedName>
    <definedName name="CrmFndsPrm">[3]Rater!$M$363</definedName>
    <definedName name="CrmFrdDed">[3]Rater!$E$360</definedName>
    <definedName name="CrmFrdLmt">[3]Rater!$C$360</definedName>
    <definedName name="CrmFrdPrm">[3]Rater!$M$360</definedName>
    <definedName name="CrmFrgDed">[3]Rater!$E$357</definedName>
    <definedName name="CrmFrgLmt">[3]Rater!$C$357</definedName>
    <definedName name="CrmFrgPrm">[3]Rater!$M$357</definedName>
    <definedName name="CrmInTransDed">[3]Rater!$E$354</definedName>
    <definedName name="CrmInTransLmt">[3]Rater!$C$354</definedName>
    <definedName name="CrmInTransPrm">[3]Rater!$M$354</definedName>
    <definedName name="CrmLmt">[3]Rater!$T$24</definedName>
    <definedName name="CrmMnyDed">[3]Rater!$E$366</definedName>
    <definedName name="CrmMnyLmt">[3]Rater!$C$366</definedName>
    <definedName name="CrmMnyPrm">[3]Rater!$M$366</definedName>
    <definedName name="CrmPremisDed">[3]Rater!$E$351</definedName>
    <definedName name="CrmPremisLmt">[3]Rater!$C$351</definedName>
    <definedName name="CrmPremisPrm">[3]Rater!$M$351</definedName>
    <definedName name="CrmPrm">[3]Rater!$T$21</definedName>
    <definedName name="CrmSchdRt">[3]Rater!$W$343</definedName>
    <definedName name="CrmSchdRt1">[3]Rater!$K$341</definedName>
    <definedName name="CrmSocEngDed">[3]Rater!$E$375</definedName>
    <definedName name="CrmSocEngLmt">[3]Rater!$C$375</definedName>
    <definedName name="CrmSocEngPrm">[3]Rater!$M$375</definedName>
    <definedName name="CY1PolTyp">'[3]WINS Coding'!$G$61</definedName>
    <definedName name="CY1PolType">'[3]WINS Coding'!#REF!</definedName>
    <definedName name="Cy3RegRet">[3]Rater!$E$446</definedName>
    <definedName name="Cyber21">[3]Rater!$AJ$383:$AJ$386</definedName>
    <definedName name="Cyber210">[3]Rater!$AJ$421:$AJ$423</definedName>
    <definedName name="Cyber211">[3]Rater!$AJ$425:$AJ$427</definedName>
    <definedName name="Cyber212">[3]Rater!$AJ$429:$AJ$431</definedName>
    <definedName name="Cyber213">[3]Rater!$AJ$433:$AJ$435</definedName>
    <definedName name="Cyber214">[3]Rater!$AJ$437:$AJ$439</definedName>
    <definedName name="Cyber215">[3]Rater!$AJ$441:$AJ$443</definedName>
    <definedName name="Cyber22">[3]Rater!$AJ$388:$AJ$390</definedName>
    <definedName name="Cyber23">[3]Rater!$AJ$392:$AJ$394</definedName>
    <definedName name="Cyber24">[3]Rater!$AJ$396:$AJ$399</definedName>
    <definedName name="Cyber25">[3]Rater!$AJ$401:$AJ$403</definedName>
    <definedName name="Cyber26">[3]Rater!$AJ$405:$AJ$407</definedName>
    <definedName name="Cyber27">[3]Rater!$AJ$409:$AJ$411</definedName>
    <definedName name="Cyber28">[3]Rater!$AJ$413:$AJ$415</definedName>
    <definedName name="Cyber29">[3]Rater!$AJ$417:$AJ$419</definedName>
    <definedName name="CYbiLmt">[3]Rater!$C$462</definedName>
    <definedName name="CYbilPrem">[3]Rater!$M$462</definedName>
    <definedName name="CYbiRet">[3]Rater!$E$462</definedName>
    <definedName name="CYbrcLmt">[3]Rater!$C$450</definedName>
    <definedName name="CyBRCPrem">[3]Rater!$M$450</definedName>
    <definedName name="CYbrcRet">[3]Rater!$E$450</definedName>
    <definedName name="CybSec4">[3]Rater!$AO$389:$AO$392</definedName>
    <definedName name="CybSec41">[3]Rater!$AO$383:$AO$387</definedName>
    <definedName name="CYcbiLmt">[3]Rater!$C$467</definedName>
    <definedName name="CYcbiPrem">[3]Rater!$M$467</definedName>
    <definedName name="CYcbiRet">[3]Rater!$E$467</definedName>
    <definedName name="CYcecPrem">[3]Rater!$M$458</definedName>
    <definedName name="CYcycRet">[3]Rater!$E$458</definedName>
    <definedName name="CYdlcLmt">[3]Rater!$C$472</definedName>
    <definedName name="CYdlcPrem">[3]Rater!$M$472</definedName>
    <definedName name="CYdlRet">[3]Rater!$E$472</definedName>
    <definedName name="CYextLmt">[3]Rater!$C$458</definedName>
    <definedName name="CyLmt">[3]Rater!$D$41</definedName>
    <definedName name="CyMediaLmt">[3]Rater!$C$476</definedName>
    <definedName name="CyMedRet">[3]Rater!$E$476</definedName>
    <definedName name="CyMlPrm">[3]Rater!$M$476</definedName>
    <definedName name="CyPciLmt">[3]Rater!$C$480</definedName>
    <definedName name="CyPciPrm">[3]Rater!$M$480</definedName>
    <definedName name="CyPciReLmt">[3]Rater!$C$484</definedName>
    <definedName name="CyPciRePrm">[3]Rater!$M$484</definedName>
    <definedName name="CyPciReRet">[3]Rater!$E$484</definedName>
    <definedName name="CyPciRet">[3]Rater!$E$480</definedName>
    <definedName name="CyRet">[3]Rater!$D$43</definedName>
    <definedName name="CyRpLmt">[3]Rater!$C$446</definedName>
    <definedName name="CyRpPrm">[3]Rater!$M$446</definedName>
    <definedName name="CYrrLmt">[3]Rater!$C$454</definedName>
    <definedName name="CYrrPrem">[3]Rater!$M$454</definedName>
    <definedName name="CYrrRet">[3]Rater!$E$454</definedName>
    <definedName name="CySchdMod">[3]Rater!$K$436</definedName>
    <definedName name="CYseLmt">[3]Rater!$C$488</definedName>
    <definedName name="CYsePrem">[3]Rater!$M$488</definedName>
    <definedName name="CYseRet">[3]Rater!$E$488</definedName>
    <definedName name="CYsfLmt">[3]Rater!$C$496</definedName>
    <definedName name="CYsfPrem">[3]Rater!$M$496</definedName>
    <definedName name="CYsfRet">[3]Rater!$E$496</definedName>
    <definedName name="CyTechEOPrm">[3]Rater!$M$492</definedName>
    <definedName name="CYtechLmt">[3]Rater!$C$492</definedName>
    <definedName name="CyTechRet">[3]Rater!$E$492</definedName>
    <definedName name="CyWrgColLmt">[3]Rater!$C$500</definedName>
    <definedName name="CyWrgColPrm">[3]Rater!$M$500</definedName>
    <definedName name="CyWrgRet">[3]Rater!$E$500</definedName>
    <definedName name="DandO210">[3]Rater!$X$195:$X$198</definedName>
    <definedName name="DandO211">[3]Rater!$X$200:$X$204</definedName>
    <definedName name="DandO212">[3]Rater!$X$215:$X$219</definedName>
    <definedName name="DandO213">[3]Rater!$X$221:$X$225</definedName>
    <definedName name="DandO22">[3]Rater!$X$135:$X$138</definedName>
    <definedName name="DandO23">[3]Rater!$X$140:$X$141</definedName>
    <definedName name="DandO24">[3]Rater!$X$152:$X$154</definedName>
    <definedName name="DandO25">[3]Rater!$X$157:$X$160</definedName>
    <definedName name="DandO26">[3]Rater!$X$162:$X$163</definedName>
    <definedName name="DandO27">[3]Rater!$X$179:$X$182</definedName>
    <definedName name="DandO28">[3]Rater!$X$184:$X$187</definedName>
    <definedName name="DandO29">[3]Rater!$X$190:$X$193</definedName>
    <definedName name="DandO31">[3]Rater!$X$264:$X$266</definedName>
    <definedName name="DandO33">[3]Rater!$X$273:$X$277</definedName>
    <definedName name="DandO34">[3]Rater!$X$281:$X$288</definedName>
    <definedName name="DandO35">[3]Rater!$X$290:$X$297</definedName>
    <definedName name="DefLimit">[3]Rater!$Z$122:$Z$128</definedName>
    <definedName name="DOsdcLmt">[3]Rater!$I$122</definedName>
    <definedName name="DOSideA">[3]Rater!$X$309:$X$315</definedName>
    <definedName name="ELLBasePrem">[3]Rater!$I$38</definedName>
    <definedName name="EllLawyers">[3]Rater!$I$36</definedName>
    <definedName name="EllLmt">[3]Rater!$I$41</definedName>
    <definedName name="EllRet">[3]Rater!$I$43</definedName>
    <definedName name="EllSdLmt">[3]Rater!$I$560</definedName>
    <definedName name="EPLI210">[3]Rater!$AD$195:$AD$198</definedName>
    <definedName name="EPLI211">[3]Rater!$AD$200:$AD$203</definedName>
    <definedName name="EPLI212">[3]Rater!$AD$215:$AD$218</definedName>
    <definedName name="EPLI213">[3]Rater!$AD$221:$AD$225</definedName>
    <definedName name="EPLI22">[3]Rater!$AD$135:$AD$138</definedName>
    <definedName name="EPLI23">[3]Rater!$AD$140:$AD$143</definedName>
    <definedName name="EPLI24">[3]Rater!$AD$152:$AD$154</definedName>
    <definedName name="EPLI26">[3]Rater!$AD$162:$AD$165</definedName>
    <definedName name="EPLI27">[3]Rater!$AD$179:$AD$182</definedName>
    <definedName name="EPLI28">[3]Rater!$AD$184:$AD$186</definedName>
    <definedName name="EPLI29">[3]Rater!$AD$190:$AD$193</definedName>
    <definedName name="EPLI31">[3]Rater!$AD$264:$AD$266</definedName>
    <definedName name="EPLI32">[3]Rater!$AD$268:$AD$269</definedName>
    <definedName name="EPLI33">[3]Rater!$AD$273:$AD$277</definedName>
    <definedName name="EPLI34">[3]Rater!$AD$280:$AD$284</definedName>
    <definedName name="EPLI35">[3]Rater!$AD$288:$AD$295</definedName>
    <definedName name="EPLI36">[3]Rater!$AD$297:$AD$304</definedName>
    <definedName name="EPLI37">[3]Rater!$AD$306:$AD$313</definedName>
    <definedName name="EPLlmt">[3]Rater!$I$24</definedName>
    <definedName name="EPLret">[3]Rater!$I$26</definedName>
    <definedName name="EPLsdLmt">[3]Rater!$I$204</definedName>
    <definedName name="EPLsubPrem">[3]Rater!$X$176</definedName>
    <definedName name="FidLmt">[3]Rater!$P$24</definedName>
    <definedName name="FidPlnAst">[3]Rater!$P$11</definedName>
    <definedName name="FidRet">[3]Rater!$P$26</definedName>
    <definedName name="FidSdLmt">[3]Rater!$I$286</definedName>
    <definedName name="Fidu210">[3]Rater!$AJ$195:$AJ$198</definedName>
    <definedName name="Fidu211">[3]Rater!$AJ$200:$AJ$203</definedName>
    <definedName name="Fidu212">[3]Rater!$AJ$215:$AJ$218</definedName>
    <definedName name="Fidu22">[3]Rater!$AJ$135:$AJ$138</definedName>
    <definedName name="Fidu23">[3]Rater!$AJ$140:$AJ$141</definedName>
    <definedName name="Fidu24">[3]Rater!$AJ$152:$AJ$155</definedName>
    <definedName name="Fidu26">[3]Rater!$AJ$162:$AJ$164</definedName>
    <definedName name="Fidu27">[3]Rater!$AJ$179:$AJ$182</definedName>
    <definedName name="Fidu28">[3]Rater!$AJ$184:$AJ$187</definedName>
    <definedName name="Fidu29">[3]Rater!$AJ$190:$AJ$192</definedName>
    <definedName name="Fidu32">[3]Rater!$AJ$268:$AJ$272</definedName>
    <definedName name="Fidu33">[3]Rater!$AJ$274:$AJ$284</definedName>
    <definedName name="Hazard2">[3]Rater!$AE$287:$AG$287</definedName>
    <definedName name="HazardClass2">'[2]BDX Coding Tables'!$B$1242:$B$1244</definedName>
    <definedName name="ID" localSheetId="0" hidden="1">"af4c0556-d827-420e-9119-45df23f20dcf"</definedName>
    <definedName name="ID" localSheetId="3" hidden="1">"87a4511c-0573-41e7-b600-2b31b845f4bf"</definedName>
    <definedName name="ID" localSheetId="6" hidden="1">"04204085-8641-4fd7-8025-766f556a300c"</definedName>
    <definedName name="ID" localSheetId="9" hidden="1">"bbcbd642-5eea-46e4-b9ae-e99b65849548"</definedName>
    <definedName name="ID" localSheetId="5" hidden="1">"eb389a84-6952-4b37-9ab7-87cd66845686"</definedName>
    <definedName name="ID" localSheetId="2" hidden="1">"87f92490-bfa3-4b14-98e0-6fcc2324afce"</definedName>
    <definedName name="ID" localSheetId="1" hidden="1">"63b1c274-b0a9-49af-97a2-75869cc3e640"</definedName>
    <definedName name="info_address1">'Account Info'!$D$16</definedName>
    <definedName name="info_address2">'Account Info'!$D$17</definedName>
    <definedName name="info_admit">'Account Info'!$J$9</definedName>
    <definedName name="info_city">'Account Info'!$D$18</definedName>
    <definedName name="info_co">'Account Info'!$J$8</definedName>
    <definedName name="info_comm">'Account Info'!$D$14</definedName>
    <definedName name="info_country">'Account Info'!$J$16</definedName>
    <definedName name="info_effdt">'Account Info'!$D$12</definedName>
    <definedName name="info_expdt">'Account Info'!$F$12</definedName>
    <definedName name="info_internal">Internal!$B$1</definedName>
    <definedName name="info_name">'Account Info'!$D$10</definedName>
    <definedName name="info_newren">'Account Info'!$F$8</definedName>
    <definedName name="info_pmtplan">'Account Info'!$F$14</definedName>
    <definedName name="info_polnum">'Account Info'!$D$8</definedName>
    <definedName name="info_polnumprior">'Account Info'!$H$8</definedName>
    <definedName name="info_retrodt">'Account Info'!$J$12</definedName>
    <definedName name="info_st">'Account Info'!$G$18</definedName>
    <definedName name="info_state">'Account Info'!$H$18</definedName>
    <definedName name="info_sub">'Account Info'!$J$10</definedName>
    <definedName name="info_term">'Account Info'!$H$12</definedName>
    <definedName name="info_zip">'Account Info'!$J$18</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41533.6436805556</definedName>
    <definedName name="IQ_NET_DEBT_ISSUED_BR" hidden="1">"c753"</definedName>
    <definedName name="IQ_NET_INT_INC_BR" hidden="1">"c765"</definedName>
    <definedName name="IQ_NTM" hidden="1">6000</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KandR21">[3]Rater!$AN$130:$AN$133</definedName>
    <definedName name="KandR22">[3]Rater!$AN$135:$AN$138</definedName>
    <definedName name="KandR23">[3]Rater!$AN$140:$AN$143</definedName>
    <definedName name="KandR24">[3]Rater!$AN$152:$AN$155</definedName>
    <definedName name="KandR25">[3]Rater!$AN$157:$AN$160</definedName>
    <definedName name="KandR26">[3]Rater!$AN$162:$AN$165</definedName>
    <definedName name="KRAgg">[3]Rater!$X$666:$X$669</definedName>
    <definedName name="KreBiLmt">[3]Rater!$C$677</definedName>
    <definedName name="KreBiPrm">[3]Rater!$M$679</definedName>
    <definedName name="KreDed">[3]Rater!$T$43</definedName>
    <definedName name="KreDisLmt">[3]Rater!$C$672</definedName>
    <definedName name="KreDisPrm">[3]Rater!$M$672</definedName>
    <definedName name="KREempl">[3]Rater!$T$36</definedName>
    <definedName name="KREprem1">[3]Rater!$W$655</definedName>
    <definedName name="KRErecallLmt">[3]Rater!$C$664</definedName>
    <definedName name="KreRePrem">[3]Rater!$M$664</definedName>
    <definedName name="KreSecLmt">[3]Rater!$C$687</definedName>
    <definedName name="KreSecPrm">[3]Rater!$M$689</definedName>
    <definedName name="KreThrtLmt">[3]Rater!$C$668</definedName>
    <definedName name="KreThrtPrm">[3]Rater!$M$668</definedName>
    <definedName name="KreTSLmt">[3]Rater!$C$682</definedName>
    <definedName name="KreTSPrm">[3]Rater!$M$684</definedName>
    <definedName name="KRlmt">[3]Rater!$T$41</definedName>
    <definedName name="laweo210">[3]Rater!$AD$634:$AD$637</definedName>
    <definedName name="laweo22">[3]Rater!$AD$596:$AD$598</definedName>
    <definedName name="laweo23">[3]Rater!$AD$600:$AD$603</definedName>
    <definedName name="laweo24">[3]Rater!$AD$605:$AD$606</definedName>
    <definedName name="laweo26">[3]Rater!$AD$616:$AD$619</definedName>
    <definedName name="laweo27">[3]Rater!$AD$621:$AD$623</definedName>
    <definedName name="laweo28">[3]Rater!$AD$626:$AD$628</definedName>
    <definedName name="laweo31">[3]Rater!$AD$532:$AD$534</definedName>
    <definedName name="laweo32">[3]Rater!$AD$536:$AD$540</definedName>
    <definedName name="laweo33">[3]Rater!$AD$542:$AD$543</definedName>
    <definedName name="Limit_Agg">Rater!$F$10</definedName>
    <definedName name="Limit_Claim">Rater!$F$9</definedName>
    <definedName name="Limit_Ded">Rater!$F$12</definedName>
    <definedName name="Limit_Exp">Rater!$K$10</definedName>
    <definedName name="Limit_ExpTreat">Rater!$J$9</definedName>
    <definedName name="LmtDO">[3]Rater!$D$24</definedName>
    <definedName name="MarkSeg">[3]Tables!$A$2:$A$14</definedName>
    <definedName name="MiscLmt">[3]Rater!$P$41</definedName>
    <definedName name="MiscPrm2">[3]Rater!$W$604</definedName>
    <definedName name="MiscRet">[3]Rater!$P$43</definedName>
    <definedName name="MiscRev">[3]Rater!$P$36</definedName>
    <definedName name="MiscSdLmt">[3]Rater!$I$620</definedName>
    <definedName name="MPLHaz">[3]Rater!$X$32:$X$35</definedName>
    <definedName name="MPLI21">[3]Rater!$X$594:$X$596</definedName>
    <definedName name="MPLI22">[3]Rater!$X$598:$X$600</definedName>
    <definedName name="MPLI23">[3]Rater!$X$607:$X$609</definedName>
    <definedName name="MPLI24">[3]Rater!$X$611:$X$614</definedName>
    <definedName name="MPLI25">[3]Rater!$X$616:$X$618</definedName>
    <definedName name="MPLI26">[3]Rater!$X$620:$X$622</definedName>
    <definedName name="MPLI27">[3]Rater!$X$625:$X$628</definedName>
    <definedName name="MPLI28">[3]Rater!$X$630:$X$632</definedName>
    <definedName name="MPLI29">[3]Rater!$X$634:$X$636</definedName>
    <definedName name="MPLI31">[3]Rater!$X$534:$X$536</definedName>
    <definedName name="MPLI32">[3]Rater!$X$547:$X$551</definedName>
    <definedName name="MPLI33">[3]Rater!$X$553:$X$554</definedName>
    <definedName name="NAICS">[3]NAICS!$C$2:$C$2205</definedName>
    <definedName name="NFP">'[3]Account Info'!$AA$9</definedName>
    <definedName name="Pal_Workbook_GUID" hidden="1">"E59S8FACK6AHR2MF9C4VRQML"</definedName>
    <definedName name="Prem_Annual">Rater!$D$286</definedName>
    <definedName name="Prem_Final">Rater!$D$301</definedName>
    <definedName name="Prem_FullTerm">Rater!$D$287</definedName>
    <definedName name="Prem_Surcharge">Rater!$D$300</definedName>
    <definedName name="PRF">[3]Information!#REF!</definedName>
    <definedName name="_xlnm.Print_Area" localSheetId="1">Rater!$A$2:$P$301</definedName>
    <definedName name="_xlnm.Print_Titles" localSheetId="1">Rater!$2:$3</definedName>
    <definedName name="Product">'[3]Account Info'!$AB$7:$AB$9</definedName>
    <definedName name="Rate_AOP">Rater!$M$47</definedName>
    <definedName name="Rate_Base">Rater!$K$7</definedName>
    <definedName name="Rate_Count">Rater!$G$161</definedName>
    <definedName name="Rate_CountFT">Rater!$C$162</definedName>
    <definedName name="Rate_CountNW">Rater!$C$164</definedName>
    <definedName name="Rate_CountPT">Rater!$C$163</definedName>
    <definedName name="Rate_CountTotal">Rater!$C$161</definedName>
    <definedName name="Rate_DedAgg">Rater!$N$14</definedName>
    <definedName name="Rate_Ed">Rater!$L$54</definedName>
    <definedName name="Rate_Endorse">Rater!$F$269</definedName>
    <definedName name="Rate_ERP">Rater!$G$260</definedName>
    <definedName name="Rate_Exper">Rater!$F$247</definedName>
    <definedName name="Rate_ILF">Rater!$F$16</definedName>
    <definedName name="Rate_IRM">Rater!$L$205</definedName>
    <definedName name="Rate_PPA">Rater!$E$165</definedName>
    <definedName name="Rate_PriorActs">Rater!$O$161</definedName>
    <definedName name="Rate_Size">Rater!$O$162</definedName>
    <definedName name="Rate_Subtot">Rater!$E$166</definedName>
    <definedName name="Rate_TitleAgency">Rater!$F$279</definedName>
    <definedName name="RetDO">[3]Rater!$D$26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ealTimeResults">FALSE</definedName>
    <definedName name="RiskResultsUpdateFreq">100</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StatFunctionsUpdateFreq">1</definedName>
    <definedName name="RiskUpdateDisplay" hidden="1">FALSE</definedName>
    <definedName name="RiskUpdateStatFunctions">TRUE</definedName>
    <definedName name="RiskUseDifferentSeedForEachSim" hidden="1">FALSE</definedName>
    <definedName name="RiskUseFixedSeed" hidden="1">FALSE</definedName>
    <definedName name="RiskUseMultipleCPUs" hidden="1">TRUE</definedName>
    <definedName name="RtStCd">'[3]WINS Coding'!$D$30</definedName>
    <definedName name="st">[3]Information!$B$6</definedName>
    <definedName name="States">[3]States!$A$2:$A$61</definedName>
    <definedName name="version">Ranges!$A$6</definedName>
    <definedName name="WaitPeriod">[3]Rater!$AT$408:$AT$417</definedName>
    <definedName name="YN">[3]Rater!$X$124:$X$125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16" i="2" l="1"/>
  <c r="K215" i="2"/>
  <c r="L76" i="2"/>
  <c r="L75" i="2"/>
  <c r="L74" i="2"/>
  <c r="L73" i="2"/>
  <c r="L72" i="2"/>
  <c r="L71" i="2"/>
  <c r="F10" i="2" l="1"/>
  <c r="B26" i="11" l="1"/>
  <c r="B10" i="11"/>
  <c r="M29" i="11"/>
  <c r="N29" i="11"/>
  <c r="N10" i="11"/>
  <c r="O29" i="11" l="1"/>
  <c r="C212" i="2"/>
  <c r="BU61" i="3"/>
  <c r="BU60" i="3"/>
  <c r="BU59" i="3"/>
  <c r="BU58" i="3"/>
  <c r="BW58" i="3"/>
  <c r="BW59" i="3" s="1"/>
  <c r="BW60" i="3" s="1"/>
  <c r="BW61" i="3" s="1"/>
  <c r="BV58" i="3"/>
  <c r="BV59" i="3" s="1"/>
  <c r="BV60" i="3" s="1"/>
  <c r="BV61" i="3" s="1"/>
  <c r="J13" i="2"/>
  <c r="K159" i="2" l="1"/>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6" i="2"/>
  <c r="K85" i="2"/>
  <c r="K84" i="2"/>
  <c r="K83" i="2"/>
  <c r="K82" i="2"/>
  <c r="K81" i="2"/>
  <c r="K80" i="2"/>
  <c r="K76" i="2"/>
  <c r="K75" i="2"/>
  <c r="K70" i="2"/>
  <c r="K69" i="2"/>
  <c r="K68" i="2"/>
  <c r="K67" i="2"/>
  <c r="K66" i="2"/>
  <c r="K65" i="2"/>
  <c r="K64" i="2"/>
  <c r="K63" i="2"/>
  <c r="K62" i="2"/>
  <c r="K61" i="2"/>
  <c r="K60" i="2"/>
  <c r="J159" i="2"/>
  <c r="I159" i="2"/>
  <c r="J158" i="2"/>
  <c r="I158" i="2"/>
  <c r="J157" i="2"/>
  <c r="I157" i="2"/>
  <c r="J156" i="2"/>
  <c r="I156" i="2"/>
  <c r="J155" i="2"/>
  <c r="I155" i="2"/>
  <c r="J154" i="2"/>
  <c r="I154" i="2"/>
  <c r="J153" i="2"/>
  <c r="I153" i="2"/>
  <c r="J152" i="2"/>
  <c r="I152" i="2"/>
  <c r="J151" i="2"/>
  <c r="I151" i="2"/>
  <c r="J150" i="2"/>
  <c r="I150" i="2"/>
  <c r="J149" i="2"/>
  <c r="I149" i="2"/>
  <c r="J148" i="2"/>
  <c r="I148" i="2"/>
  <c r="J147" i="2"/>
  <c r="I147" i="2"/>
  <c r="J146" i="2"/>
  <c r="I146" i="2"/>
  <c r="J145" i="2"/>
  <c r="I145" i="2"/>
  <c r="J144" i="2"/>
  <c r="I144" i="2"/>
  <c r="J143" i="2"/>
  <c r="I143" i="2"/>
  <c r="J142" i="2"/>
  <c r="I142" i="2"/>
  <c r="J141" i="2"/>
  <c r="I141" i="2"/>
  <c r="J140" i="2"/>
  <c r="I140" i="2"/>
  <c r="J139" i="2"/>
  <c r="I139" i="2"/>
  <c r="J138" i="2"/>
  <c r="I138" i="2"/>
  <c r="J137" i="2"/>
  <c r="I137" i="2"/>
  <c r="J136" i="2"/>
  <c r="I136" i="2"/>
  <c r="J135" i="2"/>
  <c r="I135" i="2"/>
  <c r="J134" i="2"/>
  <c r="I134" i="2"/>
  <c r="J133" i="2"/>
  <c r="I133" i="2"/>
  <c r="J132" i="2"/>
  <c r="I132" i="2"/>
  <c r="J131" i="2"/>
  <c r="I131" i="2"/>
  <c r="J130" i="2"/>
  <c r="I130" i="2"/>
  <c r="J129" i="2"/>
  <c r="I129" i="2"/>
  <c r="J128" i="2"/>
  <c r="I128" i="2"/>
  <c r="J127" i="2"/>
  <c r="I127" i="2"/>
  <c r="J126" i="2"/>
  <c r="I126" i="2"/>
  <c r="J125" i="2"/>
  <c r="I125" i="2"/>
  <c r="J124" i="2"/>
  <c r="I124" i="2"/>
  <c r="J123" i="2"/>
  <c r="I123" i="2"/>
  <c r="J122" i="2"/>
  <c r="I122" i="2"/>
  <c r="J121" i="2"/>
  <c r="I121" i="2"/>
  <c r="J120" i="2"/>
  <c r="I120" i="2"/>
  <c r="J119" i="2"/>
  <c r="I119" i="2"/>
  <c r="J118" i="2"/>
  <c r="I118" i="2"/>
  <c r="J117" i="2"/>
  <c r="I117" i="2"/>
  <c r="J116" i="2"/>
  <c r="I116" i="2"/>
  <c r="J115" i="2"/>
  <c r="I115" i="2"/>
  <c r="J114" i="2"/>
  <c r="I114" i="2"/>
  <c r="J113" i="2"/>
  <c r="I113" i="2"/>
  <c r="J112" i="2"/>
  <c r="I112" i="2"/>
  <c r="J111" i="2"/>
  <c r="I111" i="2"/>
  <c r="J110" i="2"/>
  <c r="I110" i="2"/>
  <c r="J109" i="2"/>
  <c r="I109" i="2"/>
  <c r="J108" i="2"/>
  <c r="I108" i="2"/>
  <c r="J107" i="2"/>
  <c r="I107" i="2"/>
  <c r="J106" i="2"/>
  <c r="I106" i="2"/>
  <c r="J105" i="2"/>
  <c r="I105" i="2"/>
  <c r="J104" i="2"/>
  <c r="I104" i="2"/>
  <c r="J103" i="2"/>
  <c r="I103" i="2"/>
  <c r="J102" i="2"/>
  <c r="I102" i="2"/>
  <c r="J101" i="2"/>
  <c r="I101" i="2"/>
  <c r="J100" i="2"/>
  <c r="I100" i="2"/>
  <c r="J99" i="2"/>
  <c r="I99" i="2"/>
  <c r="J98" i="2"/>
  <c r="I98" i="2"/>
  <c r="J97" i="2"/>
  <c r="I97" i="2"/>
  <c r="J96" i="2"/>
  <c r="I96" i="2"/>
  <c r="J95" i="2"/>
  <c r="I95" i="2"/>
  <c r="J94" i="2"/>
  <c r="I94" i="2"/>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7" i="2"/>
  <c r="I77" i="2"/>
  <c r="J76" i="2"/>
  <c r="I76" i="2"/>
  <c r="J75" i="2"/>
  <c r="I75" i="2"/>
  <c r="J70" i="2"/>
  <c r="I70" i="2"/>
  <c r="J69" i="2"/>
  <c r="I69" i="2"/>
  <c r="J68" i="2"/>
  <c r="I68" i="2"/>
  <c r="J67" i="2"/>
  <c r="I67" i="2"/>
  <c r="J66" i="2"/>
  <c r="I66" i="2"/>
  <c r="J65" i="2"/>
  <c r="I65" i="2"/>
  <c r="J64" i="2"/>
  <c r="I64" i="2"/>
  <c r="J63" i="2"/>
  <c r="I63" i="2"/>
  <c r="J62" i="2"/>
  <c r="I62" i="2"/>
  <c r="J61" i="2"/>
  <c r="I61" i="2"/>
  <c r="J60" i="2"/>
  <c r="I60" i="2"/>
  <c r="ED56" i="3"/>
  <c r="ED55" i="3"/>
  <c r="ED54" i="3"/>
  <c r="ED53" i="3"/>
  <c r="ED52" i="3"/>
  <c r="ED51" i="3"/>
  <c r="ED50" i="3"/>
  <c r="ED49" i="3"/>
  <c r="ED48" i="3"/>
  <c r="ED47" i="3"/>
  <c r="ED46" i="3"/>
  <c r="ED45" i="3"/>
  <c r="ED44" i="3"/>
  <c r="ED43" i="3"/>
  <c r="ED42" i="3"/>
  <c r="ED41" i="3"/>
  <c r="ED40" i="3"/>
  <c r="ED39" i="3"/>
  <c r="ED38" i="3"/>
  <c r="ED37" i="3"/>
  <c r="ED36" i="3"/>
  <c r="ED35" i="3"/>
  <c r="ED34" i="3"/>
  <c r="ED33" i="3"/>
  <c r="ED32" i="3"/>
  <c r="ED31" i="3"/>
  <c r="ED30" i="3"/>
  <c r="ED29" i="3"/>
  <c r="ED28" i="3"/>
  <c r="ED25" i="3"/>
  <c r="ED24" i="3"/>
  <c r="ED23" i="3"/>
  <c r="ED22" i="3"/>
  <c r="ED21" i="3"/>
  <c r="ED20" i="3"/>
  <c r="ED18" i="3"/>
  <c r="ED17" i="3"/>
  <c r="ED16" i="3"/>
  <c r="ED15" i="3"/>
  <c r="ED14" i="3"/>
  <c r="ED13" i="3"/>
  <c r="ED12" i="3"/>
  <c r="ED11" i="3"/>
  <c r="ED8" i="3"/>
  <c r="ED7" i="3"/>
  <c r="ED6" i="3"/>
  <c r="Q267" i="2" l="1"/>
  <c r="G267" i="2" s="1"/>
  <c r="F267" i="2" l="1"/>
  <c r="L19" i="11"/>
  <c r="L18" i="11"/>
  <c r="L17" i="11"/>
  <c r="B20" i="11"/>
  <c r="GM28" i="3" l="1"/>
  <c r="GN28" i="3" s="1"/>
  <c r="GM27" i="3"/>
  <c r="GN27" i="3" s="1"/>
  <c r="GM26" i="3"/>
  <c r="GN26" i="3" s="1"/>
  <c r="GM25" i="3"/>
  <c r="GN25" i="3" s="1"/>
  <c r="GM24" i="3"/>
  <c r="GN24" i="3" s="1"/>
  <c r="B15" i="11" l="1"/>
  <c r="B14" i="11"/>
  <c r="M7" i="11"/>
  <c r="G260" i="2"/>
  <c r="N69" i="3"/>
  <c r="M69" i="3" s="1"/>
  <c r="C265" i="2"/>
  <c r="F264" i="2"/>
  <c r="GB36" i="3"/>
  <c r="V245" i="8"/>
  <c r="V243" i="8"/>
  <c r="V241" i="8"/>
  <c r="V239" i="8"/>
  <c r="V237" i="8"/>
  <c r="V235" i="8"/>
  <c r="V233" i="8"/>
  <c r="V231" i="8"/>
  <c r="V229" i="8"/>
  <c r="V227" i="8"/>
  <c r="V225" i="8"/>
  <c r="V223" i="8"/>
  <c r="V221" i="8"/>
  <c r="V219" i="8"/>
  <c r="V217" i="8"/>
  <c r="V215" i="8"/>
  <c r="V213" i="8"/>
  <c r="V211" i="8"/>
  <c r="V209" i="8"/>
  <c r="V207" i="8"/>
  <c r="V205" i="8"/>
  <c r="V203" i="8"/>
  <c r="V201" i="8"/>
  <c r="V199" i="8"/>
  <c r="V197" i="8"/>
  <c r="V195" i="8"/>
  <c r="V193" i="8"/>
  <c r="V191" i="8"/>
  <c r="V189" i="8"/>
  <c r="V187" i="8"/>
  <c r="V185" i="8"/>
  <c r="V183" i="8"/>
  <c r="V181" i="8"/>
  <c r="V179" i="8"/>
  <c r="V177" i="8"/>
  <c r="V175" i="8"/>
  <c r="V173" i="8"/>
  <c r="V171" i="8"/>
  <c r="V169" i="8"/>
  <c r="V167" i="8"/>
  <c r="V165" i="8"/>
  <c r="V163" i="8"/>
  <c r="V161" i="8"/>
  <c r="V159" i="8"/>
  <c r="V157" i="8"/>
  <c r="V155" i="8"/>
  <c r="V153" i="8"/>
  <c r="V151" i="8"/>
  <c r="V149" i="8"/>
  <c r="V147" i="8"/>
  <c r="V145" i="8"/>
  <c r="V143" i="8"/>
  <c r="V141" i="8"/>
  <c r="V139" i="8"/>
  <c r="V137" i="8"/>
  <c r="V135" i="8"/>
  <c r="V133" i="8"/>
  <c r="V131" i="8"/>
  <c r="V129" i="8"/>
  <c r="V127" i="8"/>
  <c r="V125" i="8"/>
  <c r="V123" i="8"/>
  <c r="V121" i="8"/>
  <c r="V119" i="8"/>
  <c r="V117" i="8"/>
  <c r="V115" i="8"/>
  <c r="V113" i="8"/>
  <c r="V111" i="8"/>
  <c r="V109" i="8"/>
  <c r="V107" i="8"/>
  <c r="V105" i="8"/>
  <c r="V103" i="8"/>
  <c r="V101" i="8"/>
  <c r="V99" i="8"/>
  <c r="V97" i="8"/>
  <c r="V95" i="8"/>
  <c r="V93" i="8"/>
  <c r="V91" i="8"/>
  <c r="V89" i="8"/>
  <c r="V87" i="8"/>
  <c r="V85" i="8"/>
  <c r="V83" i="8"/>
  <c r="V81" i="8"/>
  <c r="V79" i="8"/>
  <c r="V77" i="8"/>
  <c r="V75" i="8"/>
  <c r="V73" i="8"/>
  <c r="V71" i="8"/>
  <c r="V69" i="8"/>
  <c r="V67" i="8"/>
  <c r="V65" i="8"/>
  <c r="V63" i="8"/>
  <c r="V61" i="8"/>
  <c r="V59" i="8"/>
  <c r="V57" i="8"/>
  <c r="V55" i="8"/>
  <c r="V53" i="8"/>
  <c r="V51" i="8"/>
  <c r="V49" i="8"/>
  <c r="V47" i="8"/>
  <c r="V45" i="8"/>
  <c r="V43" i="8"/>
  <c r="V41" i="8"/>
  <c r="V39" i="8"/>
  <c r="V37" i="8"/>
  <c r="V35" i="8"/>
  <c r="V33" i="8"/>
  <c r="V31" i="8"/>
  <c r="V29" i="8"/>
  <c r="V26" i="8"/>
  <c r="V24" i="8"/>
  <c r="V22" i="8"/>
  <c r="V20" i="8"/>
  <c r="V18" i="8"/>
  <c r="V16" i="8"/>
  <c r="V14" i="8"/>
  <c r="V12" i="8"/>
  <c r="U415" i="8"/>
  <c r="V415" i="8" s="1"/>
  <c r="U414" i="8"/>
  <c r="V414" i="8" s="1"/>
  <c r="U413" i="8"/>
  <c r="V413" i="8" s="1"/>
  <c r="U412" i="8"/>
  <c r="V412" i="8" s="1"/>
  <c r="U411" i="8"/>
  <c r="V411" i="8" s="1"/>
  <c r="U410" i="8"/>
  <c r="V410" i="8" s="1"/>
  <c r="U409" i="8"/>
  <c r="V409" i="8" s="1"/>
  <c r="U408" i="8"/>
  <c r="V408" i="8" s="1"/>
  <c r="U407" i="8"/>
  <c r="V407" i="8" s="1"/>
  <c r="U406" i="8"/>
  <c r="V406" i="8" s="1"/>
  <c r="U405" i="8"/>
  <c r="V405" i="8" s="1"/>
  <c r="U404" i="8"/>
  <c r="V404" i="8" s="1"/>
  <c r="U403" i="8"/>
  <c r="V403" i="8" s="1"/>
  <c r="U402" i="8"/>
  <c r="V402" i="8" s="1"/>
  <c r="U401" i="8"/>
  <c r="V401" i="8" s="1"/>
  <c r="U400" i="8"/>
  <c r="V400" i="8" s="1"/>
  <c r="U399" i="8"/>
  <c r="V399" i="8" s="1"/>
  <c r="U398" i="8"/>
  <c r="V398" i="8" s="1"/>
  <c r="U397" i="8"/>
  <c r="V397" i="8" s="1"/>
  <c r="U396" i="8"/>
  <c r="V396" i="8" s="1"/>
  <c r="U395" i="8"/>
  <c r="V395" i="8" s="1"/>
  <c r="U394" i="8"/>
  <c r="V394" i="8" s="1"/>
  <c r="U393" i="8"/>
  <c r="V393" i="8" s="1"/>
  <c r="U392" i="8"/>
  <c r="V392" i="8" s="1"/>
  <c r="U391" i="8"/>
  <c r="V391" i="8" s="1"/>
  <c r="U390" i="8"/>
  <c r="V390" i="8" s="1"/>
  <c r="U389" i="8"/>
  <c r="V389" i="8" s="1"/>
  <c r="U388" i="8"/>
  <c r="V388" i="8" s="1"/>
  <c r="U387" i="8"/>
  <c r="V387" i="8" s="1"/>
  <c r="U386" i="8"/>
  <c r="V386" i="8" s="1"/>
  <c r="U385" i="8"/>
  <c r="V385" i="8" s="1"/>
  <c r="U384" i="8"/>
  <c r="V384" i="8" s="1"/>
  <c r="U383" i="8"/>
  <c r="V383" i="8" s="1"/>
  <c r="U382" i="8"/>
  <c r="V382" i="8" s="1"/>
  <c r="U381" i="8"/>
  <c r="V381" i="8" s="1"/>
  <c r="U380" i="8"/>
  <c r="V380" i="8" s="1"/>
  <c r="U379" i="8"/>
  <c r="V379" i="8" s="1"/>
  <c r="U378" i="8"/>
  <c r="V378" i="8" s="1"/>
  <c r="U377" i="8"/>
  <c r="V377" i="8" s="1"/>
  <c r="U376" i="8"/>
  <c r="V376" i="8" s="1"/>
  <c r="U375" i="8"/>
  <c r="V375" i="8" s="1"/>
  <c r="U374" i="8"/>
  <c r="V374" i="8" s="1"/>
  <c r="U373" i="8"/>
  <c r="V373" i="8" s="1"/>
  <c r="U372" i="8"/>
  <c r="V372" i="8" s="1"/>
  <c r="U371" i="8"/>
  <c r="V371" i="8" s="1"/>
  <c r="U370" i="8"/>
  <c r="V370" i="8" s="1"/>
  <c r="U369" i="8"/>
  <c r="V369" i="8" s="1"/>
  <c r="U368" i="8"/>
  <c r="V368" i="8" s="1"/>
  <c r="U367" i="8"/>
  <c r="V367" i="8" s="1"/>
  <c r="U366" i="8"/>
  <c r="V366" i="8" s="1"/>
  <c r="U365" i="8"/>
  <c r="V365" i="8" s="1"/>
  <c r="U364" i="8"/>
  <c r="V364" i="8" s="1"/>
  <c r="U363" i="8"/>
  <c r="V363" i="8" s="1"/>
  <c r="U362" i="8"/>
  <c r="V362" i="8" s="1"/>
  <c r="U361" i="8"/>
  <c r="V361" i="8" s="1"/>
  <c r="U360" i="8"/>
  <c r="V360" i="8" s="1"/>
  <c r="U359" i="8"/>
  <c r="V359" i="8" s="1"/>
  <c r="U358" i="8"/>
  <c r="V358" i="8" s="1"/>
  <c r="U357" i="8"/>
  <c r="V357" i="8" s="1"/>
  <c r="U356" i="8"/>
  <c r="V356" i="8" s="1"/>
  <c r="U355" i="8"/>
  <c r="V355" i="8" s="1"/>
  <c r="U354" i="8"/>
  <c r="V354" i="8" s="1"/>
  <c r="U353" i="8"/>
  <c r="V353" i="8" s="1"/>
  <c r="U352" i="8"/>
  <c r="V352" i="8" s="1"/>
  <c r="U351" i="8"/>
  <c r="V351" i="8" s="1"/>
  <c r="U350" i="8"/>
  <c r="V350" i="8" s="1"/>
  <c r="U349" i="8"/>
  <c r="V349" i="8" s="1"/>
  <c r="U348" i="8"/>
  <c r="V348" i="8" s="1"/>
  <c r="U347" i="8"/>
  <c r="V347" i="8" s="1"/>
  <c r="U346" i="8"/>
  <c r="V346" i="8" s="1"/>
  <c r="U345" i="8"/>
  <c r="V345" i="8" s="1"/>
  <c r="U344" i="8"/>
  <c r="V344" i="8" s="1"/>
  <c r="U343" i="8"/>
  <c r="V343" i="8" s="1"/>
  <c r="U342" i="8"/>
  <c r="V342" i="8" s="1"/>
  <c r="U341" i="8"/>
  <c r="V341" i="8" s="1"/>
  <c r="U340" i="8"/>
  <c r="V340" i="8" s="1"/>
  <c r="U339" i="8"/>
  <c r="V339" i="8" s="1"/>
  <c r="U338" i="8"/>
  <c r="V338" i="8" s="1"/>
  <c r="U337" i="8"/>
  <c r="V337" i="8" s="1"/>
  <c r="U336" i="8"/>
  <c r="V336" i="8" s="1"/>
  <c r="U335" i="8"/>
  <c r="V335" i="8" s="1"/>
  <c r="U334" i="8"/>
  <c r="V334" i="8" s="1"/>
  <c r="U333" i="8"/>
  <c r="V333" i="8" s="1"/>
  <c r="U332" i="8"/>
  <c r="V332" i="8" s="1"/>
  <c r="U331" i="8"/>
  <c r="V331" i="8" s="1"/>
  <c r="U330" i="8"/>
  <c r="V330" i="8" s="1"/>
  <c r="U329" i="8"/>
  <c r="V329" i="8" s="1"/>
  <c r="U328" i="8"/>
  <c r="V328" i="8" s="1"/>
  <c r="U327" i="8"/>
  <c r="V327" i="8" s="1"/>
  <c r="U326" i="8"/>
  <c r="V326" i="8" s="1"/>
  <c r="U325" i="8"/>
  <c r="V325" i="8" s="1"/>
  <c r="U324" i="8"/>
  <c r="V324" i="8" s="1"/>
  <c r="U323" i="8"/>
  <c r="V323" i="8" s="1"/>
  <c r="U322" i="8"/>
  <c r="V322" i="8" s="1"/>
  <c r="U321" i="8"/>
  <c r="V321" i="8" s="1"/>
  <c r="U320" i="8"/>
  <c r="V320" i="8" s="1"/>
  <c r="U319" i="8"/>
  <c r="V319" i="8" s="1"/>
  <c r="U318" i="8"/>
  <c r="V318" i="8" s="1"/>
  <c r="U317" i="8"/>
  <c r="V317" i="8" s="1"/>
  <c r="U316" i="8"/>
  <c r="V316" i="8" s="1"/>
  <c r="U315" i="8"/>
  <c r="V315" i="8" s="1"/>
  <c r="U314" i="8"/>
  <c r="V314" i="8" s="1"/>
  <c r="U313" i="8"/>
  <c r="V313" i="8" s="1"/>
  <c r="U312" i="8"/>
  <c r="V312" i="8" s="1"/>
  <c r="U311" i="8"/>
  <c r="V311" i="8" s="1"/>
  <c r="U310" i="8"/>
  <c r="V310" i="8" s="1"/>
  <c r="U309" i="8"/>
  <c r="V309" i="8" s="1"/>
  <c r="U308" i="8"/>
  <c r="V308" i="8" s="1"/>
  <c r="U307" i="8"/>
  <c r="V307" i="8" s="1"/>
  <c r="U306" i="8"/>
  <c r="V306" i="8" s="1"/>
  <c r="U305" i="8"/>
  <c r="V305" i="8" s="1"/>
  <c r="U304" i="8"/>
  <c r="V304" i="8" s="1"/>
  <c r="U303" i="8"/>
  <c r="V303" i="8" s="1"/>
  <c r="U302" i="8"/>
  <c r="V302" i="8" s="1"/>
  <c r="U301" i="8"/>
  <c r="V301" i="8" s="1"/>
  <c r="U300" i="8"/>
  <c r="V300" i="8" s="1"/>
  <c r="U299" i="8"/>
  <c r="V299" i="8" s="1"/>
  <c r="U298" i="8"/>
  <c r="V298" i="8" s="1"/>
  <c r="U297" i="8"/>
  <c r="V297" i="8" s="1"/>
  <c r="U296" i="8"/>
  <c r="V296" i="8" s="1"/>
  <c r="U295" i="8"/>
  <c r="V295" i="8" s="1"/>
  <c r="U294" i="8"/>
  <c r="V294" i="8" s="1"/>
  <c r="U293" i="8"/>
  <c r="V293" i="8" s="1"/>
  <c r="U292" i="8"/>
  <c r="V292" i="8" s="1"/>
  <c r="U291" i="8"/>
  <c r="V291" i="8" s="1"/>
  <c r="U290" i="8"/>
  <c r="V290" i="8" s="1"/>
  <c r="U289" i="8"/>
  <c r="V289" i="8" s="1"/>
  <c r="U288" i="8"/>
  <c r="V288" i="8" s="1"/>
  <c r="U287" i="8"/>
  <c r="V287" i="8" s="1"/>
  <c r="U286" i="8"/>
  <c r="V286" i="8" s="1"/>
  <c r="U285" i="8"/>
  <c r="V285" i="8" s="1"/>
  <c r="U284" i="8"/>
  <c r="V284" i="8" s="1"/>
  <c r="U283" i="8"/>
  <c r="V283" i="8" s="1"/>
  <c r="U282" i="8"/>
  <c r="V282" i="8" s="1"/>
  <c r="U281" i="8"/>
  <c r="V281" i="8" s="1"/>
  <c r="U280" i="8"/>
  <c r="V280" i="8" s="1"/>
  <c r="U279" i="8"/>
  <c r="V279" i="8" s="1"/>
  <c r="U278" i="8"/>
  <c r="V278" i="8" s="1"/>
  <c r="U277" i="8"/>
  <c r="V277" i="8" s="1"/>
  <c r="U276" i="8"/>
  <c r="V276" i="8" s="1"/>
  <c r="U275" i="8"/>
  <c r="V275" i="8" s="1"/>
  <c r="U274" i="8"/>
  <c r="V274" i="8" s="1"/>
  <c r="U273" i="8"/>
  <c r="V273" i="8" s="1"/>
  <c r="U272" i="8"/>
  <c r="V272" i="8" s="1"/>
  <c r="U271" i="8"/>
  <c r="V271" i="8" s="1"/>
  <c r="U270" i="8"/>
  <c r="V270" i="8" s="1"/>
  <c r="U269" i="8"/>
  <c r="V269" i="8" s="1"/>
  <c r="U268" i="8"/>
  <c r="V268" i="8" s="1"/>
  <c r="U267" i="8"/>
  <c r="V267" i="8" s="1"/>
  <c r="U266" i="8"/>
  <c r="V266" i="8" s="1"/>
  <c r="U265" i="8"/>
  <c r="V265" i="8" s="1"/>
  <c r="U264" i="8"/>
  <c r="V264" i="8" s="1"/>
  <c r="U263" i="8"/>
  <c r="V263" i="8" s="1"/>
  <c r="U262" i="8"/>
  <c r="V262" i="8" s="1"/>
  <c r="U261" i="8"/>
  <c r="V261" i="8" s="1"/>
  <c r="U260" i="8"/>
  <c r="V260" i="8" s="1"/>
  <c r="U259" i="8"/>
  <c r="V259" i="8" s="1"/>
  <c r="U258" i="8"/>
  <c r="V258" i="8" s="1"/>
  <c r="U257" i="8"/>
  <c r="V257" i="8" s="1"/>
  <c r="U256" i="8"/>
  <c r="V256" i="8" s="1"/>
  <c r="U255" i="8"/>
  <c r="V255" i="8" s="1"/>
  <c r="U254" i="8"/>
  <c r="V254" i="8" s="1"/>
  <c r="U253" i="8"/>
  <c r="V253" i="8" s="1"/>
  <c r="U252" i="8"/>
  <c r="V252" i="8" s="1"/>
  <c r="U251" i="8"/>
  <c r="V251" i="8" s="1"/>
  <c r="U250" i="8"/>
  <c r="V250" i="8" s="1"/>
  <c r="U249" i="8"/>
  <c r="V249" i="8" s="1"/>
  <c r="U248" i="8"/>
  <c r="V248" i="8" s="1"/>
  <c r="U247" i="8"/>
  <c r="V247" i="8" s="1"/>
  <c r="U246" i="8"/>
  <c r="V246" i="8" s="1"/>
  <c r="U245" i="8"/>
  <c r="U244" i="8"/>
  <c r="V244" i="8" s="1"/>
  <c r="U243" i="8"/>
  <c r="U242" i="8"/>
  <c r="V242" i="8" s="1"/>
  <c r="U241" i="8"/>
  <c r="U240" i="8"/>
  <c r="V240" i="8" s="1"/>
  <c r="U239" i="8"/>
  <c r="U238" i="8"/>
  <c r="V238" i="8" s="1"/>
  <c r="U237" i="8"/>
  <c r="U236" i="8"/>
  <c r="V236" i="8" s="1"/>
  <c r="U235" i="8"/>
  <c r="U234" i="8"/>
  <c r="V234" i="8" s="1"/>
  <c r="U233" i="8"/>
  <c r="U232" i="8"/>
  <c r="V232" i="8" s="1"/>
  <c r="U231" i="8"/>
  <c r="U230" i="8"/>
  <c r="V230" i="8" s="1"/>
  <c r="U229" i="8"/>
  <c r="U228" i="8"/>
  <c r="V228" i="8" s="1"/>
  <c r="U227" i="8"/>
  <c r="U226" i="8"/>
  <c r="V226" i="8" s="1"/>
  <c r="U225" i="8"/>
  <c r="U224" i="8"/>
  <c r="V224" i="8" s="1"/>
  <c r="U223" i="8"/>
  <c r="U222" i="8"/>
  <c r="V222" i="8" s="1"/>
  <c r="U221" i="8"/>
  <c r="U220" i="8"/>
  <c r="V220" i="8" s="1"/>
  <c r="U219" i="8"/>
  <c r="U218" i="8"/>
  <c r="V218" i="8" s="1"/>
  <c r="U217" i="8"/>
  <c r="U216" i="8"/>
  <c r="V216" i="8" s="1"/>
  <c r="U215" i="8"/>
  <c r="U214" i="8"/>
  <c r="V214" i="8" s="1"/>
  <c r="U213" i="8"/>
  <c r="U212" i="8"/>
  <c r="V212" i="8" s="1"/>
  <c r="U211" i="8"/>
  <c r="U210" i="8"/>
  <c r="V210" i="8" s="1"/>
  <c r="U209" i="8"/>
  <c r="U208" i="8"/>
  <c r="V208" i="8" s="1"/>
  <c r="U207" i="8"/>
  <c r="U206" i="8"/>
  <c r="V206" i="8" s="1"/>
  <c r="U205" i="8"/>
  <c r="U204" i="8"/>
  <c r="V204" i="8" s="1"/>
  <c r="U203" i="8"/>
  <c r="U202" i="8"/>
  <c r="V202" i="8" s="1"/>
  <c r="U201" i="8"/>
  <c r="U200" i="8"/>
  <c r="V200" i="8" s="1"/>
  <c r="U199" i="8"/>
  <c r="U198" i="8"/>
  <c r="V198" i="8" s="1"/>
  <c r="U197" i="8"/>
  <c r="U196" i="8"/>
  <c r="V196" i="8" s="1"/>
  <c r="U195" i="8"/>
  <c r="U194" i="8"/>
  <c r="V194" i="8" s="1"/>
  <c r="U193" i="8"/>
  <c r="U192" i="8"/>
  <c r="V192" i="8" s="1"/>
  <c r="U191" i="8"/>
  <c r="U190" i="8"/>
  <c r="V190" i="8" s="1"/>
  <c r="U189" i="8"/>
  <c r="U188" i="8"/>
  <c r="V188" i="8" s="1"/>
  <c r="U187" i="8"/>
  <c r="U186" i="8"/>
  <c r="V186" i="8" s="1"/>
  <c r="U185" i="8"/>
  <c r="U184" i="8"/>
  <c r="V184" i="8" s="1"/>
  <c r="U183" i="8"/>
  <c r="U182" i="8"/>
  <c r="V182" i="8" s="1"/>
  <c r="U181" i="8"/>
  <c r="U180" i="8"/>
  <c r="V180" i="8" s="1"/>
  <c r="U179" i="8"/>
  <c r="U178" i="8"/>
  <c r="V178" i="8" s="1"/>
  <c r="U177" i="8"/>
  <c r="U176" i="8"/>
  <c r="V176" i="8" s="1"/>
  <c r="U175" i="8"/>
  <c r="U174" i="8"/>
  <c r="V174" i="8" s="1"/>
  <c r="U173" i="8"/>
  <c r="U172" i="8"/>
  <c r="V172" i="8" s="1"/>
  <c r="U171" i="8"/>
  <c r="U170" i="8"/>
  <c r="V170" i="8" s="1"/>
  <c r="U169" i="8"/>
  <c r="U168" i="8"/>
  <c r="V168" i="8" s="1"/>
  <c r="U167" i="8"/>
  <c r="U166" i="8"/>
  <c r="V166" i="8" s="1"/>
  <c r="U165" i="8"/>
  <c r="U164" i="8"/>
  <c r="V164" i="8" s="1"/>
  <c r="U163" i="8"/>
  <c r="U162" i="8"/>
  <c r="V162" i="8" s="1"/>
  <c r="U161" i="8"/>
  <c r="U160" i="8"/>
  <c r="V160" i="8" s="1"/>
  <c r="U159" i="8"/>
  <c r="U158" i="8"/>
  <c r="V158" i="8" s="1"/>
  <c r="U157" i="8"/>
  <c r="U156" i="8"/>
  <c r="V156" i="8" s="1"/>
  <c r="U155" i="8"/>
  <c r="U154" i="8"/>
  <c r="V154" i="8" s="1"/>
  <c r="U153" i="8"/>
  <c r="U152" i="8"/>
  <c r="V152" i="8" s="1"/>
  <c r="U151" i="8"/>
  <c r="U150" i="8"/>
  <c r="V150" i="8" s="1"/>
  <c r="U149" i="8"/>
  <c r="U148" i="8"/>
  <c r="V148" i="8" s="1"/>
  <c r="U147" i="8"/>
  <c r="U146" i="8"/>
  <c r="V146" i="8" s="1"/>
  <c r="U145" i="8"/>
  <c r="U144" i="8"/>
  <c r="V144" i="8" s="1"/>
  <c r="U143" i="8"/>
  <c r="U142" i="8"/>
  <c r="V142" i="8" s="1"/>
  <c r="U141" i="8"/>
  <c r="U140" i="8"/>
  <c r="V140" i="8" s="1"/>
  <c r="U139" i="8"/>
  <c r="U138" i="8"/>
  <c r="V138" i="8" s="1"/>
  <c r="U137" i="8"/>
  <c r="U136" i="8"/>
  <c r="V136" i="8" s="1"/>
  <c r="U135" i="8"/>
  <c r="U134" i="8"/>
  <c r="V134" i="8" s="1"/>
  <c r="U133" i="8"/>
  <c r="U132" i="8"/>
  <c r="V132" i="8" s="1"/>
  <c r="U131" i="8"/>
  <c r="U130" i="8"/>
  <c r="V130" i="8" s="1"/>
  <c r="U129" i="8"/>
  <c r="U128" i="8"/>
  <c r="V128" i="8" s="1"/>
  <c r="U127" i="8"/>
  <c r="U126" i="8"/>
  <c r="V126" i="8" s="1"/>
  <c r="U125" i="8"/>
  <c r="U124" i="8"/>
  <c r="V124" i="8" s="1"/>
  <c r="U123" i="8"/>
  <c r="U122" i="8"/>
  <c r="V122" i="8" s="1"/>
  <c r="U121" i="8"/>
  <c r="U120" i="8"/>
  <c r="V120" i="8" s="1"/>
  <c r="U119" i="8"/>
  <c r="U118" i="8"/>
  <c r="V118" i="8" s="1"/>
  <c r="U117" i="8"/>
  <c r="U116" i="8"/>
  <c r="V116" i="8" s="1"/>
  <c r="U115" i="8"/>
  <c r="U114" i="8"/>
  <c r="V114" i="8" s="1"/>
  <c r="U113" i="8"/>
  <c r="U112" i="8"/>
  <c r="V112" i="8" s="1"/>
  <c r="U111" i="8"/>
  <c r="U110" i="8"/>
  <c r="V110" i="8" s="1"/>
  <c r="U109" i="8"/>
  <c r="U108" i="8"/>
  <c r="V108" i="8" s="1"/>
  <c r="U107" i="8"/>
  <c r="U106" i="8"/>
  <c r="V106" i="8" s="1"/>
  <c r="U105" i="8"/>
  <c r="U104" i="8"/>
  <c r="V104" i="8" s="1"/>
  <c r="U103" i="8"/>
  <c r="U102" i="8"/>
  <c r="V102" i="8" s="1"/>
  <c r="U101" i="8"/>
  <c r="U100" i="8"/>
  <c r="V100" i="8" s="1"/>
  <c r="U99" i="8"/>
  <c r="U98" i="8"/>
  <c r="V98" i="8" s="1"/>
  <c r="U97" i="8"/>
  <c r="U96" i="8"/>
  <c r="V96" i="8" s="1"/>
  <c r="U95" i="8"/>
  <c r="U94" i="8"/>
  <c r="V94" i="8" s="1"/>
  <c r="U93" i="8"/>
  <c r="U92" i="8"/>
  <c r="V92" i="8" s="1"/>
  <c r="U91" i="8"/>
  <c r="U90" i="8"/>
  <c r="V90" i="8" s="1"/>
  <c r="U89" i="8"/>
  <c r="U88" i="8"/>
  <c r="V88" i="8" s="1"/>
  <c r="U87" i="8"/>
  <c r="U86" i="8"/>
  <c r="V86" i="8" s="1"/>
  <c r="U85" i="8"/>
  <c r="U84" i="8"/>
  <c r="V84" i="8" s="1"/>
  <c r="U83" i="8"/>
  <c r="U82" i="8"/>
  <c r="V82" i="8" s="1"/>
  <c r="U81" i="8"/>
  <c r="U80" i="8"/>
  <c r="V80" i="8" s="1"/>
  <c r="U79" i="8"/>
  <c r="U78" i="8"/>
  <c r="V78" i="8" s="1"/>
  <c r="U77" i="8"/>
  <c r="U76" i="8"/>
  <c r="V76" i="8" s="1"/>
  <c r="U75" i="8"/>
  <c r="U74" i="8"/>
  <c r="V74" i="8" s="1"/>
  <c r="U73" i="8"/>
  <c r="U72" i="8"/>
  <c r="V72" i="8" s="1"/>
  <c r="U71" i="8"/>
  <c r="U70" i="8"/>
  <c r="V70" i="8" s="1"/>
  <c r="U69" i="8"/>
  <c r="U68" i="8"/>
  <c r="V68" i="8" s="1"/>
  <c r="U67" i="8"/>
  <c r="U66" i="8"/>
  <c r="V66" i="8" s="1"/>
  <c r="U65" i="8"/>
  <c r="U64" i="8"/>
  <c r="V64" i="8" s="1"/>
  <c r="U63" i="8"/>
  <c r="U62" i="8"/>
  <c r="V62" i="8" s="1"/>
  <c r="U61" i="8"/>
  <c r="U60" i="8"/>
  <c r="V60" i="8" s="1"/>
  <c r="U59" i="8"/>
  <c r="U58" i="8"/>
  <c r="V58" i="8" s="1"/>
  <c r="U57" i="8"/>
  <c r="U56" i="8"/>
  <c r="V56" i="8" s="1"/>
  <c r="U55" i="8"/>
  <c r="U54" i="8"/>
  <c r="V54" i="8" s="1"/>
  <c r="U53" i="8"/>
  <c r="U52" i="8"/>
  <c r="V52" i="8" s="1"/>
  <c r="U51" i="8"/>
  <c r="U50" i="8"/>
  <c r="V50" i="8" s="1"/>
  <c r="U49" i="8"/>
  <c r="U48" i="8"/>
  <c r="V48" i="8" s="1"/>
  <c r="U47" i="8"/>
  <c r="U46" i="8"/>
  <c r="V46" i="8" s="1"/>
  <c r="U45" i="8"/>
  <c r="U44" i="8"/>
  <c r="V44" i="8" s="1"/>
  <c r="U43" i="8"/>
  <c r="U42" i="8"/>
  <c r="V42" i="8" s="1"/>
  <c r="U41" i="8"/>
  <c r="U40" i="8"/>
  <c r="V40" i="8" s="1"/>
  <c r="U39" i="8"/>
  <c r="U38" i="8"/>
  <c r="V38" i="8" s="1"/>
  <c r="U37" i="8"/>
  <c r="U36" i="8"/>
  <c r="V36" i="8" s="1"/>
  <c r="U35" i="8"/>
  <c r="U34" i="8"/>
  <c r="V34" i="8" s="1"/>
  <c r="U33" i="8"/>
  <c r="U32" i="8"/>
  <c r="V32" i="8" s="1"/>
  <c r="U31" i="8"/>
  <c r="U30" i="8"/>
  <c r="V30" i="8" s="1"/>
  <c r="U29" i="8"/>
  <c r="U28" i="8"/>
  <c r="V28" i="8" s="1"/>
  <c r="U26" i="8"/>
  <c r="U25" i="8"/>
  <c r="V25" i="8" s="1"/>
  <c r="U24" i="8"/>
  <c r="U23" i="8"/>
  <c r="V23" i="8" s="1"/>
  <c r="U22" i="8"/>
  <c r="U21" i="8"/>
  <c r="V21" i="8" s="1"/>
  <c r="U20" i="8"/>
  <c r="U19" i="8"/>
  <c r="V19" i="8" s="1"/>
  <c r="U18" i="8"/>
  <c r="U17" i="8"/>
  <c r="V17" i="8" s="1"/>
  <c r="U16" i="8"/>
  <c r="U15" i="8"/>
  <c r="V15" i="8" s="1"/>
  <c r="U14" i="8"/>
  <c r="U13" i="8"/>
  <c r="V13" i="8" s="1"/>
  <c r="U12" i="8"/>
  <c r="X172" i="2"/>
  <c r="S162" i="2"/>
  <c r="BB68" i="3"/>
  <c r="BB26" i="3"/>
  <c r="BB108" i="3"/>
  <c r="EC39" i="3"/>
  <c r="EC38" i="3"/>
  <c r="EC37" i="3"/>
  <c r="EC36" i="3"/>
  <c r="EC35" i="3"/>
  <c r="EC34" i="3"/>
  <c r="EC33" i="3"/>
  <c r="EC32" i="3"/>
  <c r="EC31" i="3"/>
  <c r="EC30" i="3"/>
  <c r="EC29" i="3"/>
  <c r="EC28" i="3"/>
  <c r="EC27" i="3"/>
  <c r="ED27" i="3" s="1"/>
  <c r="EC26" i="3"/>
  <c r="ED26" i="3" s="1"/>
  <c r="EC25" i="3"/>
  <c r="EC24" i="3"/>
  <c r="EC23" i="3"/>
  <c r="EC22" i="3"/>
  <c r="EC21" i="3"/>
  <c r="EC20" i="3"/>
  <c r="EC19" i="3"/>
  <c r="ED19" i="3" s="1"/>
  <c r="EC18" i="3"/>
  <c r="EC17" i="3"/>
  <c r="EC16" i="3"/>
  <c r="EC14" i="3"/>
  <c r="EC13" i="3"/>
  <c r="EC12" i="3"/>
  <c r="EC11" i="3"/>
  <c r="EC10" i="3"/>
  <c r="ED10" i="3" s="1"/>
  <c r="EC9" i="3"/>
  <c r="ED9" i="3" s="1"/>
  <c r="EC8" i="3"/>
  <c r="EC7" i="3"/>
  <c r="B22" i="11" s="1"/>
  <c r="EC6" i="3"/>
  <c r="EC5" i="3"/>
  <c r="S34" i="11"/>
  <c r="N3" i="11"/>
  <c r="B6" i="11"/>
  <c r="M3" i="11" s="1"/>
  <c r="N9" i="11"/>
  <c r="N8" i="11"/>
  <c r="N7" i="11"/>
  <c r="N5" i="11"/>
  <c r="B13" i="11"/>
  <c r="B12" i="11"/>
  <c r="M9" i="11" s="1"/>
  <c r="B11" i="11"/>
  <c r="M8" i="11" s="1"/>
  <c r="B8" i="11"/>
  <c r="M5" i="11" s="1"/>
  <c r="B5" i="11"/>
  <c r="B4" i="11" s="1"/>
  <c r="N6" i="11"/>
  <c r="B9" i="11"/>
  <c r="M6" i="11" s="1"/>
  <c r="S5" i="11"/>
  <c r="S27" i="11" s="1"/>
  <c r="F279" i="2"/>
  <c r="F276" i="2"/>
  <c r="FC3" i="3"/>
  <c r="EY31" i="3"/>
  <c r="EY32" i="3" s="1"/>
  <c r="EY33" i="3" s="1"/>
  <c r="EY28" i="3"/>
  <c r="EY29" i="3" s="1"/>
  <c r="EY22" i="3"/>
  <c r="EY23" i="3" s="1"/>
  <c r="EY24" i="3" s="1"/>
  <c r="EY25" i="3" s="1"/>
  <c r="EY26" i="3" s="1"/>
  <c r="EY15" i="3"/>
  <c r="EY16" i="3" s="1"/>
  <c r="EY17" i="3" s="1"/>
  <c r="EY18" i="3" s="1"/>
  <c r="EY19" i="3" s="1"/>
  <c r="EY20" i="3" s="1"/>
  <c r="EY7" i="3"/>
  <c r="EY8" i="3" s="1"/>
  <c r="EY9" i="3" s="1"/>
  <c r="EY10" i="3" s="1"/>
  <c r="EY11" i="3" s="1"/>
  <c r="EY12" i="3" s="1"/>
  <c r="EY13" i="3" s="1"/>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EK25" i="3"/>
  <c r="C194" i="2" s="1"/>
  <c r="EK24" i="3"/>
  <c r="C193" i="2" s="1"/>
  <c r="L139" i="4"/>
  <c r="L136" i="4"/>
  <c r="L132" i="4"/>
  <c r="R122" i="4"/>
  <c r="R116" i="4"/>
  <c r="R104" i="4"/>
  <c r="R96" i="4"/>
  <c r="R79" i="4"/>
  <c r="R85" i="4"/>
  <c r="R77" i="4"/>
  <c r="R92" i="4"/>
  <c r="R90" i="4"/>
  <c r="R75" i="4"/>
  <c r="R71" i="4"/>
  <c r="R61" i="4"/>
  <c r="R65" i="4"/>
  <c r="R23" i="4"/>
  <c r="R21" i="4"/>
  <c r="R6" i="4"/>
  <c r="Q44" i="4"/>
  <c r="R44" i="4" s="1"/>
  <c r="Q8" i="4"/>
  <c r="R8" i="4" s="1"/>
  <c r="P83" i="4"/>
  <c r="Q59" i="4"/>
  <c r="R59" i="4" s="1"/>
  <c r="P63" i="4"/>
  <c r="P65" i="4"/>
  <c r="P104" i="4"/>
  <c r="P25" i="4"/>
  <c r="P87" i="4"/>
  <c r="P120" i="4"/>
  <c r="P100" i="4"/>
  <c r="P116" i="4"/>
  <c r="P21" i="4"/>
  <c r="AJ11" i="3"/>
  <c r="N81" i="4"/>
  <c r="N90" i="4"/>
  <c r="N71" i="4"/>
  <c r="K294" i="2"/>
  <c r="BC95" i="3"/>
  <c r="BC96" i="3"/>
  <c r="BC97" i="3"/>
  <c r="BC98" i="3"/>
  <c r="BC99" i="3"/>
  <c r="BC100" i="3"/>
  <c r="BC101" i="3"/>
  <c r="BC102" i="3"/>
  <c r="BC103" i="3"/>
  <c r="F294" i="2"/>
  <c r="F293" i="2"/>
  <c r="G294" i="2"/>
  <c r="G293" i="2"/>
  <c r="B8" i="8"/>
  <c r="C8" i="8" s="1"/>
  <c r="D8" i="8" s="1"/>
  <c r="E8" i="8" s="1"/>
  <c r="F8" i="8" s="1"/>
  <c r="G8" i="8" s="1"/>
  <c r="H8" i="8" s="1"/>
  <c r="I8" i="8" s="1"/>
  <c r="J8" i="8" s="1"/>
  <c r="K8" i="8" s="1"/>
  <c r="L8" i="8" s="1"/>
  <c r="M8" i="8" s="1"/>
  <c r="N8" i="8" s="1"/>
  <c r="O8" i="8" s="1"/>
  <c r="P8" i="8" s="1"/>
  <c r="Q8" i="8" s="1"/>
  <c r="R8" i="8" s="1"/>
  <c r="S8" i="8" s="1"/>
  <c r="T8" i="8" s="1"/>
  <c r="U8" i="8" s="1"/>
  <c r="V8" i="8" s="1"/>
  <c r="W8" i="8" s="1"/>
  <c r="V27" i="8"/>
  <c r="W415" i="8"/>
  <c r="W414" i="8"/>
  <c r="W413" i="8"/>
  <c r="W412" i="8"/>
  <c r="W411" i="8"/>
  <c r="W410" i="8"/>
  <c r="W409" i="8"/>
  <c r="W408" i="8"/>
  <c r="W407" i="8"/>
  <c r="W406" i="8"/>
  <c r="W405" i="8"/>
  <c r="W404" i="8"/>
  <c r="W403" i="8"/>
  <c r="W402" i="8"/>
  <c r="W401" i="8"/>
  <c r="W400" i="8"/>
  <c r="W399" i="8"/>
  <c r="W398" i="8"/>
  <c r="W397" i="8"/>
  <c r="W396" i="8"/>
  <c r="W395" i="8"/>
  <c r="W394" i="8"/>
  <c r="W393" i="8"/>
  <c r="W392" i="8"/>
  <c r="W391" i="8"/>
  <c r="W390" i="8"/>
  <c r="W389" i="8"/>
  <c r="W388" i="8"/>
  <c r="W387" i="8"/>
  <c r="W386" i="8"/>
  <c r="W385" i="8"/>
  <c r="W384" i="8"/>
  <c r="W383" i="8"/>
  <c r="W382" i="8"/>
  <c r="W381" i="8"/>
  <c r="W380" i="8"/>
  <c r="W379" i="8"/>
  <c r="W378" i="8"/>
  <c r="W377" i="8"/>
  <c r="W376" i="8"/>
  <c r="W374" i="8"/>
  <c r="W373" i="8"/>
  <c r="W372" i="8"/>
  <c r="W371" i="8"/>
  <c r="W370" i="8"/>
  <c r="W369" i="8"/>
  <c r="W368" i="8"/>
  <c r="W367" i="8"/>
  <c r="W366" i="8"/>
  <c r="W365" i="8"/>
  <c r="W364" i="8"/>
  <c r="W363" i="8"/>
  <c r="W362" i="8"/>
  <c r="W361" i="8"/>
  <c r="W360" i="8"/>
  <c r="W359" i="8"/>
  <c r="W358" i="8"/>
  <c r="W357" i="8"/>
  <c r="W356" i="8"/>
  <c r="W355" i="8"/>
  <c r="W354" i="8"/>
  <c r="W353" i="8"/>
  <c r="W352" i="8"/>
  <c r="W351" i="8"/>
  <c r="W350" i="8"/>
  <c r="W349" i="8"/>
  <c r="W348" i="8"/>
  <c r="W347" i="8"/>
  <c r="W346" i="8"/>
  <c r="W345" i="8"/>
  <c r="W344" i="8"/>
  <c r="W343" i="8"/>
  <c r="W342" i="8"/>
  <c r="W341" i="8"/>
  <c r="W340" i="8"/>
  <c r="W339" i="8"/>
  <c r="W338" i="8"/>
  <c r="W337" i="8"/>
  <c r="W336" i="8"/>
  <c r="W335" i="8"/>
  <c r="W334" i="8"/>
  <c r="W333" i="8"/>
  <c r="W332" i="8"/>
  <c r="W331" i="8"/>
  <c r="W330" i="8"/>
  <c r="W329" i="8"/>
  <c r="W328" i="8"/>
  <c r="W327" i="8"/>
  <c r="W326" i="8"/>
  <c r="W325" i="8"/>
  <c r="W324" i="8"/>
  <c r="W323" i="8"/>
  <c r="W322" i="8"/>
  <c r="W321" i="8"/>
  <c r="W320" i="8"/>
  <c r="W319" i="8"/>
  <c r="W318" i="8"/>
  <c r="W317" i="8"/>
  <c r="W316" i="8"/>
  <c r="W314" i="8"/>
  <c r="W313" i="8"/>
  <c r="W312" i="8"/>
  <c r="W311" i="8"/>
  <c r="W310" i="8"/>
  <c r="W309" i="8"/>
  <c r="W308" i="8"/>
  <c r="W307" i="8"/>
  <c r="W306" i="8"/>
  <c r="W305" i="8"/>
  <c r="W304" i="8"/>
  <c r="W303" i="8"/>
  <c r="W302" i="8"/>
  <c r="W301" i="8"/>
  <c r="W300" i="8"/>
  <c r="W299" i="8"/>
  <c r="W298" i="8"/>
  <c r="W297" i="8"/>
  <c r="W296" i="8"/>
  <c r="W295" i="8"/>
  <c r="W294" i="8"/>
  <c r="W293" i="8"/>
  <c r="W292" i="8"/>
  <c r="W291" i="8"/>
  <c r="W289" i="8"/>
  <c r="W288" i="8"/>
  <c r="W287" i="8"/>
  <c r="W286" i="8"/>
  <c r="W285" i="8"/>
  <c r="W284" i="8"/>
  <c r="W283" i="8"/>
  <c r="W282" i="8"/>
  <c r="W281" i="8"/>
  <c r="W280" i="8"/>
  <c r="W279" i="8"/>
  <c r="W278" i="8"/>
  <c r="W277" i="8"/>
  <c r="W276" i="8"/>
  <c r="W275" i="8"/>
  <c r="W274" i="8"/>
  <c r="W273" i="8"/>
  <c r="W272" i="8"/>
  <c r="W271" i="8"/>
  <c r="W270" i="8"/>
  <c r="W269" i="8"/>
  <c r="W268" i="8"/>
  <c r="W267" i="8"/>
  <c r="W266" i="8"/>
  <c r="W265" i="8"/>
  <c r="W264" i="8"/>
  <c r="W263" i="8"/>
  <c r="W262" i="8"/>
  <c r="W261" i="8"/>
  <c r="W260" i="8"/>
  <c r="W259" i="8"/>
  <c r="W258" i="8"/>
  <c r="W256" i="8"/>
  <c r="W255" i="8"/>
  <c r="W254" i="8"/>
  <c r="W253" i="8"/>
  <c r="W252" i="8"/>
  <c r="W251" i="8"/>
  <c r="W250" i="8"/>
  <c r="W249" i="8"/>
  <c r="W248" i="8"/>
  <c r="W247" i="8"/>
  <c r="W246" i="8"/>
  <c r="W245" i="8"/>
  <c r="W244" i="8"/>
  <c r="W243" i="8"/>
  <c r="W242" i="8"/>
  <c r="W241" i="8"/>
  <c r="W240" i="8"/>
  <c r="W239" i="8"/>
  <c r="W238" i="8"/>
  <c r="W237" i="8"/>
  <c r="W236" i="8"/>
  <c r="W235" i="8"/>
  <c r="W234" i="8"/>
  <c r="W233" i="8"/>
  <c r="W232" i="8"/>
  <c r="W231" i="8"/>
  <c r="W230" i="8"/>
  <c r="W229" i="8"/>
  <c r="W228" i="8"/>
  <c r="W227" i="8"/>
  <c r="W226" i="8"/>
  <c r="W225" i="8"/>
  <c r="W224" i="8"/>
  <c r="W223" i="8"/>
  <c r="W222" i="8"/>
  <c r="W221" i="8"/>
  <c r="W220" i="8"/>
  <c r="W219" i="8"/>
  <c r="W218" i="8"/>
  <c r="W217" i="8"/>
  <c r="W216" i="8"/>
  <c r="W215" i="8"/>
  <c r="W214" i="8"/>
  <c r="W213" i="8"/>
  <c r="W212" i="8"/>
  <c r="W211" i="8"/>
  <c r="W210" i="8"/>
  <c r="W209" i="8"/>
  <c r="W208" i="8"/>
  <c r="W207" i="8"/>
  <c r="W206" i="8"/>
  <c r="W205" i="8"/>
  <c r="W203" i="8"/>
  <c r="W202" i="8"/>
  <c r="W201" i="8"/>
  <c r="W200" i="8"/>
  <c r="W199" i="8"/>
  <c r="W198" i="8"/>
  <c r="W197" i="8"/>
  <c r="W196" i="8"/>
  <c r="W195" i="8"/>
  <c r="W194" i="8"/>
  <c r="W193" i="8"/>
  <c r="W192" i="8"/>
  <c r="W191" i="8"/>
  <c r="W190" i="8"/>
  <c r="W189" i="8"/>
  <c r="W188" i="8"/>
  <c r="W187" i="8"/>
  <c r="W186" i="8"/>
  <c r="W185" i="8"/>
  <c r="W184" i="8"/>
  <c r="W183" i="8"/>
  <c r="W182" i="8"/>
  <c r="W181" i="8"/>
  <c r="W180" i="8"/>
  <c r="W179" i="8"/>
  <c r="W178" i="8"/>
  <c r="W177" i="8"/>
  <c r="W176" i="8"/>
  <c r="W175" i="8"/>
  <c r="W174" i="8"/>
  <c r="W173" i="8"/>
  <c r="W172" i="8"/>
  <c r="W171" i="8"/>
  <c r="W170" i="8"/>
  <c r="W169" i="8"/>
  <c r="W168" i="8"/>
  <c r="W167" i="8"/>
  <c r="W166" i="8"/>
  <c r="W165" i="8"/>
  <c r="W164" i="8"/>
  <c r="W163" i="8"/>
  <c r="W162" i="8"/>
  <c r="W161" i="8"/>
  <c r="W160" i="8"/>
  <c r="W159" i="8"/>
  <c r="W157" i="8"/>
  <c r="W156" i="8"/>
  <c r="W155" i="8"/>
  <c r="W154" i="8"/>
  <c r="W153" i="8"/>
  <c r="W152" i="8"/>
  <c r="W151" i="8"/>
  <c r="W150" i="8"/>
  <c r="W149" i="8"/>
  <c r="W148" i="8"/>
  <c r="W147" i="8"/>
  <c r="W146" i="8"/>
  <c r="W144" i="8"/>
  <c r="W143" i="8"/>
  <c r="W142" i="8"/>
  <c r="W141" i="8"/>
  <c r="W140" i="8"/>
  <c r="W139" i="8"/>
  <c r="W138" i="8"/>
  <c r="W137" i="8"/>
  <c r="W136" i="8"/>
  <c r="W135" i="8"/>
  <c r="W134" i="8"/>
  <c r="W133" i="8"/>
  <c r="W132" i="8"/>
  <c r="W131" i="8"/>
  <c r="W130" i="8"/>
  <c r="W129" i="8"/>
  <c r="W128" i="8"/>
  <c r="W127" i="8"/>
  <c r="W126" i="8"/>
  <c r="W125" i="8"/>
  <c r="W124" i="8"/>
  <c r="W123" i="8"/>
  <c r="W122" i="8"/>
  <c r="W121" i="8"/>
  <c r="W120" i="8"/>
  <c r="W119" i="8"/>
  <c r="W118" i="8"/>
  <c r="W117" i="8"/>
  <c r="W116" i="8"/>
  <c r="W115" i="8"/>
  <c r="W114" i="8"/>
  <c r="W113" i="8"/>
  <c r="W112" i="8"/>
  <c r="W111" i="8"/>
  <c r="W110" i="8"/>
  <c r="W109" i="8"/>
  <c r="W108" i="8"/>
  <c r="W107" i="8"/>
  <c r="W106" i="8"/>
  <c r="W105" i="8"/>
  <c r="W104" i="8"/>
  <c r="W103" i="8"/>
  <c r="W101" i="8"/>
  <c r="W100" i="8"/>
  <c r="W99" i="8"/>
  <c r="W98" i="8"/>
  <c r="W97" i="8"/>
  <c r="W96" i="8"/>
  <c r="W95" i="8"/>
  <c r="W94" i="8"/>
  <c r="W93" i="8"/>
  <c r="W92" i="8"/>
  <c r="W91" i="8"/>
  <c r="W90" i="8"/>
  <c r="W89" i="8"/>
  <c r="W88" i="8"/>
  <c r="W87" i="8"/>
  <c r="W86" i="8"/>
  <c r="W85" i="8"/>
  <c r="W84" i="8"/>
  <c r="W83" i="8"/>
  <c r="W82" i="8"/>
  <c r="W81" i="8"/>
  <c r="K293" i="2"/>
  <c r="W80" i="8"/>
  <c r="W79" i="8"/>
  <c r="W78" i="8"/>
  <c r="W77" i="8"/>
  <c r="W76" i="8"/>
  <c r="W75" i="8"/>
  <c r="W74" i="8"/>
  <c r="W73" i="8"/>
  <c r="W72" i="8"/>
  <c r="W71" i="8"/>
  <c r="W70" i="8"/>
  <c r="W69" i="8"/>
  <c r="W68" i="8"/>
  <c r="W67" i="8"/>
  <c r="W66" i="8"/>
  <c r="W65" i="8"/>
  <c r="W64" i="8"/>
  <c r="W63" i="8"/>
  <c r="W62" i="8"/>
  <c r="W61" i="8"/>
  <c r="W60" i="8"/>
  <c r="W59" i="8"/>
  <c r="W58" i="8"/>
  <c r="W57" i="8"/>
  <c r="W56" i="8"/>
  <c r="W55" i="8"/>
  <c r="W54" i="8"/>
  <c r="W53" i="8"/>
  <c r="W52" i="8"/>
  <c r="W51" i="8"/>
  <c r="W50" i="8"/>
  <c r="W49" i="8"/>
  <c r="W48" i="8"/>
  <c r="W47" i="8"/>
  <c r="W46" i="8"/>
  <c r="W45" i="8"/>
  <c r="W44" i="8"/>
  <c r="W43" i="8"/>
  <c r="W42" i="8"/>
  <c r="W41" i="8"/>
  <c r="W40" i="8"/>
  <c r="W39" i="8"/>
  <c r="W38" i="8"/>
  <c r="W37" i="8"/>
  <c r="W36" i="8"/>
  <c r="W35" i="8"/>
  <c r="W34" i="8"/>
  <c r="W33" i="8"/>
  <c r="W32" i="8"/>
  <c r="W31" i="8"/>
  <c r="W30" i="8"/>
  <c r="W29" i="8"/>
  <c r="W28" i="8"/>
  <c r="W27" i="8"/>
  <c r="W12" i="8"/>
  <c r="G297" i="2"/>
  <c r="C297" i="2"/>
  <c r="B297" i="2"/>
  <c r="G296" i="2"/>
  <c r="C296" i="2"/>
  <c r="B296" i="2"/>
  <c r="G295" i="2"/>
  <c r="C295" i="2"/>
  <c r="B295" i="2"/>
  <c r="C294" i="2"/>
  <c r="B294" i="2"/>
  <c r="C293" i="2"/>
  <c r="B293" i="2"/>
  <c r="G292" i="2"/>
  <c r="C292" i="2"/>
  <c r="B292" i="2"/>
  <c r="G291" i="2"/>
  <c r="C291" i="2"/>
  <c r="B291" i="2"/>
  <c r="V241" i="2"/>
  <c r="U159" i="2"/>
  <c r="M159" i="2" s="1"/>
  <c r="O159" i="2" s="1"/>
  <c r="U158" i="2"/>
  <c r="M158" i="2" s="1"/>
  <c r="O158" i="2" s="1"/>
  <c r="U157" i="2"/>
  <c r="M157" i="2" s="1"/>
  <c r="O157" i="2" s="1"/>
  <c r="U156" i="2"/>
  <c r="M156" i="2" s="1"/>
  <c r="O156" i="2" s="1"/>
  <c r="U155" i="2"/>
  <c r="M155" i="2" s="1"/>
  <c r="O155" i="2" s="1"/>
  <c r="U154" i="2"/>
  <c r="M154" i="2" s="1"/>
  <c r="O154" i="2" s="1"/>
  <c r="U153" i="2"/>
  <c r="M153" i="2" s="1"/>
  <c r="O153" i="2" s="1"/>
  <c r="U152" i="2"/>
  <c r="M152" i="2" s="1"/>
  <c r="O152" i="2" s="1"/>
  <c r="U151" i="2"/>
  <c r="M151" i="2" s="1"/>
  <c r="O151" i="2" s="1"/>
  <c r="U150" i="2"/>
  <c r="M150" i="2" s="1"/>
  <c r="O150" i="2" s="1"/>
  <c r="U149" i="2"/>
  <c r="M149" i="2" s="1"/>
  <c r="O149" i="2" s="1"/>
  <c r="U148" i="2"/>
  <c r="M148" i="2" s="1"/>
  <c r="O148" i="2" s="1"/>
  <c r="U147" i="2"/>
  <c r="M147" i="2" s="1"/>
  <c r="O147" i="2" s="1"/>
  <c r="U146" i="2"/>
  <c r="M146" i="2" s="1"/>
  <c r="O146" i="2" s="1"/>
  <c r="U145" i="2"/>
  <c r="M145" i="2" s="1"/>
  <c r="O145" i="2" s="1"/>
  <c r="U144" i="2"/>
  <c r="M144" i="2" s="1"/>
  <c r="O144" i="2" s="1"/>
  <c r="U143" i="2"/>
  <c r="M143" i="2" s="1"/>
  <c r="O143" i="2" s="1"/>
  <c r="U142" i="2"/>
  <c r="M142" i="2" s="1"/>
  <c r="O142" i="2" s="1"/>
  <c r="U141" i="2"/>
  <c r="M141" i="2" s="1"/>
  <c r="O141" i="2" s="1"/>
  <c r="U140" i="2"/>
  <c r="U139" i="2"/>
  <c r="M139" i="2" s="1"/>
  <c r="O139" i="2" s="1"/>
  <c r="U138" i="2"/>
  <c r="M138" i="2" s="1"/>
  <c r="O138" i="2" s="1"/>
  <c r="U137" i="2"/>
  <c r="M137" i="2" s="1"/>
  <c r="O137" i="2" s="1"/>
  <c r="U136" i="2"/>
  <c r="M136" i="2" s="1"/>
  <c r="O136" i="2" s="1"/>
  <c r="U135" i="2"/>
  <c r="M135" i="2" s="1"/>
  <c r="O135" i="2" s="1"/>
  <c r="U134" i="2"/>
  <c r="U133" i="2"/>
  <c r="M133" i="2" s="1"/>
  <c r="O133" i="2" s="1"/>
  <c r="U132" i="2"/>
  <c r="U131" i="2"/>
  <c r="M131" i="2" s="1"/>
  <c r="O131" i="2" s="1"/>
  <c r="U130" i="2"/>
  <c r="M130" i="2" s="1"/>
  <c r="O130" i="2" s="1"/>
  <c r="U129" i="2"/>
  <c r="U128" i="2"/>
  <c r="M128" i="2" s="1"/>
  <c r="O128" i="2" s="1"/>
  <c r="U127" i="2"/>
  <c r="M127" i="2" s="1"/>
  <c r="O127" i="2" s="1"/>
  <c r="U126" i="2"/>
  <c r="M126" i="2" s="1"/>
  <c r="O126" i="2" s="1"/>
  <c r="U125" i="2"/>
  <c r="M125" i="2" s="1"/>
  <c r="O125" i="2" s="1"/>
  <c r="U124" i="2"/>
  <c r="U123" i="2"/>
  <c r="M123" i="2" s="1"/>
  <c r="O123" i="2" s="1"/>
  <c r="U122" i="2"/>
  <c r="M122" i="2" s="1"/>
  <c r="O122" i="2" s="1"/>
  <c r="U121" i="2"/>
  <c r="M121" i="2" s="1"/>
  <c r="O121" i="2" s="1"/>
  <c r="U120" i="2"/>
  <c r="M120" i="2" s="1"/>
  <c r="O120" i="2" s="1"/>
  <c r="U119" i="2"/>
  <c r="M119" i="2" s="1"/>
  <c r="O119" i="2" s="1"/>
  <c r="U118" i="2"/>
  <c r="U117" i="2"/>
  <c r="M117" i="2" s="1"/>
  <c r="O117" i="2" s="1"/>
  <c r="U116" i="2"/>
  <c r="U115" i="2"/>
  <c r="M115" i="2" s="1"/>
  <c r="O115" i="2" s="1"/>
  <c r="U114" i="2"/>
  <c r="U113" i="2"/>
  <c r="M113" i="2" s="1"/>
  <c r="O113" i="2" s="1"/>
  <c r="U112" i="2"/>
  <c r="M112" i="2" s="1"/>
  <c r="O112" i="2" s="1"/>
  <c r="U111" i="2"/>
  <c r="M111" i="2" s="1"/>
  <c r="O111" i="2" s="1"/>
  <c r="U110" i="2"/>
  <c r="U109" i="2"/>
  <c r="M109" i="2" s="1"/>
  <c r="O109" i="2" s="1"/>
  <c r="U108" i="2"/>
  <c r="U107" i="2"/>
  <c r="M107" i="2" s="1"/>
  <c r="O107" i="2" s="1"/>
  <c r="U106" i="2"/>
  <c r="M106" i="2" s="1"/>
  <c r="O106" i="2" s="1"/>
  <c r="U105" i="2"/>
  <c r="M105" i="2" s="1"/>
  <c r="O105" i="2" s="1"/>
  <c r="U104" i="2"/>
  <c r="M104" i="2" s="1"/>
  <c r="O104" i="2" s="1"/>
  <c r="U103" i="2"/>
  <c r="M103" i="2" s="1"/>
  <c r="O103" i="2" s="1"/>
  <c r="U102" i="2"/>
  <c r="M102" i="2" s="1"/>
  <c r="O102" i="2" s="1"/>
  <c r="U101" i="2"/>
  <c r="M101" i="2" s="1"/>
  <c r="O101" i="2" s="1"/>
  <c r="U100" i="2"/>
  <c r="M100" i="2" s="1"/>
  <c r="O100" i="2" s="1"/>
  <c r="U99" i="2"/>
  <c r="M99" i="2" s="1"/>
  <c r="O99" i="2" s="1"/>
  <c r="U98" i="2"/>
  <c r="M98" i="2" s="1"/>
  <c r="O98" i="2" s="1"/>
  <c r="U97" i="2"/>
  <c r="M97" i="2" s="1"/>
  <c r="O97" i="2" s="1"/>
  <c r="U96" i="2"/>
  <c r="M96" i="2" s="1"/>
  <c r="O96" i="2" s="1"/>
  <c r="U95" i="2"/>
  <c r="M95" i="2" s="1"/>
  <c r="O95" i="2" s="1"/>
  <c r="U94" i="2"/>
  <c r="M94" i="2" s="1"/>
  <c r="O94" i="2" s="1"/>
  <c r="U93" i="2"/>
  <c r="M93" i="2" s="1"/>
  <c r="O93" i="2" s="1"/>
  <c r="U92" i="2"/>
  <c r="M92" i="2" s="1"/>
  <c r="O92" i="2" s="1"/>
  <c r="U91" i="2"/>
  <c r="M91" i="2" s="1"/>
  <c r="O91" i="2" s="1"/>
  <c r="U90" i="2"/>
  <c r="M90" i="2" s="1"/>
  <c r="O90" i="2" s="1"/>
  <c r="U89" i="2"/>
  <c r="M89" i="2" s="1"/>
  <c r="O89" i="2" s="1"/>
  <c r="U88" i="2"/>
  <c r="U87" i="2"/>
  <c r="M87" i="2" s="1"/>
  <c r="O87" i="2" s="1"/>
  <c r="U86" i="2"/>
  <c r="M86" i="2" s="1"/>
  <c r="O86" i="2" s="1"/>
  <c r="U85" i="2"/>
  <c r="M85" i="2" s="1"/>
  <c r="O85" i="2" s="1"/>
  <c r="U84" i="2"/>
  <c r="M84" i="2" s="1"/>
  <c r="O84" i="2" s="1"/>
  <c r="U83" i="2"/>
  <c r="M83" i="2" s="1"/>
  <c r="O83" i="2" s="1"/>
  <c r="U82" i="2"/>
  <c r="M82" i="2" s="1"/>
  <c r="O82" i="2" s="1"/>
  <c r="U81" i="2"/>
  <c r="M81" i="2" s="1"/>
  <c r="O81" i="2" s="1"/>
  <c r="U80" i="2"/>
  <c r="U79" i="2"/>
  <c r="M79" i="2" s="1"/>
  <c r="O79" i="2" s="1"/>
  <c r="U78" i="2"/>
  <c r="M78" i="2" s="1"/>
  <c r="O78" i="2" s="1"/>
  <c r="U77" i="2"/>
  <c r="M77" i="2" s="1"/>
  <c r="O77" i="2" s="1"/>
  <c r="U76" i="2"/>
  <c r="U75" i="2"/>
  <c r="M75" i="2" s="1"/>
  <c r="O75" i="2" s="1"/>
  <c r="U74" i="2"/>
  <c r="M74" i="2" s="1"/>
  <c r="O74" i="2" s="1"/>
  <c r="U73" i="2"/>
  <c r="M73" i="2" s="1"/>
  <c r="O73" i="2" s="1"/>
  <c r="U72" i="2"/>
  <c r="M72" i="2" s="1"/>
  <c r="O72" i="2" s="1"/>
  <c r="U71" i="2"/>
  <c r="M71" i="2" s="1"/>
  <c r="O71" i="2" s="1"/>
  <c r="U70" i="2"/>
  <c r="M70" i="2" s="1"/>
  <c r="O70" i="2" s="1"/>
  <c r="U69" i="2"/>
  <c r="M69" i="2" s="1"/>
  <c r="O69" i="2" s="1"/>
  <c r="U68" i="2"/>
  <c r="M68" i="2" s="1"/>
  <c r="O68" i="2" s="1"/>
  <c r="U67" i="2"/>
  <c r="M67" i="2" s="1"/>
  <c r="O67" i="2" s="1"/>
  <c r="U66" i="2"/>
  <c r="M66" i="2" s="1"/>
  <c r="O66" i="2" s="1"/>
  <c r="U65" i="2"/>
  <c r="U64" i="2"/>
  <c r="M64" i="2" s="1"/>
  <c r="O64" i="2" s="1"/>
  <c r="U63" i="2"/>
  <c r="M63" i="2" s="1"/>
  <c r="O63" i="2" s="1"/>
  <c r="U62" i="2"/>
  <c r="U61" i="2"/>
  <c r="M61" i="2" s="1"/>
  <c r="O61" i="2" s="1"/>
  <c r="U60" i="2"/>
  <c r="M60" i="2" s="1"/>
  <c r="O60" i="2" s="1"/>
  <c r="FK77" i="3"/>
  <c r="FJ77" i="3"/>
  <c r="FI77" i="3"/>
  <c r="FJ76" i="3"/>
  <c r="FI76" i="3"/>
  <c r="FI75" i="3"/>
  <c r="S246" i="2"/>
  <c r="EM28" i="3"/>
  <c r="EL28" i="3"/>
  <c r="EM23" i="3"/>
  <c r="EM18" i="3"/>
  <c r="EM17" i="3"/>
  <c r="EM15" i="3"/>
  <c r="F3" i="2"/>
  <c r="D22" i="1"/>
  <c r="FK11" i="3"/>
  <c r="FJ11" i="3"/>
  <c r="FI11" i="3"/>
  <c r="FJ10" i="3"/>
  <c r="FI10" i="3"/>
  <c r="FI9" i="3"/>
  <c r="AC59" i="3"/>
  <c r="AC57" i="3"/>
  <c r="AC56" i="3"/>
  <c r="AC54" i="3"/>
  <c r="AC107" i="3"/>
  <c r="AC106" i="3"/>
  <c r="AC105" i="3"/>
  <c r="AC104" i="3"/>
  <c r="AC103" i="3"/>
  <c r="AC102" i="3"/>
  <c r="AC101" i="3"/>
  <c r="AC100" i="3"/>
  <c r="AC99" i="3"/>
  <c r="AC98" i="3"/>
  <c r="AC97" i="3"/>
  <c r="BC94" i="3" s="1"/>
  <c r="AV76" i="3"/>
  <c r="AU76" i="3"/>
  <c r="BR63" i="3" s="1"/>
  <c r="AT76" i="3"/>
  <c r="BQ63" i="3" s="1"/>
  <c r="AS76" i="3"/>
  <c r="AR76" i="3"/>
  <c r="BO63" i="3" s="1"/>
  <c r="AQ76" i="3"/>
  <c r="AP76" i="3"/>
  <c r="BM63" i="3" s="1"/>
  <c r="AO76" i="3"/>
  <c r="AN76" i="3"/>
  <c r="BK63" i="3" s="1"/>
  <c r="AM76" i="3"/>
  <c r="BJ63" i="3" s="1"/>
  <c r="AL76" i="3"/>
  <c r="AK76" i="3"/>
  <c r="AV75" i="3"/>
  <c r="BS62" i="3" s="1"/>
  <c r="AU75" i="3"/>
  <c r="AT75" i="3"/>
  <c r="BQ62" i="3" s="1"/>
  <c r="AS75" i="3"/>
  <c r="AR75" i="3"/>
  <c r="BO62" i="3" s="1"/>
  <c r="AQ75" i="3"/>
  <c r="AP75" i="3"/>
  <c r="BM62" i="3" s="1"/>
  <c r="AO75" i="3"/>
  <c r="AN75" i="3"/>
  <c r="AM75" i="3"/>
  <c r="AL75" i="3"/>
  <c r="AK75" i="3"/>
  <c r="BH62" i="3" s="1"/>
  <c r="AV74" i="3"/>
  <c r="BS61" i="3" s="1"/>
  <c r="AU74" i="3"/>
  <c r="BR61" i="3" s="1"/>
  <c r="AT74" i="3"/>
  <c r="AS74" i="3"/>
  <c r="AR74" i="3"/>
  <c r="AQ74" i="3"/>
  <c r="AP74" i="3"/>
  <c r="BM61" i="3" s="1"/>
  <c r="AO74" i="3"/>
  <c r="BL61" i="3" s="1"/>
  <c r="AN74" i="3"/>
  <c r="AM74" i="3"/>
  <c r="BJ61" i="3" s="1"/>
  <c r="AL74" i="3"/>
  <c r="BI61" i="3" s="1"/>
  <c r="AK74" i="3"/>
  <c r="AV73" i="3"/>
  <c r="BS60" i="3" s="1"/>
  <c r="AU73" i="3"/>
  <c r="AT73" i="3"/>
  <c r="BQ60" i="3" s="1"/>
  <c r="AS73" i="3"/>
  <c r="BP60" i="3" s="1"/>
  <c r="AR73" i="3"/>
  <c r="AQ73" i="3"/>
  <c r="AP73" i="3"/>
  <c r="AO73" i="3"/>
  <c r="AN73" i="3"/>
  <c r="AM73" i="3"/>
  <c r="AL73" i="3"/>
  <c r="AK73" i="3"/>
  <c r="BH60" i="3" s="1"/>
  <c r="AV72" i="3"/>
  <c r="BS59" i="3" s="1"/>
  <c r="AU72" i="3"/>
  <c r="BR59" i="3" s="1"/>
  <c r="AT72" i="3"/>
  <c r="AS72" i="3"/>
  <c r="AR72" i="3"/>
  <c r="AQ72" i="3"/>
  <c r="BN59" i="3" s="1"/>
  <c r="AP72" i="3"/>
  <c r="BM59" i="3" s="1"/>
  <c r="AO72" i="3"/>
  <c r="AN72" i="3"/>
  <c r="AM72" i="3"/>
  <c r="BJ59" i="3" s="1"/>
  <c r="AL72" i="3"/>
  <c r="BI59" i="3" s="1"/>
  <c r="AK72" i="3"/>
  <c r="AV71" i="3"/>
  <c r="AU71" i="3"/>
  <c r="BR58" i="3" s="1"/>
  <c r="AT71" i="3"/>
  <c r="BQ58" i="3" s="1"/>
  <c r="AS71" i="3"/>
  <c r="AR71" i="3"/>
  <c r="BO58" i="3" s="1"/>
  <c r="AQ71" i="3"/>
  <c r="BN58" i="3" s="1"/>
  <c r="AP71" i="3"/>
  <c r="AO71" i="3"/>
  <c r="AN71" i="3"/>
  <c r="AM71" i="3"/>
  <c r="BJ58" i="3" s="1"/>
  <c r="AL71" i="3"/>
  <c r="BI58" i="3" s="1"/>
  <c r="AK71" i="3"/>
  <c r="AV70" i="3"/>
  <c r="AU70" i="3"/>
  <c r="BR57" i="3" s="1"/>
  <c r="AT70" i="3"/>
  <c r="BQ57" i="3" s="1"/>
  <c r="AS70" i="3"/>
  <c r="AR70" i="3"/>
  <c r="BO57" i="3" s="1"/>
  <c r="AQ70" i="3"/>
  <c r="AP70" i="3"/>
  <c r="BM57" i="3" s="1"/>
  <c r="AO70" i="3"/>
  <c r="AN70" i="3"/>
  <c r="BK57" i="3" s="1"/>
  <c r="AM70" i="3"/>
  <c r="BJ57" i="3" s="1"/>
  <c r="AL70" i="3"/>
  <c r="AK70" i="3"/>
  <c r="AV69" i="3"/>
  <c r="AU69" i="3"/>
  <c r="AT69" i="3"/>
  <c r="BQ56" i="3" s="1"/>
  <c r="AS69" i="3"/>
  <c r="AR69" i="3"/>
  <c r="BO56" i="3" s="1"/>
  <c r="AQ69" i="3"/>
  <c r="AP69" i="3"/>
  <c r="BM56" i="3" s="1"/>
  <c r="AO69" i="3"/>
  <c r="AN69" i="3"/>
  <c r="BK56" i="3" s="1"/>
  <c r="AM69" i="3"/>
  <c r="BJ56" i="3" s="1"/>
  <c r="AL69" i="3"/>
  <c r="BI56" i="3" s="1"/>
  <c r="AK69" i="3"/>
  <c r="AV68" i="3"/>
  <c r="BS55" i="3" s="1"/>
  <c r="AU68" i="3"/>
  <c r="BR55" i="3" s="1"/>
  <c r="AT68" i="3"/>
  <c r="AS68" i="3"/>
  <c r="AR68" i="3"/>
  <c r="BO55" i="3" s="1"/>
  <c r="AQ68" i="3"/>
  <c r="AP68" i="3"/>
  <c r="BM55" i="3" s="1"/>
  <c r="AO68" i="3"/>
  <c r="AN68" i="3"/>
  <c r="AM68" i="3"/>
  <c r="BJ55" i="3" s="1"/>
  <c r="AL68" i="3"/>
  <c r="BI55" i="3" s="1"/>
  <c r="AK68" i="3"/>
  <c r="AV67" i="3"/>
  <c r="AU67" i="3"/>
  <c r="AT67" i="3"/>
  <c r="AS67" i="3"/>
  <c r="AR67" i="3"/>
  <c r="AQ67" i="3"/>
  <c r="AP67" i="3"/>
  <c r="AO67" i="3"/>
  <c r="AN67" i="3"/>
  <c r="AM67" i="3"/>
  <c r="AL67" i="3"/>
  <c r="AK67" i="3"/>
  <c r="AV66" i="3"/>
  <c r="AU66" i="3"/>
  <c r="AT66" i="3"/>
  <c r="AS66" i="3"/>
  <c r="AR66" i="3"/>
  <c r="AQ66" i="3"/>
  <c r="AP66" i="3"/>
  <c r="AO66" i="3"/>
  <c r="AN66" i="3"/>
  <c r="AM66" i="3"/>
  <c r="AL66" i="3"/>
  <c r="AK66" i="3"/>
  <c r="AV65" i="3"/>
  <c r="AU65" i="3"/>
  <c r="AT65" i="3"/>
  <c r="AS65" i="3"/>
  <c r="BP54" i="3" s="1"/>
  <c r="AR65" i="3"/>
  <c r="BO54" i="3" s="1"/>
  <c r="AQ65" i="3"/>
  <c r="AP65" i="3"/>
  <c r="BM54" i="3" s="1"/>
  <c r="AO65" i="3"/>
  <c r="AN65" i="3"/>
  <c r="BK54" i="3" s="1"/>
  <c r="AM65" i="3"/>
  <c r="AL65" i="3"/>
  <c r="BI54" i="3" s="1"/>
  <c r="AK65" i="3"/>
  <c r="BH54" i="3" s="1"/>
  <c r="AV64" i="3"/>
  <c r="AU64" i="3"/>
  <c r="AT64" i="3"/>
  <c r="AS64" i="3"/>
  <c r="AR64" i="3"/>
  <c r="AQ64" i="3"/>
  <c r="AP64" i="3"/>
  <c r="AO64" i="3"/>
  <c r="AN64" i="3"/>
  <c r="AM64" i="3"/>
  <c r="AL64" i="3"/>
  <c r="AK64" i="3"/>
  <c r="AV63" i="3"/>
  <c r="AU63" i="3"/>
  <c r="BR53" i="3" s="1"/>
  <c r="AT63" i="3"/>
  <c r="BQ53" i="3" s="1"/>
  <c r="AS63" i="3"/>
  <c r="BP72" i="3" s="1"/>
  <c r="AR63" i="3"/>
  <c r="BO53" i="3" s="1"/>
  <c r="AQ63" i="3"/>
  <c r="BN53" i="3" s="1"/>
  <c r="AP63" i="3"/>
  <c r="AO63" i="3"/>
  <c r="AN63" i="3"/>
  <c r="AM63" i="3"/>
  <c r="BJ53" i="3" s="1"/>
  <c r="AL63" i="3"/>
  <c r="BI53" i="3" s="1"/>
  <c r="AK63" i="3"/>
  <c r="BH72" i="3" s="1"/>
  <c r="AV62" i="3"/>
  <c r="AU62" i="3"/>
  <c r="AT62" i="3"/>
  <c r="AS62" i="3"/>
  <c r="AR62" i="3"/>
  <c r="AQ62" i="3"/>
  <c r="AP62" i="3"/>
  <c r="AO62" i="3"/>
  <c r="AN62" i="3"/>
  <c r="AM62" i="3"/>
  <c r="AL62" i="3"/>
  <c r="AK62" i="3"/>
  <c r="AV60" i="3"/>
  <c r="AU60" i="3"/>
  <c r="AT60" i="3"/>
  <c r="AS60" i="3"/>
  <c r="AR60" i="3"/>
  <c r="AQ60" i="3"/>
  <c r="AP60" i="3"/>
  <c r="AO60" i="3"/>
  <c r="AN60" i="3"/>
  <c r="AM60" i="3"/>
  <c r="AL60" i="3"/>
  <c r="AK60" i="3"/>
  <c r="AV57" i="3"/>
  <c r="AU57" i="3"/>
  <c r="AT57" i="3"/>
  <c r="AS57" i="3"/>
  <c r="AR57" i="3"/>
  <c r="AQ57" i="3"/>
  <c r="AP57" i="3"/>
  <c r="AO57" i="3"/>
  <c r="AN57" i="3"/>
  <c r="AM57" i="3"/>
  <c r="AL57" i="3"/>
  <c r="AK57" i="3"/>
  <c r="AV54" i="3"/>
  <c r="AU54" i="3"/>
  <c r="AT54" i="3"/>
  <c r="AS54" i="3"/>
  <c r="AR54" i="3"/>
  <c r="AQ54" i="3"/>
  <c r="AP54" i="3"/>
  <c r="AO54" i="3"/>
  <c r="AN54" i="3"/>
  <c r="AM54" i="3"/>
  <c r="AL54" i="3"/>
  <c r="AK54" i="3"/>
  <c r="AJ54" i="3"/>
  <c r="AV51" i="3"/>
  <c r="AU51" i="3"/>
  <c r="AT51" i="3"/>
  <c r="AS51" i="3"/>
  <c r="AR51" i="3"/>
  <c r="AQ51" i="3"/>
  <c r="AP51" i="3"/>
  <c r="AO51" i="3"/>
  <c r="AN51" i="3"/>
  <c r="AM51" i="3"/>
  <c r="AL51" i="3"/>
  <c r="AK51" i="3"/>
  <c r="AJ51" i="3"/>
  <c r="AI51" i="3"/>
  <c r="AV30" i="3"/>
  <c r="AV107" i="3" s="1"/>
  <c r="BS103" i="3" s="1"/>
  <c r="AU30" i="3"/>
  <c r="AU107" i="3" s="1"/>
  <c r="BR103" i="3" s="1"/>
  <c r="AT30" i="3"/>
  <c r="AT107" i="3" s="1"/>
  <c r="BQ103" i="3" s="1"/>
  <c r="AS30" i="3"/>
  <c r="AS107" i="3" s="1"/>
  <c r="BP103" i="3" s="1"/>
  <c r="AR30" i="3"/>
  <c r="AR107" i="3" s="1"/>
  <c r="BO103" i="3" s="1"/>
  <c r="AQ30" i="3"/>
  <c r="AP30" i="3"/>
  <c r="AP107" i="3" s="1"/>
  <c r="BM103" i="3" s="1"/>
  <c r="AO30" i="3"/>
  <c r="AO107" i="3" s="1"/>
  <c r="BL103" i="3" s="1"/>
  <c r="AN30" i="3"/>
  <c r="AN107" i="3" s="1"/>
  <c r="BK103" i="3" s="1"/>
  <c r="AM30" i="3"/>
  <c r="AM107" i="3" s="1"/>
  <c r="AL30" i="3"/>
  <c r="AL107" i="3" s="1"/>
  <c r="BI103" i="3" s="1"/>
  <c r="AK30" i="3"/>
  <c r="AK107" i="3"/>
  <c r="BH103" i="3" s="1"/>
  <c r="AJ30" i="3"/>
  <c r="AI30" i="3"/>
  <c r="AI107" i="3" s="1"/>
  <c r="BF103" i="3" s="1"/>
  <c r="AH30" i="3"/>
  <c r="AH107" i="3" s="1"/>
  <c r="BE103" i="3" s="1"/>
  <c r="AV29" i="3"/>
  <c r="AV106" i="3" s="1"/>
  <c r="BS102" i="3" s="1"/>
  <c r="AU29" i="3"/>
  <c r="AU106" i="3" s="1"/>
  <c r="AT29" i="3"/>
  <c r="AT106" i="3" s="1"/>
  <c r="BQ102" i="3" s="1"/>
  <c r="AS29" i="3"/>
  <c r="AS106" i="3" s="1"/>
  <c r="AR29" i="3"/>
  <c r="AQ29" i="3"/>
  <c r="AQ106" i="3" s="1"/>
  <c r="BN102" i="3" s="1"/>
  <c r="AP29" i="3"/>
  <c r="AP106" i="3" s="1"/>
  <c r="BM102" i="3" s="1"/>
  <c r="AO29" i="3"/>
  <c r="AO106" i="3" s="1"/>
  <c r="AN29" i="3"/>
  <c r="AN106" i="3" s="1"/>
  <c r="BK102" i="3" s="1"/>
  <c r="AM29" i="3"/>
  <c r="AM106" i="3" s="1"/>
  <c r="BJ102" i="3" s="1"/>
  <c r="AL29" i="3"/>
  <c r="AL106" i="3" s="1"/>
  <c r="BI102" i="3" s="1"/>
  <c r="AK29" i="3"/>
  <c r="AK106" i="3" s="1"/>
  <c r="AJ29" i="3"/>
  <c r="AJ106" i="3" s="1"/>
  <c r="BG102" i="3" s="1"/>
  <c r="AI29" i="3"/>
  <c r="AI106" i="3" s="1"/>
  <c r="AH29" i="3"/>
  <c r="AH106" i="3" s="1"/>
  <c r="BE102" i="3" s="1"/>
  <c r="AV28" i="3"/>
  <c r="AV105" i="3" s="1"/>
  <c r="AU28" i="3"/>
  <c r="AU105" i="3" s="1"/>
  <c r="BR101" i="3" s="1"/>
  <c r="AT28" i="3"/>
  <c r="AT105" i="3" s="1"/>
  <c r="BQ101" i="3" s="1"/>
  <c r="AS28" i="3"/>
  <c r="AS105" i="3" s="1"/>
  <c r="BP101" i="3" s="1"/>
  <c r="AR28" i="3"/>
  <c r="AR105" i="3" s="1"/>
  <c r="AQ28" i="3"/>
  <c r="AQ105" i="3" s="1"/>
  <c r="BN101" i="3" s="1"/>
  <c r="AP28" i="3"/>
  <c r="AP105" i="3" s="1"/>
  <c r="AO28" i="3"/>
  <c r="AN28" i="3"/>
  <c r="AN105" i="3" s="1"/>
  <c r="BK101" i="3" s="1"/>
  <c r="AM28" i="3"/>
  <c r="AM105" i="3" s="1"/>
  <c r="BJ101" i="3" s="1"/>
  <c r="AL28" i="3"/>
  <c r="AL105" i="3" s="1"/>
  <c r="AK28" i="3"/>
  <c r="AK105" i="3" s="1"/>
  <c r="AJ28" i="3"/>
  <c r="AJ105" i="3" s="1"/>
  <c r="BG101" i="3" s="1"/>
  <c r="AI28" i="3"/>
  <c r="AI105" i="3" s="1"/>
  <c r="BF101" i="3" s="1"/>
  <c r="AH28" i="3"/>
  <c r="AV27" i="3"/>
  <c r="AV104" i="3" s="1"/>
  <c r="AU27" i="3"/>
  <c r="AU104" i="3" s="1"/>
  <c r="BR100" i="3" s="1"/>
  <c r="AT27" i="3"/>
  <c r="AT104" i="3" s="1"/>
  <c r="BQ100" i="3" s="1"/>
  <c r="AS27" i="3"/>
  <c r="AS104" i="3" s="1"/>
  <c r="BP100" i="3" s="1"/>
  <c r="AR27" i="3"/>
  <c r="AR104" i="3" s="1"/>
  <c r="AQ27" i="3"/>
  <c r="AQ104" i="3" s="1"/>
  <c r="BN100" i="3" s="1"/>
  <c r="AP27" i="3"/>
  <c r="AO27" i="3"/>
  <c r="AO104" i="3" s="1"/>
  <c r="BL100" i="3" s="1"/>
  <c r="AN27" i="3"/>
  <c r="AN104" i="3" s="1"/>
  <c r="AM27" i="3"/>
  <c r="AM104" i="3" s="1"/>
  <c r="BJ100" i="3" s="1"/>
  <c r="AL27" i="3"/>
  <c r="AL104" i="3" s="1"/>
  <c r="BI100" i="3" s="1"/>
  <c r="AK27" i="3"/>
  <c r="AK104" i="3" s="1"/>
  <c r="BH100" i="3" s="1"/>
  <c r="AJ27" i="3"/>
  <c r="AI27" i="3"/>
  <c r="AI104" i="3" s="1"/>
  <c r="BF100" i="3" s="1"/>
  <c r="AH27" i="3"/>
  <c r="AH104" i="3" s="1"/>
  <c r="BE100" i="3" s="1"/>
  <c r="AV26" i="3"/>
  <c r="AV103" i="3" s="1"/>
  <c r="BS99" i="3" s="1"/>
  <c r="AU26" i="3"/>
  <c r="AU103" i="3" s="1"/>
  <c r="AT26" i="3"/>
  <c r="AT103" i="3" s="1"/>
  <c r="BQ99" i="3" s="1"/>
  <c r="AS26" i="3"/>
  <c r="AS103" i="3" s="1"/>
  <c r="BP99" i="3" s="1"/>
  <c r="AR26" i="3"/>
  <c r="AR103" i="3" s="1"/>
  <c r="BO99" i="3" s="1"/>
  <c r="AQ26" i="3"/>
  <c r="AQ103" i="3" s="1"/>
  <c r="BN99" i="3" s="1"/>
  <c r="AP26" i="3"/>
  <c r="AP103" i="3" s="1"/>
  <c r="BM99" i="3" s="1"/>
  <c r="AO26" i="3"/>
  <c r="AO103" i="3" s="1"/>
  <c r="BL99" i="3" s="1"/>
  <c r="AN26" i="3"/>
  <c r="AN103" i="3" s="1"/>
  <c r="BK99" i="3" s="1"/>
  <c r="AM26" i="3"/>
  <c r="AM103" i="3" s="1"/>
  <c r="BJ99" i="3" s="1"/>
  <c r="AL26" i="3"/>
  <c r="AL103" i="3" s="1"/>
  <c r="BI99" i="3" s="1"/>
  <c r="AK26" i="3"/>
  <c r="AK103" i="3" s="1"/>
  <c r="BH99" i="3" s="1"/>
  <c r="AJ26" i="3"/>
  <c r="AJ103" i="3" s="1"/>
  <c r="BG99" i="3" s="1"/>
  <c r="AI26" i="3"/>
  <c r="AI103" i="3" s="1"/>
  <c r="AH26" i="3"/>
  <c r="AH103" i="3" s="1"/>
  <c r="BE99" i="3" s="1"/>
  <c r="AV25" i="3"/>
  <c r="AV102" i="3" s="1"/>
  <c r="BS98" i="3" s="1"/>
  <c r="AU25" i="3"/>
  <c r="AU102" i="3" s="1"/>
  <c r="BR98" i="3" s="1"/>
  <c r="AT25" i="3"/>
  <c r="AT102" i="3" s="1"/>
  <c r="AS25" i="3"/>
  <c r="AS102" i="3" s="1"/>
  <c r="BP98" i="3" s="1"/>
  <c r="AR25" i="3"/>
  <c r="AR102" i="3" s="1"/>
  <c r="BO98" i="3" s="1"/>
  <c r="AQ25" i="3"/>
  <c r="AQ102" i="3" s="1"/>
  <c r="BN98" i="3" s="1"/>
  <c r="AP25" i="3"/>
  <c r="AP102" i="3" s="1"/>
  <c r="AO25" i="3"/>
  <c r="AO102" i="3" s="1"/>
  <c r="BL98" i="3" s="1"/>
  <c r="AN25" i="3"/>
  <c r="AN102" i="3" s="1"/>
  <c r="BK98" i="3" s="1"/>
  <c r="AM25" i="3"/>
  <c r="AM102" i="3" s="1"/>
  <c r="BJ98" i="3" s="1"/>
  <c r="AL25" i="3"/>
  <c r="AL102" i="3" s="1"/>
  <c r="BI98" i="3" s="1"/>
  <c r="AK25" i="3"/>
  <c r="AK102" i="3" s="1"/>
  <c r="BH98" i="3" s="1"/>
  <c r="AJ25" i="3"/>
  <c r="AJ102" i="3" s="1"/>
  <c r="BG98" i="3" s="1"/>
  <c r="AI25" i="3"/>
  <c r="AH25" i="3"/>
  <c r="AV24" i="3"/>
  <c r="AV101" i="3" s="1"/>
  <c r="BS97" i="3" s="1"/>
  <c r="AU24" i="3"/>
  <c r="AU101" i="3" s="1"/>
  <c r="AT24" i="3"/>
  <c r="AT101" i="3" s="1"/>
  <c r="BQ97" i="3" s="1"/>
  <c r="AS24" i="3"/>
  <c r="AS101" i="3" s="1"/>
  <c r="AR24" i="3"/>
  <c r="AR101" i="3" s="1"/>
  <c r="BO97" i="3" s="1"/>
  <c r="AQ24" i="3"/>
  <c r="BN15" i="3" s="1"/>
  <c r="AP24" i="3"/>
  <c r="AP101" i="3" s="1"/>
  <c r="BM97" i="3" s="1"/>
  <c r="AO24" i="3"/>
  <c r="AO101" i="3" s="1"/>
  <c r="BL97" i="3" s="1"/>
  <c r="AN24" i="3"/>
  <c r="AN101" i="3" s="1"/>
  <c r="BK97" i="3" s="1"/>
  <c r="AM24" i="3"/>
  <c r="AM101" i="3" s="1"/>
  <c r="BJ97" i="3" s="1"/>
  <c r="AL24" i="3"/>
  <c r="AL101" i="3" s="1"/>
  <c r="BI97" i="3" s="1"/>
  <c r="AK24" i="3"/>
  <c r="AK101" i="3" s="1"/>
  <c r="BH97" i="3" s="1"/>
  <c r="AJ24" i="3"/>
  <c r="AJ101" i="3" s="1"/>
  <c r="BG97" i="3" s="1"/>
  <c r="AI24" i="3"/>
  <c r="AI101" i="3"/>
  <c r="BF97" i="3" s="1"/>
  <c r="AH24" i="3"/>
  <c r="AH101" i="3" s="1"/>
  <c r="AV23" i="3"/>
  <c r="AV100" i="3" s="1"/>
  <c r="BS96" i="3" s="1"/>
  <c r="AU23" i="3"/>
  <c r="AU100" i="3" s="1"/>
  <c r="AT23" i="3"/>
  <c r="AT100" i="3" s="1"/>
  <c r="BQ96" i="3" s="1"/>
  <c r="AS23" i="3"/>
  <c r="AS100" i="3" s="1"/>
  <c r="BP96" i="3" s="1"/>
  <c r="AR23" i="3"/>
  <c r="AR100" i="3" s="1"/>
  <c r="BO96" i="3" s="1"/>
  <c r="AQ23" i="3"/>
  <c r="AQ100" i="3" s="1"/>
  <c r="BN96" i="3" s="1"/>
  <c r="AP23" i="3"/>
  <c r="AP100" i="3" s="1"/>
  <c r="BM96" i="3" s="1"/>
  <c r="AO23" i="3"/>
  <c r="AO100" i="3" s="1"/>
  <c r="BL96" i="3" s="1"/>
  <c r="AN23" i="3"/>
  <c r="AN100" i="3" s="1"/>
  <c r="BK96" i="3" s="1"/>
  <c r="AM23" i="3"/>
  <c r="AM100" i="3" s="1"/>
  <c r="BJ96" i="3" s="1"/>
  <c r="AL23" i="3"/>
  <c r="AL100" i="3" s="1"/>
  <c r="BI96" i="3" s="1"/>
  <c r="AK23" i="3"/>
  <c r="AK100" i="3" s="1"/>
  <c r="BH96" i="3" s="1"/>
  <c r="AJ23" i="3"/>
  <c r="AJ100" i="3" s="1"/>
  <c r="AI23" i="3"/>
  <c r="AI100" i="3" s="1"/>
  <c r="AH23" i="3"/>
  <c r="AH100" i="3" s="1"/>
  <c r="BE96" i="3" s="1"/>
  <c r="AV22" i="3"/>
  <c r="AV99" i="3" s="1"/>
  <c r="BS95" i="3" s="1"/>
  <c r="AU22" i="3"/>
  <c r="AU99" i="3" s="1"/>
  <c r="BR95" i="3" s="1"/>
  <c r="AT22" i="3"/>
  <c r="AT99" i="3" s="1"/>
  <c r="AS22" i="3"/>
  <c r="AS99" i="3" s="1"/>
  <c r="BP95" i="3" s="1"/>
  <c r="AR22" i="3"/>
  <c r="AR99" i="3" s="1"/>
  <c r="AQ22" i="3"/>
  <c r="AQ99" i="3" s="1"/>
  <c r="AP22" i="3"/>
  <c r="AP99" i="3" s="1"/>
  <c r="BM95" i="3" s="1"/>
  <c r="AO22" i="3"/>
  <c r="BL13" i="3" s="1"/>
  <c r="AN22" i="3"/>
  <c r="AN99" i="3" s="1"/>
  <c r="BK95" i="3" s="1"/>
  <c r="AM22" i="3"/>
  <c r="AM99" i="3" s="1"/>
  <c r="BJ95" i="3" s="1"/>
  <c r="AL22" i="3"/>
  <c r="AL99" i="3" s="1"/>
  <c r="AK22" i="3"/>
  <c r="AK99" i="3" s="1"/>
  <c r="AJ22" i="3"/>
  <c r="AJ99" i="3" s="1"/>
  <c r="BG95" i="3" s="1"/>
  <c r="AI22" i="3"/>
  <c r="AH22" i="3"/>
  <c r="AH99" i="3" s="1"/>
  <c r="BE95" i="3" s="1"/>
  <c r="AV21" i="3"/>
  <c r="AU21" i="3"/>
  <c r="AU98" i="3" s="1"/>
  <c r="AT21" i="3"/>
  <c r="AS21" i="3"/>
  <c r="AS98" i="3" s="1"/>
  <c r="AR21" i="3"/>
  <c r="AR98" i="3" s="1"/>
  <c r="AQ21" i="3"/>
  <c r="AP21" i="3"/>
  <c r="AO21" i="3"/>
  <c r="AO98" i="3" s="1"/>
  <c r="AN21" i="3"/>
  <c r="AN98" i="3" s="1"/>
  <c r="AM21" i="3"/>
  <c r="AM98" i="3" s="1"/>
  <c r="AL21" i="3"/>
  <c r="AL98" i="3" s="1"/>
  <c r="AK21" i="3"/>
  <c r="AK98" i="3" s="1"/>
  <c r="AJ21" i="3"/>
  <c r="AJ98" i="3" s="1"/>
  <c r="AI21" i="3"/>
  <c r="AI98" i="3" s="1"/>
  <c r="AH21" i="3"/>
  <c r="AH98" i="3" s="1"/>
  <c r="AV20" i="3"/>
  <c r="AV97" i="3" s="1"/>
  <c r="BS94" i="3" s="1"/>
  <c r="AU20" i="3"/>
  <c r="AU97" i="3" s="1"/>
  <c r="AT20" i="3"/>
  <c r="AT97" i="3" s="1"/>
  <c r="BQ94" i="3" s="1"/>
  <c r="AS20" i="3"/>
  <c r="AR20" i="3"/>
  <c r="AR97" i="3" s="1"/>
  <c r="AQ20" i="3"/>
  <c r="AQ97" i="3" s="1"/>
  <c r="BN94" i="3" s="1"/>
  <c r="AP20" i="3"/>
  <c r="AP97" i="3" s="1"/>
  <c r="BM94" i="3" s="1"/>
  <c r="AO20" i="3"/>
  <c r="AO97" i="3" s="1"/>
  <c r="AN20" i="3"/>
  <c r="AN97" i="3" s="1"/>
  <c r="BK94" i="3" s="1"/>
  <c r="AM20" i="3"/>
  <c r="AL20" i="3"/>
  <c r="AL97" i="3" s="1"/>
  <c r="AK20" i="3"/>
  <c r="AK97" i="3" s="1"/>
  <c r="BH94" i="3" s="1"/>
  <c r="AJ20" i="3"/>
  <c r="AJ97" i="3" s="1"/>
  <c r="BG94" i="3" s="1"/>
  <c r="AI20" i="3"/>
  <c r="AI97" i="3"/>
  <c r="BF94" i="3" s="1"/>
  <c r="AH20" i="3"/>
  <c r="AH97" i="3" s="1"/>
  <c r="AV19" i="3"/>
  <c r="AU19" i="3"/>
  <c r="AU96" i="3" s="1"/>
  <c r="AT19" i="3"/>
  <c r="AS19" i="3"/>
  <c r="AS96" i="3" s="1"/>
  <c r="AR19" i="3"/>
  <c r="AQ19" i="3"/>
  <c r="AQ96" i="3" s="1"/>
  <c r="AP19" i="3"/>
  <c r="AP96" i="3" s="1"/>
  <c r="AO19" i="3"/>
  <c r="AN19" i="3"/>
  <c r="AM19" i="3"/>
  <c r="AL19" i="3"/>
  <c r="AL96" i="3" s="1"/>
  <c r="AK19" i="3"/>
  <c r="AK96" i="3" s="1"/>
  <c r="AJ19" i="3"/>
  <c r="AJ96" i="3" s="1"/>
  <c r="AI19" i="3"/>
  <c r="AH19" i="3"/>
  <c r="AH96" i="3" s="1"/>
  <c r="AV18" i="3"/>
  <c r="AV95" i="3" s="1"/>
  <c r="BS93" i="3" s="1"/>
  <c r="AU18" i="3"/>
  <c r="AU95" i="3" s="1"/>
  <c r="BR93" i="3" s="1"/>
  <c r="AT18" i="3"/>
  <c r="AT95" i="3" s="1"/>
  <c r="BQ93" i="3" s="1"/>
  <c r="AS18" i="3"/>
  <c r="AS95" i="3" s="1"/>
  <c r="AR18" i="3"/>
  <c r="AQ18" i="3"/>
  <c r="AP18" i="3"/>
  <c r="AP95" i="3" s="1"/>
  <c r="BM93" i="3" s="1"/>
  <c r="AO18" i="3"/>
  <c r="AO95" i="3" s="1"/>
  <c r="BL93" i="3" s="1"/>
  <c r="AN18" i="3"/>
  <c r="AN95" i="3" s="1"/>
  <c r="BK93" i="3" s="1"/>
  <c r="AM18" i="3"/>
  <c r="AM95" i="3" s="1"/>
  <c r="BJ93" i="3" s="1"/>
  <c r="AL18" i="3"/>
  <c r="AL95" i="3" s="1"/>
  <c r="AK18" i="3"/>
  <c r="AJ18" i="3"/>
  <c r="AJ95" i="3" s="1"/>
  <c r="BG93" i="3" s="1"/>
  <c r="AI18" i="3"/>
  <c r="AI95" i="3" s="1"/>
  <c r="AH18" i="3"/>
  <c r="AH95" i="3" s="1"/>
  <c r="BE93" i="3" s="1"/>
  <c r="BD93" i="3" s="1"/>
  <c r="AV17" i="3"/>
  <c r="AV94" i="3" s="1"/>
  <c r="AU17" i="3"/>
  <c r="AU94" i="3" s="1"/>
  <c r="AT17" i="3"/>
  <c r="AT94" i="3" s="1"/>
  <c r="AS17" i="3"/>
  <c r="AR17" i="3"/>
  <c r="AR94" i="3" s="1"/>
  <c r="AQ17" i="3"/>
  <c r="AP17" i="3"/>
  <c r="AO17" i="3"/>
  <c r="AO94" i="3" s="1"/>
  <c r="AN17" i="3"/>
  <c r="AN94" i="3" s="1"/>
  <c r="AM17" i="3"/>
  <c r="AL17" i="3"/>
  <c r="AL94" i="3" s="1"/>
  <c r="AK17" i="3"/>
  <c r="AK94" i="3" s="1"/>
  <c r="AJ17" i="3"/>
  <c r="AJ94" i="3" s="1"/>
  <c r="AI17" i="3"/>
  <c r="AI94" i="3" s="1"/>
  <c r="AH17" i="3"/>
  <c r="AH94" i="3" s="1"/>
  <c r="AV16" i="3"/>
  <c r="AU16" i="3"/>
  <c r="AT16" i="3"/>
  <c r="AT93" i="3" s="1"/>
  <c r="AS16" i="3"/>
  <c r="AS93" i="3" s="1"/>
  <c r="AR16" i="3"/>
  <c r="AQ16" i="3"/>
  <c r="AQ93" i="3" s="1"/>
  <c r="AP16" i="3"/>
  <c r="AP93" i="3" s="1"/>
  <c r="AO16" i="3"/>
  <c r="AN16" i="3"/>
  <c r="AM16" i="3"/>
  <c r="AL16" i="3"/>
  <c r="AL93" i="3" s="1"/>
  <c r="AK16" i="3"/>
  <c r="AK93" i="3" s="1"/>
  <c r="AJ16" i="3"/>
  <c r="AJ93" i="3" s="1"/>
  <c r="AI16" i="3"/>
  <c r="AI93" i="3" s="1"/>
  <c r="AH16" i="3"/>
  <c r="AH93" i="3" s="1"/>
  <c r="AV13" i="3"/>
  <c r="AV91" i="3" s="1"/>
  <c r="AU13" i="3"/>
  <c r="AU91" i="3" s="1"/>
  <c r="AT13" i="3"/>
  <c r="AT91" i="3"/>
  <c r="AS13" i="3"/>
  <c r="AS91" i="3" s="1"/>
  <c r="AR13" i="3"/>
  <c r="AR91" i="3" s="1"/>
  <c r="AQ13" i="3"/>
  <c r="AQ91" i="3" s="1"/>
  <c r="AP13" i="3"/>
  <c r="AP91" i="3" s="1"/>
  <c r="AO13" i="3"/>
  <c r="AO91" i="3" s="1"/>
  <c r="AN13" i="3"/>
  <c r="AN91" i="3" s="1"/>
  <c r="AM13" i="3"/>
  <c r="AM91" i="3" s="1"/>
  <c r="AL13" i="3"/>
  <c r="AL91" i="3" s="1"/>
  <c r="AK13" i="3"/>
  <c r="AK91" i="3" s="1"/>
  <c r="AJ13" i="3"/>
  <c r="AJ91" i="3" s="1"/>
  <c r="AI13" i="3"/>
  <c r="AI91" i="3" s="1"/>
  <c r="AH13" i="3"/>
  <c r="AH91" i="3" s="1"/>
  <c r="AV11" i="3"/>
  <c r="AV89" i="3" s="1"/>
  <c r="AU11" i="3"/>
  <c r="AU89" i="3" s="1"/>
  <c r="AT11" i="3"/>
  <c r="AT89" i="3" s="1"/>
  <c r="AS11" i="3"/>
  <c r="AS89" i="3" s="1"/>
  <c r="AR11" i="3"/>
  <c r="AR89" i="3" s="1"/>
  <c r="AQ11" i="3"/>
  <c r="AQ89" i="3" s="1"/>
  <c r="AP11" i="3"/>
  <c r="AP89" i="3" s="1"/>
  <c r="AO11" i="3"/>
  <c r="AO89" i="3" s="1"/>
  <c r="AN11" i="3"/>
  <c r="AM11" i="3"/>
  <c r="AM89" i="3" s="1"/>
  <c r="AL11" i="3"/>
  <c r="AL89" i="3" s="1"/>
  <c r="AK11" i="3"/>
  <c r="AK89" i="3" s="1"/>
  <c r="AJ89" i="3"/>
  <c r="AI11" i="3"/>
  <c r="AI89" i="3"/>
  <c r="AH11" i="3"/>
  <c r="AH89" i="3" s="1"/>
  <c r="AI8" i="3"/>
  <c r="AI88" i="3" s="1"/>
  <c r="AV8" i="3"/>
  <c r="AV88" i="3" s="1"/>
  <c r="AU8" i="3"/>
  <c r="AU88" i="3" s="1"/>
  <c r="AT8" i="3"/>
  <c r="AT88" i="3" s="1"/>
  <c r="AS8" i="3"/>
  <c r="AS88" i="3" s="1"/>
  <c r="AR8" i="3"/>
  <c r="AR88" i="3" s="1"/>
  <c r="AQ8" i="3"/>
  <c r="AQ88" i="3" s="1"/>
  <c r="AP8" i="3"/>
  <c r="AP88" i="3" s="1"/>
  <c r="AO8" i="3"/>
  <c r="AO88" i="3" s="1"/>
  <c r="AN8" i="3"/>
  <c r="AN88" i="3" s="1"/>
  <c r="AM8" i="3"/>
  <c r="AM88" i="3" s="1"/>
  <c r="AL8" i="3"/>
  <c r="AL88" i="3" s="1"/>
  <c r="AK8" i="3"/>
  <c r="AK88" i="3" s="1"/>
  <c r="AJ8" i="3"/>
  <c r="AJ88" i="3" s="1"/>
  <c r="AH8" i="3"/>
  <c r="AH88" i="3" s="1"/>
  <c r="AC95" i="3"/>
  <c r="AC93" i="3"/>
  <c r="AC90" i="3"/>
  <c r="S11" i="2"/>
  <c r="BR30" i="3"/>
  <c r="AF14" i="3"/>
  <c r="AC96" i="3" s="1"/>
  <c r="AG14" i="3"/>
  <c r="AP14" i="3" s="1"/>
  <c r="AF15" i="3"/>
  <c r="AC58" i="3" s="1"/>
  <c r="AG15" i="3"/>
  <c r="AQ15" i="3" s="1"/>
  <c r="AI70" i="3"/>
  <c r="AI71" i="3"/>
  <c r="BF58" i="3" s="1"/>
  <c r="AI65" i="3"/>
  <c r="BF54" i="3" s="1"/>
  <c r="AI66" i="3"/>
  <c r="AI67" i="3"/>
  <c r="BF73" i="3" s="1"/>
  <c r="AI68" i="3"/>
  <c r="BF55" i="3" s="1"/>
  <c r="AU14" i="3"/>
  <c r="AO14" i="3"/>
  <c r="AI14" i="3"/>
  <c r="AH65" i="3"/>
  <c r="AH69" i="3"/>
  <c r="BE56" i="3" s="1"/>
  <c r="AH62" i="3"/>
  <c r="AH70" i="3"/>
  <c r="BE57" i="3" s="1"/>
  <c r="AH63" i="3"/>
  <c r="AH71" i="3"/>
  <c r="BE58" i="3" s="1"/>
  <c r="AH64" i="3"/>
  <c r="BE72" i="3" s="1"/>
  <c r="AH72" i="3"/>
  <c r="BE59" i="3" s="1"/>
  <c r="AH51" i="3"/>
  <c r="AH73" i="3"/>
  <c r="AH74" i="3"/>
  <c r="BE61" i="3" s="1"/>
  <c r="AH66" i="3"/>
  <c r="AH75" i="3"/>
  <c r="AH67" i="3"/>
  <c r="AH60" i="3"/>
  <c r="AH76" i="3"/>
  <c r="BE63" i="3" s="1"/>
  <c r="AH68" i="3"/>
  <c r="AT15" i="3"/>
  <c r="AL15" i="3"/>
  <c r="BI9" i="3" s="1"/>
  <c r="AO15" i="3"/>
  <c r="BL9" i="3" s="1"/>
  <c r="M67" i="3"/>
  <c r="M66" i="3"/>
  <c r="AJ67" i="3"/>
  <c r="AJ68" i="3"/>
  <c r="BG55" i="3" s="1"/>
  <c r="E3" i="4"/>
  <c r="EZ3" i="3"/>
  <c r="EW3" i="3"/>
  <c r="ET3" i="3"/>
  <c r="EQ3" i="3"/>
  <c r="EN3" i="3"/>
  <c r="EK3" i="3"/>
  <c r="I9" i="1"/>
  <c r="J17" i="1"/>
  <c r="I17" i="1"/>
  <c r="AL20" i="2"/>
  <c r="AB20" i="2"/>
  <c r="AO18" i="2"/>
  <c r="AM16" i="2" s="1"/>
  <c r="AO16" i="2" s="1"/>
  <c r="AM18" i="2"/>
  <c r="S18" i="2"/>
  <c r="AC18" i="2" s="1"/>
  <c r="AL19" i="2"/>
  <c r="AB19" i="2"/>
  <c r="J11" i="2" s="1"/>
  <c r="AZ70" i="3"/>
  <c r="AZ111" i="3"/>
  <c r="AZ29" i="3"/>
  <c r="BB91" i="3"/>
  <c r="H22" i="1"/>
  <c r="AS11" i="2"/>
  <c r="AM9" i="2" s="1" a="1"/>
  <c r="AM9" i="2" s="1"/>
  <c r="AN9" i="2" s="1"/>
  <c r="AE18" i="2"/>
  <c r="AC16" i="2" s="1"/>
  <c r="AI11" i="2"/>
  <c r="AC9" i="2" s="1" a="1"/>
  <c r="AC9" i="2" s="1"/>
  <c r="AD9" i="2" s="1"/>
  <c r="AO15" i="2"/>
  <c r="AO13" i="2" s="1"/>
  <c r="BI113" i="3"/>
  <c r="BC113" i="3"/>
  <c r="BR112" i="3"/>
  <c r="BC112" i="3"/>
  <c r="BB113" i="3"/>
  <c r="BB112" i="3" s="1"/>
  <c r="BB111" i="3" s="1"/>
  <c r="BB110" i="3"/>
  <c r="BB109" i="3"/>
  <c r="BJ103" i="3"/>
  <c r="BR102" i="3"/>
  <c r="BP102" i="3"/>
  <c r="BL102" i="3"/>
  <c r="BH102" i="3"/>
  <c r="BF102" i="3"/>
  <c r="BS101" i="3"/>
  <c r="BO101" i="3"/>
  <c r="BM101" i="3"/>
  <c r="BI101" i="3"/>
  <c r="BH101" i="3"/>
  <c r="BS100" i="3"/>
  <c r="BO100" i="3"/>
  <c r="BK100" i="3"/>
  <c r="BR99" i="3"/>
  <c r="BF99" i="3"/>
  <c r="BQ98" i="3"/>
  <c r="BM98" i="3"/>
  <c r="BR97" i="3"/>
  <c r="BP97" i="3"/>
  <c r="BE97" i="3"/>
  <c r="BR96" i="3"/>
  <c r="BG96" i="3"/>
  <c r="BF96" i="3"/>
  <c r="BQ95" i="3"/>
  <c r="BO95" i="3"/>
  <c r="BN95" i="3"/>
  <c r="BI95" i="3"/>
  <c r="BH95" i="3"/>
  <c r="BO94" i="3"/>
  <c r="BL94" i="3"/>
  <c r="BI94" i="3"/>
  <c r="BE94" i="3"/>
  <c r="BI93" i="3"/>
  <c r="BF93" i="3"/>
  <c r="BC93" i="3"/>
  <c r="BB103" i="3"/>
  <c r="BD103" i="3" s="1"/>
  <c r="BB102" i="3"/>
  <c r="BD102" i="3" s="1"/>
  <c r="BB101" i="3"/>
  <c r="BB100" i="3"/>
  <c r="BB99" i="3"/>
  <c r="BB98" i="3"/>
  <c r="BB97" i="3"/>
  <c r="BB96" i="3"/>
  <c r="BB95" i="3"/>
  <c r="BB94" i="3"/>
  <c r="BD94" i="3" s="1"/>
  <c r="BB90" i="3"/>
  <c r="AG90" i="3"/>
  <c r="BC90" i="3" s="1"/>
  <c r="AG92" i="3"/>
  <c r="BC110" i="3" s="1"/>
  <c r="BB51" i="3"/>
  <c r="BB48" i="3"/>
  <c r="BB49" i="3"/>
  <c r="BB50" i="3"/>
  <c r="BJ73" i="3"/>
  <c r="BK73" i="3" s="1"/>
  <c r="BL73" i="3" s="1"/>
  <c r="BM73" i="3" s="1"/>
  <c r="BN73" i="3" s="1"/>
  <c r="BO73" i="3" s="1"/>
  <c r="BP73" i="3" s="1"/>
  <c r="BQ73" i="3" s="1"/>
  <c r="BR73" i="3" s="1"/>
  <c r="BS73" i="3" s="1"/>
  <c r="BH73" i="3"/>
  <c r="BE73" i="3"/>
  <c r="BC73" i="3"/>
  <c r="BS72" i="3"/>
  <c r="BN72" i="3"/>
  <c r="BK72" i="3"/>
  <c r="BC72" i="3"/>
  <c r="BB73" i="3"/>
  <c r="BB72" i="3"/>
  <c r="BS63" i="3"/>
  <c r="BP63" i="3"/>
  <c r="BN63" i="3"/>
  <c r="BL63" i="3"/>
  <c r="BI63" i="3"/>
  <c r="BH63" i="3"/>
  <c r="BC63" i="3"/>
  <c r="BR62" i="3"/>
  <c r="BP62" i="3"/>
  <c r="BN62" i="3"/>
  <c r="BL62" i="3"/>
  <c r="BK62" i="3"/>
  <c r="BJ62" i="3"/>
  <c r="BI62" i="3"/>
  <c r="BE62" i="3"/>
  <c r="BC62" i="3"/>
  <c r="BQ61" i="3"/>
  <c r="BP61" i="3"/>
  <c r="BO61" i="3"/>
  <c r="BN61" i="3"/>
  <c r="BK61" i="3"/>
  <c r="BH61" i="3"/>
  <c r="BC61" i="3"/>
  <c r="BR60" i="3"/>
  <c r="BO60" i="3"/>
  <c r="BN60" i="3"/>
  <c r="BM60" i="3"/>
  <c r="BL60" i="3"/>
  <c r="BK60" i="3"/>
  <c r="BJ60" i="3"/>
  <c r="BI60" i="3"/>
  <c r="BE60" i="3"/>
  <c r="BC60" i="3"/>
  <c r="BQ59" i="3"/>
  <c r="BP59" i="3"/>
  <c r="BO59" i="3"/>
  <c r="BL59" i="3"/>
  <c r="BK59" i="3"/>
  <c r="BH59" i="3"/>
  <c r="BC59" i="3"/>
  <c r="BS58" i="3"/>
  <c r="BP58" i="3"/>
  <c r="BM58" i="3"/>
  <c r="BL58" i="3"/>
  <c r="BK58" i="3"/>
  <c r="BH58" i="3"/>
  <c r="BC58" i="3"/>
  <c r="BS57" i="3"/>
  <c r="BP57" i="3"/>
  <c r="BN57" i="3"/>
  <c r="BL57" i="3"/>
  <c r="BI57" i="3"/>
  <c r="BH57" i="3"/>
  <c r="BF57" i="3"/>
  <c r="BC57" i="3"/>
  <c r="BS56" i="3"/>
  <c r="BR56" i="3"/>
  <c r="BP56" i="3"/>
  <c r="BN56" i="3"/>
  <c r="BL56" i="3"/>
  <c r="BH56" i="3"/>
  <c r="BC56" i="3"/>
  <c r="BQ55" i="3"/>
  <c r="BP55" i="3"/>
  <c r="BN55" i="3"/>
  <c r="BL55" i="3"/>
  <c r="BK55" i="3"/>
  <c r="BH55" i="3"/>
  <c r="BE55" i="3"/>
  <c r="BC55" i="3"/>
  <c r="BS54" i="3"/>
  <c r="BR54" i="3"/>
  <c r="BQ54" i="3"/>
  <c r="BN54" i="3"/>
  <c r="BL54" i="3"/>
  <c r="BJ54" i="3"/>
  <c r="BE54" i="3"/>
  <c r="BC54" i="3"/>
  <c r="BS53" i="3"/>
  <c r="BP53" i="3"/>
  <c r="BM53" i="3"/>
  <c r="BL53" i="3"/>
  <c r="BK53" i="3"/>
  <c r="BH53" i="3"/>
  <c r="BE53" i="3"/>
  <c r="BC53" i="3"/>
  <c r="BB63" i="3"/>
  <c r="BB62" i="3"/>
  <c r="BB61" i="3"/>
  <c r="BB60" i="3"/>
  <c r="BB59" i="3"/>
  <c r="BB58" i="3"/>
  <c r="BB57" i="3"/>
  <c r="BD57" i="3" s="1"/>
  <c r="BB56" i="3"/>
  <c r="BB55" i="3"/>
  <c r="BD55" i="3" s="1"/>
  <c r="BB54" i="3"/>
  <c r="BB53" i="3"/>
  <c r="AE15" i="2"/>
  <c r="AE13" i="2" s="1"/>
  <c r="M17" i="4"/>
  <c r="M16" i="4"/>
  <c r="M15" i="4"/>
  <c r="M114" i="4"/>
  <c r="M126" i="4"/>
  <c r="M12" i="4"/>
  <c r="M53" i="4"/>
  <c r="M46" i="4"/>
  <c r="M51" i="4"/>
  <c r="M110" i="4"/>
  <c r="M83" i="4"/>
  <c r="M73" i="4"/>
  <c r="M63" i="4"/>
  <c r="M55" i="4"/>
  <c r="M57" i="4"/>
  <c r="M120" i="4"/>
  <c r="M100" i="4"/>
  <c r="M94" i="4"/>
  <c r="M88" i="4"/>
  <c r="M87" i="4"/>
  <c r="M69" i="4"/>
  <c r="M40" i="4"/>
  <c r="M38" i="4"/>
  <c r="M37" i="4"/>
  <c r="M36" i="4"/>
  <c r="M35" i="4"/>
  <c r="M34" i="4"/>
  <c r="M33" i="4"/>
  <c r="M32" i="4"/>
  <c r="M31" i="4"/>
  <c r="M30" i="4"/>
  <c r="M29" i="4"/>
  <c r="M28" i="4"/>
  <c r="M27" i="4"/>
  <c r="M19" i="4"/>
  <c r="F4" i="5"/>
  <c r="C4" i="5"/>
  <c r="C3" i="5"/>
  <c r="H18" i="1"/>
  <c r="D7" i="2" s="1"/>
  <c r="I126" i="4"/>
  <c r="I120" i="4"/>
  <c r="I114" i="4"/>
  <c r="I112" i="4"/>
  <c r="I110" i="4"/>
  <c r="I100" i="4"/>
  <c r="I94" i="4"/>
  <c r="I88" i="4"/>
  <c r="I87" i="4"/>
  <c r="I83" i="4"/>
  <c r="I73" i="4"/>
  <c r="I69" i="4"/>
  <c r="I67" i="4"/>
  <c r="I63" i="4"/>
  <c r="I57" i="4"/>
  <c r="I55" i="4"/>
  <c r="I53" i="4"/>
  <c r="I51" i="4"/>
  <c r="I49" i="4"/>
  <c r="I48" i="4"/>
  <c r="I46" i="4"/>
  <c r="I40" i="4"/>
  <c r="I38" i="4"/>
  <c r="I37" i="4"/>
  <c r="I36" i="4"/>
  <c r="I35" i="4"/>
  <c r="I34" i="4"/>
  <c r="I33" i="4"/>
  <c r="I32" i="4"/>
  <c r="I31" i="4"/>
  <c r="I30" i="4"/>
  <c r="I29" i="4"/>
  <c r="I28" i="4"/>
  <c r="I27" i="4"/>
  <c r="I19" i="4"/>
  <c r="I17" i="4"/>
  <c r="I16" i="4"/>
  <c r="I15" i="4"/>
  <c r="I14" i="4"/>
  <c r="I12" i="4"/>
  <c r="AZ121" i="3"/>
  <c r="AZ119" i="3"/>
  <c r="AZ113" i="3"/>
  <c r="AZ112" i="3"/>
  <c r="AZ110" i="3"/>
  <c r="AZ103" i="3"/>
  <c r="AZ102" i="3"/>
  <c r="AZ101" i="3"/>
  <c r="AZ100" i="3"/>
  <c r="AZ99" i="3"/>
  <c r="AZ98" i="3"/>
  <c r="AZ97" i="3"/>
  <c r="AZ96" i="3"/>
  <c r="AZ95" i="3"/>
  <c r="AZ94" i="3"/>
  <c r="AZ93" i="3"/>
  <c r="AZ91" i="3"/>
  <c r="AZ90" i="3"/>
  <c r="AZ89" i="3"/>
  <c r="AZ82" i="3"/>
  <c r="AZ80" i="3"/>
  <c r="AZ73" i="3"/>
  <c r="AZ72" i="3"/>
  <c r="AG61" i="3"/>
  <c r="AH61" i="3" s="1"/>
  <c r="BE52" i="3" s="1"/>
  <c r="AF61" i="3"/>
  <c r="AZ63" i="3"/>
  <c r="AZ62" i="3"/>
  <c r="AZ61" i="3"/>
  <c r="AZ60" i="3"/>
  <c r="AZ59" i="3"/>
  <c r="AZ58" i="3"/>
  <c r="AZ57" i="3"/>
  <c r="AZ56" i="3"/>
  <c r="AZ55" i="3"/>
  <c r="AZ54" i="3"/>
  <c r="AZ53" i="3"/>
  <c r="AZ51" i="3"/>
  <c r="AZ50" i="3"/>
  <c r="AZ49" i="3"/>
  <c r="AJ61" i="3"/>
  <c r="BG52" i="3" s="1"/>
  <c r="BB71" i="3"/>
  <c r="DR16" i="3"/>
  <c r="DR17" i="3" s="1"/>
  <c r="DR14" i="3"/>
  <c r="DR15" i="3" s="1"/>
  <c r="DR9" i="3"/>
  <c r="DR10" i="3" s="1"/>
  <c r="DR8" i="3"/>
  <c r="DQ15" i="3"/>
  <c r="DQ16" i="3" s="1"/>
  <c r="DQ17" i="3" s="1"/>
  <c r="DQ14" i="3"/>
  <c r="DQ13" i="3"/>
  <c r="DQ12" i="3"/>
  <c r="DQ11" i="3"/>
  <c r="E128" i="4"/>
  <c r="F128" i="4" s="1"/>
  <c r="E126" i="4"/>
  <c r="F126" i="4" s="1"/>
  <c r="E124" i="4"/>
  <c r="F124" i="4" s="1"/>
  <c r="E122" i="4"/>
  <c r="F122" i="4" s="1"/>
  <c r="E120" i="4"/>
  <c r="F120" i="4" s="1"/>
  <c r="E118" i="4"/>
  <c r="F118" i="4" s="1"/>
  <c r="E116" i="4"/>
  <c r="F116" i="4" s="1"/>
  <c r="E114" i="4"/>
  <c r="F114" i="4" s="1"/>
  <c r="E112" i="4"/>
  <c r="F112" i="4" s="1"/>
  <c r="E110" i="4"/>
  <c r="F110" i="4" s="1"/>
  <c r="E108" i="4"/>
  <c r="F108" i="4" s="1"/>
  <c r="E106" i="4"/>
  <c r="F106" i="4" s="1"/>
  <c r="E104" i="4"/>
  <c r="F104" i="4" s="1"/>
  <c r="E102" i="4"/>
  <c r="F102" i="4" s="1"/>
  <c r="E100" i="4"/>
  <c r="F100" i="4" s="1"/>
  <c r="E98" i="4"/>
  <c r="F98" i="4" s="1"/>
  <c r="E96" i="4"/>
  <c r="F96" i="4" s="1"/>
  <c r="E94" i="4"/>
  <c r="F94" i="4" s="1"/>
  <c r="E92" i="4"/>
  <c r="F92" i="4" s="1"/>
  <c r="E90" i="4"/>
  <c r="F90" i="4" s="1"/>
  <c r="E87" i="4"/>
  <c r="F87" i="4" s="1"/>
  <c r="E85" i="4"/>
  <c r="F85" i="4" s="1"/>
  <c r="E83" i="4"/>
  <c r="F83" i="4" s="1"/>
  <c r="E81" i="4"/>
  <c r="F81" i="4" s="1"/>
  <c r="E79" i="4"/>
  <c r="F79" i="4" s="1"/>
  <c r="E77" i="4"/>
  <c r="F77" i="4" s="1"/>
  <c r="E75" i="4"/>
  <c r="F75" i="4" s="1"/>
  <c r="E73" i="4"/>
  <c r="F73" i="4" s="1"/>
  <c r="E71" i="4"/>
  <c r="F71" i="4" s="1"/>
  <c r="E69" i="4"/>
  <c r="F69" i="4" s="1"/>
  <c r="E67" i="4"/>
  <c r="F67" i="4" s="1"/>
  <c r="E65" i="4"/>
  <c r="F65" i="4" s="1"/>
  <c r="E63" i="4"/>
  <c r="F63" i="4" s="1"/>
  <c r="E61" i="4"/>
  <c r="F61" i="4" s="1"/>
  <c r="E59" i="4"/>
  <c r="F59" i="4" s="1"/>
  <c r="E57" i="4"/>
  <c r="F57" i="4" s="1"/>
  <c r="E55" i="4"/>
  <c r="F55" i="4" s="1"/>
  <c r="E53" i="4"/>
  <c r="F53" i="4" s="1"/>
  <c r="E51" i="4"/>
  <c r="F51" i="4" s="1"/>
  <c r="E48" i="4"/>
  <c r="E49" i="4" s="1"/>
  <c r="F49" i="4" s="1"/>
  <c r="E46" i="4"/>
  <c r="F46" i="4" s="1"/>
  <c r="E44" i="4"/>
  <c r="F44" i="4" s="1"/>
  <c r="E42" i="4"/>
  <c r="F42" i="4" s="1"/>
  <c r="E40" i="4"/>
  <c r="F40" i="4" s="1"/>
  <c r="E27" i="4"/>
  <c r="F27" i="4" s="1"/>
  <c r="E25" i="4"/>
  <c r="F25" i="4" s="1"/>
  <c r="E23" i="4"/>
  <c r="F23" i="4" s="1"/>
  <c r="E21" i="4"/>
  <c r="F21" i="4" s="1"/>
  <c r="E19" i="4"/>
  <c r="F19" i="4" s="1"/>
  <c r="E14" i="4"/>
  <c r="E15" i="4" s="1"/>
  <c r="E12" i="4"/>
  <c r="F12" i="4" s="1"/>
  <c r="E10" i="4"/>
  <c r="F10" i="4" s="1"/>
  <c r="E8" i="4"/>
  <c r="F8" i="4" s="1"/>
  <c r="E6" i="4"/>
  <c r="F6" i="4" s="1"/>
  <c r="EV19" i="3"/>
  <c r="EV18" i="3"/>
  <c r="EV17" i="3"/>
  <c r="EV16" i="3"/>
  <c r="EV15" i="3"/>
  <c r="DW42" i="3"/>
  <c r="EF6" i="3"/>
  <c r="M204" i="2" s="1"/>
  <c r="C149" i="2"/>
  <c r="S149" i="2" s="1"/>
  <c r="C148" i="2"/>
  <c r="S148" i="2" s="1"/>
  <c r="C147" i="2"/>
  <c r="S147" i="2" s="1"/>
  <c r="C146" i="2"/>
  <c r="R146" i="2" s="1"/>
  <c r="C145" i="2"/>
  <c r="S145" i="2" s="1"/>
  <c r="C144" i="2"/>
  <c r="S144" i="2" s="1"/>
  <c r="C143" i="2"/>
  <c r="T143" i="2" s="1"/>
  <c r="C142" i="2"/>
  <c r="S142" i="2" s="1"/>
  <c r="C141" i="2"/>
  <c r="S141" i="2" s="1"/>
  <c r="C140" i="2"/>
  <c r="S140" i="2" s="1"/>
  <c r="C139" i="2"/>
  <c r="S139" i="2" s="1"/>
  <c r="C138" i="2"/>
  <c r="S138" i="2" s="1"/>
  <c r="C137" i="2"/>
  <c r="R137" i="2" s="1"/>
  <c r="C136" i="2"/>
  <c r="S136" i="2" s="1"/>
  <c r="C135" i="2"/>
  <c r="T135" i="2" s="1"/>
  <c r="C134" i="2"/>
  <c r="R134" i="2" s="1"/>
  <c r="C133" i="2"/>
  <c r="R133" i="2" s="1"/>
  <c r="C132" i="2"/>
  <c r="S132" i="2" s="1"/>
  <c r="C131" i="2"/>
  <c r="S131" i="2" s="1"/>
  <c r="C130" i="2"/>
  <c r="S130" i="2" s="1"/>
  <c r="C129" i="2"/>
  <c r="S129" i="2" s="1"/>
  <c r="C128" i="2"/>
  <c r="S128" i="2" s="1"/>
  <c r="C127" i="2"/>
  <c r="T127" i="2" s="1"/>
  <c r="C126" i="2"/>
  <c r="T126" i="2" s="1"/>
  <c r="C125" i="2"/>
  <c r="R125" i="2" s="1"/>
  <c r="C124" i="2"/>
  <c r="S124" i="2" s="1"/>
  <c r="C123" i="2"/>
  <c r="S123" i="2" s="1"/>
  <c r="C122" i="2"/>
  <c r="S122" i="2" s="1"/>
  <c r="C121" i="2"/>
  <c r="R121" i="2" s="1"/>
  <c r="C120" i="2"/>
  <c r="S120" i="2" s="1"/>
  <c r="C119" i="2"/>
  <c r="S119" i="2" s="1"/>
  <c r="C118" i="2"/>
  <c r="T118" i="2" s="1"/>
  <c r="C117" i="2"/>
  <c r="R117" i="2" s="1"/>
  <c r="C116" i="2"/>
  <c r="T116" i="2" s="1"/>
  <c r="C115" i="2"/>
  <c r="S115" i="2" s="1"/>
  <c r="C114" i="2"/>
  <c r="S114" i="2" s="1"/>
  <c r="C113" i="2"/>
  <c r="S113" i="2" s="1"/>
  <c r="C112" i="2"/>
  <c r="S112" i="2" s="1"/>
  <c r="C111" i="2"/>
  <c r="T111" i="2" s="1"/>
  <c r="C110" i="2"/>
  <c r="S110" i="2" s="1"/>
  <c r="C109" i="2"/>
  <c r="S109" i="2" s="1"/>
  <c r="C108" i="2"/>
  <c r="S108" i="2" s="1"/>
  <c r="C107" i="2"/>
  <c r="T107" i="2" s="1"/>
  <c r="C106" i="2"/>
  <c r="T106" i="2" s="1"/>
  <c r="C105" i="2"/>
  <c r="S105" i="2" s="1"/>
  <c r="C104" i="2"/>
  <c r="S104" i="2" s="1"/>
  <c r="C103" i="2"/>
  <c r="S103" i="2" s="1"/>
  <c r="C102" i="2"/>
  <c r="T102" i="2" s="1"/>
  <c r="C101" i="2"/>
  <c r="S101" i="2" s="1"/>
  <c r="C100" i="2"/>
  <c r="S100" i="2" s="1"/>
  <c r="L21" i="2"/>
  <c r="M21" i="2"/>
  <c r="O21" i="2"/>
  <c r="N21" i="2"/>
  <c r="J9" i="1"/>
  <c r="I128" i="4"/>
  <c r="I124" i="4"/>
  <c r="I122" i="4"/>
  <c r="D118" i="4"/>
  <c r="I118" i="4" s="1"/>
  <c r="I116" i="4"/>
  <c r="I108" i="4"/>
  <c r="I106" i="4"/>
  <c r="I104" i="4"/>
  <c r="D102" i="4"/>
  <c r="I102" i="4" s="1"/>
  <c r="D98" i="4"/>
  <c r="I98" i="4" s="1"/>
  <c r="I96" i="4"/>
  <c r="I92" i="4"/>
  <c r="I90" i="4"/>
  <c r="I85" i="4"/>
  <c r="I81" i="4"/>
  <c r="I79" i="4"/>
  <c r="I77" i="4"/>
  <c r="I75" i="4"/>
  <c r="I71" i="4"/>
  <c r="I65" i="4"/>
  <c r="I61" i="4"/>
  <c r="I59" i="4"/>
  <c r="I44" i="4"/>
  <c r="D42" i="4"/>
  <c r="I42" i="4"/>
  <c r="I25" i="4"/>
  <c r="I23" i="4"/>
  <c r="I21" i="4"/>
  <c r="I10" i="4"/>
  <c r="I8" i="4"/>
  <c r="I6" i="4"/>
  <c r="CH49" i="3"/>
  <c r="CH46" i="3"/>
  <c r="CH42" i="3"/>
  <c r="CH36" i="3"/>
  <c r="CH34" i="3"/>
  <c r="CH31" i="3"/>
  <c r="CH52" i="3"/>
  <c r="CH39" i="3"/>
  <c r="CH32" i="3"/>
  <c r="CH22" i="3"/>
  <c r="CH21" i="3"/>
  <c r="CH20" i="3"/>
  <c r="CH11" i="3"/>
  <c r="CH9" i="3"/>
  <c r="CH7" i="3"/>
  <c r="CZ12" i="3"/>
  <c r="CZ11" i="3"/>
  <c r="CZ10" i="3"/>
  <c r="CZ9" i="3"/>
  <c r="CZ8" i="3"/>
  <c r="CZ7" i="3"/>
  <c r="CZ6" i="3"/>
  <c r="AG10" i="3"/>
  <c r="AT10" i="3" s="1"/>
  <c r="AF10" i="3"/>
  <c r="AF9" i="3" s="1"/>
  <c r="AG7" i="3"/>
  <c r="AF7" i="3"/>
  <c r="AC50" i="3" s="1"/>
  <c r="AC30" i="3"/>
  <c r="AC29" i="3"/>
  <c r="AC28" i="3"/>
  <c r="AC27" i="3"/>
  <c r="AC26" i="3"/>
  <c r="AC25" i="3"/>
  <c r="AC24" i="3"/>
  <c r="AC23" i="3"/>
  <c r="AC22" i="3"/>
  <c r="AC20" i="3"/>
  <c r="AG9" i="3"/>
  <c r="AT9" i="3" s="1"/>
  <c r="BQ7" i="3" s="1"/>
  <c r="AV10" i="3"/>
  <c r="AU10" i="3"/>
  <c r="AQ10" i="3"/>
  <c r="AL9" i="3"/>
  <c r="BI7" i="3" s="1"/>
  <c r="M14" i="4"/>
  <c r="K237" i="2"/>
  <c r="D237" i="2"/>
  <c r="O237" i="2" s="1"/>
  <c r="K236" i="2"/>
  <c r="D236" i="2"/>
  <c r="N236" i="2" s="1"/>
  <c r="M236" i="2" s="1"/>
  <c r="L236" i="2" s="1"/>
  <c r="K235" i="2"/>
  <c r="D235" i="2"/>
  <c r="O235" i="2" s="1"/>
  <c r="K234" i="2"/>
  <c r="D234" i="2"/>
  <c r="O234" i="2" s="1"/>
  <c r="K233" i="2"/>
  <c r="D233" i="2"/>
  <c r="O233" i="2" s="1"/>
  <c r="K232" i="2"/>
  <c r="D232" i="2"/>
  <c r="N232" i="2" s="1"/>
  <c r="M232" i="2" s="1"/>
  <c r="L232" i="2" s="1"/>
  <c r="K231" i="2"/>
  <c r="D231" i="2"/>
  <c r="O231" i="2" s="1"/>
  <c r="K230" i="2"/>
  <c r="K229" i="2"/>
  <c r="D229" i="2" s="1"/>
  <c r="N229" i="2" s="1"/>
  <c r="M229" i="2" s="1"/>
  <c r="L229" i="2" s="1"/>
  <c r="K228" i="2"/>
  <c r="N231" i="2"/>
  <c r="M231" i="2" s="1"/>
  <c r="L231" i="2" s="1"/>
  <c r="D230" i="2"/>
  <c r="O230" i="2" s="1"/>
  <c r="O232" i="2"/>
  <c r="N234" i="2"/>
  <c r="M234" i="2" s="1"/>
  <c r="L234" i="2" s="1"/>
  <c r="D228" i="2"/>
  <c r="C158" i="2"/>
  <c r="S158" i="2" s="1"/>
  <c r="C157" i="2"/>
  <c r="R157" i="2" s="1"/>
  <c r="C156" i="2"/>
  <c r="S156" i="2" s="1"/>
  <c r="C155" i="2"/>
  <c r="T155" i="2" s="1"/>
  <c r="C154" i="2"/>
  <c r="S154" i="2" s="1"/>
  <c r="C153" i="2"/>
  <c r="S153" i="2" s="1"/>
  <c r="C152" i="2"/>
  <c r="S152" i="2" s="1"/>
  <c r="C151" i="2"/>
  <c r="T151" i="2" s="1"/>
  <c r="C150" i="2"/>
  <c r="S150" i="2" s="1"/>
  <c r="C99" i="2"/>
  <c r="R99" i="2" s="1"/>
  <c r="C98" i="2"/>
  <c r="S98" i="2" s="1"/>
  <c r="C97" i="2"/>
  <c r="T97" i="2" s="1"/>
  <c r="C96" i="2"/>
  <c r="T96" i="2" s="1"/>
  <c r="C95" i="2"/>
  <c r="R95" i="2" s="1"/>
  <c r="C94" i="2"/>
  <c r="T94" i="2" s="1"/>
  <c r="C93" i="2"/>
  <c r="S93" i="2" s="1"/>
  <c r="C92" i="2"/>
  <c r="S92" i="2" s="1"/>
  <c r="C91" i="2"/>
  <c r="R91" i="2" s="1"/>
  <c r="C90" i="2"/>
  <c r="S90" i="2" s="1"/>
  <c r="C89" i="2"/>
  <c r="T89" i="2" s="1"/>
  <c r="C88" i="2"/>
  <c r="S88" i="2" s="1"/>
  <c r="C87" i="2"/>
  <c r="R87" i="2" s="1"/>
  <c r="C86" i="2"/>
  <c r="R86" i="2" s="1"/>
  <c r="C85" i="2"/>
  <c r="S85" i="2" s="1"/>
  <c r="C84" i="2"/>
  <c r="S84" i="2" s="1"/>
  <c r="C159" i="2"/>
  <c r="S159" i="2" s="1"/>
  <c r="C83" i="2"/>
  <c r="S83" i="2" s="1"/>
  <c r="C82" i="2"/>
  <c r="S82" i="2" s="1"/>
  <c r="C81" i="2"/>
  <c r="S81" i="2" s="1"/>
  <c r="C80" i="2"/>
  <c r="T80" i="2" s="1"/>
  <c r="C79" i="2"/>
  <c r="T79" i="2" s="1"/>
  <c r="C78" i="2"/>
  <c r="T78" i="2" s="1"/>
  <c r="C77" i="2"/>
  <c r="S77" i="2" s="1"/>
  <c r="C76" i="2"/>
  <c r="R76" i="2" s="1"/>
  <c r="C75" i="2"/>
  <c r="S75" i="2" s="1"/>
  <c r="C74" i="2"/>
  <c r="S74" i="2" s="1"/>
  <c r="C73" i="2"/>
  <c r="S73" i="2" s="1"/>
  <c r="C72" i="2"/>
  <c r="T72" i="2" s="1"/>
  <c r="C71" i="2"/>
  <c r="T71" i="2" s="1"/>
  <c r="C70" i="2"/>
  <c r="S70" i="2" s="1"/>
  <c r="C69" i="2"/>
  <c r="S69" i="2" s="1"/>
  <c r="C68" i="2"/>
  <c r="T68" i="2" s="1"/>
  <c r="C67" i="2"/>
  <c r="S67" i="2" s="1"/>
  <c r="C66" i="2"/>
  <c r="S66" i="2" s="1"/>
  <c r="C65" i="2"/>
  <c r="S65" i="2" s="1"/>
  <c r="C64" i="2"/>
  <c r="S64" i="2" s="1"/>
  <c r="C63" i="2"/>
  <c r="S63" i="2" s="1"/>
  <c r="C62" i="2"/>
  <c r="T62" i="2" s="1"/>
  <c r="C61" i="2"/>
  <c r="T61" i="2" s="1"/>
  <c r="C60" i="2"/>
  <c r="S60" i="2" s="1"/>
  <c r="N230" i="2"/>
  <c r="M230" i="2" s="1"/>
  <c r="L230" i="2" s="1"/>
  <c r="D215" i="2"/>
  <c r="O215" i="2" s="1"/>
  <c r="K226" i="2"/>
  <c r="N226" i="2" s="1"/>
  <c r="M226" i="2" s="1"/>
  <c r="L226" i="2" s="1"/>
  <c r="K225" i="2"/>
  <c r="D225" i="2" s="1"/>
  <c r="K224" i="2"/>
  <c r="O224" i="2" s="1"/>
  <c r="K223" i="2"/>
  <c r="D223" i="2" s="1"/>
  <c r="K222" i="2"/>
  <c r="O222" i="2" s="1"/>
  <c r="E215" i="2"/>
  <c r="E216" i="2" s="1"/>
  <c r="E217" i="2" s="1"/>
  <c r="E218" i="2" s="1"/>
  <c r="E219" i="2" s="1"/>
  <c r="E220" i="2" s="1"/>
  <c r="E221" i="2" s="1"/>
  <c r="E222" i="2" s="1"/>
  <c r="E223" i="2" s="1"/>
  <c r="E224" i="2" s="1"/>
  <c r="E225" i="2" s="1"/>
  <c r="E226" i="2" s="1"/>
  <c r="E227" i="2" s="1"/>
  <c r="E228" i="2" s="1"/>
  <c r="E229" i="2" s="1"/>
  <c r="E230" i="2" s="1"/>
  <c r="E231" i="2" s="1"/>
  <c r="E232" i="2" s="1"/>
  <c r="E233" i="2" s="1"/>
  <c r="E234" i="2" s="1"/>
  <c r="E235" i="2" s="1"/>
  <c r="E236" i="2" s="1"/>
  <c r="E237" i="2" s="1"/>
  <c r="E238" i="2" s="1"/>
  <c r="D224" i="2"/>
  <c r="D226" i="2"/>
  <c r="D222" i="2"/>
  <c r="N222" i="2"/>
  <c r="M222" i="2" s="1"/>
  <c r="L222" i="2" s="1"/>
  <c r="O226" i="2"/>
  <c r="U15" i="2"/>
  <c r="U13" i="2" s="1"/>
  <c r="BI31" i="3"/>
  <c r="BH31" i="3"/>
  <c r="BG31" i="3"/>
  <c r="BF31" i="3"/>
  <c r="BE31" i="3"/>
  <c r="BC31" i="3"/>
  <c r="BI30" i="3"/>
  <c r="BG30" i="3"/>
  <c r="BE30" i="3"/>
  <c r="BC30" i="3"/>
  <c r="BB31" i="3"/>
  <c r="BD31" i="3" s="1"/>
  <c r="BB30" i="3"/>
  <c r="AZ39" i="3"/>
  <c r="AZ37" i="3"/>
  <c r="AZ31" i="3"/>
  <c r="S14" i="2" s="1"/>
  <c r="AZ30" i="3"/>
  <c r="AZ28" i="3"/>
  <c r="AZ21" i="3"/>
  <c r="AZ20" i="3"/>
  <c r="AZ19" i="3"/>
  <c r="AZ18" i="3"/>
  <c r="AZ17" i="3"/>
  <c r="AZ16" i="3"/>
  <c r="AZ15" i="3"/>
  <c r="AZ14" i="3"/>
  <c r="AZ13" i="3"/>
  <c r="AZ12" i="3"/>
  <c r="AZ11" i="3"/>
  <c r="AZ9" i="3"/>
  <c r="AZ8" i="3"/>
  <c r="AZ7" i="3"/>
  <c r="M114" i="2"/>
  <c r="O114" i="2" s="1"/>
  <c r="M65" i="2"/>
  <c r="O65" i="2" s="1"/>
  <c r="M129" i="2"/>
  <c r="O129" i="2" s="1"/>
  <c r="M88" i="2"/>
  <c r="O88" i="2" s="1"/>
  <c r="M80" i="2"/>
  <c r="O80" i="2" s="1"/>
  <c r="M62" i="2"/>
  <c r="O62" i="2" s="1"/>
  <c r="M134" i="2"/>
  <c r="O134" i="2" s="1"/>
  <c r="M118" i="2"/>
  <c r="O118" i="2" s="1"/>
  <c r="M110" i="2"/>
  <c r="O110" i="2" s="1"/>
  <c r="M76" i="2"/>
  <c r="O76" i="2" s="1"/>
  <c r="M140" i="2"/>
  <c r="O140" i="2" s="1"/>
  <c r="M132" i="2"/>
  <c r="O132" i="2" s="1"/>
  <c r="M124" i="2"/>
  <c r="O124" i="2" s="1"/>
  <c r="M116" i="2"/>
  <c r="O116" i="2" s="1"/>
  <c r="M108" i="2"/>
  <c r="O108" i="2" s="1"/>
  <c r="S20" i="2"/>
  <c r="BS21" i="3"/>
  <c r="BR21" i="3"/>
  <c r="BQ21" i="3"/>
  <c r="BP21" i="3"/>
  <c r="BO21" i="3"/>
  <c r="BM21" i="3"/>
  <c r="BL21" i="3"/>
  <c r="BK21" i="3"/>
  <c r="BJ21" i="3"/>
  <c r="BI21" i="3"/>
  <c r="BH21" i="3"/>
  <c r="BF21" i="3"/>
  <c r="BE21" i="3"/>
  <c r="BC21" i="3"/>
  <c r="BS20" i="3"/>
  <c r="BR20" i="3"/>
  <c r="BQ20" i="3"/>
  <c r="BP20" i="3"/>
  <c r="BN20" i="3"/>
  <c r="BM20" i="3"/>
  <c r="BL20" i="3"/>
  <c r="BK20" i="3"/>
  <c r="BI20" i="3"/>
  <c r="BH20" i="3"/>
  <c r="BG20" i="3"/>
  <c r="BF20" i="3"/>
  <c r="BE20" i="3"/>
  <c r="BC20" i="3"/>
  <c r="BS19" i="3"/>
  <c r="BQ19" i="3"/>
  <c r="BP19" i="3"/>
  <c r="BO19" i="3"/>
  <c r="BN19" i="3"/>
  <c r="BM19" i="3"/>
  <c r="BK19" i="3"/>
  <c r="BJ19" i="3"/>
  <c r="BI19" i="3"/>
  <c r="BH19" i="3"/>
  <c r="BG19" i="3"/>
  <c r="BF19" i="3"/>
  <c r="BC19" i="3"/>
  <c r="BS18" i="3"/>
  <c r="BR18" i="3"/>
  <c r="BQ18" i="3"/>
  <c r="BP18" i="3"/>
  <c r="BO18" i="3"/>
  <c r="BN18" i="3"/>
  <c r="BL18" i="3"/>
  <c r="BK18" i="3"/>
  <c r="BJ18" i="3"/>
  <c r="BI18" i="3"/>
  <c r="BH18" i="3"/>
  <c r="BF18" i="3"/>
  <c r="BE18" i="3"/>
  <c r="BC18" i="3"/>
  <c r="BS17" i="3"/>
  <c r="BR17" i="3"/>
  <c r="BQ17" i="3"/>
  <c r="BP17" i="3"/>
  <c r="BO17" i="3"/>
  <c r="BN17" i="3"/>
  <c r="BM17" i="3"/>
  <c r="BL17" i="3"/>
  <c r="BK17" i="3"/>
  <c r="BJ17" i="3"/>
  <c r="BI17" i="3"/>
  <c r="BH17" i="3"/>
  <c r="BG17" i="3"/>
  <c r="BF17" i="3"/>
  <c r="BE17" i="3"/>
  <c r="BC17" i="3"/>
  <c r="BS16" i="3"/>
  <c r="BR16" i="3"/>
  <c r="BQ16" i="3"/>
  <c r="BP16" i="3"/>
  <c r="BO16" i="3"/>
  <c r="BN16" i="3"/>
  <c r="BM16" i="3"/>
  <c r="BL16" i="3"/>
  <c r="BK16" i="3"/>
  <c r="BJ16" i="3"/>
  <c r="BI16" i="3"/>
  <c r="BH16" i="3"/>
  <c r="BG16" i="3"/>
  <c r="BC16" i="3"/>
  <c r="BS15" i="3"/>
  <c r="BR15" i="3"/>
  <c r="BQ15" i="3"/>
  <c r="BP15" i="3"/>
  <c r="BO15" i="3"/>
  <c r="BM15" i="3"/>
  <c r="BL15" i="3"/>
  <c r="BK15" i="3"/>
  <c r="BJ15" i="3"/>
  <c r="BI15" i="3"/>
  <c r="BH15" i="3"/>
  <c r="BG15" i="3"/>
  <c r="BF15" i="3"/>
  <c r="BE15" i="3"/>
  <c r="BC15" i="3"/>
  <c r="BS14" i="3"/>
  <c r="BR14" i="3"/>
  <c r="BQ14" i="3"/>
  <c r="BP14" i="3"/>
  <c r="BO14" i="3"/>
  <c r="BN14" i="3"/>
  <c r="BM14" i="3"/>
  <c r="BL14" i="3"/>
  <c r="BK14" i="3"/>
  <c r="BJ14" i="3"/>
  <c r="BI14" i="3"/>
  <c r="BH14" i="3"/>
  <c r="BG14" i="3"/>
  <c r="BF14" i="3"/>
  <c r="BE14" i="3"/>
  <c r="BC14" i="3"/>
  <c r="BR13" i="3"/>
  <c r="BQ13" i="3"/>
  <c r="BP13" i="3"/>
  <c r="BO13" i="3"/>
  <c r="BN13" i="3"/>
  <c r="BM13" i="3"/>
  <c r="BK13" i="3"/>
  <c r="BJ13" i="3"/>
  <c r="BI13" i="3"/>
  <c r="BH13" i="3"/>
  <c r="BG13" i="3"/>
  <c r="BE13" i="3"/>
  <c r="BC13" i="3"/>
  <c r="BS12" i="3"/>
  <c r="BR12" i="3"/>
  <c r="BQ12" i="3"/>
  <c r="BP12" i="3"/>
  <c r="BO12" i="3"/>
  <c r="BN12" i="3"/>
  <c r="BM12" i="3"/>
  <c r="BL12" i="3"/>
  <c r="BK12" i="3"/>
  <c r="BJ12" i="3"/>
  <c r="BI12" i="3"/>
  <c r="BH12" i="3"/>
  <c r="BG12" i="3"/>
  <c r="BF12" i="3"/>
  <c r="BE12" i="3"/>
  <c r="BC12" i="3"/>
  <c r="BS11" i="3"/>
  <c r="BR11" i="3"/>
  <c r="BQ11" i="3"/>
  <c r="BP11" i="3"/>
  <c r="BM11" i="3"/>
  <c r="BL11" i="3"/>
  <c r="BL10" i="3" s="1"/>
  <c r="BK11" i="3"/>
  <c r="BJ11" i="3"/>
  <c r="BI11" i="3"/>
  <c r="BI10" i="3" s="1"/>
  <c r="BH11" i="3"/>
  <c r="BG11" i="3"/>
  <c r="BF11" i="3"/>
  <c r="BE11" i="3"/>
  <c r="BC11" i="3"/>
  <c r="BB21" i="3"/>
  <c r="BB20" i="3"/>
  <c r="BB19" i="3"/>
  <c r="BB18" i="3"/>
  <c r="BB17" i="3"/>
  <c r="BD17" i="3" s="1"/>
  <c r="BB16" i="3"/>
  <c r="BB15" i="3"/>
  <c r="BB14" i="3"/>
  <c r="BB13" i="3"/>
  <c r="BD13" i="3" s="1"/>
  <c r="BB12" i="3"/>
  <c r="BB11" i="3"/>
  <c r="Y11" i="2"/>
  <c r="S9" i="2" s="1" a="1"/>
  <c r="S9" i="2" s="1"/>
  <c r="T9" i="2" s="1"/>
  <c r="BC37" i="3"/>
  <c r="BC119" i="3" s="1"/>
  <c r="BC89" i="3" s="1"/>
  <c r="N14" i="2"/>
  <c r="N13" i="11" s="1"/>
  <c r="J242" i="2"/>
  <c r="K238" i="2"/>
  <c r="D238" i="2" s="1"/>
  <c r="O238" i="2" s="1"/>
  <c r="K227" i="2"/>
  <c r="D227" i="2" s="1"/>
  <c r="O227" i="2" s="1"/>
  <c r="K221" i="2"/>
  <c r="D221" i="2" s="1"/>
  <c r="O221" i="2" s="1"/>
  <c r="K220" i="2"/>
  <c r="D220" i="2"/>
  <c r="N220" i="2" s="1"/>
  <c r="M220" i="2" s="1"/>
  <c r="L220" i="2" s="1"/>
  <c r="K219" i="2"/>
  <c r="K218" i="2"/>
  <c r="D218" i="2" s="1"/>
  <c r="K217" i="2"/>
  <c r="D217" i="2" s="1"/>
  <c r="O217" i="2" s="1"/>
  <c r="D216" i="2"/>
  <c r="K214" i="2"/>
  <c r="D214" i="2" s="1"/>
  <c r="D219" i="2"/>
  <c r="N219" i="2" s="1"/>
  <c r="M219" i="2" s="1"/>
  <c r="L219" i="2" s="1"/>
  <c r="O220" i="2"/>
  <c r="R79" i="2"/>
  <c r="R65" i="2"/>
  <c r="C179" i="2"/>
  <c r="C180" i="2"/>
  <c r="C181" i="2"/>
  <c r="C202" i="2"/>
  <c r="C201" i="2"/>
  <c r="C200" i="2"/>
  <c r="C199" i="2"/>
  <c r="C197" i="2"/>
  <c r="C196" i="2"/>
  <c r="C192" i="2"/>
  <c r="C191" i="2"/>
  <c r="C190" i="2"/>
  <c r="C188" i="2"/>
  <c r="C187" i="2"/>
  <c r="C186" i="2"/>
  <c r="C185" i="2"/>
  <c r="C184" i="2"/>
  <c r="C183" i="2"/>
  <c r="C178" i="2"/>
  <c r="C177" i="2"/>
  <c r="C176" i="2"/>
  <c r="C175" i="2"/>
  <c r="EM22" i="3"/>
  <c r="EM16" i="3"/>
  <c r="I3" i="2"/>
  <c r="G3" i="2"/>
  <c r="D3" i="2"/>
  <c r="B3" i="2"/>
  <c r="DP15" i="3"/>
  <c r="DP16" i="3" s="1"/>
  <c r="DP13" i="3"/>
  <c r="DP11" i="3"/>
  <c r="DQ10" i="3"/>
  <c r="DQ7" i="3"/>
  <c r="DQ8" i="3" s="1"/>
  <c r="D62" i="2"/>
  <c r="D63" i="2" s="1"/>
  <c r="D64" i="2" s="1"/>
  <c r="D65" i="2" s="1"/>
  <c r="D66" i="2" s="1"/>
  <c r="D67" i="2" s="1"/>
  <c r="D68" i="2" s="1"/>
  <c r="D69" i="2" s="1"/>
  <c r="D70" i="2" s="1"/>
  <c r="D71" i="2" s="1"/>
  <c r="D72" i="2" s="1"/>
  <c r="D73" i="2" s="1"/>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110" i="2" s="1"/>
  <c r="D111" i="2" s="1"/>
  <c r="D112" i="2" s="1"/>
  <c r="D113" i="2" s="1"/>
  <c r="D114" i="2" s="1"/>
  <c r="D115" i="2" s="1"/>
  <c r="D116" i="2" s="1"/>
  <c r="D117" i="2" s="1"/>
  <c r="D118" i="2" s="1"/>
  <c r="D119" i="2" s="1"/>
  <c r="D120" i="2" s="1"/>
  <c r="D121" i="2" s="1"/>
  <c r="D122" i="2" s="1"/>
  <c r="D123" i="2" s="1"/>
  <c r="D124" i="2" s="1"/>
  <c r="D125" i="2" s="1"/>
  <c r="D126" i="2" s="1"/>
  <c r="D127" i="2" s="1"/>
  <c r="D128" i="2" s="1"/>
  <c r="D129" i="2" s="1"/>
  <c r="D130" i="2" s="1"/>
  <c r="L54" i="2"/>
  <c r="L47" i="2"/>
  <c r="C47" i="2" s="1"/>
  <c r="CW13" i="3"/>
  <c r="CW12" i="3"/>
  <c r="CW11" i="3"/>
  <c r="CW10" i="3"/>
  <c r="CW9" i="3"/>
  <c r="CW8" i="3"/>
  <c r="CW7" i="3"/>
  <c r="CW6" i="3"/>
  <c r="CT13" i="3"/>
  <c r="CT12" i="3"/>
  <c r="CT11" i="3"/>
  <c r="CT10" i="3"/>
  <c r="CT9" i="3"/>
  <c r="CT8" i="3"/>
  <c r="CT7" i="3"/>
  <c r="CT6" i="3"/>
  <c r="K45" i="2"/>
  <c r="K44" i="2"/>
  <c r="K43" i="2"/>
  <c r="K42" i="2"/>
  <c r="K41" i="2"/>
  <c r="K40" i="2"/>
  <c r="K39" i="2"/>
  <c r="K38" i="2"/>
  <c r="K37" i="2"/>
  <c r="K36" i="2"/>
  <c r="K35" i="2"/>
  <c r="K34" i="2"/>
  <c r="K33" i="2"/>
  <c r="K32" i="2"/>
  <c r="K31" i="2"/>
  <c r="K30" i="2"/>
  <c r="K29" i="2"/>
  <c r="K28" i="2"/>
  <c r="K27" i="2"/>
  <c r="K26" i="2"/>
  <c r="K25" i="2"/>
  <c r="K24" i="2"/>
  <c r="K23" i="2"/>
  <c r="K22" i="2"/>
  <c r="E45" i="2"/>
  <c r="E44" i="2"/>
  <c r="E43" i="2"/>
  <c r="E42" i="2"/>
  <c r="E41" i="2"/>
  <c r="E40" i="2"/>
  <c r="E39" i="2"/>
  <c r="E38" i="2"/>
  <c r="E37" i="2"/>
  <c r="E36" i="2"/>
  <c r="E35" i="2"/>
  <c r="E34" i="2"/>
  <c r="E33" i="2"/>
  <c r="E32" i="2"/>
  <c r="E31" i="2"/>
  <c r="E30" i="2"/>
  <c r="E29" i="2"/>
  <c r="E28" i="2"/>
  <c r="E27" i="2"/>
  <c r="E26" i="2"/>
  <c r="E25" i="2"/>
  <c r="E24" i="2"/>
  <c r="E23" i="2"/>
  <c r="E22" i="2"/>
  <c r="CG53" i="3"/>
  <c r="CG48" i="3"/>
  <c r="CG47" i="3"/>
  <c r="CG40" i="3"/>
  <c r="CG35" i="3"/>
  <c r="CG25" i="3"/>
  <c r="CG23" i="3"/>
  <c r="CG19" i="3"/>
  <c r="CG18" i="3"/>
  <c r="CG13" i="3"/>
  <c r="CG12" i="3"/>
  <c r="CG6" i="3"/>
  <c r="CG41" i="3"/>
  <c r="CG28" i="3"/>
  <c r="CG50" i="3"/>
  <c r="CG45" i="3"/>
  <c r="CG43" i="3"/>
  <c r="CG38" i="3"/>
  <c r="CG27" i="3"/>
  <c r="CG26" i="3"/>
  <c r="CG51" i="3"/>
  <c r="CG14" i="3"/>
  <c r="CG44" i="3"/>
  <c r="CG37" i="3"/>
  <c r="CG33" i="3"/>
  <c r="CG30" i="3"/>
  <c r="CG29" i="3"/>
  <c r="CG24" i="3"/>
  <c r="CG17" i="3"/>
  <c r="CG16" i="3"/>
  <c r="CG15" i="3"/>
  <c r="CG10" i="3"/>
  <c r="CG8" i="3"/>
  <c r="CG49" i="3"/>
  <c r="CG46" i="3"/>
  <c r="CG42" i="3"/>
  <c r="CG36" i="3"/>
  <c r="CG34" i="3"/>
  <c r="CG31" i="3"/>
  <c r="CG9" i="3"/>
  <c r="CG7" i="3"/>
  <c r="CG52" i="3"/>
  <c r="CG39" i="3"/>
  <c r="CG32" i="3"/>
  <c r="CG22" i="3"/>
  <c r="CG21" i="3"/>
  <c r="CG20" i="3"/>
  <c r="CG11" i="3"/>
  <c r="U18" i="2"/>
  <c r="S16" i="2" s="1"/>
  <c r="C128" i="4"/>
  <c r="C129" i="4" s="1"/>
  <c r="C126" i="4"/>
  <c r="C127" i="4" s="1"/>
  <c r="C124" i="4"/>
  <c r="C125" i="4" s="1"/>
  <c r="C122" i="4"/>
  <c r="C123" i="4" s="1"/>
  <c r="C120" i="4"/>
  <c r="C121" i="4" s="1"/>
  <c r="C118" i="4"/>
  <c r="C119" i="4" s="1"/>
  <c r="C116" i="4"/>
  <c r="C117" i="4" s="1"/>
  <c r="C114" i="4"/>
  <c r="C115" i="4" s="1"/>
  <c r="C112" i="4"/>
  <c r="C113" i="4" s="1"/>
  <c r="C110" i="4"/>
  <c r="C111" i="4" s="1"/>
  <c r="C108" i="4"/>
  <c r="C109" i="4" s="1"/>
  <c r="C106" i="4"/>
  <c r="C107" i="4" s="1"/>
  <c r="C104" i="4"/>
  <c r="C105" i="4" s="1"/>
  <c r="C102" i="4"/>
  <c r="C103" i="4" s="1"/>
  <c r="C100" i="4"/>
  <c r="C101" i="4" s="1"/>
  <c r="C98" i="4"/>
  <c r="C99" i="4" s="1"/>
  <c r="C96" i="4"/>
  <c r="C97" i="4" s="1"/>
  <c r="C94" i="4"/>
  <c r="C95" i="4" s="1"/>
  <c r="C92" i="4"/>
  <c r="C93" i="4" s="1"/>
  <c r="C90" i="4"/>
  <c r="C91" i="4" s="1"/>
  <c r="C87" i="4"/>
  <c r="C88" i="4" s="1"/>
  <c r="C89" i="4" s="1"/>
  <c r="C85" i="4"/>
  <c r="C86" i="4"/>
  <c r="C83" i="4"/>
  <c r="C84" i="4"/>
  <c r="C81" i="4"/>
  <c r="C82" i="4"/>
  <c r="C79" i="4"/>
  <c r="C80" i="4"/>
  <c r="C77" i="4"/>
  <c r="C78" i="4"/>
  <c r="C75" i="4"/>
  <c r="C76" i="4"/>
  <c r="C73" i="4"/>
  <c r="C74" i="4"/>
  <c r="C71" i="4"/>
  <c r="C72" i="4"/>
  <c r="C69" i="4"/>
  <c r="C70" i="4"/>
  <c r="C67" i="4"/>
  <c r="C68" i="4"/>
  <c r="C65" i="4"/>
  <c r="C66" i="4"/>
  <c r="C63" i="4"/>
  <c r="C64" i="4"/>
  <c r="C61" i="4"/>
  <c r="C62" i="4"/>
  <c r="C59" i="4"/>
  <c r="C60" i="4"/>
  <c r="C57" i="4"/>
  <c r="C58" i="4"/>
  <c r="C55" i="4"/>
  <c r="C56" i="4"/>
  <c r="C53" i="4"/>
  <c r="C54" i="4"/>
  <c r="C51" i="4"/>
  <c r="C52" i="4"/>
  <c r="C48" i="4"/>
  <c r="C49" i="4"/>
  <c r="C50" i="4" s="1"/>
  <c r="C46" i="4"/>
  <c r="C47" i="4" s="1"/>
  <c r="C44" i="4"/>
  <c r="C45" i="4" s="1"/>
  <c r="C42" i="4"/>
  <c r="C43" i="4" s="1"/>
  <c r="C40" i="4"/>
  <c r="C41" i="4" s="1"/>
  <c r="C27" i="4"/>
  <c r="C28" i="4" s="1"/>
  <c r="C29" i="4" s="1"/>
  <c r="C30" i="4" s="1"/>
  <c r="C31" i="4" s="1"/>
  <c r="C32" i="4" s="1"/>
  <c r="C33" i="4" s="1"/>
  <c r="C34" i="4" s="1"/>
  <c r="C35" i="4" s="1"/>
  <c r="C36" i="4" s="1"/>
  <c r="C37" i="4" s="1"/>
  <c r="C38" i="4" s="1"/>
  <c r="C39" i="4" s="1"/>
  <c r="C25" i="4"/>
  <c r="C26" i="4"/>
  <c r="C23" i="4"/>
  <c r="C24" i="4"/>
  <c r="C21" i="4"/>
  <c r="C22" i="4"/>
  <c r="C19" i="4"/>
  <c r="C20" i="4"/>
  <c r="C14" i="4"/>
  <c r="C15" i="4"/>
  <c r="C16" i="4" s="1"/>
  <c r="C17" i="4" s="1"/>
  <c r="C18" i="4" s="1"/>
  <c r="C12" i="4"/>
  <c r="C13" i="4" s="1"/>
  <c r="C10" i="4"/>
  <c r="C11" i="4" s="1"/>
  <c r="C8" i="4"/>
  <c r="C9" i="4" s="1"/>
  <c r="C6" i="4"/>
  <c r="C7" i="4" s="1"/>
  <c r="AM11" i="2"/>
  <c r="AC11" i="2"/>
  <c r="J22" i="1"/>
  <c r="J3" i="2" s="1"/>
  <c r="C22" i="1"/>
  <c r="C3" i="2" s="1"/>
  <c r="K243" i="2"/>
  <c r="AC18" i="3"/>
  <c r="BC9" i="3"/>
  <c r="BC10" i="3" s="1"/>
  <c r="BB28" i="3"/>
  <c r="BB39" i="3"/>
  <c r="BB121" i="3" s="1"/>
  <c r="BC28" i="3"/>
  <c r="BC29" i="3" s="1"/>
  <c r="AF12" i="3"/>
  <c r="BB8" i="3" s="1"/>
  <c r="AG6" i="3"/>
  <c r="BB9" i="3"/>
  <c r="BC39" i="3"/>
  <c r="BC82" i="3" s="1"/>
  <c r="AG12" i="3"/>
  <c r="AK12" i="3" s="1"/>
  <c r="AQ12" i="3"/>
  <c r="BN8" i="3" s="1"/>
  <c r="BC27" i="3"/>
  <c r="BC69" i="3" s="1"/>
  <c r="AQ90" i="3"/>
  <c r="BN90" i="3" s="1"/>
  <c r="EM19" i="3"/>
  <c r="M25" i="11"/>
  <c r="H12" i="1"/>
  <c r="B16" i="11" l="1"/>
  <c r="M13" i="11" s="1"/>
  <c r="BB82" i="3"/>
  <c r="AT12" i="3"/>
  <c r="BQ27" i="3" s="1"/>
  <c r="BQ69" i="3" s="1"/>
  <c r="R71" i="2"/>
  <c r="R83" i="2"/>
  <c r="BC80" i="3"/>
  <c r="BC49" i="3" s="1"/>
  <c r="BD18" i="3"/>
  <c r="N224" i="2"/>
  <c r="M224" i="2" s="1"/>
  <c r="L224" i="2" s="1"/>
  <c r="N233" i="2"/>
  <c r="M233" i="2" s="1"/>
  <c r="L233" i="2" s="1"/>
  <c r="N235" i="2"/>
  <c r="M235" i="2" s="1"/>
  <c r="L235" i="2" s="1"/>
  <c r="N237" i="2"/>
  <c r="M237" i="2" s="1"/>
  <c r="L237" i="2" s="1"/>
  <c r="O228" i="2"/>
  <c r="BQ28" i="3"/>
  <c r="AM96" i="3"/>
  <c r="BJ112" i="3" s="1"/>
  <c r="BJ30" i="3"/>
  <c r="BO72" i="3"/>
  <c r="AI64" i="3"/>
  <c r="AI63" i="3"/>
  <c r="BF53" i="3" s="1"/>
  <c r="AI73" i="3"/>
  <c r="BF60" i="3" s="1"/>
  <c r="AI54" i="3"/>
  <c r="AH54" i="3"/>
  <c r="AI76" i="3"/>
  <c r="BF63" i="3" s="1"/>
  <c r="AI69" i="3"/>
  <c r="BF56" i="3" s="1"/>
  <c r="AJ72" i="3"/>
  <c r="BG59" i="3" s="1"/>
  <c r="AJ74" i="3"/>
  <c r="BG61" i="3" s="1"/>
  <c r="AI57" i="3"/>
  <c r="AJ63" i="3"/>
  <c r="BG53" i="3" s="1"/>
  <c r="BI112" i="3"/>
  <c r="J79" i="2"/>
  <c r="J78" i="2"/>
  <c r="I79" i="2"/>
  <c r="I78" i="2"/>
  <c r="N218" i="2"/>
  <c r="M218" i="2" s="1"/>
  <c r="L218" i="2" s="1"/>
  <c r="O218" i="2"/>
  <c r="N223" i="2"/>
  <c r="M223" i="2" s="1"/>
  <c r="L223" i="2" s="1"/>
  <c r="O223" i="2"/>
  <c r="N225" i="2"/>
  <c r="M225" i="2" s="1"/>
  <c r="L225" i="2" s="1"/>
  <c r="O225" i="2"/>
  <c r="R64" i="2"/>
  <c r="R82" i="2"/>
  <c r="N221" i="2"/>
  <c r="M221" i="2" s="1"/>
  <c r="L221" i="2" s="1"/>
  <c r="O219" i="2"/>
  <c r="N238" i="2"/>
  <c r="M238" i="2" s="1"/>
  <c r="L238" i="2" s="1"/>
  <c r="N227" i="2"/>
  <c r="M227" i="2" s="1"/>
  <c r="L227" i="2" s="1"/>
  <c r="N228" i="2"/>
  <c r="M228" i="2" s="1"/>
  <c r="L228" i="2" s="1"/>
  <c r="O236" i="2"/>
  <c r="O229" i="2"/>
  <c r="M10" i="11"/>
  <c r="S12" i="11"/>
  <c r="S23" i="11" s="1"/>
  <c r="AI12" i="3"/>
  <c r="AI90" i="3" s="1"/>
  <c r="BF109" i="3" s="1"/>
  <c r="BN27" i="3"/>
  <c r="BN69" i="3" s="1"/>
  <c r="BC8" i="3"/>
  <c r="AF6" i="3"/>
  <c r="BB36" i="3" s="1"/>
  <c r="BC7" i="3"/>
  <c r="AK10" i="3"/>
  <c r="BD96" i="3"/>
  <c r="AU15" i="3"/>
  <c r="AI62" i="3"/>
  <c r="AI74" i="3"/>
  <c r="BF61" i="3" s="1"/>
  <c r="AK15" i="3"/>
  <c r="BH28" i="3" s="1"/>
  <c r="BL31" i="3"/>
  <c r="BJ31" i="3"/>
  <c r="BK113" i="3"/>
  <c r="BD59" i="3"/>
  <c r="BS31" i="3"/>
  <c r="BE113" i="3"/>
  <c r="BB27" i="3"/>
  <c r="AC10" i="2"/>
  <c r="AG9" i="2" s="1"/>
  <c r="AG10" i="2" s="1"/>
  <c r="BC111" i="3"/>
  <c r="D164" i="2"/>
  <c r="J74" i="2"/>
  <c r="I74" i="2"/>
  <c r="J73" i="2"/>
  <c r="I73" i="2"/>
  <c r="I72" i="2"/>
  <c r="J71" i="2"/>
  <c r="I71" i="2"/>
  <c r="J72" i="2"/>
  <c r="AR9" i="3"/>
  <c r="BD73" i="3"/>
  <c r="BD100" i="3"/>
  <c r="AI60" i="3"/>
  <c r="AI72" i="3"/>
  <c r="BF59" i="3" s="1"/>
  <c r="BG112" i="3"/>
  <c r="AQ101" i="3"/>
  <c r="BN97" i="3" s="1"/>
  <c r="BD63" i="3"/>
  <c r="BH30" i="3"/>
  <c r="BF72" i="3"/>
  <c r="AR10" i="3"/>
  <c r="BD95" i="3"/>
  <c r="AL92" i="3"/>
  <c r="BI91" i="3" s="1"/>
  <c r="AM15" i="3"/>
  <c r="BQ30" i="3"/>
  <c r="BQ29" i="3" s="1"/>
  <c r="R69" i="2"/>
  <c r="O216" i="2"/>
  <c r="N217" i="2"/>
  <c r="M217" i="2" s="1"/>
  <c r="L217" i="2" s="1"/>
  <c r="N216" i="2"/>
  <c r="M216" i="2" s="1"/>
  <c r="L216" i="2" s="1"/>
  <c r="N215" i="2"/>
  <c r="M215" i="2" s="1"/>
  <c r="L215" i="2" s="1"/>
  <c r="K239" i="2"/>
  <c r="D239" i="2"/>
  <c r="I239" i="2"/>
  <c r="G239" i="2"/>
  <c r="O214" i="2"/>
  <c r="N214" i="2"/>
  <c r="M214" i="2" s="1"/>
  <c r="L214" i="2" s="1"/>
  <c r="R81" i="2"/>
  <c r="R150" i="2"/>
  <c r="T104" i="2"/>
  <c r="R96" i="2"/>
  <c r="R60" i="2"/>
  <c r="R148" i="2"/>
  <c r="BD11" i="3"/>
  <c r="BD12" i="3"/>
  <c r="BR113" i="3"/>
  <c r="BR94" i="3"/>
  <c r="BB118" i="3"/>
  <c r="BB79" i="3"/>
  <c r="BN9" i="3"/>
  <c r="AQ92" i="3"/>
  <c r="BN110" i="3" s="1"/>
  <c r="BP112" i="3"/>
  <c r="BP93" i="3"/>
  <c r="AT90" i="3"/>
  <c r="BC121" i="3"/>
  <c r="BC120" i="3" s="1"/>
  <c r="AC94" i="3"/>
  <c r="BD21" i="3"/>
  <c r="BB29" i="3"/>
  <c r="BD30" i="3"/>
  <c r="AP9" i="3"/>
  <c r="BM7" i="3" s="1"/>
  <c r="AN9" i="3"/>
  <c r="BK7" i="3" s="1"/>
  <c r="AM10" i="3"/>
  <c r="AM61" i="3"/>
  <c r="BJ52" i="3" s="1"/>
  <c r="BD54" i="3"/>
  <c r="BD62" i="3"/>
  <c r="AJ60" i="3"/>
  <c r="AU92" i="3"/>
  <c r="BR91" i="3" s="1"/>
  <c r="BR92" i="3" s="1"/>
  <c r="AI15" i="3"/>
  <c r="BP30" i="3"/>
  <c r="BD14" i="3"/>
  <c r="AQ9" i="3"/>
  <c r="AV9" i="3"/>
  <c r="BE71" i="3"/>
  <c r="BD71" i="3" s="1"/>
  <c r="AU61" i="3"/>
  <c r="BI39" i="3"/>
  <c r="BE112" i="3"/>
  <c r="BD112" i="3" s="1"/>
  <c r="BM112" i="3"/>
  <c r="BB69" i="3"/>
  <c r="BN109" i="3"/>
  <c r="AC15" i="3"/>
  <c r="BB10" i="3"/>
  <c r="BD15" i="3"/>
  <c r="AJ9" i="3"/>
  <c r="AO9" i="3"/>
  <c r="BL37" i="3" s="1"/>
  <c r="AN10" i="3"/>
  <c r="AK61" i="3"/>
  <c r="BC91" i="3"/>
  <c r="BC92" i="3" s="1"/>
  <c r="BD56" i="3"/>
  <c r="BD97" i="3"/>
  <c r="BD113" i="3"/>
  <c r="BI28" i="3"/>
  <c r="BI29" i="3" s="1"/>
  <c r="AJ57" i="3"/>
  <c r="AN14" i="3"/>
  <c r="BK31" i="3"/>
  <c r="BM30" i="3"/>
  <c r="BL113" i="3"/>
  <c r="AV98" i="3"/>
  <c r="BS113" i="3" s="1"/>
  <c r="BI92" i="3"/>
  <c r="AK9" i="3"/>
  <c r="BH37" i="3" s="1"/>
  <c r="AJ10" i="3"/>
  <c r="AO10" i="3"/>
  <c r="AC53" i="3"/>
  <c r="BD58" i="3"/>
  <c r="BD99" i="3"/>
  <c r="AJ64" i="3"/>
  <c r="BG72" i="3" s="1"/>
  <c r="AI75" i="3"/>
  <c r="BF62" i="3" s="1"/>
  <c r="AJ15" i="3"/>
  <c r="BF113" i="3"/>
  <c r="AO99" i="3"/>
  <c r="BL95" i="3" s="1"/>
  <c r="BJ72" i="3"/>
  <c r="BR72" i="3"/>
  <c r="BC52" i="3"/>
  <c r="BG113" i="3"/>
  <c r="BO113" i="3"/>
  <c r="BQ8" i="3"/>
  <c r="AN12" i="3"/>
  <c r="BK8" i="3" s="1"/>
  <c r="AC55" i="3"/>
  <c r="BQ37" i="3"/>
  <c r="BQ80" i="3" s="1"/>
  <c r="BQ49" i="3" s="1"/>
  <c r="AM9" i="3"/>
  <c r="AC92" i="3"/>
  <c r="BD60" i="3"/>
  <c r="AT96" i="3"/>
  <c r="BQ112" i="3" s="1"/>
  <c r="BH113" i="3"/>
  <c r="BO31" i="3"/>
  <c r="BL72" i="3"/>
  <c r="BD20" i="3"/>
  <c r="BI37" i="3"/>
  <c r="AU9" i="3"/>
  <c r="AL10" i="3"/>
  <c r="AI10" i="3"/>
  <c r="AL61" i="3"/>
  <c r="BI52" i="3" s="1"/>
  <c r="BD53" i="3"/>
  <c r="BD61" i="3"/>
  <c r="BD72" i="3"/>
  <c r="BI72" i="3"/>
  <c r="BQ72" i="3"/>
  <c r="BM72" i="3"/>
  <c r="R156" i="2"/>
  <c r="R154" i="2"/>
  <c r="R135" i="2"/>
  <c r="S96" i="2"/>
  <c r="R74" i="2"/>
  <c r="R158" i="2"/>
  <c r="T156" i="2"/>
  <c r="S151" i="2"/>
  <c r="R149" i="2"/>
  <c r="T149" i="2"/>
  <c r="T148" i="2"/>
  <c r="R145" i="2"/>
  <c r="R144" i="2"/>
  <c r="T144" i="2"/>
  <c r="R119" i="2"/>
  <c r="R97" i="2"/>
  <c r="R77" i="2"/>
  <c r="R72" i="2"/>
  <c r="R70" i="2"/>
  <c r="R62" i="2"/>
  <c r="H19" i="1"/>
  <c r="R153" i="2"/>
  <c r="R120" i="2"/>
  <c r="R106" i="2"/>
  <c r="R104" i="2"/>
  <c r="S102" i="2"/>
  <c r="T70" i="2"/>
  <c r="R61" i="2"/>
  <c r="R110" i="2"/>
  <c r="S106" i="2"/>
  <c r="T103" i="2"/>
  <c r="R90" i="2"/>
  <c r="T81" i="2"/>
  <c r="R66" i="2"/>
  <c r="R151" i="2"/>
  <c r="S135" i="2"/>
  <c r="R131" i="2"/>
  <c r="R102" i="2"/>
  <c r="S97" i="2"/>
  <c r="R84" i="2"/>
  <c r="S80" i="2"/>
  <c r="R63" i="2"/>
  <c r="S61" i="2"/>
  <c r="AK90" i="3"/>
  <c r="BH27" i="3"/>
  <c r="BH69" i="3" s="1"/>
  <c r="BH8" i="3"/>
  <c r="BC51" i="3"/>
  <c r="BC81" i="3"/>
  <c r="BC50" i="3" s="1"/>
  <c r="BF90" i="3"/>
  <c r="BK27" i="3"/>
  <c r="BK69" i="3" s="1"/>
  <c r="AI6" i="3"/>
  <c r="BF36" i="3" s="1"/>
  <c r="AR6" i="3"/>
  <c r="BO36" i="3" s="1"/>
  <c r="AI9" i="3"/>
  <c r="AC52" i="3"/>
  <c r="AH9" i="3"/>
  <c r="AC91" i="3"/>
  <c r="AO93" i="3"/>
  <c r="BL28" i="3"/>
  <c r="BM18" i="3"/>
  <c r="AP104" i="3"/>
  <c r="BM100" i="3" s="1"/>
  <c r="AN90" i="3"/>
  <c r="BC38" i="3"/>
  <c r="AR12" i="3"/>
  <c r="BQ39" i="3"/>
  <c r="AI99" i="3"/>
  <c r="BF95" i="3" s="1"/>
  <c r="BF13" i="3"/>
  <c r="AJ104" i="3"/>
  <c r="BG100" i="3" s="1"/>
  <c r="BG18" i="3"/>
  <c r="AM10" i="2"/>
  <c r="AQ9" i="2" s="1"/>
  <c r="AQ10" i="2" s="1"/>
  <c r="AV93" i="3"/>
  <c r="AQ98" i="3"/>
  <c r="BN113" i="3" s="1"/>
  <c r="BN31" i="3"/>
  <c r="AO105" i="3"/>
  <c r="BL101" i="3" s="1"/>
  <c r="BL19" i="3"/>
  <c r="BF8" i="3"/>
  <c r="BB37" i="3"/>
  <c r="BB38" i="3" s="1"/>
  <c r="S10" i="2"/>
  <c r="W9" i="2" s="1"/>
  <c r="W10" i="2" s="1"/>
  <c r="BI110" i="3"/>
  <c r="BI111" i="3" s="1"/>
  <c r="AO14" i="2"/>
  <c r="AS97" i="3"/>
  <c r="BP94" i="3" s="1"/>
  <c r="BP31" i="3"/>
  <c r="BJ71" i="3"/>
  <c r="BB7" i="3"/>
  <c r="BC109" i="3"/>
  <c r="AM14" i="2" s="1"/>
  <c r="AQ13" i="2" s="1"/>
  <c r="AO96" i="3"/>
  <c r="BL112" i="3" s="1"/>
  <c r="BL30" i="3"/>
  <c r="AM97" i="3"/>
  <c r="BH7" i="3"/>
  <c r="AO12" i="3"/>
  <c r="AS12" i="3"/>
  <c r="AM12" i="3"/>
  <c r="AP12" i="3"/>
  <c r="AL12" i="3"/>
  <c r="AN89" i="3"/>
  <c r="BK37" i="3"/>
  <c r="BS30" i="3"/>
  <c r="AV96" i="3"/>
  <c r="BS112" i="3" s="1"/>
  <c r="AH102" i="3"/>
  <c r="BE98" i="3" s="1"/>
  <c r="BD98" i="3" s="1"/>
  <c r="BE16" i="3"/>
  <c r="BD16" i="3" s="1"/>
  <c r="AJ107" i="3"/>
  <c r="BG103" i="3" s="1"/>
  <c r="BG21" i="3"/>
  <c r="AH6" i="3"/>
  <c r="BE6" i="3" s="1"/>
  <c r="AJ12" i="3"/>
  <c r="AU12" i="3"/>
  <c r="BQ119" i="3"/>
  <c r="BQ89" i="3" s="1"/>
  <c r="BJ9" i="3"/>
  <c r="BJ10" i="3" s="1"/>
  <c r="AM92" i="3"/>
  <c r="BJ91" i="3" s="1"/>
  <c r="BJ92" i="3" s="1"/>
  <c r="AQ95" i="3"/>
  <c r="BN11" i="3"/>
  <c r="AI96" i="3"/>
  <c r="BF112" i="3" s="1"/>
  <c r="BF30" i="3"/>
  <c r="AI102" i="3"/>
  <c r="BF98" i="3" s="1"/>
  <c r="BF16" i="3"/>
  <c r="BO20" i="3"/>
  <c r="AR106" i="3"/>
  <c r="BO102" i="3" s="1"/>
  <c r="AQ107" i="3"/>
  <c r="BN103" i="3" s="1"/>
  <c r="BN21" i="3"/>
  <c r="BI73" i="3"/>
  <c r="BB6" i="3"/>
  <c r="AC12" i="3"/>
  <c r="AV6" i="3"/>
  <c r="BS36" i="3" s="1"/>
  <c r="AC9" i="3"/>
  <c r="AV12" i="3"/>
  <c r="AH12" i="3"/>
  <c r="BS13" i="3"/>
  <c r="BR19" i="3"/>
  <c r="BJ20" i="3"/>
  <c r="BO37" i="3"/>
  <c r="BO7" i="3"/>
  <c r="AO7" i="3"/>
  <c r="AU7" i="3"/>
  <c r="AS7" i="3"/>
  <c r="AR7" i="3"/>
  <c r="AP7" i="3"/>
  <c r="S172" i="2"/>
  <c r="Q179" i="2" s="1"/>
  <c r="AM94" i="3"/>
  <c r="BJ39" i="3"/>
  <c r="AS94" i="3"/>
  <c r="AK95" i="3"/>
  <c r="AR95" i="3"/>
  <c r="BO93" i="3" s="1"/>
  <c r="BO11" i="3"/>
  <c r="BR28" i="3"/>
  <c r="BR29" i="3" s="1"/>
  <c r="AU93" i="3"/>
  <c r="AH105" i="3"/>
  <c r="BE101" i="3" s="1"/>
  <c r="BD101" i="3" s="1"/>
  <c r="BE19" i="3"/>
  <c r="BD19" i="3" s="1"/>
  <c r="BJ28" i="3"/>
  <c r="BJ29" i="3" s="1"/>
  <c r="BC71" i="3"/>
  <c r="BC70" i="3" s="1"/>
  <c r="AT61" i="3"/>
  <c r="AI61" i="3"/>
  <c r="AT14" i="3"/>
  <c r="AV14" i="3"/>
  <c r="AS14" i="3"/>
  <c r="AJ14" i="3"/>
  <c r="AR14" i="3"/>
  <c r="AH14" i="3"/>
  <c r="AN93" i="3"/>
  <c r="BK30" i="3"/>
  <c r="AN96" i="3"/>
  <c r="BK112" i="3" s="1"/>
  <c r="AP98" i="3"/>
  <c r="BM113" i="3" s="1"/>
  <c r="BM31" i="3"/>
  <c r="AS9" i="3"/>
  <c r="AS10" i="3"/>
  <c r="AP10" i="3"/>
  <c r="AH10" i="3"/>
  <c r="BI71" i="3"/>
  <c r="BB52" i="3"/>
  <c r="BD52" i="3" s="1"/>
  <c r="AN61" i="3"/>
  <c r="BH39" i="3"/>
  <c r="BL39" i="3"/>
  <c r="AQ14" i="3"/>
  <c r="AQ61" i="3"/>
  <c r="AV61" i="3"/>
  <c r="AO92" i="3"/>
  <c r="BL91" i="3" s="1"/>
  <c r="BL92" i="3" s="1"/>
  <c r="AJ70" i="3"/>
  <c r="BG57" i="3" s="1"/>
  <c r="AJ73" i="3"/>
  <c r="BG60" i="3" s="1"/>
  <c r="AT92" i="3"/>
  <c r="BQ9" i="3"/>
  <c r="BQ10" i="3" s="1"/>
  <c r="AK14" i="3"/>
  <c r="BN28" i="3"/>
  <c r="AR61" i="3"/>
  <c r="AO61" i="3"/>
  <c r="BL52" i="3" s="1"/>
  <c r="AQ16" i="2"/>
  <c r="AJ69" i="3"/>
  <c r="BG56" i="3" s="1"/>
  <c r="AL14" i="3"/>
  <c r="AP15" i="3"/>
  <c r="BM39" i="3" s="1"/>
  <c r="AS15" i="3"/>
  <c r="BP39" i="3" s="1"/>
  <c r="AV15" i="3"/>
  <c r="BS28" i="3" s="1"/>
  <c r="AR15" i="3"/>
  <c r="AN15" i="3"/>
  <c r="BK28" i="3" s="1"/>
  <c r="BN30" i="3"/>
  <c r="BR31" i="3"/>
  <c r="AR93" i="3"/>
  <c r="AP94" i="3"/>
  <c r="AR96" i="3"/>
  <c r="BO30" i="3"/>
  <c r="BQ31" i="3"/>
  <c r="AT98" i="3"/>
  <c r="BQ113" i="3" s="1"/>
  <c r="AS61" i="3"/>
  <c r="AP61" i="3"/>
  <c r="BM52" i="3" s="1"/>
  <c r="BN91" i="3"/>
  <c r="AM14" i="3"/>
  <c r="AM93" i="3"/>
  <c r="AQ94" i="3"/>
  <c r="BN39" i="3"/>
  <c r="AJ65" i="3"/>
  <c r="AJ76" i="3"/>
  <c r="BG63" i="3" s="1"/>
  <c r="AJ66" i="3"/>
  <c r="AH57" i="3"/>
  <c r="AJ71" i="3"/>
  <c r="BG58" i="3" s="1"/>
  <c r="AJ75" i="3"/>
  <c r="BG62" i="3" s="1"/>
  <c r="AJ62" i="3"/>
  <c r="BG71" i="3" s="1"/>
  <c r="AH15" i="3"/>
  <c r="R155" i="2"/>
  <c r="S155" i="2"/>
  <c r="T152" i="2"/>
  <c r="R152" i="2"/>
  <c r="S143" i="2"/>
  <c r="R142" i="2"/>
  <c r="R130" i="2"/>
  <c r="R126" i="2"/>
  <c r="T119" i="2"/>
  <c r="R113" i="2"/>
  <c r="S111" i="2"/>
  <c r="R109" i="2"/>
  <c r="R103" i="2"/>
  <c r="R98" i="2"/>
  <c r="T98" i="2"/>
  <c r="S91" i="2"/>
  <c r="T91" i="2"/>
  <c r="R88" i="2"/>
  <c r="R80" i="2"/>
  <c r="T74" i="2"/>
  <c r="T73" i="2"/>
  <c r="S72" i="2"/>
  <c r="S71" i="2"/>
  <c r="T69" i="2"/>
  <c r="R68" i="2"/>
  <c r="S68" i="2"/>
  <c r="R67" i="2"/>
  <c r="T66" i="2"/>
  <c r="T64" i="2"/>
  <c r="T63" i="2"/>
  <c r="T158" i="2"/>
  <c r="T153" i="2"/>
  <c r="R147" i="2"/>
  <c r="T147" i="2"/>
  <c r="R143" i="2"/>
  <c r="T141" i="2"/>
  <c r="R141" i="2"/>
  <c r="R139" i="2"/>
  <c r="R138" i="2"/>
  <c r="T136" i="2"/>
  <c r="T134" i="2"/>
  <c r="S134" i="2"/>
  <c r="T131" i="2"/>
  <c r="T130" i="2"/>
  <c r="T128" i="2"/>
  <c r="S127" i="2"/>
  <c r="R127" i="2"/>
  <c r="S126" i="2"/>
  <c r="R124" i="2"/>
  <c r="R123" i="2"/>
  <c r="R122" i="2"/>
  <c r="T120" i="2"/>
  <c r="R118" i="2"/>
  <c r="S118" i="2"/>
  <c r="S117" i="2"/>
  <c r="S116" i="2"/>
  <c r="R115" i="2"/>
  <c r="R114" i="2"/>
  <c r="T113" i="2"/>
  <c r="R112" i="2"/>
  <c r="T112" i="2"/>
  <c r="R111" i="2"/>
  <c r="T110" i="2"/>
  <c r="T109" i="2"/>
  <c r="R107" i="2"/>
  <c r="S107" i="2"/>
  <c r="R105" i="2"/>
  <c r="T105" i="2"/>
  <c r="R101" i="2"/>
  <c r="T101" i="2"/>
  <c r="T95" i="2"/>
  <c r="S95" i="2"/>
  <c r="S94" i="2"/>
  <c r="R92" i="2"/>
  <c r="T90" i="2"/>
  <c r="S89" i="2"/>
  <c r="T88" i="2"/>
  <c r="T87" i="2"/>
  <c r="S87" i="2"/>
  <c r="S86" i="2"/>
  <c r="T86" i="2"/>
  <c r="T84" i="2"/>
  <c r="T83" i="2"/>
  <c r="T82" i="2"/>
  <c r="S79" i="2"/>
  <c r="R75" i="2"/>
  <c r="R73" i="2"/>
  <c r="T67" i="2"/>
  <c r="S62" i="2"/>
  <c r="D131" i="2"/>
  <c r="D132" i="2" s="1"/>
  <c r="D133" i="2" s="1"/>
  <c r="D134" i="2" s="1"/>
  <c r="D135" i="2" s="1"/>
  <c r="D136" i="2" s="1"/>
  <c r="D137" i="2" s="1"/>
  <c r="D138" i="2" s="1"/>
  <c r="Q130" i="2"/>
  <c r="Q62" i="2"/>
  <c r="Q126" i="2"/>
  <c r="Q122" i="2"/>
  <c r="Q118" i="2"/>
  <c r="Q64" i="2"/>
  <c r="Q291" i="2"/>
  <c r="Q114" i="2"/>
  <c r="Q290" i="2"/>
  <c r="N204" i="2"/>
  <c r="R159" i="2"/>
  <c r="T159" i="2"/>
  <c r="T157" i="2"/>
  <c r="S157" i="2"/>
  <c r="T154" i="2"/>
  <c r="T150" i="2"/>
  <c r="T146" i="2"/>
  <c r="S146" i="2"/>
  <c r="T145" i="2"/>
  <c r="T142" i="2"/>
  <c r="R140" i="2"/>
  <c r="T140" i="2"/>
  <c r="T138" i="2"/>
  <c r="T139" i="2"/>
  <c r="T137" i="2"/>
  <c r="S137" i="2"/>
  <c r="R136" i="2"/>
  <c r="T133" i="2"/>
  <c r="S133" i="2"/>
  <c r="R132" i="2"/>
  <c r="T132" i="2"/>
  <c r="T129" i="2"/>
  <c r="R129" i="2"/>
  <c r="R128" i="2"/>
  <c r="T125" i="2"/>
  <c r="S125" i="2"/>
  <c r="T124" i="2"/>
  <c r="T122" i="2"/>
  <c r="T123" i="2"/>
  <c r="T121" i="2"/>
  <c r="S121" i="2"/>
  <c r="T117" i="2"/>
  <c r="R116" i="2"/>
  <c r="T115" i="2"/>
  <c r="T114" i="2"/>
  <c r="R108" i="2"/>
  <c r="T108" i="2"/>
  <c r="T99" i="2"/>
  <c r="S99" i="2"/>
  <c r="T100" i="2"/>
  <c r="R100" i="2"/>
  <c r="R94" i="2"/>
  <c r="R93" i="2"/>
  <c r="T93" i="2"/>
  <c r="T92" i="2"/>
  <c r="R89" i="2"/>
  <c r="T85" i="2"/>
  <c r="R85" i="2"/>
  <c r="S78" i="2"/>
  <c r="R78" i="2"/>
  <c r="T77" i="2"/>
  <c r="T76" i="2"/>
  <c r="S76" i="2"/>
  <c r="C162" i="2"/>
  <c r="B18" i="11" s="1"/>
  <c r="M17" i="11" s="1"/>
  <c r="T75" i="2"/>
  <c r="T65" i="2"/>
  <c r="T60" i="2"/>
  <c r="Q128" i="2"/>
  <c r="Q124" i="2"/>
  <c r="Q120" i="2"/>
  <c r="Q116" i="2"/>
  <c r="Q112" i="2"/>
  <c r="Q108" i="2"/>
  <c r="Q104" i="2"/>
  <c r="Q100" i="2"/>
  <c r="Q96" i="2"/>
  <c r="Q92" i="2"/>
  <c r="Q88" i="2"/>
  <c r="Q84" i="2"/>
  <c r="Q80" i="2"/>
  <c r="Q76" i="2"/>
  <c r="Q72" i="2"/>
  <c r="Q68" i="2"/>
  <c r="Q296" i="2"/>
  <c r="H296" i="2" s="1"/>
  <c r="Q65" i="2"/>
  <c r="K7" i="2"/>
  <c r="Q59" i="2"/>
  <c r="Q294" i="2"/>
  <c r="H294" i="2" s="1"/>
  <c r="Q127" i="2"/>
  <c r="Q123" i="2"/>
  <c r="Q119" i="2"/>
  <c r="Q115" i="2"/>
  <c r="Q111" i="2"/>
  <c r="Q107" i="2"/>
  <c r="Q103" i="2"/>
  <c r="Q99" i="2"/>
  <c r="Q95" i="2"/>
  <c r="Q91" i="2"/>
  <c r="Q87" i="2"/>
  <c r="Q83" i="2"/>
  <c r="Q79" i="2"/>
  <c r="Q75" i="2"/>
  <c r="Q71" i="2"/>
  <c r="Q67" i="2"/>
  <c r="Q60" i="2"/>
  <c r="Q297" i="2"/>
  <c r="H297" i="2" s="1"/>
  <c r="Q61" i="2"/>
  <c r="Q295" i="2"/>
  <c r="H295" i="2" s="1"/>
  <c r="Q110" i="2"/>
  <c r="Q106" i="2"/>
  <c r="Q102" i="2"/>
  <c r="Q98" i="2"/>
  <c r="Q94" i="2"/>
  <c r="Q90" i="2"/>
  <c r="Q86" i="2"/>
  <c r="Q82" i="2"/>
  <c r="Q78" i="2"/>
  <c r="Q74" i="2"/>
  <c r="Q70" i="2"/>
  <c r="Q298" i="2"/>
  <c r="Q129" i="2"/>
  <c r="Q125" i="2"/>
  <c r="Q121" i="2"/>
  <c r="Q117" i="2"/>
  <c r="Q113" i="2"/>
  <c r="Q109" i="2"/>
  <c r="Q105" i="2"/>
  <c r="Q101" i="2"/>
  <c r="Q97" i="2"/>
  <c r="Q93" i="2"/>
  <c r="Q89" i="2"/>
  <c r="Q85" i="2"/>
  <c r="Q81" i="2"/>
  <c r="Q77" i="2"/>
  <c r="Q73" i="2"/>
  <c r="Q69" i="2"/>
  <c r="Q66" i="2"/>
  <c r="Q63" i="2"/>
  <c r="Q293" i="2"/>
  <c r="H293" i="2" s="1"/>
  <c r="BE36" i="3"/>
  <c r="BD36" i="3" s="1"/>
  <c r="BO118" i="3"/>
  <c r="BO88" i="3" s="1"/>
  <c r="BO79" i="3"/>
  <c r="BO48" i="3" s="1"/>
  <c r="AI9" i="2"/>
  <c r="AK9" i="2"/>
  <c r="AC17" i="2"/>
  <c r="AG16" i="2"/>
  <c r="AE16" i="2"/>
  <c r="BS79" i="3"/>
  <c r="BS48" i="3" s="1"/>
  <c r="BS118" i="3"/>
  <c r="BS88" i="3" s="1"/>
  <c r="BF6" i="3"/>
  <c r="U16" i="2"/>
  <c r="S17" i="2"/>
  <c r="W16" i="2"/>
  <c r="U14" i="2"/>
  <c r="W13" i="2"/>
  <c r="AE14" i="2"/>
  <c r="BO6" i="3"/>
  <c r="AT6" i="3"/>
  <c r="AQ6" i="3"/>
  <c r="AC49" i="3"/>
  <c r="AM17" i="2"/>
  <c r="AK6" i="3"/>
  <c r="AM6" i="3"/>
  <c r="AL7" i="3"/>
  <c r="AI7" i="3"/>
  <c r="Q292" i="2"/>
  <c r="H292" i="2" s="1"/>
  <c r="BC36" i="3"/>
  <c r="AU6" i="3"/>
  <c r="AC88" i="3"/>
  <c r="AT7" i="3"/>
  <c r="AQ7" i="3"/>
  <c r="AC89" i="3"/>
  <c r="AJ6" i="3"/>
  <c r="AN6" i="3"/>
  <c r="AM7" i="3"/>
  <c r="AJ7" i="3"/>
  <c r="AH7" i="3"/>
  <c r="Q58" i="2"/>
  <c r="N25" i="2"/>
  <c r="AN7" i="3"/>
  <c r="BS6" i="3"/>
  <c r="BC6" i="3"/>
  <c r="AS6" i="3"/>
  <c r="AP6" i="3"/>
  <c r="AV7" i="3"/>
  <c r="AO6" i="3"/>
  <c r="AL6" i="3"/>
  <c r="AK7" i="3"/>
  <c r="Y27" i="11"/>
  <c r="S25" i="11" s="1" a="1"/>
  <c r="S25" i="11" s="1"/>
  <c r="T25" i="11" s="1"/>
  <c r="Y5" i="11"/>
  <c r="S3" i="11" s="1" a="1"/>
  <c r="S3" i="11" s="1"/>
  <c r="T3" i="11" s="1"/>
  <c r="U34" i="11"/>
  <c r="S32" i="11" s="1"/>
  <c r="U32" i="11" s="1"/>
  <c r="D8" i="2"/>
  <c r="M68" i="3"/>
  <c r="E28" i="4"/>
  <c r="E29" i="4" s="1"/>
  <c r="E30" i="4" s="1"/>
  <c r="H27" i="2"/>
  <c r="I37" i="2"/>
  <c r="O34" i="2"/>
  <c r="I23" i="2"/>
  <c r="N45" i="2"/>
  <c r="H43" i="2"/>
  <c r="I28" i="2"/>
  <c r="N29" i="2"/>
  <c r="N24" i="2"/>
  <c r="N38" i="2"/>
  <c r="O35" i="2"/>
  <c r="H42" i="2"/>
  <c r="N22" i="2"/>
  <c r="H25" i="2"/>
  <c r="H26" i="2"/>
  <c r="O41" i="2"/>
  <c r="H22" i="2"/>
  <c r="I32" i="2"/>
  <c r="O31" i="2"/>
  <c r="O33" i="2"/>
  <c r="N36" i="2"/>
  <c r="H39" i="2"/>
  <c r="O40" i="2"/>
  <c r="H44" i="2"/>
  <c r="F14" i="4"/>
  <c r="M7" i="2" s="1"/>
  <c r="F15" i="4"/>
  <c r="E16" i="4"/>
  <c r="F48" i="4"/>
  <c r="E88" i="4"/>
  <c r="F88" i="4" s="1"/>
  <c r="U20" i="11"/>
  <c r="U18" i="11" s="1"/>
  <c r="U9" i="11"/>
  <c r="U7" i="11" s="1"/>
  <c r="U12" i="11"/>
  <c r="S10" i="11" s="1"/>
  <c r="S11" i="11" s="1"/>
  <c r="U31" i="11"/>
  <c r="U29" i="11" s="1"/>
  <c r="Y16" i="11"/>
  <c r="U23" i="11"/>
  <c r="S21" i="11" s="1"/>
  <c r="U21" i="11" s="1"/>
  <c r="S30" i="11"/>
  <c r="S8" i="11"/>
  <c r="O13" i="11"/>
  <c r="S16" i="11"/>
  <c r="E267" i="2"/>
  <c r="F269" i="2" s="1"/>
  <c r="I39" i="2"/>
  <c r="H28" i="2"/>
  <c r="O38" i="2"/>
  <c r="I22" i="2"/>
  <c r="N40" i="2"/>
  <c r="O29" i="2"/>
  <c r="N35" i="2"/>
  <c r="H32" i="2"/>
  <c r="I44" i="2"/>
  <c r="O24" i="2"/>
  <c r="I42" i="2"/>
  <c r="N41" i="2"/>
  <c r="N39" i="2"/>
  <c r="I31" i="2"/>
  <c r="O43" i="2"/>
  <c r="O30" i="2"/>
  <c r="O27" i="2"/>
  <c r="H40" i="2"/>
  <c r="I45" i="2"/>
  <c r="H35" i="2"/>
  <c r="O44" i="2"/>
  <c r="H36" i="2"/>
  <c r="O42" i="2"/>
  <c r="I34" i="2"/>
  <c r="O39" i="2"/>
  <c r="H31" i="2"/>
  <c r="N43" i="2"/>
  <c r="N30" i="2"/>
  <c r="N27" i="2"/>
  <c r="I40" i="2"/>
  <c r="H45" i="2"/>
  <c r="I35" i="2"/>
  <c r="N44" i="2"/>
  <c r="I36" i="2"/>
  <c r="N42" i="2"/>
  <c r="H34" i="2"/>
  <c r="N31" i="2"/>
  <c r="H23" i="2"/>
  <c r="I27" i="2"/>
  <c r="O22" i="2"/>
  <c r="N33" i="2"/>
  <c r="O45" i="2"/>
  <c r="H37" i="2"/>
  <c r="I25" i="2"/>
  <c r="O36" i="2"/>
  <c r="I43" i="2"/>
  <c r="N34" i="2"/>
  <c r="I26" i="2"/>
  <c r="O23" i="2"/>
  <c r="H30" i="2"/>
  <c r="I24" i="2"/>
  <c r="H38" i="2"/>
  <c r="I33" i="2"/>
  <c r="O37" i="2"/>
  <c r="I29" i="2"/>
  <c r="N32" i="2"/>
  <c r="O28" i="2"/>
  <c r="I41" i="2"/>
  <c r="O26" i="2"/>
  <c r="O25" i="2"/>
  <c r="N23" i="2"/>
  <c r="I30" i="2"/>
  <c r="H24" i="2"/>
  <c r="I38" i="2"/>
  <c r="H33" i="2"/>
  <c r="N37" i="2"/>
  <c r="H29" i="2"/>
  <c r="O32" i="2"/>
  <c r="N28" i="2"/>
  <c r="H41" i="2"/>
  <c r="N26" i="2"/>
  <c r="N25" i="11"/>
  <c r="O25" i="11" s="1"/>
  <c r="BH29" i="3" l="1"/>
  <c r="W7" i="11"/>
  <c r="O239" i="2"/>
  <c r="S26" i="11"/>
  <c r="W25" i="11" s="1"/>
  <c r="Y25" i="11" s="1"/>
  <c r="BR110" i="3"/>
  <c r="BR111" i="3" s="1"/>
  <c r="BF27" i="3"/>
  <c r="BF69" i="3" s="1"/>
  <c r="BR39" i="3"/>
  <c r="BR9" i="3"/>
  <c r="BR10" i="3" s="1"/>
  <c r="BP113" i="3"/>
  <c r="BJ110" i="3"/>
  <c r="BJ111" i="3" s="1"/>
  <c r="BO112" i="3"/>
  <c r="AK92" i="3"/>
  <c r="BH9" i="3"/>
  <c r="BH10" i="3" s="1"/>
  <c r="M25" i="2"/>
  <c r="L239" i="2"/>
  <c r="O241" i="2" s="1"/>
  <c r="N239" i="2"/>
  <c r="M239" i="2"/>
  <c r="F242" i="2" s="1"/>
  <c r="K242" i="2"/>
  <c r="M38" i="2"/>
  <c r="Q185" i="2"/>
  <c r="M185" i="2" s="1"/>
  <c r="Q197" i="2"/>
  <c r="M197" i="2" s="1"/>
  <c r="S173" i="2"/>
  <c r="N179" i="2" s="1"/>
  <c r="Q190" i="2"/>
  <c r="M190" i="2" s="1"/>
  <c r="Q183" i="2"/>
  <c r="M183" i="2" s="1"/>
  <c r="Q192" i="2"/>
  <c r="M192" i="2" s="1"/>
  <c r="Q177" i="2"/>
  <c r="M177" i="2" s="1"/>
  <c r="Q186" i="2"/>
  <c r="M186" i="2" s="1"/>
  <c r="Q200" i="2"/>
  <c r="Q196" i="2"/>
  <c r="M196" i="2" s="1"/>
  <c r="Q193" i="2"/>
  <c r="M193" i="2" s="1"/>
  <c r="Q175" i="2"/>
  <c r="M175" i="2" s="1"/>
  <c r="Q187" i="2"/>
  <c r="M187" i="2" s="1"/>
  <c r="Q191" i="2"/>
  <c r="M191" i="2" s="1"/>
  <c r="Q178" i="2"/>
  <c r="M178" i="2" s="1"/>
  <c r="Q201" i="2"/>
  <c r="M201" i="2" s="1"/>
  <c r="BH52" i="3"/>
  <c r="BH71" i="3"/>
  <c r="BH70" i="3" s="1"/>
  <c r="BR71" i="3"/>
  <c r="BR52" i="3"/>
  <c r="S9" i="11"/>
  <c r="BL71" i="3"/>
  <c r="BQ90" i="3"/>
  <c r="BQ109" i="3"/>
  <c r="BR7" i="3"/>
  <c r="BR37" i="3"/>
  <c r="BB70" i="3"/>
  <c r="BS7" i="3"/>
  <c r="BS37" i="3"/>
  <c r="BB88" i="3"/>
  <c r="BK29" i="3"/>
  <c r="BD6" i="3"/>
  <c r="BL7" i="3"/>
  <c r="BI80" i="3"/>
  <c r="BI49" i="3" s="1"/>
  <c r="BI119" i="3"/>
  <c r="BI89" i="3" s="1"/>
  <c r="BG37" i="3"/>
  <c r="BG7" i="3"/>
  <c r="BN37" i="3"/>
  <c r="BN7" i="3"/>
  <c r="Q176" i="2"/>
  <c r="M176" i="2" s="1"/>
  <c r="BK39" i="3"/>
  <c r="S4" i="11"/>
  <c r="W3" i="11" s="1"/>
  <c r="AA3" i="11" s="1"/>
  <c r="AU9" i="2"/>
  <c r="BN10" i="3"/>
  <c r="BL29" i="3"/>
  <c r="BI121" i="3"/>
  <c r="BI38" i="3"/>
  <c r="BI82" i="3"/>
  <c r="AJ92" i="3"/>
  <c r="BG9" i="3"/>
  <c r="BG10" i="3" s="1"/>
  <c r="BG28" i="3"/>
  <c r="BG29" i="3" s="1"/>
  <c r="BG39" i="3"/>
  <c r="BM37" i="3"/>
  <c r="BM119" i="3" s="1"/>
  <c r="BM89" i="3" s="1"/>
  <c r="BJ7" i="3"/>
  <c r="BJ37" i="3"/>
  <c r="AI92" i="3"/>
  <c r="BF39" i="3"/>
  <c r="BF28" i="3"/>
  <c r="BF29" i="3" s="1"/>
  <c r="BF9" i="3"/>
  <c r="BF10" i="3" s="1"/>
  <c r="Q202" i="2"/>
  <c r="Q188" i="2"/>
  <c r="M188" i="2" s="1"/>
  <c r="Q181" i="2"/>
  <c r="M181" i="2" s="1"/>
  <c r="AS9" i="2"/>
  <c r="AA9" i="2"/>
  <c r="Y9" i="2"/>
  <c r="G28" i="2"/>
  <c r="Q199" i="2"/>
  <c r="BG121" i="3"/>
  <c r="BK9" i="3"/>
  <c r="BK10" i="3" s="1"/>
  <c r="AN92" i="3"/>
  <c r="BK91" i="3" s="1"/>
  <c r="BK92" i="3" s="1"/>
  <c r="BL121" i="3"/>
  <c r="BL38" i="3"/>
  <c r="BL82" i="3"/>
  <c r="BP37" i="3"/>
  <c r="BP7" i="3"/>
  <c r="BH93" i="3"/>
  <c r="BH112" i="3"/>
  <c r="BM71" i="3"/>
  <c r="BL80" i="3"/>
  <c r="BL49" i="3" s="1"/>
  <c r="BL119" i="3"/>
  <c r="BL89" i="3" s="1"/>
  <c r="BP8" i="3"/>
  <c r="AS90" i="3"/>
  <c r="BP27" i="3"/>
  <c r="BP69" i="3" s="1"/>
  <c r="BO9" i="3"/>
  <c r="BO10" i="3" s="1"/>
  <c r="BO39" i="3"/>
  <c r="AR92" i="3"/>
  <c r="BO91" i="3" s="1"/>
  <c r="BO92" i="3" s="1"/>
  <c r="BO71" i="3"/>
  <c r="BO52" i="3"/>
  <c r="BH121" i="3"/>
  <c r="BH38" i="3"/>
  <c r="BH82" i="3"/>
  <c r="BP121" i="3"/>
  <c r="BP38" i="3"/>
  <c r="BP82" i="3"/>
  <c r="BE27" i="3"/>
  <c r="BE8" i="3"/>
  <c r="BD8" i="3" s="1"/>
  <c r="AH90" i="3"/>
  <c r="BL27" i="3"/>
  <c r="BL69" i="3" s="1"/>
  <c r="BL8" i="3"/>
  <c r="AO90" i="3"/>
  <c r="BQ121" i="3"/>
  <c r="BQ120" i="3" s="1"/>
  <c r="BQ38" i="3"/>
  <c r="BQ82" i="3"/>
  <c r="BM82" i="3"/>
  <c r="BM121" i="3"/>
  <c r="AV92" i="3"/>
  <c r="BS91" i="3" s="1"/>
  <c r="BS92" i="3" s="1"/>
  <c r="BS39" i="3"/>
  <c r="BS9" i="3"/>
  <c r="BS10" i="3" s="1"/>
  <c r="BS52" i="3"/>
  <c r="BS71" i="3"/>
  <c r="BK52" i="3"/>
  <c r="BK71" i="3"/>
  <c r="BK70" i="3" s="1"/>
  <c r="AV90" i="3"/>
  <c r="BS8" i="3"/>
  <c r="BS27" i="3"/>
  <c r="BS69" i="3" s="1"/>
  <c r="BN112" i="3"/>
  <c r="BN111" i="3" s="1"/>
  <c r="BN93" i="3"/>
  <c r="BN92" i="3" s="1"/>
  <c r="AU90" i="3"/>
  <c r="BR27" i="3"/>
  <c r="BR69" i="3" s="1"/>
  <c r="BR70" i="3" s="1"/>
  <c r="BR8" i="3"/>
  <c r="Q180" i="2"/>
  <c r="BL110" i="3"/>
  <c r="BL111" i="3" s="1"/>
  <c r="BP28" i="3"/>
  <c r="BP29" i="3" s="1"/>
  <c r="BP9" i="3"/>
  <c r="BP10" i="3" s="1"/>
  <c r="AS92" i="3"/>
  <c r="BN52" i="3"/>
  <c r="BN71" i="3"/>
  <c r="BN70" i="3" s="1"/>
  <c r="BJ38" i="3"/>
  <c r="BJ82" i="3"/>
  <c r="BJ121" i="3"/>
  <c r="AJ90" i="3"/>
  <c r="BG27" i="3"/>
  <c r="BG69" i="3" s="1"/>
  <c r="BG70" i="3" s="1"/>
  <c r="BG8" i="3"/>
  <c r="BS29" i="3"/>
  <c r="AL90" i="3"/>
  <c r="BI8" i="3"/>
  <c r="BI27" i="3"/>
  <c r="BI69" i="3" s="1"/>
  <c r="BI70" i="3" s="1"/>
  <c r="BH80" i="3"/>
  <c r="BH49" i="3" s="1"/>
  <c r="BH119" i="3"/>
  <c r="BH89" i="3" s="1"/>
  <c r="BB80" i="3"/>
  <c r="BB119" i="3"/>
  <c r="AR90" i="3"/>
  <c r="BO27" i="3"/>
  <c r="BO69" i="3" s="1"/>
  <c r="BO8" i="3"/>
  <c r="BO28" i="3"/>
  <c r="BO29" i="3" s="1"/>
  <c r="AP92" i="3"/>
  <c r="BM9" i="3"/>
  <c r="BM10" i="3" s="1"/>
  <c r="BM28" i="3"/>
  <c r="BM29" i="3" s="1"/>
  <c r="BO80" i="3"/>
  <c r="BO49" i="3" s="1"/>
  <c r="BO119" i="3"/>
  <c r="BO89" i="3" s="1"/>
  <c r="BJ94" i="3"/>
  <c r="BJ113" i="3"/>
  <c r="BE37" i="3"/>
  <c r="BD37" i="3" s="1"/>
  <c r="BE7" i="3"/>
  <c r="BD7" i="3" s="1"/>
  <c r="BE28" i="3"/>
  <c r="BE9" i="3"/>
  <c r="BE39" i="3"/>
  <c r="BD39" i="3" s="1"/>
  <c r="AH92" i="3"/>
  <c r="BG54" i="3"/>
  <c r="BG73" i="3"/>
  <c r="BP52" i="3"/>
  <c r="BP71" i="3"/>
  <c r="Q194" i="2"/>
  <c r="Q184" i="2"/>
  <c r="M184" i="2" s="1"/>
  <c r="BL70" i="3"/>
  <c r="BK109" i="3"/>
  <c r="BK90" i="3"/>
  <c r="BN38" i="3"/>
  <c r="BN121" i="3"/>
  <c r="BN82" i="3"/>
  <c r="BQ91" i="3"/>
  <c r="BQ92" i="3" s="1"/>
  <c r="BQ110" i="3"/>
  <c r="BQ111" i="3" s="1"/>
  <c r="BK82" i="3"/>
  <c r="BK38" i="3"/>
  <c r="BK121" i="3"/>
  <c r="BF71" i="3"/>
  <c r="BF70" i="3" s="1"/>
  <c r="BF52" i="3"/>
  <c r="BK119" i="3"/>
  <c r="BK89" i="3" s="1"/>
  <c r="BK80" i="3"/>
  <c r="BK49" i="3" s="1"/>
  <c r="AP90" i="3"/>
  <c r="BM27" i="3"/>
  <c r="BM69" i="3" s="1"/>
  <c r="BM8" i="3"/>
  <c r="BF37" i="3"/>
  <c r="BF7" i="3"/>
  <c r="BN29" i="3"/>
  <c r="BK110" i="3"/>
  <c r="BK111" i="3" s="1"/>
  <c r="BQ52" i="3"/>
  <c r="BQ71" i="3"/>
  <c r="BQ70" i="3" s="1"/>
  <c r="BJ27" i="3"/>
  <c r="BJ69" i="3" s="1"/>
  <c r="BJ70" i="3" s="1"/>
  <c r="BJ8" i="3"/>
  <c r="AM90" i="3"/>
  <c r="BH109" i="3"/>
  <c r="BH90" i="3"/>
  <c r="Q134" i="2"/>
  <c r="C163" i="2"/>
  <c r="B19" i="11" s="1"/>
  <c r="M18" i="11" s="1"/>
  <c r="Q133" i="2"/>
  <c r="Q131" i="2"/>
  <c r="Q137" i="2"/>
  <c r="Q132" i="2"/>
  <c r="Q136" i="2"/>
  <c r="Q135" i="2"/>
  <c r="D139" i="2"/>
  <c r="Q138" i="2"/>
  <c r="M179" i="2"/>
  <c r="M33" i="2"/>
  <c r="C164" i="2"/>
  <c r="N19" i="11" s="1"/>
  <c r="N17" i="11"/>
  <c r="M36" i="2"/>
  <c r="M31" i="2"/>
  <c r="M29" i="2"/>
  <c r="G26" i="2"/>
  <c r="M22" i="2"/>
  <c r="BI6" i="3"/>
  <c r="BI36" i="3"/>
  <c r="BK36" i="3"/>
  <c r="BK6" i="3"/>
  <c r="BN36" i="3"/>
  <c r="BN6" i="3"/>
  <c r="BF79" i="3"/>
  <c r="BF48" i="3" s="1"/>
  <c r="BF118" i="3"/>
  <c r="BF88" i="3" s="1"/>
  <c r="AE17" i="2"/>
  <c r="AG17" i="2"/>
  <c r="BL36" i="3"/>
  <c r="BL6" i="3"/>
  <c r="BG36" i="3"/>
  <c r="BG6" i="3"/>
  <c r="BQ36" i="3"/>
  <c r="BQ6" i="3"/>
  <c r="Y10" i="2"/>
  <c r="AA10" i="2"/>
  <c r="AU10" i="2"/>
  <c r="AS10" i="2"/>
  <c r="BM36" i="3"/>
  <c r="BM6" i="3"/>
  <c r="AI10" i="2"/>
  <c r="AK10" i="2"/>
  <c r="BP36" i="3"/>
  <c r="BP6" i="3"/>
  <c r="BJ6" i="3"/>
  <c r="BJ36" i="3"/>
  <c r="BH6" i="3"/>
  <c r="BH36" i="3"/>
  <c r="U17" i="2"/>
  <c r="W17" i="2"/>
  <c r="BR36" i="3"/>
  <c r="BR6" i="3"/>
  <c r="AO17" i="2"/>
  <c r="AQ17" i="2"/>
  <c r="BE79" i="3"/>
  <c r="BE48" i="3" s="1"/>
  <c r="BD48" i="3" s="1"/>
  <c r="BE118" i="3"/>
  <c r="BE88" i="3" s="1"/>
  <c r="G45" i="2"/>
  <c r="M24" i="2"/>
  <c r="BC79" i="3"/>
  <c r="BC118" i="3"/>
  <c r="S15" i="2"/>
  <c r="W14" i="2" s="1"/>
  <c r="W15" i="2" s="1"/>
  <c r="U10" i="11"/>
  <c r="W10" i="11"/>
  <c r="W32" i="11"/>
  <c r="S33" i="11"/>
  <c r="W33" i="11" s="1"/>
  <c r="F29" i="4"/>
  <c r="F28" i="4"/>
  <c r="M34" i="2"/>
  <c r="G29" i="2"/>
  <c r="M27" i="2"/>
  <c r="M35" i="2"/>
  <c r="M41" i="2"/>
  <c r="G42" i="2"/>
  <c r="G25" i="2"/>
  <c r="G37" i="2"/>
  <c r="G44" i="2"/>
  <c r="M37" i="2"/>
  <c r="G27" i="2"/>
  <c r="G41" i="2"/>
  <c r="G33" i="2"/>
  <c r="G31" i="2"/>
  <c r="M40" i="2"/>
  <c r="G43" i="2"/>
  <c r="G23" i="2"/>
  <c r="G22" i="2"/>
  <c r="G38" i="2"/>
  <c r="M39" i="2"/>
  <c r="G39" i="2"/>
  <c r="M45" i="2"/>
  <c r="G32" i="2"/>
  <c r="G40" i="2"/>
  <c r="E31" i="4"/>
  <c r="F30" i="4"/>
  <c r="E17" i="4"/>
  <c r="F17" i="4" s="1"/>
  <c r="F16" i="4"/>
  <c r="U19" i="11"/>
  <c r="U8" i="11"/>
  <c r="S14" i="11" a="1"/>
  <c r="S14" i="11" s="1"/>
  <c r="T14" i="11" s="1"/>
  <c r="S15" i="11"/>
  <c r="W14" i="11" s="1"/>
  <c r="AA14" i="11" s="1"/>
  <c r="U30" i="11"/>
  <c r="W29" i="11"/>
  <c r="U11" i="11"/>
  <c r="W11" i="11"/>
  <c r="W21" i="11"/>
  <c r="S22" i="11"/>
  <c r="S19" i="11"/>
  <c r="W18" i="11" s="1"/>
  <c r="G30" i="2"/>
  <c r="G36" i="2"/>
  <c r="M32" i="2"/>
  <c r="G34" i="2"/>
  <c r="M30" i="2"/>
  <c r="G35" i="2"/>
  <c r="M26" i="2"/>
  <c r="G24" i="2"/>
  <c r="M42" i="2"/>
  <c r="M43" i="2"/>
  <c r="M28" i="2"/>
  <c r="M23" i="2"/>
  <c r="M44" i="2"/>
  <c r="M47" i="2" l="1"/>
  <c r="W8" i="11"/>
  <c r="W9" i="11" s="1"/>
  <c r="W4" i="11"/>
  <c r="Y4" i="11" s="1"/>
  <c r="W26" i="11"/>
  <c r="AA26" i="11" s="1"/>
  <c r="AA25" i="11"/>
  <c r="BH110" i="3"/>
  <c r="BH111" i="3" s="1"/>
  <c r="BH91" i="3"/>
  <c r="BH92" i="3" s="1"/>
  <c r="BP70" i="3"/>
  <c r="BG38" i="3"/>
  <c r="BR121" i="3"/>
  <c r="BR82" i="3"/>
  <c r="BR51" i="3" s="1"/>
  <c r="BO70" i="3"/>
  <c r="AK11" i="2"/>
  <c r="N200" i="2"/>
  <c r="N202" i="2"/>
  <c r="O243" i="2"/>
  <c r="S243" i="2" s="1"/>
  <c r="S244" i="2" s="1"/>
  <c r="AG18" i="2"/>
  <c r="W18" i="2"/>
  <c r="Y3" i="11"/>
  <c r="N199" i="2"/>
  <c r="N201" i="2"/>
  <c r="M200" i="2"/>
  <c r="N196" i="2"/>
  <c r="N193" i="2"/>
  <c r="N192" i="2"/>
  <c r="N191" i="2"/>
  <c r="N190" i="2"/>
  <c r="L190" i="2" s="1"/>
  <c r="N187" i="2"/>
  <c r="N186" i="2"/>
  <c r="N183" i="2"/>
  <c r="N176" i="2"/>
  <c r="N175" i="2"/>
  <c r="N197" i="2"/>
  <c r="N185" i="2"/>
  <c r="N178" i="2"/>
  <c r="N177" i="2"/>
  <c r="BE10" i="3"/>
  <c r="BD10" i="3" s="1"/>
  <c r="BD9" i="3"/>
  <c r="BM80" i="3"/>
  <c r="BM49" i="3" s="1"/>
  <c r="BI120" i="3"/>
  <c r="BE29" i="3"/>
  <c r="BD29" i="3" s="1"/>
  <c r="BD28" i="3"/>
  <c r="BM38" i="3"/>
  <c r="BG82" i="3"/>
  <c r="BG51" i="3" s="1"/>
  <c r="BF82" i="3"/>
  <c r="BF51" i="3" s="1"/>
  <c r="BF121" i="3"/>
  <c r="AC14" i="2"/>
  <c r="BB81" i="3"/>
  <c r="S20" i="11" s="1"/>
  <c r="W19" i="11" s="1"/>
  <c r="W20" i="11" s="1"/>
  <c r="BF91" i="3"/>
  <c r="BF92" i="3" s="1"/>
  <c r="BF110" i="3"/>
  <c r="BF111" i="3" s="1"/>
  <c r="BR80" i="3"/>
  <c r="BR119" i="3"/>
  <c r="BR38" i="3"/>
  <c r="BD79" i="3"/>
  <c r="BJ119" i="3"/>
  <c r="BJ89" i="3" s="1"/>
  <c r="BJ80" i="3"/>
  <c r="BJ49" i="3" s="1"/>
  <c r="BN119" i="3"/>
  <c r="BN89" i="3" s="1"/>
  <c r="BN80" i="3"/>
  <c r="BN49" i="3" s="1"/>
  <c r="BD118" i="3"/>
  <c r="BE69" i="3"/>
  <c r="BD27" i="3"/>
  <c r="BG91" i="3"/>
  <c r="BG92" i="3" s="1"/>
  <c r="BG110" i="3"/>
  <c r="BG111" i="3" s="1"/>
  <c r="BG119" i="3"/>
  <c r="BG89" i="3" s="1"/>
  <c r="BG80" i="3"/>
  <c r="BG49" i="3" s="1"/>
  <c r="BD88" i="3"/>
  <c r="BI81" i="3"/>
  <c r="BI50" i="3" s="1"/>
  <c r="BI51" i="3"/>
  <c r="BS80" i="3"/>
  <c r="BS49" i="3" s="1"/>
  <c r="BS119" i="3"/>
  <c r="BS89" i="3" s="1"/>
  <c r="M202" i="2"/>
  <c r="N188" i="2"/>
  <c r="N181" i="2"/>
  <c r="M199" i="2"/>
  <c r="N184" i="2"/>
  <c r="AU11" i="2"/>
  <c r="BG109" i="3"/>
  <c r="BG90" i="3"/>
  <c r="BO121" i="3"/>
  <c r="BO120" i="3" s="1"/>
  <c r="BO38" i="3"/>
  <c r="BO82" i="3"/>
  <c r="BM70" i="3"/>
  <c r="AA11" i="2"/>
  <c r="Y15" i="2" s="1"/>
  <c r="BJ90" i="3"/>
  <c r="BJ109" i="3"/>
  <c r="BN51" i="3"/>
  <c r="BN81" i="3"/>
  <c r="BN50" i="3" s="1"/>
  <c r="BE91" i="3"/>
  <c r="BE110" i="3"/>
  <c r="BM91" i="3"/>
  <c r="BM92" i="3" s="1"/>
  <c r="BM110" i="3"/>
  <c r="BM111" i="3" s="1"/>
  <c r="BM51" i="3"/>
  <c r="BE82" i="3"/>
  <c r="BD82" i="3" s="1"/>
  <c r="BE121" i="3"/>
  <c r="BD121" i="3" s="1"/>
  <c r="BE38" i="3"/>
  <c r="BD38" i="3" s="1"/>
  <c r="BJ51" i="3"/>
  <c r="BR109" i="3"/>
  <c r="BR90" i="3"/>
  <c r="BS70" i="3"/>
  <c r="BE90" i="3"/>
  <c r="BD90" i="3" s="1"/>
  <c r="BE109" i="3"/>
  <c r="BD109" i="3" s="1"/>
  <c r="BH81" i="3"/>
  <c r="BH50" i="3" s="1"/>
  <c r="BH51" i="3"/>
  <c r="BF80" i="3"/>
  <c r="BF119" i="3"/>
  <c r="BF38" i="3"/>
  <c r="M194" i="2"/>
  <c r="N194" i="2"/>
  <c r="BS110" i="3"/>
  <c r="BS111" i="3" s="1"/>
  <c r="BQ81" i="3"/>
  <c r="BQ50" i="3" s="1"/>
  <c r="BQ51" i="3"/>
  <c r="BK120" i="3"/>
  <c r="BO110" i="3"/>
  <c r="BO111" i="3" s="1"/>
  <c r="BI109" i="3"/>
  <c r="BI90" i="3"/>
  <c r="BH120" i="3"/>
  <c r="BP109" i="3"/>
  <c r="BP90" i="3"/>
  <c r="BP80" i="3"/>
  <c r="BP49" i="3" s="1"/>
  <c r="BP119" i="3"/>
  <c r="BP89" i="3" s="1"/>
  <c r="BO90" i="3"/>
  <c r="BO109" i="3"/>
  <c r="BS82" i="3"/>
  <c r="BS121" i="3"/>
  <c r="BS120" i="3" s="1"/>
  <c r="BS38" i="3"/>
  <c r="BP51" i="3"/>
  <c r="BL51" i="3"/>
  <c r="BL81" i="3"/>
  <c r="BL50" i="3" s="1"/>
  <c r="BK51" i="3"/>
  <c r="BK81" i="3"/>
  <c r="BK50" i="3" s="1"/>
  <c r="BE80" i="3"/>
  <c r="BE49" i="3" s="1"/>
  <c r="BD49" i="3" s="1"/>
  <c r="BE119" i="3"/>
  <c r="BE89" i="3" s="1"/>
  <c r="BB89" i="3"/>
  <c r="BB120" i="3"/>
  <c r="AM15" i="2" s="1"/>
  <c r="AQ14" i="2" s="1"/>
  <c r="AQ15" i="2" s="1"/>
  <c r="BP110" i="3"/>
  <c r="BP111" i="3" s="1"/>
  <c r="BP91" i="3"/>
  <c r="BP92" i="3" s="1"/>
  <c r="M180" i="2"/>
  <c r="N180" i="2"/>
  <c r="BM109" i="3"/>
  <c r="BM90" i="3"/>
  <c r="BS90" i="3"/>
  <c r="BS109" i="3"/>
  <c r="BM120" i="3"/>
  <c r="BL90" i="3"/>
  <c r="BL109" i="3"/>
  <c r="BL120" i="3"/>
  <c r="N18" i="11"/>
  <c r="D140" i="2"/>
  <c r="Q139" i="2"/>
  <c r="C161" i="2"/>
  <c r="K79" i="2" s="1"/>
  <c r="B21" i="11"/>
  <c r="M19" i="11" s="1"/>
  <c r="BP79" i="3"/>
  <c r="BP48" i="3" s="1"/>
  <c r="BP118" i="3"/>
  <c r="BP88" i="3" s="1"/>
  <c r="BK118" i="3"/>
  <c r="BK88" i="3" s="1"/>
  <c r="BK79" i="3"/>
  <c r="BK48" i="3" s="1"/>
  <c r="AQ18" i="2"/>
  <c r="BC88" i="3"/>
  <c r="BC48" i="3"/>
  <c r="BJ79" i="3"/>
  <c r="BJ48" i="3" s="1"/>
  <c r="BJ118" i="3"/>
  <c r="BJ88" i="3" s="1"/>
  <c r="BM118" i="3"/>
  <c r="BM88" i="3" s="1"/>
  <c r="BM79" i="3"/>
  <c r="BM48" i="3" s="1"/>
  <c r="BQ79" i="3"/>
  <c r="BQ48" i="3" s="1"/>
  <c r="BQ118" i="3"/>
  <c r="BQ88" i="3" s="1"/>
  <c r="BR118" i="3"/>
  <c r="BR88" i="3" s="1"/>
  <c r="BR79" i="3"/>
  <c r="BR48" i="3" s="1"/>
  <c r="BG118" i="3"/>
  <c r="BG88" i="3" s="1"/>
  <c r="BG79" i="3"/>
  <c r="BG48" i="3" s="1"/>
  <c r="BN79" i="3"/>
  <c r="BN48" i="3" s="1"/>
  <c r="BN118" i="3"/>
  <c r="BN88" i="3" s="1"/>
  <c r="BL118" i="3"/>
  <c r="BL88" i="3" s="1"/>
  <c r="BL79" i="3"/>
  <c r="BL48" i="3" s="1"/>
  <c r="BI118" i="3"/>
  <c r="BI88" i="3" s="1"/>
  <c r="BI79" i="3"/>
  <c r="BI48" i="3" s="1"/>
  <c r="BH79" i="3"/>
  <c r="BH48" i="3" s="1"/>
  <c r="BH118" i="3"/>
  <c r="BH88" i="3" s="1"/>
  <c r="U33" i="11"/>
  <c r="W34" i="11" s="1"/>
  <c r="W12" i="11"/>
  <c r="F31" i="4"/>
  <c r="E32" i="4"/>
  <c r="W22" i="11"/>
  <c r="U22" i="11"/>
  <c r="W15" i="11"/>
  <c r="Y14" i="11"/>
  <c r="AA4" i="11"/>
  <c r="BD89" i="3" l="1"/>
  <c r="BJ120" i="3"/>
  <c r="K72" i="2"/>
  <c r="AS15" i="2"/>
  <c r="AS18" i="2" s="1"/>
  <c r="AG13" i="2"/>
  <c r="Y26" i="11"/>
  <c r="AA27" i="11" s="1"/>
  <c r="BG81" i="3"/>
  <c r="BG50" i="3" s="1"/>
  <c r="BJ81" i="3"/>
  <c r="BJ50" i="3" s="1"/>
  <c r="L199" i="2"/>
  <c r="L204" i="2" s="1"/>
  <c r="Q205" i="2" s="1"/>
  <c r="K74" i="2"/>
  <c r="K73" i="2"/>
  <c r="Y18" i="2"/>
  <c r="K71" i="2"/>
  <c r="K87" i="2"/>
  <c r="S31" i="11"/>
  <c r="W30" i="11" s="1"/>
  <c r="W31" i="11" s="1"/>
  <c r="BM81" i="3"/>
  <c r="BM50" i="3" s="1"/>
  <c r="BG120" i="3"/>
  <c r="BD80" i="3"/>
  <c r="BD119" i="3"/>
  <c r="BE70" i="3"/>
  <c r="BD70" i="3" s="1"/>
  <c r="BD69" i="3"/>
  <c r="BE111" i="3"/>
  <c r="BD111" i="3" s="1"/>
  <c r="BD110" i="3"/>
  <c r="BE92" i="3"/>
  <c r="BD92" i="3" s="1"/>
  <c r="BD91" i="3"/>
  <c r="BR89" i="3"/>
  <c r="BR120" i="3"/>
  <c r="BN120" i="3"/>
  <c r="AC15" i="2"/>
  <c r="AG14" i="2" s="1"/>
  <c r="AG15" i="2" s="1"/>
  <c r="AI15" i="2" s="1"/>
  <c r="AI18" i="2" s="1"/>
  <c r="F16" i="2" s="1"/>
  <c r="N11" i="11" s="1"/>
  <c r="N15" i="11" s="1"/>
  <c r="BR49" i="3"/>
  <c r="BR81" i="3"/>
  <c r="BR50" i="3" s="1"/>
  <c r="BP81" i="3"/>
  <c r="BP50" i="3" s="1"/>
  <c r="BF89" i="3"/>
  <c r="BF120" i="3"/>
  <c r="BO51" i="3"/>
  <c r="BO81" i="3"/>
  <c r="BO50" i="3" s="1"/>
  <c r="BP120" i="3"/>
  <c r="BF49" i="3"/>
  <c r="BF81" i="3"/>
  <c r="BF50" i="3" s="1"/>
  <c r="BS51" i="3"/>
  <c r="BS81" i="3"/>
  <c r="BS50" i="3" s="1"/>
  <c r="BE120" i="3"/>
  <c r="BD120" i="3" s="1"/>
  <c r="BE81" i="3"/>
  <c r="BE50" i="3" s="1"/>
  <c r="BD50" i="3" s="1"/>
  <c r="BE51" i="3"/>
  <c r="BD51" i="3" s="1"/>
  <c r="D141" i="2"/>
  <c r="Q140" i="2"/>
  <c r="T162" i="2"/>
  <c r="O162" i="2" s="1"/>
  <c r="N22" i="11" s="1"/>
  <c r="O161" i="2"/>
  <c r="M20" i="11"/>
  <c r="M22" i="11" s="1"/>
  <c r="F241" i="2"/>
  <c r="N20" i="11"/>
  <c r="B23" i="11"/>
  <c r="M21" i="11" s="1"/>
  <c r="AA5" i="11"/>
  <c r="Y9" i="11" s="1"/>
  <c r="Y12" i="11" s="1"/>
  <c r="W23" i="11"/>
  <c r="E33" i="4"/>
  <c r="F32" i="4"/>
  <c r="Y15" i="11"/>
  <c r="AA15" i="11"/>
  <c r="M23" i="11" l="1"/>
  <c r="Y31" i="11"/>
  <c r="Y34" i="11" s="1"/>
  <c r="G161" i="2"/>
  <c r="N21" i="11" s="1"/>
  <c r="O21" i="11" s="1"/>
  <c r="F18" i="2"/>
  <c r="E165" i="2" s="1"/>
  <c r="BD81" i="3"/>
  <c r="D142" i="2"/>
  <c r="Q141" i="2"/>
  <c r="F243" i="2"/>
  <c r="F244" i="2" s="1"/>
  <c r="S241" i="2"/>
  <c r="AA16" i="11"/>
  <c r="Y20" i="11" s="1"/>
  <c r="Y23" i="11" s="1"/>
  <c r="M11" i="11" s="1"/>
  <c r="E34" i="4"/>
  <c r="F33" i="4"/>
  <c r="N23" i="11" l="1"/>
  <c r="O23" i="11" s="1"/>
  <c r="S242" i="2"/>
  <c r="S245" i="2" s="1"/>
  <c r="G247" i="2" s="1"/>
  <c r="E166" i="2"/>
  <c r="X173" i="2" s="1"/>
  <c r="H170" i="2" s="1"/>
  <c r="O11" i="11"/>
  <c r="M15" i="11"/>
  <c r="O15" i="11" s="1"/>
  <c r="D143" i="2"/>
  <c r="Q142" i="2"/>
  <c r="O242" i="2"/>
  <c r="K241" i="2"/>
  <c r="K245" i="2" s="1"/>
  <c r="E35" i="4"/>
  <c r="F34" i="4"/>
  <c r="X174" i="2" l="1"/>
  <c r="D210" i="2" s="1"/>
  <c r="D144" i="2"/>
  <c r="Q143" i="2"/>
  <c r="E36" i="4"/>
  <c r="F35" i="4"/>
  <c r="GA37" i="3" l="1"/>
  <c r="F171" i="2"/>
  <c r="GA36" i="3"/>
  <c r="O245" i="2"/>
  <c r="D145" i="2"/>
  <c r="Q144" i="2"/>
  <c r="F36" i="4"/>
  <c r="E37" i="4"/>
  <c r="F247" i="2" l="1"/>
  <c r="D146" i="2"/>
  <c r="Q145" i="2"/>
  <c r="H291" i="2"/>
  <c r="D300" i="2" s="1"/>
  <c r="F37" i="4"/>
  <c r="E38" i="4"/>
  <c r="F38" i="4" s="1"/>
  <c r="N205" i="2" l="1"/>
  <c r="Q206" i="2"/>
  <c r="M205" i="2"/>
  <c r="V243" i="2"/>
  <c r="W243" i="2" s="1"/>
  <c r="D147" i="2"/>
  <c r="Q146" i="2"/>
  <c r="L205" i="2" l="1"/>
  <c r="V242" i="2" s="1"/>
  <c r="V244" i="2" s="1"/>
  <c r="V245" i="2" s="1"/>
  <c r="V246" i="2" s="1"/>
  <c r="J207" i="2" s="1"/>
  <c r="D148" i="2"/>
  <c r="Q147" i="2"/>
  <c r="D286" i="2" l="1"/>
  <c r="D287" i="2" s="1"/>
  <c r="G3" i="11" s="1"/>
  <c r="I3" i="11" s="1"/>
  <c r="S286" i="2"/>
  <c r="W244" i="2"/>
  <c r="G248" i="2"/>
  <c r="D149" i="2"/>
  <c r="Q148" i="2"/>
  <c r="D301" i="2" l="1"/>
  <c r="N27" i="11"/>
  <c r="B3" i="11"/>
  <c r="F3" i="11" s="1"/>
  <c r="D150" i="2"/>
  <c r="Q149" i="2"/>
  <c r="M27" i="11" l="1"/>
  <c r="O31" i="11" s="1"/>
  <c r="D151" i="2"/>
  <c r="Q150" i="2"/>
  <c r="O27" i="11" l="1"/>
  <c r="H3" i="11"/>
  <c r="J3" i="11" s="1"/>
  <c r="D152" i="2"/>
  <c r="Q151" i="2"/>
  <c r="D153" i="2" l="1"/>
  <c r="Q152" i="2"/>
  <c r="D154" i="2" l="1"/>
  <c r="Q153" i="2"/>
  <c r="D155" i="2" l="1"/>
  <c r="Q154" i="2"/>
  <c r="D156" i="2" l="1"/>
  <c r="Q155" i="2"/>
  <c r="D157" i="2" l="1"/>
  <c r="Q156" i="2"/>
  <c r="D158" i="2" l="1"/>
  <c r="Q157" i="2"/>
  <c r="D159" i="2" l="1"/>
  <c r="Q159" i="2" s="1"/>
  <c r="Q15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 Lam-Goon</author>
  </authors>
  <commentList>
    <comment ref="N14" authorId="0" shapeId="0" xr:uid="{00000000-0006-0000-0100-000001000000}">
      <text>
        <r>
          <rPr>
            <b/>
            <sz val="9"/>
            <color indexed="81"/>
            <rFont val="Tahoma"/>
            <family val="2"/>
          </rPr>
          <t>Angel Lam-Goon:</t>
        </r>
        <r>
          <rPr>
            <sz val="9"/>
            <color indexed="81"/>
            <rFont val="Tahoma"/>
            <family val="2"/>
          </rPr>
          <t xml:space="preserve">
Per rate filing, Agg Deductible Factor does not affect ILF or Base Premium, but rather is considered directly in the Final Premium calculation</t>
        </r>
      </text>
    </comment>
    <comment ref="D20" authorId="0" shapeId="0" xr:uid="{00000000-0006-0000-0100-000002000000}">
      <text>
        <r>
          <rPr>
            <b/>
            <sz val="9"/>
            <color indexed="81"/>
            <rFont val="Tahoma"/>
            <family val="2"/>
          </rPr>
          <t>Angel Lam-Goon:</t>
        </r>
        <r>
          <rPr>
            <sz val="9"/>
            <color indexed="81"/>
            <rFont val="Tahoma"/>
            <family val="2"/>
          </rPr>
          <t xml:space="preserve">
For GA, rate filing as of 4/2019 accidentally omitted AOP: Social Security
For VA, rate filing as of 4/2019 accidentally omitted AOPS: Medical Malpractice, Entertainment, Investment Counsel/Money Mgmt, Litigation Plaintiff, Real Estate, Securities, Workers Comp</t>
        </r>
      </text>
    </comment>
    <comment ref="C59" authorId="0" shapeId="0" xr:uid="{00000000-0006-0000-0100-000003000000}">
      <text>
        <r>
          <rPr>
            <b/>
            <sz val="9"/>
            <color indexed="81"/>
            <rFont val="Tahoma"/>
            <family val="2"/>
          </rPr>
          <t>Angel Lam-Goon:</t>
        </r>
        <r>
          <rPr>
            <sz val="9"/>
            <color indexed="81"/>
            <rFont val="Tahoma"/>
            <family val="2"/>
          </rPr>
          <t xml:space="preserve">
For more than 10 attorneys, refer to Rob Dizicki</t>
        </r>
      </text>
    </comment>
    <comment ref="H59" authorId="0" shapeId="0" xr:uid="{00000000-0006-0000-0100-000004000000}">
      <text>
        <r>
          <rPr>
            <b/>
            <sz val="9"/>
            <color indexed="81"/>
            <rFont val="Tahoma"/>
            <family val="2"/>
          </rPr>
          <t>Angel Lam-Goon:</t>
        </r>
        <r>
          <rPr>
            <sz val="9"/>
            <color indexed="81"/>
            <rFont val="Tahoma"/>
            <family val="2"/>
          </rPr>
          <t xml:space="preserve">
A lawyer who practices less than 1,000 hours per calendar year will qualify for a part-time discount. This does not apploy to sole practitioners.  Lawyers who work at least 9 hours/week and less than 40 hours/week count as "Yes" for regular part time. </t>
        </r>
      </text>
    </comment>
    <comment ref="N161" authorId="0" shapeId="0" xr:uid="{00000000-0006-0000-0100-000005000000}">
      <text>
        <r>
          <rPr>
            <b/>
            <sz val="9"/>
            <color indexed="81"/>
            <rFont val="Tahoma"/>
            <family val="2"/>
          </rPr>
          <t>Angel Lam-Goon:</t>
        </r>
        <r>
          <rPr>
            <sz val="9"/>
            <color indexed="81"/>
            <rFont val="Tahoma"/>
            <family val="2"/>
          </rPr>
          <t xml:space="preserve">
If Surplus Lines, assume Full Prior Acts</t>
        </r>
      </text>
    </comment>
    <comment ref="K244" authorId="0" shapeId="0" xr:uid="{00000000-0006-0000-0100-000006000000}">
      <text>
        <r>
          <rPr>
            <b/>
            <sz val="9"/>
            <color indexed="81"/>
            <rFont val="Tahoma"/>
            <family val="2"/>
          </rPr>
          <t>Angel Lam-Goon:</t>
        </r>
        <r>
          <rPr>
            <sz val="9"/>
            <color indexed="81"/>
            <rFont val="Tahoma"/>
            <family val="2"/>
          </rPr>
          <t xml:space="preserve">
If no claims included, assumed at least 5 years since last claim to allow claim free credit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Angel Lam-Goon</author>
  </authors>
  <commentList>
    <comment ref="L44" authorId="0" shapeId="0" xr:uid="{00000000-0006-0000-0200-000001000000}">
      <text>
        <r>
          <rPr>
            <b/>
            <sz val="9"/>
            <color indexed="81"/>
            <rFont val="Tahoma"/>
            <family val="2"/>
          </rPr>
          <t>Angel Lam-Goon:</t>
        </r>
        <r>
          <rPr>
            <sz val="9"/>
            <color indexed="81"/>
            <rFont val="Tahoma"/>
            <family val="2"/>
          </rPr>
          <t xml:space="preserve">
Per Rob Diziki 10/16/19: Oregon has a requirement that law firms insure up to a certain limit in their state Bar program. As such won’t be writing primary there.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Angel Lam-Goon</author>
  </authors>
  <commentList>
    <comment ref="N71" authorId="0" shapeId="0" xr:uid="{00000000-0006-0000-0300-000001000000}">
      <text>
        <r>
          <rPr>
            <b/>
            <sz val="9"/>
            <color indexed="81"/>
            <rFont val="Tahoma"/>
            <family val="2"/>
          </rPr>
          <t>Angel Lam-Goon:</t>
        </r>
        <r>
          <rPr>
            <sz val="9"/>
            <color indexed="81"/>
            <rFont val="Tahoma"/>
            <family val="2"/>
          </rPr>
          <t xml:space="preserve">
Base rate is 1500 for $1m/$1m limits</t>
        </r>
      </text>
    </comment>
    <comment ref="N81" authorId="0" shapeId="0" xr:uid="{00000000-0006-0000-0300-000002000000}">
      <text>
        <r>
          <rPr>
            <b/>
            <sz val="9"/>
            <color indexed="81"/>
            <rFont val="Tahoma"/>
            <family val="2"/>
          </rPr>
          <t>Angel Lam-Goon:</t>
        </r>
        <r>
          <rPr>
            <sz val="9"/>
            <color indexed="81"/>
            <rFont val="Tahoma"/>
            <family val="2"/>
          </rPr>
          <t xml:space="preserve">
Base rate is 1500 for $1m/$1m limits</t>
        </r>
      </text>
    </comment>
    <comment ref="N90" authorId="0" shapeId="0" xr:uid="{00000000-0006-0000-0300-000003000000}">
      <text>
        <r>
          <rPr>
            <b/>
            <sz val="9"/>
            <color indexed="81"/>
            <rFont val="Tahoma"/>
            <family val="2"/>
          </rPr>
          <t>Angel Lam-Goon:</t>
        </r>
        <r>
          <rPr>
            <sz val="9"/>
            <color indexed="81"/>
            <rFont val="Tahoma"/>
            <family val="2"/>
          </rPr>
          <t xml:space="preserve">
Base rate is 1500 for $1m/$1m limits</t>
        </r>
      </text>
    </comment>
  </commentList>
</comments>
</file>

<file path=xl/sharedStrings.xml><?xml version="1.0" encoding="utf-8"?>
<sst xmlns="http://schemas.openxmlformats.org/spreadsheetml/2006/main" count="8588" uniqueCount="3023">
  <si>
    <t>Everest Specialty Underwriters, LLC</t>
  </si>
  <si>
    <t>Lawyers Professional Liability Policy</t>
  </si>
  <si>
    <t>Policy Information</t>
  </si>
  <si>
    <t>Policy Number</t>
  </si>
  <si>
    <t>Named Insured</t>
  </si>
  <si>
    <t>Effective Date</t>
  </si>
  <si>
    <t>Commission</t>
  </si>
  <si>
    <t>Previous Policy #</t>
  </si>
  <si>
    <t>Expiration Date</t>
  </si>
  <si>
    <t>Payment Plan</t>
  </si>
  <si>
    <t>New or Renewal</t>
  </si>
  <si>
    <t>Term (# of Years)</t>
  </si>
  <si>
    <t>Retro Date</t>
  </si>
  <si>
    <t>Mailing Address 1</t>
  </si>
  <si>
    <t>Mailing Address 2</t>
  </si>
  <si>
    <t>City</t>
  </si>
  <si>
    <t>State</t>
  </si>
  <si>
    <t>Rater Information</t>
  </si>
  <si>
    <t>Rater Version</t>
  </si>
  <si>
    <t>Release Date</t>
  </si>
  <si>
    <t>Actuary</t>
  </si>
  <si>
    <t>Comments</t>
  </si>
  <si>
    <t>1.01 (TESTING ONLY)</t>
  </si>
  <si>
    <t>Angel Lam-Goon</t>
  </si>
  <si>
    <t>Based on LPL CA Rate Filing 4/2019</t>
  </si>
  <si>
    <t>Account Info</t>
  </si>
  <si>
    <t>Yes/No</t>
  </si>
  <si>
    <t>Yes</t>
  </si>
  <si>
    <t>No</t>
  </si>
  <si>
    <t>New/Renewal</t>
  </si>
  <si>
    <t>New</t>
  </si>
  <si>
    <t>Renewal</t>
  </si>
  <si>
    <t>Payment Plan Code</t>
  </si>
  <si>
    <t>Pre-Paid</t>
  </si>
  <si>
    <t>00</t>
  </si>
  <si>
    <t xml:space="preserve">Annual                        </t>
  </si>
  <si>
    <t>01</t>
  </si>
  <si>
    <t>Semi-Annual</t>
  </si>
  <si>
    <t>02</t>
  </si>
  <si>
    <t xml:space="preserve">Quarterly                     </t>
  </si>
  <si>
    <t>03</t>
  </si>
  <si>
    <t xml:space="preserve">Monthly                       </t>
  </si>
  <si>
    <t>04</t>
  </si>
  <si>
    <t>Zip Code</t>
  </si>
  <si>
    <t>Version</t>
  </si>
  <si>
    <t>Version Release Date</t>
  </si>
  <si>
    <t>County</t>
  </si>
  <si>
    <t>CA</t>
  </si>
  <si>
    <t>Los Angeles</t>
  </si>
  <si>
    <t>Rest of CA</t>
  </si>
  <si>
    <t>CO</t>
  </si>
  <si>
    <t>FL</t>
  </si>
  <si>
    <t>Miami-Dade</t>
  </si>
  <si>
    <t>Broward</t>
  </si>
  <si>
    <t>Palm Beach</t>
  </si>
  <si>
    <t>Pasco</t>
  </si>
  <si>
    <t>Pinellas</t>
  </si>
  <si>
    <t>Hillsborough</t>
  </si>
  <si>
    <t>Orange</t>
  </si>
  <si>
    <t>Osceola</t>
  </si>
  <si>
    <t>Indian River</t>
  </si>
  <si>
    <t>St. Lucie</t>
  </si>
  <si>
    <t>Martin</t>
  </si>
  <si>
    <t>Rest of FL</t>
  </si>
  <si>
    <t>GA</t>
  </si>
  <si>
    <t>IL</t>
  </si>
  <si>
    <t>Cook County</t>
  </si>
  <si>
    <t>Rest of IL</t>
  </si>
  <si>
    <t>MI</t>
  </si>
  <si>
    <t>MN</t>
  </si>
  <si>
    <t>NY</t>
  </si>
  <si>
    <t>Standard Metro NY</t>
  </si>
  <si>
    <t>Standard Non-Metro NY</t>
  </si>
  <si>
    <t>OH</t>
  </si>
  <si>
    <t>PA</t>
  </si>
  <si>
    <t>TX</t>
  </si>
  <si>
    <t>VA</t>
  </si>
  <si>
    <t>Alabama</t>
  </si>
  <si>
    <t>AL</t>
  </si>
  <si>
    <t>Alaska</t>
  </si>
  <si>
    <t>AK</t>
  </si>
  <si>
    <t>Arizona</t>
  </si>
  <si>
    <t>AZ</t>
  </si>
  <si>
    <t>Arkansas</t>
  </si>
  <si>
    <t>AR</t>
  </si>
  <si>
    <t>California</t>
  </si>
  <si>
    <t>Colorado</t>
  </si>
  <si>
    <t>Connecticut</t>
  </si>
  <si>
    <t>CT</t>
  </si>
  <si>
    <t>Delaware</t>
  </si>
  <si>
    <t>DE</t>
  </si>
  <si>
    <t>District Of Columbia</t>
  </si>
  <si>
    <t>DC</t>
  </si>
  <si>
    <t>Florida</t>
  </si>
  <si>
    <t>Georgia</t>
  </si>
  <si>
    <t>Guam</t>
  </si>
  <si>
    <t>GU</t>
  </si>
  <si>
    <t>Hawaii</t>
  </si>
  <si>
    <t>HI</t>
  </si>
  <si>
    <t>Idaho</t>
  </si>
  <si>
    <t>ID</t>
  </si>
  <si>
    <t>Illinois</t>
  </si>
  <si>
    <t>Indiana</t>
  </si>
  <si>
    <t>IN</t>
  </si>
  <si>
    <t>Iowa</t>
  </si>
  <si>
    <t>IA</t>
  </si>
  <si>
    <t>Kansas</t>
  </si>
  <si>
    <t>KS</t>
  </si>
  <si>
    <t>Kentucky</t>
  </si>
  <si>
    <t>KY</t>
  </si>
  <si>
    <t>Louisiana</t>
  </si>
  <si>
    <t>LA</t>
  </si>
  <si>
    <t>Maine</t>
  </si>
  <si>
    <t>ME</t>
  </si>
  <si>
    <t>Maryland</t>
  </si>
  <si>
    <t>MD</t>
  </si>
  <si>
    <t>Massachusetts</t>
  </si>
  <si>
    <t>MA</t>
  </si>
  <si>
    <t>Michigan</t>
  </si>
  <si>
    <t>Minnesota</t>
  </si>
  <si>
    <t>Mississippi</t>
  </si>
  <si>
    <t>MS</t>
  </si>
  <si>
    <t>Missouri</t>
  </si>
  <si>
    <t>MO</t>
  </si>
  <si>
    <t>Montana</t>
  </si>
  <si>
    <t>MT</t>
  </si>
  <si>
    <t>Nebraska</t>
  </si>
  <si>
    <t>NE</t>
  </si>
  <si>
    <t>Nevada</t>
  </si>
  <si>
    <t>NV</t>
  </si>
  <si>
    <t>New Hampshire</t>
  </si>
  <si>
    <t>NH</t>
  </si>
  <si>
    <t>New Jersey</t>
  </si>
  <si>
    <t>NJ</t>
  </si>
  <si>
    <t>New Mexico</t>
  </si>
  <si>
    <t>NM</t>
  </si>
  <si>
    <t>New York</t>
  </si>
  <si>
    <t>North Carolina</t>
  </si>
  <si>
    <t>NC</t>
  </si>
  <si>
    <t>North Dakota</t>
  </si>
  <si>
    <t>ND</t>
  </si>
  <si>
    <t>Ohio</t>
  </si>
  <si>
    <t>Oklahoma</t>
  </si>
  <si>
    <t>OK</t>
  </si>
  <si>
    <t>Oregon</t>
  </si>
  <si>
    <t>OR</t>
  </si>
  <si>
    <t>Pennsylvania</t>
  </si>
  <si>
    <t>Puerto Rico</t>
  </si>
  <si>
    <t>PR</t>
  </si>
  <si>
    <t>Rhode Island</t>
  </si>
  <si>
    <t>RI</t>
  </si>
  <si>
    <t>South Carolina</t>
  </si>
  <si>
    <t>SC</t>
  </si>
  <si>
    <t>South Dakota</t>
  </si>
  <si>
    <t>SD</t>
  </si>
  <si>
    <t>Tennessee</t>
  </si>
  <si>
    <t>TN</t>
  </si>
  <si>
    <t>Texas</t>
  </si>
  <si>
    <t>Utah</t>
  </si>
  <si>
    <t>UT</t>
  </si>
  <si>
    <t>Vermont</t>
  </si>
  <si>
    <t>VT</t>
  </si>
  <si>
    <t>Virgin Islands</t>
  </si>
  <si>
    <t>VI</t>
  </si>
  <si>
    <t>Virginia</t>
  </si>
  <si>
    <t>Washington</t>
  </si>
  <si>
    <t>WA</t>
  </si>
  <si>
    <t>West Virginia</t>
  </si>
  <si>
    <t>WV</t>
  </si>
  <si>
    <t>Wisconsin</t>
  </si>
  <si>
    <t>WI</t>
  </si>
  <si>
    <t>Wyoming</t>
  </si>
  <si>
    <t>WY</t>
  </si>
  <si>
    <t>State Abbr</t>
  </si>
  <si>
    <t>Base Rate</t>
  </si>
  <si>
    <t>Alameda</t>
  </si>
  <si>
    <t>Contra Costa</t>
  </si>
  <si>
    <t>All</t>
  </si>
  <si>
    <t>Default Base Rate</t>
  </si>
  <si>
    <t>If adding more counties, need to readjust the named range 'County_State' to accommodate the extra fields</t>
  </si>
  <si>
    <t>State-County</t>
  </si>
  <si>
    <t>Increased Limit Factors</t>
  </si>
  <si>
    <t>Per Claim</t>
  </si>
  <si>
    <t>Aggregate</t>
  </si>
  <si>
    <t>Claims Expense Inside of Limits</t>
  </si>
  <si>
    <t>Claims Expense in Addition to Limits</t>
  </si>
  <si>
    <t>Per Claim Limit</t>
  </si>
  <si>
    <t>Aggregate Limit</t>
  </si>
  <si>
    <t>Separate Claim Expenses Coverage Endorsement</t>
  </si>
  <si>
    <t>N/A</t>
  </si>
  <si>
    <t>Claim Expenses Coverage Limit</t>
  </si>
  <si>
    <t>Column for Claim Treatment</t>
  </si>
  <si>
    <t>Selected Limit</t>
  </si>
  <si>
    <t>Claim Expense Treatment</t>
  </si>
  <si>
    <t>Row for Limit LB</t>
  </si>
  <si>
    <t>Row for Limit UB</t>
  </si>
  <si>
    <t>LB Factor</t>
  </si>
  <si>
    <t>UB Factor</t>
  </si>
  <si>
    <t>Per Attorney Rate Calculation</t>
  </si>
  <si>
    <t>LB Limit</t>
  </si>
  <si>
    <t>UB Limit</t>
  </si>
  <si>
    <t>Per Claim Deductible</t>
  </si>
  <si>
    <t>Deductible per claim</t>
  </si>
  <si>
    <t>Loss &amp; Claims Expense</t>
  </si>
  <si>
    <t>Loss Only</t>
  </si>
  <si>
    <t>Deductible Application</t>
  </si>
  <si>
    <t>Base Premium</t>
  </si>
  <si>
    <t>Area of Practice Debits/Credits</t>
  </si>
  <si>
    <t>Area of Practice Factors</t>
  </si>
  <si>
    <t>Area of Practice</t>
  </si>
  <si>
    <t>BI/PD Defense</t>
  </si>
  <si>
    <t>Group 1</t>
  </si>
  <si>
    <t>Criminal</t>
  </si>
  <si>
    <t>Defense</t>
  </si>
  <si>
    <t>Discrimination/Harassment Defense</t>
  </si>
  <si>
    <t>Insurance Defense</t>
  </si>
  <si>
    <t>Litigation Defense</t>
  </si>
  <si>
    <t>Worker’s Compensation Defense</t>
  </si>
  <si>
    <t>Administrative Law</t>
  </si>
  <si>
    <t>Group 2</t>
  </si>
  <si>
    <t>Arbitration/Mediation</t>
  </si>
  <si>
    <t>Immigration</t>
  </si>
  <si>
    <t>Group 3</t>
  </si>
  <si>
    <t>International Law</t>
  </si>
  <si>
    <t>Juvenile/Guardian</t>
  </si>
  <si>
    <t>Municipal Law</t>
  </si>
  <si>
    <t>Public Utilities</t>
  </si>
  <si>
    <t>Social Security</t>
  </si>
  <si>
    <t>Admiralty/Maritime</t>
  </si>
  <si>
    <t>Group 4</t>
  </si>
  <si>
    <t>Bankruptcy</t>
  </si>
  <si>
    <t>Collection/Repossession</t>
  </si>
  <si>
    <t>Construction/Building Contracts</t>
  </si>
  <si>
    <t>Consumer Claims</t>
  </si>
  <si>
    <t>Domestic/Family</t>
  </si>
  <si>
    <t>Financial Institution</t>
  </si>
  <si>
    <t>Government</t>
  </si>
  <si>
    <t>Intellectual Property Litigation</t>
  </si>
  <si>
    <t>Labor Relation</t>
  </si>
  <si>
    <t>Other</t>
  </si>
  <si>
    <t>Business/Corporation</t>
  </si>
  <si>
    <t>Group 5</t>
  </si>
  <si>
    <t>Taxation</t>
  </si>
  <si>
    <t>Environmental</t>
  </si>
  <si>
    <t>Group 6</t>
  </si>
  <si>
    <t>ERISA/EE Benefit</t>
  </si>
  <si>
    <t>Landlord/Tenant</t>
  </si>
  <si>
    <t>Oil/Gas</t>
  </si>
  <si>
    <t>Products Liability</t>
  </si>
  <si>
    <t>Tax Opinion</t>
  </si>
  <si>
    <t>Estate/Trust/Probate</t>
  </si>
  <si>
    <t>Group 7</t>
  </si>
  <si>
    <t>Medical Malpractice</t>
  </si>
  <si>
    <t>Acquisitions/Mergers</t>
  </si>
  <si>
    <t>Group 8</t>
  </si>
  <si>
    <t>BI/PD Plaintiff</t>
  </si>
  <si>
    <t>Bonds</t>
  </si>
  <si>
    <t>Copyright/Patent/Trademark</t>
  </si>
  <si>
    <t>Corporate Formation</t>
  </si>
  <si>
    <t>Discrimination/Harassment Plaintiff</t>
  </si>
  <si>
    <t>Entertainment</t>
  </si>
  <si>
    <t>Investment Counsel/Money Management</t>
  </si>
  <si>
    <t>Litigation Plaintiff</t>
  </si>
  <si>
    <t>Real Estate</t>
  </si>
  <si>
    <t>Securities</t>
  </si>
  <si>
    <t>Worker’s Compensation Plaintiff</t>
  </si>
  <si>
    <t>Table A</t>
  </si>
  <si>
    <t>Table B</t>
  </si>
  <si>
    <t>Max Credit</t>
  </si>
  <si>
    <t>Max Debit</t>
  </si>
  <si>
    <t>Debit/Credit</t>
  </si>
  <si>
    <t>States</t>
  </si>
  <si>
    <t>Table C</t>
  </si>
  <si>
    <t>Table</t>
  </si>
  <si>
    <t>Total</t>
  </si>
  <si>
    <t>AOP Min/Max Source:</t>
  </si>
  <si>
    <t>% of Billings</t>
  </si>
  <si>
    <t>Continuing Legal Education</t>
  </si>
  <si>
    <t>Firms whose lawyers attend continuing legal education at an average of 6 hours per year per lawyer will receive a 5% credit.  This is an annual credit</t>
  </si>
  <si>
    <t>Apply Continuing Legal Education Credit?</t>
  </si>
  <si>
    <t>Continuing Ed Credit</t>
  </si>
  <si>
    <t>Credit</t>
  </si>
  <si>
    <t>Individual Attorney Information</t>
  </si>
  <si>
    <t>Include? (1 = Yes)</t>
  </si>
  <si>
    <t>1/0</t>
  </si>
  <si>
    <t>Attorney Name</t>
  </si>
  <si>
    <t>Part Time?</t>
  </si>
  <si>
    <t>Size of Firm</t>
  </si>
  <si>
    <t># of lawyers</t>
  </si>
  <si>
    <t>Prior Acts</t>
  </si>
  <si>
    <t>RATE CATEGORY</t>
  </si>
  <si>
    <t>YEARS WITH NAMED INSURED</t>
  </si>
  <si>
    <t>less than one</t>
  </si>
  <si>
    <t>less than two</t>
  </si>
  <si>
    <t>less than three</t>
  </si>
  <si>
    <t>less than four</t>
  </si>
  <si>
    <t>less than five</t>
  </si>
  <si>
    <t>less than six</t>
  </si>
  <si>
    <t>less than seven</t>
  </si>
  <si>
    <t>less than eight</t>
  </si>
  <si>
    <t>eight or more</t>
  </si>
  <si>
    <t>Prior Acts Factor</t>
  </si>
  <si>
    <t>Prior Acts Date</t>
  </si>
  <si>
    <t>Size of Firm Table</t>
  </si>
  <si>
    <t>If Error</t>
  </si>
  <si>
    <t>Part Time Credit</t>
  </si>
  <si>
    <t>Default</t>
  </si>
  <si>
    <t>Number of Attorneys</t>
  </si>
  <si>
    <t>Number of Full-time Attorneys</t>
  </si>
  <si>
    <t>Number of Part-time Attorneys</t>
  </si>
  <si>
    <t>Years with Firm</t>
  </si>
  <si>
    <t>Avg Prior Acts Factor</t>
  </si>
  <si>
    <t>Deductible Factor</t>
  </si>
  <si>
    <t>Aggregate Deductible</t>
  </si>
  <si>
    <t>Selection</t>
  </si>
  <si>
    <t>Factor</t>
  </si>
  <si>
    <t>Aggregate deductible amount is equal to the per claim deductible</t>
  </si>
  <si>
    <t>Aggregate deductible amount is 2x the per claim deductible</t>
  </si>
  <si>
    <t>Aggregate deductible amount is 3x the per claim deductible</t>
  </si>
  <si>
    <t>Is there an Aggregate Deductible?</t>
  </si>
  <si>
    <t>Risk Characteristic</t>
  </si>
  <si>
    <t>Individual Risk Modifications (IRM)</t>
  </si>
  <si>
    <t>Risk Characteristics</t>
  </si>
  <si>
    <t>Quality of Management</t>
  </si>
  <si>
    <t>Use or non-use of both engagements and disengagement letters</t>
  </si>
  <si>
    <t>Use or non-use of a. above and declination letter</t>
  </si>
  <si>
    <t>Use or non-use of at least 2 forms of conflict of interest avoidance system such as computerized, manual index file, conflict committee or others</t>
  </si>
  <si>
    <t>Use of non-use of more than 2 forms of conflict of interest avoidance system</t>
  </si>
  <si>
    <t>Lack or presence of business or financial involvement in client’s business</t>
  </si>
  <si>
    <t>Lack or presence of split fee arrangement with another lawyer</t>
  </si>
  <si>
    <t>Years of Experience</t>
  </si>
  <si>
    <t>15+ years</t>
  </si>
  <si>
    <t>10-14 years</t>
  </si>
  <si>
    <t>5-9 years</t>
  </si>
  <si>
    <t>1-5 years</t>
  </si>
  <si>
    <t>New firm (&lt;1 year)</t>
  </si>
  <si>
    <t>Loss Control</t>
  </si>
  <si>
    <t>Participation in loss control program</t>
  </si>
  <si>
    <t>Absence of general acceptable loss control techniques</t>
  </si>
  <si>
    <t>Date/Calendar Control System</t>
  </si>
  <si>
    <t>Use or Non use of multiple Docket/Calendar systems</t>
  </si>
  <si>
    <t>Unique conditions of exposure</t>
  </si>
  <si>
    <t>Firm's Areas of Practice focused on certain specialized fields</t>
  </si>
  <si>
    <t>Firm's Ares of Practice spread amongst many different fields</t>
  </si>
  <si>
    <t>Unique conditions of exposure not usual to the practice type outlined in Practice Specialties</t>
  </si>
  <si>
    <t>Loss/Docket Control</t>
  </si>
  <si>
    <t>Use or non-use of three or more calendar/docket docket control systems</t>
  </si>
  <si>
    <t>Presence or lack of in-house loss control procedures</t>
  </si>
  <si>
    <t>Firm managed by a Management/Executive Committee</t>
  </si>
  <si>
    <t>Date/Calendar Control System – evaluation of the firm’s date/calendar control system used to manage ongoing projects</t>
  </si>
  <si>
    <t>IRM Table</t>
  </si>
  <si>
    <t>IRM Table D</t>
  </si>
  <si>
    <t>IRM Table C</t>
  </si>
  <si>
    <t>IRM Table B</t>
  </si>
  <si>
    <t>IRM Table A</t>
  </si>
  <si>
    <r>
      <rPr>
        <b/>
        <sz val="11"/>
        <color theme="1"/>
        <rFont val="Calibri"/>
        <family val="2"/>
        <scheme val="minor"/>
      </rPr>
      <t>Loss Control</t>
    </r>
    <r>
      <rPr>
        <sz val="11"/>
        <color theme="1"/>
        <rFont val="Calibri"/>
        <family val="2"/>
        <scheme val="minor"/>
      </rPr>
      <t xml:space="preserve">
(a) participation in loss control program
(b) Absence of general acceptable loss control techniques</t>
    </r>
  </si>
  <si>
    <t>Min</t>
  </si>
  <si>
    <t>Max</t>
  </si>
  <si>
    <t>ifblank</t>
  </si>
  <si>
    <t>blank field</t>
  </si>
  <si>
    <t>Experience Rating</t>
  </si>
  <si>
    <t>Full Time</t>
  </si>
  <si>
    <t>Part Time</t>
  </si>
  <si>
    <t>Claim #</t>
  </si>
  <si>
    <t>Include? (1=Yes)</t>
  </si>
  <si>
    <t>TABLE A</t>
  </si>
  <si>
    <t># of attorneys</t>
  </si>
  <si>
    <t># of claims</t>
  </si>
  <si>
    <t>Refer to Co.</t>
  </si>
  <si>
    <t>TABLE B - Number of years since last loss</t>
  </si>
  <si>
    <t>1. Debit</t>
  </si>
  <si>
    <t>2. Credit</t>
  </si>
  <si>
    <t>TABLE C</t>
  </si>
  <si>
    <t>TOTAL INCURRED FOR ALL CLAIMS</t>
  </si>
  <si>
    <t>NY ONLY:</t>
  </si>
  <si>
    <t>Incurred Loss</t>
  </si>
  <si>
    <t>Incurred Expense</t>
  </si>
  <si>
    <t>Incurred Loss + Expense</t>
  </si>
  <si>
    <t>Error:</t>
  </si>
  <si>
    <t>Report Date</t>
  </si>
  <si>
    <t>Pol Eff Date</t>
  </si>
  <si>
    <t>Avg # of Yrs Since Claims</t>
  </si>
  <si>
    <t>Table B Column</t>
  </si>
  <si>
    <t>Experience Rating Factor</t>
  </si>
  <si>
    <t>((A * B * C) + 100) * 0.01</t>
  </si>
  <si>
    <t>Debit/
Credit</t>
  </si>
  <si>
    <t>Closest Per Claim Limit</t>
  </si>
  <si>
    <t>Per Claim Limit:</t>
  </si>
  <si>
    <t>Ded ILF</t>
  </si>
  <si>
    <t>Occ ILF</t>
  </si>
  <si>
    <t>Today's Date</t>
  </si>
  <si>
    <t>Include claims from the past 5 years, whereby a "claim" means "any claim reported to any insurance company with an incurred amount of $5,001 or more. Incurred amount includes payments and reserves"</t>
  </si>
  <si>
    <t>Single Agg Limit</t>
  </si>
  <si>
    <t>Agg = 2x Occ</t>
  </si>
  <si>
    <t>Agg = 3x Occ</t>
  </si>
  <si>
    <t>Index Limit</t>
  </si>
  <si>
    <t>Lower Bound Per Claim Limit</t>
  </si>
  <si>
    <t>Agg Limit Multiple:</t>
  </si>
  <si>
    <t>Agg Multiple</t>
  </si>
  <si>
    <t>Agg Mult Factor</t>
  </si>
  <si>
    <t>IRM Factor</t>
  </si>
  <si>
    <t>Subtotal IRM</t>
  </si>
  <si>
    <t>Table Selections and Rate Calculations</t>
  </si>
  <si>
    <t>Risk Characteristic is a field?</t>
  </si>
  <si>
    <t>Part Time Factor</t>
  </si>
  <si>
    <t>Small Claim?</t>
  </si>
  <si>
    <t>Large Claim?</t>
  </si>
  <si>
    <t>Claim Thresholds</t>
  </si>
  <si>
    <t>Small</t>
  </si>
  <si>
    <t>Large</t>
  </si>
  <si>
    <t>Final Include</t>
  </si>
  <si>
    <t>Large Claims?</t>
  </si>
  <si>
    <t>Claim Count (excl small claims)</t>
  </si>
  <si>
    <t>Ratable Losses</t>
  </si>
  <si>
    <t>Is Table A a Debit or Credit?</t>
  </si>
  <si>
    <t>Included Ratable Inc L+LAE</t>
  </si>
  <si>
    <t>Atty 1</t>
  </si>
  <si>
    <t>ILF/Ded</t>
  </si>
  <si>
    <t>Optional Extended Reporting Period</t>
  </si>
  <si>
    <t>Year</t>
  </si>
  <si>
    <t>% of Prem</t>
  </si>
  <si>
    <t>ERP Factor</t>
  </si>
  <si>
    <t>Include Optional Extended Reporting Period?</t>
  </si>
  <si>
    <t>Optional Extended Reporting Period in years</t>
  </si>
  <si>
    <t>Size of Firm Factor</t>
  </si>
  <si>
    <t>      i.            Automatic Extended Reporting Period: There is no addition premium charge for this coverage.</t>
  </si>
  <si>
    <t>     ii.            Optional Extended Reporting Period: The additional premium for the optional extended reporting period shall be based on the rates for such coverage in effect on the date the Policy was issued or last renewed. Available options as set forth in Item 7 of the Declarations:</t>
  </si>
  <si>
    <t>   iii.            Non-Practicing Extended Reporting Period: There is no additional premium charge for up to three years of this coverage if the Insured retires or ceases to practice during the Policy Period and has been insured by Everest for at least three consecutive years.  In all other instances, refer to Item 7 of the Declarations.</t>
  </si>
  <si>
    <t>   iv.            Upon Death or Disability Extended Reporting Period: There is no additional premium charge for this coverage.</t>
  </si>
  <si>
    <t>Consistency</t>
  </si>
  <si>
    <t>Table D</t>
  </si>
  <si>
    <t>six or more</t>
  </si>
  <si>
    <t>New Jersey Only</t>
  </si>
  <si>
    <t>Company</t>
  </si>
  <si>
    <t>1.00 (TESTING ONLY)</t>
  </si>
  <si>
    <t>Admitted</t>
  </si>
  <si>
    <t>Comment</t>
  </si>
  <si>
    <t>Surplus</t>
  </si>
  <si>
    <t>Admitted/Surplus</t>
  </si>
  <si>
    <t>Hide/Unhide Rows</t>
  </si>
  <si>
    <t>IRM Table E</t>
  </si>
  <si>
    <t>Show Attorney Rows</t>
  </si>
  <si>
    <t>Extended Reporting Period</t>
  </si>
  <si>
    <t>Surplus Lines</t>
  </si>
  <si>
    <t>Atty 2</t>
  </si>
  <si>
    <t>Underwriter Comments on Loss Experience</t>
  </si>
  <si>
    <t>Underwriter Comments on IRM</t>
  </si>
  <si>
    <t>Underwriter Comments on Attorneys</t>
  </si>
  <si>
    <t>Underwriter Comments on AOP</t>
  </si>
  <si>
    <t>Part Time Min Factor</t>
  </si>
  <si>
    <t>Part Time Max Factor</t>
  </si>
  <si>
    <t>PT Min Factor</t>
  </si>
  <si>
    <t>PT Max Factor</t>
  </si>
  <si>
    <t>Filing Status</t>
  </si>
  <si>
    <t>Submitted</t>
  </si>
  <si>
    <t>Approved</t>
  </si>
  <si>
    <t>To Be Filed</t>
  </si>
  <si>
    <t>Withdrawn</t>
  </si>
  <si>
    <t>Crit Received</t>
  </si>
  <si>
    <t>Filing Not Required</t>
  </si>
  <si>
    <t>Rate Status</t>
  </si>
  <si>
    <t>As of:</t>
  </si>
  <si>
    <t>NJ ONLY:</t>
  </si>
  <si>
    <t>NEW YORK ONLY</t>
  </si>
  <si>
    <t>Claims Expense Inside Of limits with 50% offset provision</t>
  </si>
  <si>
    <t>Loss &amp; Claims Expense (L&amp;CE)</t>
  </si>
  <si>
    <t>Loss Only  LO)</t>
  </si>
  <si>
    <t>NEW JERSEY ONLY</t>
  </si>
  <si>
    <t>Loss Only (LO)</t>
  </si>
  <si>
    <t>Submission #</t>
  </si>
  <si>
    <t>Prem Per Attorney</t>
  </si>
  <si>
    <t>Prem For Insured</t>
  </si>
  <si>
    <t>Fixes per rate filings on Batch 1, uw commentary.  Allow writing in surplus lines</t>
  </si>
  <si>
    <t>Policy Level Coding</t>
  </si>
  <si>
    <t>Primary Policy Number:</t>
  </si>
  <si>
    <t>Expiring Policy Number:</t>
  </si>
  <si>
    <t>Effective Date:</t>
  </si>
  <si>
    <t>Expiration Date:</t>
  </si>
  <si>
    <t>1.02 (TESTING ONLY)</t>
  </si>
  <si>
    <t>Fixes for Batch 2 rate filings. Updated Rate filing status.  Added coding sheet</t>
  </si>
  <si>
    <t>Company Code:</t>
  </si>
  <si>
    <t>New / Renewal Business:</t>
  </si>
  <si>
    <t>Insured Type:</t>
  </si>
  <si>
    <t>Commission:</t>
  </si>
  <si>
    <t>Insured Name:</t>
  </si>
  <si>
    <t>Payment Plan:</t>
  </si>
  <si>
    <t>Address:</t>
  </si>
  <si>
    <t>City:</t>
  </si>
  <si>
    <t>State:</t>
  </si>
  <si>
    <t>ZIP Code:</t>
  </si>
  <si>
    <t>Segment Code:</t>
  </si>
  <si>
    <t>Branch Code:</t>
  </si>
  <si>
    <t>Policy Premium:</t>
  </si>
  <si>
    <t>Type of Policy:</t>
  </si>
  <si>
    <t>00079</t>
  </si>
  <si>
    <t>Schedule/Experience Modifiers</t>
  </si>
  <si>
    <t>Premium</t>
  </si>
  <si>
    <t>ASL:</t>
  </si>
  <si>
    <t>Subline:</t>
  </si>
  <si>
    <t>C</t>
  </si>
  <si>
    <t>Premium State:</t>
  </si>
  <si>
    <t>EOP</t>
  </si>
  <si>
    <t>Coverage Part:</t>
  </si>
  <si>
    <t>Retro Date:</t>
  </si>
  <si>
    <t>Tail Date:</t>
  </si>
  <si>
    <t>Claims Made / Occurrence:</t>
  </si>
  <si>
    <t>Individual Risk Modification:</t>
  </si>
  <si>
    <t>Experience Rating Factor:</t>
  </si>
  <si>
    <t>Pricing Information</t>
  </si>
  <si>
    <t>Exposure Basis:</t>
  </si>
  <si>
    <t>Exposure Amount:</t>
  </si>
  <si>
    <t>Type:</t>
  </si>
  <si>
    <t>Base Premium:</t>
  </si>
  <si>
    <t>Description</t>
  </si>
  <si>
    <t>Cleint / Project Factor:</t>
  </si>
  <si>
    <t>Area of Practice Factor:</t>
  </si>
  <si>
    <t>Base Rate:</t>
  </si>
  <si>
    <t>Continuing Education Factor:</t>
  </si>
  <si>
    <t>Deductible and Liability Factor:</t>
  </si>
  <si>
    <t>Feasibility Factor:</t>
  </si>
  <si>
    <t>Incremental Rate:</t>
  </si>
  <si>
    <t>Prior Acts Factor:</t>
  </si>
  <si>
    <t>Policy Limits</t>
  </si>
  <si>
    <t>Occurrence Limit</t>
  </si>
  <si>
    <t>Deductible</t>
  </si>
  <si>
    <t>Endorsement Limits</t>
  </si>
  <si>
    <t>Class Code</t>
  </si>
  <si>
    <t>Int Cov</t>
  </si>
  <si>
    <t>Exposure</t>
  </si>
  <si>
    <t>NY Marine</t>
  </si>
  <si>
    <t>Difference</t>
  </si>
  <si>
    <t>Disapproved</t>
  </si>
  <si>
    <t>NYM Base Rate</t>
  </si>
  <si>
    <t>Tab</t>
  </si>
  <si>
    <t>Cell(s)</t>
  </si>
  <si>
    <t>Base Rates</t>
  </si>
  <si>
    <t>Change</t>
  </si>
  <si>
    <t>Coding</t>
  </si>
  <si>
    <t>Min Factor</t>
  </si>
  <si>
    <t>Max Factor</t>
  </si>
  <si>
    <t>Rater</t>
  </si>
  <si>
    <t>H21:I21</t>
  </si>
  <si>
    <t>G22:G45; M22:M45</t>
  </si>
  <si>
    <t>Per UW request, default AOP factor is now the most extreme factor if the factor only allows debit or only allow credit rather than the average</t>
  </si>
  <si>
    <t>G34; G41; M27; M32; M33; M39; M40; M45</t>
  </si>
  <si>
    <t>Formula adjustment for VA rate filing issue</t>
  </si>
  <si>
    <t>M41</t>
  </si>
  <si>
    <t>Formula adjustment for GA rate filing issue</t>
  </si>
  <si>
    <t>O8:P8</t>
  </si>
  <si>
    <t>addition of Bermuda rating company</t>
  </si>
  <si>
    <t>Update AOP header to read "Min Factor" and "Max Factor" instead of "Max Credit" and "Max Debit"</t>
  </si>
  <si>
    <t>Add Original NY Marine Base Rates for rate filing review</t>
  </si>
  <si>
    <t>New tab to centralize key information</t>
  </si>
  <si>
    <t>J8 (Data Validation)</t>
  </si>
  <si>
    <t>Change data validation "=Ranges!$O$6:$O$8"</t>
  </si>
  <si>
    <t>Ranges</t>
  </si>
  <si>
    <t>Update status for rate filings</t>
  </si>
  <si>
    <t>M6:M60</t>
  </si>
  <si>
    <t>ILF factors for NY and NJ</t>
  </si>
  <si>
    <t xml:space="preserve">Rater </t>
  </si>
  <si>
    <t>Note regarding different ILF factors for NY and NJ</t>
  </si>
  <si>
    <t>ILF factor for 750k limit</t>
  </si>
  <si>
    <t>Select AOP table when rating outside of 50 states</t>
  </si>
  <si>
    <t>L3:M128</t>
  </si>
  <si>
    <t>1.03 (TESTING ONLY)</t>
  </si>
  <si>
    <t>ILF calculations for NY and NJ</t>
  </si>
  <si>
    <t>Move column AA to Q</t>
  </si>
  <si>
    <t>Macros</t>
  </si>
  <si>
    <t>Update cell references</t>
  </si>
  <si>
    <t>Update cell references on Sheet1, Sheet2, and Module1 to hide/unhide rows</t>
  </si>
  <si>
    <t>Occ*Agg ILF:</t>
  </si>
  <si>
    <t>Final ILF:</t>
  </si>
  <si>
    <t>For NJ, Deductible cannot apply to Loss &amp; Claims Expense (Must select Loss Only Deductible)</t>
  </si>
  <si>
    <t>AB8:AU20</t>
  </si>
  <si>
    <t>J10</t>
  </si>
  <si>
    <t>J13</t>
  </si>
  <si>
    <t>F16</t>
  </si>
  <si>
    <t>ILF selection based on state</t>
  </si>
  <si>
    <t>Country Name</t>
  </si>
  <si>
    <t>Country Code</t>
  </si>
  <si>
    <t>Country Num Code</t>
  </si>
  <si>
    <t>Afghanistan</t>
  </si>
  <si>
    <t>AFG</t>
  </si>
  <si>
    <t>4</t>
  </si>
  <si>
    <t>Åland Islands</t>
  </si>
  <si>
    <t>ALA</t>
  </si>
  <si>
    <t>248</t>
  </si>
  <si>
    <t>Albania</t>
  </si>
  <si>
    <t>ALB</t>
  </si>
  <si>
    <t>8</t>
  </si>
  <si>
    <t>Algeria</t>
  </si>
  <si>
    <t>DZA</t>
  </si>
  <si>
    <t>12</t>
  </si>
  <si>
    <t>American Samoa</t>
  </si>
  <si>
    <t>ASM</t>
  </si>
  <si>
    <t>16</t>
  </si>
  <si>
    <t>Andorra</t>
  </si>
  <si>
    <t>AND</t>
  </si>
  <si>
    <t>20</t>
  </si>
  <si>
    <t>Angola</t>
  </si>
  <si>
    <t>AGO</t>
  </si>
  <si>
    <t>24</t>
  </si>
  <si>
    <t>Anguilla</t>
  </si>
  <si>
    <t>AIA</t>
  </si>
  <si>
    <t>660</t>
  </si>
  <si>
    <t>Antarctica</t>
  </si>
  <si>
    <t>ATA</t>
  </si>
  <si>
    <t>10</t>
  </si>
  <si>
    <t>Antigua and Barbuda</t>
  </si>
  <si>
    <t>ATG</t>
  </si>
  <si>
    <t>28</t>
  </si>
  <si>
    <t>Argentina</t>
  </si>
  <si>
    <t>ARG</t>
  </si>
  <si>
    <t>32</t>
  </si>
  <si>
    <t>Armenia</t>
  </si>
  <si>
    <t>ARM</t>
  </si>
  <si>
    <t>51</t>
  </si>
  <si>
    <t>Aruba</t>
  </si>
  <si>
    <t>ABW</t>
  </si>
  <si>
    <t>533</t>
  </si>
  <si>
    <t>Australia</t>
  </si>
  <si>
    <t>AUS</t>
  </si>
  <si>
    <t>36</t>
  </si>
  <si>
    <t>Austria</t>
  </si>
  <si>
    <t>AUT</t>
  </si>
  <si>
    <t>40</t>
  </si>
  <si>
    <t>Azerbaijan</t>
  </si>
  <si>
    <t>AZE</t>
  </si>
  <si>
    <t>31</t>
  </si>
  <si>
    <t>Bahamas (the)</t>
  </si>
  <si>
    <t>BHS</t>
  </si>
  <si>
    <t>44</t>
  </si>
  <si>
    <t>Bahrain</t>
  </si>
  <si>
    <t>BHR</t>
  </si>
  <si>
    <t>48</t>
  </si>
  <si>
    <t>Bangladesh</t>
  </si>
  <si>
    <t>BGD</t>
  </si>
  <si>
    <t>50</t>
  </si>
  <si>
    <t>Barbados</t>
  </si>
  <si>
    <t>BRB</t>
  </si>
  <si>
    <t>52</t>
  </si>
  <si>
    <t>Belarus</t>
  </si>
  <si>
    <t>BLR</t>
  </si>
  <si>
    <t>112</t>
  </si>
  <si>
    <t>Belgium</t>
  </si>
  <si>
    <t>BEL</t>
  </si>
  <si>
    <t>56</t>
  </si>
  <si>
    <t>Belize</t>
  </si>
  <si>
    <t>BLZ</t>
  </si>
  <si>
    <t>84</t>
  </si>
  <si>
    <t>Benin</t>
  </si>
  <si>
    <t>BEN</t>
  </si>
  <si>
    <t>204</t>
  </si>
  <si>
    <t>Bermuda</t>
  </si>
  <si>
    <t>BMU</t>
  </si>
  <si>
    <t>60</t>
  </si>
  <si>
    <t>Bhutan</t>
  </si>
  <si>
    <t>BTN</t>
  </si>
  <si>
    <t>64</t>
  </si>
  <si>
    <t>Bolivia (Plurinational State of)</t>
  </si>
  <si>
    <t>BOL</t>
  </si>
  <si>
    <t>68</t>
  </si>
  <si>
    <t>Bonaire, Sint Eustatius and Saba</t>
  </si>
  <si>
    <t>BES</t>
  </si>
  <si>
    <t>535</t>
  </si>
  <si>
    <t>Bosnia and Herzegovina</t>
  </si>
  <si>
    <t>BIH</t>
  </si>
  <si>
    <t>70</t>
  </si>
  <si>
    <t>Botswana</t>
  </si>
  <si>
    <t>BWA</t>
  </si>
  <si>
    <t>72</t>
  </si>
  <si>
    <t>Bouvet Island</t>
  </si>
  <si>
    <t>BVT</t>
  </si>
  <si>
    <t>74</t>
  </si>
  <si>
    <t>Brazil</t>
  </si>
  <si>
    <t>BRA</t>
  </si>
  <si>
    <t>76</t>
  </si>
  <si>
    <t>British Indian Ocean Territory (the)</t>
  </si>
  <si>
    <t>IOT</t>
  </si>
  <si>
    <t>86</t>
  </si>
  <si>
    <t>Brunei Darussalam</t>
  </si>
  <si>
    <t>BRN</t>
  </si>
  <si>
    <t>96</t>
  </si>
  <si>
    <t>Bulgaria</t>
  </si>
  <si>
    <t>BGR</t>
  </si>
  <si>
    <t>100</t>
  </si>
  <si>
    <t>Burkina Faso</t>
  </si>
  <si>
    <t>BFA</t>
  </si>
  <si>
    <t>854</t>
  </si>
  <si>
    <t>Burundi</t>
  </si>
  <si>
    <t>BDI</t>
  </si>
  <si>
    <t>108</t>
  </si>
  <si>
    <t>Cabo Verde</t>
  </si>
  <si>
    <t>CPV</t>
  </si>
  <si>
    <t>132</t>
  </si>
  <si>
    <t>Cambodia</t>
  </si>
  <si>
    <t>KHM</t>
  </si>
  <si>
    <t>116</t>
  </si>
  <si>
    <t>Cameroon</t>
  </si>
  <si>
    <t>CMR</t>
  </si>
  <si>
    <t>120</t>
  </si>
  <si>
    <t>Canada</t>
  </si>
  <si>
    <t>CAN</t>
  </si>
  <si>
    <t>124</t>
  </si>
  <si>
    <t>Cayman Islands (the)</t>
  </si>
  <si>
    <t>CYM</t>
  </si>
  <si>
    <t>136</t>
  </si>
  <si>
    <t>Central African Republic (the)</t>
  </si>
  <si>
    <t>CAF</t>
  </si>
  <si>
    <t>140</t>
  </si>
  <si>
    <t>Chad</t>
  </si>
  <si>
    <t>TCD</t>
  </si>
  <si>
    <t>148</t>
  </si>
  <si>
    <t>Chile</t>
  </si>
  <si>
    <t>CHL</t>
  </si>
  <si>
    <t>152</t>
  </si>
  <si>
    <t>China</t>
  </si>
  <si>
    <t>CHN</t>
  </si>
  <si>
    <t>156</t>
  </si>
  <si>
    <t>Christmas Island</t>
  </si>
  <si>
    <t>CXR</t>
  </si>
  <si>
    <t>162</t>
  </si>
  <si>
    <t>Cocos (Keeling) Islands (the)</t>
  </si>
  <si>
    <t>CCK</t>
  </si>
  <si>
    <t>166</t>
  </si>
  <si>
    <t>Colombia</t>
  </si>
  <si>
    <t>COL</t>
  </si>
  <si>
    <t>170</t>
  </si>
  <si>
    <t>Comoros (the)</t>
  </si>
  <si>
    <t>COM</t>
  </si>
  <si>
    <t>174</t>
  </si>
  <si>
    <t>Congo (the Democratic Republic of the)</t>
  </si>
  <si>
    <t>COD</t>
  </si>
  <si>
    <t>180</t>
  </si>
  <si>
    <t>Congo (the)</t>
  </si>
  <si>
    <t>COG</t>
  </si>
  <si>
    <t>178</t>
  </si>
  <si>
    <t>Cook Islands (the)</t>
  </si>
  <si>
    <t>COK</t>
  </si>
  <si>
    <t>184</t>
  </si>
  <si>
    <t>Costa Rica</t>
  </si>
  <si>
    <t>CRI</t>
  </si>
  <si>
    <t>188</t>
  </si>
  <si>
    <t>Côte d'Ivoire</t>
  </si>
  <si>
    <t>CIV</t>
  </si>
  <si>
    <t>384</t>
  </si>
  <si>
    <t>Croatia</t>
  </si>
  <si>
    <t>HRV</t>
  </si>
  <si>
    <t>191</t>
  </si>
  <si>
    <t>Cuba</t>
  </si>
  <si>
    <t>CUB</t>
  </si>
  <si>
    <t>192</t>
  </si>
  <si>
    <t>Curaçao</t>
  </si>
  <si>
    <t>CUW</t>
  </si>
  <si>
    <t>531</t>
  </si>
  <si>
    <t>Cyprus</t>
  </si>
  <si>
    <t>CYP</t>
  </si>
  <si>
    <t>196</t>
  </si>
  <si>
    <t>Czechia</t>
  </si>
  <si>
    <t>CZE</t>
  </si>
  <si>
    <t>203</t>
  </si>
  <si>
    <t>Denmark</t>
  </si>
  <si>
    <t>DNK</t>
  </si>
  <si>
    <t>208</t>
  </si>
  <si>
    <t>Djibouti</t>
  </si>
  <si>
    <t>DJI</t>
  </si>
  <si>
    <t>262</t>
  </si>
  <si>
    <t>Dominica</t>
  </si>
  <si>
    <t>DMA</t>
  </si>
  <si>
    <t>212</t>
  </si>
  <si>
    <t>Dominican Republic (the)</t>
  </si>
  <si>
    <t>DOM</t>
  </si>
  <si>
    <t>214</t>
  </si>
  <si>
    <t>Ecuador</t>
  </si>
  <si>
    <t>ECU</t>
  </si>
  <si>
    <t>218</t>
  </si>
  <si>
    <t>Egypt</t>
  </si>
  <si>
    <t>EGY</t>
  </si>
  <si>
    <t>818</t>
  </si>
  <si>
    <t>El Salvador</t>
  </si>
  <si>
    <t>SLV</t>
  </si>
  <si>
    <t>222</t>
  </si>
  <si>
    <t>Equatorial Guinea</t>
  </si>
  <si>
    <t>GNQ</t>
  </si>
  <si>
    <t>226</t>
  </si>
  <si>
    <t>Eritrea</t>
  </si>
  <si>
    <t>ERI</t>
  </si>
  <si>
    <t>232</t>
  </si>
  <si>
    <t>Estonia</t>
  </si>
  <si>
    <t>EST</t>
  </si>
  <si>
    <t>233</t>
  </si>
  <si>
    <t>Ethiopia</t>
  </si>
  <si>
    <t>ETH</t>
  </si>
  <si>
    <t>231</t>
  </si>
  <si>
    <t>Falkland Islands (the) [Malvinas]</t>
  </si>
  <si>
    <t>FLK</t>
  </si>
  <si>
    <t>238</t>
  </si>
  <si>
    <t>Faroe Islands (the)</t>
  </si>
  <si>
    <t>FRO</t>
  </si>
  <si>
    <t>234</t>
  </si>
  <si>
    <t>Fiji</t>
  </si>
  <si>
    <t>FJI</t>
  </si>
  <si>
    <t>242</t>
  </si>
  <si>
    <t>Finland</t>
  </si>
  <si>
    <t>FIN</t>
  </si>
  <si>
    <t>246</t>
  </si>
  <si>
    <t>France</t>
  </si>
  <si>
    <t>FRA</t>
  </si>
  <si>
    <t>250</t>
  </si>
  <si>
    <t>French Guiana</t>
  </si>
  <si>
    <t>GUF</t>
  </si>
  <si>
    <t>254</t>
  </si>
  <si>
    <t>French Polynesia</t>
  </si>
  <si>
    <t>PYF</t>
  </si>
  <si>
    <t>258</t>
  </si>
  <si>
    <t>French Southern Territories (the)</t>
  </si>
  <si>
    <t>ATF</t>
  </si>
  <si>
    <t>260</t>
  </si>
  <si>
    <t>Gabon</t>
  </si>
  <si>
    <t>GAB</t>
  </si>
  <si>
    <t>266</t>
  </si>
  <si>
    <t>Gambia (the)</t>
  </si>
  <si>
    <t>GMB</t>
  </si>
  <si>
    <t>270</t>
  </si>
  <si>
    <t>GEO</t>
  </si>
  <si>
    <t>268</t>
  </si>
  <si>
    <t>Germany</t>
  </si>
  <si>
    <t>DEU</t>
  </si>
  <si>
    <t>276</t>
  </si>
  <si>
    <t>Ghana</t>
  </si>
  <si>
    <t>GHA</t>
  </si>
  <si>
    <t>288</t>
  </si>
  <si>
    <t>Gibraltar</t>
  </si>
  <si>
    <t>GIB</t>
  </si>
  <si>
    <t>292</t>
  </si>
  <si>
    <t>Greece</t>
  </si>
  <si>
    <t>GRC</t>
  </si>
  <si>
    <t>300</t>
  </si>
  <si>
    <t>Greenland</t>
  </si>
  <si>
    <t>GRL</t>
  </si>
  <si>
    <t>304</t>
  </si>
  <si>
    <t>Grenada</t>
  </si>
  <si>
    <t>GRD</t>
  </si>
  <si>
    <t>308</t>
  </si>
  <si>
    <t>Guadeloupe</t>
  </si>
  <si>
    <t>GLP</t>
  </si>
  <si>
    <t>312</t>
  </si>
  <si>
    <t>GUM</t>
  </si>
  <si>
    <t>316</t>
  </si>
  <si>
    <t>Guatemala</t>
  </si>
  <si>
    <t>GTM</t>
  </si>
  <si>
    <t>320</t>
  </si>
  <si>
    <t>Guernsey</t>
  </si>
  <si>
    <t>GGY</t>
  </si>
  <si>
    <t>831</t>
  </si>
  <si>
    <t>Guinea</t>
  </si>
  <si>
    <t>GIN</t>
  </si>
  <si>
    <t>324</t>
  </si>
  <si>
    <t>Guinea-Bissau</t>
  </si>
  <si>
    <t>GNB</t>
  </si>
  <si>
    <t>624</t>
  </si>
  <si>
    <t>Guyana</t>
  </si>
  <si>
    <t>GUY</t>
  </si>
  <si>
    <t>328</t>
  </si>
  <si>
    <t>Haiti</t>
  </si>
  <si>
    <t>HTI</t>
  </si>
  <si>
    <t>332</t>
  </si>
  <si>
    <t>Heard Island and McDonald Islands</t>
  </si>
  <si>
    <t>HMD</t>
  </si>
  <si>
    <t>334</t>
  </si>
  <si>
    <t>Holy See (the)</t>
  </si>
  <si>
    <t>VAT</t>
  </si>
  <si>
    <t>336</t>
  </si>
  <si>
    <t>Honduras</t>
  </si>
  <si>
    <t>HND</t>
  </si>
  <si>
    <t>340</t>
  </si>
  <si>
    <t>Hong Kong</t>
  </si>
  <si>
    <t>HKG</t>
  </si>
  <si>
    <t>344</t>
  </si>
  <si>
    <t>Hungary</t>
  </si>
  <si>
    <t>HUN</t>
  </si>
  <si>
    <t>348</t>
  </si>
  <si>
    <t>Iceland</t>
  </si>
  <si>
    <t>ISL</t>
  </si>
  <si>
    <t>352</t>
  </si>
  <si>
    <t>India</t>
  </si>
  <si>
    <t>IND</t>
  </si>
  <si>
    <t>356</t>
  </si>
  <si>
    <t>Indonesia</t>
  </si>
  <si>
    <t>IDN</t>
  </si>
  <si>
    <t>360</t>
  </si>
  <si>
    <t>Iran (Islamic Republic of)</t>
  </si>
  <si>
    <t>IRN</t>
  </si>
  <si>
    <t>364</t>
  </si>
  <si>
    <t>Iraq</t>
  </si>
  <si>
    <t>IRQ</t>
  </si>
  <si>
    <t>368</t>
  </si>
  <si>
    <t>Ireland</t>
  </si>
  <si>
    <t>IRL</t>
  </si>
  <si>
    <t>372</t>
  </si>
  <si>
    <t>Isle of Man</t>
  </si>
  <si>
    <t>IMN</t>
  </si>
  <si>
    <t>833</t>
  </si>
  <si>
    <t>Israel</t>
  </si>
  <si>
    <t>ISR</t>
  </si>
  <si>
    <t>376</t>
  </si>
  <si>
    <t>Italy</t>
  </si>
  <si>
    <t>ITA</t>
  </si>
  <si>
    <t>380</t>
  </si>
  <si>
    <t>Jamaica</t>
  </si>
  <si>
    <t>JAM</t>
  </si>
  <si>
    <t>388</t>
  </si>
  <si>
    <t>Japan</t>
  </si>
  <si>
    <t>JPN</t>
  </si>
  <si>
    <t>392</t>
  </si>
  <si>
    <t>Jersey</t>
  </si>
  <si>
    <t>JEY</t>
  </si>
  <si>
    <t>832</t>
  </si>
  <si>
    <t>Jordan</t>
  </si>
  <si>
    <t>JOR</t>
  </si>
  <si>
    <t>400</t>
  </si>
  <si>
    <t>Kazakhstan</t>
  </si>
  <si>
    <t>KAZ</t>
  </si>
  <si>
    <t>398</t>
  </si>
  <si>
    <t>Kenya</t>
  </si>
  <si>
    <t>KEN</t>
  </si>
  <si>
    <t>404</t>
  </si>
  <si>
    <t>Kiribati</t>
  </si>
  <si>
    <t>KIR</t>
  </si>
  <si>
    <t>296</t>
  </si>
  <si>
    <t>Korea (the Democratic People's Republic of)</t>
  </si>
  <si>
    <t>PRK</t>
  </si>
  <si>
    <t>408</t>
  </si>
  <si>
    <t>Korea (the Republic of)</t>
  </si>
  <si>
    <t>KOR</t>
  </si>
  <si>
    <t>410</t>
  </si>
  <si>
    <t>Kuwait</t>
  </si>
  <si>
    <t>KWT</t>
  </si>
  <si>
    <t>414</t>
  </si>
  <si>
    <t>Kyrgyzstan</t>
  </si>
  <si>
    <t>KGZ</t>
  </si>
  <si>
    <t>417</t>
  </si>
  <si>
    <t>Lao People's Democratic Republic (the)</t>
  </si>
  <si>
    <t>LAO</t>
  </si>
  <si>
    <t>418</t>
  </si>
  <si>
    <t>Latvia</t>
  </si>
  <si>
    <t>LVA</t>
  </si>
  <si>
    <t>428</t>
  </si>
  <si>
    <t>Lebanon</t>
  </si>
  <si>
    <t>LBN</t>
  </si>
  <si>
    <t>422</t>
  </si>
  <si>
    <t>Lesotho</t>
  </si>
  <si>
    <t>LSO</t>
  </si>
  <si>
    <t>426</t>
  </si>
  <si>
    <t>Liberia</t>
  </si>
  <si>
    <t>LBR</t>
  </si>
  <si>
    <t>430</t>
  </si>
  <si>
    <t>Libya</t>
  </si>
  <si>
    <t>LBY</t>
  </si>
  <si>
    <t>434</t>
  </si>
  <si>
    <t>Liechtenstein</t>
  </si>
  <si>
    <t>LIE</t>
  </si>
  <si>
    <t>438</t>
  </si>
  <si>
    <t>Lithuania</t>
  </si>
  <si>
    <t>LTU</t>
  </si>
  <si>
    <t>440</t>
  </si>
  <si>
    <t>Luxembourg</t>
  </si>
  <si>
    <t>LUX</t>
  </si>
  <si>
    <t>442</t>
  </si>
  <si>
    <t>Macao</t>
  </si>
  <si>
    <t>MAC</t>
  </si>
  <si>
    <t>446</t>
  </si>
  <si>
    <t>Macedonia (the former Yugoslav Republic of)</t>
  </si>
  <si>
    <t>MKD</t>
  </si>
  <si>
    <t>807</t>
  </si>
  <si>
    <t>Madagascar</t>
  </si>
  <si>
    <t>MDG</t>
  </si>
  <si>
    <t>450</t>
  </si>
  <si>
    <t>Malawi</t>
  </si>
  <si>
    <t>MWI</t>
  </si>
  <si>
    <t>454</t>
  </si>
  <si>
    <t>Malaysia</t>
  </si>
  <si>
    <t>MYS</t>
  </si>
  <si>
    <t>458</t>
  </si>
  <si>
    <t>Maldives</t>
  </si>
  <si>
    <t>MDV</t>
  </si>
  <si>
    <t>462</t>
  </si>
  <si>
    <t>Mali</t>
  </si>
  <si>
    <t>MLI</t>
  </si>
  <si>
    <t>466</t>
  </si>
  <si>
    <t>Malta</t>
  </si>
  <si>
    <t>MLT</t>
  </si>
  <si>
    <t>470</t>
  </si>
  <si>
    <t>Marshall Islands (the)</t>
  </si>
  <si>
    <t>MHL</t>
  </si>
  <si>
    <t>584</t>
  </si>
  <si>
    <t>Martinique</t>
  </si>
  <si>
    <t>MTQ</t>
  </si>
  <si>
    <t>474</t>
  </si>
  <si>
    <t>Mauritania</t>
  </si>
  <si>
    <t>MRT</t>
  </si>
  <si>
    <t>478</t>
  </si>
  <si>
    <t>Mauritius</t>
  </si>
  <si>
    <t>MUS</t>
  </si>
  <si>
    <t>480</t>
  </si>
  <si>
    <t>Mayotte</t>
  </si>
  <si>
    <t>MYT</t>
  </si>
  <si>
    <t>175</t>
  </si>
  <si>
    <t>Mexico</t>
  </si>
  <si>
    <t>MEX</t>
  </si>
  <si>
    <t>484</t>
  </si>
  <si>
    <t>Micronesia (Federated States of)</t>
  </si>
  <si>
    <t>FSM</t>
  </si>
  <si>
    <t>583</t>
  </si>
  <si>
    <t>Moldova (the Republic of)</t>
  </si>
  <si>
    <t>MDA</t>
  </si>
  <si>
    <t>498</t>
  </si>
  <si>
    <t>Monaco</t>
  </si>
  <si>
    <t>MCO</t>
  </si>
  <si>
    <t>492</t>
  </si>
  <si>
    <t>Mongolia</t>
  </si>
  <si>
    <t>MNG</t>
  </si>
  <si>
    <t>496</t>
  </si>
  <si>
    <t>Montenegro</t>
  </si>
  <si>
    <t>MNE</t>
  </si>
  <si>
    <t>499</t>
  </si>
  <si>
    <t>Montserrat</t>
  </si>
  <si>
    <t>MSR</t>
  </si>
  <si>
    <t>500</t>
  </si>
  <si>
    <t>Morocco</t>
  </si>
  <si>
    <t>MAR</t>
  </si>
  <si>
    <t>504</t>
  </si>
  <si>
    <t>Mozambique</t>
  </si>
  <si>
    <t>MOZ</t>
  </si>
  <si>
    <t>508</t>
  </si>
  <si>
    <t>Myanmar</t>
  </si>
  <si>
    <t>MMR</t>
  </si>
  <si>
    <t>104</t>
  </si>
  <si>
    <t>Namibia</t>
  </si>
  <si>
    <t>NAM</t>
  </si>
  <si>
    <t>516</t>
  </si>
  <si>
    <t>Nauru</t>
  </si>
  <si>
    <t>NRU</t>
  </si>
  <si>
    <t>520</t>
  </si>
  <si>
    <t>Nepal</t>
  </si>
  <si>
    <t>NPL</t>
  </si>
  <si>
    <t>524</t>
  </si>
  <si>
    <t>Netherlands (the)</t>
  </si>
  <si>
    <t>NLD</t>
  </si>
  <si>
    <t>528</t>
  </si>
  <si>
    <t>New Caledonia</t>
  </si>
  <si>
    <t>NCL</t>
  </si>
  <si>
    <t>540</t>
  </si>
  <si>
    <t>New Zealand</t>
  </si>
  <si>
    <t>NZL</t>
  </si>
  <si>
    <t>554</t>
  </si>
  <si>
    <t>Nicaragua</t>
  </si>
  <si>
    <t>NIC</t>
  </si>
  <si>
    <t>558</t>
  </si>
  <si>
    <t>Niger (the)</t>
  </si>
  <si>
    <t>NER</t>
  </si>
  <si>
    <t>562</t>
  </si>
  <si>
    <t>Nigeria</t>
  </si>
  <si>
    <t>NGA</t>
  </si>
  <si>
    <t>566</t>
  </si>
  <si>
    <t>Niue</t>
  </si>
  <si>
    <t>NIU</t>
  </si>
  <si>
    <t>570</t>
  </si>
  <si>
    <t>Norfolk Island</t>
  </si>
  <si>
    <t>NFK</t>
  </si>
  <si>
    <t>574</t>
  </si>
  <si>
    <t>Northern Mariana Islands (the)</t>
  </si>
  <si>
    <t>MNP</t>
  </si>
  <si>
    <t>580</t>
  </si>
  <si>
    <t>Norway</t>
  </si>
  <si>
    <t>NOR</t>
  </si>
  <si>
    <t>578</t>
  </si>
  <si>
    <t>Oman</t>
  </si>
  <si>
    <t>OMN</t>
  </si>
  <si>
    <t>512</t>
  </si>
  <si>
    <t>Pakistan</t>
  </si>
  <si>
    <t>PAK</t>
  </si>
  <si>
    <t>586</t>
  </si>
  <si>
    <t>Palau</t>
  </si>
  <si>
    <t>PLW</t>
  </si>
  <si>
    <t>585</t>
  </si>
  <si>
    <t>Palestine, State of</t>
  </si>
  <si>
    <t>PSE</t>
  </si>
  <si>
    <t>275</t>
  </si>
  <si>
    <t>Panama</t>
  </si>
  <si>
    <t>PAN</t>
  </si>
  <si>
    <t>591</t>
  </si>
  <si>
    <t>Papua New Guinea</t>
  </si>
  <si>
    <t>PNG</t>
  </si>
  <si>
    <t>598</t>
  </si>
  <si>
    <t>Paraguay</t>
  </si>
  <si>
    <t>PRY</t>
  </si>
  <si>
    <t>600</t>
  </si>
  <si>
    <t>Peru</t>
  </si>
  <si>
    <t>PER</t>
  </si>
  <si>
    <t>604</t>
  </si>
  <si>
    <t>Philippines (the)</t>
  </si>
  <si>
    <t>PHL</t>
  </si>
  <si>
    <t>608</t>
  </si>
  <si>
    <t>Pitcairn</t>
  </si>
  <si>
    <t>PCN</t>
  </si>
  <si>
    <t>612</t>
  </si>
  <si>
    <t>Poland</t>
  </si>
  <si>
    <t>POL</t>
  </si>
  <si>
    <t>616</t>
  </si>
  <si>
    <t>Portugal</t>
  </si>
  <si>
    <t>PRT</t>
  </si>
  <si>
    <t>620</t>
  </si>
  <si>
    <t>PRI</t>
  </si>
  <si>
    <t>630</t>
  </si>
  <si>
    <t>Qatar</t>
  </si>
  <si>
    <t>QAT</t>
  </si>
  <si>
    <t>634</t>
  </si>
  <si>
    <t>Réunion</t>
  </si>
  <si>
    <t>REU</t>
  </si>
  <si>
    <t>638</t>
  </si>
  <si>
    <t>Romania</t>
  </si>
  <si>
    <t>ROU</t>
  </si>
  <si>
    <t>642</t>
  </si>
  <si>
    <t>Russian Federation (the)</t>
  </si>
  <si>
    <t>RUS</t>
  </si>
  <si>
    <t>643</t>
  </si>
  <si>
    <t>Rwanda</t>
  </si>
  <si>
    <t>RWA</t>
  </si>
  <si>
    <t>646</t>
  </si>
  <si>
    <t>Saint Barthélemy</t>
  </si>
  <si>
    <t>BLM</t>
  </si>
  <si>
    <t>652</t>
  </si>
  <si>
    <t>Saint Helena, Ascension and Tristan da Cunha</t>
  </si>
  <si>
    <t>SHN</t>
  </si>
  <si>
    <t>654</t>
  </si>
  <si>
    <t>Saint Kitts and Nevis</t>
  </si>
  <si>
    <t>KNA</t>
  </si>
  <si>
    <t>659</t>
  </si>
  <si>
    <t>Saint Lucia</t>
  </si>
  <si>
    <t>LCA</t>
  </si>
  <si>
    <t>662</t>
  </si>
  <si>
    <t>Saint Martin (French part)</t>
  </si>
  <si>
    <t>MAF</t>
  </si>
  <si>
    <t>663</t>
  </si>
  <si>
    <t>Saint Pierre and Miquelon</t>
  </si>
  <si>
    <t>SPM</t>
  </si>
  <si>
    <t>666</t>
  </si>
  <si>
    <t>Saint Vincent and the Grenadines</t>
  </si>
  <si>
    <t>VCT</t>
  </si>
  <si>
    <t>670</t>
  </si>
  <si>
    <t>Samoa</t>
  </si>
  <si>
    <t>WSM</t>
  </si>
  <si>
    <t>882</t>
  </si>
  <si>
    <t>San Marino</t>
  </si>
  <si>
    <t>SMR</t>
  </si>
  <si>
    <t>674</t>
  </si>
  <si>
    <t>Sao Tome and Principe</t>
  </si>
  <si>
    <t>STP</t>
  </si>
  <si>
    <t>678</t>
  </si>
  <si>
    <t>Saudi Arabia</t>
  </si>
  <si>
    <t>SAU</t>
  </si>
  <si>
    <t>682</t>
  </si>
  <si>
    <t>Senegal</t>
  </si>
  <si>
    <t>SEN</t>
  </si>
  <si>
    <t>686</t>
  </si>
  <si>
    <t>Serbia</t>
  </si>
  <si>
    <t>SRB</t>
  </si>
  <si>
    <t>688</t>
  </si>
  <si>
    <t>Seychelles</t>
  </si>
  <si>
    <t>SYC</t>
  </si>
  <si>
    <t>690</t>
  </si>
  <si>
    <t>Sierra Leone</t>
  </si>
  <si>
    <t>SLE</t>
  </si>
  <si>
    <t>694</t>
  </si>
  <si>
    <t>Singapore</t>
  </si>
  <si>
    <t>SGP</t>
  </si>
  <si>
    <t>702</t>
  </si>
  <si>
    <t>Sint Maarten (Dutch part)</t>
  </si>
  <si>
    <t>SXM</t>
  </si>
  <si>
    <t>534</t>
  </si>
  <si>
    <t>Slovakia</t>
  </si>
  <si>
    <t>SVK</t>
  </si>
  <si>
    <t>703</t>
  </si>
  <si>
    <t>Slovenia</t>
  </si>
  <si>
    <t>SVN</t>
  </si>
  <si>
    <t>705</t>
  </si>
  <si>
    <t>Solomon Islands</t>
  </si>
  <si>
    <t>SLB</t>
  </si>
  <si>
    <t>90</t>
  </si>
  <si>
    <t>Somalia</t>
  </si>
  <si>
    <t>SOM</t>
  </si>
  <si>
    <t>706</t>
  </si>
  <si>
    <t>South Africa</t>
  </si>
  <si>
    <t>ZAF</t>
  </si>
  <si>
    <t>710</t>
  </si>
  <si>
    <t>South Georgia and the South Sandwich Islands</t>
  </si>
  <si>
    <t>SGS</t>
  </si>
  <si>
    <t>239</t>
  </si>
  <si>
    <t>South Sudan</t>
  </si>
  <si>
    <t>SSD</t>
  </si>
  <si>
    <t>728</t>
  </si>
  <si>
    <t>Spain</t>
  </si>
  <si>
    <t>ESP</t>
  </si>
  <si>
    <t>724</t>
  </si>
  <si>
    <t>Sri Lanka</t>
  </si>
  <si>
    <t>LKA</t>
  </si>
  <si>
    <t>144</t>
  </si>
  <si>
    <t>Sudan (the)</t>
  </si>
  <si>
    <t>SDN</t>
  </si>
  <si>
    <t>729</t>
  </si>
  <si>
    <t>Suriname</t>
  </si>
  <si>
    <t>SUR</t>
  </si>
  <si>
    <t>740</t>
  </si>
  <si>
    <t>Svalbard and Jan Mayen</t>
  </si>
  <si>
    <t>SJM</t>
  </si>
  <si>
    <t>744</t>
  </si>
  <si>
    <t>Swaziland</t>
  </si>
  <si>
    <t>SWZ</t>
  </si>
  <si>
    <t>748</t>
  </si>
  <si>
    <t>Sweden</t>
  </si>
  <si>
    <t>SWE</t>
  </si>
  <si>
    <t>752</t>
  </si>
  <si>
    <t>Switzerland</t>
  </si>
  <si>
    <t>CHE</t>
  </si>
  <si>
    <t>756</t>
  </si>
  <si>
    <t>Syrian Arab Republic</t>
  </si>
  <si>
    <t>SYR</t>
  </si>
  <si>
    <t>760</t>
  </si>
  <si>
    <t>Taiwan (Province of China)</t>
  </si>
  <si>
    <t>TWN</t>
  </si>
  <si>
    <t>158</t>
  </si>
  <si>
    <t>Tajikistan</t>
  </si>
  <si>
    <t>TJK</t>
  </si>
  <si>
    <t>762</t>
  </si>
  <si>
    <t>Tanzania, United Republic of</t>
  </si>
  <si>
    <t>TZA</t>
  </si>
  <si>
    <t>834</t>
  </si>
  <si>
    <t>Thailand</t>
  </si>
  <si>
    <t>THA</t>
  </si>
  <si>
    <t>764</t>
  </si>
  <si>
    <t>Timor-Leste</t>
  </si>
  <si>
    <t>TLS</t>
  </si>
  <si>
    <t>626</t>
  </si>
  <si>
    <t>Togo</t>
  </si>
  <si>
    <t>TGO</t>
  </si>
  <si>
    <t>768</t>
  </si>
  <si>
    <t>Tokelau</t>
  </si>
  <si>
    <t>TKL</t>
  </si>
  <si>
    <t>772</t>
  </si>
  <si>
    <t>Tonga</t>
  </si>
  <si>
    <t>TON</t>
  </si>
  <si>
    <t>776</t>
  </si>
  <si>
    <t>Trinidad and Tobago</t>
  </si>
  <si>
    <t>TTO</t>
  </si>
  <si>
    <t>780</t>
  </si>
  <si>
    <t>Tunisia</t>
  </si>
  <si>
    <t>TUN</t>
  </si>
  <si>
    <t>788</t>
  </si>
  <si>
    <t>Turkey</t>
  </si>
  <si>
    <t>TUR</t>
  </si>
  <si>
    <t>792</t>
  </si>
  <si>
    <t>Turkmenistan</t>
  </si>
  <si>
    <t>TKM</t>
  </si>
  <si>
    <t>795</t>
  </si>
  <si>
    <t>Turks and Caicos Islands (the)</t>
  </si>
  <si>
    <t>TCA</t>
  </si>
  <si>
    <t>796</t>
  </si>
  <si>
    <t>Tuvalu</t>
  </si>
  <si>
    <t>TUV</t>
  </si>
  <si>
    <t>798</t>
  </si>
  <si>
    <t>Uganda</t>
  </si>
  <si>
    <t>UGA</t>
  </si>
  <si>
    <t>800</t>
  </si>
  <si>
    <t>Ukraine</t>
  </si>
  <si>
    <t>UKR</t>
  </si>
  <si>
    <t>804</t>
  </si>
  <si>
    <t>United Arab Emirates (the)</t>
  </si>
  <si>
    <t>ARE</t>
  </si>
  <si>
    <t>784</t>
  </si>
  <si>
    <t>United Kingdom of Great Britain and Northern Ireland (the)</t>
  </si>
  <si>
    <t>GBR</t>
  </si>
  <si>
    <t>826</t>
  </si>
  <si>
    <t>United States Minor Outlying Islands (the)</t>
  </si>
  <si>
    <t>UMI</t>
  </si>
  <si>
    <t>581</t>
  </si>
  <si>
    <t>United States of America (the)</t>
  </si>
  <si>
    <t>USA</t>
  </si>
  <si>
    <t>840</t>
  </si>
  <si>
    <t>Uruguay</t>
  </si>
  <si>
    <t>URY</t>
  </si>
  <si>
    <t>858</t>
  </si>
  <si>
    <t>Uzbekistan</t>
  </si>
  <si>
    <t>UZB</t>
  </si>
  <si>
    <t>860</t>
  </si>
  <si>
    <t>Vanuatu</t>
  </si>
  <si>
    <t>VUT</t>
  </si>
  <si>
    <t>548</t>
  </si>
  <si>
    <t>Venezuela (Bolivarian Republic of)</t>
  </si>
  <si>
    <t>VEN</t>
  </si>
  <si>
    <t>862</t>
  </si>
  <si>
    <t>Viet Nam</t>
  </si>
  <si>
    <t>VNM</t>
  </si>
  <si>
    <t>704</t>
  </si>
  <si>
    <t>Virgin Islands (British)</t>
  </si>
  <si>
    <t>VGB</t>
  </si>
  <si>
    <t>92</t>
  </si>
  <si>
    <t>Virgin Islands (U.S.)</t>
  </si>
  <si>
    <t>VIR</t>
  </si>
  <si>
    <t>850</t>
  </si>
  <si>
    <t>Wallis and Futuna</t>
  </si>
  <si>
    <t>WLF</t>
  </si>
  <si>
    <t>876</t>
  </si>
  <si>
    <t>Western Sahara*</t>
  </si>
  <si>
    <t>ESH</t>
  </si>
  <si>
    <t>732</t>
  </si>
  <si>
    <t>Yemen</t>
  </si>
  <si>
    <t>YEM</t>
  </si>
  <si>
    <t>887</t>
  </si>
  <si>
    <t>Zambia</t>
  </si>
  <si>
    <t>ZMB</t>
  </si>
  <si>
    <t>894</t>
  </si>
  <si>
    <t>Zimbabwe</t>
  </si>
  <si>
    <t>ZWE</t>
  </si>
  <si>
    <t>716</t>
  </si>
  <si>
    <t>Country Codes</t>
  </si>
  <si>
    <t>0001</t>
  </si>
  <si>
    <t>0005</t>
  </si>
  <si>
    <t>0011</t>
  </si>
  <si>
    <t>Company Code</t>
  </si>
  <si>
    <t>H12</t>
  </si>
  <si>
    <t>Fix Term length calculation to adjust for leap year dates</t>
  </si>
  <si>
    <t>CJ30:CK30</t>
  </si>
  <si>
    <t>BB10:BR10</t>
  </si>
  <si>
    <t>BB45:BR156</t>
  </si>
  <si>
    <t>Company Codes</t>
  </si>
  <si>
    <t>Allow Bermuda writing company, Allow "Other" state. Add in country codes. Fix term length calculation</t>
  </si>
  <si>
    <t>Rater version 1.03</t>
  </si>
  <si>
    <t>Country</t>
  </si>
  <si>
    <t>H16:J17</t>
  </si>
  <si>
    <t>Added Country input and country code</t>
  </si>
  <si>
    <t>H9:I9</t>
  </si>
  <si>
    <t>Added Company code</t>
  </si>
  <si>
    <t>Rater version 1.04</t>
  </si>
  <si>
    <t>N4:N60</t>
  </si>
  <si>
    <t>Update rate filing status</t>
  </si>
  <si>
    <t>1.04 (TESTING ONLY)</t>
  </si>
  <si>
    <t>AG16:AG17</t>
  </si>
  <si>
    <t>Fix NY Deductible factor calculation</t>
  </si>
  <si>
    <t>O98:O161</t>
  </si>
  <si>
    <t>Fix prior acts formula to account for NJ</t>
  </si>
  <si>
    <t>DS24</t>
  </si>
  <si>
    <t>Adjust max part time credit per KS crit</t>
  </si>
  <si>
    <t>Table E</t>
  </si>
  <si>
    <t>Add Columns CI</t>
  </si>
  <si>
    <t>Add Columns CZ:DB</t>
  </si>
  <si>
    <t>New AOP table per KS crit</t>
  </si>
  <si>
    <t>IRM Table F</t>
  </si>
  <si>
    <t>Add Columns EU:EW</t>
  </si>
  <si>
    <t>New IRM table per KS crit</t>
  </si>
  <si>
    <t>H22:I45</t>
  </si>
  <si>
    <t>Update AOP formula to account for KS AOP table</t>
  </si>
  <si>
    <t>N22:O45</t>
  </si>
  <si>
    <t>M175:N200</t>
  </si>
  <si>
    <t>Update IRM formula to account for KS IRM table</t>
  </si>
  <si>
    <t xml:space="preserve">EVEREST NATIONAL INS CO    </t>
  </si>
  <si>
    <t xml:space="preserve">EVEREST INDEMNITY             </t>
  </si>
  <si>
    <t xml:space="preserve">EVEREST SECURITY INS CO       </t>
  </si>
  <si>
    <t>Everest Denali Insurance Company</t>
  </si>
  <si>
    <t>Everest Premier Insurance Company</t>
  </si>
  <si>
    <t>Everest International Assurance, LT</t>
  </si>
  <si>
    <t>T6:T10</t>
  </si>
  <si>
    <t xml:space="preserve">Changed Everest writing company names to match Escape </t>
  </si>
  <si>
    <t>Update rate filing status, Fix NJ Prior Acts, Modify KS credit/debits per filing crits, Company names reflect Escape</t>
  </si>
  <si>
    <t>Rater version 1.05</t>
  </si>
  <si>
    <t>1.05 (TESTING ONLY)</t>
  </si>
  <si>
    <t>Update ILFs for separate claims expense limits</t>
  </si>
  <si>
    <t>Assumed CEIL</t>
  </si>
  <si>
    <t>S11</t>
  </si>
  <si>
    <t>AH6:Av30</t>
  </si>
  <si>
    <t>AC47:AC59</t>
  </si>
  <si>
    <t>AH49:AV76</t>
  </si>
  <si>
    <t>BB6:BR121</t>
  </si>
  <si>
    <t>AC86:AC96</t>
  </si>
  <si>
    <t>AH88:AV107</t>
  </si>
  <si>
    <t>Separate Claims Expense Limit Fix</t>
  </si>
  <si>
    <t>Update rate filing status as of 7/26/19</t>
  </si>
  <si>
    <t>Filed ILFs for Separate Claim Expense Coverage Limits for NJ was based on countrywide factors rather being calculated off assumed NJ factors 7/30/2019</t>
  </si>
  <si>
    <t>AD109</t>
  </si>
  <si>
    <t>Separate Claims Expense Limit Fix (comment for NJ factors)</t>
  </si>
  <si>
    <r>
      <t>Assumed CEIL/</t>
    </r>
    <r>
      <rPr>
        <b/>
        <sz val="11"/>
        <color rgb="FFFF0000"/>
        <rFont val="Calibri"/>
        <family val="2"/>
        <scheme val="minor"/>
      </rPr>
      <t>CEOL</t>
    </r>
  </si>
  <si>
    <t>Internal User?</t>
  </si>
  <si>
    <t>Rater version 1.06</t>
  </si>
  <si>
    <t>Internal</t>
  </si>
  <si>
    <t>A1:B1</t>
  </si>
  <si>
    <t>BU58:BW58</t>
  </si>
  <si>
    <t>Formula changes depending on internal flag</t>
  </si>
  <si>
    <t>FA9, FA10, FB10, FA11, FB11, FC11</t>
  </si>
  <si>
    <t>Flag for user being internal (to override Refer to Company blocks) - new named range = info_internal</t>
  </si>
  <si>
    <t>Update rate filing status as of 8/9/2019</t>
  </si>
  <si>
    <t>Option to overrride to 'Refer to Company' stops; update rate filing status to external sheet; pw protect for sheets Base Rates, Ranges, Internal</t>
  </si>
  <si>
    <t>D22</t>
  </si>
  <si>
    <t>Flag for user being internal</t>
  </si>
  <si>
    <t>Rater version 1.07</t>
  </si>
  <si>
    <t>EG6:EH6</t>
  </si>
  <si>
    <t>Fix range for IRM Table A Total Qualitiy of Management factors to be 0.75-1.25</t>
  </si>
  <si>
    <t>Update rate filing status as of 8/16/2019</t>
  </si>
  <si>
    <t>Fix IRM Table A Total Quality of Management factors; update rate filing status</t>
  </si>
  <si>
    <t>Rater version 1.08</t>
  </si>
  <si>
    <t>EL25:EN25</t>
  </si>
  <si>
    <t>IRM Table C Date and Calendar Control System IRM was missing</t>
  </si>
  <si>
    <t>Fix IRM Table C Date and Calendar Control System</t>
  </si>
  <si>
    <t>Rater version 1.09</t>
  </si>
  <si>
    <t>G22:I45 and M22:O45</t>
  </si>
  <si>
    <t>Change format of factors to be 2 decimal points instead of 3 (no rate impact)</t>
  </si>
  <si>
    <t>L41:O41</t>
  </si>
  <si>
    <t>Confirmed GA rate filing has been revised to include AOP for SS so removed conditional formatting (no rate impact)</t>
  </si>
  <si>
    <t>Removed special formula that adjusted for GA state.  Implement standard formula to determine default factor.</t>
  </si>
  <si>
    <t>Show AOP factors as 2 decimal points; Removed GA exclusion for AOP factor for SS; Fix all IRM tables and IRM calculations to be sums of credits/debits rather than product</t>
  </si>
  <si>
    <t>F20</t>
  </si>
  <si>
    <t>Adjusted formula so no exception rule is shown if GA state is selected</t>
  </si>
  <si>
    <t>I60:K159</t>
  </si>
  <si>
    <t>EC6:ED31</t>
  </si>
  <si>
    <t>EF6:EW31</t>
  </si>
  <si>
    <t>Update IRM calculations to be SUM rather than PRODUCT</t>
  </si>
  <si>
    <t>L175; L183; L19; L104; L197; L202</t>
  </si>
  <si>
    <t>L175:N203</t>
  </si>
  <si>
    <t>Change format of factors to be percentage</t>
  </si>
  <si>
    <t>Update VALUES to be new Debit/Credit % rather than a multiplicative factor (ex. -5% credit instead of 0.95 factor)</t>
  </si>
  <si>
    <t>L203</t>
  </si>
  <si>
    <t>Update IRM factor to be multiplicative factor rather than % debit/credit</t>
  </si>
  <si>
    <t>Update rate filing status as of 8/23/2019 (no further approvals since v1.07)</t>
  </si>
  <si>
    <t>Rater version 1.10</t>
  </si>
  <si>
    <t>1.10</t>
  </si>
  <si>
    <t>Rater version 1.11</t>
  </si>
  <si>
    <t>S172</t>
  </si>
  <si>
    <t>EA7:ED7</t>
  </si>
  <si>
    <t>Removed reference to "other" state</t>
  </si>
  <si>
    <t>1.11</t>
  </si>
  <si>
    <t>Removed formulaic reference to "Other" state for IRM Table lookup (surplus reference still exists)</t>
  </si>
  <si>
    <t>Atty 3</t>
  </si>
  <si>
    <t>Atty 4</t>
  </si>
  <si>
    <t>Internal user?</t>
  </si>
  <si>
    <t>Due to significant claim activity, this accout must be referred to company</t>
  </si>
  <si>
    <t>Due to claims experience, underwriter inputs factor</t>
  </si>
  <si>
    <t>Inputs for note regarding Experience Rating</t>
  </si>
  <si>
    <t>EZ55:FP67</t>
  </si>
  <si>
    <t>Experience rating for PA and CA</t>
  </si>
  <si>
    <t>same as countrywide</t>
  </si>
  <si>
    <t>F241</t>
  </si>
  <si>
    <t>FR30:FR31</t>
  </si>
  <si>
    <t>Exclusions to Large Claim Refer to company</t>
  </si>
  <si>
    <t>FR15:FR16</t>
  </si>
  <si>
    <t>Exclusion for Refer to Company for large claim experieince under PA</t>
  </si>
  <si>
    <t>Table A Refer to Company?</t>
  </si>
  <si>
    <t>For Refer to Company checks:</t>
  </si>
  <si>
    <t>EZ69:FF77</t>
  </si>
  <si>
    <t>Experience rating Table A without internal user suggested values</t>
  </si>
  <si>
    <t>Adjust formula for Table A to reference separate table for PA and CA, and allow value for claim counts &gt; 5</t>
  </si>
  <si>
    <t>Exceptions:</t>
  </si>
  <si>
    <t>EZ78:EZ82</t>
  </si>
  <si>
    <t>List exceptions to  using CW Table A for Experience rating</t>
  </si>
  <si>
    <t>And Use Table A?</t>
  </si>
  <si>
    <t>Annual Premium</t>
  </si>
  <si>
    <t>B262</t>
  </si>
  <si>
    <t>Rename cell to Annual Premium</t>
  </si>
  <si>
    <t>B263:E263</t>
  </si>
  <si>
    <t>New Final Premium does straight adjustment for term length</t>
  </si>
  <si>
    <t>Final Prem incl. Surcharges</t>
  </si>
  <si>
    <t>Update rate filing status as of 9/6/2019 (approval in Minnesota)</t>
  </si>
  <si>
    <t>And Refer to Company?</t>
  </si>
  <si>
    <t>Should Refer to Company?</t>
  </si>
  <si>
    <t>Checks for Refer to Company</t>
  </si>
  <si>
    <t>R238:S244</t>
  </si>
  <si>
    <t>G245</t>
  </si>
  <si>
    <t>Update formula and message regarding Refer to Company</t>
  </si>
  <si>
    <t>C245:F245</t>
  </si>
  <si>
    <t>Update conditional formatting for Experience Rating Factor</t>
  </si>
  <si>
    <t>Atty 5</t>
  </si>
  <si>
    <t>Atty 6</t>
  </si>
  <si>
    <t>Atty 7</t>
  </si>
  <si>
    <t>Atty 8</t>
  </si>
  <si>
    <t>Atty 9</t>
  </si>
  <si>
    <t>Atty 10</t>
  </si>
  <si>
    <t>T60:T159</t>
  </si>
  <si>
    <t>Update calculation of # of years with firm to contemplate when prior acts date &gt; policy eff date</t>
  </si>
  <si>
    <t>L60:L159</t>
  </si>
  <si>
    <t>Add in Data validation so that Prior Acts date cannot exceed Policy Expiration date</t>
  </si>
  <si>
    <t>I14:N14</t>
  </si>
  <si>
    <t>Added Conditional Formatting to hide cells when there is No Aggregate Deductible</t>
  </si>
  <si>
    <t>FR35:FS37</t>
  </si>
  <si>
    <t>F245</t>
  </si>
  <si>
    <t>Added in Data Validation for Experience Rating Factor in case of using Refer to Company</t>
  </si>
  <si>
    <t>Experience Rating Factor Limits (used in Data validation for Rater!F245)</t>
  </si>
  <si>
    <t>Combined Factor</t>
  </si>
  <si>
    <t>NY State?</t>
  </si>
  <si>
    <t>Check</t>
  </si>
  <si>
    <t>Error?</t>
  </si>
  <si>
    <t>U238:V244</t>
  </si>
  <si>
    <t>Added in checks for NY so that IRM and ERF combined don't exceed +-25%</t>
  </si>
  <si>
    <t>K204</t>
  </si>
  <si>
    <t>Added in red help text when IRM and ERF combined exceed +-25% in NY</t>
  </si>
  <si>
    <t>G246</t>
  </si>
  <si>
    <t>New York Check that IRM and Exper Rating Applies</t>
  </si>
  <si>
    <t>Check that in NY basic premium excees $2,500 for IRM and Experience Rating to apply</t>
  </si>
  <si>
    <t xml:space="preserve">Update IRM Factor equal to zero if IRM doesn't apply in NY </t>
  </si>
  <si>
    <t>R174:U174</t>
  </si>
  <si>
    <t>F171; D208</t>
  </si>
  <si>
    <t>Add in red help text that IRM and ERF don't apply in NY when prem &lt;=$2,500</t>
  </si>
  <si>
    <t>O243</t>
  </si>
  <si>
    <t>Update Exper Rating Factor  equal to zero if ERF doesn't apply in NY</t>
  </si>
  <si>
    <t>State Surcharges</t>
  </si>
  <si>
    <t>Surcharge %</t>
  </si>
  <si>
    <t>Surcharge $</t>
  </si>
  <si>
    <t>Insurance Guaranty Association Surcharge</t>
  </si>
  <si>
    <t>Hurricane CAT Fund</t>
  </si>
  <si>
    <t>Municipal Tax</t>
  </si>
  <si>
    <t>County Tax</t>
  </si>
  <si>
    <t>Public Service Surcharge</t>
  </si>
  <si>
    <t>PLIG Fund</t>
  </si>
  <si>
    <t>Fire &amp; Casualty Surcharge</t>
  </si>
  <si>
    <t>Surcharge Name</t>
  </si>
  <si>
    <t>Publication Date: July 15, 2019</t>
  </si>
  <si>
    <t>Kentucky Department of Insurance</t>
  </si>
  <si>
    <t>Page 21 of 21</t>
  </si>
  <si>
    <t>Report is sorted alphabetically by Taxing Jurisdiction.</t>
  </si>
  <si>
    <r>
      <t xml:space="preserve">The </t>
    </r>
    <r>
      <rPr>
        <b/>
        <sz val="10"/>
        <color indexed="8"/>
        <rFont val="Arial"/>
        <family val="2"/>
      </rPr>
      <t xml:space="preserve">asterisk * </t>
    </r>
    <r>
      <rPr>
        <sz val="10"/>
        <color indexed="8"/>
        <rFont val="Arial"/>
        <family val="2"/>
      </rPr>
      <t xml:space="preserve">indicates any Taxing Jurisdictions that have amended or adopted LGPT, and/or Tax Codes, since the last published edition of the Tax Schedule. </t>
    </r>
  </si>
  <si>
    <t>Note:  One copy per insurer at no charge.  All others:  $5 - Advance only (KRS 304.4-010 AND 806 KAR 2:097)</t>
  </si>
  <si>
    <t>8%</t>
  </si>
  <si>
    <t>None</t>
  </si>
  <si>
    <t>1012</t>
  </si>
  <si>
    <t>Wurtland</t>
  </si>
  <si>
    <t xml:space="preserve"> </t>
  </si>
  <si>
    <t>5%</t>
  </si>
  <si>
    <t>0436</t>
  </si>
  <si>
    <t>Worthville</t>
  </si>
  <si>
    <t>6%</t>
  </si>
  <si>
    <t>0452</t>
  </si>
  <si>
    <t>Worthington Hills</t>
  </si>
  <si>
    <t>0236</t>
  </si>
  <si>
    <t>Worthington</t>
  </si>
  <si>
    <t>0235</t>
  </si>
  <si>
    <t>Woodlawn Park</t>
  </si>
  <si>
    <t>10%</t>
  </si>
  <si>
    <t>0435</t>
  </si>
  <si>
    <t>Woodlawn</t>
  </si>
  <si>
    <t>0434</t>
  </si>
  <si>
    <t>Woodland Hills</t>
  </si>
  <si>
    <t>0459</t>
  </si>
  <si>
    <t>Woodbury</t>
  </si>
  <si>
    <t>7%</t>
  </si>
  <si>
    <t>2%</t>
  </si>
  <si>
    <t>0433</t>
  </si>
  <si>
    <t>Woodburn</t>
  </si>
  <si>
    <t>15</t>
  </si>
  <si>
    <t>0430</t>
  </si>
  <si>
    <t>Wingo</t>
  </si>
  <si>
    <t>0234</t>
  </si>
  <si>
    <t>Windy Hills</t>
  </si>
  <si>
    <t>0029</t>
  </si>
  <si>
    <t>Winchester</t>
  </si>
  <si>
    <t>0120</t>
  </si>
  <si>
    <t>Wilmore</t>
  </si>
  <si>
    <t>6.75%</t>
  </si>
  <si>
    <t>0233</t>
  </si>
  <si>
    <t>Williamstown</t>
  </si>
  <si>
    <t>0119</t>
  </si>
  <si>
    <t>Williamsburg</t>
  </si>
  <si>
    <t>0427</t>
  </si>
  <si>
    <t>Wildwood</t>
  </si>
  <si>
    <t>0232</t>
  </si>
  <si>
    <t>Wilder</t>
  </si>
  <si>
    <t>6.4%</t>
  </si>
  <si>
    <t>0231</t>
  </si>
  <si>
    <t>Wickliffe</t>
  </si>
  <si>
    <t>8.9%</t>
  </si>
  <si>
    <t>0426</t>
  </si>
  <si>
    <t>Whitesville</t>
  </si>
  <si>
    <t>0230</t>
  </si>
  <si>
    <t>Whitesburg</t>
  </si>
  <si>
    <t>0425</t>
  </si>
  <si>
    <t>White Plains</t>
  </si>
  <si>
    <t>*</t>
  </si>
  <si>
    <t>A</t>
  </si>
  <si>
    <t>0423</t>
  </si>
  <si>
    <t>Wheelwright</t>
  </si>
  <si>
    <t>0422</t>
  </si>
  <si>
    <t>Wheatcroft</t>
  </si>
  <si>
    <t>0421</t>
  </si>
  <si>
    <t>Westwood</t>
  </si>
  <si>
    <t>12%</t>
  </si>
  <si>
    <t>0228</t>
  </si>
  <si>
    <t>West Point</t>
  </si>
  <si>
    <t>0118</t>
  </si>
  <si>
    <t>West Liberty</t>
  </si>
  <si>
    <t>15%</t>
  </si>
  <si>
    <t>0227</t>
  </si>
  <si>
    <t>West Buechel</t>
  </si>
  <si>
    <t>0973</t>
  </si>
  <si>
    <t>Wellington</t>
  </si>
  <si>
    <t>0965</t>
  </si>
  <si>
    <t>Wayne County</t>
  </si>
  <si>
    <t>0419</t>
  </si>
  <si>
    <t>Wayland</t>
  </si>
  <si>
    <t>0450</t>
  </si>
  <si>
    <t>Watterson Park</t>
  </si>
  <si>
    <t>4%</t>
  </si>
  <si>
    <t>0964</t>
  </si>
  <si>
    <t>Washington County</t>
  </si>
  <si>
    <t>B</t>
  </si>
  <si>
    <t>0225</t>
  </si>
  <si>
    <t>Warsaw</t>
  </si>
  <si>
    <t>0224</t>
  </si>
  <si>
    <t>Walton</t>
  </si>
  <si>
    <t>10% or 3%</t>
  </si>
  <si>
    <t>0117</t>
  </si>
  <si>
    <t>Vine Grove</t>
  </si>
  <si>
    <t>0116</t>
  </si>
  <si>
    <t>Villa Hills</t>
  </si>
  <si>
    <t>05</t>
  </si>
  <si>
    <t>0413</t>
  </si>
  <si>
    <t>Vicco</t>
  </si>
  <si>
    <t>9%</t>
  </si>
  <si>
    <t>0115</t>
  </si>
  <si>
    <t>Versailles</t>
  </si>
  <si>
    <t>1004</t>
  </si>
  <si>
    <t>Vanceburg</t>
  </si>
  <si>
    <t>0223</t>
  </si>
  <si>
    <t>Uniontown</t>
  </si>
  <si>
    <t>1023</t>
  </si>
  <si>
    <t>Trimble County</t>
  </si>
  <si>
    <t>A-45</t>
  </si>
  <si>
    <t>0960</t>
  </si>
  <si>
    <t>Trigg County</t>
  </si>
  <si>
    <t>0409</t>
  </si>
  <si>
    <t>Trenton</t>
  </si>
  <si>
    <t>0222</t>
  </si>
  <si>
    <t>Tompkinsville</t>
  </si>
  <si>
    <t>1001</t>
  </si>
  <si>
    <t>Todd County</t>
  </si>
  <si>
    <t>0408</t>
  </si>
  <si>
    <t>Thornhill</t>
  </si>
  <si>
    <t>0453</t>
  </si>
  <si>
    <t>Ten Broeck</t>
  </si>
  <si>
    <t>0407</t>
  </si>
  <si>
    <t>Taylorsville</t>
  </si>
  <si>
    <t>0113</t>
  </si>
  <si>
    <t>Taylor Mill</t>
  </si>
  <si>
    <t>0456</t>
  </si>
  <si>
    <t>Sycamore</t>
  </si>
  <si>
    <t>0112</t>
  </si>
  <si>
    <t>Sturgis</t>
  </si>
  <si>
    <t>0406</t>
  </si>
  <si>
    <t>Strathmoor Village</t>
  </si>
  <si>
    <t>0405</t>
  </si>
  <si>
    <t>Strathmoor Manor</t>
  </si>
  <si>
    <t>0111</t>
  </si>
  <si>
    <t>Stanton</t>
  </si>
  <si>
    <t>0221</t>
  </si>
  <si>
    <t>Stanford</t>
  </si>
  <si>
    <t>0403</t>
  </si>
  <si>
    <t>Stamping Ground</t>
  </si>
  <si>
    <t>0104</t>
  </si>
  <si>
    <t>St. Regis Park</t>
  </si>
  <si>
    <t>0463</t>
  </si>
  <si>
    <t>St. Matthews</t>
  </si>
  <si>
    <t>I</t>
  </si>
  <si>
    <t>0462</t>
  </si>
  <si>
    <t>St. Charles</t>
  </si>
  <si>
    <t>0110</t>
  </si>
  <si>
    <t>Springfield</t>
  </si>
  <si>
    <t>0445</t>
  </si>
  <si>
    <t>Spring Valley</t>
  </si>
  <si>
    <t>3%</t>
  </si>
  <si>
    <t>1006</t>
  </si>
  <si>
    <t>Spencer County</t>
  </si>
  <si>
    <t>0401</t>
  </si>
  <si>
    <t>Sparta</t>
  </si>
  <si>
    <t>0109</t>
  </si>
  <si>
    <t>Southgate</t>
  </si>
  <si>
    <t>0400</t>
  </si>
  <si>
    <t>South Shore</t>
  </si>
  <si>
    <t>0028</t>
  </si>
  <si>
    <t>Somerset</t>
  </si>
  <si>
    <t>0396</t>
  </si>
  <si>
    <t>Smiths Grove</t>
  </si>
  <si>
    <t>0395</t>
  </si>
  <si>
    <t>Smithland</t>
  </si>
  <si>
    <t>6.5%</t>
  </si>
  <si>
    <t>0972</t>
  </si>
  <si>
    <t>Smithfield</t>
  </si>
  <si>
    <t>0393</t>
  </si>
  <si>
    <t>Slaughters</t>
  </si>
  <si>
    <t>0997</t>
  </si>
  <si>
    <t>Simpsonville</t>
  </si>
  <si>
    <t>0220</t>
  </si>
  <si>
    <t>Silver Grove</t>
  </si>
  <si>
    <t>0027</t>
  </si>
  <si>
    <t>Shively</t>
  </si>
  <si>
    <t>0986</t>
  </si>
  <si>
    <t>Shepherdsville</t>
  </si>
  <si>
    <t>0107</t>
  </si>
  <si>
    <t>Shelbyville</t>
  </si>
  <si>
    <t>0390</t>
  </si>
  <si>
    <t>Seneca Gardens</t>
  </si>
  <si>
    <t>0219</t>
  </si>
  <si>
    <t>Sebree</t>
  </si>
  <si>
    <t>0106</t>
  </si>
  <si>
    <t>Scottsville</t>
  </si>
  <si>
    <t>0387</t>
  </si>
  <si>
    <t>Science Hill</t>
  </si>
  <si>
    <t>0218</t>
  </si>
  <si>
    <t>Sandy Hook</t>
  </si>
  <si>
    <t>1033</t>
  </si>
  <si>
    <t>Sanders</t>
  </si>
  <si>
    <t>0105</t>
  </si>
  <si>
    <t>Salyersville</t>
  </si>
  <si>
    <t>0440</t>
  </si>
  <si>
    <t>Sadieville</t>
  </si>
  <si>
    <t>0382</t>
  </si>
  <si>
    <t>Sacramento</t>
  </si>
  <si>
    <t>0971</t>
  </si>
  <si>
    <t>Ryland Heights</t>
  </si>
  <si>
    <t>1009</t>
  </si>
  <si>
    <t>Russellville</t>
  </si>
  <si>
    <t>39</t>
  </si>
  <si>
    <t>0217</t>
  </si>
  <si>
    <t>Russell Springs</t>
  </si>
  <si>
    <t>0216</t>
  </si>
  <si>
    <t>Rolling Hills</t>
  </si>
  <si>
    <t>0378</t>
  </si>
  <si>
    <t>Rolling Fields</t>
  </si>
  <si>
    <t>0377</t>
  </si>
  <si>
    <t>Rockport</t>
  </si>
  <si>
    <t>0951</t>
  </si>
  <si>
    <t>Rockcastle County</t>
  </si>
  <si>
    <t>1024</t>
  </si>
  <si>
    <t>Robertson County</t>
  </si>
  <si>
    <t>42</t>
  </si>
  <si>
    <t>0461</t>
  </si>
  <si>
    <t>Robards</t>
  </si>
  <si>
    <t>0374</t>
  </si>
  <si>
    <t>Riverwood</t>
  </si>
  <si>
    <t>0457</t>
  </si>
  <si>
    <t>River Bluff</t>
  </si>
  <si>
    <t>0010</t>
  </si>
  <si>
    <t>Richmond</t>
  </si>
  <si>
    <t>F</t>
  </si>
  <si>
    <t>0372</t>
  </si>
  <si>
    <t>Richlawn</t>
  </si>
  <si>
    <t>0215</t>
  </si>
  <si>
    <t>Ravenna</t>
  </si>
  <si>
    <t>11%</t>
  </si>
  <si>
    <t>0100</t>
  </si>
  <si>
    <t>Radcliff</t>
  </si>
  <si>
    <t>33</t>
  </si>
  <si>
    <t>0214</t>
  </si>
  <si>
    <t>Raceland</t>
  </si>
  <si>
    <t>5.5%</t>
  </si>
  <si>
    <t>0949</t>
  </si>
  <si>
    <t>Pulaski County</t>
  </si>
  <si>
    <t>C-A</t>
  </si>
  <si>
    <t>7.5%</t>
  </si>
  <si>
    <t>0099</t>
  </si>
  <si>
    <t>Providence</t>
  </si>
  <si>
    <t>0213</t>
  </si>
  <si>
    <t>Prospect</t>
  </si>
  <si>
    <t>0098</t>
  </si>
  <si>
    <t>Princeton</t>
  </si>
  <si>
    <t>0371</t>
  </si>
  <si>
    <t>Prestonville</t>
  </si>
  <si>
    <t>0097</t>
  </si>
  <si>
    <t>Prestonsburg</t>
  </si>
  <si>
    <t>1013</t>
  </si>
  <si>
    <t>Powell County</t>
  </si>
  <si>
    <t>0370</t>
  </si>
  <si>
    <t>Powderly</t>
  </si>
  <si>
    <t>0368</t>
  </si>
  <si>
    <t>Plum Springs</t>
  </si>
  <si>
    <t>0367</t>
  </si>
  <si>
    <t>Pleasureville</t>
  </si>
  <si>
    <t>0212</t>
  </si>
  <si>
    <t>Plantation</t>
  </si>
  <si>
    <t>0441</t>
  </si>
  <si>
    <t>Pioneer Village</t>
  </si>
  <si>
    <t>0096</t>
  </si>
  <si>
    <t>Pineville</t>
  </si>
  <si>
    <t>0211</t>
  </si>
  <si>
    <t>Pewee Valley</t>
  </si>
  <si>
    <t>06</t>
  </si>
  <si>
    <t>0210</t>
  </si>
  <si>
    <t>Perryville</t>
  </si>
  <si>
    <t>0362</t>
  </si>
  <si>
    <t>Pembroke</t>
  </si>
  <si>
    <t>0361</t>
  </si>
  <si>
    <t>Parkway Village</t>
  </si>
  <si>
    <t>0094</t>
  </si>
  <si>
    <t>Park Hills</t>
  </si>
  <si>
    <t>G</t>
  </si>
  <si>
    <t>0360</t>
  </si>
  <si>
    <t>Park City</t>
  </si>
  <si>
    <t>0026</t>
  </si>
  <si>
    <t>Paris</t>
  </si>
  <si>
    <t>0093</t>
  </si>
  <si>
    <t>Paintsville</t>
  </si>
  <si>
    <t>25</t>
  </si>
  <si>
    <t>0009</t>
  </si>
  <si>
    <t>Paducah</t>
  </si>
  <si>
    <t>0944</t>
  </si>
  <si>
    <t>Owsley County</t>
  </si>
  <si>
    <t>0092</t>
  </si>
  <si>
    <t>Owingsville</t>
  </si>
  <si>
    <t>0008</t>
  </si>
  <si>
    <t>Owensboro</t>
  </si>
  <si>
    <t>0943</t>
  </si>
  <si>
    <t>Owen County</t>
  </si>
  <si>
    <t>Q-18</t>
  </si>
  <si>
    <t>0358</t>
  </si>
  <si>
    <t>Orchard Grass Hills</t>
  </si>
  <si>
    <t>0091</t>
  </si>
  <si>
    <t>Olive Hill</t>
  </si>
  <si>
    <t>26</t>
  </si>
  <si>
    <t>0942</t>
  </si>
  <si>
    <t>Oldham County</t>
  </si>
  <si>
    <t>0443</t>
  </si>
  <si>
    <t>Old Brownsboro Place</t>
  </si>
  <si>
    <t>0357</t>
  </si>
  <si>
    <t>Oakland</t>
  </si>
  <si>
    <t>0208</t>
  </si>
  <si>
    <t>Oak Grove</t>
  </si>
  <si>
    <t>0356</t>
  </si>
  <si>
    <t>Norwood</t>
  </si>
  <si>
    <t>0207</t>
  </si>
  <si>
    <t>Nortonville</t>
  </si>
  <si>
    <t>0205</t>
  </si>
  <si>
    <t>Northfield</t>
  </si>
  <si>
    <t>0206</t>
  </si>
  <si>
    <t>North Middletown</t>
  </si>
  <si>
    <t>0355</t>
  </si>
  <si>
    <t>Norbourne Estates</t>
  </si>
  <si>
    <t>0025</t>
  </si>
  <si>
    <t>Nicholasville</t>
  </si>
  <si>
    <t>1038</t>
  </si>
  <si>
    <t>Nicholas County</t>
  </si>
  <si>
    <t>0007</t>
  </si>
  <si>
    <t>Newport</t>
  </si>
  <si>
    <t>0354</t>
  </si>
  <si>
    <t>New Haven</t>
  </si>
  <si>
    <t>0353</t>
  </si>
  <si>
    <t>New Castle</t>
  </si>
  <si>
    <t>0352</t>
  </si>
  <si>
    <t>Nebo</t>
  </si>
  <si>
    <t>0446</t>
  </si>
  <si>
    <t>Murray Hill</t>
  </si>
  <si>
    <t>7.25%</t>
  </si>
  <si>
    <t>0024</t>
  </si>
  <si>
    <t>Murray</t>
  </si>
  <si>
    <t>9.2%</t>
  </si>
  <si>
    <t>0203</t>
  </si>
  <si>
    <t>Munfordville</t>
  </si>
  <si>
    <t>9.5%</t>
  </si>
  <si>
    <t>0202</t>
  </si>
  <si>
    <t>Muldraugh</t>
  </si>
  <si>
    <t>1008</t>
  </si>
  <si>
    <t>Mount Washington</t>
  </si>
  <si>
    <t>1010</t>
  </si>
  <si>
    <t>Mount Vernon</t>
  </si>
  <si>
    <t>0089</t>
  </si>
  <si>
    <t>Mount Sterling</t>
  </si>
  <si>
    <t>1027</t>
  </si>
  <si>
    <t>Mount Olivet</t>
  </si>
  <si>
    <t>0199</t>
  </si>
  <si>
    <t>Mortons Gap</t>
  </si>
  <si>
    <t>0198</t>
  </si>
  <si>
    <t>Morgantown</t>
  </si>
  <si>
    <t>0088</t>
  </si>
  <si>
    <t>Morganfield</t>
  </si>
  <si>
    <t>4.5%</t>
  </si>
  <si>
    <t>0937</t>
  </si>
  <si>
    <t>Morgan County</t>
  </si>
  <si>
    <t>23</t>
  </si>
  <si>
    <t>0087</t>
  </si>
  <si>
    <t>Morehead</t>
  </si>
  <si>
    <t>0086</t>
  </si>
  <si>
    <t>Monticello</t>
  </si>
  <si>
    <t>1016</t>
  </si>
  <si>
    <t>Mockingbird Valley</t>
  </si>
  <si>
    <t>0348</t>
  </si>
  <si>
    <t>Milton</t>
  </si>
  <si>
    <t>A-46</t>
  </si>
  <si>
    <t>0196</t>
  </si>
  <si>
    <t>Millersburg</t>
  </si>
  <si>
    <t>0195</t>
  </si>
  <si>
    <t>Midway</t>
  </si>
  <si>
    <t>0085</t>
  </si>
  <si>
    <t>Middletown</t>
  </si>
  <si>
    <t>0023</t>
  </si>
  <si>
    <t>Middlesboro</t>
  </si>
  <si>
    <t>0347</t>
  </si>
  <si>
    <t>Mentor</t>
  </si>
  <si>
    <t>0932</t>
  </si>
  <si>
    <t>Menifee County</t>
  </si>
  <si>
    <t>0346</t>
  </si>
  <si>
    <t>Melbourne</t>
  </si>
  <si>
    <t>0345</t>
  </si>
  <si>
    <t>Meadowview Estates</t>
  </si>
  <si>
    <t>0344</t>
  </si>
  <si>
    <t>Meadowbrook Farm</t>
  </si>
  <si>
    <t>0194</t>
  </si>
  <si>
    <t>Meadow Vale</t>
  </si>
  <si>
    <t>0931</t>
  </si>
  <si>
    <t>Meade County</t>
  </si>
  <si>
    <t>0193</t>
  </si>
  <si>
    <t>McKee</t>
  </si>
  <si>
    <t>0985</t>
  </si>
  <si>
    <t>Mc Henry</t>
  </si>
  <si>
    <t>0022</t>
  </si>
  <si>
    <t>Maysville</t>
  </si>
  <si>
    <t>0021</t>
  </si>
  <si>
    <t>Mayfield</t>
  </si>
  <si>
    <t>0930</t>
  </si>
  <si>
    <t>Mason County</t>
  </si>
  <si>
    <t>5.75%</t>
  </si>
  <si>
    <t>0342</t>
  </si>
  <si>
    <t>Maryhill Estates</t>
  </si>
  <si>
    <t>0084</t>
  </si>
  <si>
    <t>0083</t>
  </si>
  <si>
    <t>Marion</t>
  </si>
  <si>
    <t>0341</t>
  </si>
  <si>
    <t>Manor Creek</t>
  </si>
  <si>
    <t>0082</t>
  </si>
  <si>
    <t>Manchester</t>
  </si>
  <si>
    <t>0081</t>
  </si>
  <si>
    <t>Madisonville</t>
  </si>
  <si>
    <t>0192</t>
  </si>
  <si>
    <t>Lynnview</t>
  </si>
  <si>
    <t>0080</t>
  </si>
  <si>
    <t>Lyndon</t>
  </si>
  <si>
    <t>H</t>
  </si>
  <si>
    <t>1022</t>
  </si>
  <si>
    <t>Lynch</t>
  </si>
  <si>
    <t>0079</t>
  </si>
  <si>
    <t>Ludlow</t>
  </si>
  <si>
    <t>0190</t>
  </si>
  <si>
    <t>Loyall</t>
  </si>
  <si>
    <t>Louisville-Jefferson</t>
  </si>
  <si>
    <t>R</t>
  </si>
  <si>
    <t>1017</t>
  </si>
  <si>
    <t>Louisville Urban Services Dist</t>
  </si>
  <si>
    <t>0189</t>
  </si>
  <si>
    <t>Louisa</t>
  </si>
  <si>
    <t>29</t>
  </si>
  <si>
    <t>0339</t>
  </si>
  <si>
    <t>Loretto</t>
  </si>
  <si>
    <t>0078</t>
  </si>
  <si>
    <t>London</t>
  </si>
  <si>
    <t>0337</t>
  </si>
  <si>
    <t>Livingston</t>
  </si>
  <si>
    <t>0188</t>
  </si>
  <si>
    <t>Livermore</t>
  </si>
  <si>
    <t>0336</t>
  </si>
  <si>
    <t>Lincolnshire</t>
  </si>
  <si>
    <t>0187</t>
  </si>
  <si>
    <t>Liberty</t>
  </si>
  <si>
    <t>0002</t>
  </si>
  <si>
    <t>Lexington-Fayette</t>
  </si>
  <si>
    <t>D</t>
  </si>
  <si>
    <t>0185</t>
  </si>
  <si>
    <t>Lewisburg</t>
  </si>
  <si>
    <t>08</t>
  </si>
  <si>
    <t>0917</t>
  </si>
  <si>
    <t>Lewis County</t>
  </si>
  <si>
    <t>0077</t>
  </si>
  <si>
    <t>Leitchfield</t>
  </si>
  <si>
    <t>0975</t>
  </si>
  <si>
    <t>Lebanon Junction</t>
  </si>
  <si>
    <t>0076</t>
  </si>
  <si>
    <t>0075</t>
  </si>
  <si>
    <t>Lawrenceburg</t>
  </si>
  <si>
    <t>0332</t>
  </si>
  <si>
    <t>Langdon Place</t>
  </si>
  <si>
    <t>0183</t>
  </si>
  <si>
    <t>Lancaster</t>
  </si>
  <si>
    <t>0182</t>
  </si>
  <si>
    <t>Lakeside Park</t>
  </si>
  <si>
    <t>0074</t>
  </si>
  <si>
    <t>Lagrange</t>
  </si>
  <si>
    <t>0331</t>
  </si>
  <si>
    <t>Lafayette</t>
  </si>
  <si>
    <t>0181</t>
  </si>
  <si>
    <t>La Center</t>
  </si>
  <si>
    <t>0180</t>
  </si>
  <si>
    <t>Kuttawa</t>
  </si>
  <si>
    <t>1028</t>
  </si>
  <si>
    <t>Knott County</t>
  </si>
  <si>
    <t>0330</t>
  </si>
  <si>
    <t>Kingsley</t>
  </si>
  <si>
    <t>1000</t>
  </si>
  <si>
    <t>Kenton County</t>
  </si>
  <si>
    <t>L-35</t>
  </si>
  <si>
    <t>0179</t>
  </si>
  <si>
    <t>Junction City</t>
  </si>
  <si>
    <t>1036</t>
  </si>
  <si>
    <t>Jessamine County</t>
  </si>
  <si>
    <t>0073</t>
  </si>
  <si>
    <t>Jenkins</t>
  </si>
  <si>
    <t>0439</t>
  </si>
  <si>
    <t>Jeffersonville</t>
  </si>
  <si>
    <t>0072</t>
  </si>
  <si>
    <t>Jeffersontown</t>
  </si>
  <si>
    <t>0178</t>
  </si>
  <si>
    <t>Jamestown</t>
  </si>
  <si>
    <t>0904</t>
  </si>
  <si>
    <t>Jackson County</t>
  </si>
  <si>
    <t>8.5%</t>
  </si>
  <si>
    <t>0071</t>
  </si>
  <si>
    <t>Jackson</t>
  </si>
  <si>
    <t>0326</t>
  </si>
  <si>
    <t>Island</t>
  </si>
  <si>
    <t>0177</t>
  </si>
  <si>
    <t>Irvington</t>
  </si>
  <si>
    <t>0070</t>
  </si>
  <si>
    <t>Irvine</t>
  </si>
  <si>
    <t>0176</t>
  </si>
  <si>
    <t>Indian Hills</t>
  </si>
  <si>
    <t>0323</t>
  </si>
  <si>
    <t>Hyden</t>
  </si>
  <si>
    <t>0174</t>
  </si>
  <si>
    <t>Hustonville</t>
  </si>
  <si>
    <t>0322</t>
  </si>
  <si>
    <t>Hurstbourne Acres</t>
  </si>
  <si>
    <t>0449</t>
  </si>
  <si>
    <t>Hurstbourne</t>
  </si>
  <si>
    <t>0969</t>
  </si>
  <si>
    <t>Hunters Hollow</t>
  </si>
  <si>
    <t>0321</t>
  </si>
  <si>
    <t>Houston Acres</t>
  </si>
  <si>
    <t>0173</t>
  </si>
  <si>
    <t>Horse Cave</t>
  </si>
  <si>
    <t>0020</t>
  </si>
  <si>
    <t>Hopkinsville</t>
  </si>
  <si>
    <t>0903</t>
  </si>
  <si>
    <t>Hopkins County</t>
  </si>
  <si>
    <t>0318</t>
  </si>
  <si>
    <t>Hollow Creek</t>
  </si>
  <si>
    <t>0069</t>
  </si>
  <si>
    <t>Hodgenville</t>
  </si>
  <si>
    <t>47</t>
  </si>
  <si>
    <t>0172</t>
  </si>
  <si>
    <t>Hindman</t>
  </si>
  <si>
    <t>1020</t>
  </si>
  <si>
    <t>Hillview</t>
  </si>
  <si>
    <t>0448</t>
  </si>
  <si>
    <t>Hills And Dales</t>
  </si>
  <si>
    <t>0171</t>
  </si>
  <si>
    <t>Highland Heights</t>
  </si>
  <si>
    <t>0444</t>
  </si>
  <si>
    <t>Hickory Hill</t>
  </si>
  <si>
    <t>0067</t>
  </si>
  <si>
    <t>Hickman</t>
  </si>
  <si>
    <t>0996</t>
  </si>
  <si>
    <t>Heritage Creek</t>
  </si>
  <si>
    <t>9.75%</t>
  </si>
  <si>
    <t>0900</t>
  </si>
  <si>
    <t>Henderson County</t>
  </si>
  <si>
    <t>0019</t>
  </si>
  <si>
    <t>Henderson</t>
  </si>
  <si>
    <t>0981</t>
  </si>
  <si>
    <t>Hebron Estates</t>
  </si>
  <si>
    <t>0018</t>
  </si>
  <si>
    <t>Hazard</t>
  </si>
  <si>
    <t>0974</t>
  </si>
  <si>
    <t>Hawesville</t>
  </si>
  <si>
    <t>0169</t>
  </si>
  <si>
    <t>Hartford</t>
  </si>
  <si>
    <t>0066</t>
  </si>
  <si>
    <t>Harrodsburg</t>
  </si>
  <si>
    <t>0065</t>
  </si>
  <si>
    <t>Harlan</t>
  </si>
  <si>
    <t>0168</t>
  </si>
  <si>
    <t>Hardinsburg</t>
  </si>
  <si>
    <t>0314</t>
  </si>
  <si>
    <t>Hanson</t>
  </si>
  <si>
    <t>0166</t>
  </si>
  <si>
    <t>Guthrie</t>
  </si>
  <si>
    <t>0064</t>
  </si>
  <si>
    <t>Greenville</t>
  </si>
  <si>
    <t>0165</t>
  </si>
  <si>
    <t>Greenup</t>
  </si>
  <si>
    <t>0164</t>
  </si>
  <si>
    <t>Greensburg</t>
  </si>
  <si>
    <t>0313</t>
  </si>
  <si>
    <t>Green Spring</t>
  </si>
  <si>
    <t>1025</t>
  </si>
  <si>
    <t>Green County</t>
  </si>
  <si>
    <t>48-43</t>
  </si>
  <si>
    <t>10.5%</t>
  </si>
  <si>
    <t>0063</t>
  </si>
  <si>
    <t>Grayson</t>
  </si>
  <si>
    <t>0312</t>
  </si>
  <si>
    <t>Graymoor-Devondale</t>
  </si>
  <si>
    <t>0451</t>
  </si>
  <si>
    <t>Goshen</t>
  </si>
  <si>
    <t>0310</t>
  </si>
  <si>
    <t>Goose Creek</t>
  </si>
  <si>
    <t>0308</t>
  </si>
  <si>
    <t>Glenview Manor</t>
  </si>
  <si>
    <t>0307</t>
  </si>
  <si>
    <t>Glenview Hills</t>
  </si>
  <si>
    <t>0464</t>
  </si>
  <si>
    <t>Glenview</t>
  </si>
  <si>
    <t>0309</t>
  </si>
  <si>
    <t>Glencoe</t>
  </si>
  <si>
    <t>0017</t>
  </si>
  <si>
    <t>Glasgow</t>
  </si>
  <si>
    <t>1003</t>
  </si>
  <si>
    <t>Ghent</t>
  </si>
  <si>
    <t>0062</t>
  </si>
  <si>
    <t>Georgetown</t>
  </si>
  <si>
    <t>0303</t>
  </si>
  <si>
    <t>Gamaliel</t>
  </si>
  <si>
    <t>0887</t>
  </si>
  <si>
    <t>Fulton County</t>
  </si>
  <si>
    <t>B-04</t>
  </si>
  <si>
    <t>1037</t>
  </si>
  <si>
    <t>Fulton</t>
  </si>
  <si>
    <t>0302</t>
  </si>
  <si>
    <t>Frenchburg</t>
  </si>
  <si>
    <t>0162</t>
  </si>
  <si>
    <t>Fredonia</t>
  </si>
  <si>
    <t>0886</t>
  </si>
  <si>
    <t>Franklin County</t>
  </si>
  <si>
    <t>0060</t>
  </si>
  <si>
    <t>Franklin</t>
  </si>
  <si>
    <t>0006</t>
  </si>
  <si>
    <t>Frankfort</t>
  </si>
  <si>
    <t>0967</t>
  </si>
  <si>
    <t>Fox Chase</t>
  </si>
  <si>
    <t>0301</t>
  </si>
  <si>
    <t>Fountain Run</t>
  </si>
  <si>
    <t>0059</t>
  </si>
  <si>
    <t>Fort Wright</t>
  </si>
  <si>
    <t>P</t>
  </si>
  <si>
    <t>0058</t>
  </si>
  <si>
    <t>Fort Thomas</t>
  </si>
  <si>
    <t>0057</t>
  </si>
  <si>
    <t>Fort Mitchell</t>
  </si>
  <si>
    <t>0299</t>
  </si>
  <si>
    <t>Forest Hills</t>
  </si>
  <si>
    <t>0298</t>
  </si>
  <si>
    <t>Fordsville</t>
  </si>
  <si>
    <t>1029</t>
  </si>
  <si>
    <t>Floyd County</t>
  </si>
  <si>
    <t>0016</t>
  </si>
  <si>
    <t>Florence</t>
  </si>
  <si>
    <t>0056</t>
  </si>
  <si>
    <t>Flemingsburg</t>
  </si>
  <si>
    <t>K</t>
  </si>
  <si>
    <t>0161</t>
  </si>
  <si>
    <t>Fleming-Neon</t>
  </si>
  <si>
    <t>1005</t>
  </si>
  <si>
    <t>Fleming County</t>
  </si>
  <si>
    <t>$25.00 Flat</t>
  </si>
  <si>
    <t>0015</t>
  </si>
  <si>
    <t>Flatwoods</t>
  </si>
  <si>
    <t>0297</t>
  </si>
  <si>
    <t>Fincastle</t>
  </si>
  <si>
    <t>6.32%</t>
  </si>
  <si>
    <t>1034</t>
  </si>
  <si>
    <t>Ferguson</t>
  </si>
  <si>
    <t>0055</t>
  </si>
  <si>
    <t>Falmouth</t>
  </si>
  <si>
    <t>1002</t>
  </si>
  <si>
    <t>Ewing</t>
  </si>
  <si>
    <t>0159</t>
  </si>
  <si>
    <t>Evarts</t>
  </si>
  <si>
    <t>0014</t>
  </si>
  <si>
    <t>Erlanger</t>
  </si>
  <si>
    <t>0054</t>
  </si>
  <si>
    <t>Eminence</t>
  </si>
  <si>
    <t>0053</t>
  </si>
  <si>
    <t>Elsmere</t>
  </si>
  <si>
    <t>0999</t>
  </si>
  <si>
    <t>Elliott County</t>
  </si>
  <si>
    <t>0052</t>
  </si>
  <si>
    <t>Elkton</t>
  </si>
  <si>
    <t>0051</t>
  </si>
  <si>
    <t>Elkhorn City</t>
  </si>
  <si>
    <t>0050</t>
  </si>
  <si>
    <t>Elizabethtown</t>
  </si>
  <si>
    <t>0292</t>
  </si>
  <si>
    <t>Ekron</t>
  </si>
  <si>
    <t>0158</t>
  </si>
  <si>
    <t>Edmonton</t>
  </si>
  <si>
    <t>0157</t>
  </si>
  <si>
    <t>Eddyville</t>
  </si>
  <si>
    <t>0048</t>
  </si>
  <si>
    <t>Earlington</t>
  </si>
  <si>
    <t>0156</t>
  </si>
  <si>
    <t>Dry Ridge</t>
  </si>
  <si>
    <t>0290</t>
  </si>
  <si>
    <t>Druid Hills</t>
  </si>
  <si>
    <t>0289</t>
  </si>
  <si>
    <t>Dover</t>
  </si>
  <si>
    <t>0047</t>
  </si>
  <si>
    <t>Douglass Hills</t>
  </si>
  <si>
    <t>0288</t>
  </si>
  <si>
    <t>Dixon</t>
  </si>
  <si>
    <t>0046</t>
  </si>
  <si>
    <t>Dayton</t>
  </si>
  <si>
    <t>0045</t>
  </si>
  <si>
    <t>Dawson Springs</t>
  </si>
  <si>
    <t>4.9%</t>
  </si>
  <si>
    <t>0879</t>
  </si>
  <si>
    <t>Daviess County</t>
  </si>
  <si>
    <t>E-12</t>
  </si>
  <si>
    <t>0013</t>
  </si>
  <si>
    <t>Danville</t>
  </si>
  <si>
    <t>0044</t>
  </si>
  <si>
    <t>Cynthiana</t>
  </si>
  <si>
    <t>0043</t>
  </si>
  <si>
    <t>Cumberland</t>
  </si>
  <si>
    <t>0286</t>
  </si>
  <si>
    <t>Crossgate</t>
  </si>
  <si>
    <t>0153</t>
  </si>
  <si>
    <t>Crofton</t>
  </si>
  <si>
    <t>1007</t>
  </si>
  <si>
    <t>Crittenden County</t>
  </si>
  <si>
    <t>0285</t>
  </si>
  <si>
    <t>Crittenden</t>
  </si>
  <si>
    <t>14</t>
  </si>
  <si>
    <t>0284</t>
  </si>
  <si>
    <t>Crestwood</t>
  </si>
  <si>
    <t>J</t>
  </si>
  <si>
    <t>0282</t>
  </si>
  <si>
    <t>Crestview</t>
  </si>
  <si>
    <t>0151</t>
  </si>
  <si>
    <t>Crescent Springs</t>
  </si>
  <si>
    <t>5.8%</t>
  </si>
  <si>
    <t>0458</t>
  </si>
  <si>
    <t>Creekside</t>
  </si>
  <si>
    <t>0280</t>
  </si>
  <si>
    <t>Crab Orchard</t>
  </si>
  <si>
    <t>Covington</t>
  </si>
  <si>
    <t>0150</t>
  </si>
  <si>
    <t>Corydon</t>
  </si>
  <si>
    <t>0279</t>
  </si>
  <si>
    <t>Corinth</t>
  </si>
  <si>
    <t>0012</t>
  </si>
  <si>
    <t>Corbin</t>
  </si>
  <si>
    <t>0042</t>
  </si>
  <si>
    <t>Columbia</t>
  </si>
  <si>
    <t>0447</t>
  </si>
  <si>
    <t>Coldstream</t>
  </si>
  <si>
    <t>0148</t>
  </si>
  <si>
    <t>Cold Spring</t>
  </si>
  <si>
    <t>1011</t>
  </si>
  <si>
    <t>Coal Run Village</t>
  </si>
  <si>
    <t>0147</t>
  </si>
  <si>
    <t>Cloverport</t>
  </si>
  <si>
    <t>0145</t>
  </si>
  <si>
    <t>Clay City</t>
  </si>
  <si>
    <t>0144</t>
  </si>
  <si>
    <t>Clay</t>
  </si>
  <si>
    <t>0276</t>
  </si>
  <si>
    <t>Clarkson</t>
  </si>
  <si>
    <t>0994</t>
  </si>
  <si>
    <t>Clark County</t>
  </si>
  <si>
    <t>0041</t>
  </si>
  <si>
    <t>Central City</t>
  </si>
  <si>
    <t>09</t>
  </si>
  <si>
    <t>0272</t>
  </si>
  <si>
    <t>Centertown</t>
  </si>
  <si>
    <t>0143</t>
  </si>
  <si>
    <t>Cave City</t>
  </si>
  <si>
    <t>16%</t>
  </si>
  <si>
    <t>0040</t>
  </si>
  <si>
    <t>Catlettsburg</t>
  </si>
  <si>
    <t>0872</t>
  </si>
  <si>
    <t>Casey County</t>
  </si>
  <si>
    <t>0870</t>
  </si>
  <si>
    <t>Carter County</t>
  </si>
  <si>
    <t>0039</t>
  </si>
  <si>
    <t>Carrollton</t>
  </si>
  <si>
    <t>1035</t>
  </si>
  <si>
    <t>Carlisle County</t>
  </si>
  <si>
    <t>0038</t>
  </si>
  <si>
    <t>Carlisle</t>
  </si>
  <si>
    <t>5.2%</t>
  </si>
  <si>
    <t>0268</t>
  </si>
  <si>
    <t>Caneyville</t>
  </si>
  <si>
    <t>0267</t>
  </si>
  <si>
    <t>Campton</t>
  </si>
  <si>
    <t>Campbellsville</t>
  </si>
  <si>
    <t>0142</t>
  </si>
  <si>
    <t>Campbellsburg</t>
  </si>
  <si>
    <t>0868</t>
  </si>
  <si>
    <t>Campbell County</t>
  </si>
  <si>
    <t>0266</t>
  </si>
  <si>
    <t>Cambridge</t>
  </si>
  <si>
    <t>0037</t>
  </si>
  <si>
    <t>Calvert City</t>
  </si>
  <si>
    <t>0264</t>
  </si>
  <si>
    <t>0141</t>
  </si>
  <si>
    <t>Calhoun</t>
  </si>
  <si>
    <t>0140</t>
  </si>
  <si>
    <t>Cadiz</t>
  </si>
  <si>
    <t>0139</t>
  </si>
  <si>
    <t>Butler</t>
  </si>
  <si>
    <t>0138</t>
  </si>
  <si>
    <t>Burnside</t>
  </si>
  <si>
    <t>0137</t>
  </si>
  <si>
    <t>Burkesville</t>
  </si>
  <si>
    <t>0136</t>
  </si>
  <si>
    <t>Burgin</t>
  </si>
  <si>
    <t>0864</t>
  </si>
  <si>
    <t>Bullitt County</t>
  </si>
  <si>
    <t>0135</t>
  </si>
  <si>
    <t>Brownsville</t>
  </si>
  <si>
    <t>1015</t>
  </si>
  <si>
    <t>Brownsboro Village</t>
  </si>
  <si>
    <t>0260</t>
  </si>
  <si>
    <t>Brownsboro Farm</t>
  </si>
  <si>
    <t>0134</t>
  </si>
  <si>
    <t>Brooksville</t>
  </si>
  <si>
    <t>0133</t>
  </si>
  <si>
    <t>Bromley</t>
  </si>
  <si>
    <t>0455</t>
  </si>
  <si>
    <t>Broeck Pointe</t>
  </si>
  <si>
    <t>0259</t>
  </si>
  <si>
    <t>Brodhead</t>
  </si>
  <si>
    <t>0256</t>
  </si>
  <si>
    <t>Briarwood</t>
  </si>
  <si>
    <t>0863</t>
  </si>
  <si>
    <t>Breckinridge County</t>
  </si>
  <si>
    <t>30</t>
  </si>
  <si>
    <t>0132</t>
  </si>
  <si>
    <t>Brandenburg</t>
  </si>
  <si>
    <t>0254</t>
  </si>
  <si>
    <t>Bradfordsville</t>
  </si>
  <si>
    <t>0004</t>
  </si>
  <si>
    <t>Bowling Green</t>
  </si>
  <si>
    <t>07</t>
  </si>
  <si>
    <t>1026</t>
  </si>
  <si>
    <t>Bonnieville</t>
  </si>
  <si>
    <t>0251</t>
  </si>
  <si>
    <t>Blue Ridge Manor</t>
  </si>
  <si>
    <t>0249</t>
  </si>
  <si>
    <t>Berry</t>
  </si>
  <si>
    <t>0036</t>
  </si>
  <si>
    <t>Berea</t>
  </si>
  <si>
    <t>$18.75 Flat</t>
  </si>
  <si>
    <t>0035</t>
  </si>
  <si>
    <t>Benton</t>
  </si>
  <si>
    <t>0248</t>
  </si>
  <si>
    <t>Bellewood</t>
  </si>
  <si>
    <t>0034</t>
  </si>
  <si>
    <t>Bellevue</t>
  </si>
  <si>
    <t>0247</t>
  </si>
  <si>
    <t>Bellemeade</t>
  </si>
  <si>
    <t>0856</t>
  </si>
  <si>
    <t>Bell County</t>
  </si>
  <si>
    <t>E</t>
  </si>
  <si>
    <t>0129</t>
  </si>
  <si>
    <t>Beechwood Village</t>
  </si>
  <si>
    <t>0244</t>
  </si>
  <si>
    <t>Bedford</t>
  </si>
  <si>
    <t>6.9%</t>
  </si>
  <si>
    <t>0033</t>
  </si>
  <si>
    <t>Beaver Dam</t>
  </si>
  <si>
    <t>0128</t>
  </si>
  <si>
    <t>Beattyville</t>
  </si>
  <si>
    <t>17</t>
  </si>
  <si>
    <t>3% or 7%</t>
  </si>
  <si>
    <t>0243</t>
  </si>
  <si>
    <t>Barlow</t>
  </si>
  <si>
    <t>19</t>
  </si>
  <si>
    <t>0127</t>
  </si>
  <si>
    <t>Bardwell</t>
  </si>
  <si>
    <t>0031</t>
  </si>
  <si>
    <t>Barbourville</t>
  </si>
  <si>
    <t>0242</t>
  </si>
  <si>
    <t>Barbourmeade</t>
  </si>
  <si>
    <t>0240</t>
  </si>
  <si>
    <t>Bancroft</t>
  </si>
  <si>
    <t>0030</t>
  </si>
  <si>
    <t>Augusta</t>
  </si>
  <si>
    <t>0126</t>
  </si>
  <si>
    <t>Audubon Park</t>
  </si>
  <si>
    <t>0125</t>
  </si>
  <si>
    <t>Auburn</t>
  </si>
  <si>
    <t>0003</t>
  </si>
  <si>
    <t>Ashland</t>
  </si>
  <si>
    <t>0239</t>
  </si>
  <si>
    <t>Arlington</t>
  </si>
  <si>
    <t>41</t>
  </si>
  <si>
    <t>0852</t>
  </si>
  <si>
    <t>Anderson County</t>
  </si>
  <si>
    <t>0124</t>
  </si>
  <si>
    <t>Anchorage</t>
  </si>
  <si>
    <t>0237</t>
  </si>
  <si>
    <t>Allen</t>
  </si>
  <si>
    <t>0123</t>
  </si>
  <si>
    <t>Alexandria</t>
  </si>
  <si>
    <t>0122</t>
  </si>
  <si>
    <t>Albany</t>
  </si>
  <si>
    <t>11</t>
  </si>
  <si>
    <t>0121</t>
  </si>
  <si>
    <t>Adairville</t>
  </si>
  <si>
    <t>27</t>
  </si>
  <si>
    <t>Fire &amp; Allied Perils</t>
  </si>
  <si>
    <r>
      <t xml:space="preserve">Jurisdiction
</t>
    </r>
    <r>
      <rPr>
        <b/>
        <sz val="10"/>
        <color indexed="8"/>
        <rFont val="Arial (W1)"/>
        <charset val="1"/>
      </rPr>
      <t xml:space="preserve"> Code</t>
    </r>
  </si>
  <si>
    <t xml:space="preserve">
All Other Risks</t>
  </si>
  <si>
    <t xml:space="preserve">
Life</t>
  </si>
  <si>
    <t xml:space="preserve">
Health</t>
  </si>
  <si>
    <t xml:space="preserve">
Inland Marine</t>
  </si>
  <si>
    <t xml:space="preserve">
Automobile</t>
  </si>
  <si>
    <t xml:space="preserve">
Casualty/ Liability </t>
  </si>
  <si>
    <t xml:space="preserve">
Tax
Code</t>
  </si>
  <si>
    <t xml:space="preserve"> 2019 - 2020  Schedule</t>
  </si>
  <si>
    <r>
      <t xml:space="preserve">Commonwealth of Kentucky
Department of Insurance
</t>
    </r>
    <r>
      <rPr>
        <b/>
        <sz val="12"/>
        <color indexed="8"/>
        <rFont val="Arial"/>
        <family val="2"/>
      </rPr>
      <t>Local Government Premium Tax Schedule</t>
    </r>
  </si>
  <si>
    <t>GN:GS</t>
  </si>
  <si>
    <t>Add state surcharges</t>
  </si>
  <si>
    <t>Page -1 of 1</t>
  </si>
  <si>
    <t>Tax Codes to be used in conjunction with Local Government Premium Tax Schedule for same tax year.</t>
  </si>
  <si>
    <t>Louisville and Jefferson County have merged as Louisville-Jefferson County Metro Government.The Louisville Urban Services District is establlished pursuant to KRS 67C.147 as a separate taxing district encompassing the previous boundaries of the former City of Louisville.</t>
  </si>
  <si>
    <t>A business license fee for the privilege of engaging in the business of Insurance within Owen County Kentucky includes all incorporated areas.</t>
  </si>
  <si>
    <t>Q</t>
  </si>
  <si>
    <t>Tax charges shall not apply to premiums paid to insurers of municipal bonds, leases, or other debt instruments issued by or on behalf of a city, county, charter county government, urban county government, consolidated local government, special district nonprofit corporation, or other political subdivision of the Commonwealth.</t>
  </si>
  <si>
    <t>This county tax has been imposed on all unincorporated areas within this county.  Since all municipalities on this master list are incorporated, this tax will not apply to them and no credit will be taken.   Additionally, the following incorporated cities that do not impose a tax are also exempted from the Kenton County premium tax: Crestview Hills, Edgewood, Fairview, Independence and Kenton Vale.</t>
  </si>
  <si>
    <t>L</t>
  </si>
  <si>
    <t>Any refund claims made by any Company submitting payments hereunder to the City of Flemingsburg shall be made no later than two (2) years from the date such payment is made to the City.</t>
  </si>
  <si>
    <t>The City of Park Lake has been annexed into the City of Crestwood and will become a part of the City of Crestwood, Oldham County, Kentucky.  The City of Park Lake is no longer a municipal corporation.</t>
  </si>
  <si>
    <t>The cities of Cherrywood Village, Fairmeade, Plymouth Village and Springlee were incorporated into the city of St. Matthews.</t>
  </si>
  <si>
    <t>The cities of Keeneland and Whipps Millgate have been incorporated into the city of Lyndon.  Also the city of Crescent Park has merged into the city of Fort Mitchell.</t>
  </si>
  <si>
    <t>Tax charge shall not apply to any policy purchased by the city or any emergency service organization.</t>
  </si>
  <si>
    <t>This city exempts all administrative agencies of that city.</t>
  </si>
  <si>
    <t>This county tax has been imposed on all unincorporated areas within this county.  Since all municipalities on this master list are incorporated, this tax will not apply to them.  This county tax was implemented prior to July 13, 1990; therefore,  insurance companies may not take the city credits pursuant to KRS 91A:080 7/13/90.</t>
  </si>
  <si>
    <t>This is an Urban County Government, which combines the city of Lexington and the county of Fayette into one government.  This means that there is only one (1) tax payable to the Lexington-Fayette Urban County Government.  Livestock and war risk are excluded from the local government premium tax in this county.</t>
  </si>
  <si>
    <t>County means all incorporated and unincorporated areas of Pulaski County, except the incorporated areas of the cities of Somerset, and Burnside.</t>
  </si>
  <si>
    <t>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t>
  </si>
  <si>
    <t>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t>
  </si>
  <si>
    <t>Tax is imposed only on unincorporated areas of the County.</t>
  </si>
  <si>
    <t>Tax charge shall not apply to: (A) Premiums recieved for insuring employees against liability for personal injuries to their employees, or the death of their employees, caused thereby, under provisions of the Workers' Compensation Act.  (B) Premiums for policies of health insurance. (C) Premiums for extended care policies. (D) Premiums for annuities. (E) Premiums for federal flood insurance. (F) Premiums for surety or preformance bonds.  (G) Premiums for crop hail insurance. (H) Premiums for non-lincensed farm equipment insurance.  (I) Premiums for cargo or product liability insurance.  (J) Premiums for malpractice (all types) insurance.  (K) Premiums for life insurance.  (L) Premiums for general liability insurance for umbrella and excess liablility policy required to obtain licenses and permits to do interstate and intrastate transit of freight. (M) Premiums for property and risk insurance for property owned by the county, city, churches, parsonages, school and fire departments.</t>
  </si>
  <si>
    <t>This tax has a sunset date of December 31, 2018.  On that date the tax will be repealed.</t>
  </si>
  <si>
    <t>49</t>
  </si>
  <si>
    <t>Tax charge shall not apply to policies insuring churches and other religious organizations or any property, both real and personal, owned exclusively by a church or religious organization.</t>
  </si>
  <si>
    <t>Policies of group health insurance provided for City of Hodgenville employees are exempt.</t>
  </si>
  <si>
    <t>The credit for the city of Milton taxes against Trimble County taxes shall not apply to health insurance.</t>
  </si>
  <si>
    <t>46</t>
  </si>
  <si>
    <t>There is hereby imposed a minimum tax of five dollars per policy, regardless of the amount of premium paid, on all life insurance policies. The five dollar minimum tax shall only apply to life insurance policies.</t>
  </si>
  <si>
    <t>45</t>
  </si>
  <si>
    <t>12% rate will revert to a 10% rate on July 1, 2021.</t>
  </si>
  <si>
    <t>No license fee or tax imposed upon premium receipts shall apply to the following: health insurance, life insurance, crop insurance, vehicles licensed at 38,000 lbs. or greater; provided only those premiums attributed to such vehicles are hereby exempted; any and all insurance policies paid by any volunteer fire department; any and all insurance policies paid by Green County Fiscal Court.</t>
  </si>
  <si>
    <t>43</t>
  </si>
  <si>
    <t>Excludes premiums received for: extended care policies, premiums for crop hail insurance, premiums for non-licensed farm equipment insurance, premiums for cargo or product liability insurance, premiums for malpractice insurance (all types), premiums for general liability insurance for umbrella and excess liability policy required to obtain licenses and permits to do interstate and intrastate transit of freight; and premiums for property and risk insurance for property owned by the county, city, churches, personages, schools, and fire departments.</t>
  </si>
  <si>
    <t>There is imposed upon each company issuing life insurance within the corporate limits of the city, a minimum fee of $25 when the percentage fees are less than $100.</t>
  </si>
  <si>
    <t>Excludes any license fee or tax imposed upon premium receipts for property used exclusively for religious, educational or charitable purposes.</t>
  </si>
  <si>
    <t>Any license fee or tax imposed upon premium receipts shall not include premiums received from churches or religious organizations.</t>
  </si>
  <si>
    <t>Fleming County premium tax shall not apply to the following: (1) premiums for non-licensed farm equipment insurance; (2)  premiums for cargo or product liability insurance; (3) premiums for physician malpractice; (4) premiums for general liabilty insurance to companies and / or businesses with five or more full time employees who work at least forty hours per week; (5) premiums for general liability insurance for umbrella and excess liability policies required to obtain licenses and permits to do interstate and intrastate transit of freight; (6) premiums for property and risk insurance for property owned by the county, city, churches, parsonages, schools and fire departments.</t>
  </si>
  <si>
    <t>This tax shall not apply to premiums received on non-licensed farm equipment and agricultural related endorsements.</t>
  </si>
  <si>
    <t>35</t>
  </si>
  <si>
    <t>Tax charge shall not include premiums received for insuring the city of Radcliff against any or all liability insurance for city owned property or vehicles.</t>
  </si>
  <si>
    <t>The city of Millersburg $5.00 minimum fee shall refer to life only.</t>
  </si>
  <si>
    <t>Tax charge includes all incorporated and unincorporated areas of the county except for the incorporated area of Maysville.</t>
  </si>
  <si>
    <t>This county exempts crop insurance.</t>
  </si>
  <si>
    <t>Tax charge shall not apply to buildings used exclusively for public worship.</t>
  </si>
  <si>
    <t>Tax charge shall not apply to the city, its officers, agents, or employees while acting in official capacity.</t>
  </si>
  <si>
    <t>Tax charge shall not apply to property used exclusively for religious, educational, or charitable purposes, or property owned by the city.  Indivisible premiums (see tax code "15").</t>
  </si>
  <si>
    <t>This city imposes a $5.00 per policy minimum tax due quarterly.</t>
  </si>
  <si>
    <t>Tax charge shall not include premiums paid on property or risks owned by any  federal, state, county, or municipal government, or any agency thereof; premiums paid on property or risks owned by any bona fide religious denomination or sect, or any nationally recognized charitable organization; any and all bonds or fiduciary, surety, or indemnity nature.</t>
  </si>
  <si>
    <t>Tax charge shall not apply to premiums collected from all accredited schools and all organized religious organizations; i.e. churches, synagogues, and places where worship services are held on a regular basis; nor premiums paid to any state employee benefit fund created pursuant to KRS Chapter 18A.</t>
  </si>
  <si>
    <t>This county tax has been imposed on all unincorporated areas within this county.  Since all municipalities on the master list are incorporated, this tax will not apply to them.</t>
  </si>
  <si>
    <t>Tax charge shall not apply on policies of group health insurance.</t>
  </si>
  <si>
    <t>21</t>
  </si>
  <si>
    <t>Tax charge for automobile shall be 3% on private automobiles of natural persons residing within the corporate limits and 10% on automobile insurance not on private automobiles of natural persons.  Tax charge shall not apply to medical malpractice for any resident or group; bonds; property used exclusively for religious or charitable purposes; or federal, state, county, or municipal governments.</t>
  </si>
  <si>
    <t>Tax charge shall be 7% for non-commercial and 3% for commercial insurance.  Tax charge shall not apply to insurance for cargo and product liability.</t>
  </si>
  <si>
    <t>Tax charge shall not apply to policies issued to governmental units and policies insuring the main location of all organized charities.</t>
  </si>
  <si>
    <t>18</t>
  </si>
  <si>
    <t>Tax charge shall not apply to doctors malpractice insurance.</t>
  </si>
  <si>
    <t>Tax charge shall not apply to property used exclusively for religious, educational or charitable purposes.</t>
  </si>
  <si>
    <t>Indivisible premiums.  Indivisible premium multiple-line policies consist mainly of homeowners and farm owners policies.  Other multiple-line policies have divisible premiums and the appropriate tax for the various lines of insurance is applicable separately.  Since KRS 91A.080 requires a breakdown of all collections by category, indivisible premium multiple-line policies must be broken down giving a weight of two-thirds of the premium to the fire provision and one-third of the premium to the casualty provision before determining the tax.</t>
  </si>
  <si>
    <t>Tax charge shall not apply to churches.</t>
  </si>
  <si>
    <t>Tax charge shall not apply to crop insurance.</t>
  </si>
  <si>
    <t>Tax charge shall not apply to properties used or owned by any religious organization.</t>
  </si>
  <si>
    <t>Tax charge shall not apply to bonds; religious sects; nationally recognized charitable organizations; or on property owned by federal, state, county, or municipal governments.  The Magoffin County rescue squad shall be exempt from paying municipal insurance premium tax.</t>
  </si>
  <si>
    <t>Tax charge shall not apply to property used exclusively for religious, educational purposes, whether public, church, or private.</t>
  </si>
  <si>
    <t>Tax charge shall not apply to property used exclusively for religious, educational, or charitable purposes.  Indivisible premiums (see tax code "15").</t>
  </si>
  <si>
    <t>Multiple-line insurance policies, with indivisible premium, are taxed at the rate of 5.5%.  Indivisible premiums (see tax code "15").</t>
  </si>
  <si>
    <t>Tax charge shall not apply to insurance purchased by the city.</t>
  </si>
  <si>
    <t>Tax charge shall not apply to churches, public school district properties, or properties used exclusively for religious, educational or charitable purposes.</t>
  </si>
  <si>
    <t>Tax charge shall not apply to county or county boards' coverage, or municipal and rural cooperative electric utility operations.</t>
  </si>
  <si>
    <t>Tax charge shall not include premiums paid on property or risks owned by the city; structures actually used as churches, places of worship or parsonages; all high schools and elementary schools whether public, church or private.</t>
  </si>
  <si>
    <t>Tax charge shall not apply to crop-hail, flood, bonds, or insurance purchased by the city.</t>
  </si>
  <si>
    <t>Tax charge shall not apply to schools, churches, public buildings, nor burial associations for burial service.</t>
  </si>
  <si>
    <t>Tax Code Description</t>
  </si>
  <si>
    <t>Tax Code</t>
  </si>
  <si>
    <t>KY Local Govt Tax Sched</t>
  </si>
  <si>
    <t>KY Taxcodes</t>
  </si>
  <si>
    <t>New Tab regarding state surcharges in KY http://insurance.ky.gov/PPC/docs.aspx?Div_id=13</t>
  </si>
  <si>
    <t>KY Jurisdiction</t>
  </si>
  <si>
    <t>Notes regarding KY Jurisdiction Tax</t>
  </si>
  <si>
    <t>265:277</t>
  </si>
  <si>
    <t>State Surcharge calculations and premium including surcharges</t>
  </si>
  <si>
    <t>Full Term Premium</t>
  </si>
  <si>
    <t>Min Surcharge</t>
  </si>
  <si>
    <t>Taxing Jurisdiction</t>
  </si>
  <si>
    <t>**Tabled municipal rates for Kentucky can be found at link below.  File Name is Local Government Premium Tax Schedule: http://insurance.ky.gov/PPC/docs.aspx?Div_id=13</t>
  </si>
  <si>
    <t>http://insurance.ky.gov/PPC/docs.aspx?Div_id=13</t>
  </si>
  <si>
    <t>State Surcharge Applies?</t>
  </si>
  <si>
    <t>Annual Prem</t>
  </si>
  <si>
    <t>BB93; BC94</t>
  </si>
  <si>
    <t>Fix formula to read assumed ILF for NJ linear interpolation to work</t>
  </si>
  <si>
    <t xml:space="preserve">Added in min/max for Experience Rating Factor  data validation in case of using Refer to Company </t>
  </si>
  <si>
    <t>Fix Experience Rating for PA and CA exceptions; Added conditional formatting for Experience Rating and Aggregate deductibles; Fix ILF calculation for NJ; Added term multiplication for non-annual terms. Added state specific surcharge calculcations</t>
  </si>
  <si>
    <t>Zurich Lawyers</t>
  </si>
  <si>
    <t>Proposed</t>
  </si>
  <si>
    <t>Couch Program</t>
  </si>
  <si>
    <t>Prior Acts Step Factor</t>
  </si>
  <si>
    <t>Yrs in Practice Factor</t>
  </si>
  <si>
    <t>ILF Adjustment</t>
  </si>
  <si>
    <t>C N A</t>
  </si>
  <si>
    <t>Rater version 1.12</t>
  </si>
  <si>
    <t>1.12</t>
  </si>
  <si>
    <t>Change Rate_Count field to be ratable lawyers, not actual lawyer count; state surcharges at cents level</t>
  </si>
  <si>
    <t>Update formatting to $0.00 to show cents for state surcharge</t>
  </si>
  <si>
    <t>H267:H273; E276:E277</t>
  </si>
  <si>
    <t>Update rate filing status as of 9/27/2019</t>
  </si>
  <si>
    <t>Number of Ratable Attorneys</t>
  </si>
  <si>
    <t>C161:F161</t>
  </si>
  <si>
    <t>Update conditional formatting when writing format is surplus</t>
  </si>
  <si>
    <t>G161:H161</t>
  </si>
  <si>
    <t>Add in ratable attorney count; change named range "Rate_Count" to be ratable attorney count</t>
  </si>
  <si>
    <t>E166</t>
  </si>
  <si>
    <t>Simplify Prem calculation</t>
  </si>
  <si>
    <t>1.13</t>
  </si>
  <si>
    <t>Rater version 1.13</t>
  </si>
  <si>
    <t>Average Base rate for filed sates</t>
  </si>
  <si>
    <t>no filing required</t>
  </si>
  <si>
    <t>rate filings are exempt</t>
  </si>
  <si>
    <t>Notes</t>
  </si>
  <si>
    <t>Added cells EF24:EW25</t>
  </si>
  <si>
    <t>Shift down cells</t>
  </si>
  <si>
    <t>Separate line items for loss control IRM sub-modifiers for NY</t>
  </si>
  <si>
    <t>EF24:EF25; EL24:EL25</t>
  </si>
  <si>
    <t>Add rows 193:194</t>
  </si>
  <si>
    <t>Add new lines for separate IRM sub-modifiers for NY loss control</t>
  </si>
  <si>
    <t>L190</t>
  </si>
  <si>
    <t>Update formula to include rows 193:194</t>
  </si>
  <si>
    <t>Module 1 Macro</t>
  </si>
  <si>
    <t>HURowsIRM()</t>
  </si>
  <si>
    <t>Update macro to accommodate 2 additional rows of IRMs</t>
  </si>
  <si>
    <t>K60:K159</t>
  </si>
  <si>
    <t>Update part time factor to default to min value</t>
  </si>
  <si>
    <t>Rate_PriorActs</t>
  </si>
  <si>
    <t>T162</t>
  </si>
  <si>
    <t xml:space="preserve">Prior acts factor calculated based on named range Rate_CountTotal, not Rate_Count </t>
  </si>
  <si>
    <t xml:space="preserve">Size of firm calculated based on named range Rate_CountTotal, not Rate_Count </t>
  </si>
  <si>
    <t>Phase 3</t>
  </si>
  <si>
    <t xml:space="preserve">Experience Rating Table A factor calculated based on named range Rate_CountTotal, not Rate_Count </t>
  </si>
  <si>
    <t>D6:D128</t>
  </si>
  <si>
    <t>Added in Base Rates for Phase 3 states</t>
  </si>
  <si>
    <t>Default Prior acts date to policy retro date instead of hard-coded 1/1/2000 date</t>
  </si>
  <si>
    <t>Rate_CountTotal</t>
  </si>
  <si>
    <t>Adjust formula so that when writing approach = Surplus, Rate_CountTotal=Rate_Count</t>
  </si>
  <si>
    <t>Phase 3 Base Rates; Separate loss control IRM Sub-modifiers for NY; Prior acts, size of firm and experience rating based on actual attorney count, not ratable attorney count</t>
  </si>
  <si>
    <t>Rater version 1.14</t>
  </si>
  <si>
    <t>1.14</t>
  </si>
  <si>
    <t>Set all AOP defaults to be same standard formula (remove accidental hardcoded figures and adjustment for VA filing)</t>
  </si>
  <si>
    <t>F22:F45; L22:L45</t>
  </si>
  <si>
    <t>Remove conditional formatting for VA filing</t>
  </si>
  <si>
    <t xml:space="preserve">Oregon has a requirement that law firms insure up to a certain limit in their state Bar program. As such won’t be writing primary there. </t>
  </si>
  <si>
    <t>U174</t>
  </si>
  <si>
    <t>NY Min Prem of $2,500 only applies when info_st="NY"</t>
  </si>
  <si>
    <t>Adjust formula so that Part time discount doesn't apply when Rate_CountTotal=1</t>
  </si>
  <si>
    <t>AOP minor fixes; Fix NY $2,500 min prem to only apply when info_st="NY"; Block application of part time discount for sole practitioner</t>
  </si>
  <si>
    <t>Rater version 1.15</t>
  </si>
  <si>
    <t>E9:E10</t>
  </si>
  <si>
    <t>Remove comments that policy limits can only go up to $15M (rate filing allows extrapolation)</t>
  </si>
  <si>
    <t>L44</t>
  </si>
  <si>
    <t>Add comment regarding no intent to file in OR</t>
  </si>
  <si>
    <t>Not To Be Filed</t>
  </si>
  <si>
    <t>X10:Y10</t>
  </si>
  <si>
    <t>Add in rate filing status "Not to be filed"</t>
  </si>
  <si>
    <t>Update rate filing status as of 10/25/19</t>
  </si>
  <si>
    <t>CK30:CL37</t>
  </si>
  <si>
    <t>For AL, AZ, DC,NV, NM, SC, SD, WY, add in AOP table options</t>
  </si>
  <si>
    <t>DH31:DI38</t>
  </si>
  <si>
    <t>For AL, AZ, DC,NV, NM, SC, SD, WY, add in size of firm options</t>
  </si>
  <si>
    <t>DV30:DX37</t>
  </si>
  <si>
    <t>For AL, AZ, DC,NV, NM, SC, SD, WY, add in part time lawyers options</t>
  </si>
  <si>
    <t>EA32:ED39</t>
  </si>
  <si>
    <t>For AL, AZ, DC,NV, NM, SC, SD, WY, add in IRM table and max IRM values</t>
  </si>
  <si>
    <t>ES7:ET33</t>
  </si>
  <si>
    <t>Fill in sub-modifier min/max values on a non-admitted basis</t>
  </si>
  <si>
    <t>M175:N202</t>
  </si>
  <si>
    <t>R172:S172</t>
  </si>
  <si>
    <t>R173:S173</t>
  </si>
  <si>
    <t>Select IRM labels/submodifiers based on state only (not based on writing approach)</t>
  </si>
  <si>
    <t>Select IRM min/max values based on writing approach and then state</t>
  </si>
  <si>
    <t>Select IRM min/max values based on Rater tab cell S173</t>
  </si>
  <si>
    <t>Update rate filing status, add factors for 8 additional states, IRM labels/submodifiers based only on state (but values based on writing approach and state)</t>
  </si>
  <si>
    <t>Rater version 1.16</t>
  </si>
  <si>
    <t>K244</t>
  </si>
  <si>
    <t>For Experience rating table B, set min average # of yrs since claim to 1 so that there is no error when value is less than 0.5 years</t>
  </si>
  <si>
    <t>CK38:CL39</t>
  </si>
  <si>
    <t>Add in AOP tables for HI and NE</t>
  </si>
  <si>
    <t>DH39:DI40</t>
  </si>
  <si>
    <t>Add in Size of Firm tables for HI and NE</t>
  </si>
  <si>
    <t>DV38:DX39</t>
  </si>
  <si>
    <t>Add in Part Time Lawyers tables for HI and NE</t>
  </si>
  <si>
    <t>EA40:ED41</t>
  </si>
  <si>
    <t>Set up IRM for HI and NE (both states do NOT allow schedule rating)</t>
  </si>
  <si>
    <t>IRM Table G</t>
  </si>
  <si>
    <t>Add columns for IRM Table G (no schedule rating)</t>
  </si>
  <si>
    <t>Atty 11</t>
  </si>
  <si>
    <t>M175:Q202</t>
  </si>
  <si>
    <t>Update ranges to extend to column EZ for IRM table G</t>
  </si>
  <si>
    <t>EX:EZ</t>
  </si>
  <si>
    <t>S10</t>
  </si>
  <si>
    <t>AC10</t>
  </si>
  <si>
    <t>AZ10</t>
  </si>
  <si>
    <t>Fix to ILF calculations choosing Lower Bound for interpolation</t>
  </si>
  <si>
    <t>Fix to ILF calculations choosing Lower Bound for interpolation (NY state only)</t>
  </si>
  <si>
    <t>Fix to ILF calculations choosing Lower Bound for interpolation (NJ state only)</t>
  </si>
  <si>
    <t>Update rate filing status, add factors for 2 additional states where schedule rating is not allowed, fix ILF calculations for lower bound for linear interpolation</t>
  </si>
  <si>
    <t>Rater version 1.17</t>
  </si>
  <si>
    <t>Table F</t>
  </si>
  <si>
    <t>DC:DE</t>
  </si>
  <si>
    <t>EF32:EG35</t>
  </si>
  <si>
    <t>Max IRM is set to +-25% for AL, AZ, DC, NV</t>
  </si>
  <si>
    <t>EF37:EG38</t>
  </si>
  <si>
    <t>Max IRM is set to +-25% for SC, SD</t>
  </si>
  <si>
    <t>Coverage</t>
  </si>
  <si>
    <t>Renewal Premium</t>
  </si>
  <si>
    <t>Expiring Premium</t>
  </si>
  <si>
    <t>Adjusted Expiring Monitored Premium</t>
  </si>
  <si>
    <t>Renewal Monitored Premium</t>
  </si>
  <si>
    <t>Renewal Rate Change</t>
  </si>
  <si>
    <t>Expiring</t>
  </si>
  <si>
    <t>Term Factor</t>
  </si>
  <si>
    <t>LPL</t>
  </si>
  <si>
    <t>Rate Change</t>
  </si>
  <si>
    <t>new tab</t>
  </si>
  <si>
    <t>New tab to calculate rate change for renewal policies</t>
  </si>
  <si>
    <t>Optional Title Insurance Agency Coverage</t>
  </si>
  <si>
    <t>A flat charge of $ 500.00 per Title Insurance Agency will be charged to add a title insurance agency as an Additional Insured under the policy, provided that such title insurance agency is wholly owned and operated by the Named Insured.</t>
  </si>
  <si>
    <t>Title Insurance Agency</t>
  </si>
  <si>
    <t>Premium per agency</t>
  </si>
  <si>
    <t>States with TIA in manual</t>
  </si>
  <si>
    <t>GG:GH</t>
  </si>
  <si>
    <t>Add columns for Title Insurance Agency options</t>
  </si>
  <si>
    <t>Coverage allowed in rating state?</t>
  </si>
  <si>
    <t>Title Insurance Agency Charge</t>
  </si>
  <si>
    <t>Rows 262:270</t>
  </si>
  <si>
    <t>Add rows to allow premium for Title Insurance Agency option</t>
  </si>
  <si>
    <t>BB104</t>
  </si>
  <si>
    <t>Expiring Policy Inputs</t>
  </si>
  <si>
    <t>Separate Claims Expense Limit</t>
  </si>
  <si>
    <t>ILF</t>
  </si>
  <si>
    <t>ILF Calculation for Expiring Policy</t>
  </si>
  <si>
    <t>LPL Rate Change</t>
  </si>
  <si>
    <t>Gross Number of Lawyers</t>
  </si>
  <si>
    <t>Ratable Number of Lawyers</t>
  </si>
  <si>
    <t>Aggregate Deductible Factor</t>
  </si>
  <si>
    <t>Title Insurance Agencies Count</t>
  </si>
  <si>
    <t>G161</t>
  </si>
  <si>
    <t>Remove comment for non-admitted writing approach</t>
  </si>
  <si>
    <t>C161:J163</t>
  </si>
  <si>
    <t>Update conditional formatting for non-admitted writing approach</t>
  </si>
  <si>
    <t>C161:G161</t>
  </si>
  <si>
    <t>Update formulas to count full time and part time lawyers for non-admitted writing approach</t>
  </si>
  <si>
    <t>For NJ, Claims Expense Inside of Limits only permitted for Limits of $2M or greater.  Claims Expense in Addition to Limits only permitted for limits less than $2M.</t>
  </si>
  <si>
    <t>Clarified NJ ILF requirement surrounding CEIL and CEOL</t>
  </si>
  <si>
    <t xml:space="preserve">No - Excel specific </t>
  </si>
  <si>
    <t>Underwriter Comments on Title Insurance Agencies</t>
  </si>
  <si>
    <t>Options</t>
  </si>
  <si>
    <t>&lt;9 hours/week</t>
  </si>
  <si>
    <t>DX5:DX8</t>
  </si>
  <si>
    <t>Added new dropdown list for part-time lawyers to include option for those lawyers working &lt;9 hours per week</t>
  </si>
  <si>
    <t>H60:H159</t>
  </si>
  <si>
    <t>Update validation for part-time lawyers dropdown</t>
  </si>
  <si>
    <t>DY40:EB42</t>
  </si>
  <si>
    <t>Add part-time options for DE, MA, NE, including option for lawyers working &lt;9 hours per week</t>
  </si>
  <si>
    <t>EB6:EB39</t>
  </si>
  <si>
    <t>lawyers working &lt;9 hours per week set equal to min part time factor until update to rate filings</t>
  </si>
  <si>
    <t>CL30:CL33; CL35:CL36; CL41:CL43</t>
  </si>
  <si>
    <t>CK41:CL42</t>
  </si>
  <si>
    <t>Add AOP tables for DE and MA</t>
  </si>
  <si>
    <t>DK41:DL42</t>
  </si>
  <si>
    <t>Add Size of Firm tables for DE and MA</t>
  </si>
  <si>
    <t>ED42:EG43</t>
  </si>
  <si>
    <t>Add IRM tables for DE and MA</t>
  </si>
  <si>
    <t>H59</t>
  </si>
  <si>
    <t>Update note regarding part time lawyers</t>
  </si>
  <si>
    <t>S60:S159</t>
  </si>
  <si>
    <t>Update part time lawyer count to include lawyers working &lt;9 hrs/week</t>
  </si>
  <si>
    <t>Should be in GW R3A.1</t>
  </si>
  <si>
    <t>C163</t>
  </si>
  <si>
    <t>Update rate filing status as of 12/13/2019</t>
  </si>
  <si>
    <t>Add rate change calculations; add title insurance agency option; clarification for NJ ILFs; split out full-time and part-time count inputs on non-admitted basis; add functionality for lawyers working &lt;9 hrs/week</t>
  </si>
  <si>
    <t>Rater version 1.18</t>
  </si>
  <si>
    <t>BB93</t>
  </si>
  <si>
    <t>Block NJ ILFs from selecting CEIL for between $1M and $2M limits</t>
  </si>
  <si>
    <t>BB112</t>
  </si>
  <si>
    <t>Add NJ Agg 2x factor for linear interpolations</t>
  </si>
  <si>
    <t>L199</t>
  </si>
  <si>
    <t>Fix  IRM Unique conditions of exposure to include NY submodifier in modifier subtotal</t>
  </si>
  <si>
    <t>S162</t>
  </si>
  <si>
    <t>Update Size of firm formula to not be dependent on writing approach</t>
  </si>
  <si>
    <t>DK6:DL6</t>
  </si>
  <si>
    <t>Remove surplus size of firm selection</t>
  </si>
  <si>
    <t>BU66:BW73</t>
  </si>
  <si>
    <t>BU58:BW62</t>
  </si>
  <si>
    <t>Add extension for NY deductible table based on CW decay rate</t>
  </si>
  <si>
    <t>Add extension for NY deductible table dependent on info_internal</t>
  </si>
  <si>
    <t>Row for Deduc LB</t>
  </si>
  <si>
    <t>Row for Deduc UB</t>
  </si>
  <si>
    <t>LB Deduc</t>
  </si>
  <si>
    <t>UB Deduc</t>
  </si>
  <si>
    <t>R16:R16; T16:T17; AB16:AB17; AD16:AD17; AL16:AL17; AN16:AN17</t>
  </si>
  <si>
    <t>Update labels for deductible interpolation</t>
  </si>
  <si>
    <t>AC16:AC17; AE16:AE17; AG16:AG17</t>
  </si>
  <si>
    <t>Update vlookups to accommodate longer NY deductible table</t>
  </si>
  <si>
    <t>NY Basic Limit Prem:</t>
  </si>
  <si>
    <t>NY Basic Limit ILF ($100k/$300k xs $1k deduc)</t>
  </si>
  <si>
    <t>T172:X172</t>
  </si>
  <si>
    <t>T173:X173</t>
  </si>
  <si>
    <t>Add Calculation for NY Basic Limit ILF ($100k/$300k limits xs of $1k deductible)</t>
  </si>
  <si>
    <t>Add Calculation for NY Basic Limit Premium (Rate_Subtot/Rate_ILF*Basic Limit ILF)</t>
  </si>
  <si>
    <t>R174:X174</t>
  </si>
  <si>
    <t xml:space="preserve">Revise formula to check NY Basic Limit Prem and Realign NY basic limit premium check </t>
  </si>
  <si>
    <t>In NY, Premium For Insured at Basic Limits must exceed $2,500 for IRMs and Experience Rating to apply.</t>
  </si>
  <si>
    <t>R175</t>
  </si>
  <si>
    <t>Add clarification to note that in NY, IRMs and Experience Rating only apply if premium hits threshold at basic limits</t>
  </si>
  <si>
    <t>Exper Rating</t>
  </si>
  <si>
    <t>V245</t>
  </si>
  <si>
    <t>Fix formula to check in NY IRMs and Experience Rating don't combine to a factor over +-25%</t>
  </si>
  <si>
    <t>Experience Rating Refer to Company?</t>
  </si>
  <si>
    <t>IRM/Experience Rating Cap for NY:</t>
  </si>
  <si>
    <t>E274</t>
  </si>
  <si>
    <t>Update premium calculation to include title agencies</t>
  </si>
  <si>
    <t>Cas/Liab</t>
  </si>
  <si>
    <t>U:V</t>
  </si>
  <si>
    <t>Fix calculations for KY surcharges</t>
  </si>
  <si>
    <t>Update Part time lawyer count to only include where Part time = yes</t>
  </si>
  <si>
    <t>Move "Years with firm calculation to column U</t>
  </si>
  <si>
    <t>Add count of lawyers working &lt;9 hrs / week</t>
  </si>
  <si>
    <t>C164:C165</t>
  </si>
  <si>
    <t>Add count of lawyers working &lt;9 hrs / week and named range Rate_CountNW</t>
  </si>
  <si>
    <t>Update Ratable lawyer count to use state min part time factor for part-time lawyers on non-admitted basis; add calculation of lawyers working &lt;9 hrs/week</t>
  </si>
  <si>
    <t>C161</t>
  </si>
  <si>
    <t>Add count of lawyers working &lt;9 hrs / week to gross lawyer count</t>
  </si>
  <si>
    <t>Add column CJ</t>
  </si>
  <si>
    <t>AOP lookup fix</t>
  </si>
  <si>
    <t>H22:I45; N22:045</t>
  </si>
  <si>
    <t>Update AOP factor lookups to also include column CJ</t>
  </si>
  <si>
    <t>County means all incorporated and unincorporated areas of Pulaski County, except the incorporated areas of the cities of Somerset, and Burnside. 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t>
  </si>
  <si>
    <t>W</t>
  </si>
  <si>
    <t>Manual fixes for Tax code descriptions where multiple rules apply</t>
  </si>
  <si>
    <t xml:space="preserve">Fix NJ ILFs; Extend NY deductible table for Refer to Company ; Add title insurance agencys to premium calculation; Fix KY surcharge calculations; Size of firm calculations are not specific to writing approach; Add calculation of NY "Basic Limit Premium" </t>
  </si>
  <si>
    <t>Update rate filing status as of 12/23/2019</t>
  </si>
  <si>
    <t>Rater version 1.19</t>
  </si>
  <si>
    <t>Standard</t>
  </si>
  <si>
    <t>NY Basic Limits</t>
  </si>
  <si>
    <t>For Validation</t>
  </si>
  <si>
    <t>FY34:GB37</t>
  </si>
  <si>
    <t>Update data validation for Experience Rating such that if NY Basic Limit Premium not met, then Exper Mod must be 1</t>
  </si>
  <si>
    <t>F247 (Data Validation ONLY)</t>
  </si>
  <si>
    <t>Update data validation MESSAGE  such that if NY Basic Limit Premium not met, then Exper Mod must be 1</t>
  </si>
  <si>
    <t>Basic Limit Prem (for NY)</t>
  </si>
  <si>
    <t>F170:H170</t>
  </si>
  <si>
    <t>Show Basic Limit Prem value (with conditional formatting dependent on state)</t>
  </si>
  <si>
    <t>Move K206 --&gt; J207</t>
  </si>
  <si>
    <t>Move comment regarding NY experience rating and IRMs</t>
  </si>
  <si>
    <t>M205:N205</t>
  </si>
  <si>
    <t>Add additional IRM restrictions for NY specifically</t>
  </si>
  <si>
    <t>L205</t>
  </si>
  <si>
    <t>Change IRM min and max to also consider NY restrictions</t>
  </si>
  <si>
    <t>M204:N204</t>
  </si>
  <si>
    <t>Update formatting to white text to hide prelim IRM restrictions</t>
  </si>
  <si>
    <t>.</t>
  </si>
  <si>
    <t>Add NY specific restrictions around IRMs and Experience rating</t>
  </si>
  <si>
    <t>Rater version 1.20</t>
  </si>
  <si>
    <t>EK27:El28</t>
  </si>
  <si>
    <t>Update IRM Date/Calendar control systems to +-25% for California (table A) per approved rate filing</t>
  </si>
  <si>
    <t>M214:M238</t>
  </si>
  <si>
    <t>State surcharges not paid by insurance carrier for surplus lines, so formula checks writing approach=admitted</t>
  </si>
  <si>
    <t>CM23</t>
  </si>
  <si>
    <t>Update AOP table for NY to Table B per state regulation</t>
  </si>
  <si>
    <t>Add column GF</t>
  </si>
  <si>
    <t>Add different ERP values for NY only</t>
  </si>
  <si>
    <t>GJ9:GJ12</t>
  </si>
  <si>
    <t>CL43:CM45</t>
  </si>
  <si>
    <t>NY, RI, ME, NC filed with title insurance agency option</t>
  </si>
  <si>
    <t>RI, ME, NC AOP factors added</t>
  </si>
  <si>
    <t>DL43:DM45</t>
  </si>
  <si>
    <t>RI, ME, NC Size of firm factors added</t>
  </si>
  <si>
    <t>DZ43:EC45</t>
  </si>
  <si>
    <t>RI, ME, NC Part time lawyers factors added</t>
  </si>
  <si>
    <t>EE44:EH46</t>
  </si>
  <si>
    <t>RI, ME, NC IRM factors added</t>
  </si>
  <si>
    <t>Endorsement Factor</t>
  </si>
  <si>
    <t>Add Endorsement factor</t>
  </si>
  <si>
    <t>Add columns GI:GO</t>
  </si>
  <si>
    <t>No Restrictive or Expansive Endorsement(s)</t>
  </si>
  <si>
    <t>Restrictive Endorsement(s)</t>
  </si>
  <si>
    <t>Expansive Endorsement(s)</t>
  </si>
  <si>
    <t>Very Restrictive Endorsement(s)</t>
  </si>
  <si>
    <t>Very Expansive Endorsement(s)</t>
  </si>
  <si>
    <t>Overall Coverage Modification</t>
  </si>
  <si>
    <t>States with Endorsement Factor</t>
  </si>
  <si>
    <t>Optional Endorsement Factor</t>
  </si>
  <si>
    <t>Underwriter Comments on Endorsements that Restrict or Expand Coverage</t>
  </si>
  <si>
    <t>Add rows 262:273</t>
  </si>
  <si>
    <t>Q290:Q98</t>
  </si>
  <si>
    <t>Add Endorsement factor and named range "Rate_Endorse"</t>
  </si>
  <si>
    <t>E286</t>
  </si>
  <si>
    <t>Update Final Premium formula to include "Rate_Endorse</t>
  </si>
  <si>
    <t>Set AL, AZ, DC, NV, SC, SD to AOP Table F</t>
  </si>
  <si>
    <t>Add columns for AOP Table F</t>
  </si>
  <si>
    <t xml:space="preserve">Update Experience rating formula for "final exclude" so that the check for claims within 5 years excludes leap dates </t>
  </si>
  <si>
    <t>FY17</t>
  </si>
  <si>
    <t>NC doesn't allow Refer to company for experience rating</t>
  </si>
  <si>
    <t>FG83</t>
  </si>
  <si>
    <t>Add NC to list of states that doesn't allow refer to company in experience ratingchecks</t>
  </si>
  <si>
    <t>H291:H297</t>
  </si>
  <si>
    <t>T/F/S are rounded to 2 decimal places at each surcharge level, and ignore errors</t>
  </si>
  <si>
    <t>Minor update to CA IRM min/max; tweak to Experience rating calculation of 5 years; Updates to tables per NY and NC filings; Add to tables for additional state filings; Add endorsement factor calculation; Tweaks for T/F/S calculations</t>
  </si>
  <si>
    <t>FG84</t>
  </si>
  <si>
    <t>MT doesn't allow Refer to company for experience rating</t>
  </si>
  <si>
    <t>Add MT to list of states that doesn't allow refer to company in experience ratingchecks</t>
  </si>
  <si>
    <t>FY18</t>
  </si>
  <si>
    <t>S242</t>
  </si>
  <si>
    <t>S244</t>
  </si>
  <si>
    <t>Fix formula that checks if the state allows refer to company for large claims</t>
  </si>
  <si>
    <t>Add AOP factors for CT, NH, VT, WV, MT, OK</t>
  </si>
  <si>
    <t>CL46:CM51</t>
  </si>
  <si>
    <t>DL46:DM51</t>
  </si>
  <si>
    <t>Add Size of firm factors for CT, NH, VT, WV, MT, OK</t>
  </si>
  <si>
    <t>Add Part time lawyers factors for CT, NH, VT, WV, MT, OK</t>
  </si>
  <si>
    <t>Add IRM factors for CT, NH, VT, WV, MT, OK</t>
  </si>
  <si>
    <t>CT, NH, VT, WV, MT, OK filed with title insurance agency option</t>
  </si>
  <si>
    <t>DZ46:EC51</t>
  </si>
  <si>
    <t>EE47:EH52</t>
  </si>
  <si>
    <t>Unlimited</t>
  </si>
  <si>
    <t>GD5:GG10</t>
  </si>
  <si>
    <t>Update ERP so that CT has an option for unlimited ERP</t>
  </si>
  <si>
    <t>G260</t>
  </si>
  <si>
    <t>Update formula for ERP in Rater to check for NY or CT states</t>
  </si>
  <si>
    <t>G259</t>
  </si>
  <si>
    <t>Updatedata validation for ERP # of years in Rater to check for CT states</t>
  </si>
  <si>
    <t>Rater version 1.21</t>
  </si>
  <si>
    <t>State (2 Letter Abbr)</t>
  </si>
  <si>
    <t>Is there an Agg Deductible?</t>
  </si>
  <si>
    <t>Agg Deductible Multiple</t>
  </si>
  <si>
    <t>A6</t>
  </si>
  <si>
    <t>Clarification that input should be 2 letter state abbr, not full state name</t>
  </si>
  <si>
    <t>B6</t>
  </si>
  <si>
    <t>Add data validation - drop down of state inputs. Update cell formatting to "general"</t>
  </si>
  <si>
    <t>B10</t>
  </si>
  <si>
    <t>Add data validation - drop down of claim expense treatment</t>
  </si>
  <si>
    <t>A11:B11</t>
  </si>
  <si>
    <t>Add conditional formatting to show these cells only when "Specific Claim Expenses Coverage Endorsement" is selected</t>
  </si>
  <si>
    <t>Add additional inputs surrounding Aggregate Deductible, including use of data validation for inputs</t>
  </si>
  <si>
    <t>CM43</t>
  </si>
  <si>
    <t>Maine requires AOP to have set factors (AOP Table B) instead of AOP Table A</t>
  </si>
  <si>
    <t>GI22:GK28</t>
  </si>
  <si>
    <t>New Table of Endorsement factor for Maine where a range is not allowed</t>
  </si>
  <si>
    <t>E267</t>
  </si>
  <si>
    <t>Fix to cell reference in conditional formatting</t>
  </si>
  <si>
    <t>A14:B15</t>
  </si>
  <si>
    <t>Category</t>
  </si>
  <si>
    <t>B16</t>
  </si>
  <si>
    <t>Apply formula to calculate Agg Deductible factor, no longer input</t>
  </si>
  <si>
    <t xml:space="preserve">Endorsement Factor Option </t>
  </si>
  <si>
    <t>Rate Filing</t>
  </si>
  <si>
    <t>ERP</t>
  </si>
  <si>
    <t>NY State</t>
  </si>
  <si>
    <t>Title Agency</t>
  </si>
  <si>
    <t>Part Time Option</t>
  </si>
  <si>
    <t>Will Need to be added to Guidewire as followup request past R4.1</t>
  </si>
  <si>
    <t>Number of Attorneys Working &lt;9 Hrs/Week</t>
  </si>
  <si>
    <t>Number of Full Time Lawyers</t>
  </si>
  <si>
    <t>Number of Part Time Lawyers</t>
  </si>
  <si>
    <t>Average Part Time Factor</t>
  </si>
  <si>
    <t>Average &lt;9 Hrs/Week Factor</t>
  </si>
  <si>
    <t>A21:B22</t>
  </si>
  <si>
    <t>Add inputs for number of lawyers working &lt;9 hrs/week for expiring policy, and relative part time factor</t>
  </si>
  <si>
    <t>Add row for lawyer count for lawyers working &lt; 9 hrs/week in calculations</t>
  </si>
  <si>
    <t>B23</t>
  </si>
  <si>
    <t>Update ratable lawyer count for expiring policy</t>
  </si>
  <si>
    <t>FG55</t>
  </si>
  <si>
    <t>FG85</t>
  </si>
  <si>
    <t>OK Experience rating table A doesn't have Refer to Company factors</t>
  </si>
  <si>
    <t>No, correct as of R4.1</t>
  </si>
  <si>
    <t>AK, LA, MS, ND, WA AOP factors added</t>
  </si>
  <si>
    <t>AK, LA, MS, ND, WA Size of firm factors added</t>
  </si>
  <si>
    <t>AK, LA, MS, ND, WA Part time lawyers factors added</t>
  </si>
  <si>
    <t>AK, LA, MS, ND, WA IRM factors added</t>
  </si>
  <si>
    <t>AK, LA, MS, ND, WA filed with title insurance agency option</t>
  </si>
  <si>
    <t>AK, LA, MS, ND, WA filed with endorsement factor option</t>
  </si>
  <si>
    <t>DL53:DM57</t>
  </si>
  <si>
    <t>CL52:CM56</t>
  </si>
  <si>
    <t>DZ52:EC56</t>
  </si>
  <si>
    <t>EE53:EH57</t>
  </si>
  <si>
    <t>GL15:GL20</t>
  </si>
  <si>
    <t>GQ18:GQ22</t>
  </si>
  <si>
    <t>FG86</t>
  </si>
  <si>
    <t>MS Experience rating table A doesn't have Refer to Company factors</t>
  </si>
  <si>
    <t>CA and PA and NC and MT and OK and MS:</t>
  </si>
  <si>
    <t>FY19</t>
  </si>
  <si>
    <t>MS Experience rating doesn't allow Refer to Company for Large claims</t>
  </si>
  <si>
    <t>GI22</t>
  </si>
  <si>
    <t>MS Endorsement factor has flat factors</t>
  </si>
  <si>
    <t>States with Flat Factors:</t>
  </si>
  <si>
    <t>Flat Factors:</t>
  </si>
  <si>
    <t>GL23:GL25</t>
  </si>
  <si>
    <t>Add range for flat endorsement factors</t>
  </si>
  <si>
    <t>Flat Rate?</t>
  </si>
  <si>
    <t>Q266:Q267</t>
  </si>
  <si>
    <t>Check if state has flat endorsement factors</t>
  </si>
  <si>
    <t>F267:G267</t>
  </si>
  <si>
    <t>Adjust endorsement factor ranges to be flat based on value in Rater!Q267</t>
  </si>
  <si>
    <t>Update rate filing status as of 4/10/2020</t>
  </si>
  <si>
    <t>Layer Change</t>
  </si>
  <si>
    <t>Add row for total layer change calculation</t>
  </si>
  <si>
    <t>L14:O15</t>
  </si>
  <si>
    <t>L19:O19</t>
  </si>
  <si>
    <t>GI:GJ</t>
  </si>
  <si>
    <t>Add additional columns</t>
  </si>
  <si>
    <t>Excel Specific</t>
  </si>
  <si>
    <t>GH5:GH10</t>
  </si>
  <si>
    <t>ERP for AK</t>
  </si>
  <si>
    <t>J18</t>
  </si>
  <si>
    <t>Set zip code field as text format</t>
  </si>
  <si>
    <t>Remove IRM min default for surplus basis</t>
  </si>
  <si>
    <t>EG6</t>
  </si>
  <si>
    <t>EG7</t>
  </si>
  <si>
    <t>Set IRM max default to 400% for surplus basis</t>
  </si>
  <si>
    <t>EW6:EW34</t>
  </si>
  <si>
    <t>Remove IRM mins for IRM Table E</t>
  </si>
  <si>
    <t>Non-admitted writing approach</t>
  </si>
  <si>
    <t>R172</t>
  </si>
  <si>
    <t>Update label to IRM Table</t>
  </si>
  <si>
    <t>IRM Max Values</t>
  </si>
  <si>
    <t>R173</t>
  </si>
  <si>
    <t>Update label to IRM Max Values</t>
  </si>
  <si>
    <t>M175:M202</t>
  </si>
  <si>
    <t>Update min IRM values to match cell S172 instead of S173</t>
  </si>
  <si>
    <t>M204</t>
  </si>
  <si>
    <t>Update min IRM state limit to be based on state only</t>
  </si>
  <si>
    <t>Move column BT to BD</t>
  </si>
  <si>
    <t>BD</t>
  </si>
  <si>
    <t>Add ILFs for Separate Claims Expense Coverage Option of $50,000 such that it is the average of CEIL ILFs and $100k Option ILFs to account for $50k option for MT regulations</t>
  </si>
  <si>
    <t>K10</t>
  </si>
  <si>
    <t>Update data validation to include new $50k option</t>
  </si>
  <si>
    <t>Improvements to rate change calculation, adjustments per rate filings; flexibility in endorsement factor for flat vs range; adjust IRM formulas to meet corp uw decisions on writing approach differences; add $50k separate claims expense coverage endorsement option</t>
  </si>
  <si>
    <t>Rater version 1.22</t>
  </si>
  <si>
    <t>LA IRM state min max is +/-25% instead of +/-50%</t>
  </si>
  <si>
    <t>LA has flat Endorsement Factors</t>
  </si>
  <si>
    <t>EB53</t>
  </si>
  <si>
    <t>LA doesn't allow ranges for part time factors</t>
  </si>
  <si>
    <t>Add column ED</t>
  </si>
  <si>
    <t>EH54:EI54</t>
  </si>
  <si>
    <t>GO26</t>
  </si>
  <si>
    <t>For max part time factor for lawyers working &lt;9 hrs/week</t>
  </si>
  <si>
    <t>I60:J159</t>
  </si>
  <si>
    <t>Fix part time min/max factors to reflect lawyers working &lt;9 hrs/week</t>
  </si>
  <si>
    <t>Fix default part time factors to reflect lawyers working &lt;9 hrs/week</t>
  </si>
  <si>
    <t>Fix conditional formatting to show yellow cells when Part time is either "yes" or "&lt;9 hrs/week"</t>
  </si>
  <si>
    <t>For NY, cannot select Claims Expense Inside of Claims for Limits below $500k or Separate Claims Expense Covg Endorsement</t>
  </si>
  <si>
    <t>BB64</t>
  </si>
  <si>
    <t>Update helptext that NY doesn't allow Separate Claims Expense Endorsement Option</t>
  </si>
  <si>
    <t>Remove helptext regarding NY deductibles being Refer to Company</t>
  </si>
  <si>
    <t>BU62</t>
  </si>
  <si>
    <t>Remove table of NY deductibles being Refer to Company</t>
  </si>
  <si>
    <t>BU58:BW61</t>
  </si>
  <si>
    <t>Add table for NY deductibles over $50k and remove cell color formatting</t>
  </si>
  <si>
    <t>EC15</t>
  </si>
  <si>
    <t>NY part time lawyers working &lt;9 hrs/week has a max credit of 100%</t>
  </si>
  <si>
    <t>For NY, Incurred amount includes reserved and payment for indemnity and expenses and must include a paid indemnity portion.  Claims that have been closed without indemnity payment but have paid LAE should not be included.</t>
  </si>
  <si>
    <t>FH28</t>
  </si>
  <si>
    <t>Add Helptext for NY Experience rating factor</t>
  </si>
  <si>
    <t>C212</t>
  </si>
  <si>
    <t>Exceeds Cap?</t>
  </si>
  <si>
    <t>W241:W246</t>
  </si>
  <si>
    <t>Add checks for NY combined factor of IRMs and Experience rating</t>
  </si>
  <si>
    <t>NY specific changes; changes for additional state approvals</t>
  </si>
  <si>
    <t>EG46</t>
  </si>
  <si>
    <t>EH46:EI46</t>
  </si>
  <si>
    <t>RI state IRM min/max is +/-40%</t>
  </si>
  <si>
    <t>RI IRM table is Table A, not table B</t>
  </si>
  <si>
    <t>FH87</t>
  </si>
  <si>
    <t>RI doesn't allow Refer to Company for Experience Rating Table A</t>
  </si>
  <si>
    <t>FZ20</t>
  </si>
  <si>
    <t>RI doesn't allow Refer to Company for Experience Rating large claim experience</t>
  </si>
  <si>
    <t>CM45</t>
  </si>
  <si>
    <t>RI AOP table B</t>
  </si>
  <si>
    <t>GO27</t>
  </si>
  <si>
    <t>RI endorsment factor is flat</t>
  </si>
  <si>
    <t>Rater version 1.23</t>
  </si>
  <si>
    <t>L22:O23</t>
  </si>
  <si>
    <t>Insert Cells</t>
  </si>
  <si>
    <t>Change in Exposure</t>
  </si>
  <si>
    <t>Selected Deduc</t>
  </si>
  <si>
    <t>Column for Deduc Treatment</t>
  </si>
  <si>
    <t>S12</t>
  </si>
  <si>
    <t>Fix cell reference for Deductible application of expiring policy</t>
  </si>
  <si>
    <t>R10:R12; T10:T12; R21:R23; T21:T23; R32:R34; T32:T34</t>
  </si>
  <si>
    <t>Fix labels for Deductible calculations</t>
  </si>
  <si>
    <t>Calculations for Size of Firm Factor and Change in Exposure</t>
  </si>
  <si>
    <t>L29:O30</t>
  </si>
  <si>
    <t>Q/S Participation</t>
  </si>
  <si>
    <t>Renewal Q/S Participation</t>
  </si>
  <si>
    <t>Expiring Q/S Participation</t>
  </si>
  <si>
    <t>A25:B26</t>
  </si>
  <si>
    <t>Add Q/S Participation inputs</t>
  </si>
  <si>
    <t>Add calculation for Q/S Participation change</t>
  </si>
  <si>
    <t>L29:O29</t>
  </si>
  <si>
    <t>Pricing Component</t>
  </si>
  <si>
    <t>NY dereg test Y-Y</t>
  </si>
  <si>
    <t>82222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</si>
</sst>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409]m/d/yy\ h:mm\ AM/PM;@"/>
    <numFmt numFmtId="165" formatCode="yyyy"/>
    <numFmt numFmtId="166" formatCode="mm\-yy"/>
    <numFmt numFmtId="167" formatCode="_-* #,##0.00_-;\-* #,##0.00_-;_-* &quot;-&quot;??_-;_-@_-"/>
    <numFmt numFmtId="168" formatCode="&quot;$&quot;#,##0\ ;\(&quot;$&quot;#,##0\)"/>
    <numFmt numFmtId="169" formatCode="m/d"/>
    <numFmt numFmtId="170" formatCode="General_)"/>
    <numFmt numFmtId="171" formatCode="0.0%"/>
    <numFmt numFmtId="172" formatCode="0.000"/>
    <numFmt numFmtId="173" formatCode="#,##0.000"/>
    <numFmt numFmtId="174" formatCode="#,##0.000_);\(#,##0.000\)"/>
    <numFmt numFmtId="175" formatCode="0.0"/>
    <numFmt numFmtId="176" formatCode="0_);\(0\)"/>
    <numFmt numFmtId="177" formatCode="[$$-409]0.00_);[$$-409]\(0.00\)"/>
    <numFmt numFmtId="178" formatCode="0.0000"/>
  </numFmts>
  <fonts count="13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1"/>
      <name val="Calibri"/>
      <family val="2"/>
      <scheme val="minor"/>
    </font>
    <font>
      <sz val="11"/>
      <color rgb="FF000000"/>
      <name val="Calibri"/>
      <family val="2"/>
    </font>
    <font>
      <b/>
      <sz val="10"/>
      <color theme="1"/>
      <name val="Arial"/>
      <family val="2"/>
    </font>
    <font>
      <sz val="10"/>
      <color theme="1"/>
      <name val="Arial"/>
      <family val="2"/>
    </font>
    <font>
      <sz val="11"/>
      <color indexed="8"/>
      <name val="Calibri"/>
      <family val="2"/>
    </font>
    <font>
      <sz val="11"/>
      <color indexed="9"/>
      <name val="Calibri"/>
      <family val="2"/>
    </font>
    <font>
      <sz val="10"/>
      <color theme="0"/>
      <name val="Arial"/>
      <family val="2"/>
    </font>
    <font>
      <sz val="10"/>
      <name val="Arial"/>
      <family val="2"/>
    </font>
    <font>
      <b/>
      <sz val="18"/>
      <color indexed="18"/>
      <name val="Arial"/>
      <family val="2"/>
    </font>
    <font>
      <sz val="10"/>
      <color indexed="18"/>
      <name val="Arial"/>
      <family val="2"/>
    </font>
    <font>
      <sz val="16"/>
      <color indexed="18"/>
      <name val="Arial"/>
      <family val="2"/>
    </font>
    <font>
      <sz val="10"/>
      <color indexed="21"/>
      <name val="MS Sans Serif"/>
      <family val="2"/>
    </font>
    <font>
      <sz val="11"/>
      <color indexed="20"/>
      <name val="Calibri"/>
      <family val="2"/>
    </font>
    <font>
      <sz val="10"/>
      <color rgb="FF9C0006"/>
      <name val="Arial"/>
      <family val="2"/>
    </font>
    <font>
      <b/>
      <sz val="11"/>
      <color indexed="52"/>
      <name val="Calibri"/>
      <family val="2"/>
    </font>
    <font>
      <b/>
      <sz val="10"/>
      <color rgb="FFFA7D00"/>
      <name val="Arial"/>
      <family val="2"/>
    </font>
    <font>
      <b/>
      <sz val="11"/>
      <color indexed="9"/>
      <name val="Calibri"/>
      <family val="2"/>
    </font>
    <font>
      <b/>
      <sz val="10"/>
      <color theme="0"/>
      <name val="Arial"/>
      <family val="2"/>
    </font>
    <font>
      <sz val="10"/>
      <color indexed="8"/>
      <name val="Arial"/>
      <family val="2"/>
    </font>
    <font>
      <sz val="11"/>
      <name val="Tahoma"/>
      <family val="2"/>
    </font>
    <font>
      <sz val="10"/>
      <name val="Times New Roman"/>
      <family val="1"/>
    </font>
    <font>
      <sz val="9"/>
      <color theme="1"/>
      <name val="Verdana"/>
      <family val="2"/>
    </font>
    <font>
      <sz val="12"/>
      <color theme="1"/>
      <name val="Times New Roman"/>
      <family val="2"/>
    </font>
    <font>
      <sz val="10"/>
      <color theme="1"/>
      <name val="Calibri"/>
      <family val="2"/>
    </font>
    <font>
      <sz val="12"/>
      <color indexed="18"/>
      <name val="Arial"/>
      <family val="2"/>
    </font>
    <font>
      <i/>
      <sz val="11"/>
      <color indexed="23"/>
      <name val="Calibri"/>
      <family val="2"/>
    </font>
    <font>
      <i/>
      <sz val="10"/>
      <color rgb="FF7F7F7F"/>
      <name val="Arial"/>
      <family val="2"/>
    </font>
    <font>
      <sz val="11"/>
      <color indexed="17"/>
      <name val="Calibri"/>
      <family val="2"/>
    </font>
    <font>
      <sz val="10"/>
      <color rgb="FF006100"/>
      <name val="Arial"/>
      <family val="2"/>
    </font>
    <font>
      <sz val="8"/>
      <name val="MS Sans Serif"/>
      <family val="2"/>
    </font>
    <font>
      <b/>
      <sz val="15"/>
      <color indexed="56"/>
      <name val="Calibri"/>
      <family val="2"/>
    </font>
    <font>
      <b/>
      <sz val="15"/>
      <color rgb="FFF79646"/>
      <name val="Calibri"/>
      <family val="2"/>
      <scheme val="minor"/>
    </font>
    <font>
      <b/>
      <sz val="15"/>
      <color theme="3"/>
      <name val="Arial"/>
      <family val="2"/>
    </font>
    <font>
      <b/>
      <sz val="13"/>
      <color indexed="56"/>
      <name val="Calibri"/>
      <family val="2"/>
    </font>
    <font>
      <b/>
      <sz val="13"/>
      <color theme="3"/>
      <name val="Arial"/>
      <family val="2"/>
    </font>
    <font>
      <b/>
      <sz val="11"/>
      <color indexed="56"/>
      <name val="Calibri"/>
      <family val="2"/>
    </font>
    <font>
      <b/>
      <sz val="11"/>
      <color theme="3"/>
      <name val="Arial"/>
      <family val="2"/>
    </font>
    <font>
      <b/>
      <sz val="11"/>
      <color rgb="FFF79646"/>
      <name val="Calibri"/>
      <family val="2"/>
      <scheme val="minor"/>
    </font>
    <font>
      <u/>
      <sz val="10.199999999999999"/>
      <color theme="10"/>
      <name val="Times New Roman"/>
      <family val="2"/>
    </font>
    <font>
      <u/>
      <sz val="10"/>
      <color theme="10"/>
      <name val="Arial"/>
      <family val="2"/>
    </font>
    <font>
      <u/>
      <sz val="11"/>
      <color theme="10"/>
      <name val="Calibri"/>
      <family val="2"/>
    </font>
    <font>
      <u/>
      <sz val="10"/>
      <color indexed="12"/>
      <name val="Arial"/>
      <family val="2"/>
    </font>
    <font>
      <u/>
      <sz val="7.5"/>
      <color theme="10"/>
      <name val="Calibri"/>
      <family val="2"/>
    </font>
    <font>
      <u/>
      <sz val="11"/>
      <color theme="10"/>
      <name val="Calibri"/>
      <family val="2"/>
      <scheme val="minor"/>
    </font>
    <font>
      <u/>
      <sz val="10"/>
      <color theme="10"/>
      <name val="Calibri"/>
      <family val="2"/>
    </font>
    <font>
      <u/>
      <sz val="9"/>
      <color theme="10"/>
      <name val="Arial"/>
      <family val="2"/>
    </font>
    <font>
      <u/>
      <sz val="12"/>
      <color indexed="12"/>
      <name val="Arial Narrow"/>
      <family val="2"/>
    </font>
    <font>
      <u/>
      <sz val="10"/>
      <color theme="10"/>
      <name val="Times New Roman"/>
      <family val="1"/>
    </font>
    <font>
      <sz val="11"/>
      <color indexed="62"/>
      <name val="Calibri"/>
      <family val="2"/>
    </font>
    <font>
      <sz val="10"/>
      <color rgb="FF3F3F76"/>
      <name val="Arial"/>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sz val="11"/>
      <color indexed="52"/>
      <name val="Calibri"/>
      <family val="2"/>
    </font>
    <font>
      <sz val="10"/>
      <color rgb="FFFA7D00"/>
      <name val="Arial"/>
      <family val="2"/>
    </font>
    <font>
      <sz val="11"/>
      <color indexed="60"/>
      <name val="Calibri"/>
      <family val="2"/>
    </font>
    <font>
      <sz val="10"/>
      <color rgb="FF9C6500"/>
      <name val="Arial"/>
      <family val="2"/>
    </font>
    <font>
      <sz val="11"/>
      <color theme="1"/>
      <name val="Calibri"/>
      <family val="2"/>
    </font>
    <font>
      <sz val="10"/>
      <name val="MS Sans Serif"/>
      <family val="2"/>
    </font>
    <font>
      <sz val="12"/>
      <name val="Helv"/>
    </font>
    <font>
      <sz val="10"/>
      <color rgb="FF000000"/>
      <name val="Times New Roman"/>
      <family val="1"/>
    </font>
    <font>
      <sz val="10"/>
      <name val="Calibri"/>
      <family val="1"/>
      <scheme val="minor"/>
    </font>
    <font>
      <sz val="12"/>
      <name val="Times New Roman"/>
      <family val="1"/>
    </font>
    <font>
      <sz val="12"/>
      <name val="Arial"/>
      <family val="2"/>
    </font>
    <font>
      <sz val="11"/>
      <name val="Calibri"/>
      <family val="2"/>
    </font>
    <font>
      <sz val="10"/>
      <name val="Tahoma"/>
      <family val="2"/>
    </font>
    <font>
      <sz val="8"/>
      <name val="Arial"/>
      <family val="2"/>
    </font>
    <font>
      <sz val="12"/>
      <name val="Arial Narrow"/>
      <family val="2"/>
    </font>
    <font>
      <b/>
      <sz val="11"/>
      <color indexed="63"/>
      <name val="Calibri"/>
      <family val="2"/>
    </font>
    <font>
      <b/>
      <sz val="10"/>
      <color rgb="FF3F3F3F"/>
      <name val="Arial"/>
      <family val="2"/>
    </font>
    <font>
      <b/>
      <sz val="10"/>
      <color indexed="10"/>
      <name val="Helv"/>
    </font>
    <font>
      <b/>
      <i/>
      <sz val="10"/>
      <color indexed="10"/>
      <name val="Helv"/>
    </font>
    <font>
      <b/>
      <sz val="18"/>
      <color indexed="56"/>
      <name val="Cambria"/>
      <family val="2"/>
    </font>
    <font>
      <sz val="18"/>
      <color rgb="FFF79646"/>
      <name val="Cambria"/>
      <family val="2"/>
      <scheme val="major"/>
    </font>
    <font>
      <b/>
      <sz val="11"/>
      <color indexed="8"/>
      <name val="Calibri"/>
      <family val="2"/>
    </font>
    <font>
      <b/>
      <sz val="10"/>
      <color indexed="18"/>
      <name val="Arial"/>
      <family val="2"/>
    </font>
    <font>
      <sz val="11"/>
      <color indexed="10"/>
      <name val="Calibri"/>
      <family val="2"/>
    </font>
    <font>
      <sz val="10"/>
      <color rgb="FFFF0000"/>
      <name val="Arial"/>
      <family val="2"/>
    </font>
    <font>
      <b/>
      <i/>
      <sz val="13"/>
      <color theme="1"/>
      <name val="Calibri"/>
      <family val="2"/>
      <scheme val="minor"/>
    </font>
    <font>
      <b/>
      <sz val="16"/>
      <color theme="1"/>
      <name val="Calibri"/>
      <family val="2"/>
      <scheme val="minor"/>
    </font>
    <font>
      <sz val="8"/>
      <color theme="1"/>
      <name val="Calibri"/>
      <family val="2"/>
      <scheme val="minor"/>
    </font>
    <font>
      <b/>
      <sz val="13"/>
      <color theme="1"/>
      <name val="Calibri"/>
      <family val="2"/>
      <scheme val="minor"/>
    </font>
    <font>
      <sz val="13"/>
      <color theme="1"/>
      <name val="Calibri"/>
      <family val="2"/>
      <scheme val="minor"/>
    </font>
    <font>
      <b/>
      <sz val="12"/>
      <color theme="1"/>
      <name val="Calibri"/>
      <family val="2"/>
      <scheme val="minor"/>
    </font>
    <font>
      <b/>
      <sz val="11"/>
      <color rgb="FFFF0000"/>
      <name val="Calibri"/>
      <family val="2"/>
      <scheme val="minor"/>
    </font>
    <font>
      <b/>
      <sz val="13"/>
      <color rgb="FFFF0000"/>
      <name val="Calibri"/>
      <family val="2"/>
      <scheme val="minor"/>
    </font>
    <font>
      <sz val="9"/>
      <color indexed="81"/>
      <name val="Tahoma"/>
      <family val="2"/>
    </font>
    <font>
      <b/>
      <sz val="9"/>
      <color indexed="81"/>
      <name val="Tahoma"/>
      <family val="2"/>
    </font>
    <font>
      <b/>
      <u/>
      <sz val="11"/>
      <color theme="1"/>
      <name val="Calibri"/>
      <family val="2"/>
      <scheme val="minor"/>
    </font>
    <font>
      <sz val="6"/>
      <color theme="1"/>
      <name val="Calibri"/>
      <family val="2"/>
      <scheme val="minor"/>
    </font>
    <font>
      <sz val="12"/>
      <color theme="1"/>
      <name val="Calibri"/>
      <family val="2"/>
      <scheme val="minor"/>
    </font>
    <font>
      <sz val="11"/>
      <color theme="1" tint="0.249977111117893"/>
      <name val="Calibri"/>
      <family val="2"/>
      <scheme val="minor"/>
    </font>
    <font>
      <b/>
      <sz val="11"/>
      <color theme="1" tint="0.249977111117893"/>
      <name val="Calibri"/>
      <family val="2"/>
      <scheme val="minor"/>
    </font>
    <font>
      <sz val="9"/>
      <color theme="1"/>
      <name val="Calibri"/>
      <family val="2"/>
      <scheme val="minor"/>
    </font>
    <font>
      <sz val="11"/>
      <name val="Calibri"/>
      <family val="2"/>
      <scheme val="minor"/>
    </font>
    <font>
      <sz val="11"/>
      <color rgb="FF00B050"/>
      <name val="Calibri"/>
      <family val="2"/>
      <scheme val="minor"/>
    </font>
    <font>
      <sz val="11"/>
      <color theme="3" tint="0.39997558519241921"/>
      <name val="Calibri"/>
      <family val="2"/>
      <scheme val="minor"/>
    </font>
    <font>
      <b/>
      <sz val="11"/>
      <color theme="3" tint="0.39997558519241921"/>
      <name val="Calibri"/>
      <family val="2"/>
      <scheme val="minor"/>
    </font>
    <font>
      <b/>
      <sz val="11"/>
      <name val="Calibri"/>
      <family val="2"/>
      <scheme val="minor"/>
    </font>
    <font>
      <sz val="11"/>
      <color theme="7"/>
      <name val="Calibri"/>
      <family val="2"/>
      <scheme val="minor"/>
    </font>
    <font>
      <b/>
      <sz val="11"/>
      <color theme="7"/>
      <name val="Calibri"/>
      <family val="2"/>
      <scheme val="minor"/>
    </font>
    <font>
      <sz val="11"/>
      <color theme="0" tint="-0.14999847407452621"/>
      <name val="Calibri"/>
      <family val="2"/>
      <scheme val="minor"/>
    </font>
    <font>
      <i/>
      <sz val="10"/>
      <color indexed="23"/>
      <name val="Arial (W1)"/>
      <charset val="1"/>
    </font>
    <font>
      <b/>
      <sz val="10"/>
      <color indexed="8"/>
      <name val="Arial"/>
      <family val="2"/>
    </font>
    <font>
      <b/>
      <sz val="10"/>
      <color indexed="8"/>
      <name val="Arial (W1)"/>
      <charset val="1"/>
    </font>
    <font>
      <sz val="10"/>
      <color indexed="8"/>
      <name val="Arial (W1)"/>
      <charset val="1"/>
    </font>
    <font>
      <b/>
      <sz val="12"/>
      <color indexed="8"/>
      <name val="Arial (W1)"/>
      <charset val="1"/>
    </font>
    <font>
      <b/>
      <sz val="12"/>
      <color indexed="8"/>
      <name val="Arial"/>
      <family val="2"/>
    </font>
    <font>
      <sz val="10"/>
      <color rgb="FF000000"/>
      <name val="Arial"/>
      <family val="2"/>
    </font>
    <font>
      <sz val="10"/>
      <color theme="1"/>
      <name val="Times New Roman"/>
      <family val="1"/>
    </font>
    <font>
      <sz val="11"/>
      <color theme="2" tint="-0.499984740745262"/>
      <name val="Calibri"/>
      <family val="2"/>
      <scheme val="minor"/>
    </font>
    <font>
      <b/>
      <sz val="11"/>
      <color theme="2" tint="-0.499984740745262"/>
      <name val="Calibri"/>
      <family val="2"/>
      <scheme val="minor"/>
    </font>
  </fonts>
  <fills count="7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9"/>
      </patternFill>
    </fill>
    <fill>
      <patternFill patternType="gray125">
        <fgColor indexed="13"/>
      </patternFill>
    </fill>
    <fill>
      <patternFill patternType="lightGray">
        <fgColor indexed="13"/>
      </patternFill>
    </fill>
    <fill>
      <patternFill patternType="lightGray">
        <fgColor indexed="13"/>
        <bgColor indexed="9"/>
      </patternFill>
    </fill>
    <fill>
      <patternFill patternType="solid">
        <fgColor indexed="55"/>
      </patternFill>
    </fill>
    <fill>
      <patternFill patternType="gray125">
        <fgColor indexed="8"/>
        <bgColor indexed="9"/>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theme="4"/>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tint="0.39997558519241921"/>
        <bgColor indexed="64"/>
      </patternFill>
    </fill>
    <fill>
      <patternFill patternType="solid">
        <fgColor theme="5"/>
        <bgColor indexed="64"/>
      </patternFill>
    </fill>
    <fill>
      <patternFill patternType="solid">
        <fgColor theme="6"/>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rgb="FF92D050"/>
        <bgColor indexed="64"/>
      </patternFill>
    </fill>
    <fill>
      <patternFill patternType="solid">
        <fgColor theme="7" tint="0.39997558519241921"/>
        <bgColor indexed="64"/>
      </patternFill>
    </fill>
  </fills>
  <borders count="7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rgb="FFF79646"/>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ck">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top/>
      <bottom style="hair">
        <color indexed="64"/>
      </bottom>
      <diagonal/>
    </border>
    <border>
      <left/>
      <right/>
      <top style="hair">
        <color indexed="64"/>
      </top>
      <bottom style="hair">
        <color indexed="64"/>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63081">
    <xf numFmtId="0" fontId="0" fillId="0" borderId="0"/>
    <xf numFmtId="164" fontId="1" fillId="0" borderId="0"/>
    <xf numFmtId="0" fontId="21" fillId="34" borderId="0" applyNumberFormat="0" applyBorder="0" applyAlignment="0" applyProtection="0"/>
    <xf numFmtId="0" fontId="2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0" fillId="10" borderId="0" applyNumberFormat="0" applyBorder="0" applyAlignment="0" applyProtection="0"/>
    <xf numFmtId="0" fontId="2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20" fillId="10" borderId="0" applyNumberFormat="0" applyBorder="0" applyAlignment="0" applyProtection="0"/>
    <xf numFmtId="0" fontId="21" fillId="35" borderId="0" applyNumberFormat="0" applyBorder="0" applyAlignment="0" applyProtection="0"/>
    <xf numFmtId="0" fontId="21"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0" fillId="14" borderId="0" applyNumberFormat="0" applyBorder="0" applyAlignment="0" applyProtection="0"/>
    <xf numFmtId="0" fontId="21"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20" fillId="14" borderId="0" applyNumberFormat="0" applyBorder="0" applyAlignment="0" applyProtection="0"/>
    <xf numFmtId="0" fontId="21" fillId="36" borderId="0" applyNumberFormat="0" applyBorder="0" applyAlignment="0" applyProtection="0"/>
    <xf numFmtId="0" fontId="21"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0" fillId="18" borderId="0" applyNumberFormat="0" applyBorder="0" applyAlignment="0" applyProtection="0"/>
    <xf numFmtId="0" fontId="21"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20" fillId="18" borderId="0" applyNumberFormat="0" applyBorder="0" applyAlignment="0" applyProtection="0"/>
    <xf numFmtId="0" fontId="21" fillId="37" borderId="0" applyNumberFormat="0" applyBorder="0" applyAlignment="0" applyProtection="0"/>
    <xf numFmtId="0" fontId="2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0" fillId="22" borderId="0" applyNumberFormat="0" applyBorder="0" applyAlignment="0" applyProtection="0"/>
    <xf numFmtId="0" fontId="2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20" fillId="22"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0" fillId="26" borderId="0" applyNumberFormat="0" applyBorder="0" applyAlignment="0" applyProtection="0"/>
    <xf numFmtId="0" fontId="21"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20" fillId="26"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1" fillId="40" borderId="0" applyNumberFormat="0" applyBorder="0" applyAlignment="0" applyProtection="0"/>
    <xf numFmtId="0" fontId="1" fillId="30" borderId="0" applyNumberFormat="0" applyBorder="0" applyAlignment="0" applyProtection="0"/>
    <xf numFmtId="0" fontId="20" fillId="30" borderId="0" applyNumberFormat="0" applyBorder="0" applyAlignment="0" applyProtection="0"/>
    <xf numFmtId="0" fontId="21" fillId="40" borderId="0" applyNumberFormat="0" applyBorder="0" applyAlignment="0" applyProtection="0"/>
    <xf numFmtId="0" fontId="21"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20" fillId="3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0" fillId="11" borderId="0" applyNumberFormat="0" applyBorder="0" applyAlignment="0" applyProtection="0"/>
    <xf numFmtId="0" fontId="21" fillId="4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0" fillId="11"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0" fillId="15" borderId="0" applyNumberFormat="0" applyBorder="0" applyAlignment="0" applyProtection="0"/>
    <xf numFmtId="0" fontId="21" fillId="42"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0" fillId="15"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0" fillId="19" borderId="0" applyNumberFormat="0" applyBorder="0" applyAlignment="0" applyProtection="0"/>
    <xf numFmtId="0" fontId="21" fillId="43"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0" fillId="19" borderId="0" applyNumberFormat="0" applyBorder="0" applyAlignment="0" applyProtection="0"/>
    <xf numFmtId="0" fontId="21" fillId="37" borderId="0" applyNumberFormat="0" applyBorder="0" applyAlignment="0" applyProtection="0"/>
    <xf numFmtId="0" fontId="2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0" fillId="23" borderId="0" applyNumberFormat="0" applyBorder="0" applyAlignment="0" applyProtection="0"/>
    <xf numFmtId="0" fontId="2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0" fillId="23"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0" fillId="27" borderId="0" applyNumberFormat="0" applyBorder="0" applyAlignment="0" applyProtection="0"/>
    <xf numFmtId="0" fontId="21" fillId="4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0" fillId="27"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1" fillId="44"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2" fillId="45" borderId="0" applyNumberFormat="0" applyBorder="0" applyAlignment="0" applyProtection="0"/>
    <xf numFmtId="0" fontId="22" fillId="45"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23" fillId="12" borderId="0" applyNumberFormat="0" applyBorder="0" applyAlignment="0" applyProtection="0"/>
    <xf numFmtId="0" fontId="22" fillId="45" borderId="0" applyNumberFormat="0" applyBorder="0" applyAlignment="0" applyProtection="0"/>
    <xf numFmtId="0" fontId="23" fillId="1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23" fillId="16" borderId="0" applyNumberFormat="0" applyBorder="0" applyAlignment="0" applyProtection="0"/>
    <xf numFmtId="0" fontId="22" fillId="42" borderId="0" applyNumberFormat="0" applyBorder="0" applyAlignment="0" applyProtection="0"/>
    <xf numFmtId="0" fontId="23" fillId="16"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16" fillId="20" borderId="0" applyNumberFormat="0" applyBorder="0" applyAlignment="0" applyProtection="0"/>
    <xf numFmtId="0" fontId="16" fillId="20" borderId="0" applyNumberFormat="0" applyBorder="0" applyAlignment="0" applyProtection="0"/>
    <xf numFmtId="0" fontId="23" fillId="20" borderId="0" applyNumberFormat="0" applyBorder="0" applyAlignment="0" applyProtection="0"/>
    <xf numFmtId="0" fontId="22" fillId="43" borderId="0" applyNumberFormat="0" applyBorder="0" applyAlignment="0" applyProtection="0"/>
    <xf numFmtId="0" fontId="23" fillId="20" borderId="0" applyNumberFormat="0" applyBorder="0" applyAlignment="0" applyProtection="0"/>
    <xf numFmtId="0" fontId="22" fillId="46" borderId="0" applyNumberFormat="0" applyBorder="0" applyAlignment="0" applyProtection="0"/>
    <xf numFmtId="0" fontId="22" fillId="46" borderId="0" applyNumberFormat="0" applyBorder="0" applyAlignment="0" applyProtection="0"/>
    <xf numFmtId="0" fontId="16" fillId="24" borderId="0" applyNumberFormat="0" applyBorder="0" applyAlignment="0" applyProtection="0"/>
    <xf numFmtId="0" fontId="16" fillId="24" borderId="0" applyNumberFormat="0" applyBorder="0" applyAlignment="0" applyProtection="0"/>
    <xf numFmtId="0" fontId="23" fillId="24" borderId="0" applyNumberFormat="0" applyBorder="0" applyAlignment="0" applyProtection="0"/>
    <xf numFmtId="0" fontId="22" fillId="46" borderId="0" applyNumberFormat="0" applyBorder="0" applyAlignment="0" applyProtection="0"/>
    <xf numFmtId="0" fontId="23" fillId="24" borderId="0" applyNumberFormat="0" applyBorder="0" applyAlignment="0" applyProtection="0"/>
    <xf numFmtId="0" fontId="22" fillId="47" borderId="0" applyNumberFormat="0" applyBorder="0" applyAlignment="0" applyProtection="0"/>
    <xf numFmtId="0" fontId="22" fillId="47" borderId="0" applyNumberFormat="0" applyBorder="0" applyAlignment="0" applyProtection="0"/>
    <xf numFmtId="0" fontId="16" fillId="28" borderId="0" applyNumberFormat="0" applyBorder="0" applyAlignment="0" applyProtection="0"/>
    <xf numFmtId="0" fontId="16" fillId="28" borderId="0" applyNumberFormat="0" applyBorder="0" applyAlignment="0" applyProtection="0"/>
    <xf numFmtId="0" fontId="23" fillId="28" borderId="0" applyNumberFormat="0" applyBorder="0" applyAlignment="0" applyProtection="0"/>
    <xf numFmtId="0" fontId="22" fillId="47" borderId="0" applyNumberFormat="0" applyBorder="0" applyAlignment="0" applyProtection="0"/>
    <xf numFmtId="0" fontId="23" fillId="28" borderId="0" applyNumberFormat="0" applyBorder="0" applyAlignment="0" applyProtection="0"/>
    <xf numFmtId="0" fontId="22" fillId="48" borderId="0" applyNumberFormat="0" applyBorder="0" applyAlignment="0" applyProtection="0"/>
    <xf numFmtId="0" fontId="22" fillId="48" borderId="0" applyNumberFormat="0" applyBorder="0" applyAlignment="0" applyProtection="0"/>
    <xf numFmtId="0" fontId="16" fillId="32" borderId="0" applyNumberFormat="0" applyBorder="0" applyAlignment="0" applyProtection="0"/>
    <xf numFmtId="0" fontId="16" fillId="32" borderId="0" applyNumberFormat="0" applyBorder="0" applyAlignment="0" applyProtection="0"/>
    <xf numFmtId="0" fontId="23" fillId="32" borderId="0" applyNumberFormat="0" applyBorder="0" applyAlignment="0" applyProtection="0"/>
    <xf numFmtId="0" fontId="22" fillId="48" borderId="0" applyNumberFormat="0" applyBorder="0" applyAlignment="0" applyProtection="0"/>
    <xf numFmtId="0" fontId="23" fillId="32" borderId="0" applyNumberFormat="0" applyBorder="0" applyAlignment="0" applyProtection="0"/>
    <xf numFmtId="0" fontId="22" fillId="49" borderId="0" applyNumberFormat="0" applyBorder="0" applyAlignment="0" applyProtection="0"/>
    <xf numFmtId="0" fontId="22" fillId="4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23" fillId="9" borderId="0" applyNumberFormat="0" applyBorder="0" applyAlignment="0" applyProtection="0"/>
    <xf numFmtId="0" fontId="22" fillId="49" borderId="0" applyNumberFormat="0" applyBorder="0" applyAlignment="0" applyProtection="0"/>
    <xf numFmtId="0" fontId="23" fillId="9" borderId="0" applyNumberFormat="0" applyBorder="0" applyAlignment="0" applyProtection="0"/>
    <xf numFmtId="0" fontId="22" fillId="50" borderId="0" applyNumberFormat="0" applyBorder="0" applyAlignment="0" applyProtection="0"/>
    <xf numFmtId="0" fontId="22" fillId="50"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23" fillId="13" borderId="0" applyNumberFormat="0" applyBorder="0" applyAlignment="0" applyProtection="0"/>
    <xf numFmtId="0" fontId="22" fillId="50" borderId="0" applyNumberFormat="0" applyBorder="0" applyAlignment="0" applyProtection="0"/>
    <xf numFmtId="0" fontId="23" fillId="13" borderId="0" applyNumberFormat="0" applyBorder="0" applyAlignment="0" applyProtection="0"/>
    <xf numFmtId="0" fontId="22" fillId="51" borderId="0" applyNumberFormat="0" applyBorder="0" applyAlignment="0" applyProtection="0"/>
    <xf numFmtId="0" fontId="22" fillId="51"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23" fillId="17" borderId="0" applyNumberFormat="0" applyBorder="0" applyAlignment="0" applyProtection="0"/>
    <xf numFmtId="0" fontId="22" fillId="51" borderId="0" applyNumberFormat="0" applyBorder="0" applyAlignment="0" applyProtection="0"/>
    <xf numFmtId="0" fontId="23" fillId="17" borderId="0" applyNumberFormat="0" applyBorder="0" applyAlignment="0" applyProtection="0"/>
    <xf numFmtId="0" fontId="22" fillId="46" borderId="0" applyNumberFormat="0" applyBorder="0" applyAlignment="0" applyProtection="0"/>
    <xf numFmtId="0" fontId="22" fillId="46"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23" fillId="21" borderId="0" applyNumberFormat="0" applyBorder="0" applyAlignment="0" applyProtection="0"/>
    <xf numFmtId="0" fontId="22" fillId="46" borderId="0" applyNumberFormat="0" applyBorder="0" applyAlignment="0" applyProtection="0"/>
    <xf numFmtId="0" fontId="23" fillId="21" borderId="0" applyNumberFormat="0" applyBorder="0" applyAlignment="0" applyProtection="0"/>
    <xf numFmtId="0" fontId="22" fillId="47" borderId="0" applyNumberFormat="0" applyBorder="0" applyAlignment="0" applyProtection="0"/>
    <xf numFmtId="0" fontId="22" fillId="47" borderId="0" applyNumberFormat="0" applyBorder="0" applyAlignment="0" applyProtection="0"/>
    <xf numFmtId="0" fontId="16" fillId="25" borderId="0" applyNumberFormat="0" applyBorder="0" applyAlignment="0" applyProtection="0"/>
    <xf numFmtId="0" fontId="16" fillId="25" borderId="0" applyNumberFormat="0" applyBorder="0" applyAlignment="0" applyProtection="0"/>
    <xf numFmtId="0" fontId="23" fillId="25" borderId="0" applyNumberFormat="0" applyBorder="0" applyAlignment="0" applyProtection="0"/>
    <xf numFmtId="0" fontId="22" fillId="47" borderId="0" applyNumberFormat="0" applyBorder="0" applyAlignment="0" applyProtection="0"/>
    <xf numFmtId="0" fontId="23" fillId="25" borderId="0" applyNumberFormat="0" applyBorder="0" applyAlignment="0" applyProtection="0"/>
    <xf numFmtId="0" fontId="22" fillId="52" borderId="0" applyNumberFormat="0" applyBorder="0" applyAlignment="0" applyProtection="0"/>
    <xf numFmtId="0" fontId="22" fillId="52" borderId="0" applyNumberFormat="0" applyBorder="0" applyAlignment="0" applyProtection="0"/>
    <xf numFmtId="0" fontId="16" fillId="29" borderId="0" applyNumberFormat="0" applyBorder="0" applyAlignment="0" applyProtection="0"/>
    <xf numFmtId="0" fontId="16" fillId="29" borderId="0" applyNumberFormat="0" applyBorder="0" applyAlignment="0" applyProtection="0"/>
    <xf numFmtId="0" fontId="23" fillId="29" borderId="0" applyNumberFormat="0" applyBorder="0" applyAlignment="0" applyProtection="0"/>
    <xf numFmtId="0" fontId="22" fillId="52" borderId="0" applyNumberFormat="0" applyBorder="0" applyAlignment="0" applyProtection="0"/>
    <xf numFmtId="0" fontId="23" fillId="29" borderId="0" applyNumberFormat="0" applyBorder="0" applyAlignment="0" applyProtection="0"/>
    <xf numFmtId="165" fontId="24" fillId="0" borderId="0" applyFont="0" applyFill="0" applyBorder="0" applyAlignment="0" applyProtection="0"/>
    <xf numFmtId="0" fontId="24" fillId="53" borderId="0" applyBorder="0">
      <alignment horizontal="left"/>
      <protection locked="0"/>
    </xf>
    <xf numFmtId="0" fontId="25" fillId="54" borderId="0" applyNumberFormat="0" applyBorder="0">
      <alignment horizontal="centerContinuous"/>
      <protection locked="0"/>
    </xf>
    <xf numFmtId="166" fontId="26" fillId="55" borderId="0" applyBorder="0">
      <alignment horizontal="center"/>
      <protection locked="0"/>
    </xf>
    <xf numFmtId="3" fontId="26" fillId="54" borderId="0" applyBorder="0">
      <alignment horizontal="right"/>
      <protection locked="0"/>
    </xf>
    <xf numFmtId="0" fontId="27" fillId="55" borderId="0" applyNumberFormat="0" applyBorder="0">
      <alignment horizontal="centerContinuous"/>
      <protection locked="0"/>
    </xf>
    <xf numFmtId="165" fontId="26" fillId="56" borderId="0" applyBorder="0">
      <alignment horizontal="center"/>
      <protection locked="0"/>
    </xf>
    <xf numFmtId="165" fontId="26" fillId="56" borderId="0" applyBorder="0">
      <alignment horizontal="center"/>
      <protection locked="0"/>
    </xf>
    <xf numFmtId="165" fontId="26" fillId="56" borderId="0" applyBorder="0">
      <alignment horizontal="center"/>
      <protection locked="0"/>
    </xf>
    <xf numFmtId="166" fontId="24" fillId="54" borderId="10" applyNumberFormat="0" applyFont="0" applyFill="0" applyAlignment="0" applyProtection="0">
      <protection locked="0"/>
    </xf>
    <xf numFmtId="166" fontId="24" fillId="54" borderId="10" applyNumberFormat="0" applyFont="0" applyFill="0" applyAlignment="0" applyProtection="0">
      <protection locked="0"/>
    </xf>
    <xf numFmtId="166" fontId="24" fillId="54" borderId="10" applyNumberFormat="0" applyFont="0" applyFill="0" applyAlignment="0" applyProtection="0">
      <protection locked="0"/>
    </xf>
    <xf numFmtId="3" fontId="26" fillId="53" borderId="0" applyBorder="0">
      <alignment horizontal="right"/>
      <protection locked="0"/>
    </xf>
    <xf numFmtId="166" fontId="28" fillId="0" borderId="0" applyFont="0" applyFill="0" applyBorder="0" applyAlignment="0" applyProtection="0">
      <alignment horizontal="center"/>
      <protection locked="0"/>
    </xf>
    <xf numFmtId="166" fontId="28" fillId="0" borderId="0" applyFont="0" applyFill="0" applyBorder="0" applyAlignment="0">
      <alignment horizontal="center"/>
      <protection locked="0"/>
    </xf>
    <xf numFmtId="166" fontId="28" fillId="0" borderId="0" applyFont="0" applyFill="0" applyBorder="0" applyAlignment="0" applyProtection="0">
      <alignment horizontal="center"/>
      <protection locked="0"/>
    </xf>
    <xf numFmtId="3" fontId="26" fillId="55" borderId="0" applyBorder="0">
      <alignment horizontal="right"/>
      <protection locked="0"/>
    </xf>
    <xf numFmtId="0" fontId="29" fillId="35" borderId="0" applyNumberFormat="0" applyBorder="0" applyAlignment="0" applyProtection="0"/>
    <xf numFmtId="0" fontId="29" fillId="35"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30" fillId="3" borderId="0" applyNumberFormat="0" applyBorder="0" applyAlignment="0" applyProtection="0"/>
    <xf numFmtId="0" fontId="29" fillId="35" borderId="0" applyNumberFormat="0" applyBorder="0" applyAlignment="0" applyProtection="0"/>
    <xf numFmtId="0" fontId="30" fillId="3" borderId="0" applyNumberFormat="0" applyBorder="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10" fillId="6" borderId="4"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2" fillId="6" borderId="4"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1" fillId="40" borderId="16" applyNumberFormat="0" applyAlignment="0" applyProtection="0"/>
    <xf numFmtId="0" fontId="32" fillId="6" borderId="4" applyNumberFormat="0" applyAlignment="0" applyProtection="0"/>
    <xf numFmtId="0" fontId="33" fillId="57" borderId="17" applyNumberFormat="0" applyAlignment="0" applyProtection="0"/>
    <xf numFmtId="0" fontId="33" fillId="57" borderId="17" applyNumberFormat="0" applyAlignment="0" applyProtection="0"/>
    <xf numFmtId="0" fontId="12" fillId="7" borderId="7" applyNumberFormat="0" applyAlignment="0" applyProtection="0"/>
    <xf numFmtId="0" fontId="12" fillId="7" borderId="7" applyNumberFormat="0" applyAlignment="0" applyProtection="0"/>
    <xf numFmtId="0" fontId="34" fillId="7" borderId="7" applyNumberFormat="0" applyAlignment="0" applyProtection="0"/>
    <xf numFmtId="0" fontId="33" fillId="57" borderId="17" applyNumberFormat="0" applyAlignment="0" applyProtection="0"/>
    <xf numFmtId="0" fontId="34" fillId="7" borderId="7" applyNumberFormat="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167" fontId="24" fillId="0" borderId="0" applyFont="0" applyFill="0" applyBorder="0" applyAlignment="0" applyProtection="0"/>
    <xf numFmtId="43" fontId="24" fillId="0" borderId="0" applyFont="0" applyFill="0" applyBorder="0" applyAlignment="0" applyProtection="0"/>
    <xf numFmtId="43" fontId="3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alignment vertical="top"/>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35"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3" fontId="3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4" fillId="0" borderId="0" applyFont="0" applyFill="0" applyBorder="0" applyAlignment="0" applyProtection="0"/>
    <xf numFmtId="44" fontId="38" fillId="0" borderId="0" applyFont="0" applyFill="0" applyBorder="0" applyAlignment="0" applyProtection="0"/>
    <xf numFmtId="44" fontId="39"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40" fillId="0" borderId="0" applyFont="0" applyFill="0" applyBorder="0" applyAlignment="0" applyProtection="0"/>
    <xf numFmtId="44" fontId="3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0" fillId="0" borderId="0" applyFont="0" applyFill="0" applyBorder="0" applyAlignment="0" applyProtection="0"/>
    <xf numFmtId="44" fontId="37" fillId="0" borderId="0" applyFont="0" applyFill="0" applyBorder="0" applyAlignment="0" applyProtection="0"/>
    <xf numFmtId="44" fontId="24" fillId="0" borderId="0" applyFont="0" applyFill="0" applyBorder="0" applyAlignment="0" applyProtection="0"/>
    <xf numFmtId="44" fontId="37" fillId="0" borderId="0" applyFont="0" applyFill="0" applyBorder="0" applyAlignment="0" applyProtection="0"/>
    <xf numFmtId="44" fontId="1" fillId="0" borderId="0" applyFont="0" applyFill="0" applyBorder="0" applyAlignment="0" applyProtection="0"/>
    <xf numFmtId="44" fontId="37" fillId="0" borderId="0" applyFont="0" applyFill="0" applyBorder="0" applyAlignment="0" applyProtection="0"/>
    <xf numFmtId="44" fontId="39" fillId="0" borderId="0" applyFont="0" applyFill="0" applyBorder="0" applyAlignment="0" applyProtection="0"/>
    <xf numFmtId="44" fontId="37" fillId="0" borderId="0" applyFont="0" applyFill="0" applyBorder="0" applyAlignment="0" applyProtection="0"/>
    <xf numFmtId="44" fontId="3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9" fillId="0" borderId="0" applyFont="0" applyFill="0" applyBorder="0" applyAlignment="0" applyProtection="0"/>
    <xf numFmtId="4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8" fontId="24" fillId="0" borderId="0" applyFont="0" applyFill="0" applyBorder="0" applyAlignment="0" applyProtection="0"/>
    <xf numFmtId="169" fontId="24" fillId="0" borderId="0" applyFont="0" applyFill="0" applyBorder="0" applyAlignment="0" applyProtection="0"/>
    <xf numFmtId="3" fontId="41" fillId="55" borderId="0" applyBorder="0">
      <alignment horizontal="center"/>
      <protection locked="0"/>
    </xf>
    <xf numFmtId="0" fontId="42" fillId="0" borderId="0" applyNumberFormat="0" applyFill="0" applyBorder="0" applyAlignment="0" applyProtection="0"/>
    <xf numFmtId="0" fontId="42"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2" fontId="24" fillId="0" borderId="0" applyFont="0" applyFill="0" applyBorder="0" applyAlignment="0" applyProtection="0"/>
    <xf numFmtId="0" fontId="44" fillId="36" borderId="0" applyNumberFormat="0" applyBorder="0" applyAlignment="0" applyProtection="0"/>
    <xf numFmtId="0" fontId="44" fillId="36"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0" fontId="45" fillId="2" borderId="0" applyNumberFormat="0" applyBorder="0" applyAlignment="0" applyProtection="0"/>
    <xf numFmtId="0" fontId="44" fillId="36" borderId="0" applyNumberFormat="0" applyBorder="0" applyAlignment="0" applyProtection="0"/>
    <xf numFmtId="0" fontId="45" fillId="2" borderId="0" applyNumberFormat="0" applyBorder="0" applyAlignment="0" applyProtection="0"/>
    <xf numFmtId="0" fontId="46" fillId="58" borderId="15" applyFont="0" applyBorder="0" applyAlignment="0"/>
    <xf numFmtId="0" fontId="47" fillId="0" borderId="18" applyNumberFormat="0" applyFill="0" applyAlignment="0" applyProtection="0"/>
    <xf numFmtId="0" fontId="47" fillId="0" borderId="18" applyNumberFormat="0" applyFill="0" applyAlignment="0" applyProtection="0"/>
    <xf numFmtId="0" fontId="48" fillId="0" borderId="19" applyNumberFormat="0" applyFill="0" applyAlignment="0" applyProtection="0"/>
    <xf numFmtId="0" fontId="2" fillId="0" borderId="1" applyNumberFormat="0" applyFill="0" applyAlignment="0" applyProtection="0"/>
    <xf numFmtId="0" fontId="49" fillId="0" borderId="1" applyNumberFormat="0" applyFill="0" applyAlignment="0" applyProtection="0"/>
    <xf numFmtId="0" fontId="47" fillId="0" borderId="18" applyNumberFormat="0" applyFill="0" applyAlignment="0" applyProtection="0"/>
    <xf numFmtId="0" fontId="47" fillId="0" borderId="18" applyNumberFormat="0" applyFill="0" applyAlignment="0" applyProtection="0"/>
    <xf numFmtId="0" fontId="2" fillId="0" borderId="1" applyNumberFormat="0" applyFill="0" applyAlignment="0" applyProtection="0"/>
    <xf numFmtId="0" fontId="49" fillId="0" borderId="1" applyNumberFormat="0" applyFill="0" applyAlignment="0" applyProtection="0"/>
    <xf numFmtId="0" fontId="50" fillId="0" borderId="20" applyNumberFormat="0" applyFill="0" applyAlignment="0" applyProtection="0"/>
    <xf numFmtId="0" fontId="50" fillId="0" borderId="20" applyNumberFormat="0" applyFill="0" applyAlignment="0" applyProtection="0"/>
    <xf numFmtId="0" fontId="3" fillId="0" borderId="2" applyNumberFormat="0" applyFill="0" applyAlignment="0" applyProtection="0"/>
    <xf numFmtId="0" fontId="51" fillId="0" borderId="2" applyNumberFormat="0" applyFill="0" applyAlignment="0" applyProtection="0"/>
    <xf numFmtId="0" fontId="50" fillId="0" borderId="20" applyNumberFormat="0" applyFill="0" applyAlignment="0" applyProtection="0"/>
    <xf numFmtId="0" fontId="51" fillId="0" borderId="2"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4" fillId="0" borderId="3"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3" fillId="0" borderId="3" applyNumberFormat="0" applyFill="0" applyAlignment="0" applyProtection="0"/>
    <xf numFmtId="0" fontId="52" fillId="0" borderId="21" applyNumberFormat="0" applyFill="0" applyAlignment="0" applyProtection="0"/>
    <xf numFmtId="0" fontId="52" fillId="0" borderId="21" applyNumberFormat="0" applyFill="0" applyAlignment="0" applyProtection="0"/>
    <xf numFmtId="0" fontId="53" fillId="0" borderId="3" applyNumberFormat="0" applyFill="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4" fillId="0" borderId="0" applyNumberFormat="0" applyFill="0" applyBorder="0" applyAlignment="0" applyProtection="0"/>
    <xf numFmtId="0" fontId="54"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4" fillId="0" borderId="0" applyNumberFormat="0" applyFill="0" applyBorder="0" applyAlignment="0" applyProtection="0"/>
    <xf numFmtId="0" fontId="53" fillId="0" borderId="0" applyNumberFormat="0" applyFill="0" applyBorder="0" applyAlignment="0" applyProtection="0"/>
    <xf numFmtId="0" fontId="55"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0" fontId="60" fillId="0" borderId="0" applyNumberFormat="0" applyFill="0" applyBorder="0" applyAlignment="0" applyProtection="0"/>
    <xf numFmtId="0" fontId="61"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56" fillId="0" borderId="0" applyNumberFormat="0" applyFill="0" applyBorder="0" applyAlignment="0" applyProtection="0"/>
    <xf numFmtId="0" fontId="62"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60" fillId="0" borderId="0" applyNumberFormat="0" applyFill="0" applyBorder="0" applyAlignment="0" applyProtection="0"/>
    <xf numFmtId="0" fontId="59" fillId="0" borderId="0" applyNumberFormat="0" applyFill="0" applyBorder="0" applyAlignment="0" applyProtection="0">
      <alignment vertical="top"/>
      <protection locked="0"/>
    </xf>
    <xf numFmtId="0" fontId="64"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60" fillId="0" borderId="0" applyNumberFormat="0" applyFill="0" applyBorder="0" applyAlignment="0" applyProtection="0"/>
    <xf numFmtId="0" fontId="57" fillId="0" borderId="0" applyNumberFormat="0" applyFill="0" applyBorder="0" applyAlignment="0" applyProtection="0">
      <alignment vertical="top"/>
      <protection locked="0"/>
    </xf>
    <xf numFmtId="0" fontId="60" fillId="0" borderId="0" applyNumberFormat="0" applyFill="0" applyBorder="0" applyAlignment="0" applyProtection="0"/>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6" fillId="0" borderId="0" applyNumberFormat="0" applyFill="0" applyBorder="0" applyAlignment="0" applyProtection="0">
      <alignment vertical="top"/>
      <protection locked="0"/>
    </xf>
    <xf numFmtId="0" fontId="57" fillId="0" borderId="0" applyNumberFormat="0" applyFill="0" applyBorder="0" applyAlignment="0" applyProtection="0"/>
    <xf numFmtId="0" fontId="65" fillId="39"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8" fillId="5" borderId="4"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6" fillId="5" borderId="4"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40"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5" fillId="39" borderId="16" applyNumberFormat="0" applyAlignment="0" applyProtection="0"/>
    <xf numFmtId="0" fontId="66" fillId="5" borderId="4" applyNumberFormat="0" applyAlignment="0" applyProtection="0"/>
    <xf numFmtId="38" fontId="67" fillId="0" borderId="0"/>
    <xf numFmtId="38" fontId="68" fillId="0" borderId="0"/>
    <xf numFmtId="38" fontId="69" fillId="0" borderId="0"/>
    <xf numFmtId="38" fontId="70" fillId="0" borderId="0"/>
    <xf numFmtId="0" fontId="71" fillId="0" borderId="0"/>
    <xf numFmtId="0" fontId="71" fillId="0" borderId="0"/>
    <xf numFmtId="0" fontId="72" fillId="0" borderId="22" applyNumberFormat="0" applyFill="0" applyAlignment="0" applyProtection="0"/>
    <xf numFmtId="0" fontId="72" fillId="0" borderId="22" applyNumberFormat="0" applyFill="0" applyAlignment="0" applyProtection="0"/>
    <xf numFmtId="0" fontId="11" fillId="0" borderId="6" applyNumberFormat="0" applyFill="0" applyAlignment="0" applyProtection="0"/>
    <xf numFmtId="0" fontId="11" fillId="0" borderId="6" applyNumberFormat="0" applyFill="0" applyAlignment="0" applyProtection="0"/>
    <xf numFmtId="0" fontId="73" fillId="0" borderId="6" applyNumberFormat="0" applyFill="0" applyAlignment="0" applyProtection="0"/>
    <xf numFmtId="0" fontId="72" fillId="0" borderId="22" applyNumberFormat="0" applyFill="0" applyAlignment="0" applyProtection="0"/>
    <xf numFmtId="0" fontId="73" fillId="0" borderId="6" applyNumberFormat="0" applyFill="0" applyAlignment="0" applyProtection="0"/>
    <xf numFmtId="0" fontId="74" fillId="59" borderId="0" applyNumberFormat="0" applyBorder="0" applyAlignment="0" applyProtection="0"/>
    <xf numFmtId="0" fontId="74" fillId="59"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75" fillId="4" borderId="0" applyNumberFormat="0" applyBorder="0" applyAlignment="0" applyProtection="0"/>
    <xf numFmtId="0" fontId="74" fillId="59" borderId="0" applyNumberFormat="0" applyBorder="0" applyAlignment="0" applyProtection="0"/>
    <xf numFmtId="0" fontId="75" fillId="4" borderId="0" applyNumberFormat="0" applyBorder="0" applyAlignment="0" applyProtection="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24" fillId="0" borderId="0"/>
    <xf numFmtId="0" fontId="24" fillId="0" borderId="0"/>
    <xf numFmtId="0" fontId="76" fillId="0" borderId="0"/>
    <xf numFmtId="0" fontId="76" fillId="0" borderId="0"/>
    <xf numFmtId="0" fontId="24" fillId="0" borderId="0"/>
    <xf numFmtId="0" fontId="24" fillId="0" borderId="0"/>
    <xf numFmtId="0" fontId="20" fillId="0" borderId="0"/>
    <xf numFmtId="0" fontId="1" fillId="0" borderId="0"/>
    <xf numFmtId="0" fontId="77" fillId="0" borderId="0"/>
    <xf numFmtId="0" fontId="20" fillId="0" borderId="0"/>
    <xf numFmtId="0" fontId="1" fillId="0" borderId="0"/>
    <xf numFmtId="0" fontId="35" fillId="0" borderId="0">
      <alignment vertical="top"/>
    </xf>
    <xf numFmtId="0" fontId="24" fillId="0" borderId="0"/>
    <xf numFmtId="0" fontId="77" fillId="0" borderId="0"/>
    <xf numFmtId="0" fontId="40" fillId="0" borderId="0"/>
    <xf numFmtId="0" fontId="24"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0" fontId="7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0" borderId="0"/>
    <xf numFmtId="0" fontId="20" fillId="0" borderId="0"/>
    <xf numFmtId="0" fontId="20" fillId="0" borderId="0"/>
    <xf numFmtId="0" fontId="1" fillId="0" borderId="0"/>
    <xf numFmtId="0" fontId="24" fillId="0" borderId="0"/>
    <xf numFmtId="0" fontId="20" fillId="0" borderId="0"/>
    <xf numFmtId="0" fontId="1" fillId="0" borderId="0"/>
    <xf numFmtId="0" fontId="24" fillId="0" borderId="0"/>
    <xf numFmtId="0" fontId="20" fillId="0" borderId="0"/>
    <xf numFmtId="0" fontId="20" fillId="0" borderId="0"/>
    <xf numFmtId="0" fontId="20" fillId="0" borderId="0"/>
    <xf numFmtId="0" fontId="35" fillId="0" borderId="0">
      <alignment vertical="top"/>
    </xf>
    <xf numFmtId="0" fontId="1" fillId="0" borderId="0"/>
    <xf numFmtId="0" fontId="20" fillId="0" borderId="0"/>
    <xf numFmtId="0" fontId="35" fillId="0" borderId="0">
      <alignment vertical="top"/>
    </xf>
    <xf numFmtId="0" fontId="39" fillId="0" borderId="0"/>
    <xf numFmtId="0" fontId="20" fillId="0" borderId="0"/>
    <xf numFmtId="0" fontId="20" fillId="0" borderId="0"/>
    <xf numFmtId="0" fontId="37" fillId="0" borderId="0"/>
    <xf numFmtId="0" fontId="37" fillId="0" borderId="0"/>
    <xf numFmtId="0" fontId="20" fillId="0" borderId="0"/>
    <xf numFmtId="0" fontId="37" fillId="0" borderId="0"/>
    <xf numFmtId="0" fontId="37" fillId="0" borderId="0"/>
    <xf numFmtId="0" fontId="37" fillId="0" borderId="0"/>
    <xf numFmtId="0" fontId="37" fillId="0" borderId="0"/>
    <xf numFmtId="0" fontId="1" fillId="0" borderId="0"/>
    <xf numFmtId="0" fontId="1" fillId="0" borderId="0"/>
    <xf numFmtId="0" fontId="37" fillId="0" borderId="0"/>
    <xf numFmtId="0" fontId="20" fillId="0" borderId="0"/>
    <xf numFmtId="0" fontId="20" fillId="0" borderId="0"/>
    <xf numFmtId="0" fontId="20" fillId="0" borderId="0"/>
    <xf numFmtId="0" fontId="35" fillId="0" borderId="0">
      <alignment vertical="top"/>
    </xf>
    <xf numFmtId="0" fontId="24" fillId="0" borderId="0"/>
    <xf numFmtId="0" fontId="20" fillId="0" borderId="0"/>
    <xf numFmtId="0" fontId="24" fillId="0" borderId="0"/>
    <xf numFmtId="0" fontId="24" fillId="0" borderId="0"/>
    <xf numFmtId="0" fontId="35" fillId="0" borderId="0">
      <alignment vertical="top"/>
    </xf>
    <xf numFmtId="0" fontId="24" fillId="0" borderId="0"/>
    <xf numFmtId="0" fontId="24" fillId="0" borderId="0"/>
    <xf numFmtId="164"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24" fillId="0" borderId="0"/>
    <xf numFmtId="0" fontId="79" fillId="0" borderId="0"/>
    <xf numFmtId="0" fontId="1" fillId="0" borderId="0"/>
    <xf numFmtId="0" fontId="79" fillId="0" borderId="0"/>
    <xf numFmtId="0" fontId="24" fillId="0" borderId="0"/>
    <xf numFmtId="0" fontId="20" fillId="0" borderId="0"/>
    <xf numFmtId="0" fontId="8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24" fillId="0" borderId="0"/>
    <xf numFmtId="0" fontId="35" fillId="0" borderId="0">
      <alignment vertical="top"/>
    </xf>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24" fillId="0" borderId="0"/>
    <xf numFmtId="0" fontId="1" fillId="0" borderId="0"/>
    <xf numFmtId="0" fontId="1" fillId="0" borderId="0"/>
    <xf numFmtId="0" fontId="37" fillId="0" borderId="0"/>
    <xf numFmtId="0" fontId="1" fillId="0" borderId="0"/>
    <xf numFmtId="0" fontId="1" fillId="0" borderId="0"/>
    <xf numFmtId="0" fontId="1" fillId="0" borderId="0"/>
    <xf numFmtId="0" fontId="24" fillId="0" borderId="0"/>
    <xf numFmtId="0" fontId="8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2"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40" fillId="0" borderId="0"/>
    <xf numFmtId="0" fontId="1" fillId="0" borderId="0"/>
    <xf numFmtId="0" fontId="1" fillId="0" borderId="0"/>
    <xf numFmtId="0" fontId="37" fillId="0" borderId="0"/>
    <xf numFmtId="0" fontId="1" fillId="0" borderId="0"/>
    <xf numFmtId="0" fontId="1" fillId="0" borderId="0"/>
    <xf numFmtId="0" fontId="83" fillId="0" borderId="0"/>
    <xf numFmtId="0" fontId="83" fillId="0" borderId="0"/>
    <xf numFmtId="0" fontId="83" fillId="0" borderId="0"/>
    <xf numFmtId="0" fontId="1" fillId="0" borderId="0"/>
    <xf numFmtId="0" fontId="1" fillId="0" borderId="0"/>
    <xf numFmtId="0" fontId="83" fillId="0" borderId="0"/>
    <xf numFmtId="0" fontId="1" fillId="0" borderId="0"/>
    <xf numFmtId="0" fontId="20" fillId="0" borderId="0"/>
    <xf numFmtId="0" fontId="2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2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40"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4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20" fillId="0" borderId="0"/>
    <xf numFmtId="0" fontId="40" fillId="0" borderId="0"/>
    <xf numFmtId="0" fontId="1" fillId="0" borderId="0"/>
    <xf numFmtId="0" fontId="1" fillId="0" borderId="0"/>
    <xf numFmtId="0" fontId="40" fillId="0" borderId="0"/>
    <xf numFmtId="3" fontId="84" fillId="0" borderId="0">
      <alignment vertical="top" wrapText="1"/>
    </xf>
    <xf numFmtId="0" fontId="40" fillId="0" borderId="0"/>
    <xf numFmtId="0" fontId="40" fillId="0" borderId="0"/>
    <xf numFmtId="0" fontId="40" fillId="0" borderId="0"/>
    <xf numFmtId="0" fontId="40" fillId="0" borderId="0"/>
    <xf numFmtId="0" fontId="20" fillId="0" borderId="0"/>
    <xf numFmtId="0" fontId="2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20" fillId="0" borderId="0"/>
    <xf numFmtId="0" fontId="40"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85" fillId="0" borderId="0"/>
    <xf numFmtId="0" fontId="40"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5"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39" fillId="0" borderId="0"/>
    <xf numFmtId="0" fontId="76" fillId="0" borderId="0"/>
    <xf numFmtId="0" fontId="1" fillId="0" borderId="0"/>
    <xf numFmtId="0" fontId="24"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40" fillId="0" borderId="0"/>
    <xf numFmtId="0" fontId="1" fillId="0" borderId="0"/>
    <xf numFmtId="0" fontId="24" fillId="0" borderId="0" applyFill="0"/>
    <xf numFmtId="0" fontId="1" fillId="0" borderId="0"/>
    <xf numFmtId="0" fontId="24" fillId="0" borderId="0"/>
    <xf numFmtId="0" fontId="24" fillId="0" borderId="0" applyFill="0"/>
    <xf numFmtId="0" fontId="40" fillId="0" borderId="0"/>
    <xf numFmtId="0" fontId="1" fillId="0" borderId="0"/>
    <xf numFmtId="0" fontId="24" fillId="0" borderId="0" applyFill="0"/>
    <xf numFmtId="0" fontId="20" fillId="0" borderId="0"/>
    <xf numFmtId="0" fontId="20" fillId="0" borderId="0"/>
    <xf numFmtId="0" fontId="40" fillId="0" borderId="0"/>
    <xf numFmtId="0" fontId="1" fillId="0" borderId="0"/>
    <xf numFmtId="0" fontId="24" fillId="0" borderId="0" applyFill="0"/>
    <xf numFmtId="0" fontId="40" fillId="0" borderId="0"/>
    <xf numFmtId="0" fontId="24" fillId="0" borderId="0"/>
    <xf numFmtId="0" fontId="24" fillId="0" borderId="0" applyFill="0"/>
    <xf numFmtId="0" fontId="40" fillId="0" borderId="0"/>
    <xf numFmtId="0" fontId="1" fillId="0" borderId="0"/>
    <xf numFmtId="0" fontId="24"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0" fillId="0" borderId="0"/>
    <xf numFmtId="0" fontId="20" fillId="0" borderId="0"/>
    <xf numFmtId="0" fontId="24" fillId="0" borderId="0" applyFill="0"/>
    <xf numFmtId="0" fontId="1" fillId="0" borderId="0"/>
    <xf numFmtId="0" fontId="24" fillId="0" borderId="0"/>
    <xf numFmtId="0" fontId="24" fillId="0" borderId="0" applyFill="0"/>
    <xf numFmtId="0" fontId="24" fillId="0" borderId="0"/>
    <xf numFmtId="0" fontId="24" fillId="0" borderId="0"/>
    <xf numFmtId="0" fontId="1" fillId="0" borderId="0"/>
    <xf numFmtId="0" fontId="24" fillId="0" borderId="0"/>
    <xf numFmtId="164" fontId="24" fillId="0" borderId="0"/>
    <xf numFmtId="0" fontId="24" fillId="0" borderId="0"/>
    <xf numFmtId="164" fontId="24" fillId="0" borderId="0"/>
    <xf numFmtId="0" fontId="24" fillId="0" borderId="0"/>
    <xf numFmtId="0" fontId="24" fillId="0" borderId="0"/>
    <xf numFmtId="0" fontId="35" fillId="0" borderId="0">
      <alignment vertical="top"/>
    </xf>
    <xf numFmtId="0" fontId="40" fillId="0" borderId="0"/>
    <xf numFmtId="0" fontId="37" fillId="0" borderId="0"/>
    <xf numFmtId="0" fontId="1" fillId="0" borderId="0"/>
    <xf numFmtId="0" fontId="35" fillId="0" borderId="0">
      <alignment vertical="top"/>
    </xf>
    <xf numFmtId="0" fontId="24" fillId="0" borderId="0"/>
    <xf numFmtId="0" fontId="35" fillId="0" borderId="0">
      <alignment vertical="top"/>
    </xf>
    <xf numFmtId="0" fontId="37" fillId="0" borderId="0"/>
    <xf numFmtId="0" fontId="80" fillId="0" borderId="0"/>
    <xf numFmtId="0" fontId="1" fillId="0" borderId="0"/>
    <xf numFmtId="0" fontId="1" fillId="0" borderId="0"/>
    <xf numFmtId="0" fontId="1" fillId="0" borderId="0"/>
    <xf numFmtId="0" fontId="35" fillId="0" borderId="0">
      <alignment vertical="top"/>
    </xf>
    <xf numFmtId="0" fontId="1" fillId="0" borderId="0"/>
    <xf numFmtId="0" fontId="35" fillId="0" borderId="0">
      <alignment vertical="top"/>
    </xf>
    <xf numFmtId="0" fontId="77" fillId="0" borderId="0"/>
    <xf numFmtId="0" fontId="24"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24"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39" fillId="0" borderId="0"/>
    <xf numFmtId="0" fontId="1" fillId="0" borderId="0"/>
    <xf numFmtId="0" fontId="1" fillId="0" borderId="0"/>
    <xf numFmtId="0" fontId="1" fillId="0" borderId="0"/>
    <xf numFmtId="0" fontId="1" fillId="0" borderId="0"/>
    <xf numFmtId="0" fontId="35" fillId="0" borderId="0">
      <alignment vertical="top"/>
    </xf>
    <xf numFmtId="0" fontId="20" fillId="0" borderId="0"/>
    <xf numFmtId="0" fontId="20" fillId="0" borderId="0"/>
    <xf numFmtId="0" fontId="24" fillId="0" borderId="0"/>
    <xf numFmtId="0" fontId="1" fillId="0" borderId="0"/>
    <xf numFmtId="0" fontId="1" fillId="0" borderId="0"/>
    <xf numFmtId="0" fontId="1" fillId="0" borderId="0"/>
    <xf numFmtId="0" fontId="1" fillId="0" borderId="0"/>
    <xf numFmtId="0" fontId="1" fillId="0" borderId="0"/>
    <xf numFmtId="0" fontId="24"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4" fillId="0" borderId="0"/>
    <xf numFmtId="0" fontId="20"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20"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20"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20"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20"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20" fillId="0" borderId="0"/>
    <xf numFmtId="0" fontId="24" fillId="0" borderId="0"/>
    <xf numFmtId="0" fontId="24" fillId="0" borderId="0"/>
    <xf numFmtId="0" fontId="24" fillId="0" borderId="0"/>
    <xf numFmtId="0" fontId="24" fillId="0" borderId="0"/>
    <xf numFmtId="0" fontId="20" fillId="0" borderId="0"/>
    <xf numFmtId="0" fontId="20" fillId="0" borderId="0"/>
    <xf numFmtId="0" fontId="1" fillId="0" borderId="0"/>
    <xf numFmtId="0" fontId="24" fillId="0" borderId="0"/>
    <xf numFmtId="0" fontId="20" fillId="0" borderId="0"/>
    <xf numFmtId="0" fontId="20" fillId="0" borderId="0"/>
    <xf numFmtId="0" fontId="2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24"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4" fillId="0" borderId="0"/>
    <xf numFmtId="0" fontId="20" fillId="0" borderId="0"/>
    <xf numFmtId="0" fontId="20" fillId="0" borderId="0"/>
    <xf numFmtId="0" fontId="24" fillId="0" borderId="0"/>
    <xf numFmtId="0" fontId="20" fillId="0" borderId="0"/>
    <xf numFmtId="0" fontId="20" fillId="0" borderId="0"/>
    <xf numFmtId="0" fontId="24" fillId="0" borderId="0"/>
    <xf numFmtId="0" fontId="20" fillId="0" borderId="0"/>
    <xf numFmtId="0" fontId="20" fillId="0" borderId="0"/>
    <xf numFmtId="0" fontId="24" fillId="0" borderId="0"/>
    <xf numFmtId="0" fontId="20" fillId="0" borderId="0"/>
    <xf numFmtId="0" fontId="20" fillId="0" borderId="0"/>
    <xf numFmtId="0" fontId="24" fillId="0" borderId="0"/>
    <xf numFmtId="0" fontId="20" fillId="0" borderId="0"/>
    <xf numFmtId="0" fontId="20" fillId="0" borderId="0"/>
    <xf numFmtId="0" fontId="24" fillId="0" borderId="0"/>
    <xf numFmtId="0" fontId="20" fillId="0" borderId="0"/>
    <xf numFmtId="0" fontId="20" fillId="0" borderId="0"/>
    <xf numFmtId="0" fontId="24" fillId="0" borderId="0"/>
    <xf numFmtId="0" fontId="1" fillId="0" borderId="0"/>
    <xf numFmtId="0" fontId="24" fillId="0" borderId="0"/>
    <xf numFmtId="0" fontId="20"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20"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3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38"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20"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5" fillId="0" borderId="0">
      <alignment vertical="top"/>
    </xf>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24"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1"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1"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1"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0"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4" fillId="60" borderId="23"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1" fillId="60" borderId="23"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20"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9" fillId="6" borderId="5"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8" fillId="6" borderId="5"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7" fillId="40" borderId="24" applyNumberFormat="0" applyAlignment="0" applyProtection="0"/>
    <xf numFmtId="0" fontId="88" fillId="6" borderId="5" applyNumberFormat="0" applyAlignment="0" applyProtection="0"/>
    <xf numFmtId="9" fontId="24" fillId="0" borderId="0" applyFont="0" applyFill="0" applyBorder="0" applyAlignment="0" applyProtection="0"/>
    <xf numFmtId="9" fontId="24" fillId="0" borderId="0" applyFont="0" applyFill="0" applyBorder="0" applyAlignment="0" applyProtection="0"/>
    <xf numFmtId="9" fontId="39"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24"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24" fillId="0" borderId="0" applyFont="0" applyFill="0" applyBorder="0" applyAlignment="0" applyProtection="0"/>
    <xf numFmtId="9" fontId="35"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39"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9"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5"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89" fillId="0" borderId="0"/>
    <xf numFmtId="0" fontId="90" fillId="0" borderId="0"/>
    <xf numFmtId="0" fontId="91" fillId="0" borderId="0" applyNumberFormat="0" applyFill="0" applyBorder="0" applyAlignment="0" applyProtection="0"/>
    <xf numFmtId="0" fontId="91" fillId="0" borderId="0" applyNumberFormat="0" applyFill="0" applyBorder="0" applyAlignment="0" applyProtection="0"/>
    <xf numFmtId="0" fontId="92" fillId="0" borderId="0" applyNumberFormat="0" applyFill="0" applyBorder="0" applyAlignment="0" applyProtection="0"/>
    <xf numFmtId="0" fontId="91" fillId="0" borderId="0" applyNumberFormat="0" applyFill="0" applyBorder="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15" fillId="0" borderId="26"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19" fillId="0" borderId="9"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15" fillId="0" borderId="9" applyNumberFormat="0" applyFill="0" applyAlignment="0" applyProtection="0"/>
    <xf numFmtId="0" fontId="93" fillId="0" borderId="25" applyNumberFormat="0" applyFill="0" applyAlignment="0" applyProtection="0"/>
    <xf numFmtId="0" fontId="93" fillId="0" borderId="25" applyNumberFormat="0" applyFill="0" applyAlignment="0" applyProtection="0"/>
    <xf numFmtId="0" fontId="19" fillId="0" borderId="9" applyNumberFormat="0" applyFill="0" applyAlignment="0" applyProtection="0"/>
    <xf numFmtId="3" fontId="94" fillId="54" borderId="0" applyBorder="0">
      <alignment horizontal="center"/>
      <protection locked="0"/>
    </xf>
    <xf numFmtId="0" fontId="95" fillId="0" borderId="0" applyNumberFormat="0" applyFill="0" applyBorder="0" applyAlignment="0" applyProtection="0"/>
    <xf numFmtId="0" fontId="95"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96" fillId="0" borderId="0" applyNumberFormat="0" applyFill="0" applyBorder="0" applyAlignment="0" applyProtection="0"/>
    <xf numFmtId="0" fontId="95" fillId="0" borderId="0" applyNumberFormat="0" applyFill="0" applyBorder="0" applyAlignment="0" applyProtection="0"/>
    <xf numFmtId="0" fontId="96" fillId="0" borderId="0" applyNumberFormat="0" applyFill="0" applyBorder="0" applyAlignment="0" applyProtection="0"/>
    <xf numFmtId="0" fontId="76"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0" fontId="1" fillId="8" borderId="8"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27" fillId="0" borderId="0"/>
    <xf numFmtId="0" fontId="60" fillId="0" borderId="0" applyNumberFormat="0" applyFill="0" applyBorder="0" applyAlignment="0" applyProtection="0"/>
  </cellStyleXfs>
  <cellXfs count="632">
    <xf numFmtId="0" fontId="0" fillId="0" borderId="0" xfId="0"/>
    <xf numFmtId="0" fontId="0" fillId="33" borderId="10" xfId="0" applyFill="1" applyBorder="1"/>
    <xf numFmtId="0" fontId="0" fillId="0" borderId="0" xfId="0" applyAlignment="1">
      <alignment horizontal="right"/>
    </xf>
    <xf numFmtId="14" fontId="0" fillId="0" borderId="0" xfId="0" applyNumberFormat="1"/>
    <xf numFmtId="0" fontId="0" fillId="0" borderId="0" xfId="0"/>
    <xf numFmtId="164" fontId="1" fillId="0" borderId="0" xfId="1"/>
    <xf numFmtId="49" fontId="1" fillId="0" borderId="0" xfId="1" applyNumberFormat="1"/>
    <xf numFmtId="0" fontId="17" fillId="61" borderId="0" xfId="0" applyFont="1" applyFill="1" applyBorder="1"/>
    <xf numFmtId="0" fontId="15" fillId="61" borderId="14" xfId="0" applyFont="1" applyFill="1" applyBorder="1"/>
    <xf numFmtId="49" fontId="0" fillId="0" borderId="0" xfId="1" applyNumberFormat="1" applyFont="1"/>
    <xf numFmtId="0" fontId="0" fillId="61" borderId="0" xfId="0" applyFill="1" applyBorder="1"/>
    <xf numFmtId="0" fontId="97" fillId="0" borderId="0" xfId="0" applyFont="1"/>
    <xf numFmtId="0" fontId="0" fillId="0" borderId="32" xfId="0" applyBorder="1"/>
    <xf numFmtId="0" fontId="0" fillId="0" borderId="33" xfId="0" applyBorder="1"/>
    <xf numFmtId="0" fontId="0" fillId="0" borderId="34" xfId="0" applyBorder="1"/>
    <xf numFmtId="0" fontId="0" fillId="0" borderId="30" xfId="0" applyBorder="1"/>
    <xf numFmtId="0" fontId="0" fillId="0" borderId="0" xfId="0" applyBorder="1"/>
    <xf numFmtId="0" fontId="0" fillId="0" borderId="31" xfId="0" applyBorder="1"/>
    <xf numFmtId="0" fontId="97" fillId="0" borderId="30" xfId="0" applyFont="1" applyBorder="1"/>
    <xf numFmtId="0" fontId="0" fillId="0" borderId="0" xfId="0" applyBorder="1" applyAlignment="1">
      <alignment horizontal="right"/>
    </xf>
    <xf numFmtId="0" fontId="0" fillId="62" borderId="27" xfId="0" applyFill="1" applyBorder="1"/>
    <xf numFmtId="0" fontId="0" fillId="62" borderId="28" xfId="0" applyFill="1" applyBorder="1"/>
    <xf numFmtId="0" fontId="0" fillId="62" borderId="32" xfId="0" applyFill="1" applyBorder="1"/>
    <xf numFmtId="0" fontId="0" fillId="62" borderId="33" xfId="0" applyFill="1" applyBorder="1"/>
    <xf numFmtId="0" fontId="0" fillId="63" borderId="28" xfId="0" applyFill="1" applyBorder="1"/>
    <xf numFmtId="0" fontId="0" fillId="63" borderId="33" xfId="0" applyFill="1" applyBorder="1"/>
    <xf numFmtId="0" fontId="99" fillId="0" borderId="0" xfId="0" applyFont="1"/>
    <xf numFmtId="14" fontId="99" fillId="0" borderId="0" xfId="0" applyNumberFormat="1" applyFont="1" applyAlignment="1">
      <alignment horizontal="left"/>
    </xf>
    <xf numFmtId="0" fontId="99" fillId="0" borderId="0" xfId="0" applyFont="1" applyAlignment="1">
      <alignment horizontal="right"/>
    </xf>
    <xf numFmtId="14" fontId="0" fillId="33" borderId="10" xfId="0" applyNumberFormat="1" applyFill="1" applyBorder="1" applyAlignment="1">
      <alignment horizontal="left"/>
    </xf>
    <xf numFmtId="171" fontId="0" fillId="33" borderId="10" xfId="0" applyNumberFormat="1" applyFill="1" applyBorder="1" applyAlignment="1">
      <alignment horizontal="left"/>
    </xf>
    <xf numFmtId="0" fontId="0" fillId="33" borderId="10" xfId="0" applyFill="1" applyBorder="1" applyAlignment="1">
      <alignment horizontal="left"/>
    </xf>
    <xf numFmtId="0" fontId="0" fillId="0" borderId="0" xfId="0" applyBorder="1" applyAlignment="1">
      <alignment horizontal="left"/>
    </xf>
    <xf numFmtId="0" fontId="15" fillId="0" borderId="0" xfId="0" applyFont="1"/>
    <xf numFmtId="0" fontId="0" fillId="0" borderId="0" xfId="0" applyAlignment="1"/>
    <xf numFmtId="2" fontId="0" fillId="0" borderId="0" xfId="0" applyNumberFormat="1" applyAlignment="1">
      <alignment horizontal="left" wrapText="1"/>
    </xf>
    <xf numFmtId="0" fontId="0" fillId="0" borderId="0" xfId="0" applyAlignment="1">
      <alignment horizontal="left"/>
    </xf>
    <xf numFmtId="0" fontId="0" fillId="63" borderId="34" xfId="0" applyFill="1" applyBorder="1"/>
    <xf numFmtId="0" fontId="0" fillId="63" borderId="29" xfId="0" applyFill="1" applyBorder="1"/>
    <xf numFmtId="0" fontId="98" fillId="62" borderId="0" xfId="0" applyFont="1" applyFill="1" applyBorder="1" applyAlignment="1">
      <alignment vertical="center"/>
    </xf>
    <xf numFmtId="0" fontId="98" fillId="63" borderId="31" xfId="0" applyFont="1" applyFill="1" applyBorder="1" applyAlignment="1">
      <alignment vertical="center"/>
    </xf>
    <xf numFmtId="0" fontId="98" fillId="0" borderId="0" xfId="0" applyFont="1" applyAlignment="1">
      <alignment vertical="center"/>
    </xf>
    <xf numFmtId="0" fontId="15" fillId="61" borderId="0" xfId="0" applyFont="1" applyFill="1" applyBorder="1"/>
    <xf numFmtId="2" fontId="0" fillId="0" borderId="0" xfId="63076" applyNumberFormat="1" applyFont="1" applyAlignment="1">
      <alignment horizontal="center"/>
    </xf>
    <xf numFmtId="2" fontId="0" fillId="0" borderId="0" xfId="63076" applyNumberFormat="1" applyFont="1" applyAlignment="1">
      <alignment horizontal="left"/>
    </xf>
    <xf numFmtId="0" fontId="102" fillId="0" borderId="0" xfId="0" applyFont="1" applyAlignment="1">
      <alignment horizontal="center"/>
    </xf>
    <xf numFmtId="0" fontId="100" fillId="66" borderId="0" xfId="0" applyFont="1" applyFill="1" applyAlignment="1">
      <alignment horizontal="center"/>
    </xf>
    <xf numFmtId="2" fontId="100" fillId="66" borderId="0" xfId="63076" applyNumberFormat="1" applyFont="1" applyFill="1" applyAlignment="1">
      <alignment horizontal="left"/>
    </xf>
    <xf numFmtId="2" fontId="101" fillId="66" borderId="0" xfId="63076" applyNumberFormat="1" applyFont="1" applyFill="1" applyAlignment="1">
      <alignment horizontal="center"/>
    </xf>
    <xf numFmtId="0" fontId="100" fillId="66" borderId="0" xfId="0" applyFont="1" applyFill="1" applyAlignment="1"/>
    <xf numFmtId="2" fontId="0" fillId="0" borderId="0" xfId="63076" quotePrefix="1" applyNumberFormat="1" applyFont="1" applyAlignment="1">
      <alignment horizontal="left"/>
    </xf>
    <xf numFmtId="2" fontId="103" fillId="0" borderId="0" xfId="63076" applyNumberFormat="1" applyFont="1" applyAlignment="1">
      <alignment horizontal="left"/>
    </xf>
    <xf numFmtId="2" fontId="100" fillId="66" borderId="0" xfId="63076" applyNumberFormat="1" applyFont="1" applyFill="1" applyAlignment="1">
      <alignment horizontal="center"/>
    </xf>
    <xf numFmtId="2" fontId="103" fillId="0" borderId="0" xfId="63076" applyNumberFormat="1" applyFont="1" applyAlignment="1">
      <alignment horizontal="center"/>
    </xf>
    <xf numFmtId="2" fontId="0" fillId="0" borderId="0" xfId="63076" applyNumberFormat="1" applyFont="1" applyFill="1" applyAlignment="1">
      <alignment horizontal="center"/>
    </xf>
    <xf numFmtId="2" fontId="100" fillId="65" borderId="0" xfId="63076" applyNumberFormat="1" applyFont="1" applyFill="1" applyAlignment="1">
      <alignment horizontal="right"/>
    </xf>
    <xf numFmtId="2" fontId="0" fillId="0" borderId="0" xfId="0" applyNumberFormat="1"/>
    <xf numFmtId="172" fontId="0" fillId="0" borderId="0" xfId="0" applyNumberFormat="1"/>
    <xf numFmtId="3" fontId="0" fillId="0" borderId="0" xfId="0" applyNumberFormat="1"/>
    <xf numFmtId="3" fontId="0" fillId="33" borderId="10" xfId="0" applyNumberFormat="1" applyFill="1" applyBorder="1"/>
    <xf numFmtId="37" fontId="15" fillId="61" borderId="14" xfId="63076" applyNumberFormat="1" applyFont="1" applyFill="1" applyBorder="1"/>
    <xf numFmtId="0" fontId="0" fillId="33" borderId="10" xfId="0" applyFill="1" applyBorder="1" applyAlignment="1">
      <alignment horizontal="center"/>
    </xf>
    <xf numFmtId="4" fontId="0" fillId="0" borderId="0" xfId="0" applyNumberFormat="1"/>
    <xf numFmtId="0" fontId="0" fillId="0" borderId="36" xfId="0" applyBorder="1"/>
    <xf numFmtId="3" fontId="0" fillId="0" borderId="37" xfId="0" applyNumberFormat="1" applyBorder="1"/>
    <xf numFmtId="0" fontId="0" fillId="0" borderId="37" xfId="0" applyBorder="1"/>
    <xf numFmtId="0" fontId="0" fillId="0" borderId="35" xfId="0" applyBorder="1"/>
    <xf numFmtId="3" fontId="0" fillId="0" borderId="0" xfId="0" applyNumberFormat="1" applyBorder="1"/>
    <xf numFmtId="173" fontId="0" fillId="0" borderId="15" xfId="0" applyNumberFormat="1" applyBorder="1"/>
    <xf numFmtId="0" fontId="0" fillId="0" borderId="39" xfId="0" applyBorder="1"/>
    <xf numFmtId="3" fontId="0" fillId="0" borderId="14" xfId="0" applyNumberFormat="1" applyBorder="1"/>
    <xf numFmtId="0" fontId="0" fillId="0" borderId="14" xfId="0" applyBorder="1"/>
    <xf numFmtId="0" fontId="15" fillId="0" borderId="0" xfId="0" applyFont="1" applyFill="1" applyBorder="1" applyAlignment="1">
      <alignment horizontal="right"/>
    </xf>
    <xf numFmtId="3" fontId="15" fillId="0" borderId="0" xfId="0" applyNumberFormat="1" applyFont="1"/>
    <xf numFmtId="0" fontId="0" fillId="0" borderId="0" xfId="0" applyAlignment="1">
      <alignment horizontal="center" wrapText="1"/>
    </xf>
    <xf numFmtId="9" fontId="0" fillId="0" borderId="0" xfId="63077" applyFont="1" applyAlignment="1">
      <alignment horizontal="center" wrapText="1"/>
    </xf>
    <xf numFmtId="43" fontId="0" fillId="0" borderId="0" xfId="63076" applyFont="1" applyAlignment="1">
      <alignment horizontal="center"/>
    </xf>
    <xf numFmtId="0" fontId="0" fillId="0" borderId="0" xfId="0" applyFont="1" applyBorder="1" applyAlignment="1">
      <alignment horizontal="center"/>
    </xf>
    <xf numFmtId="0" fontId="0" fillId="0" borderId="0" xfId="0" applyFont="1" applyFill="1" applyBorder="1" applyAlignment="1">
      <alignment horizontal="center"/>
    </xf>
    <xf numFmtId="39" fontId="0" fillId="0" borderId="0" xfId="63076" applyNumberFormat="1" applyFont="1" applyAlignment="1">
      <alignment horizontal="center" wrapText="1"/>
    </xf>
    <xf numFmtId="39" fontId="0" fillId="0" borderId="0" xfId="0" applyNumberFormat="1"/>
    <xf numFmtId="10" fontId="0" fillId="33" borderId="10" xfId="63077" applyNumberFormat="1" applyFont="1" applyFill="1" applyBorder="1"/>
    <xf numFmtId="0" fontId="104" fillId="0" borderId="0" xfId="0" applyFont="1"/>
    <xf numFmtId="49" fontId="15" fillId="61" borderId="14" xfId="0" quotePrefix="1" applyNumberFormat="1" applyFont="1" applyFill="1" applyBorder="1" applyAlignment="1">
      <alignment horizontal="left"/>
    </xf>
    <xf numFmtId="174" fontId="0" fillId="0" borderId="0" xfId="0" applyNumberFormat="1"/>
    <xf numFmtId="3" fontId="0" fillId="0" borderId="0" xfId="0" applyNumberFormat="1" applyAlignment="1">
      <alignment horizontal="left"/>
    </xf>
    <xf numFmtId="0" fontId="15" fillId="61"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2" fontId="0" fillId="0" borderId="0" xfId="0" applyNumberFormat="1" applyAlignment="1">
      <alignment horizontal="center"/>
    </xf>
    <xf numFmtId="14" fontId="0" fillId="33" borderId="10" xfId="0" applyNumberFormat="1" applyFill="1" applyBorder="1" applyAlignment="1">
      <alignment horizontal="center"/>
    </xf>
    <xf numFmtId="0" fontId="0" fillId="0" borderId="0" xfId="0" applyFill="1" applyBorder="1" applyAlignment="1">
      <alignment horizontal="right"/>
    </xf>
    <xf numFmtId="3" fontId="0" fillId="33" borderId="10" xfId="0" applyNumberFormat="1" applyFill="1" applyBorder="1" applyAlignment="1">
      <alignment horizontal="left"/>
    </xf>
    <xf numFmtId="0" fontId="13" fillId="0" borderId="0" xfId="0" applyFont="1"/>
    <xf numFmtId="0" fontId="15" fillId="0" borderId="0" xfId="0" applyFont="1" applyAlignment="1">
      <alignment horizontal="center"/>
    </xf>
    <xf numFmtId="0" fontId="0" fillId="0" borderId="0" xfId="0" applyFill="1" applyBorder="1" applyAlignment="1">
      <alignment horizontal="left" vertical="center"/>
    </xf>
    <xf numFmtId="0" fontId="17" fillId="61" borderId="0" xfId="0" applyFont="1" applyFill="1" applyBorder="1" applyAlignment="1"/>
    <xf numFmtId="0" fontId="0" fillId="61" borderId="0" xfId="0" applyFill="1" applyBorder="1" applyAlignment="1"/>
    <xf numFmtId="0" fontId="15" fillId="61" borderId="14" xfId="0" applyFont="1" applyFill="1" applyBorder="1" applyAlignment="1"/>
    <xf numFmtId="0" fontId="107" fillId="0" borderId="0" xfId="0" applyFont="1" applyAlignment="1"/>
    <xf numFmtId="0" fontId="107" fillId="0" borderId="37" xfId="0" applyFont="1" applyFill="1" applyBorder="1" applyAlignment="1">
      <alignment vertical="center"/>
    </xf>
    <xf numFmtId="0" fontId="0" fillId="0" borderId="0" xfId="0" applyFill="1" applyBorder="1" applyAlignment="1">
      <alignment vertical="center"/>
    </xf>
    <xf numFmtId="0" fontId="107" fillId="0" borderId="0" xfId="0" applyFont="1" applyFill="1" applyBorder="1" applyAlignment="1">
      <alignment vertical="center"/>
    </xf>
    <xf numFmtId="0" fontId="0" fillId="0" borderId="0" xfId="0" applyFill="1" applyBorder="1" applyAlignment="1">
      <alignment vertical="top"/>
    </xf>
    <xf numFmtId="4" fontId="15" fillId="0" borderId="0" xfId="0" applyNumberFormat="1" applyFont="1"/>
    <xf numFmtId="0" fontId="15" fillId="0" borderId="0" xfId="0" applyFont="1" applyAlignment="1"/>
    <xf numFmtId="0" fontId="15" fillId="61" borderId="0" xfId="0" applyFont="1" applyFill="1" applyBorder="1" applyAlignment="1"/>
    <xf numFmtId="0" fontId="15" fillId="61" borderId="0" xfId="0" applyFont="1" applyFill="1" applyBorder="1" applyAlignment="1">
      <alignment horizontal="left"/>
    </xf>
    <xf numFmtId="0" fontId="102" fillId="0" borderId="0" xfId="0" applyFont="1" applyAlignment="1">
      <alignment horizontal="right"/>
    </xf>
    <xf numFmtId="0" fontId="0" fillId="0" borderId="0" xfId="0" applyAlignment="1">
      <alignment horizontal="right" wrapText="1"/>
    </xf>
    <xf numFmtId="0" fontId="0" fillId="0" borderId="15" xfId="0" applyBorder="1" applyAlignment="1">
      <alignment horizontal="right" wrapText="1"/>
    </xf>
    <xf numFmtId="0" fontId="0" fillId="0" borderId="0" xfId="0" applyBorder="1" applyAlignment="1">
      <alignment horizontal="right" wrapText="1"/>
    </xf>
    <xf numFmtId="0" fontId="0" fillId="0" borderId="0" xfId="0" applyBorder="1" applyAlignment="1"/>
    <xf numFmtId="0" fontId="107" fillId="0" borderId="0" xfId="0" applyFont="1" applyBorder="1" applyAlignment="1"/>
    <xf numFmtId="0" fontId="15" fillId="0" borderId="0" xfId="0" applyFont="1" applyBorder="1" applyAlignment="1">
      <alignment horizontal="center"/>
    </xf>
    <xf numFmtId="0" fontId="0" fillId="0" borderId="0" xfId="0" applyBorder="1" applyAlignment="1">
      <alignment horizontal="center"/>
    </xf>
    <xf numFmtId="0" fontId="0" fillId="0" borderId="37" xfId="0" applyFill="1" applyBorder="1" applyAlignment="1">
      <alignment vertical="center"/>
    </xf>
    <xf numFmtId="0" fontId="107" fillId="0" borderId="37" xfId="0" applyFont="1" applyBorder="1" applyAlignment="1"/>
    <xf numFmtId="0" fontId="0" fillId="0" borderId="37" xfId="0" applyBorder="1" applyAlignment="1"/>
    <xf numFmtId="0" fontId="15" fillId="0" borderId="37" xfId="0" applyFont="1" applyBorder="1" applyAlignment="1"/>
    <xf numFmtId="0" fontId="0" fillId="0" borderId="0" xfId="0" quotePrefix="1" applyFill="1" applyBorder="1" applyAlignment="1"/>
    <xf numFmtId="0" fontId="0" fillId="0" borderId="35" xfId="0" applyBorder="1" applyAlignment="1">
      <alignment horizontal="center"/>
    </xf>
    <xf numFmtId="0" fontId="0" fillId="0" borderId="15" xfId="0" applyBorder="1" applyAlignment="1">
      <alignment horizontal="center"/>
    </xf>
    <xf numFmtId="0" fontId="0" fillId="0" borderId="39" xfId="0" applyBorder="1" applyAlignment="1">
      <alignment horizontal="center"/>
    </xf>
    <xf numFmtId="0" fontId="0" fillId="0" borderId="44" xfId="0" applyBorder="1" applyAlignment="1">
      <alignment horizontal="center"/>
    </xf>
    <xf numFmtId="0" fontId="15" fillId="0" borderId="0" xfId="0" applyFont="1" applyAlignment="1">
      <alignment horizontal="right" wrapText="1"/>
    </xf>
    <xf numFmtId="0" fontId="0" fillId="0" borderId="0" xfId="0" applyAlignment="1">
      <alignment horizontal="center"/>
    </xf>
    <xf numFmtId="1" fontId="0" fillId="0" borderId="0" xfId="0" applyNumberFormat="1" applyAlignment="1">
      <alignment horizontal="center"/>
    </xf>
    <xf numFmtId="2" fontId="0" fillId="0" borderId="36" xfId="63076" applyNumberFormat="1" applyFont="1" applyBorder="1" applyAlignment="1">
      <alignment horizontal="center"/>
    </xf>
    <xf numFmtId="2" fontId="0" fillId="0" borderId="37" xfId="0" applyNumberFormat="1" applyBorder="1" applyAlignment="1">
      <alignment horizontal="center"/>
    </xf>
    <xf numFmtId="2" fontId="0" fillId="0" borderId="38" xfId="0" applyNumberFormat="1" applyBorder="1" applyAlignment="1">
      <alignment horizontal="center"/>
    </xf>
    <xf numFmtId="2" fontId="0" fillId="0" borderId="35" xfId="63076" applyNumberFormat="1" applyFont="1" applyBorder="1" applyAlignment="1">
      <alignment horizontal="center"/>
    </xf>
    <xf numFmtId="2" fontId="0" fillId="0" borderId="0" xfId="0" applyNumberFormat="1" applyBorder="1" applyAlignment="1">
      <alignment horizontal="center"/>
    </xf>
    <xf numFmtId="2" fontId="0" fillId="0" borderId="15" xfId="0" applyNumberFormat="1" applyBorder="1" applyAlignment="1">
      <alignment horizontal="center"/>
    </xf>
    <xf numFmtId="2" fontId="0" fillId="0" borderId="0" xfId="63076" applyNumberFormat="1" applyFont="1" applyBorder="1" applyAlignment="1">
      <alignment horizontal="center"/>
    </xf>
    <xf numFmtId="2" fontId="0" fillId="0" borderId="39" xfId="63076" applyNumberFormat="1" applyFont="1" applyBorder="1" applyAlignment="1">
      <alignment horizontal="center"/>
    </xf>
    <xf numFmtId="2" fontId="0" fillId="0" borderId="14" xfId="63076" applyNumberFormat="1" applyFont="1" applyBorder="1" applyAlignment="1">
      <alignment horizontal="center"/>
    </xf>
    <xf numFmtId="2" fontId="0" fillId="0" borderId="14" xfId="0" applyNumberFormat="1" applyBorder="1" applyAlignment="1">
      <alignment horizontal="center"/>
    </xf>
    <xf numFmtId="2" fontId="0" fillId="0" borderId="44" xfId="0" applyNumberFormat="1" applyBorder="1" applyAlignment="1">
      <alignment horizontal="center"/>
    </xf>
    <xf numFmtId="43" fontId="0" fillId="0" borderId="0" xfId="63076" applyFont="1" applyAlignment="1"/>
    <xf numFmtId="1" fontId="0" fillId="0" borderId="0" xfId="63076" applyNumberFormat="1" applyFont="1" applyAlignment="1">
      <alignment horizontal="center"/>
    </xf>
    <xf numFmtId="0" fontId="15" fillId="61" borderId="0" xfId="0" applyFont="1" applyFill="1" applyAlignment="1"/>
    <xf numFmtId="0" fontId="0" fillId="61" borderId="0" xfId="0" applyFill="1" applyAlignment="1"/>
    <xf numFmtId="2" fontId="0" fillId="61" borderId="0" xfId="0" applyNumberFormat="1" applyFill="1" applyAlignment="1">
      <alignment horizontal="center"/>
    </xf>
    <xf numFmtId="43" fontId="0" fillId="61" borderId="0" xfId="63076" applyFont="1" applyFill="1" applyAlignment="1"/>
    <xf numFmtId="3" fontId="0" fillId="61" borderId="0" xfId="63076" quotePrefix="1" applyNumberFormat="1" applyFont="1" applyFill="1" applyAlignment="1">
      <alignment horizontal="center"/>
    </xf>
    <xf numFmtId="3" fontId="0" fillId="61" borderId="0" xfId="0" quotePrefix="1" applyNumberFormat="1" applyFill="1" applyAlignment="1">
      <alignment horizontal="center"/>
    </xf>
    <xf numFmtId="3" fontId="0" fillId="61" borderId="0" xfId="0" applyNumberFormat="1" applyFill="1" applyAlignment="1">
      <alignment horizontal="center"/>
    </xf>
    <xf numFmtId="0" fontId="0" fillId="0" borderId="0" xfId="0" applyAlignment="1">
      <alignment wrapText="1"/>
    </xf>
    <xf numFmtId="1" fontId="0" fillId="0" borderId="0" xfId="63076" quotePrefix="1" applyNumberFormat="1" applyFont="1" applyAlignment="1">
      <alignment horizontal="center"/>
    </xf>
    <xf numFmtId="1" fontId="0" fillId="0" borderId="0" xfId="0" quotePrefix="1" applyNumberFormat="1" applyAlignment="1">
      <alignment horizontal="center"/>
    </xf>
    <xf numFmtId="1" fontId="0" fillId="0" borderId="0" xfId="0" applyNumberFormat="1"/>
    <xf numFmtId="14" fontId="0" fillId="0" borderId="0" xfId="0" applyNumberFormat="1" applyAlignment="1">
      <alignment horizontal="center"/>
    </xf>
    <xf numFmtId="0" fontId="15" fillId="0" borderId="0" xfId="0" applyFont="1" applyAlignment="1">
      <alignment wrapText="1"/>
    </xf>
    <xf numFmtId="3" fontId="0" fillId="0" borderId="0" xfId="0" applyNumberFormat="1" applyAlignment="1">
      <alignment horizontal="center"/>
    </xf>
    <xf numFmtId="0" fontId="0" fillId="33" borderId="45" xfId="0" applyFill="1" applyBorder="1" applyAlignment="1">
      <alignment horizontal="center"/>
    </xf>
    <xf numFmtId="0" fontId="15" fillId="0" borderId="33" xfId="0" applyFont="1" applyBorder="1" applyAlignment="1">
      <alignment horizontal="center" wrapText="1"/>
    </xf>
    <xf numFmtId="0" fontId="15" fillId="0" borderId="33" xfId="0" applyFont="1" applyBorder="1"/>
    <xf numFmtId="0" fontId="15" fillId="0" borderId="33" xfId="0" applyFont="1" applyBorder="1" applyAlignment="1">
      <alignment horizontal="center"/>
    </xf>
    <xf numFmtId="0" fontId="100" fillId="64" borderId="40" xfId="0" applyFont="1" applyFill="1" applyBorder="1"/>
    <xf numFmtId="0" fontId="100" fillId="64" borderId="42" xfId="0" applyFont="1" applyFill="1" applyBorder="1"/>
    <xf numFmtId="0" fontId="0" fillId="33" borderId="10" xfId="0" applyFill="1" applyBorder="1" applyAlignment="1">
      <alignment horizontal="left"/>
    </xf>
    <xf numFmtId="3" fontId="0" fillId="67" borderId="0" xfId="0" applyNumberFormat="1" applyFill="1"/>
    <xf numFmtId="0" fontId="0" fillId="0" borderId="44" xfId="0" applyBorder="1"/>
    <xf numFmtId="0" fontId="0" fillId="0" borderId="11" xfId="0" applyBorder="1"/>
    <xf numFmtId="0" fontId="108" fillId="0" borderId="33" xfId="0" applyFont="1" applyBorder="1"/>
    <xf numFmtId="14" fontId="108" fillId="0" borderId="33" xfId="0" applyNumberFormat="1" applyFont="1" applyBorder="1"/>
    <xf numFmtId="0" fontId="108" fillId="0" borderId="33" xfId="0" applyFont="1" applyBorder="1" applyAlignment="1">
      <alignment horizontal="center"/>
    </xf>
    <xf numFmtId="0" fontId="0" fillId="70" borderId="40" xfId="0" applyFill="1" applyBorder="1"/>
    <xf numFmtId="0" fontId="15" fillId="70" borderId="42" xfId="0" applyFont="1" applyFill="1" applyBorder="1" applyAlignment="1">
      <alignment horizontal="right"/>
    </xf>
    <xf numFmtId="3" fontId="15" fillId="70" borderId="41" xfId="0" applyNumberFormat="1" applyFont="1" applyFill="1" applyBorder="1"/>
    <xf numFmtId="0" fontId="0" fillId="70" borderId="11" xfId="0" applyFill="1" applyBorder="1" applyAlignment="1">
      <alignment horizontal="right"/>
    </xf>
    <xf numFmtId="4" fontId="0" fillId="70" borderId="13" xfId="0" applyNumberFormat="1" applyFill="1" applyBorder="1"/>
    <xf numFmtId="173" fontId="0" fillId="70" borderId="13" xfId="0" applyNumberFormat="1" applyFill="1" applyBorder="1"/>
    <xf numFmtId="0" fontId="15" fillId="70" borderId="27" xfId="0" applyFont="1" applyFill="1" applyBorder="1"/>
    <xf numFmtId="0" fontId="0" fillId="70" borderId="28" xfId="0" applyFill="1" applyBorder="1"/>
    <xf numFmtId="3" fontId="15" fillId="70" borderId="29" xfId="0" applyNumberFormat="1" applyFont="1" applyFill="1" applyBorder="1"/>
    <xf numFmtId="0" fontId="15" fillId="70" borderId="32" xfId="0" applyFont="1" applyFill="1" applyBorder="1"/>
    <xf numFmtId="0" fontId="0" fillId="70" borderId="33" xfId="0" applyFill="1" applyBorder="1"/>
    <xf numFmtId="3" fontId="15" fillId="70" borderId="34" xfId="0" applyNumberFormat="1" applyFont="1" applyFill="1" applyBorder="1"/>
    <xf numFmtId="0" fontId="0" fillId="0" borderId="0" xfId="0" applyAlignment="1">
      <alignment horizontal="center"/>
    </xf>
    <xf numFmtId="0" fontId="0" fillId="0" borderId="38" xfId="0" applyBorder="1"/>
    <xf numFmtId="0" fontId="0" fillId="0" borderId="12" xfId="0" applyBorder="1"/>
    <xf numFmtId="173" fontId="0" fillId="0" borderId="14" xfId="0" applyNumberFormat="1" applyBorder="1"/>
    <xf numFmtId="3" fontId="0" fillId="0" borderId="35" xfId="0" applyNumberFormat="1" applyBorder="1"/>
    <xf numFmtId="173" fontId="0" fillId="0" borderId="44" xfId="0" applyNumberFormat="1" applyBorder="1"/>
    <xf numFmtId="3" fontId="0" fillId="0" borderId="15" xfId="0" applyNumberFormat="1" applyBorder="1"/>
    <xf numFmtId="0" fontId="15" fillId="70" borderId="11" xfId="0" applyFont="1" applyFill="1" applyBorder="1" applyAlignment="1">
      <alignment horizontal="right"/>
    </xf>
    <xf numFmtId="10" fontId="15" fillId="70" borderId="12" xfId="0" applyNumberFormat="1" applyFont="1" applyFill="1" applyBorder="1"/>
    <xf numFmtId="39" fontId="0" fillId="70" borderId="13" xfId="63076" applyNumberFormat="1" applyFont="1" applyFill="1" applyBorder="1" applyAlignment="1">
      <alignment horizontal="left"/>
    </xf>
    <xf numFmtId="0" fontId="0" fillId="70" borderId="11" xfId="0" applyFill="1" applyBorder="1"/>
    <xf numFmtId="0" fontId="0" fillId="70" borderId="12" xfId="0" applyFill="1" applyBorder="1" applyAlignment="1">
      <alignment horizontal="right"/>
    </xf>
    <xf numFmtId="0" fontId="15" fillId="70" borderId="11" xfId="0" applyFont="1" applyFill="1" applyBorder="1"/>
    <xf numFmtId="0" fontId="15" fillId="70" borderId="12" xfId="0" applyFont="1" applyFill="1" applyBorder="1"/>
    <xf numFmtId="172" fontId="15" fillId="70" borderId="13" xfId="0" applyNumberFormat="1" applyFont="1" applyFill="1" applyBorder="1" applyAlignment="1">
      <alignment horizontal="center"/>
    </xf>
    <xf numFmtId="4" fontId="0" fillId="70" borderId="10" xfId="0" applyNumberFormat="1" applyFill="1" applyBorder="1"/>
    <xf numFmtId="0" fontId="0" fillId="0" borderId="11" xfId="0" applyFill="1" applyBorder="1"/>
    <xf numFmtId="0" fontId="0" fillId="0" borderId="13" xfId="0" applyFill="1" applyBorder="1"/>
    <xf numFmtId="0" fontId="0" fillId="0" borderId="12" xfId="0" applyFill="1" applyBorder="1"/>
    <xf numFmtId="172" fontId="0" fillId="0" borderId="13" xfId="0" applyNumberFormat="1" applyBorder="1"/>
    <xf numFmtId="0" fontId="15" fillId="69" borderId="40" xfId="0" applyFont="1" applyFill="1" applyBorder="1"/>
    <xf numFmtId="173" fontId="15" fillId="69" borderId="41" xfId="0" applyNumberFormat="1" applyFont="1" applyFill="1" applyBorder="1"/>
    <xf numFmtId="0" fontId="0" fillId="0" borderId="36" xfId="0" applyBorder="1" applyAlignment="1">
      <alignment horizontal="right"/>
    </xf>
    <xf numFmtId="0" fontId="15" fillId="0" borderId="36" xfId="0" applyFont="1" applyBorder="1"/>
    <xf numFmtId="3" fontId="0" fillId="0" borderId="38" xfId="0" applyNumberFormat="1" applyBorder="1"/>
    <xf numFmtId="0" fontId="0" fillId="0" borderId="15" xfId="0" applyBorder="1"/>
    <xf numFmtId="3" fontId="0" fillId="0" borderId="13" xfId="0" applyNumberFormat="1" applyBorder="1"/>
    <xf numFmtId="0" fontId="15" fillId="0" borderId="33" xfId="0" applyFont="1" applyBorder="1" applyAlignment="1">
      <alignment horizontal="center" wrapText="1"/>
    </xf>
    <xf numFmtId="0" fontId="15" fillId="0" borderId="33" xfId="0" applyFont="1" applyBorder="1" applyAlignment="1">
      <alignment horizontal="center"/>
    </xf>
    <xf numFmtId="0" fontId="0" fillId="0" borderId="0" xfId="0" applyAlignment="1">
      <alignment horizontal="center"/>
    </xf>
    <xf numFmtId="3" fontId="0" fillId="0" borderId="39" xfId="0" applyNumberFormat="1" applyBorder="1"/>
    <xf numFmtId="4" fontId="0" fillId="33" borderId="10" xfId="0" applyNumberFormat="1" applyFill="1" applyBorder="1" applyAlignment="1"/>
    <xf numFmtId="4" fontId="0" fillId="33" borderId="45" xfId="0" applyNumberFormat="1" applyFill="1" applyBorder="1" applyAlignment="1"/>
    <xf numFmtId="0" fontId="15" fillId="0" borderId="33" xfId="0" applyFont="1" applyBorder="1" applyAlignment="1">
      <alignment horizontal="right" wrapText="1"/>
    </xf>
    <xf numFmtId="0" fontId="0" fillId="0" borderId="11" xfId="0" applyBorder="1" applyAlignment="1">
      <alignment horizontal="center"/>
    </xf>
    <xf numFmtId="0" fontId="0" fillId="0" borderId="13" xfId="0" applyBorder="1" applyAlignment="1">
      <alignment horizontal="center"/>
    </xf>
    <xf numFmtId="14" fontId="0" fillId="33" borderId="46" xfId="0" applyNumberFormat="1" applyFill="1" applyBorder="1" applyAlignment="1">
      <alignment horizontal="center"/>
    </xf>
    <xf numFmtId="14" fontId="0" fillId="33" borderId="36" xfId="0" applyNumberFormat="1" applyFill="1" applyBorder="1" applyAlignment="1">
      <alignment horizontal="center"/>
    </xf>
    <xf numFmtId="0" fontId="110" fillId="0" borderId="0" xfId="0" applyFont="1"/>
    <xf numFmtId="0" fontId="110" fillId="0" borderId="0" xfId="0" applyFont="1" applyAlignment="1">
      <alignment horizontal="right"/>
    </xf>
    <xf numFmtId="0" fontId="110" fillId="0" borderId="0" xfId="0" applyFont="1" applyAlignment="1">
      <alignment horizontal="left"/>
    </xf>
    <xf numFmtId="1" fontId="110" fillId="0" borderId="0" xfId="0" applyNumberFormat="1" applyFont="1" applyAlignment="1">
      <alignment horizontal="left"/>
    </xf>
    <xf numFmtId="3" fontId="110" fillId="0" borderId="0" xfId="0" applyNumberFormat="1" applyFont="1" applyAlignment="1">
      <alignment horizontal="left"/>
    </xf>
    <xf numFmtId="14" fontId="110" fillId="0" borderId="0" xfId="0" applyNumberFormat="1" applyFont="1" applyAlignment="1">
      <alignment horizontal="left"/>
    </xf>
    <xf numFmtId="2" fontId="110" fillId="0" borderId="0" xfId="0" applyNumberFormat="1" applyFont="1" applyAlignment="1">
      <alignment horizontal="left"/>
    </xf>
    <xf numFmtId="172" fontId="110" fillId="0" borderId="0" xfId="0" applyNumberFormat="1" applyFont="1" applyAlignment="1">
      <alignment horizontal="left"/>
    </xf>
    <xf numFmtId="0" fontId="110" fillId="0" borderId="33" xfId="0" applyFont="1" applyBorder="1" applyAlignment="1">
      <alignment horizontal="right" wrapText="1"/>
    </xf>
    <xf numFmtId="3" fontId="110" fillId="0" borderId="0" xfId="0" applyNumberFormat="1" applyFont="1"/>
    <xf numFmtId="175" fontId="110" fillId="0" borderId="0" xfId="0" applyNumberFormat="1" applyFont="1"/>
    <xf numFmtId="0" fontId="0" fillId="0" borderId="0" xfId="0" applyAlignment="1">
      <alignment horizontal="center"/>
    </xf>
    <xf numFmtId="0" fontId="111" fillId="0" borderId="33" xfId="0" applyFont="1" applyBorder="1" applyAlignment="1">
      <alignment horizontal="right" wrapText="1"/>
    </xf>
    <xf numFmtId="176" fontId="0" fillId="0" borderId="0" xfId="63076" applyNumberFormat="1" applyFont="1"/>
    <xf numFmtId="0" fontId="0" fillId="33" borderId="43" xfId="0" applyFill="1" applyBorder="1" applyAlignment="1">
      <alignment horizontal="left"/>
    </xf>
    <xf numFmtId="9" fontId="0" fillId="70" borderId="13" xfId="63077" applyFont="1" applyFill="1" applyBorder="1" applyAlignment="1">
      <alignment horizontal="left"/>
    </xf>
    <xf numFmtId="173" fontId="0" fillId="0" borderId="0" xfId="0" applyNumberFormat="1"/>
    <xf numFmtId="173" fontId="15" fillId="70" borderId="13" xfId="63076" applyNumberFormat="1" applyFont="1" applyFill="1" applyBorder="1"/>
    <xf numFmtId="0" fontId="0" fillId="71" borderId="0" xfId="0" applyFill="1"/>
    <xf numFmtId="0" fontId="15" fillId="0" borderId="0" xfId="0" applyFont="1" applyAlignment="1">
      <alignment horizontal="right" wrapText="1"/>
    </xf>
    <xf numFmtId="0" fontId="0" fillId="0" borderId="0" xfId="0" applyAlignment="1">
      <alignment horizontal="center"/>
    </xf>
    <xf numFmtId="172" fontId="0" fillId="70" borderId="13" xfId="0" applyNumberFormat="1" applyFill="1" applyBorder="1"/>
    <xf numFmtId="0" fontId="0" fillId="0" borderId="10" xfId="0" applyBorder="1" applyAlignment="1">
      <alignment horizontal="center"/>
    </xf>
    <xf numFmtId="0" fontId="0" fillId="0" borderId="43" xfId="0" applyBorder="1" applyAlignment="1">
      <alignment horizontal="center"/>
    </xf>
    <xf numFmtId="0" fontId="0" fillId="0" borderId="47" xfId="0" applyBorder="1" applyAlignment="1">
      <alignment horizontal="center"/>
    </xf>
    <xf numFmtId="0" fontId="0" fillId="0" borderId="45" xfId="0" applyBorder="1" applyAlignment="1">
      <alignment horizontal="center"/>
    </xf>
    <xf numFmtId="4" fontId="100" fillId="65" borderId="0" xfId="63076" applyNumberFormat="1" applyFont="1" applyFill="1" applyAlignment="1">
      <alignment horizontal="center"/>
    </xf>
    <xf numFmtId="4" fontId="0" fillId="0" borderId="0" xfId="63076" applyNumberFormat="1" applyFont="1" applyAlignment="1">
      <alignment horizontal="center"/>
    </xf>
    <xf numFmtId="4" fontId="100" fillId="66" borderId="0" xfId="63076" applyNumberFormat="1" applyFont="1" applyFill="1" applyAlignment="1">
      <alignment horizontal="center"/>
    </xf>
    <xf numFmtId="4" fontId="15" fillId="0" borderId="0" xfId="63076" applyNumberFormat="1" applyFont="1" applyAlignment="1">
      <alignment horizontal="center"/>
    </xf>
    <xf numFmtId="0" fontId="109" fillId="0" borderId="10" xfId="0" applyFont="1" applyBorder="1" applyAlignment="1">
      <alignment wrapText="1"/>
    </xf>
    <xf numFmtId="0" fontId="0" fillId="63" borderId="0" xfId="0" applyFill="1"/>
    <xf numFmtId="0" fontId="0" fillId="0" borderId="0" xfId="0" applyBorder="1" applyAlignment="1">
      <alignment horizontal="right" vertical="top"/>
    </xf>
    <xf numFmtId="43" fontId="0" fillId="0" borderId="0" xfId="63076" applyFont="1"/>
    <xf numFmtId="0" fontId="0" fillId="61" borderId="0" xfId="0" applyFill="1" applyBorder="1" applyAlignment="1">
      <alignment horizontal="center"/>
    </xf>
    <xf numFmtId="14" fontId="0" fillId="61" borderId="0" xfId="0" applyNumberFormat="1" applyFill="1" applyBorder="1" applyAlignment="1">
      <alignment horizontal="center"/>
    </xf>
    <xf numFmtId="0" fontId="0" fillId="0" borderId="0" xfId="0" applyFill="1"/>
    <xf numFmtId="3" fontId="0" fillId="0" borderId="0" xfId="0" applyNumberFormat="1" applyFill="1" applyAlignment="1">
      <alignment horizontal="left"/>
    </xf>
    <xf numFmtId="174" fontId="0" fillId="0" borderId="0" xfId="0" applyNumberFormat="1" applyFill="1"/>
    <xf numFmtId="3" fontId="0" fillId="68" borderId="0" xfId="0" applyNumberFormat="1" applyFill="1"/>
    <xf numFmtId="2" fontId="103" fillId="0" borderId="0" xfId="63076" applyNumberFormat="1" applyFont="1" applyFill="1" applyAlignment="1">
      <alignment horizontal="center"/>
    </xf>
    <xf numFmtId="4" fontId="15" fillId="0" borderId="0" xfId="63076" applyNumberFormat="1" applyFont="1" applyFill="1" applyAlignment="1">
      <alignment horizontal="center"/>
    </xf>
    <xf numFmtId="4" fontId="0" fillId="0" borderId="0" xfId="63076" applyNumberFormat="1" applyFont="1" applyFill="1" applyAlignment="1">
      <alignment horizontal="center"/>
    </xf>
    <xf numFmtId="4" fontId="0" fillId="0" borderId="0" xfId="63076" applyNumberFormat="1" applyFont="1" applyFill="1" applyAlignment="1">
      <alignment horizontal="left"/>
    </xf>
    <xf numFmtId="49" fontId="0" fillId="33" borderId="10" xfId="0" applyNumberFormat="1" applyFill="1" applyBorder="1"/>
    <xf numFmtId="0" fontId="0" fillId="33" borderId="48" xfId="0" applyFill="1" applyBorder="1" applyAlignment="1">
      <alignment horizontal="center"/>
    </xf>
    <xf numFmtId="4" fontId="0" fillId="0" borderId="0" xfId="0" applyNumberFormat="1" applyBorder="1" applyAlignment="1"/>
    <xf numFmtId="14" fontId="0" fillId="33" borderId="49" xfId="0" applyNumberFormat="1" applyFill="1" applyBorder="1" applyAlignment="1">
      <alignment horizontal="center"/>
    </xf>
    <xf numFmtId="4" fontId="0" fillId="33" borderId="48" xfId="0" applyNumberFormat="1" applyFill="1" applyBorder="1" applyAlignment="1"/>
    <xf numFmtId="3" fontId="110" fillId="0" borderId="33" xfId="0" applyNumberFormat="1" applyFont="1" applyBorder="1"/>
    <xf numFmtId="0" fontId="110" fillId="0" borderId="33" xfId="0" applyFont="1" applyBorder="1"/>
    <xf numFmtId="0" fontId="0" fillId="0" borderId="0" xfId="0" applyFill="1" applyBorder="1" applyAlignment="1">
      <alignment horizontal="left"/>
    </xf>
    <xf numFmtId="0" fontId="107" fillId="0" borderId="0" xfId="0" applyFont="1"/>
    <xf numFmtId="0" fontId="0" fillId="0" borderId="50" xfId="0" applyBorder="1"/>
    <xf numFmtId="0" fontId="0" fillId="0" borderId="51" xfId="0" applyBorder="1"/>
    <xf numFmtId="0" fontId="0" fillId="0" borderId="0" xfId="0" applyFill="1" applyBorder="1"/>
    <xf numFmtId="2" fontId="15" fillId="0" borderId="0" xfId="63076" applyNumberFormat="1" applyFont="1" applyAlignment="1">
      <alignment horizontal="center"/>
    </xf>
    <xf numFmtId="9" fontId="0" fillId="0" borderId="0" xfId="63077" applyFont="1" applyAlignment="1">
      <alignment horizontal="center"/>
    </xf>
    <xf numFmtId="2" fontId="100" fillId="72" borderId="0" xfId="63076" applyNumberFormat="1" applyFont="1" applyFill="1" applyAlignment="1">
      <alignment horizontal="center"/>
    </xf>
    <xf numFmtId="0" fontId="114" fillId="0" borderId="0" xfId="0" applyFont="1"/>
    <xf numFmtId="0" fontId="115" fillId="0" borderId="0" xfId="0" applyFont="1"/>
    <xf numFmtId="0" fontId="115" fillId="0" borderId="15" xfId="0" applyFont="1" applyBorder="1"/>
    <xf numFmtId="0" fontId="116" fillId="0" borderId="36" xfId="0" applyFont="1" applyBorder="1"/>
    <xf numFmtId="0" fontId="115" fillId="0" borderId="37" xfId="0" applyFont="1" applyBorder="1"/>
    <xf numFmtId="0" fontId="115" fillId="0" borderId="38" xfId="0" applyFont="1" applyBorder="1"/>
    <xf numFmtId="0" fontId="115" fillId="0" borderId="36" xfId="0" applyFont="1" applyBorder="1"/>
    <xf numFmtId="3" fontId="115" fillId="0" borderId="37" xfId="0" applyNumberFormat="1" applyFont="1" applyBorder="1"/>
    <xf numFmtId="3" fontId="115" fillId="0" borderId="38" xfId="0" applyNumberFormat="1" applyFont="1" applyBorder="1"/>
    <xf numFmtId="0" fontId="115" fillId="0" borderId="35" xfId="0" applyFont="1" applyBorder="1"/>
    <xf numFmtId="3" fontId="115" fillId="0" borderId="0" xfId="0" applyNumberFormat="1" applyFont="1" applyBorder="1"/>
    <xf numFmtId="0" fontId="115" fillId="0" borderId="0" xfId="0" applyFont="1" applyBorder="1"/>
    <xf numFmtId="173" fontId="115" fillId="0" borderId="15" xfId="0" applyNumberFormat="1" applyFont="1" applyBorder="1"/>
    <xf numFmtId="0" fontId="115" fillId="0" borderId="39" xfId="0" applyFont="1" applyBorder="1"/>
    <xf numFmtId="3" fontId="115" fillId="0" borderId="14" xfId="0" applyNumberFormat="1" applyFont="1" applyBorder="1"/>
    <xf numFmtId="0" fontId="115" fillId="0" borderId="44" xfId="0" applyFont="1" applyBorder="1"/>
    <xf numFmtId="0" fontId="115" fillId="0" borderId="11" xfId="0" applyFont="1" applyBorder="1"/>
    <xf numFmtId="3" fontId="115" fillId="0" borderId="13" xfId="0" applyNumberFormat="1" applyFont="1" applyBorder="1"/>
    <xf numFmtId="0" fontId="115" fillId="0" borderId="12" xfId="0" applyFont="1" applyBorder="1"/>
    <xf numFmtId="0" fontId="115" fillId="0" borderId="14" xfId="0" applyFont="1" applyBorder="1"/>
    <xf numFmtId="0" fontId="116" fillId="69" borderId="40" xfId="0" applyFont="1" applyFill="1" applyBorder="1"/>
    <xf numFmtId="173" fontId="116" fillId="69" borderId="41" xfId="0" applyNumberFormat="1" applyFont="1" applyFill="1" applyBorder="1"/>
    <xf numFmtId="0" fontId="115" fillId="0" borderId="36" xfId="0" applyFont="1" applyBorder="1" applyAlignment="1">
      <alignment horizontal="right"/>
    </xf>
    <xf numFmtId="3" fontId="115" fillId="0" borderId="35" xfId="0" applyNumberFormat="1" applyFont="1" applyBorder="1"/>
    <xf numFmtId="3" fontId="115" fillId="0" borderId="15" xfId="0" applyNumberFormat="1" applyFont="1" applyBorder="1"/>
    <xf numFmtId="3" fontId="115" fillId="0" borderId="39" xfId="0" applyNumberFormat="1" applyFont="1" applyBorder="1"/>
    <xf numFmtId="173" fontId="115" fillId="0" borderId="44" xfId="0" applyNumberFormat="1" applyFont="1" applyBorder="1"/>
    <xf numFmtId="173" fontId="115" fillId="0" borderId="14" xfId="0" applyNumberFormat="1" applyFont="1" applyBorder="1"/>
    <xf numFmtId="0" fontId="0" fillId="71" borderId="0" xfId="0" applyFont="1" applyFill="1" applyBorder="1" applyAlignment="1">
      <alignment horizontal="center"/>
    </xf>
    <xf numFmtId="0" fontId="0" fillId="33" borderId="10" xfId="0" applyFill="1" applyBorder="1" applyAlignment="1">
      <alignment horizontal="left"/>
    </xf>
    <xf numFmtId="0" fontId="0" fillId="0" borderId="0" xfId="0" applyAlignment="1">
      <alignment horizontal="center"/>
    </xf>
    <xf numFmtId="0" fontId="113" fillId="0" borderId="0" xfId="0" applyFont="1" applyBorder="1"/>
    <xf numFmtId="0" fontId="118" fillId="0" borderId="0" xfId="0" applyFont="1"/>
    <xf numFmtId="0" fontId="118" fillId="0" borderId="15" xfId="0" applyFont="1" applyBorder="1"/>
    <xf numFmtId="0" fontId="119" fillId="0" borderId="36" xfId="0" applyFont="1" applyBorder="1"/>
    <xf numFmtId="0" fontId="118" fillId="0" borderId="37" xfId="0" applyFont="1" applyBorder="1"/>
    <xf numFmtId="0" fontId="118" fillId="0" borderId="38" xfId="0" applyFont="1" applyBorder="1"/>
    <xf numFmtId="0" fontId="118" fillId="0" borderId="36" xfId="0" applyFont="1" applyBorder="1"/>
    <xf numFmtId="3" fontId="118" fillId="0" borderId="37" xfId="0" applyNumberFormat="1" applyFont="1" applyBorder="1"/>
    <xf numFmtId="3" fontId="118" fillId="0" borderId="38" xfId="0" applyNumberFormat="1" applyFont="1" applyBorder="1"/>
    <xf numFmtId="0" fontId="118" fillId="0" borderId="35" xfId="0" applyFont="1" applyBorder="1"/>
    <xf numFmtId="3" fontId="118" fillId="0" borderId="0" xfId="0" applyNumberFormat="1" applyFont="1" applyBorder="1"/>
    <xf numFmtId="0" fontId="118" fillId="0" borderId="0" xfId="0" applyFont="1" applyBorder="1"/>
    <xf numFmtId="173" fontId="118" fillId="0" borderId="15" xfId="0" applyNumberFormat="1" applyFont="1" applyBorder="1"/>
    <xf numFmtId="0" fontId="118" fillId="0" borderId="39" xfId="0" applyFont="1" applyBorder="1"/>
    <xf numFmtId="3" fontId="118" fillId="0" borderId="14" xfId="0" applyNumberFormat="1" applyFont="1" applyBorder="1"/>
    <xf numFmtId="0" fontId="118" fillId="0" borderId="44" xfId="0" applyFont="1" applyBorder="1"/>
    <xf numFmtId="0" fontId="118" fillId="0" borderId="11" xfId="0" applyFont="1" applyBorder="1"/>
    <xf numFmtId="3" fontId="118" fillId="0" borderId="13" xfId="0" applyNumberFormat="1" applyFont="1" applyBorder="1"/>
    <xf numFmtId="0" fontId="118" fillId="0" borderId="12" xfId="0" applyFont="1" applyBorder="1"/>
    <xf numFmtId="0" fontId="118" fillId="0" borderId="14" xfId="0" applyFont="1" applyBorder="1"/>
    <xf numFmtId="0" fontId="119" fillId="69" borderId="40" xfId="0" applyFont="1" applyFill="1" applyBorder="1"/>
    <xf numFmtId="173" fontId="119" fillId="69" borderId="41" xfId="0" applyNumberFormat="1" applyFont="1" applyFill="1" applyBorder="1"/>
    <xf numFmtId="0" fontId="118" fillId="0" borderId="36" xfId="0" applyFont="1" applyBorder="1" applyAlignment="1">
      <alignment horizontal="right"/>
    </xf>
    <xf numFmtId="3" fontId="118" fillId="0" borderId="35" xfId="0" applyNumberFormat="1" applyFont="1" applyBorder="1"/>
    <xf numFmtId="3" fontId="118" fillId="0" borderId="15" xfId="0" applyNumberFormat="1" applyFont="1" applyBorder="1"/>
    <xf numFmtId="3" fontId="118" fillId="0" borderId="39" xfId="0" applyNumberFormat="1" applyFont="1" applyBorder="1"/>
    <xf numFmtId="173" fontId="118" fillId="0" borderId="44" xfId="0" applyNumberFormat="1" applyFont="1" applyBorder="1"/>
    <xf numFmtId="173" fontId="118" fillId="0" borderId="14" xfId="0" applyNumberFormat="1" applyFont="1" applyBorder="1"/>
    <xf numFmtId="0" fontId="115" fillId="0" borderId="52" xfId="0" applyFont="1" applyFill="1" applyBorder="1"/>
    <xf numFmtId="0" fontId="15" fillId="69" borderId="54" xfId="0" applyFont="1" applyFill="1" applyBorder="1" applyAlignment="1">
      <alignment horizontal="center"/>
    </xf>
    <xf numFmtId="172" fontId="15" fillId="69" borderId="55" xfId="0" applyNumberFormat="1" applyFont="1" applyFill="1" applyBorder="1" applyAlignment="1">
      <alignment horizontal="center"/>
    </xf>
    <xf numFmtId="0" fontId="118" fillId="0" borderId="0" xfId="0" applyFont="1" applyAlignment="1">
      <alignment horizontal="center"/>
    </xf>
    <xf numFmtId="0" fontId="119" fillId="69" borderId="54" xfId="0" applyFont="1" applyFill="1" applyBorder="1" applyAlignment="1">
      <alignment horizontal="center"/>
    </xf>
    <xf numFmtId="172" fontId="119" fillId="69" borderId="55" xfId="0" applyNumberFormat="1" applyFont="1" applyFill="1" applyBorder="1" applyAlignment="1">
      <alignment horizontal="center"/>
    </xf>
    <xf numFmtId="0" fontId="115" fillId="0" borderId="0" xfId="0" applyFont="1" applyAlignment="1">
      <alignment horizontal="center"/>
    </xf>
    <xf numFmtId="0" fontId="116" fillId="69" borderId="54" xfId="0" applyFont="1" applyFill="1" applyBorder="1" applyAlignment="1">
      <alignment horizontal="center"/>
    </xf>
    <xf numFmtId="172" fontId="116" fillId="69" borderId="55" xfId="0" applyNumberFormat="1" applyFont="1" applyFill="1" applyBorder="1" applyAlignment="1">
      <alignment horizontal="center"/>
    </xf>
    <xf numFmtId="0" fontId="117" fillId="69" borderId="54" xfId="0" applyFont="1" applyFill="1" applyBorder="1" applyAlignment="1">
      <alignment horizontal="center"/>
    </xf>
    <xf numFmtId="172" fontId="117" fillId="69" borderId="55" xfId="0" applyNumberFormat="1" applyFont="1" applyFill="1" applyBorder="1" applyAlignment="1">
      <alignment horizontal="center"/>
    </xf>
    <xf numFmtId="172" fontId="0" fillId="0" borderId="0" xfId="0" applyNumberFormat="1" applyFill="1" applyBorder="1" applyAlignment="1">
      <alignment horizontal="left"/>
    </xf>
    <xf numFmtId="0" fontId="0" fillId="33" borderId="53" xfId="0" applyFill="1" applyBorder="1" applyAlignment="1">
      <alignment horizontal="left"/>
    </xf>
    <xf numFmtId="0" fontId="120" fillId="0" borderId="0" xfId="0" applyFont="1" applyBorder="1" applyAlignment="1">
      <alignment horizontal="right"/>
    </xf>
    <xf numFmtId="0" fontId="120" fillId="0" borderId="0" xfId="0" applyFont="1" applyBorder="1" applyAlignment="1">
      <alignment horizontal="center"/>
    </xf>
    <xf numFmtId="0" fontId="120" fillId="0" borderId="0" xfId="0" applyFont="1" applyBorder="1"/>
    <xf numFmtId="0" fontId="15" fillId="0" borderId="14" xfId="0" applyFont="1" applyBorder="1"/>
    <xf numFmtId="43" fontId="0" fillId="0" borderId="0" xfId="63076" applyFont="1" applyAlignment="1">
      <alignment horizontal="center"/>
    </xf>
    <xf numFmtId="14" fontId="15" fillId="0" borderId="0" xfId="63076" applyNumberFormat="1" applyFont="1" applyAlignment="1">
      <alignment horizontal="center"/>
    </xf>
    <xf numFmtId="172" fontId="113" fillId="0" borderId="53" xfId="0" applyNumberFormat="1" applyFont="1" applyFill="1" applyBorder="1"/>
    <xf numFmtId="173" fontId="17" fillId="61" borderId="0" xfId="0" applyNumberFormat="1" applyFont="1" applyFill="1" applyBorder="1"/>
    <xf numFmtId="173" fontId="0" fillId="61" borderId="0" xfId="0" applyNumberFormat="1" applyFill="1" applyBorder="1"/>
    <xf numFmtId="173" fontId="15" fillId="61" borderId="0" xfId="0" applyNumberFormat="1" applyFont="1" applyFill="1" applyBorder="1"/>
    <xf numFmtId="173" fontId="15" fillId="61" borderId="14" xfId="0" applyNumberFormat="1" applyFont="1" applyFill="1" applyBorder="1"/>
    <xf numFmtId="173" fontId="0" fillId="68" borderId="0" xfId="0" applyNumberFormat="1" applyFill="1"/>
    <xf numFmtId="173" fontId="0" fillId="69" borderId="0" xfId="0" applyNumberFormat="1" applyFill="1"/>
    <xf numFmtId="173" fontId="15" fillId="61" borderId="0" xfId="0" applyNumberFormat="1" applyFont="1" applyFill="1" applyBorder="1" applyAlignment="1"/>
    <xf numFmtId="173" fontId="0" fillId="73" borderId="0" xfId="0" applyNumberFormat="1" applyFill="1"/>
    <xf numFmtId="173" fontId="0" fillId="75" borderId="0" xfId="0" applyNumberFormat="1" applyFill="1"/>
    <xf numFmtId="173" fontId="0" fillId="74" borderId="0" xfId="0" applyNumberFormat="1" applyFill="1"/>
    <xf numFmtId="3" fontId="15" fillId="61" borderId="14" xfId="63076" applyNumberFormat="1" applyFont="1" applyFill="1" applyBorder="1"/>
    <xf numFmtId="3" fontId="15" fillId="61" borderId="14" xfId="0" applyNumberFormat="1" applyFont="1" applyFill="1" applyBorder="1"/>
    <xf numFmtId="172" fontId="13" fillId="0" borderId="53" xfId="0" applyNumberFormat="1" applyFont="1" applyFill="1" applyBorder="1"/>
    <xf numFmtId="173" fontId="0" fillId="76" borderId="0" xfId="0" applyNumberFormat="1" applyFill="1"/>
    <xf numFmtId="2" fontId="0" fillId="63" borderId="39" xfId="63076" applyNumberFormat="1" applyFont="1" applyFill="1" applyBorder="1" applyAlignment="1">
      <alignment horizontal="center"/>
    </xf>
    <xf numFmtId="2" fontId="0" fillId="63" borderId="14" xfId="63076" applyNumberFormat="1" applyFont="1" applyFill="1" applyBorder="1" applyAlignment="1">
      <alignment horizontal="center"/>
    </xf>
    <xf numFmtId="2" fontId="0" fillId="63" borderId="35" xfId="63076" applyNumberFormat="1" applyFont="1" applyFill="1" applyBorder="1" applyAlignment="1">
      <alignment horizontal="center"/>
    </xf>
    <xf numFmtId="2" fontId="0" fillId="63" borderId="0" xfId="63076" applyNumberFormat="1" applyFont="1" applyFill="1" applyBorder="1" applyAlignment="1">
      <alignment horizontal="center"/>
    </xf>
    <xf numFmtId="9" fontId="15" fillId="0" borderId="0" xfId="63077" applyFont="1"/>
    <xf numFmtId="9" fontId="0" fillId="0" borderId="0" xfId="63077" applyFont="1" applyBorder="1"/>
    <xf numFmtId="9" fontId="15" fillId="0" borderId="37" xfId="63077" applyFont="1" applyBorder="1"/>
    <xf numFmtId="9" fontId="0" fillId="0" borderId="0" xfId="63077" applyFont="1"/>
    <xf numFmtId="9" fontId="0" fillId="0" borderId="37" xfId="63077" applyFont="1" applyBorder="1"/>
    <xf numFmtId="9" fontId="15" fillId="0" borderId="0" xfId="63077" applyFont="1" applyBorder="1"/>
    <xf numFmtId="9" fontId="0" fillId="63" borderId="0" xfId="63077" applyFont="1" applyFill="1" applyBorder="1"/>
    <xf numFmtId="4" fontId="113" fillId="33" borderId="10" xfId="0" applyNumberFormat="1" applyFont="1" applyFill="1" applyBorder="1"/>
    <xf numFmtId="4" fontId="0" fillId="0" borderId="0" xfId="0" applyNumberFormat="1" applyAlignment="1">
      <alignment horizontal="center"/>
    </xf>
    <xf numFmtId="4" fontId="0" fillId="33" borderId="45" xfId="0" applyNumberFormat="1" applyFill="1" applyBorder="1" applyAlignment="1">
      <alignment horizontal="center"/>
    </xf>
    <xf numFmtId="9" fontId="15" fillId="33" borderId="10" xfId="63077" applyFont="1" applyFill="1" applyBorder="1" applyAlignment="1">
      <alignment horizontal="center"/>
    </xf>
    <xf numFmtId="9" fontId="15" fillId="0" borderId="0" xfId="63077" applyFont="1" applyAlignment="1">
      <alignment horizontal="center"/>
    </xf>
    <xf numFmtId="9" fontId="0" fillId="33" borderId="10" xfId="63077" applyFont="1" applyFill="1" applyBorder="1" applyAlignment="1">
      <alignment horizontal="center"/>
    </xf>
    <xf numFmtId="9" fontId="0" fillId="33" borderId="43" xfId="63077" applyFont="1" applyFill="1" applyBorder="1" applyAlignment="1">
      <alignment horizontal="center"/>
    </xf>
    <xf numFmtId="9" fontId="0" fillId="0" borderId="12" xfId="63077" applyFont="1" applyFill="1" applyBorder="1" applyAlignment="1">
      <alignment horizontal="center"/>
    </xf>
    <xf numFmtId="9" fontId="15" fillId="0" borderId="37" xfId="63077" applyFont="1" applyBorder="1" applyAlignment="1">
      <alignment horizontal="center"/>
    </xf>
    <xf numFmtId="4" fontId="15" fillId="70" borderId="13" xfId="63077" applyNumberFormat="1" applyFont="1" applyFill="1" applyBorder="1" applyAlignment="1">
      <alignment horizontal="center"/>
    </xf>
    <xf numFmtId="2" fontId="0" fillId="0" borderId="0" xfId="0" quotePrefix="1" applyNumberFormat="1" applyAlignment="1">
      <alignment horizontal="right"/>
    </xf>
    <xf numFmtId="0" fontId="0" fillId="0" borderId="0" xfId="0" applyAlignment="1">
      <alignment vertical="center"/>
    </xf>
    <xf numFmtId="9" fontId="1" fillId="0" borderId="0" xfId="63077" applyFont="1" applyBorder="1"/>
    <xf numFmtId="0" fontId="0" fillId="0" borderId="0" xfId="0" applyAlignment="1">
      <alignment horizontal="center"/>
    </xf>
    <xf numFmtId="0" fontId="15" fillId="0" borderId="0" xfId="0" applyFont="1" applyFill="1" applyAlignment="1"/>
    <xf numFmtId="0" fontId="0" fillId="0" borderId="0" xfId="0" applyFill="1" applyAlignment="1"/>
    <xf numFmtId="0" fontId="0" fillId="0" borderId="36" xfId="0" applyFill="1" applyBorder="1"/>
    <xf numFmtId="0" fontId="0" fillId="0" borderId="38" xfId="0" applyFill="1" applyBorder="1"/>
    <xf numFmtId="0" fontId="0" fillId="0" borderId="35" xfId="0" applyFill="1" applyBorder="1"/>
    <xf numFmtId="0" fontId="0" fillId="0" borderId="15" xfId="0" applyFill="1" applyBorder="1"/>
    <xf numFmtId="0" fontId="0" fillId="0" borderId="39" xfId="0" applyFill="1" applyBorder="1"/>
    <xf numFmtId="0" fontId="0" fillId="0" borderId="44" xfId="0" applyFill="1" applyBorder="1"/>
    <xf numFmtId="0" fontId="0" fillId="77" borderId="35" xfId="0" applyFill="1" applyBorder="1"/>
    <xf numFmtId="0" fontId="0" fillId="77" borderId="15" xfId="0" applyFill="1" applyBorder="1"/>
    <xf numFmtId="0" fontId="103" fillId="0" borderId="0" xfId="0" applyFont="1" applyFill="1"/>
    <xf numFmtId="0" fontId="13" fillId="0" borderId="0" xfId="0" applyFont="1" applyAlignment="1">
      <alignment horizontal="center"/>
    </xf>
    <xf numFmtId="0" fontId="103" fillId="0" borderId="0" xfId="0" applyFont="1"/>
    <xf numFmtId="172" fontId="0" fillId="0" borderId="15" xfId="0" applyNumberFormat="1" applyBorder="1"/>
    <xf numFmtId="0" fontId="0" fillId="78" borderId="35" xfId="0" applyFill="1" applyBorder="1"/>
    <xf numFmtId="0" fontId="0" fillId="78" borderId="15" xfId="0" applyFill="1" applyBorder="1"/>
    <xf numFmtId="0" fontId="0" fillId="78" borderId="39" xfId="0" applyFill="1" applyBorder="1"/>
    <xf numFmtId="0" fontId="0" fillId="78" borderId="44" xfId="0" applyFill="1" applyBorder="1"/>
    <xf numFmtId="0" fontId="0" fillId="0" borderId="52" xfId="0" applyBorder="1"/>
    <xf numFmtId="0" fontId="35" fillId="0" borderId="0" xfId="3197">
      <alignment vertical="top"/>
    </xf>
    <xf numFmtId="0" fontId="124" fillId="0" borderId="0" xfId="3197" applyFont="1" applyAlignment="1">
      <alignment horizontal="right" vertical="top" wrapText="1"/>
    </xf>
    <xf numFmtId="0" fontId="124" fillId="0" borderId="0" xfId="3197" applyFont="1" applyAlignment="1">
      <alignment horizontal="left" vertical="top"/>
    </xf>
    <xf numFmtId="0" fontId="35" fillId="0" borderId="0" xfId="3197" applyFont="1" applyAlignment="1">
      <alignment horizontal="left" vertical="top"/>
    </xf>
    <xf numFmtId="10" fontId="17" fillId="61" borderId="0" xfId="63077" applyNumberFormat="1" applyFont="1" applyFill="1" applyBorder="1"/>
    <xf numFmtId="10" fontId="0" fillId="61" borderId="0" xfId="63077" applyNumberFormat="1" applyFont="1" applyFill="1" applyBorder="1"/>
    <xf numFmtId="10" fontId="15" fillId="61" borderId="14" xfId="63077" applyNumberFormat="1" applyFont="1" applyFill="1" applyBorder="1"/>
    <xf numFmtId="10" fontId="0" fillId="0" borderId="0" xfId="63077" applyNumberFormat="1" applyFont="1"/>
    <xf numFmtId="10" fontId="35" fillId="0" borderId="0" xfId="63077" applyNumberFormat="1" applyFont="1" applyAlignment="1">
      <alignment vertical="top"/>
    </xf>
    <xf numFmtId="10" fontId="35" fillId="68" borderId="0" xfId="63077" applyNumberFormat="1" applyFont="1" applyFill="1" applyAlignment="1">
      <alignment vertical="top"/>
    </xf>
    <xf numFmtId="0" fontId="35" fillId="0" borderId="0" xfId="3197" applyFont="1">
      <alignment vertical="top"/>
    </xf>
    <xf numFmtId="0" fontId="127" fillId="0" borderId="0" xfId="63079"/>
    <xf numFmtId="0" fontId="127" fillId="0" borderId="0" xfId="63079" applyAlignment="1">
      <alignment vertical="top"/>
    </xf>
    <xf numFmtId="10" fontId="0" fillId="0" borderId="0" xfId="63077" applyNumberFormat="1" applyFont="1" applyBorder="1"/>
    <xf numFmtId="10" fontId="0" fillId="0" borderId="0" xfId="63077" applyNumberFormat="1" applyFont="1" applyBorder="1" applyAlignment="1">
      <alignment horizontal="center"/>
    </xf>
    <xf numFmtId="14" fontId="127" fillId="0" borderId="0" xfId="63079" applyNumberFormat="1" applyAlignment="1">
      <alignment vertical="top"/>
    </xf>
    <xf numFmtId="0" fontId="124" fillId="68" borderId="0" xfId="3197" applyFont="1" applyFill="1" applyAlignment="1">
      <alignment horizontal="right" vertical="top" wrapText="1"/>
    </xf>
    <xf numFmtId="0" fontId="123" fillId="0" borderId="0" xfId="3197" applyFont="1" applyAlignment="1">
      <alignment horizontal="left" vertical="top" wrapText="1" readingOrder="1"/>
    </xf>
    <xf numFmtId="0" fontId="122" fillId="0" borderId="0" xfId="3197" applyFont="1" applyAlignment="1">
      <alignment horizontal="left" vertical="top" wrapText="1" readingOrder="1"/>
    </xf>
    <xf numFmtId="0" fontId="123" fillId="0" borderId="0" xfId="3197" applyFont="1" applyAlignment="1">
      <alignment vertical="top" wrapText="1"/>
    </xf>
    <xf numFmtId="177" fontId="124" fillId="0" borderId="0" xfId="3197" applyNumberFormat="1" applyFont="1" applyAlignment="1">
      <alignment horizontal="right" vertical="top"/>
    </xf>
    <xf numFmtId="0" fontId="123" fillId="0" borderId="0" xfId="3197" applyFont="1" applyAlignment="1">
      <alignment vertical="top" readingOrder="1"/>
    </xf>
    <xf numFmtId="0" fontId="35" fillId="0" borderId="0" xfId="3197" applyFont="1" applyAlignment="1">
      <alignment horizontal="left" vertical="top" wrapText="1" readingOrder="1"/>
    </xf>
    <xf numFmtId="0" fontId="121" fillId="0" borderId="0" xfId="3197" applyFont="1" applyAlignment="1">
      <alignment horizontal="center" vertical="top"/>
    </xf>
    <xf numFmtId="0" fontId="121" fillId="0" borderId="0" xfId="3197" applyFont="1" applyAlignment="1">
      <alignment horizontal="left" vertical="top" wrapText="1" readingOrder="1"/>
    </xf>
    <xf numFmtId="0" fontId="121" fillId="0" borderId="0" xfId="3197" applyFont="1" applyAlignment="1">
      <alignment horizontal="right" vertical="top" wrapText="1" readingOrder="1"/>
    </xf>
    <xf numFmtId="0" fontId="123" fillId="0" borderId="0" xfId="3197" applyFont="1" applyAlignment="1">
      <alignment horizontal="left" vertical="top" readingOrder="1"/>
    </xf>
    <xf numFmtId="0" fontId="122" fillId="0" borderId="0" xfId="3197" applyFont="1" applyAlignment="1">
      <alignment horizontal="left" vertical="top" readingOrder="1"/>
    </xf>
    <xf numFmtId="0" fontId="125" fillId="0" borderId="0" xfId="3197" applyFont="1" applyAlignment="1">
      <alignment horizontal="left" vertical="top" readingOrder="1"/>
    </xf>
    <xf numFmtId="0" fontId="35" fillId="0" borderId="0" xfId="3197" applyAlignment="1">
      <alignment horizontal="left" vertical="top"/>
    </xf>
    <xf numFmtId="0" fontId="35" fillId="0" borderId="0" xfId="3197" applyAlignment="1">
      <alignment horizontal="left" vertical="top" wrapText="1"/>
    </xf>
    <xf numFmtId="10" fontId="0" fillId="0" borderId="0" xfId="63077" applyNumberFormat="1" applyFont="1" applyAlignment="1">
      <alignment horizontal="center"/>
    </xf>
    <xf numFmtId="7" fontId="0" fillId="0" borderId="0" xfId="63078" applyNumberFormat="1" applyFont="1" applyAlignment="1">
      <alignment horizontal="center"/>
    </xf>
    <xf numFmtId="0" fontId="60" fillId="0" borderId="0" xfId="63080" applyAlignment="1">
      <alignment vertical="center" wrapText="1"/>
    </xf>
    <xf numFmtId="0" fontId="128" fillId="0" borderId="0" xfId="0" applyFont="1" applyAlignment="1">
      <alignment vertical="center" wrapText="1"/>
    </xf>
    <xf numFmtId="0" fontId="60" fillId="0" borderId="0" xfId="63080"/>
    <xf numFmtId="0" fontId="0" fillId="0" borderId="43" xfId="0" applyBorder="1"/>
    <xf numFmtId="0" fontId="0" fillId="0" borderId="47" xfId="0" applyBorder="1"/>
    <xf numFmtId="0" fontId="0" fillId="0" borderId="45" xfId="0" applyBorder="1"/>
    <xf numFmtId="37" fontId="0" fillId="0" borderId="13" xfId="63076" applyNumberFormat="1" applyFont="1" applyBorder="1"/>
    <xf numFmtId="173" fontId="0" fillId="33" borderId="0" xfId="0" applyNumberFormat="1" applyFill="1"/>
    <xf numFmtId="0" fontId="15" fillId="0" borderId="0" xfId="0" applyFont="1" applyAlignment="1">
      <alignment horizontal="center" wrapText="1"/>
    </xf>
    <xf numFmtId="2" fontId="15" fillId="0" borderId="0" xfId="63076" applyNumberFormat="1" applyFont="1" applyAlignment="1"/>
    <xf numFmtId="0" fontId="0" fillId="0" borderId="0" xfId="0" applyAlignment="1">
      <alignment horizontal="center"/>
    </xf>
    <xf numFmtId="178" fontId="0" fillId="0" borderId="0" xfId="63076" applyNumberFormat="1" applyFont="1" applyAlignment="1">
      <alignment horizontal="center"/>
    </xf>
    <xf numFmtId="2" fontId="129" fillId="0" borderId="0" xfId="63076" applyNumberFormat="1" applyFont="1" applyAlignment="1">
      <alignment horizontal="center"/>
    </xf>
    <xf numFmtId="2" fontId="130" fillId="0" borderId="0" xfId="63076" applyNumberFormat="1" applyFont="1" applyAlignment="1"/>
    <xf numFmtId="4" fontId="0" fillId="0" borderId="15" xfId="0" applyNumberFormat="1" applyBorder="1"/>
    <xf numFmtId="4" fontId="0" fillId="0" borderId="44" xfId="0" applyNumberFormat="1" applyBorder="1"/>
    <xf numFmtId="2" fontId="130" fillId="0" borderId="0" xfId="63076" applyNumberFormat="1" applyFont="1" applyAlignment="1">
      <alignment horizontal="center"/>
    </xf>
    <xf numFmtId="178" fontId="129" fillId="0" borderId="0" xfId="63076" applyNumberFormat="1" applyFont="1" applyAlignment="1">
      <alignment horizontal="center"/>
    </xf>
    <xf numFmtId="2" fontId="0" fillId="68" borderId="0" xfId="63076" applyNumberFormat="1" applyFont="1" applyFill="1" applyAlignment="1">
      <alignment horizontal="center"/>
    </xf>
    <xf numFmtId="0" fontId="0" fillId="0" borderId="0" xfId="0" applyAlignment="1">
      <alignment horizontal="center"/>
    </xf>
    <xf numFmtId="0" fontId="0" fillId="76" borderId="0" xfId="0" applyFill="1"/>
    <xf numFmtId="0" fontId="15" fillId="61" borderId="14" xfId="0" applyFont="1" applyFill="1" applyBorder="1" applyAlignment="1">
      <alignment horizontal="center"/>
    </xf>
    <xf numFmtId="0" fontId="0" fillId="63" borderId="0" xfId="0" applyFill="1" applyAlignment="1">
      <alignment horizontal="center"/>
    </xf>
    <xf numFmtId="0" fontId="100" fillId="0" borderId="0" xfId="0" applyFont="1"/>
    <xf numFmtId="0" fontId="101" fillId="0" borderId="0" xfId="0" applyFont="1"/>
    <xf numFmtId="0" fontId="100" fillId="0" borderId="14" xfId="0" applyFont="1" applyBorder="1"/>
    <xf numFmtId="0" fontId="0" fillId="0" borderId="0" xfId="0" applyAlignment="1">
      <alignment horizontal="center"/>
    </xf>
    <xf numFmtId="0" fontId="113" fillId="0" borderId="0" xfId="0" applyFont="1"/>
    <xf numFmtId="0" fontId="0" fillId="0" borderId="0" xfId="0" applyAlignment="1">
      <alignment horizontal="center"/>
    </xf>
    <xf numFmtId="0" fontId="0" fillId="0" borderId="0" xfId="0" applyAlignment="1">
      <alignment horizontal="center"/>
    </xf>
    <xf numFmtId="164" fontId="1" fillId="0" borderId="0" xfId="1" applyAlignment="1">
      <alignment horizontal="left"/>
    </xf>
    <xf numFmtId="164" fontId="15" fillId="0" borderId="0" xfId="1" applyFont="1" applyAlignment="1">
      <alignment horizontal="left"/>
    </xf>
    <xf numFmtId="3" fontId="1" fillId="0" borderId="0" xfId="1" applyNumberFormat="1" applyAlignment="1">
      <alignment horizontal="left"/>
    </xf>
    <xf numFmtId="164" fontId="15" fillId="0" borderId="58" xfId="1" applyFont="1" applyBorder="1" applyAlignment="1">
      <alignment horizontal="left" wrapText="1"/>
    </xf>
    <xf numFmtId="164" fontId="15" fillId="0" borderId="61" xfId="1" applyFont="1" applyBorder="1" applyAlignment="1">
      <alignment horizontal="left" wrapText="1"/>
    </xf>
    <xf numFmtId="164" fontId="15" fillId="0" borderId="59" xfId="1" applyFont="1" applyBorder="1" applyAlignment="1">
      <alignment horizontal="left" wrapText="1"/>
    </xf>
    <xf numFmtId="164" fontId="15" fillId="0" borderId="60" xfId="1" applyFont="1" applyBorder="1" applyAlignment="1">
      <alignment horizontal="left" wrapText="1"/>
    </xf>
    <xf numFmtId="164" fontId="1" fillId="0" borderId="0" xfId="1" applyAlignment="1">
      <alignment horizontal="left" wrapText="1"/>
    </xf>
    <xf numFmtId="3" fontId="1" fillId="0" borderId="57" xfId="1" applyNumberFormat="1" applyBorder="1" applyAlignment="1">
      <alignment horizontal="left"/>
    </xf>
    <xf numFmtId="3" fontId="1" fillId="0" borderId="63" xfId="1" applyNumberFormat="1" applyBorder="1" applyAlignment="1">
      <alignment horizontal="left"/>
    </xf>
    <xf numFmtId="171" fontId="1" fillId="0" borderId="64" xfId="1" applyNumberFormat="1" applyBorder="1" applyAlignment="1">
      <alignment horizontal="left"/>
    </xf>
    <xf numFmtId="164" fontId="0" fillId="0" borderId="62" xfId="1" applyFont="1" applyBorder="1" applyAlignment="1">
      <alignment horizontal="left"/>
    </xf>
    <xf numFmtId="6" fontId="0" fillId="0" borderId="0" xfId="0" applyNumberFormat="1"/>
    <xf numFmtId="3" fontId="0" fillId="33" borderId="53" xfId="0" applyNumberFormat="1" applyFill="1" applyBorder="1"/>
    <xf numFmtId="3" fontId="15" fillId="70" borderId="13" xfId="0" applyNumberFormat="1" applyFont="1" applyFill="1" applyBorder="1" applyAlignment="1">
      <alignment horizontal="center"/>
    </xf>
    <xf numFmtId="0" fontId="0" fillId="0" borderId="0" xfId="0" applyAlignment="1">
      <alignment horizontal="center"/>
    </xf>
    <xf numFmtId="164" fontId="15" fillId="0" borderId="0" xfId="1" applyFont="1" applyFill="1" applyBorder="1" applyAlignment="1">
      <alignment horizontal="left" wrapText="1"/>
    </xf>
    <xf numFmtId="3" fontId="1" fillId="0" borderId="57" xfId="1" applyNumberFormat="1" applyFill="1" applyBorder="1" applyAlignment="1">
      <alignment horizontal="left"/>
    </xf>
    <xf numFmtId="0" fontId="15" fillId="0" borderId="35" xfId="0" applyFont="1" applyBorder="1"/>
    <xf numFmtId="0" fontId="0" fillId="0" borderId="53" xfId="0" applyBorder="1"/>
    <xf numFmtId="3" fontId="0" fillId="0" borderId="53" xfId="0" applyNumberFormat="1" applyBorder="1"/>
    <xf numFmtId="3" fontId="0" fillId="0" borderId="53" xfId="0" applyNumberFormat="1" applyFill="1" applyBorder="1"/>
    <xf numFmtId="0" fontId="0" fillId="0" borderId="53" xfId="0" applyFill="1" applyBorder="1"/>
    <xf numFmtId="0" fontId="15" fillId="0" borderId="58" xfId="0" applyFont="1" applyBorder="1"/>
    <xf numFmtId="0" fontId="15" fillId="0" borderId="59" xfId="0" applyFont="1" applyBorder="1"/>
    <xf numFmtId="171" fontId="15" fillId="0" borderId="60" xfId="63077" applyNumberFormat="1" applyFont="1" applyBorder="1"/>
    <xf numFmtId="37" fontId="15" fillId="0" borderId="59" xfId="0" applyNumberFormat="1" applyFont="1" applyBorder="1"/>
    <xf numFmtId="172" fontId="15" fillId="0" borderId="59" xfId="0" applyNumberFormat="1" applyFont="1" applyFill="1" applyBorder="1" applyAlignment="1">
      <alignment horizontal="right"/>
    </xf>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15" fillId="0" borderId="67" xfId="0" applyFont="1" applyBorder="1"/>
    <xf numFmtId="0" fontId="15" fillId="0" borderId="48" xfId="0" applyFont="1" applyBorder="1"/>
    <xf numFmtId="171" fontId="15" fillId="0" borderId="68" xfId="63077" applyNumberFormat="1" applyFont="1" applyBorder="1"/>
    <xf numFmtId="3" fontId="0" fillId="0" borderId="63" xfId="0" applyNumberFormat="1" applyBorder="1"/>
    <xf numFmtId="3" fontId="0" fillId="0" borderId="63" xfId="0" applyNumberFormat="1" applyFill="1" applyBorder="1"/>
    <xf numFmtId="173" fontId="15" fillId="0" borderId="48" xfId="0" applyNumberFormat="1" applyFont="1" applyBorder="1"/>
    <xf numFmtId="0" fontId="0" fillId="0" borderId="40" xfId="0" applyBorder="1"/>
    <xf numFmtId="164" fontId="1" fillId="0" borderId="42" xfId="1" applyFont="1" applyFill="1" applyBorder="1" applyAlignment="1">
      <alignment horizontal="left" wrapText="1"/>
    </xf>
    <xf numFmtId="164" fontId="1" fillId="0" borderId="41" xfId="1" applyFont="1" applyFill="1" applyBorder="1" applyAlignment="1">
      <alignment horizontal="left" wrapText="1"/>
    </xf>
    <xf numFmtId="37" fontId="0" fillId="68" borderId="0" xfId="63076" applyNumberFormat="1" applyFont="1" applyFill="1" applyAlignment="1">
      <alignment horizontal="center"/>
    </xf>
    <xf numFmtId="14" fontId="0" fillId="68" borderId="0" xfId="0" applyNumberFormat="1" applyFill="1" applyAlignment="1">
      <alignment horizontal="center"/>
    </xf>
    <xf numFmtId="0" fontId="0" fillId="68" borderId="0" xfId="0" applyFill="1" applyAlignment="1">
      <alignment horizontal="center"/>
    </xf>
    <xf numFmtId="0" fontId="0" fillId="0" borderId="0" xfId="0" applyFill="1" applyAlignment="1">
      <alignment horizontal="center"/>
    </xf>
    <xf numFmtId="0" fontId="0" fillId="0" borderId="0" xfId="0" applyAlignment="1">
      <alignment horizontal="center"/>
    </xf>
    <xf numFmtId="0" fontId="113" fillId="0" borderId="0" xfId="0" applyFont="1" applyBorder="1" applyAlignment="1">
      <alignment horizontal="right"/>
    </xf>
    <xf numFmtId="0" fontId="113" fillId="0" borderId="0" xfId="0" applyFont="1" applyBorder="1" applyAlignment="1">
      <alignment horizontal="left"/>
    </xf>
    <xf numFmtId="43" fontId="0" fillId="0" borderId="0" xfId="0" applyNumberFormat="1"/>
    <xf numFmtId="0" fontId="0" fillId="0" borderId="0" xfId="0"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14" xfId="0" applyBorder="1" applyAlignment="1">
      <alignment horizontal="center"/>
    </xf>
    <xf numFmtId="0" fontId="35" fillId="68" borderId="0" xfId="3197" applyFont="1" applyFill="1">
      <alignment vertical="top"/>
    </xf>
    <xf numFmtId="0" fontId="0" fillId="0" borderId="0" xfId="0" applyAlignment="1">
      <alignment horizontal="center"/>
    </xf>
    <xf numFmtId="0" fontId="0" fillId="0" borderId="0" xfId="0" applyAlignment="1">
      <alignment horizontal="center"/>
    </xf>
    <xf numFmtId="9" fontId="16" fillId="0" borderId="0" xfId="63077" applyFont="1" applyAlignment="1">
      <alignment horizontal="center"/>
    </xf>
    <xf numFmtId="0" fontId="0" fillId="0" borderId="0" xfId="0" applyAlignment="1">
      <alignment horizontal="center"/>
    </xf>
    <xf numFmtId="4" fontId="0" fillId="0" borderId="0" xfId="63076" applyNumberFormat="1" applyFont="1" applyFill="1" applyAlignment="1">
      <alignment horizontal="center" wrapText="1"/>
    </xf>
    <xf numFmtId="0" fontId="112" fillId="0" borderId="0" xfId="0" applyFont="1" applyAlignment="1">
      <alignment vertical="center" wrapText="1"/>
    </xf>
    <xf numFmtId="2" fontId="0" fillId="33" borderId="53" xfId="0" applyNumberFormat="1" applyFill="1" applyBorder="1" applyAlignment="1">
      <alignment horizontal="center"/>
    </xf>
    <xf numFmtId="4" fontId="15" fillId="70" borderId="13" xfId="0" applyNumberFormat="1" applyFont="1" applyFill="1" applyBorder="1" applyAlignment="1">
      <alignment horizontal="center"/>
    </xf>
    <xf numFmtId="0" fontId="0" fillId="68" borderId="0" xfId="0" applyFill="1"/>
    <xf numFmtId="0" fontId="0" fillId="0" borderId="13" xfId="0" applyBorder="1"/>
    <xf numFmtId="0" fontId="0" fillId="0" borderId="0" xfId="0" applyAlignment="1">
      <alignment horizontal="center"/>
    </xf>
    <xf numFmtId="9" fontId="15" fillId="33" borderId="53" xfId="63077"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68" borderId="0" xfId="0" applyNumberFormat="1" applyFill="1" applyAlignment="1">
      <alignment horizontal="center"/>
    </xf>
    <xf numFmtId="0" fontId="0" fillId="0" borderId="0" xfId="0" applyAlignment="1">
      <alignment horizontal="center"/>
    </xf>
    <xf numFmtId="0" fontId="0" fillId="0" borderId="0" xfId="0" applyAlignment="1">
      <alignment horizontal="center"/>
    </xf>
    <xf numFmtId="175" fontId="0" fillId="0" borderId="0" xfId="0" applyNumberFormat="1" applyFill="1" applyAlignment="1">
      <alignment horizontal="center"/>
    </xf>
    <xf numFmtId="2" fontId="0" fillId="0" borderId="0" xfId="0" applyNumberFormat="1" applyFill="1" applyAlignment="1">
      <alignment horizontal="center"/>
    </xf>
    <xf numFmtId="2" fontId="15" fillId="0" borderId="59" xfId="0" applyNumberFormat="1" applyFont="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49" fontId="0" fillId="33" borderId="10" xfId="0" applyNumberFormat="1" applyFill="1" applyBorder="1" applyAlignment="1">
      <alignment horizontal="left"/>
    </xf>
    <xf numFmtId="0" fontId="0" fillId="0" borderId="0" xfId="0" applyAlignment="1">
      <alignment horizontal="center"/>
    </xf>
    <xf numFmtId="0" fontId="0" fillId="0" borderId="0" xfId="0" applyFont="1"/>
    <xf numFmtId="3" fontId="0" fillId="0" borderId="0" xfId="0" applyNumberFormat="1" applyFill="1"/>
    <xf numFmtId="0" fontId="15" fillId="0" borderId="69" xfId="0" applyFont="1" applyBorder="1"/>
    <xf numFmtId="0" fontId="15" fillId="0" borderId="43" xfId="0" applyFont="1" applyBorder="1"/>
    <xf numFmtId="171" fontId="15" fillId="0" borderId="70" xfId="63077" applyNumberFormat="1" applyFont="1" applyBorder="1"/>
    <xf numFmtId="0" fontId="15" fillId="0" borderId="62" xfId="0" applyFont="1" applyBorder="1"/>
    <xf numFmtId="0" fontId="0" fillId="0" borderId="63" xfId="0" applyFont="1" applyBorder="1"/>
    <xf numFmtId="171" fontId="1" fillId="0" borderId="64" xfId="63077" applyNumberFormat="1" applyFont="1" applyBorder="1"/>
    <xf numFmtId="9" fontId="0" fillId="68" borderId="0" xfId="63077" applyFont="1" applyFill="1" applyAlignment="1">
      <alignment horizontal="center"/>
    </xf>
    <xf numFmtId="9" fontId="15" fillId="0" borderId="59" xfId="63077" applyFont="1" applyBorder="1"/>
    <xf numFmtId="173" fontId="15" fillId="70" borderId="13" xfId="63077" applyNumberFormat="1" applyFont="1" applyFill="1" applyBorder="1" applyAlignment="1">
      <alignment horizontal="center"/>
    </xf>
    <xf numFmtId="0" fontId="98" fillId="63" borderId="0" xfId="0" applyFont="1" applyFill="1" applyBorder="1" applyAlignment="1">
      <alignment horizontal="center" vertical="center"/>
    </xf>
    <xf numFmtId="0" fontId="98" fillId="62" borderId="30" xfId="0" applyFont="1" applyFill="1" applyBorder="1" applyAlignment="1">
      <alignment horizontal="left" vertical="center"/>
    </xf>
    <xf numFmtId="0" fontId="98" fillId="62" borderId="0" xfId="0" applyFont="1" applyFill="1" applyBorder="1" applyAlignment="1">
      <alignment horizontal="left" vertical="center"/>
    </xf>
    <xf numFmtId="0" fontId="0" fillId="33" borderId="11" xfId="0" applyFill="1" applyBorder="1" applyAlignment="1">
      <alignment horizontal="left"/>
    </xf>
    <xf numFmtId="0" fontId="0" fillId="33" borderId="12" xfId="0" applyFill="1" applyBorder="1" applyAlignment="1">
      <alignment horizontal="left"/>
    </xf>
    <xf numFmtId="0" fontId="0" fillId="33" borderId="13" xfId="0" applyFill="1" applyBorder="1" applyAlignment="1">
      <alignment horizontal="left"/>
    </xf>
    <xf numFmtId="0" fontId="0" fillId="33" borderId="11" xfId="0" applyFill="1" applyBorder="1" applyAlignment="1">
      <alignment horizontal="left" vertical="top"/>
    </xf>
    <xf numFmtId="0" fontId="0" fillId="33" borderId="12" xfId="0" applyFill="1" applyBorder="1" applyAlignment="1">
      <alignment horizontal="left" vertical="top"/>
    </xf>
    <xf numFmtId="0" fontId="0" fillId="33" borderId="13" xfId="0" applyFill="1" applyBorder="1" applyAlignment="1">
      <alignment horizontal="left" vertical="top"/>
    </xf>
    <xf numFmtId="3" fontId="0" fillId="33" borderId="11" xfId="0" applyNumberFormat="1" applyFill="1" applyBorder="1" applyAlignment="1">
      <alignment horizontal="center"/>
    </xf>
    <xf numFmtId="3" fontId="0" fillId="33" borderId="12" xfId="0" applyNumberFormat="1" applyFill="1" applyBorder="1" applyAlignment="1">
      <alignment horizontal="center"/>
    </xf>
    <xf numFmtId="3" fontId="0" fillId="33" borderId="13" xfId="0" applyNumberFormat="1" applyFill="1" applyBorder="1" applyAlignment="1">
      <alignment horizontal="center"/>
    </xf>
    <xf numFmtId="0" fontId="0" fillId="33" borderId="10" xfId="0" applyFill="1" applyBorder="1" applyAlignment="1">
      <alignment horizontal="left"/>
    </xf>
    <xf numFmtId="0" fontId="110" fillId="0" borderId="0" xfId="0" applyFont="1" applyFill="1" applyBorder="1" applyAlignment="1">
      <alignment horizontal="center"/>
    </xf>
    <xf numFmtId="4" fontId="0" fillId="0" borderId="0" xfId="0" applyNumberFormat="1" applyBorder="1" applyAlignment="1">
      <alignment horizontal="right"/>
    </xf>
    <xf numFmtId="4" fontId="0" fillId="33" borderId="11" xfId="0" applyNumberFormat="1" applyFill="1" applyBorder="1" applyAlignment="1">
      <alignment horizontal="right"/>
    </xf>
    <xf numFmtId="4" fontId="0" fillId="33" borderId="13" xfId="0" applyNumberFormat="1" applyFill="1" applyBorder="1" applyAlignment="1">
      <alignment horizontal="right"/>
    </xf>
    <xf numFmtId="4" fontId="0" fillId="33" borderId="10" xfId="0" applyNumberFormat="1" applyFill="1" applyBorder="1" applyAlignment="1">
      <alignment horizontal="right"/>
    </xf>
    <xf numFmtId="0" fontId="109" fillId="0" borderId="35" xfId="0" applyFont="1" applyBorder="1" applyAlignment="1">
      <alignment horizontal="center"/>
    </xf>
    <xf numFmtId="0" fontId="109" fillId="0" borderId="0" xfId="0" applyFont="1" applyBorder="1" applyAlignment="1">
      <alignment horizontal="center"/>
    </xf>
    <xf numFmtId="0" fontId="112" fillId="0" borderId="0" xfId="0" applyFont="1" applyAlignment="1">
      <alignment horizontal="left" vertical="center" wrapText="1"/>
    </xf>
    <xf numFmtId="0" fontId="110" fillId="0" borderId="35" xfId="0" applyFont="1" applyFill="1" applyBorder="1" applyAlignment="1">
      <alignment horizontal="center"/>
    </xf>
    <xf numFmtId="0" fontId="15" fillId="0" borderId="0" xfId="0" applyFont="1" applyAlignment="1">
      <alignment horizontal="right" wrapText="1"/>
    </xf>
    <xf numFmtId="0" fontId="15" fillId="0" borderId="15" xfId="0" applyFont="1" applyBorder="1" applyAlignment="1">
      <alignment horizontal="right" wrapText="1"/>
    </xf>
    <xf numFmtId="0" fontId="15" fillId="0" borderId="33" xfId="0" applyFont="1" applyBorder="1" applyAlignment="1">
      <alignment horizontal="left"/>
    </xf>
    <xf numFmtId="0" fontId="0" fillId="33" borderId="45" xfId="0" applyFill="1" applyBorder="1" applyAlignment="1">
      <alignment horizontal="left"/>
    </xf>
    <xf numFmtId="0" fontId="111" fillId="0" borderId="33" xfId="0" applyFont="1" applyBorder="1" applyAlignment="1">
      <alignment horizontal="center"/>
    </xf>
    <xf numFmtId="0" fontId="110" fillId="0" borderId="46" xfId="0" applyFont="1" applyFill="1" applyBorder="1" applyAlignment="1">
      <alignment horizontal="center"/>
    </xf>
    <xf numFmtId="0" fontId="110" fillId="0" borderId="28" xfId="0" applyFont="1" applyFill="1" applyBorder="1" applyAlignment="1">
      <alignment horizontal="center"/>
    </xf>
    <xf numFmtId="4" fontId="0" fillId="33" borderId="48" xfId="0" applyNumberFormat="1" applyFill="1" applyBorder="1" applyAlignment="1">
      <alignment horizontal="right"/>
    </xf>
    <xf numFmtId="0" fontId="0" fillId="0" borderId="0" xfId="0" applyAlignment="1">
      <alignment horizontal="right" wrapText="1"/>
    </xf>
    <xf numFmtId="0" fontId="0" fillId="0" borderId="15" xfId="0" applyBorder="1" applyAlignment="1">
      <alignment horizontal="right" wrapText="1"/>
    </xf>
    <xf numFmtId="0" fontId="13" fillId="0" borderId="0" xfId="0" applyFont="1" applyAlignment="1">
      <alignment horizontal="left" wrapText="1"/>
    </xf>
    <xf numFmtId="0" fontId="15" fillId="0" borderId="33" xfId="0" applyFont="1" applyBorder="1" applyAlignment="1">
      <alignment horizontal="right" wrapText="1"/>
    </xf>
    <xf numFmtId="4" fontId="0" fillId="33" borderId="56" xfId="0" applyNumberFormat="1" applyFill="1" applyBorder="1" applyAlignment="1">
      <alignment horizontal="right"/>
    </xf>
    <xf numFmtId="4" fontId="0" fillId="33" borderId="57" xfId="0" applyNumberFormat="1" applyFill="1" applyBorder="1" applyAlignment="1">
      <alignment horizontal="right"/>
    </xf>
    <xf numFmtId="4" fontId="0" fillId="33" borderId="45" xfId="0" applyNumberFormat="1" applyFill="1" applyBorder="1" applyAlignment="1">
      <alignment horizontal="right"/>
    </xf>
    <xf numFmtId="0" fontId="15" fillId="0" borderId="37" xfId="0" applyFont="1" applyBorder="1" applyAlignment="1">
      <alignment horizontal="right" wrapText="1"/>
    </xf>
    <xf numFmtId="0" fontId="15" fillId="0" borderId="38" xfId="0" applyFont="1" applyBorder="1" applyAlignment="1">
      <alignment horizontal="right" wrapText="1"/>
    </xf>
    <xf numFmtId="0" fontId="0" fillId="0" borderId="0" xfId="0" applyAlignment="1">
      <alignment horizontal="left" wrapText="1"/>
    </xf>
    <xf numFmtId="0" fontId="0" fillId="33" borderId="11" xfId="0" applyFill="1" applyBorder="1" applyAlignment="1">
      <alignment horizontal="center"/>
    </xf>
    <xf numFmtId="0" fontId="0" fillId="33" borderId="13" xfId="0" applyFill="1" applyBorder="1" applyAlignment="1">
      <alignment horizontal="center"/>
    </xf>
    <xf numFmtId="0" fontId="0" fillId="0" borderId="35" xfId="0" applyBorder="1" applyAlignment="1">
      <alignment horizontal="left" wrapText="1"/>
    </xf>
    <xf numFmtId="0" fontId="100" fillId="64" borderId="40" xfId="0" applyFont="1" applyFill="1" applyBorder="1" applyAlignment="1">
      <alignment horizontal="left" wrapText="1"/>
    </xf>
    <xf numFmtId="0" fontId="100" fillId="64" borderId="42" xfId="0" applyFont="1" applyFill="1" applyBorder="1" applyAlignment="1">
      <alignment horizontal="left" wrapText="1"/>
    </xf>
    <xf numFmtId="3" fontId="100" fillId="64" borderId="42" xfId="0" applyNumberFormat="1" applyFont="1" applyFill="1" applyBorder="1" applyAlignment="1">
      <alignment horizontal="center"/>
    </xf>
    <xf numFmtId="3" fontId="100" fillId="64" borderId="41" xfId="0" applyNumberFormat="1" applyFont="1" applyFill="1" applyBorder="1" applyAlignment="1">
      <alignment horizontal="center"/>
    </xf>
    <xf numFmtId="4" fontId="100" fillId="64" borderId="42" xfId="0" applyNumberFormat="1" applyFont="1" applyFill="1" applyBorder="1" applyAlignment="1">
      <alignment horizontal="center"/>
    </xf>
    <xf numFmtId="4" fontId="100" fillId="64" borderId="41" xfId="0" applyNumberFormat="1" applyFont="1" applyFill="1" applyBorder="1" applyAlignment="1">
      <alignment horizontal="center"/>
    </xf>
    <xf numFmtId="0" fontId="15" fillId="0" borderId="0" xfId="0" applyFont="1" applyAlignment="1">
      <alignment horizontal="center"/>
    </xf>
    <xf numFmtId="43" fontId="0" fillId="61" borderId="0" xfId="63076" applyFont="1" applyFill="1" applyAlignment="1">
      <alignment horizontal="center"/>
    </xf>
    <xf numFmtId="43" fontId="0" fillId="0" borderId="0" xfId="63076" applyFont="1" applyAlignment="1">
      <alignment horizontal="center"/>
    </xf>
    <xf numFmtId="0" fontId="15" fillId="61" borderId="53" xfId="0" applyFont="1" applyFill="1" applyBorder="1" applyAlignment="1">
      <alignment horizontal="center"/>
    </xf>
    <xf numFmtId="0" fontId="0" fillId="0" borderId="0" xfId="0" applyAlignment="1">
      <alignment horizontal="center"/>
    </xf>
    <xf numFmtId="0" fontId="0" fillId="61" borderId="0" xfId="0" applyFill="1" applyAlignment="1">
      <alignment horizontal="center"/>
    </xf>
    <xf numFmtId="0" fontId="15" fillId="0" borderId="40" xfId="0" applyFont="1" applyBorder="1" applyAlignment="1">
      <alignment horizontal="left"/>
    </xf>
    <xf numFmtId="0" fontId="15" fillId="0" borderId="42" xfId="0" applyFont="1" applyBorder="1" applyAlignment="1">
      <alignment horizontal="left"/>
    </xf>
    <xf numFmtId="0" fontId="15" fillId="0" borderId="41" xfId="0" applyFont="1" applyBorder="1" applyAlignment="1">
      <alignment horizontal="left"/>
    </xf>
  </cellXfs>
  <cellStyles count="63081">
    <cellStyle name="20% - Accent1 2" xfId="2" xr:uid="{00000000-0005-0000-0000-000000000000}"/>
    <cellStyle name="20% - Accent1 2 2" xfId="3" xr:uid="{00000000-0005-0000-0000-000001000000}"/>
    <cellStyle name="20% - Accent1 2 2 2" xfId="4" xr:uid="{00000000-0005-0000-0000-000002000000}"/>
    <cellStyle name="20% - Accent1 2 2 2 2" xfId="5" xr:uid="{00000000-0005-0000-0000-000003000000}"/>
    <cellStyle name="20% - Accent1 2 2 2 2 2" xfId="46026" xr:uid="{00000000-0005-0000-0000-000004000000}"/>
    <cellStyle name="20% - Accent1 2 2 2 2 3" xfId="46027" xr:uid="{00000000-0005-0000-0000-000005000000}"/>
    <cellStyle name="20% - Accent1 2 2 2 3" xfId="46028" xr:uid="{00000000-0005-0000-0000-000006000000}"/>
    <cellStyle name="20% - Accent1 2 2 2 4" xfId="46029" xr:uid="{00000000-0005-0000-0000-000007000000}"/>
    <cellStyle name="20% - Accent1 2 2 3" xfId="6" xr:uid="{00000000-0005-0000-0000-000008000000}"/>
    <cellStyle name="20% - Accent1 2 2 3 2" xfId="46030" xr:uid="{00000000-0005-0000-0000-000009000000}"/>
    <cellStyle name="20% - Accent1 2 2 3 3" xfId="46031" xr:uid="{00000000-0005-0000-0000-00000A000000}"/>
    <cellStyle name="20% - Accent1 2 2 4" xfId="46032" xr:uid="{00000000-0005-0000-0000-00000B000000}"/>
    <cellStyle name="20% - Accent1 2 2 5" xfId="46033" xr:uid="{00000000-0005-0000-0000-00000C000000}"/>
    <cellStyle name="20% - Accent1 2 3" xfId="7" xr:uid="{00000000-0005-0000-0000-00000D000000}"/>
    <cellStyle name="20% - Accent1 2 4" xfId="8" xr:uid="{00000000-0005-0000-0000-00000E000000}"/>
    <cellStyle name="20% - Accent1 3" xfId="9" xr:uid="{00000000-0005-0000-0000-00000F000000}"/>
    <cellStyle name="20% - Accent1 3 2" xfId="10" xr:uid="{00000000-0005-0000-0000-000010000000}"/>
    <cellStyle name="20% - Accent1 3 3" xfId="11" xr:uid="{00000000-0005-0000-0000-000011000000}"/>
    <cellStyle name="20% - Accent1 4" xfId="12" xr:uid="{00000000-0005-0000-0000-000012000000}"/>
    <cellStyle name="20% - Accent2 2" xfId="13" xr:uid="{00000000-0005-0000-0000-000013000000}"/>
    <cellStyle name="20% - Accent2 2 2" xfId="14" xr:uid="{00000000-0005-0000-0000-000014000000}"/>
    <cellStyle name="20% - Accent2 2 2 2" xfId="15" xr:uid="{00000000-0005-0000-0000-000015000000}"/>
    <cellStyle name="20% - Accent2 2 2 2 2" xfId="16" xr:uid="{00000000-0005-0000-0000-000016000000}"/>
    <cellStyle name="20% - Accent2 2 2 2 2 2" xfId="46034" xr:uid="{00000000-0005-0000-0000-000017000000}"/>
    <cellStyle name="20% - Accent2 2 2 2 2 3" xfId="46035" xr:uid="{00000000-0005-0000-0000-000018000000}"/>
    <cellStyle name="20% - Accent2 2 2 2 3" xfId="46036" xr:uid="{00000000-0005-0000-0000-000019000000}"/>
    <cellStyle name="20% - Accent2 2 2 2 4" xfId="46037" xr:uid="{00000000-0005-0000-0000-00001A000000}"/>
    <cellStyle name="20% - Accent2 2 2 3" xfId="17" xr:uid="{00000000-0005-0000-0000-00001B000000}"/>
    <cellStyle name="20% - Accent2 2 2 3 2" xfId="46038" xr:uid="{00000000-0005-0000-0000-00001C000000}"/>
    <cellStyle name="20% - Accent2 2 2 3 3" xfId="46039" xr:uid="{00000000-0005-0000-0000-00001D000000}"/>
    <cellStyle name="20% - Accent2 2 2 4" xfId="46040" xr:uid="{00000000-0005-0000-0000-00001E000000}"/>
    <cellStyle name="20% - Accent2 2 2 5" xfId="46041" xr:uid="{00000000-0005-0000-0000-00001F000000}"/>
    <cellStyle name="20% - Accent2 2 3" xfId="18" xr:uid="{00000000-0005-0000-0000-000020000000}"/>
    <cellStyle name="20% - Accent2 2 4" xfId="19" xr:uid="{00000000-0005-0000-0000-000021000000}"/>
    <cellStyle name="20% - Accent2 3" xfId="20" xr:uid="{00000000-0005-0000-0000-000022000000}"/>
    <cellStyle name="20% - Accent2 3 2" xfId="21" xr:uid="{00000000-0005-0000-0000-000023000000}"/>
    <cellStyle name="20% - Accent2 3 3" xfId="22" xr:uid="{00000000-0005-0000-0000-000024000000}"/>
    <cellStyle name="20% - Accent2 4" xfId="23" xr:uid="{00000000-0005-0000-0000-000025000000}"/>
    <cellStyle name="20% - Accent3 2" xfId="24" xr:uid="{00000000-0005-0000-0000-000026000000}"/>
    <cellStyle name="20% - Accent3 2 2" xfId="25" xr:uid="{00000000-0005-0000-0000-000027000000}"/>
    <cellStyle name="20% - Accent3 2 2 2" xfId="26" xr:uid="{00000000-0005-0000-0000-000028000000}"/>
    <cellStyle name="20% - Accent3 2 2 2 2" xfId="27" xr:uid="{00000000-0005-0000-0000-000029000000}"/>
    <cellStyle name="20% - Accent3 2 2 2 2 2" xfId="46042" xr:uid="{00000000-0005-0000-0000-00002A000000}"/>
    <cellStyle name="20% - Accent3 2 2 2 2 3" xfId="46043" xr:uid="{00000000-0005-0000-0000-00002B000000}"/>
    <cellStyle name="20% - Accent3 2 2 2 3" xfId="46044" xr:uid="{00000000-0005-0000-0000-00002C000000}"/>
    <cellStyle name="20% - Accent3 2 2 2 4" xfId="46045" xr:uid="{00000000-0005-0000-0000-00002D000000}"/>
    <cellStyle name="20% - Accent3 2 2 3" xfId="28" xr:uid="{00000000-0005-0000-0000-00002E000000}"/>
    <cellStyle name="20% - Accent3 2 2 3 2" xfId="46046" xr:uid="{00000000-0005-0000-0000-00002F000000}"/>
    <cellStyle name="20% - Accent3 2 2 3 3" xfId="46047" xr:uid="{00000000-0005-0000-0000-000030000000}"/>
    <cellStyle name="20% - Accent3 2 2 4" xfId="46048" xr:uid="{00000000-0005-0000-0000-000031000000}"/>
    <cellStyle name="20% - Accent3 2 2 5" xfId="46049" xr:uid="{00000000-0005-0000-0000-000032000000}"/>
    <cellStyle name="20% - Accent3 2 3" xfId="29" xr:uid="{00000000-0005-0000-0000-000033000000}"/>
    <cellStyle name="20% - Accent3 2 4" xfId="30" xr:uid="{00000000-0005-0000-0000-000034000000}"/>
    <cellStyle name="20% - Accent3 3" xfId="31" xr:uid="{00000000-0005-0000-0000-000035000000}"/>
    <cellStyle name="20% - Accent3 3 2" xfId="32" xr:uid="{00000000-0005-0000-0000-000036000000}"/>
    <cellStyle name="20% - Accent3 3 3" xfId="33" xr:uid="{00000000-0005-0000-0000-000037000000}"/>
    <cellStyle name="20% - Accent3 4" xfId="34" xr:uid="{00000000-0005-0000-0000-000038000000}"/>
    <cellStyle name="20% - Accent4 2" xfId="35" xr:uid="{00000000-0005-0000-0000-000039000000}"/>
    <cellStyle name="20% - Accent4 2 2" xfId="36" xr:uid="{00000000-0005-0000-0000-00003A000000}"/>
    <cellStyle name="20% - Accent4 2 2 2" xfId="37" xr:uid="{00000000-0005-0000-0000-00003B000000}"/>
    <cellStyle name="20% - Accent4 2 2 2 2" xfId="38" xr:uid="{00000000-0005-0000-0000-00003C000000}"/>
    <cellStyle name="20% - Accent4 2 2 2 2 2" xfId="46050" xr:uid="{00000000-0005-0000-0000-00003D000000}"/>
    <cellStyle name="20% - Accent4 2 2 2 2 3" xfId="46051" xr:uid="{00000000-0005-0000-0000-00003E000000}"/>
    <cellStyle name="20% - Accent4 2 2 2 3" xfId="46052" xr:uid="{00000000-0005-0000-0000-00003F000000}"/>
    <cellStyle name="20% - Accent4 2 2 2 4" xfId="46053" xr:uid="{00000000-0005-0000-0000-000040000000}"/>
    <cellStyle name="20% - Accent4 2 2 3" xfId="39" xr:uid="{00000000-0005-0000-0000-000041000000}"/>
    <cellStyle name="20% - Accent4 2 2 3 2" xfId="46054" xr:uid="{00000000-0005-0000-0000-000042000000}"/>
    <cellStyle name="20% - Accent4 2 2 3 3" xfId="46055" xr:uid="{00000000-0005-0000-0000-000043000000}"/>
    <cellStyle name="20% - Accent4 2 2 4" xfId="46056" xr:uid="{00000000-0005-0000-0000-000044000000}"/>
    <cellStyle name="20% - Accent4 2 2 5" xfId="46057" xr:uid="{00000000-0005-0000-0000-000045000000}"/>
    <cellStyle name="20% - Accent4 2 3" xfId="40" xr:uid="{00000000-0005-0000-0000-000046000000}"/>
    <cellStyle name="20% - Accent4 2 4" xfId="41" xr:uid="{00000000-0005-0000-0000-000047000000}"/>
    <cellStyle name="20% - Accent4 3" xfId="42" xr:uid="{00000000-0005-0000-0000-000048000000}"/>
    <cellStyle name="20% - Accent4 3 2" xfId="43" xr:uid="{00000000-0005-0000-0000-000049000000}"/>
    <cellStyle name="20% - Accent4 3 3" xfId="44" xr:uid="{00000000-0005-0000-0000-00004A000000}"/>
    <cellStyle name="20% - Accent4 4" xfId="45" xr:uid="{00000000-0005-0000-0000-00004B000000}"/>
    <cellStyle name="20% - Accent5 2" xfId="46" xr:uid="{00000000-0005-0000-0000-00004C000000}"/>
    <cellStyle name="20% - Accent5 2 2" xfId="47" xr:uid="{00000000-0005-0000-0000-00004D000000}"/>
    <cellStyle name="20% - Accent5 2 2 2" xfId="48" xr:uid="{00000000-0005-0000-0000-00004E000000}"/>
    <cellStyle name="20% - Accent5 2 2 2 2" xfId="49" xr:uid="{00000000-0005-0000-0000-00004F000000}"/>
    <cellStyle name="20% - Accent5 2 2 2 2 2" xfId="46058" xr:uid="{00000000-0005-0000-0000-000050000000}"/>
    <cellStyle name="20% - Accent5 2 2 2 2 3" xfId="46059" xr:uid="{00000000-0005-0000-0000-000051000000}"/>
    <cellStyle name="20% - Accent5 2 2 2 3" xfId="46060" xr:uid="{00000000-0005-0000-0000-000052000000}"/>
    <cellStyle name="20% - Accent5 2 2 2 4" xfId="46061" xr:uid="{00000000-0005-0000-0000-000053000000}"/>
    <cellStyle name="20% - Accent5 2 2 3" xfId="50" xr:uid="{00000000-0005-0000-0000-000054000000}"/>
    <cellStyle name="20% - Accent5 2 2 3 2" xfId="46062" xr:uid="{00000000-0005-0000-0000-000055000000}"/>
    <cellStyle name="20% - Accent5 2 2 3 3" xfId="46063" xr:uid="{00000000-0005-0000-0000-000056000000}"/>
    <cellStyle name="20% - Accent5 2 2 4" xfId="46064" xr:uid="{00000000-0005-0000-0000-000057000000}"/>
    <cellStyle name="20% - Accent5 2 2 5" xfId="46065" xr:uid="{00000000-0005-0000-0000-000058000000}"/>
    <cellStyle name="20% - Accent5 2 3" xfId="51" xr:uid="{00000000-0005-0000-0000-000059000000}"/>
    <cellStyle name="20% - Accent5 2 4" xfId="52" xr:uid="{00000000-0005-0000-0000-00005A000000}"/>
    <cellStyle name="20% - Accent5 3" xfId="53" xr:uid="{00000000-0005-0000-0000-00005B000000}"/>
    <cellStyle name="20% - Accent5 3 2" xfId="54" xr:uid="{00000000-0005-0000-0000-00005C000000}"/>
    <cellStyle name="20% - Accent5 3 3" xfId="55" xr:uid="{00000000-0005-0000-0000-00005D000000}"/>
    <cellStyle name="20% - Accent5 4" xfId="56" xr:uid="{00000000-0005-0000-0000-00005E000000}"/>
    <cellStyle name="20% - Accent6 2" xfId="57" xr:uid="{00000000-0005-0000-0000-00005F000000}"/>
    <cellStyle name="20% - Accent6 2 2" xfId="58" xr:uid="{00000000-0005-0000-0000-000060000000}"/>
    <cellStyle name="20% - Accent6 2 2 2" xfId="59" xr:uid="{00000000-0005-0000-0000-000061000000}"/>
    <cellStyle name="20% - Accent6 2 2 2 2" xfId="60" xr:uid="{00000000-0005-0000-0000-000062000000}"/>
    <cellStyle name="20% - Accent6 2 2 2 2 2" xfId="46066" xr:uid="{00000000-0005-0000-0000-000063000000}"/>
    <cellStyle name="20% - Accent6 2 2 2 2 3" xfId="46067" xr:uid="{00000000-0005-0000-0000-000064000000}"/>
    <cellStyle name="20% - Accent6 2 2 2 3" xfId="46068" xr:uid="{00000000-0005-0000-0000-000065000000}"/>
    <cellStyle name="20% - Accent6 2 2 2 4" xfId="46069" xr:uid="{00000000-0005-0000-0000-000066000000}"/>
    <cellStyle name="20% - Accent6 2 2 3" xfId="61" xr:uid="{00000000-0005-0000-0000-000067000000}"/>
    <cellStyle name="20% - Accent6 2 2 3 2" xfId="46070" xr:uid="{00000000-0005-0000-0000-000068000000}"/>
    <cellStyle name="20% - Accent6 2 2 3 3" xfId="46071" xr:uid="{00000000-0005-0000-0000-000069000000}"/>
    <cellStyle name="20% - Accent6 2 2 4" xfId="62" xr:uid="{00000000-0005-0000-0000-00006A000000}"/>
    <cellStyle name="20% - Accent6 2 2 5" xfId="46072" xr:uid="{00000000-0005-0000-0000-00006B000000}"/>
    <cellStyle name="20% - Accent6 2 3" xfId="63" xr:uid="{00000000-0005-0000-0000-00006C000000}"/>
    <cellStyle name="20% - Accent6 2 4" xfId="64" xr:uid="{00000000-0005-0000-0000-00006D000000}"/>
    <cellStyle name="20% - Accent6 2 5" xfId="65" xr:uid="{00000000-0005-0000-0000-00006E000000}"/>
    <cellStyle name="20% - Accent6 3" xfId="66" xr:uid="{00000000-0005-0000-0000-00006F000000}"/>
    <cellStyle name="20% - Accent6 3 2" xfId="67" xr:uid="{00000000-0005-0000-0000-000070000000}"/>
    <cellStyle name="20% - Accent6 3 3" xfId="68" xr:uid="{00000000-0005-0000-0000-000071000000}"/>
    <cellStyle name="20% - Accent6 4" xfId="69" xr:uid="{00000000-0005-0000-0000-000072000000}"/>
    <cellStyle name="40% - Accent1 2" xfId="70" xr:uid="{00000000-0005-0000-0000-000073000000}"/>
    <cellStyle name="40% - Accent1 2 2" xfId="71" xr:uid="{00000000-0005-0000-0000-000074000000}"/>
    <cellStyle name="40% - Accent1 2 2 2" xfId="72" xr:uid="{00000000-0005-0000-0000-000075000000}"/>
    <cellStyle name="40% - Accent1 2 2 2 2" xfId="73" xr:uid="{00000000-0005-0000-0000-000076000000}"/>
    <cellStyle name="40% - Accent1 2 2 2 2 2" xfId="46073" xr:uid="{00000000-0005-0000-0000-000077000000}"/>
    <cellStyle name="40% - Accent1 2 2 2 2 3" xfId="46074" xr:uid="{00000000-0005-0000-0000-000078000000}"/>
    <cellStyle name="40% - Accent1 2 2 2 3" xfId="46075" xr:uid="{00000000-0005-0000-0000-000079000000}"/>
    <cellStyle name="40% - Accent1 2 2 2 4" xfId="46076" xr:uid="{00000000-0005-0000-0000-00007A000000}"/>
    <cellStyle name="40% - Accent1 2 2 3" xfId="74" xr:uid="{00000000-0005-0000-0000-00007B000000}"/>
    <cellStyle name="40% - Accent1 2 2 3 2" xfId="46077" xr:uid="{00000000-0005-0000-0000-00007C000000}"/>
    <cellStyle name="40% - Accent1 2 2 3 3" xfId="46078" xr:uid="{00000000-0005-0000-0000-00007D000000}"/>
    <cellStyle name="40% - Accent1 2 2 4" xfId="46079" xr:uid="{00000000-0005-0000-0000-00007E000000}"/>
    <cellStyle name="40% - Accent1 2 2 5" xfId="46080" xr:uid="{00000000-0005-0000-0000-00007F000000}"/>
    <cellStyle name="40% - Accent1 2 3" xfId="75" xr:uid="{00000000-0005-0000-0000-000080000000}"/>
    <cellStyle name="40% - Accent1 2 4" xfId="76" xr:uid="{00000000-0005-0000-0000-000081000000}"/>
    <cellStyle name="40% - Accent1 3" xfId="77" xr:uid="{00000000-0005-0000-0000-000082000000}"/>
    <cellStyle name="40% - Accent1 3 2" xfId="78" xr:uid="{00000000-0005-0000-0000-000083000000}"/>
    <cellStyle name="40% - Accent1 3 3" xfId="79" xr:uid="{00000000-0005-0000-0000-000084000000}"/>
    <cellStyle name="40% - Accent1 4" xfId="80" xr:uid="{00000000-0005-0000-0000-000085000000}"/>
    <cellStyle name="40% - Accent2 2" xfId="81" xr:uid="{00000000-0005-0000-0000-000086000000}"/>
    <cellStyle name="40% - Accent2 2 2" xfId="82" xr:uid="{00000000-0005-0000-0000-000087000000}"/>
    <cellStyle name="40% - Accent2 2 2 2" xfId="83" xr:uid="{00000000-0005-0000-0000-000088000000}"/>
    <cellStyle name="40% - Accent2 2 2 2 2" xfId="84" xr:uid="{00000000-0005-0000-0000-000089000000}"/>
    <cellStyle name="40% - Accent2 2 2 2 2 2" xfId="46081" xr:uid="{00000000-0005-0000-0000-00008A000000}"/>
    <cellStyle name="40% - Accent2 2 2 2 2 3" xfId="46082" xr:uid="{00000000-0005-0000-0000-00008B000000}"/>
    <cellStyle name="40% - Accent2 2 2 2 3" xfId="46083" xr:uid="{00000000-0005-0000-0000-00008C000000}"/>
    <cellStyle name="40% - Accent2 2 2 2 4" xfId="46084" xr:uid="{00000000-0005-0000-0000-00008D000000}"/>
    <cellStyle name="40% - Accent2 2 2 3" xfId="85" xr:uid="{00000000-0005-0000-0000-00008E000000}"/>
    <cellStyle name="40% - Accent2 2 2 3 2" xfId="46085" xr:uid="{00000000-0005-0000-0000-00008F000000}"/>
    <cellStyle name="40% - Accent2 2 2 3 3" xfId="46086" xr:uid="{00000000-0005-0000-0000-000090000000}"/>
    <cellStyle name="40% - Accent2 2 2 4" xfId="46087" xr:uid="{00000000-0005-0000-0000-000091000000}"/>
    <cellStyle name="40% - Accent2 2 2 5" xfId="46088" xr:uid="{00000000-0005-0000-0000-000092000000}"/>
    <cellStyle name="40% - Accent2 2 3" xfId="86" xr:uid="{00000000-0005-0000-0000-000093000000}"/>
    <cellStyle name="40% - Accent2 2 4" xfId="87" xr:uid="{00000000-0005-0000-0000-000094000000}"/>
    <cellStyle name="40% - Accent2 3" xfId="88" xr:uid="{00000000-0005-0000-0000-000095000000}"/>
    <cellStyle name="40% - Accent2 3 2" xfId="89" xr:uid="{00000000-0005-0000-0000-000096000000}"/>
    <cellStyle name="40% - Accent2 3 3" xfId="90" xr:uid="{00000000-0005-0000-0000-000097000000}"/>
    <cellStyle name="40% - Accent2 4" xfId="91" xr:uid="{00000000-0005-0000-0000-000098000000}"/>
    <cellStyle name="40% - Accent3 2" xfId="92" xr:uid="{00000000-0005-0000-0000-000099000000}"/>
    <cellStyle name="40% - Accent3 2 2" xfId="93" xr:uid="{00000000-0005-0000-0000-00009A000000}"/>
    <cellStyle name="40% - Accent3 2 2 2" xfId="94" xr:uid="{00000000-0005-0000-0000-00009B000000}"/>
    <cellStyle name="40% - Accent3 2 2 2 2" xfId="95" xr:uid="{00000000-0005-0000-0000-00009C000000}"/>
    <cellStyle name="40% - Accent3 2 2 2 2 2" xfId="46089" xr:uid="{00000000-0005-0000-0000-00009D000000}"/>
    <cellStyle name="40% - Accent3 2 2 2 2 3" xfId="46090" xr:uid="{00000000-0005-0000-0000-00009E000000}"/>
    <cellStyle name="40% - Accent3 2 2 2 3" xfId="46091" xr:uid="{00000000-0005-0000-0000-00009F000000}"/>
    <cellStyle name="40% - Accent3 2 2 2 4" xfId="46092" xr:uid="{00000000-0005-0000-0000-0000A0000000}"/>
    <cellStyle name="40% - Accent3 2 2 3" xfId="96" xr:uid="{00000000-0005-0000-0000-0000A1000000}"/>
    <cellStyle name="40% - Accent3 2 2 3 2" xfId="46093" xr:uid="{00000000-0005-0000-0000-0000A2000000}"/>
    <cellStyle name="40% - Accent3 2 2 3 3" xfId="46094" xr:uid="{00000000-0005-0000-0000-0000A3000000}"/>
    <cellStyle name="40% - Accent3 2 2 4" xfId="46095" xr:uid="{00000000-0005-0000-0000-0000A4000000}"/>
    <cellStyle name="40% - Accent3 2 2 5" xfId="46096" xr:uid="{00000000-0005-0000-0000-0000A5000000}"/>
    <cellStyle name="40% - Accent3 2 3" xfId="97" xr:uid="{00000000-0005-0000-0000-0000A6000000}"/>
    <cellStyle name="40% - Accent3 2 4" xfId="98" xr:uid="{00000000-0005-0000-0000-0000A7000000}"/>
    <cellStyle name="40% - Accent3 3" xfId="99" xr:uid="{00000000-0005-0000-0000-0000A8000000}"/>
    <cellStyle name="40% - Accent3 3 2" xfId="100" xr:uid="{00000000-0005-0000-0000-0000A9000000}"/>
    <cellStyle name="40% - Accent3 3 3" xfId="101" xr:uid="{00000000-0005-0000-0000-0000AA000000}"/>
    <cellStyle name="40% - Accent3 4" xfId="102" xr:uid="{00000000-0005-0000-0000-0000AB000000}"/>
    <cellStyle name="40% - Accent4 2" xfId="103" xr:uid="{00000000-0005-0000-0000-0000AC000000}"/>
    <cellStyle name="40% - Accent4 2 2" xfId="104" xr:uid="{00000000-0005-0000-0000-0000AD000000}"/>
    <cellStyle name="40% - Accent4 2 2 2" xfId="105" xr:uid="{00000000-0005-0000-0000-0000AE000000}"/>
    <cellStyle name="40% - Accent4 2 2 2 2" xfId="106" xr:uid="{00000000-0005-0000-0000-0000AF000000}"/>
    <cellStyle name="40% - Accent4 2 2 2 2 2" xfId="46097" xr:uid="{00000000-0005-0000-0000-0000B0000000}"/>
    <cellStyle name="40% - Accent4 2 2 2 2 3" xfId="46098" xr:uid="{00000000-0005-0000-0000-0000B1000000}"/>
    <cellStyle name="40% - Accent4 2 2 2 3" xfId="46099" xr:uid="{00000000-0005-0000-0000-0000B2000000}"/>
    <cellStyle name="40% - Accent4 2 2 2 4" xfId="46100" xr:uid="{00000000-0005-0000-0000-0000B3000000}"/>
    <cellStyle name="40% - Accent4 2 2 3" xfId="107" xr:uid="{00000000-0005-0000-0000-0000B4000000}"/>
    <cellStyle name="40% - Accent4 2 2 3 2" xfId="46101" xr:uid="{00000000-0005-0000-0000-0000B5000000}"/>
    <cellStyle name="40% - Accent4 2 2 3 3" xfId="46102" xr:uid="{00000000-0005-0000-0000-0000B6000000}"/>
    <cellStyle name="40% - Accent4 2 2 4" xfId="46103" xr:uid="{00000000-0005-0000-0000-0000B7000000}"/>
    <cellStyle name="40% - Accent4 2 2 5" xfId="46104" xr:uid="{00000000-0005-0000-0000-0000B8000000}"/>
    <cellStyle name="40% - Accent4 2 3" xfId="108" xr:uid="{00000000-0005-0000-0000-0000B9000000}"/>
    <cellStyle name="40% - Accent4 2 4" xfId="109" xr:uid="{00000000-0005-0000-0000-0000BA000000}"/>
    <cellStyle name="40% - Accent4 3" xfId="110" xr:uid="{00000000-0005-0000-0000-0000BB000000}"/>
    <cellStyle name="40% - Accent4 3 2" xfId="111" xr:uid="{00000000-0005-0000-0000-0000BC000000}"/>
    <cellStyle name="40% - Accent4 3 3" xfId="112" xr:uid="{00000000-0005-0000-0000-0000BD000000}"/>
    <cellStyle name="40% - Accent4 4" xfId="113" xr:uid="{00000000-0005-0000-0000-0000BE000000}"/>
    <cellStyle name="40% - Accent5 2" xfId="114" xr:uid="{00000000-0005-0000-0000-0000BF000000}"/>
    <cellStyle name="40% - Accent5 2 2" xfId="115" xr:uid="{00000000-0005-0000-0000-0000C0000000}"/>
    <cellStyle name="40% - Accent5 2 2 2" xfId="116" xr:uid="{00000000-0005-0000-0000-0000C1000000}"/>
    <cellStyle name="40% - Accent5 2 2 2 2" xfId="117" xr:uid="{00000000-0005-0000-0000-0000C2000000}"/>
    <cellStyle name="40% - Accent5 2 2 2 2 2" xfId="46105" xr:uid="{00000000-0005-0000-0000-0000C3000000}"/>
    <cellStyle name="40% - Accent5 2 2 2 2 3" xfId="46106" xr:uid="{00000000-0005-0000-0000-0000C4000000}"/>
    <cellStyle name="40% - Accent5 2 2 2 3" xfId="46107" xr:uid="{00000000-0005-0000-0000-0000C5000000}"/>
    <cellStyle name="40% - Accent5 2 2 2 4" xfId="46108" xr:uid="{00000000-0005-0000-0000-0000C6000000}"/>
    <cellStyle name="40% - Accent5 2 2 3" xfId="118" xr:uid="{00000000-0005-0000-0000-0000C7000000}"/>
    <cellStyle name="40% - Accent5 2 2 3 2" xfId="46109" xr:uid="{00000000-0005-0000-0000-0000C8000000}"/>
    <cellStyle name="40% - Accent5 2 2 3 3" xfId="46110" xr:uid="{00000000-0005-0000-0000-0000C9000000}"/>
    <cellStyle name="40% - Accent5 2 2 4" xfId="46111" xr:uid="{00000000-0005-0000-0000-0000CA000000}"/>
    <cellStyle name="40% - Accent5 2 2 5" xfId="46112" xr:uid="{00000000-0005-0000-0000-0000CB000000}"/>
    <cellStyle name="40% - Accent5 2 3" xfId="119" xr:uid="{00000000-0005-0000-0000-0000CC000000}"/>
    <cellStyle name="40% - Accent5 2 4" xfId="120" xr:uid="{00000000-0005-0000-0000-0000CD000000}"/>
    <cellStyle name="40% - Accent5 3" xfId="121" xr:uid="{00000000-0005-0000-0000-0000CE000000}"/>
    <cellStyle name="40% - Accent5 3 2" xfId="122" xr:uid="{00000000-0005-0000-0000-0000CF000000}"/>
    <cellStyle name="40% - Accent5 3 3" xfId="123" xr:uid="{00000000-0005-0000-0000-0000D0000000}"/>
    <cellStyle name="40% - Accent5 4" xfId="124" xr:uid="{00000000-0005-0000-0000-0000D1000000}"/>
    <cellStyle name="40% - Accent6 2" xfId="125" xr:uid="{00000000-0005-0000-0000-0000D2000000}"/>
    <cellStyle name="40% - Accent6 2 2" xfId="126" xr:uid="{00000000-0005-0000-0000-0000D3000000}"/>
    <cellStyle name="40% - Accent6 2 2 2" xfId="127" xr:uid="{00000000-0005-0000-0000-0000D4000000}"/>
    <cellStyle name="40% - Accent6 2 2 2 2" xfId="128" xr:uid="{00000000-0005-0000-0000-0000D5000000}"/>
    <cellStyle name="40% - Accent6 2 2 2 2 2" xfId="46113" xr:uid="{00000000-0005-0000-0000-0000D6000000}"/>
    <cellStyle name="40% - Accent6 2 2 2 2 3" xfId="46114" xr:uid="{00000000-0005-0000-0000-0000D7000000}"/>
    <cellStyle name="40% - Accent6 2 2 2 3" xfId="46115" xr:uid="{00000000-0005-0000-0000-0000D8000000}"/>
    <cellStyle name="40% - Accent6 2 2 2 4" xfId="46116" xr:uid="{00000000-0005-0000-0000-0000D9000000}"/>
    <cellStyle name="40% - Accent6 2 2 3" xfId="129" xr:uid="{00000000-0005-0000-0000-0000DA000000}"/>
    <cellStyle name="40% - Accent6 2 2 3 2" xfId="46117" xr:uid="{00000000-0005-0000-0000-0000DB000000}"/>
    <cellStyle name="40% - Accent6 2 2 3 3" xfId="46118" xr:uid="{00000000-0005-0000-0000-0000DC000000}"/>
    <cellStyle name="40% - Accent6 2 2 4" xfId="46119" xr:uid="{00000000-0005-0000-0000-0000DD000000}"/>
    <cellStyle name="40% - Accent6 2 2 5" xfId="46120" xr:uid="{00000000-0005-0000-0000-0000DE000000}"/>
    <cellStyle name="40% - Accent6 2 3" xfId="130" xr:uid="{00000000-0005-0000-0000-0000DF000000}"/>
    <cellStyle name="40% - Accent6 2 4" xfId="131" xr:uid="{00000000-0005-0000-0000-0000E0000000}"/>
    <cellStyle name="40% - Accent6 3" xfId="132" xr:uid="{00000000-0005-0000-0000-0000E1000000}"/>
    <cellStyle name="40% - Accent6 3 2" xfId="133" xr:uid="{00000000-0005-0000-0000-0000E2000000}"/>
    <cellStyle name="40% - Accent6 3 3" xfId="134" xr:uid="{00000000-0005-0000-0000-0000E3000000}"/>
    <cellStyle name="40% - Accent6 4" xfId="135" xr:uid="{00000000-0005-0000-0000-0000E4000000}"/>
    <cellStyle name="60% - Accent1 2" xfId="136" xr:uid="{00000000-0005-0000-0000-0000E5000000}"/>
    <cellStyle name="60% - Accent1 2 2" xfId="137" xr:uid="{00000000-0005-0000-0000-0000E6000000}"/>
    <cellStyle name="60% - Accent1 2 2 2" xfId="138" xr:uid="{00000000-0005-0000-0000-0000E7000000}"/>
    <cellStyle name="60% - Accent1 2 3" xfId="139" xr:uid="{00000000-0005-0000-0000-0000E8000000}"/>
    <cellStyle name="60% - Accent1 2 4" xfId="140" xr:uid="{00000000-0005-0000-0000-0000E9000000}"/>
    <cellStyle name="60% - Accent1 3" xfId="141" xr:uid="{00000000-0005-0000-0000-0000EA000000}"/>
    <cellStyle name="60% - Accent1 4" xfId="142" xr:uid="{00000000-0005-0000-0000-0000EB000000}"/>
    <cellStyle name="60% - Accent2 2" xfId="143" xr:uid="{00000000-0005-0000-0000-0000EC000000}"/>
    <cellStyle name="60% - Accent2 2 2" xfId="144" xr:uid="{00000000-0005-0000-0000-0000ED000000}"/>
    <cellStyle name="60% - Accent2 2 2 2" xfId="145" xr:uid="{00000000-0005-0000-0000-0000EE000000}"/>
    <cellStyle name="60% - Accent2 2 3" xfId="146" xr:uid="{00000000-0005-0000-0000-0000EF000000}"/>
    <cellStyle name="60% - Accent2 2 4" xfId="147" xr:uid="{00000000-0005-0000-0000-0000F0000000}"/>
    <cellStyle name="60% - Accent2 3" xfId="148" xr:uid="{00000000-0005-0000-0000-0000F1000000}"/>
    <cellStyle name="60% - Accent2 4" xfId="149" xr:uid="{00000000-0005-0000-0000-0000F2000000}"/>
    <cellStyle name="60% - Accent3 2" xfId="150" xr:uid="{00000000-0005-0000-0000-0000F3000000}"/>
    <cellStyle name="60% - Accent3 2 2" xfId="151" xr:uid="{00000000-0005-0000-0000-0000F4000000}"/>
    <cellStyle name="60% - Accent3 2 2 2" xfId="152" xr:uid="{00000000-0005-0000-0000-0000F5000000}"/>
    <cellStyle name="60% - Accent3 2 3" xfId="153" xr:uid="{00000000-0005-0000-0000-0000F6000000}"/>
    <cellStyle name="60% - Accent3 2 4" xfId="154" xr:uid="{00000000-0005-0000-0000-0000F7000000}"/>
    <cellStyle name="60% - Accent3 3" xfId="155" xr:uid="{00000000-0005-0000-0000-0000F8000000}"/>
    <cellStyle name="60% - Accent3 4" xfId="156" xr:uid="{00000000-0005-0000-0000-0000F9000000}"/>
    <cellStyle name="60% - Accent4 2" xfId="157" xr:uid="{00000000-0005-0000-0000-0000FA000000}"/>
    <cellStyle name="60% - Accent4 2 2" xfId="158" xr:uid="{00000000-0005-0000-0000-0000FB000000}"/>
    <cellStyle name="60% - Accent4 2 2 2" xfId="159" xr:uid="{00000000-0005-0000-0000-0000FC000000}"/>
    <cellStyle name="60% - Accent4 2 3" xfId="160" xr:uid="{00000000-0005-0000-0000-0000FD000000}"/>
    <cellStyle name="60% - Accent4 2 4" xfId="161" xr:uid="{00000000-0005-0000-0000-0000FE000000}"/>
    <cellStyle name="60% - Accent4 3" xfId="162" xr:uid="{00000000-0005-0000-0000-0000FF000000}"/>
    <cellStyle name="60% - Accent4 4" xfId="163" xr:uid="{00000000-0005-0000-0000-000000010000}"/>
    <cellStyle name="60% - Accent5 2" xfId="164" xr:uid="{00000000-0005-0000-0000-000001010000}"/>
    <cellStyle name="60% - Accent5 2 2" xfId="165" xr:uid="{00000000-0005-0000-0000-000002010000}"/>
    <cellStyle name="60% - Accent5 2 2 2" xfId="166" xr:uid="{00000000-0005-0000-0000-000003010000}"/>
    <cellStyle name="60% - Accent5 2 3" xfId="167" xr:uid="{00000000-0005-0000-0000-000004010000}"/>
    <cellStyle name="60% - Accent5 2 4" xfId="168" xr:uid="{00000000-0005-0000-0000-000005010000}"/>
    <cellStyle name="60% - Accent5 3" xfId="169" xr:uid="{00000000-0005-0000-0000-000006010000}"/>
    <cellStyle name="60% - Accent5 4" xfId="170" xr:uid="{00000000-0005-0000-0000-000007010000}"/>
    <cellStyle name="60% - Accent6 2" xfId="171" xr:uid="{00000000-0005-0000-0000-000008010000}"/>
    <cellStyle name="60% - Accent6 2 2" xfId="172" xr:uid="{00000000-0005-0000-0000-000009010000}"/>
    <cellStyle name="60% - Accent6 2 2 2" xfId="173" xr:uid="{00000000-0005-0000-0000-00000A010000}"/>
    <cellStyle name="60% - Accent6 2 3" xfId="174" xr:uid="{00000000-0005-0000-0000-00000B010000}"/>
    <cellStyle name="60% - Accent6 2 4" xfId="175" xr:uid="{00000000-0005-0000-0000-00000C010000}"/>
    <cellStyle name="60% - Accent6 3" xfId="176" xr:uid="{00000000-0005-0000-0000-00000D010000}"/>
    <cellStyle name="60% - Accent6 4" xfId="177" xr:uid="{00000000-0005-0000-0000-00000E010000}"/>
    <cellStyle name="Accent1 2" xfId="178" xr:uid="{00000000-0005-0000-0000-00000F010000}"/>
    <cellStyle name="Accent1 2 2" xfId="179" xr:uid="{00000000-0005-0000-0000-000010010000}"/>
    <cellStyle name="Accent1 2 2 2" xfId="180" xr:uid="{00000000-0005-0000-0000-000011010000}"/>
    <cellStyle name="Accent1 2 3" xfId="181" xr:uid="{00000000-0005-0000-0000-000012010000}"/>
    <cellStyle name="Accent1 2 4" xfId="182" xr:uid="{00000000-0005-0000-0000-000013010000}"/>
    <cellStyle name="Accent1 3" xfId="183" xr:uid="{00000000-0005-0000-0000-000014010000}"/>
    <cellStyle name="Accent1 4" xfId="184" xr:uid="{00000000-0005-0000-0000-000015010000}"/>
    <cellStyle name="Accent2 2" xfId="185" xr:uid="{00000000-0005-0000-0000-000016010000}"/>
    <cellStyle name="Accent2 2 2" xfId="186" xr:uid="{00000000-0005-0000-0000-000017010000}"/>
    <cellStyle name="Accent2 2 2 2" xfId="187" xr:uid="{00000000-0005-0000-0000-000018010000}"/>
    <cellStyle name="Accent2 2 3" xfId="188" xr:uid="{00000000-0005-0000-0000-000019010000}"/>
    <cellStyle name="Accent2 2 4" xfId="189" xr:uid="{00000000-0005-0000-0000-00001A010000}"/>
    <cellStyle name="Accent2 3" xfId="190" xr:uid="{00000000-0005-0000-0000-00001B010000}"/>
    <cellStyle name="Accent2 4" xfId="191" xr:uid="{00000000-0005-0000-0000-00001C010000}"/>
    <cellStyle name="Accent3 2" xfId="192" xr:uid="{00000000-0005-0000-0000-00001D010000}"/>
    <cellStyle name="Accent3 2 2" xfId="193" xr:uid="{00000000-0005-0000-0000-00001E010000}"/>
    <cellStyle name="Accent3 2 2 2" xfId="194" xr:uid="{00000000-0005-0000-0000-00001F010000}"/>
    <cellStyle name="Accent3 2 3" xfId="195" xr:uid="{00000000-0005-0000-0000-000020010000}"/>
    <cellStyle name="Accent3 2 4" xfId="196" xr:uid="{00000000-0005-0000-0000-000021010000}"/>
    <cellStyle name="Accent3 3" xfId="197" xr:uid="{00000000-0005-0000-0000-000022010000}"/>
    <cellStyle name="Accent3 4" xfId="198" xr:uid="{00000000-0005-0000-0000-000023010000}"/>
    <cellStyle name="Accent4 2" xfId="199" xr:uid="{00000000-0005-0000-0000-000024010000}"/>
    <cellStyle name="Accent4 2 2" xfId="200" xr:uid="{00000000-0005-0000-0000-000025010000}"/>
    <cellStyle name="Accent4 2 2 2" xfId="201" xr:uid="{00000000-0005-0000-0000-000026010000}"/>
    <cellStyle name="Accent4 2 3" xfId="202" xr:uid="{00000000-0005-0000-0000-000027010000}"/>
    <cellStyle name="Accent4 2 4" xfId="203" xr:uid="{00000000-0005-0000-0000-000028010000}"/>
    <cellStyle name="Accent4 3" xfId="204" xr:uid="{00000000-0005-0000-0000-000029010000}"/>
    <cellStyle name="Accent4 4" xfId="205" xr:uid="{00000000-0005-0000-0000-00002A010000}"/>
    <cellStyle name="Accent5 2" xfId="206" xr:uid="{00000000-0005-0000-0000-00002B010000}"/>
    <cellStyle name="Accent5 2 2" xfId="207" xr:uid="{00000000-0005-0000-0000-00002C010000}"/>
    <cellStyle name="Accent5 2 2 2" xfId="208" xr:uid="{00000000-0005-0000-0000-00002D010000}"/>
    <cellStyle name="Accent5 2 3" xfId="209" xr:uid="{00000000-0005-0000-0000-00002E010000}"/>
    <cellStyle name="Accent5 2 4" xfId="210" xr:uid="{00000000-0005-0000-0000-00002F010000}"/>
    <cellStyle name="Accent5 3" xfId="211" xr:uid="{00000000-0005-0000-0000-000030010000}"/>
    <cellStyle name="Accent5 4" xfId="212" xr:uid="{00000000-0005-0000-0000-000031010000}"/>
    <cellStyle name="Accent6 2" xfId="213" xr:uid="{00000000-0005-0000-0000-000032010000}"/>
    <cellStyle name="Accent6 2 2" xfId="214" xr:uid="{00000000-0005-0000-0000-000033010000}"/>
    <cellStyle name="Accent6 2 2 2" xfId="215" xr:uid="{00000000-0005-0000-0000-000034010000}"/>
    <cellStyle name="Accent6 2 3" xfId="216" xr:uid="{00000000-0005-0000-0000-000035010000}"/>
    <cellStyle name="Accent6 2 4" xfId="217" xr:uid="{00000000-0005-0000-0000-000036010000}"/>
    <cellStyle name="Accent6 3" xfId="218" xr:uid="{00000000-0005-0000-0000-000037010000}"/>
    <cellStyle name="Accent6 4" xfId="219" xr:uid="{00000000-0005-0000-0000-000038010000}"/>
    <cellStyle name="Affinity Annual" xfId="220" xr:uid="{00000000-0005-0000-0000-000039010000}"/>
    <cellStyle name="Affinity Background" xfId="221" xr:uid="{00000000-0005-0000-0000-00003A010000}"/>
    <cellStyle name="Affinity Caption" xfId="222" xr:uid="{00000000-0005-0000-0000-00003B010000}"/>
    <cellStyle name="Affinity Date" xfId="223" xr:uid="{00000000-0005-0000-0000-00003C010000}"/>
    <cellStyle name="Affinity Exhibit" xfId="224" xr:uid="{00000000-0005-0000-0000-00003D010000}"/>
    <cellStyle name="Affinity Exhibit Header" xfId="225" xr:uid="{00000000-0005-0000-0000-00003E010000}"/>
    <cellStyle name="Affinity Headings" xfId="226" xr:uid="{00000000-0005-0000-0000-00003F010000}"/>
    <cellStyle name="Affinity Headings 2" xfId="227" xr:uid="{00000000-0005-0000-0000-000040010000}"/>
    <cellStyle name="Affinity Headings 3" xfId="228" xr:uid="{00000000-0005-0000-0000-000041010000}"/>
    <cellStyle name="Affinity Highlight" xfId="229" xr:uid="{00000000-0005-0000-0000-000042010000}"/>
    <cellStyle name="Affinity Highlight 2" xfId="230" xr:uid="{00000000-0005-0000-0000-000043010000}"/>
    <cellStyle name="Affinity Highlight 3" xfId="231" xr:uid="{00000000-0005-0000-0000-000044010000}"/>
    <cellStyle name="Affinity Input" xfId="232" xr:uid="{00000000-0005-0000-0000-000045010000}"/>
    <cellStyle name="Affinity Monthly" xfId="233" xr:uid="{00000000-0005-0000-0000-000046010000}"/>
    <cellStyle name="Affinity Qtr" xfId="234" xr:uid="{00000000-0005-0000-0000-000047010000}"/>
    <cellStyle name="Affinity Semi-Annual" xfId="235" xr:uid="{00000000-0005-0000-0000-000048010000}"/>
    <cellStyle name="Affinity Totals" xfId="236" xr:uid="{00000000-0005-0000-0000-000049010000}"/>
    <cellStyle name="Bad 2" xfId="237" xr:uid="{00000000-0005-0000-0000-00004A010000}"/>
    <cellStyle name="Bad 2 2" xfId="238" xr:uid="{00000000-0005-0000-0000-00004B010000}"/>
    <cellStyle name="Bad 2 2 2" xfId="239" xr:uid="{00000000-0005-0000-0000-00004C010000}"/>
    <cellStyle name="Bad 2 3" xfId="240" xr:uid="{00000000-0005-0000-0000-00004D010000}"/>
    <cellStyle name="Bad 2 4" xfId="241" xr:uid="{00000000-0005-0000-0000-00004E010000}"/>
    <cellStyle name="Bad 3" xfId="242" xr:uid="{00000000-0005-0000-0000-00004F010000}"/>
    <cellStyle name="Bad 4" xfId="243" xr:uid="{00000000-0005-0000-0000-000050010000}"/>
    <cellStyle name="Calculation 2" xfId="244" xr:uid="{00000000-0005-0000-0000-000051010000}"/>
    <cellStyle name="Calculation 2 2" xfId="245" xr:uid="{00000000-0005-0000-0000-000052010000}"/>
    <cellStyle name="Calculation 2 2 2" xfId="246" xr:uid="{00000000-0005-0000-0000-000053010000}"/>
    <cellStyle name="Calculation 2 2 2 10" xfId="247" xr:uid="{00000000-0005-0000-0000-000054010000}"/>
    <cellStyle name="Calculation 2 2 2 2" xfId="248" xr:uid="{00000000-0005-0000-0000-000055010000}"/>
    <cellStyle name="Calculation 2 2 2 2 2" xfId="249" xr:uid="{00000000-0005-0000-0000-000056010000}"/>
    <cellStyle name="Calculation 2 2 2 2 3" xfId="250" xr:uid="{00000000-0005-0000-0000-000057010000}"/>
    <cellStyle name="Calculation 2 2 2 3" xfId="251" xr:uid="{00000000-0005-0000-0000-000058010000}"/>
    <cellStyle name="Calculation 2 2 2 3 2" xfId="252" xr:uid="{00000000-0005-0000-0000-000059010000}"/>
    <cellStyle name="Calculation 2 2 2 4" xfId="253" xr:uid="{00000000-0005-0000-0000-00005A010000}"/>
    <cellStyle name="Calculation 2 2 2 4 2" xfId="254" xr:uid="{00000000-0005-0000-0000-00005B010000}"/>
    <cellStyle name="Calculation 2 2 2 5" xfId="255" xr:uid="{00000000-0005-0000-0000-00005C010000}"/>
    <cellStyle name="Calculation 2 2 2 6" xfId="256" xr:uid="{00000000-0005-0000-0000-00005D010000}"/>
    <cellStyle name="Calculation 2 2 2 7" xfId="257" xr:uid="{00000000-0005-0000-0000-00005E010000}"/>
    <cellStyle name="Calculation 2 2 2 8" xfId="258" xr:uid="{00000000-0005-0000-0000-00005F010000}"/>
    <cellStyle name="Calculation 2 2 2 9" xfId="259" xr:uid="{00000000-0005-0000-0000-000060010000}"/>
    <cellStyle name="Calculation 2 2 3" xfId="260" xr:uid="{00000000-0005-0000-0000-000061010000}"/>
    <cellStyle name="Calculation 2 2 3 10" xfId="261" xr:uid="{00000000-0005-0000-0000-000062010000}"/>
    <cellStyle name="Calculation 2 2 3 2" xfId="262" xr:uid="{00000000-0005-0000-0000-000063010000}"/>
    <cellStyle name="Calculation 2 2 3 2 2" xfId="263" xr:uid="{00000000-0005-0000-0000-000064010000}"/>
    <cellStyle name="Calculation 2 2 3 2 3" xfId="264" xr:uid="{00000000-0005-0000-0000-000065010000}"/>
    <cellStyle name="Calculation 2 2 3 3" xfId="265" xr:uid="{00000000-0005-0000-0000-000066010000}"/>
    <cellStyle name="Calculation 2 2 3 3 2" xfId="266" xr:uid="{00000000-0005-0000-0000-000067010000}"/>
    <cellStyle name="Calculation 2 2 3 4" xfId="267" xr:uid="{00000000-0005-0000-0000-000068010000}"/>
    <cellStyle name="Calculation 2 2 3 4 2" xfId="268" xr:uid="{00000000-0005-0000-0000-000069010000}"/>
    <cellStyle name="Calculation 2 2 3 5" xfId="269" xr:uid="{00000000-0005-0000-0000-00006A010000}"/>
    <cellStyle name="Calculation 2 2 3 6" xfId="270" xr:uid="{00000000-0005-0000-0000-00006B010000}"/>
    <cellStyle name="Calculation 2 2 3 7" xfId="271" xr:uid="{00000000-0005-0000-0000-00006C010000}"/>
    <cellStyle name="Calculation 2 2 3 8" xfId="272" xr:uid="{00000000-0005-0000-0000-00006D010000}"/>
    <cellStyle name="Calculation 2 2 3 9" xfId="273" xr:uid="{00000000-0005-0000-0000-00006E010000}"/>
    <cellStyle name="Calculation 2 2 4" xfId="274" xr:uid="{00000000-0005-0000-0000-00006F010000}"/>
    <cellStyle name="Calculation 2 2 4 10" xfId="275" xr:uid="{00000000-0005-0000-0000-000070010000}"/>
    <cellStyle name="Calculation 2 2 4 2" xfId="276" xr:uid="{00000000-0005-0000-0000-000071010000}"/>
    <cellStyle name="Calculation 2 2 4 3" xfId="277" xr:uid="{00000000-0005-0000-0000-000072010000}"/>
    <cellStyle name="Calculation 2 2 4 4" xfId="278" xr:uid="{00000000-0005-0000-0000-000073010000}"/>
    <cellStyle name="Calculation 2 2 4 5" xfId="279" xr:uid="{00000000-0005-0000-0000-000074010000}"/>
    <cellStyle name="Calculation 2 2 4 6" xfId="280" xr:uid="{00000000-0005-0000-0000-000075010000}"/>
    <cellStyle name="Calculation 2 2 4 7" xfId="281" xr:uid="{00000000-0005-0000-0000-000076010000}"/>
    <cellStyle name="Calculation 2 2 4 8" xfId="282" xr:uid="{00000000-0005-0000-0000-000077010000}"/>
    <cellStyle name="Calculation 2 2 4 9" xfId="283" xr:uid="{00000000-0005-0000-0000-000078010000}"/>
    <cellStyle name="Calculation 2 2 5" xfId="284" xr:uid="{00000000-0005-0000-0000-000079010000}"/>
    <cellStyle name="Calculation 2 2 5 10" xfId="285" xr:uid="{00000000-0005-0000-0000-00007A010000}"/>
    <cellStyle name="Calculation 2 2 5 2" xfId="286" xr:uid="{00000000-0005-0000-0000-00007B010000}"/>
    <cellStyle name="Calculation 2 2 5 3" xfId="287" xr:uid="{00000000-0005-0000-0000-00007C010000}"/>
    <cellStyle name="Calculation 2 2 5 4" xfId="288" xr:uid="{00000000-0005-0000-0000-00007D010000}"/>
    <cellStyle name="Calculation 2 2 5 5" xfId="289" xr:uid="{00000000-0005-0000-0000-00007E010000}"/>
    <cellStyle name="Calculation 2 2 5 6" xfId="290" xr:uid="{00000000-0005-0000-0000-00007F010000}"/>
    <cellStyle name="Calculation 2 2 5 7" xfId="291" xr:uid="{00000000-0005-0000-0000-000080010000}"/>
    <cellStyle name="Calculation 2 2 5 8" xfId="292" xr:uid="{00000000-0005-0000-0000-000081010000}"/>
    <cellStyle name="Calculation 2 2 5 9" xfId="293" xr:uid="{00000000-0005-0000-0000-000082010000}"/>
    <cellStyle name="Calculation 2 2 6" xfId="294" xr:uid="{00000000-0005-0000-0000-000083010000}"/>
    <cellStyle name="Calculation 2 2 6 10" xfId="295" xr:uid="{00000000-0005-0000-0000-000084010000}"/>
    <cellStyle name="Calculation 2 2 6 2" xfId="296" xr:uid="{00000000-0005-0000-0000-000085010000}"/>
    <cellStyle name="Calculation 2 2 6 3" xfId="297" xr:uid="{00000000-0005-0000-0000-000086010000}"/>
    <cellStyle name="Calculation 2 2 6 4" xfId="298" xr:uid="{00000000-0005-0000-0000-000087010000}"/>
    <cellStyle name="Calculation 2 2 6 5" xfId="299" xr:uid="{00000000-0005-0000-0000-000088010000}"/>
    <cellStyle name="Calculation 2 2 6 6" xfId="300" xr:uid="{00000000-0005-0000-0000-000089010000}"/>
    <cellStyle name="Calculation 2 2 6 7" xfId="301" xr:uid="{00000000-0005-0000-0000-00008A010000}"/>
    <cellStyle name="Calculation 2 2 6 8" xfId="302" xr:uid="{00000000-0005-0000-0000-00008B010000}"/>
    <cellStyle name="Calculation 2 2 6 9" xfId="303" xr:uid="{00000000-0005-0000-0000-00008C010000}"/>
    <cellStyle name="Calculation 2 2 7" xfId="304" xr:uid="{00000000-0005-0000-0000-00008D010000}"/>
    <cellStyle name="Calculation 2 2 7 10" xfId="305" xr:uid="{00000000-0005-0000-0000-00008E010000}"/>
    <cellStyle name="Calculation 2 2 7 2" xfId="306" xr:uid="{00000000-0005-0000-0000-00008F010000}"/>
    <cellStyle name="Calculation 2 2 7 3" xfId="307" xr:uid="{00000000-0005-0000-0000-000090010000}"/>
    <cellStyle name="Calculation 2 2 7 4" xfId="308" xr:uid="{00000000-0005-0000-0000-000091010000}"/>
    <cellStyle name="Calculation 2 2 7 5" xfId="309" xr:uid="{00000000-0005-0000-0000-000092010000}"/>
    <cellStyle name="Calculation 2 2 7 6" xfId="310" xr:uid="{00000000-0005-0000-0000-000093010000}"/>
    <cellStyle name="Calculation 2 2 7 7" xfId="311" xr:uid="{00000000-0005-0000-0000-000094010000}"/>
    <cellStyle name="Calculation 2 2 7 8" xfId="312" xr:uid="{00000000-0005-0000-0000-000095010000}"/>
    <cellStyle name="Calculation 2 2 7 9" xfId="313" xr:uid="{00000000-0005-0000-0000-000096010000}"/>
    <cellStyle name="Calculation 2 2 8" xfId="314" xr:uid="{00000000-0005-0000-0000-000097010000}"/>
    <cellStyle name="Calculation 2 2 9" xfId="315" xr:uid="{00000000-0005-0000-0000-000098010000}"/>
    <cellStyle name="Calculation 2 3" xfId="316" xr:uid="{00000000-0005-0000-0000-000099010000}"/>
    <cellStyle name="Calculation 2 3 10" xfId="317" xr:uid="{00000000-0005-0000-0000-00009A010000}"/>
    <cellStyle name="Calculation 2 3 2" xfId="318" xr:uid="{00000000-0005-0000-0000-00009B010000}"/>
    <cellStyle name="Calculation 2 3 2 2" xfId="319" xr:uid="{00000000-0005-0000-0000-00009C010000}"/>
    <cellStyle name="Calculation 2 3 2 3" xfId="320" xr:uid="{00000000-0005-0000-0000-00009D010000}"/>
    <cellStyle name="Calculation 2 3 3" xfId="321" xr:uid="{00000000-0005-0000-0000-00009E010000}"/>
    <cellStyle name="Calculation 2 3 3 2" xfId="322" xr:uid="{00000000-0005-0000-0000-00009F010000}"/>
    <cellStyle name="Calculation 2 3 4" xfId="323" xr:uid="{00000000-0005-0000-0000-0000A0010000}"/>
    <cellStyle name="Calculation 2 3 4 2" xfId="324" xr:uid="{00000000-0005-0000-0000-0000A1010000}"/>
    <cellStyle name="Calculation 2 3 5" xfId="325" xr:uid="{00000000-0005-0000-0000-0000A2010000}"/>
    <cellStyle name="Calculation 2 3 6" xfId="326" xr:uid="{00000000-0005-0000-0000-0000A3010000}"/>
    <cellStyle name="Calculation 2 3 7" xfId="327" xr:uid="{00000000-0005-0000-0000-0000A4010000}"/>
    <cellStyle name="Calculation 2 3 8" xfId="328" xr:uid="{00000000-0005-0000-0000-0000A5010000}"/>
    <cellStyle name="Calculation 2 3 9" xfId="329" xr:uid="{00000000-0005-0000-0000-0000A6010000}"/>
    <cellStyle name="Calculation 2 4" xfId="330" xr:uid="{00000000-0005-0000-0000-0000A7010000}"/>
    <cellStyle name="Calculation 2 4 10" xfId="331" xr:uid="{00000000-0005-0000-0000-0000A8010000}"/>
    <cellStyle name="Calculation 2 4 2" xfId="332" xr:uid="{00000000-0005-0000-0000-0000A9010000}"/>
    <cellStyle name="Calculation 2 4 2 2" xfId="333" xr:uid="{00000000-0005-0000-0000-0000AA010000}"/>
    <cellStyle name="Calculation 2 4 2 3" xfId="334" xr:uid="{00000000-0005-0000-0000-0000AB010000}"/>
    <cellStyle name="Calculation 2 4 3" xfId="335" xr:uid="{00000000-0005-0000-0000-0000AC010000}"/>
    <cellStyle name="Calculation 2 4 3 2" xfId="336" xr:uid="{00000000-0005-0000-0000-0000AD010000}"/>
    <cellStyle name="Calculation 2 4 4" xfId="337" xr:uid="{00000000-0005-0000-0000-0000AE010000}"/>
    <cellStyle name="Calculation 2 4 4 2" xfId="338" xr:uid="{00000000-0005-0000-0000-0000AF010000}"/>
    <cellStyle name="Calculation 2 4 5" xfId="339" xr:uid="{00000000-0005-0000-0000-0000B0010000}"/>
    <cellStyle name="Calculation 2 4 6" xfId="340" xr:uid="{00000000-0005-0000-0000-0000B1010000}"/>
    <cellStyle name="Calculation 2 4 7" xfId="341" xr:uid="{00000000-0005-0000-0000-0000B2010000}"/>
    <cellStyle name="Calculation 2 4 8" xfId="342" xr:uid="{00000000-0005-0000-0000-0000B3010000}"/>
    <cellStyle name="Calculation 2 4 9" xfId="343" xr:uid="{00000000-0005-0000-0000-0000B4010000}"/>
    <cellStyle name="Calculation 2 5" xfId="344" xr:uid="{00000000-0005-0000-0000-0000B5010000}"/>
    <cellStyle name="Calculation 2 5 10" xfId="345" xr:uid="{00000000-0005-0000-0000-0000B6010000}"/>
    <cellStyle name="Calculation 2 5 2" xfId="346" xr:uid="{00000000-0005-0000-0000-0000B7010000}"/>
    <cellStyle name="Calculation 2 5 2 2" xfId="347" xr:uid="{00000000-0005-0000-0000-0000B8010000}"/>
    <cellStyle name="Calculation 2 5 2 3" xfId="348" xr:uid="{00000000-0005-0000-0000-0000B9010000}"/>
    <cellStyle name="Calculation 2 5 3" xfId="349" xr:uid="{00000000-0005-0000-0000-0000BA010000}"/>
    <cellStyle name="Calculation 2 5 3 2" xfId="350" xr:uid="{00000000-0005-0000-0000-0000BB010000}"/>
    <cellStyle name="Calculation 2 5 4" xfId="351" xr:uid="{00000000-0005-0000-0000-0000BC010000}"/>
    <cellStyle name="Calculation 2 5 5" xfId="352" xr:uid="{00000000-0005-0000-0000-0000BD010000}"/>
    <cellStyle name="Calculation 2 5 6" xfId="353" xr:uid="{00000000-0005-0000-0000-0000BE010000}"/>
    <cellStyle name="Calculation 2 5 7" xfId="354" xr:uid="{00000000-0005-0000-0000-0000BF010000}"/>
    <cellStyle name="Calculation 2 5 8" xfId="355" xr:uid="{00000000-0005-0000-0000-0000C0010000}"/>
    <cellStyle name="Calculation 2 5 9" xfId="356" xr:uid="{00000000-0005-0000-0000-0000C1010000}"/>
    <cellStyle name="Calculation 2 6" xfId="357" xr:uid="{00000000-0005-0000-0000-0000C2010000}"/>
    <cellStyle name="Calculation 2 6 10" xfId="358" xr:uid="{00000000-0005-0000-0000-0000C3010000}"/>
    <cellStyle name="Calculation 2 6 11" xfId="359" xr:uid="{00000000-0005-0000-0000-0000C4010000}"/>
    <cellStyle name="Calculation 2 6 2" xfId="360" xr:uid="{00000000-0005-0000-0000-0000C5010000}"/>
    <cellStyle name="Calculation 2 6 3" xfId="361" xr:uid="{00000000-0005-0000-0000-0000C6010000}"/>
    <cellStyle name="Calculation 2 6 4" xfId="362" xr:uid="{00000000-0005-0000-0000-0000C7010000}"/>
    <cellStyle name="Calculation 2 6 5" xfId="363" xr:uid="{00000000-0005-0000-0000-0000C8010000}"/>
    <cellStyle name="Calculation 2 6 6" xfId="364" xr:uid="{00000000-0005-0000-0000-0000C9010000}"/>
    <cellStyle name="Calculation 2 6 7" xfId="365" xr:uid="{00000000-0005-0000-0000-0000CA010000}"/>
    <cellStyle name="Calculation 2 6 8" xfId="366" xr:uid="{00000000-0005-0000-0000-0000CB010000}"/>
    <cellStyle name="Calculation 2 6 9" xfId="367" xr:uid="{00000000-0005-0000-0000-0000CC010000}"/>
    <cellStyle name="Calculation 2 7" xfId="368" xr:uid="{00000000-0005-0000-0000-0000CD010000}"/>
    <cellStyle name="Calculation 2 7 10" xfId="369" xr:uid="{00000000-0005-0000-0000-0000CE010000}"/>
    <cellStyle name="Calculation 2 7 11" xfId="370" xr:uid="{00000000-0005-0000-0000-0000CF010000}"/>
    <cellStyle name="Calculation 2 7 2" xfId="371" xr:uid="{00000000-0005-0000-0000-0000D0010000}"/>
    <cellStyle name="Calculation 2 7 3" xfId="372" xr:uid="{00000000-0005-0000-0000-0000D1010000}"/>
    <cellStyle name="Calculation 2 7 4" xfId="373" xr:uid="{00000000-0005-0000-0000-0000D2010000}"/>
    <cellStyle name="Calculation 2 7 5" xfId="374" xr:uid="{00000000-0005-0000-0000-0000D3010000}"/>
    <cellStyle name="Calculation 2 7 6" xfId="375" xr:uid="{00000000-0005-0000-0000-0000D4010000}"/>
    <cellStyle name="Calculation 2 7 7" xfId="376" xr:uid="{00000000-0005-0000-0000-0000D5010000}"/>
    <cellStyle name="Calculation 2 7 8" xfId="377" xr:uid="{00000000-0005-0000-0000-0000D6010000}"/>
    <cellStyle name="Calculation 2 7 9" xfId="378" xr:uid="{00000000-0005-0000-0000-0000D7010000}"/>
    <cellStyle name="Calculation 2 8" xfId="379" xr:uid="{00000000-0005-0000-0000-0000D8010000}"/>
    <cellStyle name="Calculation 2 8 10" xfId="380" xr:uid="{00000000-0005-0000-0000-0000D9010000}"/>
    <cellStyle name="Calculation 2 8 2" xfId="381" xr:uid="{00000000-0005-0000-0000-0000DA010000}"/>
    <cellStyle name="Calculation 2 8 3" xfId="382" xr:uid="{00000000-0005-0000-0000-0000DB010000}"/>
    <cellStyle name="Calculation 2 8 4" xfId="383" xr:uid="{00000000-0005-0000-0000-0000DC010000}"/>
    <cellStyle name="Calculation 2 8 5" xfId="384" xr:uid="{00000000-0005-0000-0000-0000DD010000}"/>
    <cellStyle name="Calculation 2 8 6" xfId="385" xr:uid="{00000000-0005-0000-0000-0000DE010000}"/>
    <cellStyle name="Calculation 2 8 7" xfId="386" xr:uid="{00000000-0005-0000-0000-0000DF010000}"/>
    <cellStyle name="Calculation 2 8 8" xfId="387" xr:uid="{00000000-0005-0000-0000-0000E0010000}"/>
    <cellStyle name="Calculation 2 8 9" xfId="388" xr:uid="{00000000-0005-0000-0000-0000E1010000}"/>
    <cellStyle name="Calculation 3" xfId="389" xr:uid="{00000000-0005-0000-0000-0000E2010000}"/>
    <cellStyle name="Calculation 3 2" xfId="390" xr:uid="{00000000-0005-0000-0000-0000E3010000}"/>
    <cellStyle name="Calculation 3 2 2" xfId="391" xr:uid="{00000000-0005-0000-0000-0000E4010000}"/>
    <cellStyle name="Calculation 3 3" xfId="392" xr:uid="{00000000-0005-0000-0000-0000E5010000}"/>
    <cellStyle name="Calculation 3 3 2" xfId="393" xr:uid="{00000000-0005-0000-0000-0000E6010000}"/>
    <cellStyle name="Calculation 3 4" xfId="394" xr:uid="{00000000-0005-0000-0000-0000E7010000}"/>
    <cellStyle name="Calculation 4" xfId="395" xr:uid="{00000000-0005-0000-0000-0000E8010000}"/>
    <cellStyle name="Calculation 4 2" xfId="396" xr:uid="{00000000-0005-0000-0000-0000E9010000}"/>
    <cellStyle name="Calculation 5" xfId="397" xr:uid="{00000000-0005-0000-0000-0000EA010000}"/>
    <cellStyle name="Check Cell 2" xfId="398" xr:uid="{00000000-0005-0000-0000-0000EB010000}"/>
    <cellStyle name="Check Cell 2 2" xfId="399" xr:uid="{00000000-0005-0000-0000-0000EC010000}"/>
    <cellStyle name="Check Cell 2 2 2" xfId="400" xr:uid="{00000000-0005-0000-0000-0000ED010000}"/>
    <cellStyle name="Check Cell 2 3" xfId="401" xr:uid="{00000000-0005-0000-0000-0000EE010000}"/>
    <cellStyle name="Check Cell 2 4" xfId="402" xr:uid="{00000000-0005-0000-0000-0000EF010000}"/>
    <cellStyle name="Check Cell 3" xfId="403" xr:uid="{00000000-0005-0000-0000-0000F0010000}"/>
    <cellStyle name="Check Cell 4" xfId="404" xr:uid="{00000000-0005-0000-0000-0000F1010000}"/>
    <cellStyle name="Comma" xfId="63076" builtinId="3"/>
    <cellStyle name="Comma 10" xfId="405" xr:uid="{00000000-0005-0000-0000-0000F3010000}"/>
    <cellStyle name="Comma 11" xfId="406" xr:uid="{00000000-0005-0000-0000-0000F4010000}"/>
    <cellStyle name="Comma 12" xfId="407" xr:uid="{00000000-0005-0000-0000-0000F5010000}"/>
    <cellStyle name="Comma 12 2" xfId="408" xr:uid="{00000000-0005-0000-0000-0000F6010000}"/>
    <cellStyle name="Comma 2" xfId="409" xr:uid="{00000000-0005-0000-0000-0000F7010000}"/>
    <cellStyle name="Comma 2 10" xfId="410" xr:uid="{00000000-0005-0000-0000-0000F8010000}"/>
    <cellStyle name="Comma 2 11" xfId="411" xr:uid="{00000000-0005-0000-0000-0000F9010000}"/>
    <cellStyle name="Comma 2 2" xfId="412" xr:uid="{00000000-0005-0000-0000-0000FA010000}"/>
    <cellStyle name="Comma 2 2 2" xfId="413" xr:uid="{00000000-0005-0000-0000-0000FB010000}"/>
    <cellStyle name="Comma 2 2 2 2" xfId="414" xr:uid="{00000000-0005-0000-0000-0000FC010000}"/>
    <cellStyle name="Comma 2 2 2 3" xfId="415" xr:uid="{00000000-0005-0000-0000-0000FD010000}"/>
    <cellStyle name="Comma 2 2 3" xfId="416" xr:uid="{00000000-0005-0000-0000-0000FE010000}"/>
    <cellStyle name="Comma 2 2 3 2" xfId="417" xr:uid="{00000000-0005-0000-0000-0000FF010000}"/>
    <cellStyle name="Comma 2 2 3 3" xfId="418" xr:uid="{00000000-0005-0000-0000-000000020000}"/>
    <cellStyle name="Comma 2 2 4" xfId="419" xr:uid="{00000000-0005-0000-0000-000001020000}"/>
    <cellStyle name="Comma 2 2 4 2" xfId="420" xr:uid="{00000000-0005-0000-0000-000002020000}"/>
    <cellStyle name="Comma 2 2 5" xfId="421" xr:uid="{00000000-0005-0000-0000-000003020000}"/>
    <cellStyle name="Comma 2 2 6" xfId="422" xr:uid="{00000000-0005-0000-0000-000004020000}"/>
    <cellStyle name="Comma 2 2 7" xfId="423" xr:uid="{00000000-0005-0000-0000-000005020000}"/>
    <cellStyle name="Comma 2 3" xfId="424" xr:uid="{00000000-0005-0000-0000-000006020000}"/>
    <cellStyle name="Comma 2 3 2" xfId="425" xr:uid="{00000000-0005-0000-0000-000007020000}"/>
    <cellStyle name="Comma 2 3 2 2" xfId="426" xr:uid="{00000000-0005-0000-0000-000008020000}"/>
    <cellStyle name="Comma 2 3 2 3" xfId="427" xr:uid="{00000000-0005-0000-0000-000009020000}"/>
    <cellStyle name="Comma 2 3 3" xfId="428" xr:uid="{00000000-0005-0000-0000-00000A020000}"/>
    <cellStyle name="Comma 2 3 3 2" xfId="429" xr:uid="{00000000-0005-0000-0000-00000B020000}"/>
    <cellStyle name="Comma 2 3 4" xfId="430" xr:uid="{00000000-0005-0000-0000-00000C020000}"/>
    <cellStyle name="Comma 2 3 4 2" xfId="431" xr:uid="{00000000-0005-0000-0000-00000D020000}"/>
    <cellStyle name="Comma 2 3 5" xfId="432" xr:uid="{00000000-0005-0000-0000-00000E020000}"/>
    <cellStyle name="Comma 2 3 6" xfId="433" xr:uid="{00000000-0005-0000-0000-00000F020000}"/>
    <cellStyle name="Comma 2 3 7" xfId="434" xr:uid="{00000000-0005-0000-0000-000010020000}"/>
    <cellStyle name="Comma 2 4" xfId="435" xr:uid="{00000000-0005-0000-0000-000011020000}"/>
    <cellStyle name="Comma 2 4 2" xfId="436" xr:uid="{00000000-0005-0000-0000-000012020000}"/>
    <cellStyle name="Comma 2 5" xfId="437" xr:uid="{00000000-0005-0000-0000-000013020000}"/>
    <cellStyle name="Comma 2 5 2" xfId="438" xr:uid="{00000000-0005-0000-0000-000014020000}"/>
    <cellStyle name="Comma 2 5 3" xfId="439" xr:uid="{00000000-0005-0000-0000-000015020000}"/>
    <cellStyle name="Comma 2 6" xfId="440" xr:uid="{00000000-0005-0000-0000-000016020000}"/>
    <cellStyle name="Comma 2 6 2" xfId="441" xr:uid="{00000000-0005-0000-0000-000017020000}"/>
    <cellStyle name="Comma 2 7" xfId="442" xr:uid="{00000000-0005-0000-0000-000018020000}"/>
    <cellStyle name="Comma 2 8" xfId="443" xr:uid="{00000000-0005-0000-0000-000019020000}"/>
    <cellStyle name="Comma 2 9" xfId="444" xr:uid="{00000000-0005-0000-0000-00001A020000}"/>
    <cellStyle name="Comma 3" xfId="445" xr:uid="{00000000-0005-0000-0000-00001B020000}"/>
    <cellStyle name="Comma 3 2" xfId="446" xr:uid="{00000000-0005-0000-0000-00001C020000}"/>
    <cellStyle name="Comma 3 2 2" xfId="447" xr:uid="{00000000-0005-0000-0000-00001D020000}"/>
    <cellStyle name="Comma 3 3" xfId="448" xr:uid="{00000000-0005-0000-0000-00001E020000}"/>
    <cellStyle name="Comma 4" xfId="449" xr:uid="{00000000-0005-0000-0000-00001F020000}"/>
    <cellStyle name="Comma 4 2" xfId="450" xr:uid="{00000000-0005-0000-0000-000020020000}"/>
    <cellStyle name="Comma 4 2 2" xfId="451" xr:uid="{00000000-0005-0000-0000-000021020000}"/>
    <cellStyle name="Comma 4 2 2 2" xfId="452" xr:uid="{00000000-0005-0000-0000-000022020000}"/>
    <cellStyle name="Comma 4 2 2 2 2" xfId="46121" xr:uid="{00000000-0005-0000-0000-000023020000}"/>
    <cellStyle name="Comma 4 2 2 2 3" xfId="46122" xr:uid="{00000000-0005-0000-0000-000024020000}"/>
    <cellStyle name="Comma 4 2 2 3" xfId="46123" xr:uid="{00000000-0005-0000-0000-000025020000}"/>
    <cellStyle name="Comma 4 2 2 4" xfId="46124" xr:uid="{00000000-0005-0000-0000-000026020000}"/>
    <cellStyle name="Comma 4 2 3" xfId="453" xr:uid="{00000000-0005-0000-0000-000027020000}"/>
    <cellStyle name="Comma 4 2 3 2" xfId="46125" xr:uid="{00000000-0005-0000-0000-000028020000}"/>
    <cellStyle name="Comma 4 2 3 3" xfId="46126" xr:uid="{00000000-0005-0000-0000-000029020000}"/>
    <cellStyle name="Comma 4 2 4" xfId="454" xr:uid="{00000000-0005-0000-0000-00002A020000}"/>
    <cellStyle name="Comma 4 2 4 2" xfId="46127" xr:uid="{00000000-0005-0000-0000-00002B020000}"/>
    <cellStyle name="Comma 4 2 5" xfId="455" xr:uid="{00000000-0005-0000-0000-00002C020000}"/>
    <cellStyle name="Comma 4 2 6" xfId="46128" xr:uid="{00000000-0005-0000-0000-00002D020000}"/>
    <cellStyle name="Comma 4 3" xfId="456" xr:uid="{00000000-0005-0000-0000-00002E020000}"/>
    <cellStyle name="Comma 4 3 2" xfId="457" xr:uid="{00000000-0005-0000-0000-00002F020000}"/>
    <cellStyle name="Comma 4 3 2 2" xfId="46129" xr:uid="{00000000-0005-0000-0000-000030020000}"/>
    <cellStyle name="Comma 4 3 2 3" xfId="46130" xr:uid="{00000000-0005-0000-0000-000031020000}"/>
    <cellStyle name="Comma 4 3 3" xfId="458" xr:uid="{00000000-0005-0000-0000-000032020000}"/>
    <cellStyle name="Comma 4 3 4" xfId="46131" xr:uid="{00000000-0005-0000-0000-000033020000}"/>
    <cellStyle name="Comma 4 4" xfId="459" xr:uid="{00000000-0005-0000-0000-000034020000}"/>
    <cellStyle name="Comma 4 4 2" xfId="460" xr:uid="{00000000-0005-0000-0000-000035020000}"/>
    <cellStyle name="Comma 4 4 3" xfId="46132" xr:uid="{00000000-0005-0000-0000-000036020000}"/>
    <cellStyle name="Comma 4 5" xfId="461" xr:uid="{00000000-0005-0000-0000-000037020000}"/>
    <cellStyle name="Comma 4 5 2" xfId="46133" xr:uid="{00000000-0005-0000-0000-000038020000}"/>
    <cellStyle name="Comma 4 6" xfId="46134" xr:uid="{00000000-0005-0000-0000-000039020000}"/>
    <cellStyle name="Comma 4 7" xfId="46135" xr:uid="{00000000-0005-0000-0000-00003A020000}"/>
    <cellStyle name="Comma 5" xfId="462" xr:uid="{00000000-0005-0000-0000-00003B020000}"/>
    <cellStyle name="Comma 5 2" xfId="463" xr:uid="{00000000-0005-0000-0000-00003C020000}"/>
    <cellStyle name="Comma 5 2 2" xfId="464" xr:uid="{00000000-0005-0000-0000-00003D020000}"/>
    <cellStyle name="Comma 5 2 2 2" xfId="46136" xr:uid="{00000000-0005-0000-0000-00003E020000}"/>
    <cellStyle name="Comma 5 2 3" xfId="46137" xr:uid="{00000000-0005-0000-0000-00003F020000}"/>
    <cellStyle name="Comma 5 3" xfId="465" xr:uid="{00000000-0005-0000-0000-000040020000}"/>
    <cellStyle name="Comma 5 3 2" xfId="466" xr:uid="{00000000-0005-0000-0000-000041020000}"/>
    <cellStyle name="Comma 5 4" xfId="467" xr:uid="{00000000-0005-0000-0000-000042020000}"/>
    <cellStyle name="Comma 5 4 2" xfId="468" xr:uid="{00000000-0005-0000-0000-000043020000}"/>
    <cellStyle name="Comma 5 5" xfId="469" xr:uid="{00000000-0005-0000-0000-000044020000}"/>
    <cellStyle name="Comma 6" xfId="470" xr:uid="{00000000-0005-0000-0000-000045020000}"/>
    <cellStyle name="Comma 6 2" xfId="471" xr:uid="{00000000-0005-0000-0000-000046020000}"/>
    <cellStyle name="Comma 6 3" xfId="472" xr:uid="{00000000-0005-0000-0000-000047020000}"/>
    <cellStyle name="Comma 6 4" xfId="473" xr:uid="{00000000-0005-0000-0000-000048020000}"/>
    <cellStyle name="Comma 7" xfId="474" xr:uid="{00000000-0005-0000-0000-000049020000}"/>
    <cellStyle name="Comma 8" xfId="475" xr:uid="{00000000-0005-0000-0000-00004A020000}"/>
    <cellStyle name="Comma 9" xfId="476" xr:uid="{00000000-0005-0000-0000-00004B020000}"/>
    <cellStyle name="Comma0" xfId="477" xr:uid="{00000000-0005-0000-0000-00004C020000}"/>
    <cellStyle name="Currency" xfId="63078" builtinId="4"/>
    <cellStyle name="Currency 10" xfId="478" xr:uid="{00000000-0005-0000-0000-00004E020000}"/>
    <cellStyle name="Currency 10 2" xfId="479" xr:uid="{00000000-0005-0000-0000-00004F020000}"/>
    <cellStyle name="Currency 11" xfId="46138" xr:uid="{00000000-0005-0000-0000-000050020000}"/>
    <cellStyle name="Currency 11 2" xfId="46139" xr:uid="{00000000-0005-0000-0000-000051020000}"/>
    <cellStyle name="Currency 12" xfId="46140" xr:uid="{00000000-0005-0000-0000-000052020000}"/>
    <cellStyle name="Currency 2" xfId="480" xr:uid="{00000000-0005-0000-0000-000053020000}"/>
    <cellStyle name="Currency 2 2" xfId="481" xr:uid="{00000000-0005-0000-0000-000054020000}"/>
    <cellStyle name="Currency 2 2 2" xfId="482" xr:uid="{00000000-0005-0000-0000-000055020000}"/>
    <cellStyle name="Currency 2 2 2 2" xfId="483" xr:uid="{00000000-0005-0000-0000-000056020000}"/>
    <cellStyle name="Currency 2 2 2 3" xfId="484" xr:uid="{00000000-0005-0000-0000-000057020000}"/>
    <cellStyle name="Currency 2 2 3" xfId="485" xr:uid="{00000000-0005-0000-0000-000058020000}"/>
    <cellStyle name="Currency 2 3" xfId="486" xr:uid="{00000000-0005-0000-0000-000059020000}"/>
    <cellStyle name="Currency 2 3 2" xfId="487" xr:uid="{00000000-0005-0000-0000-00005A020000}"/>
    <cellStyle name="Currency 2 3 3" xfId="488" xr:uid="{00000000-0005-0000-0000-00005B020000}"/>
    <cellStyle name="Currency 2 4" xfId="489" xr:uid="{00000000-0005-0000-0000-00005C020000}"/>
    <cellStyle name="Currency 2 4 2" xfId="490" xr:uid="{00000000-0005-0000-0000-00005D020000}"/>
    <cellStyle name="Currency 2 5" xfId="491" xr:uid="{00000000-0005-0000-0000-00005E020000}"/>
    <cellStyle name="Currency 2 5 2" xfId="492" xr:uid="{00000000-0005-0000-0000-00005F020000}"/>
    <cellStyle name="Currency 2 6" xfId="493" xr:uid="{00000000-0005-0000-0000-000060020000}"/>
    <cellStyle name="Currency 2 7" xfId="494" xr:uid="{00000000-0005-0000-0000-000061020000}"/>
    <cellStyle name="Currency 3" xfId="495" xr:uid="{00000000-0005-0000-0000-000062020000}"/>
    <cellStyle name="Currency 3 10" xfId="496" xr:uid="{00000000-0005-0000-0000-000063020000}"/>
    <cellStyle name="Currency 3 10 2" xfId="497" xr:uid="{00000000-0005-0000-0000-000064020000}"/>
    <cellStyle name="Currency 3 10 2 2" xfId="498" xr:uid="{00000000-0005-0000-0000-000065020000}"/>
    <cellStyle name="Currency 3 10 2 2 2" xfId="46141" xr:uid="{00000000-0005-0000-0000-000066020000}"/>
    <cellStyle name="Currency 3 10 2 2 3" xfId="46142" xr:uid="{00000000-0005-0000-0000-000067020000}"/>
    <cellStyle name="Currency 3 10 2 3" xfId="499" xr:uid="{00000000-0005-0000-0000-000068020000}"/>
    <cellStyle name="Currency 3 10 2 3 2" xfId="46143" xr:uid="{00000000-0005-0000-0000-000069020000}"/>
    <cellStyle name="Currency 3 10 2 4" xfId="500" xr:uid="{00000000-0005-0000-0000-00006A020000}"/>
    <cellStyle name="Currency 3 10 2 5" xfId="501" xr:uid="{00000000-0005-0000-0000-00006B020000}"/>
    <cellStyle name="Currency 3 10 2 6" xfId="502" xr:uid="{00000000-0005-0000-0000-00006C020000}"/>
    <cellStyle name="Currency 3 10 3" xfId="503" xr:uid="{00000000-0005-0000-0000-00006D020000}"/>
    <cellStyle name="Currency 3 10 3 2" xfId="46144" xr:uid="{00000000-0005-0000-0000-00006E020000}"/>
    <cellStyle name="Currency 3 10 3 3" xfId="46145" xr:uid="{00000000-0005-0000-0000-00006F020000}"/>
    <cellStyle name="Currency 3 10 4" xfId="504" xr:uid="{00000000-0005-0000-0000-000070020000}"/>
    <cellStyle name="Currency 3 10 4 2" xfId="46146" xr:uid="{00000000-0005-0000-0000-000071020000}"/>
    <cellStyle name="Currency 3 10 5" xfId="505" xr:uid="{00000000-0005-0000-0000-000072020000}"/>
    <cellStyle name="Currency 3 10 6" xfId="506" xr:uid="{00000000-0005-0000-0000-000073020000}"/>
    <cellStyle name="Currency 3 10 7" xfId="507" xr:uid="{00000000-0005-0000-0000-000074020000}"/>
    <cellStyle name="Currency 3 11" xfId="508" xr:uid="{00000000-0005-0000-0000-000075020000}"/>
    <cellStyle name="Currency 3 11 2" xfId="509" xr:uid="{00000000-0005-0000-0000-000076020000}"/>
    <cellStyle name="Currency 3 11 2 2" xfId="46147" xr:uid="{00000000-0005-0000-0000-000077020000}"/>
    <cellStyle name="Currency 3 11 2 3" xfId="46148" xr:uid="{00000000-0005-0000-0000-000078020000}"/>
    <cellStyle name="Currency 3 11 3" xfId="510" xr:uid="{00000000-0005-0000-0000-000079020000}"/>
    <cellStyle name="Currency 3 11 3 2" xfId="46149" xr:uid="{00000000-0005-0000-0000-00007A020000}"/>
    <cellStyle name="Currency 3 11 4" xfId="511" xr:uid="{00000000-0005-0000-0000-00007B020000}"/>
    <cellStyle name="Currency 3 11 5" xfId="512" xr:uid="{00000000-0005-0000-0000-00007C020000}"/>
    <cellStyle name="Currency 3 11 6" xfId="513" xr:uid="{00000000-0005-0000-0000-00007D020000}"/>
    <cellStyle name="Currency 3 12" xfId="514" xr:uid="{00000000-0005-0000-0000-00007E020000}"/>
    <cellStyle name="Currency 3 12 2" xfId="46150" xr:uid="{00000000-0005-0000-0000-00007F020000}"/>
    <cellStyle name="Currency 3 12 3" xfId="46151" xr:uid="{00000000-0005-0000-0000-000080020000}"/>
    <cellStyle name="Currency 3 13" xfId="515" xr:uid="{00000000-0005-0000-0000-000081020000}"/>
    <cellStyle name="Currency 3 13 2" xfId="46152" xr:uid="{00000000-0005-0000-0000-000082020000}"/>
    <cellStyle name="Currency 3 14" xfId="516" xr:uid="{00000000-0005-0000-0000-000083020000}"/>
    <cellStyle name="Currency 3 14 2" xfId="517" xr:uid="{00000000-0005-0000-0000-000084020000}"/>
    <cellStyle name="Currency 3 15" xfId="518" xr:uid="{00000000-0005-0000-0000-000085020000}"/>
    <cellStyle name="Currency 3 15 2" xfId="46153" xr:uid="{00000000-0005-0000-0000-000086020000}"/>
    <cellStyle name="Currency 3 16" xfId="519" xr:uid="{00000000-0005-0000-0000-000087020000}"/>
    <cellStyle name="Currency 3 17" xfId="520" xr:uid="{00000000-0005-0000-0000-000088020000}"/>
    <cellStyle name="Currency 3 18" xfId="521" xr:uid="{00000000-0005-0000-0000-000089020000}"/>
    <cellStyle name="Currency 3 19" xfId="522" xr:uid="{00000000-0005-0000-0000-00008A020000}"/>
    <cellStyle name="Currency 3 2" xfId="523" xr:uid="{00000000-0005-0000-0000-00008B020000}"/>
    <cellStyle name="Currency 3 2 10" xfId="524" xr:uid="{00000000-0005-0000-0000-00008C020000}"/>
    <cellStyle name="Currency 3 2 11" xfId="525" xr:uid="{00000000-0005-0000-0000-00008D020000}"/>
    <cellStyle name="Currency 3 2 12" xfId="526" xr:uid="{00000000-0005-0000-0000-00008E020000}"/>
    <cellStyle name="Currency 3 2 13" xfId="527" xr:uid="{00000000-0005-0000-0000-00008F020000}"/>
    <cellStyle name="Currency 3 2 14" xfId="528" xr:uid="{00000000-0005-0000-0000-000090020000}"/>
    <cellStyle name="Currency 3 2 15" xfId="529" xr:uid="{00000000-0005-0000-0000-000091020000}"/>
    <cellStyle name="Currency 3 2 2" xfId="530" xr:uid="{00000000-0005-0000-0000-000092020000}"/>
    <cellStyle name="Currency 3 2 2 10" xfId="531" xr:uid="{00000000-0005-0000-0000-000093020000}"/>
    <cellStyle name="Currency 3 2 2 11" xfId="532" xr:uid="{00000000-0005-0000-0000-000094020000}"/>
    <cellStyle name="Currency 3 2 2 12" xfId="533" xr:uid="{00000000-0005-0000-0000-000095020000}"/>
    <cellStyle name="Currency 3 2 2 13" xfId="534" xr:uid="{00000000-0005-0000-0000-000096020000}"/>
    <cellStyle name="Currency 3 2 2 14" xfId="535" xr:uid="{00000000-0005-0000-0000-000097020000}"/>
    <cellStyle name="Currency 3 2 2 15" xfId="536" xr:uid="{00000000-0005-0000-0000-000098020000}"/>
    <cellStyle name="Currency 3 2 2 2" xfId="537" xr:uid="{00000000-0005-0000-0000-000099020000}"/>
    <cellStyle name="Currency 3 2 2 2 2" xfId="538" xr:uid="{00000000-0005-0000-0000-00009A020000}"/>
    <cellStyle name="Currency 3 2 2 2 2 2" xfId="539" xr:uid="{00000000-0005-0000-0000-00009B020000}"/>
    <cellStyle name="Currency 3 2 2 2 2 2 2" xfId="540" xr:uid="{00000000-0005-0000-0000-00009C020000}"/>
    <cellStyle name="Currency 3 2 2 2 2 2 2 2" xfId="46154" xr:uid="{00000000-0005-0000-0000-00009D020000}"/>
    <cellStyle name="Currency 3 2 2 2 2 2 2 3" xfId="46155" xr:uid="{00000000-0005-0000-0000-00009E020000}"/>
    <cellStyle name="Currency 3 2 2 2 2 2 3" xfId="541" xr:uid="{00000000-0005-0000-0000-00009F020000}"/>
    <cellStyle name="Currency 3 2 2 2 2 2 3 2" xfId="46156" xr:uid="{00000000-0005-0000-0000-0000A0020000}"/>
    <cellStyle name="Currency 3 2 2 2 2 2 4" xfId="542" xr:uid="{00000000-0005-0000-0000-0000A1020000}"/>
    <cellStyle name="Currency 3 2 2 2 2 2 5" xfId="543" xr:uid="{00000000-0005-0000-0000-0000A2020000}"/>
    <cellStyle name="Currency 3 2 2 2 2 2 6" xfId="544" xr:uid="{00000000-0005-0000-0000-0000A3020000}"/>
    <cellStyle name="Currency 3 2 2 2 2 3" xfId="545" xr:uid="{00000000-0005-0000-0000-0000A4020000}"/>
    <cellStyle name="Currency 3 2 2 2 2 3 2" xfId="46157" xr:uid="{00000000-0005-0000-0000-0000A5020000}"/>
    <cellStyle name="Currency 3 2 2 2 2 3 3" xfId="46158" xr:uid="{00000000-0005-0000-0000-0000A6020000}"/>
    <cellStyle name="Currency 3 2 2 2 2 4" xfId="546" xr:uid="{00000000-0005-0000-0000-0000A7020000}"/>
    <cellStyle name="Currency 3 2 2 2 2 4 2" xfId="46159" xr:uid="{00000000-0005-0000-0000-0000A8020000}"/>
    <cellStyle name="Currency 3 2 2 2 2 5" xfId="547" xr:uid="{00000000-0005-0000-0000-0000A9020000}"/>
    <cellStyle name="Currency 3 2 2 2 2 6" xfId="548" xr:uid="{00000000-0005-0000-0000-0000AA020000}"/>
    <cellStyle name="Currency 3 2 2 2 2 7" xfId="549" xr:uid="{00000000-0005-0000-0000-0000AB020000}"/>
    <cellStyle name="Currency 3 2 2 2 3" xfId="550" xr:uid="{00000000-0005-0000-0000-0000AC020000}"/>
    <cellStyle name="Currency 3 2 2 2 3 2" xfId="551" xr:uid="{00000000-0005-0000-0000-0000AD020000}"/>
    <cellStyle name="Currency 3 2 2 2 3 2 2" xfId="46160" xr:uid="{00000000-0005-0000-0000-0000AE020000}"/>
    <cellStyle name="Currency 3 2 2 2 3 2 3" xfId="46161" xr:uid="{00000000-0005-0000-0000-0000AF020000}"/>
    <cellStyle name="Currency 3 2 2 2 3 3" xfId="552" xr:uid="{00000000-0005-0000-0000-0000B0020000}"/>
    <cellStyle name="Currency 3 2 2 2 3 3 2" xfId="46162" xr:uid="{00000000-0005-0000-0000-0000B1020000}"/>
    <cellStyle name="Currency 3 2 2 2 3 4" xfId="553" xr:uid="{00000000-0005-0000-0000-0000B2020000}"/>
    <cellStyle name="Currency 3 2 2 2 3 5" xfId="554" xr:uid="{00000000-0005-0000-0000-0000B3020000}"/>
    <cellStyle name="Currency 3 2 2 2 3 6" xfId="555" xr:uid="{00000000-0005-0000-0000-0000B4020000}"/>
    <cellStyle name="Currency 3 2 2 2 4" xfId="556" xr:uid="{00000000-0005-0000-0000-0000B5020000}"/>
    <cellStyle name="Currency 3 2 2 2 4 2" xfId="46163" xr:uid="{00000000-0005-0000-0000-0000B6020000}"/>
    <cellStyle name="Currency 3 2 2 2 4 3" xfId="46164" xr:uid="{00000000-0005-0000-0000-0000B7020000}"/>
    <cellStyle name="Currency 3 2 2 2 5" xfId="557" xr:uid="{00000000-0005-0000-0000-0000B8020000}"/>
    <cellStyle name="Currency 3 2 2 2 5 2" xfId="46165" xr:uid="{00000000-0005-0000-0000-0000B9020000}"/>
    <cellStyle name="Currency 3 2 2 2 6" xfId="558" xr:uid="{00000000-0005-0000-0000-0000BA020000}"/>
    <cellStyle name="Currency 3 2 2 2 7" xfId="559" xr:uid="{00000000-0005-0000-0000-0000BB020000}"/>
    <cellStyle name="Currency 3 2 2 2 8" xfId="560" xr:uid="{00000000-0005-0000-0000-0000BC020000}"/>
    <cellStyle name="Currency 3 2 2 2 9" xfId="561" xr:uid="{00000000-0005-0000-0000-0000BD020000}"/>
    <cellStyle name="Currency 3 2 2 3" xfId="562" xr:uid="{00000000-0005-0000-0000-0000BE020000}"/>
    <cellStyle name="Currency 3 2 2 3 2" xfId="563" xr:uid="{00000000-0005-0000-0000-0000BF020000}"/>
    <cellStyle name="Currency 3 2 2 3 2 2" xfId="564" xr:uid="{00000000-0005-0000-0000-0000C0020000}"/>
    <cellStyle name="Currency 3 2 2 3 2 2 2" xfId="565" xr:uid="{00000000-0005-0000-0000-0000C1020000}"/>
    <cellStyle name="Currency 3 2 2 3 2 2 2 2" xfId="46166" xr:uid="{00000000-0005-0000-0000-0000C2020000}"/>
    <cellStyle name="Currency 3 2 2 3 2 2 2 3" xfId="46167" xr:uid="{00000000-0005-0000-0000-0000C3020000}"/>
    <cellStyle name="Currency 3 2 2 3 2 2 3" xfId="566" xr:uid="{00000000-0005-0000-0000-0000C4020000}"/>
    <cellStyle name="Currency 3 2 2 3 2 2 3 2" xfId="46168" xr:uid="{00000000-0005-0000-0000-0000C5020000}"/>
    <cellStyle name="Currency 3 2 2 3 2 2 4" xfId="567" xr:uid="{00000000-0005-0000-0000-0000C6020000}"/>
    <cellStyle name="Currency 3 2 2 3 2 2 5" xfId="568" xr:uid="{00000000-0005-0000-0000-0000C7020000}"/>
    <cellStyle name="Currency 3 2 2 3 2 2 6" xfId="569" xr:uid="{00000000-0005-0000-0000-0000C8020000}"/>
    <cellStyle name="Currency 3 2 2 3 2 3" xfId="570" xr:uid="{00000000-0005-0000-0000-0000C9020000}"/>
    <cellStyle name="Currency 3 2 2 3 2 3 2" xfId="46169" xr:uid="{00000000-0005-0000-0000-0000CA020000}"/>
    <cellStyle name="Currency 3 2 2 3 2 3 3" xfId="46170" xr:uid="{00000000-0005-0000-0000-0000CB020000}"/>
    <cellStyle name="Currency 3 2 2 3 2 4" xfId="571" xr:uid="{00000000-0005-0000-0000-0000CC020000}"/>
    <cellStyle name="Currency 3 2 2 3 2 4 2" xfId="46171" xr:uid="{00000000-0005-0000-0000-0000CD020000}"/>
    <cellStyle name="Currency 3 2 2 3 2 5" xfId="572" xr:uid="{00000000-0005-0000-0000-0000CE020000}"/>
    <cellStyle name="Currency 3 2 2 3 2 6" xfId="573" xr:uid="{00000000-0005-0000-0000-0000CF020000}"/>
    <cellStyle name="Currency 3 2 2 3 2 7" xfId="574" xr:uid="{00000000-0005-0000-0000-0000D0020000}"/>
    <cellStyle name="Currency 3 2 2 3 3" xfId="575" xr:uid="{00000000-0005-0000-0000-0000D1020000}"/>
    <cellStyle name="Currency 3 2 2 3 3 2" xfId="576" xr:uid="{00000000-0005-0000-0000-0000D2020000}"/>
    <cellStyle name="Currency 3 2 2 3 3 2 2" xfId="46172" xr:uid="{00000000-0005-0000-0000-0000D3020000}"/>
    <cellStyle name="Currency 3 2 2 3 3 2 3" xfId="46173" xr:uid="{00000000-0005-0000-0000-0000D4020000}"/>
    <cellStyle name="Currency 3 2 2 3 3 3" xfId="577" xr:uid="{00000000-0005-0000-0000-0000D5020000}"/>
    <cellStyle name="Currency 3 2 2 3 3 3 2" xfId="46174" xr:uid="{00000000-0005-0000-0000-0000D6020000}"/>
    <cellStyle name="Currency 3 2 2 3 3 4" xfId="578" xr:uid="{00000000-0005-0000-0000-0000D7020000}"/>
    <cellStyle name="Currency 3 2 2 3 3 5" xfId="579" xr:uid="{00000000-0005-0000-0000-0000D8020000}"/>
    <cellStyle name="Currency 3 2 2 3 3 6" xfId="580" xr:uid="{00000000-0005-0000-0000-0000D9020000}"/>
    <cellStyle name="Currency 3 2 2 3 4" xfId="581" xr:uid="{00000000-0005-0000-0000-0000DA020000}"/>
    <cellStyle name="Currency 3 2 2 3 4 2" xfId="46175" xr:uid="{00000000-0005-0000-0000-0000DB020000}"/>
    <cellStyle name="Currency 3 2 2 3 4 3" xfId="46176" xr:uid="{00000000-0005-0000-0000-0000DC020000}"/>
    <cellStyle name="Currency 3 2 2 3 5" xfId="582" xr:uid="{00000000-0005-0000-0000-0000DD020000}"/>
    <cellStyle name="Currency 3 2 2 3 5 2" xfId="46177" xr:uid="{00000000-0005-0000-0000-0000DE020000}"/>
    <cellStyle name="Currency 3 2 2 3 6" xfId="583" xr:uid="{00000000-0005-0000-0000-0000DF020000}"/>
    <cellStyle name="Currency 3 2 2 3 7" xfId="584" xr:uid="{00000000-0005-0000-0000-0000E0020000}"/>
    <cellStyle name="Currency 3 2 2 3 8" xfId="585" xr:uid="{00000000-0005-0000-0000-0000E1020000}"/>
    <cellStyle name="Currency 3 2 2 4" xfId="586" xr:uid="{00000000-0005-0000-0000-0000E2020000}"/>
    <cellStyle name="Currency 3 2 2 4 2" xfId="587" xr:uid="{00000000-0005-0000-0000-0000E3020000}"/>
    <cellStyle name="Currency 3 2 2 4 2 2" xfId="588" xr:uid="{00000000-0005-0000-0000-0000E4020000}"/>
    <cellStyle name="Currency 3 2 2 4 2 2 2" xfId="46178" xr:uid="{00000000-0005-0000-0000-0000E5020000}"/>
    <cellStyle name="Currency 3 2 2 4 2 2 3" xfId="46179" xr:uid="{00000000-0005-0000-0000-0000E6020000}"/>
    <cellStyle name="Currency 3 2 2 4 2 3" xfId="589" xr:uid="{00000000-0005-0000-0000-0000E7020000}"/>
    <cellStyle name="Currency 3 2 2 4 2 3 2" xfId="46180" xr:uid="{00000000-0005-0000-0000-0000E8020000}"/>
    <cellStyle name="Currency 3 2 2 4 2 4" xfId="590" xr:uid="{00000000-0005-0000-0000-0000E9020000}"/>
    <cellStyle name="Currency 3 2 2 4 2 5" xfId="591" xr:uid="{00000000-0005-0000-0000-0000EA020000}"/>
    <cellStyle name="Currency 3 2 2 4 2 6" xfId="592" xr:uid="{00000000-0005-0000-0000-0000EB020000}"/>
    <cellStyle name="Currency 3 2 2 4 3" xfId="593" xr:uid="{00000000-0005-0000-0000-0000EC020000}"/>
    <cellStyle name="Currency 3 2 2 4 3 2" xfId="46181" xr:uid="{00000000-0005-0000-0000-0000ED020000}"/>
    <cellStyle name="Currency 3 2 2 4 3 3" xfId="46182" xr:uid="{00000000-0005-0000-0000-0000EE020000}"/>
    <cellStyle name="Currency 3 2 2 4 4" xfId="594" xr:uid="{00000000-0005-0000-0000-0000EF020000}"/>
    <cellStyle name="Currency 3 2 2 4 4 2" xfId="46183" xr:uid="{00000000-0005-0000-0000-0000F0020000}"/>
    <cellStyle name="Currency 3 2 2 4 5" xfId="595" xr:uid="{00000000-0005-0000-0000-0000F1020000}"/>
    <cellStyle name="Currency 3 2 2 4 6" xfId="596" xr:uid="{00000000-0005-0000-0000-0000F2020000}"/>
    <cellStyle name="Currency 3 2 2 4 7" xfId="597" xr:uid="{00000000-0005-0000-0000-0000F3020000}"/>
    <cellStyle name="Currency 3 2 2 5" xfId="598" xr:uid="{00000000-0005-0000-0000-0000F4020000}"/>
    <cellStyle name="Currency 3 2 2 5 2" xfId="599" xr:uid="{00000000-0005-0000-0000-0000F5020000}"/>
    <cellStyle name="Currency 3 2 2 5 2 2" xfId="46184" xr:uid="{00000000-0005-0000-0000-0000F6020000}"/>
    <cellStyle name="Currency 3 2 2 5 2 3" xfId="46185" xr:uid="{00000000-0005-0000-0000-0000F7020000}"/>
    <cellStyle name="Currency 3 2 2 5 3" xfId="600" xr:uid="{00000000-0005-0000-0000-0000F8020000}"/>
    <cellStyle name="Currency 3 2 2 5 3 2" xfId="46186" xr:uid="{00000000-0005-0000-0000-0000F9020000}"/>
    <cellStyle name="Currency 3 2 2 5 4" xfId="601" xr:uid="{00000000-0005-0000-0000-0000FA020000}"/>
    <cellStyle name="Currency 3 2 2 5 5" xfId="602" xr:uid="{00000000-0005-0000-0000-0000FB020000}"/>
    <cellStyle name="Currency 3 2 2 5 6" xfId="603" xr:uid="{00000000-0005-0000-0000-0000FC020000}"/>
    <cellStyle name="Currency 3 2 2 6" xfId="604" xr:uid="{00000000-0005-0000-0000-0000FD020000}"/>
    <cellStyle name="Currency 3 2 2 6 2" xfId="46187" xr:uid="{00000000-0005-0000-0000-0000FE020000}"/>
    <cellStyle name="Currency 3 2 2 6 3" xfId="46188" xr:uid="{00000000-0005-0000-0000-0000FF020000}"/>
    <cellStyle name="Currency 3 2 2 7" xfId="605" xr:uid="{00000000-0005-0000-0000-000000030000}"/>
    <cellStyle name="Currency 3 2 2 7 2" xfId="46189" xr:uid="{00000000-0005-0000-0000-000001030000}"/>
    <cellStyle name="Currency 3 2 2 8" xfId="606" xr:uid="{00000000-0005-0000-0000-000002030000}"/>
    <cellStyle name="Currency 3 2 2 8 2" xfId="46190" xr:uid="{00000000-0005-0000-0000-000003030000}"/>
    <cellStyle name="Currency 3 2 2 9" xfId="607" xr:uid="{00000000-0005-0000-0000-000004030000}"/>
    <cellStyle name="Currency 3 2 3" xfId="608" xr:uid="{00000000-0005-0000-0000-000005030000}"/>
    <cellStyle name="Currency 3 2 3 2" xfId="609" xr:uid="{00000000-0005-0000-0000-000006030000}"/>
    <cellStyle name="Currency 3 2 3 2 2" xfId="610" xr:uid="{00000000-0005-0000-0000-000007030000}"/>
    <cellStyle name="Currency 3 2 3 2 2 2" xfId="611" xr:uid="{00000000-0005-0000-0000-000008030000}"/>
    <cellStyle name="Currency 3 2 3 2 2 2 2" xfId="46191" xr:uid="{00000000-0005-0000-0000-000009030000}"/>
    <cellStyle name="Currency 3 2 3 2 2 2 3" xfId="46192" xr:uid="{00000000-0005-0000-0000-00000A030000}"/>
    <cellStyle name="Currency 3 2 3 2 2 3" xfId="612" xr:uid="{00000000-0005-0000-0000-00000B030000}"/>
    <cellStyle name="Currency 3 2 3 2 2 3 2" xfId="46193" xr:uid="{00000000-0005-0000-0000-00000C030000}"/>
    <cellStyle name="Currency 3 2 3 2 2 4" xfId="613" xr:uid="{00000000-0005-0000-0000-00000D030000}"/>
    <cellStyle name="Currency 3 2 3 2 2 5" xfId="614" xr:uid="{00000000-0005-0000-0000-00000E030000}"/>
    <cellStyle name="Currency 3 2 3 2 2 6" xfId="615" xr:uid="{00000000-0005-0000-0000-00000F030000}"/>
    <cellStyle name="Currency 3 2 3 2 3" xfId="616" xr:uid="{00000000-0005-0000-0000-000010030000}"/>
    <cellStyle name="Currency 3 2 3 2 3 2" xfId="46194" xr:uid="{00000000-0005-0000-0000-000011030000}"/>
    <cellStyle name="Currency 3 2 3 2 3 3" xfId="46195" xr:uid="{00000000-0005-0000-0000-000012030000}"/>
    <cellStyle name="Currency 3 2 3 2 4" xfId="617" xr:uid="{00000000-0005-0000-0000-000013030000}"/>
    <cellStyle name="Currency 3 2 3 2 4 2" xfId="46196" xr:uid="{00000000-0005-0000-0000-000014030000}"/>
    <cellStyle name="Currency 3 2 3 2 5" xfId="618" xr:uid="{00000000-0005-0000-0000-000015030000}"/>
    <cellStyle name="Currency 3 2 3 2 6" xfId="619" xr:uid="{00000000-0005-0000-0000-000016030000}"/>
    <cellStyle name="Currency 3 2 3 2 7" xfId="620" xr:uid="{00000000-0005-0000-0000-000017030000}"/>
    <cellStyle name="Currency 3 2 3 3" xfId="621" xr:uid="{00000000-0005-0000-0000-000018030000}"/>
    <cellStyle name="Currency 3 2 3 3 2" xfId="622" xr:uid="{00000000-0005-0000-0000-000019030000}"/>
    <cellStyle name="Currency 3 2 3 3 2 2" xfId="46197" xr:uid="{00000000-0005-0000-0000-00001A030000}"/>
    <cellStyle name="Currency 3 2 3 3 2 3" xfId="46198" xr:uid="{00000000-0005-0000-0000-00001B030000}"/>
    <cellStyle name="Currency 3 2 3 3 3" xfId="623" xr:uid="{00000000-0005-0000-0000-00001C030000}"/>
    <cellStyle name="Currency 3 2 3 3 3 2" xfId="46199" xr:uid="{00000000-0005-0000-0000-00001D030000}"/>
    <cellStyle name="Currency 3 2 3 3 4" xfId="624" xr:uid="{00000000-0005-0000-0000-00001E030000}"/>
    <cellStyle name="Currency 3 2 3 3 5" xfId="625" xr:uid="{00000000-0005-0000-0000-00001F030000}"/>
    <cellStyle name="Currency 3 2 3 3 6" xfId="626" xr:uid="{00000000-0005-0000-0000-000020030000}"/>
    <cellStyle name="Currency 3 2 3 4" xfId="627" xr:uid="{00000000-0005-0000-0000-000021030000}"/>
    <cellStyle name="Currency 3 2 3 4 2" xfId="46200" xr:uid="{00000000-0005-0000-0000-000022030000}"/>
    <cellStyle name="Currency 3 2 3 4 3" xfId="46201" xr:uid="{00000000-0005-0000-0000-000023030000}"/>
    <cellStyle name="Currency 3 2 3 5" xfId="628" xr:uid="{00000000-0005-0000-0000-000024030000}"/>
    <cellStyle name="Currency 3 2 3 5 2" xfId="46202" xr:uid="{00000000-0005-0000-0000-000025030000}"/>
    <cellStyle name="Currency 3 2 3 6" xfId="629" xr:uid="{00000000-0005-0000-0000-000026030000}"/>
    <cellStyle name="Currency 3 2 3 7" xfId="630" xr:uid="{00000000-0005-0000-0000-000027030000}"/>
    <cellStyle name="Currency 3 2 3 8" xfId="631" xr:uid="{00000000-0005-0000-0000-000028030000}"/>
    <cellStyle name="Currency 3 2 3 9" xfId="632" xr:uid="{00000000-0005-0000-0000-000029030000}"/>
    <cellStyle name="Currency 3 2 4" xfId="633" xr:uid="{00000000-0005-0000-0000-00002A030000}"/>
    <cellStyle name="Currency 3 2 4 2" xfId="634" xr:uid="{00000000-0005-0000-0000-00002B030000}"/>
    <cellStyle name="Currency 3 2 4 2 2" xfId="635" xr:uid="{00000000-0005-0000-0000-00002C030000}"/>
    <cellStyle name="Currency 3 2 4 2 2 2" xfId="636" xr:uid="{00000000-0005-0000-0000-00002D030000}"/>
    <cellStyle name="Currency 3 2 4 2 2 2 2" xfId="46203" xr:uid="{00000000-0005-0000-0000-00002E030000}"/>
    <cellStyle name="Currency 3 2 4 2 2 2 3" xfId="46204" xr:uid="{00000000-0005-0000-0000-00002F030000}"/>
    <cellStyle name="Currency 3 2 4 2 2 3" xfId="637" xr:uid="{00000000-0005-0000-0000-000030030000}"/>
    <cellStyle name="Currency 3 2 4 2 2 3 2" xfId="46205" xr:uid="{00000000-0005-0000-0000-000031030000}"/>
    <cellStyle name="Currency 3 2 4 2 2 4" xfId="638" xr:uid="{00000000-0005-0000-0000-000032030000}"/>
    <cellStyle name="Currency 3 2 4 2 2 5" xfId="639" xr:uid="{00000000-0005-0000-0000-000033030000}"/>
    <cellStyle name="Currency 3 2 4 2 2 6" xfId="640" xr:uid="{00000000-0005-0000-0000-000034030000}"/>
    <cellStyle name="Currency 3 2 4 2 3" xfId="641" xr:uid="{00000000-0005-0000-0000-000035030000}"/>
    <cellStyle name="Currency 3 2 4 2 3 2" xfId="46206" xr:uid="{00000000-0005-0000-0000-000036030000}"/>
    <cellStyle name="Currency 3 2 4 2 3 3" xfId="46207" xr:uid="{00000000-0005-0000-0000-000037030000}"/>
    <cellStyle name="Currency 3 2 4 2 4" xfId="642" xr:uid="{00000000-0005-0000-0000-000038030000}"/>
    <cellStyle name="Currency 3 2 4 2 4 2" xfId="46208" xr:uid="{00000000-0005-0000-0000-000039030000}"/>
    <cellStyle name="Currency 3 2 4 2 5" xfId="643" xr:uid="{00000000-0005-0000-0000-00003A030000}"/>
    <cellStyle name="Currency 3 2 4 2 6" xfId="644" xr:uid="{00000000-0005-0000-0000-00003B030000}"/>
    <cellStyle name="Currency 3 2 4 2 7" xfId="645" xr:uid="{00000000-0005-0000-0000-00003C030000}"/>
    <cellStyle name="Currency 3 2 4 3" xfId="646" xr:uid="{00000000-0005-0000-0000-00003D030000}"/>
    <cellStyle name="Currency 3 2 4 3 2" xfId="647" xr:uid="{00000000-0005-0000-0000-00003E030000}"/>
    <cellStyle name="Currency 3 2 4 3 2 2" xfId="46209" xr:uid="{00000000-0005-0000-0000-00003F030000}"/>
    <cellStyle name="Currency 3 2 4 3 2 3" xfId="46210" xr:uid="{00000000-0005-0000-0000-000040030000}"/>
    <cellStyle name="Currency 3 2 4 3 3" xfId="648" xr:uid="{00000000-0005-0000-0000-000041030000}"/>
    <cellStyle name="Currency 3 2 4 3 3 2" xfId="46211" xr:uid="{00000000-0005-0000-0000-000042030000}"/>
    <cellStyle name="Currency 3 2 4 3 4" xfId="649" xr:uid="{00000000-0005-0000-0000-000043030000}"/>
    <cellStyle name="Currency 3 2 4 3 5" xfId="650" xr:uid="{00000000-0005-0000-0000-000044030000}"/>
    <cellStyle name="Currency 3 2 4 3 6" xfId="651" xr:uid="{00000000-0005-0000-0000-000045030000}"/>
    <cellStyle name="Currency 3 2 4 4" xfId="652" xr:uid="{00000000-0005-0000-0000-000046030000}"/>
    <cellStyle name="Currency 3 2 4 4 2" xfId="46212" xr:uid="{00000000-0005-0000-0000-000047030000}"/>
    <cellStyle name="Currency 3 2 4 4 3" xfId="46213" xr:uid="{00000000-0005-0000-0000-000048030000}"/>
    <cellStyle name="Currency 3 2 4 5" xfId="653" xr:uid="{00000000-0005-0000-0000-000049030000}"/>
    <cellStyle name="Currency 3 2 4 5 2" xfId="46214" xr:uid="{00000000-0005-0000-0000-00004A030000}"/>
    <cellStyle name="Currency 3 2 4 6" xfId="654" xr:uid="{00000000-0005-0000-0000-00004B030000}"/>
    <cellStyle name="Currency 3 2 4 7" xfId="655" xr:uid="{00000000-0005-0000-0000-00004C030000}"/>
    <cellStyle name="Currency 3 2 4 8" xfId="656" xr:uid="{00000000-0005-0000-0000-00004D030000}"/>
    <cellStyle name="Currency 3 2 5" xfId="657" xr:uid="{00000000-0005-0000-0000-00004E030000}"/>
    <cellStyle name="Currency 3 2 5 2" xfId="658" xr:uid="{00000000-0005-0000-0000-00004F030000}"/>
    <cellStyle name="Currency 3 2 5 2 2" xfId="659" xr:uid="{00000000-0005-0000-0000-000050030000}"/>
    <cellStyle name="Currency 3 2 5 2 2 2" xfId="46215" xr:uid="{00000000-0005-0000-0000-000051030000}"/>
    <cellStyle name="Currency 3 2 5 2 2 3" xfId="46216" xr:uid="{00000000-0005-0000-0000-000052030000}"/>
    <cellStyle name="Currency 3 2 5 2 3" xfId="660" xr:uid="{00000000-0005-0000-0000-000053030000}"/>
    <cellStyle name="Currency 3 2 5 2 3 2" xfId="46217" xr:uid="{00000000-0005-0000-0000-000054030000}"/>
    <cellStyle name="Currency 3 2 5 2 4" xfId="661" xr:uid="{00000000-0005-0000-0000-000055030000}"/>
    <cellStyle name="Currency 3 2 5 2 5" xfId="662" xr:uid="{00000000-0005-0000-0000-000056030000}"/>
    <cellStyle name="Currency 3 2 5 2 6" xfId="663" xr:uid="{00000000-0005-0000-0000-000057030000}"/>
    <cellStyle name="Currency 3 2 5 3" xfId="664" xr:uid="{00000000-0005-0000-0000-000058030000}"/>
    <cellStyle name="Currency 3 2 5 3 2" xfId="46218" xr:uid="{00000000-0005-0000-0000-000059030000}"/>
    <cellStyle name="Currency 3 2 5 3 3" xfId="46219" xr:uid="{00000000-0005-0000-0000-00005A030000}"/>
    <cellStyle name="Currency 3 2 5 4" xfId="665" xr:uid="{00000000-0005-0000-0000-00005B030000}"/>
    <cellStyle name="Currency 3 2 5 4 2" xfId="46220" xr:uid="{00000000-0005-0000-0000-00005C030000}"/>
    <cellStyle name="Currency 3 2 5 5" xfId="666" xr:uid="{00000000-0005-0000-0000-00005D030000}"/>
    <cellStyle name="Currency 3 2 5 6" xfId="667" xr:uid="{00000000-0005-0000-0000-00005E030000}"/>
    <cellStyle name="Currency 3 2 5 7" xfId="668" xr:uid="{00000000-0005-0000-0000-00005F030000}"/>
    <cellStyle name="Currency 3 2 6" xfId="669" xr:uid="{00000000-0005-0000-0000-000060030000}"/>
    <cellStyle name="Currency 3 2 6 2" xfId="670" xr:uid="{00000000-0005-0000-0000-000061030000}"/>
    <cellStyle name="Currency 3 2 6 2 2" xfId="46221" xr:uid="{00000000-0005-0000-0000-000062030000}"/>
    <cellStyle name="Currency 3 2 6 2 3" xfId="46222" xr:uid="{00000000-0005-0000-0000-000063030000}"/>
    <cellStyle name="Currency 3 2 6 3" xfId="671" xr:uid="{00000000-0005-0000-0000-000064030000}"/>
    <cellStyle name="Currency 3 2 6 3 2" xfId="46223" xr:uid="{00000000-0005-0000-0000-000065030000}"/>
    <cellStyle name="Currency 3 2 6 4" xfId="672" xr:uid="{00000000-0005-0000-0000-000066030000}"/>
    <cellStyle name="Currency 3 2 6 5" xfId="673" xr:uid="{00000000-0005-0000-0000-000067030000}"/>
    <cellStyle name="Currency 3 2 6 6" xfId="674" xr:uid="{00000000-0005-0000-0000-000068030000}"/>
    <cellStyle name="Currency 3 2 7" xfId="675" xr:uid="{00000000-0005-0000-0000-000069030000}"/>
    <cellStyle name="Currency 3 2 7 2" xfId="46224" xr:uid="{00000000-0005-0000-0000-00006A030000}"/>
    <cellStyle name="Currency 3 2 7 3" xfId="46225" xr:uid="{00000000-0005-0000-0000-00006B030000}"/>
    <cellStyle name="Currency 3 2 8" xfId="676" xr:uid="{00000000-0005-0000-0000-00006C030000}"/>
    <cellStyle name="Currency 3 2 8 2" xfId="46226" xr:uid="{00000000-0005-0000-0000-00006D030000}"/>
    <cellStyle name="Currency 3 2 9" xfId="677" xr:uid="{00000000-0005-0000-0000-00006E030000}"/>
    <cellStyle name="Currency 3 2 9 2" xfId="46227" xr:uid="{00000000-0005-0000-0000-00006F030000}"/>
    <cellStyle name="Currency 3 20" xfId="678" xr:uid="{00000000-0005-0000-0000-000070030000}"/>
    <cellStyle name="Currency 3 3" xfId="679" xr:uid="{00000000-0005-0000-0000-000071030000}"/>
    <cellStyle name="Currency 3 3 10" xfId="680" xr:uid="{00000000-0005-0000-0000-000072030000}"/>
    <cellStyle name="Currency 3 3 11" xfId="681" xr:uid="{00000000-0005-0000-0000-000073030000}"/>
    <cellStyle name="Currency 3 3 12" xfId="682" xr:uid="{00000000-0005-0000-0000-000074030000}"/>
    <cellStyle name="Currency 3 3 13" xfId="683" xr:uid="{00000000-0005-0000-0000-000075030000}"/>
    <cellStyle name="Currency 3 3 14" xfId="684" xr:uid="{00000000-0005-0000-0000-000076030000}"/>
    <cellStyle name="Currency 3 3 15" xfId="685" xr:uid="{00000000-0005-0000-0000-000077030000}"/>
    <cellStyle name="Currency 3 3 16" xfId="686" xr:uid="{00000000-0005-0000-0000-000078030000}"/>
    <cellStyle name="Currency 3 3 17" xfId="687" xr:uid="{00000000-0005-0000-0000-000079030000}"/>
    <cellStyle name="Currency 3 3 2" xfId="688" xr:uid="{00000000-0005-0000-0000-00007A030000}"/>
    <cellStyle name="Currency 3 3 2 10" xfId="689" xr:uid="{00000000-0005-0000-0000-00007B030000}"/>
    <cellStyle name="Currency 3 3 2 11" xfId="690" xr:uid="{00000000-0005-0000-0000-00007C030000}"/>
    <cellStyle name="Currency 3 3 2 12" xfId="691" xr:uid="{00000000-0005-0000-0000-00007D030000}"/>
    <cellStyle name="Currency 3 3 2 13" xfId="692" xr:uid="{00000000-0005-0000-0000-00007E030000}"/>
    <cellStyle name="Currency 3 3 2 14" xfId="693" xr:uid="{00000000-0005-0000-0000-00007F030000}"/>
    <cellStyle name="Currency 3 3 2 2" xfId="694" xr:uid="{00000000-0005-0000-0000-000080030000}"/>
    <cellStyle name="Currency 3 3 2 2 2" xfId="695" xr:uid="{00000000-0005-0000-0000-000081030000}"/>
    <cellStyle name="Currency 3 3 2 2 2 2" xfId="696" xr:uid="{00000000-0005-0000-0000-000082030000}"/>
    <cellStyle name="Currency 3 3 2 2 2 2 2" xfId="697" xr:uid="{00000000-0005-0000-0000-000083030000}"/>
    <cellStyle name="Currency 3 3 2 2 2 2 2 2" xfId="46228" xr:uid="{00000000-0005-0000-0000-000084030000}"/>
    <cellStyle name="Currency 3 3 2 2 2 2 2 3" xfId="46229" xr:uid="{00000000-0005-0000-0000-000085030000}"/>
    <cellStyle name="Currency 3 3 2 2 2 2 3" xfId="698" xr:uid="{00000000-0005-0000-0000-000086030000}"/>
    <cellStyle name="Currency 3 3 2 2 2 2 3 2" xfId="46230" xr:uid="{00000000-0005-0000-0000-000087030000}"/>
    <cellStyle name="Currency 3 3 2 2 2 2 4" xfId="699" xr:uid="{00000000-0005-0000-0000-000088030000}"/>
    <cellStyle name="Currency 3 3 2 2 2 2 5" xfId="700" xr:uid="{00000000-0005-0000-0000-000089030000}"/>
    <cellStyle name="Currency 3 3 2 2 2 2 6" xfId="701" xr:uid="{00000000-0005-0000-0000-00008A030000}"/>
    <cellStyle name="Currency 3 3 2 2 2 3" xfId="702" xr:uid="{00000000-0005-0000-0000-00008B030000}"/>
    <cellStyle name="Currency 3 3 2 2 2 3 2" xfId="46231" xr:uid="{00000000-0005-0000-0000-00008C030000}"/>
    <cellStyle name="Currency 3 3 2 2 2 3 3" xfId="46232" xr:uid="{00000000-0005-0000-0000-00008D030000}"/>
    <cellStyle name="Currency 3 3 2 2 2 4" xfId="703" xr:uid="{00000000-0005-0000-0000-00008E030000}"/>
    <cellStyle name="Currency 3 3 2 2 2 4 2" xfId="46233" xr:uid="{00000000-0005-0000-0000-00008F030000}"/>
    <cellStyle name="Currency 3 3 2 2 2 5" xfId="704" xr:uid="{00000000-0005-0000-0000-000090030000}"/>
    <cellStyle name="Currency 3 3 2 2 2 6" xfId="705" xr:uid="{00000000-0005-0000-0000-000091030000}"/>
    <cellStyle name="Currency 3 3 2 2 2 7" xfId="706" xr:uid="{00000000-0005-0000-0000-000092030000}"/>
    <cellStyle name="Currency 3 3 2 2 3" xfId="707" xr:uid="{00000000-0005-0000-0000-000093030000}"/>
    <cellStyle name="Currency 3 3 2 2 3 2" xfId="708" xr:uid="{00000000-0005-0000-0000-000094030000}"/>
    <cellStyle name="Currency 3 3 2 2 3 2 2" xfId="46234" xr:uid="{00000000-0005-0000-0000-000095030000}"/>
    <cellStyle name="Currency 3 3 2 2 3 2 3" xfId="46235" xr:uid="{00000000-0005-0000-0000-000096030000}"/>
    <cellStyle name="Currency 3 3 2 2 3 3" xfId="709" xr:uid="{00000000-0005-0000-0000-000097030000}"/>
    <cellStyle name="Currency 3 3 2 2 3 3 2" xfId="46236" xr:uid="{00000000-0005-0000-0000-000098030000}"/>
    <cellStyle name="Currency 3 3 2 2 3 4" xfId="710" xr:uid="{00000000-0005-0000-0000-000099030000}"/>
    <cellStyle name="Currency 3 3 2 2 3 5" xfId="711" xr:uid="{00000000-0005-0000-0000-00009A030000}"/>
    <cellStyle name="Currency 3 3 2 2 3 6" xfId="712" xr:uid="{00000000-0005-0000-0000-00009B030000}"/>
    <cellStyle name="Currency 3 3 2 2 4" xfId="713" xr:uid="{00000000-0005-0000-0000-00009C030000}"/>
    <cellStyle name="Currency 3 3 2 2 4 2" xfId="46237" xr:uid="{00000000-0005-0000-0000-00009D030000}"/>
    <cellStyle name="Currency 3 3 2 2 4 3" xfId="46238" xr:uid="{00000000-0005-0000-0000-00009E030000}"/>
    <cellStyle name="Currency 3 3 2 2 5" xfId="714" xr:uid="{00000000-0005-0000-0000-00009F030000}"/>
    <cellStyle name="Currency 3 3 2 2 5 2" xfId="46239" xr:uid="{00000000-0005-0000-0000-0000A0030000}"/>
    <cellStyle name="Currency 3 3 2 2 6" xfId="715" xr:uid="{00000000-0005-0000-0000-0000A1030000}"/>
    <cellStyle name="Currency 3 3 2 2 7" xfId="716" xr:uid="{00000000-0005-0000-0000-0000A2030000}"/>
    <cellStyle name="Currency 3 3 2 2 8" xfId="717" xr:uid="{00000000-0005-0000-0000-0000A3030000}"/>
    <cellStyle name="Currency 3 3 2 2 9" xfId="718" xr:uid="{00000000-0005-0000-0000-0000A4030000}"/>
    <cellStyle name="Currency 3 3 2 3" xfId="719" xr:uid="{00000000-0005-0000-0000-0000A5030000}"/>
    <cellStyle name="Currency 3 3 2 3 2" xfId="720" xr:uid="{00000000-0005-0000-0000-0000A6030000}"/>
    <cellStyle name="Currency 3 3 2 3 2 2" xfId="721" xr:uid="{00000000-0005-0000-0000-0000A7030000}"/>
    <cellStyle name="Currency 3 3 2 3 2 2 2" xfId="722" xr:uid="{00000000-0005-0000-0000-0000A8030000}"/>
    <cellStyle name="Currency 3 3 2 3 2 2 2 2" xfId="46240" xr:uid="{00000000-0005-0000-0000-0000A9030000}"/>
    <cellStyle name="Currency 3 3 2 3 2 2 2 3" xfId="46241" xr:uid="{00000000-0005-0000-0000-0000AA030000}"/>
    <cellStyle name="Currency 3 3 2 3 2 2 3" xfId="723" xr:uid="{00000000-0005-0000-0000-0000AB030000}"/>
    <cellStyle name="Currency 3 3 2 3 2 2 3 2" xfId="46242" xr:uid="{00000000-0005-0000-0000-0000AC030000}"/>
    <cellStyle name="Currency 3 3 2 3 2 2 4" xfId="724" xr:uid="{00000000-0005-0000-0000-0000AD030000}"/>
    <cellStyle name="Currency 3 3 2 3 2 2 5" xfId="725" xr:uid="{00000000-0005-0000-0000-0000AE030000}"/>
    <cellStyle name="Currency 3 3 2 3 2 2 6" xfId="726" xr:uid="{00000000-0005-0000-0000-0000AF030000}"/>
    <cellStyle name="Currency 3 3 2 3 2 3" xfId="727" xr:uid="{00000000-0005-0000-0000-0000B0030000}"/>
    <cellStyle name="Currency 3 3 2 3 2 3 2" xfId="46243" xr:uid="{00000000-0005-0000-0000-0000B1030000}"/>
    <cellStyle name="Currency 3 3 2 3 2 3 3" xfId="46244" xr:uid="{00000000-0005-0000-0000-0000B2030000}"/>
    <cellStyle name="Currency 3 3 2 3 2 4" xfId="728" xr:uid="{00000000-0005-0000-0000-0000B3030000}"/>
    <cellStyle name="Currency 3 3 2 3 2 4 2" xfId="46245" xr:uid="{00000000-0005-0000-0000-0000B4030000}"/>
    <cellStyle name="Currency 3 3 2 3 2 5" xfId="729" xr:uid="{00000000-0005-0000-0000-0000B5030000}"/>
    <cellStyle name="Currency 3 3 2 3 2 6" xfId="730" xr:uid="{00000000-0005-0000-0000-0000B6030000}"/>
    <cellStyle name="Currency 3 3 2 3 2 7" xfId="731" xr:uid="{00000000-0005-0000-0000-0000B7030000}"/>
    <cellStyle name="Currency 3 3 2 3 3" xfId="732" xr:uid="{00000000-0005-0000-0000-0000B8030000}"/>
    <cellStyle name="Currency 3 3 2 3 3 2" xfId="733" xr:uid="{00000000-0005-0000-0000-0000B9030000}"/>
    <cellStyle name="Currency 3 3 2 3 3 2 2" xfId="46246" xr:uid="{00000000-0005-0000-0000-0000BA030000}"/>
    <cellStyle name="Currency 3 3 2 3 3 2 3" xfId="46247" xr:uid="{00000000-0005-0000-0000-0000BB030000}"/>
    <cellStyle name="Currency 3 3 2 3 3 3" xfId="734" xr:uid="{00000000-0005-0000-0000-0000BC030000}"/>
    <cellStyle name="Currency 3 3 2 3 3 3 2" xfId="46248" xr:uid="{00000000-0005-0000-0000-0000BD030000}"/>
    <cellStyle name="Currency 3 3 2 3 3 4" xfId="735" xr:uid="{00000000-0005-0000-0000-0000BE030000}"/>
    <cellStyle name="Currency 3 3 2 3 3 5" xfId="736" xr:uid="{00000000-0005-0000-0000-0000BF030000}"/>
    <cellStyle name="Currency 3 3 2 3 3 6" xfId="737" xr:uid="{00000000-0005-0000-0000-0000C0030000}"/>
    <cellStyle name="Currency 3 3 2 3 4" xfId="738" xr:uid="{00000000-0005-0000-0000-0000C1030000}"/>
    <cellStyle name="Currency 3 3 2 3 4 2" xfId="46249" xr:uid="{00000000-0005-0000-0000-0000C2030000}"/>
    <cellStyle name="Currency 3 3 2 3 4 3" xfId="46250" xr:uid="{00000000-0005-0000-0000-0000C3030000}"/>
    <cellStyle name="Currency 3 3 2 3 5" xfId="739" xr:uid="{00000000-0005-0000-0000-0000C4030000}"/>
    <cellStyle name="Currency 3 3 2 3 5 2" xfId="46251" xr:uid="{00000000-0005-0000-0000-0000C5030000}"/>
    <cellStyle name="Currency 3 3 2 3 6" xfId="740" xr:uid="{00000000-0005-0000-0000-0000C6030000}"/>
    <cellStyle name="Currency 3 3 2 3 7" xfId="741" xr:uid="{00000000-0005-0000-0000-0000C7030000}"/>
    <cellStyle name="Currency 3 3 2 3 8" xfId="742" xr:uid="{00000000-0005-0000-0000-0000C8030000}"/>
    <cellStyle name="Currency 3 3 2 4" xfId="743" xr:uid="{00000000-0005-0000-0000-0000C9030000}"/>
    <cellStyle name="Currency 3 3 2 4 2" xfId="744" xr:uid="{00000000-0005-0000-0000-0000CA030000}"/>
    <cellStyle name="Currency 3 3 2 4 2 2" xfId="745" xr:uid="{00000000-0005-0000-0000-0000CB030000}"/>
    <cellStyle name="Currency 3 3 2 4 2 2 2" xfId="46252" xr:uid="{00000000-0005-0000-0000-0000CC030000}"/>
    <cellStyle name="Currency 3 3 2 4 2 2 3" xfId="46253" xr:uid="{00000000-0005-0000-0000-0000CD030000}"/>
    <cellStyle name="Currency 3 3 2 4 2 3" xfId="746" xr:uid="{00000000-0005-0000-0000-0000CE030000}"/>
    <cellStyle name="Currency 3 3 2 4 2 3 2" xfId="46254" xr:uid="{00000000-0005-0000-0000-0000CF030000}"/>
    <cellStyle name="Currency 3 3 2 4 2 4" xfId="747" xr:uid="{00000000-0005-0000-0000-0000D0030000}"/>
    <cellStyle name="Currency 3 3 2 4 2 5" xfId="748" xr:uid="{00000000-0005-0000-0000-0000D1030000}"/>
    <cellStyle name="Currency 3 3 2 4 2 6" xfId="749" xr:uid="{00000000-0005-0000-0000-0000D2030000}"/>
    <cellStyle name="Currency 3 3 2 4 3" xfId="750" xr:uid="{00000000-0005-0000-0000-0000D3030000}"/>
    <cellStyle name="Currency 3 3 2 4 3 2" xfId="46255" xr:uid="{00000000-0005-0000-0000-0000D4030000}"/>
    <cellStyle name="Currency 3 3 2 4 3 3" xfId="46256" xr:uid="{00000000-0005-0000-0000-0000D5030000}"/>
    <cellStyle name="Currency 3 3 2 4 4" xfId="751" xr:uid="{00000000-0005-0000-0000-0000D6030000}"/>
    <cellStyle name="Currency 3 3 2 4 4 2" xfId="46257" xr:uid="{00000000-0005-0000-0000-0000D7030000}"/>
    <cellStyle name="Currency 3 3 2 4 5" xfId="752" xr:uid="{00000000-0005-0000-0000-0000D8030000}"/>
    <cellStyle name="Currency 3 3 2 4 6" xfId="753" xr:uid="{00000000-0005-0000-0000-0000D9030000}"/>
    <cellStyle name="Currency 3 3 2 4 7" xfId="754" xr:uid="{00000000-0005-0000-0000-0000DA030000}"/>
    <cellStyle name="Currency 3 3 2 5" xfId="755" xr:uid="{00000000-0005-0000-0000-0000DB030000}"/>
    <cellStyle name="Currency 3 3 2 5 2" xfId="756" xr:uid="{00000000-0005-0000-0000-0000DC030000}"/>
    <cellStyle name="Currency 3 3 2 5 2 2" xfId="46258" xr:uid="{00000000-0005-0000-0000-0000DD030000}"/>
    <cellStyle name="Currency 3 3 2 5 2 3" xfId="46259" xr:uid="{00000000-0005-0000-0000-0000DE030000}"/>
    <cellStyle name="Currency 3 3 2 5 3" xfId="757" xr:uid="{00000000-0005-0000-0000-0000DF030000}"/>
    <cellStyle name="Currency 3 3 2 5 3 2" xfId="46260" xr:uid="{00000000-0005-0000-0000-0000E0030000}"/>
    <cellStyle name="Currency 3 3 2 5 4" xfId="758" xr:uid="{00000000-0005-0000-0000-0000E1030000}"/>
    <cellStyle name="Currency 3 3 2 5 5" xfId="759" xr:uid="{00000000-0005-0000-0000-0000E2030000}"/>
    <cellStyle name="Currency 3 3 2 5 6" xfId="760" xr:uid="{00000000-0005-0000-0000-0000E3030000}"/>
    <cellStyle name="Currency 3 3 2 6" xfId="761" xr:uid="{00000000-0005-0000-0000-0000E4030000}"/>
    <cellStyle name="Currency 3 3 2 6 2" xfId="46261" xr:uid="{00000000-0005-0000-0000-0000E5030000}"/>
    <cellStyle name="Currency 3 3 2 6 3" xfId="46262" xr:uid="{00000000-0005-0000-0000-0000E6030000}"/>
    <cellStyle name="Currency 3 3 2 7" xfId="762" xr:uid="{00000000-0005-0000-0000-0000E7030000}"/>
    <cellStyle name="Currency 3 3 2 7 2" xfId="46263" xr:uid="{00000000-0005-0000-0000-0000E8030000}"/>
    <cellStyle name="Currency 3 3 2 8" xfId="763" xr:uid="{00000000-0005-0000-0000-0000E9030000}"/>
    <cellStyle name="Currency 3 3 2 9" xfId="764" xr:uid="{00000000-0005-0000-0000-0000EA030000}"/>
    <cellStyle name="Currency 3 3 3" xfId="765" xr:uid="{00000000-0005-0000-0000-0000EB030000}"/>
    <cellStyle name="Currency 3 3 3 2" xfId="766" xr:uid="{00000000-0005-0000-0000-0000EC030000}"/>
    <cellStyle name="Currency 3 3 3 2 2" xfId="767" xr:uid="{00000000-0005-0000-0000-0000ED030000}"/>
    <cellStyle name="Currency 3 3 3 2 2 2" xfId="768" xr:uid="{00000000-0005-0000-0000-0000EE030000}"/>
    <cellStyle name="Currency 3 3 3 2 2 2 2" xfId="46264" xr:uid="{00000000-0005-0000-0000-0000EF030000}"/>
    <cellStyle name="Currency 3 3 3 2 2 2 3" xfId="46265" xr:uid="{00000000-0005-0000-0000-0000F0030000}"/>
    <cellStyle name="Currency 3 3 3 2 2 3" xfId="769" xr:uid="{00000000-0005-0000-0000-0000F1030000}"/>
    <cellStyle name="Currency 3 3 3 2 2 3 2" xfId="46266" xr:uid="{00000000-0005-0000-0000-0000F2030000}"/>
    <cellStyle name="Currency 3 3 3 2 2 4" xfId="770" xr:uid="{00000000-0005-0000-0000-0000F3030000}"/>
    <cellStyle name="Currency 3 3 3 2 2 5" xfId="771" xr:uid="{00000000-0005-0000-0000-0000F4030000}"/>
    <cellStyle name="Currency 3 3 3 2 2 6" xfId="772" xr:uid="{00000000-0005-0000-0000-0000F5030000}"/>
    <cellStyle name="Currency 3 3 3 2 3" xfId="773" xr:uid="{00000000-0005-0000-0000-0000F6030000}"/>
    <cellStyle name="Currency 3 3 3 2 3 2" xfId="46267" xr:uid="{00000000-0005-0000-0000-0000F7030000}"/>
    <cellStyle name="Currency 3 3 3 2 3 3" xfId="46268" xr:uid="{00000000-0005-0000-0000-0000F8030000}"/>
    <cellStyle name="Currency 3 3 3 2 4" xfId="774" xr:uid="{00000000-0005-0000-0000-0000F9030000}"/>
    <cellStyle name="Currency 3 3 3 2 4 2" xfId="46269" xr:uid="{00000000-0005-0000-0000-0000FA030000}"/>
    <cellStyle name="Currency 3 3 3 2 5" xfId="775" xr:uid="{00000000-0005-0000-0000-0000FB030000}"/>
    <cellStyle name="Currency 3 3 3 2 6" xfId="776" xr:uid="{00000000-0005-0000-0000-0000FC030000}"/>
    <cellStyle name="Currency 3 3 3 2 7" xfId="777" xr:uid="{00000000-0005-0000-0000-0000FD030000}"/>
    <cellStyle name="Currency 3 3 3 3" xfId="778" xr:uid="{00000000-0005-0000-0000-0000FE030000}"/>
    <cellStyle name="Currency 3 3 3 3 2" xfId="779" xr:uid="{00000000-0005-0000-0000-0000FF030000}"/>
    <cellStyle name="Currency 3 3 3 3 2 2" xfId="46270" xr:uid="{00000000-0005-0000-0000-000000040000}"/>
    <cellStyle name="Currency 3 3 3 3 2 3" xfId="46271" xr:uid="{00000000-0005-0000-0000-000001040000}"/>
    <cellStyle name="Currency 3 3 3 3 3" xfId="780" xr:uid="{00000000-0005-0000-0000-000002040000}"/>
    <cellStyle name="Currency 3 3 3 3 3 2" xfId="46272" xr:uid="{00000000-0005-0000-0000-000003040000}"/>
    <cellStyle name="Currency 3 3 3 3 4" xfId="781" xr:uid="{00000000-0005-0000-0000-000004040000}"/>
    <cellStyle name="Currency 3 3 3 3 5" xfId="782" xr:uid="{00000000-0005-0000-0000-000005040000}"/>
    <cellStyle name="Currency 3 3 3 3 6" xfId="783" xr:uid="{00000000-0005-0000-0000-000006040000}"/>
    <cellStyle name="Currency 3 3 3 4" xfId="784" xr:uid="{00000000-0005-0000-0000-000007040000}"/>
    <cellStyle name="Currency 3 3 3 4 2" xfId="46273" xr:uid="{00000000-0005-0000-0000-000008040000}"/>
    <cellStyle name="Currency 3 3 3 4 3" xfId="46274" xr:uid="{00000000-0005-0000-0000-000009040000}"/>
    <cellStyle name="Currency 3 3 3 5" xfId="785" xr:uid="{00000000-0005-0000-0000-00000A040000}"/>
    <cellStyle name="Currency 3 3 3 5 2" xfId="46275" xr:uid="{00000000-0005-0000-0000-00000B040000}"/>
    <cellStyle name="Currency 3 3 3 6" xfId="786" xr:uid="{00000000-0005-0000-0000-00000C040000}"/>
    <cellStyle name="Currency 3 3 3 7" xfId="787" xr:uid="{00000000-0005-0000-0000-00000D040000}"/>
    <cellStyle name="Currency 3 3 3 8" xfId="788" xr:uid="{00000000-0005-0000-0000-00000E040000}"/>
    <cellStyle name="Currency 3 3 3 9" xfId="789" xr:uid="{00000000-0005-0000-0000-00000F040000}"/>
    <cellStyle name="Currency 3 3 4" xfId="790" xr:uid="{00000000-0005-0000-0000-000010040000}"/>
    <cellStyle name="Currency 3 3 4 2" xfId="791" xr:uid="{00000000-0005-0000-0000-000011040000}"/>
    <cellStyle name="Currency 3 3 4 2 2" xfId="792" xr:uid="{00000000-0005-0000-0000-000012040000}"/>
    <cellStyle name="Currency 3 3 4 2 2 2" xfId="793" xr:uid="{00000000-0005-0000-0000-000013040000}"/>
    <cellStyle name="Currency 3 3 4 2 2 2 2" xfId="46276" xr:uid="{00000000-0005-0000-0000-000014040000}"/>
    <cellStyle name="Currency 3 3 4 2 2 2 3" xfId="46277" xr:uid="{00000000-0005-0000-0000-000015040000}"/>
    <cellStyle name="Currency 3 3 4 2 2 3" xfId="794" xr:uid="{00000000-0005-0000-0000-000016040000}"/>
    <cellStyle name="Currency 3 3 4 2 2 3 2" xfId="46278" xr:uid="{00000000-0005-0000-0000-000017040000}"/>
    <cellStyle name="Currency 3 3 4 2 2 4" xfId="795" xr:uid="{00000000-0005-0000-0000-000018040000}"/>
    <cellStyle name="Currency 3 3 4 2 2 5" xfId="796" xr:uid="{00000000-0005-0000-0000-000019040000}"/>
    <cellStyle name="Currency 3 3 4 2 2 6" xfId="797" xr:uid="{00000000-0005-0000-0000-00001A040000}"/>
    <cellStyle name="Currency 3 3 4 2 3" xfId="798" xr:uid="{00000000-0005-0000-0000-00001B040000}"/>
    <cellStyle name="Currency 3 3 4 2 3 2" xfId="46279" xr:uid="{00000000-0005-0000-0000-00001C040000}"/>
    <cellStyle name="Currency 3 3 4 2 3 3" xfId="46280" xr:uid="{00000000-0005-0000-0000-00001D040000}"/>
    <cellStyle name="Currency 3 3 4 2 4" xfId="799" xr:uid="{00000000-0005-0000-0000-00001E040000}"/>
    <cellStyle name="Currency 3 3 4 2 4 2" xfId="46281" xr:uid="{00000000-0005-0000-0000-00001F040000}"/>
    <cellStyle name="Currency 3 3 4 2 5" xfId="800" xr:uid="{00000000-0005-0000-0000-000020040000}"/>
    <cellStyle name="Currency 3 3 4 2 6" xfId="801" xr:uid="{00000000-0005-0000-0000-000021040000}"/>
    <cellStyle name="Currency 3 3 4 2 7" xfId="802" xr:uid="{00000000-0005-0000-0000-000022040000}"/>
    <cellStyle name="Currency 3 3 4 3" xfId="803" xr:uid="{00000000-0005-0000-0000-000023040000}"/>
    <cellStyle name="Currency 3 3 4 3 2" xfId="804" xr:uid="{00000000-0005-0000-0000-000024040000}"/>
    <cellStyle name="Currency 3 3 4 3 2 2" xfId="46282" xr:uid="{00000000-0005-0000-0000-000025040000}"/>
    <cellStyle name="Currency 3 3 4 3 2 3" xfId="46283" xr:uid="{00000000-0005-0000-0000-000026040000}"/>
    <cellStyle name="Currency 3 3 4 3 3" xfId="805" xr:uid="{00000000-0005-0000-0000-000027040000}"/>
    <cellStyle name="Currency 3 3 4 3 3 2" xfId="46284" xr:uid="{00000000-0005-0000-0000-000028040000}"/>
    <cellStyle name="Currency 3 3 4 3 4" xfId="806" xr:uid="{00000000-0005-0000-0000-000029040000}"/>
    <cellStyle name="Currency 3 3 4 3 5" xfId="807" xr:uid="{00000000-0005-0000-0000-00002A040000}"/>
    <cellStyle name="Currency 3 3 4 3 6" xfId="808" xr:uid="{00000000-0005-0000-0000-00002B040000}"/>
    <cellStyle name="Currency 3 3 4 4" xfId="809" xr:uid="{00000000-0005-0000-0000-00002C040000}"/>
    <cellStyle name="Currency 3 3 4 4 2" xfId="46285" xr:uid="{00000000-0005-0000-0000-00002D040000}"/>
    <cellStyle name="Currency 3 3 4 4 3" xfId="46286" xr:uid="{00000000-0005-0000-0000-00002E040000}"/>
    <cellStyle name="Currency 3 3 4 5" xfId="810" xr:uid="{00000000-0005-0000-0000-00002F040000}"/>
    <cellStyle name="Currency 3 3 4 5 2" xfId="46287" xr:uid="{00000000-0005-0000-0000-000030040000}"/>
    <cellStyle name="Currency 3 3 4 6" xfId="811" xr:uid="{00000000-0005-0000-0000-000031040000}"/>
    <cellStyle name="Currency 3 3 4 7" xfId="812" xr:uid="{00000000-0005-0000-0000-000032040000}"/>
    <cellStyle name="Currency 3 3 4 8" xfId="813" xr:uid="{00000000-0005-0000-0000-000033040000}"/>
    <cellStyle name="Currency 3 3 5" xfId="814" xr:uid="{00000000-0005-0000-0000-000034040000}"/>
    <cellStyle name="Currency 3 3 5 2" xfId="815" xr:uid="{00000000-0005-0000-0000-000035040000}"/>
    <cellStyle name="Currency 3 3 5 2 2" xfId="816" xr:uid="{00000000-0005-0000-0000-000036040000}"/>
    <cellStyle name="Currency 3 3 5 2 2 2" xfId="46288" xr:uid="{00000000-0005-0000-0000-000037040000}"/>
    <cellStyle name="Currency 3 3 5 2 2 3" xfId="46289" xr:uid="{00000000-0005-0000-0000-000038040000}"/>
    <cellStyle name="Currency 3 3 5 2 3" xfId="817" xr:uid="{00000000-0005-0000-0000-000039040000}"/>
    <cellStyle name="Currency 3 3 5 2 3 2" xfId="46290" xr:uid="{00000000-0005-0000-0000-00003A040000}"/>
    <cellStyle name="Currency 3 3 5 2 4" xfId="818" xr:uid="{00000000-0005-0000-0000-00003B040000}"/>
    <cellStyle name="Currency 3 3 5 2 5" xfId="819" xr:uid="{00000000-0005-0000-0000-00003C040000}"/>
    <cellStyle name="Currency 3 3 5 2 6" xfId="820" xr:uid="{00000000-0005-0000-0000-00003D040000}"/>
    <cellStyle name="Currency 3 3 5 3" xfId="821" xr:uid="{00000000-0005-0000-0000-00003E040000}"/>
    <cellStyle name="Currency 3 3 5 3 2" xfId="46291" xr:uid="{00000000-0005-0000-0000-00003F040000}"/>
    <cellStyle name="Currency 3 3 5 3 3" xfId="46292" xr:uid="{00000000-0005-0000-0000-000040040000}"/>
    <cellStyle name="Currency 3 3 5 4" xfId="822" xr:uid="{00000000-0005-0000-0000-000041040000}"/>
    <cellStyle name="Currency 3 3 5 4 2" xfId="46293" xr:uid="{00000000-0005-0000-0000-000042040000}"/>
    <cellStyle name="Currency 3 3 5 5" xfId="823" xr:uid="{00000000-0005-0000-0000-000043040000}"/>
    <cellStyle name="Currency 3 3 5 6" xfId="824" xr:uid="{00000000-0005-0000-0000-000044040000}"/>
    <cellStyle name="Currency 3 3 5 7" xfId="825" xr:uid="{00000000-0005-0000-0000-000045040000}"/>
    <cellStyle name="Currency 3 3 6" xfId="826" xr:uid="{00000000-0005-0000-0000-000046040000}"/>
    <cellStyle name="Currency 3 3 6 2" xfId="827" xr:uid="{00000000-0005-0000-0000-000047040000}"/>
    <cellStyle name="Currency 3 3 6 2 2" xfId="46294" xr:uid="{00000000-0005-0000-0000-000048040000}"/>
    <cellStyle name="Currency 3 3 6 2 3" xfId="46295" xr:uid="{00000000-0005-0000-0000-000049040000}"/>
    <cellStyle name="Currency 3 3 6 3" xfId="828" xr:uid="{00000000-0005-0000-0000-00004A040000}"/>
    <cellStyle name="Currency 3 3 6 3 2" xfId="46296" xr:uid="{00000000-0005-0000-0000-00004B040000}"/>
    <cellStyle name="Currency 3 3 6 4" xfId="829" xr:uid="{00000000-0005-0000-0000-00004C040000}"/>
    <cellStyle name="Currency 3 3 6 5" xfId="830" xr:uid="{00000000-0005-0000-0000-00004D040000}"/>
    <cellStyle name="Currency 3 3 6 6" xfId="831" xr:uid="{00000000-0005-0000-0000-00004E040000}"/>
    <cellStyle name="Currency 3 3 7" xfId="832" xr:uid="{00000000-0005-0000-0000-00004F040000}"/>
    <cellStyle name="Currency 3 3 7 2" xfId="46297" xr:uid="{00000000-0005-0000-0000-000050040000}"/>
    <cellStyle name="Currency 3 3 8" xfId="833" xr:uid="{00000000-0005-0000-0000-000051040000}"/>
    <cellStyle name="Currency 3 3 9" xfId="834" xr:uid="{00000000-0005-0000-0000-000052040000}"/>
    <cellStyle name="Currency 3 4" xfId="835" xr:uid="{00000000-0005-0000-0000-000053040000}"/>
    <cellStyle name="Currency 3 4 10" xfId="836" xr:uid="{00000000-0005-0000-0000-000054040000}"/>
    <cellStyle name="Currency 3 4 11" xfId="837" xr:uid="{00000000-0005-0000-0000-000055040000}"/>
    <cellStyle name="Currency 3 4 12" xfId="838" xr:uid="{00000000-0005-0000-0000-000056040000}"/>
    <cellStyle name="Currency 3 4 13" xfId="839" xr:uid="{00000000-0005-0000-0000-000057040000}"/>
    <cellStyle name="Currency 3 4 14" xfId="840" xr:uid="{00000000-0005-0000-0000-000058040000}"/>
    <cellStyle name="Currency 3 4 2" xfId="841" xr:uid="{00000000-0005-0000-0000-000059040000}"/>
    <cellStyle name="Currency 3 4 2 2" xfId="842" xr:uid="{00000000-0005-0000-0000-00005A040000}"/>
    <cellStyle name="Currency 3 4 2 2 2" xfId="843" xr:uid="{00000000-0005-0000-0000-00005B040000}"/>
    <cellStyle name="Currency 3 4 2 2 2 2" xfId="844" xr:uid="{00000000-0005-0000-0000-00005C040000}"/>
    <cellStyle name="Currency 3 4 2 2 2 2 2" xfId="46298" xr:uid="{00000000-0005-0000-0000-00005D040000}"/>
    <cellStyle name="Currency 3 4 2 2 2 2 3" xfId="46299" xr:uid="{00000000-0005-0000-0000-00005E040000}"/>
    <cellStyle name="Currency 3 4 2 2 2 3" xfId="845" xr:uid="{00000000-0005-0000-0000-00005F040000}"/>
    <cellStyle name="Currency 3 4 2 2 2 3 2" xfId="46300" xr:uid="{00000000-0005-0000-0000-000060040000}"/>
    <cellStyle name="Currency 3 4 2 2 2 4" xfId="846" xr:uid="{00000000-0005-0000-0000-000061040000}"/>
    <cellStyle name="Currency 3 4 2 2 2 5" xfId="847" xr:uid="{00000000-0005-0000-0000-000062040000}"/>
    <cellStyle name="Currency 3 4 2 2 2 6" xfId="848" xr:uid="{00000000-0005-0000-0000-000063040000}"/>
    <cellStyle name="Currency 3 4 2 2 3" xfId="849" xr:uid="{00000000-0005-0000-0000-000064040000}"/>
    <cellStyle name="Currency 3 4 2 2 3 2" xfId="46301" xr:uid="{00000000-0005-0000-0000-000065040000}"/>
    <cellStyle name="Currency 3 4 2 2 3 3" xfId="46302" xr:uid="{00000000-0005-0000-0000-000066040000}"/>
    <cellStyle name="Currency 3 4 2 2 4" xfId="850" xr:uid="{00000000-0005-0000-0000-000067040000}"/>
    <cellStyle name="Currency 3 4 2 2 4 2" xfId="46303" xr:uid="{00000000-0005-0000-0000-000068040000}"/>
    <cellStyle name="Currency 3 4 2 2 5" xfId="851" xr:uid="{00000000-0005-0000-0000-000069040000}"/>
    <cellStyle name="Currency 3 4 2 2 6" xfId="852" xr:uid="{00000000-0005-0000-0000-00006A040000}"/>
    <cellStyle name="Currency 3 4 2 2 7" xfId="853" xr:uid="{00000000-0005-0000-0000-00006B040000}"/>
    <cellStyle name="Currency 3 4 2 3" xfId="854" xr:uid="{00000000-0005-0000-0000-00006C040000}"/>
    <cellStyle name="Currency 3 4 2 3 2" xfId="855" xr:uid="{00000000-0005-0000-0000-00006D040000}"/>
    <cellStyle name="Currency 3 4 2 3 2 2" xfId="46304" xr:uid="{00000000-0005-0000-0000-00006E040000}"/>
    <cellStyle name="Currency 3 4 2 3 2 3" xfId="46305" xr:uid="{00000000-0005-0000-0000-00006F040000}"/>
    <cellStyle name="Currency 3 4 2 3 3" xfId="856" xr:uid="{00000000-0005-0000-0000-000070040000}"/>
    <cellStyle name="Currency 3 4 2 3 3 2" xfId="46306" xr:uid="{00000000-0005-0000-0000-000071040000}"/>
    <cellStyle name="Currency 3 4 2 3 4" xfId="857" xr:uid="{00000000-0005-0000-0000-000072040000}"/>
    <cellStyle name="Currency 3 4 2 3 5" xfId="858" xr:uid="{00000000-0005-0000-0000-000073040000}"/>
    <cellStyle name="Currency 3 4 2 3 6" xfId="859" xr:uid="{00000000-0005-0000-0000-000074040000}"/>
    <cellStyle name="Currency 3 4 2 4" xfId="860" xr:uid="{00000000-0005-0000-0000-000075040000}"/>
    <cellStyle name="Currency 3 4 2 4 2" xfId="46307" xr:uid="{00000000-0005-0000-0000-000076040000}"/>
    <cellStyle name="Currency 3 4 2 4 3" xfId="46308" xr:uid="{00000000-0005-0000-0000-000077040000}"/>
    <cellStyle name="Currency 3 4 2 5" xfId="861" xr:uid="{00000000-0005-0000-0000-000078040000}"/>
    <cellStyle name="Currency 3 4 2 5 2" xfId="46309" xr:uid="{00000000-0005-0000-0000-000079040000}"/>
    <cellStyle name="Currency 3 4 2 6" xfId="862" xr:uid="{00000000-0005-0000-0000-00007A040000}"/>
    <cellStyle name="Currency 3 4 2 7" xfId="863" xr:uid="{00000000-0005-0000-0000-00007B040000}"/>
    <cellStyle name="Currency 3 4 2 8" xfId="864" xr:uid="{00000000-0005-0000-0000-00007C040000}"/>
    <cellStyle name="Currency 3 4 2 9" xfId="865" xr:uid="{00000000-0005-0000-0000-00007D040000}"/>
    <cellStyle name="Currency 3 4 3" xfId="866" xr:uid="{00000000-0005-0000-0000-00007E040000}"/>
    <cellStyle name="Currency 3 4 3 2" xfId="867" xr:uid="{00000000-0005-0000-0000-00007F040000}"/>
    <cellStyle name="Currency 3 4 3 2 2" xfId="868" xr:uid="{00000000-0005-0000-0000-000080040000}"/>
    <cellStyle name="Currency 3 4 3 2 2 2" xfId="869" xr:uid="{00000000-0005-0000-0000-000081040000}"/>
    <cellStyle name="Currency 3 4 3 2 2 2 2" xfId="46310" xr:uid="{00000000-0005-0000-0000-000082040000}"/>
    <cellStyle name="Currency 3 4 3 2 2 2 3" xfId="46311" xr:uid="{00000000-0005-0000-0000-000083040000}"/>
    <cellStyle name="Currency 3 4 3 2 2 3" xfId="870" xr:uid="{00000000-0005-0000-0000-000084040000}"/>
    <cellStyle name="Currency 3 4 3 2 2 3 2" xfId="46312" xr:uid="{00000000-0005-0000-0000-000085040000}"/>
    <cellStyle name="Currency 3 4 3 2 2 4" xfId="871" xr:uid="{00000000-0005-0000-0000-000086040000}"/>
    <cellStyle name="Currency 3 4 3 2 2 5" xfId="872" xr:uid="{00000000-0005-0000-0000-000087040000}"/>
    <cellStyle name="Currency 3 4 3 2 2 6" xfId="873" xr:uid="{00000000-0005-0000-0000-000088040000}"/>
    <cellStyle name="Currency 3 4 3 2 3" xfId="874" xr:uid="{00000000-0005-0000-0000-000089040000}"/>
    <cellStyle name="Currency 3 4 3 2 3 2" xfId="46313" xr:uid="{00000000-0005-0000-0000-00008A040000}"/>
    <cellStyle name="Currency 3 4 3 2 3 3" xfId="46314" xr:uid="{00000000-0005-0000-0000-00008B040000}"/>
    <cellStyle name="Currency 3 4 3 2 4" xfId="875" xr:uid="{00000000-0005-0000-0000-00008C040000}"/>
    <cellStyle name="Currency 3 4 3 2 4 2" xfId="46315" xr:uid="{00000000-0005-0000-0000-00008D040000}"/>
    <cellStyle name="Currency 3 4 3 2 5" xfId="876" xr:uid="{00000000-0005-0000-0000-00008E040000}"/>
    <cellStyle name="Currency 3 4 3 2 6" xfId="877" xr:uid="{00000000-0005-0000-0000-00008F040000}"/>
    <cellStyle name="Currency 3 4 3 2 7" xfId="878" xr:uid="{00000000-0005-0000-0000-000090040000}"/>
    <cellStyle name="Currency 3 4 3 3" xfId="879" xr:uid="{00000000-0005-0000-0000-000091040000}"/>
    <cellStyle name="Currency 3 4 3 3 2" xfId="880" xr:uid="{00000000-0005-0000-0000-000092040000}"/>
    <cellStyle name="Currency 3 4 3 3 2 2" xfId="46316" xr:uid="{00000000-0005-0000-0000-000093040000}"/>
    <cellStyle name="Currency 3 4 3 3 2 3" xfId="46317" xr:uid="{00000000-0005-0000-0000-000094040000}"/>
    <cellStyle name="Currency 3 4 3 3 3" xfId="881" xr:uid="{00000000-0005-0000-0000-000095040000}"/>
    <cellStyle name="Currency 3 4 3 3 3 2" xfId="46318" xr:uid="{00000000-0005-0000-0000-000096040000}"/>
    <cellStyle name="Currency 3 4 3 3 4" xfId="882" xr:uid="{00000000-0005-0000-0000-000097040000}"/>
    <cellStyle name="Currency 3 4 3 3 5" xfId="883" xr:uid="{00000000-0005-0000-0000-000098040000}"/>
    <cellStyle name="Currency 3 4 3 3 6" xfId="884" xr:uid="{00000000-0005-0000-0000-000099040000}"/>
    <cellStyle name="Currency 3 4 3 4" xfId="885" xr:uid="{00000000-0005-0000-0000-00009A040000}"/>
    <cellStyle name="Currency 3 4 3 4 2" xfId="46319" xr:uid="{00000000-0005-0000-0000-00009B040000}"/>
    <cellStyle name="Currency 3 4 3 4 3" xfId="46320" xr:uid="{00000000-0005-0000-0000-00009C040000}"/>
    <cellStyle name="Currency 3 4 3 5" xfId="886" xr:uid="{00000000-0005-0000-0000-00009D040000}"/>
    <cellStyle name="Currency 3 4 3 5 2" xfId="46321" xr:uid="{00000000-0005-0000-0000-00009E040000}"/>
    <cellStyle name="Currency 3 4 3 6" xfId="887" xr:uid="{00000000-0005-0000-0000-00009F040000}"/>
    <cellStyle name="Currency 3 4 3 7" xfId="888" xr:uid="{00000000-0005-0000-0000-0000A0040000}"/>
    <cellStyle name="Currency 3 4 3 8" xfId="889" xr:uid="{00000000-0005-0000-0000-0000A1040000}"/>
    <cellStyle name="Currency 3 4 4" xfId="890" xr:uid="{00000000-0005-0000-0000-0000A2040000}"/>
    <cellStyle name="Currency 3 4 4 2" xfId="891" xr:uid="{00000000-0005-0000-0000-0000A3040000}"/>
    <cellStyle name="Currency 3 4 4 2 2" xfId="892" xr:uid="{00000000-0005-0000-0000-0000A4040000}"/>
    <cellStyle name="Currency 3 4 4 2 2 2" xfId="46322" xr:uid="{00000000-0005-0000-0000-0000A5040000}"/>
    <cellStyle name="Currency 3 4 4 2 2 3" xfId="46323" xr:uid="{00000000-0005-0000-0000-0000A6040000}"/>
    <cellStyle name="Currency 3 4 4 2 3" xfId="893" xr:uid="{00000000-0005-0000-0000-0000A7040000}"/>
    <cellStyle name="Currency 3 4 4 2 3 2" xfId="46324" xr:uid="{00000000-0005-0000-0000-0000A8040000}"/>
    <cellStyle name="Currency 3 4 4 2 4" xfId="894" xr:uid="{00000000-0005-0000-0000-0000A9040000}"/>
    <cellStyle name="Currency 3 4 4 2 5" xfId="895" xr:uid="{00000000-0005-0000-0000-0000AA040000}"/>
    <cellStyle name="Currency 3 4 4 2 6" xfId="896" xr:uid="{00000000-0005-0000-0000-0000AB040000}"/>
    <cellStyle name="Currency 3 4 4 3" xfId="897" xr:uid="{00000000-0005-0000-0000-0000AC040000}"/>
    <cellStyle name="Currency 3 4 4 3 2" xfId="46325" xr:uid="{00000000-0005-0000-0000-0000AD040000}"/>
    <cellStyle name="Currency 3 4 4 3 3" xfId="46326" xr:uid="{00000000-0005-0000-0000-0000AE040000}"/>
    <cellStyle name="Currency 3 4 4 4" xfId="898" xr:uid="{00000000-0005-0000-0000-0000AF040000}"/>
    <cellStyle name="Currency 3 4 4 4 2" xfId="46327" xr:uid="{00000000-0005-0000-0000-0000B0040000}"/>
    <cellStyle name="Currency 3 4 4 5" xfId="899" xr:uid="{00000000-0005-0000-0000-0000B1040000}"/>
    <cellStyle name="Currency 3 4 4 6" xfId="900" xr:uid="{00000000-0005-0000-0000-0000B2040000}"/>
    <cellStyle name="Currency 3 4 4 7" xfId="901" xr:uid="{00000000-0005-0000-0000-0000B3040000}"/>
    <cellStyle name="Currency 3 4 5" xfId="902" xr:uid="{00000000-0005-0000-0000-0000B4040000}"/>
    <cellStyle name="Currency 3 4 5 2" xfId="903" xr:uid="{00000000-0005-0000-0000-0000B5040000}"/>
    <cellStyle name="Currency 3 4 5 2 2" xfId="46328" xr:uid="{00000000-0005-0000-0000-0000B6040000}"/>
    <cellStyle name="Currency 3 4 5 2 3" xfId="46329" xr:uid="{00000000-0005-0000-0000-0000B7040000}"/>
    <cellStyle name="Currency 3 4 5 3" xfId="904" xr:uid="{00000000-0005-0000-0000-0000B8040000}"/>
    <cellStyle name="Currency 3 4 5 3 2" xfId="46330" xr:uid="{00000000-0005-0000-0000-0000B9040000}"/>
    <cellStyle name="Currency 3 4 5 4" xfId="905" xr:uid="{00000000-0005-0000-0000-0000BA040000}"/>
    <cellStyle name="Currency 3 4 5 5" xfId="906" xr:uid="{00000000-0005-0000-0000-0000BB040000}"/>
    <cellStyle name="Currency 3 4 5 6" xfId="907" xr:uid="{00000000-0005-0000-0000-0000BC040000}"/>
    <cellStyle name="Currency 3 4 6" xfId="908" xr:uid="{00000000-0005-0000-0000-0000BD040000}"/>
    <cellStyle name="Currency 3 4 6 2" xfId="46331" xr:uid="{00000000-0005-0000-0000-0000BE040000}"/>
    <cellStyle name="Currency 3 4 6 3" xfId="46332" xr:uid="{00000000-0005-0000-0000-0000BF040000}"/>
    <cellStyle name="Currency 3 4 7" xfId="909" xr:uid="{00000000-0005-0000-0000-0000C0040000}"/>
    <cellStyle name="Currency 3 4 7 2" xfId="46333" xr:uid="{00000000-0005-0000-0000-0000C1040000}"/>
    <cellStyle name="Currency 3 4 8" xfId="910" xr:uid="{00000000-0005-0000-0000-0000C2040000}"/>
    <cellStyle name="Currency 3 4 8 2" xfId="46334" xr:uid="{00000000-0005-0000-0000-0000C3040000}"/>
    <cellStyle name="Currency 3 4 9" xfId="911" xr:uid="{00000000-0005-0000-0000-0000C4040000}"/>
    <cellStyle name="Currency 3 5" xfId="912" xr:uid="{00000000-0005-0000-0000-0000C5040000}"/>
    <cellStyle name="Currency 3 5 10" xfId="913" xr:uid="{00000000-0005-0000-0000-0000C6040000}"/>
    <cellStyle name="Currency 3 5 11" xfId="914" xr:uid="{00000000-0005-0000-0000-0000C7040000}"/>
    <cellStyle name="Currency 3 5 12" xfId="915" xr:uid="{00000000-0005-0000-0000-0000C8040000}"/>
    <cellStyle name="Currency 3 5 13" xfId="916" xr:uid="{00000000-0005-0000-0000-0000C9040000}"/>
    <cellStyle name="Currency 3 5 14" xfId="917" xr:uid="{00000000-0005-0000-0000-0000CA040000}"/>
    <cellStyle name="Currency 3 5 2" xfId="918" xr:uid="{00000000-0005-0000-0000-0000CB040000}"/>
    <cellStyle name="Currency 3 5 2 2" xfId="919" xr:uid="{00000000-0005-0000-0000-0000CC040000}"/>
    <cellStyle name="Currency 3 5 2 2 2" xfId="920" xr:uid="{00000000-0005-0000-0000-0000CD040000}"/>
    <cellStyle name="Currency 3 5 2 2 2 2" xfId="921" xr:uid="{00000000-0005-0000-0000-0000CE040000}"/>
    <cellStyle name="Currency 3 5 2 2 2 2 2" xfId="46335" xr:uid="{00000000-0005-0000-0000-0000CF040000}"/>
    <cellStyle name="Currency 3 5 2 2 2 2 3" xfId="46336" xr:uid="{00000000-0005-0000-0000-0000D0040000}"/>
    <cellStyle name="Currency 3 5 2 2 2 3" xfId="922" xr:uid="{00000000-0005-0000-0000-0000D1040000}"/>
    <cellStyle name="Currency 3 5 2 2 2 3 2" xfId="46337" xr:uid="{00000000-0005-0000-0000-0000D2040000}"/>
    <cellStyle name="Currency 3 5 2 2 2 4" xfId="923" xr:uid="{00000000-0005-0000-0000-0000D3040000}"/>
    <cellStyle name="Currency 3 5 2 2 2 5" xfId="924" xr:uid="{00000000-0005-0000-0000-0000D4040000}"/>
    <cellStyle name="Currency 3 5 2 2 2 6" xfId="925" xr:uid="{00000000-0005-0000-0000-0000D5040000}"/>
    <cellStyle name="Currency 3 5 2 2 3" xfId="926" xr:uid="{00000000-0005-0000-0000-0000D6040000}"/>
    <cellStyle name="Currency 3 5 2 2 3 2" xfId="46338" xr:uid="{00000000-0005-0000-0000-0000D7040000}"/>
    <cellStyle name="Currency 3 5 2 2 3 3" xfId="46339" xr:uid="{00000000-0005-0000-0000-0000D8040000}"/>
    <cellStyle name="Currency 3 5 2 2 4" xfId="927" xr:uid="{00000000-0005-0000-0000-0000D9040000}"/>
    <cellStyle name="Currency 3 5 2 2 4 2" xfId="46340" xr:uid="{00000000-0005-0000-0000-0000DA040000}"/>
    <cellStyle name="Currency 3 5 2 2 5" xfId="928" xr:uid="{00000000-0005-0000-0000-0000DB040000}"/>
    <cellStyle name="Currency 3 5 2 2 6" xfId="929" xr:uid="{00000000-0005-0000-0000-0000DC040000}"/>
    <cellStyle name="Currency 3 5 2 2 7" xfId="930" xr:uid="{00000000-0005-0000-0000-0000DD040000}"/>
    <cellStyle name="Currency 3 5 2 3" xfId="931" xr:uid="{00000000-0005-0000-0000-0000DE040000}"/>
    <cellStyle name="Currency 3 5 2 3 2" xfId="932" xr:uid="{00000000-0005-0000-0000-0000DF040000}"/>
    <cellStyle name="Currency 3 5 2 3 2 2" xfId="46341" xr:uid="{00000000-0005-0000-0000-0000E0040000}"/>
    <cellStyle name="Currency 3 5 2 3 2 3" xfId="46342" xr:uid="{00000000-0005-0000-0000-0000E1040000}"/>
    <cellStyle name="Currency 3 5 2 3 3" xfId="933" xr:uid="{00000000-0005-0000-0000-0000E2040000}"/>
    <cellStyle name="Currency 3 5 2 3 3 2" xfId="46343" xr:uid="{00000000-0005-0000-0000-0000E3040000}"/>
    <cellStyle name="Currency 3 5 2 3 4" xfId="934" xr:uid="{00000000-0005-0000-0000-0000E4040000}"/>
    <cellStyle name="Currency 3 5 2 3 5" xfId="935" xr:uid="{00000000-0005-0000-0000-0000E5040000}"/>
    <cellStyle name="Currency 3 5 2 3 6" xfId="936" xr:uid="{00000000-0005-0000-0000-0000E6040000}"/>
    <cellStyle name="Currency 3 5 2 4" xfId="937" xr:uid="{00000000-0005-0000-0000-0000E7040000}"/>
    <cellStyle name="Currency 3 5 2 4 2" xfId="46344" xr:uid="{00000000-0005-0000-0000-0000E8040000}"/>
    <cellStyle name="Currency 3 5 2 4 3" xfId="46345" xr:uid="{00000000-0005-0000-0000-0000E9040000}"/>
    <cellStyle name="Currency 3 5 2 5" xfId="938" xr:uid="{00000000-0005-0000-0000-0000EA040000}"/>
    <cellStyle name="Currency 3 5 2 5 2" xfId="46346" xr:uid="{00000000-0005-0000-0000-0000EB040000}"/>
    <cellStyle name="Currency 3 5 2 6" xfId="939" xr:uid="{00000000-0005-0000-0000-0000EC040000}"/>
    <cellStyle name="Currency 3 5 2 7" xfId="940" xr:uid="{00000000-0005-0000-0000-0000ED040000}"/>
    <cellStyle name="Currency 3 5 2 8" xfId="941" xr:uid="{00000000-0005-0000-0000-0000EE040000}"/>
    <cellStyle name="Currency 3 5 2 9" xfId="942" xr:uid="{00000000-0005-0000-0000-0000EF040000}"/>
    <cellStyle name="Currency 3 5 3" xfId="943" xr:uid="{00000000-0005-0000-0000-0000F0040000}"/>
    <cellStyle name="Currency 3 5 3 2" xfId="944" xr:uid="{00000000-0005-0000-0000-0000F1040000}"/>
    <cellStyle name="Currency 3 5 3 2 2" xfId="945" xr:uid="{00000000-0005-0000-0000-0000F2040000}"/>
    <cellStyle name="Currency 3 5 3 2 2 2" xfId="946" xr:uid="{00000000-0005-0000-0000-0000F3040000}"/>
    <cellStyle name="Currency 3 5 3 2 2 2 2" xfId="46347" xr:uid="{00000000-0005-0000-0000-0000F4040000}"/>
    <cellStyle name="Currency 3 5 3 2 2 2 3" xfId="46348" xr:uid="{00000000-0005-0000-0000-0000F5040000}"/>
    <cellStyle name="Currency 3 5 3 2 2 3" xfId="947" xr:uid="{00000000-0005-0000-0000-0000F6040000}"/>
    <cellStyle name="Currency 3 5 3 2 2 3 2" xfId="46349" xr:uid="{00000000-0005-0000-0000-0000F7040000}"/>
    <cellStyle name="Currency 3 5 3 2 2 4" xfId="948" xr:uid="{00000000-0005-0000-0000-0000F8040000}"/>
    <cellStyle name="Currency 3 5 3 2 2 5" xfId="949" xr:uid="{00000000-0005-0000-0000-0000F9040000}"/>
    <cellStyle name="Currency 3 5 3 2 2 6" xfId="950" xr:uid="{00000000-0005-0000-0000-0000FA040000}"/>
    <cellStyle name="Currency 3 5 3 2 3" xfId="951" xr:uid="{00000000-0005-0000-0000-0000FB040000}"/>
    <cellStyle name="Currency 3 5 3 2 3 2" xfId="46350" xr:uid="{00000000-0005-0000-0000-0000FC040000}"/>
    <cellStyle name="Currency 3 5 3 2 3 3" xfId="46351" xr:uid="{00000000-0005-0000-0000-0000FD040000}"/>
    <cellStyle name="Currency 3 5 3 2 4" xfId="952" xr:uid="{00000000-0005-0000-0000-0000FE040000}"/>
    <cellStyle name="Currency 3 5 3 2 4 2" xfId="46352" xr:uid="{00000000-0005-0000-0000-0000FF040000}"/>
    <cellStyle name="Currency 3 5 3 2 5" xfId="953" xr:uid="{00000000-0005-0000-0000-000000050000}"/>
    <cellStyle name="Currency 3 5 3 2 6" xfId="954" xr:uid="{00000000-0005-0000-0000-000001050000}"/>
    <cellStyle name="Currency 3 5 3 2 7" xfId="955" xr:uid="{00000000-0005-0000-0000-000002050000}"/>
    <cellStyle name="Currency 3 5 3 3" xfId="956" xr:uid="{00000000-0005-0000-0000-000003050000}"/>
    <cellStyle name="Currency 3 5 3 3 2" xfId="957" xr:uid="{00000000-0005-0000-0000-000004050000}"/>
    <cellStyle name="Currency 3 5 3 3 2 2" xfId="46353" xr:uid="{00000000-0005-0000-0000-000005050000}"/>
    <cellStyle name="Currency 3 5 3 3 2 3" xfId="46354" xr:uid="{00000000-0005-0000-0000-000006050000}"/>
    <cellStyle name="Currency 3 5 3 3 3" xfId="958" xr:uid="{00000000-0005-0000-0000-000007050000}"/>
    <cellStyle name="Currency 3 5 3 3 3 2" xfId="46355" xr:uid="{00000000-0005-0000-0000-000008050000}"/>
    <cellStyle name="Currency 3 5 3 3 4" xfId="959" xr:uid="{00000000-0005-0000-0000-000009050000}"/>
    <cellStyle name="Currency 3 5 3 3 5" xfId="960" xr:uid="{00000000-0005-0000-0000-00000A050000}"/>
    <cellStyle name="Currency 3 5 3 3 6" xfId="961" xr:uid="{00000000-0005-0000-0000-00000B050000}"/>
    <cellStyle name="Currency 3 5 3 4" xfId="962" xr:uid="{00000000-0005-0000-0000-00000C050000}"/>
    <cellStyle name="Currency 3 5 3 4 2" xfId="46356" xr:uid="{00000000-0005-0000-0000-00000D050000}"/>
    <cellStyle name="Currency 3 5 3 4 3" xfId="46357" xr:uid="{00000000-0005-0000-0000-00000E050000}"/>
    <cellStyle name="Currency 3 5 3 5" xfId="963" xr:uid="{00000000-0005-0000-0000-00000F050000}"/>
    <cellStyle name="Currency 3 5 3 5 2" xfId="46358" xr:uid="{00000000-0005-0000-0000-000010050000}"/>
    <cellStyle name="Currency 3 5 3 6" xfId="964" xr:uid="{00000000-0005-0000-0000-000011050000}"/>
    <cellStyle name="Currency 3 5 3 7" xfId="965" xr:uid="{00000000-0005-0000-0000-000012050000}"/>
    <cellStyle name="Currency 3 5 3 8" xfId="966" xr:uid="{00000000-0005-0000-0000-000013050000}"/>
    <cellStyle name="Currency 3 5 4" xfId="967" xr:uid="{00000000-0005-0000-0000-000014050000}"/>
    <cellStyle name="Currency 3 5 4 2" xfId="968" xr:uid="{00000000-0005-0000-0000-000015050000}"/>
    <cellStyle name="Currency 3 5 4 2 2" xfId="969" xr:uid="{00000000-0005-0000-0000-000016050000}"/>
    <cellStyle name="Currency 3 5 4 2 2 2" xfId="46359" xr:uid="{00000000-0005-0000-0000-000017050000}"/>
    <cellStyle name="Currency 3 5 4 2 2 3" xfId="46360" xr:uid="{00000000-0005-0000-0000-000018050000}"/>
    <cellStyle name="Currency 3 5 4 2 3" xfId="970" xr:uid="{00000000-0005-0000-0000-000019050000}"/>
    <cellStyle name="Currency 3 5 4 2 3 2" xfId="46361" xr:uid="{00000000-0005-0000-0000-00001A050000}"/>
    <cellStyle name="Currency 3 5 4 2 4" xfId="971" xr:uid="{00000000-0005-0000-0000-00001B050000}"/>
    <cellStyle name="Currency 3 5 4 2 5" xfId="972" xr:uid="{00000000-0005-0000-0000-00001C050000}"/>
    <cellStyle name="Currency 3 5 4 2 6" xfId="973" xr:uid="{00000000-0005-0000-0000-00001D050000}"/>
    <cellStyle name="Currency 3 5 4 3" xfId="974" xr:uid="{00000000-0005-0000-0000-00001E050000}"/>
    <cellStyle name="Currency 3 5 4 3 2" xfId="46362" xr:uid="{00000000-0005-0000-0000-00001F050000}"/>
    <cellStyle name="Currency 3 5 4 3 3" xfId="46363" xr:uid="{00000000-0005-0000-0000-000020050000}"/>
    <cellStyle name="Currency 3 5 4 4" xfId="975" xr:uid="{00000000-0005-0000-0000-000021050000}"/>
    <cellStyle name="Currency 3 5 4 4 2" xfId="46364" xr:uid="{00000000-0005-0000-0000-000022050000}"/>
    <cellStyle name="Currency 3 5 4 5" xfId="976" xr:uid="{00000000-0005-0000-0000-000023050000}"/>
    <cellStyle name="Currency 3 5 4 6" xfId="977" xr:uid="{00000000-0005-0000-0000-000024050000}"/>
    <cellStyle name="Currency 3 5 4 7" xfId="978" xr:uid="{00000000-0005-0000-0000-000025050000}"/>
    <cellStyle name="Currency 3 5 5" xfId="979" xr:uid="{00000000-0005-0000-0000-000026050000}"/>
    <cellStyle name="Currency 3 5 5 2" xfId="980" xr:uid="{00000000-0005-0000-0000-000027050000}"/>
    <cellStyle name="Currency 3 5 5 2 2" xfId="46365" xr:uid="{00000000-0005-0000-0000-000028050000}"/>
    <cellStyle name="Currency 3 5 5 2 3" xfId="46366" xr:uid="{00000000-0005-0000-0000-000029050000}"/>
    <cellStyle name="Currency 3 5 5 3" xfId="981" xr:uid="{00000000-0005-0000-0000-00002A050000}"/>
    <cellStyle name="Currency 3 5 5 3 2" xfId="46367" xr:uid="{00000000-0005-0000-0000-00002B050000}"/>
    <cellStyle name="Currency 3 5 5 4" xfId="982" xr:uid="{00000000-0005-0000-0000-00002C050000}"/>
    <cellStyle name="Currency 3 5 5 5" xfId="983" xr:uid="{00000000-0005-0000-0000-00002D050000}"/>
    <cellStyle name="Currency 3 5 5 6" xfId="984" xr:uid="{00000000-0005-0000-0000-00002E050000}"/>
    <cellStyle name="Currency 3 5 6" xfId="985" xr:uid="{00000000-0005-0000-0000-00002F050000}"/>
    <cellStyle name="Currency 3 5 6 2" xfId="46368" xr:uid="{00000000-0005-0000-0000-000030050000}"/>
    <cellStyle name="Currency 3 5 6 3" xfId="46369" xr:uid="{00000000-0005-0000-0000-000031050000}"/>
    <cellStyle name="Currency 3 5 7" xfId="986" xr:uid="{00000000-0005-0000-0000-000032050000}"/>
    <cellStyle name="Currency 3 5 7 2" xfId="46370" xr:uid="{00000000-0005-0000-0000-000033050000}"/>
    <cellStyle name="Currency 3 5 8" xfId="987" xr:uid="{00000000-0005-0000-0000-000034050000}"/>
    <cellStyle name="Currency 3 5 9" xfId="988" xr:uid="{00000000-0005-0000-0000-000035050000}"/>
    <cellStyle name="Currency 3 6" xfId="989" xr:uid="{00000000-0005-0000-0000-000036050000}"/>
    <cellStyle name="Currency 3 6 10" xfId="990" xr:uid="{00000000-0005-0000-0000-000037050000}"/>
    <cellStyle name="Currency 3 6 11" xfId="991" xr:uid="{00000000-0005-0000-0000-000038050000}"/>
    <cellStyle name="Currency 3 6 12" xfId="992" xr:uid="{00000000-0005-0000-0000-000039050000}"/>
    <cellStyle name="Currency 3 6 13" xfId="993" xr:uid="{00000000-0005-0000-0000-00003A050000}"/>
    <cellStyle name="Currency 3 6 2" xfId="994" xr:uid="{00000000-0005-0000-0000-00003B050000}"/>
    <cellStyle name="Currency 3 6 2 2" xfId="995" xr:uid="{00000000-0005-0000-0000-00003C050000}"/>
    <cellStyle name="Currency 3 6 2 2 2" xfId="996" xr:uid="{00000000-0005-0000-0000-00003D050000}"/>
    <cellStyle name="Currency 3 6 2 2 2 2" xfId="997" xr:uid="{00000000-0005-0000-0000-00003E050000}"/>
    <cellStyle name="Currency 3 6 2 2 2 2 2" xfId="46371" xr:uid="{00000000-0005-0000-0000-00003F050000}"/>
    <cellStyle name="Currency 3 6 2 2 2 2 3" xfId="46372" xr:uid="{00000000-0005-0000-0000-000040050000}"/>
    <cellStyle name="Currency 3 6 2 2 2 3" xfId="998" xr:uid="{00000000-0005-0000-0000-000041050000}"/>
    <cellStyle name="Currency 3 6 2 2 2 3 2" xfId="46373" xr:uid="{00000000-0005-0000-0000-000042050000}"/>
    <cellStyle name="Currency 3 6 2 2 2 4" xfId="999" xr:uid="{00000000-0005-0000-0000-000043050000}"/>
    <cellStyle name="Currency 3 6 2 2 2 5" xfId="1000" xr:uid="{00000000-0005-0000-0000-000044050000}"/>
    <cellStyle name="Currency 3 6 2 2 2 6" xfId="1001" xr:uid="{00000000-0005-0000-0000-000045050000}"/>
    <cellStyle name="Currency 3 6 2 2 3" xfId="1002" xr:uid="{00000000-0005-0000-0000-000046050000}"/>
    <cellStyle name="Currency 3 6 2 2 3 2" xfId="46374" xr:uid="{00000000-0005-0000-0000-000047050000}"/>
    <cellStyle name="Currency 3 6 2 2 3 3" xfId="46375" xr:uid="{00000000-0005-0000-0000-000048050000}"/>
    <cellStyle name="Currency 3 6 2 2 4" xfId="1003" xr:uid="{00000000-0005-0000-0000-000049050000}"/>
    <cellStyle name="Currency 3 6 2 2 4 2" xfId="46376" xr:uid="{00000000-0005-0000-0000-00004A050000}"/>
    <cellStyle name="Currency 3 6 2 2 5" xfId="1004" xr:uid="{00000000-0005-0000-0000-00004B050000}"/>
    <cellStyle name="Currency 3 6 2 2 6" xfId="1005" xr:uid="{00000000-0005-0000-0000-00004C050000}"/>
    <cellStyle name="Currency 3 6 2 2 7" xfId="1006" xr:uid="{00000000-0005-0000-0000-00004D050000}"/>
    <cellStyle name="Currency 3 6 2 3" xfId="1007" xr:uid="{00000000-0005-0000-0000-00004E050000}"/>
    <cellStyle name="Currency 3 6 2 3 2" xfId="1008" xr:uid="{00000000-0005-0000-0000-00004F050000}"/>
    <cellStyle name="Currency 3 6 2 3 2 2" xfId="46377" xr:uid="{00000000-0005-0000-0000-000050050000}"/>
    <cellStyle name="Currency 3 6 2 3 2 3" xfId="46378" xr:uid="{00000000-0005-0000-0000-000051050000}"/>
    <cellStyle name="Currency 3 6 2 3 3" xfId="1009" xr:uid="{00000000-0005-0000-0000-000052050000}"/>
    <cellStyle name="Currency 3 6 2 3 3 2" xfId="46379" xr:uid="{00000000-0005-0000-0000-000053050000}"/>
    <cellStyle name="Currency 3 6 2 3 4" xfId="1010" xr:uid="{00000000-0005-0000-0000-000054050000}"/>
    <cellStyle name="Currency 3 6 2 3 5" xfId="1011" xr:uid="{00000000-0005-0000-0000-000055050000}"/>
    <cellStyle name="Currency 3 6 2 3 6" xfId="1012" xr:uid="{00000000-0005-0000-0000-000056050000}"/>
    <cellStyle name="Currency 3 6 2 4" xfId="1013" xr:uid="{00000000-0005-0000-0000-000057050000}"/>
    <cellStyle name="Currency 3 6 2 4 2" xfId="46380" xr:uid="{00000000-0005-0000-0000-000058050000}"/>
    <cellStyle name="Currency 3 6 2 4 3" xfId="46381" xr:uid="{00000000-0005-0000-0000-000059050000}"/>
    <cellStyle name="Currency 3 6 2 5" xfId="1014" xr:uid="{00000000-0005-0000-0000-00005A050000}"/>
    <cellStyle name="Currency 3 6 2 5 2" xfId="46382" xr:uid="{00000000-0005-0000-0000-00005B050000}"/>
    <cellStyle name="Currency 3 6 2 6" xfId="1015" xr:uid="{00000000-0005-0000-0000-00005C050000}"/>
    <cellStyle name="Currency 3 6 2 7" xfId="1016" xr:uid="{00000000-0005-0000-0000-00005D050000}"/>
    <cellStyle name="Currency 3 6 2 8" xfId="1017" xr:uid="{00000000-0005-0000-0000-00005E050000}"/>
    <cellStyle name="Currency 3 6 2 9" xfId="1018" xr:uid="{00000000-0005-0000-0000-00005F050000}"/>
    <cellStyle name="Currency 3 6 3" xfId="1019" xr:uid="{00000000-0005-0000-0000-000060050000}"/>
    <cellStyle name="Currency 3 6 3 2" xfId="1020" xr:uid="{00000000-0005-0000-0000-000061050000}"/>
    <cellStyle name="Currency 3 6 3 2 2" xfId="1021" xr:uid="{00000000-0005-0000-0000-000062050000}"/>
    <cellStyle name="Currency 3 6 3 2 2 2" xfId="46383" xr:uid="{00000000-0005-0000-0000-000063050000}"/>
    <cellStyle name="Currency 3 6 3 2 2 3" xfId="46384" xr:uid="{00000000-0005-0000-0000-000064050000}"/>
    <cellStyle name="Currency 3 6 3 2 3" xfId="1022" xr:uid="{00000000-0005-0000-0000-000065050000}"/>
    <cellStyle name="Currency 3 6 3 2 3 2" xfId="46385" xr:uid="{00000000-0005-0000-0000-000066050000}"/>
    <cellStyle name="Currency 3 6 3 2 4" xfId="1023" xr:uid="{00000000-0005-0000-0000-000067050000}"/>
    <cellStyle name="Currency 3 6 3 2 5" xfId="1024" xr:uid="{00000000-0005-0000-0000-000068050000}"/>
    <cellStyle name="Currency 3 6 3 2 6" xfId="1025" xr:uid="{00000000-0005-0000-0000-000069050000}"/>
    <cellStyle name="Currency 3 6 3 3" xfId="1026" xr:uid="{00000000-0005-0000-0000-00006A050000}"/>
    <cellStyle name="Currency 3 6 3 3 2" xfId="46386" xr:uid="{00000000-0005-0000-0000-00006B050000}"/>
    <cellStyle name="Currency 3 6 3 3 3" xfId="46387" xr:uid="{00000000-0005-0000-0000-00006C050000}"/>
    <cellStyle name="Currency 3 6 3 4" xfId="1027" xr:uid="{00000000-0005-0000-0000-00006D050000}"/>
    <cellStyle name="Currency 3 6 3 4 2" xfId="46388" xr:uid="{00000000-0005-0000-0000-00006E050000}"/>
    <cellStyle name="Currency 3 6 3 5" xfId="1028" xr:uid="{00000000-0005-0000-0000-00006F050000}"/>
    <cellStyle name="Currency 3 6 3 6" xfId="1029" xr:uid="{00000000-0005-0000-0000-000070050000}"/>
    <cellStyle name="Currency 3 6 3 7" xfId="1030" xr:uid="{00000000-0005-0000-0000-000071050000}"/>
    <cellStyle name="Currency 3 6 4" xfId="1031" xr:uid="{00000000-0005-0000-0000-000072050000}"/>
    <cellStyle name="Currency 3 6 4 2" xfId="1032" xr:uid="{00000000-0005-0000-0000-000073050000}"/>
    <cellStyle name="Currency 3 6 4 2 2" xfId="46389" xr:uid="{00000000-0005-0000-0000-000074050000}"/>
    <cellStyle name="Currency 3 6 4 2 3" xfId="46390" xr:uid="{00000000-0005-0000-0000-000075050000}"/>
    <cellStyle name="Currency 3 6 4 3" xfId="1033" xr:uid="{00000000-0005-0000-0000-000076050000}"/>
    <cellStyle name="Currency 3 6 4 3 2" xfId="46391" xr:uid="{00000000-0005-0000-0000-000077050000}"/>
    <cellStyle name="Currency 3 6 4 4" xfId="1034" xr:uid="{00000000-0005-0000-0000-000078050000}"/>
    <cellStyle name="Currency 3 6 4 5" xfId="1035" xr:uid="{00000000-0005-0000-0000-000079050000}"/>
    <cellStyle name="Currency 3 6 4 6" xfId="1036" xr:uid="{00000000-0005-0000-0000-00007A050000}"/>
    <cellStyle name="Currency 3 6 5" xfId="1037" xr:uid="{00000000-0005-0000-0000-00007B050000}"/>
    <cellStyle name="Currency 3 6 5 2" xfId="46392" xr:uid="{00000000-0005-0000-0000-00007C050000}"/>
    <cellStyle name="Currency 3 6 5 3" xfId="46393" xr:uid="{00000000-0005-0000-0000-00007D050000}"/>
    <cellStyle name="Currency 3 6 6" xfId="1038" xr:uid="{00000000-0005-0000-0000-00007E050000}"/>
    <cellStyle name="Currency 3 6 6 2" xfId="46394" xr:uid="{00000000-0005-0000-0000-00007F050000}"/>
    <cellStyle name="Currency 3 6 7" xfId="1039" xr:uid="{00000000-0005-0000-0000-000080050000}"/>
    <cellStyle name="Currency 3 6 8" xfId="1040" xr:uid="{00000000-0005-0000-0000-000081050000}"/>
    <cellStyle name="Currency 3 6 9" xfId="1041" xr:uid="{00000000-0005-0000-0000-000082050000}"/>
    <cellStyle name="Currency 3 7" xfId="1042" xr:uid="{00000000-0005-0000-0000-000083050000}"/>
    <cellStyle name="Currency 3 7 2" xfId="1043" xr:uid="{00000000-0005-0000-0000-000084050000}"/>
    <cellStyle name="Currency 3 7 2 2" xfId="1044" xr:uid="{00000000-0005-0000-0000-000085050000}"/>
    <cellStyle name="Currency 3 7 2 2 2" xfId="1045" xr:uid="{00000000-0005-0000-0000-000086050000}"/>
    <cellStyle name="Currency 3 7 2 2 2 2" xfId="46395" xr:uid="{00000000-0005-0000-0000-000087050000}"/>
    <cellStyle name="Currency 3 7 2 2 2 3" xfId="46396" xr:uid="{00000000-0005-0000-0000-000088050000}"/>
    <cellStyle name="Currency 3 7 2 2 3" xfId="1046" xr:uid="{00000000-0005-0000-0000-000089050000}"/>
    <cellStyle name="Currency 3 7 2 2 3 2" xfId="46397" xr:uid="{00000000-0005-0000-0000-00008A050000}"/>
    <cellStyle name="Currency 3 7 2 2 4" xfId="1047" xr:uid="{00000000-0005-0000-0000-00008B050000}"/>
    <cellStyle name="Currency 3 7 2 2 5" xfId="1048" xr:uid="{00000000-0005-0000-0000-00008C050000}"/>
    <cellStyle name="Currency 3 7 2 2 6" xfId="1049" xr:uid="{00000000-0005-0000-0000-00008D050000}"/>
    <cellStyle name="Currency 3 7 2 3" xfId="1050" xr:uid="{00000000-0005-0000-0000-00008E050000}"/>
    <cellStyle name="Currency 3 7 2 3 2" xfId="46398" xr:uid="{00000000-0005-0000-0000-00008F050000}"/>
    <cellStyle name="Currency 3 7 2 3 3" xfId="46399" xr:uid="{00000000-0005-0000-0000-000090050000}"/>
    <cellStyle name="Currency 3 7 2 4" xfId="1051" xr:uid="{00000000-0005-0000-0000-000091050000}"/>
    <cellStyle name="Currency 3 7 2 4 2" xfId="46400" xr:uid="{00000000-0005-0000-0000-000092050000}"/>
    <cellStyle name="Currency 3 7 2 5" xfId="1052" xr:uid="{00000000-0005-0000-0000-000093050000}"/>
    <cellStyle name="Currency 3 7 2 6" xfId="1053" xr:uid="{00000000-0005-0000-0000-000094050000}"/>
    <cellStyle name="Currency 3 7 2 7" xfId="1054" xr:uid="{00000000-0005-0000-0000-000095050000}"/>
    <cellStyle name="Currency 3 7 3" xfId="1055" xr:uid="{00000000-0005-0000-0000-000096050000}"/>
    <cellStyle name="Currency 3 7 3 2" xfId="1056" xr:uid="{00000000-0005-0000-0000-000097050000}"/>
    <cellStyle name="Currency 3 7 3 2 2" xfId="46401" xr:uid="{00000000-0005-0000-0000-000098050000}"/>
    <cellStyle name="Currency 3 7 3 2 3" xfId="46402" xr:uid="{00000000-0005-0000-0000-000099050000}"/>
    <cellStyle name="Currency 3 7 3 3" xfId="1057" xr:uid="{00000000-0005-0000-0000-00009A050000}"/>
    <cellStyle name="Currency 3 7 3 3 2" xfId="46403" xr:uid="{00000000-0005-0000-0000-00009B050000}"/>
    <cellStyle name="Currency 3 7 3 4" xfId="1058" xr:uid="{00000000-0005-0000-0000-00009C050000}"/>
    <cellStyle name="Currency 3 7 3 5" xfId="1059" xr:uid="{00000000-0005-0000-0000-00009D050000}"/>
    <cellStyle name="Currency 3 7 3 6" xfId="1060" xr:uid="{00000000-0005-0000-0000-00009E050000}"/>
    <cellStyle name="Currency 3 7 4" xfId="1061" xr:uid="{00000000-0005-0000-0000-00009F050000}"/>
    <cellStyle name="Currency 3 7 4 2" xfId="46404" xr:uid="{00000000-0005-0000-0000-0000A0050000}"/>
    <cellStyle name="Currency 3 7 4 3" xfId="46405" xr:uid="{00000000-0005-0000-0000-0000A1050000}"/>
    <cellStyle name="Currency 3 7 5" xfId="1062" xr:uid="{00000000-0005-0000-0000-0000A2050000}"/>
    <cellStyle name="Currency 3 7 5 2" xfId="46406" xr:uid="{00000000-0005-0000-0000-0000A3050000}"/>
    <cellStyle name="Currency 3 7 6" xfId="1063" xr:uid="{00000000-0005-0000-0000-0000A4050000}"/>
    <cellStyle name="Currency 3 7 7" xfId="1064" xr:uid="{00000000-0005-0000-0000-0000A5050000}"/>
    <cellStyle name="Currency 3 7 8" xfId="1065" xr:uid="{00000000-0005-0000-0000-0000A6050000}"/>
    <cellStyle name="Currency 3 7 9" xfId="1066" xr:uid="{00000000-0005-0000-0000-0000A7050000}"/>
    <cellStyle name="Currency 3 8" xfId="1067" xr:uid="{00000000-0005-0000-0000-0000A8050000}"/>
    <cellStyle name="Currency 3 8 2" xfId="1068" xr:uid="{00000000-0005-0000-0000-0000A9050000}"/>
    <cellStyle name="Currency 3 8 2 2" xfId="1069" xr:uid="{00000000-0005-0000-0000-0000AA050000}"/>
    <cellStyle name="Currency 3 8 2 2 2" xfId="1070" xr:uid="{00000000-0005-0000-0000-0000AB050000}"/>
    <cellStyle name="Currency 3 8 2 2 2 2" xfId="46407" xr:uid="{00000000-0005-0000-0000-0000AC050000}"/>
    <cellStyle name="Currency 3 8 2 2 2 3" xfId="46408" xr:uid="{00000000-0005-0000-0000-0000AD050000}"/>
    <cellStyle name="Currency 3 8 2 2 3" xfId="1071" xr:uid="{00000000-0005-0000-0000-0000AE050000}"/>
    <cellStyle name="Currency 3 8 2 2 3 2" xfId="46409" xr:uid="{00000000-0005-0000-0000-0000AF050000}"/>
    <cellStyle name="Currency 3 8 2 2 4" xfId="1072" xr:uid="{00000000-0005-0000-0000-0000B0050000}"/>
    <cellStyle name="Currency 3 8 2 2 5" xfId="1073" xr:uid="{00000000-0005-0000-0000-0000B1050000}"/>
    <cellStyle name="Currency 3 8 2 2 6" xfId="1074" xr:uid="{00000000-0005-0000-0000-0000B2050000}"/>
    <cellStyle name="Currency 3 8 2 3" xfId="1075" xr:uid="{00000000-0005-0000-0000-0000B3050000}"/>
    <cellStyle name="Currency 3 8 2 3 2" xfId="46410" xr:uid="{00000000-0005-0000-0000-0000B4050000}"/>
    <cellStyle name="Currency 3 8 2 3 3" xfId="46411" xr:uid="{00000000-0005-0000-0000-0000B5050000}"/>
    <cellStyle name="Currency 3 8 2 4" xfId="1076" xr:uid="{00000000-0005-0000-0000-0000B6050000}"/>
    <cellStyle name="Currency 3 8 2 4 2" xfId="46412" xr:uid="{00000000-0005-0000-0000-0000B7050000}"/>
    <cellStyle name="Currency 3 8 2 5" xfId="1077" xr:uid="{00000000-0005-0000-0000-0000B8050000}"/>
    <cellStyle name="Currency 3 8 2 6" xfId="1078" xr:uid="{00000000-0005-0000-0000-0000B9050000}"/>
    <cellStyle name="Currency 3 8 2 7" xfId="1079" xr:uid="{00000000-0005-0000-0000-0000BA050000}"/>
    <cellStyle name="Currency 3 8 3" xfId="1080" xr:uid="{00000000-0005-0000-0000-0000BB050000}"/>
    <cellStyle name="Currency 3 8 3 2" xfId="1081" xr:uid="{00000000-0005-0000-0000-0000BC050000}"/>
    <cellStyle name="Currency 3 8 3 2 2" xfId="46413" xr:uid="{00000000-0005-0000-0000-0000BD050000}"/>
    <cellStyle name="Currency 3 8 3 2 3" xfId="46414" xr:uid="{00000000-0005-0000-0000-0000BE050000}"/>
    <cellStyle name="Currency 3 8 3 3" xfId="1082" xr:uid="{00000000-0005-0000-0000-0000BF050000}"/>
    <cellStyle name="Currency 3 8 3 3 2" xfId="46415" xr:uid="{00000000-0005-0000-0000-0000C0050000}"/>
    <cellStyle name="Currency 3 8 3 4" xfId="1083" xr:uid="{00000000-0005-0000-0000-0000C1050000}"/>
    <cellStyle name="Currency 3 8 3 5" xfId="1084" xr:uid="{00000000-0005-0000-0000-0000C2050000}"/>
    <cellStyle name="Currency 3 8 3 6" xfId="1085" xr:uid="{00000000-0005-0000-0000-0000C3050000}"/>
    <cellStyle name="Currency 3 8 4" xfId="1086" xr:uid="{00000000-0005-0000-0000-0000C4050000}"/>
    <cellStyle name="Currency 3 8 4 2" xfId="46416" xr:uid="{00000000-0005-0000-0000-0000C5050000}"/>
    <cellStyle name="Currency 3 8 4 3" xfId="46417" xr:uid="{00000000-0005-0000-0000-0000C6050000}"/>
    <cellStyle name="Currency 3 8 5" xfId="1087" xr:uid="{00000000-0005-0000-0000-0000C7050000}"/>
    <cellStyle name="Currency 3 8 5 2" xfId="46418" xr:uid="{00000000-0005-0000-0000-0000C8050000}"/>
    <cellStyle name="Currency 3 8 6" xfId="1088" xr:uid="{00000000-0005-0000-0000-0000C9050000}"/>
    <cellStyle name="Currency 3 8 7" xfId="1089" xr:uid="{00000000-0005-0000-0000-0000CA050000}"/>
    <cellStyle name="Currency 3 8 8" xfId="1090" xr:uid="{00000000-0005-0000-0000-0000CB050000}"/>
    <cellStyle name="Currency 3 9" xfId="1091" xr:uid="{00000000-0005-0000-0000-0000CC050000}"/>
    <cellStyle name="Currency 3 9 2" xfId="1092" xr:uid="{00000000-0005-0000-0000-0000CD050000}"/>
    <cellStyle name="Currency 3 9 2 2" xfId="1093" xr:uid="{00000000-0005-0000-0000-0000CE050000}"/>
    <cellStyle name="Currency 3 9 2 2 2" xfId="1094" xr:uid="{00000000-0005-0000-0000-0000CF050000}"/>
    <cellStyle name="Currency 3 9 2 2 2 2" xfId="46419" xr:uid="{00000000-0005-0000-0000-0000D0050000}"/>
    <cellStyle name="Currency 3 9 2 2 2 3" xfId="46420" xr:uid="{00000000-0005-0000-0000-0000D1050000}"/>
    <cellStyle name="Currency 3 9 2 2 3" xfId="1095" xr:uid="{00000000-0005-0000-0000-0000D2050000}"/>
    <cellStyle name="Currency 3 9 2 2 3 2" xfId="46421" xr:uid="{00000000-0005-0000-0000-0000D3050000}"/>
    <cellStyle name="Currency 3 9 2 2 4" xfId="1096" xr:uid="{00000000-0005-0000-0000-0000D4050000}"/>
    <cellStyle name="Currency 3 9 2 2 5" xfId="1097" xr:uid="{00000000-0005-0000-0000-0000D5050000}"/>
    <cellStyle name="Currency 3 9 2 2 6" xfId="1098" xr:uid="{00000000-0005-0000-0000-0000D6050000}"/>
    <cellStyle name="Currency 3 9 2 3" xfId="1099" xr:uid="{00000000-0005-0000-0000-0000D7050000}"/>
    <cellStyle name="Currency 3 9 2 3 2" xfId="46422" xr:uid="{00000000-0005-0000-0000-0000D8050000}"/>
    <cellStyle name="Currency 3 9 2 3 3" xfId="46423" xr:uid="{00000000-0005-0000-0000-0000D9050000}"/>
    <cellStyle name="Currency 3 9 2 4" xfId="1100" xr:uid="{00000000-0005-0000-0000-0000DA050000}"/>
    <cellStyle name="Currency 3 9 2 4 2" xfId="46424" xr:uid="{00000000-0005-0000-0000-0000DB050000}"/>
    <cellStyle name="Currency 3 9 2 5" xfId="1101" xr:uid="{00000000-0005-0000-0000-0000DC050000}"/>
    <cellStyle name="Currency 3 9 2 6" xfId="1102" xr:uid="{00000000-0005-0000-0000-0000DD050000}"/>
    <cellStyle name="Currency 3 9 2 7" xfId="1103" xr:uid="{00000000-0005-0000-0000-0000DE050000}"/>
    <cellStyle name="Currency 3 9 3" xfId="1104" xr:uid="{00000000-0005-0000-0000-0000DF050000}"/>
    <cellStyle name="Currency 3 9 3 2" xfId="1105" xr:uid="{00000000-0005-0000-0000-0000E0050000}"/>
    <cellStyle name="Currency 3 9 3 2 2" xfId="46425" xr:uid="{00000000-0005-0000-0000-0000E1050000}"/>
    <cellStyle name="Currency 3 9 3 2 3" xfId="46426" xr:uid="{00000000-0005-0000-0000-0000E2050000}"/>
    <cellStyle name="Currency 3 9 3 3" xfId="1106" xr:uid="{00000000-0005-0000-0000-0000E3050000}"/>
    <cellStyle name="Currency 3 9 3 3 2" xfId="46427" xr:uid="{00000000-0005-0000-0000-0000E4050000}"/>
    <cellStyle name="Currency 3 9 3 4" xfId="1107" xr:uid="{00000000-0005-0000-0000-0000E5050000}"/>
    <cellStyle name="Currency 3 9 3 5" xfId="1108" xr:uid="{00000000-0005-0000-0000-0000E6050000}"/>
    <cellStyle name="Currency 3 9 3 6" xfId="1109" xr:uid="{00000000-0005-0000-0000-0000E7050000}"/>
    <cellStyle name="Currency 3 9 4" xfId="1110" xr:uid="{00000000-0005-0000-0000-0000E8050000}"/>
    <cellStyle name="Currency 3 9 4 2" xfId="46428" xr:uid="{00000000-0005-0000-0000-0000E9050000}"/>
    <cellStyle name="Currency 3 9 4 3" xfId="46429" xr:uid="{00000000-0005-0000-0000-0000EA050000}"/>
    <cellStyle name="Currency 3 9 5" xfId="1111" xr:uid="{00000000-0005-0000-0000-0000EB050000}"/>
    <cellStyle name="Currency 3 9 5 2" xfId="46430" xr:uid="{00000000-0005-0000-0000-0000EC050000}"/>
    <cellStyle name="Currency 3 9 6" xfId="1112" xr:uid="{00000000-0005-0000-0000-0000ED050000}"/>
    <cellStyle name="Currency 3 9 7" xfId="1113" xr:uid="{00000000-0005-0000-0000-0000EE050000}"/>
    <cellStyle name="Currency 3 9 8" xfId="1114" xr:uid="{00000000-0005-0000-0000-0000EF050000}"/>
    <cellStyle name="Currency 4" xfId="1115" xr:uid="{00000000-0005-0000-0000-0000F0050000}"/>
    <cellStyle name="Currency 4 10" xfId="1116" xr:uid="{00000000-0005-0000-0000-0000F1050000}"/>
    <cellStyle name="Currency 4 10 2" xfId="1117" xr:uid="{00000000-0005-0000-0000-0000F2050000}"/>
    <cellStyle name="Currency 4 10 2 2" xfId="1118" xr:uid="{00000000-0005-0000-0000-0000F3050000}"/>
    <cellStyle name="Currency 4 10 2 2 2" xfId="46431" xr:uid="{00000000-0005-0000-0000-0000F4050000}"/>
    <cellStyle name="Currency 4 10 2 2 3" xfId="46432" xr:uid="{00000000-0005-0000-0000-0000F5050000}"/>
    <cellStyle name="Currency 4 10 2 3" xfId="1119" xr:uid="{00000000-0005-0000-0000-0000F6050000}"/>
    <cellStyle name="Currency 4 10 2 3 2" xfId="46433" xr:uid="{00000000-0005-0000-0000-0000F7050000}"/>
    <cellStyle name="Currency 4 10 2 4" xfId="1120" xr:uid="{00000000-0005-0000-0000-0000F8050000}"/>
    <cellStyle name="Currency 4 10 2 5" xfId="1121" xr:uid="{00000000-0005-0000-0000-0000F9050000}"/>
    <cellStyle name="Currency 4 10 2 6" xfId="1122" xr:uid="{00000000-0005-0000-0000-0000FA050000}"/>
    <cellStyle name="Currency 4 10 3" xfId="1123" xr:uid="{00000000-0005-0000-0000-0000FB050000}"/>
    <cellStyle name="Currency 4 10 3 2" xfId="46434" xr:uid="{00000000-0005-0000-0000-0000FC050000}"/>
    <cellStyle name="Currency 4 10 3 3" xfId="46435" xr:uid="{00000000-0005-0000-0000-0000FD050000}"/>
    <cellStyle name="Currency 4 10 4" xfId="1124" xr:uid="{00000000-0005-0000-0000-0000FE050000}"/>
    <cellStyle name="Currency 4 10 4 2" xfId="46436" xr:uid="{00000000-0005-0000-0000-0000FF050000}"/>
    <cellStyle name="Currency 4 10 5" xfId="1125" xr:uid="{00000000-0005-0000-0000-000000060000}"/>
    <cellStyle name="Currency 4 10 6" xfId="1126" xr:uid="{00000000-0005-0000-0000-000001060000}"/>
    <cellStyle name="Currency 4 10 7" xfId="1127" xr:uid="{00000000-0005-0000-0000-000002060000}"/>
    <cellStyle name="Currency 4 11" xfId="1128" xr:uid="{00000000-0005-0000-0000-000003060000}"/>
    <cellStyle name="Currency 4 11 2" xfId="1129" xr:uid="{00000000-0005-0000-0000-000004060000}"/>
    <cellStyle name="Currency 4 11 2 2" xfId="46437" xr:uid="{00000000-0005-0000-0000-000005060000}"/>
    <cellStyle name="Currency 4 11 2 3" xfId="46438" xr:uid="{00000000-0005-0000-0000-000006060000}"/>
    <cellStyle name="Currency 4 11 3" xfId="1130" xr:uid="{00000000-0005-0000-0000-000007060000}"/>
    <cellStyle name="Currency 4 11 3 2" xfId="46439" xr:uid="{00000000-0005-0000-0000-000008060000}"/>
    <cellStyle name="Currency 4 11 4" xfId="1131" xr:uid="{00000000-0005-0000-0000-000009060000}"/>
    <cellStyle name="Currency 4 11 5" xfId="1132" xr:uid="{00000000-0005-0000-0000-00000A060000}"/>
    <cellStyle name="Currency 4 11 6" xfId="1133" xr:uid="{00000000-0005-0000-0000-00000B060000}"/>
    <cellStyle name="Currency 4 12" xfId="1134" xr:uid="{00000000-0005-0000-0000-00000C060000}"/>
    <cellStyle name="Currency 4 12 2" xfId="46440" xr:uid="{00000000-0005-0000-0000-00000D060000}"/>
    <cellStyle name="Currency 4 12 3" xfId="46441" xr:uid="{00000000-0005-0000-0000-00000E060000}"/>
    <cellStyle name="Currency 4 13" xfId="1135" xr:uid="{00000000-0005-0000-0000-00000F060000}"/>
    <cellStyle name="Currency 4 13 2" xfId="46442" xr:uid="{00000000-0005-0000-0000-000010060000}"/>
    <cellStyle name="Currency 4 14" xfId="1136" xr:uid="{00000000-0005-0000-0000-000011060000}"/>
    <cellStyle name="Currency 4 14 2" xfId="46443" xr:uid="{00000000-0005-0000-0000-000012060000}"/>
    <cellStyle name="Currency 4 15" xfId="1137" xr:uid="{00000000-0005-0000-0000-000013060000}"/>
    <cellStyle name="Currency 4 16" xfId="1138" xr:uid="{00000000-0005-0000-0000-000014060000}"/>
    <cellStyle name="Currency 4 17" xfId="1139" xr:uid="{00000000-0005-0000-0000-000015060000}"/>
    <cellStyle name="Currency 4 18" xfId="1140" xr:uid="{00000000-0005-0000-0000-000016060000}"/>
    <cellStyle name="Currency 4 19" xfId="1141" xr:uid="{00000000-0005-0000-0000-000017060000}"/>
    <cellStyle name="Currency 4 2" xfId="1142" xr:uid="{00000000-0005-0000-0000-000018060000}"/>
    <cellStyle name="Currency 4 2 10" xfId="1143" xr:uid="{00000000-0005-0000-0000-000019060000}"/>
    <cellStyle name="Currency 4 2 11" xfId="1144" xr:uid="{00000000-0005-0000-0000-00001A060000}"/>
    <cellStyle name="Currency 4 2 12" xfId="1145" xr:uid="{00000000-0005-0000-0000-00001B060000}"/>
    <cellStyle name="Currency 4 2 13" xfId="1146" xr:uid="{00000000-0005-0000-0000-00001C060000}"/>
    <cellStyle name="Currency 4 2 14" xfId="1147" xr:uid="{00000000-0005-0000-0000-00001D060000}"/>
    <cellStyle name="Currency 4 2 15" xfId="1148" xr:uid="{00000000-0005-0000-0000-00001E060000}"/>
    <cellStyle name="Currency 4 2 16" xfId="1149" xr:uid="{00000000-0005-0000-0000-00001F060000}"/>
    <cellStyle name="Currency 4 2 2" xfId="1150" xr:uid="{00000000-0005-0000-0000-000020060000}"/>
    <cellStyle name="Currency 4 2 2 10" xfId="1151" xr:uid="{00000000-0005-0000-0000-000021060000}"/>
    <cellStyle name="Currency 4 2 2 11" xfId="1152" xr:uid="{00000000-0005-0000-0000-000022060000}"/>
    <cellStyle name="Currency 4 2 2 12" xfId="1153" xr:uid="{00000000-0005-0000-0000-000023060000}"/>
    <cellStyle name="Currency 4 2 2 13" xfId="1154" xr:uid="{00000000-0005-0000-0000-000024060000}"/>
    <cellStyle name="Currency 4 2 2 14" xfId="1155" xr:uid="{00000000-0005-0000-0000-000025060000}"/>
    <cellStyle name="Currency 4 2 2 2" xfId="1156" xr:uid="{00000000-0005-0000-0000-000026060000}"/>
    <cellStyle name="Currency 4 2 2 2 2" xfId="1157" xr:uid="{00000000-0005-0000-0000-000027060000}"/>
    <cellStyle name="Currency 4 2 2 2 2 2" xfId="1158" xr:uid="{00000000-0005-0000-0000-000028060000}"/>
    <cellStyle name="Currency 4 2 2 2 2 2 2" xfId="1159" xr:uid="{00000000-0005-0000-0000-000029060000}"/>
    <cellStyle name="Currency 4 2 2 2 2 2 2 2" xfId="46444" xr:uid="{00000000-0005-0000-0000-00002A060000}"/>
    <cellStyle name="Currency 4 2 2 2 2 2 2 3" xfId="46445" xr:uid="{00000000-0005-0000-0000-00002B060000}"/>
    <cellStyle name="Currency 4 2 2 2 2 2 3" xfId="1160" xr:uid="{00000000-0005-0000-0000-00002C060000}"/>
    <cellStyle name="Currency 4 2 2 2 2 2 3 2" xfId="46446" xr:uid="{00000000-0005-0000-0000-00002D060000}"/>
    <cellStyle name="Currency 4 2 2 2 2 2 4" xfId="1161" xr:uid="{00000000-0005-0000-0000-00002E060000}"/>
    <cellStyle name="Currency 4 2 2 2 2 2 5" xfId="1162" xr:uid="{00000000-0005-0000-0000-00002F060000}"/>
    <cellStyle name="Currency 4 2 2 2 2 2 6" xfId="1163" xr:uid="{00000000-0005-0000-0000-000030060000}"/>
    <cellStyle name="Currency 4 2 2 2 2 3" xfId="1164" xr:uid="{00000000-0005-0000-0000-000031060000}"/>
    <cellStyle name="Currency 4 2 2 2 2 3 2" xfId="46447" xr:uid="{00000000-0005-0000-0000-000032060000}"/>
    <cellStyle name="Currency 4 2 2 2 2 3 3" xfId="46448" xr:uid="{00000000-0005-0000-0000-000033060000}"/>
    <cellStyle name="Currency 4 2 2 2 2 4" xfId="1165" xr:uid="{00000000-0005-0000-0000-000034060000}"/>
    <cellStyle name="Currency 4 2 2 2 2 4 2" xfId="46449" xr:uid="{00000000-0005-0000-0000-000035060000}"/>
    <cellStyle name="Currency 4 2 2 2 2 5" xfId="1166" xr:uid="{00000000-0005-0000-0000-000036060000}"/>
    <cellStyle name="Currency 4 2 2 2 2 6" xfId="1167" xr:uid="{00000000-0005-0000-0000-000037060000}"/>
    <cellStyle name="Currency 4 2 2 2 2 7" xfId="1168" xr:uid="{00000000-0005-0000-0000-000038060000}"/>
    <cellStyle name="Currency 4 2 2 2 3" xfId="1169" xr:uid="{00000000-0005-0000-0000-000039060000}"/>
    <cellStyle name="Currency 4 2 2 2 3 2" xfId="1170" xr:uid="{00000000-0005-0000-0000-00003A060000}"/>
    <cellStyle name="Currency 4 2 2 2 3 2 2" xfId="46450" xr:uid="{00000000-0005-0000-0000-00003B060000}"/>
    <cellStyle name="Currency 4 2 2 2 3 2 3" xfId="46451" xr:uid="{00000000-0005-0000-0000-00003C060000}"/>
    <cellStyle name="Currency 4 2 2 2 3 3" xfId="1171" xr:uid="{00000000-0005-0000-0000-00003D060000}"/>
    <cellStyle name="Currency 4 2 2 2 3 3 2" xfId="46452" xr:uid="{00000000-0005-0000-0000-00003E060000}"/>
    <cellStyle name="Currency 4 2 2 2 3 4" xfId="1172" xr:uid="{00000000-0005-0000-0000-00003F060000}"/>
    <cellStyle name="Currency 4 2 2 2 3 5" xfId="1173" xr:uid="{00000000-0005-0000-0000-000040060000}"/>
    <cellStyle name="Currency 4 2 2 2 3 6" xfId="1174" xr:uid="{00000000-0005-0000-0000-000041060000}"/>
    <cellStyle name="Currency 4 2 2 2 4" xfId="1175" xr:uid="{00000000-0005-0000-0000-000042060000}"/>
    <cellStyle name="Currency 4 2 2 2 4 2" xfId="46453" xr:uid="{00000000-0005-0000-0000-000043060000}"/>
    <cellStyle name="Currency 4 2 2 2 4 3" xfId="46454" xr:uid="{00000000-0005-0000-0000-000044060000}"/>
    <cellStyle name="Currency 4 2 2 2 5" xfId="1176" xr:uid="{00000000-0005-0000-0000-000045060000}"/>
    <cellStyle name="Currency 4 2 2 2 5 2" xfId="46455" xr:uid="{00000000-0005-0000-0000-000046060000}"/>
    <cellStyle name="Currency 4 2 2 2 6" xfId="1177" xr:uid="{00000000-0005-0000-0000-000047060000}"/>
    <cellStyle name="Currency 4 2 2 2 7" xfId="1178" xr:uid="{00000000-0005-0000-0000-000048060000}"/>
    <cellStyle name="Currency 4 2 2 2 8" xfId="1179" xr:uid="{00000000-0005-0000-0000-000049060000}"/>
    <cellStyle name="Currency 4 2 2 2 9" xfId="1180" xr:uid="{00000000-0005-0000-0000-00004A060000}"/>
    <cellStyle name="Currency 4 2 2 3" xfId="1181" xr:uid="{00000000-0005-0000-0000-00004B060000}"/>
    <cellStyle name="Currency 4 2 2 3 2" xfId="1182" xr:uid="{00000000-0005-0000-0000-00004C060000}"/>
    <cellStyle name="Currency 4 2 2 3 2 2" xfId="1183" xr:uid="{00000000-0005-0000-0000-00004D060000}"/>
    <cellStyle name="Currency 4 2 2 3 2 2 2" xfId="1184" xr:uid="{00000000-0005-0000-0000-00004E060000}"/>
    <cellStyle name="Currency 4 2 2 3 2 2 2 2" xfId="46456" xr:uid="{00000000-0005-0000-0000-00004F060000}"/>
    <cellStyle name="Currency 4 2 2 3 2 2 2 3" xfId="46457" xr:uid="{00000000-0005-0000-0000-000050060000}"/>
    <cellStyle name="Currency 4 2 2 3 2 2 3" xfId="1185" xr:uid="{00000000-0005-0000-0000-000051060000}"/>
    <cellStyle name="Currency 4 2 2 3 2 2 3 2" xfId="46458" xr:uid="{00000000-0005-0000-0000-000052060000}"/>
    <cellStyle name="Currency 4 2 2 3 2 2 4" xfId="1186" xr:uid="{00000000-0005-0000-0000-000053060000}"/>
    <cellStyle name="Currency 4 2 2 3 2 2 5" xfId="1187" xr:uid="{00000000-0005-0000-0000-000054060000}"/>
    <cellStyle name="Currency 4 2 2 3 2 2 6" xfId="1188" xr:uid="{00000000-0005-0000-0000-000055060000}"/>
    <cellStyle name="Currency 4 2 2 3 2 3" xfId="1189" xr:uid="{00000000-0005-0000-0000-000056060000}"/>
    <cellStyle name="Currency 4 2 2 3 2 3 2" xfId="46459" xr:uid="{00000000-0005-0000-0000-000057060000}"/>
    <cellStyle name="Currency 4 2 2 3 2 3 3" xfId="46460" xr:uid="{00000000-0005-0000-0000-000058060000}"/>
    <cellStyle name="Currency 4 2 2 3 2 4" xfId="1190" xr:uid="{00000000-0005-0000-0000-000059060000}"/>
    <cellStyle name="Currency 4 2 2 3 2 4 2" xfId="46461" xr:uid="{00000000-0005-0000-0000-00005A060000}"/>
    <cellStyle name="Currency 4 2 2 3 2 5" xfId="1191" xr:uid="{00000000-0005-0000-0000-00005B060000}"/>
    <cellStyle name="Currency 4 2 2 3 2 6" xfId="1192" xr:uid="{00000000-0005-0000-0000-00005C060000}"/>
    <cellStyle name="Currency 4 2 2 3 2 7" xfId="1193" xr:uid="{00000000-0005-0000-0000-00005D060000}"/>
    <cellStyle name="Currency 4 2 2 3 3" xfId="1194" xr:uid="{00000000-0005-0000-0000-00005E060000}"/>
    <cellStyle name="Currency 4 2 2 3 3 2" xfId="1195" xr:uid="{00000000-0005-0000-0000-00005F060000}"/>
    <cellStyle name="Currency 4 2 2 3 3 2 2" xfId="46462" xr:uid="{00000000-0005-0000-0000-000060060000}"/>
    <cellStyle name="Currency 4 2 2 3 3 2 3" xfId="46463" xr:uid="{00000000-0005-0000-0000-000061060000}"/>
    <cellStyle name="Currency 4 2 2 3 3 3" xfId="1196" xr:uid="{00000000-0005-0000-0000-000062060000}"/>
    <cellStyle name="Currency 4 2 2 3 3 3 2" xfId="46464" xr:uid="{00000000-0005-0000-0000-000063060000}"/>
    <cellStyle name="Currency 4 2 2 3 3 4" xfId="1197" xr:uid="{00000000-0005-0000-0000-000064060000}"/>
    <cellStyle name="Currency 4 2 2 3 3 5" xfId="1198" xr:uid="{00000000-0005-0000-0000-000065060000}"/>
    <cellStyle name="Currency 4 2 2 3 3 6" xfId="1199" xr:uid="{00000000-0005-0000-0000-000066060000}"/>
    <cellStyle name="Currency 4 2 2 3 4" xfId="1200" xr:uid="{00000000-0005-0000-0000-000067060000}"/>
    <cellStyle name="Currency 4 2 2 3 4 2" xfId="46465" xr:uid="{00000000-0005-0000-0000-000068060000}"/>
    <cellStyle name="Currency 4 2 2 3 4 3" xfId="46466" xr:uid="{00000000-0005-0000-0000-000069060000}"/>
    <cellStyle name="Currency 4 2 2 3 5" xfId="1201" xr:uid="{00000000-0005-0000-0000-00006A060000}"/>
    <cellStyle name="Currency 4 2 2 3 5 2" xfId="46467" xr:uid="{00000000-0005-0000-0000-00006B060000}"/>
    <cellStyle name="Currency 4 2 2 3 6" xfId="1202" xr:uid="{00000000-0005-0000-0000-00006C060000}"/>
    <cellStyle name="Currency 4 2 2 3 7" xfId="1203" xr:uid="{00000000-0005-0000-0000-00006D060000}"/>
    <cellStyle name="Currency 4 2 2 3 8" xfId="1204" xr:uid="{00000000-0005-0000-0000-00006E060000}"/>
    <cellStyle name="Currency 4 2 2 4" xfId="1205" xr:uid="{00000000-0005-0000-0000-00006F060000}"/>
    <cellStyle name="Currency 4 2 2 4 2" xfId="1206" xr:uid="{00000000-0005-0000-0000-000070060000}"/>
    <cellStyle name="Currency 4 2 2 4 2 2" xfId="1207" xr:uid="{00000000-0005-0000-0000-000071060000}"/>
    <cellStyle name="Currency 4 2 2 4 2 2 2" xfId="46468" xr:uid="{00000000-0005-0000-0000-000072060000}"/>
    <cellStyle name="Currency 4 2 2 4 2 2 3" xfId="46469" xr:uid="{00000000-0005-0000-0000-000073060000}"/>
    <cellStyle name="Currency 4 2 2 4 2 3" xfId="1208" xr:uid="{00000000-0005-0000-0000-000074060000}"/>
    <cellStyle name="Currency 4 2 2 4 2 3 2" xfId="46470" xr:uid="{00000000-0005-0000-0000-000075060000}"/>
    <cellStyle name="Currency 4 2 2 4 2 4" xfId="1209" xr:uid="{00000000-0005-0000-0000-000076060000}"/>
    <cellStyle name="Currency 4 2 2 4 2 5" xfId="1210" xr:uid="{00000000-0005-0000-0000-000077060000}"/>
    <cellStyle name="Currency 4 2 2 4 2 6" xfId="1211" xr:uid="{00000000-0005-0000-0000-000078060000}"/>
    <cellStyle name="Currency 4 2 2 4 3" xfId="1212" xr:uid="{00000000-0005-0000-0000-000079060000}"/>
    <cellStyle name="Currency 4 2 2 4 3 2" xfId="46471" xr:uid="{00000000-0005-0000-0000-00007A060000}"/>
    <cellStyle name="Currency 4 2 2 4 3 3" xfId="46472" xr:uid="{00000000-0005-0000-0000-00007B060000}"/>
    <cellStyle name="Currency 4 2 2 4 4" xfId="1213" xr:uid="{00000000-0005-0000-0000-00007C060000}"/>
    <cellStyle name="Currency 4 2 2 4 4 2" xfId="46473" xr:uid="{00000000-0005-0000-0000-00007D060000}"/>
    <cellStyle name="Currency 4 2 2 4 5" xfId="1214" xr:uid="{00000000-0005-0000-0000-00007E060000}"/>
    <cellStyle name="Currency 4 2 2 4 6" xfId="1215" xr:uid="{00000000-0005-0000-0000-00007F060000}"/>
    <cellStyle name="Currency 4 2 2 4 7" xfId="1216" xr:uid="{00000000-0005-0000-0000-000080060000}"/>
    <cellStyle name="Currency 4 2 2 5" xfId="1217" xr:uid="{00000000-0005-0000-0000-000081060000}"/>
    <cellStyle name="Currency 4 2 2 5 2" xfId="1218" xr:uid="{00000000-0005-0000-0000-000082060000}"/>
    <cellStyle name="Currency 4 2 2 5 2 2" xfId="46474" xr:uid="{00000000-0005-0000-0000-000083060000}"/>
    <cellStyle name="Currency 4 2 2 5 2 3" xfId="46475" xr:uid="{00000000-0005-0000-0000-000084060000}"/>
    <cellStyle name="Currency 4 2 2 5 3" xfId="1219" xr:uid="{00000000-0005-0000-0000-000085060000}"/>
    <cellStyle name="Currency 4 2 2 5 3 2" xfId="46476" xr:uid="{00000000-0005-0000-0000-000086060000}"/>
    <cellStyle name="Currency 4 2 2 5 4" xfId="1220" xr:uid="{00000000-0005-0000-0000-000087060000}"/>
    <cellStyle name="Currency 4 2 2 5 5" xfId="1221" xr:uid="{00000000-0005-0000-0000-000088060000}"/>
    <cellStyle name="Currency 4 2 2 5 6" xfId="1222" xr:uid="{00000000-0005-0000-0000-000089060000}"/>
    <cellStyle name="Currency 4 2 2 6" xfId="1223" xr:uid="{00000000-0005-0000-0000-00008A060000}"/>
    <cellStyle name="Currency 4 2 2 6 2" xfId="46477" xr:uid="{00000000-0005-0000-0000-00008B060000}"/>
    <cellStyle name="Currency 4 2 2 6 3" xfId="46478" xr:uid="{00000000-0005-0000-0000-00008C060000}"/>
    <cellStyle name="Currency 4 2 2 7" xfId="1224" xr:uid="{00000000-0005-0000-0000-00008D060000}"/>
    <cellStyle name="Currency 4 2 2 7 2" xfId="46479" xr:uid="{00000000-0005-0000-0000-00008E060000}"/>
    <cellStyle name="Currency 4 2 2 8" xfId="1225" xr:uid="{00000000-0005-0000-0000-00008F060000}"/>
    <cellStyle name="Currency 4 2 2 9" xfId="1226" xr:uid="{00000000-0005-0000-0000-000090060000}"/>
    <cellStyle name="Currency 4 2 3" xfId="1227" xr:uid="{00000000-0005-0000-0000-000091060000}"/>
    <cellStyle name="Currency 4 2 3 2" xfId="1228" xr:uid="{00000000-0005-0000-0000-000092060000}"/>
    <cellStyle name="Currency 4 2 3 2 2" xfId="1229" xr:uid="{00000000-0005-0000-0000-000093060000}"/>
    <cellStyle name="Currency 4 2 3 2 2 2" xfId="1230" xr:uid="{00000000-0005-0000-0000-000094060000}"/>
    <cellStyle name="Currency 4 2 3 2 2 2 2" xfId="46480" xr:uid="{00000000-0005-0000-0000-000095060000}"/>
    <cellStyle name="Currency 4 2 3 2 2 2 3" xfId="46481" xr:uid="{00000000-0005-0000-0000-000096060000}"/>
    <cellStyle name="Currency 4 2 3 2 2 3" xfId="1231" xr:uid="{00000000-0005-0000-0000-000097060000}"/>
    <cellStyle name="Currency 4 2 3 2 2 3 2" xfId="46482" xr:uid="{00000000-0005-0000-0000-000098060000}"/>
    <cellStyle name="Currency 4 2 3 2 2 4" xfId="1232" xr:uid="{00000000-0005-0000-0000-000099060000}"/>
    <cellStyle name="Currency 4 2 3 2 2 5" xfId="1233" xr:uid="{00000000-0005-0000-0000-00009A060000}"/>
    <cellStyle name="Currency 4 2 3 2 2 6" xfId="1234" xr:uid="{00000000-0005-0000-0000-00009B060000}"/>
    <cellStyle name="Currency 4 2 3 2 3" xfId="1235" xr:uid="{00000000-0005-0000-0000-00009C060000}"/>
    <cellStyle name="Currency 4 2 3 2 3 2" xfId="46483" xr:uid="{00000000-0005-0000-0000-00009D060000}"/>
    <cellStyle name="Currency 4 2 3 2 3 3" xfId="46484" xr:uid="{00000000-0005-0000-0000-00009E060000}"/>
    <cellStyle name="Currency 4 2 3 2 4" xfId="1236" xr:uid="{00000000-0005-0000-0000-00009F060000}"/>
    <cellStyle name="Currency 4 2 3 2 4 2" xfId="46485" xr:uid="{00000000-0005-0000-0000-0000A0060000}"/>
    <cellStyle name="Currency 4 2 3 2 5" xfId="1237" xr:uid="{00000000-0005-0000-0000-0000A1060000}"/>
    <cellStyle name="Currency 4 2 3 2 6" xfId="1238" xr:uid="{00000000-0005-0000-0000-0000A2060000}"/>
    <cellStyle name="Currency 4 2 3 2 7" xfId="1239" xr:uid="{00000000-0005-0000-0000-0000A3060000}"/>
    <cellStyle name="Currency 4 2 3 3" xfId="1240" xr:uid="{00000000-0005-0000-0000-0000A4060000}"/>
    <cellStyle name="Currency 4 2 3 3 2" xfId="1241" xr:uid="{00000000-0005-0000-0000-0000A5060000}"/>
    <cellStyle name="Currency 4 2 3 3 2 2" xfId="46486" xr:uid="{00000000-0005-0000-0000-0000A6060000}"/>
    <cellStyle name="Currency 4 2 3 3 2 3" xfId="46487" xr:uid="{00000000-0005-0000-0000-0000A7060000}"/>
    <cellStyle name="Currency 4 2 3 3 3" xfId="1242" xr:uid="{00000000-0005-0000-0000-0000A8060000}"/>
    <cellStyle name="Currency 4 2 3 3 3 2" xfId="46488" xr:uid="{00000000-0005-0000-0000-0000A9060000}"/>
    <cellStyle name="Currency 4 2 3 3 4" xfId="1243" xr:uid="{00000000-0005-0000-0000-0000AA060000}"/>
    <cellStyle name="Currency 4 2 3 3 5" xfId="1244" xr:uid="{00000000-0005-0000-0000-0000AB060000}"/>
    <cellStyle name="Currency 4 2 3 3 6" xfId="1245" xr:uid="{00000000-0005-0000-0000-0000AC060000}"/>
    <cellStyle name="Currency 4 2 3 4" xfId="1246" xr:uid="{00000000-0005-0000-0000-0000AD060000}"/>
    <cellStyle name="Currency 4 2 3 4 2" xfId="46489" xr:uid="{00000000-0005-0000-0000-0000AE060000}"/>
    <cellStyle name="Currency 4 2 3 4 3" xfId="46490" xr:uid="{00000000-0005-0000-0000-0000AF060000}"/>
    <cellStyle name="Currency 4 2 3 5" xfId="1247" xr:uid="{00000000-0005-0000-0000-0000B0060000}"/>
    <cellStyle name="Currency 4 2 3 5 2" xfId="46491" xr:uid="{00000000-0005-0000-0000-0000B1060000}"/>
    <cellStyle name="Currency 4 2 3 6" xfId="1248" xr:uid="{00000000-0005-0000-0000-0000B2060000}"/>
    <cellStyle name="Currency 4 2 3 7" xfId="1249" xr:uid="{00000000-0005-0000-0000-0000B3060000}"/>
    <cellStyle name="Currency 4 2 3 8" xfId="1250" xr:uid="{00000000-0005-0000-0000-0000B4060000}"/>
    <cellStyle name="Currency 4 2 3 9" xfId="1251" xr:uid="{00000000-0005-0000-0000-0000B5060000}"/>
    <cellStyle name="Currency 4 2 4" xfId="1252" xr:uid="{00000000-0005-0000-0000-0000B6060000}"/>
    <cellStyle name="Currency 4 2 4 2" xfId="1253" xr:uid="{00000000-0005-0000-0000-0000B7060000}"/>
    <cellStyle name="Currency 4 2 4 2 2" xfId="1254" xr:uid="{00000000-0005-0000-0000-0000B8060000}"/>
    <cellStyle name="Currency 4 2 4 2 2 2" xfId="1255" xr:uid="{00000000-0005-0000-0000-0000B9060000}"/>
    <cellStyle name="Currency 4 2 4 2 2 2 2" xfId="46492" xr:uid="{00000000-0005-0000-0000-0000BA060000}"/>
    <cellStyle name="Currency 4 2 4 2 2 2 3" xfId="46493" xr:uid="{00000000-0005-0000-0000-0000BB060000}"/>
    <cellStyle name="Currency 4 2 4 2 2 3" xfId="1256" xr:uid="{00000000-0005-0000-0000-0000BC060000}"/>
    <cellStyle name="Currency 4 2 4 2 2 3 2" xfId="46494" xr:uid="{00000000-0005-0000-0000-0000BD060000}"/>
    <cellStyle name="Currency 4 2 4 2 2 4" xfId="1257" xr:uid="{00000000-0005-0000-0000-0000BE060000}"/>
    <cellStyle name="Currency 4 2 4 2 2 5" xfId="1258" xr:uid="{00000000-0005-0000-0000-0000BF060000}"/>
    <cellStyle name="Currency 4 2 4 2 2 6" xfId="1259" xr:uid="{00000000-0005-0000-0000-0000C0060000}"/>
    <cellStyle name="Currency 4 2 4 2 3" xfId="1260" xr:uid="{00000000-0005-0000-0000-0000C1060000}"/>
    <cellStyle name="Currency 4 2 4 2 3 2" xfId="46495" xr:uid="{00000000-0005-0000-0000-0000C2060000}"/>
    <cellStyle name="Currency 4 2 4 2 3 3" xfId="46496" xr:uid="{00000000-0005-0000-0000-0000C3060000}"/>
    <cellStyle name="Currency 4 2 4 2 4" xfId="1261" xr:uid="{00000000-0005-0000-0000-0000C4060000}"/>
    <cellStyle name="Currency 4 2 4 2 4 2" xfId="46497" xr:uid="{00000000-0005-0000-0000-0000C5060000}"/>
    <cellStyle name="Currency 4 2 4 2 5" xfId="1262" xr:uid="{00000000-0005-0000-0000-0000C6060000}"/>
    <cellStyle name="Currency 4 2 4 2 6" xfId="1263" xr:uid="{00000000-0005-0000-0000-0000C7060000}"/>
    <cellStyle name="Currency 4 2 4 2 7" xfId="1264" xr:uid="{00000000-0005-0000-0000-0000C8060000}"/>
    <cellStyle name="Currency 4 2 4 3" xfId="1265" xr:uid="{00000000-0005-0000-0000-0000C9060000}"/>
    <cellStyle name="Currency 4 2 4 3 2" xfId="1266" xr:uid="{00000000-0005-0000-0000-0000CA060000}"/>
    <cellStyle name="Currency 4 2 4 3 2 2" xfId="46498" xr:uid="{00000000-0005-0000-0000-0000CB060000}"/>
    <cellStyle name="Currency 4 2 4 3 2 3" xfId="46499" xr:uid="{00000000-0005-0000-0000-0000CC060000}"/>
    <cellStyle name="Currency 4 2 4 3 3" xfId="1267" xr:uid="{00000000-0005-0000-0000-0000CD060000}"/>
    <cellStyle name="Currency 4 2 4 3 3 2" xfId="46500" xr:uid="{00000000-0005-0000-0000-0000CE060000}"/>
    <cellStyle name="Currency 4 2 4 3 4" xfId="1268" xr:uid="{00000000-0005-0000-0000-0000CF060000}"/>
    <cellStyle name="Currency 4 2 4 3 5" xfId="1269" xr:uid="{00000000-0005-0000-0000-0000D0060000}"/>
    <cellStyle name="Currency 4 2 4 3 6" xfId="1270" xr:uid="{00000000-0005-0000-0000-0000D1060000}"/>
    <cellStyle name="Currency 4 2 4 4" xfId="1271" xr:uid="{00000000-0005-0000-0000-0000D2060000}"/>
    <cellStyle name="Currency 4 2 4 4 2" xfId="46501" xr:uid="{00000000-0005-0000-0000-0000D3060000}"/>
    <cellStyle name="Currency 4 2 4 4 3" xfId="46502" xr:uid="{00000000-0005-0000-0000-0000D4060000}"/>
    <cellStyle name="Currency 4 2 4 5" xfId="1272" xr:uid="{00000000-0005-0000-0000-0000D5060000}"/>
    <cellStyle name="Currency 4 2 4 5 2" xfId="46503" xr:uid="{00000000-0005-0000-0000-0000D6060000}"/>
    <cellStyle name="Currency 4 2 4 6" xfId="1273" xr:uid="{00000000-0005-0000-0000-0000D7060000}"/>
    <cellStyle name="Currency 4 2 4 7" xfId="1274" xr:uid="{00000000-0005-0000-0000-0000D8060000}"/>
    <cellStyle name="Currency 4 2 4 8" xfId="1275" xr:uid="{00000000-0005-0000-0000-0000D9060000}"/>
    <cellStyle name="Currency 4 2 5" xfId="1276" xr:uid="{00000000-0005-0000-0000-0000DA060000}"/>
    <cellStyle name="Currency 4 2 5 2" xfId="1277" xr:uid="{00000000-0005-0000-0000-0000DB060000}"/>
    <cellStyle name="Currency 4 2 5 2 2" xfId="1278" xr:uid="{00000000-0005-0000-0000-0000DC060000}"/>
    <cellStyle name="Currency 4 2 5 2 2 2" xfId="46504" xr:uid="{00000000-0005-0000-0000-0000DD060000}"/>
    <cellStyle name="Currency 4 2 5 2 2 3" xfId="46505" xr:uid="{00000000-0005-0000-0000-0000DE060000}"/>
    <cellStyle name="Currency 4 2 5 2 3" xfId="1279" xr:uid="{00000000-0005-0000-0000-0000DF060000}"/>
    <cellStyle name="Currency 4 2 5 2 3 2" xfId="46506" xr:uid="{00000000-0005-0000-0000-0000E0060000}"/>
    <cellStyle name="Currency 4 2 5 2 4" xfId="1280" xr:uid="{00000000-0005-0000-0000-0000E1060000}"/>
    <cellStyle name="Currency 4 2 5 2 5" xfId="1281" xr:uid="{00000000-0005-0000-0000-0000E2060000}"/>
    <cellStyle name="Currency 4 2 5 2 6" xfId="1282" xr:uid="{00000000-0005-0000-0000-0000E3060000}"/>
    <cellStyle name="Currency 4 2 5 3" xfId="1283" xr:uid="{00000000-0005-0000-0000-0000E4060000}"/>
    <cellStyle name="Currency 4 2 5 3 2" xfId="46507" xr:uid="{00000000-0005-0000-0000-0000E5060000}"/>
    <cellStyle name="Currency 4 2 5 3 3" xfId="46508" xr:uid="{00000000-0005-0000-0000-0000E6060000}"/>
    <cellStyle name="Currency 4 2 5 4" xfId="1284" xr:uid="{00000000-0005-0000-0000-0000E7060000}"/>
    <cellStyle name="Currency 4 2 5 4 2" xfId="46509" xr:uid="{00000000-0005-0000-0000-0000E8060000}"/>
    <cellStyle name="Currency 4 2 5 5" xfId="1285" xr:uid="{00000000-0005-0000-0000-0000E9060000}"/>
    <cellStyle name="Currency 4 2 5 6" xfId="1286" xr:uid="{00000000-0005-0000-0000-0000EA060000}"/>
    <cellStyle name="Currency 4 2 5 7" xfId="1287" xr:uid="{00000000-0005-0000-0000-0000EB060000}"/>
    <cellStyle name="Currency 4 2 6" xfId="1288" xr:uid="{00000000-0005-0000-0000-0000EC060000}"/>
    <cellStyle name="Currency 4 2 6 2" xfId="1289" xr:uid="{00000000-0005-0000-0000-0000ED060000}"/>
    <cellStyle name="Currency 4 2 6 2 2" xfId="46510" xr:uid="{00000000-0005-0000-0000-0000EE060000}"/>
    <cellStyle name="Currency 4 2 6 2 3" xfId="46511" xr:uid="{00000000-0005-0000-0000-0000EF060000}"/>
    <cellStyle name="Currency 4 2 6 3" xfId="1290" xr:uid="{00000000-0005-0000-0000-0000F0060000}"/>
    <cellStyle name="Currency 4 2 6 3 2" xfId="46512" xr:uid="{00000000-0005-0000-0000-0000F1060000}"/>
    <cellStyle name="Currency 4 2 6 4" xfId="1291" xr:uid="{00000000-0005-0000-0000-0000F2060000}"/>
    <cellStyle name="Currency 4 2 6 5" xfId="1292" xr:uid="{00000000-0005-0000-0000-0000F3060000}"/>
    <cellStyle name="Currency 4 2 6 6" xfId="1293" xr:uid="{00000000-0005-0000-0000-0000F4060000}"/>
    <cellStyle name="Currency 4 2 7" xfId="1294" xr:uid="{00000000-0005-0000-0000-0000F5060000}"/>
    <cellStyle name="Currency 4 2 7 2" xfId="46513" xr:uid="{00000000-0005-0000-0000-0000F6060000}"/>
    <cellStyle name="Currency 4 2 7 3" xfId="46514" xr:uid="{00000000-0005-0000-0000-0000F7060000}"/>
    <cellStyle name="Currency 4 2 8" xfId="1295" xr:uid="{00000000-0005-0000-0000-0000F8060000}"/>
    <cellStyle name="Currency 4 2 8 2" xfId="46515" xr:uid="{00000000-0005-0000-0000-0000F9060000}"/>
    <cellStyle name="Currency 4 2 9" xfId="1296" xr:uid="{00000000-0005-0000-0000-0000FA060000}"/>
    <cellStyle name="Currency 4 2 9 2" xfId="46516" xr:uid="{00000000-0005-0000-0000-0000FB060000}"/>
    <cellStyle name="Currency 4 20" xfId="1297" xr:uid="{00000000-0005-0000-0000-0000FC060000}"/>
    <cellStyle name="Currency 4 21" xfId="1298" xr:uid="{00000000-0005-0000-0000-0000FD060000}"/>
    <cellStyle name="Currency 4 3" xfId="1299" xr:uid="{00000000-0005-0000-0000-0000FE060000}"/>
    <cellStyle name="Currency 4 3 10" xfId="1300" xr:uid="{00000000-0005-0000-0000-0000FF060000}"/>
    <cellStyle name="Currency 4 3 11" xfId="1301" xr:uid="{00000000-0005-0000-0000-000000070000}"/>
    <cellStyle name="Currency 4 3 12" xfId="1302" xr:uid="{00000000-0005-0000-0000-000001070000}"/>
    <cellStyle name="Currency 4 3 13" xfId="1303" xr:uid="{00000000-0005-0000-0000-000002070000}"/>
    <cellStyle name="Currency 4 3 14" xfId="1304" xr:uid="{00000000-0005-0000-0000-000003070000}"/>
    <cellStyle name="Currency 4 3 15" xfId="1305" xr:uid="{00000000-0005-0000-0000-000004070000}"/>
    <cellStyle name="Currency 4 3 16" xfId="1306" xr:uid="{00000000-0005-0000-0000-000005070000}"/>
    <cellStyle name="Currency 4 3 2" xfId="1307" xr:uid="{00000000-0005-0000-0000-000006070000}"/>
    <cellStyle name="Currency 4 3 2 10" xfId="1308" xr:uid="{00000000-0005-0000-0000-000007070000}"/>
    <cellStyle name="Currency 4 3 2 11" xfId="1309" xr:uid="{00000000-0005-0000-0000-000008070000}"/>
    <cellStyle name="Currency 4 3 2 12" xfId="1310" xr:uid="{00000000-0005-0000-0000-000009070000}"/>
    <cellStyle name="Currency 4 3 2 13" xfId="1311" xr:uid="{00000000-0005-0000-0000-00000A070000}"/>
    <cellStyle name="Currency 4 3 2 14" xfId="1312" xr:uid="{00000000-0005-0000-0000-00000B070000}"/>
    <cellStyle name="Currency 4 3 2 2" xfId="1313" xr:uid="{00000000-0005-0000-0000-00000C070000}"/>
    <cellStyle name="Currency 4 3 2 2 2" xfId="1314" xr:uid="{00000000-0005-0000-0000-00000D070000}"/>
    <cellStyle name="Currency 4 3 2 2 2 2" xfId="1315" xr:uid="{00000000-0005-0000-0000-00000E070000}"/>
    <cellStyle name="Currency 4 3 2 2 2 2 2" xfId="1316" xr:uid="{00000000-0005-0000-0000-00000F070000}"/>
    <cellStyle name="Currency 4 3 2 2 2 2 2 2" xfId="46517" xr:uid="{00000000-0005-0000-0000-000010070000}"/>
    <cellStyle name="Currency 4 3 2 2 2 2 2 3" xfId="46518" xr:uid="{00000000-0005-0000-0000-000011070000}"/>
    <cellStyle name="Currency 4 3 2 2 2 2 3" xfId="1317" xr:uid="{00000000-0005-0000-0000-000012070000}"/>
    <cellStyle name="Currency 4 3 2 2 2 2 3 2" xfId="46519" xr:uid="{00000000-0005-0000-0000-000013070000}"/>
    <cellStyle name="Currency 4 3 2 2 2 2 4" xfId="1318" xr:uid="{00000000-0005-0000-0000-000014070000}"/>
    <cellStyle name="Currency 4 3 2 2 2 2 5" xfId="1319" xr:uid="{00000000-0005-0000-0000-000015070000}"/>
    <cellStyle name="Currency 4 3 2 2 2 2 6" xfId="1320" xr:uid="{00000000-0005-0000-0000-000016070000}"/>
    <cellStyle name="Currency 4 3 2 2 2 3" xfId="1321" xr:uid="{00000000-0005-0000-0000-000017070000}"/>
    <cellStyle name="Currency 4 3 2 2 2 3 2" xfId="46520" xr:uid="{00000000-0005-0000-0000-000018070000}"/>
    <cellStyle name="Currency 4 3 2 2 2 3 3" xfId="46521" xr:uid="{00000000-0005-0000-0000-000019070000}"/>
    <cellStyle name="Currency 4 3 2 2 2 4" xfId="1322" xr:uid="{00000000-0005-0000-0000-00001A070000}"/>
    <cellStyle name="Currency 4 3 2 2 2 4 2" xfId="46522" xr:uid="{00000000-0005-0000-0000-00001B070000}"/>
    <cellStyle name="Currency 4 3 2 2 2 5" xfId="1323" xr:uid="{00000000-0005-0000-0000-00001C070000}"/>
    <cellStyle name="Currency 4 3 2 2 2 6" xfId="1324" xr:uid="{00000000-0005-0000-0000-00001D070000}"/>
    <cellStyle name="Currency 4 3 2 2 2 7" xfId="1325" xr:uid="{00000000-0005-0000-0000-00001E070000}"/>
    <cellStyle name="Currency 4 3 2 2 3" xfId="1326" xr:uid="{00000000-0005-0000-0000-00001F070000}"/>
    <cellStyle name="Currency 4 3 2 2 3 2" xfId="1327" xr:uid="{00000000-0005-0000-0000-000020070000}"/>
    <cellStyle name="Currency 4 3 2 2 3 2 2" xfId="46523" xr:uid="{00000000-0005-0000-0000-000021070000}"/>
    <cellStyle name="Currency 4 3 2 2 3 2 3" xfId="46524" xr:uid="{00000000-0005-0000-0000-000022070000}"/>
    <cellStyle name="Currency 4 3 2 2 3 3" xfId="1328" xr:uid="{00000000-0005-0000-0000-000023070000}"/>
    <cellStyle name="Currency 4 3 2 2 3 3 2" xfId="46525" xr:uid="{00000000-0005-0000-0000-000024070000}"/>
    <cellStyle name="Currency 4 3 2 2 3 4" xfId="1329" xr:uid="{00000000-0005-0000-0000-000025070000}"/>
    <cellStyle name="Currency 4 3 2 2 3 5" xfId="1330" xr:uid="{00000000-0005-0000-0000-000026070000}"/>
    <cellStyle name="Currency 4 3 2 2 3 6" xfId="1331" xr:uid="{00000000-0005-0000-0000-000027070000}"/>
    <cellStyle name="Currency 4 3 2 2 4" xfId="1332" xr:uid="{00000000-0005-0000-0000-000028070000}"/>
    <cellStyle name="Currency 4 3 2 2 4 2" xfId="46526" xr:uid="{00000000-0005-0000-0000-000029070000}"/>
    <cellStyle name="Currency 4 3 2 2 4 3" xfId="46527" xr:uid="{00000000-0005-0000-0000-00002A070000}"/>
    <cellStyle name="Currency 4 3 2 2 5" xfId="1333" xr:uid="{00000000-0005-0000-0000-00002B070000}"/>
    <cellStyle name="Currency 4 3 2 2 5 2" xfId="46528" xr:uid="{00000000-0005-0000-0000-00002C070000}"/>
    <cellStyle name="Currency 4 3 2 2 6" xfId="1334" xr:uid="{00000000-0005-0000-0000-00002D070000}"/>
    <cellStyle name="Currency 4 3 2 2 7" xfId="1335" xr:uid="{00000000-0005-0000-0000-00002E070000}"/>
    <cellStyle name="Currency 4 3 2 2 8" xfId="1336" xr:uid="{00000000-0005-0000-0000-00002F070000}"/>
    <cellStyle name="Currency 4 3 2 2 9" xfId="1337" xr:uid="{00000000-0005-0000-0000-000030070000}"/>
    <cellStyle name="Currency 4 3 2 3" xfId="1338" xr:uid="{00000000-0005-0000-0000-000031070000}"/>
    <cellStyle name="Currency 4 3 2 3 2" xfId="1339" xr:uid="{00000000-0005-0000-0000-000032070000}"/>
    <cellStyle name="Currency 4 3 2 3 2 2" xfId="1340" xr:uid="{00000000-0005-0000-0000-000033070000}"/>
    <cellStyle name="Currency 4 3 2 3 2 2 2" xfId="1341" xr:uid="{00000000-0005-0000-0000-000034070000}"/>
    <cellStyle name="Currency 4 3 2 3 2 2 2 2" xfId="46529" xr:uid="{00000000-0005-0000-0000-000035070000}"/>
    <cellStyle name="Currency 4 3 2 3 2 2 2 3" xfId="46530" xr:uid="{00000000-0005-0000-0000-000036070000}"/>
    <cellStyle name="Currency 4 3 2 3 2 2 3" xfId="1342" xr:uid="{00000000-0005-0000-0000-000037070000}"/>
    <cellStyle name="Currency 4 3 2 3 2 2 3 2" xfId="46531" xr:uid="{00000000-0005-0000-0000-000038070000}"/>
    <cellStyle name="Currency 4 3 2 3 2 2 4" xfId="1343" xr:uid="{00000000-0005-0000-0000-000039070000}"/>
    <cellStyle name="Currency 4 3 2 3 2 2 5" xfId="1344" xr:uid="{00000000-0005-0000-0000-00003A070000}"/>
    <cellStyle name="Currency 4 3 2 3 2 2 6" xfId="1345" xr:uid="{00000000-0005-0000-0000-00003B070000}"/>
    <cellStyle name="Currency 4 3 2 3 2 3" xfId="1346" xr:uid="{00000000-0005-0000-0000-00003C070000}"/>
    <cellStyle name="Currency 4 3 2 3 2 3 2" xfId="46532" xr:uid="{00000000-0005-0000-0000-00003D070000}"/>
    <cellStyle name="Currency 4 3 2 3 2 3 3" xfId="46533" xr:uid="{00000000-0005-0000-0000-00003E070000}"/>
    <cellStyle name="Currency 4 3 2 3 2 4" xfId="1347" xr:uid="{00000000-0005-0000-0000-00003F070000}"/>
    <cellStyle name="Currency 4 3 2 3 2 4 2" xfId="46534" xr:uid="{00000000-0005-0000-0000-000040070000}"/>
    <cellStyle name="Currency 4 3 2 3 2 5" xfId="1348" xr:uid="{00000000-0005-0000-0000-000041070000}"/>
    <cellStyle name="Currency 4 3 2 3 2 6" xfId="1349" xr:uid="{00000000-0005-0000-0000-000042070000}"/>
    <cellStyle name="Currency 4 3 2 3 2 7" xfId="1350" xr:uid="{00000000-0005-0000-0000-000043070000}"/>
    <cellStyle name="Currency 4 3 2 3 3" xfId="1351" xr:uid="{00000000-0005-0000-0000-000044070000}"/>
    <cellStyle name="Currency 4 3 2 3 3 2" xfId="1352" xr:uid="{00000000-0005-0000-0000-000045070000}"/>
    <cellStyle name="Currency 4 3 2 3 3 2 2" xfId="46535" xr:uid="{00000000-0005-0000-0000-000046070000}"/>
    <cellStyle name="Currency 4 3 2 3 3 2 3" xfId="46536" xr:uid="{00000000-0005-0000-0000-000047070000}"/>
    <cellStyle name="Currency 4 3 2 3 3 3" xfId="1353" xr:uid="{00000000-0005-0000-0000-000048070000}"/>
    <cellStyle name="Currency 4 3 2 3 3 3 2" xfId="46537" xr:uid="{00000000-0005-0000-0000-000049070000}"/>
    <cellStyle name="Currency 4 3 2 3 3 4" xfId="1354" xr:uid="{00000000-0005-0000-0000-00004A070000}"/>
    <cellStyle name="Currency 4 3 2 3 3 5" xfId="1355" xr:uid="{00000000-0005-0000-0000-00004B070000}"/>
    <cellStyle name="Currency 4 3 2 3 3 6" xfId="1356" xr:uid="{00000000-0005-0000-0000-00004C070000}"/>
    <cellStyle name="Currency 4 3 2 3 4" xfId="1357" xr:uid="{00000000-0005-0000-0000-00004D070000}"/>
    <cellStyle name="Currency 4 3 2 3 4 2" xfId="46538" xr:uid="{00000000-0005-0000-0000-00004E070000}"/>
    <cellStyle name="Currency 4 3 2 3 4 3" xfId="46539" xr:uid="{00000000-0005-0000-0000-00004F070000}"/>
    <cellStyle name="Currency 4 3 2 3 5" xfId="1358" xr:uid="{00000000-0005-0000-0000-000050070000}"/>
    <cellStyle name="Currency 4 3 2 3 5 2" xfId="46540" xr:uid="{00000000-0005-0000-0000-000051070000}"/>
    <cellStyle name="Currency 4 3 2 3 6" xfId="1359" xr:uid="{00000000-0005-0000-0000-000052070000}"/>
    <cellStyle name="Currency 4 3 2 3 7" xfId="1360" xr:uid="{00000000-0005-0000-0000-000053070000}"/>
    <cellStyle name="Currency 4 3 2 3 8" xfId="1361" xr:uid="{00000000-0005-0000-0000-000054070000}"/>
    <cellStyle name="Currency 4 3 2 4" xfId="1362" xr:uid="{00000000-0005-0000-0000-000055070000}"/>
    <cellStyle name="Currency 4 3 2 4 2" xfId="1363" xr:uid="{00000000-0005-0000-0000-000056070000}"/>
    <cellStyle name="Currency 4 3 2 4 2 2" xfId="1364" xr:uid="{00000000-0005-0000-0000-000057070000}"/>
    <cellStyle name="Currency 4 3 2 4 2 2 2" xfId="46541" xr:uid="{00000000-0005-0000-0000-000058070000}"/>
    <cellStyle name="Currency 4 3 2 4 2 2 3" xfId="46542" xr:uid="{00000000-0005-0000-0000-000059070000}"/>
    <cellStyle name="Currency 4 3 2 4 2 3" xfId="1365" xr:uid="{00000000-0005-0000-0000-00005A070000}"/>
    <cellStyle name="Currency 4 3 2 4 2 3 2" xfId="46543" xr:uid="{00000000-0005-0000-0000-00005B070000}"/>
    <cellStyle name="Currency 4 3 2 4 2 4" xfId="1366" xr:uid="{00000000-0005-0000-0000-00005C070000}"/>
    <cellStyle name="Currency 4 3 2 4 2 5" xfId="1367" xr:uid="{00000000-0005-0000-0000-00005D070000}"/>
    <cellStyle name="Currency 4 3 2 4 2 6" xfId="1368" xr:uid="{00000000-0005-0000-0000-00005E070000}"/>
    <cellStyle name="Currency 4 3 2 4 3" xfId="1369" xr:uid="{00000000-0005-0000-0000-00005F070000}"/>
    <cellStyle name="Currency 4 3 2 4 3 2" xfId="46544" xr:uid="{00000000-0005-0000-0000-000060070000}"/>
    <cellStyle name="Currency 4 3 2 4 3 3" xfId="46545" xr:uid="{00000000-0005-0000-0000-000061070000}"/>
    <cellStyle name="Currency 4 3 2 4 4" xfId="1370" xr:uid="{00000000-0005-0000-0000-000062070000}"/>
    <cellStyle name="Currency 4 3 2 4 4 2" xfId="46546" xr:uid="{00000000-0005-0000-0000-000063070000}"/>
    <cellStyle name="Currency 4 3 2 4 5" xfId="1371" xr:uid="{00000000-0005-0000-0000-000064070000}"/>
    <cellStyle name="Currency 4 3 2 4 6" xfId="1372" xr:uid="{00000000-0005-0000-0000-000065070000}"/>
    <cellStyle name="Currency 4 3 2 4 7" xfId="1373" xr:uid="{00000000-0005-0000-0000-000066070000}"/>
    <cellStyle name="Currency 4 3 2 5" xfId="1374" xr:uid="{00000000-0005-0000-0000-000067070000}"/>
    <cellStyle name="Currency 4 3 2 5 2" xfId="1375" xr:uid="{00000000-0005-0000-0000-000068070000}"/>
    <cellStyle name="Currency 4 3 2 5 2 2" xfId="46547" xr:uid="{00000000-0005-0000-0000-000069070000}"/>
    <cellStyle name="Currency 4 3 2 5 2 3" xfId="46548" xr:uid="{00000000-0005-0000-0000-00006A070000}"/>
    <cellStyle name="Currency 4 3 2 5 3" xfId="1376" xr:uid="{00000000-0005-0000-0000-00006B070000}"/>
    <cellStyle name="Currency 4 3 2 5 3 2" xfId="46549" xr:uid="{00000000-0005-0000-0000-00006C070000}"/>
    <cellStyle name="Currency 4 3 2 5 4" xfId="1377" xr:uid="{00000000-0005-0000-0000-00006D070000}"/>
    <cellStyle name="Currency 4 3 2 5 5" xfId="1378" xr:uid="{00000000-0005-0000-0000-00006E070000}"/>
    <cellStyle name="Currency 4 3 2 5 6" xfId="1379" xr:uid="{00000000-0005-0000-0000-00006F070000}"/>
    <cellStyle name="Currency 4 3 2 6" xfId="1380" xr:uid="{00000000-0005-0000-0000-000070070000}"/>
    <cellStyle name="Currency 4 3 2 6 2" xfId="46550" xr:uid="{00000000-0005-0000-0000-000071070000}"/>
    <cellStyle name="Currency 4 3 2 6 3" xfId="46551" xr:uid="{00000000-0005-0000-0000-000072070000}"/>
    <cellStyle name="Currency 4 3 2 7" xfId="1381" xr:uid="{00000000-0005-0000-0000-000073070000}"/>
    <cellStyle name="Currency 4 3 2 7 2" xfId="46552" xr:uid="{00000000-0005-0000-0000-000074070000}"/>
    <cellStyle name="Currency 4 3 2 8" xfId="1382" xr:uid="{00000000-0005-0000-0000-000075070000}"/>
    <cellStyle name="Currency 4 3 2 9" xfId="1383" xr:uid="{00000000-0005-0000-0000-000076070000}"/>
    <cellStyle name="Currency 4 3 3" xfId="1384" xr:uid="{00000000-0005-0000-0000-000077070000}"/>
    <cellStyle name="Currency 4 3 3 2" xfId="1385" xr:uid="{00000000-0005-0000-0000-000078070000}"/>
    <cellStyle name="Currency 4 3 3 2 2" xfId="1386" xr:uid="{00000000-0005-0000-0000-000079070000}"/>
    <cellStyle name="Currency 4 3 3 2 2 2" xfId="1387" xr:uid="{00000000-0005-0000-0000-00007A070000}"/>
    <cellStyle name="Currency 4 3 3 2 2 2 2" xfId="46553" xr:uid="{00000000-0005-0000-0000-00007B070000}"/>
    <cellStyle name="Currency 4 3 3 2 2 2 3" xfId="46554" xr:uid="{00000000-0005-0000-0000-00007C070000}"/>
    <cellStyle name="Currency 4 3 3 2 2 3" xfId="1388" xr:uid="{00000000-0005-0000-0000-00007D070000}"/>
    <cellStyle name="Currency 4 3 3 2 2 3 2" xfId="46555" xr:uid="{00000000-0005-0000-0000-00007E070000}"/>
    <cellStyle name="Currency 4 3 3 2 2 4" xfId="1389" xr:uid="{00000000-0005-0000-0000-00007F070000}"/>
    <cellStyle name="Currency 4 3 3 2 2 5" xfId="1390" xr:uid="{00000000-0005-0000-0000-000080070000}"/>
    <cellStyle name="Currency 4 3 3 2 2 6" xfId="1391" xr:uid="{00000000-0005-0000-0000-000081070000}"/>
    <cellStyle name="Currency 4 3 3 2 3" xfId="1392" xr:uid="{00000000-0005-0000-0000-000082070000}"/>
    <cellStyle name="Currency 4 3 3 2 3 2" xfId="46556" xr:uid="{00000000-0005-0000-0000-000083070000}"/>
    <cellStyle name="Currency 4 3 3 2 3 3" xfId="46557" xr:uid="{00000000-0005-0000-0000-000084070000}"/>
    <cellStyle name="Currency 4 3 3 2 4" xfId="1393" xr:uid="{00000000-0005-0000-0000-000085070000}"/>
    <cellStyle name="Currency 4 3 3 2 4 2" xfId="46558" xr:uid="{00000000-0005-0000-0000-000086070000}"/>
    <cellStyle name="Currency 4 3 3 2 5" xfId="1394" xr:uid="{00000000-0005-0000-0000-000087070000}"/>
    <cellStyle name="Currency 4 3 3 2 6" xfId="1395" xr:uid="{00000000-0005-0000-0000-000088070000}"/>
    <cellStyle name="Currency 4 3 3 2 7" xfId="1396" xr:uid="{00000000-0005-0000-0000-000089070000}"/>
    <cellStyle name="Currency 4 3 3 3" xfId="1397" xr:uid="{00000000-0005-0000-0000-00008A070000}"/>
    <cellStyle name="Currency 4 3 3 3 2" xfId="1398" xr:uid="{00000000-0005-0000-0000-00008B070000}"/>
    <cellStyle name="Currency 4 3 3 3 2 2" xfId="46559" xr:uid="{00000000-0005-0000-0000-00008C070000}"/>
    <cellStyle name="Currency 4 3 3 3 2 3" xfId="46560" xr:uid="{00000000-0005-0000-0000-00008D070000}"/>
    <cellStyle name="Currency 4 3 3 3 3" xfId="1399" xr:uid="{00000000-0005-0000-0000-00008E070000}"/>
    <cellStyle name="Currency 4 3 3 3 3 2" xfId="46561" xr:uid="{00000000-0005-0000-0000-00008F070000}"/>
    <cellStyle name="Currency 4 3 3 3 4" xfId="1400" xr:uid="{00000000-0005-0000-0000-000090070000}"/>
    <cellStyle name="Currency 4 3 3 3 5" xfId="1401" xr:uid="{00000000-0005-0000-0000-000091070000}"/>
    <cellStyle name="Currency 4 3 3 3 6" xfId="1402" xr:uid="{00000000-0005-0000-0000-000092070000}"/>
    <cellStyle name="Currency 4 3 3 4" xfId="1403" xr:uid="{00000000-0005-0000-0000-000093070000}"/>
    <cellStyle name="Currency 4 3 3 4 2" xfId="46562" xr:uid="{00000000-0005-0000-0000-000094070000}"/>
    <cellStyle name="Currency 4 3 3 4 3" xfId="46563" xr:uid="{00000000-0005-0000-0000-000095070000}"/>
    <cellStyle name="Currency 4 3 3 5" xfId="1404" xr:uid="{00000000-0005-0000-0000-000096070000}"/>
    <cellStyle name="Currency 4 3 3 5 2" xfId="46564" xr:uid="{00000000-0005-0000-0000-000097070000}"/>
    <cellStyle name="Currency 4 3 3 6" xfId="1405" xr:uid="{00000000-0005-0000-0000-000098070000}"/>
    <cellStyle name="Currency 4 3 3 7" xfId="1406" xr:uid="{00000000-0005-0000-0000-000099070000}"/>
    <cellStyle name="Currency 4 3 3 8" xfId="1407" xr:uid="{00000000-0005-0000-0000-00009A070000}"/>
    <cellStyle name="Currency 4 3 3 9" xfId="1408" xr:uid="{00000000-0005-0000-0000-00009B070000}"/>
    <cellStyle name="Currency 4 3 4" xfId="1409" xr:uid="{00000000-0005-0000-0000-00009C070000}"/>
    <cellStyle name="Currency 4 3 4 2" xfId="1410" xr:uid="{00000000-0005-0000-0000-00009D070000}"/>
    <cellStyle name="Currency 4 3 4 2 2" xfId="1411" xr:uid="{00000000-0005-0000-0000-00009E070000}"/>
    <cellStyle name="Currency 4 3 4 2 2 2" xfId="1412" xr:uid="{00000000-0005-0000-0000-00009F070000}"/>
    <cellStyle name="Currency 4 3 4 2 2 2 2" xfId="46565" xr:uid="{00000000-0005-0000-0000-0000A0070000}"/>
    <cellStyle name="Currency 4 3 4 2 2 2 3" xfId="46566" xr:uid="{00000000-0005-0000-0000-0000A1070000}"/>
    <cellStyle name="Currency 4 3 4 2 2 3" xfId="1413" xr:uid="{00000000-0005-0000-0000-0000A2070000}"/>
    <cellStyle name="Currency 4 3 4 2 2 3 2" xfId="46567" xr:uid="{00000000-0005-0000-0000-0000A3070000}"/>
    <cellStyle name="Currency 4 3 4 2 2 4" xfId="1414" xr:uid="{00000000-0005-0000-0000-0000A4070000}"/>
    <cellStyle name="Currency 4 3 4 2 2 5" xfId="1415" xr:uid="{00000000-0005-0000-0000-0000A5070000}"/>
    <cellStyle name="Currency 4 3 4 2 2 6" xfId="1416" xr:uid="{00000000-0005-0000-0000-0000A6070000}"/>
    <cellStyle name="Currency 4 3 4 2 3" xfId="1417" xr:uid="{00000000-0005-0000-0000-0000A7070000}"/>
    <cellStyle name="Currency 4 3 4 2 3 2" xfId="46568" xr:uid="{00000000-0005-0000-0000-0000A8070000}"/>
    <cellStyle name="Currency 4 3 4 2 3 3" xfId="46569" xr:uid="{00000000-0005-0000-0000-0000A9070000}"/>
    <cellStyle name="Currency 4 3 4 2 4" xfId="1418" xr:uid="{00000000-0005-0000-0000-0000AA070000}"/>
    <cellStyle name="Currency 4 3 4 2 4 2" xfId="46570" xr:uid="{00000000-0005-0000-0000-0000AB070000}"/>
    <cellStyle name="Currency 4 3 4 2 5" xfId="1419" xr:uid="{00000000-0005-0000-0000-0000AC070000}"/>
    <cellStyle name="Currency 4 3 4 2 6" xfId="1420" xr:uid="{00000000-0005-0000-0000-0000AD070000}"/>
    <cellStyle name="Currency 4 3 4 2 7" xfId="1421" xr:uid="{00000000-0005-0000-0000-0000AE070000}"/>
    <cellStyle name="Currency 4 3 4 3" xfId="1422" xr:uid="{00000000-0005-0000-0000-0000AF070000}"/>
    <cellStyle name="Currency 4 3 4 3 2" xfId="1423" xr:uid="{00000000-0005-0000-0000-0000B0070000}"/>
    <cellStyle name="Currency 4 3 4 3 2 2" xfId="46571" xr:uid="{00000000-0005-0000-0000-0000B1070000}"/>
    <cellStyle name="Currency 4 3 4 3 2 3" xfId="46572" xr:uid="{00000000-0005-0000-0000-0000B2070000}"/>
    <cellStyle name="Currency 4 3 4 3 3" xfId="1424" xr:uid="{00000000-0005-0000-0000-0000B3070000}"/>
    <cellStyle name="Currency 4 3 4 3 3 2" xfId="46573" xr:uid="{00000000-0005-0000-0000-0000B4070000}"/>
    <cellStyle name="Currency 4 3 4 3 4" xfId="1425" xr:uid="{00000000-0005-0000-0000-0000B5070000}"/>
    <cellStyle name="Currency 4 3 4 3 5" xfId="1426" xr:uid="{00000000-0005-0000-0000-0000B6070000}"/>
    <cellStyle name="Currency 4 3 4 3 6" xfId="1427" xr:uid="{00000000-0005-0000-0000-0000B7070000}"/>
    <cellStyle name="Currency 4 3 4 4" xfId="1428" xr:uid="{00000000-0005-0000-0000-0000B8070000}"/>
    <cellStyle name="Currency 4 3 4 4 2" xfId="46574" xr:uid="{00000000-0005-0000-0000-0000B9070000}"/>
    <cellStyle name="Currency 4 3 4 4 3" xfId="46575" xr:uid="{00000000-0005-0000-0000-0000BA070000}"/>
    <cellStyle name="Currency 4 3 4 5" xfId="1429" xr:uid="{00000000-0005-0000-0000-0000BB070000}"/>
    <cellStyle name="Currency 4 3 4 5 2" xfId="46576" xr:uid="{00000000-0005-0000-0000-0000BC070000}"/>
    <cellStyle name="Currency 4 3 4 6" xfId="1430" xr:uid="{00000000-0005-0000-0000-0000BD070000}"/>
    <cellStyle name="Currency 4 3 4 7" xfId="1431" xr:uid="{00000000-0005-0000-0000-0000BE070000}"/>
    <cellStyle name="Currency 4 3 4 8" xfId="1432" xr:uid="{00000000-0005-0000-0000-0000BF070000}"/>
    <cellStyle name="Currency 4 3 5" xfId="1433" xr:uid="{00000000-0005-0000-0000-0000C0070000}"/>
    <cellStyle name="Currency 4 3 5 2" xfId="1434" xr:uid="{00000000-0005-0000-0000-0000C1070000}"/>
    <cellStyle name="Currency 4 3 5 2 2" xfId="1435" xr:uid="{00000000-0005-0000-0000-0000C2070000}"/>
    <cellStyle name="Currency 4 3 5 2 2 2" xfId="46577" xr:uid="{00000000-0005-0000-0000-0000C3070000}"/>
    <cellStyle name="Currency 4 3 5 2 2 3" xfId="46578" xr:uid="{00000000-0005-0000-0000-0000C4070000}"/>
    <cellStyle name="Currency 4 3 5 2 3" xfId="1436" xr:uid="{00000000-0005-0000-0000-0000C5070000}"/>
    <cellStyle name="Currency 4 3 5 2 3 2" xfId="46579" xr:uid="{00000000-0005-0000-0000-0000C6070000}"/>
    <cellStyle name="Currency 4 3 5 2 4" xfId="1437" xr:uid="{00000000-0005-0000-0000-0000C7070000}"/>
    <cellStyle name="Currency 4 3 5 2 5" xfId="1438" xr:uid="{00000000-0005-0000-0000-0000C8070000}"/>
    <cellStyle name="Currency 4 3 5 2 6" xfId="1439" xr:uid="{00000000-0005-0000-0000-0000C9070000}"/>
    <cellStyle name="Currency 4 3 5 3" xfId="1440" xr:uid="{00000000-0005-0000-0000-0000CA070000}"/>
    <cellStyle name="Currency 4 3 5 3 2" xfId="46580" xr:uid="{00000000-0005-0000-0000-0000CB070000}"/>
    <cellStyle name="Currency 4 3 5 3 3" xfId="46581" xr:uid="{00000000-0005-0000-0000-0000CC070000}"/>
    <cellStyle name="Currency 4 3 5 4" xfId="1441" xr:uid="{00000000-0005-0000-0000-0000CD070000}"/>
    <cellStyle name="Currency 4 3 5 4 2" xfId="46582" xr:uid="{00000000-0005-0000-0000-0000CE070000}"/>
    <cellStyle name="Currency 4 3 5 5" xfId="1442" xr:uid="{00000000-0005-0000-0000-0000CF070000}"/>
    <cellStyle name="Currency 4 3 5 6" xfId="1443" xr:uid="{00000000-0005-0000-0000-0000D0070000}"/>
    <cellStyle name="Currency 4 3 5 7" xfId="1444" xr:uid="{00000000-0005-0000-0000-0000D1070000}"/>
    <cellStyle name="Currency 4 3 6" xfId="1445" xr:uid="{00000000-0005-0000-0000-0000D2070000}"/>
    <cellStyle name="Currency 4 3 6 2" xfId="1446" xr:uid="{00000000-0005-0000-0000-0000D3070000}"/>
    <cellStyle name="Currency 4 3 6 2 2" xfId="46583" xr:uid="{00000000-0005-0000-0000-0000D4070000}"/>
    <cellStyle name="Currency 4 3 6 2 3" xfId="46584" xr:uid="{00000000-0005-0000-0000-0000D5070000}"/>
    <cellStyle name="Currency 4 3 6 3" xfId="1447" xr:uid="{00000000-0005-0000-0000-0000D6070000}"/>
    <cellStyle name="Currency 4 3 6 3 2" xfId="46585" xr:uid="{00000000-0005-0000-0000-0000D7070000}"/>
    <cellStyle name="Currency 4 3 6 4" xfId="1448" xr:uid="{00000000-0005-0000-0000-0000D8070000}"/>
    <cellStyle name="Currency 4 3 6 5" xfId="1449" xr:uid="{00000000-0005-0000-0000-0000D9070000}"/>
    <cellStyle name="Currency 4 3 6 6" xfId="1450" xr:uid="{00000000-0005-0000-0000-0000DA070000}"/>
    <cellStyle name="Currency 4 3 7" xfId="1451" xr:uid="{00000000-0005-0000-0000-0000DB070000}"/>
    <cellStyle name="Currency 4 3 7 2" xfId="46586" xr:uid="{00000000-0005-0000-0000-0000DC070000}"/>
    <cellStyle name="Currency 4 3 7 3" xfId="46587" xr:uid="{00000000-0005-0000-0000-0000DD070000}"/>
    <cellStyle name="Currency 4 3 8" xfId="1452" xr:uid="{00000000-0005-0000-0000-0000DE070000}"/>
    <cellStyle name="Currency 4 3 8 2" xfId="46588" xr:uid="{00000000-0005-0000-0000-0000DF070000}"/>
    <cellStyle name="Currency 4 3 9" xfId="1453" xr:uid="{00000000-0005-0000-0000-0000E0070000}"/>
    <cellStyle name="Currency 4 4" xfId="1454" xr:uid="{00000000-0005-0000-0000-0000E1070000}"/>
    <cellStyle name="Currency 4 4 10" xfId="1455" xr:uid="{00000000-0005-0000-0000-0000E2070000}"/>
    <cellStyle name="Currency 4 4 11" xfId="1456" xr:uid="{00000000-0005-0000-0000-0000E3070000}"/>
    <cellStyle name="Currency 4 4 12" xfId="1457" xr:uid="{00000000-0005-0000-0000-0000E4070000}"/>
    <cellStyle name="Currency 4 4 13" xfId="1458" xr:uid="{00000000-0005-0000-0000-0000E5070000}"/>
    <cellStyle name="Currency 4 4 14" xfId="1459" xr:uid="{00000000-0005-0000-0000-0000E6070000}"/>
    <cellStyle name="Currency 4 4 2" xfId="1460" xr:uid="{00000000-0005-0000-0000-0000E7070000}"/>
    <cellStyle name="Currency 4 4 2 2" xfId="1461" xr:uid="{00000000-0005-0000-0000-0000E8070000}"/>
    <cellStyle name="Currency 4 4 2 2 2" xfId="1462" xr:uid="{00000000-0005-0000-0000-0000E9070000}"/>
    <cellStyle name="Currency 4 4 2 2 2 2" xfId="1463" xr:uid="{00000000-0005-0000-0000-0000EA070000}"/>
    <cellStyle name="Currency 4 4 2 2 2 2 2" xfId="46589" xr:uid="{00000000-0005-0000-0000-0000EB070000}"/>
    <cellStyle name="Currency 4 4 2 2 2 2 3" xfId="46590" xr:uid="{00000000-0005-0000-0000-0000EC070000}"/>
    <cellStyle name="Currency 4 4 2 2 2 3" xfId="1464" xr:uid="{00000000-0005-0000-0000-0000ED070000}"/>
    <cellStyle name="Currency 4 4 2 2 2 3 2" xfId="46591" xr:uid="{00000000-0005-0000-0000-0000EE070000}"/>
    <cellStyle name="Currency 4 4 2 2 2 4" xfId="1465" xr:uid="{00000000-0005-0000-0000-0000EF070000}"/>
    <cellStyle name="Currency 4 4 2 2 2 5" xfId="1466" xr:uid="{00000000-0005-0000-0000-0000F0070000}"/>
    <cellStyle name="Currency 4 4 2 2 2 6" xfId="1467" xr:uid="{00000000-0005-0000-0000-0000F1070000}"/>
    <cellStyle name="Currency 4 4 2 2 3" xfId="1468" xr:uid="{00000000-0005-0000-0000-0000F2070000}"/>
    <cellStyle name="Currency 4 4 2 2 3 2" xfId="46592" xr:uid="{00000000-0005-0000-0000-0000F3070000}"/>
    <cellStyle name="Currency 4 4 2 2 3 3" xfId="46593" xr:uid="{00000000-0005-0000-0000-0000F4070000}"/>
    <cellStyle name="Currency 4 4 2 2 4" xfId="1469" xr:uid="{00000000-0005-0000-0000-0000F5070000}"/>
    <cellStyle name="Currency 4 4 2 2 4 2" xfId="46594" xr:uid="{00000000-0005-0000-0000-0000F6070000}"/>
    <cellStyle name="Currency 4 4 2 2 5" xfId="1470" xr:uid="{00000000-0005-0000-0000-0000F7070000}"/>
    <cellStyle name="Currency 4 4 2 2 6" xfId="1471" xr:uid="{00000000-0005-0000-0000-0000F8070000}"/>
    <cellStyle name="Currency 4 4 2 2 7" xfId="1472" xr:uid="{00000000-0005-0000-0000-0000F9070000}"/>
    <cellStyle name="Currency 4 4 2 3" xfId="1473" xr:uid="{00000000-0005-0000-0000-0000FA070000}"/>
    <cellStyle name="Currency 4 4 2 3 2" xfId="1474" xr:uid="{00000000-0005-0000-0000-0000FB070000}"/>
    <cellStyle name="Currency 4 4 2 3 2 2" xfId="46595" xr:uid="{00000000-0005-0000-0000-0000FC070000}"/>
    <cellStyle name="Currency 4 4 2 3 2 3" xfId="46596" xr:uid="{00000000-0005-0000-0000-0000FD070000}"/>
    <cellStyle name="Currency 4 4 2 3 3" xfId="1475" xr:uid="{00000000-0005-0000-0000-0000FE070000}"/>
    <cellStyle name="Currency 4 4 2 3 3 2" xfId="46597" xr:uid="{00000000-0005-0000-0000-0000FF070000}"/>
    <cellStyle name="Currency 4 4 2 3 4" xfId="1476" xr:uid="{00000000-0005-0000-0000-000000080000}"/>
    <cellStyle name="Currency 4 4 2 3 5" xfId="1477" xr:uid="{00000000-0005-0000-0000-000001080000}"/>
    <cellStyle name="Currency 4 4 2 3 6" xfId="1478" xr:uid="{00000000-0005-0000-0000-000002080000}"/>
    <cellStyle name="Currency 4 4 2 4" xfId="1479" xr:uid="{00000000-0005-0000-0000-000003080000}"/>
    <cellStyle name="Currency 4 4 2 4 2" xfId="46598" xr:uid="{00000000-0005-0000-0000-000004080000}"/>
    <cellStyle name="Currency 4 4 2 4 3" xfId="46599" xr:uid="{00000000-0005-0000-0000-000005080000}"/>
    <cellStyle name="Currency 4 4 2 5" xfId="1480" xr:uid="{00000000-0005-0000-0000-000006080000}"/>
    <cellStyle name="Currency 4 4 2 5 2" xfId="46600" xr:uid="{00000000-0005-0000-0000-000007080000}"/>
    <cellStyle name="Currency 4 4 2 6" xfId="1481" xr:uid="{00000000-0005-0000-0000-000008080000}"/>
    <cellStyle name="Currency 4 4 2 7" xfId="1482" xr:uid="{00000000-0005-0000-0000-000009080000}"/>
    <cellStyle name="Currency 4 4 2 8" xfId="1483" xr:uid="{00000000-0005-0000-0000-00000A080000}"/>
    <cellStyle name="Currency 4 4 2 9" xfId="1484" xr:uid="{00000000-0005-0000-0000-00000B080000}"/>
    <cellStyle name="Currency 4 4 3" xfId="1485" xr:uid="{00000000-0005-0000-0000-00000C080000}"/>
    <cellStyle name="Currency 4 4 3 2" xfId="1486" xr:uid="{00000000-0005-0000-0000-00000D080000}"/>
    <cellStyle name="Currency 4 4 3 2 2" xfId="1487" xr:uid="{00000000-0005-0000-0000-00000E080000}"/>
    <cellStyle name="Currency 4 4 3 2 2 2" xfId="1488" xr:uid="{00000000-0005-0000-0000-00000F080000}"/>
    <cellStyle name="Currency 4 4 3 2 2 2 2" xfId="46601" xr:uid="{00000000-0005-0000-0000-000010080000}"/>
    <cellStyle name="Currency 4 4 3 2 2 2 3" xfId="46602" xr:uid="{00000000-0005-0000-0000-000011080000}"/>
    <cellStyle name="Currency 4 4 3 2 2 3" xfId="1489" xr:uid="{00000000-0005-0000-0000-000012080000}"/>
    <cellStyle name="Currency 4 4 3 2 2 3 2" xfId="46603" xr:uid="{00000000-0005-0000-0000-000013080000}"/>
    <cellStyle name="Currency 4 4 3 2 2 4" xfId="1490" xr:uid="{00000000-0005-0000-0000-000014080000}"/>
    <cellStyle name="Currency 4 4 3 2 2 5" xfId="1491" xr:uid="{00000000-0005-0000-0000-000015080000}"/>
    <cellStyle name="Currency 4 4 3 2 2 6" xfId="1492" xr:uid="{00000000-0005-0000-0000-000016080000}"/>
    <cellStyle name="Currency 4 4 3 2 3" xfId="1493" xr:uid="{00000000-0005-0000-0000-000017080000}"/>
    <cellStyle name="Currency 4 4 3 2 3 2" xfId="46604" xr:uid="{00000000-0005-0000-0000-000018080000}"/>
    <cellStyle name="Currency 4 4 3 2 3 3" xfId="46605" xr:uid="{00000000-0005-0000-0000-000019080000}"/>
    <cellStyle name="Currency 4 4 3 2 4" xfId="1494" xr:uid="{00000000-0005-0000-0000-00001A080000}"/>
    <cellStyle name="Currency 4 4 3 2 4 2" xfId="46606" xr:uid="{00000000-0005-0000-0000-00001B080000}"/>
    <cellStyle name="Currency 4 4 3 2 5" xfId="1495" xr:uid="{00000000-0005-0000-0000-00001C080000}"/>
    <cellStyle name="Currency 4 4 3 2 6" xfId="1496" xr:uid="{00000000-0005-0000-0000-00001D080000}"/>
    <cellStyle name="Currency 4 4 3 2 7" xfId="1497" xr:uid="{00000000-0005-0000-0000-00001E080000}"/>
    <cellStyle name="Currency 4 4 3 3" xfId="1498" xr:uid="{00000000-0005-0000-0000-00001F080000}"/>
    <cellStyle name="Currency 4 4 3 3 2" xfId="1499" xr:uid="{00000000-0005-0000-0000-000020080000}"/>
    <cellStyle name="Currency 4 4 3 3 2 2" xfId="46607" xr:uid="{00000000-0005-0000-0000-000021080000}"/>
    <cellStyle name="Currency 4 4 3 3 2 3" xfId="46608" xr:uid="{00000000-0005-0000-0000-000022080000}"/>
    <cellStyle name="Currency 4 4 3 3 3" xfId="1500" xr:uid="{00000000-0005-0000-0000-000023080000}"/>
    <cellStyle name="Currency 4 4 3 3 3 2" xfId="46609" xr:uid="{00000000-0005-0000-0000-000024080000}"/>
    <cellStyle name="Currency 4 4 3 3 4" xfId="1501" xr:uid="{00000000-0005-0000-0000-000025080000}"/>
    <cellStyle name="Currency 4 4 3 3 5" xfId="1502" xr:uid="{00000000-0005-0000-0000-000026080000}"/>
    <cellStyle name="Currency 4 4 3 3 6" xfId="1503" xr:uid="{00000000-0005-0000-0000-000027080000}"/>
    <cellStyle name="Currency 4 4 3 4" xfId="1504" xr:uid="{00000000-0005-0000-0000-000028080000}"/>
    <cellStyle name="Currency 4 4 3 4 2" xfId="46610" xr:uid="{00000000-0005-0000-0000-000029080000}"/>
    <cellStyle name="Currency 4 4 3 4 3" xfId="46611" xr:uid="{00000000-0005-0000-0000-00002A080000}"/>
    <cellStyle name="Currency 4 4 3 5" xfId="1505" xr:uid="{00000000-0005-0000-0000-00002B080000}"/>
    <cellStyle name="Currency 4 4 3 5 2" xfId="46612" xr:uid="{00000000-0005-0000-0000-00002C080000}"/>
    <cellStyle name="Currency 4 4 3 6" xfId="1506" xr:uid="{00000000-0005-0000-0000-00002D080000}"/>
    <cellStyle name="Currency 4 4 3 7" xfId="1507" xr:uid="{00000000-0005-0000-0000-00002E080000}"/>
    <cellStyle name="Currency 4 4 3 8" xfId="1508" xr:uid="{00000000-0005-0000-0000-00002F080000}"/>
    <cellStyle name="Currency 4 4 4" xfId="1509" xr:uid="{00000000-0005-0000-0000-000030080000}"/>
    <cellStyle name="Currency 4 4 4 2" xfId="1510" xr:uid="{00000000-0005-0000-0000-000031080000}"/>
    <cellStyle name="Currency 4 4 4 2 2" xfId="1511" xr:uid="{00000000-0005-0000-0000-000032080000}"/>
    <cellStyle name="Currency 4 4 4 2 2 2" xfId="46613" xr:uid="{00000000-0005-0000-0000-000033080000}"/>
    <cellStyle name="Currency 4 4 4 2 2 3" xfId="46614" xr:uid="{00000000-0005-0000-0000-000034080000}"/>
    <cellStyle name="Currency 4 4 4 2 3" xfId="1512" xr:uid="{00000000-0005-0000-0000-000035080000}"/>
    <cellStyle name="Currency 4 4 4 2 3 2" xfId="46615" xr:uid="{00000000-0005-0000-0000-000036080000}"/>
    <cellStyle name="Currency 4 4 4 2 4" xfId="1513" xr:uid="{00000000-0005-0000-0000-000037080000}"/>
    <cellStyle name="Currency 4 4 4 2 5" xfId="1514" xr:uid="{00000000-0005-0000-0000-000038080000}"/>
    <cellStyle name="Currency 4 4 4 2 6" xfId="1515" xr:uid="{00000000-0005-0000-0000-000039080000}"/>
    <cellStyle name="Currency 4 4 4 3" xfId="1516" xr:uid="{00000000-0005-0000-0000-00003A080000}"/>
    <cellStyle name="Currency 4 4 4 3 2" xfId="46616" xr:uid="{00000000-0005-0000-0000-00003B080000}"/>
    <cellStyle name="Currency 4 4 4 3 3" xfId="46617" xr:uid="{00000000-0005-0000-0000-00003C080000}"/>
    <cellStyle name="Currency 4 4 4 4" xfId="1517" xr:uid="{00000000-0005-0000-0000-00003D080000}"/>
    <cellStyle name="Currency 4 4 4 4 2" xfId="46618" xr:uid="{00000000-0005-0000-0000-00003E080000}"/>
    <cellStyle name="Currency 4 4 4 5" xfId="1518" xr:uid="{00000000-0005-0000-0000-00003F080000}"/>
    <cellStyle name="Currency 4 4 4 6" xfId="1519" xr:uid="{00000000-0005-0000-0000-000040080000}"/>
    <cellStyle name="Currency 4 4 4 7" xfId="1520" xr:uid="{00000000-0005-0000-0000-000041080000}"/>
    <cellStyle name="Currency 4 4 5" xfId="1521" xr:uid="{00000000-0005-0000-0000-000042080000}"/>
    <cellStyle name="Currency 4 4 5 2" xfId="1522" xr:uid="{00000000-0005-0000-0000-000043080000}"/>
    <cellStyle name="Currency 4 4 5 2 2" xfId="46619" xr:uid="{00000000-0005-0000-0000-000044080000}"/>
    <cellStyle name="Currency 4 4 5 2 3" xfId="46620" xr:uid="{00000000-0005-0000-0000-000045080000}"/>
    <cellStyle name="Currency 4 4 5 3" xfId="1523" xr:uid="{00000000-0005-0000-0000-000046080000}"/>
    <cellStyle name="Currency 4 4 5 3 2" xfId="46621" xr:uid="{00000000-0005-0000-0000-000047080000}"/>
    <cellStyle name="Currency 4 4 5 4" xfId="1524" xr:uid="{00000000-0005-0000-0000-000048080000}"/>
    <cellStyle name="Currency 4 4 5 5" xfId="1525" xr:uid="{00000000-0005-0000-0000-000049080000}"/>
    <cellStyle name="Currency 4 4 5 6" xfId="1526" xr:uid="{00000000-0005-0000-0000-00004A080000}"/>
    <cellStyle name="Currency 4 4 6" xfId="1527" xr:uid="{00000000-0005-0000-0000-00004B080000}"/>
    <cellStyle name="Currency 4 4 6 2" xfId="46622" xr:uid="{00000000-0005-0000-0000-00004C080000}"/>
    <cellStyle name="Currency 4 4 6 3" xfId="46623" xr:uid="{00000000-0005-0000-0000-00004D080000}"/>
    <cellStyle name="Currency 4 4 7" xfId="1528" xr:uid="{00000000-0005-0000-0000-00004E080000}"/>
    <cellStyle name="Currency 4 4 7 2" xfId="46624" xr:uid="{00000000-0005-0000-0000-00004F080000}"/>
    <cellStyle name="Currency 4 4 8" xfId="1529" xr:uid="{00000000-0005-0000-0000-000050080000}"/>
    <cellStyle name="Currency 4 4 9" xfId="1530" xr:uid="{00000000-0005-0000-0000-000051080000}"/>
    <cellStyle name="Currency 4 5" xfId="1531" xr:uid="{00000000-0005-0000-0000-000052080000}"/>
    <cellStyle name="Currency 4 5 10" xfId="1532" xr:uid="{00000000-0005-0000-0000-000053080000}"/>
    <cellStyle name="Currency 4 5 11" xfId="1533" xr:uid="{00000000-0005-0000-0000-000054080000}"/>
    <cellStyle name="Currency 4 5 12" xfId="1534" xr:uid="{00000000-0005-0000-0000-000055080000}"/>
    <cellStyle name="Currency 4 5 13" xfId="1535" xr:uid="{00000000-0005-0000-0000-000056080000}"/>
    <cellStyle name="Currency 4 5 14" xfId="1536" xr:uid="{00000000-0005-0000-0000-000057080000}"/>
    <cellStyle name="Currency 4 5 2" xfId="1537" xr:uid="{00000000-0005-0000-0000-000058080000}"/>
    <cellStyle name="Currency 4 5 2 2" xfId="1538" xr:uid="{00000000-0005-0000-0000-000059080000}"/>
    <cellStyle name="Currency 4 5 2 2 2" xfId="1539" xr:uid="{00000000-0005-0000-0000-00005A080000}"/>
    <cellStyle name="Currency 4 5 2 2 2 2" xfId="1540" xr:uid="{00000000-0005-0000-0000-00005B080000}"/>
    <cellStyle name="Currency 4 5 2 2 2 2 2" xfId="46625" xr:uid="{00000000-0005-0000-0000-00005C080000}"/>
    <cellStyle name="Currency 4 5 2 2 2 2 3" xfId="46626" xr:uid="{00000000-0005-0000-0000-00005D080000}"/>
    <cellStyle name="Currency 4 5 2 2 2 3" xfId="1541" xr:uid="{00000000-0005-0000-0000-00005E080000}"/>
    <cellStyle name="Currency 4 5 2 2 2 3 2" xfId="46627" xr:uid="{00000000-0005-0000-0000-00005F080000}"/>
    <cellStyle name="Currency 4 5 2 2 2 4" xfId="1542" xr:uid="{00000000-0005-0000-0000-000060080000}"/>
    <cellStyle name="Currency 4 5 2 2 2 5" xfId="1543" xr:uid="{00000000-0005-0000-0000-000061080000}"/>
    <cellStyle name="Currency 4 5 2 2 2 6" xfId="1544" xr:uid="{00000000-0005-0000-0000-000062080000}"/>
    <cellStyle name="Currency 4 5 2 2 3" xfId="1545" xr:uid="{00000000-0005-0000-0000-000063080000}"/>
    <cellStyle name="Currency 4 5 2 2 3 2" xfId="46628" xr:uid="{00000000-0005-0000-0000-000064080000}"/>
    <cellStyle name="Currency 4 5 2 2 3 3" xfId="46629" xr:uid="{00000000-0005-0000-0000-000065080000}"/>
    <cellStyle name="Currency 4 5 2 2 4" xfId="1546" xr:uid="{00000000-0005-0000-0000-000066080000}"/>
    <cellStyle name="Currency 4 5 2 2 4 2" xfId="46630" xr:uid="{00000000-0005-0000-0000-000067080000}"/>
    <cellStyle name="Currency 4 5 2 2 5" xfId="1547" xr:uid="{00000000-0005-0000-0000-000068080000}"/>
    <cellStyle name="Currency 4 5 2 2 6" xfId="1548" xr:uid="{00000000-0005-0000-0000-000069080000}"/>
    <cellStyle name="Currency 4 5 2 2 7" xfId="1549" xr:uid="{00000000-0005-0000-0000-00006A080000}"/>
    <cellStyle name="Currency 4 5 2 3" xfId="1550" xr:uid="{00000000-0005-0000-0000-00006B080000}"/>
    <cellStyle name="Currency 4 5 2 3 2" xfId="1551" xr:uid="{00000000-0005-0000-0000-00006C080000}"/>
    <cellStyle name="Currency 4 5 2 3 2 2" xfId="46631" xr:uid="{00000000-0005-0000-0000-00006D080000}"/>
    <cellStyle name="Currency 4 5 2 3 2 3" xfId="46632" xr:uid="{00000000-0005-0000-0000-00006E080000}"/>
    <cellStyle name="Currency 4 5 2 3 3" xfId="1552" xr:uid="{00000000-0005-0000-0000-00006F080000}"/>
    <cellStyle name="Currency 4 5 2 3 3 2" xfId="46633" xr:uid="{00000000-0005-0000-0000-000070080000}"/>
    <cellStyle name="Currency 4 5 2 3 4" xfId="1553" xr:uid="{00000000-0005-0000-0000-000071080000}"/>
    <cellStyle name="Currency 4 5 2 3 5" xfId="1554" xr:uid="{00000000-0005-0000-0000-000072080000}"/>
    <cellStyle name="Currency 4 5 2 3 6" xfId="1555" xr:uid="{00000000-0005-0000-0000-000073080000}"/>
    <cellStyle name="Currency 4 5 2 4" xfId="1556" xr:uid="{00000000-0005-0000-0000-000074080000}"/>
    <cellStyle name="Currency 4 5 2 4 2" xfId="46634" xr:uid="{00000000-0005-0000-0000-000075080000}"/>
    <cellStyle name="Currency 4 5 2 4 3" xfId="46635" xr:uid="{00000000-0005-0000-0000-000076080000}"/>
    <cellStyle name="Currency 4 5 2 5" xfId="1557" xr:uid="{00000000-0005-0000-0000-000077080000}"/>
    <cellStyle name="Currency 4 5 2 5 2" xfId="46636" xr:uid="{00000000-0005-0000-0000-000078080000}"/>
    <cellStyle name="Currency 4 5 2 6" xfId="1558" xr:uid="{00000000-0005-0000-0000-000079080000}"/>
    <cellStyle name="Currency 4 5 2 7" xfId="1559" xr:uid="{00000000-0005-0000-0000-00007A080000}"/>
    <cellStyle name="Currency 4 5 2 8" xfId="1560" xr:uid="{00000000-0005-0000-0000-00007B080000}"/>
    <cellStyle name="Currency 4 5 2 9" xfId="1561" xr:uid="{00000000-0005-0000-0000-00007C080000}"/>
    <cellStyle name="Currency 4 5 3" xfId="1562" xr:uid="{00000000-0005-0000-0000-00007D080000}"/>
    <cellStyle name="Currency 4 5 3 2" xfId="1563" xr:uid="{00000000-0005-0000-0000-00007E080000}"/>
    <cellStyle name="Currency 4 5 3 2 2" xfId="1564" xr:uid="{00000000-0005-0000-0000-00007F080000}"/>
    <cellStyle name="Currency 4 5 3 2 2 2" xfId="1565" xr:uid="{00000000-0005-0000-0000-000080080000}"/>
    <cellStyle name="Currency 4 5 3 2 2 2 2" xfId="46637" xr:uid="{00000000-0005-0000-0000-000081080000}"/>
    <cellStyle name="Currency 4 5 3 2 2 2 3" xfId="46638" xr:uid="{00000000-0005-0000-0000-000082080000}"/>
    <cellStyle name="Currency 4 5 3 2 2 3" xfId="1566" xr:uid="{00000000-0005-0000-0000-000083080000}"/>
    <cellStyle name="Currency 4 5 3 2 2 3 2" xfId="46639" xr:uid="{00000000-0005-0000-0000-000084080000}"/>
    <cellStyle name="Currency 4 5 3 2 2 4" xfId="1567" xr:uid="{00000000-0005-0000-0000-000085080000}"/>
    <cellStyle name="Currency 4 5 3 2 2 5" xfId="1568" xr:uid="{00000000-0005-0000-0000-000086080000}"/>
    <cellStyle name="Currency 4 5 3 2 2 6" xfId="1569" xr:uid="{00000000-0005-0000-0000-000087080000}"/>
    <cellStyle name="Currency 4 5 3 2 3" xfId="1570" xr:uid="{00000000-0005-0000-0000-000088080000}"/>
    <cellStyle name="Currency 4 5 3 2 3 2" xfId="46640" xr:uid="{00000000-0005-0000-0000-000089080000}"/>
    <cellStyle name="Currency 4 5 3 2 3 3" xfId="46641" xr:uid="{00000000-0005-0000-0000-00008A080000}"/>
    <cellStyle name="Currency 4 5 3 2 4" xfId="1571" xr:uid="{00000000-0005-0000-0000-00008B080000}"/>
    <cellStyle name="Currency 4 5 3 2 4 2" xfId="46642" xr:uid="{00000000-0005-0000-0000-00008C080000}"/>
    <cellStyle name="Currency 4 5 3 2 5" xfId="1572" xr:uid="{00000000-0005-0000-0000-00008D080000}"/>
    <cellStyle name="Currency 4 5 3 2 6" xfId="1573" xr:uid="{00000000-0005-0000-0000-00008E080000}"/>
    <cellStyle name="Currency 4 5 3 2 7" xfId="1574" xr:uid="{00000000-0005-0000-0000-00008F080000}"/>
    <cellStyle name="Currency 4 5 3 3" xfId="1575" xr:uid="{00000000-0005-0000-0000-000090080000}"/>
    <cellStyle name="Currency 4 5 3 3 2" xfId="1576" xr:uid="{00000000-0005-0000-0000-000091080000}"/>
    <cellStyle name="Currency 4 5 3 3 2 2" xfId="46643" xr:uid="{00000000-0005-0000-0000-000092080000}"/>
    <cellStyle name="Currency 4 5 3 3 2 3" xfId="46644" xr:uid="{00000000-0005-0000-0000-000093080000}"/>
    <cellStyle name="Currency 4 5 3 3 3" xfId="1577" xr:uid="{00000000-0005-0000-0000-000094080000}"/>
    <cellStyle name="Currency 4 5 3 3 3 2" xfId="46645" xr:uid="{00000000-0005-0000-0000-000095080000}"/>
    <cellStyle name="Currency 4 5 3 3 4" xfId="1578" xr:uid="{00000000-0005-0000-0000-000096080000}"/>
    <cellStyle name="Currency 4 5 3 3 5" xfId="1579" xr:uid="{00000000-0005-0000-0000-000097080000}"/>
    <cellStyle name="Currency 4 5 3 3 6" xfId="1580" xr:uid="{00000000-0005-0000-0000-000098080000}"/>
    <cellStyle name="Currency 4 5 3 4" xfId="1581" xr:uid="{00000000-0005-0000-0000-000099080000}"/>
    <cellStyle name="Currency 4 5 3 4 2" xfId="46646" xr:uid="{00000000-0005-0000-0000-00009A080000}"/>
    <cellStyle name="Currency 4 5 3 4 3" xfId="46647" xr:uid="{00000000-0005-0000-0000-00009B080000}"/>
    <cellStyle name="Currency 4 5 3 5" xfId="1582" xr:uid="{00000000-0005-0000-0000-00009C080000}"/>
    <cellStyle name="Currency 4 5 3 5 2" xfId="46648" xr:uid="{00000000-0005-0000-0000-00009D080000}"/>
    <cellStyle name="Currency 4 5 3 6" xfId="1583" xr:uid="{00000000-0005-0000-0000-00009E080000}"/>
    <cellStyle name="Currency 4 5 3 7" xfId="1584" xr:uid="{00000000-0005-0000-0000-00009F080000}"/>
    <cellStyle name="Currency 4 5 3 8" xfId="1585" xr:uid="{00000000-0005-0000-0000-0000A0080000}"/>
    <cellStyle name="Currency 4 5 4" xfId="1586" xr:uid="{00000000-0005-0000-0000-0000A1080000}"/>
    <cellStyle name="Currency 4 5 4 2" xfId="1587" xr:uid="{00000000-0005-0000-0000-0000A2080000}"/>
    <cellStyle name="Currency 4 5 4 2 2" xfId="1588" xr:uid="{00000000-0005-0000-0000-0000A3080000}"/>
    <cellStyle name="Currency 4 5 4 2 2 2" xfId="46649" xr:uid="{00000000-0005-0000-0000-0000A4080000}"/>
    <cellStyle name="Currency 4 5 4 2 2 3" xfId="46650" xr:uid="{00000000-0005-0000-0000-0000A5080000}"/>
    <cellStyle name="Currency 4 5 4 2 3" xfId="1589" xr:uid="{00000000-0005-0000-0000-0000A6080000}"/>
    <cellStyle name="Currency 4 5 4 2 3 2" xfId="46651" xr:uid="{00000000-0005-0000-0000-0000A7080000}"/>
    <cellStyle name="Currency 4 5 4 2 4" xfId="1590" xr:uid="{00000000-0005-0000-0000-0000A8080000}"/>
    <cellStyle name="Currency 4 5 4 2 5" xfId="1591" xr:uid="{00000000-0005-0000-0000-0000A9080000}"/>
    <cellStyle name="Currency 4 5 4 2 6" xfId="1592" xr:uid="{00000000-0005-0000-0000-0000AA080000}"/>
    <cellStyle name="Currency 4 5 4 3" xfId="1593" xr:uid="{00000000-0005-0000-0000-0000AB080000}"/>
    <cellStyle name="Currency 4 5 4 3 2" xfId="46652" xr:uid="{00000000-0005-0000-0000-0000AC080000}"/>
    <cellStyle name="Currency 4 5 4 3 3" xfId="46653" xr:uid="{00000000-0005-0000-0000-0000AD080000}"/>
    <cellStyle name="Currency 4 5 4 4" xfId="1594" xr:uid="{00000000-0005-0000-0000-0000AE080000}"/>
    <cellStyle name="Currency 4 5 4 4 2" xfId="46654" xr:uid="{00000000-0005-0000-0000-0000AF080000}"/>
    <cellStyle name="Currency 4 5 4 5" xfId="1595" xr:uid="{00000000-0005-0000-0000-0000B0080000}"/>
    <cellStyle name="Currency 4 5 4 6" xfId="1596" xr:uid="{00000000-0005-0000-0000-0000B1080000}"/>
    <cellStyle name="Currency 4 5 4 7" xfId="1597" xr:uid="{00000000-0005-0000-0000-0000B2080000}"/>
    <cellStyle name="Currency 4 5 5" xfId="1598" xr:uid="{00000000-0005-0000-0000-0000B3080000}"/>
    <cellStyle name="Currency 4 5 5 2" xfId="1599" xr:uid="{00000000-0005-0000-0000-0000B4080000}"/>
    <cellStyle name="Currency 4 5 5 2 2" xfId="46655" xr:uid="{00000000-0005-0000-0000-0000B5080000}"/>
    <cellStyle name="Currency 4 5 5 2 3" xfId="46656" xr:uid="{00000000-0005-0000-0000-0000B6080000}"/>
    <cellStyle name="Currency 4 5 5 3" xfId="1600" xr:uid="{00000000-0005-0000-0000-0000B7080000}"/>
    <cellStyle name="Currency 4 5 5 3 2" xfId="46657" xr:uid="{00000000-0005-0000-0000-0000B8080000}"/>
    <cellStyle name="Currency 4 5 5 4" xfId="1601" xr:uid="{00000000-0005-0000-0000-0000B9080000}"/>
    <cellStyle name="Currency 4 5 5 5" xfId="1602" xr:uid="{00000000-0005-0000-0000-0000BA080000}"/>
    <cellStyle name="Currency 4 5 5 6" xfId="1603" xr:uid="{00000000-0005-0000-0000-0000BB080000}"/>
    <cellStyle name="Currency 4 5 6" xfId="1604" xr:uid="{00000000-0005-0000-0000-0000BC080000}"/>
    <cellStyle name="Currency 4 5 6 2" xfId="46658" xr:uid="{00000000-0005-0000-0000-0000BD080000}"/>
    <cellStyle name="Currency 4 5 6 3" xfId="46659" xr:uid="{00000000-0005-0000-0000-0000BE080000}"/>
    <cellStyle name="Currency 4 5 7" xfId="1605" xr:uid="{00000000-0005-0000-0000-0000BF080000}"/>
    <cellStyle name="Currency 4 5 7 2" xfId="46660" xr:uid="{00000000-0005-0000-0000-0000C0080000}"/>
    <cellStyle name="Currency 4 5 8" xfId="1606" xr:uid="{00000000-0005-0000-0000-0000C1080000}"/>
    <cellStyle name="Currency 4 5 9" xfId="1607" xr:uid="{00000000-0005-0000-0000-0000C2080000}"/>
    <cellStyle name="Currency 4 6" xfId="1608" xr:uid="{00000000-0005-0000-0000-0000C3080000}"/>
    <cellStyle name="Currency 4 6 10" xfId="1609" xr:uid="{00000000-0005-0000-0000-0000C4080000}"/>
    <cellStyle name="Currency 4 6 11" xfId="1610" xr:uid="{00000000-0005-0000-0000-0000C5080000}"/>
    <cellStyle name="Currency 4 6 12" xfId="1611" xr:uid="{00000000-0005-0000-0000-0000C6080000}"/>
    <cellStyle name="Currency 4 6 13" xfId="1612" xr:uid="{00000000-0005-0000-0000-0000C7080000}"/>
    <cellStyle name="Currency 4 6 2" xfId="1613" xr:uid="{00000000-0005-0000-0000-0000C8080000}"/>
    <cellStyle name="Currency 4 6 2 2" xfId="1614" xr:uid="{00000000-0005-0000-0000-0000C9080000}"/>
    <cellStyle name="Currency 4 6 2 2 2" xfId="1615" xr:uid="{00000000-0005-0000-0000-0000CA080000}"/>
    <cellStyle name="Currency 4 6 2 2 2 2" xfId="1616" xr:uid="{00000000-0005-0000-0000-0000CB080000}"/>
    <cellStyle name="Currency 4 6 2 2 2 2 2" xfId="46661" xr:uid="{00000000-0005-0000-0000-0000CC080000}"/>
    <cellStyle name="Currency 4 6 2 2 2 2 3" xfId="46662" xr:uid="{00000000-0005-0000-0000-0000CD080000}"/>
    <cellStyle name="Currency 4 6 2 2 2 3" xfId="1617" xr:uid="{00000000-0005-0000-0000-0000CE080000}"/>
    <cellStyle name="Currency 4 6 2 2 2 3 2" xfId="46663" xr:uid="{00000000-0005-0000-0000-0000CF080000}"/>
    <cellStyle name="Currency 4 6 2 2 2 4" xfId="1618" xr:uid="{00000000-0005-0000-0000-0000D0080000}"/>
    <cellStyle name="Currency 4 6 2 2 2 5" xfId="1619" xr:uid="{00000000-0005-0000-0000-0000D1080000}"/>
    <cellStyle name="Currency 4 6 2 2 2 6" xfId="1620" xr:uid="{00000000-0005-0000-0000-0000D2080000}"/>
    <cellStyle name="Currency 4 6 2 2 3" xfId="1621" xr:uid="{00000000-0005-0000-0000-0000D3080000}"/>
    <cellStyle name="Currency 4 6 2 2 3 2" xfId="46664" xr:uid="{00000000-0005-0000-0000-0000D4080000}"/>
    <cellStyle name="Currency 4 6 2 2 3 3" xfId="46665" xr:uid="{00000000-0005-0000-0000-0000D5080000}"/>
    <cellStyle name="Currency 4 6 2 2 4" xfId="1622" xr:uid="{00000000-0005-0000-0000-0000D6080000}"/>
    <cellStyle name="Currency 4 6 2 2 4 2" xfId="46666" xr:uid="{00000000-0005-0000-0000-0000D7080000}"/>
    <cellStyle name="Currency 4 6 2 2 5" xfId="1623" xr:uid="{00000000-0005-0000-0000-0000D8080000}"/>
    <cellStyle name="Currency 4 6 2 2 6" xfId="1624" xr:uid="{00000000-0005-0000-0000-0000D9080000}"/>
    <cellStyle name="Currency 4 6 2 2 7" xfId="1625" xr:uid="{00000000-0005-0000-0000-0000DA080000}"/>
    <cellStyle name="Currency 4 6 2 3" xfId="1626" xr:uid="{00000000-0005-0000-0000-0000DB080000}"/>
    <cellStyle name="Currency 4 6 2 3 2" xfId="1627" xr:uid="{00000000-0005-0000-0000-0000DC080000}"/>
    <cellStyle name="Currency 4 6 2 3 2 2" xfId="46667" xr:uid="{00000000-0005-0000-0000-0000DD080000}"/>
    <cellStyle name="Currency 4 6 2 3 2 3" xfId="46668" xr:uid="{00000000-0005-0000-0000-0000DE080000}"/>
    <cellStyle name="Currency 4 6 2 3 3" xfId="1628" xr:uid="{00000000-0005-0000-0000-0000DF080000}"/>
    <cellStyle name="Currency 4 6 2 3 3 2" xfId="46669" xr:uid="{00000000-0005-0000-0000-0000E0080000}"/>
    <cellStyle name="Currency 4 6 2 3 4" xfId="1629" xr:uid="{00000000-0005-0000-0000-0000E1080000}"/>
    <cellStyle name="Currency 4 6 2 3 5" xfId="1630" xr:uid="{00000000-0005-0000-0000-0000E2080000}"/>
    <cellStyle name="Currency 4 6 2 3 6" xfId="1631" xr:uid="{00000000-0005-0000-0000-0000E3080000}"/>
    <cellStyle name="Currency 4 6 2 4" xfId="1632" xr:uid="{00000000-0005-0000-0000-0000E4080000}"/>
    <cellStyle name="Currency 4 6 2 4 2" xfId="46670" xr:uid="{00000000-0005-0000-0000-0000E5080000}"/>
    <cellStyle name="Currency 4 6 2 4 3" xfId="46671" xr:uid="{00000000-0005-0000-0000-0000E6080000}"/>
    <cellStyle name="Currency 4 6 2 5" xfId="1633" xr:uid="{00000000-0005-0000-0000-0000E7080000}"/>
    <cellStyle name="Currency 4 6 2 5 2" xfId="46672" xr:uid="{00000000-0005-0000-0000-0000E8080000}"/>
    <cellStyle name="Currency 4 6 2 6" xfId="1634" xr:uid="{00000000-0005-0000-0000-0000E9080000}"/>
    <cellStyle name="Currency 4 6 2 7" xfId="1635" xr:uid="{00000000-0005-0000-0000-0000EA080000}"/>
    <cellStyle name="Currency 4 6 2 8" xfId="1636" xr:uid="{00000000-0005-0000-0000-0000EB080000}"/>
    <cellStyle name="Currency 4 6 2 9" xfId="1637" xr:uid="{00000000-0005-0000-0000-0000EC080000}"/>
    <cellStyle name="Currency 4 6 3" xfId="1638" xr:uid="{00000000-0005-0000-0000-0000ED080000}"/>
    <cellStyle name="Currency 4 6 3 2" xfId="1639" xr:uid="{00000000-0005-0000-0000-0000EE080000}"/>
    <cellStyle name="Currency 4 6 3 2 2" xfId="1640" xr:uid="{00000000-0005-0000-0000-0000EF080000}"/>
    <cellStyle name="Currency 4 6 3 2 2 2" xfId="46673" xr:uid="{00000000-0005-0000-0000-0000F0080000}"/>
    <cellStyle name="Currency 4 6 3 2 2 3" xfId="46674" xr:uid="{00000000-0005-0000-0000-0000F1080000}"/>
    <cellStyle name="Currency 4 6 3 2 3" xfId="1641" xr:uid="{00000000-0005-0000-0000-0000F2080000}"/>
    <cellStyle name="Currency 4 6 3 2 3 2" xfId="46675" xr:uid="{00000000-0005-0000-0000-0000F3080000}"/>
    <cellStyle name="Currency 4 6 3 2 4" xfId="1642" xr:uid="{00000000-0005-0000-0000-0000F4080000}"/>
    <cellStyle name="Currency 4 6 3 2 5" xfId="1643" xr:uid="{00000000-0005-0000-0000-0000F5080000}"/>
    <cellStyle name="Currency 4 6 3 2 6" xfId="1644" xr:uid="{00000000-0005-0000-0000-0000F6080000}"/>
    <cellStyle name="Currency 4 6 3 3" xfId="1645" xr:uid="{00000000-0005-0000-0000-0000F7080000}"/>
    <cellStyle name="Currency 4 6 3 3 2" xfId="46676" xr:uid="{00000000-0005-0000-0000-0000F8080000}"/>
    <cellStyle name="Currency 4 6 3 3 3" xfId="46677" xr:uid="{00000000-0005-0000-0000-0000F9080000}"/>
    <cellStyle name="Currency 4 6 3 4" xfId="1646" xr:uid="{00000000-0005-0000-0000-0000FA080000}"/>
    <cellStyle name="Currency 4 6 3 4 2" xfId="46678" xr:uid="{00000000-0005-0000-0000-0000FB080000}"/>
    <cellStyle name="Currency 4 6 3 5" xfId="1647" xr:uid="{00000000-0005-0000-0000-0000FC080000}"/>
    <cellStyle name="Currency 4 6 3 6" xfId="1648" xr:uid="{00000000-0005-0000-0000-0000FD080000}"/>
    <cellStyle name="Currency 4 6 3 7" xfId="1649" xr:uid="{00000000-0005-0000-0000-0000FE080000}"/>
    <cellStyle name="Currency 4 6 4" xfId="1650" xr:uid="{00000000-0005-0000-0000-0000FF080000}"/>
    <cellStyle name="Currency 4 6 4 2" xfId="1651" xr:uid="{00000000-0005-0000-0000-000000090000}"/>
    <cellStyle name="Currency 4 6 4 2 2" xfId="46679" xr:uid="{00000000-0005-0000-0000-000001090000}"/>
    <cellStyle name="Currency 4 6 4 2 3" xfId="46680" xr:uid="{00000000-0005-0000-0000-000002090000}"/>
    <cellStyle name="Currency 4 6 4 3" xfId="1652" xr:uid="{00000000-0005-0000-0000-000003090000}"/>
    <cellStyle name="Currency 4 6 4 3 2" xfId="46681" xr:uid="{00000000-0005-0000-0000-000004090000}"/>
    <cellStyle name="Currency 4 6 4 4" xfId="1653" xr:uid="{00000000-0005-0000-0000-000005090000}"/>
    <cellStyle name="Currency 4 6 4 5" xfId="1654" xr:uid="{00000000-0005-0000-0000-000006090000}"/>
    <cellStyle name="Currency 4 6 4 6" xfId="1655" xr:uid="{00000000-0005-0000-0000-000007090000}"/>
    <cellStyle name="Currency 4 6 5" xfId="1656" xr:uid="{00000000-0005-0000-0000-000008090000}"/>
    <cellStyle name="Currency 4 6 5 2" xfId="46682" xr:uid="{00000000-0005-0000-0000-000009090000}"/>
    <cellStyle name="Currency 4 6 5 3" xfId="46683" xr:uid="{00000000-0005-0000-0000-00000A090000}"/>
    <cellStyle name="Currency 4 6 6" xfId="1657" xr:uid="{00000000-0005-0000-0000-00000B090000}"/>
    <cellStyle name="Currency 4 6 6 2" xfId="46684" xr:uid="{00000000-0005-0000-0000-00000C090000}"/>
    <cellStyle name="Currency 4 6 7" xfId="1658" xr:uid="{00000000-0005-0000-0000-00000D090000}"/>
    <cellStyle name="Currency 4 6 8" xfId="1659" xr:uid="{00000000-0005-0000-0000-00000E090000}"/>
    <cellStyle name="Currency 4 6 9" xfId="1660" xr:uid="{00000000-0005-0000-0000-00000F090000}"/>
    <cellStyle name="Currency 4 7" xfId="1661" xr:uid="{00000000-0005-0000-0000-000010090000}"/>
    <cellStyle name="Currency 4 7 2" xfId="1662" xr:uid="{00000000-0005-0000-0000-000011090000}"/>
    <cellStyle name="Currency 4 7 2 2" xfId="1663" xr:uid="{00000000-0005-0000-0000-000012090000}"/>
    <cellStyle name="Currency 4 7 2 2 2" xfId="1664" xr:uid="{00000000-0005-0000-0000-000013090000}"/>
    <cellStyle name="Currency 4 7 2 2 2 2" xfId="46685" xr:uid="{00000000-0005-0000-0000-000014090000}"/>
    <cellStyle name="Currency 4 7 2 2 2 3" xfId="46686" xr:uid="{00000000-0005-0000-0000-000015090000}"/>
    <cellStyle name="Currency 4 7 2 2 3" xfId="1665" xr:uid="{00000000-0005-0000-0000-000016090000}"/>
    <cellStyle name="Currency 4 7 2 2 3 2" xfId="46687" xr:uid="{00000000-0005-0000-0000-000017090000}"/>
    <cellStyle name="Currency 4 7 2 2 4" xfId="1666" xr:uid="{00000000-0005-0000-0000-000018090000}"/>
    <cellStyle name="Currency 4 7 2 2 5" xfId="1667" xr:uid="{00000000-0005-0000-0000-000019090000}"/>
    <cellStyle name="Currency 4 7 2 2 6" xfId="1668" xr:uid="{00000000-0005-0000-0000-00001A090000}"/>
    <cellStyle name="Currency 4 7 2 3" xfId="1669" xr:uid="{00000000-0005-0000-0000-00001B090000}"/>
    <cellStyle name="Currency 4 7 2 3 2" xfId="46688" xr:uid="{00000000-0005-0000-0000-00001C090000}"/>
    <cellStyle name="Currency 4 7 2 3 3" xfId="46689" xr:uid="{00000000-0005-0000-0000-00001D090000}"/>
    <cellStyle name="Currency 4 7 2 4" xfId="1670" xr:uid="{00000000-0005-0000-0000-00001E090000}"/>
    <cellStyle name="Currency 4 7 2 4 2" xfId="46690" xr:uid="{00000000-0005-0000-0000-00001F090000}"/>
    <cellStyle name="Currency 4 7 2 5" xfId="1671" xr:uid="{00000000-0005-0000-0000-000020090000}"/>
    <cellStyle name="Currency 4 7 2 6" xfId="1672" xr:uid="{00000000-0005-0000-0000-000021090000}"/>
    <cellStyle name="Currency 4 7 2 7" xfId="1673" xr:uid="{00000000-0005-0000-0000-000022090000}"/>
    <cellStyle name="Currency 4 7 3" xfId="1674" xr:uid="{00000000-0005-0000-0000-000023090000}"/>
    <cellStyle name="Currency 4 7 3 2" xfId="1675" xr:uid="{00000000-0005-0000-0000-000024090000}"/>
    <cellStyle name="Currency 4 7 3 2 2" xfId="46691" xr:uid="{00000000-0005-0000-0000-000025090000}"/>
    <cellStyle name="Currency 4 7 3 2 3" xfId="46692" xr:uid="{00000000-0005-0000-0000-000026090000}"/>
    <cellStyle name="Currency 4 7 3 3" xfId="1676" xr:uid="{00000000-0005-0000-0000-000027090000}"/>
    <cellStyle name="Currency 4 7 3 3 2" xfId="46693" xr:uid="{00000000-0005-0000-0000-000028090000}"/>
    <cellStyle name="Currency 4 7 3 4" xfId="1677" xr:uid="{00000000-0005-0000-0000-000029090000}"/>
    <cellStyle name="Currency 4 7 3 5" xfId="1678" xr:uid="{00000000-0005-0000-0000-00002A090000}"/>
    <cellStyle name="Currency 4 7 3 6" xfId="1679" xr:uid="{00000000-0005-0000-0000-00002B090000}"/>
    <cellStyle name="Currency 4 7 4" xfId="1680" xr:uid="{00000000-0005-0000-0000-00002C090000}"/>
    <cellStyle name="Currency 4 7 4 2" xfId="46694" xr:uid="{00000000-0005-0000-0000-00002D090000}"/>
    <cellStyle name="Currency 4 7 4 3" xfId="46695" xr:uid="{00000000-0005-0000-0000-00002E090000}"/>
    <cellStyle name="Currency 4 7 5" xfId="1681" xr:uid="{00000000-0005-0000-0000-00002F090000}"/>
    <cellStyle name="Currency 4 7 5 2" xfId="46696" xr:uid="{00000000-0005-0000-0000-000030090000}"/>
    <cellStyle name="Currency 4 7 6" xfId="1682" xr:uid="{00000000-0005-0000-0000-000031090000}"/>
    <cellStyle name="Currency 4 7 7" xfId="1683" xr:uid="{00000000-0005-0000-0000-000032090000}"/>
    <cellStyle name="Currency 4 7 8" xfId="1684" xr:uid="{00000000-0005-0000-0000-000033090000}"/>
    <cellStyle name="Currency 4 7 9" xfId="1685" xr:uid="{00000000-0005-0000-0000-000034090000}"/>
    <cellStyle name="Currency 4 8" xfId="1686" xr:uid="{00000000-0005-0000-0000-000035090000}"/>
    <cellStyle name="Currency 4 8 2" xfId="1687" xr:uid="{00000000-0005-0000-0000-000036090000}"/>
    <cellStyle name="Currency 4 8 2 2" xfId="1688" xr:uid="{00000000-0005-0000-0000-000037090000}"/>
    <cellStyle name="Currency 4 8 2 2 2" xfId="1689" xr:uid="{00000000-0005-0000-0000-000038090000}"/>
    <cellStyle name="Currency 4 8 2 2 2 2" xfId="46697" xr:uid="{00000000-0005-0000-0000-000039090000}"/>
    <cellStyle name="Currency 4 8 2 2 2 3" xfId="46698" xr:uid="{00000000-0005-0000-0000-00003A090000}"/>
    <cellStyle name="Currency 4 8 2 2 3" xfId="1690" xr:uid="{00000000-0005-0000-0000-00003B090000}"/>
    <cellStyle name="Currency 4 8 2 2 3 2" xfId="46699" xr:uid="{00000000-0005-0000-0000-00003C090000}"/>
    <cellStyle name="Currency 4 8 2 2 4" xfId="1691" xr:uid="{00000000-0005-0000-0000-00003D090000}"/>
    <cellStyle name="Currency 4 8 2 2 5" xfId="1692" xr:uid="{00000000-0005-0000-0000-00003E090000}"/>
    <cellStyle name="Currency 4 8 2 2 6" xfId="1693" xr:uid="{00000000-0005-0000-0000-00003F090000}"/>
    <cellStyle name="Currency 4 8 2 3" xfId="1694" xr:uid="{00000000-0005-0000-0000-000040090000}"/>
    <cellStyle name="Currency 4 8 2 3 2" xfId="46700" xr:uid="{00000000-0005-0000-0000-000041090000}"/>
    <cellStyle name="Currency 4 8 2 3 3" xfId="46701" xr:uid="{00000000-0005-0000-0000-000042090000}"/>
    <cellStyle name="Currency 4 8 2 4" xfId="1695" xr:uid="{00000000-0005-0000-0000-000043090000}"/>
    <cellStyle name="Currency 4 8 2 4 2" xfId="46702" xr:uid="{00000000-0005-0000-0000-000044090000}"/>
    <cellStyle name="Currency 4 8 2 5" xfId="1696" xr:uid="{00000000-0005-0000-0000-000045090000}"/>
    <cellStyle name="Currency 4 8 2 6" xfId="1697" xr:uid="{00000000-0005-0000-0000-000046090000}"/>
    <cellStyle name="Currency 4 8 2 7" xfId="1698" xr:uid="{00000000-0005-0000-0000-000047090000}"/>
    <cellStyle name="Currency 4 8 3" xfId="1699" xr:uid="{00000000-0005-0000-0000-000048090000}"/>
    <cellStyle name="Currency 4 8 3 2" xfId="1700" xr:uid="{00000000-0005-0000-0000-000049090000}"/>
    <cellStyle name="Currency 4 8 3 2 2" xfId="46703" xr:uid="{00000000-0005-0000-0000-00004A090000}"/>
    <cellStyle name="Currency 4 8 3 2 3" xfId="46704" xr:uid="{00000000-0005-0000-0000-00004B090000}"/>
    <cellStyle name="Currency 4 8 3 3" xfId="1701" xr:uid="{00000000-0005-0000-0000-00004C090000}"/>
    <cellStyle name="Currency 4 8 3 3 2" xfId="46705" xr:uid="{00000000-0005-0000-0000-00004D090000}"/>
    <cellStyle name="Currency 4 8 3 4" xfId="1702" xr:uid="{00000000-0005-0000-0000-00004E090000}"/>
    <cellStyle name="Currency 4 8 3 5" xfId="1703" xr:uid="{00000000-0005-0000-0000-00004F090000}"/>
    <cellStyle name="Currency 4 8 3 6" xfId="1704" xr:uid="{00000000-0005-0000-0000-000050090000}"/>
    <cellStyle name="Currency 4 8 4" xfId="1705" xr:uid="{00000000-0005-0000-0000-000051090000}"/>
    <cellStyle name="Currency 4 8 4 2" xfId="46706" xr:uid="{00000000-0005-0000-0000-000052090000}"/>
    <cellStyle name="Currency 4 8 4 3" xfId="46707" xr:uid="{00000000-0005-0000-0000-000053090000}"/>
    <cellStyle name="Currency 4 8 5" xfId="1706" xr:uid="{00000000-0005-0000-0000-000054090000}"/>
    <cellStyle name="Currency 4 8 5 2" xfId="46708" xr:uid="{00000000-0005-0000-0000-000055090000}"/>
    <cellStyle name="Currency 4 8 6" xfId="1707" xr:uid="{00000000-0005-0000-0000-000056090000}"/>
    <cellStyle name="Currency 4 8 7" xfId="1708" xr:uid="{00000000-0005-0000-0000-000057090000}"/>
    <cellStyle name="Currency 4 8 8" xfId="1709" xr:uid="{00000000-0005-0000-0000-000058090000}"/>
    <cellStyle name="Currency 4 9" xfId="1710" xr:uid="{00000000-0005-0000-0000-000059090000}"/>
    <cellStyle name="Currency 4 9 2" xfId="1711" xr:uid="{00000000-0005-0000-0000-00005A090000}"/>
    <cellStyle name="Currency 4 9 2 2" xfId="1712" xr:uid="{00000000-0005-0000-0000-00005B090000}"/>
    <cellStyle name="Currency 4 9 2 2 2" xfId="1713" xr:uid="{00000000-0005-0000-0000-00005C090000}"/>
    <cellStyle name="Currency 4 9 2 2 2 2" xfId="46709" xr:uid="{00000000-0005-0000-0000-00005D090000}"/>
    <cellStyle name="Currency 4 9 2 2 2 3" xfId="46710" xr:uid="{00000000-0005-0000-0000-00005E090000}"/>
    <cellStyle name="Currency 4 9 2 2 3" xfId="1714" xr:uid="{00000000-0005-0000-0000-00005F090000}"/>
    <cellStyle name="Currency 4 9 2 2 3 2" xfId="46711" xr:uid="{00000000-0005-0000-0000-000060090000}"/>
    <cellStyle name="Currency 4 9 2 2 4" xfId="1715" xr:uid="{00000000-0005-0000-0000-000061090000}"/>
    <cellStyle name="Currency 4 9 2 2 5" xfId="1716" xr:uid="{00000000-0005-0000-0000-000062090000}"/>
    <cellStyle name="Currency 4 9 2 2 6" xfId="1717" xr:uid="{00000000-0005-0000-0000-000063090000}"/>
    <cellStyle name="Currency 4 9 2 3" xfId="1718" xr:uid="{00000000-0005-0000-0000-000064090000}"/>
    <cellStyle name="Currency 4 9 2 3 2" xfId="46712" xr:uid="{00000000-0005-0000-0000-000065090000}"/>
    <cellStyle name="Currency 4 9 2 3 3" xfId="46713" xr:uid="{00000000-0005-0000-0000-000066090000}"/>
    <cellStyle name="Currency 4 9 2 4" xfId="1719" xr:uid="{00000000-0005-0000-0000-000067090000}"/>
    <cellStyle name="Currency 4 9 2 4 2" xfId="46714" xr:uid="{00000000-0005-0000-0000-000068090000}"/>
    <cellStyle name="Currency 4 9 2 5" xfId="1720" xr:uid="{00000000-0005-0000-0000-000069090000}"/>
    <cellStyle name="Currency 4 9 2 6" xfId="1721" xr:uid="{00000000-0005-0000-0000-00006A090000}"/>
    <cellStyle name="Currency 4 9 2 7" xfId="1722" xr:uid="{00000000-0005-0000-0000-00006B090000}"/>
    <cellStyle name="Currency 4 9 3" xfId="1723" xr:uid="{00000000-0005-0000-0000-00006C090000}"/>
    <cellStyle name="Currency 4 9 3 2" xfId="1724" xr:uid="{00000000-0005-0000-0000-00006D090000}"/>
    <cellStyle name="Currency 4 9 3 2 2" xfId="46715" xr:uid="{00000000-0005-0000-0000-00006E090000}"/>
    <cellStyle name="Currency 4 9 3 2 3" xfId="46716" xr:uid="{00000000-0005-0000-0000-00006F090000}"/>
    <cellStyle name="Currency 4 9 3 3" xfId="1725" xr:uid="{00000000-0005-0000-0000-000070090000}"/>
    <cellStyle name="Currency 4 9 3 3 2" xfId="46717" xr:uid="{00000000-0005-0000-0000-000071090000}"/>
    <cellStyle name="Currency 4 9 3 4" xfId="1726" xr:uid="{00000000-0005-0000-0000-000072090000}"/>
    <cellStyle name="Currency 4 9 3 5" xfId="1727" xr:uid="{00000000-0005-0000-0000-000073090000}"/>
    <cellStyle name="Currency 4 9 3 6" xfId="1728" xr:uid="{00000000-0005-0000-0000-000074090000}"/>
    <cellStyle name="Currency 4 9 4" xfId="1729" xr:uid="{00000000-0005-0000-0000-000075090000}"/>
    <cellStyle name="Currency 4 9 4 2" xfId="46718" xr:uid="{00000000-0005-0000-0000-000076090000}"/>
    <cellStyle name="Currency 4 9 4 3" xfId="46719" xr:uid="{00000000-0005-0000-0000-000077090000}"/>
    <cellStyle name="Currency 4 9 5" xfId="1730" xr:uid="{00000000-0005-0000-0000-000078090000}"/>
    <cellStyle name="Currency 4 9 5 2" xfId="46720" xr:uid="{00000000-0005-0000-0000-000079090000}"/>
    <cellStyle name="Currency 4 9 6" xfId="1731" xr:uid="{00000000-0005-0000-0000-00007A090000}"/>
    <cellStyle name="Currency 4 9 7" xfId="1732" xr:uid="{00000000-0005-0000-0000-00007B090000}"/>
    <cellStyle name="Currency 4 9 8" xfId="1733" xr:uid="{00000000-0005-0000-0000-00007C090000}"/>
    <cellStyle name="Currency 5" xfId="1734" xr:uid="{00000000-0005-0000-0000-00007D090000}"/>
    <cellStyle name="Currency 5 10" xfId="1735" xr:uid="{00000000-0005-0000-0000-00007E090000}"/>
    <cellStyle name="Currency 5 10 2" xfId="46721" xr:uid="{00000000-0005-0000-0000-00007F090000}"/>
    <cellStyle name="Currency 5 10 3" xfId="46722" xr:uid="{00000000-0005-0000-0000-000080090000}"/>
    <cellStyle name="Currency 5 11" xfId="1736" xr:uid="{00000000-0005-0000-0000-000081090000}"/>
    <cellStyle name="Currency 5 11 2" xfId="46723" xr:uid="{00000000-0005-0000-0000-000082090000}"/>
    <cellStyle name="Currency 5 12" xfId="1737" xr:uid="{00000000-0005-0000-0000-000083090000}"/>
    <cellStyle name="Currency 5 13" xfId="1738" xr:uid="{00000000-0005-0000-0000-000084090000}"/>
    <cellStyle name="Currency 5 14" xfId="1739" xr:uid="{00000000-0005-0000-0000-000085090000}"/>
    <cellStyle name="Currency 5 15" xfId="1740" xr:uid="{00000000-0005-0000-0000-000086090000}"/>
    <cellStyle name="Currency 5 16" xfId="1741" xr:uid="{00000000-0005-0000-0000-000087090000}"/>
    <cellStyle name="Currency 5 17" xfId="1742" xr:uid="{00000000-0005-0000-0000-000088090000}"/>
    <cellStyle name="Currency 5 18" xfId="1743" xr:uid="{00000000-0005-0000-0000-000089090000}"/>
    <cellStyle name="Currency 5 19" xfId="1744" xr:uid="{00000000-0005-0000-0000-00008A090000}"/>
    <cellStyle name="Currency 5 2" xfId="1745" xr:uid="{00000000-0005-0000-0000-00008B090000}"/>
    <cellStyle name="Currency 5 2 10" xfId="1746" xr:uid="{00000000-0005-0000-0000-00008C090000}"/>
    <cellStyle name="Currency 5 2 11" xfId="1747" xr:uid="{00000000-0005-0000-0000-00008D090000}"/>
    <cellStyle name="Currency 5 2 12" xfId="1748" xr:uid="{00000000-0005-0000-0000-00008E090000}"/>
    <cellStyle name="Currency 5 2 13" xfId="1749" xr:uid="{00000000-0005-0000-0000-00008F090000}"/>
    <cellStyle name="Currency 5 2 14" xfId="1750" xr:uid="{00000000-0005-0000-0000-000090090000}"/>
    <cellStyle name="Currency 5 2 15" xfId="1751" xr:uid="{00000000-0005-0000-0000-000091090000}"/>
    <cellStyle name="Currency 5 2 2" xfId="1752" xr:uid="{00000000-0005-0000-0000-000092090000}"/>
    <cellStyle name="Currency 5 2 2 2" xfId="1753" xr:uid="{00000000-0005-0000-0000-000093090000}"/>
    <cellStyle name="Currency 5 2 2 2 2" xfId="1754" xr:uid="{00000000-0005-0000-0000-000094090000}"/>
    <cellStyle name="Currency 5 2 2 2 2 2" xfId="1755" xr:uid="{00000000-0005-0000-0000-000095090000}"/>
    <cellStyle name="Currency 5 2 2 2 2 2 2" xfId="46724" xr:uid="{00000000-0005-0000-0000-000096090000}"/>
    <cellStyle name="Currency 5 2 2 2 2 2 3" xfId="46725" xr:uid="{00000000-0005-0000-0000-000097090000}"/>
    <cellStyle name="Currency 5 2 2 2 2 3" xfId="1756" xr:uid="{00000000-0005-0000-0000-000098090000}"/>
    <cellStyle name="Currency 5 2 2 2 2 3 2" xfId="46726" xr:uid="{00000000-0005-0000-0000-000099090000}"/>
    <cellStyle name="Currency 5 2 2 2 2 4" xfId="1757" xr:uid="{00000000-0005-0000-0000-00009A090000}"/>
    <cellStyle name="Currency 5 2 2 2 2 5" xfId="1758" xr:uid="{00000000-0005-0000-0000-00009B090000}"/>
    <cellStyle name="Currency 5 2 2 2 2 6" xfId="1759" xr:uid="{00000000-0005-0000-0000-00009C090000}"/>
    <cellStyle name="Currency 5 2 2 2 3" xfId="1760" xr:uid="{00000000-0005-0000-0000-00009D090000}"/>
    <cellStyle name="Currency 5 2 2 2 3 2" xfId="46727" xr:uid="{00000000-0005-0000-0000-00009E090000}"/>
    <cellStyle name="Currency 5 2 2 2 3 3" xfId="46728" xr:uid="{00000000-0005-0000-0000-00009F090000}"/>
    <cellStyle name="Currency 5 2 2 2 4" xfId="1761" xr:uid="{00000000-0005-0000-0000-0000A0090000}"/>
    <cellStyle name="Currency 5 2 2 2 4 2" xfId="46729" xr:uid="{00000000-0005-0000-0000-0000A1090000}"/>
    <cellStyle name="Currency 5 2 2 2 5" xfId="1762" xr:uid="{00000000-0005-0000-0000-0000A2090000}"/>
    <cellStyle name="Currency 5 2 2 2 6" xfId="1763" xr:uid="{00000000-0005-0000-0000-0000A3090000}"/>
    <cellStyle name="Currency 5 2 2 2 7" xfId="1764" xr:uid="{00000000-0005-0000-0000-0000A4090000}"/>
    <cellStyle name="Currency 5 2 2 3" xfId="1765" xr:uid="{00000000-0005-0000-0000-0000A5090000}"/>
    <cellStyle name="Currency 5 2 2 3 2" xfId="1766" xr:uid="{00000000-0005-0000-0000-0000A6090000}"/>
    <cellStyle name="Currency 5 2 2 3 2 2" xfId="46730" xr:uid="{00000000-0005-0000-0000-0000A7090000}"/>
    <cellStyle name="Currency 5 2 2 3 2 3" xfId="46731" xr:uid="{00000000-0005-0000-0000-0000A8090000}"/>
    <cellStyle name="Currency 5 2 2 3 3" xfId="1767" xr:uid="{00000000-0005-0000-0000-0000A9090000}"/>
    <cellStyle name="Currency 5 2 2 3 3 2" xfId="46732" xr:uid="{00000000-0005-0000-0000-0000AA090000}"/>
    <cellStyle name="Currency 5 2 2 3 4" xfId="1768" xr:uid="{00000000-0005-0000-0000-0000AB090000}"/>
    <cellStyle name="Currency 5 2 2 3 5" xfId="1769" xr:uid="{00000000-0005-0000-0000-0000AC090000}"/>
    <cellStyle name="Currency 5 2 2 3 6" xfId="1770" xr:uid="{00000000-0005-0000-0000-0000AD090000}"/>
    <cellStyle name="Currency 5 2 2 4" xfId="1771" xr:uid="{00000000-0005-0000-0000-0000AE090000}"/>
    <cellStyle name="Currency 5 2 2 4 2" xfId="46733" xr:uid="{00000000-0005-0000-0000-0000AF090000}"/>
    <cellStyle name="Currency 5 2 2 4 3" xfId="46734" xr:uid="{00000000-0005-0000-0000-0000B0090000}"/>
    <cellStyle name="Currency 5 2 2 5" xfId="1772" xr:uid="{00000000-0005-0000-0000-0000B1090000}"/>
    <cellStyle name="Currency 5 2 2 5 2" xfId="46735" xr:uid="{00000000-0005-0000-0000-0000B2090000}"/>
    <cellStyle name="Currency 5 2 2 6" xfId="1773" xr:uid="{00000000-0005-0000-0000-0000B3090000}"/>
    <cellStyle name="Currency 5 2 2 7" xfId="1774" xr:uid="{00000000-0005-0000-0000-0000B4090000}"/>
    <cellStyle name="Currency 5 2 2 8" xfId="1775" xr:uid="{00000000-0005-0000-0000-0000B5090000}"/>
    <cellStyle name="Currency 5 2 2 9" xfId="1776" xr:uid="{00000000-0005-0000-0000-0000B6090000}"/>
    <cellStyle name="Currency 5 2 3" xfId="1777" xr:uid="{00000000-0005-0000-0000-0000B7090000}"/>
    <cellStyle name="Currency 5 2 3 2" xfId="1778" xr:uid="{00000000-0005-0000-0000-0000B8090000}"/>
    <cellStyle name="Currency 5 2 3 2 2" xfId="1779" xr:uid="{00000000-0005-0000-0000-0000B9090000}"/>
    <cellStyle name="Currency 5 2 3 2 2 2" xfId="1780" xr:uid="{00000000-0005-0000-0000-0000BA090000}"/>
    <cellStyle name="Currency 5 2 3 2 2 2 2" xfId="46736" xr:uid="{00000000-0005-0000-0000-0000BB090000}"/>
    <cellStyle name="Currency 5 2 3 2 2 2 3" xfId="46737" xr:uid="{00000000-0005-0000-0000-0000BC090000}"/>
    <cellStyle name="Currency 5 2 3 2 2 3" xfId="1781" xr:uid="{00000000-0005-0000-0000-0000BD090000}"/>
    <cellStyle name="Currency 5 2 3 2 2 3 2" xfId="46738" xr:uid="{00000000-0005-0000-0000-0000BE090000}"/>
    <cellStyle name="Currency 5 2 3 2 2 4" xfId="1782" xr:uid="{00000000-0005-0000-0000-0000BF090000}"/>
    <cellStyle name="Currency 5 2 3 2 2 5" xfId="1783" xr:uid="{00000000-0005-0000-0000-0000C0090000}"/>
    <cellStyle name="Currency 5 2 3 2 2 6" xfId="1784" xr:uid="{00000000-0005-0000-0000-0000C1090000}"/>
    <cellStyle name="Currency 5 2 3 2 3" xfId="1785" xr:uid="{00000000-0005-0000-0000-0000C2090000}"/>
    <cellStyle name="Currency 5 2 3 2 3 2" xfId="46739" xr:uid="{00000000-0005-0000-0000-0000C3090000}"/>
    <cellStyle name="Currency 5 2 3 2 3 3" xfId="46740" xr:uid="{00000000-0005-0000-0000-0000C4090000}"/>
    <cellStyle name="Currency 5 2 3 2 4" xfId="1786" xr:uid="{00000000-0005-0000-0000-0000C5090000}"/>
    <cellStyle name="Currency 5 2 3 2 4 2" xfId="46741" xr:uid="{00000000-0005-0000-0000-0000C6090000}"/>
    <cellStyle name="Currency 5 2 3 2 5" xfId="1787" xr:uid="{00000000-0005-0000-0000-0000C7090000}"/>
    <cellStyle name="Currency 5 2 3 2 6" xfId="1788" xr:uid="{00000000-0005-0000-0000-0000C8090000}"/>
    <cellStyle name="Currency 5 2 3 2 7" xfId="1789" xr:uid="{00000000-0005-0000-0000-0000C9090000}"/>
    <cellStyle name="Currency 5 2 3 3" xfId="1790" xr:uid="{00000000-0005-0000-0000-0000CA090000}"/>
    <cellStyle name="Currency 5 2 3 3 2" xfId="1791" xr:uid="{00000000-0005-0000-0000-0000CB090000}"/>
    <cellStyle name="Currency 5 2 3 3 2 2" xfId="46742" xr:uid="{00000000-0005-0000-0000-0000CC090000}"/>
    <cellStyle name="Currency 5 2 3 3 2 3" xfId="46743" xr:uid="{00000000-0005-0000-0000-0000CD090000}"/>
    <cellStyle name="Currency 5 2 3 3 3" xfId="1792" xr:uid="{00000000-0005-0000-0000-0000CE090000}"/>
    <cellStyle name="Currency 5 2 3 3 3 2" xfId="46744" xr:uid="{00000000-0005-0000-0000-0000CF090000}"/>
    <cellStyle name="Currency 5 2 3 3 4" xfId="1793" xr:uid="{00000000-0005-0000-0000-0000D0090000}"/>
    <cellStyle name="Currency 5 2 3 3 5" xfId="1794" xr:uid="{00000000-0005-0000-0000-0000D1090000}"/>
    <cellStyle name="Currency 5 2 3 3 6" xfId="1795" xr:uid="{00000000-0005-0000-0000-0000D2090000}"/>
    <cellStyle name="Currency 5 2 3 4" xfId="1796" xr:uid="{00000000-0005-0000-0000-0000D3090000}"/>
    <cellStyle name="Currency 5 2 3 4 2" xfId="46745" xr:uid="{00000000-0005-0000-0000-0000D4090000}"/>
    <cellStyle name="Currency 5 2 3 4 3" xfId="46746" xr:uid="{00000000-0005-0000-0000-0000D5090000}"/>
    <cellStyle name="Currency 5 2 3 5" xfId="1797" xr:uid="{00000000-0005-0000-0000-0000D6090000}"/>
    <cellStyle name="Currency 5 2 3 5 2" xfId="46747" xr:uid="{00000000-0005-0000-0000-0000D7090000}"/>
    <cellStyle name="Currency 5 2 3 6" xfId="1798" xr:uid="{00000000-0005-0000-0000-0000D8090000}"/>
    <cellStyle name="Currency 5 2 3 7" xfId="1799" xr:uid="{00000000-0005-0000-0000-0000D9090000}"/>
    <cellStyle name="Currency 5 2 3 8" xfId="1800" xr:uid="{00000000-0005-0000-0000-0000DA090000}"/>
    <cellStyle name="Currency 5 2 4" xfId="1801" xr:uid="{00000000-0005-0000-0000-0000DB090000}"/>
    <cellStyle name="Currency 5 2 4 2" xfId="1802" xr:uid="{00000000-0005-0000-0000-0000DC090000}"/>
    <cellStyle name="Currency 5 2 4 2 2" xfId="1803" xr:uid="{00000000-0005-0000-0000-0000DD090000}"/>
    <cellStyle name="Currency 5 2 4 2 2 2" xfId="46748" xr:uid="{00000000-0005-0000-0000-0000DE090000}"/>
    <cellStyle name="Currency 5 2 4 2 2 3" xfId="46749" xr:uid="{00000000-0005-0000-0000-0000DF090000}"/>
    <cellStyle name="Currency 5 2 4 2 3" xfId="1804" xr:uid="{00000000-0005-0000-0000-0000E0090000}"/>
    <cellStyle name="Currency 5 2 4 2 3 2" xfId="46750" xr:uid="{00000000-0005-0000-0000-0000E1090000}"/>
    <cellStyle name="Currency 5 2 4 2 4" xfId="1805" xr:uid="{00000000-0005-0000-0000-0000E2090000}"/>
    <cellStyle name="Currency 5 2 4 2 5" xfId="1806" xr:uid="{00000000-0005-0000-0000-0000E3090000}"/>
    <cellStyle name="Currency 5 2 4 2 6" xfId="1807" xr:uid="{00000000-0005-0000-0000-0000E4090000}"/>
    <cellStyle name="Currency 5 2 4 3" xfId="1808" xr:uid="{00000000-0005-0000-0000-0000E5090000}"/>
    <cellStyle name="Currency 5 2 4 3 2" xfId="46751" xr:uid="{00000000-0005-0000-0000-0000E6090000}"/>
    <cellStyle name="Currency 5 2 4 3 3" xfId="46752" xr:uid="{00000000-0005-0000-0000-0000E7090000}"/>
    <cellStyle name="Currency 5 2 4 4" xfId="1809" xr:uid="{00000000-0005-0000-0000-0000E8090000}"/>
    <cellStyle name="Currency 5 2 4 4 2" xfId="46753" xr:uid="{00000000-0005-0000-0000-0000E9090000}"/>
    <cellStyle name="Currency 5 2 4 5" xfId="1810" xr:uid="{00000000-0005-0000-0000-0000EA090000}"/>
    <cellStyle name="Currency 5 2 4 6" xfId="1811" xr:uid="{00000000-0005-0000-0000-0000EB090000}"/>
    <cellStyle name="Currency 5 2 4 7" xfId="1812" xr:uid="{00000000-0005-0000-0000-0000EC090000}"/>
    <cellStyle name="Currency 5 2 5" xfId="1813" xr:uid="{00000000-0005-0000-0000-0000ED090000}"/>
    <cellStyle name="Currency 5 2 5 2" xfId="1814" xr:uid="{00000000-0005-0000-0000-0000EE090000}"/>
    <cellStyle name="Currency 5 2 5 2 2" xfId="46754" xr:uid="{00000000-0005-0000-0000-0000EF090000}"/>
    <cellStyle name="Currency 5 2 5 2 3" xfId="46755" xr:uid="{00000000-0005-0000-0000-0000F0090000}"/>
    <cellStyle name="Currency 5 2 5 3" xfId="1815" xr:uid="{00000000-0005-0000-0000-0000F1090000}"/>
    <cellStyle name="Currency 5 2 5 3 2" xfId="46756" xr:uid="{00000000-0005-0000-0000-0000F2090000}"/>
    <cellStyle name="Currency 5 2 5 4" xfId="1816" xr:uid="{00000000-0005-0000-0000-0000F3090000}"/>
    <cellStyle name="Currency 5 2 5 5" xfId="1817" xr:uid="{00000000-0005-0000-0000-0000F4090000}"/>
    <cellStyle name="Currency 5 2 5 6" xfId="1818" xr:uid="{00000000-0005-0000-0000-0000F5090000}"/>
    <cellStyle name="Currency 5 2 6" xfId="1819" xr:uid="{00000000-0005-0000-0000-0000F6090000}"/>
    <cellStyle name="Currency 5 2 6 2" xfId="46757" xr:uid="{00000000-0005-0000-0000-0000F7090000}"/>
    <cellStyle name="Currency 5 2 6 3" xfId="46758" xr:uid="{00000000-0005-0000-0000-0000F8090000}"/>
    <cellStyle name="Currency 5 2 7" xfId="1820" xr:uid="{00000000-0005-0000-0000-0000F9090000}"/>
    <cellStyle name="Currency 5 2 7 2" xfId="46759" xr:uid="{00000000-0005-0000-0000-0000FA090000}"/>
    <cellStyle name="Currency 5 2 8" xfId="1821" xr:uid="{00000000-0005-0000-0000-0000FB090000}"/>
    <cellStyle name="Currency 5 2 9" xfId="1822" xr:uid="{00000000-0005-0000-0000-0000FC090000}"/>
    <cellStyle name="Currency 5 3" xfId="1823" xr:uid="{00000000-0005-0000-0000-0000FD090000}"/>
    <cellStyle name="Currency 5 3 10" xfId="1824" xr:uid="{00000000-0005-0000-0000-0000FE090000}"/>
    <cellStyle name="Currency 5 3 11" xfId="1825" xr:uid="{00000000-0005-0000-0000-0000FF090000}"/>
    <cellStyle name="Currency 5 3 12" xfId="1826" xr:uid="{00000000-0005-0000-0000-0000000A0000}"/>
    <cellStyle name="Currency 5 3 13" xfId="1827" xr:uid="{00000000-0005-0000-0000-0000010A0000}"/>
    <cellStyle name="Currency 5 3 14" xfId="1828" xr:uid="{00000000-0005-0000-0000-0000020A0000}"/>
    <cellStyle name="Currency 5 3 2" xfId="1829" xr:uid="{00000000-0005-0000-0000-0000030A0000}"/>
    <cellStyle name="Currency 5 3 2 2" xfId="1830" xr:uid="{00000000-0005-0000-0000-0000040A0000}"/>
    <cellStyle name="Currency 5 3 2 2 2" xfId="1831" xr:uid="{00000000-0005-0000-0000-0000050A0000}"/>
    <cellStyle name="Currency 5 3 2 2 2 2" xfId="1832" xr:uid="{00000000-0005-0000-0000-0000060A0000}"/>
    <cellStyle name="Currency 5 3 2 2 2 2 2" xfId="46760" xr:uid="{00000000-0005-0000-0000-0000070A0000}"/>
    <cellStyle name="Currency 5 3 2 2 2 2 3" xfId="46761" xr:uid="{00000000-0005-0000-0000-0000080A0000}"/>
    <cellStyle name="Currency 5 3 2 2 2 3" xfId="1833" xr:uid="{00000000-0005-0000-0000-0000090A0000}"/>
    <cellStyle name="Currency 5 3 2 2 2 3 2" xfId="46762" xr:uid="{00000000-0005-0000-0000-00000A0A0000}"/>
    <cellStyle name="Currency 5 3 2 2 2 4" xfId="1834" xr:uid="{00000000-0005-0000-0000-00000B0A0000}"/>
    <cellStyle name="Currency 5 3 2 2 2 5" xfId="1835" xr:uid="{00000000-0005-0000-0000-00000C0A0000}"/>
    <cellStyle name="Currency 5 3 2 2 2 6" xfId="1836" xr:uid="{00000000-0005-0000-0000-00000D0A0000}"/>
    <cellStyle name="Currency 5 3 2 2 3" xfId="1837" xr:uid="{00000000-0005-0000-0000-00000E0A0000}"/>
    <cellStyle name="Currency 5 3 2 2 3 2" xfId="46763" xr:uid="{00000000-0005-0000-0000-00000F0A0000}"/>
    <cellStyle name="Currency 5 3 2 2 3 3" xfId="46764" xr:uid="{00000000-0005-0000-0000-0000100A0000}"/>
    <cellStyle name="Currency 5 3 2 2 4" xfId="1838" xr:uid="{00000000-0005-0000-0000-0000110A0000}"/>
    <cellStyle name="Currency 5 3 2 2 4 2" xfId="46765" xr:uid="{00000000-0005-0000-0000-0000120A0000}"/>
    <cellStyle name="Currency 5 3 2 2 5" xfId="1839" xr:uid="{00000000-0005-0000-0000-0000130A0000}"/>
    <cellStyle name="Currency 5 3 2 2 6" xfId="1840" xr:uid="{00000000-0005-0000-0000-0000140A0000}"/>
    <cellStyle name="Currency 5 3 2 2 7" xfId="1841" xr:uid="{00000000-0005-0000-0000-0000150A0000}"/>
    <cellStyle name="Currency 5 3 2 3" xfId="1842" xr:uid="{00000000-0005-0000-0000-0000160A0000}"/>
    <cellStyle name="Currency 5 3 2 3 2" xfId="1843" xr:uid="{00000000-0005-0000-0000-0000170A0000}"/>
    <cellStyle name="Currency 5 3 2 3 2 2" xfId="46766" xr:uid="{00000000-0005-0000-0000-0000180A0000}"/>
    <cellStyle name="Currency 5 3 2 3 2 3" xfId="46767" xr:uid="{00000000-0005-0000-0000-0000190A0000}"/>
    <cellStyle name="Currency 5 3 2 3 3" xfId="1844" xr:uid="{00000000-0005-0000-0000-00001A0A0000}"/>
    <cellStyle name="Currency 5 3 2 3 3 2" xfId="46768" xr:uid="{00000000-0005-0000-0000-00001B0A0000}"/>
    <cellStyle name="Currency 5 3 2 3 4" xfId="1845" xr:uid="{00000000-0005-0000-0000-00001C0A0000}"/>
    <cellStyle name="Currency 5 3 2 3 5" xfId="1846" xr:uid="{00000000-0005-0000-0000-00001D0A0000}"/>
    <cellStyle name="Currency 5 3 2 3 6" xfId="1847" xr:uid="{00000000-0005-0000-0000-00001E0A0000}"/>
    <cellStyle name="Currency 5 3 2 4" xfId="1848" xr:uid="{00000000-0005-0000-0000-00001F0A0000}"/>
    <cellStyle name="Currency 5 3 2 4 2" xfId="46769" xr:uid="{00000000-0005-0000-0000-0000200A0000}"/>
    <cellStyle name="Currency 5 3 2 4 3" xfId="46770" xr:uid="{00000000-0005-0000-0000-0000210A0000}"/>
    <cellStyle name="Currency 5 3 2 5" xfId="1849" xr:uid="{00000000-0005-0000-0000-0000220A0000}"/>
    <cellStyle name="Currency 5 3 2 5 2" xfId="46771" xr:uid="{00000000-0005-0000-0000-0000230A0000}"/>
    <cellStyle name="Currency 5 3 2 6" xfId="1850" xr:uid="{00000000-0005-0000-0000-0000240A0000}"/>
    <cellStyle name="Currency 5 3 2 7" xfId="1851" xr:uid="{00000000-0005-0000-0000-0000250A0000}"/>
    <cellStyle name="Currency 5 3 2 8" xfId="1852" xr:uid="{00000000-0005-0000-0000-0000260A0000}"/>
    <cellStyle name="Currency 5 3 2 9" xfId="1853" xr:uid="{00000000-0005-0000-0000-0000270A0000}"/>
    <cellStyle name="Currency 5 3 3" xfId="1854" xr:uid="{00000000-0005-0000-0000-0000280A0000}"/>
    <cellStyle name="Currency 5 3 3 2" xfId="1855" xr:uid="{00000000-0005-0000-0000-0000290A0000}"/>
    <cellStyle name="Currency 5 3 3 2 2" xfId="1856" xr:uid="{00000000-0005-0000-0000-00002A0A0000}"/>
    <cellStyle name="Currency 5 3 3 2 2 2" xfId="1857" xr:uid="{00000000-0005-0000-0000-00002B0A0000}"/>
    <cellStyle name="Currency 5 3 3 2 2 2 2" xfId="46772" xr:uid="{00000000-0005-0000-0000-00002C0A0000}"/>
    <cellStyle name="Currency 5 3 3 2 2 2 3" xfId="46773" xr:uid="{00000000-0005-0000-0000-00002D0A0000}"/>
    <cellStyle name="Currency 5 3 3 2 2 3" xfId="1858" xr:uid="{00000000-0005-0000-0000-00002E0A0000}"/>
    <cellStyle name="Currency 5 3 3 2 2 3 2" xfId="46774" xr:uid="{00000000-0005-0000-0000-00002F0A0000}"/>
    <cellStyle name="Currency 5 3 3 2 2 4" xfId="1859" xr:uid="{00000000-0005-0000-0000-0000300A0000}"/>
    <cellStyle name="Currency 5 3 3 2 2 5" xfId="1860" xr:uid="{00000000-0005-0000-0000-0000310A0000}"/>
    <cellStyle name="Currency 5 3 3 2 2 6" xfId="1861" xr:uid="{00000000-0005-0000-0000-0000320A0000}"/>
    <cellStyle name="Currency 5 3 3 2 3" xfId="1862" xr:uid="{00000000-0005-0000-0000-0000330A0000}"/>
    <cellStyle name="Currency 5 3 3 2 3 2" xfId="46775" xr:uid="{00000000-0005-0000-0000-0000340A0000}"/>
    <cellStyle name="Currency 5 3 3 2 3 3" xfId="46776" xr:uid="{00000000-0005-0000-0000-0000350A0000}"/>
    <cellStyle name="Currency 5 3 3 2 4" xfId="1863" xr:uid="{00000000-0005-0000-0000-0000360A0000}"/>
    <cellStyle name="Currency 5 3 3 2 4 2" xfId="46777" xr:uid="{00000000-0005-0000-0000-0000370A0000}"/>
    <cellStyle name="Currency 5 3 3 2 5" xfId="1864" xr:uid="{00000000-0005-0000-0000-0000380A0000}"/>
    <cellStyle name="Currency 5 3 3 2 6" xfId="1865" xr:uid="{00000000-0005-0000-0000-0000390A0000}"/>
    <cellStyle name="Currency 5 3 3 2 7" xfId="1866" xr:uid="{00000000-0005-0000-0000-00003A0A0000}"/>
    <cellStyle name="Currency 5 3 3 3" xfId="1867" xr:uid="{00000000-0005-0000-0000-00003B0A0000}"/>
    <cellStyle name="Currency 5 3 3 3 2" xfId="1868" xr:uid="{00000000-0005-0000-0000-00003C0A0000}"/>
    <cellStyle name="Currency 5 3 3 3 2 2" xfId="46778" xr:uid="{00000000-0005-0000-0000-00003D0A0000}"/>
    <cellStyle name="Currency 5 3 3 3 2 3" xfId="46779" xr:uid="{00000000-0005-0000-0000-00003E0A0000}"/>
    <cellStyle name="Currency 5 3 3 3 3" xfId="1869" xr:uid="{00000000-0005-0000-0000-00003F0A0000}"/>
    <cellStyle name="Currency 5 3 3 3 3 2" xfId="46780" xr:uid="{00000000-0005-0000-0000-0000400A0000}"/>
    <cellStyle name="Currency 5 3 3 3 4" xfId="1870" xr:uid="{00000000-0005-0000-0000-0000410A0000}"/>
    <cellStyle name="Currency 5 3 3 3 5" xfId="1871" xr:uid="{00000000-0005-0000-0000-0000420A0000}"/>
    <cellStyle name="Currency 5 3 3 3 6" xfId="1872" xr:uid="{00000000-0005-0000-0000-0000430A0000}"/>
    <cellStyle name="Currency 5 3 3 4" xfId="1873" xr:uid="{00000000-0005-0000-0000-0000440A0000}"/>
    <cellStyle name="Currency 5 3 3 4 2" xfId="46781" xr:uid="{00000000-0005-0000-0000-0000450A0000}"/>
    <cellStyle name="Currency 5 3 3 4 3" xfId="46782" xr:uid="{00000000-0005-0000-0000-0000460A0000}"/>
    <cellStyle name="Currency 5 3 3 5" xfId="1874" xr:uid="{00000000-0005-0000-0000-0000470A0000}"/>
    <cellStyle name="Currency 5 3 3 5 2" xfId="46783" xr:uid="{00000000-0005-0000-0000-0000480A0000}"/>
    <cellStyle name="Currency 5 3 3 6" xfId="1875" xr:uid="{00000000-0005-0000-0000-0000490A0000}"/>
    <cellStyle name="Currency 5 3 3 7" xfId="1876" xr:uid="{00000000-0005-0000-0000-00004A0A0000}"/>
    <cellStyle name="Currency 5 3 3 8" xfId="1877" xr:uid="{00000000-0005-0000-0000-00004B0A0000}"/>
    <cellStyle name="Currency 5 3 4" xfId="1878" xr:uid="{00000000-0005-0000-0000-00004C0A0000}"/>
    <cellStyle name="Currency 5 3 4 2" xfId="1879" xr:uid="{00000000-0005-0000-0000-00004D0A0000}"/>
    <cellStyle name="Currency 5 3 4 2 2" xfId="1880" xr:uid="{00000000-0005-0000-0000-00004E0A0000}"/>
    <cellStyle name="Currency 5 3 4 2 2 2" xfId="46784" xr:uid="{00000000-0005-0000-0000-00004F0A0000}"/>
    <cellStyle name="Currency 5 3 4 2 2 3" xfId="46785" xr:uid="{00000000-0005-0000-0000-0000500A0000}"/>
    <cellStyle name="Currency 5 3 4 2 3" xfId="1881" xr:uid="{00000000-0005-0000-0000-0000510A0000}"/>
    <cellStyle name="Currency 5 3 4 2 3 2" xfId="46786" xr:uid="{00000000-0005-0000-0000-0000520A0000}"/>
    <cellStyle name="Currency 5 3 4 2 4" xfId="1882" xr:uid="{00000000-0005-0000-0000-0000530A0000}"/>
    <cellStyle name="Currency 5 3 4 2 5" xfId="1883" xr:uid="{00000000-0005-0000-0000-0000540A0000}"/>
    <cellStyle name="Currency 5 3 4 2 6" xfId="1884" xr:uid="{00000000-0005-0000-0000-0000550A0000}"/>
    <cellStyle name="Currency 5 3 4 3" xfId="1885" xr:uid="{00000000-0005-0000-0000-0000560A0000}"/>
    <cellStyle name="Currency 5 3 4 3 2" xfId="46787" xr:uid="{00000000-0005-0000-0000-0000570A0000}"/>
    <cellStyle name="Currency 5 3 4 3 3" xfId="46788" xr:uid="{00000000-0005-0000-0000-0000580A0000}"/>
    <cellStyle name="Currency 5 3 4 4" xfId="1886" xr:uid="{00000000-0005-0000-0000-0000590A0000}"/>
    <cellStyle name="Currency 5 3 4 4 2" xfId="46789" xr:uid="{00000000-0005-0000-0000-00005A0A0000}"/>
    <cellStyle name="Currency 5 3 4 5" xfId="1887" xr:uid="{00000000-0005-0000-0000-00005B0A0000}"/>
    <cellStyle name="Currency 5 3 4 6" xfId="1888" xr:uid="{00000000-0005-0000-0000-00005C0A0000}"/>
    <cellStyle name="Currency 5 3 4 7" xfId="1889" xr:uid="{00000000-0005-0000-0000-00005D0A0000}"/>
    <cellStyle name="Currency 5 3 5" xfId="1890" xr:uid="{00000000-0005-0000-0000-00005E0A0000}"/>
    <cellStyle name="Currency 5 3 5 2" xfId="1891" xr:uid="{00000000-0005-0000-0000-00005F0A0000}"/>
    <cellStyle name="Currency 5 3 5 2 2" xfId="46790" xr:uid="{00000000-0005-0000-0000-0000600A0000}"/>
    <cellStyle name="Currency 5 3 5 2 3" xfId="46791" xr:uid="{00000000-0005-0000-0000-0000610A0000}"/>
    <cellStyle name="Currency 5 3 5 3" xfId="1892" xr:uid="{00000000-0005-0000-0000-0000620A0000}"/>
    <cellStyle name="Currency 5 3 5 3 2" xfId="46792" xr:uid="{00000000-0005-0000-0000-0000630A0000}"/>
    <cellStyle name="Currency 5 3 5 4" xfId="1893" xr:uid="{00000000-0005-0000-0000-0000640A0000}"/>
    <cellStyle name="Currency 5 3 5 5" xfId="1894" xr:uid="{00000000-0005-0000-0000-0000650A0000}"/>
    <cellStyle name="Currency 5 3 5 6" xfId="1895" xr:uid="{00000000-0005-0000-0000-0000660A0000}"/>
    <cellStyle name="Currency 5 3 6" xfId="1896" xr:uid="{00000000-0005-0000-0000-0000670A0000}"/>
    <cellStyle name="Currency 5 3 6 2" xfId="46793" xr:uid="{00000000-0005-0000-0000-0000680A0000}"/>
    <cellStyle name="Currency 5 3 6 3" xfId="46794" xr:uid="{00000000-0005-0000-0000-0000690A0000}"/>
    <cellStyle name="Currency 5 3 7" xfId="1897" xr:uid="{00000000-0005-0000-0000-00006A0A0000}"/>
    <cellStyle name="Currency 5 3 7 2" xfId="46795" xr:uid="{00000000-0005-0000-0000-00006B0A0000}"/>
    <cellStyle name="Currency 5 3 8" xfId="1898" xr:uid="{00000000-0005-0000-0000-00006C0A0000}"/>
    <cellStyle name="Currency 5 3 9" xfId="1899" xr:uid="{00000000-0005-0000-0000-00006D0A0000}"/>
    <cellStyle name="Currency 5 4" xfId="1900" xr:uid="{00000000-0005-0000-0000-00006E0A0000}"/>
    <cellStyle name="Currency 5 4 10" xfId="1901" xr:uid="{00000000-0005-0000-0000-00006F0A0000}"/>
    <cellStyle name="Currency 5 4 11" xfId="1902" xr:uid="{00000000-0005-0000-0000-0000700A0000}"/>
    <cellStyle name="Currency 5 4 12" xfId="1903" xr:uid="{00000000-0005-0000-0000-0000710A0000}"/>
    <cellStyle name="Currency 5 4 13" xfId="1904" xr:uid="{00000000-0005-0000-0000-0000720A0000}"/>
    <cellStyle name="Currency 5 4 2" xfId="1905" xr:uid="{00000000-0005-0000-0000-0000730A0000}"/>
    <cellStyle name="Currency 5 4 2 2" xfId="1906" xr:uid="{00000000-0005-0000-0000-0000740A0000}"/>
    <cellStyle name="Currency 5 4 2 2 2" xfId="1907" xr:uid="{00000000-0005-0000-0000-0000750A0000}"/>
    <cellStyle name="Currency 5 4 2 2 2 2" xfId="1908" xr:uid="{00000000-0005-0000-0000-0000760A0000}"/>
    <cellStyle name="Currency 5 4 2 2 2 2 2" xfId="46796" xr:uid="{00000000-0005-0000-0000-0000770A0000}"/>
    <cellStyle name="Currency 5 4 2 2 2 2 3" xfId="46797" xr:uid="{00000000-0005-0000-0000-0000780A0000}"/>
    <cellStyle name="Currency 5 4 2 2 2 3" xfId="1909" xr:uid="{00000000-0005-0000-0000-0000790A0000}"/>
    <cellStyle name="Currency 5 4 2 2 2 3 2" xfId="46798" xr:uid="{00000000-0005-0000-0000-00007A0A0000}"/>
    <cellStyle name="Currency 5 4 2 2 2 4" xfId="1910" xr:uid="{00000000-0005-0000-0000-00007B0A0000}"/>
    <cellStyle name="Currency 5 4 2 2 2 5" xfId="1911" xr:uid="{00000000-0005-0000-0000-00007C0A0000}"/>
    <cellStyle name="Currency 5 4 2 2 2 6" xfId="1912" xr:uid="{00000000-0005-0000-0000-00007D0A0000}"/>
    <cellStyle name="Currency 5 4 2 2 3" xfId="1913" xr:uid="{00000000-0005-0000-0000-00007E0A0000}"/>
    <cellStyle name="Currency 5 4 2 2 3 2" xfId="46799" xr:uid="{00000000-0005-0000-0000-00007F0A0000}"/>
    <cellStyle name="Currency 5 4 2 2 3 3" xfId="46800" xr:uid="{00000000-0005-0000-0000-0000800A0000}"/>
    <cellStyle name="Currency 5 4 2 2 4" xfId="1914" xr:uid="{00000000-0005-0000-0000-0000810A0000}"/>
    <cellStyle name="Currency 5 4 2 2 4 2" xfId="46801" xr:uid="{00000000-0005-0000-0000-0000820A0000}"/>
    <cellStyle name="Currency 5 4 2 2 5" xfId="1915" xr:uid="{00000000-0005-0000-0000-0000830A0000}"/>
    <cellStyle name="Currency 5 4 2 2 6" xfId="1916" xr:uid="{00000000-0005-0000-0000-0000840A0000}"/>
    <cellStyle name="Currency 5 4 2 2 7" xfId="1917" xr:uid="{00000000-0005-0000-0000-0000850A0000}"/>
    <cellStyle name="Currency 5 4 2 3" xfId="1918" xr:uid="{00000000-0005-0000-0000-0000860A0000}"/>
    <cellStyle name="Currency 5 4 2 3 2" xfId="1919" xr:uid="{00000000-0005-0000-0000-0000870A0000}"/>
    <cellStyle name="Currency 5 4 2 3 2 2" xfId="46802" xr:uid="{00000000-0005-0000-0000-0000880A0000}"/>
    <cellStyle name="Currency 5 4 2 3 2 3" xfId="46803" xr:uid="{00000000-0005-0000-0000-0000890A0000}"/>
    <cellStyle name="Currency 5 4 2 3 3" xfId="1920" xr:uid="{00000000-0005-0000-0000-00008A0A0000}"/>
    <cellStyle name="Currency 5 4 2 3 3 2" xfId="46804" xr:uid="{00000000-0005-0000-0000-00008B0A0000}"/>
    <cellStyle name="Currency 5 4 2 3 4" xfId="1921" xr:uid="{00000000-0005-0000-0000-00008C0A0000}"/>
    <cellStyle name="Currency 5 4 2 3 5" xfId="1922" xr:uid="{00000000-0005-0000-0000-00008D0A0000}"/>
    <cellStyle name="Currency 5 4 2 3 6" xfId="1923" xr:uid="{00000000-0005-0000-0000-00008E0A0000}"/>
    <cellStyle name="Currency 5 4 2 4" xfId="1924" xr:uid="{00000000-0005-0000-0000-00008F0A0000}"/>
    <cellStyle name="Currency 5 4 2 4 2" xfId="46805" xr:uid="{00000000-0005-0000-0000-0000900A0000}"/>
    <cellStyle name="Currency 5 4 2 4 3" xfId="46806" xr:uid="{00000000-0005-0000-0000-0000910A0000}"/>
    <cellStyle name="Currency 5 4 2 5" xfId="1925" xr:uid="{00000000-0005-0000-0000-0000920A0000}"/>
    <cellStyle name="Currency 5 4 2 5 2" xfId="46807" xr:uid="{00000000-0005-0000-0000-0000930A0000}"/>
    <cellStyle name="Currency 5 4 2 6" xfId="1926" xr:uid="{00000000-0005-0000-0000-0000940A0000}"/>
    <cellStyle name="Currency 5 4 2 7" xfId="1927" xr:uid="{00000000-0005-0000-0000-0000950A0000}"/>
    <cellStyle name="Currency 5 4 2 8" xfId="1928" xr:uid="{00000000-0005-0000-0000-0000960A0000}"/>
    <cellStyle name="Currency 5 4 2 9" xfId="1929" xr:uid="{00000000-0005-0000-0000-0000970A0000}"/>
    <cellStyle name="Currency 5 4 3" xfId="1930" xr:uid="{00000000-0005-0000-0000-0000980A0000}"/>
    <cellStyle name="Currency 5 4 3 2" xfId="1931" xr:uid="{00000000-0005-0000-0000-0000990A0000}"/>
    <cellStyle name="Currency 5 4 3 2 2" xfId="1932" xr:uid="{00000000-0005-0000-0000-00009A0A0000}"/>
    <cellStyle name="Currency 5 4 3 2 2 2" xfId="46808" xr:uid="{00000000-0005-0000-0000-00009B0A0000}"/>
    <cellStyle name="Currency 5 4 3 2 2 3" xfId="46809" xr:uid="{00000000-0005-0000-0000-00009C0A0000}"/>
    <cellStyle name="Currency 5 4 3 2 3" xfId="1933" xr:uid="{00000000-0005-0000-0000-00009D0A0000}"/>
    <cellStyle name="Currency 5 4 3 2 3 2" xfId="46810" xr:uid="{00000000-0005-0000-0000-00009E0A0000}"/>
    <cellStyle name="Currency 5 4 3 2 4" xfId="1934" xr:uid="{00000000-0005-0000-0000-00009F0A0000}"/>
    <cellStyle name="Currency 5 4 3 2 5" xfId="1935" xr:uid="{00000000-0005-0000-0000-0000A00A0000}"/>
    <cellStyle name="Currency 5 4 3 2 6" xfId="1936" xr:uid="{00000000-0005-0000-0000-0000A10A0000}"/>
    <cellStyle name="Currency 5 4 3 3" xfId="1937" xr:uid="{00000000-0005-0000-0000-0000A20A0000}"/>
    <cellStyle name="Currency 5 4 3 3 2" xfId="46811" xr:uid="{00000000-0005-0000-0000-0000A30A0000}"/>
    <cellStyle name="Currency 5 4 3 3 3" xfId="46812" xr:uid="{00000000-0005-0000-0000-0000A40A0000}"/>
    <cellStyle name="Currency 5 4 3 4" xfId="1938" xr:uid="{00000000-0005-0000-0000-0000A50A0000}"/>
    <cellStyle name="Currency 5 4 3 4 2" xfId="46813" xr:uid="{00000000-0005-0000-0000-0000A60A0000}"/>
    <cellStyle name="Currency 5 4 3 5" xfId="1939" xr:uid="{00000000-0005-0000-0000-0000A70A0000}"/>
    <cellStyle name="Currency 5 4 3 6" xfId="1940" xr:uid="{00000000-0005-0000-0000-0000A80A0000}"/>
    <cellStyle name="Currency 5 4 3 7" xfId="1941" xr:uid="{00000000-0005-0000-0000-0000A90A0000}"/>
    <cellStyle name="Currency 5 4 4" xfId="1942" xr:uid="{00000000-0005-0000-0000-0000AA0A0000}"/>
    <cellStyle name="Currency 5 4 4 2" xfId="1943" xr:uid="{00000000-0005-0000-0000-0000AB0A0000}"/>
    <cellStyle name="Currency 5 4 4 2 2" xfId="46814" xr:uid="{00000000-0005-0000-0000-0000AC0A0000}"/>
    <cellStyle name="Currency 5 4 4 2 3" xfId="46815" xr:uid="{00000000-0005-0000-0000-0000AD0A0000}"/>
    <cellStyle name="Currency 5 4 4 3" xfId="1944" xr:uid="{00000000-0005-0000-0000-0000AE0A0000}"/>
    <cellStyle name="Currency 5 4 4 3 2" xfId="46816" xr:uid="{00000000-0005-0000-0000-0000AF0A0000}"/>
    <cellStyle name="Currency 5 4 4 4" xfId="1945" xr:uid="{00000000-0005-0000-0000-0000B00A0000}"/>
    <cellStyle name="Currency 5 4 4 5" xfId="1946" xr:uid="{00000000-0005-0000-0000-0000B10A0000}"/>
    <cellStyle name="Currency 5 4 4 6" xfId="1947" xr:uid="{00000000-0005-0000-0000-0000B20A0000}"/>
    <cellStyle name="Currency 5 4 5" xfId="1948" xr:uid="{00000000-0005-0000-0000-0000B30A0000}"/>
    <cellStyle name="Currency 5 4 5 2" xfId="46817" xr:uid="{00000000-0005-0000-0000-0000B40A0000}"/>
    <cellStyle name="Currency 5 4 5 3" xfId="46818" xr:uid="{00000000-0005-0000-0000-0000B50A0000}"/>
    <cellStyle name="Currency 5 4 6" xfId="1949" xr:uid="{00000000-0005-0000-0000-0000B60A0000}"/>
    <cellStyle name="Currency 5 4 6 2" xfId="46819" xr:uid="{00000000-0005-0000-0000-0000B70A0000}"/>
    <cellStyle name="Currency 5 4 7" xfId="1950" xr:uid="{00000000-0005-0000-0000-0000B80A0000}"/>
    <cellStyle name="Currency 5 4 8" xfId="1951" xr:uid="{00000000-0005-0000-0000-0000B90A0000}"/>
    <cellStyle name="Currency 5 4 9" xfId="1952" xr:uid="{00000000-0005-0000-0000-0000BA0A0000}"/>
    <cellStyle name="Currency 5 5" xfId="1953" xr:uid="{00000000-0005-0000-0000-0000BB0A0000}"/>
    <cellStyle name="Currency 5 5 2" xfId="1954" xr:uid="{00000000-0005-0000-0000-0000BC0A0000}"/>
    <cellStyle name="Currency 5 5 2 2" xfId="1955" xr:uid="{00000000-0005-0000-0000-0000BD0A0000}"/>
    <cellStyle name="Currency 5 5 2 2 2" xfId="1956" xr:uid="{00000000-0005-0000-0000-0000BE0A0000}"/>
    <cellStyle name="Currency 5 5 2 2 2 2" xfId="46820" xr:uid="{00000000-0005-0000-0000-0000BF0A0000}"/>
    <cellStyle name="Currency 5 5 2 2 2 3" xfId="46821" xr:uid="{00000000-0005-0000-0000-0000C00A0000}"/>
    <cellStyle name="Currency 5 5 2 2 3" xfId="1957" xr:uid="{00000000-0005-0000-0000-0000C10A0000}"/>
    <cellStyle name="Currency 5 5 2 2 3 2" xfId="46822" xr:uid="{00000000-0005-0000-0000-0000C20A0000}"/>
    <cellStyle name="Currency 5 5 2 2 4" xfId="1958" xr:uid="{00000000-0005-0000-0000-0000C30A0000}"/>
    <cellStyle name="Currency 5 5 2 2 5" xfId="1959" xr:uid="{00000000-0005-0000-0000-0000C40A0000}"/>
    <cellStyle name="Currency 5 5 2 2 6" xfId="1960" xr:uid="{00000000-0005-0000-0000-0000C50A0000}"/>
    <cellStyle name="Currency 5 5 2 3" xfId="1961" xr:uid="{00000000-0005-0000-0000-0000C60A0000}"/>
    <cellStyle name="Currency 5 5 2 3 2" xfId="46823" xr:uid="{00000000-0005-0000-0000-0000C70A0000}"/>
    <cellStyle name="Currency 5 5 2 3 3" xfId="46824" xr:uid="{00000000-0005-0000-0000-0000C80A0000}"/>
    <cellStyle name="Currency 5 5 2 4" xfId="1962" xr:uid="{00000000-0005-0000-0000-0000C90A0000}"/>
    <cellStyle name="Currency 5 5 2 4 2" xfId="46825" xr:uid="{00000000-0005-0000-0000-0000CA0A0000}"/>
    <cellStyle name="Currency 5 5 2 5" xfId="1963" xr:uid="{00000000-0005-0000-0000-0000CB0A0000}"/>
    <cellStyle name="Currency 5 5 2 6" xfId="1964" xr:uid="{00000000-0005-0000-0000-0000CC0A0000}"/>
    <cellStyle name="Currency 5 5 2 7" xfId="1965" xr:uid="{00000000-0005-0000-0000-0000CD0A0000}"/>
    <cellStyle name="Currency 5 5 3" xfId="1966" xr:uid="{00000000-0005-0000-0000-0000CE0A0000}"/>
    <cellStyle name="Currency 5 5 3 2" xfId="1967" xr:uid="{00000000-0005-0000-0000-0000CF0A0000}"/>
    <cellStyle name="Currency 5 5 3 2 2" xfId="46826" xr:uid="{00000000-0005-0000-0000-0000D00A0000}"/>
    <cellStyle name="Currency 5 5 3 2 3" xfId="46827" xr:uid="{00000000-0005-0000-0000-0000D10A0000}"/>
    <cellStyle name="Currency 5 5 3 3" xfId="1968" xr:uid="{00000000-0005-0000-0000-0000D20A0000}"/>
    <cellStyle name="Currency 5 5 3 3 2" xfId="46828" xr:uid="{00000000-0005-0000-0000-0000D30A0000}"/>
    <cellStyle name="Currency 5 5 3 4" xfId="1969" xr:uid="{00000000-0005-0000-0000-0000D40A0000}"/>
    <cellStyle name="Currency 5 5 3 5" xfId="1970" xr:uid="{00000000-0005-0000-0000-0000D50A0000}"/>
    <cellStyle name="Currency 5 5 3 6" xfId="1971" xr:uid="{00000000-0005-0000-0000-0000D60A0000}"/>
    <cellStyle name="Currency 5 5 4" xfId="1972" xr:uid="{00000000-0005-0000-0000-0000D70A0000}"/>
    <cellStyle name="Currency 5 5 4 2" xfId="46829" xr:uid="{00000000-0005-0000-0000-0000D80A0000}"/>
    <cellStyle name="Currency 5 5 4 3" xfId="46830" xr:uid="{00000000-0005-0000-0000-0000D90A0000}"/>
    <cellStyle name="Currency 5 5 5" xfId="1973" xr:uid="{00000000-0005-0000-0000-0000DA0A0000}"/>
    <cellStyle name="Currency 5 5 5 2" xfId="46831" xr:uid="{00000000-0005-0000-0000-0000DB0A0000}"/>
    <cellStyle name="Currency 5 5 6" xfId="1974" xr:uid="{00000000-0005-0000-0000-0000DC0A0000}"/>
    <cellStyle name="Currency 5 5 7" xfId="1975" xr:uid="{00000000-0005-0000-0000-0000DD0A0000}"/>
    <cellStyle name="Currency 5 5 8" xfId="1976" xr:uid="{00000000-0005-0000-0000-0000DE0A0000}"/>
    <cellStyle name="Currency 5 5 9" xfId="1977" xr:uid="{00000000-0005-0000-0000-0000DF0A0000}"/>
    <cellStyle name="Currency 5 6" xfId="1978" xr:uid="{00000000-0005-0000-0000-0000E00A0000}"/>
    <cellStyle name="Currency 5 6 2" xfId="1979" xr:uid="{00000000-0005-0000-0000-0000E10A0000}"/>
    <cellStyle name="Currency 5 6 2 2" xfId="1980" xr:uid="{00000000-0005-0000-0000-0000E20A0000}"/>
    <cellStyle name="Currency 5 6 2 2 2" xfId="1981" xr:uid="{00000000-0005-0000-0000-0000E30A0000}"/>
    <cellStyle name="Currency 5 6 2 2 2 2" xfId="46832" xr:uid="{00000000-0005-0000-0000-0000E40A0000}"/>
    <cellStyle name="Currency 5 6 2 2 2 3" xfId="46833" xr:uid="{00000000-0005-0000-0000-0000E50A0000}"/>
    <cellStyle name="Currency 5 6 2 2 3" xfId="1982" xr:uid="{00000000-0005-0000-0000-0000E60A0000}"/>
    <cellStyle name="Currency 5 6 2 2 3 2" xfId="46834" xr:uid="{00000000-0005-0000-0000-0000E70A0000}"/>
    <cellStyle name="Currency 5 6 2 2 4" xfId="1983" xr:uid="{00000000-0005-0000-0000-0000E80A0000}"/>
    <cellStyle name="Currency 5 6 2 2 5" xfId="1984" xr:uid="{00000000-0005-0000-0000-0000E90A0000}"/>
    <cellStyle name="Currency 5 6 2 2 6" xfId="1985" xr:uid="{00000000-0005-0000-0000-0000EA0A0000}"/>
    <cellStyle name="Currency 5 6 2 3" xfId="1986" xr:uid="{00000000-0005-0000-0000-0000EB0A0000}"/>
    <cellStyle name="Currency 5 6 2 3 2" xfId="46835" xr:uid="{00000000-0005-0000-0000-0000EC0A0000}"/>
    <cellStyle name="Currency 5 6 2 3 3" xfId="46836" xr:uid="{00000000-0005-0000-0000-0000ED0A0000}"/>
    <cellStyle name="Currency 5 6 2 4" xfId="1987" xr:uid="{00000000-0005-0000-0000-0000EE0A0000}"/>
    <cellStyle name="Currency 5 6 2 4 2" xfId="46837" xr:uid="{00000000-0005-0000-0000-0000EF0A0000}"/>
    <cellStyle name="Currency 5 6 2 5" xfId="1988" xr:uid="{00000000-0005-0000-0000-0000F00A0000}"/>
    <cellStyle name="Currency 5 6 2 6" xfId="1989" xr:uid="{00000000-0005-0000-0000-0000F10A0000}"/>
    <cellStyle name="Currency 5 6 2 7" xfId="1990" xr:uid="{00000000-0005-0000-0000-0000F20A0000}"/>
    <cellStyle name="Currency 5 6 3" xfId="1991" xr:uid="{00000000-0005-0000-0000-0000F30A0000}"/>
    <cellStyle name="Currency 5 6 3 2" xfId="1992" xr:uid="{00000000-0005-0000-0000-0000F40A0000}"/>
    <cellStyle name="Currency 5 6 3 2 2" xfId="46838" xr:uid="{00000000-0005-0000-0000-0000F50A0000}"/>
    <cellStyle name="Currency 5 6 3 2 3" xfId="46839" xr:uid="{00000000-0005-0000-0000-0000F60A0000}"/>
    <cellStyle name="Currency 5 6 3 3" xfId="1993" xr:uid="{00000000-0005-0000-0000-0000F70A0000}"/>
    <cellStyle name="Currency 5 6 3 3 2" xfId="46840" xr:uid="{00000000-0005-0000-0000-0000F80A0000}"/>
    <cellStyle name="Currency 5 6 3 4" xfId="1994" xr:uid="{00000000-0005-0000-0000-0000F90A0000}"/>
    <cellStyle name="Currency 5 6 3 5" xfId="1995" xr:uid="{00000000-0005-0000-0000-0000FA0A0000}"/>
    <cellStyle name="Currency 5 6 3 6" xfId="1996" xr:uid="{00000000-0005-0000-0000-0000FB0A0000}"/>
    <cellStyle name="Currency 5 6 4" xfId="1997" xr:uid="{00000000-0005-0000-0000-0000FC0A0000}"/>
    <cellStyle name="Currency 5 6 4 2" xfId="46841" xr:uid="{00000000-0005-0000-0000-0000FD0A0000}"/>
    <cellStyle name="Currency 5 6 4 3" xfId="46842" xr:uid="{00000000-0005-0000-0000-0000FE0A0000}"/>
    <cellStyle name="Currency 5 6 5" xfId="1998" xr:uid="{00000000-0005-0000-0000-0000FF0A0000}"/>
    <cellStyle name="Currency 5 6 5 2" xfId="46843" xr:uid="{00000000-0005-0000-0000-0000000B0000}"/>
    <cellStyle name="Currency 5 6 6" xfId="1999" xr:uid="{00000000-0005-0000-0000-0000010B0000}"/>
    <cellStyle name="Currency 5 6 7" xfId="2000" xr:uid="{00000000-0005-0000-0000-0000020B0000}"/>
    <cellStyle name="Currency 5 6 8" xfId="2001" xr:uid="{00000000-0005-0000-0000-0000030B0000}"/>
    <cellStyle name="Currency 5 7" xfId="2002" xr:uid="{00000000-0005-0000-0000-0000040B0000}"/>
    <cellStyle name="Currency 5 7 2" xfId="2003" xr:uid="{00000000-0005-0000-0000-0000050B0000}"/>
    <cellStyle name="Currency 5 7 2 2" xfId="2004" xr:uid="{00000000-0005-0000-0000-0000060B0000}"/>
    <cellStyle name="Currency 5 7 2 2 2" xfId="2005" xr:uid="{00000000-0005-0000-0000-0000070B0000}"/>
    <cellStyle name="Currency 5 7 2 2 2 2" xfId="46844" xr:uid="{00000000-0005-0000-0000-0000080B0000}"/>
    <cellStyle name="Currency 5 7 2 2 2 3" xfId="46845" xr:uid="{00000000-0005-0000-0000-0000090B0000}"/>
    <cellStyle name="Currency 5 7 2 2 3" xfId="2006" xr:uid="{00000000-0005-0000-0000-00000A0B0000}"/>
    <cellStyle name="Currency 5 7 2 2 3 2" xfId="46846" xr:uid="{00000000-0005-0000-0000-00000B0B0000}"/>
    <cellStyle name="Currency 5 7 2 2 4" xfId="2007" xr:uid="{00000000-0005-0000-0000-00000C0B0000}"/>
    <cellStyle name="Currency 5 7 2 2 5" xfId="2008" xr:uid="{00000000-0005-0000-0000-00000D0B0000}"/>
    <cellStyle name="Currency 5 7 2 2 6" xfId="2009" xr:uid="{00000000-0005-0000-0000-00000E0B0000}"/>
    <cellStyle name="Currency 5 7 2 3" xfId="2010" xr:uid="{00000000-0005-0000-0000-00000F0B0000}"/>
    <cellStyle name="Currency 5 7 2 3 2" xfId="46847" xr:uid="{00000000-0005-0000-0000-0000100B0000}"/>
    <cellStyle name="Currency 5 7 2 3 3" xfId="46848" xr:uid="{00000000-0005-0000-0000-0000110B0000}"/>
    <cellStyle name="Currency 5 7 2 4" xfId="2011" xr:uid="{00000000-0005-0000-0000-0000120B0000}"/>
    <cellStyle name="Currency 5 7 2 4 2" xfId="46849" xr:uid="{00000000-0005-0000-0000-0000130B0000}"/>
    <cellStyle name="Currency 5 7 2 5" xfId="2012" xr:uid="{00000000-0005-0000-0000-0000140B0000}"/>
    <cellStyle name="Currency 5 7 2 6" xfId="2013" xr:uid="{00000000-0005-0000-0000-0000150B0000}"/>
    <cellStyle name="Currency 5 7 2 7" xfId="2014" xr:uid="{00000000-0005-0000-0000-0000160B0000}"/>
    <cellStyle name="Currency 5 7 3" xfId="2015" xr:uid="{00000000-0005-0000-0000-0000170B0000}"/>
    <cellStyle name="Currency 5 7 3 2" xfId="2016" xr:uid="{00000000-0005-0000-0000-0000180B0000}"/>
    <cellStyle name="Currency 5 7 3 2 2" xfId="46850" xr:uid="{00000000-0005-0000-0000-0000190B0000}"/>
    <cellStyle name="Currency 5 7 3 2 3" xfId="46851" xr:uid="{00000000-0005-0000-0000-00001A0B0000}"/>
    <cellStyle name="Currency 5 7 3 3" xfId="2017" xr:uid="{00000000-0005-0000-0000-00001B0B0000}"/>
    <cellStyle name="Currency 5 7 3 3 2" xfId="46852" xr:uid="{00000000-0005-0000-0000-00001C0B0000}"/>
    <cellStyle name="Currency 5 7 3 4" xfId="2018" xr:uid="{00000000-0005-0000-0000-00001D0B0000}"/>
    <cellStyle name="Currency 5 7 3 5" xfId="2019" xr:uid="{00000000-0005-0000-0000-00001E0B0000}"/>
    <cellStyle name="Currency 5 7 3 6" xfId="2020" xr:uid="{00000000-0005-0000-0000-00001F0B0000}"/>
    <cellStyle name="Currency 5 7 4" xfId="2021" xr:uid="{00000000-0005-0000-0000-0000200B0000}"/>
    <cellStyle name="Currency 5 7 4 2" xfId="46853" xr:uid="{00000000-0005-0000-0000-0000210B0000}"/>
    <cellStyle name="Currency 5 7 4 3" xfId="46854" xr:uid="{00000000-0005-0000-0000-0000220B0000}"/>
    <cellStyle name="Currency 5 7 5" xfId="2022" xr:uid="{00000000-0005-0000-0000-0000230B0000}"/>
    <cellStyle name="Currency 5 7 5 2" xfId="46855" xr:uid="{00000000-0005-0000-0000-0000240B0000}"/>
    <cellStyle name="Currency 5 7 6" xfId="2023" xr:uid="{00000000-0005-0000-0000-0000250B0000}"/>
    <cellStyle name="Currency 5 7 7" xfId="2024" xr:uid="{00000000-0005-0000-0000-0000260B0000}"/>
    <cellStyle name="Currency 5 7 8" xfId="2025" xr:uid="{00000000-0005-0000-0000-0000270B0000}"/>
    <cellStyle name="Currency 5 8" xfId="2026" xr:uid="{00000000-0005-0000-0000-0000280B0000}"/>
    <cellStyle name="Currency 5 8 2" xfId="2027" xr:uid="{00000000-0005-0000-0000-0000290B0000}"/>
    <cellStyle name="Currency 5 8 2 2" xfId="2028" xr:uid="{00000000-0005-0000-0000-00002A0B0000}"/>
    <cellStyle name="Currency 5 8 2 2 2" xfId="46856" xr:uid="{00000000-0005-0000-0000-00002B0B0000}"/>
    <cellStyle name="Currency 5 8 2 2 3" xfId="46857" xr:uid="{00000000-0005-0000-0000-00002C0B0000}"/>
    <cellStyle name="Currency 5 8 2 3" xfId="2029" xr:uid="{00000000-0005-0000-0000-00002D0B0000}"/>
    <cellStyle name="Currency 5 8 2 3 2" xfId="46858" xr:uid="{00000000-0005-0000-0000-00002E0B0000}"/>
    <cellStyle name="Currency 5 8 2 4" xfId="2030" xr:uid="{00000000-0005-0000-0000-00002F0B0000}"/>
    <cellStyle name="Currency 5 8 2 5" xfId="2031" xr:uid="{00000000-0005-0000-0000-0000300B0000}"/>
    <cellStyle name="Currency 5 8 2 6" xfId="2032" xr:uid="{00000000-0005-0000-0000-0000310B0000}"/>
    <cellStyle name="Currency 5 8 3" xfId="2033" xr:uid="{00000000-0005-0000-0000-0000320B0000}"/>
    <cellStyle name="Currency 5 8 3 2" xfId="46859" xr:uid="{00000000-0005-0000-0000-0000330B0000}"/>
    <cellStyle name="Currency 5 8 3 3" xfId="46860" xr:uid="{00000000-0005-0000-0000-0000340B0000}"/>
    <cellStyle name="Currency 5 8 4" xfId="2034" xr:uid="{00000000-0005-0000-0000-0000350B0000}"/>
    <cellStyle name="Currency 5 8 4 2" xfId="46861" xr:uid="{00000000-0005-0000-0000-0000360B0000}"/>
    <cellStyle name="Currency 5 8 5" xfId="2035" xr:uid="{00000000-0005-0000-0000-0000370B0000}"/>
    <cellStyle name="Currency 5 8 6" xfId="2036" xr:uid="{00000000-0005-0000-0000-0000380B0000}"/>
    <cellStyle name="Currency 5 8 7" xfId="2037" xr:uid="{00000000-0005-0000-0000-0000390B0000}"/>
    <cellStyle name="Currency 5 9" xfId="2038" xr:uid="{00000000-0005-0000-0000-00003A0B0000}"/>
    <cellStyle name="Currency 5 9 2" xfId="2039" xr:uid="{00000000-0005-0000-0000-00003B0B0000}"/>
    <cellStyle name="Currency 5 9 2 2" xfId="46862" xr:uid="{00000000-0005-0000-0000-00003C0B0000}"/>
    <cellStyle name="Currency 5 9 2 3" xfId="46863" xr:uid="{00000000-0005-0000-0000-00003D0B0000}"/>
    <cellStyle name="Currency 5 9 3" xfId="2040" xr:uid="{00000000-0005-0000-0000-00003E0B0000}"/>
    <cellStyle name="Currency 5 9 3 2" xfId="46864" xr:uid="{00000000-0005-0000-0000-00003F0B0000}"/>
    <cellStyle name="Currency 5 9 4" xfId="2041" xr:uid="{00000000-0005-0000-0000-0000400B0000}"/>
    <cellStyle name="Currency 5 9 5" xfId="2042" xr:uid="{00000000-0005-0000-0000-0000410B0000}"/>
    <cellStyle name="Currency 5 9 6" xfId="2043" xr:uid="{00000000-0005-0000-0000-0000420B0000}"/>
    <cellStyle name="Currency 6" xfId="2044" xr:uid="{00000000-0005-0000-0000-0000430B0000}"/>
    <cellStyle name="Currency 6 10" xfId="2045" xr:uid="{00000000-0005-0000-0000-0000440B0000}"/>
    <cellStyle name="Currency 6 11" xfId="2046" xr:uid="{00000000-0005-0000-0000-0000450B0000}"/>
    <cellStyle name="Currency 6 12" xfId="2047" xr:uid="{00000000-0005-0000-0000-0000460B0000}"/>
    <cellStyle name="Currency 6 13" xfId="2048" xr:uid="{00000000-0005-0000-0000-0000470B0000}"/>
    <cellStyle name="Currency 6 14" xfId="2049" xr:uid="{00000000-0005-0000-0000-0000480B0000}"/>
    <cellStyle name="Currency 6 2" xfId="2050" xr:uid="{00000000-0005-0000-0000-0000490B0000}"/>
    <cellStyle name="Currency 6 2 2" xfId="2051" xr:uid="{00000000-0005-0000-0000-00004A0B0000}"/>
    <cellStyle name="Currency 6 2 2 2" xfId="2052" xr:uid="{00000000-0005-0000-0000-00004B0B0000}"/>
    <cellStyle name="Currency 6 2 2 2 2" xfId="2053" xr:uid="{00000000-0005-0000-0000-00004C0B0000}"/>
    <cellStyle name="Currency 6 2 2 2 2 2" xfId="46865" xr:uid="{00000000-0005-0000-0000-00004D0B0000}"/>
    <cellStyle name="Currency 6 2 2 2 2 3" xfId="46866" xr:uid="{00000000-0005-0000-0000-00004E0B0000}"/>
    <cellStyle name="Currency 6 2 2 2 3" xfId="2054" xr:uid="{00000000-0005-0000-0000-00004F0B0000}"/>
    <cellStyle name="Currency 6 2 2 2 3 2" xfId="46867" xr:uid="{00000000-0005-0000-0000-0000500B0000}"/>
    <cellStyle name="Currency 6 2 2 2 4" xfId="2055" xr:uid="{00000000-0005-0000-0000-0000510B0000}"/>
    <cellStyle name="Currency 6 2 2 2 5" xfId="2056" xr:uid="{00000000-0005-0000-0000-0000520B0000}"/>
    <cellStyle name="Currency 6 2 2 2 6" xfId="2057" xr:uid="{00000000-0005-0000-0000-0000530B0000}"/>
    <cellStyle name="Currency 6 2 2 3" xfId="2058" xr:uid="{00000000-0005-0000-0000-0000540B0000}"/>
    <cellStyle name="Currency 6 2 2 3 2" xfId="46868" xr:uid="{00000000-0005-0000-0000-0000550B0000}"/>
    <cellStyle name="Currency 6 2 2 3 3" xfId="46869" xr:uid="{00000000-0005-0000-0000-0000560B0000}"/>
    <cellStyle name="Currency 6 2 2 4" xfId="2059" xr:uid="{00000000-0005-0000-0000-0000570B0000}"/>
    <cellStyle name="Currency 6 2 2 4 2" xfId="46870" xr:uid="{00000000-0005-0000-0000-0000580B0000}"/>
    <cellStyle name="Currency 6 2 2 5" xfId="2060" xr:uid="{00000000-0005-0000-0000-0000590B0000}"/>
    <cellStyle name="Currency 6 2 2 6" xfId="2061" xr:uid="{00000000-0005-0000-0000-00005A0B0000}"/>
    <cellStyle name="Currency 6 2 2 7" xfId="2062" xr:uid="{00000000-0005-0000-0000-00005B0B0000}"/>
    <cellStyle name="Currency 6 2 3" xfId="2063" xr:uid="{00000000-0005-0000-0000-00005C0B0000}"/>
    <cellStyle name="Currency 6 2 3 2" xfId="2064" xr:uid="{00000000-0005-0000-0000-00005D0B0000}"/>
    <cellStyle name="Currency 6 2 3 2 2" xfId="46871" xr:uid="{00000000-0005-0000-0000-00005E0B0000}"/>
    <cellStyle name="Currency 6 2 3 2 3" xfId="46872" xr:uid="{00000000-0005-0000-0000-00005F0B0000}"/>
    <cellStyle name="Currency 6 2 3 3" xfId="2065" xr:uid="{00000000-0005-0000-0000-0000600B0000}"/>
    <cellStyle name="Currency 6 2 3 3 2" xfId="46873" xr:uid="{00000000-0005-0000-0000-0000610B0000}"/>
    <cellStyle name="Currency 6 2 3 4" xfId="2066" xr:uid="{00000000-0005-0000-0000-0000620B0000}"/>
    <cellStyle name="Currency 6 2 3 5" xfId="2067" xr:uid="{00000000-0005-0000-0000-0000630B0000}"/>
    <cellStyle name="Currency 6 2 3 6" xfId="2068" xr:uid="{00000000-0005-0000-0000-0000640B0000}"/>
    <cellStyle name="Currency 6 2 4" xfId="2069" xr:uid="{00000000-0005-0000-0000-0000650B0000}"/>
    <cellStyle name="Currency 6 2 4 2" xfId="46874" xr:uid="{00000000-0005-0000-0000-0000660B0000}"/>
    <cellStyle name="Currency 6 2 4 3" xfId="46875" xr:uid="{00000000-0005-0000-0000-0000670B0000}"/>
    <cellStyle name="Currency 6 2 5" xfId="2070" xr:uid="{00000000-0005-0000-0000-0000680B0000}"/>
    <cellStyle name="Currency 6 2 5 2" xfId="46876" xr:uid="{00000000-0005-0000-0000-0000690B0000}"/>
    <cellStyle name="Currency 6 2 6" xfId="2071" xr:uid="{00000000-0005-0000-0000-00006A0B0000}"/>
    <cellStyle name="Currency 6 2 7" xfId="2072" xr:uid="{00000000-0005-0000-0000-00006B0B0000}"/>
    <cellStyle name="Currency 6 2 8" xfId="2073" xr:uid="{00000000-0005-0000-0000-00006C0B0000}"/>
    <cellStyle name="Currency 6 2 9" xfId="2074" xr:uid="{00000000-0005-0000-0000-00006D0B0000}"/>
    <cellStyle name="Currency 6 3" xfId="2075" xr:uid="{00000000-0005-0000-0000-00006E0B0000}"/>
    <cellStyle name="Currency 6 3 2" xfId="2076" xr:uid="{00000000-0005-0000-0000-00006F0B0000}"/>
    <cellStyle name="Currency 6 3 2 2" xfId="2077" xr:uid="{00000000-0005-0000-0000-0000700B0000}"/>
    <cellStyle name="Currency 6 3 2 2 2" xfId="2078" xr:uid="{00000000-0005-0000-0000-0000710B0000}"/>
    <cellStyle name="Currency 6 3 2 2 2 2" xfId="46877" xr:uid="{00000000-0005-0000-0000-0000720B0000}"/>
    <cellStyle name="Currency 6 3 2 2 2 3" xfId="46878" xr:uid="{00000000-0005-0000-0000-0000730B0000}"/>
    <cellStyle name="Currency 6 3 2 2 3" xfId="2079" xr:uid="{00000000-0005-0000-0000-0000740B0000}"/>
    <cellStyle name="Currency 6 3 2 2 3 2" xfId="46879" xr:uid="{00000000-0005-0000-0000-0000750B0000}"/>
    <cellStyle name="Currency 6 3 2 2 4" xfId="2080" xr:uid="{00000000-0005-0000-0000-0000760B0000}"/>
    <cellStyle name="Currency 6 3 2 2 5" xfId="2081" xr:uid="{00000000-0005-0000-0000-0000770B0000}"/>
    <cellStyle name="Currency 6 3 2 2 6" xfId="2082" xr:uid="{00000000-0005-0000-0000-0000780B0000}"/>
    <cellStyle name="Currency 6 3 2 3" xfId="2083" xr:uid="{00000000-0005-0000-0000-0000790B0000}"/>
    <cellStyle name="Currency 6 3 2 3 2" xfId="46880" xr:uid="{00000000-0005-0000-0000-00007A0B0000}"/>
    <cellStyle name="Currency 6 3 2 3 3" xfId="46881" xr:uid="{00000000-0005-0000-0000-00007B0B0000}"/>
    <cellStyle name="Currency 6 3 2 4" xfId="2084" xr:uid="{00000000-0005-0000-0000-00007C0B0000}"/>
    <cellStyle name="Currency 6 3 2 4 2" xfId="46882" xr:uid="{00000000-0005-0000-0000-00007D0B0000}"/>
    <cellStyle name="Currency 6 3 2 5" xfId="2085" xr:uid="{00000000-0005-0000-0000-00007E0B0000}"/>
    <cellStyle name="Currency 6 3 2 6" xfId="2086" xr:uid="{00000000-0005-0000-0000-00007F0B0000}"/>
    <cellStyle name="Currency 6 3 2 7" xfId="2087" xr:uid="{00000000-0005-0000-0000-0000800B0000}"/>
    <cellStyle name="Currency 6 3 3" xfId="2088" xr:uid="{00000000-0005-0000-0000-0000810B0000}"/>
    <cellStyle name="Currency 6 3 3 2" xfId="2089" xr:uid="{00000000-0005-0000-0000-0000820B0000}"/>
    <cellStyle name="Currency 6 3 3 2 2" xfId="46883" xr:uid="{00000000-0005-0000-0000-0000830B0000}"/>
    <cellStyle name="Currency 6 3 3 2 3" xfId="46884" xr:uid="{00000000-0005-0000-0000-0000840B0000}"/>
    <cellStyle name="Currency 6 3 3 3" xfId="2090" xr:uid="{00000000-0005-0000-0000-0000850B0000}"/>
    <cellStyle name="Currency 6 3 3 3 2" xfId="46885" xr:uid="{00000000-0005-0000-0000-0000860B0000}"/>
    <cellStyle name="Currency 6 3 3 4" xfId="2091" xr:uid="{00000000-0005-0000-0000-0000870B0000}"/>
    <cellStyle name="Currency 6 3 3 5" xfId="2092" xr:uid="{00000000-0005-0000-0000-0000880B0000}"/>
    <cellStyle name="Currency 6 3 3 6" xfId="2093" xr:uid="{00000000-0005-0000-0000-0000890B0000}"/>
    <cellStyle name="Currency 6 3 4" xfId="2094" xr:uid="{00000000-0005-0000-0000-00008A0B0000}"/>
    <cellStyle name="Currency 6 3 4 2" xfId="46886" xr:uid="{00000000-0005-0000-0000-00008B0B0000}"/>
    <cellStyle name="Currency 6 3 4 3" xfId="46887" xr:uid="{00000000-0005-0000-0000-00008C0B0000}"/>
    <cellStyle name="Currency 6 3 5" xfId="2095" xr:uid="{00000000-0005-0000-0000-00008D0B0000}"/>
    <cellStyle name="Currency 6 3 5 2" xfId="46888" xr:uid="{00000000-0005-0000-0000-00008E0B0000}"/>
    <cellStyle name="Currency 6 3 6" xfId="2096" xr:uid="{00000000-0005-0000-0000-00008F0B0000}"/>
    <cellStyle name="Currency 6 3 7" xfId="2097" xr:uid="{00000000-0005-0000-0000-0000900B0000}"/>
    <cellStyle name="Currency 6 3 8" xfId="2098" xr:uid="{00000000-0005-0000-0000-0000910B0000}"/>
    <cellStyle name="Currency 6 4" xfId="2099" xr:uid="{00000000-0005-0000-0000-0000920B0000}"/>
    <cellStyle name="Currency 6 4 2" xfId="2100" xr:uid="{00000000-0005-0000-0000-0000930B0000}"/>
    <cellStyle name="Currency 6 4 2 2" xfId="2101" xr:uid="{00000000-0005-0000-0000-0000940B0000}"/>
    <cellStyle name="Currency 6 4 2 2 2" xfId="46889" xr:uid="{00000000-0005-0000-0000-0000950B0000}"/>
    <cellStyle name="Currency 6 4 2 2 3" xfId="46890" xr:uid="{00000000-0005-0000-0000-0000960B0000}"/>
    <cellStyle name="Currency 6 4 2 3" xfId="2102" xr:uid="{00000000-0005-0000-0000-0000970B0000}"/>
    <cellStyle name="Currency 6 4 2 3 2" xfId="46891" xr:uid="{00000000-0005-0000-0000-0000980B0000}"/>
    <cellStyle name="Currency 6 4 2 4" xfId="2103" xr:uid="{00000000-0005-0000-0000-0000990B0000}"/>
    <cellStyle name="Currency 6 4 2 5" xfId="2104" xr:uid="{00000000-0005-0000-0000-00009A0B0000}"/>
    <cellStyle name="Currency 6 4 2 6" xfId="2105" xr:uid="{00000000-0005-0000-0000-00009B0B0000}"/>
    <cellStyle name="Currency 6 4 3" xfId="2106" xr:uid="{00000000-0005-0000-0000-00009C0B0000}"/>
    <cellStyle name="Currency 6 4 3 2" xfId="46892" xr:uid="{00000000-0005-0000-0000-00009D0B0000}"/>
    <cellStyle name="Currency 6 4 3 3" xfId="46893" xr:uid="{00000000-0005-0000-0000-00009E0B0000}"/>
    <cellStyle name="Currency 6 4 4" xfId="2107" xr:uid="{00000000-0005-0000-0000-00009F0B0000}"/>
    <cellStyle name="Currency 6 4 4 2" xfId="46894" xr:uid="{00000000-0005-0000-0000-0000A00B0000}"/>
    <cellStyle name="Currency 6 4 5" xfId="2108" xr:uid="{00000000-0005-0000-0000-0000A10B0000}"/>
    <cellStyle name="Currency 6 4 6" xfId="2109" xr:uid="{00000000-0005-0000-0000-0000A20B0000}"/>
    <cellStyle name="Currency 6 4 7" xfId="2110" xr:uid="{00000000-0005-0000-0000-0000A30B0000}"/>
    <cellStyle name="Currency 6 5" xfId="2111" xr:uid="{00000000-0005-0000-0000-0000A40B0000}"/>
    <cellStyle name="Currency 6 5 2" xfId="2112" xr:uid="{00000000-0005-0000-0000-0000A50B0000}"/>
    <cellStyle name="Currency 6 5 2 2" xfId="46895" xr:uid="{00000000-0005-0000-0000-0000A60B0000}"/>
    <cellStyle name="Currency 6 5 2 3" xfId="46896" xr:uid="{00000000-0005-0000-0000-0000A70B0000}"/>
    <cellStyle name="Currency 6 5 3" xfId="2113" xr:uid="{00000000-0005-0000-0000-0000A80B0000}"/>
    <cellStyle name="Currency 6 5 3 2" xfId="46897" xr:uid="{00000000-0005-0000-0000-0000A90B0000}"/>
    <cellStyle name="Currency 6 5 4" xfId="2114" xr:uid="{00000000-0005-0000-0000-0000AA0B0000}"/>
    <cellStyle name="Currency 6 5 5" xfId="2115" xr:uid="{00000000-0005-0000-0000-0000AB0B0000}"/>
    <cellStyle name="Currency 6 5 6" xfId="2116" xr:uid="{00000000-0005-0000-0000-0000AC0B0000}"/>
    <cellStyle name="Currency 6 6" xfId="2117" xr:uid="{00000000-0005-0000-0000-0000AD0B0000}"/>
    <cellStyle name="Currency 6 6 2" xfId="46898" xr:uid="{00000000-0005-0000-0000-0000AE0B0000}"/>
    <cellStyle name="Currency 6 6 3" xfId="46899" xr:uid="{00000000-0005-0000-0000-0000AF0B0000}"/>
    <cellStyle name="Currency 6 7" xfId="2118" xr:uid="{00000000-0005-0000-0000-0000B00B0000}"/>
    <cellStyle name="Currency 6 7 2" xfId="46900" xr:uid="{00000000-0005-0000-0000-0000B10B0000}"/>
    <cellStyle name="Currency 6 8" xfId="2119" xr:uid="{00000000-0005-0000-0000-0000B20B0000}"/>
    <cellStyle name="Currency 6 9" xfId="2120" xr:uid="{00000000-0005-0000-0000-0000B30B0000}"/>
    <cellStyle name="Currency 7" xfId="2121" xr:uid="{00000000-0005-0000-0000-0000B40B0000}"/>
    <cellStyle name="Currency 7 10" xfId="2122" xr:uid="{00000000-0005-0000-0000-0000B50B0000}"/>
    <cellStyle name="Currency 7 11" xfId="2123" xr:uid="{00000000-0005-0000-0000-0000B60B0000}"/>
    <cellStyle name="Currency 7 12" xfId="2124" xr:uid="{00000000-0005-0000-0000-0000B70B0000}"/>
    <cellStyle name="Currency 7 13" xfId="2125" xr:uid="{00000000-0005-0000-0000-0000B80B0000}"/>
    <cellStyle name="Currency 7 2" xfId="2126" xr:uid="{00000000-0005-0000-0000-0000B90B0000}"/>
    <cellStyle name="Currency 7 2 2" xfId="2127" xr:uid="{00000000-0005-0000-0000-0000BA0B0000}"/>
    <cellStyle name="Currency 7 2 2 2" xfId="2128" xr:uid="{00000000-0005-0000-0000-0000BB0B0000}"/>
    <cellStyle name="Currency 7 2 2 2 2" xfId="2129" xr:uid="{00000000-0005-0000-0000-0000BC0B0000}"/>
    <cellStyle name="Currency 7 2 2 2 2 2" xfId="46901" xr:uid="{00000000-0005-0000-0000-0000BD0B0000}"/>
    <cellStyle name="Currency 7 2 2 2 2 3" xfId="46902" xr:uid="{00000000-0005-0000-0000-0000BE0B0000}"/>
    <cellStyle name="Currency 7 2 2 2 3" xfId="2130" xr:uid="{00000000-0005-0000-0000-0000BF0B0000}"/>
    <cellStyle name="Currency 7 2 2 2 3 2" xfId="46903" xr:uid="{00000000-0005-0000-0000-0000C00B0000}"/>
    <cellStyle name="Currency 7 2 2 2 4" xfId="2131" xr:uid="{00000000-0005-0000-0000-0000C10B0000}"/>
    <cellStyle name="Currency 7 2 2 2 5" xfId="2132" xr:uid="{00000000-0005-0000-0000-0000C20B0000}"/>
    <cellStyle name="Currency 7 2 2 2 6" xfId="2133" xr:uid="{00000000-0005-0000-0000-0000C30B0000}"/>
    <cellStyle name="Currency 7 2 2 3" xfId="2134" xr:uid="{00000000-0005-0000-0000-0000C40B0000}"/>
    <cellStyle name="Currency 7 2 2 3 2" xfId="46904" xr:uid="{00000000-0005-0000-0000-0000C50B0000}"/>
    <cellStyle name="Currency 7 2 2 3 3" xfId="46905" xr:uid="{00000000-0005-0000-0000-0000C60B0000}"/>
    <cellStyle name="Currency 7 2 2 4" xfId="2135" xr:uid="{00000000-0005-0000-0000-0000C70B0000}"/>
    <cellStyle name="Currency 7 2 2 4 2" xfId="46906" xr:uid="{00000000-0005-0000-0000-0000C80B0000}"/>
    <cellStyle name="Currency 7 2 2 5" xfId="2136" xr:uid="{00000000-0005-0000-0000-0000C90B0000}"/>
    <cellStyle name="Currency 7 2 2 6" xfId="2137" xr:uid="{00000000-0005-0000-0000-0000CA0B0000}"/>
    <cellStyle name="Currency 7 2 2 7" xfId="2138" xr:uid="{00000000-0005-0000-0000-0000CB0B0000}"/>
    <cellStyle name="Currency 7 2 3" xfId="2139" xr:uid="{00000000-0005-0000-0000-0000CC0B0000}"/>
    <cellStyle name="Currency 7 2 3 2" xfId="2140" xr:uid="{00000000-0005-0000-0000-0000CD0B0000}"/>
    <cellStyle name="Currency 7 2 3 2 2" xfId="46907" xr:uid="{00000000-0005-0000-0000-0000CE0B0000}"/>
    <cellStyle name="Currency 7 2 3 2 3" xfId="46908" xr:uid="{00000000-0005-0000-0000-0000CF0B0000}"/>
    <cellStyle name="Currency 7 2 3 3" xfId="2141" xr:uid="{00000000-0005-0000-0000-0000D00B0000}"/>
    <cellStyle name="Currency 7 2 3 3 2" xfId="46909" xr:uid="{00000000-0005-0000-0000-0000D10B0000}"/>
    <cellStyle name="Currency 7 2 3 4" xfId="2142" xr:uid="{00000000-0005-0000-0000-0000D20B0000}"/>
    <cellStyle name="Currency 7 2 3 5" xfId="2143" xr:uid="{00000000-0005-0000-0000-0000D30B0000}"/>
    <cellStyle name="Currency 7 2 3 6" xfId="2144" xr:uid="{00000000-0005-0000-0000-0000D40B0000}"/>
    <cellStyle name="Currency 7 2 4" xfId="2145" xr:uid="{00000000-0005-0000-0000-0000D50B0000}"/>
    <cellStyle name="Currency 7 2 4 2" xfId="46910" xr:uid="{00000000-0005-0000-0000-0000D60B0000}"/>
    <cellStyle name="Currency 7 2 4 3" xfId="46911" xr:uid="{00000000-0005-0000-0000-0000D70B0000}"/>
    <cellStyle name="Currency 7 2 5" xfId="2146" xr:uid="{00000000-0005-0000-0000-0000D80B0000}"/>
    <cellStyle name="Currency 7 2 5 2" xfId="46912" xr:uid="{00000000-0005-0000-0000-0000D90B0000}"/>
    <cellStyle name="Currency 7 2 6" xfId="2147" xr:uid="{00000000-0005-0000-0000-0000DA0B0000}"/>
    <cellStyle name="Currency 7 2 7" xfId="2148" xr:uid="{00000000-0005-0000-0000-0000DB0B0000}"/>
    <cellStyle name="Currency 7 2 8" xfId="2149" xr:uid="{00000000-0005-0000-0000-0000DC0B0000}"/>
    <cellStyle name="Currency 7 2 9" xfId="2150" xr:uid="{00000000-0005-0000-0000-0000DD0B0000}"/>
    <cellStyle name="Currency 7 3" xfId="2151" xr:uid="{00000000-0005-0000-0000-0000DE0B0000}"/>
    <cellStyle name="Currency 7 3 2" xfId="2152" xr:uid="{00000000-0005-0000-0000-0000DF0B0000}"/>
    <cellStyle name="Currency 7 3 2 2" xfId="2153" xr:uid="{00000000-0005-0000-0000-0000E00B0000}"/>
    <cellStyle name="Currency 7 3 2 2 2" xfId="46913" xr:uid="{00000000-0005-0000-0000-0000E10B0000}"/>
    <cellStyle name="Currency 7 3 2 2 3" xfId="46914" xr:uid="{00000000-0005-0000-0000-0000E20B0000}"/>
    <cellStyle name="Currency 7 3 2 3" xfId="2154" xr:uid="{00000000-0005-0000-0000-0000E30B0000}"/>
    <cellStyle name="Currency 7 3 2 3 2" xfId="46915" xr:uid="{00000000-0005-0000-0000-0000E40B0000}"/>
    <cellStyle name="Currency 7 3 2 4" xfId="2155" xr:uid="{00000000-0005-0000-0000-0000E50B0000}"/>
    <cellStyle name="Currency 7 3 2 5" xfId="2156" xr:uid="{00000000-0005-0000-0000-0000E60B0000}"/>
    <cellStyle name="Currency 7 3 2 6" xfId="2157" xr:uid="{00000000-0005-0000-0000-0000E70B0000}"/>
    <cellStyle name="Currency 7 3 3" xfId="2158" xr:uid="{00000000-0005-0000-0000-0000E80B0000}"/>
    <cellStyle name="Currency 7 3 3 2" xfId="46916" xr:uid="{00000000-0005-0000-0000-0000E90B0000}"/>
    <cellStyle name="Currency 7 3 3 3" xfId="46917" xr:uid="{00000000-0005-0000-0000-0000EA0B0000}"/>
    <cellStyle name="Currency 7 3 4" xfId="2159" xr:uid="{00000000-0005-0000-0000-0000EB0B0000}"/>
    <cellStyle name="Currency 7 3 4 2" xfId="46918" xr:uid="{00000000-0005-0000-0000-0000EC0B0000}"/>
    <cellStyle name="Currency 7 3 5" xfId="2160" xr:uid="{00000000-0005-0000-0000-0000ED0B0000}"/>
    <cellStyle name="Currency 7 3 6" xfId="2161" xr:uid="{00000000-0005-0000-0000-0000EE0B0000}"/>
    <cellStyle name="Currency 7 3 7" xfId="2162" xr:uid="{00000000-0005-0000-0000-0000EF0B0000}"/>
    <cellStyle name="Currency 7 4" xfId="2163" xr:uid="{00000000-0005-0000-0000-0000F00B0000}"/>
    <cellStyle name="Currency 7 4 2" xfId="2164" xr:uid="{00000000-0005-0000-0000-0000F10B0000}"/>
    <cellStyle name="Currency 7 4 2 2" xfId="46919" xr:uid="{00000000-0005-0000-0000-0000F20B0000}"/>
    <cellStyle name="Currency 7 4 2 3" xfId="46920" xr:uid="{00000000-0005-0000-0000-0000F30B0000}"/>
    <cellStyle name="Currency 7 4 3" xfId="2165" xr:uid="{00000000-0005-0000-0000-0000F40B0000}"/>
    <cellStyle name="Currency 7 4 3 2" xfId="46921" xr:uid="{00000000-0005-0000-0000-0000F50B0000}"/>
    <cellStyle name="Currency 7 4 4" xfId="2166" xr:uid="{00000000-0005-0000-0000-0000F60B0000}"/>
    <cellStyle name="Currency 7 4 5" xfId="2167" xr:uid="{00000000-0005-0000-0000-0000F70B0000}"/>
    <cellStyle name="Currency 7 4 6" xfId="2168" xr:uid="{00000000-0005-0000-0000-0000F80B0000}"/>
    <cellStyle name="Currency 7 5" xfId="2169" xr:uid="{00000000-0005-0000-0000-0000F90B0000}"/>
    <cellStyle name="Currency 7 5 2" xfId="46922" xr:uid="{00000000-0005-0000-0000-0000FA0B0000}"/>
    <cellStyle name="Currency 7 5 3" xfId="46923" xr:uid="{00000000-0005-0000-0000-0000FB0B0000}"/>
    <cellStyle name="Currency 7 6" xfId="2170" xr:uid="{00000000-0005-0000-0000-0000FC0B0000}"/>
    <cellStyle name="Currency 7 6 2" xfId="46924" xr:uid="{00000000-0005-0000-0000-0000FD0B0000}"/>
    <cellStyle name="Currency 7 7" xfId="2171" xr:uid="{00000000-0005-0000-0000-0000FE0B0000}"/>
    <cellStyle name="Currency 7 8" xfId="2172" xr:uid="{00000000-0005-0000-0000-0000FF0B0000}"/>
    <cellStyle name="Currency 7 9" xfId="2173" xr:uid="{00000000-0005-0000-0000-0000000C0000}"/>
    <cellStyle name="Currency 8" xfId="2174" xr:uid="{00000000-0005-0000-0000-0000010C0000}"/>
    <cellStyle name="Currency 8 2" xfId="2175" xr:uid="{00000000-0005-0000-0000-0000020C0000}"/>
    <cellStyle name="Currency 8 2 2" xfId="2176" xr:uid="{00000000-0005-0000-0000-0000030C0000}"/>
    <cellStyle name="Currency 8 2 2 2" xfId="2177" xr:uid="{00000000-0005-0000-0000-0000040C0000}"/>
    <cellStyle name="Currency 8 2 2 2 2" xfId="46925" xr:uid="{00000000-0005-0000-0000-0000050C0000}"/>
    <cellStyle name="Currency 8 2 2 2 3" xfId="46926" xr:uid="{00000000-0005-0000-0000-0000060C0000}"/>
    <cellStyle name="Currency 8 2 2 3" xfId="2178" xr:uid="{00000000-0005-0000-0000-0000070C0000}"/>
    <cellStyle name="Currency 8 2 2 3 2" xfId="46927" xr:uid="{00000000-0005-0000-0000-0000080C0000}"/>
    <cellStyle name="Currency 8 2 2 4" xfId="2179" xr:uid="{00000000-0005-0000-0000-0000090C0000}"/>
    <cellStyle name="Currency 8 2 2 5" xfId="2180" xr:uid="{00000000-0005-0000-0000-00000A0C0000}"/>
    <cellStyle name="Currency 8 2 2 6" xfId="2181" xr:uid="{00000000-0005-0000-0000-00000B0C0000}"/>
    <cellStyle name="Currency 8 2 3" xfId="2182" xr:uid="{00000000-0005-0000-0000-00000C0C0000}"/>
    <cellStyle name="Currency 8 2 3 2" xfId="46928" xr:uid="{00000000-0005-0000-0000-00000D0C0000}"/>
    <cellStyle name="Currency 8 2 3 3" xfId="46929" xr:uid="{00000000-0005-0000-0000-00000E0C0000}"/>
    <cellStyle name="Currency 8 2 4" xfId="2183" xr:uid="{00000000-0005-0000-0000-00000F0C0000}"/>
    <cellStyle name="Currency 8 2 4 2" xfId="46930" xr:uid="{00000000-0005-0000-0000-0000100C0000}"/>
    <cellStyle name="Currency 8 2 5" xfId="2184" xr:uid="{00000000-0005-0000-0000-0000110C0000}"/>
    <cellStyle name="Currency 8 2 6" xfId="2185" xr:uid="{00000000-0005-0000-0000-0000120C0000}"/>
    <cellStyle name="Currency 8 2 7" xfId="2186" xr:uid="{00000000-0005-0000-0000-0000130C0000}"/>
    <cellStyle name="Currency 8 3" xfId="2187" xr:uid="{00000000-0005-0000-0000-0000140C0000}"/>
    <cellStyle name="Currency 8 3 2" xfId="2188" xr:uid="{00000000-0005-0000-0000-0000150C0000}"/>
    <cellStyle name="Currency 8 3 2 2" xfId="46931" xr:uid="{00000000-0005-0000-0000-0000160C0000}"/>
    <cellStyle name="Currency 8 3 2 3" xfId="46932" xr:uid="{00000000-0005-0000-0000-0000170C0000}"/>
    <cellStyle name="Currency 8 3 3" xfId="2189" xr:uid="{00000000-0005-0000-0000-0000180C0000}"/>
    <cellStyle name="Currency 8 3 3 2" xfId="46933" xr:uid="{00000000-0005-0000-0000-0000190C0000}"/>
    <cellStyle name="Currency 8 3 4" xfId="2190" xr:uid="{00000000-0005-0000-0000-00001A0C0000}"/>
    <cellStyle name="Currency 8 3 5" xfId="2191" xr:uid="{00000000-0005-0000-0000-00001B0C0000}"/>
    <cellStyle name="Currency 8 3 6" xfId="2192" xr:uid="{00000000-0005-0000-0000-00001C0C0000}"/>
    <cellStyle name="Currency 8 4" xfId="2193" xr:uid="{00000000-0005-0000-0000-00001D0C0000}"/>
    <cellStyle name="Currency 8 4 2" xfId="46934" xr:uid="{00000000-0005-0000-0000-00001E0C0000}"/>
    <cellStyle name="Currency 8 4 3" xfId="46935" xr:uid="{00000000-0005-0000-0000-00001F0C0000}"/>
    <cellStyle name="Currency 8 5" xfId="2194" xr:uid="{00000000-0005-0000-0000-0000200C0000}"/>
    <cellStyle name="Currency 8 5 2" xfId="46936" xr:uid="{00000000-0005-0000-0000-0000210C0000}"/>
    <cellStyle name="Currency 8 6" xfId="2195" xr:uid="{00000000-0005-0000-0000-0000220C0000}"/>
    <cellStyle name="Currency 8 7" xfId="2196" xr:uid="{00000000-0005-0000-0000-0000230C0000}"/>
    <cellStyle name="Currency 8 8" xfId="2197" xr:uid="{00000000-0005-0000-0000-0000240C0000}"/>
    <cellStyle name="Currency 9" xfId="2198" xr:uid="{00000000-0005-0000-0000-0000250C0000}"/>
    <cellStyle name="Currency 9 2" xfId="2199" xr:uid="{00000000-0005-0000-0000-0000260C0000}"/>
    <cellStyle name="Currency 9 2 2" xfId="46937" xr:uid="{00000000-0005-0000-0000-0000270C0000}"/>
    <cellStyle name="Currency 9 2 3" xfId="46938" xr:uid="{00000000-0005-0000-0000-0000280C0000}"/>
    <cellStyle name="Currency 9 3" xfId="2200" xr:uid="{00000000-0005-0000-0000-0000290C0000}"/>
    <cellStyle name="Currency 9 3 2" xfId="46939" xr:uid="{00000000-0005-0000-0000-00002A0C0000}"/>
    <cellStyle name="Currency 9 4" xfId="2201" xr:uid="{00000000-0005-0000-0000-00002B0C0000}"/>
    <cellStyle name="Currency 9 5" xfId="2202" xr:uid="{00000000-0005-0000-0000-00002C0C0000}"/>
    <cellStyle name="Currency 9 6" xfId="2203" xr:uid="{00000000-0005-0000-0000-00002D0C0000}"/>
    <cellStyle name="Currency0" xfId="2204" xr:uid="{00000000-0005-0000-0000-00002E0C0000}"/>
    <cellStyle name="Date" xfId="2205" xr:uid="{00000000-0005-0000-0000-00002F0C0000}"/>
    <cellStyle name="Exhibit Headings" xfId="2206" xr:uid="{00000000-0005-0000-0000-0000300C0000}"/>
    <cellStyle name="Explanatory Text 2" xfId="2207" xr:uid="{00000000-0005-0000-0000-0000310C0000}"/>
    <cellStyle name="Explanatory Text 2 2" xfId="2208" xr:uid="{00000000-0005-0000-0000-0000320C0000}"/>
    <cellStyle name="Explanatory Text 2 2 2" xfId="2209" xr:uid="{00000000-0005-0000-0000-0000330C0000}"/>
    <cellStyle name="Explanatory Text 2 3" xfId="2210" xr:uid="{00000000-0005-0000-0000-0000340C0000}"/>
    <cellStyle name="Explanatory Text 2 4" xfId="2211" xr:uid="{00000000-0005-0000-0000-0000350C0000}"/>
    <cellStyle name="Explanatory Text 3" xfId="2212" xr:uid="{00000000-0005-0000-0000-0000360C0000}"/>
    <cellStyle name="Explanatory Text 4" xfId="2213" xr:uid="{00000000-0005-0000-0000-0000370C0000}"/>
    <cellStyle name="Fixed" xfId="2214" xr:uid="{00000000-0005-0000-0000-0000380C0000}"/>
    <cellStyle name="Good 2" xfId="2215" xr:uid="{00000000-0005-0000-0000-0000390C0000}"/>
    <cellStyle name="Good 2 2" xfId="2216" xr:uid="{00000000-0005-0000-0000-00003A0C0000}"/>
    <cellStyle name="Good 2 2 2" xfId="2217" xr:uid="{00000000-0005-0000-0000-00003B0C0000}"/>
    <cellStyle name="Good 2 3" xfId="2218" xr:uid="{00000000-0005-0000-0000-00003C0C0000}"/>
    <cellStyle name="Good 2 4" xfId="2219" xr:uid="{00000000-0005-0000-0000-00003D0C0000}"/>
    <cellStyle name="Good 3" xfId="2220" xr:uid="{00000000-0005-0000-0000-00003E0C0000}"/>
    <cellStyle name="Good 4" xfId="2221" xr:uid="{00000000-0005-0000-0000-00003F0C0000}"/>
    <cellStyle name="GrayBar" xfId="2222" xr:uid="{00000000-0005-0000-0000-0000400C0000}"/>
    <cellStyle name="Heading 1 2" xfId="2223" xr:uid="{00000000-0005-0000-0000-0000410C0000}"/>
    <cellStyle name="Heading 1 2 2" xfId="2224" xr:uid="{00000000-0005-0000-0000-0000420C0000}"/>
    <cellStyle name="Heading 1 2 3" xfId="2225" xr:uid="{00000000-0005-0000-0000-0000430C0000}"/>
    <cellStyle name="Heading 1 2 3 2" xfId="2226" xr:uid="{00000000-0005-0000-0000-0000440C0000}"/>
    <cellStyle name="Heading 1 2 4" xfId="2227" xr:uid="{00000000-0005-0000-0000-0000450C0000}"/>
    <cellStyle name="Heading 1 3" xfId="2228" xr:uid="{00000000-0005-0000-0000-0000460C0000}"/>
    <cellStyle name="Heading 1 3 2" xfId="2229" xr:uid="{00000000-0005-0000-0000-0000470C0000}"/>
    <cellStyle name="Heading 1 3 3" xfId="2230" xr:uid="{00000000-0005-0000-0000-0000480C0000}"/>
    <cellStyle name="Heading 1 4" xfId="2231" xr:uid="{00000000-0005-0000-0000-0000490C0000}"/>
    <cellStyle name="Heading 2 2" xfId="2232" xr:uid="{00000000-0005-0000-0000-00004A0C0000}"/>
    <cellStyle name="Heading 2 2 2" xfId="2233" xr:uid="{00000000-0005-0000-0000-00004B0C0000}"/>
    <cellStyle name="Heading 2 2 3" xfId="2234" xr:uid="{00000000-0005-0000-0000-00004C0C0000}"/>
    <cellStyle name="Heading 2 2 4" xfId="2235" xr:uid="{00000000-0005-0000-0000-00004D0C0000}"/>
    <cellStyle name="Heading 2 3" xfId="2236" xr:uid="{00000000-0005-0000-0000-00004E0C0000}"/>
    <cellStyle name="Heading 2 4" xfId="2237" xr:uid="{00000000-0005-0000-0000-00004F0C0000}"/>
    <cellStyle name="Heading 3 2" xfId="2238" xr:uid="{00000000-0005-0000-0000-0000500C0000}"/>
    <cellStyle name="Heading 3 2 2" xfId="2239" xr:uid="{00000000-0005-0000-0000-0000510C0000}"/>
    <cellStyle name="Heading 3 2 2 2" xfId="2240" xr:uid="{00000000-0005-0000-0000-0000520C0000}"/>
    <cellStyle name="Heading 3 2 2 2 2" xfId="2241" xr:uid="{00000000-0005-0000-0000-0000530C0000}"/>
    <cellStyle name="Heading 3 2 2 2 2 2" xfId="2242" xr:uid="{00000000-0005-0000-0000-0000540C0000}"/>
    <cellStyle name="Heading 3 2 2 2 3" xfId="2243" xr:uid="{00000000-0005-0000-0000-0000550C0000}"/>
    <cellStyle name="Heading 3 2 2 3" xfId="2244" xr:uid="{00000000-0005-0000-0000-0000560C0000}"/>
    <cellStyle name="Heading 3 2 2 3 2" xfId="2245" xr:uid="{00000000-0005-0000-0000-0000570C0000}"/>
    <cellStyle name="Heading 3 2 2 4" xfId="2246" xr:uid="{00000000-0005-0000-0000-0000580C0000}"/>
    <cellStyle name="Heading 3 2 3" xfId="2247" xr:uid="{00000000-0005-0000-0000-0000590C0000}"/>
    <cellStyle name="Heading 3 2 3 2" xfId="2248" xr:uid="{00000000-0005-0000-0000-00005A0C0000}"/>
    <cellStyle name="Heading 3 2 3 3" xfId="2249" xr:uid="{00000000-0005-0000-0000-00005B0C0000}"/>
    <cellStyle name="Heading 3 2 4" xfId="2250" xr:uid="{00000000-0005-0000-0000-00005C0C0000}"/>
    <cellStyle name="Heading 3 2 4 2" xfId="2251" xr:uid="{00000000-0005-0000-0000-00005D0C0000}"/>
    <cellStyle name="Heading 3 3" xfId="2252" xr:uid="{00000000-0005-0000-0000-00005E0C0000}"/>
    <cellStyle name="Heading 3 4" xfId="2253" xr:uid="{00000000-0005-0000-0000-00005F0C0000}"/>
    <cellStyle name="Heading 4 2" xfId="2254" xr:uid="{00000000-0005-0000-0000-0000600C0000}"/>
    <cellStyle name="Heading 4 2 2" xfId="2255" xr:uid="{00000000-0005-0000-0000-0000610C0000}"/>
    <cellStyle name="Heading 4 2 2 2" xfId="2256" xr:uid="{00000000-0005-0000-0000-0000620C0000}"/>
    <cellStyle name="Heading 4 2 3" xfId="2257" xr:uid="{00000000-0005-0000-0000-0000630C0000}"/>
    <cellStyle name="Heading 4 2 3 2" xfId="2258" xr:uid="{00000000-0005-0000-0000-0000640C0000}"/>
    <cellStyle name="Heading 4 2 4" xfId="2259" xr:uid="{00000000-0005-0000-0000-0000650C0000}"/>
    <cellStyle name="Heading 4 3" xfId="2260" xr:uid="{00000000-0005-0000-0000-0000660C0000}"/>
    <cellStyle name="Heading 4 3 2" xfId="2261" xr:uid="{00000000-0005-0000-0000-0000670C0000}"/>
    <cellStyle name="Heading 4 3 3" xfId="2262" xr:uid="{00000000-0005-0000-0000-0000680C0000}"/>
    <cellStyle name="Heading 4 4" xfId="2263" xr:uid="{00000000-0005-0000-0000-0000690C0000}"/>
    <cellStyle name="Hyperlink" xfId="63080" builtinId="8"/>
    <cellStyle name="Hyperlink 10" xfId="2264" xr:uid="{00000000-0005-0000-0000-00006B0C0000}"/>
    <cellStyle name="Hyperlink 11" xfId="2265" xr:uid="{00000000-0005-0000-0000-00006C0C0000}"/>
    <cellStyle name="Hyperlink 2" xfId="2266" xr:uid="{00000000-0005-0000-0000-00006D0C0000}"/>
    <cellStyle name="Hyperlink 2 2" xfId="2267" xr:uid="{00000000-0005-0000-0000-00006E0C0000}"/>
    <cellStyle name="Hyperlink 2 2 2" xfId="2268" xr:uid="{00000000-0005-0000-0000-00006F0C0000}"/>
    <cellStyle name="Hyperlink 2 3" xfId="2269" xr:uid="{00000000-0005-0000-0000-0000700C0000}"/>
    <cellStyle name="Hyperlink 2 3 2" xfId="2270" xr:uid="{00000000-0005-0000-0000-0000710C0000}"/>
    <cellStyle name="Hyperlink 2 3 2 2" xfId="2271" xr:uid="{00000000-0005-0000-0000-0000720C0000}"/>
    <cellStyle name="Hyperlink 2 3 3" xfId="2272" xr:uid="{00000000-0005-0000-0000-0000730C0000}"/>
    <cellStyle name="Hyperlink 2 3 4" xfId="2273" xr:uid="{00000000-0005-0000-0000-0000740C0000}"/>
    <cellStyle name="Hyperlink 2 4" xfId="2274" xr:uid="{00000000-0005-0000-0000-0000750C0000}"/>
    <cellStyle name="Hyperlink 2 4 2" xfId="2275" xr:uid="{00000000-0005-0000-0000-0000760C0000}"/>
    <cellStyle name="Hyperlink 2 5" xfId="2276" xr:uid="{00000000-0005-0000-0000-0000770C0000}"/>
    <cellStyle name="Hyperlink 2 6" xfId="2277" xr:uid="{00000000-0005-0000-0000-0000780C0000}"/>
    <cellStyle name="Hyperlink 2 7" xfId="2278" xr:uid="{00000000-0005-0000-0000-0000790C0000}"/>
    <cellStyle name="Hyperlink 2 8" xfId="2279" xr:uid="{00000000-0005-0000-0000-00007A0C0000}"/>
    <cellStyle name="Hyperlink 3" xfId="2280" xr:uid="{00000000-0005-0000-0000-00007B0C0000}"/>
    <cellStyle name="Hyperlink 3 2" xfId="2281" xr:uid="{00000000-0005-0000-0000-00007C0C0000}"/>
    <cellStyle name="Hyperlink 3 2 2" xfId="2282" xr:uid="{00000000-0005-0000-0000-00007D0C0000}"/>
    <cellStyle name="Hyperlink 3 2 3" xfId="2283" xr:uid="{00000000-0005-0000-0000-00007E0C0000}"/>
    <cellStyle name="Hyperlink 3 2 4" xfId="2284" xr:uid="{00000000-0005-0000-0000-00007F0C0000}"/>
    <cellStyle name="Hyperlink 3 3" xfId="2285" xr:uid="{00000000-0005-0000-0000-0000800C0000}"/>
    <cellStyle name="Hyperlink 3 3 2" xfId="2286" xr:uid="{00000000-0005-0000-0000-0000810C0000}"/>
    <cellStyle name="Hyperlink 3 4" xfId="2287" xr:uid="{00000000-0005-0000-0000-0000820C0000}"/>
    <cellStyle name="Hyperlink 4" xfId="2288" xr:uid="{00000000-0005-0000-0000-0000830C0000}"/>
    <cellStyle name="Hyperlink 4 2" xfId="2289" xr:uid="{00000000-0005-0000-0000-0000840C0000}"/>
    <cellStyle name="Hyperlink 4 2 2" xfId="2290" xr:uid="{00000000-0005-0000-0000-0000850C0000}"/>
    <cellStyle name="Hyperlink 4 3" xfId="2291" xr:uid="{00000000-0005-0000-0000-0000860C0000}"/>
    <cellStyle name="Hyperlink 5" xfId="2292" xr:uid="{00000000-0005-0000-0000-0000870C0000}"/>
    <cellStyle name="Hyperlink 5 2" xfId="2293" xr:uid="{00000000-0005-0000-0000-0000880C0000}"/>
    <cellStyle name="Hyperlink 5 2 2" xfId="2294" xr:uid="{00000000-0005-0000-0000-0000890C0000}"/>
    <cellStyle name="Hyperlink 6" xfId="2295" xr:uid="{00000000-0005-0000-0000-00008A0C0000}"/>
    <cellStyle name="Hyperlink 6 2" xfId="2296" xr:uid="{00000000-0005-0000-0000-00008B0C0000}"/>
    <cellStyle name="Hyperlink 7" xfId="2297" xr:uid="{00000000-0005-0000-0000-00008C0C0000}"/>
    <cellStyle name="Hyperlink 8" xfId="2298" xr:uid="{00000000-0005-0000-0000-00008D0C0000}"/>
    <cellStyle name="Hyperlink 9" xfId="2299" xr:uid="{00000000-0005-0000-0000-00008E0C0000}"/>
    <cellStyle name="Input 2" xfId="2300" xr:uid="{00000000-0005-0000-0000-00008F0C0000}"/>
    <cellStyle name="Input 2 2" xfId="2301" xr:uid="{00000000-0005-0000-0000-0000900C0000}"/>
    <cellStyle name="Input 2 2 10" xfId="2302" xr:uid="{00000000-0005-0000-0000-0000910C0000}"/>
    <cellStyle name="Input 2 2 2" xfId="2303" xr:uid="{00000000-0005-0000-0000-0000920C0000}"/>
    <cellStyle name="Input 2 2 2 10" xfId="2304" xr:uid="{00000000-0005-0000-0000-0000930C0000}"/>
    <cellStyle name="Input 2 2 2 11" xfId="2305" xr:uid="{00000000-0005-0000-0000-0000940C0000}"/>
    <cellStyle name="Input 2 2 2 2" xfId="2306" xr:uid="{00000000-0005-0000-0000-0000950C0000}"/>
    <cellStyle name="Input 2 2 2 2 2" xfId="2307" xr:uid="{00000000-0005-0000-0000-0000960C0000}"/>
    <cellStyle name="Input 2 2 2 2 3" xfId="2308" xr:uid="{00000000-0005-0000-0000-0000970C0000}"/>
    <cellStyle name="Input 2 2 2 3" xfId="2309" xr:uid="{00000000-0005-0000-0000-0000980C0000}"/>
    <cellStyle name="Input 2 2 2 3 2" xfId="2310" xr:uid="{00000000-0005-0000-0000-0000990C0000}"/>
    <cellStyle name="Input 2 2 2 4" xfId="2311" xr:uid="{00000000-0005-0000-0000-00009A0C0000}"/>
    <cellStyle name="Input 2 2 2 4 2" xfId="2312" xr:uid="{00000000-0005-0000-0000-00009B0C0000}"/>
    <cellStyle name="Input 2 2 2 5" xfId="2313" xr:uid="{00000000-0005-0000-0000-00009C0C0000}"/>
    <cellStyle name="Input 2 2 2 6" xfId="2314" xr:uid="{00000000-0005-0000-0000-00009D0C0000}"/>
    <cellStyle name="Input 2 2 2 7" xfId="2315" xr:uid="{00000000-0005-0000-0000-00009E0C0000}"/>
    <cellStyle name="Input 2 2 2 8" xfId="2316" xr:uid="{00000000-0005-0000-0000-00009F0C0000}"/>
    <cellStyle name="Input 2 2 2 9" xfId="2317" xr:uid="{00000000-0005-0000-0000-0000A00C0000}"/>
    <cellStyle name="Input 2 2 3" xfId="2318" xr:uid="{00000000-0005-0000-0000-0000A10C0000}"/>
    <cellStyle name="Input 2 2 3 10" xfId="2319" xr:uid="{00000000-0005-0000-0000-0000A20C0000}"/>
    <cellStyle name="Input 2 2 3 2" xfId="2320" xr:uid="{00000000-0005-0000-0000-0000A30C0000}"/>
    <cellStyle name="Input 2 2 3 2 2" xfId="2321" xr:uid="{00000000-0005-0000-0000-0000A40C0000}"/>
    <cellStyle name="Input 2 2 3 2 3" xfId="2322" xr:uid="{00000000-0005-0000-0000-0000A50C0000}"/>
    <cellStyle name="Input 2 2 3 3" xfId="2323" xr:uid="{00000000-0005-0000-0000-0000A60C0000}"/>
    <cellStyle name="Input 2 2 3 3 2" xfId="2324" xr:uid="{00000000-0005-0000-0000-0000A70C0000}"/>
    <cellStyle name="Input 2 2 3 4" xfId="2325" xr:uid="{00000000-0005-0000-0000-0000A80C0000}"/>
    <cellStyle name="Input 2 2 3 4 2" xfId="2326" xr:uid="{00000000-0005-0000-0000-0000A90C0000}"/>
    <cellStyle name="Input 2 2 3 5" xfId="2327" xr:uid="{00000000-0005-0000-0000-0000AA0C0000}"/>
    <cellStyle name="Input 2 2 3 6" xfId="2328" xr:uid="{00000000-0005-0000-0000-0000AB0C0000}"/>
    <cellStyle name="Input 2 2 3 7" xfId="2329" xr:uid="{00000000-0005-0000-0000-0000AC0C0000}"/>
    <cellStyle name="Input 2 2 3 8" xfId="2330" xr:uid="{00000000-0005-0000-0000-0000AD0C0000}"/>
    <cellStyle name="Input 2 2 3 9" xfId="2331" xr:uid="{00000000-0005-0000-0000-0000AE0C0000}"/>
    <cellStyle name="Input 2 2 4" xfId="2332" xr:uid="{00000000-0005-0000-0000-0000AF0C0000}"/>
    <cellStyle name="Input 2 2 4 10" xfId="2333" xr:uid="{00000000-0005-0000-0000-0000B00C0000}"/>
    <cellStyle name="Input 2 2 4 2" xfId="2334" xr:uid="{00000000-0005-0000-0000-0000B10C0000}"/>
    <cellStyle name="Input 2 2 4 3" xfId="2335" xr:uid="{00000000-0005-0000-0000-0000B20C0000}"/>
    <cellStyle name="Input 2 2 4 4" xfId="2336" xr:uid="{00000000-0005-0000-0000-0000B30C0000}"/>
    <cellStyle name="Input 2 2 4 5" xfId="2337" xr:uid="{00000000-0005-0000-0000-0000B40C0000}"/>
    <cellStyle name="Input 2 2 4 6" xfId="2338" xr:uid="{00000000-0005-0000-0000-0000B50C0000}"/>
    <cellStyle name="Input 2 2 4 7" xfId="2339" xr:uid="{00000000-0005-0000-0000-0000B60C0000}"/>
    <cellStyle name="Input 2 2 4 8" xfId="2340" xr:uid="{00000000-0005-0000-0000-0000B70C0000}"/>
    <cellStyle name="Input 2 2 4 9" xfId="2341" xr:uid="{00000000-0005-0000-0000-0000B80C0000}"/>
    <cellStyle name="Input 2 2 5" xfId="2342" xr:uid="{00000000-0005-0000-0000-0000B90C0000}"/>
    <cellStyle name="Input 2 2 5 10" xfId="2343" xr:uid="{00000000-0005-0000-0000-0000BA0C0000}"/>
    <cellStyle name="Input 2 2 5 2" xfId="2344" xr:uid="{00000000-0005-0000-0000-0000BB0C0000}"/>
    <cellStyle name="Input 2 2 5 3" xfId="2345" xr:uid="{00000000-0005-0000-0000-0000BC0C0000}"/>
    <cellStyle name="Input 2 2 5 4" xfId="2346" xr:uid="{00000000-0005-0000-0000-0000BD0C0000}"/>
    <cellStyle name="Input 2 2 5 5" xfId="2347" xr:uid="{00000000-0005-0000-0000-0000BE0C0000}"/>
    <cellStyle name="Input 2 2 5 6" xfId="2348" xr:uid="{00000000-0005-0000-0000-0000BF0C0000}"/>
    <cellStyle name="Input 2 2 5 7" xfId="2349" xr:uid="{00000000-0005-0000-0000-0000C00C0000}"/>
    <cellStyle name="Input 2 2 5 8" xfId="2350" xr:uid="{00000000-0005-0000-0000-0000C10C0000}"/>
    <cellStyle name="Input 2 2 5 9" xfId="2351" xr:uid="{00000000-0005-0000-0000-0000C20C0000}"/>
    <cellStyle name="Input 2 2 6" xfId="2352" xr:uid="{00000000-0005-0000-0000-0000C30C0000}"/>
    <cellStyle name="Input 2 2 6 10" xfId="2353" xr:uid="{00000000-0005-0000-0000-0000C40C0000}"/>
    <cellStyle name="Input 2 2 6 2" xfId="2354" xr:uid="{00000000-0005-0000-0000-0000C50C0000}"/>
    <cellStyle name="Input 2 2 6 3" xfId="2355" xr:uid="{00000000-0005-0000-0000-0000C60C0000}"/>
    <cellStyle name="Input 2 2 6 4" xfId="2356" xr:uid="{00000000-0005-0000-0000-0000C70C0000}"/>
    <cellStyle name="Input 2 2 6 5" xfId="2357" xr:uid="{00000000-0005-0000-0000-0000C80C0000}"/>
    <cellStyle name="Input 2 2 6 6" xfId="2358" xr:uid="{00000000-0005-0000-0000-0000C90C0000}"/>
    <cellStyle name="Input 2 2 6 7" xfId="2359" xr:uid="{00000000-0005-0000-0000-0000CA0C0000}"/>
    <cellStyle name="Input 2 2 6 8" xfId="2360" xr:uid="{00000000-0005-0000-0000-0000CB0C0000}"/>
    <cellStyle name="Input 2 2 6 9" xfId="2361" xr:uid="{00000000-0005-0000-0000-0000CC0C0000}"/>
    <cellStyle name="Input 2 2 7" xfId="2362" xr:uid="{00000000-0005-0000-0000-0000CD0C0000}"/>
    <cellStyle name="Input 2 2 7 10" xfId="2363" xr:uid="{00000000-0005-0000-0000-0000CE0C0000}"/>
    <cellStyle name="Input 2 2 7 2" xfId="2364" xr:uid="{00000000-0005-0000-0000-0000CF0C0000}"/>
    <cellStyle name="Input 2 2 7 3" xfId="2365" xr:uid="{00000000-0005-0000-0000-0000D00C0000}"/>
    <cellStyle name="Input 2 2 7 4" xfId="2366" xr:uid="{00000000-0005-0000-0000-0000D10C0000}"/>
    <cellStyle name="Input 2 2 7 5" xfId="2367" xr:uid="{00000000-0005-0000-0000-0000D20C0000}"/>
    <cellStyle name="Input 2 2 7 6" xfId="2368" xr:uid="{00000000-0005-0000-0000-0000D30C0000}"/>
    <cellStyle name="Input 2 2 7 7" xfId="2369" xr:uid="{00000000-0005-0000-0000-0000D40C0000}"/>
    <cellStyle name="Input 2 2 7 8" xfId="2370" xr:uid="{00000000-0005-0000-0000-0000D50C0000}"/>
    <cellStyle name="Input 2 2 7 9" xfId="2371" xr:uid="{00000000-0005-0000-0000-0000D60C0000}"/>
    <cellStyle name="Input 2 2 8" xfId="2372" xr:uid="{00000000-0005-0000-0000-0000D70C0000}"/>
    <cellStyle name="Input 2 2 9" xfId="2373" xr:uid="{00000000-0005-0000-0000-0000D80C0000}"/>
    <cellStyle name="Input 2 3" xfId="2374" xr:uid="{00000000-0005-0000-0000-0000D90C0000}"/>
    <cellStyle name="Input 2 3 10" xfId="2375" xr:uid="{00000000-0005-0000-0000-0000DA0C0000}"/>
    <cellStyle name="Input 2 3 11" xfId="2376" xr:uid="{00000000-0005-0000-0000-0000DB0C0000}"/>
    <cellStyle name="Input 2 3 2" xfId="2377" xr:uid="{00000000-0005-0000-0000-0000DC0C0000}"/>
    <cellStyle name="Input 2 3 2 2" xfId="2378" xr:uid="{00000000-0005-0000-0000-0000DD0C0000}"/>
    <cellStyle name="Input 2 3 2 3" xfId="2379" xr:uid="{00000000-0005-0000-0000-0000DE0C0000}"/>
    <cellStyle name="Input 2 3 2 4" xfId="2380" xr:uid="{00000000-0005-0000-0000-0000DF0C0000}"/>
    <cellStyle name="Input 2 3 3" xfId="2381" xr:uid="{00000000-0005-0000-0000-0000E00C0000}"/>
    <cellStyle name="Input 2 3 3 2" xfId="2382" xr:uid="{00000000-0005-0000-0000-0000E10C0000}"/>
    <cellStyle name="Input 2 3 4" xfId="2383" xr:uid="{00000000-0005-0000-0000-0000E20C0000}"/>
    <cellStyle name="Input 2 3 4 2" xfId="2384" xr:uid="{00000000-0005-0000-0000-0000E30C0000}"/>
    <cellStyle name="Input 2 3 5" xfId="2385" xr:uid="{00000000-0005-0000-0000-0000E40C0000}"/>
    <cellStyle name="Input 2 3 6" xfId="2386" xr:uid="{00000000-0005-0000-0000-0000E50C0000}"/>
    <cellStyle name="Input 2 3 7" xfId="2387" xr:uid="{00000000-0005-0000-0000-0000E60C0000}"/>
    <cellStyle name="Input 2 3 8" xfId="2388" xr:uid="{00000000-0005-0000-0000-0000E70C0000}"/>
    <cellStyle name="Input 2 3 9" xfId="2389" xr:uid="{00000000-0005-0000-0000-0000E80C0000}"/>
    <cellStyle name="Input 2 4" xfId="2390" xr:uid="{00000000-0005-0000-0000-0000E90C0000}"/>
    <cellStyle name="Input 2 4 10" xfId="2391" xr:uid="{00000000-0005-0000-0000-0000EA0C0000}"/>
    <cellStyle name="Input 2 4 11" xfId="2392" xr:uid="{00000000-0005-0000-0000-0000EB0C0000}"/>
    <cellStyle name="Input 2 4 2" xfId="2393" xr:uid="{00000000-0005-0000-0000-0000EC0C0000}"/>
    <cellStyle name="Input 2 4 2 2" xfId="2394" xr:uid="{00000000-0005-0000-0000-0000ED0C0000}"/>
    <cellStyle name="Input 2 4 2 3" xfId="2395" xr:uid="{00000000-0005-0000-0000-0000EE0C0000}"/>
    <cellStyle name="Input 2 4 3" xfId="2396" xr:uid="{00000000-0005-0000-0000-0000EF0C0000}"/>
    <cellStyle name="Input 2 4 3 2" xfId="2397" xr:uid="{00000000-0005-0000-0000-0000F00C0000}"/>
    <cellStyle name="Input 2 4 4" xfId="2398" xr:uid="{00000000-0005-0000-0000-0000F10C0000}"/>
    <cellStyle name="Input 2 4 4 2" xfId="2399" xr:uid="{00000000-0005-0000-0000-0000F20C0000}"/>
    <cellStyle name="Input 2 4 5" xfId="2400" xr:uid="{00000000-0005-0000-0000-0000F30C0000}"/>
    <cellStyle name="Input 2 4 6" xfId="2401" xr:uid="{00000000-0005-0000-0000-0000F40C0000}"/>
    <cellStyle name="Input 2 4 7" xfId="2402" xr:uid="{00000000-0005-0000-0000-0000F50C0000}"/>
    <cellStyle name="Input 2 4 8" xfId="2403" xr:uid="{00000000-0005-0000-0000-0000F60C0000}"/>
    <cellStyle name="Input 2 4 9" xfId="2404" xr:uid="{00000000-0005-0000-0000-0000F70C0000}"/>
    <cellStyle name="Input 2 5" xfId="2405" xr:uid="{00000000-0005-0000-0000-0000F80C0000}"/>
    <cellStyle name="Input 2 5 10" xfId="2406" xr:uid="{00000000-0005-0000-0000-0000F90C0000}"/>
    <cellStyle name="Input 2 5 11" xfId="2407" xr:uid="{00000000-0005-0000-0000-0000FA0C0000}"/>
    <cellStyle name="Input 2 5 2" xfId="2408" xr:uid="{00000000-0005-0000-0000-0000FB0C0000}"/>
    <cellStyle name="Input 2 5 2 2" xfId="2409" xr:uid="{00000000-0005-0000-0000-0000FC0C0000}"/>
    <cellStyle name="Input 2 5 2 3" xfId="2410" xr:uid="{00000000-0005-0000-0000-0000FD0C0000}"/>
    <cellStyle name="Input 2 5 3" xfId="2411" xr:uid="{00000000-0005-0000-0000-0000FE0C0000}"/>
    <cellStyle name="Input 2 5 3 2" xfId="2412" xr:uid="{00000000-0005-0000-0000-0000FF0C0000}"/>
    <cellStyle name="Input 2 5 4" xfId="2413" xr:uid="{00000000-0005-0000-0000-0000000D0000}"/>
    <cellStyle name="Input 2 5 5" xfId="2414" xr:uid="{00000000-0005-0000-0000-0000010D0000}"/>
    <cellStyle name="Input 2 5 6" xfId="2415" xr:uid="{00000000-0005-0000-0000-0000020D0000}"/>
    <cellStyle name="Input 2 5 7" xfId="2416" xr:uid="{00000000-0005-0000-0000-0000030D0000}"/>
    <cellStyle name="Input 2 5 8" xfId="2417" xr:uid="{00000000-0005-0000-0000-0000040D0000}"/>
    <cellStyle name="Input 2 5 9" xfId="2418" xr:uid="{00000000-0005-0000-0000-0000050D0000}"/>
    <cellStyle name="Input 2 6" xfId="2419" xr:uid="{00000000-0005-0000-0000-0000060D0000}"/>
    <cellStyle name="Input 2 6 10" xfId="2420" xr:uid="{00000000-0005-0000-0000-0000070D0000}"/>
    <cellStyle name="Input 2 6 11" xfId="2421" xr:uid="{00000000-0005-0000-0000-0000080D0000}"/>
    <cellStyle name="Input 2 6 2" xfId="2422" xr:uid="{00000000-0005-0000-0000-0000090D0000}"/>
    <cellStyle name="Input 2 6 3" xfId="2423" xr:uid="{00000000-0005-0000-0000-00000A0D0000}"/>
    <cellStyle name="Input 2 6 4" xfId="2424" xr:uid="{00000000-0005-0000-0000-00000B0D0000}"/>
    <cellStyle name="Input 2 6 5" xfId="2425" xr:uid="{00000000-0005-0000-0000-00000C0D0000}"/>
    <cellStyle name="Input 2 6 6" xfId="2426" xr:uid="{00000000-0005-0000-0000-00000D0D0000}"/>
    <cellStyle name="Input 2 6 7" xfId="2427" xr:uid="{00000000-0005-0000-0000-00000E0D0000}"/>
    <cellStyle name="Input 2 6 8" xfId="2428" xr:uid="{00000000-0005-0000-0000-00000F0D0000}"/>
    <cellStyle name="Input 2 6 9" xfId="2429" xr:uid="{00000000-0005-0000-0000-0000100D0000}"/>
    <cellStyle name="Input 2 7" xfId="2430" xr:uid="{00000000-0005-0000-0000-0000110D0000}"/>
    <cellStyle name="Input 2 7 10" xfId="2431" xr:uid="{00000000-0005-0000-0000-0000120D0000}"/>
    <cellStyle name="Input 2 7 11" xfId="2432" xr:uid="{00000000-0005-0000-0000-0000130D0000}"/>
    <cellStyle name="Input 2 7 2" xfId="2433" xr:uid="{00000000-0005-0000-0000-0000140D0000}"/>
    <cellStyle name="Input 2 7 3" xfId="2434" xr:uid="{00000000-0005-0000-0000-0000150D0000}"/>
    <cellStyle name="Input 2 7 4" xfId="2435" xr:uid="{00000000-0005-0000-0000-0000160D0000}"/>
    <cellStyle name="Input 2 7 5" xfId="2436" xr:uid="{00000000-0005-0000-0000-0000170D0000}"/>
    <cellStyle name="Input 2 7 6" xfId="2437" xr:uid="{00000000-0005-0000-0000-0000180D0000}"/>
    <cellStyle name="Input 2 7 7" xfId="2438" xr:uid="{00000000-0005-0000-0000-0000190D0000}"/>
    <cellStyle name="Input 2 7 8" xfId="2439" xr:uid="{00000000-0005-0000-0000-00001A0D0000}"/>
    <cellStyle name="Input 2 7 9" xfId="2440" xr:uid="{00000000-0005-0000-0000-00001B0D0000}"/>
    <cellStyle name="Input 2 8" xfId="2441" xr:uid="{00000000-0005-0000-0000-00001C0D0000}"/>
    <cellStyle name="Input 2 8 10" xfId="2442" xr:uid="{00000000-0005-0000-0000-00001D0D0000}"/>
    <cellStyle name="Input 2 8 2" xfId="2443" xr:uid="{00000000-0005-0000-0000-00001E0D0000}"/>
    <cellStyle name="Input 2 8 3" xfId="2444" xr:uid="{00000000-0005-0000-0000-00001F0D0000}"/>
    <cellStyle name="Input 2 8 4" xfId="2445" xr:uid="{00000000-0005-0000-0000-0000200D0000}"/>
    <cellStyle name="Input 2 8 5" xfId="2446" xr:uid="{00000000-0005-0000-0000-0000210D0000}"/>
    <cellStyle name="Input 2 8 6" xfId="2447" xr:uid="{00000000-0005-0000-0000-0000220D0000}"/>
    <cellStyle name="Input 2 8 7" xfId="2448" xr:uid="{00000000-0005-0000-0000-0000230D0000}"/>
    <cellStyle name="Input 2 8 8" xfId="2449" xr:uid="{00000000-0005-0000-0000-0000240D0000}"/>
    <cellStyle name="Input 2 8 9" xfId="2450" xr:uid="{00000000-0005-0000-0000-0000250D0000}"/>
    <cellStyle name="Input 2 9" xfId="2451" xr:uid="{00000000-0005-0000-0000-0000260D0000}"/>
    <cellStyle name="Input 3" xfId="2452" xr:uid="{00000000-0005-0000-0000-0000270D0000}"/>
    <cellStyle name="Input 3 2" xfId="2453" xr:uid="{00000000-0005-0000-0000-0000280D0000}"/>
    <cellStyle name="Input 3 2 2" xfId="2454" xr:uid="{00000000-0005-0000-0000-0000290D0000}"/>
    <cellStyle name="Input 3 3" xfId="2455" xr:uid="{00000000-0005-0000-0000-00002A0D0000}"/>
    <cellStyle name="Input 3 3 2" xfId="2456" xr:uid="{00000000-0005-0000-0000-00002B0D0000}"/>
    <cellStyle name="Input 3 4" xfId="2457" xr:uid="{00000000-0005-0000-0000-00002C0D0000}"/>
    <cellStyle name="Input 4" xfId="2458" xr:uid="{00000000-0005-0000-0000-00002D0D0000}"/>
    <cellStyle name="Input 4 2" xfId="2459" xr:uid="{00000000-0005-0000-0000-00002E0D0000}"/>
    <cellStyle name="Input 5" xfId="2460" xr:uid="{00000000-0005-0000-0000-00002F0D0000}"/>
    <cellStyle name="KPMG Heading 1" xfId="2461" xr:uid="{00000000-0005-0000-0000-0000300D0000}"/>
    <cellStyle name="KPMG Heading 2" xfId="2462" xr:uid="{00000000-0005-0000-0000-0000310D0000}"/>
    <cellStyle name="KPMG Heading 3" xfId="2463" xr:uid="{00000000-0005-0000-0000-0000320D0000}"/>
    <cellStyle name="KPMG Heading 4" xfId="2464" xr:uid="{00000000-0005-0000-0000-0000330D0000}"/>
    <cellStyle name="KPMG Normal" xfId="2465" xr:uid="{00000000-0005-0000-0000-0000340D0000}"/>
    <cellStyle name="KPMG Normal Text" xfId="2466" xr:uid="{00000000-0005-0000-0000-0000350D0000}"/>
    <cellStyle name="Linked Cell 2" xfId="2467" xr:uid="{00000000-0005-0000-0000-0000360D0000}"/>
    <cellStyle name="Linked Cell 2 2" xfId="2468" xr:uid="{00000000-0005-0000-0000-0000370D0000}"/>
    <cellStyle name="Linked Cell 2 2 2" xfId="2469" xr:uid="{00000000-0005-0000-0000-0000380D0000}"/>
    <cellStyle name="Linked Cell 2 3" xfId="2470" xr:uid="{00000000-0005-0000-0000-0000390D0000}"/>
    <cellStyle name="Linked Cell 2 4" xfId="2471" xr:uid="{00000000-0005-0000-0000-00003A0D0000}"/>
    <cellStyle name="Linked Cell 3" xfId="2472" xr:uid="{00000000-0005-0000-0000-00003B0D0000}"/>
    <cellStyle name="Linked Cell 4" xfId="2473" xr:uid="{00000000-0005-0000-0000-00003C0D0000}"/>
    <cellStyle name="Neutral 2" xfId="2474" xr:uid="{00000000-0005-0000-0000-00003D0D0000}"/>
    <cellStyle name="Neutral 2 2" xfId="2475" xr:uid="{00000000-0005-0000-0000-00003E0D0000}"/>
    <cellStyle name="Neutral 2 2 2" xfId="2476" xr:uid="{00000000-0005-0000-0000-00003F0D0000}"/>
    <cellStyle name="Neutral 2 3" xfId="2477" xr:uid="{00000000-0005-0000-0000-0000400D0000}"/>
    <cellStyle name="Neutral 2 4" xfId="2478" xr:uid="{00000000-0005-0000-0000-0000410D0000}"/>
    <cellStyle name="Neutral 3" xfId="2479" xr:uid="{00000000-0005-0000-0000-0000420D0000}"/>
    <cellStyle name="Neutral 4" xfId="2480" xr:uid="{00000000-0005-0000-0000-0000430D0000}"/>
    <cellStyle name="Normal" xfId="0" builtinId="0"/>
    <cellStyle name="Normal 10" xfId="2481" xr:uid="{00000000-0005-0000-0000-0000450D0000}"/>
    <cellStyle name="Normal 10 10" xfId="2482" xr:uid="{00000000-0005-0000-0000-0000460D0000}"/>
    <cellStyle name="Normal 10 10 2" xfId="2483" xr:uid="{00000000-0005-0000-0000-0000470D0000}"/>
    <cellStyle name="Normal 10 10 2 2" xfId="2484" xr:uid="{00000000-0005-0000-0000-0000480D0000}"/>
    <cellStyle name="Normal 10 10 2 2 2" xfId="2485" xr:uid="{00000000-0005-0000-0000-0000490D0000}"/>
    <cellStyle name="Normal 10 10 2 2 2 2" xfId="46940" xr:uid="{00000000-0005-0000-0000-00004A0D0000}"/>
    <cellStyle name="Normal 10 10 2 2 2 3" xfId="46941" xr:uid="{00000000-0005-0000-0000-00004B0D0000}"/>
    <cellStyle name="Normal 10 10 2 2 3" xfId="2486" xr:uid="{00000000-0005-0000-0000-00004C0D0000}"/>
    <cellStyle name="Normal 10 10 2 2 3 2" xfId="46942" xr:uid="{00000000-0005-0000-0000-00004D0D0000}"/>
    <cellStyle name="Normal 10 10 2 2 4" xfId="2487" xr:uid="{00000000-0005-0000-0000-00004E0D0000}"/>
    <cellStyle name="Normal 10 10 2 2 5" xfId="2488" xr:uid="{00000000-0005-0000-0000-00004F0D0000}"/>
    <cellStyle name="Normal 10 10 2 2 6" xfId="2489" xr:uid="{00000000-0005-0000-0000-0000500D0000}"/>
    <cellStyle name="Normal 10 10 2 3" xfId="2490" xr:uid="{00000000-0005-0000-0000-0000510D0000}"/>
    <cellStyle name="Normal 10 10 2 3 2" xfId="46943" xr:uid="{00000000-0005-0000-0000-0000520D0000}"/>
    <cellStyle name="Normal 10 10 2 3 3" xfId="46944" xr:uid="{00000000-0005-0000-0000-0000530D0000}"/>
    <cellStyle name="Normal 10 10 2 4" xfId="2491" xr:uid="{00000000-0005-0000-0000-0000540D0000}"/>
    <cellStyle name="Normal 10 10 2 4 2" xfId="46945" xr:uid="{00000000-0005-0000-0000-0000550D0000}"/>
    <cellStyle name="Normal 10 10 2 5" xfId="2492" xr:uid="{00000000-0005-0000-0000-0000560D0000}"/>
    <cellStyle name="Normal 10 10 2 6" xfId="2493" xr:uid="{00000000-0005-0000-0000-0000570D0000}"/>
    <cellStyle name="Normal 10 10 2 7" xfId="2494" xr:uid="{00000000-0005-0000-0000-0000580D0000}"/>
    <cellStyle name="Normal 10 10 3" xfId="2495" xr:uid="{00000000-0005-0000-0000-0000590D0000}"/>
    <cellStyle name="Normal 10 10 3 2" xfId="2496" xr:uid="{00000000-0005-0000-0000-00005A0D0000}"/>
    <cellStyle name="Normal 10 10 3 2 2" xfId="46946" xr:uid="{00000000-0005-0000-0000-00005B0D0000}"/>
    <cellStyle name="Normal 10 10 3 2 3" xfId="46947" xr:uid="{00000000-0005-0000-0000-00005C0D0000}"/>
    <cellStyle name="Normal 10 10 3 3" xfId="2497" xr:uid="{00000000-0005-0000-0000-00005D0D0000}"/>
    <cellStyle name="Normal 10 10 3 3 2" xfId="46948" xr:uid="{00000000-0005-0000-0000-00005E0D0000}"/>
    <cellStyle name="Normal 10 10 3 4" xfId="2498" xr:uid="{00000000-0005-0000-0000-00005F0D0000}"/>
    <cellStyle name="Normal 10 10 3 5" xfId="2499" xr:uid="{00000000-0005-0000-0000-0000600D0000}"/>
    <cellStyle name="Normal 10 10 3 6" xfId="2500" xr:uid="{00000000-0005-0000-0000-0000610D0000}"/>
    <cellStyle name="Normal 10 10 4" xfId="2501" xr:uid="{00000000-0005-0000-0000-0000620D0000}"/>
    <cellStyle name="Normal 10 10 4 2" xfId="46949" xr:uid="{00000000-0005-0000-0000-0000630D0000}"/>
    <cellStyle name="Normal 10 10 4 3" xfId="46950" xr:uid="{00000000-0005-0000-0000-0000640D0000}"/>
    <cellStyle name="Normal 10 10 5" xfId="2502" xr:uid="{00000000-0005-0000-0000-0000650D0000}"/>
    <cellStyle name="Normal 10 10 5 2" xfId="46951" xr:uid="{00000000-0005-0000-0000-0000660D0000}"/>
    <cellStyle name="Normal 10 10 6" xfId="2503" xr:uid="{00000000-0005-0000-0000-0000670D0000}"/>
    <cellStyle name="Normal 10 10 7" xfId="2504" xr:uid="{00000000-0005-0000-0000-0000680D0000}"/>
    <cellStyle name="Normal 10 10 8" xfId="2505" xr:uid="{00000000-0005-0000-0000-0000690D0000}"/>
    <cellStyle name="Normal 10 11" xfId="2506" xr:uid="{00000000-0005-0000-0000-00006A0D0000}"/>
    <cellStyle name="Normal 10 11 2" xfId="2507" xr:uid="{00000000-0005-0000-0000-00006B0D0000}"/>
    <cellStyle name="Normal 10 11 2 2" xfId="2508" xr:uid="{00000000-0005-0000-0000-00006C0D0000}"/>
    <cellStyle name="Normal 10 11 2 2 2" xfId="2509" xr:uid="{00000000-0005-0000-0000-00006D0D0000}"/>
    <cellStyle name="Normal 10 11 2 2 2 2" xfId="46952" xr:uid="{00000000-0005-0000-0000-00006E0D0000}"/>
    <cellStyle name="Normal 10 11 2 2 2 3" xfId="46953" xr:uid="{00000000-0005-0000-0000-00006F0D0000}"/>
    <cellStyle name="Normal 10 11 2 2 3" xfId="2510" xr:uid="{00000000-0005-0000-0000-0000700D0000}"/>
    <cellStyle name="Normal 10 11 2 2 3 2" xfId="46954" xr:uid="{00000000-0005-0000-0000-0000710D0000}"/>
    <cellStyle name="Normal 10 11 2 2 4" xfId="2511" xr:uid="{00000000-0005-0000-0000-0000720D0000}"/>
    <cellStyle name="Normal 10 11 2 2 5" xfId="2512" xr:uid="{00000000-0005-0000-0000-0000730D0000}"/>
    <cellStyle name="Normal 10 11 2 2 6" xfId="2513" xr:uid="{00000000-0005-0000-0000-0000740D0000}"/>
    <cellStyle name="Normal 10 11 2 3" xfId="2514" xr:uid="{00000000-0005-0000-0000-0000750D0000}"/>
    <cellStyle name="Normal 10 11 2 3 2" xfId="46955" xr:uid="{00000000-0005-0000-0000-0000760D0000}"/>
    <cellStyle name="Normal 10 11 2 3 3" xfId="46956" xr:uid="{00000000-0005-0000-0000-0000770D0000}"/>
    <cellStyle name="Normal 10 11 2 4" xfId="2515" xr:uid="{00000000-0005-0000-0000-0000780D0000}"/>
    <cellStyle name="Normal 10 11 2 4 2" xfId="46957" xr:uid="{00000000-0005-0000-0000-0000790D0000}"/>
    <cellStyle name="Normal 10 11 2 5" xfId="2516" xr:uid="{00000000-0005-0000-0000-00007A0D0000}"/>
    <cellStyle name="Normal 10 11 2 6" xfId="2517" xr:uid="{00000000-0005-0000-0000-00007B0D0000}"/>
    <cellStyle name="Normal 10 11 2 7" xfId="2518" xr:uid="{00000000-0005-0000-0000-00007C0D0000}"/>
    <cellStyle name="Normal 10 11 3" xfId="2519" xr:uid="{00000000-0005-0000-0000-00007D0D0000}"/>
    <cellStyle name="Normal 10 11 3 2" xfId="2520" xr:uid="{00000000-0005-0000-0000-00007E0D0000}"/>
    <cellStyle name="Normal 10 11 3 2 2" xfId="46958" xr:uid="{00000000-0005-0000-0000-00007F0D0000}"/>
    <cellStyle name="Normal 10 11 3 2 3" xfId="46959" xr:uid="{00000000-0005-0000-0000-0000800D0000}"/>
    <cellStyle name="Normal 10 11 3 3" xfId="2521" xr:uid="{00000000-0005-0000-0000-0000810D0000}"/>
    <cellStyle name="Normal 10 11 3 3 2" xfId="46960" xr:uid="{00000000-0005-0000-0000-0000820D0000}"/>
    <cellStyle name="Normal 10 11 3 4" xfId="2522" xr:uid="{00000000-0005-0000-0000-0000830D0000}"/>
    <cellStyle name="Normal 10 11 3 5" xfId="2523" xr:uid="{00000000-0005-0000-0000-0000840D0000}"/>
    <cellStyle name="Normal 10 11 3 6" xfId="2524" xr:uid="{00000000-0005-0000-0000-0000850D0000}"/>
    <cellStyle name="Normal 10 11 4" xfId="2525" xr:uid="{00000000-0005-0000-0000-0000860D0000}"/>
    <cellStyle name="Normal 10 11 4 2" xfId="46961" xr:uid="{00000000-0005-0000-0000-0000870D0000}"/>
    <cellStyle name="Normal 10 11 4 3" xfId="46962" xr:uid="{00000000-0005-0000-0000-0000880D0000}"/>
    <cellStyle name="Normal 10 11 5" xfId="2526" xr:uid="{00000000-0005-0000-0000-0000890D0000}"/>
    <cellStyle name="Normal 10 11 5 2" xfId="46963" xr:uid="{00000000-0005-0000-0000-00008A0D0000}"/>
    <cellStyle name="Normal 10 11 6" xfId="2527" xr:uid="{00000000-0005-0000-0000-00008B0D0000}"/>
    <cellStyle name="Normal 10 11 7" xfId="2528" xr:uid="{00000000-0005-0000-0000-00008C0D0000}"/>
    <cellStyle name="Normal 10 11 8" xfId="2529" xr:uid="{00000000-0005-0000-0000-00008D0D0000}"/>
    <cellStyle name="Normal 10 12" xfId="2530" xr:uid="{00000000-0005-0000-0000-00008E0D0000}"/>
    <cellStyle name="Normal 10 12 2" xfId="2531" xr:uid="{00000000-0005-0000-0000-00008F0D0000}"/>
    <cellStyle name="Normal 10 12 2 2" xfId="2532" xr:uid="{00000000-0005-0000-0000-0000900D0000}"/>
    <cellStyle name="Normal 10 12 2 2 2" xfId="46964" xr:uid="{00000000-0005-0000-0000-0000910D0000}"/>
    <cellStyle name="Normal 10 12 2 2 3" xfId="46965" xr:uid="{00000000-0005-0000-0000-0000920D0000}"/>
    <cellStyle name="Normal 10 12 2 3" xfId="2533" xr:uid="{00000000-0005-0000-0000-0000930D0000}"/>
    <cellStyle name="Normal 10 12 2 3 2" xfId="46966" xr:uid="{00000000-0005-0000-0000-0000940D0000}"/>
    <cellStyle name="Normal 10 12 2 4" xfId="2534" xr:uid="{00000000-0005-0000-0000-0000950D0000}"/>
    <cellStyle name="Normal 10 12 2 5" xfId="2535" xr:uid="{00000000-0005-0000-0000-0000960D0000}"/>
    <cellStyle name="Normal 10 12 2 6" xfId="2536" xr:uid="{00000000-0005-0000-0000-0000970D0000}"/>
    <cellStyle name="Normal 10 12 3" xfId="2537" xr:uid="{00000000-0005-0000-0000-0000980D0000}"/>
    <cellStyle name="Normal 10 12 3 2" xfId="46967" xr:uid="{00000000-0005-0000-0000-0000990D0000}"/>
    <cellStyle name="Normal 10 12 3 3" xfId="46968" xr:uid="{00000000-0005-0000-0000-00009A0D0000}"/>
    <cellStyle name="Normal 10 12 4" xfId="2538" xr:uid="{00000000-0005-0000-0000-00009B0D0000}"/>
    <cellStyle name="Normal 10 12 4 2" xfId="46969" xr:uid="{00000000-0005-0000-0000-00009C0D0000}"/>
    <cellStyle name="Normal 10 12 5" xfId="2539" xr:uid="{00000000-0005-0000-0000-00009D0D0000}"/>
    <cellStyle name="Normal 10 12 6" xfId="2540" xr:uid="{00000000-0005-0000-0000-00009E0D0000}"/>
    <cellStyle name="Normal 10 12 7" xfId="2541" xr:uid="{00000000-0005-0000-0000-00009F0D0000}"/>
    <cellStyle name="Normal 10 13" xfId="2542" xr:uid="{00000000-0005-0000-0000-0000A00D0000}"/>
    <cellStyle name="Normal 10 13 2" xfId="2543" xr:uid="{00000000-0005-0000-0000-0000A10D0000}"/>
    <cellStyle name="Normal 10 13 2 2" xfId="46970" xr:uid="{00000000-0005-0000-0000-0000A20D0000}"/>
    <cellStyle name="Normal 10 13 2 3" xfId="46971" xr:uid="{00000000-0005-0000-0000-0000A30D0000}"/>
    <cellStyle name="Normal 10 13 3" xfId="2544" xr:uid="{00000000-0005-0000-0000-0000A40D0000}"/>
    <cellStyle name="Normal 10 13 3 2" xfId="46972" xr:uid="{00000000-0005-0000-0000-0000A50D0000}"/>
    <cellStyle name="Normal 10 13 4" xfId="2545" xr:uid="{00000000-0005-0000-0000-0000A60D0000}"/>
    <cellStyle name="Normal 10 13 5" xfId="2546" xr:uid="{00000000-0005-0000-0000-0000A70D0000}"/>
    <cellStyle name="Normal 10 13 6" xfId="2547" xr:uid="{00000000-0005-0000-0000-0000A80D0000}"/>
    <cellStyle name="Normal 10 14" xfId="2548" xr:uid="{00000000-0005-0000-0000-0000A90D0000}"/>
    <cellStyle name="Normal 10 14 2" xfId="46973" xr:uid="{00000000-0005-0000-0000-0000AA0D0000}"/>
    <cellStyle name="Normal 10 14 3" xfId="46974" xr:uid="{00000000-0005-0000-0000-0000AB0D0000}"/>
    <cellStyle name="Normal 10 15" xfId="2549" xr:uid="{00000000-0005-0000-0000-0000AC0D0000}"/>
    <cellStyle name="Normal 10 15 2" xfId="46975" xr:uid="{00000000-0005-0000-0000-0000AD0D0000}"/>
    <cellStyle name="Normal 10 16" xfId="2550" xr:uid="{00000000-0005-0000-0000-0000AE0D0000}"/>
    <cellStyle name="Normal 10 16 2" xfId="46976" xr:uid="{00000000-0005-0000-0000-0000AF0D0000}"/>
    <cellStyle name="Normal 10 17" xfId="2551" xr:uid="{00000000-0005-0000-0000-0000B00D0000}"/>
    <cellStyle name="Normal 10 18" xfId="2552" xr:uid="{00000000-0005-0000-0000-0000B10D0000}"/>
    <cellStyle name="Normal 10 19" xfId="2553" xr:uid="{00000000-0005-0000-0000-0000B20D0000}"/>
    <cellStyle name="Normal 10 2" xfId="2554" xr:uid="{00000000-0005-0000-0000-0000B30D0000}"/>
    <cellStyle name="Normal 10 2 2" xfId="2555" xr:uid="{00000000-0005-0000-0000-0000B40D0000}"/>
    <cellStyle name="Normal 10 2 2 2" xfId="2556" xr:uid="{00000000-0005-0000-0000-0000B50D0000}"/>
    <cellStyle name="Normal 10 2 2 2 2" xfId="2557" xr:uid="{00000000-0005-0000-0000-0000B60D0000}"/>
    <cellStyle name="Normal 10 2 2 2 2 2" xfId="46977" xr:uid="{00000000-0005-0000-0000-0000B70D0000}"/>
    <cellStyle name="Normal 10 2 2 2 3" xfId="46978" xr:uid="{00000000-0005-0000-0000-0000B80D0000}"/>
    <cellStyle name="Normal 10 2 2 3" xfId="2558" xr:uid="{00000000-0005-0000-0000-0000B90D0000}"/>
    <cellStyle name="Normal 10 2 2 3 2" xfId="2559" xr:uid="{00000000-0005-0000-0000-0000BA0D0000}"/>
    <cellStyle name="Normal 10 2 2 3 2 2" xfId="46979" xr:uid="{00000000-0005-0000-0000-0000BB0D0000}"/>
    <cellStyle name="Normal 10 2 2 3 3" xfId="46980" xr:uid="{00000000-0005-0000-0000-0000BC0D0000}"/>
    <cellStyle name="Normal 10 2 2 4" xfId="2560" xr:uid="{00000000-0005-0000-0000-0000BD0D0000}"/>
    <cellStyle name="Normal 10 2 2 4 2" xfId="46981" xr:uid="{00000000-0005-0000-0000-0000BE0D0000}"/>
    <cellStyle name="Normal 10 2 2 5" xfId="2561" xr:uid="{00000000-0005-0000-0000-0000BF0D0000}"/>
    <cellStyle name="Normal 10 2 2 5 2" xfId="46982" xr:uid="{00000000-0005-0000-0000-0000C00D0000}"/>
    <cellStyle name="Normal 10 2 2 6" xfId="2562" xr:uid="{00000000-0005-0000-0000-0000C10D0000}"/>
    <cellStyle name="Normal 10 2 3" xfId="2563" xr:uid="{00000000-0005-0000-0000-0000C20D0000}"/>
    <cellStyle name="Normal 10 2 3 2" xfId="2564" xr:uid="{00000000-0005-0000-0000-0000C30D0000}"/>
    <cellStyle name="Normal 10 2 3 2 2" xfId="2565" xr:uid="{00000000-0005-0000-0000-0000C40D0000}"/>
    <cellStyle name="Normal 10 2 3 2 2 2" xfId="46983" xr:uid="{00000000-0005-0000-0000-0000C50D0000}"/>
    <cellStyle name="Normal 10 2 3 2 2 3" xfId="46984" xr:uid="{00000000-0005-0000-0000-0000C60D0000}"/>
    <cellStyle name="Normal 10 2 3 2 3" xfId="46985" xr:uid="{00000000-0005-0000-0000-0000C70D0000}"/>
    <cellStyle name="Normal 10 2 3 2 4" xfId="46986" xr:uid="{00000000-0005-0000-0000-0000C80D0000}"/>
    <cellStyle name="Normal 10 2 3 3" xfId="2566" xr:uid="{00000000-0005-0000-0000-0000C90D0000}"/>
    <cellStyle name="Normal 10 2 3 3 2" xfId="46987" xr:uid="{00000000-0005-0000-0000-0000CA0D0000}"/>
    <cellStyle name="Normal 10 2 3 3 3" xfId="46988" xr:uid="{00000000-0005-0000-0000-0000CB0D0000}"/>
    <cellStyle name="Normal 10 2 3 4" xfId="2567" xr:uid="{00000000-0005-0000-0000-0000CC0D0000}"/>
    <cellStyle name="Normal 10 2 3 4 2" xfId="46989" xr:uid="{00000000-0005-0000-0000-0000CD0D0000}"/>
    <cellStyle name="Normal 10 2 3 5" xfId="46990" xr:uid="{00000000-0005-0000-0000-0000CE0D0000}"/>
    <cellStyle name="Normal 10 2 3 6" xfId="46991" xr:uid="{00000000-0005-0000-0000-0000CF0D0000}"/>
    <cellStyle name="Normal 10 2 4" xfId="2568" xr:uid="{00000000-0005-0000-0000-0000D00D0000}"/>
    <cellStyle name="Normal 10 2 4 2" xfId="2569" xr:uid="{00000000-0005-0000-0000-0000D10D0000}"/>
    <cellStyle name="Normal 10 2 4 2 2" xfId="2570" xr:uid="{00000000-0005-0000-0000-0000D20D0000}"/>
    <cellStyle name="Normal 10 2 4 2 2 2" xfId="46992" xr:uid="{00000000-0005-0000-0000-0000D30D0000}"/>
    <cellStyle name="Normal 10 2 4 2 2 3" xfId="46993" xr:uid="{00000000-0005-0000-0000-0000D40D0000}"/>
    <cellStyle name="Normal 10 2 4 2 3" xfId="46994" xr:uid="{00000000-0005-0000-0000-0000D50D0000}"/>
    <cellStyle name="Normal 10 2 4 2 4" xfId="46995" xr:uid="{00000000-0005-0000-0000-0000D60D0000}"/>
    <cellStyle name="Normal 10 2 4 3" xfId="2571" xr:uid="{00000000-0005-0000-0000-0000D70D0000}"/>
    <cellStyle name="Normal 10 2 4 3 2" xfId="46996" xr:uid="{00000000-0005-0000-0000-0000D80D0000}"/>
    <cellStyle name="Normal 10 2 4 3 3" xfId="46997" xr:uid="{00000000-0005-0000-0000-0000D90D0000}"/>
    <cellStyle name="Normal 10 2 4 4" xfId="46998" xr:uid="{00000000-0005-0000-0000-0000DA0D0000}"/>
    <cellStyle name="Normal 10 2 4 5" xfId="46999" xr:uid="{00000000-0005-0000-0000-0000DB0D0000}"/>
    <cellStyle name="Normal 10 2 5" xfId="2572" xr:uid="{00000000-0005-0000-0000-0000DC0D0000}"/>
    <cellStyle name="Normal 10 2 5 2" xfId="2573" xr:uid="{00000000-0005-0000-0000-0000DD0D0000}"/>
    <cellStyle name="Normal 10 2 5 2 2" xfId="47000" xr:uid="{00000000-0005-0000-0000-0000DE0D0000}"/>
    <cellStyle name="Normal 10 2 5 2 3" xfId="47001" xr:uid="{00000000-0005-0000-0000-0000DF0D0000}"/>
    <cellStyle name="Normal 10 2 5 3" xfId="47002" xr:uid="{00000000-0005-0000-0000-0000E00D0000}"/>
    <cellStyle name="Normal 10 2 5 4" xfId="47003" xr:uid="{00000000-0005-0000-0000-0000E10D0000}"/>
    <cellStyle name="Normal 10 2 6" xfId="2574" xr:uid="{00000000-0005-0000-0000-0000E20D0000}"/>
    <cellStyle name="Normal 10 2 6 2" xfId="47004" xr:uid="{00000000-0005-0000-0000-0000E30D0000}"/>
    <cellStyle name="Normal 10 2 6 3" xfId="47005" xr:uid="{00000000-0005-0000-0000-0000E40D0000}"/>
    <cellStyle name="Normal 10 2 7" xfId="2575" xr:uid="{00000000-0005-0000-0000-0000E50D0000}"/>
    <cellStyle name="Normal 10 2 7 2" xfId="47006" xr:uid="{00000000-0005-0000-0000-0000E60D0000}"/>
    <cellStyle name="Normal 10 2 8" xfId="2576" xr:uid="{00000000-0005-0000-0000-0000E70D0000}"/>
    <cellStyle name="Normal 10 2 9" xfId="47007" xr:uid="{00000000-0005-0000-0000-0000E80D0000}"/>
    <cellStyle name="Normal 10 20" xfId="2577" xr:uid="{00000000-0005-0000-0000-0000E90D0000}"/>
    <cellStyle name="Normal 10 21" xfId="2578" xr:uid="{00000000-0005-0000-0000-0000EA0D0000}"/>
    <cellStyle name="Normal 10 22" xfId="2579" xr:uid="{00000000-0005-0000-0000-0000EB0D0000}"/>
    <cellStyle name="Normal 10 3" xfId="2580" xr:uid="{00000000-0005-0000-0000-0000EC0D0000}"/>
    <cellStyle name="Normal 10 3 10" xfId="2581" xr:uid="{00000000-0005-0000-0000-0000ED0D0000}"/>
    <cellStyle name="Normal 10 3 10 2" xfId="2582" xr:uid="{00000000-0005-0000-0000-0000EE0D0000}"/>
    <cellStyle name="Normal 10 3 10 2 2" xfId="2583" xr:uid="{00000000-0005-0000-0000-0000EF0D0000}"/>
    <cellStyle name="Normal 10 3 10 2 2 2" xfId="47008" xr:uid="{00000000-0005-0000-0000-0000F00D0000}"/>
    <cellStyle name="Normal 10 3 10 2 2 3" xfId="47009" xr:uid="{00000000-0005-0000-0000-0000F10D0000}"/>
    <cellStyle name="Normal 10 3 10 2 3" xfId="2584" xr:uid="{00000000-0005-0000-0000-0000F20D0000}"/>
    <cellStyle name="Normal 10 3 10 2 3 2" xfId="47010" xr:uid="{00000000-0005-0000-0000-0000F30D0000}"/>
    <cellStyle name="Normal 10 3 10 2 4" xfId="2585" xr:uid="{00000000-0005-0000-0000-0000F40D0000}"/>
    <cellStyle name="Normal 10 3 10 2 5" xfId="2586" xr:uid="{00000000-0005-0000-0000-0000F50D0000}"/>
    <cellStyle name="Normal 10 3 10 2 6" xfId="2587" xr:uid="{00000000-0005-0000-0000-0000F60D0000}"/>
    <cellStyle name="Normal 10 3 10 3" xfId="2588" xr:uid="{00000000-0005-0000-0000-0000F70D0000}"/>
    <cellStyle name="Normal 10 3 10 3 2" xfId="47011" xr:uid="{00000000-0005-0000-0000-0000F80D0000}"/>
    <cellStyle name="Normal 10 3 10 3 3" xfId="47012" xr:uid="{00000000-0005-0000-0000-0000F90D0000}"/>
    <cellStyle name="Normal 10 3 10 4" xfId="2589" xr:uid="{00000000-0005-0000-0000-0000FA0D0000}"/>
    <cellStyle name="Normal 10 3 10 4 2" xfId="47013" xr:uid="{00000000-0005-0000-0000-0000FB0D0000}"/>
    <cellStyle name="Normal 10 3 10 5" xfId="2590" xr:uid="{00000000-0005-0000-0000-0000FC0D0000}"/>
    <cellStyle name="Normal 10 3 10 6" xfId="2591" xr:uid="{00000000-0005-0000-0000-0000FD0D0000}"/>
    <cellStyle name="Normal 10 3 10 7" xfId="2592" xr:uid="{00000000-0005-0000-0000-0000FE0D0000}"/>
    <cellStyle name="Normal 10 3 11" xfId="2593" xr:uid="{00000000-0005-0000-0000-0000FF0D0000}"/>
    <cellStyle name="Normal 10 3 11 2" xfId="2594" xr:uid="{00000000-0005-0000-0000-0000000E0000}"/>
    <cellStyle name="Normal 10 3 11 2 2" xfId="47014" xr:uid="{00000000-0005-0000-0000-0000010E0000}"/>
    <cellStyle name="Normal 10 3 11 2 3" xfId="47015" xr:uid="{00000000-0005-0000-0000-0000020E0000}"/>
    <cellStyle name="Normal 10 3 11 3" xfId="2595" xr:uid="{00000000-0005-0000-0000-0000030E0000}"/>
    <cellStyle name="Normal 10 3 11 3 2" xfId="47016" xr:uid="{00000000-0005-0000-0000-0000040E0000}"/>
    <cellStyle name="Normal 10 3 11 4" xfId="2596" xr:uid="{00000000-0005-0000-0000-0000050E0000}"/>
    <cellStyle name="Normal 10 3 11 5" xfId="2597" xr:uid="{00000000-0005-0000-0000-0000060E0000}"/>
    <cellStyle name="Normal 10 3 11 6" xfId="2598" xr:uid="{00000000-0005-0000-0000-0000070E0000}"/>
    <cellStyle name="Normal 10 3 12" xfId="2599" xr:uid="{00000000-0005-0000-0000-0000080E0000}"/>
    <cellStyle name="Normal 10 3 12 2" xfId="47017" xr:uid="{00000000-0005-0000-0000-0000090E0000}"/>
    <cellStyle name="Normal 10 3 12 3" xfId="47018" xr:uid="{00000000-0005-0000-0000-00000A0E0000}"/>
    <cellStyle name="Normal 10 3 13" xfId="2600" xr:uid="{00000000-0005-0000-0000-00000B0E0000}"/>
    <cellStyle name="Normal 10 3 13 2" xfId="47019" xr:uid="{00000000-0005-0000-0000-00000C0E0000}"/>
    <cellStyle name="Normal 10 3 14" xfId="2601" xr:uid="{00000000-0005-0000-0000-00000D0E0000}"/>
    <cellStyle name="Normal 10 3 14 2" xfId="47020" xr:uid="{00000000-0005-0000-0000-00000E0E0000}"/>
    <cellStyle name="Normal 10 3 15" xfId="2602" xr:uid="{00000000-0005-0000-0000-00000F0E0000}"/>
    <cellStyle name="Normal 10 3 16" xfId="2603" xr:uid="{00000000-0005-0000-0000-0000100E0000}"/>
    <cellStyle name="Normal 10 3 17" xfId="2604" xr:uid="{00000000-0005-0000-0000-0000110E0000}"/>
    <cellStyle name="Normal 10 3 18" xfId="2605" xr:uid="{00000000-0005-0000-0000-0000120E0000}"/>
    <cellStyle name="Normal 10 3 19" xfId="2606" xr:uid="{00000000-0005-0000-0000-0000130E0000}"/>
    <cellStyle name="Normal 10 3 2" xfId="2607" xr:uid="{00000000-0005-0000-0000-0000140E0000}"/>
    <cellStyle name="Normal 10 3 2 10" xfId="2608" xr:uid="{00000000-0005-0000-0000-0000150E0000}"/>
    <cellStyle name="Normal 10 3 2 11" xfId="2609" xr:uid="{00000000-0005-0000-0000-0000160E0000}"/>
    <cellStyle name="Normal 10 3 2 12" xfId="2610" xr:uid="{00000000-0005-0000-0000-0000170E0000}"/>
    <cellStyle name="Normal 10 3 2 13" xfId="2611" xr:uid="{00000000-0005-0000-0000-0000180E0000}"/>
    <cellStyle name="Normal 10 3 2 14" xfId="2612" xr:uid="{00000000-0005-0000-0000-0000190E0000}"/>
    <cellStyle name="Normal 10 3 2 15" xfId="2613" xr:uid="{00000000-0005-0000-0000-00001A0E0000}"/>
    <cellStyle name="Normal 10 3 2 2" xfId="2614" xr:uid="{00000000-0005-0000-0000-00001B0E0000}"/>
    <cellStyle name="Normal 10 3 2 2 10" xfId="2615" xr:uid="{00000000-0005-0000-0000-00001C0E0000}"/>
    <cellStyle name="Normal 10 3 2 2 11" xfId="2616" xr:uid="{00000000-0005-0000-0000-00001D0E0000}"/>
    <cellStyle name="Normal 10 3 2 2 12" xfId="2617" xr:uid="{00000000-0005-0000-0000-00001E0E0000}"/>
    <cellStyle name="Normal 10 3 2 2 13" xfId="2618" xr:uid="{00000000-0005-0000-0000-00001F0E0000}"/>
    <cellStyle name="Normal 10 3 2 2 14" xfId="2619" xr:uid="{00000000-0005-0000-0000-0000200E0000}"/>
    <cellStyle name="Normal 10 3 2 2 2" xfId="2620" xr:uid="{00000000-0005-0000-0000-0000210E0000}"/>
    <cellStyle name="Normal 10 3 2 2 2 2" xfId="2621" xr:uid="{00000000-0005-0000-0000-0000220E0000}"/>
    <cellStyle name="Normal 10 3 2 2 2 2 2" xfId="2622" xr:uid="{00000000-0005-0000-0000-0000230E0000}"/>
    <cellStyle name="Normal 10 3 2 2 2 2 2 2" xfId="2623" xr:uid="{00000000-0005-0000-0000-0000240E0000}"/>
    <cellStyle name="Normal 10 3 2 2 2 2 2 2 2" xfId="47021" xr:uid="{00000000-0005-0000-0000-0000250E0000}"/>
    <cellStyle name="Normal 10 3 2 2 2 2 2 2 3" xfId="47022" xr:uid="{00000000-0005-0000-0000-0000260E0000}"/>
    <cellStyle name="Normal 10 3 2 2 2 2 2 3" xfId="2624" xr:uid="{00000000-0005-0000-0000-0000270E0000}"/>
    <cellStyle name="Normal 10 3 2 2 2 2 2 3 2" xfId="47023" xr:uid="{00000000-0005-0000-0000-0000280E0000}"/>
    <cellStyle name="Normal 10 3 2 2 2 2 2 4" xfId="2625" xr:uid="{00000000-0005-0000-0000-0000290E0000}"/>
    <cellStyle name="Normal 10 3 2 2 2 2 2 5" xfId="2626" xr:uid="{00000000-0005-0000-0000-00002A0E0000}"/>
    <cellStyle name="Normal 10 3 2 2 2 2 2 6" xfId="2627" xr:uid="{00000000-0005-0000-0000-00002B0E0000}"/>
    <cellStyle name="Normal 10 3 2 2 2 2 3" xfId="2628" xr:uid="{00000000-0005-0000-0000-00002C0E0000}"/>
    <cellStyle name="Normal 10 3 2 2 2 2 3 2" xfId="47024" xr:uid="{00000000-0005-0000-0000-00002D0E0000}"/>
    <cellStyle name="Normal 10 3 2 2 2 2 3 3" xfId="47025" xr:uid="{00000000-0005-0000-0000-00002E0E0000}"/>
    <cellStyle name="Normal 10 3 2 2 2 2 4" xfId="2629" xr:uid="{00000000-0005-0000-0000-00002F0E0000}"/>
    <cellStyle name="Normal 10 3 2 2 2 2 4 2" xfId="47026" xr:uid="{00000000-0005-0000-0000-0000300E0000}"/>
    <cellStyle name="Normal 10 3 2 2 2 2 5" xfId="2630" xr:uid="{00000000-0005-0000-0000-0000310E0000}"/>
    <cellStyle name="Normal 10 3 2 2 2 2 6" xfId="2631" xr:uid="{00000000-0005-0000-0000-0000320E0000}"/>
    <cellStyle name="Normal 10 3 2 2 2 2 7" xfId="2632" xr:uid="{00000000-0005-0000-0000-0000330E0000}"/>
    <cellStyle name="Normal 10 3 2 2 2 3" xfId="2633" xr:uid="{00000000-0005-0000-0000-0000340E0000}"/>
    <cellStyle name="Normal 10 3 2 2 2 3 2" xfId="2634" xr:uid="{00000000-0005-0000-0000-0000350E0000}"/>
    <cellStyle name="Normal 10 3 2 2 2 3 2 2" xfId="47027" xr:uid="{00000000-0005-0000-0000-0000360E0000}"/>
    <cellStyle name="Normal 10 3 2 2 2 3 2 3" xfId="47028" xr:uid="{00000000-0005-0000-0000-0000370E0000}"/>
    <cellStyle name="Normal 10 3 2 2 2 3 3" xfId="2635" xr:uid="{00000000-0005-0000-0000-0000380E0000}"/>
    <cellStyle name="Normal 10 3 2 2 2 3 3 2" xfId="47029" xr:uid="{00000000-0005-0000-0000-0000390E0000}"/>
    <cellStyle name="Normal 10 3 2 2 2 3 4" xfId="2636" xr:uid="{00000000-0005-0000-0000-00003A0E0000}"/>
    <cellStyle name="Normal 10 3 2 2 2 3 5" xfId="2637" xr:uid="{00000000-0005-0000-0000-00003B0E0000}"/>
    <cellStyle name="Normal 10 3 2 2 2 3 6" xfId="2638" xr:uid="{00000000-0005-0000-0000-00003C0E0000}"/>
    <cellStyle name="Normal 10 3 2 2 2 4" xfId="2639" xr:uid="{00000000-0005-0000-0000-00003D0E0000}"/>
    <cellStyle name="Normal 10 3 2 2 2 4 2" xfId="47030" xr:uid="{00000000-0005-0000-0000-00003E0E0000}"/>
    <cellStyle name="Normal 10 3 2 2 2 4 3" xfId="47031" xr:uid="{00000000-0005-0000-0000-00003F0E0000}"/>
    <cellStyle name="Normal 10 3 2 2 2 5" xfId="2640" xr:uid="{00000000-0005-0000-0000-0000400E0000}"/>
    <cellStyle name="Normal 10 3 2 2 2 5 2" xfId="47032" xr:uid="{00000000-0005-0000-0000-0000410E0000}"/>
    <cellStyle name="Normal 10 3 2 2 2 6" xfId="2641" xr:uid="{00000000-0005-0000-0000-0000420E0000}"/>
    <cellStyle name="Normal 10 3 2 2 2 7" xfId="2642" xr:uid="{00000000-0005-0000-0000-0000430E0000}"/>
    <cellStyle name="Normal 10 3 2 2 2 8" xfId="2643" xr:uid="{00000000-0005-0000-0000-0000440E0000}"/>
    <cellStyle name="Normal 10 3 2 2 2 9" xfId="2644" xr:uid="{00000000-0005-0000-0000-0000450E0000}"/>
    <cellStyle name="Normal 10 3 2 2 3" xfId="2645" xr:uid="{00000000-0005-0000-0000-0000460E0000}"/>
    <cellStyle name="Normal 10 3 2 2 3 2" xfId="2646" xr:uid="{00000000-0005-0000-0000-0000470E0000}"/>
    <cellStyle name="Normal 10 3 2 2 3 2 2" xfId="2647" xr:uid="{00000000-0005-0000-0000-0000480E0000}"/>
    <cellStyle name="Normal 10 3 2 2 3 2 2 2" xfId="2648" xr:uid="{00000000-0005-0000-0000-0000490E0000}"/>
    <cellStyle name="Normal 10 3 2 2 3 2 2 2 2" xfId="47033" xr:uid="{00000000-0005-0000-0000-00004A0E0000}"/>
    <cellStyle name="Normal 10 3 2 2 3 2 2 2 3" xfId="47034" xr:uid="{00000000-0005-0000-0000-00004B0E0000}"/>
    <cellStyle name="Normal 10 3 2 2 3 2 2 3" xfId="2649" xr:uid="{00000000-0005-0000-0000-00004C0E0000}"/>
    <cellStyle name="Normal 10 3 2 2 3 2 2 3 2" xfId="47035" xr:uid="{00000000-0005-0000-0000-00004D0E0000}"/>
    <cellStyle name="Normal 10 3 2 2 3 2 2 4" xfId="2650" xr:uid="{00000000-0005-0000-0000-00004E0E0000}"/>
    <cellStyle name="Normal 10 3 2 2 3 2 2 5" xfId="2651" xr:uid="{00000000-0005-0000-0000-00004F0E0000}"/>
    <cellStyle name="Normal 10 3 2 2 3 2 2 6" xfId="2652" xr:uid="{00000000-0005-0000-0000-0000500E0000}"/>
    <cellStyle name="Normal 10 3 2 2 3 2 3" xfId="2653" xr:uid="{00000000-0005-0000-0000-0000510E0000}"/>
    <cellStyle name="Normal 10 3 2 2 3 2 3 2" xfId="47036" xr:uid="{00000000-0005-0000-0000-0000520E0000}"/>
    <cellStyle name="Normal 10 3 2 2 3 2 3 3" xfId="47037" xr:uid="{00000000-0005-0000-0000-0000530E0000}"/>
    <cellStyle name="Normal 10 3 2 2 3 2 4" xfId="2654" xr:uid="{00000000-0005-0000-0000-0000540E0000}"/>
    <cellStyle name="Normal 10 3 2 2 3 2 4 2" xfId="47038" xr:uid="{00000000-0005-0000-0000-0000550E0000}"/>
    <cellStyle name="Normal 10 3 2 2 3 2 5" xfId="2655" xr:uid="{00000000-0005-0000-0000-0000560E0000}"/>
    <cellStyle name="Normal 10 3 2 2 3 2 6" xfId="2656" xr:uid="{00000000-0005-0000-0000-0000570E0000}"/>
    <cellStyle name="Normal 10 3 2 2 3 2 7" xfId="2657" xr:uid="{00000000-0005-0000-0000-0000580E0000}"/>
    <cellStyle name="Normal 10 3 2 2 3 3" xfId="2658" xr:uid="{00000000-0005-0000-0000-0000590E0000}"/>
    <cellStyle name="Normal 10 3 2 2 3 3 2" xfId="2659" xr:uid="{00000000-0005-0000-0000-00005A0E0000}"/>
    <cellStyle name="Normal 10 3 2 2 3 3 2 2" xfId="47039" xr:uid="{00000000-0005-0000-0000-00005B0E0000}"/>
    <cellStyle name="Normal 10 3 2 2 3 3 2 3" xfId="47040" xr:uid="{00000000-0005-0000-0000-00005C0E0000}"/>
    <cellStyle name="Normal 10 3 2 2 3 3 3" xfId="2660" xr:uid="{00000000-0005-0000-0000-00005D0E0000}"/>
    <cellStyle name="Normal 10 3 2 2 3 3 3 2" xfId="47041" xr:uid="{00000000-0005-0000-0000-00005E0E0000}"/>
    <cellStyle name="Normal 10 3 2 2 3 3 4" xfId="2661" xr:uid="{00000000-0005-0000-0000-00005F0E0000}"/>
    <cellStyle name="Normal 10 3 2 2 3 3 5" xfId="2662" xr:uid="{00000000-0005-0000-0000-0000600E0000}"/>
    <cellStyle name="Normal 10 3 2 2 3 3 6" xfId="2663" xr:uid="{00000000-0005-0000-0000-0000610E0000}"/>
    <cellStyle name="Normal 10 3 2 2 3 4" xfId="2664" xr:uid="{00000000-0005-0000-0000-0000620E0000}"/>
    <cellStyle name="Normal 10 3 2 2 3 4 2" xfId="47042" xr:uid="{00000000-0005-0000-0000-0000630E0000}"/>
    <cellStyle name="Normal 10 3 2 2 3 4 3" xfId="47043" xr:uid="{00000000-0005-0000-0000-0000640E0000}"/>
    <cellStyle name="Normal 10 3 2 2 3 5" xfId="2665" xr:uid="{00000000-0005-0000-0000-0000650E0000}"/>
    <cellStyle name="Normal 10 3 2 2 3 5 2" xfId="47044" xr:uid="{00000000-0005-0000-0000-0000660E0000}"/>
    <cellStyle name="Normal 10 3 2 2 3 6" xfId="2666" xr:uid="{00000000-0005-0000-0000-0000670E0000}"/>
    <cellStyle name="Normal 10 3 2 2 3 7" xfId="2667" xr:uid="{00000000-0005-0000-0000-0000680E0000}"/>
    <cellStyle name="Normal 10 3 2 2 3 8" xfId="2668" xr:uid="{00000000-0005-0000-0000-0000690E0000}"/>
    <cellStyle name="Normal 10 3 2 2 4" xfId="2669" xr:uid="{00000000-0005-0000-0000-00006A0E0000}"/>
    <cellStyle name="Normal 10 3 2 2 4 2" xfId="2670" xr:uid="{00000000-0005-0000-0000-00006B0E0000}"/>
    <cellStyle name="Normal 10 3 2 2 4 2 2" xfId="2671" xr:uid="{00000000-0005-0000-0000-00006C0E0000}"/>
    <cellStyle name="Normal 10 3 2 2 4 2 2 2" xfId="47045" xr:uid="{00000000-0005-0000-0000-00006D0E0000}"/>
    <cellStyle name="Normal 10 3 2 2 4 2 2 3" xfId="47046" xr:uid="{00000000-0005-0000-0000-00006E0E0000}"/>
    <cellStyle name="Normal 10 3 2 2 4 2 3" xfId="2672" xr:uid="{00000000-0005-0000-0000-00006F0E0000}"/>
    <cellStyle name="Normal 10 3 2 2 4 2 3 2" xfId="47047" xr:uid="{00000000-0005-0000-0000-0000700E0000}"/>
    <cellStyle name="Normal 10 3 2 2 4 2 4" xfId="2673" xr:uid="{00000000-0005-0000-0000-0000710E0000}"/>
    <cellStyle name="Normal 10 3 2 2 4 2 5" xfId="2674" xr:uid="{00000000-0005-0000-0000-0000720E0000}"/>
    <cellStyle name="Normal 10 3 2 2 4 2 6" xfId="2675" xr:uid="{00000000-0005-0000-0000-0000730E0000}"/>
    <cellStyle name="Normal 10 3 2 2 4 3" xfId="2676" xr:uid="{00000000-0005-0000-0000-0000740E0000}"/>
    <cellStyle name="Normal 10 3 2 2 4 3 2" xfId="47048" xr:uid="{00000000-0005-0000-0000-0000750E0000}"/>
    <cellStyle name="Normal 10 3 2 2 4 3 3" xfId="47049" xr:uid="{00000000-0005-0000-0000-0000760E0000}"/>
    <cellStyle name="Normal 10 3 2 2 4 4" xfId="2677" xr:uid="{00000000-0005-0000-0000-0000770E0000}"/>
    <cellStyle name="Normal 10 3 2 2 4 4 2" xfId="47050" xr:uid="{00000000-0005-0000-0000-0000780E0000}"/>
    <cellStyle name="Normal 10 3 2 2 4 5" xfId="2678" xr:uid="{00000000-0005-0000-0000-0000790E0000}"/>
    <cellStyle name="Normal 10 3 2 2 4 6" xfId="2679" xr:uid="{00000000-0005-0000-0000-00007A0E0000}"/>
    <cellStyle name="Normal 10 3 2 2 4 7" xfId="2680" xr:uid="{00000000-0005-0000-0000-00007B0E0000}"/>
    <cellStyle name="Normal 10 3 2 2 5" xfId="2681" xr:uid="{00000000-0005-0000-0000-00007C0E0000}"/>
    <cellStyle name="Normal 10 3 2 2 5 2" xfId="2682" xr:uid="{00000000-0005-0000-0000-00007D0E0000}"/>
    <cellStyle name="Normal 10 3 2 2 5 2 2" xfId="47051" xr:uid="{00000000-0005-0000-0000-00007E0E0000}"/>
    <cellStyle name="Normal 10 3 2 2 5 2 3" xfId="47052" xr:uid="{00000000-0005-0000-0000-00007F0E0000}"/>
    <cellStyle name="Normal 10 3 2 2 5 3" xfId="2683" xr:uid="{00000000-0005-0000-0000-0000800E0000}"/>
    <cellStyle name="Normal 10 3 2 2 5 3 2" xfId="47053" xr:uid="{00000000-0005-0000-0000-0000810E0000}"/>
    <cellStyle name="Normal 10 3 2 2 5 4" xfId="2684" xr:uid="{00000000-0005-0000-0000-0000820E0000}"/>
    <cellStyle name="Normal 10 3 2 2 5 5" xfId="2685" xr:uid="{00000000-0005-0000-0000-0000830E0000}"/>
    <cellStyle name="Normal 10 3 2 2 5 6" xfId="2686" xr:uid="{00000000-0005-0000-0000-0000840E0000}"/>
    <cellStyle name="Normal 10 3 2 2 6" xfId="2687" xr:uid="{00000000-0005-0000-0000-0000850E0000}"/>
    <cellStyle name="Normal 10 3 2 2 6 2" xfId="47054" xr:uid="{00000000-0005-0000-0000-0000860E0000}"/>
    <cellStyle name="Normal 10 3 2 2 6 3" xfId="47055" xr:uid="{00000000-0005-0000-0000-0000870E0000}"/>
    <cellStyle name="Normal 10 3 2 2 7" xfId="2688" xr:uid="{00000000-0005-0000-0000-0000880E0000}"/>
    <cellStyle name="Normal 10 3 2 2 7 2" xfId="47056" xr:uid="{00000000-0005-0000-0000-0000890E0000}"/>
    <cellStyle name="Normal 10 3 2 2 8" xfId="2689" xr:uid="{00000000-0005-0000-0000-00008A0E0000}"/>
    <cellStyle name="Normal 10 3 2 2 9" xfId="2690" xr:uid="{00000000-0005-0000-0000-00008B0E0000}"/>
    <cellStyle name="Normal 10 3 2 3" xfId="2691" xr:uid="{00000000-0005-0000-0000-00008C0E0000}"/>
    <cellStyle name="Normal 10 3 2 3 2" xfId="2692" xr:uid="{00000000-0005-0000-0000-00008D0E0000}"/>
    <cellStyle name="Normal 10 3 2 3 2 2" xfId="2693" xr:uid="{00000000-0005-0000-0000-00008E0E0000}"/>
    <cellStyle name="Normal 10 3 2 3 2 2 2" xfId="2694" xr:uid="{00000000-0005-0000-0000-00008F0E0000}"/>
    <cellStyle name="Normal 10 3 2 3 2 2 2 2" xfId="47057" xr:uid="{00000000-0005-0000-0000-0000900E0000}"/>
    <cellStyle name="Normal 10 3 2 3 2 2 2 3" xfId="47058" xr:uid="{00000000-0005-0000-0000-0000910E0000}"/>
    <cellStyle name="Normal 10 3 2 3 2 2 3" xfId="2695" xr:uid="{00000000-0005-0000-0000-0000920E0000}"/>
    <cellStyle name="Normal 10 3 2 3 2 2 3 2" xfId="47059" xr:uid="{00000000-0005-0000-0000-0000930E0000}"/>
    <cellStyle name="Normal 10 3 2 3 2 2 4" xfId="2696" xr:uid="{00000000-0005-0000-0000-0000940E0000}"/>
    <cellStyle name="Normal 10 3 2 3 2 2 5" xfId="2697" xr:uid="{00000000-0005-0000-0000-0000950E0000}"/>
    <cellStyle name="Normal 10 3 2 3 2 2 6" xfId="2698" xr:uid="{00000000-0005-0000-0000-0000960E0000}"/>
    <cellStyle name="Normal 10 3 2 3 2 3" xfId="2699" xr:uid="{00000000-0005-0000-0000-0000970E0000}"/>
    <cellStyle name="Normal 10 3 2 3 2 3 2" xfId="47060" xr:uid="{00000000-0005-0000-0000-0000980E0000}"/>
    <cellStyle name="Normal 10 3 2 3 2 3 3" xfId="47061" xr:uid="{00000000-0005-0000-0000-0000990E0000}"/>
    <cellStyle name="Normal 10 3 2 3 2 4" xfId="2700" xr:uid="{00000000-0005-0000-0000-00009A0E0000}"/>
    <cellStyle name="Normal 10 3 2 3 2 4 2" xfId="47062" xr:uid="{00000000-0005-0000-0000-00009B0E0000}"/>
    <cellStyle name="Normal 10 3 2 3 2 5" xfId="2701" xr:uid="{00000000-0005-0000-0000-00009C0E0000}"/>
    <cellStyle name="Normal 10 3 2 3 2 6" xfId="2702" xr:uid="{00000000-0005-0000-0000-00009D0E0000}"/>
    <cellStyle name="Normal 10 3 2 3 2 7" xfId="2703" xr:uid="{00000000-0005-0000-0000-00009E0E0000}"/>
    <cellStyle name="Normal 10 3 2 3 3" xfId="2704" xr:uid="{00000000-0005-0000-0000-00009F0E0000}"/>
    <cellStyle name="Normal 10 3 2 3 3 2" xfId="2705" xr:uid="{00000000-0005-0000-0000-0000A00E0000}"/>
    <cellStyle name="Normal 10 3 2 3 3 2 2" xfId="47063" xr:uid="{00000000-0005-0000-0000-0000A10E0000}"/>
    <cellStyle name="Normal 10 3 2 3 3 2 3" xfId="47064" xr:uid="{00000000-0005-0000-0000-0000A20E0000}"/>
    <cellStyle name="Normal 10 3 2 3 3 3" xfId="2706" xr:uid="{00000000-0005-0000-0000-0000A30E0000}"/>
    <cellStyle name="Normal 10 3 2 3 3 3 2" xfId="47065" xr:uid="{00000000-0005-0000-0000-0000A40E0000}"/>
    <cellStyle name="Normal 10 3 2 3 3 4" xfId="2707" xr:uid="{00000000-0005-0000-0000-0000A50E0000}"/>
    <cellStyle name="Normal 10 3 2 3 3 5" xfId="2708" xr:uid="{00000000-0005-0000-0000-0000A60E0000}"/>
    <cellStyle name="Normal 10 3 2 3 3 6" xfId="2709" xr:uid="{00000000-0005-0000-0000-0000A70E0000}"/>
    <cellStyle name="Normal 10 3 2 3 4" xfId="2710" xr:uid="{00000000-0005-0000-0000-0000A80E0000}"/>
    <cellStyle name="Normal 10 3 2 3 4 2" xfId="47066" xr:uid="{00000000-0005-0000-0000-0000A90E0000}"/>
    <cellStyle name="Normal 10 3 2 3 4 3" xfId="47067" xr:uid="{00000000-0005-0000-0000-0000AA0E0000}"/>
    <cellStyle name="Normal 10 3 2 3 5" xfId="2711" xr:uid="{00000000-0005-0000-0000-0000AB0E0000}"/>
    <cellStyle name="Normal 10 3 2 3 5 2" xfId="47068" xr:uid="{00000000-0005-0000-0000-0000AC0E0000}"/>
    <cellStyle name="Normal 10 3 2 3 6" xfId="2712" xr:uid="{00000000-0005-0000-0000-0000AD0E0000}"/>
    <cellStyle name="Normal 10 3 2 3 7" xfId="2713" xr:uid="{00000000-0005-0000-0000-0000AE0E0000}"/>
    <cellStyle name="Normal 10 3 2 3 8" xfId="2714" xr:uid="{00000000-0005-0000-0000-0000AF0E0000}"/>
    <cellStyle name="Normal 10 3 2 3 9" xfId="2715" xr:uid="{00000000-0005-0000-0000-0000B00E0000}"/>
    <cellStyle name="Normal 10 3 2 4" xfId="2716" xr:uid="{00000000-0005-0000-0000-0000B10E0000}"/>
    <cellStyle name="Normal 10 3 2 4 2" xfId="2717" xr:uid="{00000000-0005-0000-0000-0000B20E0000}"/>
    <cellStyle name="Normal 10 3 2 4 2 2" xfId="2718" xr:uid="{00000000-0005-0000-0000-0000B30E0000}"/>
    <cellStyle name="Normal 10 3 2 4 2 2 2" xfId="2719" xr:uid="{00000000-0005-0000-0000-0000B40E0000}"/>
    <cellStyle name="Normal 10 3 2 4 2 2 2 2" xfId="47069" xr:uid="{00000000-0005-0000-0000-0000B50E0000}"/>
    <cellStyle name="Normal 10 3 2 4 2 2 2 3" xfId="47070" xr:uid="{00000000-0005-0000-0000-0000B60E0000}"/>
    <cellStyle name="Normal 10 3 2 4 2 2 3" xfId="2720" xr:uid="{00000000-0005-0000-0000-0000B70E0000}"/>
    <cellStyle name="Normal 10 3 2 4 2 2 3 2" xfId="47071" xr:uid="{00000000-0005-0000-0000-0000B80E0000}"/>
    <cellStyle name="Normal 10 3 2 4 2 2 4" xfId="2721" xr:uid="{00000000-0005-0000-0000-0000B90E0000}"/>
    <cellStyle name="Normal 10 3 2 4 2 2 5" xfId="2722" xr:uid="{00000000-0005-0000-0000-0000BA0E0000}"/>
    <cellStyle name="Normal 10 3 2 4 2 2 6" xfId="2723" xr:uid="{00000000-0005-0000-0000-0000BB0E0000}"/>
    <cellStyle name="Normal 10 3 2 4 2 3" xfId="2724" xr:uid="{00000000-0005-0000-0000-0000BC0E0000}"/>
    <cellStyle name="Normal 10 3 2 4 2 3 2" xfId="47072" xr:uid="{00000000-0005-0000-0000-0000BD0E0000}"/>
    <cellStyle name="Normal 10 3 2 4 2 3 3" xfId="47073" xr:uid="{00000000-0005-0000-0000-0000BE0E0000}"/>
    <cellStyle name="Normal 10 3 2 4 2 4" xfId="2725" xr:uid="{00000000-0005-0000-0000-0000BF0E0000}"/>
    <cellStyle name="Normal 10 3 2 4 2 4 2" xfId="47074" xr:uid="{00000000-0005-0000-0000-0000C00E0000}"/>
    <cellStyle name="Normal 10 3 2 4 2 5" xfId="2726" xr:uid="{00000000-0005-0000-0000-0000C10E0000}"/>
    <cellStyle name="Normal 10 3 2 4 2 6" xfId="2727" xr:uid="{00000000-0005-0000-0000-0000C20E0000}"/>
    <cellStyle name="Normal 10 3 2 4 2 7" xfId="2728" xr:uid="{00000000-0005-0000-0000-0000C30E0000}"/>
    <cellStyle name="Normal 10 3 2 4 3" xfId="2729" xr:uid="{00000000-0005-0000-0000-0000C40E0000}"/>
    <cellStyle name="Normal 10 3 2 4 3 2" xfId="2730" xr:uid="{00000000-0005-0000-0000-0000C50E0000}"/>
    <cellStyle name="Normal 10 3 2 4 3 2 2" xfId="47075" xr:uid="{00000000-0005-0000-0000-0000C60E0000}"/>
    <cellStyle name="Normal 10 3 2 4 3 2 3" xfId="47076" xr:uid="{00000000-0005-0000-0000-0000C70E0000}"/>
    <cellStyle name="Normal 10 3 2 4 3 3" xfId="2731" xr:uid="{00000000-0005-0000-0000-0000C80E0000}"/>
    <cellStyle name="Normal 10 3 2 4 3 3 2" xfId="47077" xr:uid="{00000000-0005-0000-0000-0000C90E0000}"/>
    <cellStyle name="Normal 10 3 2 4 3 4" xfId="2732" xr:uid="{00000000-0005-0000-0000-0000CA0E0000}"/>
    <cellStyle name="Normal 10 3 2 4 3 5" xfId="2733" xr:uid="{00000000-0005-0000-0000-0000CB0E0000}"/>
    <cellStyle name="Normal 10 3 2 4 3 6" xfId="2734" xr:uid="{00000000-0005-0000-0000-0000CC0E0000}"/>
    <cellStyle name="Normal 10 3 2 4 4" xfId="2735" xr:uid="{00000000-0005-0000-0000-0000CD0E0000}"/>
    <cellStyle name="Normal 10 3 2 4 4 2" xfId="47078" xr:uid="{00000000-0005-0000-0000-0000CE0E0000}"/>
    <cellStyle name="Normal 10 3 2 4 4 3" xfId="47079" xr:uid="{00000000-0005-0000-0000-0000CF0E0000}"/>
    <cellStyle name="Normal 10 3 2 4 5" xfId="2736" xr:uid="{00000000-0005-0000-0000-0000D00E0000}"/>
    <cellStyle name="Normal 10 3 2 4 5 2" xfId="47080" xr:uid="{00000000-0005-0000-0000-0000D10E0000}"/>
    <cellStyle name="Normal 10 3 2 4 6" xfId="2737" xr:uid="{00000000-0005-0000-0000-0000D20E0000}"/>
    <cellStyle name="Normal 10 3 2 4 7" xfId="2738" xr:uid="{00000000-0005-0000-0000-0000D30E0000}"/>
    <cellStyle name="Normal 10 3 2 4 8" xfId="2739" xr:uid="{00000000-0005-0000-0000-0000D40E0000}"/>
    <cellStyle name="Normal 10 3 2 5" xfId="2740" xr:uid="{00000000-0005-0000-0000-0000D50E0000}"/>
    <cellStyle name="Normal 10 3 2 5 2" xfId="2741" xr:uid="{00000000-0005-0000-0000-0000D60E0000}"/>
    <cellStyle name="Normal 10 3 2 5 2 2" xfId="2742" xr:uid="{00000000-0005-0000-0000-0000D70E0000}"/>
    <cellStyle name="Normal 10 3 2 5 2 2 2" xfId="47081" xr:uid="{00000000-0005-0000-0000-0000D80E0000}"/>
    <cellStyle name="Normal 10 3 2 5 2 2 3" xfId="47082" xr:uid="{00000000-0005-0000-0000-0000D90E0000}"/>
    <cellStyle name="Normal 10 3 2 5 2 3" xfId="2743" xr:uid="{00000000-0005-0000-0000-0000DA0E0000}"/>
    <cellStyle name="Normal 10 3 2 5 2 3 2" xfId="47083" xr:uid="{00000000-0005-0000-0000-0000DB0E0000}"/>
    <cellStyle name="Normal 10 3 2 5 2 4" xfId="2744" xr:uid="{00000000-0005-0000-0000-0000DC0E0000}"/>
    <cellStyle name="Normal 10 3 2 5 2 5" xfId="2745" xr:uid="{00000000-0005-0000-0000-0000DD0E0000}"/>
    <cellStyle name="Normal 10 3 2 5 2 6" xfId="2746" xr:uid="{00000000-0005-0000-0000-0000DE0E0000}"/>
    <cellStyle name="Normal 10 3 2 5 3" xfId="2747" xr:uid="{00000000-0005-0000-0000-0000DF0E0000}"/>
    <cellStyle name="Normal 10 3 2 5 3 2" xfId="47084" xr:uid="{00000000-0005-0000-0000-0000E00E0000}"/>
    <cellStyle name="Normal 10 3 2 5 3 3" xfId="47085" xr:uid="{00000000-0005-0000-0000-0000E10E0000}"/>
    <cellStyle name="Normal 10 3 2 5 4" xfId="2748" xr:uid="{00000000-0005-0000-0000-0000E20E0000}"/>
    <cellStyle name="Normal 10 3 2 5 4 2" xfId="47086" xr:uid="{00000000-0005-0000-0000-0000E30E0000}"/>
    <cellStyle name="Normal 10 3 2 5 5" xfId="2749" xr:uid="{00000000-0005-0000-0000-0000E40E0000}"/>
    <cellStyle name="Normal 10 3 2 5 6" xfId="2750" xr:uid="{00000000-0005-0000-0000-0000E50E0000}"/>
    <cellStyle name="Normal 10 3 2 5 7" xfId="2751" xr:uid="{00000000-0005-0000-0000-0000E60E0000}"/>
    <cellStyle name="Normal 10 3 2 6" xfId="2752" xr:uid="{00000000-0005-0000-0000-0000E70E0000}"/>
    <cellStyle name="Normal 10 3 2 6 2" xfId="2753" xr:uid="{00000000-0005-0000-0000-0000E80E0000}"/>
    <cellStyle name="Normal 10 3 2 6 2 2" xfId="47087" xr:uid="{00000000-0005-0000-0000-0000E90E0000}"/>
    <cellStyle name="Normal 10 3 2 6 2 3" xfId="47088" xr:uid="{00000000-0005-0000-0000-0000EA0E0000}"/>
    <cellStyle name="Normal 10 3 2 6 3" xfId="2754" xr:uid="{00000000-0005-0000-0000-0000EB0E0000}"/>
    <cellStyle name="Normal 10 3 2 6 3 2" xfId="47089" xr:uid="{00000000-0005-0000-0000-0000EC0E0000}"/>
    <cellStyle name="Normal 10 3 2 6 4" xfId="2755" xr:uid="{00000000-0005-0000-0000-0000ED0E0000}"/>
    <cellStyle name="Normal 10 3 2 6 5" xfId="2756" xr:uid="{00000000-0005-0000-0000-0000EE0E0000}"/>
    <cellStyle name="Normal 10 3 2 6 6" xfId="2757" xr:uid="{00000000-0005-0000-0000-0000EF0E0000}"/>
    <cellStyle name="Normal 10 3 2 7" xfId="2758" xr:uid="{00000000-0005-0000-0000-0000F00E0000}"/>
    <cellStyle name="Normal 10 3 2 7 2" xfId="47090" xr:uid="{00000000-0005-0000-0000-0000F10E0000}"/>
    <cellStyle name="Normal 10 3 2 7 3" xfId="47091" xr:uid="{00000000-0005-0000-0000-0000F20E0000}"/>
    <cellStyle name="Normal 10 3 2 8" xfId="2759" xr:uid="{00000000-0005-0000-0000-0000F30E0000}"/>
    <cellStyle name="Normal 10 3 2 8 2" xfId="47092" xr:uid="{00000000-0005-0000-0000-0000F40E0000}"/>
    <cellStyle name="Normal 10 3 2 9" xfId="2760" xr:uid="{00000000-0005-0000-0000-0000F50E0000}"/>
    <cellStyle name="Normal 10 3 2 9 2" xfId="47093" xr:uid="{00000000-0005-0000-0000-0000F60E0000}"/>
    <cellStyle name="Normal 10 3 20" xfId="2761" xr:uid="{00000000-0005-0000-0000-0000F70E0000}"/>
    <cellStyle name="Normal 10 3 21" xfId="2762" xr:uid="{00000000-0005-0000-0000-0000F80E0000}"/>
    <cellStyle name="Normal 10 3 3" xfId="2763" xr:uid="{00000000-0005-0000-0000-0000F90E0000}"/>
    <cellStyle name="Normal 10 3 3 10" xfId="2764" xr:uid="{00000000-0005-0000-0000-0000FA0E0000}"/>
    <cellStyle name="Normal 10 3 3 11" xfId="2765" xr:uid="{00000000-0005-0000-0000-0000FB0E0000}"/>
    <cellStyle name="Normal 10 3 3 12" xfId="2766" xr:uid="{00000000-0005-0000-0000-0000FC0E0000}"/>
    <cellStyle name="Normal 10 3 3 13" xfId="2767" xr:uid="{00000000-0005-0000-0000-0000FD0E0000}"/>
    <cellStyle name="Normal 10 3 3 14" xfId="2768" xr:uid="{00000000-0005-0000-0000-0000FE0E0000}"/>
    <cellStyle name="Normal 10 3 3 15" xfId="2769" xr:uid="{00000000-0005-0000-0000-0000FF0E0000}"/>
    <cellStyle name="Normal 10 3 3 2" xfId="2770" xr:uid="{00000000-0005-0000-0000-0000000F0000}"/>
    <cellStyle name="Normal 10 3 3 2 10" xfId="2771" xr:uid="{00000000-0005-0000-0000-0000010F0000}"/>
    <cellStyle name="Normal 10 3 3 2 11" xfId="2772" xr:uid="{00000000-0005-0000-0000-0000020F0000}"/>
    <cellStyle name="Normal 10 3 3 2 12" xfId="2773" xr:uid="{00000000-0005-0000-0000-0000030F0000}"/>
    <cellStyle name="Normal 10 3 3 2 13" xfId="2774" xr:uid="{00000000-0005-0000-0000-0000040F0000}"/>
    <cellStyle name="Normal 10 3 3 2 14" xfId="2775" xr:uid="{00000000-0005-0000-0000-0000050F0000}"/>
    <cellStyle name="Normal 10 3 3 2 2" xfId="2776" xr:uid="{00000000-0005-0000-0000-0000060F0000}"/>
    <cellStyle name="Normal 10 3 3 2 2 2" xfId="2777" xr:uid="{00000000-0005-0000-0000-0000070F0000}"/>
    <cellStyle name="Normal 10 3 3 2 2 2 2" xfId="2778" xr:uid="{00000000-0005-0000-0000-0000080F0000}"/>
    <cellStyle name="Normal 10 3 3 2 2 2 2 2" xfId="2779" xr:uid="{00000000-0005-0000-0000-0000090F0000}"/>
    <cellStyle name="Normal 10 3 3 2 2 2 2 2 2" xfId="47094" xr:uid="{00000000-0005-0000-0000-00000A0F0000}"/>
    <cellStyle name="Normal 10 3 3 2 2 2 2 2 3" xfId="47095" xr:uid="{00000000-0005-0000-0000-00000B0F0000}"/>
    <cellStyle name="Normal 10 3 3 2 2 2 2 3" xfId="2780" xr:uid="{00000000-0005-0000-0000-00000C0F0000}"/>
    <cellStyle name="Normal 10 3 3 2 2 2 2 3 2" xfId="47096" xr:uid="{00000000-0005-0000-0000-00000D0F0000}"/>
    <cellStyle name="Normal 10 3 3 2 2 2 2 4" xfId="2781" xr:uid="{00000000-0005-0000-0000-00000E0F0000}"/>
    <cellStyle name="Normal 10 3 3 2 2 2 2 5" xfId="2782" xr:uid="{00000000-0005-0000-0000-00000F0F0000}"/>
    <cellStyle name="Normal 10 3 3 2 2 2 2 6" xfId="2783" xr:uid="{00000000-0005-0000-0000-0000100F0000}"/>
    <cellStyle name="Normal 10 3 3 2 2 2 3" xfId="2784" xr:uid="{00000000-0005-0000-0000-0000110F0000}"/>
    <cellStyle name="Normal 10 3 3 2 2 2 3 2" xfId="47097" xr:uid="{00000000-0005-0000-0000-0000120F0000}"/>
    <cellStyle name="Normal 10 3 3 2 2 2 3 3" xfId="47098" xr:uid="{00000000-0005-0000-0000-0000130F0000}"/>
    <cellStyle name="Normal 10 3 3 2 2 2 4" xfId="2785" xr:uid="{00000000-0005-0000-0000-0000140F0000}"/>
    <cellStyle name="Normal 10 3 3 2 2 2 4 2" xfId="47099" xr:uid="{00000000-0005-0000-0000-0000150F0000}"/>
    <cellStyle name="Normal 10 3 3 2 2 2 5" xfId="2786" xr:uid="{00000000-0005-0000-0000-0000160F0000}"/>
    <cellStyle name="Normal 10 3 3 2 2 2 6" xfId="2787" xr:uid="{00000000-0005-0000-0000-0000170F0000}"/>
    <cellStyle name="Normal 10 3 3 2 2 2 7" xfId="2788" xr:uid="{00000000-0005-0000-0000-0000180F0000}"/>
    <cellStyle name="Normal 10 3 3 2 2 3" xfId="2789" xr:uid="{00000000-0005-0000-0000-0000190F0000}"/>
    <cellStyle name="Normal 10 3 3 2 2 3 2" xfId="2790" xr:uid="{00000000-0005-0000-0000-00001A0F0000}"/>
    <cellStyle name="Normal 10 3 3 2 2 3 2 2" xfId="47100" xr:uid="{00000000-0005-0000-0000-00001B0F0000}"/>
    <cellStyle name="Normal 10 3 3 2 2 3 2 3" xfId="47101" xr:uid="{00000000-0005-0000-0000-00001C0F0000}"/>
    <cellStyle name="Normal 10 3 3 2 2 3 3" xfId="2791" xr:uid="{00000000-0005-0000-0000-00001D0F0000}"/>
    <cellStyle name="Normal 10 3 3 2 2 3 3 2" xfId="47102" xr:uid="{00000000-0005-0000-0000-00001E0F0000}"/>
    <cellStyle name="Normal 10 3 3 2 2 3 4" xfId="2792" xr:uid="{00000000-0005-0000-0000-00001F0F0000}"/>
    <cellStyle name="Normal 10 3 3 2 2 3 5" xfId="2793" xr:uid="{00000000-0005-0000-0000-0000200F0000}"/>
    <cellStyle name="Normal 10 3 3 2 2 3 6" xfId="2794" xr:uid="{00000000-0005-0000-0000-0000210F0000}"/>
    <cellStyle name="Normal 10 3 3 2 2 4" xfId="2795" xr:uid="{00000000-0005-0000-0000-0000220F0000}"/>
    <cellStyle name="Normal 10 3 3 2 2 4 2" xfId="47103" xr:uid="{00000000-0005-0000-0000-0000230F0000}"/>
    <cellStyle name="Normal 10 3 3 2 2 4 3" xfId="47104" xr:uid="{00000000-0005-0000-0000-0000240F0000}"/>
    <cellStyle name="Normal 10 3 3 2 2 5" xfId="2796" xr:uid="{00000000-0005-0000-0000-0000250F0000}"/>
    <cellStyle name="Normal 10 3 3 2 2 5 2" xfId="47105" xr:uid="{00000000-0005-0000-0000-0000260F0000}"/>
    <cellStyle name="Normal 10 3 3 2 2 6" xfId="2797" xr:uid="{00000000-0005-0000-0000-0000270F0000}"/>
    <cellStyle name="Normal 10 3 3 2 2 7" xfId="2798" xr:uid="{00000000-0005-0000-0000-0000280F0000}"/>
    <cellStyle name="Normal 10 3 3 2 2 8" xfId="2799" xr:uid="{00000000-0005-0000-0000-0000290F0000}"/>
    <cellStyle name="Normal 10 3 3 2 2 9" xfId="2800" xr:uid="{00000000-0005-0000-0000-00002A0F0000}"/>
    <cellStyle name="Normal 10 3 3 2 3" xfId="2801" xr:uid="{00000000-0005-0000-0000-00002B0F0000}"/>
    <cellStyle name="Normal 10 3 3 2 3 2" xfId="2802" xr:uid="{00000000-0005-0000-0000-00002C0F0000}"/>
    <cellStyle name="Normal 10 3 3 2 3 2 2" xfId="2803" xr:uid="{00000000-0005-0000-0000-00002D0F0000}"/>
    <cellStyle name="Normal 10 3 3 2 3 2 2 2" xfId="2804" xr:uid="{00000000-0005-0000-0000-00002E0F0000}"/>
    <cellStyle name="Normal 10 3 3 2 3 2 2 2 2" xfId="47106" xr:uid="{00000000-0005-0000-0000-00002F0F0000}"/>
    <cellStyle name="Normal 10 3 3 2 3 2 2 2 3" xfId="47107" xr:uid="{00000000-0005-0000-0000-0000300F0000}"/>
    <cellStyle name="Normal 10 3 3 2 3 2 2 3" xfId="2805" xr:uid="{00000000-0005-0000-0000-0000310F0000}"/>
    <cellStyle name="Normal 10 3 3 2 3 2 2 3 2" xfId="47108" xr:uid="{00000000-0005-0000-0000-0000320F0000}"/>
    <cellStyle name="Normal 10 3 3 2 3 2 2 4" xfId="2806" xr:uid="{00000000-0005-0000-0000-0000330F0000}"/>
    <cellStyle name="Normal 10 3 3 2 3 2 2 5" xfId="2807" xr:uid="{00000000-0005-0000-0000-0000340F0000}"/>
    <cellStyle name="Normal 10 3 3 2 3 2 2 6" xfId="2808" xr:uid="{00000000-0005-0000-0000-0000350F0000}"/>
    <cellStyle name="Normal 10 3 3 2 3 2 3" xfId="2809" xr:uid="{00000000-0005-0000-0000-0000360F0000}"/>
    <cellStyle name="Normal 10 3 3 2 3 2 3 2" xfId="47109" xr:uid="{00000000-0005-0000-0000-0000370F0000}"/>
    <cellStyle name="Normal 10 3 3 2 3 2 3 3" xfId="47110" xr:uid="{00000000-0005-0000-0000-0000380F0000}"/>
    <cellStyle name="Normal 10 3 3 2 3 2 4" xfId="2810" xr:uid="{00000000-0005-0000-0000-0000390F0000}"/>
    <cellStyle name="Normal 10 3 3 2 3 2 4 2" xfId="47111" xr:uid="{00000000-0005-0000-0000-00003A0F0000}"/>
    <cellStyle name="Normal 10 3 3 2 3 2 5" xfId="2811" xr:uid="{00000000-0005-0000-0000-00003B0F0000}"/>
    <cellStyle name="Normal 10 3 3 2 3 2 6" xfId="2812" xr:uid="{00000000-0005-0000-0000-00003C0F0000}"/>
    <cellStyle name="Normal 10 3 3 2 3 2 7" xfId="2813" xr:uid="{00000000-0005-0000-0000-00003D0F0000}"/>
    <cellStyle name="Normal 10 3 3 2 3 3" xfId="2814" xr:uid="{00000000-0005-0000-0000-00003E0F0000}"/>
    <cellStyle name="Normal 10 3 3 2 3 3 2" xfId="2815" xr:uid="{00000000-0005-0000-0000-00003F0F0000}"/>
    <cellStyle name="Normal 10 3 3 2 3 3 2 2" xfId="47112" xr:uid="{00000000-0005-0000-0000-0000400F0000}"/>
    <cellStyle name="Normal 10 3 3 2 3 3 2 3" xfId="47113" xr:uid="{00000000-0005-0000-0000-0000410F0000}"/>
    <cellStyle name="Normal 10 3 3 2 3 3 3" xfId="2816" xr:uid="{00000000-0005-0000-0000-0000420F0000}"/>
    <cellStyle name="Normal 10 3 3 2 3 3 3 2" xfId="47114" xr:uid="{00000000-0005-0000-0000-0000430F0000}"/>
    <cellStyle name="Normal 10 3 3 2 3 3 4" xfId="2817" xr:uid="{00000000-0005-0000-0000-0000440F0000}"/>
    <cellStyle name="Normal 10 3 3 2 3 3 5" xfId="2818" xr:uid="{00000000-0005-0000-0000-0000450F0000}"/>
    <cellStyle name="Normal 10 3 3 2 3 3 6" xfId="2819" xr:uid="{00000000-0005-0000-0000-0000460F0000}"/>
    <cellStyle name="Normal 10 3 3 2 3 4" xfId="2820" xr:uid="{00000000-0005-0000-0000-0000470F0000}"/>
    <cellStyle name="Normal 10 3 3 2 3 4 2" xfId="47115" xr:uid="{00000000-0005-0000-0000-0000480F0000}"/>
    <cellStyle name="Normal 10 3 3 2 3 4 3" xfId="47116" xr:uid="{00000000-0005-0000-0000-0000490F0000}"/>
    <cellStyle name="Normal 10 3 3 2 3 5" xfId="2821" xr:uid="{00000000-0005-0000-0000-00004A0F0000}"/>
    <cellStyle name="Normal 10 3 3 2 3 5 2" xfId="47117" xr:uid="{00000000-0005-0000-0000-00004B0F0000}"/>
    <cellStyle name="Normal 10 3 3 2 3 6" xfId="2822" xr:uid="{00000000-0005-0000-0000-00004C0F0000}"/>
    <cellStyle name="Normal 10 3 3 2 3 7" xfId="2823" xr:uid="{00000000-0005-0000-0000-00004D0F0000}"/>
    <cellStyle name="Normal 10 3 3 2 3 8" xfId="2824" xr:uid="{00000000-0005-0000-0000-00004E0F0000}"/>
    <cellStyle name="Normal 10 3 3 2 4" xfId="2825" xr:uid="{00000000-0005-0000-0000-00004F0F0000}"/>
    <cellStyle name="Normal 10 3 3 2 4 2" xfId="2826" xr:uid="{00000000-0005-0000-0000-0000500F0000}"/>
    <cellStyle name="Normal 10 3 3 2 4 2 2" xfId="2827" xr:uid="{00000000-0005-0000-0000-0000510F0000}"/>
    <cellStyle name="Normal 10 3 3 2 4 2 2 2" xfId="47118" xr:uid="{00000000-0005-0000-0000-0000520F0000}"/>
    <cellStyle name="Normal 10 3 3 2 4 2 2 3" xfId="47119" xr:uid="{00000000-0005-0000-0000-0000530F0000}"/>
    <cellStyle name="Normal 10 3 3 2 4 2 3" xfId="2828" xr:uid="{00000000-0005-0000-0000-0000540F0000}"/>
    <cellStyle name="Normal 10 3 3 2 4 2 3 2" xfId="47120" xr:uid="{00000000-0005-0000-0000-0000550F0000}"/>
    <cellStyle name="Normal 10 3 3 2 4 2 4" xfId="2829" xr:uid="{00000000-0005-0000-0000-0000560F0000}"/>
    <cellStyle name="Normal 10 3 3 2 4 2 5" xfId="2830" xr:uid="{00000000-0005-0000-0000-0000570F0000}"/>
    <cellStyle name="Normal 10 3 3 2 4 2 6" xfId="2831" xr:uid="{00000000-0005-0000-0000-0000580F0000}"/>
    <cellStyle name="Normal 10 3 3 2 4 3" xfId="2832" xr:uid="{00000000-0005-0000-0000-0000590F0000}"/>
    <cellStyle name="Normal 10 3 3 2 4 3 2" xfId="47121" xr:uid="{00000000-0005-0000-0000-00005A0F0000}"/>
    <cellStyle name="Normal 10 3 3 2 4 3 3" xfId="47122" xr:uid="{00000000-0005-0000-0000-00005B0F0000}"/>
    <cellStyle name="Normal 10 3 3 2 4 4" xfId="2833" xr:uid="{00000000-0005-0000-0000-00005C0F0000}"/>
    <cellStyle name="Normal 10 3 3 2 4 4 2" xfId="47123" xr:uid="{00000000-0005-0000-0000-00005D0F0000}"/>
    <cellStyle name="Normal 10 3 3 2 4 5" xfId="2834" xr:uid="{00000000-0005-0000-0000-00005E0F0000}"/>
    <cellStyle name="Normal 10 3 3 2 4 6" xfId="2835" xr:uid="{00000000-0005-0000-0000-00005F0F0000}"/>
    <cellStyle name="Normal 10 3 3 2 4 7" xfId="2836" xr:uid="{00000000-0005-0000-0000-0000600F0000}"/>
    <cellStyle name="Normal 10 3 3 2 5" xfId="2837" xr:uid="{00000000-0005-0000-0000-0000610F0000}"/>
    <cellStyle name="Normal 10 3 3 2 5 2" xfId="2838" xr:uid="{00000000-0005-0000-0000-0000620F0000}"/>
    <cellStyle name="Normal 10 3 3 2 5 2 2" xfId="47124" xr:uid="{00000000-0005-0000-0000-0000630F0000}"/>
    <cellStyle name="Normal 10 3 3 2 5 2 3" xfId="47125" xr:uid="{00000000-0005-0000-0000-0000640F0000}"/>
    <cellStyle name="Normal 10 3 3 2 5 3" xfId="2839" xr:uid="{00000000-0005-0000-0000-0000650F0000}"/>
    <cellStyle name="Normal 10 3 3 2 5 3 2" xfId="47126" xr:uid="{00000000-0005-0000-0000-0000660F0000}"/>
    <cellStyle name="Normal 10 3 3 2 5 4" xfId="2840" xr:uid="{00000000-0005-0000-0000-0000670F0000}"/>
    <cellStyle name="Normal 10 3 3 2 5 5" xfId="2841" xr:uid="{00000000-0005-0000-0000-0000680F0000}"/>
    <cellStyle name="Normal 10 3 3 2 5 6" xfId="2842" xr:uid="{00000000-0005-0000-0000-0000690F0000}"/>
    <cellStyle name="Normal 10 3 3 2 6" xfId="2843" xr:uid="{00000000-0005-0000-0000-00006A0F0000}"/>
    <cellStyle name="Normal 10 3 3 2 6 2" xfId="47127" xr:uid="{00000000-0005-0000-0000-00006B0F0000}"/>
    <cellStyle name="Normal 10 3 3 2 6 3" xfId="47128" xr:uid="{00000000-0005-0000-0000-00006C0F0000}"/>
    <cellStyle name="Normal 10 3 3 2 7" xfId="2844" xr:uid="{00000000-0005-0000-0000-00006D0F0000}"/>
    <cellStyle name="Normal 10 3 3 2 7 2" xfId="47129" xr:uid="{00000000-0005-0000-0000-00006E0F0000}"/>
    <cellStyle name="Normal 10 3 3 2 8" xfId="2845" xr:uid="{00000000-0005-0000-0000-00006F0F0000}"/>
    <cellStyle name="Normal 10 3 3 2 9" xfId="2846" xr:uid="{00000000-0005-0000-0000-0000700F0000}"/>
    <cellStyle name="Normal 10 3 3 3" xfId="2847" xr:uid="{00000000-0005-0000-0000-0000710F0000}"/>
    <cellStyle name="Normal 10 3 3 3 2" xfId="2848" xr:uid="{00000000-0005-0000-0000-0000720F0000}"/>
    <cellStyle name="Normal 10 3 3 3 2 2" xfId="2849" xr:uid="{00000000-0005-0000-0000-0000730F0000}"/>
    <cellStyle name="Normal 10 3 3 3 2 2 2" xfId="2850" xr:uid="{00000000-0005-0000-0000-0000740F0000}"/>
    <cellStyle name="Normal 10 3 3 3 2 2 2 2" xfId="47130" xr:uid="{00000000-0005-0000-0000-0000750F0000}"/>
    <cellStyle name="Normal 10 3 3 3 2 2 2 3" xfId="47131" xr:uid="{00000000-0005-0000-0000-0000760F0000}"/>
    <cellStyle name="Normal 10 3 3 3 2 2 3" xfId="2851" xr:uid="{00000000-0005-0000-0000-0000770F0000}"/>
    <cellStyle name="Normal 10 3 3 3 2 2 3 2" xfId="47132" xr:uid="{00000000-0005-0000-0000-0000780F0000}"/>
    <cellStyle name="Normal 10 3 3 3 2 2 4" xfId="2852" xr:uid="{00000000-0005-0000-0000-0000790F0000}"/>
    <cellStyle name="Normal 10 3 3 3 2 2 5" xfId="2853" xr:uid="{00000000-0005-0000-0000-00007A0F0000}"/>
    <cellStyle name="Normal 10 3 3 3 2 2 6" xfId="2854" xr:uid="{00000000-0005-0000-0000-00007B0F0000}"/>
    <cellStyle name="Normal 10 3 3 3 2 3" xfId="2855" xr:uid="{00000000-0005-0000-0000-00007C0F0000}"/>
    <cellStyle name="Normal 10 3 3 3 2 3 2" xfId="47133" xr:uid="{00000000-0005-0000-0000-00007D0F0000}"/>
    <cellStyle name="Normal 10 3 3 3 2 3 3" xfId="47134" xr:uid="{00000000-0005-0000-0000-00007E0F0000}"/>
    <cellStyle name="Normal 10 3 3 3 2 4" xfId="2856" xr:uid="{00000000-0005-0000-0000-00007F0F0000}"/>
    <cellStyle name="Normal 10 3 3 3 2 4 2" xfId="47135" xr:uid="{00000000-0005-0000-0000-0000800F0000}"/>
    <cellStyle name="Normal 10 3 3 3 2 5" xfId="2857" xr:uid="{00000000-0005-0000-0000-0000810F0000}"/>
    <cellStyle name="Normal 10 3 3 3 2 6" xfId="2858" xr:uid="{00000000-0005-0000-0000-0000820F0000}"/>
    <cellStyle name="Normal 10 3 3 3 2 7" xfId="2859" xr:uid="{00000000-0005-0000-0000-0000830F0000}"/>
    <cellStyle name="Normal 10 3 3 3 3" xfId="2860" xr:uid="{00000000-0005-0000-0000-0000840F0000}"/>
    <cellStyle name="Normal 10 3 3 3 3 2" xfId="2861" xr:uid="{00000000-0005-0000-0000-0000850F0000}"/>
    <cellStyle name="Normal 10 3 3 3 3 2 2" xfId="47136" xr:uid="{00000000-0005-0000-0000-0000860F0000}"/>
    <cellStyle name="Normal 10 3 3 3 3 2 3" xfId="47137" xr:uid="{00000000-0005-0000-0000-0000870F0000}"/>
    <cellStyle name="Normal 10 3 3 3 3 3" xfId="2862" xr:uid="{00000000-0005-0000-0000-0000880F0000}"/>
    <cellStyle name="Normal 10 3 3 3 3 3 2" xfId="47138" xr:uid="{00000000-0005-0000-0000-0000890F0000}"/>
    <cellStyle name="Normal 10 3 3 3 3 4" xfId="2863" xr:uid="{00000000-0005-0000-0000-00008A0F0000}"/>
    <cellStyle name="Normal 10 3 3 3 3 5" xfId="2864" xr:uid="{00000000-0005-0000-0000-00008B0F0000}"/>
    <cellStyle name="Normal 10 3 3 3 3 6" xfId="2865" xr:uid="{00000000-0005-0000-0000-00008C0F0000}"/>
    <cellStyle name="Normal 10 3 3 3 4" xfId="2866" xr:uid="{00000000-0005-0000-0000-00008D0F0000}"/>
    <cellStyle name="Normal 10 3 3 3 4 2" xfId="47139" xr:uid="{00000000-0005-0000-0000-00008E0F0000}"/>
    <cellStyle name="Normal 10 3 3 3 4 3" xfId="47140" xr:uid="{00000000-0005-0000-0000-00008F0F0000}"/>
    <cellStyle name="Normal 10 3 3 3 5" xfId="2867" xr:uid="{00000000-0005-0000-0000-0000900F0000}"/>
    <cellStyle name="Normal 10 3 3 3 5 2" xfId="47141" xr:uid="{00000000-0005-0000-0000-0000910F0000}"/>
    <cellStyle name="Normal 10 3 3 3 6" xfId="2868" xr:uid="{00000000-0005-0000-0000-0000920F0000}"/>
    <cellStyle name="Normal 10 3 3 3 7" xfId="2869" xr:uid="{00000000-0005-0000-0000-0000930F0000}"/>
    <cellStyle name="Normal 10 3 3 3 8" xfId="2870" xr:uid="{00000000-0005-0000-0000-0000940F0000}"/>
    <cellStyle name="Normal 10 3 3 3 9" xfId="2871" xr:uid="{00000000-0005-0000-0000-0000950F0000}"/>
    <cellStyle name="Normal 10 3 3 4" xfId="2872" xr:uid="{00000000-0005-0000-0000-0000960F0000}"/>
    <cellStyle name="Normal 10 3 3 4 2" xfId="2873" xr:uid="{00000000-0005-0000-0000-0000970F0000}"/>
    <cellStyle name="Normal 10 3 3 4 2 2" xfId="2874" xr:uid="{00000000-0005-0000-0000-0000980F0000}"/>
    <cellStyle name="Normal 10 3 3 4 2 2 2" xfId="2875" xr:uid="{00000000-0005-0000-0000-0000990F0000}"/>
    <cellStyle name="Normal 10 3 3 4 2 2 2 2" xfId="47142" xr:uid="{00000000-0005-0000-0000-00009A0F0000}"/>
    <cellStyle name="Normal 10 3 3 4 2 2 2 3" xfId="47143" xr:uid="{00000000-0005-0000-0000-00009B0F0000}"/>
    <cellStyle name="Normal 10 3 3 4 2 2 3" xfId="2876" xr:uid="{00000000-0005-0000-0000-00009C0F0000}"/>
    <cellStyle name="Normal 10 3 3 4 2 2 3 2" xfId="47144" xr:uid="{00000000-0005-0000-0000-00009D0F0000}"/>
    <cellStyle name="Normal 10 3 3 4 2 2 4" xfId="2877" xr:uid="{00000000-0005-0000-0000-00009E0F0000}"/>
    <cellStyle name="Normal 10 3 3 4 2 2 5" xfId="2878" xr:uid="{00000000-0005-0000-0000-00009F0F0000}"/>
    <cellStyle name="Normal 10 3 3 4 2 2 6" xfId="2879" xr:uid="{00000000-0005-0000-0000-0000A00F0000}"/>
    <cellStyle name="Normal 10 3 3 4 2 3" xfId="2880" xr:uid="{00000000-0005-0000-0000-0000A10F0000}"/>
    <cellStyle name="Normal 10 3 3 4 2 3 2" xfId="47145" xr:uid="{00000000-0005-0000-0000-0000A20F0000}"/>
    <cellStyle name="Normal 10 3 3 4 2 3 3" xfId="47146" xr:uid="{00000000-0005-0000-0000-0000A30F0000}"/>
    <cellStyle name="Normal 10 3 3 4 2 4" xfId="2881" xr:uid="{00000000-0005-0000-0000-0000A40F0000}"/>
    <cellStyle name="Normal 10 3 3 4 2 4 2" xfId="47147" xr:uid="{00000000-0005-0000-0000-0000A50F0000}"/>
    <cellStyle name="Normal 10 3 3 4 2 5" xfId="2882" xr:uid="{00000000-0005-0000-0000-0000A60F0000}"/>
    <cellStyle name="Normal 10 3 3 4 2 6" xfId="2883" xr:uid="{00000000-0005-0000-0000-0000A70F0000}"/>
    <cellStyle name="Normal 10 3 3 4 2 7" xfId="2884" xr:uid="{00000000-0005-0000-0000-0000A80F0000}"/>
    <cellStyle name="Normal 10 3 3 4 3" xfId="2885" xr:uid="{00000000-0005-0000-0000-0000A90F0000}"/>
    <cellStyle name="Normal 10 3 3 4 3 2" xfId="2886" xr:uid="{00000000-0005-0000-0000-0000AA0F0000}"/>
    <cellStyle name="Normal 10 3 3 4 3 2 2" xfId="47148" xr:uid="{00000000-0005-0000-0000-0000AB0F0000}"/>
    <cellStyle name="Normal 10 3 3 4 3 2 3" xfId="47149" xr:uid="{00000000-0005-0000-0000-0000AC0F0000}"/>
    <cellStyle name="Normal 10 3 3 4 3 3" xfId="2887" xr:uid="{00000000-0005-0000-0000-0000AD0F0000}"/>
    <cellStyle name="Normal 10 3 3 4 3 3 2" xfId="47150" xr:uid="{00000000-0005-0000-0000-0000AE0F0000}"/>
    <cellStyle name="Normal 10 3 3 4 3 4" xfId="2888" xr:uid="{00000000-0005-0000-0000-0000AF0F0000}"/>
    <cellStyle name="Normal 10 3 3 4 3 5" xfId="2889" xr:uid="{00000000-0005-0000-0000-0000B00F0000}"/>
    <cellStyle name="Normal 10 3 3 4 3 6" xfId="2890" xr:uid="{00000000-0005-0000-0000-0000B10F0000}"/>
    <cellStyle name="Normal 10 3 3 4 4" xfId="2891" xr:uid="{00000000-0005-0000-0000-0000B20F0000}"/>
    <cellStyle name="Normal 10 3 3 4 4 2" xfId="47151" xr:uid="{00000000-0005-0000-0000-0000B30F0000}"/>
    <cellStyle name="Normal 10 3 3 4 4 3" xfId="47152" xr:uid="{00000000-0005-0000-0000-0000B40F0000}"/>
    <cellStyle name="Normal 10 3 3 4 5" xfId="2892" xr:uid="{00000000-0005-0000-0000-0000B50F0000}"/>
    <cellStyle name="Normal 10 3 3 4 5 2" xfId="47153" xr:uid="{00000000-0005-0000-0000-0000B60F0000}"/>
    <cellStyle name="Normal 10 3 3 4 6" xfId="2893" xr:uid="{00000000-0005-0000-0000-0000B70F0000}"/>
    <cellStyle name="Normal 10 3 3 4 7" xfId="2894" xr:uid="{00000000-0005-0000-0000-0000B80F0000}"/>
    <cellStyle name="Normal 10 3 3 4 8" xfId="2895" xr:uid="{00000000-0005-0000-0000-0000B90F0000}"/>
    <cellStyle name="Normal 10 3 3 5" xfId="2896" xr:uid="{00000000-0005-0000-0000-0000BA0F0000}"/>
    <cellStyle name="Normal 10 3 3 5 2" xfId="2897" xr:uid="{00000000-0005-0000-0000-0000BB0F0000}"/>
    <cellStyle name="Normal 10 3 3 5 2 2" xfId="2898" xr:uid="{00000000-0005-0000-0000-0000BC0F0000}"/>
    <cellStyle name="Normal 10 3 3 5 2 2 2" xfId="47154" xr:uid="{00000000-0005-0000-0000-0000BD0F0000}"/>
    <cellStyle name="Normal 10 3 3 5 2 2 3" xfId="47155" xr:uid="{00000000-0005-0000-0000-0000BE0F0000}"/>
    <cellStyle name="Normal 10 3 3 5 2 3" xfId="2899" xr:uid="{00000000-0005-0000-0000-0000BF0F0000}"/>
    <cellStyle name="Normal 10 3 3 5 2 3 2" xfId="47156" xr:uid="{00000000-0005-0000-0000-0000C00F0000}"/>
    <cellStyle name="Normal 10 3 3 5 2 4" xfId="2900" xr:uid="{00000000-0005-0000-0000-0000C10F0000}"/>
    <cellStyle name="Normal 10 3 3 5 2 5" xfId="2901" xr:uid="{00000000-0005-0000-0000-0000C20F0000}"/>
    <cellStyle name="Normal 10 3 3 5 2 6" xfId="2902" xr:uid="{00000000-0005-0000-0000-0000C30F0000}"/>
    <cellStyle name="Normal 10 3 3 5 3" xfId="2903" xr:uid="{00000000-0005-0000-0000-0000C40F0000}"/>
    <cellStyle name="Normal 10 3 3 5 3 2" xfId="47157" xr:uid="{00000000-0005-0000-0000-0000C50F0000}"/>
    <cellStyle name="Normal 10 3 3 5 3 3" xfId="47158" xr:uid="{00000000-0005-0000-0000-0000C60F0000}"/>
    <cellStyle name="Normal 10 3 3 5 4" xfId="2904" xr:uid="{00000000-0005-0000-0000-0000C70F0000}"/>
    <cellStyle name="Normal 10 3 3 5 4 2" xfId="47159" xr:uid="{00000000-0005-0000-0000-0000C80F0000}"/>
    <cellStyle name="Normal 10 3 3 5 5" xfId="2905" xr:uid="{00000000-0005-0000-0000-0000C90F0000}"/>
    <cellStyle name="Normal 10 3 3 5 6" xfId="2906" xr:uid="{00000000-0005-0000-0000-0000CA0F0000}"/>
    <cellStyle name="Normal 10 3 3 5 7" xfId="2907" xr:uid="{00000000-0005-0000-0000-0000CB0F0000}"/>
    <cellStyle name="Normal 10 3 3 6" xfId="2908" xr:uid="{00000000-0005-0000-0000-0000CC0F0000}"/>
    <cellStyle name="Normal 10 3 3 6 2" xfId="2909" xr:uid="{00000000-0005-0000-0000-0000CD0F0000}"/>
    <cellStyle name="Normal 10 3 3 6 2 2" xfId="47160" xr:uid="{00000000-0005-0000-0000-0000CE0F0000}"/>
    <cellStyle name="Normal 10 3 3 6 2 3" xfId="47161" xr:uid="{00000000-0005-0000-0000-0000CF0F0000}"/>
    <cellStyle name="Normal 10 3 3 6 3" xfId="2910" xr:uid="{00000000-0005-0000-0000-0000D00F0000}"/>
    <cellStyle name="Normal 10 3 3 6 3 2" xfId="47162" xr:uid="{00000000-0005-0000-0000-0000D10F0000}"/>
    <cellStyle name="Normal 10 3 3 6 4" xfId="2911" xr:uid="{00000000-0005-0000-0000-0000D20F0000}"/>
    <cellStyle name="Normal 10 3 3 6 5" xfId="2912" xr:uid="{00000000-0005-0000-0000-0000D30F0000}"/>
    <cellStyle name="Normal 10 3 3 6 6" xfId="2913" xr:uid="{00000000-0005-0000-0000-0000D40F0000}"/>
    <cellStyle name="Normal 10 3 3 7" xfId="2914" xr:uid="{00000000-0005-0000-0000-0000D50F0000}"/>
    <cellStyle name="Normal 10 3 3 7 2" xfId="47163" xr:uid="{00000000-0005-0000-0000-0000D60F0000}"/>
    <cellStyle name="Normal 10 3 3 7 3" xfId="47164" xr:uid="{00000000-0005-0000-0000-0000D70F0000}"/>
    <cellStyle name="Normal 10 3 3 8" xfId="2915" xr:uid="{00000000-0005-0000-0000-0000D80F0000}"/>
    <cellStyle name="Normal 10 3 3 8 2" xfId="47165" xr:uid="{00000000-0005-0000-0000-0000D90F0000}"/>
    <cellStyle name="Normal 10 3 3 9" xfId="2916" xr:uid="{00000000-0005-0000-0000-0000DA0F0000}"/>
    <cellStyle name="Normal 10 3 4" xfId="2917" xr:uid="{00000000-0005-0000-0000-0000DB0F0000}"/>
    <cellStyle name="Normal 10 3 4 10" xfId="2918" xr:uid="{00000000-0005-0000-0000-0000DC0F0000}"/>
    <cellStyle name="Normal 10 3 4 11" xfId="2919" xr:uid="{00000000-0005-0000-0000-0000DD0F0000}"/>
    <cellStyle name="Normal 10 3 4 12" xfId="2920" xr:uid="{00000000-0005-0000-0000-0000DE0F0000}"/>
    <cellStyle name="Normal 10 3 4 13" xfId="2921" xr:uid="{00000000-0005-0000-0000-0000DF0F0000}"/>
    <cellStyle name="Normal 10 3 4 14" xfId="2922" xr:uid="{00000000-0005-0000-0000-0000E00F0000}"/>
    <cellStyle name="Normal 10 3 4 2" xfId="2923" xr:uid="{00000000-0005-0000-0000-0000E10F0000}"/>
    <cellStyle name="Normal 10 3 4 2 2" xfId="2924" xr:uid="{00000000-0005-0000-0000-0000E20F0000}"/>
    <cellStyle name="Normal 10 3 4 2 2 2" xfId="2925" xr:uid="{00000000-0005-0000-0000-0000E30F0000}"/>
    <cellStyle name="Normal 10 3 4 2 2 2 2" xfId="2926" xr:uid="{00000000-0005-0000-0000-0000E40F0000}"/>
    <cellStyle name="Normal 10 3 4 2 2 2 2 2" xfId="47166" xr:uid="{00000000-0005-0000-0000-0000E50F0000}"/>
    <cellStyle name="Normal 10 3 4 2 2 2 2 3" xfId="47167" xr:uid="{00000000-0005-0000-0000-0000E60F0000}"/>
    <cellStyle name="Normal 10 3 4 2 2 2 3" xfId="2927" xr:uid="{00000000-0005-0000-0000-0000E70F0000}"/>
    <cellStyle name="Normal 10 3 4 2 2 2 3 2" xfId="47168" xr:uid="{00000000-0005-0000-0000-0000E80F0000}"/>
    <cellStyle name="Normal 10 3 4 2 2 2 4" xfId="2928" xr:uid="{00000000-0005-0000-0000-0000E90F0000}"/>
    <cellStyle name="Normal 10 3 4 2 2 2 5" xfId="2929" xr:uid="{00000000-0005-0000-0000-0000EA0F0000}"/>
    <cellStyle name="Normal 10 3 4 2 2 2 6" xfId="2930" xr:uid="{00000000-0005-0000-0000-0000EB0F0000}"/>
    <cellStyle name="Normal 10 3 4 2 2 3" xfId="2931" xr:uid="{00000000-0005-0000-0000-0000EC0F0000}"/>
    <cellStyle name="Normal 10 3 4 2 2 3 2" xfId="47169" xr:uid="{00000000-0005-0000-0000-0000ED0F0000}"/>
    <cellStyle name="Normal 10 3 4 2 2 3 3" xfId="47170" xr:uid="{00000000-0005-0000-0000-0000EE0F0000}"/>
    <cellStyle name="Normal 10 3 4 2 2 4" xfId="2932" xr:uid="{00000000-0005-0000-0000-0000EF0F0000}"/>
    <cellStyle name="Normal 10 3 4 2 2 4 2" xfId="47171" xr:uid="{00000000-0005-0000-0000-0000F00F0000}"/>
    <cellStyle name="Normal 10 3 4 2 2 5" xfId="2933" xr:uid="{00000000-0005-0000-0000-0000F10F0000}"/>
    <cellStyle name="Normal 10 3 4 2 2 6" xfId="2934" xr:uid="{00000000-0005-0000-0000-0000F20F0000}"/>
    <cellStyle name="Normal 10 3 4 2 2 7" xfId="2935" xr:uid="{00000000-0005-0000-0000-0000F30F0000}"/>
    <cellStyle name="Normal 10 3 4 2 3" xfId="2936" xr:uid="{00000000-0005-0000-0000-0000F40F0000}"/>
    <cellStyle name="Normal 10 3 4 2 3 2" xfId="2937" xr:uid="{00000000-0005-0000-0000-0000F50F0000}"/>
    <cellStyle name="Normal 10 3 4 2 3 2 2" xfId="47172" xr:uid="{00000000-0005-0000-0000-0000F60F0000}"/>
    <cellStyle name="Normal 10 3 4 2 3 2 3" xfId="47173" xr:uid="{00000000-0005-0000-0000-0000F70F0000}"/>
    <cellStyle name="Normal 10 3 4 2 3 3" xfId="2938" xr:uid="{00000000-0005-0000-0000-0000F80F0000}"/>
    <cellStyle name="Normal 10 3 4 2 3 3 2" xfId="47174" xr:uid="{00000000-0005-0000-0000-0000F90F0000}"/>
    <cellStyle name="Normal 10 3 4 2 3 4" xfId="2939" xr:uid="{00000000-0005-0000-0000-0000FA0F0000}"/>
    <cellStyle name="Normal 10 3 4 2 3 5" xfId="2940" xr:uid="{00000000-0005-0000-0000-0000FB0F0000}"/>
    <cellStyle name="Normal 10 3 4 2 3 6" xfId="2941" xr:uid="{00000000-0005-0000-0000-0000FC0F0000}"/>
    <cellStyle name="Normal 10 3 4 2 4" xfId="2942" xr:uid="{00000000-0005-0000-0000-0000FD0F0000}"/>
    <cellStyle name="Normal 10 3 4 2 4 2" xfId="47175" xr:uid="{00000000-0005-0000-0000-0000FE0F0000}"/>
    <cellStyle name="Normal 10 3 4 2 4 3" xfId="47176" xr:uid="{00000000-0005-0000-0000-0000FF0F0000}"/>
    <cellStyle name="Normal 10 3 4 2 5" xfId="2943" xr:uid="{00000000-0005-0000-0000-000000100000}"/>
    <cellStyle name="Normal 10 3 4 2 5 2" xfId="47177" xr:uid="{00000000-0005-0000-0000-000001100000}"/>
    <cellStyle name="Normal 10 3 4 2 6" xfId="2944" xr:uid="{00000000-0005-0000-0000-000002100000}"/>
    <cellStyle name="Normal 10 3 4 2 7" xfId="2945" xr:uid="{00000000-0005-0000-0000-000003100000}"/>
    <cellStyle name="Normal 10 3 4 2 8" xfId="2946" xr:uid="{00000000-0005-0000-0000-000004100000}"/>
    <cellStyle name="Normal 10 3 4 2 9" xfId="2947" xr:uid="{00000000-0005-0000-0000-000005100000}"/>
    <cellStyle name="Normal 10 3 4 3" xfId="2948" xr:uid="{00000000-0005-0000-0000-000006100000}"/>
    <cellStyle name="Normal 10 3 4 3 2" xfId="2949" xr:uid="{00000000-0005-0000-0000-000007100000}"/>
    <cellStyle name="Normal 10 3 4 3 2 2" xfId="2950" xr:uid="{00000000-0005-0000-0000-000008100000}"/>
    <cellStyle name="Normal 10 3 4 3 2 2 2" xfId="2951" xr:uid="{00000000-0005-0000-0000-000009100000}"/>
    <cellStyle name="Normal 10 3 4 3 2 2 2 2" xfId="47178" xr:uid="{00000000-0005-0000-0000-00000A100000}"/>
    <cellStyle name="Normal 10 3 4 3 2 2 2 3" xfId="47179" xr:uid="{00000000-0005-0000-0000-00000B100000}"/>
    <cellStyle name="Normal 10 3 4 3 2 2 3" xfId="2952" xr:uid="{00000000-0005-0000-0000-00000C100000}"/>
    <cellStyle name="Normal 10 3 4 3 2 2 3 2" xfId="47180" xr:uid="{00000000-0005-0000-0000-00000D100000}"/>
    <cellStyle name="Normal 10 3 4 3 2 2 4" xfId="2953" xr:uid="{00000000-0005-0000-0000-00000E100000}"/>
    <cellStyle name="Normal 10 3 4 3 2 2 5" xfId="2954" xr:uid="{00000000-0005-0000-0000-00000F100000}"/>
    <cellStyle name="Normal 10 3 4 3 2 2 6" xfId="2955" xr:uid="{00000000-0005-0000-0000-000010100000}"/>
    <cellStyle name="Normal 10 3 4 3 2 3" xfId="2956" xr:uid="{00000000-0005-0000-0000-000011100000}"/>
    <cellStyle name="Normal 10 3 4 3 2 3 2" xfId="47181" xr:uid="{00000000-0005-0000-0000-000012100000}"/>
    <cellStyle name="Normal 10 3 4 3 2 3 3" xfId="47182" xr:uid="{00000000-0005-0000-0000-000013100000}"/>
    <cellStyle name="Normal 10 3 4 3 2 4" xfId="2957" xr:uid="{00000000-0005-0000-0000-000014100000}"/>
    <cellStyle name="Normal 10 3 4 3 2 4 2" xfId="47183" xr:uid="{00000000-0005-0000-0000-000015100000}"/>
    <cellStyle name="Normal 10 3 4 3 2 5" xfId="2958" xr:uid="{00000000-0005-0000-0000-000016100000}"/>
    <cellStyle name="Normal 10 3 4 3 2 6" xfId="2959" xr:uid="{00000000-0005-0000-0000-000017100000}"/>
    <cellStyle name="Normal 10 3 4 3 2 7" xfId="2960" xr:uid="{00000000-0005-0000-0000-000018100000}"/>
    <cellStyle name="Normal 10 3 4 3 3" xfId="2961" xr:uid="{00000000-0005-0000-0000-000019100000}"/>
    <cellStyle name="Normal 10 3 4 3 3 2" xfId="2962" xr:uid="{00000000-0005-0000-0000-00001A100000}"/>
    <cellStyle name="Normal 10 3 4 3 3 2 2" xfId="47184" xr:uid="{00000000-0005-0000-0000-00001B100000}"/>
    <cellStyle name="Normal 10 3 4 3 3 2 3" xfId="47185" xr:uid="{00000000-0005-0000-0000-00001C100000}"/>
    <cellStyle name="Normal 10 3 4 3 3 3" xfId="2963" xr:uid="{00000000-0005-0000-0000-00001D100000}"/>
    <cellStyle name="Normal 10 3 4 3 3 3 2" xfId="47186" xr:uid="{00000000-0005-0000-0000-00001E100000}"/>
    <cellStyle name="Normal 10 3 4 3 3 4" xfId="2964" xr:uid="{00000000-0005-0000-0000-00001F100000}"/>
    <cellStyle name="Normal 10 3 4 3 3 5" xfId="2965" xr:uid="{00000000-0005-0000-0000-000020100000}"/>
    <cellStyle name="Normal 10 3 4 3 3 6" xfId="2966" xr:uid="{00000000-0005-0000-0000-000021100000}"/>
    <cellStyle name="Normal 10 3 4 3 4" xfId="2967" xr:uid="{00000000-0005-0000-0000-000022100000}"/>
    <cellStyle name="Normal 10 3 4 3 4 2" xfId="47187" xr:uid="{00000000-0005-0000-0000-000023100000}"/>
    <cellStyle name="Normal 10 3 4 3 4 3" xfId="47188" xr:uid="{00000000-0005-0000-0000-000024100000}"/>
    <cellStyle name="Normal 10 3 4 3 5" xfId="2968" xr:uid="{00000000-0005-0000-0000-000025100000}"/>
    <cellStyle name="Normal 10 3 4 3 5 2" xfId="47189" xr:uid="{00000000-0005-0000-0000-000026100000}"/>
    <cellStyle name="Normal 10 3 4 3 6" xfId="2969" xr:uid="{00000000-0005-0000-0000-000027100000}"/>
    <cellStyle name="Normal 10 3 4 3 7" xfId="2970" xr:uid="{00000000-0005-0000-0000-000028100000}"/>
    <cellStyle name="Normal 10 3 4 3 8" xfId="2971" xr:uid="{00000000-0005-0000-0000-000029100000}"/>
    <cellStyle name="Normal 10 3 4 4" xfId="2972" xr:uid="{00000000-0005-0000-0000-00002A100000}"/>
    <cellStyle name="Normal 10 3 4 4 2" xfId="2973" xr:uid="{00000000-0005-0000-0000-00002B100000}"/>
    <cellStyle name="Normal 10 3 4 4 2 2" xfId="2974" xr:uid="{00000000-0005-0000-0000-00002C100000}"/>
    <cellStyle name="Normal 10 3 4 4 2 2 2" xfId="47190" xr:uid="{00000000-0005-0000-0000-00002D100000}"/>
    <cellStyle name="Normal 10 3 4 4 2 2 3" xfId="47191" xr:uid="{00000000-0005-0000-0000-00002E100000}"/>
    <cellStyle name="Normal 10 3 4 4 2 3" xfId="2975" xr:uid="{00000000-0005-0000-0000-00002F100000}"/>
    <cellStyle name="Normal 10 3 4 4 2 3 2" xfId="47192" xr:uid="{00000000-0005-0000-0000-000030100000}"/>
    <cellStyle name="Normal 10 3 4 4 2 4" xfId="2976" xr:uid="{00000000-0005-0000-0000-000031100000}"/>
    <cellStyle name="Normal 10 3 4 4 2 5" xfId="2977" xr:uid="{00000000-0005-0000-0000-000032100000}"/>
    <cellStyle name="Normal 10 3 4 4 2 6" xfId="2978" xr:uid="{00000000-0005-0000-0000-000033100000}"/>
    <cellStyle name="Normal 10 3 4 4 3" xfId="2979" xr:uid="{00000000-0005-0000-0000-000034100000}"/>
    <cellStyle name="Normal 10 3 4 4 3 2" xfId="47193" xr:uid="{00000000-0005-0000-0000-000035100000}"/>
    <cellStyle name="Normal 10 3 4 4 3 3" xfId="47194" xr:uid="{00000000-0005-0000-0000-000036100000}"/>
    <cellStyle name="Normal 10 3 4 4 4" xfId="2980" xr:uid="{00000000-0005-0000-0000-000037100000}"/>
    <cellStyle name="Normal 10 3 4 4 4 2" xfId="47195" xr:uid="{00000000-0005-0000-0000-000038100000}"/>
    <cellStyle name="Normal 10 3 4 4 5" xfId="2981" xr:uid="{00000000-0005-0000-0000-000039100000}"/>
    <cellStyle name="Normal 10 3 4 4 6" xfId="2982" xr:uid="{00000000-0005-0000-0000-00003A100000}"/>
    <cellStyle name="Normal 10 3 4 4 7" xfId="2983" xr:uid="{00000000-0005-0000-0000-00003B100000}"/>
    <cellStyle name="Normal 10 3 4 5" xfId="2984" xr:uid="{00000000-0005-0000-0000-00003C100000}"/>
    <cellStyle name="Normal 10 3 4 5 2" xfId="2985" xr:uid="{00000000-0005-0000-0000-00003D100000}"/>
    <cellStyle name="Normal 10 3 4 5 2 2" xfId="47196" xr:uid="{00000000-0005-0000-0000-00003E100000}"/>
    <cellStyle name="Normal 10 3 4 5 2 3" xfId="47197" xr:uid="{00000000-0005-0000-0000-00003F100000}"/>
    <cellStyle name="Normal 10 3 4 5 3" xfId="2986" xr:uid="{00000000-0005-0000-0000-000040100000}"/>
    <cellStyle name="Normal 10 3 4 5 3 2" xfId="47198" xr:uid="{00000000-0005-0000-0000-000041100000}"/>
    <cellStyle name="Normal 10 3 4 5 4" xfId="2987" xr:uid="{00000000-0005-0000-0000-000042100000}"/>
    <cellStyle name="Normal 10 3 4 5 5" xfId="2988" xr:uid="{00000000-0005-0000-0000-000043100000}"/>
    <cellStyle name="Normal 10 3 4 5 6" xfId="2989" xr:uid="{00000000-0005-0000-0000-000044100000}"/>
    <cellStyle name="Normal 10 3 4 6" xfId="2990" xr:uid="{00000000-0005-0000-0000-000045100000}"/>
    <cellStyle name="Normal 10 3 4 6 2" xfId="47199" xr:uid="{00000000-0005-0000-0000-000046100000}"/>
    <cellStyle name="Normal 10 3 4 6 3" xfId="47200" xr:uid="{00000000-0005-0000-0000-000047100000}"/>
    <cellStyle name="Normal 10 3 4 7" xfId="2991" xr:uid="{00000000-0005-0000-0000-000048100000}"/>
    <cellStyle name="Normal 10 3 4 7 2" xfId="47201" xr:uid="{00000000-0005-0000-0000-000049100000}"/>
    <cellStyle name="Normal 10 3 4 8" xfId="2992" xr:uid="{00000000-0005-0000-0000-00004A100000}"/>
    <cellStyle name="Normal 10 3 4 9" xfId="2993" xr:uid="{00000000-0005-0000-0000-00004B100000}"/>
    <cellStyle name="Normal 10 3 5" xfId="2994" xr:uid="{00000000-0005-0000-0000-00004C100000}"/>
    <cellStyle name="Normal 10 3 5 10" xfId="2995" xr:uid="{00000000-0005-0000-0000-00004D100000}"/>
    <cellStyle name="Normal 10 3 5 11" xfId="2996" xr:uid="{00000000-0005-0000-0000-00004E100000}"/>
    <cellStyle name="Normal 10 3 5 12" xfId="2997" xr:uid="{00000000-0005-0000-0000-00004F100000}"/>
    <cellStyle name="Normal 10 3 5 13" xfId="2998" xr:uid="{00000000-0005-0000-0000-000050100000}"/>
    <cellStyle name="Normal 10 3 5 14" xfId="2999" xr:uid="{00000000-0005-0000-0000-000051100000}"/>
    <cellStyle name="Normal 10 3 5 2" xfId="3000" xr:uid="{00000000-0005-0000-0000-000052100000}"/>
    <cellStyle name="Normal 10 3 5 2 2" xfId="3001" xr:uid="{00000000-0005-0000-0000-000053100000}"/>
    <cellStyle name="Normal 10 3 5 2 2 2" xfId="3002" xr:uid="{00000000-0005-0000-0000-000054100000}"/>
    <cellStyle name="Normal 10 3 5 2 2 2 2" xfId="3003" xr:uid="{00000000-0005-0000-0000-000055100000}"/>
    <cellStyle name="Normal 10 3 5 2 2 2 2 2" xfId="47202" xr:uid="{00000000-0005-0000-0000-000056100000}"/>
    <cellStyle name="Normal 10 3 5 2 2 2 2 3" xfId="47203" xr:uid="{00000000-0005-0000-0000-000057100000}"/>
    <cellStyle name="Normal 10 3 5 2 2 2 3" xfId="3004" xr:uid="{00000000-0005-0000-0000-000058100000}"/>
    <cellStyle name="Normal 10 3 5 2 2 2 3 2" xfId="47204" xr:uid="{00000000-0005-0000-0000-000059100000}"/>
    <cellStyle name="Normal 10 3 5 2 2 2 4" xfId="3005" xr:uid="{00000000-0005-0000-0000-00005A100000}"/>
    <cellStyle name="Normal 10 3 5 2 2 2 5" xfId="3006" xr:uid="{00000000-0005-0000-0000-00005B100000}"/>
    <cellStyle name="Normal 10 3 5 2 2 2 6" xfId="3007" xr:uid="{00000000-0005-0000-0000-00005C100000}"/>
    <cellStyle name="Normal 10 3 5 2 2 3" xfId="3008" xr:uid="{00000000-0005-0000-0000-00005D100000}"/>
    <cellStyle name="Normal 10 3 5 2 2 3 2" xfId="47205" xr:uid="{00000000-0005-0000-0000-00005E100000}"/>
    <cellStyle name="Normal 10 3 5 2 2 3 3" xfId="47206" xr:uid="{00000000-0005-0000-0000-00005F100000}"/>
    <cellStyle name="Normal 10 3 5 2 2 4" xfId="3009" xr:uid="{00000000-0005-0000-0000-000060100000}"/>
    <cellStyle name="Normal 10 3 5 2 2 4 2" xfId="47207" xr:uid="{00000000-0005-0000-0000-000061100000}"/>
    <cellStyle name="Normal 10 3 5 2 2 5" xfId="3010" xr:uid="{00000000-0005-0000-0000-000062100000}"/>
    <cellStyle name="Normal 10 3 5 2 2 6" xfId="3011" xr:uid="{00000000-0005-0000-0000-000063100000}"/>
    <cellStyle name="Normal 10 3 5 2 2 7" xfId="3012" xr:uid="{00000000-0005-0000-0000-000064100000}"/>
    <cellStyle name="Normal 10 3 5 2 3" xfId="3013" xr:uid="{00000000-0005-0000-0000-000065100000}"/>
    <cellStyle name="Normal 10 3 5 2 3 2" xfId="3014" xr:uid="{00000000-0005-0000-0000-000066100000}"/>
    <cellStyle name="Normal 10 3 5 2 3 2 2" xfId="47208" xr:uid="{00000000-0005-0000-0000-000067100000}"/>
    <cellStyle name="Normal 10 3 5 2 3 2 3" xfId="47209" xr:uid="{00000000-0005-0000-0000-000068100000}"/>
    <cellStyle name="Normal 10 3 5 2 3 3" xfId="3015" xr:uid="{00000000-0005-0000-0000-000069100000}"/>
    <cellStyle name="Normal 10 3 5 2 3 3 2" xfId="47210" xr:uid="{00000000-0005-0000-0000-00006A100000}"/>
    <cellStyle name="Normal 10 3 5 2 3 4" xfId="3016" xr:uid="{00000000-0005-0000-0000-00006B100000}"/>
    <cellStyle name="Normal 10 3 5 2 3 5" xfId="3017" xr:uid="{00000000-0005-0000-0000-00006C100000}"/>
    <cellStyle name="Normal 10 3 5 2 3 6" xfId="3018" xr:uid="{00000000-0005-0000-0000-00006D100000}"/>
    <cellStyle name="Normal 10 3 5 2 4" xfId="3019" xr:uid="{00000000-0005-0000-0000-00006E100000}"/>
    <cellStyle name="Normal 10 3 5 2 4 2" xfId="47211" xr:uid="{00000000-0005-0000-0000-00006F100000}"/>
    <cellStyle name="Normal 10 3 5 2 4 3" xfId="47212" xr:uid="{00000000-0005-0000-0000-000070100000}"/>
    <cellStyle name="Normal 10 3 5 2 5" xfId="3020" xr:uid="{00000000-0005-0000-0000-000071100000}"/>
    <cellStyle name="Normal 10 3 5 2 5 2" xfId="47213" xr:uid="{00000000-0005-0000-0000-000072100000}"/>
    <cellStyle name="Normal 10 3 5 2 6" xfId="3021" xr:uid="{00000000-0005-0000-0000-000073100000}"/>
    <cellStyle name="Normal 10 3 5 2 7" xfId="3022" xr:uid="{00000000-0005-0000-0000-000074100000}"/>
    <cellStyle name="Normal 10 3 5 2 8" xfId="3023" xr:uid="{00000000-0005-0000-0000-000075100000}"/>
    <cellStyle name="Normal 10 3 5 2 9" xfId="3024" xr:uid="{00000000-0005-0000-0000-000076100000}"/>
    <cellStyle name="Normal 10 3 5 3" xfId="3025" xr:uid="{00000000-0005-0000-0000-000077100000}"/>
    <cellStyle name="Normal 10 3 5 3 2" xfId="3026" xr:uid="{00000000-0005-0000-0000-000078100000}"/>
    <cellStyle name="Normal 10 3 5 3 2 2" xfId="3027" xr:uid="{00000000-0005-0000-0000-000079100000}"/>
    <cellStyle name="Normal 10 3 5 3 2 2 2" xfId="3028" xr:uid="{00000000-0005-0000-0000-00007A100000}"/>
    <cellStyle name="Normal 10 3 5 3 2 2 2 2" xfId="47214" xr:uid="{00000000-0005-0000-0000-00007B100000}"/>
    <cellStyle name="Normal 10 3 5 3 2 2 2 3" xfId="47215" xr:uid="{00000000-0005-0000-0000-00007C100000}"/>
    <cellStyle name="Normal 10 3 5 3 2 2 3" xfId="3029" xr:uid="{00000000-0005-0000-0000-00007D100000}"/>
    <cellStyle name="Normal 10 3 5 3 2 2 3 2" xfId="47216" xr:uid="{00000000-0005-0000-0000-00007E100000}"/>
    <cellStyle name="Normal 10 3 5 3 2 2 4" xfId="3030" xr:uid="{00000000-0005-0000-0000-00007F100000}"/>
    <cellStyle name="Normal 10 3 5 3 2 2 5" xfId="3031" xr:uid="{00000000-0005-0000-0000-000080100000}"/>
    <cellStyle name="Normal 10 3 5 3 2 2 6" xfId="3032" xr:uid="{00000000-0005-0000-0000-000081100000}"/>
    <cellStyle name="Normal 10 3 5 3 2 3" xfId="3033" xr:uid="{00000000-0005-0000-0000-000082100000}"/>
    <cellStyle name="Normal 10 3 5 3 2 3 2" xfId="47217" xr:uid="{00000000-0005-0000-0000-000083100000}"/>
    <cellStyle name="Normal 10 3 5 3 2 3 3" xfId="47218" xr:uid="{00000000-0005-0000-0000-000084100000}"/>
    <cellStyle name="Normal 10 3 5 3 2 4" xfId="3034" xr:uid="{00000000-0005-0000-0000-000085100000}"/>
    <cellStyle name="Normal 10 3 5 3 2 4 2" xfId="47219" xr:uid="{00000000-0005-0000-0000-000086100000}"/>
    <cellStyle name="Normal 10 3 5 3 2 5" xfId="3035" xr:uid="{00000000-0005-0000-0000-000087100000}"/>
    <cellStyle name="Normal 10 3 5 3 2 6" xfId="3036" xr:uid="{00000000-0005-0000-0000-000088100000}"/>
    <cellStyle name="Normal 10 3 5 3 2 7" xfId="3037" xr:uid="{00000000-0005-0000-0000-000089100000}"/>
    <cellStyle name="Normal 10 3 5 3 3" xfId="3038" xr:uid="{00000000-0005-0000-0000-00008A100000}"/>
    <cellStyle name="Normal 10 3 5 3 3 2" xfId="3039" xr:uid="{00000000-0005-0000-0000-00008B100000}"/>
    <cellStyle name="Normal 10 3 5 3 3 2 2" xfId="47220" xr:uid="{00000000-0005-0000-0000-00008C100000}"/>
    <cellStyle name="Normal 10 3 5 3 3 2 3" xfId="47221" xr:uid="{00000000-0005-0000-0000-00008D100000}"/>
    <cellStyle name="Normal 10 3 5 3 3 3" xfId="3040" xr:uid="{00000000-0005-0000-0000-00008E100000}"/>
    <cellStyle name="Normal 10 3 5 3 3 3 2" xfId="47222" xr:uid="{00000000-0005-0000-0000-00008F100000}"/>
    <cellStyle name="Normal 10 3 5 3 3 4" xfId="3041" xr:uid="{00000000-0005-0000-0000-000090100000}"/>
    <cellStyle name="Normal 10 3 5 3 3 5" xfId="3042" xr:uid="{00000000-0005-0000-0000-000091100000}"/>
    <cellStyle name="Normal 10 3 5 3 3 6" xfId="3043" xr:uid="{00000000-0005-0000-0000-000092100000}"/>
    <cellStyle name="Normal 10 3 5 3 4" xfId="3044" xr:uid="{00000000-0005-0000-0000-000093100000}"/>
    <cellStyle name="Normal 10 3 5 3 4 2" xfId="47223" xr:uid="{00000000-0005-0000-0000-000094100000}"/>
    <cellStyle name="Normal 10 3 5 3 4 3" xfId="47224" xr:uid="{00000000-0005-0000-0000-000095100000}"/>
    <cellStyle name="Normal 10 3 5 3 5" xfId="3045" xr:uid="{00000000-0005-0000-0000-000096100000}"/>
    <cellStyle name="Normal 10 3 5 3 5 2" xfId="47225" xr:uid="{00000000-0005-0000-0000-000097100000}"/>
    <cellStyle name="Normal 10 3 5 3 6" xfId="3046" xr:uid="{00000000-0005-0000-0000-000098100000}"/>
    <cellStyle name="Normal 10 3 5 3 7" xfId="3047" xr:uid="{00000000-0005-0000-0000-000099100000}"/>
    <cellStyle name="Normal 10 3 5 3 8" xfId="3048" xr:uid="{00000000-0005-0000-0000-00009A100000}"/>
    <cellStyle name="Normal 10 3 5 4" xfId="3049" xr:uid="{00000000-0005-0000-0000-00009B100000}"/>
    <cellStyle name="Normal 10 3 5 4 2" xfId="3050" xr:uid="{00000000-0005-0000-0000-00009C100000}"/>
    <cellStyle name="Normal 10 3 5 4 2 2" xfId="3051" xr:uid="{00000000-0005-0000-0000-00009D100000}"/>
    <cellStyle name="Normal 10 3 5 4 2 2 2" xfId="47226" xr:uid="{00000000-0005-0000-0000-00009E100000}"/>
    <cellStyle name="Normal 10 3 5 4 2 2 3" xfId="47227" xr:uid="{00000000-0005-0000-0000-00009F100000}"/>
    <cellStyle name="Normal 10 3 5 4 2 3" xfId="3052" xr:uid="{00000000-0005-0000-0000-0000A0100000}"/>
    <cellStyle name="Normal 10 3 5 4 2 3 2" xfId="47228" xr:uid="{00000000-0005-0000-0000-0000A1100000}"/>
    <cellStyle name="Normal 10 3 5 4 2 4" xfId="3053" xr:uid="{00000000-0005-0000-0000-0000A2100000}"/>
    <cellStyle name="Normal 10 3 5 4 2 5" xfId="3054" xr:uid="{00000000-0005-0000-0000-0000A3100000}"/>
    <cellStyle name="Normal 10 3 5 4 2 6" xfId="3055" xr:uid="{00000000-0005-0000-0000-0000A4100000}"/>
    <cellStyle name="Normal 10 3 5 4 3" xfId="3056" xr:uid="{00000000-0005-0000-0000-0000A5100000}"/>
    <cellStyle name="Normal 10 3 5 4 3 2" xfId="47229" xr:uid="{00000000-0005-0000-0000-0000A6100000}"/>
    <cellStyle name="Normal 10 3 5 4 3 3" xfId="47230" xr:uid="{00000000-0005-0000-0000-0000A7100000}"/>
    <cellStyle name="Normal 10 3 5 4 4" xfId="3057" xr:uid="{00000000-0005-0000-0000-0000A8100000}"/>
    <cellStyle name="Normal 10 3 5 4 4 2" xfId="47231" xr:uid="{00000000-0005-0000-0000-0000A9100000}"/>
    <cellStyle name="Normal 10 3 5 4 5" xfId="3058" xr:uid="{00000000-0005-0000-0000-0000AA100000}"/>
    <cellStyle name="Normal 10 3 5 4 6" xfId="3059" xr:uid="{00000000-0005-0000-0000-0000AB100000}"/>
    <cellStyle name="Normal 10 3 5 4 7" xfId="3060" xr:uid="{00000000-0005-0000-0000-0000AC100000}"/>
    <cellStyle name="Normal 10 3 5 5" xfId="3061" xr:uid="{00000000-0005-0000-0000-0000AD100000}"/>
    <cellStyle name="Normal 10 3 5 5 2" xfId="3062" xr:uid="{00000000-0005-0000-0000-0000AE100000}"/>
    <cellStyle name="Normal 10 3 5 5 2 2" xfId="47232" xr:uid="{00000000-0005-0000-0000-0000AF100000}"/>
    <cellStyle name="Normal 10 3 5 5 2 3" xfId="47233" xr:uid="{00000000-0005-0000-0000-0000B0100000}"/>
    <cellStyle name="Normal 10 3 5 5 3" xfId="3063" xr:uid="{00000000-0005-0000-0000-0000B1100000}"/>
    <cellStyle name="Normal 10 3 5 5 3 2" xfId="47234" xr:uid="{00000000-0005-0000-0000-0000B2100000}"/>
    <cellStyle name="Normal 10 3 5 5 4" xfId="3064" xr:uid="{00000000-0005-0000-0000-0000B3100000}"/>
    <cellStyle name="Normal 10 3 5 5 5" xfId="3065" xr:uid="{00000000-0005-0000-0000-0000B4100000}"/>
    <cellStyle name="Normal 10 3 5 5 6" xfId="3066" xr:uid="{00000000-0005-0000-0000-0000B5100000}"/>
    <cellStyle name="Normal 10 3 5 6" xfId="3067" xr:uid="{00000000-0005-0000-0000-0000B6100000}"/>
    <cellStyle name="Normal 10 3 5 6 2" xfId="47235" xr:uid="{00000000-0005-0000-0000-0000B7100000}"/>
    <cellStyle name="Normal 10 3 5 6 3" xfId="47236" xr:uid="{00000000-0005-0000-0000-0000B8100000}"/>
    <cellStyle name="Normal 10 3 5 7" xfId="3068" xr:uid="{00000000-0005-0000-0000-0000B9100000}"/>
    <cellStyle name="Normal 10 3 5 7 2" xfId="47237" xr:uid="{00000000-0005-0000-0000-0000BA100000}"/>
    <cellStyle name="Normal 10 3 5 8" xfId="3069" xr:uid="{00000000-0005-0000-0000-0000BB100000}"/>
    <cellStyle name="Normal 10 3 5 9" xfId="3070" xr:uid="{00000000-0005-0000-0000-0000BC100000}"/>
    <cellStyle name="Normal 10 3 6" xfId="3071" xr:uid="{00000000-0005-0000-0000-0000BD100000}"/>
    <cellStyle name="Normal 10 3 6 10" xfId="3072" xr:uid="{00000000-0005-0000-0000-0000BE100000}"/>
    <cellStyle name="Normal 10 3 6 11" xfId="3073" xr:uid="{00000000-0005-0000-0000-0000BF100000}"/>
    <cellStyle name="Normal 10 3 6 12" xfId="3074" xr:uid="{00000000-0005-0000-0000-0000C0100000}"/>
    <cellStyle name="Normal 10 3 6 13" xfId="3075" xr:uid="{00000000-0005-0000-0000-0000C1100000}"/>
    <cellStyle name="Normal 10 3 6 2" xfId="3076" xr:uid="{00000000-0005-0000-0000-0000C2100000}"/>
    <cellStyle name="Normal 10 3 6 2 2" xfId="3077" xr:uid="{00000000-0005-0000-0000-0000C3100000}"/>
    <cellStyle name="Normal 10 3 6 2 2 2" xfId="3078" xr:uid="{00000000-0005-0000-0000-0000C4100000}"/>
    <cellStyle name="Normal 10 3 6 2 2 2 2" xfId="3079" xr:uid="{00000000-0005-0000-0000-0000C5100000}"/>
    <cellStyle name="Normal 10 3 6 2 2 2 2 2" xfId="47238" xr:uid="{00000000-0005-0000-0000-0000C6100000}"/>
    <cellStyle name="Normal 10 3 6 2 2 2 2 3" xfId="47239" xr:uid="{00000000-0005-0000-0000-0000C7100000}"/>
    <cellStyle name="Normal 10 3 6 2 2 2 3" xfId="3080" xr:uid="{00000000-0005-0000-0000-0000C8100000}"/>
    <cellStyle name="Normal 10 3 6 2 2 2 3 2" xfId="47240" xr:uid="{00000000-0005-0000-0000-0000C9100000}"/>
    <cellStyle name="Normal 10 3 6 2 2 2 4" xfId="3081" xr:uid="{00000000-0005-0000-0000-0000CA100000}"/>
    <cellStyle name="Normal 10 3 6 2 2 2 5" xfId="3082" xr:uid="{00000000-0005-0000-0000-0000CB100000}"/>
    <cellStyle name="Normal 10 3 6 2 2 2 6" xfId="3083" xr:uid="{00000000-0005-0000-0000-0000CC100000}"/>
    <cellStyle name="Normal 10 3 6 2 2 3" xfId="3084" xr:uid="{00000000-0005-0000-0000-0000CD100000}"/>
    <cellStyle name="Normal 10 3 6 2 2 3 2" xfId="47241" xr:uid="{00000000-0005-0000-0000-0000CE100000}"/>
    <cellStyle name="Normal 10 3 6 2 2 3 3" xfId="47242" xr:uid="{00000000-0005-0000-0000-0000CF100000}"/>
    <cellStyle name="Normal 10 3 6 2 2 4" xfId="3085" xr:uid="{00000000-0005-0000-0000-0000D0100000}"/>
    <cellStyle name="Normal 10 3 6 2 2 4 2" xfId="47243" xr:uid="{00000000-0005-0000-0000-0000D1100000}"/>
    <cellStyle name="Normal 10 3 6 2 2 5" xfId="3086" xr:uid="{00000000-0005-0000-0000-0000D2100000}"/>
    <cellStyle name="Normal 10 3 6 2 2 6" xfId="3087" xr:uid="{00000000-0005-0000-0000-0000D3100000}"/>
    <cellStyle name="Normal 10 3 6 2 2 7" xfId="3088" xr:uid="{00000000-0005-0000-0000-0000D4100000}"/>
    <cellStyle name="Normal 10 3 6 2 3" xfId="3089" xr:uid="{00000000-0005-0000-0000-0000D5100000}"/>
    <cellStyle name="Normal 10 3 6 2 3 2" xfId="3090" xr:uid="{00000000-0005-0000-0000-0000D6100000}"/>
    <cellStyle name="Normal 10 3 6 2 3 2 2" xfId="47244" xr:uid="{00000000-0005-0000-0000-0000D7100000}"/>
    <cellStyle name="Normal 10 3 6 2 3 2 3" xfId="47245" xr:uid="{00000000-0005-0000-0000-0000D8100000}"/>
    <cellStyle name="Normal 10 3 6 2 3 3" xfId="3091" xr:uid="{00000000-0005-0000-0000-0000D9100000}"/>
    <cellStyle name="Normal 10 3 6 2 3 3 2" xfId="47246" xr:uid="{00000000-0005-0000-0000-0000DA100000}"/>
    <cellStyle name="Normal 10 3 6 2 3 4" xfId="3092" xr:uid="{00000000-0005-0000-0000-0000DB100000}"/>
    <cellStyle name="Normal 10 3 6 2 3 5" xfId="3093" xr:uid="{00000000-0005-0000-0000-0000DC100000}"/>
    <cellStyle name="Normal 10 3 6 2 3 6" xfId="3094" xr:uid="{00000000-0005-0000-0000-0000DD100000}"/>
    <cellStyle name="Normal 10 3 6 2 4" xfId="3095" xr:uid="{00000000-0005-0000-0000-0000DE100000}"/>
    <cellStyle name="Normal 10 3 6 2 4 2" xfId="47247" xr:uid="{00000000-0005-0000-0000-0000DF100000}"/>
    <cellStyle name="Normal 10 3 6 2 4 3" xfId="47248" xr:uid="{00000000-0005-0000-0000-0000E0100000}"/>
    <cellStyle name="Normal 10 3 6 2 5" xfId="3096" xr:uid="{00000000-0005-0000-0000-0000E1100000}"/>
    <cellStyle name="Normal 10 3 6 2 5 2" xfId="47249" xr:uid="{00000000-0005-0000-0000-0000E2100000}"/>
    <cellStyle name="Normal 10 3 6 2 6" xfId="3097" xr:uid="{00000000-0005-0000-0000-0000E3100000}"/>
    <cellStyle name="Normal 10 3 6 2 7" xfId="3098" xr:uid="{00000000-0005-0000-0000-0000E4100000}"/>
    <cellStyle name="Normal 10 3 6 2 8" xfId="3099" xr:uid="{00000000-0005-0000-0000-0000E5100000}"/>
    <cellStyle name="Normal 10 3 6 2 9" xfId="3100" xr:uid="{00000000-0005-0000-0000-0000E6100000}"/>
    <cellStyle name="Normal 10 3 6 3" xfId="3101" xr:uid="{00000000-0005-0000-0000-0000E7100000}"/>
    <cellStyle name="Normal 10 3 6 3 2" xfId="3102" xr:uid="{00000000-0005-0000-0000-0000E8100000}"/>
    <cellStyle name="Normal 10 3 6 3 2 2" xfId="3103" xr:uid="{00000000-0005-0000-0000-0000E9100000}"/>
    <cellStyle name="Normal 10 3 6 3 2 2 2" xfId="47250" xr:uid="{00000000-0005-0000-0000-0000EA100000}"/>
    <cellStyle name="Normal 10 3 6 3 2 2 3" xfId="47251" xr:uid="{00000000-0005-0000-0000-0000EB100000}"/>
    <cellStyle name="Normal 10 3 6 3 2 3" xfId="3104" xr:uid="{00000000-0005-0000-0000-0000EC100000}"/>
    <cellStyle name="Normal 10 3 6 3 2 3 2" xfId="47252" xr:uid="{00000000-0005-0000-0000-0000ED100000}"/>
    <cellStyle name="Normal 10 3 6 3 2 4" xfId="3105" xr:uid="{00000000-0005-0000-0000-0000EE100000}"/>
    <cellStyle name="Normal 10 3 6 3 2 5" xfId="3106" xr:uid="{00000000-0005-0000-0000-0000EF100000}"/>
    <cellStyle name="Normal 10 3 6 3 2 6" xfId="3107" xr:uid="{00000000-0005-0000-0000-0000F0100000}"/>
    <cellStyle name="Normal 10 3 6 3 3" xfId="3108" xr:uid="{00000000-0005-0000-0000-0000F1100000}"/>
    <cellStyle name="Normal 10 3 6 3 3 2" xfId="47253" xr:uid="{00000000-0005-0000-0000-0000F2100000}"/>
    <cellStyle name="Normal 10 3 6 3 3 3" xfId="47254" xr:uid="{00000000-0005-0000-0000-0000F3100000}"/>
    <cellStyle name="Normal 10 3 6 3 4" xfId="3109" xr:uid="{00000000-0005-0000-0000-0000F4100000}"/>
    <cellStyle name="Normal 10 3 6 3 4 2" xfId="47255" xr:uid="{00000000-0005-0000-0000-0000F5100000}"/>
    <cellStyle name="Normal 10 3 6 3 5" xfId="3110" xr:uid="{00000000-0005-0000-0000-0000F6100000}"/>
    <cellStyle name="Normal 10 3 6 3 6" xfId="3111" xr:uid="{00000000-0005-0000-0000-0000F7100000}"/>
    <cellStyle name="Normal 10 3 6 3 7" xfId="3112" xr:uid="{00000000-0005-0000-0000-0000F8100000}"/>
    <cellStyle name="Normal 10 3 6 4" xfId="3113" xr:uid="{00000000-0005-0000-0000-0000F9100000}"/>
    <cellStyle name="Normal 10 3 6 4 2" xfId="3114" xr:uid="{00000000-0005-0000-0000-0000FA100000}"/>
    <cellStyle name="Normal 10 3 6 4 2 2" xfId="47256" xr:uid="{00000000-0005-0000-0000-0000FB100000}"/>
    <cellStyle name="Normal 10 3 6 4 2 3" xfId="47257" xr:uid="{00000000-0005-0000-0000-0000FC100000}"/>
    <cellStyle name="Normal 10 3 6 4 3" xfId="3115" xr:uid="{00000000-0005-0000-0000-0000FD100000}"/>
    <cellStyle name="Normal 10 3 6 4 3 2" xfId="47258" xr:uid="{00000000-0005-0000-0000-0000FE100000}"/>
    <cellStyle name="Normal 10 3 6 4 4" xfId="3116" xr:uid="{00000000-0005-0000-0000-0000FF100000}"/>
    <cellStyle name="Normal 10 3 6 4 5" xfId="3117" xr:uid="{00000000-0005-0000-0000-000000110000}"/>
    <cellStyle name="Normal 10 3 6 4 6" xfId="3118" xr:uid="{00000000-0005-0000-0000-000001110000}"/>
    <cellStyle name="Normal 10 3 6 5" xfId="3119" xr:uid="{00000000-0005-0000-0000-000002110000}"/>
    <cellStyle name="Normal 10 3 6 5 2" xfId="47259" xr:uid="{00000000-0005-0000-0000-000003110000}"/>
    <cellStyle name="Normal 10 3 6 5 3" xfId="47260" xr:uid="{00000000-0005-0000-0000-000004110000}"/>
    <cellStyle name="Normal 10 3 6 6" xfId="3120" xr:uid="{00000000-0005-0000-0000-000005110000}"/>
    <cellStyle name="Normal 10 3 6 6 2" xfId="47261" xr:uid="{00000000-0005-0000-0000-000006110000}"/>
    <cellStyle name="Normal 10 3 6 7" xfId="3121" xr:uid="{00000000-0005-0000-0000-000007110000}"/>
    <cellStyle name="Normal 10 3 6 8" xfId="3122" xr:uid="{00000000-0005-0000-0000-000008110000}"/>
    <cellStyle name="Normal 10 3 6 9" xfId="3123" xr:uid="{00000000-0005-0000-0000-000009110000}"/>
    <cellStyle name="Normal 10 3 7" xfId="3124" xr:uid="{00000000-0005-0000-0000-00000A110000}"/>
    <cellStyle name="Normal 10 3 7 2" xfId="3125" xr:uid="{00000000-0005-0000-0000-00000B110000}"/>
    <cellStyle name="Normal 10 3 7 2 2" xfId="3126" xr:uid="{00000000-0005-0000-0000-00000C110000}"/>
    <cellStyle name="Normal 10 3 7 2 2 2" xfId="3127" xr:uid="{00000000-0005-0000-0000-00000D110000}"/>
    <cellStyle name="Normal 10 3 7 2 2 2 2" xfId="47262" xr:uid="{00000000-0005-0000-0000-00000E110000}"/>
    <cellStyle name="Normal 10 3 7 2 2 2 3" xfId="47263" xr:uid="{00000000-0005-0000-0000-00000F110000}"/>
    <cellStyle name="Normal 10 3 7 2 2 3" xfId="3128" xr:uid="{00000000-0005-0000-0000-000010110000}"/>
    <cellStyle name="Normal 10 3 7 2 2 3 2" xfId="47264" xr:uid="{00000000-0005-0000-0000-000011110000}"/>
    <cellStyle name="Normal 10 3 7 2 2 4" xfId="3129" xr:uid="{00000000-0005-0000-0000-000012110000}"/>
    <cellStyle name="Normal 10 3 7 2 2 5" xfId="3130" xr:uid="{00000000-0005-0000-0000-000013110000}"/>
    <cellStyle name="Normal 10 3 7 2 2 6" xfId="3131" xr:uid="{00000000-0005-0000-0000-000014110000}"/>
    <cellStyle name="Normal 10 3 7 2 3" xfId="3132" xr:uid="{00000000-0005-0000-0000-000015110000}"/>
    <cellStyle name="Normal 10 3 7 2 3 2" xfId="47265" xr:uid="{00000000-0005-0000-0000-000016110000}"/>
    <cellStyle name="Normal 10 3 7 2 3 3" xfId="47266" xr:uid="{00000000-0005-0000-0000-000017110000}"/>
    <cellStyle name="Normal 10 3 7 2 4" xfId="3133" xr:uid="{00000000-0005-0000-0000-000018110000}"/>
    <cellStyle name="Normal 10 3 7 2 4 2" xfId="47267" xr:uid="{00000000-0005-0000-0000-000019110000}"/>
    <cellStyle name="Normal 10 3 7 2 5" xfId="3134" xr:uid="{00000000-0005-0000-0000-00001A110000}"/>
    <cellStyle name="Normal 10 3 7 2 6" xfId="3135" xr:uid="{00000000-0005-0000-0000-00001B110000}"/>
    <cellStyle name="Normal 10 3 7 2 7" xfId="3136" xr:uid="{00000000-0005-0000-0000-00001C110000}"/>
    <cellStyle name="Normal 10 3 7 3" xfId="3137" xr:uid="{00000000-0005-0000-0000-00001D110000}"/>
    <cellStyle name="Normal 10 3 7 3 2" xfId="3138" xr:uid="{00000000-0005-0000-0000-00001E110000}"/>
    <cellStyle name="Normal 10 3 7 3 2 2" xfId="47268" xr:uid="{00000000-0005-0000-0000-00001F110000}"/>
    <cellStyle name="Normal 10 3 7 3 2 3" xfId="47269" xr:uid="{00000000-0005-0000-0000-000020110000}"/>
    <cellStyle name="Normal 10 3 7 3 3" xfId="3139" xr:uid="{00000000-0005-0000-0000-000021110000}"/>
    <cellStyle name="Normal 10 3 7 3 3 2" xfId="47270" xr:uid="{00000000-0005-0000-0000-000022110000}"/>
    <cellStyle name="Normal 10 3 7 3 4" xfId="3140" xr:uid="{00000000-0005-0000-0000-000023110000}"/>
    <cellStyle name="Normal 10 3 7 3 5" xfId="3141" xr:uid="{00000000-0005-0000-0000-000024110000}"/>
    <cellStyle name="Normal 10 3 7 3 6" xfId="3142" xr:uid="{00000000-0005-0000-0000-000025110000}"/>
    <cellStyle name="Normal 10 3 7 4" xfId="3143" xr:uid="{00000000-0005-0000-0000-000026110000}"/>
    <cellStyle name="Normal 10 3 7 4 2" xfId="47271" xr:uid="{00000000-0005-0000-0000-000027110000}"/>
    <cellStyle name="Normal 10 3 7 4 3" xfId="47272" xr:uid="{00000000-0005-0000-0000-000028110000}"/>
    <cellStyle name="Normal 10 3 7 5" xfId="3144" xr:uid="{00000000-0005-0000-0000-000029110000}"/>
    <cellStyle name="Normal 10 3 7 5 2" xfId="47273" xr:uid="{00000000-0005-0000-0000-00002A110000}"/>
    <cellStyle name="Normal 10 3 7 6" xfId="3145" xr:uid="{00000000-0005-0000-0000-00002B110000}"/>
    <cellStyle name="Normal 10 3 7 7" xfId="3146" xr:uid="{00000000-0005-0000-0000-00002C110000}"/>
    <cellStyle name="Normal 10 3 7 8" xfId="3147" xr:uid="{00000000-0005-0000-0000-00002D110000}"/>
    <cellStyle name="Normal 10 3 7 9" xfId="3148" xr:uid="{00000000-0005-0000-0000-00002E110000}"/>
    <cellStyle name="Normal 10 3 8" xfId="3149" xr:uid="{00000000-0005-0000-0000-00002F110000}"/>
    <cellStyle name="Normal 10 3 8 2" xfId="3150" xr:uid="{00000000-0005-0000-0000-000030110000}"/>
    <cellStyle name="Normal 10 3 8 2 2" xfId="3151" xr:uid="{00000000-0005-0000-0000-000031110000}"/>
    <cellStyle name="Normal 10 3 8 2 2 2" xfId="3152" xr:uid="{00000000-0005-0000-0000-000032110000}"/>
    <cellStyle name="Normal 10 3 8 2 2 2 2" xfId="47274" xr:uid="{00000000-0005-0000-0000-000033110000}"/>
    <cellStyle name="Normal 10 3 8 2 2 2 3" xfId="47275" xr:uid="{00000000-0005-0000-0000-000034110000}"/>
    <cellStyle name="Normal 10 3 8 2 2 3" xfId="3153" xr:uid="{00000000-0005-0000-0000-000035110000}"/>
    <cellStyle name="Normal 10 3 8 2 2 3 2" xfId="47276" xr:uid="{00000000-0005-0000-0000-000036110000}"/>
    <cellStyle name="Normal 10 3 8 2 2 4" xfId="3154" xr:uid="{00000000-0005-0000-0000-000037110000}"/>
    <cellStyle name="Normal 10 3 8 2 2 5" xfId="3155" xr:uid="{00000000-0005-0000-0000-000038110000}"/>
    <cellStyle name="Normal 10 3 8 2 2 6" xfId="3156" xr:uid="{00000000-0005-0000-0000-000039110000}"/>
    <cellStyle name="Normal 10 3 8 2 3" xfId="3157" xr:uid="{00000000-0005-0000-0000-00003A110000}"/>
    <cellStyle name="Normal 10 3 8 2 3 2" xfId="47277" xr:uid="{00000000-0005-0000-0000-00003B110000}"/>
    <cellStyle name="Normal 10 3 8 2 3 3" xfId="47278" xr:uid="{00000000-0005-0000-0000-00003C110000}"/>
    <cellStyle name="Normal 10 3 8 2 4" xfId="3158" xr:uid="{00000000-0005-0000-0000-00003D110000}"/>
    <cellStyle name="Normal 10 3 8 2 4 2" xfId="47279" xr:uid="{00000000-0005-0000-0000-00003E110000}"/>
    <cellStyle name="Normal 10 3 8 2 5" xfId="3159" xr:uid="{00000000-0005-0000-0000-00003F110000}"/>
    <cellStyle name="Normal 10 3 8 2 6" xfId="3160" xr:uid="{00000000-0005-0000-0000-000040110000}"/>
    <cellStyle name="Normal 10 3 8 2 7" xfId="3161" xr:uid="{00000000-0005-0000-0000-000041110000}"/>
    <cellStyle name="Normal 10 3 8 3" xfId="3162" xr:uid="{00000000-0005-0000-0000-000042110000}"/>
    <cellStyle name="Normal 10 3 8 3 2" xfId="3163" xr:uid="{00000000-0005-0000-0000-000043110000}"/>
    <cellStyle name="Normal 10 3 8 3 2 2" xfId="47280" xr:uid="{00000000-0005-0000-0000-000044110000}"/>
    <cellStyle name="Normal 10 3 8 3 2 3" xfId="47281" xr:uid="{00000000-0005-0000-0000-000045110000}"/>
    <cellStyle name="Normal 10 3 8 3 3" xfId="3164" xr:uid="{00000000-0005-0000-0000-000046110000}"/>
    <cellStyle name="Normal 10 3 8 3 3 2" xfId="47282" xr:uid="{00000000-0005-0000-0000-000047110000}"/>
    <cellStyle name="Normal 10 3 8 3 4" xfId="3165" xr:uid="{00000000-0005-0000-0000-000048110000}"/>
    <cellStyle name="Normal 10 3 8 3 5" xfId="3166" xr:uid="{00000000-0005-0000-0000-000049110000}"/>
    <cellStyle name="Normal 10 3 8 3 6" xfId="3167" xr:uid="{00000000-0005-0000-0000-00004A110000}"/>
    <cellStyle name="Normal 10 3 8 4" xfId="3168" xr:uid="{00000000-0005-0000-0000-00004B110000}"/>
    <cellStyle name="Normal 10 3 8 4 2" xfId="47283" xr:uid="{00000000-0005-0000-0000-00004C110000}"/>
    <cellStyle name="Normal 10 3 8 4 3" xfId="47284" xr:uid="{00000000-0005-0000-0000-00004D110000}"/>
    <cellStyle name="Normal 10 3 8 5" xfId="3169" xr:uid="{00000000-0005-0000-0000-00004E110000}"/>
    <cellStyle name="Normal 10 3 8 5 2" xfId="47285" xr:uid="{00000000-0005-0000-0000-00004F110000}"/>
    <cellStyle name="Normal 10 3 8 6" xfId="3170" xr:uid="{00000000-0005-0000-0000-000050110000}"/>
    <cellStyle name="Normal 10 3 8 7" xfId="3171" xr:uid="{00000000-0005-0000-0000-000051110000}"/>
    <cellStyle name="Normal 10 3 8 8" xfId="3172" xr:uid="{00000000-0005-0000-0000-000052110000}"/>
    <cellStyle name="Normal 10 3 9" xfId="3173" xr:uid="{00000000-0005-0000-0000-000053110000}"/>
    <cellStyle name="Normal 10 3 9 2" xfId="3174" xr:uid="{00000000-0005-0000-0000-000054110000}"/>
    <cellStyle name="Normal 10 3 9 2 2" xfId="3175" xr:uid="{00000000-0005-0000-0000-000055110000}"/>
    <cellStyle name="Normal 10 3 9 2 2 2" xfId="3176" xr:uid="{00000000-0005-0000-0000-000056110000}"/>
    <cellStyle name="Normal 10 3 9 2 2 2 2" xfId="47286" xr:uid="{00000000-0005-0000-0000-000057110000}"/>
    <cellStyle name="Normal 10 3 9 2 2 2 3" xfId="47287" xr:uid="{00000000-0005-0000-0000-000058110000}"/>
    <cellStyle name="Normal 10 3 9 2 2 3" xfId="3177" xr:uid="{00000000-0005-0000-0000-000059110000}"/>
    <cellStyle name="Normal 10 3 9 2 2 3 2" xfId="47288" xr:uid="{00000000-0005-0000-0000-00005A110000}"/>
    <cellStyle name="Normal 10 3 9 2 2 4" xfId="3178" xr:uid="{00000000-0005-0000-0000-00005B110000}"/>
    <cellStyle name="Normal 10 3 9 2 2 5" xfId="3179" xr:uid="{00000000-0005-0000-0000-00005C110000}"/>
    <cellStyle name="Normal 10 3 9 2 2 6" xfId="3180" xr:uid="{00000000-0005-0000-0000-00005D110000}"/>
    <cellStyle name="Normal 10 3 9 2 3" xfId="3181" xr:uid="{00000000-0005-0000-0000-00005E110000}"/>
    <cellStyle name="Normal 10 3 9 2 3 2" xfId="47289" xr:uid="{00000000-0005-0000-0000-00005F110000}"/>
    <cellStyle name="Normal 10 3 9 2 3 3" xfId="47290" xr:uid="{00000000-0005-0000-0000-000060110000}"/>
    <cellStyle name="Normal 10 3 9 2 4" xfId="3182" xr:uid="{00000000-0005-0000-0000-000061110000}"/>
    <cellStyle name="Normal 10 3 9 2 4 2" xfId="47291" xr:uid="{00000000-0005-0000-0000-000062110000}"/>
    <cellStyle name="Normal 10 3 9 2 5" xfId="3183" xr:uid="{00000000-0005-0000-0000-000063110000}"/>
    <cellStyle name="Normal 10 3 9 2 6" xfId="3184" xr:uid="{00000000-0005-0000-0000-000064110000}"/>
    <cellStyle name="Normal 10 3 9 2 7" xfId="3185" xr:uid="{00000000-0005-0000-0000-000065110000}"/>
    <cellStyle name="Normal 10 3 9 3" xfId="3186" xr:uid="{00000000-0005-0000-0000-000066110000}"/>
    <cellStyle name="Normal 10 3 9 3 2" xfId="3187" xr:uid="{00000000-0005-0000-0000-000067110000}"/>
    <cellStyle name="Normal 10 3 9 3 2 2" xfId="47292" xr:uid="{00000000-0005-0000-0000-000068110000}"/>
    <cellStyle name="Normal 10 3 9 3 2 3" xfId="47293" xr:uid="{00000000-0005-0000-0000-000069110000}"/>
    <cellStyle name="Normal 10 3 9 3 3" xfId="3188" xr:uid="{00000000-0005-0000-0000-00006A110000}"/>
    <cellStyle name="Normal 10 3 9 3 3 2" xfId="47294" xr:uid="{00000000-0005-0000-0000-00006B110000}"/>
    <cellStyle name="Normal 10 3 9 3 4" xfId="3189" xr:uid="{00000000-0005-0000-0000-00006C110000}"/>
    <cellStyle name="Normal 10 3 9 3 5" xfId="3190" xr:uid="{00000000-0005-0000-0000-00006D110000}"/>
    <cellStyle name="Normal 10 3 9 3 6" xfId="3191" xr:uid="{00000000-0005-0000-0000-00006E110000}"/>
    <cellStyle name="Normal 10 3 9 4" xfId="3192" xr:uid="{00000000-0005-0000-0000-00006F110000}"/>
    <cellStyle name="Normal 10 3 9 4 2" xfId="47295" xr:uid="{00000000-0005-0000-0000-000070110000}"/>
    <cellStyle name="Normal 10 3 9 4 3" xfId="47296" xr:uid="{00000000-0005-0000-0000-000071110000}"/>
    <cellStyle name="Normal 10 3 9 5" xfId="3193" xr:uid="{00000000-0005-0000-0000-000072110000}"/>
    <cellStyle name="Normal 10 3 9 5 2" xfId="47297" xr:uid="{00000000-0005-0000-0000-000073110000}"/>
    <cellStyle name="Normal 10 3 9 6" xfId="3194" xr:uid="{00000000-0005-0000-0000-000074110000}"/>
    <cellStyle name="Normal 10 3 9 7" xfId="3195" xr:uid="{00000000-0005-0000-0000-000075110000}"/>
    <cellStyle name="Normal 10 3 9 8" xfId="3196" xr:uid="{00000000-0005-0000-0000-000076110000}"/>
    <cellStyle name="Normal 10 4" xfId="3197" xr:uid="{00000000-0005-0000-0000-000077110000}"/>
    <cellStyle name="Normal 10 4 10" xfId="3198" xr:uid="{00000000-0005-0000-0000-000078110000}"/>
    <cellStyle name="Normal 10 4 11" xfId="3199" xr:uid="{00000000-0005-0000-0000-000079110000}"/>
    <cellStyle name="Normal 10 4 12" xfId="3200" xr:uid="{00000000-0005-0000-0000-00007A110000}"/>
    <cellStyle name="Normal 10 4 13" xfId="3201" xr:uid="{00000000-0005-0000-0000-00007B110000}"/>
    <cellStyle name="Normal 10 4 14" xfId="3202" xr:uid="{00000000-0005-0000-0000-00007C110000}"/>
    <cellStyle name="Normal 10 4 15" xfId="3203" xr:uid="{00000000-0005-0000-0000-00007D110000}"/>
    <cellStyle name="Normal 10 4 16" xfId="3204" xr:uid="{00000000-0005-0000-0000-00007E110000}"/>
    <cellStyle name="Normal 10 4 2" xfId="3205" xr:uid="{00000000-0005-0000-0000-00007F110000}"/>
    <cellStyle name="Normal 10 4 2 10" xfId="3206" xr:uid="{00000000-0005-0000-0000-000080110000}"/>
    <cellStyle name="Normal 10 4 2 11" xfId="3207" xr:uid="{00000000-0005-0000-0000-000081110000}"/>
    <cellStyle name="Normal 10 4 2 12" xfId="3208" xr:uid="{00000000-0005-0000-0000-000082110000}"/>
    <cellStyle name="Normal 10 4 2 13" xfId="3209" xr:uid="{00000000-0005-0000-0000-000083110000}"/>
    <cellStyle name="Normal 10 4 2 14" xfId="3210" xr:uid="{00000000-0005-0000-0000-000084110000}"/>
    <cellStyle name="Normal 10 4 2 2" xfId="3211" xr:uid="{00000000-0005-0000-0000-000085110000}"/>
    <cellStyle name="Normal 10 4 2 2 2" xfId="3212" xr:uid="{00000000-0005-0000-0000-000086110000}"/>
    <cellStyle name="Normal 10 4 2 2 2 2" xfId="3213" xr:uid="{00000000-0005-0000-0000-000087110000}"/>
    <cellStyle name="Normal 10 4 2 2 2 2 2" xfId="3214" xr:uid="{00000000-0005-0000-0000-000088110000}"/>
    <cellStyle name="Normal 10 4 2 2 2 2 2 2" xfId="47298" xr:uid="{00000000-0005-0000-0000-000089110000}"/>
    <cellStyle name="Normal 10 4 2 2 2 2 2 3" xfId="47299" xr:uid="{00000000-0005-0000-0000-00008A110000}"/>
    <cellStyle name="Normal 10 4 2 2 2 2 3" xfId="3215" xr:uid="{00000000-0005-0000-0000-00008B110000}"/>
    <cellStyle name="Normal 10 4 2 2 2 2 3 2" xfId="47300" xr:uid="{00000000-0005-0000-0000-00008C110000}"/>
    <cellStyle name="Normal 10 4 2 2 2 2 4" xfId="3216" xr:uid="{00000000-0005-0000-0000-00008D110000}"/>
    <cellStyle name="Normal 10 4 2 2 2 2 5" xfId="3217" xr:uid="{00000000-0005-0000-0000-00008E110000}"/>
    <cellStyle name="Normal 10 4 2 2 2 2 6" xfId="3218" xr:uid="{00000000-0005-0000-0000-00008F110000}"/>
    <cellStyle name="Normal 10 4 2 2 2 3" xfId="3219" xr:uid="{00000000-0005-0000-0000-000090110000}"/>
    <cellStyle name="Normal 10 4 2 2 2 3 2" xfId="47301" xr:uid="{00000000-0005-0000-0000-000091110000}"/>
    <cellStyle name="Normal 10 4 2 2 2 3 3" xfId="47302" xr:uid="{00000000-0005-0000-0000-000092110000}"/>
    <cellStyle name="Normal 10 4 2 2 2 4" xfId="3220" xr:uid="{00000000-0005-0000-0000-000093110000}"/>
    <cellStyle name="Normal 10 4 2 2 2 4 2" xfId="47303" xr:uid="{00000000-0005-0000-0000-000094110000}"/>
    <cellStyle name="Normal 10 4 2 2 2 5" xfId="3221" xr:uid="{00000000-0005-0000-0000-000095110000}"/>
    <cellStyle name="Normal 10 4 2 2 2 6" xfId="3222" xr:uid="{00000000-0005-0000-0000-000096110000}"/>
    <cellStyle name="Normal 10 4 2 2 2 7" xfId="3223" xr:uid="{00000000-0005-0000-0000-000097110000}"/>
    <cellStyle name="Normal 10 4 2 2 3" xfId="3224" xr:uid="{00000000-0005-0000-0000-000098110000}"/>
    <cellStyle name="Normal 10 4 2 2 3 2" xfId="3225" xr:uid="{00000000-0005-0000-0000-000099110000}"/>
    <cellStyle name="Normal 10 4 2 2 3 2 2" xfId="47304" xr:uid="{00000000-0005-0000-0000-00009A110000}"/>
    <cellStyle name="Normal 10 4 2 2 3 2 3" xfId="47305" xr:uid="{00000000-0005-0000-0000-00009B110000}"/>
    <cellStyle name="Normal 10 4 2 2 3 3" xfId="3226" xr:uid="{00000000-0005-0000-0000-00009C110000}"/>
    <cellStyle name="Normal 10 4 2 2 3 3 2" xfId="47306" xr:uid="{00000000-0005-0000-0000-00009D110000}"/>
    <cellStyle name="Normal 10 4 2 2 3 4" xfId="3227" xr:uid="{00000000-0005-0000-0000-00009E110000}"/>
    <cellStyle name="Normal 10 4 2 2 3 5" xfId="3228" xr:uid="{00000000-0005-0000-0000-00009F110000}"/>
    <cellStyle name="Normal 10 4 2 2 3 6" xfId="3229" xr:uid="{00000000-0005-0000-0000-0000A0110000}"/>
    <cellStyle name="Normal 10 4 2 2 4" xfId="3230" xr:uid="{00000000-0005-0000-0000-0000A1110000}"/>
    <cellStyle name="Normal 10 4 2 2 4 2" xfId="47307" xr:uid="{00000000-0005-0000-0000-0000A2110000}"/>
    <cellStyle name="Normal 10 4 2 2 4 3" xfId="47308" xr:uid="{00000000-0005-0000-0000-0000A3110000}"/>
    <cellStyle name="Normal 10 4 2 2 5" xfId="3231" xr:uid="{00000000-0005-0000-0000-0000A4110000}"/>
    <cellStyle name="Normal 10 4 2 2 5 2" xfId="47309" xr:uid="{00000000-0005-0000-0000-0000A5110000}"/>
    <cellStyle name="Normal 10 4 2 2 6" xfId="3232" xr:uid="{00000000-0005-0000-0000-0000A6110000}"/>
    <cellStyle name="Normal 10 4 2 2 7" xfId="3233" xr:uid="{00000000-0005-0000-0000-0000A7110000}"/>
    <cellStyle name="Normal 10 4 2 2 8" xfId="3234" xr:uid="{00000000-0005-0000-0000-0000A8110000}"/>
    <cellStyle name="Normal 10 4 2 2 9" xfId="3235" xr:uid="{00000000-0005-0000-0000-0000A9110000}"/>
    <cellStyle name="Normal 10 4 2 3" xfId="3236" xr:uid="{00000000-0005-0000-0000-0000AA110000}"/>
    <cellStyle name="Normal 10 4 2 3 2" xfId="3237" xr:uid="{00000000-0005-0000-0000-0000AB110000}"/>
    <cellStyle name="Normal 10 4 2 3 2 2" xfId="3238" xr:uid="{00000000-0005-0000-0000-0000AC110000}"/>
    <cellStyle name="Normal 10 4 2 3 2 2 2" xfId="3239" xr:uid="{00000000-0005-0000-0000-0000AD110000}"/>
    <cellStyle name="Normal 10 4 2 3 2 2 2 2" xfId="47310" xr:uid="{00000000-0005-0000-0000-0000AE110000}"/>
    <cellStyle name="Normal 10 4 2 3 2 2 2 3" xfId="47311" xr:uid="{00000000-0005-0000-0000-0000AF110000}"/>
    <cellStyle name="Normal 10 4 2 3 2 2 3" xfId="3240" xr:uid="{00000000-0005-0000-0000-0000B0110000}"/>
    <cellStyle name="Normal 10 4 2 3 2 2 3 2" xfId="47312" xr:uid="{00000000-0005-0000-0000-0000B1110000}"/>
    <cellStyle name="Normal 10 4 2 3 2 2 4" xfId="3241" xr:uid="{00000000-0005-0000-0000-0000B2110000}"/>
    <cellStyle name="Normal 10 4 2 3 2 2 5" xfId="3242" xr:uid="{00000000-0005-0000-0000-0000B3110000}"/>
    <cellStyle name="Normal 10 4 2 3 2 2 6" xfId="3243" xr:uid="{00000000-0005-0000-0000-0000B4110000}"/>
    <cellStyle name="Normal 10 4 2 3 2 3" xfId="3244" xr:uid="{00000000-0005-0000-0000-0000B5110000}"/>
    <cellStyle name="Normal 10 4 2 3 2 3 2" xfId="47313" xr:uid="{00000000-0005-0000-0000-0000B6110000}"/>
    <cellStyle name="Normal 10 4 2 3 2 3 3" xfId="47314" xr:uid="{00000000-0005-0000-0000-0000B7110000}"/>
    <cellStyle name="Normal 10 4 2 3 2 4" xfId="3245" xr:uid="{00000000-0005-0000-0000-0000B8110000}"/>
    <cellStyle name="Normal 10 4 2 3 2 4 2" xfId="47315" xr:uid="{00000000-0005-0000-0000-0000B9110000}"/>
    <cellStyle name="Normal 10 4 2 3 2 5" xfId="3246" xr:uid="{00000000-0005-0000-0000-0000BA110000}"/>
    <cellStyle name="Normal 10 4 2 3 2 6" xfId="3247" xr:uid="{00000000-0005-0000-0000-0000BB110000}"/>
    <cellStyle name="Normal 10 4 2 3 2 7" xfId="3248" xr:uid="{00000000-0005-0000-0000-0000BC110000}"/>
    <cellStyle name="Normal 10 4 2 3 3" xfId="3249" xr:uid="{00000000-0005-0000-0000-0000BD110000}"/>
    <cellStyle name="Normal 10 4 2 3 3 2" xfId="3250" xr:uid="{00000000-0005-0000-0000-0000BE110000}"/>
    <cellStyle name="Normal 10 4 2 3 3 2 2" xfId="47316" xr:uid="{00000000-0005-0000-0000-0000BF110000}"/>
    <cellStyle name="Normal 10 4 2 3 3 2 3" xfId="47317" xr:uid="{00000000-0005-0000-0000-0000C0110000}"/>
    <cellStyle name="Normal 10 4 2 3 3 3" xfId="3251" xr:uid="{00000000-0005-0000-0000-0000C1110000}"/>
    <cellStyle name="Normal 10 4 2 3 3 3 2" xfId="47318" xr:uid="{00000000-0005-0000-0000-0000C2110000}"/>
    <cellStyle name="Normal 10 4 2 3 3 4" xfId="3252" xr:uid="{00000000-0005-0000-0000-0000C3110000}"/>
    <cellStyle name="Normal 10 4 2 3 3 5" xfId="3253" xr:uid="{00000000-0005-0000-0000-0000C4110000}"/>
    <cellStyle name="Normal 10 4 2 3 3 6" xfId="3254" xr:uid="{00000000-0005-0000-0000-0000C5110000}"/>
    <cellStyle name="Normal 10 4 2 3 4" xfId="3255" xr:uid="{00000000-0005-0000-0000-0000C6110000}"/>
    <cellStyle name="Normal 10 4 2 3 4 2" xfId="47319" xr:uid="{00000000-0005-0000-0000-0000C7110000}"/>
    <cellStyle name="Normal 10 4 2 3 4 3" xfId="47320" xr:uid="{00000000-0005-0000-0000-0000C8110000}"/>
    <cellStyle name="Normal 10 4 2 3 5" xfId="3256" xr:uid="{00000000-0005-0000-0000-0000C9110000}"/>
    <cellStyle name="Normal 10 4 2 3 5 2" xfId="47321" xr:uid="{00000000-0005-0000-0000-0000CA110000}"/>
    <cellStyle name="Normal 10 4 2 3 6" xfId="3257" xr:uid="{00000000-0005-0000-0000-0000CB110000}"/>
    <cellStyle name="Normal 10 4 2 3 7" xfId="3258" xr:uid="{00000000-0005-0000-0000-0000CC110000}"/>
    <cellStyle name="Normal 10 4 2 3 8" xfId="3259" xr:uid="{00000000-0005-0000-0000-0000CD110000}"/>
    <cellStyle name="Normal 10 4 2 4" xfId="3260" xr:uid="{00000000-0005-0000-0000-0000CE110000}"/>
    <cellStyle name="Normal 10 4 2 4 2" xfId="3261" xr:uid="{00000000-0005-0000-0000-0000CF110000}"/>
    <cellStyle name="Normal 10 4 2 4 2 2" xfId="3262" xr:uid="{00000000-0005-0000-0000-0000D0110000}"/>
    <cellStyle name="Normal 10 4 2 4 2 2 2" xfId="47322" xr:uid="{00000000-0005-0000-0000-0000D1110000}"/>
    <cellStyle name="Normal 10 4 2 4 2 2 3" xfId="47323" xr:uid="{00000000-0005-0000-0000-0000D2110000}"/>
    <cellStyle name="Normal 10 4 2 4 2 3" xfId="3263" xr:uid="{00000000-0005-0000-0000-0000D3110000}"/>
    <cellStyle name="Normal 10 4 2 4 2 3 2" xfId="47324" xr:uid="{00000000-0005-0000-0000-0000D4110000}"/>
    <cellStyle name="Normal 10 4 2 4 2 4" xfId="3264" xr:uid="{00000000-0005-0000-0000-0000D5110000}"/>
    <cellStyle name="Normal 10 4 2 4 2 5" xfId="3265" xr:uid="{00000000-0005-0000-0000-0000D6110000}"/>
    <cellStyle name="Normal 10 4 2 4 2 6" xfId="3266" xr:uid="{00000000-0005-0000-0000-0000D7110000}"/>
    <cellStyle name="Normal 10 4 2 4 3" xfId="3267" xr:uid="{00000000-0005-0000-0000-0000D8110000}"/>
    <cellStyle name="Normal 10 4 2 4 3 2" xfId="47325" xr:uid="{00000000-0005-0000-0000-0000D9110000}"/>
    <cellStyle name="Normal 10 4 2 4 3 3" xfId="47326" xr:uid="{00000000-0005-0000-0000-0000DA110000}"/>
    <cellStyle name="Normal 10 4 2 4 4" xfId="3268" xr:uid="{00000000-0005-0000-0000-0000DB110000}"/>
    <cellStyle name="Normal 10 4 2 4 4 2" xfId="47327" xr:uid="{00000000-0005-0000-0000-0000DC110000}"/>
    <cellStyle name="Normal 10 4 2 4 5" xfId="3269" xr:uid="{00000000-0005-0000-0000-0000DD110000}"/>
    <cellStyle name="Normal 10 4 2 4 6" xfId="3270" xr:uid="{00000000-0005-0000-0000-0000DE110000}"/>
    <cellStyle name="Normal 10 4 2 4 7" xfId="3271" xr:uid="{00000000-0005-0000-0000-0000DF110000}"/>
    <cellStyle name="Normal 10 4 2 5" xfId="3272" xr:uid="{00000000-0005-0000-0000-0000E0110000}"/>
    <cellStyle name="Normal 10 4 2 5 2" xfId="3273" xr:uid="{00000000-0005-0000-0000-0000E1110000}"/>
    <cellStyle name="Normal 10 4 2 5 2 2" xfId="47328" xr:uid="{00000000-0005-0000-0000-0000E2110000}"/>
    <cellStyle name="Normal 10 4 2 5 2 3" xfId="47329" xr:uid="{00000000-0005-0000-0000-0000E3110000}"/>
    <cellStyle name="Normal 10 4 2 5 3" xfId="3274" xr:uid="{00000000-0005-0000-0000-0000E4110000}"/>
    <cellStyle name="Normal 10 4 2 5 3 2" xfId="47330" xr:uid="{00000000-0005-0000-0000-0000E5110000}"/>
    <cellStyle name="Normal 10 4 2 5 4" xfId="3275" xr:uid="{00000000-0005-0000-0000-0000E6110000}"/>
    <cellStyle name="Normal 10 4 2 5 5" xfId="3276" xr:uid="{00000000-0005-0000-0000-0000E7110000}"/>
    <cellStyle name="Normal 10 4 2 5 6" xfId="3277" xr:uid="{00000000-0005-0000-0000-0000E8110000}"/>
    <cellStyle name="Normal 10 4 2 6" xfId="3278" xr:uid="{00000000-0005-0000-0000-0000E9110000}"/>
    <cellStyle name="Normal 10 4 2 6 2" xfId="47331" xr:uid="{00000000-0005-0000-0000-0000EA110000}"/>
    <cellStyle name="Normal 10 4 2 6 3" xfId="47332" xr:uid="{00000000-0005-0000-0000-0000EB110000}"/>
    <cellStyle name="Normal 10 4 2 7" xfId="3279" xr:uid="{00000000-0005-0000-0000-0000EC110000}"/>
    <cellStyle name="Normal 10 4 2 7 2" xfId="47333" xr:uid="{00000000-0005-0000-0000-0000ED110000}"/>
    <cellStyle name="Normal 10 4 2 8" xfId="3280" xr:uid="{00000000-0005-0000-0000-0000EE110000}"/>
    <cellStyle name="Normal 10 4 2 8 2" xfId="47334" xr:uid="{00000000-0005-0000-0000-0000EF110000}"/>
    <cellStyle name="Normal 10 4 2 9" xfId="3281" xr:uid="{00000000-0005-0000-0000-0000F0110000}"/>
    <cellStyle name="Normal 10 4 3" xfId="3282" xr:uid="{00000000-0005-0000-0000-0000F1110000}"/>
    <cellStyle name="Normal 10 4 3 2" xfId="3283" xr:uid="{00000000-0005-0000-0000-0000F2110000}"/>
    <cellStyle name="Normal 10 4 3 2 2" xfId="3284" xr:uid="{00000000-0005-0000-0000-0000F3110000}"/>
    <cellStyle name="Normal 10 4 3 2 2 2" xfId="3285" xr:uid="{00000000-0005-0000-0000-0000F4110000}"/>
    <cellStyle name="Normal 10 4 3 2 2 2 2" xfId="47335" xr:uid="{00000000-0005-0000-0000-0000F5110000}"/>
    <cellStyle name="Normal 10 4 3 2 2 2 3" xfId="47336" xr:uid="{00000000-0005-0000-0000-0000F6110000}"/>
    <cellStyle name="Normal 10 4 3 2 2 3" xfId="3286" xr:uid="{00000000-0005-0000-0000-0000F7110000}"/>
    <cellStyle name="Normal 10 4 3 2 2 3 2" xfId="47337" xr:uid="{00000000-0005-0000-0000-0000F8110000}"/>
    <cellStyle name="Normal 10 4 3 2 2 4" xfId="3287" xr:uid="{00000000-0005-0000-0000-0000F9110000}"/>
    <cellStyle name="Normal 10 4 3 2 2 5" xfId="3288" xr:uid="{00000000-0005-0000-0000-0000FA110000}"/>
    <cellStyle name="Normal 10 4 3 2 2 6" xfId="3289" xr:uid="{00000000-0005-0000-0000-0000FB110000}"/>
    <cellStyle name="Normal 10 4 3 2 3" xfId="3290" xr:uid="{00000000-0005-0000-0000-0000FC110000}"/>
    <cellStyle name="Normal 10 4 3 2 3 2" xfId="47338" xr:uid="{00000000-0005-0000-0000-0000FD110000}"/>
    <cellStyle name="Normal 10 4 3 2 3 3" xfId="47339" xr:uid="{00000000-0005-0000-0000-0000FE110000}"/>
    <cellStyle name="Normal 10 4 3 2 4" xfId="3291" xr:uid="{00000000-0005-0000-0000-0000FF110000}"/>
    <cellStyle name="Normal 10 4 3 2 4 2" xfId="47340" xr:uid="{00000000-0005-0000-0000-000000120000}"/>
    <cellStyle name="Normal 10 4 3 2 5" xfId="3292" xr:uid="{00000000-0005-0000-0000-000001120000}"/>
    <cellStyle name="Normal 10 4 3 2 6" xfId="3293" xr:uid="{00000000-0005-0000-0000-000002120000}"/>
    <cellStyle name="Normal 10 4 3 2 7" xfId="3294" xr:uid="{00000000-0005-0000-0000-000003120000}"/>
    <cellStyle name="Normal 10 4 3 3" xfId="3295" xr:uid="{00000000-0005-0000-0000-000004120000}"/>
    <cellStyle name="Normal 10 4 3 3 2" xfId="3296" xr:uid="{00000000-0005-0000-0000-000005120000}"/>
    <cellStyle name="Normal 10 4 3 3 2 2" xfId="47341" xr:uid="{00000000-0005-0000-0000-000006120000}"/>
    <cellStyle name="Normal 10 4 3 3 2 3" xfId="47342" xr:uid="{00000000-0005-0000-0000-000007120000}"/>
    <cellStyle name="Normal 10 4 3 3 3" xfId="3297" xr:uid="{00000000-0005-0000-0000-000008120000}"/>
    <cellStyle name="Normal 10 4 3 3 3 2" xfId="47343" xr:uid="{00000000-0005-0000-0000-000009120000}"/>
    <cellStyle name="Normal 10 4 3 3 4" xfId="3298" xr:uid="{00000000-0005-0000-0000-00000A120000}"/>
    <cellStyle name="Normal 10 4 3 3 5" xfId="3299" xr:uid="{00000000-0005-0000-0000-00000B120000}"/>
    <cellStyle name="Normal 10 4 3 3 6" xfId="3300" xr:uid="{00000000-0005-0000-0000-00000C120000}"/>
    <cellStyle name="Normal 10 4 3 4" xfId="3301" xr:uid="{00000000-0005-0000-0000-00000D120000}"/>
    <cellStyle name="Normal 10 4 3 4 2" xfId="47344" xr:uid="{00000000-0005-0000-0000-00000E120000}"/>
    <cellStyle name="Normal 10 4 3 4 3" xfId="47345" xr:uid="{00000000-0005-0000-0000-00000F120000}"/>
    <cellStyle name="Normal 10 4 3 5" xfId="3302" xr:uid="{00000000-0005-0000-0000-000010120000}"/>
    <cellStyle name="Normal 10 4 3 5 2" xfId="47346" xr:uid="{00000000-0005-0000-0000-000011120000}"/>
    <cellStyle name="Normal 10 4 3 6" xfId="3303" xr:uid="{00000000-0005-0000-0000-000012120000}"/>
    <cellStyle name="Normal 10 4 3 7" xfId="3304" xr:uid="{00000000-0005-0000-0000-000013120000}"/>
    <cellStyle name="Normal 10 4 3 8" xfId="3305" xr:uid="{00000000-0005-0000-0000-000014120000}"/>
    <cellStyle name="Normal 10 4 3 9" xfId="3306" xr:uid="{00000000-0005-0000-0000-000015120000}"/>
    <cellStyle name="Normal 10 4 4" xfId="3307" xr:uid="{00000000-0005-0000-0000-000016120000}"/>
    <cellStyle name="Normal 10 4 4 2" xfId="3308" xr:uid="{00000000-0005-0000-0000-000017120000}"/>
    <cellStyle name="Normal 10 4 4 2 2" xfId="3309" xr:uid="{00000000-0005-0000-0000-000018120000}"/>
    <cellStyle name="Normal 10 4 4 2 2 2" xfId="3310" xr:uid="{00000000-0005-0000-0000-000019120000}"/>
    <cellStyle name="Normal 10 4 4 2 2 2 2" xfId="47347" xr:uid="{00000000-0005-0000-0000-00001A120000}"/>
    <cellStyle name="Normal 10 4 4 2 2 2 3" xfId="47348" xr:uid="{00000000-0005-0000-0000-00001B120000}"/>
    <cellStyle name="Normal 10 4 4 2 2 3" xfId="3311" xr:uid="{00000000-0005-0000-0000-00001C120000}"/>
    <cellStyle name="Normal 10 4 4 2 2 3 2" xfId="47349" xr:uid="{00000000-0005-0000-0000-00001D120000}"/>
    <cellStyle name="Normal 10 4 4 2 2 4" xfId="3312" xr:uid="{00000000-0005-0000-0000-00001E120000}"/>
    <cellStyle name="Normal 10 4 4 2 2 5" xfId="3313" xr:uid="{00000000-0005-0000-0000-00001F120000}"/>
    <cellStyle name="Normal 10 4 4 2 2 6" xfId="3314" xr:uid="{00000000-0005-0000-0000-000020120000}"/>
    <cellStyle name="Normal 10 4 4 2 3" xfId="3315" xr:uid="{00000000-0005-0000-0000-000021120000}"/>
    <cellStyle name="Normal 10 4 4 2 3 2" xfId="47350" xr:uid="{00000000-0005-0000-0000-000022120000}"/>
    <cellStyle name="Normal 10 4 4 2 3 3" xfId="47351" xr:uid="{00000000-0005-0000-0000-000023120000}"/>
    <cellStyle name="Normal 10 4 4 2 4" xfId="3316" xr:uid="{00000000-0005-0000-0000-000024120000}"/>
    <cellStyle name="Normal 10 4 4 2 4 2" xfId="47352" xr:uid="{00000000-0005-0000-0000-000025120000}"/>
    <cellStyle name="Normal 10 4 4 2 5" xfId="3317" xr:uid="{00000000-0005-0000-0000-000026120000}"/>
    <cellStyle name="Normal 10 4 4 2 6" xfId="3318" xr:uid="{00000000-0005-0000-0000-000027120000}"/>
    <cellStyle name="Normal 10 4 4 2 7" xfId="3319" xr:uid="{00000000-0005-0000-0000-000028120000}"/>
    <cellStyle name="Normal 10 4 4 3" xfId="3320" xr:uid="{00000000-0005-0000-0000-000029120000}"/>
    <cellStyle name="Normal 10 4 4 3 2" xfId="3321" xr:uid="{00000000-0005-0000-0000-00002A120000}"/>
    <cellStyle name="Normal 10 4 4 3 2 2" xfId="47353" xr:uid="{00000000-0005-0000-0000-00002B120000}"/>
    <cellStyle name="Normal 10 4 4 3 2 3" xfId="47354" xr:uid="{00000000-0005-0000-0000-00002C120000}"/>
    <cellStyle name="Normal 10 4 4 3 3" xfId="3322" xr:uid="{00000000-0005-0000-0000-00002D120000}"/>
    <cellStyle name="Normal 10 4 4 3 3 2" xfId="47355" xr:uid="{00000000-0005-0000-0000-00002E120000}"/>
    <cellStyle name="Normal 10 4 4 3 4" xfId="3323" xr:uid="{00000000-0005-0000-0000-00002F120000}"/>
    <cellStyle name="Normal 10 4 4 3 5" xfId="3324" xr:uid="{00000000-0005-0000-0000-000030120000}"/>
    <cellStyle name="Normal 10 4 4 3 6" xfId="3325" xr:uid="{00000000-0005-0000-0000-000031120000}"/>
    <cellStyle name="Normal 10 4 4 4" xfId="3326" xr:uid="{00000000-0005-0000-0000-000032120000}"/>
    <cellStyle name="Normal 10 4 4 4 2" xfId="47356" xr:uid="{00000000-0005-0000-0000-000033120000}"/>
    <cellStyle name="Normal 10 4 4 4 3" xfId="47357" xr:uid="{00000000-0005-0000-0000-000034120000}"/>
    <cellStyle name="Normal 10 4 4 5" xfId="3327" xr:uid="{00000000-0005-0000-0000-000035120000}"/>
    <cellStyle name="Normal 10 4 4 5 2" xfId="47358" xr:uid="{00000000-0005-0000-0000-000036120000}"/>
    <cellStyle name="Normal 10 4 4 6" xfId="3328" xr:uid="{00000000-0005-0000-0000-000037120000}"/>
    <cellStyle name="Normal 10 4 4 7" xfId="3329" xr:uid="{00000000-0005-0000-0000-000038120000}"/>
    <cellStyle name="Normal 10 4 4 8" xfId="3330" xr:uid="{00000000-0005-0000-0000-000039120000}"/>
    <cellStyle name="Normal 10 4 5" xfId="3331" xr:uid="{00000000-0005-0000-0000-00003A120000}"/>
    <cellStyle name="Normal 10 4 5 2" xfId="3332" xr:uid="{00000000-0005-0000-0000-00003B120000}"/>
    <cellStyle name="Normal 10 4 5 2 2" xfId="3333" xr:uid="{00000000-0005-0000-0000-00003C120000}"/>
    <cellStyle name="Normal 10 4 5 2 2 2" xfId="47359" xr:uid="{00000000-0005-0000-0000-00003D120000}"/>
    <cellStyle name="Normal 10 4 5 2 2 3" xfId="47360" xr:uid="{00000000-0005-0000-0000-00003E120000}"/>
    <cellStyle name="Normal 10 4 5 2 3" xfId="3334" xr:uid="{00000000-0005-0000-0000-00003F120000}"/>
    <cellStyle name="Normal 10 4 5 2 3 2" xfId="47361" xr:uid="{00000000-0005-0000-0000-000040120000}"/>
    <cellStyle name="Normal 10 4 5 2 4" xfId="3335" xr:uid="{00000000-0005-0000-0000-000041120000}"/>
    <cellStyle name="Normal 10 4 5 2 5" xfId="3336" xr:uid="{00000000-0005-0000-0000-000042120000}"/>
    <cellStyle name="Normal 10 4 5 2 6" xfId="3337" xr:uid="{00000000-0005-0000-0000-000043120000}"/>
    <cellStyle name="Normal 10 4 5 3" xfId="3338" xr:uid="{00000000-0005-0000-0000-000044120000}"/>
    <cellStyle name="Normal 10 4 5 3 2" xfId="47362" xr:uid="{00000000-0005-0000-0000-000045120000}"/>
    <cellStyle name="Normal 10 4 5 3 3" xfId="47363" xr:uid="{00000000-0005-0000-0000-000046120000}"/>
    <cellStyle name="Normal 10 4 5 4" xfId="3339" xr:uid="{00000000-0005-0000-0000-000047120000}"/>
    <cellStyle name="Normal 10 4 5 4 2" xfId="47364" xr:uid="{00000000-0005-0000-0000-000048120000}"/>
    <cellStyle name="Normal 10 4 5 5" xfId="3340" xr:uid="{00000000-0005-0000-0000-000049120000}"/>
    <cellStyle name="Normal 10 4 5 6" xfId="3341" xr:uid="{00000000-0005-0000-0000-00004A120000}"/>
    <cellStyle name="Normal 10 4 5 7" xfId="3342" xr:uid="{00000000-0005-0000-0000-00004B120000}"/>
    <cellStyle name="Normal 10 4 6" xfId="3343" xr:uid="{00000000-0005-0000-0000-00004C120000}"/>
    <cellStyle name="Normal 10 4 6 2" xfId="3344" xr:uid="{00000000-0005-0000-0000-00004D120000}"/>
    <cellStyle name="Normal 10 4 6 2 2" xfId="47365" xr:uid="{00000000-0005-0000-0000-00004E120000}"/>
    <cellStyle name="Normal 10 4 6 2 3" xfId="47366" xr:uid="{00000000-0005-0000-0000-00004F120000}"/>
    <cellStyle name="Normal 10 4 6 3" xfId="3345" xr:uid="{00000000-0005-0000-0000-000050120000}"/>
    <cellStyle name="Normal 10 4 6 3 2" xfId="47367" xr:uid="{00000000-0005-0000-0000-000051120000}"/>
    <cellStyle name="Normal 10 4 6 4" xfId="3346" xr:uid="{00000000-0005-0000-0000-000052120000}"/>
    <cellStyle name="Normal 10 4 6 5" xfId="3347" xr:uid="{00000000-0005-0000-0000-000053120000}"/>
    <cellStyle name="Normal 10 4 6 6" xfId="3348" xr:uid="{00000000-0005-0000-0000-000054120000}"/>
    <cellStyle name="Normal 10 4 7" xfId="3349" xr:uid="{00000000-0005-0000-0000-000055120000}"/>
    <cellStyle name="Normal 10 4 7 2" xfId="47368" xr:uid="{00000000-0005-0000-0000-000056120000}"/>
    <cellStyle name="Normal 10 4 7 3" xfId="47369" xr:uid="{00000000-0005-0000-0000-000057120000}"/>
    <cellStyle name="Normal 10 4 8" xfId="3350" xr:uid="{00000000-0005-0000-0000-000058120000}"/>
    <cellStyle name="Normal 10 4 8 2" xfId="47370" xr:uid="{00000000-0005-0000-0000-000059120000}"/>
    <cellStyle name="Normal 10 4 9" xfId="3351" xr:uid="{00000000-0005-0000-0000-00005A120000}"/>
    <cellStyle name="Normal 10 4 9 2" xfId="47371" xr:uid="{00000000-0005-0000-0000-00005B120000}"/>
    <cellStyle name="Normal 10 5" xfId="3352" xr:uid="{00000000-0005-0000-0000-00005C120000}"/>
    <cellStyle name="Normal 10 5 10" xfId="3353" xr:uid="{00000000-0005-0000-0000-00005D120000}"/>
    <cellStyle name="Normal 10 5 11" xfId="3354" xr:uid="{00000000-0005-0000-0000-00005E120000}"/>
    <cellStyle name="Normal 10 5 12" xfId="3355" xr:uid="{00000000-0005-0000-0000-00005F120000}"/>
    <cellStyle name="Normal 10 5 13" xfId="3356" xr:uid="{00000000-0005-0000-0000-000060120000}"/>
    <cellStyle name="Normal 10 5 14" xfId="3357" xr:uid="{00000000-0005-0000-0000-000061120000}"/>
    <cellStyle name="Normal 10 5 15" xfId="3358" xr:uid="{00000000-0005-0000-0000-000062120000}"/>
    <cellStyle name="Normal 10 5 2" xfId="3359" xr:uid="{00000000-0005-0000-0000-000063120000}"/>
    <cellStyle name="Normal 10 5 2 10" xfId="3360" xr:uid="{00000000-0005-0000-0000-000064120000}"/>
    <cellStyle name="Normal 10 5 2 11" xfId="3361" xr:uid="{00000000-0005-0000-0000-000065120000}"/>
    <cellStyle name="Normal 10 5 2 12" xfId="3362" xr:uid="{00000000-0005-0000-0000-000066120000}"/>
    <cellStyle name="Normal 10 5 2 13" xfId="3363" xr:uid="{00000000-0005-0000-0000-000067120000}"/>
    <cellStyle name="Normal 10 5 2 14" xfId="3364" xr:uid="{00000000-0005-0000-0000-000068120000}"/>
    <cellStyle name="Normal 10 5 2 2" xfId="3365" xr:uid="{00000000-0005-0000-0000-000069120000}"/>
    <cellStyle name="Normal 10 5 2 2 2" xfId="3366" xr:uid="{00000000-0005-0000-0000-00006A120000}"/>
    <cellStyle name="Normal 10 5 2 2 2 2" xfId="3367" xr:uid="{00000000-0005-0000-0000-00006B120000}"/>
    <cellStyle name="Normal 10 5 2 2 2 2 2" xfId="3368" xr:uid="{00000000-0005-0000-0000-00006C120000}"/>
    <cellStyle name="Normal 10 5 2 2 2 2 2 2" xfId="47372" xr:uid="{00000000-0005-0000-0000-00006D120000}"/>
    <cellStyle name="Normal 10 5 2 2 2 2 2 3" xfId="47373" xr:uid="{00000000-0005-0000-0000-00006E120000}"/>
    <cellStyle name="Normal 10 5 2 2 2 2 3" xfId="3369" xr:uid="{00000000-0005-0000-0000-00006F120000}"/>
    <cellStyle name="Normal 10 5 2 2 2 2 3 2" xfId="47374" xr:uid="{00000000-0005-0000-0000-000070120000}"/>
    <cellStyle name="Normal 10 5 2 2 2 2 4" xfId="3370" xr:uid="{00000000-0005-0000-0000-000071120000}"/>
    <cellStyle name="Normal 10 5 2 2 2 2 5" xfId="3371" xr:uid="{00000000-0005-0000-0000-000072120000}"/>
    <cellStyle name="Normal 10 5 2 2 2 2 6" xfId="3372" xr:uid="{00000000-0005-0000-0000-000073120000}"/>
    <cellStyle name="Normal 10 5 2 2 2 3" xfId="3373" xr:uid="{00000000-0005-0000-0000-000074120000}"/>
    <cellStyle name="Normal 10 5 2 2 2 3 2" xfId="47375" xr:uid="{00000000-0005-0000-0000-000075120000}"/>
    <cellStyle name="Normal 10 5 2 2 2 3 3" xfId="47376" xr:uid="{00000000-0005-0000-0000-000076120000}"/>
    <cellStyle name="Normal 10 5 2 2 2 4" xfId="3374" xr:uid="{00000000-0005-0000-0000-000077120000}"/>
    <cellStyle name="Normal 10 5 2 2 2 4 2" xfId="47377" xr:uid="{00000000-0005-0000-0000-000078120000}"/>
    <cellStyle name="Normal 10 5 2 2 2 5" xfId="3375" xr:uid="{00000000-0005-0000-0000-000079120000}"/>
    <cellStyle name="Normal 10 5 2 2 2 6" xfId="3376" xr:uid="{00000000-0005-0000-0000-00007A120000}"/>
    <cellStyle name="Normal 10 5 2 2 2 7" xfId="3377" xr:uid="{00000000-0005-0000-0000-00007B120000}"/>
    <cellStyle name="Normal 10 5 2 2 3" xfId="3378" xr:uid="{00000000-0005-0000-0000-00007C120000}"/>
    <cellStyle name="Normal 10 5 2 2 3 2" xfId="3379" xr:uid="{00000000-0005-0000-0000-00007D120000}"/>
    <cellStyle name="Normal 10 5 2 2 3 2 2" xfId="47378" xr:uid="{00000000-0005-0000-0000-00007E120000}"/>
    <cellStyle name="Normal 10 5 2 2 3 2 3" xfId="47379" xr:uid="{00000000-0005-0000-0000-00007F120000}"/>
    <cellStyle name="Normal 10 5 2 2 3 3" xfId="3380" xr:uid="{00000000-0005-0000-0000-000080120000}"/>
    <cellStyle name="Normal 10 5 2 2 3 3 2" xfId="47380" xr:uid="{00000000-0005-0000-0000-000081120000}"/>
    <cellStyle name="Normal 10 5 2 2 3 4" xfId="3381" xr:uid="{00000000-0005-0000-0000-000082120000}"/>
    <cellStyle name="Normal 10 5 2 2 3 5" xfId="3382" xr:uid="{00000000-0005-0000-0000-000083120000}"/>
    <cellStyle name="Normal 10 5 2 2 3 6" xfId="3383" xr:uid="{00000000-0005-0000-0000-000084120000}"/>
    <cellStyle name="Normal 10 5 2 2 4" xfId="3384" xr:uid="{00000000-0005-0000-0000-000085120000}"/>
    <cellStyle name="Normal 10 5 2 2 4 2" xfId="47381" xr:uid="{00000000-0005-0000-0000-000086120000}"/>
    <cellStyle name="Normal 10 5 2 2 4 3" xfId="47382" xr:uid="{00000000-0005-0000-0000-000087120000}"/>
    <cellStyle name="Normal 10 5 2 2 5" xfId="3385" xr:uid="{00000000-0005-0000-0000-000088120000}"/>
    <cellStyle name="Normal 10 5 2 2 5 2" xfId="47383" xr:uid="{00000000-0005-0000-0000-000089120000}"/>
    <cellStyle name="Normal 10 5 2 2 6" xfId="3386" xr:uid="{00000000-0005-0000-0000-00008A120000}"/>
    <cellStyle name="Normal 10 5 2 2 7" xfId="3387" xr:uid="{00000000-0005-0000-0000-00008B120000}"/>
    <cellStyle name="Normal 10 5 2 2 8" xfId="3388" xr:uid="{00000000-0005-0000-0000-00008C120000}"/>
    <cellStyle name="Normal 10 5 2 2 9" xfId="3389" xr:uid="{00000000-0005-0000-0000-00008D120000}"/>
    <cellStyle name="Normal 10 5 2 3" xfId="3390" xr:uid="{00000000-0005-0000-0000-00008E120000}"/>
    <cellStyle name="Normal 10 5 2 3 2" xfId="3391" xr:uid="{00000000-0005-0000-0000-00008F120000}"/>
    <cellStyle name="Normal 10 5 2 3 2 2" xfId="3392" xr:uid="{00000000-0005-0000-0000-000090120000}"/>
    <cellStyle name="Normal 10 5 2 3 2 2 2" xfId="3393" xr:uid="{00000000-0005-0000-0000-000091120000}"/>
    <cellStyle name="Normal 10 5 2 3 2 2 2 2" xfId="47384" xr:uid="{00000000-0005-0000-0000-000092120000}"/>
    <cellStyle name="Normal 10 5 2 3 2 2 2 3" xfId="47385" xr:uid="{00000000-0005-0000-0000-000093120000}"/>
    <cellStyle name="Normal 10 5 2 3 2 2 3" xfId="3394" xr:uid="{00000000-0005-0000-0000-000094120000}"/>
    <cellStyle name="Normal 10 5 2 3 2 2 3 2" xfId="47386" xr:uid="{00000000-0005-0000-0000-000095120000}"/>
    <cellStyle name="Normal 10 5 2 3 2 2 4" xfId="3395" xr:uid="{00000000-0005-0000-0000-000096120000}"/>
    <cellStyle name="Normal 10 5 2 3 2 2 5" xfId="3396" xr:uid="{00000000-0005-0000-0000-000097120000}"/>
    <cellStyle name="Normal 10 5 2 3 2 2 6" xfId="3397" xr:uid="{00000000-0005-0000-0000-000098120000}"/>
    <cellStyle name="Normal 10 5 2 3 2 3" xfId="3398" xr:uid="{00000000-0005-0000-0000-000099120000}"/>
    <cellStyle name="Normal 10 5 2 3 2 3 2" xfId="47387" xr:uid="{00000000-0005-0000-0000-00009A120000}"/>
    <cellStyle name="Normal 10 5 2 3 2 3 3" xfId="47388" xr:uid="{00000000-0005-0000-0000-00009B120000}"/>
    <cellStyle name="Normal 10 5 2 3 2 4" xfId="3399" xr:uid="{00000000-0005-0000-0000-00009C120000}"/>
    <cellStyle name="Normal 10 5 2 3 2 4 2" xfId="47389" xr:uid="{00000000-0005-0000-0000-00009D120000}"/>
    <cellStyle name="Normal 10 5 2 3 2 5" xfId="3400" xr:uid="{00000000-0005-0000-0000-00009E120000}"/>
    <cellStyle name="Normal 10 5 2 3 2 6" xfId="3401" xr:uid="{00000000-0005-0000-0000-00009F120000}"/>
    <cellStyle name="Normal 10 5 2 3 2 7" xfId="3402" xr:uid="{00000000-0005-0000-0000-0000A0120000}"/>
    <cellStyle name="Normal 10 5 2 3 3" xfId="3403" xr:uid="{00000000-0005-0000-0000-0000A1120000}"/>
    <cellStyle name="Normal 10 5 2 3 3 2" xfId="3404" xr:uid="{00000000-0005-0000-0000-0000A2120000}"/>
    <cellStyle name="Normal 10 5 2 3 3 2 2" xfId="47390" xr:uid="{00000000-0005-0000-0000-0000A3120000}"/>
    <cellStyle name="Normal 10 5 2 3 3 2 3" xfId="47391" xr:uid="{00000000-0005-0000-0000-0000A4120000}"/>
    <cellStyle name="Normal 10 5 2 3 3 3" xfId="3405" xr:uid="{00000000-0005-0000-0000-0000A5120000}"/>
    <cellStyle name="Normal 10 5 2 3 3 3 2" xfId="47392" xr:uid="{00000000-0005-0000-0000-0000A6120000}"/>
    <cellStyle name="Normal 10 5 2 3 3 4" xfId="3406" xr:uid="{00000000-0005-0000-0000-0000A7120000}"/>
    <cellStyle name="Normal 10 5 2 3 3 5" xfId="3407" xr:uid="{00000000-0005-0000-0000-0000A8120000}"/>
    <cellStyle name="Normal 10 5 2 3 3 6" xfId="3408" xr:uid="{00000000-0005-0000-0000-0000A9120000}"/>
    <cellStyle name="Normal 10 5 2 3 4" xfId="3409" xr:uid="{00000000-0005-0000-0000-0000AA120000}"/>
    <cellStyle name="Normal 10 5 2 3 4 2" xfId="47393" xr:uid="{00000000-0005-0000-0000-0000AB120000}"/>
    <cellStyle name="Normal 10 5 2 3 4 3" xfId="47394" xr:uid="{00000000-0005-0000-0000-0000AC120000}"/>
    <cellStyle name="Normal 10 5 2 3 5" xfId="3410" xr:uid="{00000000-0005-0000-0000-0000AD120000}"/>
    <cellStyle name="Normal 10 5 2 3 5 2" xfId="47395" xr:uid="{00000000-0005-0000-0000-0000AE120000}"/>
    <cellStyle name="Normal 10 5 2 3 6" xfId="3411" xr:uid="{00000000-0005-0000-0000-0000AF120000}"/>
    <cellStyle name="Normal 10 5 2 3 7" xfId="3412" xr:uid="{00000000-0005-0000-0000-0000B0120000}"/>
    <cellStyle name="Normal 10 5 2 3 8" xfId="3413" xr:uid="{00000000-0005-0000-0000-0000B1120000}"/>
    <cellStyle name="Normal 10 5 2 4" xfId="3414" xr:uid="{00000000-0005-0000-0000-0000B2120000}"/>
    <cellStyle name="Normal 10 5 2 4 2" xfId="3415" xr:uid="{00000000-0005-0000-0000-0000B3120000}"/>
    <cellStyle name="Normal 10 5 2 4 2 2" xfId="3416" xr:uid="{00000000-0005-0000-0000-0000B4120000}"/>
    <cellStyle name="Normal 10 5 2 4 2 2 2" xfId="47396" xr:uid="{00000000-0005-0000-0000-0000B5120000}"/>
    <cellStyle name="Normal 10 5 2 4 2 2 3" xfId="47397" xr:uid="{00000000-0005-0000-0000-0000B6120000}"/>
    <cellStyle name="Normal 10 5 2 4 2 3" xfId="3417" xr:uid="{00000000-0005-0000-0000-0000B7120000}"/>
    <cellStyle name="Normal 10 5 2 4 2 3 2" xfId="47398" xr:uid="{00000000-0005-0000-0000-0000B8120000}"/>
    <cellStyle name="Normal 10 5 2 4 2 4" xfId="3418" xr:uid="{00000000-0005-0000-0000-0000B9120000}"/>
    <cellStyle name="Normal 10 5 2 4 2 5" xfId="3419" xr:uid="{00000000-0005-0000-0000-0000BA120000}"/>
    <cellStyle name="Normal 10 5 2 4 2 6" xfId="3420" xr:uid="{00000000-0005-0000-0000-0000BB120000}"/>
    <cellStyle name="Normal 10 5 2 4 3" xfId="3421" xr:uid="{00000000-0005-0000-0000-0000BC120000}"/>
    <cellStyle name="Normal 10 5 2 4 3 2" xfId="47399" xr:uid="{00000000-0005-0000-0000-0000BD120000}"/>
    <cellStyle name="Normal 10 5 2 4 3 3" xfId="47400" xr:uid="{00000000-0005-0000-0000-0000BE120000}"/>
    <cellStyle name="Normal 10 5 2 4 4" xfId="3422" xr:uid="{00000000-0005-0000-0000-0000BF120000}"/>
    <cellStyle name="Normal 10 5 2 4 4 2" xfId="47401" xr:uid="{00000000-0005-0000-0000-0000C0120000}"/>
    <cellStyle name="Normal 10 5 2 4 5" xfId="3423" xr:uid="{00000000-0005-0000-0000-0000C1120000}"/>
    <cellStyle name="Normal 10 5 2 4 6" xfId="3424" xr:uid="{00000000-0005-0000-0000-0000C2120000}"/>
    <cellStyle name="Normal 10 5 2 4 7" xfId="3425" xr:uid="{00000000-0005-0000-0000-0000C3120000}"/>
    <cellStyle name="Normal 10 5 2 5" xfId="3426" xr:uid="{00000000-0005-0000-0000-0000C4120000}"/>
    <cellStyle name="Normal 10 5 2 5 2" xfId="3427" xr:uid="{00000000-0005-0000-0000-0000C5120000}"/>
    <cellStyle name="Normal 10 5 2 5 2 2" xfId="47402" xr:uid="{00000000-0005-0000-0000-0000C6120000}"/>
    <cellStyle name="Normal 10 5 2 5 2 3" xfId="47403" xr:uid="{00000000-0005-0000-0000-0000C7120000}"/>
    <cellStyle name="Normal 10 5 2 5 3" xfId="3428" xr:uid="{00000000-0005-0000-0000-0000C8120000}"/>
    <cellStyle name="Normal 10 5 2 5 3 2" xfId="47404" xr:uid="{00000000-0005-0000-0000-0000C9120000}"/>
    <cellStyle name="Normal 10 5 2 5 4" xfId="3429" xr:uid="{00000000-0005-0000-0000-0000CA120000}"/>
    <cellStyle name="Normal 10 5 2 5 5" xfId="3430" xr:uid="{00000000-0005-0000-0000-0000CB120000}"/>
    <cellStyle name="Normal 10 5 2 5 6" xfId="3431" xr:uid="{00000000-0005-0000-0000-0000CC120000}"/>
    <cellStyle name="Normal 10 5 2 6" xfId="3432" xr:uid="{00000000-0005-0000-0000-0000CD120000}"/>
    <cellStyle name="Normal 10 5 2 6 2" xfId="47405" xr:uid="{00000000-0005-0000-0000-0000CE120000}"/>
    <cellStyle name="Normal 10 5 2 6 3" xfId="47406" xr:uid="{00000000-0005-0000-0000-0000CF120000}"/>
    <cellStyle name="Normal 10 5 2 7" xfId="3433" xr:uid="{00000000-0005-0000-0000-0000D0120000}"/>
    <cellStyle name="Normal 10 5 2 7 2" xfId="47407" xr:uid="{00000000-0005-0000-0000-0000D1120000}"/>
    <cellStyle name="Normal 10 5 2 8" xfId="3434" xr:uid="{00000000-0005-0000-0000-0000D2120000}"/>
    <cellStyle name="Normal 10 5 2 9" xfId="3435" xr:uid="{00000000-0005-0000-0000-0000D3120000}"/>
    <cellStyle name="Normal 10 5 3" xfId="3436" xr:uid="{00000000-0005-0000-0000-0000D4120000}"/>
    <cellStyle name="Normal 10 5 3 2" xfId="3437" xr:uid="{00000000-0005-0000-0000-0000D5120000}"/>
    <cellStyle name="Normal 10 5 3 2 2" xfId="3438" xr:uid="{00000000-0005-0000-0000-0000D6120000}"/>
    <cellStyle name="Normal 10 5 3 2 2 2" xfId="3439" xr:uid="{00000000-0005-0000-0000-0000D7120000}"/>
    <cellStyle name="Normal 10 5 3 2 2 2 2" xfId="47408" xr:uid="{00000000-0005-0000-0000-0000D8120000}"/>
    <cellStyle name="Normal 10 5 3 2 2 2 3" xfId="47409" xr:uid="{00000000-0005-0000-0000-0000D9120000}"/>
    <cellStyle name="Normal 10 5 3 2 2 3" xfId="3440" xr:uid="{00000000-0005-0000-0000-0000DA120000}"/>
    <cellStyle name="Normal 10 5 3 2 2 3 2" xfId="47410" xr:uid="{00000000-0005-0000-0000-0000DB120000}"/>
    <cellStyle name="Normal 10 5 3 2 2 4" xfId="3441" xr:uid="{00000000-0005-0000-0000-0000DC120000}"/>
    <cellStyle name="Normal 10 5 3 2 2 5" xfId="3442" xr:uid="{00000000-0005-0000-0000-0000DD120000}"/>
    <cellStyle name="Normal 10 5 3 2 2 6" xfId="3443" xr:uid="{00000000-0005-0000-0000-0000DE120000}"/>
    <cellStyle name="Normal 10 5 3 2 3" xfId="3444" xr:uid="{00000000-0005-0000-0000-0000DF120000}"/>
    <cellStyle name="Normal 10 5 3 2 3 2" xfId="47411" xr:uid="{00000000-0005-0000-0000-0000E0120000}"/>
    <cellStyle name="Normal 10 5 3 2 3 3" xfId="47412" xr:uid="{00000000-0005-0000-0000-0000E1120000}"/>
    <cellStyle name="Normal 10 5 3 2 4" xfId="3445" xr:uid="{00000000-0005-0000-0000-0000E2120000}"/>
    <cellStyle name="Normal 10 5 3 2 4 2" xfId="47413" xr:uid="{00000000-0005-0000-0000-0000E3120000}"/>
    <cellStyle name="Normal 10 5 3 2 5" xfId="3446" xr:uid="{00000000-0005-0000-0000-0000E4120000}"/>
    <cellStyle name="Normal 10 5 3 2 6" xfId="3447" xr:uid="{00000000-0005-0000-0000-0000E5120000}"/>
    <cellStyle name="Normal 10 5 3 2 7" xfId="3448" xr:uid="{00000000-0005-0000-0000-0000E6120000}"/>
    <cellStyle name="Normal 10 5 3 3" xfId="3449" xr:uid="{00000000-0005-0000-0000-0000E7120000}"/>
    <cellStyle name="Normal 10 5 3 3 2" xfId="3450" xr:uid="{00000000-0005-0000-0000-0000E8120000}"/>
    <cellStyle name="Normal 10 5 3 3 2 2" xfId="47414" xr:uid="{00000000-0005-0000-0000-0000E9120000}"/>
    <cellStyle name="Normal 10 5 3 3 2 3" xfId="47415" xr:uid="{00000000-0005-0000-0000-0000EA120000}"/>
    <cellStyle name="Normal 10 5 3 3 3" xfId="3451" xr:uid="{00000000-0005-0000-0000-0000EB120000}"/>
    <cellStyle name="Normal 10 5 3 3 3 2" xfId="47416" xr:uid="{00000000-0005-0000-0000-0000EC120000}"/>
    <cellStyle name="Normal 10 5 3 3 4" xfId="3452" xr:uid="{00000000-0005-0000-0000-0000ED120000}"/>
    <cellStyle name="Normal 10 5 3 3 5" xfId="3453" xr:uid="{00000000-0005-0000-0000-0000EE120000}"/>
    <cellStyle name="Normal 10 5 3 3 6" xfId="3454" xr:uid="{00000000-0005-0000-0000-0000EF120000}"/>
    <cellStyle name="Normal 10 5 3 4" xfId="3455" xr:uid="{00000000-0005-0000-0000-0000F0120000}"/>
    <cellStyle name="Normal 10 5 3 4 2" xfId="47417" xr:uid="{00000000-0005-0000-0000-0000F1120000}"/>
    <cellStyle name="Normal 10 5 3 4 3" xfId="47418" xr:uid="{00000000-0005-0000-0000-0000F2120000}"/>
    <cellStyle name="Normal 10 5 3 5" xfId="3456" xr:uid="{00000000-0005-0000-0000-0000F3120000}"/>
    <cellStyle name="Normal 10 5 3 5 2" xfId="47419" xr:uid="{00000000-0005-0000-0000-0000F4120000}"/>
    <cellStyle name="Normal 10 5 3 6" xfId="3457" xr:uid="{00000000-0005-0000-0000-0000F5120000}"/>
    <cellStyle name="Normal 10 5 3 7" xfId="3458" xr:uid="{00000000-0005-0000-0000-0000F6120000}"/>
    <cellStyle name="Normal 10 5 3 8" xfId="3459" xr:uid="{00000000-0005-0000-0000-0000F7120000}"/>
    <cellStyle name="Normal 10 5 3 9" xfId="3460" xr:uid="{00000000-0005-0000-0000-0000F8120000}"/>
    <cellStyle name="Normal 10 5 4" xfId="3461" xr:uid="{00000000-0005-0000-0000-0000F9120000}"/>
    <cellStyle name="Normal 10 5 4 2" xfId="3462" xr:uid="{00000000-0005-0000-0000-0000FA120000}"/>
    <cellStyle name="Normal 10 5 4 2 2" xfId="3463" xr:uid="{00000000-0005-0000-0000-0000FB120000}"/>
    <cellStyle name="Normal 10 5 4 2 2 2" xfId="3464" xr:uid="{00000000-0005-0000-0000-0000FC120000}"/>
    <cellStyle name="Normal 10 5 4 2 2 2 2" xfId="47420" xr:uid="{00000000-0005-0000-0000-0000FD120000}"/>
    <cellStyle name="Normal 10 5 4 2 2 2 3" xfId="47421" xr:uid="{00000000-0005-0000-0000-0000FE120000}"/>
    <cellStyle name="Normal 10 5 4 2 2 3" xfId="3465" xr:uid="{00000000-0005-0000-0000-0000FF120000}"/>
    <cellStyle name="Normal 10 5 4 2 2 3 2" xfId="47422" xr:uid="{00000000-0005-0000-0000-000000130000}"/>
    <cellStyle name="Normal 10 5 4 2 2 4" xfId="3466" xr:uid="{00000000-0005-0000-0000-000001130000}"/>
    <cellStyle name="Normal 10 5 4 2 2 5" xfId="3467" xr:uid="{00000000-0005-0000-0000-000002130000}"/>
    <cellStyle name="Normal 10 5 4 2 2 6" xfId="3468" xr:uid="{00000000-0005-0000-0000-000003130000}"/>
    <cellStyle name="Normal 10 5 4 2 3" xfId="3469" xr:uid="{00000000-0005-0000-0000-000004130000}"/>
    <cellStyle name="Normal 10 5 4 2 3 2" xfId="47423" xr:uid="{00000000-0005-0000-0000-000005130000}"/>
    <cellStyle name="Normal 10 5 4 2 3 3" xfId="47424" xr:uid="{00000000-0005-0000-0000-000006130000}"/>
    <cellStyle name="Normal 10 5 4 2 4" xfId="3470" xr:uid="{00000000-0005-0000-0000-000007130000}"/>
    <cellStyle name="Normal 10 5 4 2 4 2" xfId="47425" xr:uid="{00000000-0005-0000-0000-000008130000}"/>
    <cellStyle name="Normal 10 5 4 2 5" xfId="3471" xr:uid="{00000000-0005-0000-0000-000009130000}"/>
    <cellStyle name="Normal 10 5 4 2 6" xfId="3472" xr:uid="{00000000-0005-0000-0000-00000A130000}"/>
    <cellStyle name="Normal 10 5 4 2 7" xfId="3473" xr:uid="{00000000-0005-0000-0000-00000B130000}"/>
    <cellStyle name="Normal 10 5 4 3" xfId="3474" xr:uid="{00000000-0005-0000-0000-00000C130000}"/>
    <cellStyle name="Normal 10 5 4 3 2" xfId="3475" xr:uid="{00000000-0005-0000-0000-00000D130000}"/>
    <cellStyle name="Normal 10 5 4 3 2 2" xfId="47426" xr:uid="{00000000-0005-0000-0000-00000E130000}"/>
    <cellStyle name="Normal 10 5 4 3 2 3" xfId="47427" xr:uid="{00000000-0005-0000-0000-00000F130000}"/>
    <cellStyle name="Normal 10 5 4 3 3" xfId="3476" xr:uid="{00000000-0005-0000-0000-000010130000}"/>
    <cellStyle name="Normal 10 5 4 3 3 2" xfId="47428" xr:uid="{00000000-0005-0000-0000-000011130000}"/>
    <cellStyle name="Normal 10 5 4 3 4" xfId="3477" xr:uid="{00000000-0005-0000-0000-000012130000}"/>
    <cellStyle name="Normal 10 5 4 3 5" xfId="3478" xr:uid="{00000000-0005-0000-0000-000013130000}"/>
    <cellStyle name="Normal 10 5 4 3 6" xfId="3479" xr:uid="{00000000-0005-0000-0000-000014130000}"/>
    <cellStyle name="Normal 10 5 4 4" xfId="3480" xr:uid="{00000000-0005-0000-0000-000015130000}"/>
    <cellStyle name="Normal 10 5 4 4 2" xfId="47429" xr:uid="{00000000-0005-0000-0000-000016130000}"/>
    <cellStyle name="Normal 10 5 4 4 3" xfId="47430" xr:uid="{00000000-0005-0000-0000-000017130000}"/>
    <cellStyle name="Normal 10 5 4 5" xfId="3481" xr:uid="{00000000-0005-0000-0000-000018130000}"/>
    <cellStyle name="Normal 10 5 4 5 2" xfId="47431" xr:uid="{00000000-0005-0000-0000-000019130000}"/>
    <cellStyle name="Normal 10 5 4 6" xfId="3482" xr:uid="{00000000-0005-0000-0000-00001A130000}"/>
    <cellStyle name="Normal 10 5 4 7" xfId="3483" xr:uid="{00000000-0005-0000-0000-00001B130000}"/>
    <cellStyle name="Normal 10 5 4 8" xfId="3484" xr:uid="{00000000-0005-0000-0000-00001C130000}"/>
    <cellStyle name="Normal 10 5 5" xfId="3485" xr:uid="{00000000-0005-0000-0000-00001D130000}"/>
    <cellStyle name="Normal 10 5 5 2" xfId="3486" xr:uid="{00000000-0005-0000-0000-00001E130000}"/>
    <cellStyle name="Normal 10 5 5 2 2" xfId="3487" xr:uid="{00000000-0005-0000-0000-00001F130000}"/>
    <cellStyle name="Normal 10 5 5 2 2 2" xfId="47432" xr:uid="{00000000-0005-0000-0000-000020130000}"/>
    <cellStyle name="Normal 10 5 5 2 2 3" xfId="47433" xr:uid="{00000000-0005-0000-0000-000021130000}"/>
    <cellStyle name="Normal 10 5 5 2 3" xfId="3488" xr:uid="{00000000-0005-0000-0000-000022130000}"/>
    <cellStyle name="Normal 10 5 5 2 3 2" xfId="47434" xr:uid="{00000000-0005-0000-0000-000023130000}"/>
    <cellStyle name="Normal 10 5 5 2 4" xfId="3489" xr:uid="{00000000-0005-0000-0000-000024130000}"/>
    <cellStyle name="Normal 10 5 5 2 5" xfId="3490" xr:uid="{00000000-0005-0000-0000-000025130000}"/>
    <cellStyle name="Normal 10 5 5 2 6" xfId="3491" xr:uid="{00000000-0005-0000-0000-000026130000}"/>
    <cellStyle name="Normal 10 5 5 3" xfId="3492" xr:uid="{00000000-0005-0000-0000-000027130000}"/>
    <cellStyle name="Normal 10 5 5 3 2" xfId="47435" xr:uid="{00000000-0005-0000-0000-000028130000}"/>
    <cellStyle name="Normal 10 5 5 3 3" xfId="47436" xr:uid="{00000000-0005-0000-0000-000029130000}"/>
    <cellStyle name="Normal 10 5 5 4" xfId="3493" xr:uid="{00000000-0005-0000-0000-00002A130000}"/>
    <cellStyle name="Normal 10 5 5 4 2" xfId="47437" xr:uid="{00000000-0005-0000-0000-00002B130000}"/>
    <cellStyle name="Normal 10 5 5 5" xfId="3494" xr:uid="{00000000-0005-0000-0000-00002C130000}"/>
    <cellStyle name="Normal 10 5 5 6" xfId="3495" xr:uid="{00000000-0005-0000-0000-00002D130000}"/>
    <cellStyle name="Normal 10 5 5 7" xfId="3496" xr:uid="{00000000-0005-0000-0000-00002E130000}"/>
    <cellStyle name="Normal 10 5 6" xfId="3497" xr:uid="{00000000-0005-0000-0000-00002F130000}"/>
    <cellStyle name="Normal 10 5 6 2" xfId="3498" xr:uid="{00000000-0005-0000-0000-000030130000}"/>
    <cellStyle name="Normal 10 5 6 2 2" xfId="47438" xr:uid="{00000000-0005-0000-0000-000031130000}"/>
    <cellStyle name="Normal 10 5 6 2 3" xfId="47439" xr:uid="{00000000-0005-0000-0000-000032130000}"/>
    <cellStyle name="Normal 10 5 6 3" xfId="3499" xr:uid="{00000000-0005-0000-0000-000033130000}"/>
    <cellStyle name="Normal 10 5 6 3 2" xfId="47440" xr:uid="{00000000-0005-0000-0000-000034130000}"/>
    <cellStyle name="Normal 10 5 6 4" xfId="3500" xr:uid="{00000000-0005-0000-0000-000035130000}"/>
    <cellStyle name="Normal 10 5 6 5" xfId="3501" xr:uid="{00000000-0005-0000-0000-000036130000}"/>
    <cellStyle name="Normal 10 5 6 6" xfId="3502" xr:uid="{00000000-0005-0000-0000-000037130000}"/>
    <cellStyle name="Normal 10 5 7" xfId="3503" xr:uid="{00000000-0005-0000-0000-000038130000}"/>
    <cellStyle name="Normal 10 5 7 2" xfId="47441" xr:uid="{00000000-0005-0000-0000-000039130000}"/>
    <cellStyle name="Normal 10 5 7 3" xfId="47442" xr:uid="{00000000-0005-0000-0000-00003A130000}"/>
    <cellStyle name="Normal 10 5 8" xfId="3504" xr:uid="{00000000-0005-0000-0000-00003B130000}"/>
    <cellStyle name="Normal 10 5 8 2" xfId="47443" xr:uid="{00000000-0005-0000-0000-00003C130000}"/>
    <cellStyle name="Normal 10 5 9" xfId="3505" xr:uid="{00000000-0005-0000-0000-00003D130000}"/>
    <cellStyle name="Normal 10 5 9 2" xfId="47444" xr:uid="{00000000-0005-0000-0000-00003E130000}"/>
    <cellStyle name="Normal 10 6" xfId="3506" xr:uid="{00000000-0005-0000-0000-00003F130000}"/>
    <cellStyle name="Normal 10 6 10" xfId="3507" xr:uid="{00000000-0005-0000-0000-000040130000}"/>
    <cellStyle name="Normal 10 6 11" xfId="3508" xr:uid="{00000000-0005-0000-0000-000041130000}"/>
    <cellStyle name="Normal 10 6 12" xfId="3509" xr:uid="{00000000-0005-0000-0000-000042130000}"/>
    <cellStyle name="Normal 10 6 13" xfId="3510" xr:uid="{00000000-0005-0000-0000-000043130000}"/>
    <cellStyle name="Normal 10 6 14" xfId="3511" xr:uid="{00000000-0005-0000-0000-000044130000}"/>
    <cellStyle name="Normal 10 6 15" xfId="3512" xr:uid="{00000000-0005-0000-0000-000045130000}"/>
    <cellStyle name="Normal 10 6 2" xfId="3513" xr:uid="{00000000-0005-0000-0000-000046130000}"/>
    <cellStyle name="Normal 10 6 2 2" xfId="3514" xr:uid="{00000000-0005-0000-0000-000047130000}"/>
    <cellStyle name="Normal 10 6 2 2 2" xfId="3515" xr:uid="{00000000-0005-0000-0000-000048130000}"/>
    <cellStyle name="Normal 10 6 2 2 2 2" xfId="3516" xr:uid="{00000000-0005-0000-0000-000049130000}"/>
    <cellStyle name="Normal 10 6 2 2 2 2 2" xfId="47445" xr:uid="{00000000-0005-0000-0000-00004A130000}"/>
    <cellStyle name="Normal 10 6 2 2 2 2 3" xfId="47446" xr:uid="{00000000-0005-0000-0000-00004B130000}"/>
    <cellStyle name="Normal 10 6 2 2 2 3" xfId="3517" xr:uid="{00000000-0005-0000-0000-00004C130000}"/>
    <cellStyle name="Normal 10 6 2 2 2 3 2" xfId="47447" xr:uid="{00000000-0005-0000-0000-00004D130000}"/>
    <cellStyle name="Normal 10 6 2 2 2 4" xfId="3518" xr:uid="{00000000-0005-0000-0000-00004E130000}"/>
    <cellStyle name="Normal 10 6 2 2 2 5" xfId="3519" xr:uid="{00000000-0005-0000-0000-00004F130000}"/>
    <cellStyle name="Normal 10 6 2 2 2 6" xfId="3520" xr:uid="{00000000-0005-0000-0000-000050130000}"/>
    <cellStyle name="Normal 10 6 2 2 3" xfId="3521" xr:uid="{00000000-0005-0000-0000-000051130000}"/>
    <cellStyle name="Normal 10 6 2 2 3 2" xfId="47448" xr:uid="{00000000-0005-0000-0000-000052130000}"/>
    <cellStyle name="Normal 10 6 2 2 3 3" xfId="47449" xr:uid="{00000000-0005-0000-0000-000053130000}"/>
    <cellStyle name="Normal 10 6 2 2 4" xfId="3522" xr:uid="{00000000-0005-0000-0000-000054130000}"/>
    <cellStyle name="Normal 10 6 2 2 4 2" xfId="47450" xr:uid="{00000000-0005-0000-0000-000055130000}"/>
    <cellStyle name="Normal 10 6 2 2 5" xfId="3523" xr:uid="{00000000-0005-0000-0000-000056130000}"/>
    <cellStyle name="Normal 10 6 2 2 6" xfId="3524" xr:uid="{00000000-0005-0000-0000-000057130000}"/>
    <cellStyle name="Normal 10 6 2 2 7" xfId="3525" xr:uid="{00000000-0005-0000-0000-000058130000}"/>
    <cellStyle name="Normal 10 6 2 3" xfId="3526" xr:uid="{00000000-0005-0000-0000-000059130000}"/>
    <cellStyle name="Normal 10 6 2 3 2" xfId="3527" xr:uid="{00000000-0005-0000-0000-00005A130000}"/>
    <cellStyle name="Normal 10 6 2 3 2 2" xfId="47451" xr:uid="{00000000-0005-0000-0000-00005B130000}"/>
    <cellStyle name="Normal 10 6 2 3 2 3" xfId="47452" xr:uid="{00000000-0005-0000-0000-00005C130000}"/>
    <cellStyle name="Normal 10 6 2 3 3" xfId="3528" xr:uid="{00000000-0005-0000-0000-00005D130000}"/>
    <cellStyle name="Normal 10 6 2 3 3 2" xfId="47453" xr:uid="{00000000-0005-0000-0000-00005E130000}"/>
    <cellStyle name="Normal 10 6 2 3 4" xfId="3529" xr:uid="{00000000-0005-0000-0000-00005F130000}"/>
    <cellStyle name="Normal 10 6 2 3 5" xfId="3530" xr:uid="{00000000-0005-0000-0000-000060130000}"/>
    <cellStyle name="Normal 10 6 2 3 6" xfId="3531" xr:uid="{00000000-0005-0000-0000-000061130000}"/>
    <cellStyle name="Normal 10 6 2 4" xfId="3532" xr:uid="{00000000-0005-0000-0000-000062130000}"/>
    <cellStyle name="Normal 10 6 2 4 2" xfId="47454" xr:uid="{00000000-0005-0000-0000-000063130000}"/>
    <cellStyle name="Normal 10 6 2 4 3" xfId="47455" xr:uid="{00000000-0005-0000-0000-000064130000}"/>
    <cellStyle name="Normal 10 6 2 5" xfId="3533" xr:uid="{00000000-0005-0000-0000-000065130000}"/>
    <cellStyle name="Normal 10 6 2 5 2" xfId="47456" xr:uid="{00000000-0005-0000-0000-000066130000}"/>
    <cellStyle name="Normal 10 6 2 6" xfId="3534" xr:uid="{00000000-0005-0000-0000-000067130000}"/>
    <cellStyle name="Normal 10 6 2 7" xfId="3535" xr:uid="{00000000-0005-0000-0000-000068130000}"/>
    <cellStyle name="Normal 10 6 2 8" xfId="3536" xr:uid="{00000000-0005-0000-0000-000069130000}"/>
    <cellStyle name="Normal 10 6 2 9" xfId="3537" xr:uid="{00000000-0005-0000-0000-00006A130000}"/>
    <cellStyle name="Normal 10 6 3" xfId="3538" xr:uid="{00000000-0005-0000-0000-00006B130000}"/>
    <cellStyle name="Normal 10 6 3 2" xfId="3539" xr:uid="{00000000-0005-0000-0000-00006C130000}"/>
    <cellStyle name="Normal 10 6 3 2 2" xfId="3540" xr:uid="{00000000-0005-0000-0000-00006D130000}"/>
    <cellStyle name="Normal 10 6 3 2 2 2" xfId="3541" xr:uid="{00000000-0005-0000-0000-00006E130000}"/>
    <cellStyle name="Normal 10 6 3 2 2 2 2" xfId="47457" xr:uid="{00000000-0005-0000-0000-00006F130000}"/>
    <cellStyle name="Normal 10 6 3 2 2 2 3" xfId="47458" xr:uid="{00000000-0005-0000-0000-000070130000}"/>
    <cellStyle name="Normal 10 6 3 2 2 3" xfId="3542" xr:uid="{00000000-0005-0000-0000-000071130000}"/>
    <cellStyle name="Normal 10 6 3 2 2 3 2" xfId="47459" xr:uid="{00000000-0005-0000-0000-000072130000}"/>
    <cellStyle name="Normal 10 6 3 2 2 4" xfId="3543" xr:uid="{00000000-0005-0000-0000-000073130000}"/>
    <cellStyle name="Normal 10 6 3 2 2 5" xfId="3544" xr:uid="{00000000-0005-0000-0000-000074130000}"/>
    <cellStyle name="Normal 10 6 3 2 2 6" xfId="3545" xr:uid="{00000000-0005-0000-0000-000075130000}"/>
    <cellStyle name="Normal 10 6 3 2 3" xfId="3546" xr:uid="{00000000-0005-0000-0000-000076130000}"/>
    <cellStyle name="Normal 10 6 3 2 3 2" xfId="47460" xr:uid="{00000000-0005-0000-0000-000077130000}"/>
    <cellStyle name="Normal 10 6 3 2 3 3" xfId="47461" xr:uid="{00000000-0005-0000-0000-000078130000}"/>
    <cellStyle name="Normal 10 6 3 2 4" xfId="3547" xr:uid="{00000000-0005-0000-0000-000079130000}"/>
    <cellStyle name="Normal 10 6 3 2 4 2" xfId="47462" xr:uid="{00000000-0005-0000-0000-00007A130000}"/>
    <cellStyle name="Normal 10 6 3 2 5" xfId="3548" xr:uid="{00000000-0005-0000-0000-00007B130000}"/>
    <cellStyle name="Normal 10 6 3 2 6" xfId="3549" xr:uid="{00000000-0005-0000-0000-00007C130000}"/>
    <cellStyle name="Normal 10 6 3 2 7" xfId="3550" xr:uid="{00000000-0005-0000-0000-00007D130000}"/>
    <cellStyle name="Normal 10 6 3 3" xfId="3551" xr:uid="{00000000-0005-0000-0000-00007E130000}"/>
    <cellStyle name="Normal 10 6 3 3 2" xfId="3552" xr:uid="{00000000-0005-0000-0000-00007F130000}"/>
    <cellStyle name="Normal 10 6 3 3 2 2" xfId="47463" xr:uid="{00000000-0005-0000-0000-000080130000}"/>
    <cellStyle name="Normal 10 6 3 3 2 3" xfId="47464" xr:uid="{00000000-0005-0000-0000-000081130000}"/>
    <cellStyle name="Normal 10 6 3 3 3" xfId="3553" xr:uid="{00000000-0005-0000-0000-000082130000}"/>
    <cellStyle name="Normal 10 6 3 3 3 2" xfId="47465" xr:uid="{00000000-0005-0000-0000-000083130000}"/>
    <cellStyle name="Normal 10 6 3 3 4" xfId="3554" xr:uid="{00000000-0005-0000-0000-000084130000}"/>
    <cellStyle name="Normal 10 6 3 3 5" xfId="3555" xr:uid="{00000000-0005-0000-0000-000085130000}"/>
    <cellStyle name="Normal 10 6 3 3 6" xfId="3556" xr:uid="{00000000-0005-0000-0000-000086130000}"/>
    <cellStyle name="Normal 10 6 3 4" xfId="3557" xr:uid="{00000000-0005-0000-0000-000087130000}"/>
    <cellStyle name="Normal 10 6 3 4 2" xfId="47466" xr:uid="{00000000-0005-0000-0000-000088130000}"/>
    <cellStyle name="Normal 10 6 3 4 3" xfId="47467" xr:uid="{00000000-0005-0000-0000-000089130000}"/>
    <cellStyle name="Normal 10 6 3 5" xfId="3558" xr:uid="{00000000-0005-0000-0000-00008A130000}"/>
    <cellStyle name="Normal 10 6 3 5 2" xfId="47468" xr:uid="{00000000-0005-0000-0000-00008B130000}"/>
    <cellStyle name="Normal 10 6 3 6" xfId="3559" xr:uid="{00000000-0005-0000-0000-00008C130000}"/>
    <cellStyle name="Normal 10 6 3 7" xfId="3560" xr:uid="{00000000-0005-0000-0000-00008D130000}"/>
    <cellStyle name="Normal 10 6 3 8" xfId="3561" xr:uid="{00000000-0005-0000-0000-00008E130000}"/>
    <cellStyle name="Normal 10 6 4" xfId="3562" xr:uid="{00000000-0005-0000-0000-00008F130000}"/>
    <cellStyle name="Normal 10 6 4 2" xfId="3563" xr:uid="{00000000-0005-0000-0000-000090130000}"/>
    <cellStyle name="Normal 10 6 4 2 2" xfId="3564" xr:uid="{00000000-0005-0000-0000-000091130000}"/>
    <cellStyle name="Normal 10 6 4 2 2 2" xfId="47469" xr:uid="{00000000-0005-0000-0000-000092130000}"/>
    <cellStyle name="Normal 10 6 4 2 2 3" xfId="47470" xr:uid="{00000000-0005-0000-0000-000093130000}"/>
    <cellStyle name="Normal 10 6 4 2 3" xfId="3565" xr:uid="{00000000-0005-0000-0000-000094130000}"/>
    <cellStyle name="Normal 10 6 4 2 3 2" xfId="47471" xr:uid="{00000000-0005-0000-0000-000095130000}"/>
    <cellStyle name="Normal 10 6 4 2 4" xfId="3566" xr:uid="{00000000-0005-0000-0000-000096130000}"/>
    <cellStyle name="Normal 10 6 4 2 5" xfId="3567" xr:uid="{00000000-0005-0000-0000-000097130000}"/>
    <cellStyle name="Normal 10 6 4 2 6" xfId="3568" xr:uid="{00000000-0005-0000-0000-000098130000}"/>
    <cellStyle name="Normal 10 6 4 3" xfId="3569" xr:uid="{00000000-0005-0000-0000-000099130000}"/>
    <cellStyle name="Normal 10 6 4 3 2" xfId="47472" xr:uid="{00000000-0005-0000-0000-00009A130000}"/>
    <cellStyle name="Normal 10 6 4 3 3" xfId="47473" xr:uid="{00000000-0005-0000-0000-00009B130000}"/>
    <cellStyle name="Normal 10 6 4 4" xfId="3570" xr:uid="{00000000-0005-0000-0000-00009C130000}"/>
    <cellStyle name="Normal 10 6 4 4 2" xfId="47474" xr:uid="{00000000-0005-0000-0000-00009D130000}"/>
    <cellStyle name="Normal 10 6 4 5" xfId="3571" xr:uid="{00000000-0005-0000-0000-00009E130000}"/>
    <cellStyle name="Normal 10 6 4 6" xfId="3572" xr:uid="{00000000-0005-0000-0000-00009F130000}"/>
    <cellStyle name="Normal 10 6 4 7" xfId="3573" xr:uid="{00000000-0005-0000-0000-0000A0130000}"/>
    <cellStyle name="Normal 10 6 5" xfId="3574" xr:uid="{00000000-0005-0000-0000-0000A1130000}"/>
    <cellStyle name="Normal 10 6 5 2" xfId="3575" xr:uid="{00000000-0005-0000-0000-0000A2130000}"/>
    <cellStyle name="Normal 10 6 5 2 2" xfId="47475" xr:uid="{00000000-0005-0000-0000-0000A3130000}"/>
    <cellStyle name="Normal 10 6 5 2 3" xfId="47476" xr:uid="{00000000-0005-0000-0000-0000A4130000}"/>
    <cellStyle name="Normal 10 6 5 3" xfId="3576" xr:uid="{00000000-0005-0000-0000-0000A5130000}"/>
    <cellStyle name="Normal 10 6 5 3 2" xfId="47477" xr:uid="{00000000-0005-0000-0000-0000A6130000}"/>
    <cellStyle name="Normal 10 6 5 4" xfId="3577" xr:uid="{00000000-0005-0000-0000-0000A7130000}"/>
    <cellStyle name="Normal 10 6 5 5" xfId="3578" xr:uid="{00000000-0005-0000-0000-0000A8130000}"/>
    <cellStyle name="Normal 10 6 5 6" xfId="3579" xr:uid="{00000000-0005-0000-0000-0000A9130000}"/>
    <cellStyle name="Normal 10 6 6" xfId="3580" xr:uid="{00000000-0005-0000-0000-0000AA130000}"/>
    <cellStyle name="Normal 10 6 6 2" xfId="47478" xr:uid="{00000000-0005-0000-0000-0000AB130000}"/>
    <cellStyle name="Normal 10 6 7" xfId="3581" xr:uid="{00000000-0005-0000-0000-0000AC130000}"/>
    <cellStyle name="Normal 10 6 8" xfId="3582" xr:uid="{00000000-0005-0000-0000-0000AD130000}"/>
    <cellStyle name="Normal 10 6 9" xfId="3583" xr:uid="{00000000-0005-0000-0000-0000AE130000}"/>
    <cellStyle name="Normal 10 7" xfId="3584" xr:uid="{00000000-0005-0000-0000-0000AF130000}"/>
    <cellStyle name="Normal 10 7 10" xfId="3585" xr:uid="{00000000-0005-0000-0000-0000B0130000}"/>
    <cellStyle name="Normal 10 7 11" xfId="3586" xr:uid="{00000000-0005-0000-0000-0000B1130000}"/>
    <cellStyle name="Normal 10 7 12" xfId="3587" xr:uid="{00000000-0005-0000-0000-0000B2130000}"/>
    <cellStyle name="Normal 10 7 13" xfId="3588" xr:uid="{00000000-0005-0000-0000-0000B3130000}"/>
    <cellStyle name="Normal 10 7 14" xfId="3589" xr:uid="{00000000-0005-0000-0000-0000B4130000}"/>
    <cellStyle name="Normal 10 7 2" xfId="3590" xr:uid="{00000000-0005-0000-0000-0000B5130000}"/>
    <cellStyle name="Normal 10 7 2 2" xfId="3591" xr:uid="{00000000-0005-0000-0000-0000B6130000}"/>
    <cellStyle name="Normal 10 7 2 2 2" xfId="3592" xr:uid="{00000000-0005-0000-0000-0000B7130000}"/>
    <cellStyle name="Normal 10 7 2 2 2 2" xfId="3593" xr:uid="{00000000-0005-0000-0000-0000B8130000}"/>
    <cellStyle name="Normal 10 7 2 2 2 2 2" xfId="47479" xr:uid="{00000000-0005-0000-0000-0000B9130000}"/>
    <cellStyle name="Normal 10 7 2 2 2 2 3" xfId="47480" xr:uid="{00000000-0005-0000-0000-0000BA130000}"/>
    <cellStyle name="Normal 10 7 2 2 2 3" xfId="3594" xr:uid="{00000000-0005-0000-0000-0000BB130000}"/>
    <cellStyle name="Normal 10 7 2 2 2 3 2" xfId="47481" xr:uid="{00000000-0005-0000-0000-0000BC130000}"/>
    <cellStyle name="Normal 10 7 2 2 2 4" xfId="3595" xr:uid="{00000000-0005-0000-0000-0000BD130000}"/>
    <cellStyle name="Normal 10 7 2 2 2 5" xfId="3596" xr:uid="{00000000-0005-0000-0000-0000BE130000}"/>
    <cellStyle name="Normal 10 7 2 2 2 6" xfId="3597" xr:uid="{00000000-0005-0000-0000-0000BF130000}"/>
    <cellStyle name="Normal 10 7 2 2 3" xfId="3598" xr:uid="{00000000-0005-0000-0000-0000C0130000}"/>
    <cellStyle name="Normal 10 7 2 2 3 2" xfId="47482" xr:uid="{00000000-0005-0000-0000-0000C1130000}"/>
    <cellStyle name="Normal 10 7 2 2 3 3" xfId="47483" xr:uid="{00000000-0005-0000-0000-0000C2130000}"/>
    <cellStyle name="Normal 10 7 2 2 4" xfId="3599" xr:uid="{00000000-0005-0000-0000-0000C3130000}"/>
    <cellStyle name="Normal 10 7 2 2 4 2" xfId="47484" xr:uid="{00000000-0005-0000-0000-0000C4130000}"/>
    <cellStyle name="Normal 10 7 2 2 5" xfId="3600" xr:uid="{00000000-0005-0000-0000-0000C5130000}"/>
    <cellStyle name="Normal 10 7 2 2 6" xfId="3601" xr:uid="{00000000-0005-0000-0000-0000C6130000}"/>
    <cellStyle name="Normal 10 7 2 2 7" xfId="3602" xr:uid="{00000000-0005-0000-0000-0000C7130000}"/>
    <cellStyle name="Normal 10 7 2 3" xfId="3603" xr:uid="{00000000-0005-0000-0000-0000C8130000}"/>
    <cellStyle name="Normal 10 7 2 3 2" xfId="3604" xr:uid="{00000000-0005-0000-0000-0000C9130000}"/>
    <cellStyle name="Normal 10 7 2 3 2 2" xfId="47485" xr:uid="{00000000-0005-0000-0000-0000CA130000}"/>
    <cellStyle name="Normal 10 7 2 3 2 3" xfId="47486" xr:uid="{00000000-0005-0000-0000-0000CB130000}"/>
    <cellStyle name="Normal 10 7 2 3 3" xfId="3605" xr:uid="{00000000-0005-0000-0000-0000CC130000}"/>
    <cellStyle name="Normal 10 7 2 3 3 2" xfId="47487" xr:uid="{00000000-0005-0000-0000-0000CD130000}"/>
    <cellStyle name="Normal 10 7 2 3 4" xfId="3606" xr:uid="{00000000-0005-0000-0000-0000CE130000}"/>
    <cellStyle name="Normal 10 7 2 3 5" xfId="3607" xr:uid="{00000000-0005-0000-0000-0000CF130000}"/>
    <cellStyle name="Normal 10 7 2 3 6" xfId="3608" xr:uid="{00000000-0005-0000-0000-0000D0130000}"/>
    <cellStyle name="Normal 10 7 2 4" xfId="3609" xr:uid="{00000000-0005-0000-0000-0000D1130000}"/>
    <cellStyle name="Normal 10 7 2 4 2" xfId="47488" xr:uid="{00000000-0005-0000-0000-0000D2130000}"/>
    <cellStyle name="Normal 10 7 2 4 3" xfId="47489" xr:uid="{00000000-0005-0000-0000-0000D3130000}"/>
    <cellStyle name="Normal 10 7 2 5" xfId="3610" xr:uid="{00000000-0005-0000-0000-0000D4130000}"/>
    <cellStyle name="Normal 10 7 2 5 2" xfId="47490" xr:uid="{00000000-0005-0000-0000-0000D5130000}"/>
    <cellStyle name="Normal 10 7 2 6" xfId="3611" xr:uid="{00000000-0005-0000-0000-0000D6130000}"/>
    <cellStyle name="Normal 10 7 2 7" xfId="3612" xr:uid="{00000000-0005-0000-0000-0000D7130000}"/>
    <cellStyle name="Normal 10 7 2 8" xfId="3613" xr:uid="{00000000-0005-0000-0000-0000D8130000}"/>
    <cellStyle name="Normal 10 7 2 9" xfId="3614" xr:uid="{00000000-0005-0000-0000-0000D9130000}"/>
    <cellStyle name="Normal 10 7 3" xfId="3615" xr:uid="{00000000-0005-0000-0000-0000DA130000}"/>
    <cellStyle name="Normal 10 7 3 2" xfId="3616" xr:uid="{00000000-0005-0000-0000-0000DB130000}"/>
    <cellStyle name="Normal 10 7 3 2 2" xfId="3617" xr:uid="{00000000-0005-0000-0000-0000DC130000}"/>
    <cellStyle name="Normal 10 7 3 2 2 2" xfId="3618" xr:uid="{00000000-0005-0000-0000-0000DD130000}"/>
    <cellStyle name="Normal 10 7 3 2 2 2 2" xfId="47491" xr:uid="{00000000-0005-0000-0000-0000DE130000}"/>
    <cellStyle name="Normal 10 7 3 2 2 2 3" xfId="47492" xr:uid="{00000000-0005-0000-0000-0000DF130000}"/>
    <cellStyle name="Normal 10 7 3 2 2 3" xfId="3619" xr:uid="{00000000-0005-0000-0000-0000E0130000}"/>
    <cellStyle name="Normal 10 7 3 2 2 3 2" xfId="47493" xr:uid="{00000000-0005-0000-0000-0000E1130000}"/>
    <cellStyle name="Normal 10 7 3 2 2 4" xfId="3620" xr:uid="{00000000-0005-0000-0000-0000E2130000}"/>
    <cellStyle name="Normal 10 7 3 2 2 5" xfId="3621" xr:uid="{00000000-0005-0000-0000-0000E3130000}"/>
    <cellStyle name="Normal 10 7 3 2 2 6" xfId="3622" xr:uid="{00000000-0005-0000-0000-0000E4130000}"/>
    <cellStyle name="Normal 10 7 3 2 3" xfId="3623" xr:uid="{00000000-0005-0000-0000-0000E5130000}"/>
    <cellStyle name="Normal 10 7 3 2 3 2" xfId="47494" xr:uid="{00000000-0005-0000-0000-0000E6130000}"/>
    <cellStyle name="Normal 10 7 3 2 3 3" xfId="47495" xr:uid="{00000000-0005-0000-0000-0000E7130000}"/>
    <cellStyle name="Normal 10 7 3 2 4" xfId="3624" xr:uid="{00000000-0005-0000-0000-0000E8130000}"/>
    <cellStyle name="Normal 10 7 3 2 4 2" xfId="47496" xr:uid="{00000000-0005-0000-0000-0000E9130000}"/>
    <cellStyle name="Normal 10 7 3 2 5" xfId="3625" xr:uid="{00000000-0005-0000-0000-0000EA130000}"/>
    <cellStyle name="Normal 10 7 3 2 6" xfId="3626" xr:uid="{00000000-0005-0000-0000-0000EB130000}"/>
    <cellStyle name="Normal 10 7 3 2 7" xfId="3627" xr:uid="{00000000-0005-0000-0000-0000EC130000}"/>
    <cellStyle name="Normal 10 7 3 3" xfId="3628" xr:uid="{00000000-0005-0000-0000-0000ED130000}"/>
    <cellStyle name="Normal 10 7 3 3 2" xfId="3629" xr:uid="{00000000-0005-0000-0000-0000EE130000}"/>
    <cellStyle name="Normal 10 7 3 3 2 2" xfId="47497" xr:uid="{00000000-0005-0000-0000-0000EF130000}"/>
    <cellStyle name="Normal 10 7 3 3 2 3" xfId="47498" xr:uid="{00000000-0005-0000-0000-0000F0130000}"/>
    <cellStyle name="Normal 10 7 3 3 3" xfId="3630" xr:uid="{00000000-0005-0000-0000-0000F1130000}"/>
    <cellStyle name="Normal 10 7 3 3 3 2" xfId="47499" xr:uid="{00000000-0005-0000-0000-0000F2130000}"/>
    <cellStyle name="Normal 10 7 3 3 4" xfId="3631" xr:uid="{00000000-0005-0000-0000-0000F3130000}"/>
    <cellStyle name="Normal 10 7 3 3 5" xfId="3632" xr:uid="{00000000-0005-0000-0000-0000F4130000}"/>
    <cellStyle name="Normal 10 7 3 3 6" xfId="3633" xr:uid="{00000000-0005-0000-0000-0000F5130000}"/>
    <cellStyle name="Normal 10 7 3 4" xfId="3634" xr:uid="{00000000-0005-0000-0000-0000F6130000}"/>
    <cellStyle name="Normal 10 7 3 4 2" xfId="47500" xr:uid="{00000000-0005-0000-0000-0000F7130000}"/>
    <cellStyle name="Normal 10 7 3 4 3" xfId="47501" xr:uid="{00000000-0005-0000-0000-0000F8130000}"/>
    <cellStyle name="Normal 10 7 3 5" xfId="3635" xr:uid="{00000000-0005-0000-0000-0000F9130000}"/>
    <cellStyle name="Normal 10 7 3 5 2" xfId="47502" xr:uid="{00000000-0005-0000-0000-0000FA130000}"/>
    <cellStyle name="Normal 10 7 3 6" xfId="3636" xr:uid="{00000000-0005-0000-0000-0000FB130000}"/>
    <cellStyle name="Normal 10 7 3 7" xfId="3637" xr:uid="{00000000-0005-0000-0000-0000FC130000}"/>
    <cellStyle name="Normal 10 7 3 8" xfId="3638" xr:uid="{00000000-0005-0000-0000-0000FD130000}"/>
    <cellStyle name="Normal 10 7 4" xfId="3639" xr:uid="{00000000-0005-0000-0000-0000FE130000}"/>
    <cellStyle name="Normal 10 7 4 2" xfId="3640" xr:uid="{00000000-0005-0000-0000-0000FF130000}"/>
    <cellStyle name="Normal 10 7 4 2 2" xfId="3641" xr:uid="{00000000-0005-0000-0000-000000140000}"/>
    <cellStyle name="Normal 10 7 4 2 2 2" xfId="47503" xr:uid="{00000000-0005-0000-0000-000001140000}"/>
    <cellStyle name="Normal 10 7 4 2 2 3" xfId="47504" xr:uid="{00000000-0005-0000-0000-000002140000}"/>
    <cellStyle name="Normal 10 7 4 2 3" xfId="3642" xr:uid="{00000000-0005-0000-0000-000003140000}"/>
    <cellStyle name="Normal 10 7 4 2 3 2" xfId="47505" xr:uid="{00000000-0005-0000-0000-000004140000}"/>
    <cellStyle name="Normal 10 7 4 2 4" xfId="3643" xr:uid="{00000000-0005-0000-0000-000005140000}"/>
    <cellStyle name="Normal 10 7 4 2 5" xfId="3644" xr:uid="{00000000-0005-0000-0000-000006140000}"/>
    <cellStyle name="Normal 10 7 4 2 6" xfId="3645" xr:uid="{00000000-0005-0000-0000-000007140000}"/>
    <cellStyle name="Normal 10 7 4 3" xfId="3646" xr:uid="{00000000-0005-0000-0000-000008140000}"/>
    <cellStyle name="Normal 10 7 4 3 2" xfId="47506" xr:uid="{00000000-0005-0000-0000-000009140000}"/>
    <cellStyle name="Normal 10 7 4 3 3" xfId="47507" xr:uid="{00000000-0005-0000-0000-00000A140000}"/>
    <cellStyle name="Normal 10 7 4 4" xfId="3647" xr:uid="{00000000-0005-0000-0000-00000B140000}"/>
    <cellStyle name="Normal 10 7 4 4 2" xfId="47508" xr:uid="{00000000-0005-0000-0000-00000C140000}"/>
    <cellStyle name="Normal 10 7 4 5" xfId="3648" xr:uid="{00000000-0005-0000-0000-00000D140000}"/>
    <cellStyle name="Normal 10 7 4 6" xfId="3649" xr:uid="{00000000-0005-0000-0000-00000E140000}"/>
    <cellStyle name="Normal 10 7 4 7" xfId="3650" xr:uid="{00000000-0005-0000-0000-00000F140000}"/>
    <cellStyle name="Normal 10 7 5" xfId="3651" xr:uid="{00000000-0005-0000-0000-000010140000}"/>
    <cellStyle name="Normal 10 7 5 2" xfId="3652" xr:uid="{00000000-0005-0000-0000-000011140000}"/>
    <cellStyle name="Normal 10 7 5 2 2" xfId="47509" xr:uid="{00000000-0005-0000-0000-000012140000}"/>
    <cellStyle name="Normal 10 7 5 2 3" xfId="47510" xr:uid="{00000000-0005-0000-0000-000013140000}"/>
    <cellStyle name="Normal 10 7 5 3" xfId="3653" xr:uid="{00000000-0005-0000-0000-000014140000}"/>
    <cellStyle name="Normal 10 7 5 3 2" xfId="47511" xr:uid="{00000000-0005-0000-0000-000015140000}"/>
    <cellStyle name="Normal 10 7 5 4" xfId="3654" xr:uid="{00000000-0005-0000-0000-000016140000}"/>
    <cellStyle name="Normal 10 7 5 5" xfId="3655" xr:uid="{00000000-0005-0000-0000-000017140000}"/>
    <cellStyle name="Normal 10 7 5 6" xfId="3656" xr:uid="{00000000-0005-0000-0000-000018140000}"/>
    <cellStyle name="Normal 10 7 6" xfId="3657" xr:uid="{00000000-0005-0000-0000-000019140000}"/>
    <cellStyle name="Normal 10 7 6 2" xfId="47512" xr:uid="{00000000-0005-0000-0000-00001A140000}"/>
    <cellStyle name="Normal 10 7 6 3" xfId="47513" xr:uid="{00000000-0005-0000-0000-00001B140000}"/>
    <cellStyle name="Normal 10 7 7" xfId="3658" xr:uid="{00000000-0005-0000-0000-00001C140000}"/>
    <cellStyle name="Normal 10 7 7 2" xfId="47514" xr:uid="{00000000-0005-0000-0000-00001D140000}"/>
    <cellStyle name="Normal 10 7 8" xfId="3659" xr:uid="{00000000-0005-0000-0000-00001E140000}"/>
    <cellStyle name="Normal 10 7 9" xfId="3660" xr:uid="{00000000-0005-0000-0000-00001F140000}"/>
    <cellStyle name="Normal 10 8" xfId="3661" xr:uid="{00000000-0005-0000-0000-000020140000}"/>
    <cellStyle name="Normal 10 8 10" xfId="3662" xr:uid="{00000000-0005-0000-0000-000021140000}"/>
    <cellStyle name="Normal 10 8 11" xfId="3663" xr:uid="{00000000-0005-0000-0000-000022140000}"/>
    <cellStyle name="Normal 10 8 12" xfId="3664" xr:uid="{00000000-0005-0000-0000-000023140000}"/>
    <cellStyle name="Normal 10 8 13" xfId="3665" xr:uid="{00000000-0005-0000-0000-000024140000}"/>
    <cellStyle name="Normal 10 8 2" xfId="3666" xr:uid="{00000000-0005-0000-0000-000025140000}"/>
    <cellStyle name="Normal 10 8 2 2" xfId="3667" xr:uid="{00000000-0005-0000-0000-000026140000}"/>
    <cellStyle name="Normal 10 8 2 2 2" xfId="3668" xr:uid="{00000000-0005-0000-0000-000027140000}"/>
    <cellStyle name="Normal 10 8 2 2 2 2" xfId="3669" xr:uid="{00000000-0005-0000-0000-000028140000}"/>
    <cellStyle name="Normal 10 8 2 2 2 2 2" xfId="47515" xr:uid="{00000000-0005-0000-0000-000029140000}"/>
    <cellStyle name="Normal 10 8 2 2 2 2 3" xfId="47516" xr:uid="{00000000-0005-0000-0000-00002A140000}"/>
    <cellStyle name="Normal 10 8 2 2 2 3" xfId="3670" xr:uid="{00000000-0005-0000-0000-00002B140000}"/>
    <cellStyle name="Normal 10 8 2 2 2 3 2" xfId="47517" xr:uid="{00000000-0005-0000-0000-00002C140000}"/>
    <cellStyle name="Normal 10 8 2 2 2 4" xfId="3671" xr:uid="{00000000-0005-0000-0000-00002D140000}"/>
    <cellStyle name="Normal 10 8 2 2 2 5" xfId="3672" xr:uid="{00000000-0005-0000-0000-00002E140000}"/>
    <cellStyle name="Normal 10 8 2 2 2 6" xfId="3673" xr:uid="{00000000-0005-0000-0000-00002F140000}"/>
    <cellStyle name="Normal 10 8 2 2 3" xfId="3674" xr:uid="{00000000-0005-0000-0000-000030140000}"/>
    <cellStyle name="Normal 10 8 2 2 3 2" xfId="47518" xr:uid="{00000000-0005-0000-0000-000031140000}"/>
    <cellStyle name="Normal 10 8 2 2 3 3" xfId="47519" xr:uid="{00000000-0005-0000-0000-000032140000}"/>
    <cellStyle name="Normal 10 8 2 2 4" xfId="3675" xr:uid="{00000000-0005-0000-0000-000033140000}"/>
    <cellStyle name="Normal 10 8 2 2 4 2" xfId="47520" xr:uid="{00000000-0005-0000-0000-000034140000}"/>
    <cellStyle name="Normal 10 8 2 2 5" xfId="3676" xr:uid="{00000000-0005-0000-0000-000035140000}"/>
    <cellStyle name="Normal 10 8 2 2 6" xfId="3677" xr:uid="{00000000-0005-0000-0000-000036140000}"/>
    <cellStyle name="Normal 10 8 2 2 7" xfId="3678" xr:uid="{00000000-0005-0000-0000-000037140000}"/>
    <cellStyle name="Normal 10 8 2 3" xfId="3679" xr:uid="{00000000-0005-0000-0000-000038140000}"/>
    <cellStyle name="Normal 10 8 2 3 2" xfId="3680" xr:uid="{00000000-0005-0000-0000-000039140000}"/>
    <cellStyle name="Normal 10 8 2 3 2 2" xfId="47521" xr:uid="{00000000-0005-0000-0000-00003A140000}"/>
    <cellStyle name="Normal 10 8 2 3 2 3" xfId="47522" xr:uid="{00000000-0005-0000-0000-00003B140000}"/>
    <cellStyle name="Normal 10 8 2 3 3" xfId="3681" xr:uid="{00000000-0005-0000-0000-00003C140000}"/>
    <cellStyle name="Normal 10 8 2 3 3 2" xfId="47523" xr:uid="{00000000-0005-0000-0000-00003D140000}"/>
    <cellStyle name="Normal 10 8 2 3 4" xfId="3682" xr:uid="{00000000-0005-0000-0000-00003E140000}"/>
    <cellStyle name="Normal 10 8 2 3 5" xfId="3683" xr:uid="{00000000-0005-0000-0000-00003F140000}"/>
    <cellStyle name="Normal 10 8 2 3 6" xfId="3684" xr:uid="{00000000-0005-0000-0000-000040140000}"/>
    <cellStyle name="Normal 10 8 2 4" xfId="3685" xr:uid="{00000000-0005-0000-0000-000041140000}"/>
    <cellStyle name="Normal 10 8 2 4 2" xfId="47524" xr:uid="{00000000-0005-0000-0000-000042140000}"/>
    <cellStyle name="Normal 10 8 2 4 3" xfId="47525" xr:uid="{00000000-0005-0000-0000-000043140000}"/>
    <cellStyle name="Normal 10 8 2 5" xfId="3686" xr:uid="{00000000-0005-0000-0000-000044140000}"/>
    <cellStyle name="Normal 10 8 2 5 2" xfId="47526" xr:uid="{00000000-0005-0000-0000-000045140000}"/>
    <cellStyle name="Normal 10 8 2 6" xfId="3687" xr:uid="{00000000-0005-0000-0000-000046140000}"/>
    <cellStyle name="Normal 10 8 2 7" xfId="3688" xr:uid="{00000000-0005-0000-0000-000047140000}"/>
    <cellStyle name="Normal 10 8 2 8" xfId="3689" xr:uid="{00000000-0005-0000-0000-000048140000}"/>
    <cellStyle name="Normal 10 8 2 9" xfId="3690" xr:uid="{00000000-0005-0000-0000-000049140000}"/>
    <cellStyle name="Normal 10 8 3" xfId="3691" xr:uid="{00000000-0005-0000-0000-00004A140000}"/>
    <cellStyle name="Normal 10 8 3 2" xfId="3692" xr:uid="{00000000-0005-0000-0000-00004B140000}"/>
    <cellStyle name="Normal 10 8 3 2 2" xfId="3693" xr:uid="{00000000-0005-0000-0000-00004C140000}"/>
    <cellStyle name="Normal 10 8 3 2 2 2" xfId="47527" xr:uid="{00000000-0005-0000-0000-00004D140000}"/>
    <cellStyle name="Normal 10 8 3 2 2 3" xfId="47528" xr:uid="{00000000-0005-0000-0000-00004E140000}"/>
    <cellStyle name="Normal 10 8 3 2 3" xfId="3694" xr:uid="{00000000-0005-0000-0000-00004F140000}"/>
    <cellStyle name="Normal 10 8 3 2 3 2" xfId="47529" xr:uid="{00000000-0005-0000-0000-000050140000}"/>
    <cellStyle name="Normal 10 8 3 2 4" xfId="3695" xr:uid="{00000000-0005-0000-0000-000051140000}"/>
    <cellStyle name="Normal 10 8 3 2 5" xfId="3696" xr:uid="{00000000-0005-0000-0000-000052140000}"/>
    <cellStyle name="Normal 10 8 3 2 6" xfId="3697" xr:uid="{00000000-0005-0000-0000-000053140000}"/>
    <cellStyle name="Normal 10 8 3 3" xfId="3698" xr:uid="{00000000-0005-0000-0000-000054140000}"/>
    <cellStyle name="Normal 10 8 3 3 2" xfId="47530" xr:uid="{00000000-0005-0000-0000-000055140000}"/>
    <cellStyle name="Normal 10 8 3 3 3" xfId="47531" xr:uid="{00000000-0005-0000-0000-000056140000}"/>
    <cellStyle name="Normal 10 8 3 4" xfId="3699" xr:uid="{00000000-0005-0000-0000-000057140000}"/>
    <cellStyle name="Normal 10 8 3 4 2" xfId="47532" xr:uid="{00000000-0005-0000-0000-000058140000}"/>
    <cellStyle name="Normal 10 8 3 5" xfId="3700" xr:uid="{00000000-0005-0000-0000-000059140000}"/>
    <cellStyle name="Normal 10 8 3 6" xfId="3701" xr:uid="{00000000-0005-0000-0000-00005A140000}"/>
    <cellStyle name="Normal 10 8 3 7" xfId="3702" xr:uid="{00000000-0005-0000-0000-00005B140000}"/>
    <cellStyle name="Normal 10 8 4" xfId="3703" xr:uid="{00000000-0005-0000-0000-00005C140000}"/>
    <cellStyle name="Normal 10 8 4 2" xfId="3704" xr:uid="{00000000-0005-0000-0000-00005D140000}"/>
    <cellStyle name="Normal 10 8 4 2 2" xfId="47533" xr:uid="{00000000-0005-0000-0000-00005E140000}"/>
    <cellStyle name="Normal 10 8 4 2 3" xfId="47534" xr:uid="{00000000-0005-0000-0000-00005F140000}"/>
    <cellStyle name="Normal 10 8 4 3" xfId="3705" xr:uid="{00000000-0005-0000-0000-000060140000}"/>
    <cellStyle name="Normal 10 8 4 3 2" xfId="47535" xr:uid="{00000000-0005-0000-0000-000061140000}"/>
    <cellStyle name="Normal 10 8 4 4" xfId="3706" xr:uid="{00000000-0005-0000-0000-000062140000}"/>
    <cellStyle name="Normal 10 8 4 5" xfId="3707" xr:uid="{00000000-0005-0000-0000-000063140000}"/>
    <cellStyle name="Normal 10 8 4 6" xfId="3708" xr:uid="{00000000-0005-0000-0000-000064140000}"/>
    <cellStyle name="Normal 10 8 5" xfId="3709" xr:uid="{00000000-0005-0000-0000-000065140000}"/>
    <cellStyle name="Normal 10 8 5 2" xfId="47536" xr:uid="{00000000-0005-0000-0000-000066140000}"/>
    <cellStyle name="Normal 10 8 5 3" xfId="47537" xr:uid="{00000000-0005-0000-0000-000067140000}"/>
    <cellStyle name="Normal 10 8 6" xfId="3710" xr:uid="{00000000-0005-0000-0000-000068140000}"/>
    <cellStyle name="Normal 10 8 6 2" xfId="47538" xr:uid="{00000000-0005-0000-0000-000069140000}"/>
    <cellStyle name="Normal 10 8 7" xfId="3711" xr:uid="{00000000-0005-0000-0000-00006A140000}"/>
    <cellStyle name="Normal 10 8 8" xfId="3712" xr:uid="{00000000-0005-0000-0000-00006B140000}"/>
    <cellStyle name="Normal 10 8 9" xfId="3713" xr:uid="{00000000-0005-0000-0000-00006C140000}"/>
    <cellStyle name="Normal 10 9" xfId="3714" xr:uid="{00000000-0005-0000-0000-00006D140000}"/>
    <cellStyle name="Normal 10 9 2" xfId="3715" xr:uid="{00000000-0005-0000-0000-00006E140000}"/>
    <cellStyle name="Normal 10 9 2 2" xfId="3716" xr:uid="{00000000-0005-0000-0000-00006F140000}"/>
    <cellStyle name="Normal 10 9 2 2 2" xfId="3717" xr:uid="{00000000-0005-0000-0000-000070140000}"/>
    <cellStyle name="Normal 10 9 2 2 2 2" xfId="47539" xr:uid="{00000000-0005-0000-0000-000071140000}"/>
    <cellStyle name="Normal 10 9 2 2 2 3" xfId="47540" xr:uid="{00000000-0005-0000-0000-000072140000}"/>
    <cellStyle name="Normal 10 9 2 2 3" xfId="3718" xr:uid="{00000000-0005-0000-0000-000073140000}"/>
    <cellStyle name="Normal 10 9 2 2 3 2" xfId="47541" xr:uid="{00000000-0005-0000-0000-000074140000}"/>
    <cellStyle name="Normal 10 9 2 2 4" xfId="3719" xr:uid="{00000000-0005-0000-0000-000075140000}"/>
    <cellStyle name="Normal 10 9 2 2 5" xfId="3720" xr:uid="{00000000-0005-0000-0000-000076140000}"/>
    <cellStyle name="Normal 10 9 2 2 6" xfId="3721" xr:uid="{00000000-0005-0000-0000-000077140000}"/>
    <cellStyle name="Normal 10 9 2 3" xfId="3722" xr:uid="{00000000-0005-0000-0000-000078140000}"/>
    <cellStyle name="Normal 10 9 2 3 2" xfId="47542" xr:uid="{00000000-0005-0000-0000-000079140000}"/>
    <cellStyle name="Normal 10 9 2 3 3" xfId="47543" xr:uid="{00000000-0005-0000-0000-00007A140000}"/>
    <cellStyle name="Normal 10 9 2 4" xfId="3723" xr:uid="{00000000-0005-0000-0000-00007B140000}"/>
    <cellStyle name="Normal 10 9 2 4 2" xfId="47544" xr:uid="{00000000-0005-0000-0000-00007C140000}"/>
    <cellStyle name="Normal 10 9 2 5" xfId="3724" xr:uid="{00000000-0005-0000-0000-00007D140000}"/>
    <cellStyle name="Normal 10 9 2 6" xfId="3725" xr:uid="{00000000-0005-0000-0000-00007E140000}"/>
    <cellStyle name="Normal 10 9 2 7" xfId="3726" xr:uid="{00000000-0005-0000-0000-00007F140000}"/>
    <cellStyle name="Normal 10 9 3" xfId="3727" xr:uid="{00000000-0005-0000-0000-000080140000}"/>
    <cellStyle name="Normal 10 9 3 2" xfId="3728" xr:uid="{00000000-0005-0000-0000-000081140000}"/>
    <cellStyle name="Normal 10 9 3 2 2" xfId="47545" xr:uid="{00000000-0005-0000-0000-000082140000}"/>
    <cellStyle name="Normal 10 9 3 2 3" xfId="47546" xr:uid="{00000000-0005-0000-0000-000083140000}"/>
    <cellStyle name="Normal 10 9 3 3" xfId="3729" xr:uid="{00000000-0005-0000-0000-000084140000}"/>
    <cellStyle name="Normal 10 9 3 3 2" xfId="47547" xr:uid="{00000000-0005-0000-0000-000085140000}"/>
    <cellStyle name="Normal 10 9 3 4" xfId="3730" xr:uid="{00000000-0005-0000-0000-000086140000}"/>
    <cellStyle name="Normal 10 9 3 5" xfId="3731" xr:uid="{00000000-0005-0000-0000-000087140000}"/>
    <cellStyle name="Normal 10 9 3 6" xfId="3732" xr:uid="{00000000-0005-0000-0000-000088140000}"/>
    <cellStyle name="Normal 10 9 4" xfId="3733" xr:uid="{00000000-0005-0000-0000-000089140000}"/>
    <cellStyle name="Normal 10 9 4 2" xfId="47548" xr:uid="{00000000-0005-0000-0000-00008A140000}"/>
    <cellStyle name="Normal 10 9 4 3" xfId="47549" xr:uid="{00000000-0005-0000-0000-00008B140000}"/>
    <cellStyle name="Normal 10 9 5" xfId="3734" xr:uid="{00000000-0005-0000-0000-00008C140000}"/>
    <cellStyle name="Normal 10 9 5 2" xfId="47550" xr:uid="{00000000-0005-0000-0000-00008D140000}"/>
    <cellStyle name="Normal 10 9 6" xfId="3735" xr:uid="{00000000-0005-0000-0000-00008E140000}"/>
    <cellStyle name="Normal 10 9 7" xfId="3736" xr:uid="{00000000-0005-0000-0000-00008F140000}"/>
    <cellStyle name="Normal 10 9 8" xfId="3737" xr:uid="{00000000-0005-0000-0000-000090140000}"/>
    <cellStyle name="Normal 10 9 9" xfId="3738" xr:uid="{00000000-0005-0000-0000-000091140000}"/>
    <cellStyle name="Normal 100" xfId="3739" xr:uid="{00000000-0005-0000-0000-000092140000}"/>
    <cellStyle name="Normal 100 10" xfId="3740" xr:uid="{00000000-0005-0000-0000-000093140000}"/>
    <cellStyle name="Normal 100 10 2" xfId="3741" xr:uid="{00000000-0005-0000-0000-000094140000}"/>
    <cellStyle name="Normal 100 11" xfId="3742" xr:uid="{00000000-0005-0000-0000-000095140000}"/>
    <cellStyle name="Normal 100 11 2" xfId="3743" xr:uid="{00000000-0005-0000-0000-000096140000}"/>
    <cellStyle name="Normal 100 12" xfId="3744" xr:uid="{00000000-0005-0000-0000-000097140000}"/>
    <cellStyle name="Normal 100 2" xfId="3745" xr:uid="{00000000-0005-0000-0000-000098140000}"/>
    <cellStyle name="Normal 100 2 10" xfId="3746" xr:uid="{00000000-0005-0000-0000-000099140000}"/>
    <cellStyle name="Normal 100 2 10 2" xfId="3747" xr:uid="{00000000-0005-0000-0000-00009A140000}"/>
    <cellStyle name="Normal 100 2 11" xfId="3748" xr:uid="{00000000-0005-0000-0000-00009B140000}"/>
    <cellStyle name="Normal 100 2 2" xfId="3749" xr:uid="{00000000-0005-0000-0000-00009C140000}"/>
    <cellStyle name="Normal 100 2 2 2" xfId="3750" xr:uid="{00000000-0005-0000-0000-00009D140000}"/>
    <cellStyle name="Normal 100 2 2 2 2" xfId="3751" xr:uid="{00000000-0005-0000-0000-00009E140000}"/>
    <cellStyle name="Normal 100 2 2 2 2 2" xfId="3752" xr:uid="{00000000-0005-0000-0000-00009F140000}"/>
    <cellStyle name="Normal 100 2 2 2 3" xfId="3753" xr:uid="{00000000-0005-0000-0000-0000A0140000}"/>
    <cellStyle name="Normal 100 2 2 2 3 2" xfId="3754" xr:uid="{00000000-0005-0000-0000-0000A1140000}"/>
    <cellStyle name="Normal 100 2 2 2 4" xfId="3755" xr:uid="{00000000-0005-0000-0000-0000A2140000}"/>
    <cellStyle name="Normal 100 2 2 3" xfId="3756" xr:uid="{00000000-0005-0000-0000-0000A3140000}"/>
    <cellStyle name="Normal 100 2 2 3 2" xfId="3757" xr:uid="{00000000-0005-0000-0000-0000A4140000}"/>
    <cellStyle name="Normal 100 2 2 3 2 2" xfId="3758" xr:uid="{00000000-0005-0000-0000-0000A5140000}"/>
    <cellStyle name="Normal 100 2 2 3 3" xfId="3759" xr:uid="{00000000-0005-0000-0000-0000A6140000}"/>
    <cellStyle name="Normal 100 2 2 3 3 2" xfId="3760" xr:uid="{00000000-0005-0000-0000-0000A7140000}"/>
    <cellStyle name="Normal 100 2 2 3 4" xfId="3761" xr:uid="{00000000-0005-0000-0000-0000A8140000}"/>
    <cellStyle name="Normal 100 2 2 4" xfId="3762" xr:uid="{00000000-0005-0000-0000-0000A9140000}"/>
    <cellStyle name="Normal 100 2 2 4 2" xfId="3763" xr:uid="{00000000-0005-0000-0000-0000AA140000}"/>
    <cellStyle name="Normal 100 2 2 5" xfId="3764" xr:uid="{00000000-0005-0000-0000-0000AB140000}"/>
    <cellStyle name="Normal 100 2 2 5 2" xfId="3765" xr:uid="{00000000-0005-0000-0000-0000AC140000}"/>
    <cellStyle name="Normal 100 2 2 6" xfId="3766" xr:uid="{00000000-0005-0000-0000-0000AD140000}"/>
    <cellStyle name="Normal 100 2 3" xfId="3767" xr:uid="{00000000-0005-0000-0000-0000AE140000}"/>
    <cellStyle name="Normal 100 2 3 2" xfId="3768" xr:uid="{00000000-0005-0000-0000-0000AF140000}"/>
    <cellStyle name="Normal 100 2 3 2 2" xfId="3769" xr:uid="{00000000-0005-0000-0000-0000B0140000}"/>
    <cellStyle name="Normal 100 2 3 3" xfId="3770" xr:uid="{00000000-0005-0000-0000-0000B1140000}"/>
    <cellStyle name="Normal 100 2 3 3 2" xfId="3771" xr:uid="{00000000-0005-0000-0000-0000B2140000}"/>
    <cellStyle name="Normal 100 2 3 4" xfId="3772" xr:uid="{00000000-0005-0000-0000-0000B3140000}"/>
    <cellStyle name="Normal 100 2 4" xfId="3773" xr:uid="{00000000-0005-0000-0000-0000B4140000}"/>
    <cellStyle name="Normal 100 2 4 2" xfId="3774" xr:uid="{00000000-0005-0000-0000-0000B5140000}"/>
    <cellStyle name="Normal 100 2 4 2 2" xfId="3775" xr:uid="{00000000-0005-0000-0000-0000B6140000}"/>
    <cellStyle name="Normal 100 2 4 3" xfId="3776" xr:uid="{00000000-0005-0000-0000-0000B7140000}"/>
    <cellStyle name="Normal 100 2 4 3 2" xfId="3777" xr:uid="{00000000-0005-0000-0000-0000B8140000}"/>
    <cellStyle name="Normal 100 2 4 4" xfId="3778" xr:uid="{00000000-0005-0000-0000-0000B9140000}"/>
    <cellStyle name="Normal 100 2 5" xfId="3779" xr:uid="{00000000-0005-0000-0000-0000BA140000}"/>
    <cellStyle name="Normal 100 2 5 2" xfId="3780" xr:uid="{00000000-0005-0000-0000-0000BB140000}"/>
    <cellStyle name="Normal 100 2 5 2 2" xfId="3781" xr:uid="{00000000-0005-0000-0000-0000BC140000}"/>
    <cellStyle name="Normal 100 2 5 3" xfId="3782" xr:uid="{00000000-0005-0000-0000-0000BD140000}"/>
    <cellStyle name="Normal 100 2 5 3 2" xfId="3783" xr:uid="{00000000-0005-0000-0000-0000BE140000}"/>
    <cellStyle name="Normal 100 2 5 4" xfId="3784" xr:uid="{00000000-0005-0000-0000-0000BF140000}"/>
    <cellStyle name="Normal 100 2 6" xfId="3785" xr:uid="{00000000-0005-0000-0000-0000C0140000}"/>
    <cellStyle name="Normal 100 2 6 2" xfId="3786" xr:uid="{00000000-0005-0000-0000-0000C1140000}"/>
    <cellStyle name="Normal 100 2 6 2 2" xfId="3787" xr:uid="{00000000-0005-0000-0000-0000C2140000}"/>
    <cellStyle name="Normal 100 2 6 3" xfId="3788" xr:uid="{00000000-0005-0000-0000-0000C3140000}"/>
    <cellStyle name="Normal 100 2 6 3 2" xfId="3789" xr:uid="{00000000-0005-0000-0000-0000C4140000}"/>
    <cellStyle name="Normal 100 2 6 4" xfId="3790" xr:uid="{00000000-0005-0000-0000-0000C5140000}"/>
    <cellStyle name="Normal 100 2 7" xfId="3791" xr:uid="{00000000-0005-0000-0000-0000C6140000}"/>
    <cellStyle name="Normal 100 2 7 2" xfId="3792" xr:uid="{00000000-0005-0000-0000-0000C7140000}"/>
    <cellStyle name="Normal 100 2 7 2 2" xfId="3793" xr:uid="{00000000-0005-0000-0000-0000C8140000}"/>
    <cellStyle name="Normal 100 2 7 3" xfId="3794" xr:uid="{00000000-0005-0000-0000-0000C9140000}"/>
    <cellStyle name="Normal 100 2 7 3 2" xfId="3795" xr:uid="{00000000-0005-0000-0000-0000CA140000}"/>
    <cellStyle name="Normal 100 2 7 4" xfId="3796" xr:uid="{00000000-0005-0000-0000-0000CB140000}"/>
    <cellStyle name="Normal 100 2 8" xfId="3797" xr:uid="{00000000-0005-0000-0000-0000CC140000}"/>
    <cellStyle name="Normal 100 2 8 2" xfId="3798" xr:uid="{00000000-0005-0000-0000-0000CD140000}"/>
    <cellStyle name="Normal 100 2 8 2 2" xfId="3799" xr:uid="{00000000-0005-0000-0000-0000CE140000}"/>
    <cellStyle name="Normal 100 2 8 3" xfId="3800" xr:uid="{00000000-0005-0000-0000-0000CF140000}"/>
    <cellStyle name="Normal 100 2 9" xfId="3801" xr:uid="{00000000-0005-0000-0000-0000D0140000}"/>
    <cellStyle name="Normal 100 2 9 2" xfId="3802" xr:uid="{00000000-0005-0000-0000-0000D1140000}"/>
    <cellStyle name="Normal 100 3" xfId="3803" xr:uid="{00000000-0005-0000-0000-0000D2140000}"/>
    <cellStyle name="Normal 100 3 2" xfId="3804" xr:uid="{00000000-0005-0000-0000-0000D3140000}"/>
    <cellStyle name="Normal 100 3 2 2" xfId="3805" xr:uid="{00000000-0005-0000-0000-0000D4140000}"/>
    <cellStyle name="Normal 100 3 2 2 2" xfId="3806" xr:uid="{00000000-0005-0000-0000-0000D5140000}"/>
    <cellStyle name="Normal 100 3 2 3" xfId="3807" xr:uid="{00000000-0005-0000-0000-0000D6140000}"/>
    <cellStyle name="Normal 100 3 2 3 2" xfId="3808" xr:uid="{00000000-0005-0000-0000-0000D7140000}"/>
    <cellStyle name="Normal 100 3 2 4" xfId="3809" xr:uid="{00000000-0005-0000-0000-0000D8140000}"/>
    <cellStyle name="Normal 100 3 3" xfId="3810" xr:uid="{00000000-0005-0000-0000-0000D9140000}"/>
    <cellStyle name="Normal 100 3 3 2" xfId="3811" xr:uid="{00000000-0005-0000-0000-0000DA140000}"/>
    <cellStyle name="Normal 100 3 3 2 2" xfId="3812" xr:uid="{00000000-0005-0000-0000-0000DB140000}"/>
    <cellStyle name="Normal 100 3 3 3" xfId="3813" xr:uid="{00000000-0005-0000-0000-0000DC140000}"/>
    <cellStyle name="Normal 100 3 3 3 2" xfId="3814" xr:uid="{00000000-0005-0000-0000-0000DD140000}"/>
    <cellStyle name="Normal 100 3 3 4" xfId="3815" xr:uid="{00000000-0005-0000-0000-0000DE140000}"/>
    <cellStyle name="Normal 100 3 4" xfId="3816" xr:uid="{00000000-0005-0000-0000-0000DF140000}"/>
    <cellStyle name="Normal 100 3 4 2" xfId="3817" xr:uid="{00000000-0005-0000-0000-0000E0140000}"/>
    <cellStyle name="Normal 100 3 5" xfId="3818" xr:uid="{00000000-0005-0000-0000-0000E1140000}"/>
    <cellStyle name="Normal 100 3 5 2" xfId="3819" xr:uid="{00000000-0005-0000-0000-0000E2140000}"/>
    <cellStyle name="Normal 100 3 6" xfId="3820" xr:uid="{00000000-0005-0000-0000-0000E3140000}"/>
    <cellStyle name="Normal 100 4" xfId="3821" xr:uid="{00000000-0005-0000-0000-0000E4140000}"/>
    <cellStyle name="Normal 100 4 2" xfId="3822" xr:uid="{00000000-0005-0000-0000-0000E5140000}"/>
    <cellStyle name="Normal 100 4 2 2" xfId="3823" xr:uid="{00000000-0005-0000-0000-0000E6140000}"/>
    <cellStyle name="Normal 100 4 3" xfId="3824" xr:uid="{00000000-0005-0000-0000-0000E7140000}"/>
    <cellStyle name="Normal 100 4 3 2" xfId="3825" xr:uid="{00000000-0005-0000-0000-0000E8140000}"/>
    <cellStyle name="Normal 100 4 4" xfId="3826" xr:uid="{00000000-0005-0000-0000-0000E9140000}"/>
    <cellStyle name="Normal 100 5" xfId="3827" xr:uid="{00000000-0005-0000-0000-0000EA140000}"/>
    <cellStyle name="Normal 100 5 2" xfId="3828" xr:uid="{00000000-0005-0000-0000-0000EB140000}"/>
    <cellStyle name="Normal 100 5 2 2" xfId="3829" xr:uid="{00000000-0005-0000-0000-0000EC140000}"/>
    <cellStyle name="Normal 100 5 3" xfId="3830" xr:uid="{00000000-0005-0000-0000-0000ED140000}"/>
    <cellStyle name="Normal 100 5 3 2" xfId="3831" xr:uid="{00000000-0005-0000-0000-0000EE140000}"/>
    <cellStyle name="Normal 100 5 4" xfId="3832" xr:uid="{00000000-0005-0000-0000-0000EF140000}"/>
    <cellStyle name="Normal 100 6" xfId="3833" xr:uid="{00000000-0005-0000-0000-0000F0140000}"/>
    <cellStyle name="Normal 100 6 2" xfId="3834" xr:uid="{00000000-0005-0000-0000-0000F1140000}"/>
    <cellStyle name="Normal 100 6 2 2" xfId="3835" xr:uid="{00000000-0005-0000-0000-0000F2140000}"/>
    <cellStyle name="Normal 100 6 3" xfId="3836" xr:uid="{00000000-0005-0000-0000-0000F3140000}"/>
    <cellStyle name="Normal 100 6 3 2" xfId="3837" xr:uid="{00000000-0005-0000-0000-0000F4140000}"/>
    <cellStyle name="Normal 100 6 4" xfId="3838" xr:uid="{00000000-0005-0000-0000-0000F5140000}"/>
    <cellStyle name="Normal 100 7" xfId="3839" xr:uid="{00000000-0005-0000-0000-0000F6140000}"/>
    <cellStyle name="Normal 100 7 2" xfId="3840" xr:uid="{00000000-0005-0000-0000-0000F7140000}"/>
    <cellStyle name="Normal 100 7 2 2" xfId="3841" xr:uid="{00000000-0005-0000-0000-0000F8140000}"/>
    <cellStyle name="Normal 100 7 3" xfId="3842" xr:uid="{00000000-0005-0000-0000-0000F9140000}"/>
    <cellStyle name="Normal 100 7 3 2" xfId="3843" xr:uid="{00000000-0005-0000-0000-0000FA140000}"/>
    <cellStyle name="Normal 100 7 4" xfId="3844" xr:uid="{00000000-0005-0000-0000-0000FB140000}"/>
    <cellStyle name="Normal 100 8" xfId="3845" xr:uid="{00000000-0005-0000-0000-0000FC140000}"/>
    <cellStyle name="Normal 100 8 2" xfId="3846" xr:uid="{00000000-0005-0000-0000-0000FD140000}"/>
    <cellStyle name="Normal 100 8 2 2" xfId="3847" xr:uid="{00000000-0005-0000-0000-0000FE140000}"/>
    <cellStyle name="Normal 100 8 3" xfId="3848" xr:uid="{00000000-0005-0000-0000-0000FF140000}"/>
    <cellStyle name="Normal 100 8 3 2" xfId="3849" xr:uid="{00000000-0005-0000-0000-000000150000}"/>
    <cellStyle name="Normal 100 8 4" xfId="3850" xr:uid="{00000000-0005-0000-0000-000001150000}"/>
    <cellStyle name="Normal 100 9" xfId="3851" xr:uid="{00000000-0005-0000-0000-000002150000}"/>
    <cellStyle name="Normal 100 9 2" xfId="3852" xr:uid="{00000000-0005-0000-0000-000003150000}"/>
    <cellStyle name="Normal 100 9 2 2" xfId="3853" xr:uid="{00000000-0005-0000-0000-000004150000}"/>
    <cellStyle name="Normal 100 9 3" xfId="3854" xr:uid="{00000000-0005-0000-0000-000005150000}"/>
    <cellStyle name="Normal 101" xfId="3855" xr:uid="{00000000-0005-0000-0000-000006150000}"/>
    <cellStyle name="Normal 101 10" xfId="3856" xr:uid="{00000000-0005-0000-0000-000007150000}"/>
    <cellStyle name="Normal 101 10 2" xfId="3857" xr:uid="{00000000-0005-0000-0000-000008150000}"/>
    <cellStyle name="Normal 101 11" xfId="3858" xr:uid="{00000000-0005-0000-0000-000009150000}"/>
    <cellStyle name="Normal 101 11 2" xfId="3859" xr:uid="{00000000-0005-0000-0000-00000A150000}"/>
    <cellStyle name="Normal 101 12" xfId="3860" xr:uid="{00000000-0005-0000-0000-00000B150000}"/>
    <cellStyle name="Normal 101 2" xfId="3861" xr:uid="{00000000-0005-0000-0000-00000C150000}"/>
    <cellStyle name="Normal 101 2 10" xfId="3862" xr:uid="{00000000-0005-0000-0000-00000D150000}"/>
    <cellStyle name="Normal 101 2 10 2" xfId="3863" xr:uid="{00000000-0005-0000-0000-00000E150000}"/>
    <cellStyle name="Normal 101 2 11" xfId="3864" xr:uid="{00000000-0005-0000-0000-00000F150000}"/>
    <cellStyle name="Normal 101 2 2" xfId="3865" xr:uid="{00000000-0005-0000-0000-000010150000}"/>
    <cellStyle name="Normal 101 2 2 2" xfId="3866" xr:uid="{00000000-0005-0000-0000-000011150000}"/>
    <cellStyle name="Normal 101 2 2 2 2" xfId="3867" xr:uid="{00000000-0005-0000-0000-000012150000}"/>
    <cellStyle name="Normal 101 2 2 2 2 2" xfId="3868" xr:uid="{00000000-0005-0000-0000-000013150000}"/>
    <cellStyle name="Normal 101 2 2 2 3" xfId="3869" xr:uid="{00000000-0005-0000-0000-000014150000}"/>
    <cellStyle name="Normal 101 2 2 2 3 2" xfId="3870" xr:uid="{00000000-0005-0000-0000-000015150000}"/>
    <cellStyle name="Normal 101 2 2 2 4" xfId="3871" xr:uid="{00000000-0005-0000-0000-000016150000}"/>
    <cellStyle name="Normal 101 2 2 3" xfId="3872" xr:uid="{00000000-0005-0000-0000-000017150000}"/>
    <cellStyle name="Normal 101 2 2 3 2" xfId="3873" xr:uid="{00000000-0005-0000-0000-000018150000}"/>
    <cellStyle name="Normal 101 2 2 3 2 2" xfId="3874" xr:uid="{00000000-0005-0000-0000-000019150000}"/>
    <cellStyle name="Normal 101 2 2 3 3" xfId="3875" xr:uid="{00000000-0005-0000-0000-00001A150000}"/>
    <cellStyle name="Normal 101 2 2 3 3 2" xfId="3876" xr:uid="{00000000-0005-0000-0000-00001B150000}"/>
    <cellStyle name="Normal 101 2 2 3 4" xfId="3877" xr:uid="{00000000-0005-0000-0000-00001C150000}"/>
    <cellStyle name="Normal 101 2 2 4" xfId="3878" xr:uid="{00000000-0005-0000-0000-00001D150000}"/>
    <cellStyle name="Normal 101 2 2 4 2" xfId="3879" xr:uid="{00000000-0005-0000-0000-00001E150000}"/>
    <cellStyle name="Normal 101 2 2 5" xfId="3880" xr:uid="{00000000-0005-0000-0000-00001F150000}"/>
    <cellStyle name="Normal 101 2 2 5 2" xfId="3881" xr:uid="{00000000-0005-0000-0000-000020150000}"/>
    <cellStyle name="Normal 101 2 2 6" xfId="3882" xr:uid="{00000000-0005-0000-0000-000021150000}"/>
    <cellStyle name="Normal 101 2 3" xfId="3883" xr:uid="{00000000-0005-0000-0000-000022150000}"/>
    <cellStyle name="Normal 101 2 3 2" xfId="3884" xr:uid="{00000000-0005-0000-0000-000023150000}"/>
    <cellStyle name="Normal 101 2 3 2 2" xfId="3885" xr:uid="{00000000-0005-0000-0000-000024150000}"/>
    <cellStyle name="Normal 101 2 3 3" xfId="3886" xr:uid="{00000000-0005-0000-0000-000025150000}"/>
    <cellStyle name="Normal 101 2 3 3 2" xfId="3887" xr:uid="{00000000-0005-0000-0000-000026150000}"/>
    <cellStyle name="Normal 101 2 3 4" xfId="3888" xr:uid="{00000000-0005-0000-0000-000027150000}"/>
    <cellStyle name="Normal 101 2 4" xfId="3889" xr:uid="{00000000-0005-0000-0000-000028150000}"/>
    <cellStyle name="Normal 101 2 4 2" xfId="3890" xr:uid="{00000000-0005-0000-0000-000029150000}"/>
    <cellStyle name="Normal 101 2 4 2 2" xfId="3891" xr:uid="{00000000-0005-0000-0000-00002A150000}"/>
    <cellStyle name="Normal 101 2 4 3" xfId="3892" xr:uid="{00000000-0005-0000-0000-00002B150000}"/>
    <cellStyle name="Normal 101 2 4 3 2" xfId="3893" xr:uid="{00000000-0005-0000-0000-00002C150000}"/>
    <cellStyle name="Normal 101 2 4 4" xfId="3894" xr:uid="{00000000-0005-0000-0000-00002D150000}"/>
    <cellStyle name="Normal 101 2 5" xfId="3895" xr:uid="{00000000-0005-0000-0000-00002E150000}"/>
    <cellStyle name="Normal 101 2 5 2" xfId="3896" xr:uid="{00000000-0005-0000-0000-00002F150000}"/>
    <cellStyle name="Normal 101 2 5 2 2" xfId="3897" xr:uid="{00000000-0005-0000-0000-000030150000}"/>
    <cellStyle name="Normal 101 2 5 3" xfId="3898" xr:uid="{00000000-0005-0000-0000-000031150000}"/>
    <cellStyle name="Normal 101 2 5 3 2" xfId="3899" xr:uid="{00000000-0005-0000-0000-000032150000}"/>
    <cellStyle name="Normal 101 2 5 4" xfId="3900" xr:uid="{00000000-0005-0000-0000-000033150000}"/>
    <cellStyle name="Normal 101 2 6" xfId="3901" xr:uid="{00000000-0005-0000-0000-000034150000}"/>
    <cellStyle name="Normal 101 2 6 2" xfId="3902" xr:uid="{00000000-0005-0000-0000-000035150000}"/>
    <cellStyle name="Normal 101 2 6 2 2" xfId="3903" xr:uid="{00000000-0005-0000-0000-000036150000}"/>
    <cellStyle name="Normal 101 2 6 3" xfId="3904" xr:uid="{00000000-0005-0000-0000-000037150000}"/>
    <cellStyle name="Normal 101 2 6 3 2" xfId="3905" xr:uid="{00000000-0005-0000-0000-000038150000}"/>
    <cellStyle name="Normal 101 2 6 4" xfId="3906" xr:uid="{00000000-0005-0000-0000-000039150000}"/>
    <cellStyle name="Normal 101 2 7" xfId="3907" xr:uid="{00000000-0005-0000-0000-00003A150000}"/>
    <cellStyle name="Normal 101 2 7 2" xfId="3908" xr:uid="{00000000-0005-0000-0000-00003B150000}"/>
    <cellStyle name="Normal 101 2 7 2 2" xfId="3909" xr:uid="{00000000-0005-0000-0000-00003C150000}"/>
    <cellStyle name="Normal 101 2 7 3" xfId="3910" xr:uid="{00000000-0005-0000-0000-00003D150000}"/>
    <cellStyle name="Normal 101 2 7 3 2" xfId="3911" xr:uid="{00000000-0005-0000-0000-00003E150000}"/>
    <cellStyle name="Normal 101 2 7 4" xfId="3912" xr:uid="{00000000-0005-0000-0000-00003F150000}"/>
    <cellStyle name="Normal 101 2 8" xfId="3913" xr:uid="{00000000-0005-0000-0000-000040150000}"/>
    <cellStyle name="Normal 101 2 8 2" xfId="3914" xr:uid="{00000000-0005-0000-0000-000041150000}"/>
    <cellStyle name="Normal 101 2 8 2 2" xfId="3915" xr:uid="{00000000-0005-0000-0000-000042150000}"/>
    <cellStyle name="Normal 101 2 8 3" xfId="3916" xr:uid="{00000000-0005-0000-0000-000043150000}"/>
    <cellStyle name="Normal 101 2 9" xfId="3917" xr:uid="{00000000-0005-0000-0000-000044150000}"/>
    <cellStyle name="Normal 101 2 9 2" xfId="3918" xr:uid="{00000000-0005-0000-0000-000045150000}"/>
    <cellStyle name="Normal 101 3" xfId="3919" xr:uid="{00000000-0005-0000-0000-000046150000}"/>
    <cellStyle name="Normal 101 3 2" xfId="3920" xr:uid="{00000000-0005-0000-0000-000047150000}"/>
    <cellStyle name="Normal 101 3 2 2" xfId="3921" xr:uid="{00000000-0005-0000-0000-000048150000}"/>
    <cellStyle name="Normal 101 3 2 2 2" xfId="3922" xr:uid="{00000000-0005-0000-0000-000049150000}"/>
    <cellStyle name="Normal 101 3 2 3" xfId="3923" xr:uid="{00000000-0005-0000-0000-00004A150000}"/>
    <cellStyle name="Normal 101 3 2 3 2" xfId="3924" xr:uid="{00000000-0005-0000-0000-00004B150000}"/>
    <cellStyle name="Normal 101 3 2 4" xfId="3925" xr:uid="{00000000-0005-0000-0000-00004C150000}"/>
    <cellStyle name="Normal 101 3 3" xfId="3926" xr:uid="{00000000-0005-0000-0000-00004D150000}"/>
    <cellStyle name="Normal 101 3 3 2" xfId="3927" xr:uid="{00000000-0005-0000-0000-00004E150000}"/>
    <cellStyle name="Normal 101 3 3 2 2" xfId="3928" xr:uid="{00000000-0005-0000-0000-00004F150000}"/>
    <cellStyle name="Normal 101 3 3 3" xfId="3929" xr:uid="{00000000-0005-0000-0000-000050150000}"/>
    <cellStyle name="Normal 101 3 3 3 2" xfId="3930" xr:uid="{00000000-0005-0000-0000-000051150000}"/>
    <cellStyle name="Normal 101 3 3 4" xfId="3931" xr:uid="{00000000-0005-0000-0000-000052150000}"/>
    <cellStyle name="Normal 101 3 4" xfId="3932" xr:uid="{00000000-0005-0000-0000-000053150000}"/>
    <cellStyle name="Normal 101 3 4 2" xfId="3933" xr:uid="{00000000-0005-0000-0000-000054150000}"/>
    <cellStyle name="Normal 101 3 5" xfId="3934" xr:uid="{00000000-0005-0000-0000-000055150000}"/>
    <cellStyle name="Normal 101 3 5 2" xfId="3935" xr:uid="{00000000-0005-0000-0000-000056150000}"/>
    <cellStyle name="Normal 101 3 6" xfId="3936" xr:uid="{00000000-0005-0000-0000-000057150000}"/>
    <cellStyle name="Normal 101 4" xfId="3937" xr:uid="{00000000-0005-0000-0000-000058150000}"/>
    <cellStyle name="Normal 101 4 2" xfId="3938" xr:uid="{00000000-0005-0000-0000-000059150000}"/>
    <cellStyle name="Normal 101 4 2 2" xfId="3939" xr:uid="{00000000-0005-0000-0000-00005A150000}"/>
    <cellStyle name="Normal 101 4 3" xfId="3940" xr:uid="{00000000-0005-0000-0000-00005B150000}"/>
    <cellStyle name="Normal 101 4 3 2" xfId="3941" xr:uid="{00000000-0005-0000-0000-00005C150000}"/>
    <cellStyle name="Normal 101 4 4" xfId="3942" xr:uid="{00000000-0005-0000-0000-00005D150000}"/>
    <cellStyle name="Normal 101 5" xfId="3943" xr:uid="{00000000-0005-0000-0000-00005E150000}"/>
    <cellStyle name="Normal 101 5 2" xfId="3944" xr:uid="{00000000-0005-0000-0000-00005F150000}"/>
    <cellStyle name="Normal 101 5 2 2" xfId="3945" xr:uid="{00000000-0005-0000-0000-000060150000}"/>
    <cellStyle name="Normal 101 5 3" xfId="3946" xr:uid="{00000000-0005-0000-0000-000061150000}"/>
    <cellStyle name="Normal 101 5 3 2" xfId="3947" xr:uid="{00000000-0005-0000-0000-000062150000}"/>
    <cellStyle name="Normal 101 5 4" xfId="3948" xr:uid="{00000000-0005-0000-0000-000063150000}"/>
    <cellStyle name="Normal 101 6" xfId="3949" xr:uid="{00000000-0005-0000-0000-000064150000}"/>
    <cellStyle name="Normal 101 6 2" xfId="3950" xr:uid="{00000000-0005-0000-0000-000065150000}"/>
    <cellStyle name="Normal 101 6 2 2" xfId="3951" xr:uid="{00000000-0005-0000-0000-000066150000}"/>
    <cellStyle name="Normal 101 6 3" xfId="3952" xr:uid="{00000000-0005-0000-0000-000067150000}"/>
    <cellStyle name="Normal 101 6 3 2" xfId="3953" xr:uid="{00000000-0005-0000-0000-000068150000}"/>
    <cellStyle name="Normal 101 6 4" xfId="3954" xr:uid="{00000000-0005-0000-0000-000069150000}"/>
    <cellStyle name="Normal 101 7" xfId="3955" xr:uid="{00000000-0005-0000-0000-00006A150000}"/>
    <cellStyle name="Normal 101 7 2" xfId="3956" xr:uid="{00000000-0005-0000-0000-00006B150000}"/>
    <cellStyle name="Normal 101 7 2 2" xfId="3957" xr:uid="{00000000-0005-0000-0000-00006C150000}"/>
    <cellStyle name="Normal 101 7 3" xfId="3958" xr:uid="{00000000-0005-0000-0000-00006D150000}"/>
    <cellStyle name="Normal 101 7 3 2" xfId="3959" xr:uid="{00000000-0005-0000-0000-00006E150000}"/>
    <cellStyle name="Normal 101 7 4" xfId="3960" xr:uid="{00000000-0005-0000-0000-00006F150000}"/>
    <cellStyle name="Normal 101 8" xfId="3961" xr:uid="{00000000-0005-0000-0000-000070150000}"/>
    <cellStyle name="Normal 101 8 2" xfId="3962" xr:uid="{00000000-0005-0000-0000-000071150000}"/>
    <cellStyle name="Normal 101 8 2 2" xfId="3963" xr:uid="{00000000-0005-0000-0000-000072150000}"/>
    <cellStyle name="Normal 101 8 3" xfId="3964" xr:uid="{00000000-0005-0000-0000-000073150000}"/>
    <cellStyle name="Normal 101 8 3 2" xfId="3965" xr:uid="{00000000-0005-0000-0000-000074150000}"/>
    <cellStyle name="Normal 101 8 4" xfId="3966" xr:uid="{00000000-0005-0000-0000-000075150000}"/>
    <cellStyle name="Normal 101 9" xfId="3967" xr:uid="{00000000-0005-0000-0000-000076150000}"/>
    <cellStyle name="Normal 101 9 2" xfId="3968" xr:uid="{00000000-0005-0000-0000-000077150000}"/>
    <cellStyle name="Normal 101 9 2 2" xfId="3969" xr:uid="{00000000-0005-0000-0000-000078150000}"/>
    <cellStyle name="Normal 101 9 3" xfId="3970" xr:uid="{00000000-0005-0000-0000-000079150000}"/>
    <cellStyle name="Normal 102" xfId="3971" xr:uid="{00000000-0005-0000-0000-00007A150000}"/>
    <cellStyle name="Normal 102 2" xfId="3972" xr:uid="{00000000-0005-0000-0000-00007B150000}"/>
    <cellStyle name="Normal 102 2 2" xfId="3973" xr:uid="{00000000-0005-0000-0000-00007C150000}"/>
    <cellStyle name="Normal 102 2 2 2" xfId="47551" xr:uid="{00000000-0005-0000-0000-00007D150000}"/>
    <cellStyle name="Normal 102 2 2 3" xfId="47552" xr:uid="{00000000-0005-0000-0000-00007E150000}"/>
    <cellStyle name="Normal 102 2 3" xfId="47553" xr:uid="{00000000-0005-0000-0000-00007F150000}"/>
    <cellStyle name="Normal 102 2 4" xfId="47554" xr:uid="{00000000-0005-0000-0000-000080150000}"/>
    <cellStyle name="Normal 102 3" xfId="3974" xr:uid="{00000000-0005-0000-0000-000081150000}"/>
    <cellStyle name="Normal 102 3 2" xfId="47555" xr:uid="{00000000-0005-0000-0000-000082150000}"/>
    <cellStyle name="Normal 102 3 3" xfId="47556" xr:uid="{00000000-0005-0000-0000-000083150000}"/>
    <cellStyle name="Normal 102 4" xfId="47557" xr:uid="{00000000-0005-0000-0000-000084150000}"/>
    <cellStyle name="Normal 102 5" xfId="47558" xr:uid="{00000000-0005-0000-0000-000085150000}"/>
    <cellStyle name="Normal 103" xfId="3975" xr:uid="{00000000-0005-0000-0000-000086150000}"/>
    <cellStyle name="Normal 103 2" xfId="3976" xr:uid="{00000000-0005-0000-0000-000087150000}"/>
    <cellStyle name="Normal 103 2 2" xfId="3977" xr:uid="{00000000-0005-0000-0000-000088150000}"/>
    <cellStyle name="Normal 103 2 2 2" xfId="47559" xr:uid="{00000000-0005-0000-0000-000089150000}"/>
    <cellStyle name="Normal 103 2 2 3" xfId="47560" xr:uid="{00000000-0005-0000-0000-00008A150000}"/>
    <cellStyle name="Normal 103 2 3" xfId="47561" xr:uid="{00000000-0005-0000-0000-00008B150000}"/>
    <cellStyle name="Normal 103 2 4" xfId="47562" xr:uid="{00000000-0005-0000-0000-00008C150000}"/>
    <cellStyle name="Normal 103 3" xfId="3978" xr:uid="{00000000-0005-0000-0000-00008D150000}"/>
    <cellStyle name="Normal 103 3 2" xfId="47563" xr:uid="{00000000-0005-0000-0000-00008E150000}"/>
    <cellStyle name="Normal 103 3 3" xfId="47564" xr:uid="{00000000-0005-0000-0000-00008F150000}"/>
    <cellStyle name="Normal 103 4" xfId="47565" xr:uid="{00000000-0005-0000-0000-000090150000}"/>
    <cellStyle name="Normal 103 5" xfId="47566" xr:uid="{00000000-0005-0000-0000-000091150000}"/>
    <cellStyle name="Normal 104" xfId="3979" xr:uid="{00000000-0005-0000-0000-000092150000}"/>
    <cellStyle name="Normal 104 2" xfId="3980" xr:uid="{00000000-0005-0000-0000-000093150000}"/>
    <cellStyle name="Normal 104 2 2" xfId="3981" xr:uid="{00000000-0005-0000-0000-000094150000}"/>
    <cellStyle name="Normal 104 2 2 2" xfId="3982" xr:uid="{00000000-0005-0000-0000-000095150000}"/>
    <cellStyle name="Normal 104 2 2 2 2" xfId="3983" xr:uid="{00000000-0005-0000-0000-000096150000}"/>
    <cellStyle name="Normal 104 2 2 3" xfId="3984" xr:uid="{00000000-0005-0000-0000-000097150000}"/>
    <cellStyle name="Normal 104 2 2 3 2" xfId="3985" xr:uid="{00000000-0005-0000-0000-000098150000}"/>
    <cellStyle name="Normal 104 2 2 4" xfId="3986" xr:uid="{00000000-0005-0000-0000-000099150000}"/>
    <cellStyle name="Normal 104 2 3" xfId="3987" xr:uid="{00000000-0005-0000-0000-00009A150000}"/>
    <cellStyle name="Normal 104 2 3 2" xfId="3988" xr:uid="{00000000-0005-0000-0000-00009B150000}"/>
    <cellStyle name="Normal 104 2 3 2 2" xfId="3989" xr:uid="{00000000-0005-0000-0000-00009C150000}"/>
    <cellStyle name="Normal 104 2 3 3" xfId="3990" xr:uid="{00000000-0005-0000-0000-00009D150000}"/>
    <cellStyle name="Normal 104 2 3 3 2" xfId="3991" xr:uid="{00000000-0005-0000-0000-00009E150000}"/>
    <cellStyle name="Normal 104 2 3 4" xfId="3992" xr:uid="{00000000-0005-0000-0000-00009F150000}"/>
    <cellStyle name="Normal 104 2 4" xfId="3993" xr:uid="{00000000-0005-0000-0000-0000A0150000}"/>
    <cellStyle name="Normal 104 2 4 2" xfId="3994" xr:uid="{00000000-0005-0000-0000-0000A1150000}"/>
    <cellStyle name="Normal 104 2 4 2 2" xfId="3995" xr:uid="{00000000-0005-0000-0000-0000A2150000}"/>
    <cellStyle name="Normal 104 2 4 3" xfId="3996" xr:uid="{00000000-0005-0000-0000-0000A3150000}"/>
    <cellStyle name="Normal 104 2 4 3 2" xfId="3997" xr:uid="{00000000-0005-0000-0000-0000A4150000}"/>
    <cellStyle name="Normal 104 2 4 4" xfId="3998" xr:uid="{00000000-0005-0000-0000-0000A5150000}"/>
    <cellStyle name="Normal 104 2 5" xfId="3999" xr:uid="{00000000-0005-0000-0000-0000A6150000}"/>
    <cellStyle name="Normal 104 2 5 2" xfId="4000" xr:uid="{00000000-0005-0000-0000-0000A7150000}"/>
    <cellStyle name="Normal 104 2 5 2 2" xfId="4001" xr:uid="{00000000-0005-0000-0000-0000A8150000}"/>
    <cellStyle name="Normal 104 2 5 3" xfId="4002" xr:uid="{00000000-0005-0000-0000-0000A9150000}"/>
    <cellStyle name="Normal 104 2 6" xfId="4003" xr:uid="{00000000-0005-0000-0000-0000AA150000}"/>
    <cellStyle name="Normal 104 2 6 2" xfId="4004" xr:uid="{00000000-0005-0000-0000-0000AB150000}"/>
    <cellStyle name="Normal 104 2 7" xfId="4005" xr:uid="{00000000-0005-0000-0000-0000AC150000}"/>
    <cellStyle name="Normal 104 2 7 2" xfId="4006" xr:uid="{00000000-0005-0000-0000-0000AD150000}"/>
    <cellStyle name="Normal 104 2 8" xfId="4007" xr:uid="{00000000-0005-0000-0000-0000AE150000}"/>
    <cellStyle name="Normal 104 3" xfId="4008" xr:uid="{00000000-0005-0000-0000-0000AF150000}"/>
    <cellStyle name="Normal 104 3 2" xfId="4009" xr:uid="{00000000-0005-0000-0000-0000B0150000}"/>
    <cellStyle name="Normal 104 3 2 2" xfId="4010" xr:uid="{00000000-0005-0000-0000-0000B1150000}"/>
    <cellStyle name="Normal 104 3 2 2 2" xfId="4011" xr:uid="{00000000-0005-0000-0000-0000B2150000}"/>
    <cellStyle name="Normal 104 3 2 3" xfId="4012" xr:uid="{00000000-0005-0000-0000-0000B3150000}"/>
    <cellStyle name="Normal 104 3 2 3 2" xfId="4013" xr:uid="{00000000-0005-0000-0000-0000B4150000}"/>
    <cellStyle name="Normal 104 3 2 4" xfId="4014" xr:uid="{00000000-0005-0000-0000-0000B5150000}"/>
    <cellStyle name="Normal 104 3 3" xfId="4015" xr:uid="{00000000-0005-0000-0000-0000B6150000}"/>
    <cellStyle name="Normal 104 3 3 2" xfId="4016" xr:uid="{00000000-0005-0000-0000-0000B7150000}"/>
    <cellStyle name="Normal 104 3 4" xfId="4017" xr:uid="{00000000-0005-0000-0000-0000B8150000}"/>
    <cellStyle name="Normal 104 3 4 2" xfId="4018" xr:uid="{00000000-0005-0000-0000-0000B9150000}"/>
    <cellStyle name="Normal 104 3 5" xfId="4019" xr:uid="{00000000-0005-0000-0000-0000BA150000}"/>
    <cellStyle name="Normal 104 4" xfId="4020" xr:uid="{00000000-0005-0000-0000-0000BB150000}"/>
    <cellStyle name="Normal 104 4 2" xfId="4021" xr:uid="{00000000-0005-0000-0000-0000BC150000}"/>
    <cellStyle name="Normal 104 4 2 2" xfId="4022" xr:uid="{00000000-0005-0000-0000-0000BD150000}"/>
    <cellStyle name="Normal 104 4 3" xfId="4023" xr:uid="{00000000-0005-0000-0000-0000BE150000}"/>
    <cellStyle name="Normal 104 4 3 2" xfId="4024" xr:uid="{00000000-0005-0000-0000-0000BF150000}"/>
    <cellStyle name="Normal 104 4 4" xfId="4025" xr:uid="{00000000-0005-0000-0000-0000C0150000}"/>
    <cellStyle name="Normal 104 5" xfId="4026" xr:uid="{00000000-0005-0000-0000-0000C1150000}"/>
    <cellStyle name="Normal 104 6" xfId="4027" xr:uid="{00000000-0005-0000-0000-0000C2150000}"/>
    <cellStyle name="Normal 104 6 2" xfId="4028" xr:uid="{00000000-0005-0000-0000-0000C3150000}"/>
    <cellStyle name="Normal 104 6 2 2" xfId="4029" xr:uid="{00000000-0005-0000-0000-0000C4150000}"/>
    <cellStyle name="Normal 104 6 3" xfId="4030" xr:uid="{00000000-0005-0000-0000-0000C5150000}"/>
    <cellStyle name="Normal 104 7" xfId="4031" xr:uid="{00000000-0005-0000-0000-0000C6150000}"/>
    <cellStyle name="Normal 104 7 2" xfId="4032" xr:uid="{00000000-0005-0000-0000-0000C7150000}"/>
    <cellStyle name="Normal 104 8" xfId="4033" xr:uid="{00000000-0005-0000-0000-0000C8150000}"/>
    <cellStyle name="Normal 104 9" xfId="46025" xr:uid="{00000000-0005-0000-0000-0000C9150000}"/>
    <cellStyle name="Normal 105" xfId="4034" xr:uid="{00000000-0005-0000-0000-0000CA150000}"/>
    <cellStyle name="Normal 105 2" xfId="4035" xr:uid="{00000000-0005-0000-0000-0000CB150000}"/>
    <cellStyle name="Normal 105 2 2" xfId="4036" xr:uid="{00000000-0005-0000-0000-0000CC150000}"/>
    <cellStyle name="Normal 105 2 2 2" xfId="4037" xr:uid="{00000000-0005-0000-0000-0000CD150000}"/>
    <cellStyle name="Normal 105 2 3" xfId="4038" xr:uid="{00000000-0005-0000-0000-0000CE150000}"/>
    <cellStyle name="Normal 105 2 3 2" xfId="4039" xr:uid="{00000000-0005-0000-0000-0000CF150000}"/>
    <cellStyle name="Normal 105 2 4" xfId="4040" xr:uid="{00000000-0005-0000-0000-0000D0150000}"/>
    <cellStyle name="Normal 105 3" xfId="4041" xr:uid="{00000000-0005-0000-0000-0000D1150000}"/>
    <cellStyle name="Normal 105 3 2" xfId="4042" xr:uid="{00000000-0005-0000-0000-0000D2150000}"/>
    <cellStyle name="Normal 105 3 2 2" xfId="4043" xr:uid="{00000000-0005-0000-0000-0000D3150000}"/>
    <cellStyle name="Normal 105 3 3" xfId="4044" xr:uid="{00000000-0005-0000-0000-0000D4150000}"/>
    <cellStyle name="Normal 105 3 3 2" xfId="4045" xr:uid="{00000000-0005-0000-0000-0000D5150000}"/>
    <cellStyle name="Normal 105 3 4" xfId="4046" xr:uid="{00000000-0005-0000-0000-0000D6150000}"/>
    <cellStyle name="Normal 105 4" xfId="4047" xr:uid="{00000000-0005-0000-0000-0000D7150000}"/>
    <cellStyle name="Normal 105 4 2" xfId="4048" xr:uid="{00000000-0005-0000-0000-0000D8150000}"/>
    <cellStyle name="Normal 105 5" xfId="4049" xr:uid="{00000000-0005-0000-0000-0000D9150000}"/>
    <cellStyle name="Normal 105 5 2" xfId="4050" xr:uid="{00000000-0005-0000-0000-0000DA150000}"/>
    <cellStyle name="Normal 105 6" xfId="4051" xr:uid="{00000000-0005-0000-0000-0000DB150000}"/>
    <cellStyle name="Normal 106" xfId="4052" xr:uid="{00000000-0005-0000-0000-0000DC150000}"/>
    <cellStyle name="Normal 106 2" xfId="4053" xr:uid="{00000000-0005-0000-0000-0000DD150000}"/>
    <cellStyle name="Normal 107" xfId="4054" xr:uid="{00000000-0005-0000-0000-0000DE150000}"/>
    <cellStyle name="Normal 108" xfId="4055" xr:uid="{00000000-0005-0000-0000-0000DF150000}"/>
    <cellStyle name="Normal 109" xfId="4056" xr:uid="{00000000-0005-0000-0000-0000E0150000}"/>
    <cellStyle name="Normal 109 2" xfId="47567" xr:uid="{00000000-0005-0000-0000-0000E1150000}"/>
    <cellStyle name="Normal 11" xfId="4057" xr:uid="{00000000-0005-0000-0000-0000E2150000}"/>
    <cellStyle name="Normal 11 2" xfId="4058" xr:uid="{00000000-0005-0000-0000-0000E3150000}"/>
    <cellStyle name="Normal 11 2 2" xfId="4059" xr:uid="{00000000-0005-0000-0000-0000E4150000}"/>
    <cellStyle name="Normal 11 2 2 2" xfId="4060" xr:uid="{00000000-0005-0000-0000-0000E5150000}"/>
    <cellStyle name="Normal 11 2 3" xfId="4061" xr:uid="{00000000-0005-0000-0000-0000E6150000}"/>
    <cellStyle name="Normal 11 3" xfId="4062" xr:uid="{00000000-0005-0000-0000-0000E7150000}"/>
    <cellStyle name="Normal 11 3 2" xfId="4063" xr:uid="{00000000-0005-0000-0000-0000E8150000}"/>
    <cellStyle name="Normal 11 4" xfId="4064" xr:uid="{00000000-0005-0000-0000-0000E9150000}"/>
    <cellStyle name="Normal 11 4 2" xfId="4065" xr:uid="{00000000-0005-0000-0000-0000EA150000}"/>
    <cellStyle name="Normal 11 5" xfId="4066" xr:uid="{00000000-0005-0000-0000-0000EB150000}"/>
    <cellStyle name="Normal 11 6" xfId="4067" xr:uid="{00000000-0005-0000-0000-0000EC150000}"/>
    <cellStyle name="Normal 110" xfId="4068" xr:uid="{00000000-0005-0000-0000-0000ED150000}"/>
    <cellStyle name="Normal 111" xfId="4069" xr:uid="{00000000-0005-0000-0000-0000EE150000}"/>
    <cellStyle name="Normal 112" xfId="47568" xr:uid="{00000000-0005-0000-0000-0000EF150000}"/>
    <cellStyle name="Normal 113" xfId="47569" xr:uid="{00000000-0005-0000-0000-0000F0150000}"/>
    <cellStyle name="Normal 114" xfId="47570" xr:uid="{00000000-0005-0000-0000-0000F1150000}"/>
    <cellStyle name="Normal 115" xfId="47571" xr:uid="{00000000-0005-0000-0000-0000F2150000}"/>
    <cellStyle name="Normal 116" xfId="47572" xr:uid="{00000000-0005-0000-0000-0000F3150000}"/>
    <cellStyle name="Normal 117" xfId="47573" xr:uid="{00000000-0005-0000-0000-0000F4150000}"/>
    <cellStyle name="Normal 118" xfId="47574" xr:uid="{00000000-0005-0000-0000-0000F5150000}"/>
    <cellStyle name="Normal 119" xfId="47575" xr:uid="{00000000-0005-0000-0000-0000F6150000}"/>
    <cellStyle name="Normal 12" xfId="4070" xr:uid="{00000000-0005-0000-0000-0000F7150000}"/>
    <cellStyle name="Normal 12 10" xfId="4071" xr:uid="{00000000-0005-0000-0000-0000F8150000}"/>
    <cellStyle name="Normal 12 10 2" xfId="4072" xr:uid="{00000000-0005-0000-0000-0000F9150000}"/>
    <cellStyle name="Normal 12 10 2 2" xfId="4073" xr:uid="{00000000-0005-0000-0000-0000FA150000}"/>
    <cellStyle name="Normal 12 10 2 2 2" xfId="4074" xr:uid="{00000000-0005-0000-0000-0000FB150000}"/>
    <cellStyle name="Normal 12 10 2 2 2 2" xfId="47576" xr:uid="{00000000-0005-0000-0000-0000FC150000}"/>
    <cellStyle name="Normal 12 10 2 2 2 3" xfId="47577" xr:uid="{00000000-0005-0000-0000-0000FD150000}"/>
    <cellStyle name="Normal 12 10 2 2 3" xfId="4075" xr:uid="{00000000-0005-0000-0000-0000FE150000}"/>
    <cellStyle name="Normal 12 10 2 2 3 2" xfId="47578" xr:uid="{00000000-0005-0000-0000-0000FF150000}"/>
    <cellStyle name="Normal 12 10 2 2 4" xfId="4076" xr:uid="{00000000-0005-0000-0000-000000160000}"/>
    <cellStyle name="Normal 12 10 2 2 5" xfId="4077" xr:uid="{00000000-0005-0000-0000-000001160000}"/>
    <cellStyle name="Normal 12 10 2 2 6" xfId="4078" xr:uid="{00000000-0005-0000-0000-000002160000}"/>
    <cellStyle name="Normal 12 10 2 3" xfId="4079" xr:uid="{00000000-0005-0000-0000-000003160000}"/>
    <cellStyle name="Normal 12 10 2 3 2" xfId="47579" xr:uid="{00000000-0005-0000-0000-000004160000}"/>
    <cellStyle name="Normal 12 10 2 3 3" xfId="47580" xr:uid="{00000000-0005-0000-0000-000005160000}"/>
    <cellStyle name="Normal 12 10 2 4" xfId="4080" xr:uid="{00000000-0005-0000-0000-000006160000}"/>
    <cellStyle name="Normal 12 10 2 4 2" xfId="47581" xr:uid="{00000000-0005-0000-0000-000007160000}"/>
    <cellStyle name="Normal 12 10 2 5" xfId="4081" xr:uid="{00000000-0005-0000-0000-000008160000}"/>
    <cellStyle name="Normal 12 10 2 6" xfId="4082" xr:uid="{00000000-0005-0000-0000-000009160000}"/>
    <cellStyle name="Normal 12 10 2 7" xfId="4083" xr:uid="{00000000-0005-0000-0000-00000A160000}"/>
    <cellStyle name="Normal 12 10 3" xfId="4084" xr:uid="{00000000-0005-0000-0000-00000B160000}"/>
    <cellStyle name="Normal 12 10 3 2" xfId="4085" xr:uid="{00000000-0005-0000-0000-00000C160000}"/>
    <cellStyle name="Normal 12 10 3 2 2" xfId="47582" xr:uid="{00000000-0005-0000-0000-00000D160000}"/>
    <cellStyle name="Normal 12 10 3 2 3" xfId="47583" xr:uid="{00000000-0005-0000-0000-00000E160000}"/>
    <cellStyle name="Normal 12 10 3 3" xfId="4086" xr:uid="{00000000-0005-0000-0000-00000F160000}"/>
    <cellStyle name="Normal 12 10 3 3 2" xfId="47584" xr:uid="{00000000-0005-0000-0000-000010160000}"/>
    <cellStyle name="Normal 12 10 3 4" xfId="4087" xr:uid="{00000000-0005-0000-0000-000011160000}"/>
    <cellStyle name="Normal 12 10 3 5" xfId="4088" xr:uid="{00000000-0005-0000-0000-000012160000}"/>
    <cellStyle name="Normal 12 10 3 6" xfId="4089" xr:uid="{00000000-0005-0000-0000-000013160000}"/>
    <cellStyle name="Normal 12 10 4" xfId="4090" xr:uid="{00000000-0005-0000-0000-000014160000}"/>
    <cellStyle name="Normal 12 10 4 2" xfId="47585" xr:uid="{00000000-0005-0000-0000-000015160000}"/>
    <cellStyle name="Normal 12 10 4 3" xfId="47586" xr:uid="{00000000-0005-0000-0000-000016160000}"/>
    <cellStyle name="Normal 12 10 5" xfId="4091" xr:uid="{00000000-0005-0000-0000-000017160000}"/>
    <cellStyle name="Normal 12 10 5 2" xfId="47587" xr:uid="{00000000-0005-0000-0000-000018160000}"/>
    <cellStyle name="Normal 12 10 6" xfId="4092" xr:uid="{00000000-0005-0000-0000-000019160000}"/>
    <cellStyle name="Normal 12 10 7" xfId="4093" xr:uid="{00000000-0005-0000-0000-00001A160000}"/>
    <cellStyle name="Normal 12 10 8" xfId="4094" xr:uid="{00000000-0005-0000-0000-00001B160000}"/>
    <cellStyle name="Normal 12 11" xfId="4095" xr:uid="{00000000-0005-0000-0000-00001C160000}"/>
    <cellStyle name="Normal 12 11 2" xfId="4096" xr:uid="{00000000-0005-0000-0000-00001D160000}"/>
    <cellStyle name="Normal 12 11 2 2" xfId="4097" xr:uid="{00000000-0005-0000-0000-00001E160000}"/>
    <cellStyle name="Normal 12 11 2 2 2" xfId="4098" xr:uid="{00000000-0005-0000-0000-00001F160000}"/>
    <cellStyle name="Normal 12 11 2 2 2 2" xfId="47588" xr:uid="{00000000-0005-0000-0000-000020160000}"/>
    <cellStyle name="Normal 12 11 2 2 2 3" xfId="47589" xr:uid="{00000000-0005-0000-0000-000021160000}"/>
    <cellStyle name="Normal 12 11 2 2 3" xfId="4099" xr:uid="{00000000-0005-0000-0000-000022160000}"/>
    <cellStyle name="Normal 12 11 2 2 3 2" xfId="47590" xr:uid="{00000000-0005-0000-0000-000023160000}"/>
    <cellStyle name="Normal 12 11 2 2 4" xfId="4100" xr:uid="{00000000-0005-0000-0000-000024160000}"/>
    <cellStyle name="Normal 12 11 2 2 5" xfId="4101" xr:uid="{00000000-0005-0000-0000-000025160000}"/>
    <cellStyle name="Normal 12 11 2 2 6" xfId="4102" xr:uid="{00000000-0005-0000-0000-000026160000}"/>
    <cellStyle name="Normal 12 11 2 3" xfId="4103" xr:uid="{00000000-0005-0000-0000-000027160000}"/>
    <cellStyle name="Normal 12 11 2 3 2" xfId="47591" xr:uid="{00000000-0005-0000-0000-000028160000}"/>
    <cellStyle name="Normal 12 11 2 3 3" xfId="47592" xr:uid="{00000000-0005-0000-0000-000029160000}"/>
    <cellStyle name="Normal 12 11 2 4" xfId="4104" xr:uid="{00000000-0005-0000-0000-00002A160000}"/>
    <cellStyle name="Normal 12 11 2 4 2" xfId="47593" xr:uid="{00000000-0005-0000-0000-00002B160000}"/>
    <cellStyle name="Normal 12 11 2 5" xfId="4105" xr:uid="{00000000-0005-0000-0000-00002C160000}"/>
    <cellStyle name="Normal 12 11 2 6" xfId="4106" xr:uid="{00000000-0005-0000-0000-00002D160000}"/>
    <cellStyle name="Normal 12 11 2 7" xfId="4107" xr:uid="{00000000-0005-0000-0000-00002E160000}"/>
    <cellStyle name="Normal 12 11 3" xfId="4108" xr:uid="{00000000-0005-0000-0000-00002F160000}"/>
    <cellStyle name="Normal 12 11 3 2" xfId="4109" xr:uid="{00000000-0005-0000-0000-000030160000}"/>
    <cellStyle name="Normal 12 11 3 2 2" xfId="47594" xr:uid="{00000000-0005-0000-0000-000031160000}"/>
    <cellStyle name="Normal 12 11 3 2 3" xfId="47595" xr:uid="{00000000-0005-0000-0000-000032160000}"/>
    <cellStyle name="Normal 12 11 3 3" xfId="4110" xr:uid="{00000000-0005-0000-0000-000033160000}"/>
    <cellStyle name="Normal 12 11 3 3 2" xfId="47596" xr:uid="{00000000-0005-0000-0000-000034160000}"/>
    <cellStyle name="Normal 12 11 3 4" xfId="4111" xr:uid="{00000000-0005-0000-0000-000035160000}"/>
    <cellStyle name="Normal 12 11 3 5" xfId="4112" xr:uid="{00000000-0005-0000-0000-000036160000}"/>
    <cellStyle name="Normal 12 11 3 6" xfId="4113" xr:uid="{00000000-0005-0000-0000-000037160000}"/>
    <cellStyle name="Normal 12 11 4" xfId="4114" xr:uid="{00000000-0005-0000-0000-000038160000}"/>
    <cellStyle name="Normal 12 11 4 2" xfId="47597" xr:uid="{00000000-0005-0000-0000-000039160000}"/>
    <cellStyle name="Normal 12 11 4 3" xfId="47598" xr:uid="{00000000-0005-0000-0000-00003A160000}"/>
    <cellStyle name="Normal 12 11 5" xfId="4115" xr:uid="{00000000-0005-0000-0000-00003B160000}"/>
    <cellStyle name="Normal 12 11 5 2" xfId="47599" xr:uid="{00000000-0005-0000-0000-00003C160000}"/>
    <cellStyle name="Normal 12 11 6" xfId="4116" xr:uid="{00000000-0005-0000-0000-00003D160000}"/>
    <cellStyle name="Normal 12 11 7" xfId="4117" xr:uid="{00000000-0005-0000-0000-00003E160000}"/>
    <cellStyle name="Normal 12 11 8" xfId="4118" xr:uid="{00000000-0005-0000-0000-00003F160000}"/>
    <cellStyle name="Normal 12 12" xfId="4119" xr:uid="{00000000-0005-0000-0000-000040160000}"/>
    <cellStyle name="Normal 12 12 2" xfId="4120" xr:uid="{00000000-0005-0000-0000-000041160000}"/>
    <cellStyle name="Normal 12 12 2 2" xfId="4121" xr:uid="{00000000-0005-0000-0000-000042160000}"/>
    <cellStyle name="Normal 12 12 2 2 2" xfId="47600" xr:uid="{00000000-0005-0000-0000-000043160000}"/>
    <cellStyle name="Normal 12 12 2 2 3" xfId="47601" xr:uid="{00000000-0005-0000-0000-000044160000}"/>
    <cellStyle name="Normal 12 12 2 3" xfId="4122" xr:uid="{00000000-0005-0000-0000-000045160000}"/>
    <cellStyle name="Normal 12 12 2 3 2" xfId="47602" xr:uid="{00000000-0005-0000-0000-000046160000}"/>
    <cellStyle name="Normal 12 12 2 4" xfId="4123" xr:uid="{00000000-0005-0000-0000-000047160000}"/>
    <cellStyle name="Normal 12 12 2 5" xfId="4124" xr:uid="{00000000-0005-0000-0000-000048160000}"/>
    <cellStyle name="Normal 12 12 2 6" xfId="4125" xr:uid="{00000000-0005-0000-0000-000049160000}"/>
    <cellStyle name="Normal 12 12 3" xfId="4126" xr:uid="{00000000-0005-0000-0000-00004A160000}"/>
    <cellStyle name="Normal 12 12 3 2" xfId="47603" xr:uid="{00000000-0005-0000-0000-00004B160000}"/>
    <cellStyle name="Normal 12 12 3 3" xfId="47604" xr:uid="{00000000-0005-0000-0000-00004C160000}"/>
    <cellStyle name="Normal 12 12 4" xfId="4127" xr:uid="{00000000-0005-0000-0000-00004D160000}"/>
    <cellStyle name="Normal 12 12 4 2" xfId="47605" xr:uid="{00000000-0005-0000-0000-00004E160000}"/>
    <cellStyle name="Normal 12 12 5" xfId="4128" xr:uid="{00000000-0005-0000-0000-00004F160000}"/>
    <cellStyle name="Normal 12 12 6" xfId="4129" xr:uid="{00000000-0005-0000-0000-000050160000}"/>
    <cellStyle name="Normal 12 12 7" xfId="4130" xr:uid="{00000000-0005-0000-0000-000051160000}"/>
    <cellStyle name="Normal 12 13" xfId="4131" xr:uid="{00000000-0005-0000-0000-000052160000}"/>
    <cellStyle name="Normal 12 13 2" xfId="4132" xr:uid="{00000000-0005-0000-0000-000053160000}"/>
    <cellStyle name="Normal 12 13 2 2" xfId="47606" xr:uid="{00000000-0005-0000-0000-000054160000}"/>
    <cellStyle name="Normal 12 13 2 3" xfId="47607" xr:uid="{00000000-0005-0000-0000-000055160000}"/>
    <cellStyle name="Normal 12 13 3" xfId="4133" xr:uid="{00000000-0005-0000-0000-000056160000}"/>
    <cellStyle name="Normal 12 13 3 2" xfId="47608" xr:uid="{00000000-0005-0000-0000-000057160000}"/>
    <cellStyle name="Normal 12 13 4" xfId="4134" xr:uid="{00000000-0005-0000-0000-000058160000}"/>
    <cellStyle name="Normal 12 13 5" xfId="4135" xr:uid="{00000000-0005-0000-0000-000059160000}"/>
    <cellStyle name="Normal 12 13 6" xfId="4136" xr:uid="{00000000-0005-0000-0000-00005A160000}"/>
    <cellStyle name="Normal 12 14" xfId="4137" xr:uid="{00000000-0005-0000-0000-00005B160000}"/>
    <cellStyle name="Normal 12 14 2" xfId="47609" xr:uid="{00000000-0005-0000-0000-00005C160000}"/>
    <cellStyle name="Normal 12 14 3" xfId="47610" xr:uid="{00000000-0005-0000-0000-00005D160000}"/>
    <cellStyle name="Normal 12 15" xfId="4138" xr:uid="{00000000-0005-0000-0000-00005E160000}"/>
    <cellStyle name="Normal 12 15 2" xfId="47611" xr:uid="{00000000-0005-0000-0000-00005F160000}"/>
    <cellStyle name="Normal 12 16" xfId="4139" xr:uid="{00000000-0005-0000-0000-000060160000}"/>
    <cellStyle name="Normal 12 16 2" xfId="47612" xr:uid="{00000000-0005-0000-0000-000061160000}"/>
    <cellStyle name="Normal 12 17" xfId="4140" xr:uid="{00000000-0005-0000-0000-000062160000}"/>
    <cellStyle name="Normal 12 18" xfId="4141" xr:uid="{00000000-0005-0000-0000-000063160000}"/>
    <cellStyle name="Normal 12 19" xfId="4142" xr:uid="{00000000-0005-0000-0000-000064160000}"/>
    <cellStyle name="Normal 12 2" xfId="4143" xr:uid="{00000000-0005-0000-0000-000065160000}"/>
    <cellStyle name="Normal 12 2 10" xfId="4144" xr:uid="{00000000-0005-0000-0000-000066160000}"/>
    <cellStyle name="Normal 12 2 10 2" xfId="4145" xr:uid="{00000000-0005-0000-0000-000067160000}"/>
    <cellStyle name="Normal 12 2 10 2 2" xfId="4146" xr:uid="{00000000-0005-0000-0000-000068160000}"/>
    <cellStyle name="Normal 12 2 10 2 2 2" xfId="47613" xr:uid="{00000000-0005-0000-0000-000069160000}"/>
    <cellStyle name="Normal 12 2 10 2 2 3" xfId="47614" xr:uid="{00000000-0005-0000-0000-00006A160000}"/>
    <cellStyle name="Normal 12 2 10 2 3" xfId="4147" xr:uid="{00000000-0005-0000-0000-00006B160000}"/>
    <cellStyle name="Normal 12 2 10 2 3 2" xfId="47615" xr:uid="{00000000-0005-0000-0000-00006C160000}"/>
    <cellStyle name="Normal 12 2 10 2 4" xfId="4148" xr:uid="{00000000-0005-0000-0000-00006D160000}"/>
    <cellStyle name="Normal 12 2 10 2 5" xfId="4149" xr:uid="{00000000-0005-0000-0000-00006E160000}"/>
    <cellStyle name="Normal 12 2 10 2 6" xfId="4150" xr:uid="{00000000-0005-0000-0000-00006F160000}"/>
    <cellStyle name="Normal 12 2 10 3" xfId="4151" xr:uid="{00000000-0005-0000-0000-000070160000}"/>
    <cellStyle name="Normal 12 2 10 3 2" xfId="47616" xr:uid="{00000000-0005-0000-0000-000071160000}"/>
    <cellStyle name="Normal 12 2 10 3 3" xfId="47617" xr:uid="{00000000-0005-0000-0000-000072160000}"/>
    <cellStyle name="Normal 12 2 10 4" xfId="4152" xr:uid="{00000000-0005-0000-0000-000073160000}"/>
    <cellStyle name="Normal 12 2 10 4 2" xfId="47618" xr:uid="{00000000-0005-0000-0000-000074160000}"/>
    <cellStyle name="Normal 12 2 10 5" xfId="4153" xr:uid="{00000000-0005-0000-0000-000075160000}"/>
    <cellStyle name="Normal 12 2 10 6" xfId="4154" xr:uid="{00000000-0005-0000-0000-000076160000}"/>
    <cellStyle name="Normal 12 2 10 7" xfId="4155" xr:uid="{00000000-0005-0000-0000-000077160000}"/>
    <cellStyle name="Normal 12 2 11" xfId="4156" xr:uid="{00000000-0005-0000-0000-000078160000}"/>
    <cellStyle name="Normal 12 2 11 2" xfId="4157" xr:uid="{00000000-0005-0000-0000-000079160000}"/>
    <cellStyle name="Normal 12 2 11 2 2" xfId="47619" xr:uid="{00000000-0005-0000-0000-00007A160000}"/>
    <cellStyle name="Normal 12 2 11 2 3" xfId="47620" xr:uid="{00000000-0005-0000-0000-00007B160000}"/>
    <cellStyle name="Normal 12 2 11 3" xfId="4158" xr:uid="{00000000-0005-0000-0000-00007C160000}"/>
    <cellStyle name="Normal 12 2 11 3 2" xfId="47621" xr:uid="{00000000-0005-0000-0000-00007D160000}"/>
    <cellStyle name="Normal 12 2 11 4" xfId="4159" xr:uid="{00000000-0005-0000-0000-00007E160000}"/>
    <cellStyle name="Normal 12 2 11 5" xfId="4160" xr:uid="{00000000-0005-0000-0000-00007F160000}"/>
    <cellStyle name="Normal 12 2 11 6" xfId="4161" xr:uid="{00000000-0005-0000-0000-000080160000}"/>
    <cellStyle name="Normal 12 2 12" xfId="4162" xr:uid="{00000000-0005-0000-0000-000081160000}"/>
    <cellStyle name="Normal 12 2 12 2" xfId="47622" xr:uid="{00000000-0005-0000-0000-000082160000}"/>
    <cellStyle name="Normal 12 2 12 3" xfId="47623" xr:uid="{00000000-0005-0000-0000-000083160000}"/>
    <cellStyle name="Normal 12 2 13" xfId="4163" xr:uid="{00000000-0005-0000-0000-000084160000}"/>
    <cellStyle name="Normal 12 2 13 2" xfId="47624" xr:uid="{00000000-0005-0000-0000-000085160000}"/>
    <cellStyle name="Normal 12 2 14" xfId="4164" xr:uid="{00000000-0005-0000-0000-000086160000}"/>
    <cellStyle name="Normal 12 2 14 2" xfId="47625" xr:uid="{00000000-0005-0000-0000-000087160000}"/>
    <cellStyle name="Normal 12 2 15" xfId="4165" xr:uid="{00000000-0005-0000-0000-000088160000}"/>
    <cellStyle name="Normal 12 2 16" xfId="4166" xr:uid="{00000000-0005-0000-0000-000089160000}"/>
    <cellStyle name="Normal 12 2 17" xfId="4167" xr:uid="{00000000-0005-0000-0000-00008A160000}"/>
    <cellStyle name="Normal 12 2 18" xfId="4168" xr:uid="{00000000-0005-0000-0000-00008B160000}"/>
    <cellStyle name="Normal 12 2 19" xfId="4169" xr:uid="{00000000-0005-0000-0000-00008C160000}"/>
    <cellStyle name="Normal 12 2 2" xfId="4170" xr:uid="{00000000-0005-0000-0000-00008D160000}"/>
    <cellStyle name="Normal 12 2 2 10" xfId="4171" xr:uid="{00000000-0005-0000-0000-00008E160000}"/>
    <cellStyle name="Normal 12 2 2 11" xfId="4172" xr:uid="{00000000-0005-0000-0000-00008F160000}"/>
    <cellStyle name="Normal 12 2 2 12" xfId="4173" xr:uid="{00000000-0005-0000-0000-000090160000}"/>
    <cellStyle name="Normal 12 2 2 13" xfId="4174" xr:uid="{00000000-0005-0000-0000-000091160000}"/>
    <cellStyle name="Normal 12 2 2 14" xfId="4175" xr:uid="{00000000-0005-0000-0000-000092160000}"/>
    <cellStyle name="Normal 12 2 2 15" xfId="4176" xr:uid="{00000000-0005-0000-0000-000093160000}"/>
    <cellStyle name="Normal 12 2 2 16" xfId="4177" xr:uid="{00000000-0005-0000-0000-000094160000}"/>
    <cellStyle name="Normal 12 2 2 2" xfId="4178" xr:uid="{00000000-0005-0000-0000-000095160000}"/>
    <cellStyle name="Normal 12 2 2 2 10" xfId="4179" xr:uid="{00000000-0005-0000-0000-000096160000}"/>
    <cellStyle name="Normal 12 2 2 2 11" xfId="4180" xr:uid="{00000000-0005-0000-0000-000097160000}"/>
    <cellStyle name="Normal 12 2 2 2 12" xfId="4181" xr:uid="{00000000-0005-0000-0000-000098160000}"/>
    <cellStyle name="Normal 12 2 2 2 13" xfId="4182" xr:uid="{00000000-0005-0000-0000-000099160000}"/>
    <cellStyle name="Normal 12 2 2 2 14" xfId="4183" xr:uid="{00000000-0005-0000-0000-00009A160000}"/>
    <cellStyle name="Normal 12 2 2 2 2" xfId="4184" xr:uid="{00000000-0005-0000-0000-00009B160000}"/>
    <cellStyle name="Normal 12 2 2 2 2 2" xfId="4185" xr:uid="{00000000-0005-0000-0000-00009C160000}"/>
    <cellStyle name="Normal 12 2 2 2 2 2 2" xfId="4186" xr:uid="{00000000-0005-0000-0000-00009D160000}"/>
    <cellStyle name="Normal 12 2 2 2 2 2 2 2" xfId="4187" xr:uid="{00000000-0005-0000-0000-00009E160000}"/>
    <cellStyle name="Normal 12 2 2 2 2 2 2 2 2" xfId="47626" xr:uid="{00000000-0005-0000-0000-00009F160000}"/>
    <cellStyle name="Normal 12 2 2 2 2 2 2 2 3" xfId="47627" xr:uid="{00000000-0005-0000-0000-0000A0160000}"/>
    <cellStyle name="Normal 12 2 2 2 2 2 2 3" xfId="4188" xr:uid="{00000000-0005-0000-0000-0000A1160000}"/>
    <cellStyle name="Normal 12 2 2 2 2 2 2 3 2" xfId="47628" xr:uid="{00000000-0005-0000-0000-0000A2160000}"/>
    <cellStyle name="Normal 12 2 2 2 2 2 2 4" xfId="4189" xr:uid="{00000000-0005-0000-0000-0000A3160000}"/>
    <cellStyle name="Normal 12 2 2 2 2 2 2 5" xfId="4190" xr:uid="{00000000-0005-0000-0000-0000A4160000}"/>
    <cellStyle name="Normal 12 2 2 2 2 2 2 6" xfId="4191" xr:uid="{00000000-0005-0000-0000-0000A5160000}"/>
    <cellStyle name="Normal 12 2 2 2 2 2 3" xfId="4192" xr:uid="{00000000-0005-0000-0000-0000A6160000}"/>
    <cellStyle name="Normal 12 2 2 2 2 2 3 2" xfId="47629" xr:uid="{00000000-0005-0000-0000-0000A7160000}"/>
    <cellStyle name="Normal 12 2 2 2 2 2 3 3" xfId="47630" xr:uid="{00000000-0005-0000-0000-0000A8160000}"/>
    <cellStyle name="Normal 12 2 2 2 2 2 4" xfId="4193" xr:uid="{00000000-0005-0000-0000-0000A9160000}"/>
    <cellStyle name="Normal 12 2 2 2 2 2 4 2" xfId="47631" xr:uid="{00000000-0005-0000-0000-0000AA160000}"/>
    <cellStyle name="Normal 12 2 2 2 2 2 5" xfId="4194" xr:uid="{00000000-0005-0000-0000-0000AB160000}"/>
    <cellStyle name="Normal 12 2 2 2 2 2 6" xfId="4195" xr:uid="{00000000-0005-0000-0000-0000AC160000}"/>
    <cellStyle name="Normal 12 2 2 2 2 2 7" xfId="4196" xr:uid="{00000000-0005-0000-0000-0000AD160000}"/>
    <cellStyle name="Normal 12 2 2 2 2 3" xfId="4197" xr:uid="{00000000-0005-0000-0000-0000AE160000}"/>
    <cellStyle name="Normal 12 2 2 2 2 3 2" xfId="4198" xr:uid="{00000000-0005-0000-0000-0000AF160000}"/>
    <cellStyle name="Normal 12 2 2 2 2 3 2 2" xfId="47632" xr:uid="{00000000-0005-0000-0000-0000B0160000}"/>
    <cellStyle name="Normal 12 2 2 2 2 3 2 3" xfId="47633" xr:uid="{00000000-0005-0000-0000-0000B1160000}"/>
    <cellStyle name="Normal 12 2 2 2 2 3 3" xfId="4199" xr:uid="{00000000-0005-0000-0000-0000B2160000}"/>
    <cellStyle name="Normal 12 2 2 2 2 3 3 2" xfId="47634" xr:uid="{00000000-0005-0000-0000-0000B3160000}"/>
    <cellStyle name="Normal 12 2 2 2 2 3 4" xfId="4200" xr:uid="{00000000-0005-0000-0000-0000B4160000}"/>
    <cellStyle name="Normal 12 2 2 2 2 3 5" xfId="4201" xr:uid="{00000000-0005-0000-0000-0000B5160000}"/>
    <cellStyle name="Normal 12 2 2 2 2 3 6" xfId="4202" xr:uid="{00000000-0005-0000-0000-0000B6160000}"/>
    <cellStyle name="Normal 12 2 2 2 2 4" xfId="4203" xr:uid="{00000000-0005-0000-0000-0000B7160000}"/>
    <cellStyle name="Normal 12 2 2 2 2 4 2" xfId="47635" xr:uid="{00000000-0005-0000-0000-0000B8160000}"/>
    <cellStyle name="Normal 12 2 2 2 2 4 3" xfId="47636" xr:uid="{00000000-0005-0000-0000-0000B9160000}"/>
    <cellStyle name="Normal 12 2 2 2 2 5" xfId="4204" xr:uid="{00000000-0005-0000-0000-0000BA160000}"/>
    <cellStyle name="Normal 12 2 2 2 2 5 2" xfId="47637" xr:uid="{00000000-0005-0000-0000-0000BB160000}"/>
    <cellStyle name="Normal 12 2 2 2 2 6" xfId="4205" xr:uid="{00000000-0005-0000-0000-0000BC160000}"/>
    <cellStyle name="Normal 12 2 2 2 2 7" xfId="4206" xr:uid="{00000000-0005-0000-0000-0000BD160000}"/>
    <cellStyle name="Normal 12 2 2 2 2 8" xfId="4207" xr:uid="{00000000-0005-0000-0000-0000BE160000}"/>
    <cellStyle name="Normal 12 2 2 2 2 9" xfId="4208" xr:uid="{00000000-0005-0000-0000-0000BF160000}"/>
    <cellStyle name="Normal 12 2 2 2 3" xfId="4209" xr:uid="{00000000-0005-0000-0000-0000C0160000}"/>
    <cellStyle name="Normal 12 2 2 2 3 2" xfId="4210" xr:uid="{00000000-0005-0000-0000-0000C1160000}"/>
    <cellStyle name="Normal 12 2 2 2 3 2 2" xfId="4211" xr:uid="{00000000-0005-0000-0000-0000C2160000}"/>
    <cellStyle name="Normal 12 2 2 2 3 2 2 2" xfId="4212" xr:uid="{00000000-0005-0000-0000-0000C3160000}"/>
    <cellStyle name="Normal 12 2 2 2 3 2 2 2 2" xfId="47638" xr:uid="{00000000-0005-0000-0000-0000C4160000}"/>
    <cellStyle name="Normal 12 2 2 2 3 2 2 2 3" xfId="47639" xr:uid="{00000000-0005-0000-0000-0000C5160000}"/>
    <cellStyle name="Normal 12 2 2 2 3 2 2 3" xfId="4213" xr:uid="{00000000-0005-0000-0000-0000C6160000}"/>
    <cellStyle name="Normal 12 2 2 2 3 2 2 3 2" xfId="47640" xr:uid="{00000000-0005-0000-0000-0000C7160000}"/>
    <cellStyle name="Normal 12 2 2 2 3 2 2 4" xfId="4214" xr:uid="{00000000-0005-0000-0000-0000C8160000}"/>
    <cellStyle name="Normal 12 2 2 2 3 2 2 5" xfId="4215" xr:uid="{00000000-0005-0000-0000-0000C9160000}"/>
    <cellStyle name="Normal 12 2 2 2 3 2 2 6" xfId="4216" xr:uid="{00000000-0005-0000-0000-0000CA160000}"/>
    <cellStyle name="Normal 12 2 2 2 3 2 3" xfId="4217" xr:uid="{00000000-0005-0000-0000-0000CB160000}"/>
    <cellStyle name="Normal 12 2 2 2 3 2 3 2" xfId="47641" xr:uid="{00000000-0005-0000-0000-0000CC160000}"/>
    <cellStyle name="Normal 12 2 2 2 3 2 3 3" xfId="47642" xr:uid="{00000000-0005-0000-0000-0000CD160000}"/>
    <cellStyle name="Normal 12 2 2 2 3 2 4" xfId="4218" xr:uid="{00000000-0005-0000-0000-0000CE160000}"/>
    <cellStyle name="Normal 12 2 2 2 3 2 4 2" xfId="47643" xr:uid="{00000000-0005-0000-0000-0000CF160000}"/>
    <cellStyle name="Normal 12 2 2 2 3 2 5" xfId="4219" xr:uid="{00000000-0005-0000-0000-0000D0160000}"/>
    <cellStyle name="Normal 12 2 2 2 3 2 6" xfId="4220" xr:uid="{00000000-0005-0000-0000-0000D1160000}"/>
    <cellStyle name="Normal 12 2 2 2 3 2 7" xfId="4221" xr:uid="{00000000-0005-0000-0000-0000D2160000}"/>
    <cellStyle name="Normal 12 2 2 2 3 3" xfId="4222" xr:uid="{00000000-0005-0000-0000-0000D3160000}"/>
    <cellStyle name="Normal 12 2 2 2 3 3 2" xfId="4223" xr:uid="{00000000-0005-0000-0000-0000D4160000}"/>
    <cellStyle name="Normal 12 2 2 2 3 3 2 2" xfId="47644" xr:uid="{00000000-0005-0000-0000-0000D5160000}"/>
    <cellStyle name="Normal 12 2 2 2 3 3 2 3" xfId="47645" xr:uid="{00000000-0005-0000-0000-0000D6160000}"/>
    <cellStyle name="Normal 12 2 2 2 3 3 3" xfId="4224" xr:uid="{00000000-0005-0000-0000-0000D7160000}"/>
    <cellStyle name="Normal 12 2 2 2 3 3 3 2" xfId="47646" xr:uid="{00000000-0005-0000-0000-0000D8160000}"/>
    <cellStyle name="Normal 12 2 2 2 3 3 4" xfId="4225" xr:uid="{00000000-0005-0000-0000-0000D9160000}"/>
    <cellStyle name="Normal 12 2 2 2 3 3 5" xfId="4226" xr:uid="{00000000-0005-0000-0000-0000DA160000}"/>
    <cellStyle name="Normal 12 2 2 2 3 3 6" xfId="4227" xr:uid="{00000000-0005-0000-0000-0000DB160000}"/>
    <cellStyle name="Normal 12 2 2 2 3 4" xfId="4228" xr:uid="{00000000-0005-0000-0000-0000DC160000}"/>
    <cellStyle name="Normal 12 2 2 2 3 4 2" xfId="47647" xr:uid="{00000000-0005-0000-0000-0000DD160000}"/>
    <cellStyle name="Normal 12 2 2 2 3 4 3" xfId="47648" xr:uid="{00000000-0005-0000-0000-0000DE160000}"/>
    <cellStyle name="Normal 12 2 2 2 3 5" xfId="4229" xr:uid="{00000000-0005-0000-0000-0000DF160000}"/>
    <cellStyle name="Normal 12 2 2 2 3 5 2" xfId="47649" xr:uid="{00000000-0005-0000-0000-0000E0160000}"/>
    <cellStyle name="Normal 12 2 2 2 3 6" xfId="4230" xr:uid="{00000000-0005-0000-0000-0000E1160000}"/>
    <cellStyle name="Normal 12 2 2 2 3 7" xfId="4231" xr:uid="{00000000-0005-0000-0000-0000E2160000}"/>
    <cellStyle name="Normal 12 2 2 2 3 8" xfId="4232" xr:uid="{00000000-0005-0000-0000-0000E3160000}"/>
    <cellStyle name="Normal 12 2 2 2 4" xfId="4233" xr:uid="{00000000-0005-0000-0000-0000E4160000}"/>
    <cellStyle name="Normal 12 2 2 2 4 2" xfId="4234" xr:uid="{00000000-0005-0000-0000-0000E5160000}"/>
    <cellStyle name="Normal 12 2 2 2 4 2 2" xfId="4235" xr:uid="{00000000-0005-0000-0000-0000E6160000}"/>
    <cellStyle name="Normal 12 2 2 2 4 2 2 2" xfId="47650" xr:uid="{00000000-0005-0000-0000-0000E7160000}"/>
    <cellStyle name="Normal 12 2 2 2 4 2 2 3" xfId="47651" xr:uid="{00000000-0005-0000-0000-0000E8160000}"/>
    <cellStyle name="Normal 12 2 2 2 4 2 3" xfId="4236" xr:uid="{00000000-0005-0000-0000-0000E9160000}"/>
    <cellStyle name="Normal 12 2 2 2 4 2 3 2" xfId="47652" xr:uid="{00000000-0005-0000-0000-0000EA160000}"/>
    <cellStyle name="Normal 12 2 2 2 4 2 4" xfId="4237" xr:uid="{00000000-0005-0000-0000-0000EB160000}"/>
    <cellStyle name="Normal 12 2 2 2 4 2 5" xfId="4238" xr:uid="{00000000-0005-0000-0000-0000EC160000}"/>
    <cellStyle name="Normal 12 2 2 2 4 2 6" xfId="4239" xr:uid="{00000000-0005-0000-0000-0000ED160000}"/>
    <cellStyle name="Normal 12 2 2 2 4 3" xfId="4240" xr:uid="{00000000-0005-0000-0000-0000EE160000}"/>
    <cellStyle name="Normal 12 2 2 2 4 3 2" xfId="47653" xr:uid="{00000000-0005-0000-0000-0000EF160000}"/>
    <cellStyle name="Normal 12 2 2 2 4 3 3" xfId="47654" xr:uid="{00000000-0005-0000-0000-0000F0160000}"/>
    <cellStyle name="Normal 12 2 2 2 4 4" xfId="4241" xr:uid="{00000000-0005-0000-0000-0000F1160000}"/>
    <cellStyle name="Normal 12 2 2 2 4 4 2" xfId="47655" xr:uid="{00000000-0005-0000-0000-0000F2160000}"/>
    <cellStyle name="Normal 12 2 2 2 4 5" xfId="4242" xr:uid="{00000000-0005-0000-0000-0000F3160000}"/>
    <cellStyle name="Normal 12 2 2 2 4 6" xfId="4243" xr:uid="{00000000-0005-0000-0000-0000F4160000}"/>
    <cellStyle name="Normal 12 2 2 2 4 7" xfId="4244" xr:uid="{00000000-0005-0000-0000-0000F5160000}"/>
    <cellStyle name="Normal 12 2 2 2 5" xfId="4245" xr:uid="{00000000-0005-0000-0000-0000F6160000}"/>
    <cellStyle name="Normal 12 2 2 2 5 2" xfId="4246" xr:uid="{00000000-0005-0000-0000-0000F7160000}"/>
    <cellStyle name="Normal 12 2 2 2 5 2 2" xfId="47656" xr:uid="{00000000-0005-0000-0000-0000F8160000}"/>
    <cellStyle name="Normal 12 2 2 2 5 2 3" xfId="47657" xr:uid="{00000000-0005-0000-0000-0000F9160000}"/>
    <cellStyle name="Normal 12 2 2 2 5 3" xfId="4247" xr:uid="{00000000-0005-0000-0000-0000FA160000}"/>
    <cellStyle name="Normal 12 2 2 2 5 3 2" xfId="47658" xr:uid="{00000000-0005-0000-0000-0000FB160000}"/>
    <cellStyle name="Normal 12 2 2 2 5 4" xfId="4248" xr:uid="{00000000-0005-0000-0000-0000FC160000}"/>
    <cellStyle name="Normal 12 2 2 2 5 5" xfId="4249" xr:uid="{00000000-0005-0000-0000-0000FD160000}"/>
    <cellStyle name="Normal 12 2 2 2 5 6" xfId="4250" xr:uid="{00000000-0005-0000-0000-0000FE160000}"/>
    <cellStyle name="Normal 12 2 2 2 6" xfId="4251" xr:uid="{00000000-0005-0000-0000-0000FF160000}"/>
    <cellStyle name="Normal 12 2 2 2 6 2" xfId="47659" xr:uid="{00000000-0005-0000-0000-000000170000}"/>
    <cellStyle name="Normal 12 2 2 2 6 3" xfId="47660" xr:uid="{00000000-0005-0000-0000-000001170000}"/>
    <cellStyle name="Normal 12 2 2 2 7" xfId="4252" xr:uid="{00000000-0005-0000-0000-000002170000}"/>
    <cellStyle name="Normal 12 2 2 2 7 2" xfId="47661" xr:uid="{00000000-0005-0000-0000-000003170000}"/>
    <cellStyle name="Normal 12 2 2 2 8" xfId="4253" xr:uid="{00000000-0005-0000-0000-000004170000}"/>
    <cellStyle name="Normal 12 2 2 2 9" xfId="4254" xr:uid="{00000000-0005-0000-0000-000005170000}"/>
    <cellStyle name="Normal 12 2 2 3" xfId="4255" xr:uid="{00000000-0005-0000-0000-000006170000}"/>
    <cellStyle name="Normal 12 2 2 3 2" xfId="4256" xr:uid="{00000000-0005-0000-0000-000007170000}"/>
    <cellStyle name="Normal 12 2 2 3 2 2" xfId="4257" xr:uid="{00000000-0005-0000-0000-000008170000}"/>
    <cellStyle name="Normal 12 2 2 3 2 2 2" xfId="4258" xr:uid="{00000000-0005-0000-0000-000009170000}"/>
    <cellStyle name="Normal 12 2 2 3 2 2 2 2" xfId="47662" xr:uid="{00000000-0005-0000-0000-00000A170000}"/>
    <cellStyle name="Normal 12 2 2 3 2 2 2 3" xfId="47663" xr:uid="{00000000-0005-0000-0000-00000B170000}"/>
    <cellStyle name="Normal 12 2 2 3 2 2 3" xfId="4259" xr:uid="{00000000-0005-0000-0000-00000C170000}"/>
    <cellStyle name="Normal 12 2 2 3 2 2 3 2" xfId="47664" xr:uid="{00000000-0005-0000-0000-00000D170000}"/>
    <cellStyle name="Normal 12 2 2 3 2 2 4" xfId="4260" xr:uid="{00000000-0005-0000-0000-00000E170000}"/>
    <cellStyle name="Normal 12 2 2 3 2 2 5" xfId="4261" xr:uid="{00000000-0005-0000-0000-00000F170000}"/>
    <cellStyle name="Normal 12 2 2 3 2 2 6" xfId="4262" xr:uid="{00000000-0005-0000-0000-000010170000}"/>
    <cellStyle name="Normal 12 2 2 3 2 3" xfId="4263" xr:uid="{00000000-0005-0000-0000-000011170000}"/>
    <cellStyle name="Normal 12 2 2 3 2 3 2" xfId="47665" xr:uid="{00000000-0005-0000-0000-000012170000}"/>
    <cellStyle name="Normal 12 2 2 3 2 3 3" xfId="47666" xr:uid="{00000000-0005-0000-0000-000013170000}"/>
    <cellStyle name="Normal 12 2 2 3 2 4" xfId="4264" xr:uid="{00000000-0005-0000-0000-000014170000}"/>
    <cellStyle name="Normal 12 2 2 3 2 4 2" xfId="47667" xr:uid="{00000000-0005-0000-0000-000015170000}"/>
    <cellStyle name="Normal 12 2 2 3 2 5" xfId="4265" xr:uid="{00000000-0005-0000-0000-000016170000}"/>
    <cellStyle name="Normal 12 2 2 3 2 6" xfId="4266" xr:uid="{00000000-0005-0000-0000-000017170000}"/>
    <cellStyle name="Normal 12 2 2 3 2 7" xfId="4267" xr:uid="{00000000-0005-0000-0000-000018170000}"/>
    <cellStyle name="Normal 12 2 2 3 3" xfId="4268" xr:uid="{00000000-0005-0000-0000-000019170000}"/>
    <cellStyle name="Normal 12 2 2 3 3 2" xfId="4269" xr:uid="{00000000-0005-0000-0000-00001A170000}"/>
    <cellStyle name="Normal 12 2 2 3 3 2 2" xfId="47668" xr:uid="{00000000-0005-0000-0000-00001B170000}"/>
    <cellStyle name="Normal 12 2 2 3 3 2 3" xfId="47669" xr:uid="{00000000-0005-0000-0000-00001C170000}"/>
    <cellStyle name="Normal 12 2 2 3 3 3" xfId="4270" xr:uid="{00000000-0005-0000-0000-00001D170000}"/>
    <cellStyle name="Normal 12 2 2 3 3 3 2" xfId="47670" xr:uid="{00000000-0005-0000-0000-00001E170000}"/>
    <cellStyle name="Normal 12 2 2 3 3 4" xfId="4271" xr:uid="{00000000-0005-0000-0000-00001F170000}"/>
    <cellStyle name="Normal 12 2 2 3 3 5" xfId="4272" xr:uid="{00000000-0005-0000-0000-000020170000}"/>
    <cellStyle name="Normal 12 2 2 3 3 6" xfId="4273" xr:uid="{00000000-0005-0000-0000-000021170000}"/>
    <cellStyle name="Normal 12 2 2 3 4" xfId="4274" xr:uid="{00000000-0005-0000-0000-000022170000}"/>
    <cellStyle name="Normal 12 2 2 3 4 2" xfId="47671" xr:uid="{00000000-0005-0000-0000-000023170000}"/>
    <cellStyle name="Normal 12 2 2 3 4 3" xfId="47672" xr:uid="{00000000-0005-0000-0000-000024170000}"/>
    <cellStyle name="Normal 12 2 2 3 5" xfId="4275" xr:uid="{00000000-0005-0000-0000-000025170000}"/>
    <cellStyle name="Normal 12 2 2 3 5 2" xfId="47673" xr:uid="{00000000-0005-0000-0000-000026170000}"/>
    <cellStyle name="Normal 12 2 2 3 6" xfId="4276" xr:uid="{00000000-0005-0000-0000-000027170000}"/>
    <cellStyle name="Normal 12 2 2 3 7" xfId="4277" xr:uid="{00000000-0005-0000-0000-000028170000}"/>
    <cellStyle name="Normal 12 2 2 3 8" xfId="4278" xr:uid="{00000000-0005-0000-0000-000029170000}"/>
    <cellStyle name="Normal 12 2 2 3 9" xfId="4279" xr:uid="{00000000-0005-0000-0000-00002A170000}"/>
    <cellStyle name="Normal 12 2 2 4" xfId="4280" xr:uid="{00000000-0005-0000-0000-00002B170000}"/>
    <cellStyle name="Normal 12 2 2 4 2" xfId="4281" xr:uid="{00000000-0005-0000-0000-00002C170000}"/>
    <cellStyle name="Normal 12 2 2 4 2 2" xfId="4282" xr:uid="{00000000-0005-0000-0000-00002D170000}"/>
    <cellStyle name="Normal 12 2 2 4 2 2 2" xfId="4283" xr:uid="{00000000-0005-0000-0000-00002E170000}"/>
    <cellStyle name="Normal 12 2 2 4 2 2 2 2" xfId="47674" xr:uid="{00000000-0005-0000-0000-00002F170000}"/>
    <cellStyle name="Normal 12 2 2 4 2 2 2 3" xfId="47675" xr:uid="{00000000-0005-0000-0000-000030170000}"/>
    <cellStyle name="Normal 12 2 2 4 2 2 3" xfId="4284" xr:uid="{00000000-0005-0000-0000-000031170000}"/>
    <cellStyle name="Normal 12 2 2 4 2 2 3 2" xfId="47676" xr:uid="{00000000-0005-0000-0000-000032170000}"/>
    <cellStyle name="Normal 12 2 2 4 2 2 4" xfId="4285" xr:uid="{00000000-0005-0000-0000-000033170000}"/>
    <cellStyle name="Normal 12 2 2 4 2 2 5" xfId="4286" xr:uid="{00000000-0005-0000-0000-000034170000}"/>
    <cellStyle name="Normal 12 2 2 4 2 2 6" xfId="4287" xr:uid="{00000000-0005-0000-0000-000035170000}"/>
    <cellStyle name="Normal 12 2 2 4 2 3" xfId="4288" xr:uid="{00000000-0005-0000-0000-000036170000}"/>
    <cellStyle name="Normal 12 2 2 4 2 3 2" xfId="47677" xr:uid="{00000000-0005-0000-0000-000037170000}"/>
    <cellStyle name="Normal 12 2 2 4 2 3 3" xfId="47678" xr:uid="{00000000-0005-0000-0000-000038170000}"/>
    <cellStyle name="Normal 12 2 2 4 2 4" xfId="4289" xr:uid="{00000000-0005-0000-0000-000039170000}"/>
    <cellStyle name="Normal 12 2 2 4 2 4 2" xfId="47679" xr:uid="{00000000-0005-0000-0000-00003A170000}"/>
    <cellStyle name="Normal 12 2 2 4 2 5" xfId="4290" xr:uid="{00000000-0005-0000-0000-00003B170000}"/>
    <cellStyle name="Normal 12 2 2 4 2 6" xfId="4291" xr:uid="{00000000-0005-0000-0000-00003C170000}"/>
    <cellStyle name="Normal 12 2 2 4 2 7" xfId="4292" xr:uid="{00000000-0005-0000-0000-00003D170000}"/>
    <cellStyle name="Normal 12 2 2 4 3" xfId="4293" xr:uid="{00000000-0005-0000-0000-00003E170000}"/>
    <cellStyle name="Normal 12 2 2 4 3 2" xfId="4294" xr:uid="{00000000-0005-0000-0000-00003F170000}"/>
    <cellStyle name="Normal 12 2 2 4 3 2 2" xfId="47680" xr:uid="{00000000-0005-0000-0000-000040170000}"/>
    <cellStyle name="Normal 12 2 2 4 3 2 3" xfId="47681" xr:uid="{00000000-0005-0000-0000-000041170000}"/>
    <cellStyle name="Normal 12 2 2 4 3 3" xfId="4295" xr:uid="{00000000-0005-0000-0000-000042170000}"/>
    <cellStyle name="Normal 12 2 2 4 3 3 2" xfId="47682" xr:uid="{00000000-0005-0000-0000-000043170000}"/>
    <cellStyle name="Normal 12 2 2 4 3 4" xfId="4296" xr:uid="{00000000-0005-0000-0000-000044170000}"/>
    <cellStyle name="Normal 12 2 2 4 3 5" xfId="4297" xr:uid="{00000000-0005-0000-0000-000045170000}"/>
    <cellStyle name="Normal 12 2 2 4 3 6" xfId="4298" xr:uid="{00000000-0005-0000-0000-000046170000}"/>
    <cellStyle name="Normal 12 2 2 4 4" xfId="4299" xr:uid="{00000000-0005-0000-0000-000047170000}"/>
    <cellStyle name="Normal 12 2 2 4 4 2" xfId="47683" xr:uid="{00000000-0005-0000-0000-000048170000}"/>
    <cellStyle name="Normal 12 2 2 4 4 3" xfId="47684" xr:uid="{00000000-0005-0000-0000-000049170000}"/>
    <cellStyle name="Normal 12 2 2 4 5" xfId="4300" xr:uid="{00000000-0005-0000-0000-00004A170000}"/>
    <cellStyle name="Normal 12 2 2 4 5 2" xfId="47685" xr:uid="{00000000-0005-0000-0000-00004B170000}"/>
    <cellStyle name="Normal 12 2 2 4 6" xfId="4301" xr:uid="{00000000-0005-0000-0000-00004C170000}"/>
    <cellStyle name="Normal 12 2 2 4 7" xfId="4302" xr:uid="{00000000-0005-0000-0000-00004D170000}"/>
    <cellStyle name="Normal 12 2 2 4 8" xfId="4303" xr:uid="{00000000-0005-0000-0000-00004E170000}"/>
    <cellStyle name="Normal 12 2 2 5" xfId="4304" xr:uid="{00000000-0005-0000-0000-00004F170000}"/>
    <cellStyle name="Normal 12 2 2 5 2" xfId="4305" xr:uid="{00000000-0005-0000-0000-000050170000}"/>
    <cellStyle name="Normal 12 2 2 5 2 2" xfId="4306" xr:uid="{00000000-0005-0000-0000-000051170000}"/>
    <cellStyle name="Normal 12 2 2 5 2 2 2" xfId="47686" xr:uid="{00000000-0005-0000-0000-000052170000}"/>
    <cellStyle name="Normal 12 2 2 5 2 2 3" xfId="47687" xr:uid="{00000000-0005-0000-0000-000053170000}"/>
    <cellStyle name="Normal 12 2 2 5 2 3" xfId="4307" xr:uid="{00000000-0005-0000-0000-000054170000}"/>
    <cellStyle name="Normal 12 2 2 5 2 3 2" xfId="47688" xr:uid="{00000000-0005-0000-0000-000055170000}"/>
    <cellStyle name="Normal 12 2 2 5 2 4" xfId="4308" xr:uid="{00000000-0005-0000-0000-000056170000}"/>
    <cellStyle name="Normal 12 2 2 5 2 5" xfId="4309" xr:uid="{00000000-0005-0000-0000-000057170000}"/>
    <cellStyle name="Normal 12 2 2 5 2 6" xfId="4310" xr:uid="{00000000-0005-0000-0000-000058170000}"/>
    <cellStyle name="Normal 12 2 2 5 3" xfId="4311" xr:uid="{00000000-0005-0000-0000-000059170000}"/>
    <cellStyle name="Normal 12 2 2 5 3 2" xfId="47689" xr:uid="{00000000-0005-0000-0000-00005A170000}"/>
    <cellStyle name="Normal 12 2 2 5 3 3" xfId="47690" xr:uid="{00000000-0005-0000-0000-00005B170000}"/>
    <cellStyle name="Normal 12 2 2 5 4" xfId="4312" xr:uid="{00000000-0005-0000-0000-00005C170000}"/>
    <cellStyle name="Normal 12 2 2 5 4 2" xfId="47691" xr:uid="{00000000-0005-0000-0000-00005D170000}"/>
    <cellStyle name="Normal 12 2 2 5 5" xfId="4313" xr:uid="{00000000-0005-0000-0000-00005E170000}"/>
    <cellStyle name="Normal 12 2 2 5 6" xfId="4314" xr:uid="{00000000-0005-0000-0000-00005F170000}"/>
    <cellStyle name="Normal 12 2 2 5 7" xfId="4315" xr:uid="{00000000-0005-0000-0000-000060170000}"/>
    <cellStyle name="Normal 12 2 2 6" xfId="4316" xr:uid="{00000000-0005-0000-0000-000061170000}"/>
    <cellStyle name="Normal 12 2 2 6 2" xfId="4317" xr:uid="{00000000-0005-0000-0000-000062170000}"/>
    <cellStyle name="Normal 12 2 2 6 2 2" xfId="47692" xr:uid="{00000000-0005-0000-0000-000063170000}"/>
    <cellStyle name="Normal 12 2 2 6 2 3" xfId="47693" xr:uid="{00000000-0005-0000-0000-000064170000}"/>
    <cellStyle name="Normal 12 2 2 6 3" xfId="4318" xr:uid="{00000000-0005-0000-0000-000065170000}"/>
    <cellStyle name="Normal 12 2 2 6 3 2" xfId="47694" xr:uid="{00000000-0005-0000-0000-000066170000}"/>
    <cellStyle name="Normal 12 2 2 6 4" xfId="4319" xr:uid="{00000000-0005-0000-0000-000067170000}"/>
    <cellStyle name="Normal 12 2 2 6 5" xfId="4320" xr:uid="{00000000-0005-0000-0000-000068170000}"/>
    <cellStyle name="Normal 12 2 2 6 6" xfId="4321" xr:uid="{00000000-0005-0000-0000-000069170000}"/>
    <cellStyle name="Normal 12 2 2 7" xfId="4322" xr:uid="{00000000-0005-0000-0000-00006A170000}"/>
    <cellStyle name="Normal 12 2 2 7 2" xfId="47695" xr:uid="{00000000-0005-0000-0000-00006B170000}"/>
    <cellStyle name="Normal 12 2 2 7 3" xfId="47696" xr:uid="{00000000-0005-0000-0000-00006C170000}"/>
    <cellStyle name="Normal 12 2 2 8" xfId="4323" xr:uid="{00000000-0005-0000-0000-00006D170000}"/>
    <cellStyle name="Normal 12 2 2 8 2" xfId="47697" xr:uid="{00000000-0005-0000-0000-00006E170000}"/>
    <cellStyle name="Normal 12 2 2 9" xfId="4324" xr:uid="{00000000-0005-0000-0000-00006F170000}"/>
    <cellStyle name="Normal 12 2 2 9 2" xfId="47698" xr:uid="{00000000-0005-0000-0000-000070170000}"/>
    <cellStyle name="Normal 12 2 20" xfId="4325" xr:uid="{00000000-0005-0000-0000-000071170000}"/>
    <cellStyle name="Normal 12 2 3" xfId="4326" xr:uid="{00000000-0005-0000-0000-000072170000}"/>
    <cellStyle name="Normal 12 2 3 10" xfId="4327" xr:uid="{00000000-0005-0000-0000-000073170000}"/>
    <cellStyle name="Normal 12 2 3 11" xfId="4328" xr:uid="{00000000-0005-0000-0000-000074170000}"/>
    <cellStyle name="Normal 12 2 3 12" xfId="4329" xr:uid="{00000000-0005-0000-0000-000075170000}"/>
    <cellStyle name="Normal 12 2 3 13" xfId="4330" xr:uid="{00000000-0005-0000-0000-000076170000}"/>
    <cellStyle name="Normal 12 2 3 14" xfId="4331" xr:uid="{00000000-0005-0000-0000-000077170000}"/>
    <cellStyle name="Normal 12 2 3 15" xfId="4332" xr:uid="{00000000-0005-0000-0000-000078170000}"/>
    <cellStyle name="Normal 12 2 3 2" xfId="4333" xr:uid="{00000000-0005-0000-0000-000079170000}"/>
    <cellStyle name="Normal 12 2 3 2 10" xfId="4334" xr:uid="{00000000-0005-0000-0000-00007A170000}"/>
    <cellStyle name="Normal 12 2 3 2 11" xfId="4335" xr:uid="{00000000-0005-0000-0000-00007B170000}"/>
    <cellStyle name="Normal 12 2 3 2 12" xfId="4336" xr:uid="{00000000-0005-0000-0000-00007C170000}"/>
    <cellStyle name="Normal 12 2 3 2 13" xfId="4337" xr:uid="{00000000-0005-0000-0000-00007D170000}"/>
    <cellStyle name="Normal 12 2 3 2 14" xfId="4338" xr:uid="{00000000-0005-0000-0000-00007E170000}"/>
    <cellStyle name="Normal 12 2 3 2 2" xfId="4339" xr:uid="{00000000-0005-0000-0000-00007F170000}"/>
    <cellStyle name="Normal 12 2 3 2 2 2" xfId="4340" xr:uid="{00000000-0005-0000-0000-000080170000}"/>
    <cellStyle name="Normal 12 2 3 2 2 2 2" xfId="4341" xr:uid="{00000000-0005-0000-0000-000081170000}"/>
    <cellStyle name="Normal 12 2 3 2 2 2 2 2" xfId="4342" xr:uid="{00000000-0005-0000-0000-000082170000}"/>
    <cellStyle name="Normal 12 2 3 2 2 2 2 2 2" xfId="47699" xr:uid="{00000000-0005-0000-0000-000083170000}"/>
    <cellStyle name="Normal 12 2 3 2 2 2 2 2 3" xfId="47700" xr:uid="{00000000-0005-0000-0000-000084170000}"/>
    <cellStyle name="Normal 12 2 3 2 2 2 2 3" xfId="4343" xr:uid="{00000000-0005-0000-0000-000085170000}"/>
    <cellStyle name="Normal 12 2 3 2 2 2 2 3 2" xfId="47701" xr:uid="{00000000-0005-0000-0000-000086170000}"/>
    <cellStyle name="Normal 12 2 3 2 2 2 2 4" xfId="4344" xr:uid="{00000000-0005-0000-0000-000087170000}"/>
    <cellStyle name="Normal 12 2 3 2 2 2 2 5" xfId="4345" xr:uid="{00000000-0005-0000-0000-000088170000}"/>
    <cellStyle name="Normal 12 2 3 2 2 2 2 6" xfId="4346" xr:uid="{00000000-0005-0000-0000-000089170000}"/>
    <cellStyle name="Normal 12 2 3 2 2 2 3" xfId="4347" xr:uid="{00000000-0005-0000-0000-00008A170000}"/>
    <cellStyle name="Normal 12 2 3 2 2 2 3 2" xfId="47702" xr:uid="{00000000-0005-0000-0000-00008B170000}"/>
    <cellStyle name="Normal 12 2 3 2 2 2 3 3" xfId="47703" xr:uid="{00000000-0005-0000-0000-00008C170000}"/>
    <cellStyle name="Normal 12 2 3 2 2 2 4" xfId="4348" xr:uid="{00000000-0005-0000-0000-00008D170000}"/>
    <cellStyle name="Normal 12 2 3 2 2 2 4 2" xfId="47704" xr:uid="{00000000-0005-0000-0000-00008E170000}"/>
    <cellStyle name="Normal 12 2 3 2 2 2 5" xfId="4349" xr:uid="{00000000-0005-0000-0000-00008F170000}"/>
    <cellStyle name="Normal 12 2 3 2 2 2 6" xfId="4350" xr:uid="{00000000-0005-0000-0000-000090170000}"/>
    <cellStyle name="Normal 12 2 3 2 2 2 7" xfId="4351" xr:uid="{00000000-0005-0000-0000-000091170000}"/>
    <cellStyle name="Normal 12 2 3 2 2 3" xfId="4352" xr:uid="{00000000-0005-0000-0000-000092170000}"/>
    <cellStyle name="Normal 12 2 3 2 2 3 2" xfId="4353" xr:uid="{00000000-0005-0000-0000-000093170000}"/>
    <cellStyle name="Normal 12 2 3 2 2 3 2 2" xfId="47705" xr:uid="{00000000-0005-0000-0000-000094170000}"/>
    <cellStyle name="Normal 12 2 3 2 2 3 2 3" xfId="47706" xr:uid="{00000000-0005-0000-0000-000095170000}"/>
    <cellStyle name="Normal 12 2 3 2 2 3 3" xfId="4354" xr:uid="{00000000-0005-0000-0000-000096170000}"/>
    <cellStyle name="Normal 12 2 3 2 2 3 3 2" xfId="47707" xr:uid="{00000000-0005-0000-0000-000097170000}"/>
    <cellStyle name="Normal 12 2 3 2 2 3 4" xfId="4355" xr:uid="{00000000-0005-0000-0000-000098170000}"/>
    <cellStyle name="Normal 12 2 3 2 2 3 5" xfId="4356" xr:uid="{00000000-0005-0000-0000-000099170000}"/>
    <cellStyle name="Normal 12 2 3 2 2 3 6" xfId="4357" xr:uid="{00000000-0005-0000-0000-00009A170000}"/>
    <cellStyle name="Normal 12 2 3 2 2 4" xfId="4358" xr:uid="{00000000-0005-0000-0000-00009B170000}"/>
    <cellStyle name="Normal 12 2 3 2 2 4 2" xfId="47708" xr:uid="{00000000-0005-0000-0000-00009C170000}"/>
    <cellStyle name="Normal 12 2 3 2 2 4 3" xfId="47709" xr:uid="{00000000-0005-0000-0000-00009D170000}"/>
    <cellStyle name="Normal 12 2 3 2 2 5" xfId="4359" xr:uid="{00000000-0005-0000-0000-00009E170000}"/>
    <cellStyle name="Normal 12 2 3 2 2 5 2" xfId="47710" xr:uid="{00000000-0005-0000-0000-00009F170000}"/>
    <cellStyle name="Normal 12 2 3 2 2 6" xfId="4360" xr:uid="{00000000-0005-0000-0000-0000A0170000}"/>
    <cellStyle name="Normal 12 2 3 2 2 7" xfId="4361" xr:uid="{00000000-0005-0000-0000-0000A1170000}"/>
    <cellStyle name="Normal 12 2 3 2 2 8" xfId="4362" xr:uid="{00000000-0005-0000-0000-0000A2170000}"/>
    <cellStyle name="Normal 12 2 3 2 2 9" xfId="4363" xr:uid="{00000000-0005-0000-0000-0000A3170000}"/>
    <cellStyle name="Normal 12 2 3 2 3" xfId="4364" xr:uid="{00000000-0005-0000-0000-0000A4170000}"/>
    <cellStyle name="Normal 12 2 3 2 3 2" xfId="4365" xr:uid="{00000000-0005-0000-0000-0000A5170000}"/>
    <cellStyle name="Normal 12 2 3 2 3 2 2" xfId="4366" xr:uid="{00000000-0005-0000-0000-0000A6170000}"/>
    <cellStyle name="Normal 12 2 3 2 3 2 2 2" xfId="4367" xr:uid="{00000000-0005-0000-0000-0000A7170000}"/>
    <cellStyle name="Normal 12 2 3 2 3 2 2 2 2" xfId="47711" xr:uid="{00000000-0005-0000-0000-0000A8170000}"/>
    <cellStyle name="Normal 12 2 3 2 3 2 2 2 3" xfId="47712" xr:uid="{00000000-0005-0000-0000-0000A9170000}"/>
    <cellStyle name="Normal 12 2 3 2 3 2 2 3" xfId="4368" xr:uid="{00000000-0005-0000-0000-0000AA170000}"/>
    <cellStyle name="Normal 12 2 3 2 3 2 2 3 2" xfId="47713" xr:uid="{00000000-0005-0000-0000-0000AB170000}"/>
    <cellStyle name="Normal 12 2 3 2 3 2 2 4" xfId="4369" xr:uid="{00000000-0005-0000-0000-0000AC170000}"/>
    <cellStyle name="Normal 12 2 3 2 3 2 2 5" xfId="4370" xr:uid="{00000000-0005-0000-0000-0000AD170000}"/>
    <cellStyle name="Normal 12 2 3 2 3 2 2 6" xfId="4371" xr:uid="{00000000-0005-0000-0000-0000AE170000}"/>
    <cellStyle name="Normal 12 2 3 2 3 2 3" xfId="4372" xr:uid="{00000000-0005-0000-0000-0000AF170000}"/>
    <cellStyle name="Normal 12 2 3 2 3 2 3 2" xfId="47714" xr:uid="{00000000-0005-0000-0000-0000B0170000}"/>
    <cellStyle name="Normal 12 2 3 2 3 2 3 3" xfId="47715" xr:uid="{00000000-0005-0000-0000-0000B1170000}"/>
    <cellStyle name="Normal 12 2 3 2 3 2 4" xfId="4373" xr:uid="{00000000-0005-0000-0000-0000B2170000}"/>
    <cellStyle name="Normal 12 2 3 2 3 2 4 2" xfId="47716" xr:uid="{00000000-0005-0000-0000-0000B3170000}"/>
    <cellStyle name="Normal 12 2 3 2 3 2 5" xfId="4374" xr:uid="{00000000-0005-0000-0000-0000B4170000}"/>
    <cellStyle name="Normal 12 2 3 2 3 2 6" xfId="4375" xr:uid="{00000000-0005-0000-0000-0000B5170000}"/>
    <cellStyle name="Normal 12 2 3 2 3 2 7" xfId="4376" xr:uid="{00000000-0005-0000-0000-0000B6170000}"/>
    <cellStyle name="Normal 12 2 3 2 3 3" xfId="4377" xr:uid="{00000000-0005-0000-0000-0000B7170000}"/>
    <cellStyle name="Normal 12 2 3 2 3 3 2" xfId="4378" xr:uid="{00000000-0005-0000-0000-0000B8170000}"/>
    <cellStyle name="Normal 12 2 3 2 3 3 2 2" xfId="47717" xr:uid="{00000000-0005-0000-0000-0000B9170000}"/>
    <cellStyle name="Normal 12 2 3 2 3 3 2 3" xfId="47718" xr:uid="{00000000-0005-0000-0000-0000BA170000}"/>
    <cellStyle name="Normal 12 2 3 2 3 3 3" xfId="4379" xr:uid="{00000000-0005-0000-0000-0000BB170000}"/>
    <cellStyle name="Normal 12 2 3 2 3 3 3 2" xfId="47719" xr:uid="{00000000-0005-0000-0000-0000BC170000}"/>
    <cellStyle name="Normal 12 2 3 2 3 3 4" xfId="4380" xr:uid="{00000000-0005-0000-0000-0000BD170000}"/>
    <cellStyle name="Normal 12 2 3 2 3 3 5" xfId="4381" xr:uid="{00000000-0005-0000-0000-0000BE170000}"/>
    <cellStyle name="Normal 12 2 3 2 3 3 6" xfId="4382" xr:uid="{00000000-0005-0000-0000-0000BF170000}"/>
    <cellStyle name="Normal 12 2 3 2 3 4" xfId="4383" xr:uid="{00000000-0005-0000-0000-0000C0170000}"/>
    <cellStyle name="Normal 12 2 3 2 3 4 2" xfId="47720" xr:uid="{00000000-0005-0000-0000-0000C1170000}"/>
    <cellStyle name="Normal 12 2 3 2 3 4 3" xfId="47721" xr:uid="{00000000-0005-0000-0000-0000C2170000}"/>
    <cellStyle name="Normal 12 2 3 2 3 5" xfId="4384" xr:uid="{00000000-0005-0000-0000-0000C3170000}"/>
    <cellStyle name="Normal 12 2 3 2 3 5 2" xfId="47722" xr:uid="{00000000-0005-0000-0000-0000C4170000}"/>
    <cellStyle name="Normal 12 2 3 2 3 6" xfId="4385" xr:uid="{00000000-0005-0000-0000-0000C5170000}"/>
    <cellStyle name="Normal 12 2 3 2 3 7" xfId="4386" xr:uid="{00000000-0005-0000-0000-0000C6170000}"/>
    <cellStyle name="Normal 12 2 3 2 3 8" xfId="4387" xr:uid="{00000000-0005-0000-0000-0000C7170000}"/>
    <cellStyle name="Normal 12 2 3 2 4" xfId="4388" xr:uid="{00000000-0005-0000-0000-0000C8170000}"/>
    <cellStyle name="Normal 12 2 3 2 4 2" xfId="4389" xr:uid="{00000000-0005-0000-0000-0000C9170000}"/>
    <cellStyle name="Normal 12 2 3 2 4 2 2" xfId="4390" xr:uid="{00000000-0005-0000-0000-0000CA170000}"/>
    <cellStyle name="Normal 12 2 3 2 4 2 2 2" xfId="47723" xr:uid="{00000000-0005-0000-0000-0000CB170000}"/>
    <cellStyle name="Normal 12 2 3 2 4 2 2 3" xfId="47724" xr:uid="{00000000-0005-0000-0000-0000CC170000}"/>
    <cellStyle name="Normal 12 2 3 2 4 2 3" xfId="4391" xr:uid="{00000000-0005-0000-0000-0000CD170000}"/>
    <cellStyle name="Normal 12 2 3 2 4 2 3 2" xfId="47725" xr:uid="{00000000-0005-0000-0000-0000CE170000}"/>
    <cellStyle name="Normal 12 2 3 2 4 2 4" xfId="4392" xr:uid="{00000000-0005-0000-0000-0000CF170000}"/>
    <cellStyle name="Normal 12 2 3 2 4 2 5" xfId="4393" xr:uid="{00000000-0005-0000-0000-0000D0170000}"/>
    <cellStyle name="Normal 12 2 3 2 4 2 6" xfId="4394" xr:uid="{00000000-0005-0000-0000-0000D1170000}"/>
    <cellStyle name="Normal 12 2 3 2 4 3" xfId="4395" xr:uid="{00000000-0005-0000-0000-0000D2170000}"/>
    <cellStyle name="Normal 12 2 3 2 4 3 2" xfId="47726" xr:uid="{00000000-0005-0000-0000-0000D3170000}"/>
    <cellStyle name="Normal 12 2 3 2 4 3 3" xfId="47727" xr:uid="{00000000-0005-0000-0000-0000D4170000}"/>
    <cellStyle name="Normal 12 2 3 2 4 4" xfId="4396" xr:uid="{00000000-0005-0000-0000-0000D5170000}"/>
    <cellStyle name="Normal 12 2 3 2 4 4 2" xfId="47728" xr:uid="{00000000-0005-0000-0000-0000D6170000}"/>
    <cellStyle name="Normal 12 2 3 2 4 5" xfId="4397" xr:uid="{00000000-0005-0000-0000-0000D7170000}"/>
    <cellStyle name="Normal 12 2 3 2 4 6" xfId="4398" xr:uid="{00000000-0005-0000-0000-0000D8170000}"/>
    <cellStyle name="Normal 12 2 3 2 4 7" xfId="4399" xr:uid="{00000000-0005-0000-0000-0000D9170000}"/>
    <cellStyle name="Normal 12 2 3 2 5" xfId="4400" xr:uid="{00000000-0005-0000-0000-0000DA170000}"/>
    <cellStyle name="Normal 12 2 3 2 5 2" xfId="4401" xr:uid="{00000000-0005-0000-0000-0000DB170000}"/>
    <cellStyle name="Normal 12 2 3 2 5 2 2" xfId="47729" xr:uid="{00000000-0005-0000-0000-0000DC170000}"/>
    <cellStyle name="Normal 12 2 3 2 5 2 3" xfId="47730" xr:uid="{00000000-0005-0000-0000-0000DD170000}"/>
    <cellStyle name="Normal 12 2 3 2 5 3" xfId="4402" xr:uid="{00000000-0005-0000-0000-0000DE170000}"/>
    <cellStyle name="Normal 12 2 3 2 5 3 2" xfId="47731" xr:uid="{00000000-0005-0000-0000-0000DF170000}"/>
    <cellStyle name="Normal 12 2 3 2 5 4" xfId="4403" xr:uid="{00000000-0005-0000-0000-0000E0170000}"/>
    <cellStyle name="Normal 12 2 3 2 5 5" xfId="4404" xr:uid="{00000000-0005-0000-0000-0000E1170000}"/>
    <cellStyle name="Normal 12 2 3 2 5 6" xfId="4405" xr:uid="{00000000-0005-0000-0000-0000E2170000}"/>
    <cellStyle name="Normal 12 2 3 2 6" xfId="4406" xr:uid="{00000000-0005-0000-0000-0000E3170000}"/>
    <cellStyle name="Normal 12 2 3 2 6 2" xfId="47732" xr:uid="{00000000-0005-0000-0000-0000E4170000}"/>
    <cellStyle name="Normal 12 2 3 2 6 3" xfId="47733" xr:uid="{00000000-0005-0000-0000-0000E5170000}"/>
    <cellStyle name="Normal 12 2 3 2 7" xfId="4407" xr:uid="{00000000-0005-0000-0000-0000E6170000}"/>
    <cellStyle name="Normal 12 2 3 2 7 2" xfId="47734" xr:uid="{00000000-0005-0000-0000-0000E7170000}"/>
    <cellStyle name="Normal 12 2 3 2 8" xfId="4408" xr:uid="{00000000-0005-0000-0000-0000E8170000}"/>
    <cellStyle name="Normal 12 2 3 2 9" xfId="4409" xr:uid="{00000000-0005-0000-0000-0000E9170000}"/>
    <cellStyle name="Normal 12 2 3 3" xfId="4410" xr:uid="{00000000-0005-0000-0000-0000EA170000}"/>
    <cellStyle name="Normal 12 2 3 3 2" xfId="4411" xr:uid="{00000000-0005-0000-0000-0000EB170000}"/>
    <cellStyle name="Normal 12 2 3 3 2 2" xfId="4412" xr:uid="{00000000-0005-0000-0000-0000EC170000}"/>
    <cellStyle name="Normal 12 2 3 3 2 2 2" xfId="4413" xr:uid="{00000000-0005-0000-0000-0000ED170000}"/>
    <cellStyle name="Normal 12 2 3 3 2 2 2 2" xfId="47735" xr:uid="{00000000-0005-0000-0000-0000EE170000}"/>
    <cellStyle name="Normal 12 2 3 3 2 2 2 3" xfId="47736" xr:uid="{00000000-0005-0000-0000-0000EF170000}"/>
    <cellStyle name="Normal 12 2 3 3 2 2 3" xfId="4414" xr:uid="{00000000-0005-0000-0000-0000F0170000}"/>
    <cellStyle name="Normal 12 2 3 3 2 2 3 2" xfId="47737" xr:uid="{00000000-0005-0000-0000-0000F1170000}"/>
    <cellStyle name="Normal 12 2 3 3 2 2 4" xfId="4415" xr:uid="{00000000-0005-0000-0000-0000F2170000}"/>
    <cellStyle name="Normal 12 2 3 3 2 2 5" xfId="4416" xr:uid="{00000000-0005-0000-0000-0000F3170000}"/>
    <cellStyle name="Normal 12 2 3 3 2 2 6" xfId="4417" xr:uid="{00000000-0005-0000-0000-0000F4170000}"/>
    <cellStyle name="Normal 12 2 3 3 2 3" xfId="4418" xr:uid="{00000000-0005-0000-0000-0000F5170000}"/>
    <cellStyle name="Normal 12 2 3 3 2 3 2" xfId="47738" xr:uid="{00000000-0005-0000-0000-0000F6170000}"/>
    <cellStyle name="Normal 12 2 3 3 2 3 3" xfId="47739" xr:uid="{00000000-0005-0000-0000-0000F7170000}"/>
    <cellStyle name="Normal 12 2 3 3 2 4" xfId="4419" xr:uid="{00000000-0005-0000-0000-0000F8170000}"/>
    <cellStyle name="Normal 12 2 3 3 2 4 2" xfId="47740" xr:uid="{00000000-0005-0000-0000-0000F9170000}"/>
    <cellStyle name="Normal 12 2 3 3 2 5" xfId="4420" xr:uid="{00000000-0005-0000-0000-0000FA170000}"/>
    <cellStyle name="Normal 12 2 3 3 2 6" xfId="4421" xr:uid="{00000000-0005-0000-0000-0000FB170000}"/>
    <cellStyle name="Normal 12 2 3 3 2 7" xfId="4422" xr:uid="{00000000-0005-0000-0000-0000FC170000}"/>
    <cellStyle name="Normal 12 2 3 3 3" xfId="4423" xr:uid="{00000000-0005-0000-0000-0000FD170000}"/>
    <cellStyle name="Normal 12 2 3 3 3 2" xfId="4424" xr:uid="{00000000-0005-0000-0000-0000FE170000}"/>
    <cellStyle name="Normal 12 2 3 3 3 2 2" xfId="47741" xr:uid="{00000000-0005-0000-0000-0000FF170000}"/>
    <cellStyle name="Normal 12 2 3 3 3 2 3" xfId="47742" xr:uid="{00000000-0005-0000-0000-000000180000}"/>
    <cellStyle name="Normal 12 2 3 3 3 3" xfId="4425" xr:uid="{00000000-0005-0000-0000-000001180000}"/>
    <cellStyle name="Normal 12 2 3 3 3 3 2" xfId="47743" xr:uid="{00000000-0005-0000-0000-000002180000}"/>
    <cellStyle name="Normal 12 2 3 3 3 4" xfId="4426" xr:uid="{00000000-0005-0000-0000-000003180000}"/>
    <cellStyle name="Normal 12 2 3 3 3 5" xfId="4427" xr:uid="{00000000-0005-0000-0000-000004180000}"/>
    <cellStyle name="Normal 12 2 3 3 3 6" xfId="4428" xr:uid="{00000000-0005-0000-0000-000005180000}"/>
    <cellStyle name="Normal 12 2 3 3 4" xfId="4429" xr:uid="{00000000-0005-0000-0000-000006180000}"/>
    <cellStyle name="Normal 12 2 3 3 4 2" xfId="47744" xr:uid="{00000000-0005-0000-0000-000007180000}"/>
    <cellStyle name="Normal 12 2 3 3 4 3" xfId="47745" xr:uid="{00000000-0005-0000-0000-000008180000}"/>
    <cellStyle name="Normal 12 2 3 3 5" xfId="4430" xr:uid="{00000000-0005-0000-0000-000009180000}"/>
    <cellStyle name="Normal 12 2 3 3 5 2" xfId="47746" xr:uid="{00000000-0005-0000-0000-00000A180000}"/>
    <cellStyle name="Normal 12 2 3 3 6" xfId="4431" xr:uid="{00000000-0005-0000-0000-00000B180000}"/>
    <cellStyle name="Normal 12 2 3 3 7" xfId="4432" xr:uid="{00000000-0005-0000-0000-00000C180000}"/>
    <cellStyle name="Normal 12 2 3 3 8" xfId="4433" xr:uid="{00000000-0005-0000-0000-00000D180000}"/>
    <cellStyle name="Normal 12 2 3 3 9" xfId="4434" xr:uid="{00000000-0005-0000-0000-00000E180000}"/>
    <cellStyle name="Normal 12 2 3 4" xfId="4435" xr:uid="{00000000-0005-0000-0000-00000F180000}"/>
    <cellStyle name="Normal 12 2 3 4 2" xfId="4436" xr:uid="{00000000-0005-0000-0000-000010180000}"/>
    <cellStyle name="Normal 12 2 3 4 2 2" xfId="4437" xr:uid="{00000000-0005-0000-0000-000011180000}"/>
    <cellStyle name="Normal 12 2 3 4 2 2 2" xfId="4438" xr:uid="{00000000-0005-0000-0000-000012180000}"/>
    <cellStyle name="Normal 12 2 3 4 2 2 2 2" xfId="47747" xr:uid="{00000000-0005-0000-0000-000013180000}"/>
    <cellStyle name="Normal 12 2 3 4 2 2 2 3" xfId="47748" xr:uid="{00000000-0005-0000-0000-000014180000}"/>
    <cellStyle name="Normal 12 2 3 4 2 2 3" xfId="4439" xr:uid="{00000000-0005-0000-0000-000015180000}"/>
    <cellStyle name="Normal 12 2 3 4 2 2 3 2" xfId="47749" xr:uid="{00000000-0005-0000-0000-000016180000}"/>
    <cellStyle name="Normal 12 2 3 4 2 2 4" xfId="4440" xr:uid="{00000000-0005-0000-0000-000017180000}"/>
    <cellStyle name="Normal 12 2 3 4 2 2 5" xfId="4441" xr:uid="{00000000-0005-0000-0000-000018180000}"/>
    <cellStyle name="Normal 12 2 3 4 2 2 6" xfId="4442" xr:uid="{00000000-0005-0000-0000-000019180000}"/>
    <cellStyle name="Normal 12 2 3 4 2 3" xfId="4443" xr:uid="{00000000-0005-0000-0000-00001A180000}"/>
    <cellStyle name="Normal 12 2 3 4 2 3 2" xfId="47750" xr:uid="{00000000-0005-0000-0000-00001B180000}"/>
    <cellStyle name="Normal 12 2 3 4 2 3 3" xfId="47751" xr:uid="{00000000-0005-0000-0000-00001C180000}"/>
    <cellStyle name="Normal 12 2 3 4 2 4" xfId="4444" xr:uid="{00000000-0005-0000-0000-00001D180000}"/>
    <cellStyle name="Normal 12 2 3 4 2 4 2" xfId="47752" xr:uid="{00000000-0005-0000-0000-00001E180000}"/>
    <cellStyle name="Normal 12 2 3 4 2 5" xfId="4445" xr:uid="{00000000-0005-0000-0000-00001F180000}"/>
    <cellStyle name="Normal 12 2 3 4 2 6" xfId="4446" xr:uid="{00000000-0005-0000-0000-000020180000}"/>
    <cellStyle name="Normal 12 2 3 4 2 7" xfId="4447" xr:uid="{00000000-0005-0000-0000-000021180000}"/>
    <cellStyle name="Normal 12 2 3 4 3" xfId="4448" xr:uid="{00000000-0005-0000-0000-000022180000}"/>
    <cellStyle name="Normal 12 2 3 4 3 2" xfId="4449" xr:uid="{00000000-0005-0000-0000-000023180000}"/>
    <cellStyle name="Normal 12 2 3 4 3 2 2" xfId="47753" xr:uid="{00000000-0005-0000-0000-000024180000}"/>
    <cellStyle name="Normal 12 2 3 4 3 2 3" xfId="47754" xr:uid="{00000000-0005-0000-0000-000025180000}"/>
    <cellStyle name="Normal 12 2 3 4 3 3" xfId="4450" xr:uid="{00000000-0005-0000-0000-000026180000}"/>
    <cellStyle name="Normal 12 2 3 4 3 3 2" xfId="47755" xr:uid="{00000000-0005-0000-0000-000027180000}"/>
    <cellStyle name="Normal 12 2 3 4 3 4" xfId="4451" xr:uid="{00000000-0005-0000-0000-000028180000}"/>
    <cellStyle name="Normal 12 2 3 4 3 5" xfId="4452" xr:uid="{00000000-0005-0000-0000-000029180000}"/>
    <cellStyle name="Normal 12 2 3 4 3 6" xfId="4453" xr:uid="{00000000-0005-0000-0000-00002A180000}"/>
    <cellStyle name="Normal 12 2 3 4 4" xfId="4454" xr:uid="{00000000-0005-0000-0000-00002B180000}"/>
    <cellStyle name="Normal 12 2 3 4 4 2" xfId="47756" xr:uid="{00000000-0005-0000-0000-00002C180000}"/>
    <cellStyle name="Normal 12 2 3 4 4 3" xfId="47757" xr:uid="{00000000-0005-0000-0000-00002D180000}"/>
    <cellStyle name="Normal 12 2 3 4 5" xfId="4455" xr:uid="{00000000-0005-0000-0000-00002E180000}"/>
    <cellStyle name="Normal 12 2 3 4 5 2" xfId="47758" xr:uid="{00000000-0005-0000-0000-00002F180000}"/>
    <cellStyle name="Normal 12 2 3 4 6" xfId="4456" xr:uid="{00000000-0005-0000-0000-000030180000}"/>
    <cellStyle name="Normal 12 2 3 4 7" xfId="4457" xr:uid="{00000000-0005-0000-0000-000031180000}"/>
    <cellStyle name="Normal 12 2 3 4 8" xfId="4458" xr:uid="{00000000-0005-0000-0000-000032180000}"/>
    <cellStyle name="Normal 12 2 3 5" xfId="4459" xr:uid="{00000000-0005-0000-0000-000033180000}"/>
    <cellStyle name="Normal 12 2 3 5 2" xfId="4460" xr:uid="{00000000-0005-0000-0000-000034180000}"/>
    <cellStyle name="Normal 12 2 3 5 2 2" xfId="4461" xr:uid="{00000000-0005-0000-0000-000035180000}"/>
    <cellStyle name="Normal 12 2 3 5 2 2 2" xfId="47759" xr:uid="{00000000-0005-0000-0000-000036180000}"/>
    <cellStyle name="Normal 12 2 3 5 2 2 3" xfId="47760" xr:uid="{00000000-0005-0000-0000-000037180000}"/>
    <cellStyle name="Normal 12 2 3 5 2 3" xfId="4462" xr:uid="{00000000-0005-0000-0000-000038180000}"/>
    <cellStyle name="Normal 12 2 3 5 2 3 2" xfId="47761" xr:uid="{00000000-0005-0000-0000-000039180000}"/>
    <cellStyle name="Normal 12 2 3 5 2 4" xfId="4463" xr:uid="{00000000-0005-0000-0000-00003A180000}"/>
    <cellStyle name="Normal 12 2 3 5 2 5" xfId="4464" xr:uid="{00000000-0005-0000-0000-00003B180000}"/>
    <cellStyle name="Normal 12 2 3 5 2 6" xfId="4465" xr:uid="{00000000-0005-0000-0000-00003C180000}"/>
    <cellStyle name="Normal 12 2 3 5 3" xfId="4466" xr:uid="{00000000-0005-0000-0000-00003D180000}"/>
    <cellStyle name="Normal 12 2 3 5 3 2" xfId="47762" xr:uid="{00000000-0005-0000-0000-00003E180000}"/>
    <cellStyle name="Normal 12 2 3 5 3 3" xfId="47763" xr:uid="{00000000-0005-0000-0000-00003F180000}"/>
    <cellStyle name="Normal 12 2 3 5 4" xfId="4467" xr:uid="{00000000-0005-0000-0000-000040180000}"/>
    <cellStyle name="Normal 12 2 3 5 4 2" xfId="47764" xr:uid="{00000000-0005-0000-0000-000041180000}"/>
    <cellStyle name="Normal 12 2 3 5 5" xfId="4468" xr:uid="{00000000-0005-0000-0000-000042180000}"/>
    <cellStyle name="Normal 12 2 3 5 6" xfId="4469" xr:uid="{00000000-0005-0000-0000-000043180000}"/>
    <cellStyle name="Normal 12 2 3 5 7" xfId="4470" xr:uid="{00000000-0005-0000-0000-000044180000}"/>
    <cellStyle name="Normal 12 2 3 6" xfId="4471" xr:uid="{00000000-0005-0000-0000-000045180000}"/>
    <cellStyle name="Normal 12 2 3 6 2" xfId="4472" xr:uid="{00000000-0005-0000-0000-000046180000}"/>
    <cellStyle name="Normal 12 2 3 6 2 2" xfId="47765" xr:uid="{00000000-0005-0000-0000-000047180000}"/>
    <cellStyle name="Normal 12 2 3 6 2 3" xfId="47766" xr:uid="{00000000-0005-0000-0000-000048180000}"/>
    <cellStyle name="Normal 12 2 3 6 3" xfId="4473" xr:uid="{00000000-0005-0000-0000-000049180000}"/>
    <cellStyle name="Normal 12 2 3 6 3 2" xfId="47767" xr:uid="{00000000-0005-0000-0000-00004A180000}"/>
    <cellStyle name="Normal 12 2 3 6 4" xfId="4474" xr:uid="{00000000-0005-0000-0000-00004B180000}"/>
    <cellStyle name="Normal 12 2 3 6 5" xfId="4475" xr:uid="{00000000-0005-0000-0000-00004C180000}"/>
    <cellStyle name="Normal 12 2 3 6 6" xfId="4476" xr:uid="{00000000-0005-0000-0000-00004D180000}"/>
    <cellStyle name="Normal 12 2 3 7" xfId="4477" xr:uid="{00000000-0005-0000-0000-00004E180000}"/>
    <cellStyle name="Normal 12 2 3 7 2" xfId="47768" xr:uid="{00000000-0005-0000-0000-00004F180000}"/>
    <cellStyle name="Normal 12 2 3 7 3" xfId="47769" xr:uid="{00000000-0005-0000-0000-000050180000}"/>
    <cellStyle name="Normal 12 2 3 8" xfId="4478" xr:uid="{00000000-0005-0000-0000-000051180000}"/>
    <cellStyle name="Normal 12 2 3 8 2" xfId="47770" xr:uid="{00000000-0005-0000-0000-000052180000}"/>
    <cellStyle name="Normal 12 2 3 9" xfId="4479" xr:uid="{00000000-0005-0000-0000-000053180000}"/>
    <cellStyle name="Normal 12 2 4" xfId="4480" xr:uid="{00000000-0005-0000-0000-000054180000}"/>
    <cellStyle name="Normal 12 2 4 10" xfId="4481" xr:uid="{00000000-0005-0000-0000-000055180000}"/>
    <cellStyle name="Normal 12 2 4 11" xfId="4482" xr:uid="{00000000-0005-0000-0000-000056180000}"/>
    <cellStyle name="Normal 12 2 4 12" xfId="4483" xr:uid="{00000000-0005-0000-0000-000057180000}"/>
    <cellStyle name="Normal 12 2 4 13" xfId="4484" xr:uid="{00000000-0005-0000-0000-000058180000}"/>
    <cellStyle name="Normal 12 2 4 14" xfId="4485" xr:uid="{00000000-0005-0000-0000-000059180000}"/>
    <cellStyle name="Normal 12 2 4 2" xfId="4486" xr:uid="{00000000-0005-0000-0000-00005A180000}"/>
    <cellStyle name="Normal 12 2 4 2 2" xfId="4487" xr:uid="{00000000-0005-0000-0000-00005B180000}"/>
    <cellStyle name="Normal 12 2 4 2 2 2" xfId="4488" xr:uid="{00000000-0005-0000-0000-00005C180000}"/>
    <cellStyle name="Normal 12 2 4 2 2 2 2" xfId="4489" xr:uid="{00000000-0005-0000-0000-00005D180000}"/>
    <cellStyle name="Normal 12 2 4 2 2 2 2 2" xfId="47771" xr:uid="{00000000-0005-0000-0000-00005E180000}"/>
    <cellStyle name="Normal 12 2 4 2 2 2 2 3" xfId="47772" xr:uid="{00000000-0005-0000-0000-00005F180000}"/>
    <cellStyle name="Normal 12 2 4 2 2 2 3" xfId="4490" xr:uid="{00000000-0005-0000-0000-000060180000}"/>
    <cellStyle name="Normal 12 2 4 2 2 2 3 2" xfId="47773" xr:uid="{00000000-0005-0000-0000-000061180000}"/>
    <cellStyle name="Normal 12 2 4 2 2 2 4" xfId="4491" xr:uid="{00000000-0005-0000-0000-000062180000}"/>
    <cellStyle name="Normal 12 2 4 2 2 2 5" xfId="4492" xr:uid="{00000000-0005-0000-0000-000063180000}"/>
    <cellStyle name="Normal 12 2 4 2 2 2 6" xfId="4493" xr:uid="{00000000-0005-0000-0000-000064180000}"/>
    <cellStyle name="Normal 12 2 4 2 2 3" xfId="4494" xr:uid="{00000000-0005-0000-0000-000065180000}"/>
    <cellStyle name="Normal 12 2 4 2 2 3 2" xfId="47774" xr:uid="{00000000-0005-0000-0000-000066180000}"/>
    <cellStyle name="Normal 12 2 4 2 2 3 3" xfId="47775" xr:uid="{00000000-0005-0000-0000-000067180000}"/>
    <cellStyle name="Normal 12 2 4 2 2 4" xfId="4495" xr:uid="{00000000-0005-0000-0000-000068180000}"/>
    <cellStyle name="Normal 12 2 4 2 2 4 2" xfId="47776" xr:uid="{00000000-0005-0000-0000-000069180000}"/>
    <cellStyle name="Normal 12 2 4 2 2 5" xfId="4496" xr:uid="{00000000-0005-0000-0000-00006A180000}"/>
    <cellStyle name="Normal 12 2 4 2 2 6" xfId="4497" xr:uid="{00000000-0005-0000-0000-00006B180000}"/>
    <cellStyle name="Normal 12 2 4 2 2 7" xfId="4498" xr:uid="{00000000-0005-0000-0000-00006C180000}"/>
    <cellStyle name="Normal 12 2 4 2 3" xfId="4499" xr:uid="{00000000-0005-0000-0000-00006D180000}"/>
    <cellStyle name="Normal 12 2 4 2 3 2" xfId="4500" xr:uid="{00000000-0005-0000-0000-00006E180000}"/>
    <cellStyle name="Normal 12 2 4 2 3 2 2" xfId="47777" xr:uid="{00000000-0005-0000-0000-00006F180000}"/>
    <cellStyle name="Normal 12 2 4 2 3 2 3" xfId="47778" xr:uid="{00000000-0005-0000-0000-000070180000}"/>
    <cellStyle name="Normal 12 2 4 2 3 3" xfId="4501" xr:uid="{00000000-0005-0000-0000-000071180000}"/>
    <cellStyle name="Normal 12 2 4 2 3 3 2" xfId="47779" xr:uid="{00000000-0005-0000-0000-000072180000}"/>
    <cellStyle name="Normal 12 2 4 2 3 4" xfId="4502" xr:uid="{00000000-0005-0000-0000-000073180000}"/>
    <cellStyle name="Normal 12 2 4 2 3 5" xfId="4503" xr:uid="{00000000-0005-0000-0000-000074180000}"/>
    <cellStyle name="Normal 12 2 4 2 3 6" xfId="4504" xr:uid="{00000000-0005-0000-0000-000075180000}"/>
    <cellStyle name="Normal 12 2 4 2 4" xfId="4505" xr:uid="{00000000-0005-0000-0000-000076180000}"/>
    <cellStyle name="Normal 12 2 4 2 4 2" xfId="47780" xr:uid="{00000000-0005-0000-0000-000077180000}"/>
    <cellStyle name="Normal 12 2 4 2 4 3" xfId="47781" xr:uid="{00000000-0005-0000-0000-000078180000}"/>
    <cellStyle name="Normal 12 2 4 2 5" xfId="4506" xr:uid="{00000000-0005-0000-0000-000079180000}"/>
    <cellStyle name="Normal 12 2 4 2 5 2" xfId="47782" xr:uid="{00000000-0005-0000-0000-00007A180000}"/>
    <cellStyle name="Normal 12 2 4 2 6" xfId="4507" xr:uid="{00000000-0005-0000-0000-00007B180000}"/>
    <cellStyle name="Normal 12 2 4 2 7" xfId="4508" xr:uid="{00000000-0005-0000-0000-00007C180000}"/>
    <cellStyle name="Normal 12 2 4 2 8" xfId="4509" xr:uid="{00000000-0005-0000-0000-00007D180000}"/>
    <cellStyle name="Normal 12 2 4 2 9" xfId="4510" xr:uid="{00000000-0005-0000-0000-00007E180000}"/>
    <cellStyle name="Normal 12 2 4 3" xfId="4511" xr:uid="{00000000-0005-0000-0000-00007F180000}"/>
    <cellStyle name="Normal 12 2 4 3 2" xfId="4512" xr:uid="{00000000-0005-0000-0000-000080180000}"/>
    <cellStyle name="Normal 12 2 4 3 2 2" xfId="4513" xr:uid="{00000000-0005-0000-0000-000081180000}"/>
    <cellStyle name="Normal 12 2 4 3 2 2 2" xfId="4514" xr:uid="{00000000-0005-0000-0000-000082180000}"/>
    <cellStyle name="Normal 12 2 4 3 2 2 2 2" xfId="47783" xr:uid="{00000000-0005-0000-0000-000083180000}"/>
    <cellStyle name="Normal 12 2 4 3 2 2 2 3" xfId="47784" xr:uid="{00000000-0005-0000-0000-000084180000}"/>
    <cellStyle name="Normal 12 2 4 3 2 2 3" xfId="4515" xr:uid="{00000000-0005-0000-0000-000085180000}"/>
    <cellStyle name="Normal 12 2 4 3 2 2 3 2" xfId="47785" xr:uid="{00000000-0005-0000-0000-000086180000}"/>
    <cellStyle name="Normal 12 2 4 3 2 2 4" xfId="4516" xr:uid="{00000000-0005-0000-0000-000087180000}"/>
    <cellStyle name="Normal 12 2 4 3 2 2 5" xfId="4517" xr:uid="{00000000-0005-0000-0000-000088180000}"/>
    <cellStyle name="Normal 12 2 4 3 2 2 6" xfId="4518" xr:uid="{00000000-0005-0000-0000-000089180000}"/>
    <cellStyle name="Normal 12 2 4 3 2 3" xfId="4519" xr:uid="{00000000-0005-0000-0000-00008A180000}"/>
    <cellStyle name="Normal 12 2 4 3 2 3 2" xfId="47786" xr:uid="{00000000-0005-0000-0000-00008B180000}"/>
    <cellStyle name="Normal 12 2 4 3 2 3 3" xfId="47787" xr:uid="{00000000-0005-0000-0000-00008C180000}"/>
    <cellStyle name="Normal 12 2 4 3 2 4" xfId="4520" xr:uid="{00000000-0005-0000-0000-00008D180000}"/>
    <cellStyle name="Normal 12 2 4 3 2 4 2" xfId="47788" xr:uid="{00000000-0005-0000-0000-00008E180000}"/>
    <cellStyle name="Normal 12 2 4 3 2 5" xfId="4521" xr:uid="{00000000-0005-0000-0000-00008F180000}"/>
    <cellStyle name="Normal 12 2 4 3 2 6" xfId="4522" xr:uid="{00000000-0005-0000-0000-000090180000}"/>
    <cellStyle name="Normal 12 2 4 3 2 7" xfId="4523" xr:uid="{00000000-0005-0000-0000-000091180000}"/>
    <cellStyle name="Normal 12 2 4 3 3" xfId="4524" xr:uid="{00000000-0005-0000-0000-000092180000}"/>
    <cellStyle name="Normal 12 2 4 3 3 2" xfId="4525" xr:uid="{00000000-0005-0000-0000-000093180000}"/>
    <cellStyle name="Normal 12 2 4 3 3 2 2" xfId="47789" xr:uid="{00000000-0005-0000-0000-000094180000}"/>
    <cellStyle name="Normal 12 2 4 3 3 2 3" xfId="47790" xr:uid="{00000000-0005-0000-0000-000095180000}"/>
    <cellStyle name="Normal 12 2 4 3 3 3" xfId="4526" xr:uid="{00000000-0005-0000-0000-000096180000}"/>
    <cellStyle name="Normal 12 2 4 3 3 3 2" xfId="47791" xr:uid="{00000000-0005-0000-0000-000097180000}"/>
    <cellStyle name="Normal 12 2 4 3 3 4" xfId="4527" xr:uid="{00000000-0005-0000-0000-000098180000}"/>
    <cellStyle name="Normal 12 2 4 3 3 5" xfId="4528" xr:uid="{00000000-0005-0000-0000-000099180000}"/>
    <cellStyle name="Normal 12 2 4 3 3 6" xfId="4529" xr:uid="{00000000-0005-0000-0000-00009A180000}"/>
    <cellStyle name="Normal 12 2 4 3 4" xfId="4530" xr:uid="{00000000-0005-0000-0000-00009B180000}"/>
    <cellStyle name="Normal 12 2 4 3 4 2" xfId="47792" xr:uid="{00000000-0005-0000-0000-00009C180000}"/>
    <cellStyle name="Normal 12 2 4 3 4 3" xfId="47793" xr:uid="{00000000-0005-0000-0000-00009D180000}"/>
    <cellStyle name="Normal 12 2 4 3 5" xfId="4531" xr:uid="{00000000-0005-0000-0000-00009E180000}"/>
    <cellStyle name="Normal 12 2 4 3 5 2" xfId="47794" xr:uid="{00000000-0005-0000-0000-00009F180000}"/>
    <cellStyle name="Normal 12 2 4 3 6" xfId="4532" xr:uid="{00000000-0005-0000-0000-0000A0180000}"/>
    <cellStyle name="Normal 12 2 4 3 7" xfId="4533" xr:uid="{00000000-0005-0000-0000-0000A1180000}"/>
    <cellStyle name="Normal 12 2 4 3 8" xfId="4534" xr:uid="{00000000-0005-0000-0000-0000A2180000}"/>
    <cellStyle name="Normal 12 2 4 4" xfId="4535" xr:uid="{00000000-0005-0000-0000-0000A3180000}"/>
    <cellStyle name="Normal 12 2 4 4 2" xfId="4536" xr:uid="{00000000-0005-0000-0000-0000A4180000}"/>
    <cellStyle name="Normal 12 2 4 4 2 2" xfId="4537" xr:uid="{00000000-0005-0000-0000-0000A5180000}"/>
    <cellStyle name="Normal 12 2 4 4 2 2 2" xfId="47795" xr:uid="{00000000-0005-0000-0000-0000A6180000}"/>
    <cellStyle name="Normal 12 2 4 4 2 2 3" xfId="47796" xr:uid="{00000000-0005-0000-0000-0000A7180000}"/>
    <cellStyle name="Normal 12 2 4 4 2 3" xfId="4538" xr:uid="{00000000-0005-0000-0000-0000A8180000}"/>
    <cellStyle name="Normal 12 2 4 4 2 3 2" xfId="47797" xr:uid="{00000000-0005-0000-0000-0000A9180000}"/>
    <cellStyle name="Normal 12 2 4 4 2 4" xfId="4539" xr:uid="{00000000-0005-0000-0000-0000AA180000}"/>
    <cellStyle name="Normal 12 2 4 4 2 5" xfId="4540" xr:uid="{00000000-0005-0000-0000-0000AB180000}"/>
    <cellStyle name="Normal 12 2 4 4 2 6" xfId="4541" xr:uid="{00000000-0005-0000-0000-0000AC180000}"/>
    <cellStyle name="Normal 12 2 4 4 3" xfId="4542" xr:uid="{00000000-0005-0000-0000-0000AD180000}"/>
    <cellStyle name="Normal 12 2 4 4 3 2" xfId="47798" xr:uid="{00000000-0005-0000-0000-0000AE180000}"/>
    <cellStyle name="Normal 12 2 4 4 3 3" xfId="47799" xr:uid="{00000000-0005-0000-0000-0000AF180000}"/>
    <cellStyle name="Normal 12 2 4 4 4" xfId="4543" xr:uid="{00000000-0005-0000-0000-0000B0180000}"/>
    <cellStyle name="Normal 12 2 4 4 4 2" xfId="47800" xr:uid="{00000000-0005-0000-0000-0000B1180000}"/>
    <cellStyle name="Normal 12 2 4 4 5" xfId="4544" xr:uid="{00000000-0005-0000-0000-0000B2180000}"/>
    <cellStyle name="Normal 12 2 4 4 6" xfId="4545" xr:uid="{00000000-0005-0000-0000-0000B3180000}"/>
    <cellStyle name="Normal 12 2 4 4 7" xfId="4546" xr:uid="{00000000-0005-0000-0000-0000B4180000}"/>
    <cellStyle name="Normal 12 2 4 5" xfId="4547" xr:uid="{00000000-0005-0000-0000-0000B5180000}"/>
    <cellStyle name="Normal 12 2 4 5 2" xfId="4548" xr:uid="{00000000-0005-0000-0000-0000B6180000}"/>
    <cellStyle name="Normal 12 2 4 5 2 2" xfId="47801" xr:uid="{00000000-0005-0000-0000-0000B7180000}"/>
    <cellStyle name="Normal 12 2 4 5 2 3" xfId="47802" xr:uid="{00000000-0005-0000-0000-0000B8180000}"/>
    <cellStyle name="Normal 12 2 4 5 3" xfId="4549" xr:uid="{00000000-0005-0000-0000-0000B9180000}"/>
    <cellStyle name="Normal 12 2 4 5 3 2" xfId="47803" xr:uid="{00000000-0005-0000-0000-0000BA180000}"/>
    <cellStyle name="Normal 12 2 4 5 4" xfId="4550" xr:uid="{00000000-0005-0000-0000-0000BB180000}"/>
    <cellStyle name="Normal 12 2 4 5 5" xfId="4551" xr:uid="{00000000-0005-0000-0000-0000BC180000}"/>
    <cellStyle name="Normal 12 2 4 5 6" xfId="4552" xr:uid="{00000000-0005-0000-0000-0000BD180000}"/>
    <cellStyle name="Normal 12 2 4 6" xfId="4553" xr:uid="{00000000-0005-0000-0000-0000BE180000}"/>
    <cellStyle name="Normal 12 2 4 6 2" xfId="47804" xr:uid="{00000000-0005-0000-0000-0000BF180000}"/>
    <cellStyle name="Normal 12 2 4 6 3" xfId="47805" xr:uid="{00000000-0005-0000-0000-0000C0180000}"/>
    <cellStyle name="Normal 12 2 4 7" xfId="4554" xr:uid="{00000000-0005-0000-0000-0000C1180000}"/>
    <cellStyle name="Normal 12 2 4 7 2" xfId="47806" xr:uid="{00000000-0005-0000-0000-0000C2180000}"/>
    <cellStyle name="Normal 12 2 4 8" xfId="4555" xr:uid="{00000000-0005-0000-0000-0000C3180000}"/>
    <cellStyle name="Normal 12 2 4 9" xfId="4556" xr:uid="{00000000-0005-0000-0000-0000C4180000}"/>
    <cellStyle name="Normal 12 2 5" xfId="4557" xr:uid="{00000000-0005-0000-0000-0000C5180000}"/>
    <cellStyle name="Normal 12 2 5 10" xfId="4558" xr:uid="{00000000-0005-0000-0000-0000C6180000}"/>
    <cellStyle name="Normal 12 2 5 11" xfId="4559" xr:uid="{00000000-0005-0000-0000-0000C7180000}"/>
    <cellStyle name="Normal 12 2 5 12" xfId="4560" xr:uid="{00000000-0005-0000-0000-0000C8180000}"/>
    <cellStyle name="Normal 12 2 5 13" xfId="4561" xr:uid="{00000000-0005-0000-0000-0000C9180000}"/>
    <cellStyle name="Normal 12 2 5 14" xfId="4562" xr:uid="{00000000-0005-0000-0000-0000CA180000}"/>
    <cellStyle name="Normal 12 2 5 2" xfId="4563" xr:uid="{00000000-0005-0000-0000-0000CB180000}"/>
    <cellStyle name="Normal 12 2 5 2 2" xfId="4564" xr:uid="{00000000-0005-0000-0000-0000CC180000}"/>
    <cellStyle name="Normal 12 2 5 2 2 2" xfId="4565" xr:uid="{00000000-0005-0000-0000-0000CD180000}"/>
    <cellStyle name="Normal 12 2 5 2 2 2 2" xfId="4566" xr:uid="{00000000-0005-0000-0000-0000CE180000}"/>
    <cellStyle name="Normal 12 2 5 2 2 2 2 2" xfId="47807" xr:uid="{00000000-0005-0000-0000-0000CF180000}"/>
    <cellStyle name="Normal 12 2 5 2 2 2 2 3" xfId="47808" xr:uid="{00000000-0005-0000-0000-0000D0180000}"/>
    <cellStyle name="Normal 12 2 5 2 2 2 3" xfId="4567" xr:uid="{00000000-0005-0000-0000-0000D1180000}"/>
    <cellStyle name="Normal 12 2 5 2 2 2 3 2" xfId="47809" xr:uid="{00000000-0005-0000-0000-0000D2180000}"/>
    <cellStyle name="Normal 12 2 5 2 2 2 4" xfId="4568" xr:uid="{00000000-0005-0000-0000-0000D3180000}"/>
    <cellStyle name="Normal 12 2 5 2 2 2 5" xfId="4569" xr:uid="{00000000-0005-0000-0000-0000D4180000}"/>
    <cellStyle name="Normal 12 2 5 2 2 2 6" xfId="4570" xr:uid="{00000000-0005-0000-0000-0000D5180000}"/>
    <cellStyle name="Normal 12 2 5 2 2 3" xfId="4571" xr:uid="{00000000-0005-0000-0000-0000D6180000}"/>
    <cellStyle name="Normal 12 2 5 2 2 3 2" xfId="47810" xr:uid="{00000000-0005-0000-0000-0000D7180000}"/>
    <cellStyle name="Normal 12 2 5 2 2 3 3" xfId="47811" xr:uid="{00000000-0005-0000-0000-0000D8180000}"/>
    <cellStyle name="Normal 12 2 5 2 2 4" xfId="4572" xr:uid="{00000000-0005-0000-0000-0000D9180000}"/>
    <cellStyle name="Normal 12 2 5 2 2 4 2" xfId="47812" xr:uid="{00000000-0005-0000-0000-0000DA180000}"/>
    <cellStyle name="Normal 12 2 5 2 2 5" xfId="4573" xr:uid="{00000000-0005-0000-0000-0000DB180000}"/>
    <cellStyle name="Normal 12 2 5 2 2 6" xfId="4574" xr:uid="{00000000-0005-0000-0000-0000DC180000}"/>
    <cellStyle name="Normal 12 2 5 2 2 7" xfId="4575" xr:uid="{00000000-0005-0000-0000-0000DD180000}"/>
    <cellStyle name="Normal 12 2 5 2 3" xfId="4576" xr:uid="{00000000-0005-0000-0000-0000DE180000}"/>
    <cellStyle name="Normal 12 2 5 2 3 2" xfId="4577" xr:uid="{00000000-0005-0000-0000-0000DF180000}"/>
    <cellStyle name="Normal 12 2 5 2 3 2 2" xfId="47813" xr:uid="{00000000-0005-0000-0000-0000E0180000}"/>
    <cellStyle name="Normal 12 2 5 2 3 2 3" xfId="47814" xr:uid="{00000000-0005-0000-0000-0000E1180000}"/>
    <cellStyle name="Normal 12 2 5 2 3 3" xfId="4578" xr:uid="{00000000-0005-0000-0000-0000E2180000}"/>
    <cellStyle name="Normal 12 2 5 2 3 3 2" xfId="47815" xr:uid="{00000000-0005-0000-0000-0000E3180000}"/>
    <cellStyle name="Normal 12 2 5 2 3 4" xfId="4579" xr:uid="{00000000-0005-0000-0000-0000E4180000}"/>
    <cellStyle name="Normal 12 2 5 2 3 5" xfId="4580" xr:uid="{00000000-0005-0000-0000-0000E5180000}"/>
    <cellStyle name="Normal 12 2 5 2 3 6" xfId="4581" xr:uid="{00000000-0005-0000-0000-0000E6180000}"/>
    <cellStyle name="Normal 12 2 5 2 4" xfId="4582" xr:uid="{00000000-0005-0000-0000-0000E7180000}"/>
    <cellStyle name="Normal 12 2 5 2 4 2" xfId="47816" xr:uid="{00000000-0005-0000-0000-0000E8180000}"/>
    <cellStyle name="Normal 12 2 5 2 4 3" xfId="47817" xr:uid="{00000000-0005-0000-0000-0000E9180000}"/>
    <cellStyle name="Normal 12 2 5 2 5" xfId="4583" xr:uid="{00000000-0005-0000-0000-0000EA180000}"/>
    <cellStyle name="Normal 12 2 5 2 5 2" xfId="47818" xr:uid="{00000000-0005-0000-0000-0000EB180000}"/>
    <cellStyle name="Normal 12 2 5 2 6" xfId="4584" xr:uid="{00000000-0005-0000-0000-0000EC180000}"/>
    <cellStyle name="Normal 12 2 5 2 7" xfId="4585" xr:uid="{00000000-0005-0000-0000-0000ED180000}"/>
    <cellStyle name="Normal 12 2 5 2 8" xfId="4586" xr:uid="{00000000-0005-0000-0000-0000EE180000}"/>
    <cellStyle name="Normal 12 2 5 2 9" xfId="4587" xr:uid="{00000000-0005-0000-0000-0000EF180000}"/>
    <cellStyle name="Normal 12 2 5 3" xfId="4588" xr:uid="{00000000-0005-0000-0000-0000F0180000}"/>
    <cellStyle name="Normal 12 2 5 3 2" xfId="4589" xr:uid="{00000000-0005-0000-0000-0000F1180000}"/>
    <cellStyle name="Normal 12 2 5 3 2 2" xfId="4590" xr:uid="{00000000-0005-0000-0000-0000F2180000}"/>
    <cellStyle name="Normal 12 2 5 3 2 2 2" xfId="4591" xr:uid="{00000000-0005-0000-0000-0000F3180000}"/>
    <cellStyle name="Normal 12 2 5 3 2 2 2 2" xfId="47819" xr:uid="{00000000-0005-0000-0000-0000F4180000}"/>
    <cellStyle name="Normal 12 2 5 3 2 2 2 3" xfId="47820" xr:uid="{00000000-0005-0000-0000-0000F5180000}"/>
    <cellStyle name="Normal 12 2 5 3 2 2 3" xfId="4592" xr:uid="{00000000-0005-0000-0000-0000F6180000}"/>
    <cellStyle name="Normal 12 2 5 3 2 2 3 2" xfId="47821" xr:uid="{00000000-0005-0000-0000-0000F7180000}"/>
    <cellStyle name="Normal 12 2 5 3 2 2 4" xfId="4593" xr:uid="{00000000-0005-0000-0000-0000F8180000}"/>
    <cellStyle name="Normal 12 2 5 3 2 2 5" xfId="4594" xr:uid="{00000000-0005-0000-0000-0000F9180000}"/>
    <cellStyle name="Normal 12 2 5 3 2 2 6" xfId="4595" xr:uid="{00000000-0005-0000-0000-0000FA180000}"/>
    <cellStyle name="Normal 12 2 5 3 2 3" xfId="4596" xr:uid="{00000000-0005-0000-0000-0000FB180000}"/>
    <cellStyle name="Normal 12 2 5 3 2 3 2" xfId="47822" xr:uid="{00000000-0005-0000-0000-0000FC180000}"/>
    <cellStyle name="Normal 12 2 5 3 2 3 3" xfId="47823" xr:uid="{00000000-0005-0000-0000-0000FD180000}"/>
    <cellStyle name="Normal 12 2 5 3 2 4" xfId="4597" xr:uid="{00000000-0005-0000-0000-0000FE180000}"/>
    <cellStyle name="Normal 12 2 5 3 2 4 2" xfId="47824" xr:uid="{00000000-0005-0000-0000-0000FF180000}"/>
    <cellStyle name="Normal 12 2 5 3 2 5" xfId="4598" xr:uid="{00000000-0005-0000-0000-000000190000}"/>
    <cellStyle name="Normal 12 2 5 3 2 6" xfId="4599" xr:uid="{00000000-0005-0000-0000-000001190000}"/>
    <cellStyle name="Normal 12 2 5 3 2 7" xfId="4600" xr:uid="{00000000-0005-0000-0000-000002190000}"/>
    <cellStyle name="Normal 12 2 5 3 3" xfId="4601" xr:uid="{00000000-0005-0000-0000-000003190000}"/>
    <cellStyle name="Normal 12 2 5 3 3 2" xfId="4602" xr:uid="{00000000-0005-0000-0000-000004190000}"/>
    <cellStyle name="Normal 12 2 5 3 3 2 2" xfId="47825" xr:uid="{00000000-0005-0000-0000-000005190000}"/>
    <cellStyle name="Normal 12 2 5 3 3 2 3" xfId="47826" xr:uid="{00000000-0005-0000-0000-000006190000}"/>
    <cellStyle name="Normal 12 2 5 3 3 3" xfId="4603" xr:uid="{00000000-0005-0000-0000-000007190000}"/>
    <cellStyle name="Normal 12 2 5 3 3 3 2" xfId="47827" xr:uid="{00000000-0005-0000-0000-000008190000}"/>
    <cellStyle name="Normal 12 2 5 3 3 4" xfId="4604" xr:uid="{00000000-0005-0000-0000-000009190000}"/>
    <cellStyle name="Normal 12 2 5 3 3 5" xfId="4605" xr:uid="{00000000-0005-0000-0000-00000A190000}"/>
    <cellStyle name="Normal 12 2 5 3 3 6" xfId="4606" xr:uid="{00000000-0005-0000-0000-00000B190000}"/>
    <cellStyle name="Normal 12 2 5 3 4" xfId="4607" xr:uid="{00000000-0005-0000-0000-00000C190000}"/>
    <cellStyle name="Normal 12 2 5 3 4 2" xfId="47828" xr:uid="{00000000-0005-0000-0000-00000D190000}"/>
    <cellStyle name="Normal 12 2 5 3 4 3" xfId="47829" xr:uid="{00000000-0005-0000-0000-00000E190000}"/>
    <cellStyle name="Normal 12 2 5 3 5" xfId="4608" xr:uid="{00000000-0005-0000-0000-00000F190000}"/>
    <cellStyle name="Normal 12 2 5 3 5 2" xfId="47830" xr:uid="{00000000-0005-0000-0000-000010190000}"/>
    <cellStyle name="Normal 12 2 5 3 6" xfId="4609" xr:uid="{00000000-0005-0000-0000-000011190000}"/>
    <cellStyle name="Normal 12 2 5 3 7" xfId="4610" xr:uid="{00000000-0005-0000-0000-000012190000}"/>
    <cellStyle name="Normal 12 2 5 3 8" xfId="4611" xr:uid="{00000000-0005-0000-0000-000013190000}"/>
    <cellStyle name="Normal 12 2 5 4" xfId="4612" xr:uid="{00000000-0005-0000-0000-000014190000}"/>
    <cellStyle name="Normal 12 2 5 4 2" xfId="4613" xr:uid="{00000000-0005-0000-0000-000015190000}"/>
    <cellStyle name="Normal 12 2 5 4 2 2" xfId="4614" xr:uid="{00000000-0005-0000-0000-000016190000}"/>
    <cellStyle name="Normal 12 2 5 4 2 2 2" xfId="47831" xr:uid="{00000000-0005-0000-0000-000017190000}"/>
    <cellStyle name="Normal 12 2 5 4 2 2 3" xfId="47832" xr:uid="{00000000-0005-0000-0000-000018190000}"/>
    <cellStyle name="Normal 12 2 5 4 2 3" xfId="4615" xr:uid="{00000000-0005-0000-0000-000019190000}"/>
    <cellStyle name="Normal 12 2 5 4 2 3 2" xfId="47833" xr:uid="{00000000-0005-0000-0000-00001A190000}"/>
    <cellStyle name="Normal 12 2 5 4 2 4" xfId="4616" xr:uid="{00000000-0005-0000-0000-00001B190000}"/>
    <cellStyle name="Normal 12 2 5 4 2 5" xfId="4617" xr:uid="{00000000-0005-0000-0000-00001C190000}"/>
    <cellStyle name="Normal 12 2 5 4 2 6" xfId="4618" xr:uid="{00000000-0005-0000-0000-00001D190000}"/>
    <cellStyle name="Normal 12 2 5 4 3" xfId="4619" xr:uid="{00000000-0005-0000-0000-00001E190000}"/>
    <cellStyle name="Normal 12 2 5 4 3 2" xfId="47834" xr:uid="{00000000-0005-0000-0000-00001F190000}"/>
    <cellStyle name="Normal 12 2 5 4 3 3" xfId="47835" xr:uid="{00000000-0005-0000-0000-000020190000}"/>
    <cellStyle name="Normal 12 2 5 4 4" xfId="4620" xr:uid="{00000000-0005-0000-0000-000021190000}"/>
    <cellStyle name="Normal 12 2 5 4 4 2" xfId="47836" xr:uid="{00000000-0005-0000-0000-000022190000}"/>
    <cellStyle name="Normal 12 2 5 4 5" xfId="4621" xr:uid="{00000000-0005-0000-0000-000023190000}"/>
    <cellStyle name="Normal 12 2 5 4 6" xfId="4622" xr:uid="{00000000-0005-0000-0000-000024190000}"/>
    <cellStyle name="Normal 12 2 5 4 7" xfId="4623" xr:uid="{00000000-0005-0000-0000-000025190000}"/>
    <cellStyle name="Normal 12 2 5 5" xfId="4624" xr:uid="{00000000-0005-0000-0000-000026190000}"/>
    <cellStyle name="Normal 12 2 5 5 2" xfId="4625" xr:uid="{00000000-0005-0000-0000-000027190000}"/>
    <cellStyle name="Normal 12 2 5 5 2 2" xfId="47837" xr:uid="{00000000-0005-0000-0000-000028190000}"/>
    <cellStyle name="Normal 12 2 5 5 2 3" xfId="47838" xr:uid="{00000000-0005-0000-0000-000029190000}"/>
    <cellStyle name="Normal 12 2 5 5 3" xfId="4626" xr:uid="{00000000-0005-0000-0000-00002A190000}"/>
    <cellStyle name="Normal 12 2 5 5 3 2" xfId="47839" xr:uid="{00000000-0005-0000-0000-00002B190000}"/>
    <cellStyle name="Normal 12 2 5 5 4" xfId="4627" xr:uid="{00000000-0005-0000-0000-00002C190000}"/>
    <cellStyle name="Normal 12 2 5 5 5" xfId="4628" xr:uid="{00000000-0005-0000-0000-00002D190000}"/>
    <cellStyle name="Normal 12 2 5 5 6" xfId="4629" xr:uid="{00000000-0005-0000-0000-00002E190000}"/>
    <cellStyle name="Normal 12 2 5 6" xfId="4630" xr:uid="{00000000-0005-0000-0000-00002F190000}"/>
    <cellStyle name="Normal 12 2 5 6 2" xfId="47840" xr:uid="{00000000-0005-0000-0000-000030190000}"/>
    <cellStyle name="Normal 12 2 5 6 3" xfId="47841" xr:uid="{00000000-0005-0000-0000-000031190000}"/>
    <cellStyle name="Normal 12 2 5 7" xfId="4631" xr:uid="{00000000-0005-0000-0000-000032190000}"/>
    <cellStyle name="Normal 12 2 5 7 2" xfId="47842" xr:uid="{00000000-0005-0000-0000-000033190000}"/>
    <cellStyle name="Normal 12 2 5 8" xfId="4632" xr:uid="{00000000-0005-0000-0000-000034190000}"/>
    <cellStyle name="Normal 12 2 5 9" xfId="4633" xr:uid="{00000000-0005-0000-0000-000035190000}"/>
    <cellStyle name="Normal 12 2 6" xfId="4634" xr:uid="{00000000-0005-0000-0000-000036190000}"/>
    <cellStyle name="Normal 12 2 6 10" xfId="4635" xr:uid="{00000000-0005-0000-0000-000037190000}"/>
    <cellStyle name="Normal 12 2 6 11" xfId="4636" xr:uid="{00000000-0005-0000-0000-000038190000}"/>
    <cellStyle name="Normal 12 2 6 12" xfId="4637" xr:uid="{00000000-0005-0000-0000-000039190000}"/>
    <cellStyle name="Normal 12 2 6 13" xfId="4638" xr:uid="{00000000-0005-0000-0000-00003A190000}"/>
    <cellStyle name="Normal 12 2 6 2" xfId="4639" xr:uid="{00000000-0005-0000-0000-00003B190000}"/>
    <cellStyle name="Normal 12 2 6 2 2" xfId="4640" xr:uid="{00000000-0005-0000-0000-00003C190000}"/>
    <cellStyle name="Normal 12 2 6 2 2 2" xfId="4641" xr:uid="{00000000-0005-0000-0000-00003D190000}"/>
    <cellStyle name="Normal 12 2 6 2 2 2 2" xfId="4642" xr:uid="{00000000-0005-0000-0000-00003E190000}"/>
    <cellStyle name="Normal 12 2 6 2 2 2 2 2" xfId="47843" xr:uid="{00000000-0005-0000-0000-00003F190000}"/>
    <cellStyle name="Normal 12 2 6 2 2 2 2 3" xfId="47844" xr:uid="{00000000-0005-0000-0000-000040190000}"/>
    <cellStyle name="Normal 12 2 6 2 2 2 3" xfId="4643" xr:uid="{00000000-0005-0000-0000-000041190000}"/>
    <cellStyle name="Normal 12 2 6 2 2 2 3 2" xfId="47845" xr:uid="{00000000-0005-0000-0000-000042190000}"/>
    <cellStyle name="Normal 12 2 6 2 2 2 4" xfId="4644" xr:uid="{00000000-0005-0000-0000-000043190000}"/>
    <cellStyle name="Normal 12 2 6 2 2 2 5" xfId="4645" xr:uid="{00000000-0005-0000-0000-000044190000}"/>
    <cellStyle name="Normal 12 2 6 2 2 2 6" xfId="4646" xr:uid="{00000000-0005-0000-0000-000045190000}"/>
    <cellStyle name="Normal 12 2 6 2 2 3" xfId="4647" xr:uid="{00000000-0005-0000-0000-000046190000}"/>
    <cellStyle name="Normal 12 2 6 2 2 3 2" xfId="47846" xr:uid="{00000000-0005-0000-0000-000047190000}"/>
    <cellStyle name="Normal 12 2 6 2 2 3 3" xfId="47847" xr:uid="{00000000-0005-0000-0000-000048190000}"/>
    <cellStyle name="Normal 12 2 6 2 2 4" xfId="4648" xr:uid="{00000000-0005-0000-0000-000049190000}"/>
    <cellStyle name="Normal 12 2 6 2 2 4 2" xfId="47848" xr:uid="{00000000-0005-0000-0000-00004A190000}"/>
    <cellStyle name="Normal 12 2 6 2 2 5" xfId="4649" xr:uid="{00000000-0005-0000-0000-00004B190000}"/>
    <cellStyle name="Normal 12 2 6 2 2 6" xfId="4650" xr:uid="{00000000-0005-0000-0000-00004C190000}"/>
    <cellStyle name="Normal 12 2 6 2 2 7" xfId="4651" xr:uid="{00000000-0005-0000-0000-00004D190000}"/>
    <cellStyle name="Normal 12 2 6 2 3" xfId="4652" xr:uid="{00000000-0005-0000-0000-00004E190000}"/>
    <cellStyle name="Normal 12 2 6 2 3 2" xfId="4653" xr:uid="{00000000-0005-0000-0000-00004F190000}"/>
    <cellStyle name="Normal 12 2 6 2 3 2 2" xfId="47849" xr:uid="{00000000-0005-0000-0000-000050190000}"/>
    <cellStyle name="Normal 12 2 6 2 3 2 3" xfId="47850" xr:uid="{00000000-0005-0000-0000-000051190000}"/>
    <cellStyle name="Normal 12 2 6 2 3 3" xfId="4654" xr:uid="{00000000-0005-0000-0000-000052190000}"/>
    <cellStyle name="Normal 12 2 6 2 3 3 2" xfId="47851" xr:uid="{00000000-0005-0000-0000-000053190000}"/>
    <cellStyle name="Normal 12 2 6 2 3 4" xfId="4655" xr:uid="{00000000-0005-0000-0000-000054190000}"/>
    <cellStyle name="Normal 12 2 6 2 3 5" xfId="4656" xr:uid="{00000000-0005-0000-0000-000055190000}"/>
    <cellStyle name="Normal 12 2 6 2 3 6" xfId="4657" xr:uid="{00000000-0005-0000-0000-000056190000}"/>
    <cellStyle name="Normal 12 2 6 2 4" xfId="4658" xr:uid="{00000000-0005-0000-0000-000057190000}"/>
    <cellStyle name="Normal 12 2 6 2 4 2" xfId="47852" xr:uid="{00000000-0005-0000-0000-000058190000}"/>
    <cellStyle name="Normal 12 2 6 2 4 3" xfId="47853" xr:uid="{00000000-0005-0000-0000-000059190000}"/>
    <cellStyle name="Normal 12 2 6 2 5" xfId="4659" xr:uid="{00000000-0005-0000-0000-00005A190000}"/>
    <cellStyle name="Normal 12 2 6 2 5 2" xfId="47854" xr:uid="{00000000-0005-0000-0000-00005B190000}"/>
    <cellStyle name="Normal 12 2 6 2 6" xfId="4660" xr:uid="{00000000-0005-0000-0000-00005C190000}"/>
    <cellStyle name="Normal 12 2 6 2 7" xfId="4661" xr:uid="{00000000-0005-0000-0000-00005D190000}"/>
    <cellStyle name="Normal 12 2 6 2 8" xfId="4662" xr:uid="{00000000-0005-0000-0000-00005E190000}"/>
    <cellStyle name="Normal 12 2 6 2 9" xfId="4663" xr:uid="{00000000-0005-0000-0000-00005F190000}"/>
    <cellStyle name="Normal 12 2 6 3" xfId="4664" xr:uid="{00000000-0005-0000-0000-000060190000}"/>
    <cellStyle name="Normal 12 2 6 3 2" xfId="4665" xr:uid="{00000000-0005-0000-0000-000061190000}"/>
    <cellStyle name="Normal 12 2 6 3 2 2" xfId="4666" xr:uid="{00000000-0005-0000-0000-000062190000}"/>
    <cellStyle name="Normal 12 2 6 3 2 2 2" xfId="47855" xr:uid="{00000000-0005-0000-0000-000063190000}"/>
    <cellStyle name="Normal 12 2 6 3 2 2 3" xfId="47856" xr:uid="{00000000-0005-0000-0000-000064190000}"/>
    <cellStyle name="Normal 12 2 6 3 2 3" xfId="4667" xr:uid="{00000000-0005-0000-0000-000065190000}"/>
    <cellStyle name="Normal 12 2 6 3 2 3 2" xfId="47857" xr:uid="{00000000-0005-0000-0000-000066190000}"/>
    <cellStyle name="Normal 12 2 6 3 2 4" xfId="4668" xr:uid="{00000000-0005-0000-0000-000067190000}"/>
    <cellStyle name="Normal 12 2 6 3 2 5" xfId="4669" xr:uid="{00000000-0005-0000-0000-000068190000}"/>
    <cellStyle name="Normal 12 2 6 3 2 6" xfId="4670" xr:uid="{00000000-0005-0000-0000-000069190000}"/>
    <cellStyle name="Normal 12 2 6 3 3" xfId="4671" xr:uid="{00000000-0005-0000-0000-00006A190000}"/>
    <cellStyle name="Normal 12 2 6 3 3 2" xfId="47858" xr:uid="{00000000-0005-0000-0000-00006B190000}"/>
    <cellStyle name="Normal 12 2 6 3 3 3" xfId="47859" xr:uid="{00000000-0005-0000-0000-00006C190000}"/>
    <cellStyle name="Normal 12 2 6 3 4" xfId="4672" xr:uid="{00000000-0005-0000-0000-00006D190000}"/>
    <cellStyle name="Normal 12 2 6 3 4 2" xfId="47860" xr:uid="{00000000-0005-0000-0000-00006E190000}"/>
    <cellStyle name="Normal 12 2 6 3 5" xfId="4673" xr:uid="{00000000-0005-0000-0000-00006F190000}"/>
    <cellStyle name="Normal 12 2 6 3 6" xfId="4674" xr:uid="{00000000-0005-0000-0000-000070190000}"/>
    <cellStyle name="Normal 12 2 6 3 7" xfId="4675" xr:uid="{00000000-0005-0000-0000-000071190000}"/>
    <cellStyle name="Normal 12 2 6 4" xfId="4676" xr:uid="{00000000-0005-0000-0000-000072190000}"/>
    <cellStyle name="Normal 12 2 6 4 2" xfId="4677" xr:uid="{00000000-0005-0000-0000-000073190000}"/>
    <cellStyle name="Normal 12 2 6 4 2 2" xfId="47861" xr:uid="{00000000-0005-0000-0000-000074190000}"/>
    <cellStyle name="Normal 12 2 6 4 2 3" xfId="47862" xr:uid="{00000000-0005-0000-0000-000075190000}"/>
    <cellStyle name="Normal 12 2 6 4 3" xfId="4678" xr:uid="{00000000-0005-0000-0000-000076190000}"/>
    <cellStyle name="Normal 12 2 6 4 3 2" xfId="47863" xr:uid="{00000000-0005-0000-0000-000077190000}"/>
    <cellStyle name="Normal 12 2 6 4 4" xfId="4679" xr:uid="{00000000-0005-0000-0000-000078190000}"/>
    <cellStyle name="Normal 12 2 6 4 5" xfId="4680" xr:uid="{00000000-0005-0000-0000-000079190000}"/>
    <cellStyle name="Normal 12 2 6 4 6" xfId="4681" xr:uid="{00000000-0005-0000-0000-00007A190000}"/>
    <cellStyle name="Normal 12 2 6 5" xfId="4682" xr:uid="{00000000-0005-0000-0000-00007B190000}"/>
    <cellStyle name="Normal 12 2 6 5 2" xfId="47864" xr:uid="{00000000-0005-0000-0000-00007C190000}"/>
    <cellStyle name="Normal 12 2 6 5 3" xfId="47865" xr:uid="{00000000-0005-0000-0000-00007D190000}"/>
    <cellStyle name="Normal 12 2 6 6" xfId="4683" xr:uid="{00000000-0005-0000-0000-00007E190000}"/>
    <cellStyle name="Normal 12 2 6 6 2" xfId="47866" xr:uid="{00000000-0005-0000-0000-00007F190000}"/>
    <cellStyle name="Normal 12 2 6 7" xfId="4684" xr:uid="{00000000-0005-0000-0000-000080190000}"/>
    <cellStyle name="Normal 12 2 6 8" xfId="4685" xr:uid="{00000000-0005-0000-0000-000081190000}"/>
    <cellStyle name="Normal 12 2 6 9" xfId="4686" xr:uid="{00000000-0005-0000-0000-000082190000}"/>
    <cellStyle name="Normal 12 2 7" xfId="4687" xr:uid="{00000000-0005-0000-0000-000083190000}"/>
    <cellStyle name="Normal 12 2 7 2" xfId="4688" xr:uid="{00000000-0005-0000-0000-000084190000}"/>
    <cellStyle name="Normal 12 2 7 2 2" xfId="4689" xr:uid="{00000000-0005-0000-0000-000085190000}"/>
    <cellStyle name="Normal 12 2 7 2 2 2" xfId="4690" xr:uid="{00000000-0005-0000-0000-000086190000}"/>
    <cellStyle name="Normal 12 2 7 2 2 2 2" xfId="47867" xr:uid="{00000000-0005-0000-0000-000087190000}"/>
    <cellStyle name="Normal 12 2 7 2 2 2 3" xfId="47868" xr:uid="{00000000-0005-0000-0000-000088190000}"/>
    <cellStyle name="Normal 12 2 7 2 2 3" xfId="4691" xr:uid="{00000000-0005-0000-0000-000089190000}"/>
    <cellStyle name="Normal 12 2 7 2 2 3 2" xfId="47869" xr:uid="{00000000-0005-0000-0000-00008A190000}"/>
    <cellStyle name="Normal 12 2 7 2 2 4" xfId="4692" xr:uid="{00000000-0005-0000-0000-00008B190000}"/>
    <cellStyle name="Normal 12 2 7 2 2 5" xfId="4693" xr:uid="{00000000-0005-0000-0000-00008C190000}"/>
    <cellStyle name="Normal 12 2 7 2 2 6" xfId="4694" xr:uid="{00000000-0005-0000-0000-00008D190000}"/>
    <cellStyle name="Normal 12 2 7 2 3" xfId="4695" xr:uid="{00000000-0005-0000-0000-00008E190000}"/>
    <cellStyle name="Normal 12 2 7 2 3 2" xfId="47870" xr:uid="{00000000-0005-0000-0000-00008F190000}"/>
    <cellStyle name="Normal 12 2 7 2 3 3" xfId="47871" xr:uid="{00000000-0005-0000-0000-000090190000}"/>
    <cellStyle name="Normal 12 2 7 2 4" xfId="4696" xr:uid="{00000000-0005-0000-0000-000091190000}"/>
    <cellStyle name="Normal 12 2 7 2 4 2" xfId="47872" xr:uid="{00000000-0005-0000-0000-000092190000}"/>
    <cellStyle name="Normal 12 2 7 2 5" xfId="4697" xr:uid="{00000000-0005-0000-0000-000093190000}"/>
    <cellStyle name="Normal 12 2 7 2 6" xfId="4698" xr:uid="{00000000-0005-0000-0000-000094190000}"/>
    <cellStyle name="Normal 12 2 7 2 7" xfId="4699" xr:uid="{00000000-0005-0000-0000-000095190000}"/>
    <cellStyle name="Normal 12 2 7 3" xfId="4700" xr:uid="{00000000-0005-0000-0000-000096190000}"/>
    <cellStyle name="Normal 12 2 7 3 2" xfId="4701" xr:uid="{00000000-0005-0000-0000-000097190000}"/>
    <cellStyle name="Normal 12 2 7 3 2 2" xfId="47873" xr:uid="{00000000-0005-0000-0000-000098190000}"/>
    <cellStyle name="Normal 12 2 7 3 2 3" xfId="47874" xr:uid="{00000000-0005-0000-0000-000099190000}"/>
    <cellStyle name="Normal 12 2 7 3 3" xfId="4702" xr:uid="{00000000-0005-0000-0000-00009A190000}"/>
    <cellStyle name="Normal 12 2 7 3 3 2" xfId="47875" xr:uid="{00000000-0005-0000-0000-00009B190000}"/>
    <cellStyle name="Normal 12 2 7 3 4" xfId="4703" xr:uid="{00000000-0005-0000-0000-00009C190000}"/>
    <cellStyle name="Normal 12 2 7 3 5" xfId="4704" xr:uid="{00000000-0005-0000-0000-00009D190000}"/>
    <cellStyle name="Normal 12 2 7 3 6" xfId="4705" xr:uid="{00000000-0005-0000-0000-00009E190000}"/>
    <cellStyle name="Normal 12 2 7 4" xfId="4706" xr:uid="{00000000-0005-0000-0000-00009F190000}"/>
    <cellStyle name="Normal 12 2 7 4 2" xfId="47876" xr:uid="{00000000-0005-0000-0000-0000A0190000}"/>
    <cellStyle name="Normal 12 2 7 4 3" xfId="47877" xr:uid="{00000000-0005-0000-0000-0000A1190000}"/>
    <cellStyle name="Normal 12 2 7 5" xfId="4707" xr:uid="{00000000-0005-0000-0000-0000A2190000}"/>
    <cellStyle name="Normal 12 2 7 5 2" xfId="47878" xr:uid="{00000000-0005-0000-0000-0000A3190000}"/>
    <cellStyle name="Normal 12 2 7 6" xfId="4708" xr:uid="{00000000-0005-0000-0000-0000A4190000}"/>
    <cellStyle name="Normal 12 2 7 7" xfId="4709" xr:uid="{00000000-0005-0000-0000-0000A5190000}"/>
    <cellStyle name="Normal 12 2 7 8" xfId="4710" xr:uid="{00000000-0005-0000-0000-0000A6190000}"/>
    <cellStyle name="Normal 12 2 7 9" xfId="4711" xr:uid="{00000000-0005-0000-0000-0000A7190000}"/>
    <cellStyle name="Normal 12 2 8" xfId="4712" xr:uid="{00000000-0005-0000-0000-0000A8190000}"/>
    <cellStyle name="Normal 12 2 8 2" xfId="4713" xr:uid="{00000000-0005-0000-0000-0000A9190000}"/>
    <cellStyle name="Normal 12 2 8 2 2" xfId="4714" xr:uid="{00000000-0005-0000-0000-0000AA190000}"/>
    <cellStyle name="Normal 12 2 8 2 2 2" xfId="4715" xr:uid="{00000000-0005-0000-0000-0000AB190000}"/>
    <cellStyle name="Normal 12 2 8 2 2 2 2" xfId="47879" xr:uid="{00000000-0005-0000-0000-0000AC190000}"/>
    <cellStyle name="Normal 12 2 8 2 2 2 3" xfId="47880" xr:uid="{00000000-0005-0000-0000-0000AD190000}"/>
    <cellStyle name="Normal 12 2 8 2 2 3" xfId="4716" xr:uid="{00000000-0005-0000-0000-0000AE190000}"/>
    <cellStyle name="Normal 12 2 8 2 2 3 2" xfId="47881" xr:uid="{00000000-0005-0000-0000-0000AF190000}"/>
    <cellStyle name="Normal 12 2 8 2 2 4" xfId="4717" xr:uid="{00000000-0005-0000-0000-0000B0190000}"/>
    <cellStyle name="Normal 12 2 8 2 2 5" xfId="4718" xr:uid="{00000000-0005-0000-0000-0000B1190000}"/>
    <cellStyle name="Normal 12 2 8 2 2 6" xfId="4719" xr:uid="{00000000-0005-0000-0000-0000B2190000}"/>
    <cellStyle name="Normal 12 2 8 2 3" xfId="4720" xr:uid="{00000000-0005-0000-0000-0000B3190000}"/>
    <cellStyle name="Normal 12 2 8 2 3 2" xfId="47882" xr:uid="{00000000-0005-0000-0000-0000B4190000}"/>
    <cellStyle name="Normal 12 2 8 2 3 3" xfId="47883" xr:uid="{00000000-0005-0000-0000-0000B5190000}"/>
    <cellStyle name="Normal 12 2 8 2 4" xfId="4721" xr:uid="{00000000-0005-0000-0000-0000B6190000}"/>
    <cellStyle name="Normal 12 2 8 2 4 2" xfId="47884" xr:uid="{00000000-0005-0000-0000-0000B7190000}"/>
    <cellStyle name="Normal 12 2 8 2 5" xfId="4722" xr:uid="{00000000-0005-0000-0000-0000B8190000}"/>
    <cellStyle name="Normal 12 2 8 2 6" xfId="4723" xr:uid="{00000000-0005-0000-0000-0000B9190000}"/>
    <cellStyle name="Normal 12 2 8 2 7" xfId="4724" xr:uid="{00000000-0005-0000-0000-0000BA190000}"/>
    <cellStyle name="Normal 12 2 8 3" xfId="4725" xr:uid="{00000000-0005-0000-0000-0000BB190000}"/>
    <cellStyle name="Normal 12 2 8 3 2" xfId="4726" xr:uid="{00000000-0005-0000-0000-0000BC190000}"/>
    <cellStyle name="Normal 12 2 8 3 2 2" xfId="47885" xr:uid="{00000000-0005-0000-0000-0000BD190000}"/>
    <cellStyle name="Normal 12 2 8 3 2 3" xfId="47886" xr:uid="{00000000-0005-0000-0000-0000BE190000}"/>
    <cellStyle name="Normal 12 2 8 3 3" xfId="4727" xr:uid="{00000000-0005-0000-0000-0000BF190000}"/>
    <cellStyle name="Normal 12 2 8 3 3 2" xfId="47887" xr:uid="{00000000-0005-0000-0000-0000C0190000}"/>
    <cellStyle name="Normal 12 2 8 3 4" xfId="4728" xr:uid="{00000000-0005-0000-0000-0000C1190000}"/>
    <cellStyle name="Normal 12 2 8 3 5" xfId="4729" xr:uid="{00000000-0005-0000-0000-0000C2190000}"/>
    <cellStyle name="Normal 12 2 8 3 6" xfId="4730" xr:uid="{00000000-0005-0000-0000-0000C3190000}"/>
    <cellStyle name="Normal 12 2 8 4" xfId="4731" xr:uid="{00000000-0005-0000-0000-0000C4190000}"/>
    <cellStyle name="Normal 12 2 8 4 2" xfId="47888" xr:uid="{00000000-0005-0000-0000-0000C5190000}"/>
    <cellStyle name="Normal 12 2 8 4 3" xfId="47889" xr:uid="{00000000-0005-0000-0000-0000C6190000}"/>
    <cellStyle name="Normal 12 2 8 5" xfId="4732" xr:uid="{00000000-0005-0000-0000-0000C7190000}"/>
    <cellStyle name="Normal 12 2 8 5 2" xfId="47890" xr:uid="{00000000-0005-0000-0000-0000C8190000}"/>
    <cellStyle name="Normal 12 2 8 6" xfId="4733" xr:uid="{00000000-0005-0000-0000-0000C9190000}"/>
    <cellStyle name="Normal 12 2 8 7" xfId="4734" xr:uid="{00000000-0005-0000-0000-0000CA190000}"/>
    <cellStyle name="Normal 12 2 8 8" xfId="4735" xr:uid="{00000000-0005-0000-0000-0000CB190000}"/>
    <cellStyle name="Normal 12 2 9" xfId="4736" xr:uid="{00000000-0005-0000-0000-0000CC190000}"/>
    <cellStyle name="Normal 12 2 9 2" xfId="4737" xr:uid="{00000000-0005-0000-0000-0000CD190000}"/>
    <cellStyle name="Normal 12 2 9 2 2" xfId="4738" xr:uid="{00000000-0005-0000-0000-0000CE190000}"/>
    <cellStyle name="Normal 12 2 9 2 2 2" xfId="4739" xr:uid="{00000000-0005-0000-0000-0000CF190000}"/>
    <cellStyle name="Normal 12 2 9 2 2 2 2" xfId="47891" xr:uid="{00000000-0005-0000-0000-0000D0190000}"/>
    <cellStyle name="Normal 12 2 9 2 2 2 3" xfId="47892" xr:uid="{00000000-0005-0000-0000-0000D1190000}"/>
    <cellStyle name="Normal 12 2 9 2 2 3" xfId="4740" xr:uid="{00000000-0005-0000-0000-0000D2190000}"/>
    <cellStyle name="Normal 12 2 9 2 2 3 2" xfId="47893" xr:uid="{00000000-0005-0000-0000-0000D3190000}"/>
    <cellStyle name="Normal 12 2 9 2 2 4" xfId="4741" xr:uid="{00000000-0005-0000-0000-0000D4190000}"/>
    <cellStyle name="Normal 12 2 9 2 2 5" xfId="4742" xr:uid="{00000000-0005-0000-0000-0000D5190000}"/>
    <cellStyle name="Normal 12 2 9 2 2 6" xfId="4743" xr:uid="{00000000-0005-0000-0000-0000D6190000}"/>
    <cellStyle name="Normal 12 2 9 2 3" xfId="4744" xr:uid="{00000000-0005-0000-0000-0000D7190000}"/>
    <cellStyle name="Normal 12 2 9 2 3 2" xfId="47894" xr:uid="{00000000-0005-0000-0000-0000D8190000}"/>
    <cellStyle name="Normal 12 2 9 2 3 3" xfId="47895" xr:uid="{00000000-0005-0000-0000-0000D9190000}"/>
    <cellStyle name="Normal 12 2 9 2 4" xfId="4745" xr:uid="{00000000-0005-0000-0000-0000DA190000}"/>
    <cellStyle name="Normal 12 2 9 2 4 2" xfId="47896" xr:uid="{00000000-0005-0000-0000-0000DB190000}"/>
    <cellStyle name="Normal 12 2 9 2 5" xfId="4746" xr:uid="{00000000-0005-0000-0000-0000DC190000}"/>
    <cellStyle name="Normal 12 2 9 2 6" xfId="4747" xr:uid="{00000000-0005-0000-0000-0000DD190000}"/>
    <cellStyle name="Normal 12 2 9 2 7" xfId="4748" xr:uid="{00000000-0005-0000-0000-0000DE190000}"/>
    <cellStyle name="Normal 12 2 9 3" xfId="4749" xr:uid="{00000000-0005-0000-0000-0000DF190000}"/>
    <cellStyle name="Normal 12 2 9 3 2" xfId="4750" xr:uid="{00000000-0005-0000-0000-0000E0190000}"/>
    <cellStyle name="Normal 12 2 9 3 2 2" xfId="47897" xr:uid="{00000000-0005-0000-0000-0000E1190000}"/>
    <cellStyle name="Normal 12 2 9 3 2 3" xfId="47898" xr:uid="{00000000-0005-0000-0000-0000E2190000}"/>
    <cellStyle name="Normal 12 2 9 3 3" xfId="4751" xr:uid="{00000000-0005-0000-0000-0000E3190000}"/>
    <cellStyle name="Normal 12 2 9 3 3 2" xfId="47899" xr:uid="{00000000-0005-0000-0000-0000E4190000}"/>
    <cellStyle name="Normal 12 2 9 3 4" xfId="4752" xr:uid="{00000000-0005-0000-0000-0000E5190000}"/>
    <cellStyle name="Normal 12 2 9 3 5" xfId="4753" xr:uid="{00000000-0005-0000-0000-0000E6190000}"/>
    <cellStyle name="Normal 12 2 9 3 6" xfId="4754" xr:uid="{00000000-0005-0000-0000-0000E7190000}"/>
    <cellStyle name="Normal 12 2 9 4" xfId="4755" xr:uid="{00000000-0005-0000-0000-0000E8190000}"/>
    <cellStyle name="Normal 12 2 9 4 2" xfId="47900" xr:uid="{00000000-0005-0000-0000-0000E9190000}"/>
    <cellStyle name="Normal 12 2 9 4 3" xfId="47901" xr:uid="{00000000-0005-0000-0000-0000EA190000}"/>
    <cellStyle name="Normal 12 2 9 5" xfId="4756" xr:uid="{00000000-0005-0000-0000-0000EB190000}"/>
    <cellStyle name="Normal 12 2 9 5 2" xfId="47902" xr:uid="{00000000-0005-0000-0000-0000EC190000}"/>
    <cellStyle name="Normal 12 2 9 6" xfId="4757" xr:uid="{00000000-0005-0000-0000-0000ED190000}"/>
    <cellStyle name="Normal 12 2 9 7" xfId="4758" xr:uid="{00000000-0005-0000-0000-0000EE190000}"/>
    <cellStyle name="Normal 12 2 9 8" xfId="4759" xr:uid="{00000000-0005-0000-0000-0000EF190000}"/>
    <cellStyle name="Normal 12 20" xfId="4760" xr:uid="{00000000-0005-0000-0000-0000F0190000}"/>
    <cellStyle name="Normal 12 21" xfId="4761" xr:uid="{00000000-0005-0000-0000-0000F1190000}"/>
    <cellStyle name="Normal 12 22" xfId="4762" xr:uid="{00000000-0005-0000-0000-0000F2190000}"/>
    <cellStyle name="Normal 12 23" xfId="4763" xr:uid="{00000000-0005-0000-0000-0000F3190000}"/>
    <cellStyle name="Normal 12 3" xfId="4764" xr:uid="{00000000-0005-0000-0000-0000F4190000}"/>
    <cellStyle name="Normal 12 3 10" xfId="4765" xr:uid="{00000000-0005-0000-0000-0000F5190000}"/>
    <cellStyle name="Normal 12 3 10 2" xfId="4766" xr:uid="{00000000-0005-0000-0000-0000F6190000}"/>
    <cellStyle name="Normal 12 3 10 2 2" xfId="4767" xr:uid="{00000000-0005-0000-0000-0000F7190000}"/>
    <cellStyle name="Normal 12 3 10 2 2 2" xfId="47903" xr:uid="{00000000-0005-0000-0000-0000F8190000}"/>
    <cellStyle name="Normal 12 3 10 2 2 3" xfId="47904" xr:uid="{00000000-0005-0000-0000-0000F9190000}"/>
    <cellStyle name="Normal 12 3 10 2 3" xfId="4768" xr:uid="{00000000-0005-0000-0000-0000FA190000}"/>
    <cellStyle name="Normal 12 3 10 2 3 2" xfId="47905" xr:uid="{00000000-0005-0000-0000-0000FB190000}"/>
    <cellStyle name="Normal 12 3 10 2 4" xfId="4769" xr:uid="{00000000-0005-0000-0000-0000FC190000}"/>
    <cellStyle name="Normal 12 3 10 2 5" xfId="4770" xr:uid="{00000000-0005-0000-0000-0000FD190000}"/>
    <cellStyle name="Normal 12 3 10 2 6" xfId="4771" xr:uid="{00000000-0005-0000-0000-0000FE190000}"/>
    <cellStyle name="Normal 12 3 10 3" xfId="4772" xr:uid="{00000000-0005-0000-0000-0000FF190000}"/>
    <cellStyle name="Normal 12 3 10 3 2" xfId="47906" xr:uid="{00000000-0005-0000-0000-0000001A0000}"/>
    <cellStyle name="Normal 12 3 10 3 3" xfId="47907" xr:uid="{00000000-0005-0000-0000-0000011A0000}"/>
    <cellStyle name="Normal 12 3 10 4" xfId="4773" xr:uid="{00000000-0005-0000-0000-0000021A0000}"/>
    <cellStyle name="Normal 12 3 10 4 2" xfId="47908" xr:uid="{00000000-0005-0000-0000-0000031A0000}"/>
    <cellStyle name="Normal 12 3 10 5" xfId="4774" xr:uid="{00000000-0005-0000-0000-0000041A0000}"/>
    <cellStyle name="Normal 12 3 10 6" xfId="4775" xr:uid="{00000000-0005-0000-0000-0000051A0000}"/>
    <cellStyle name="Normal 12 3 10 7" xfId="4776" xr:uid="{00000000-0005-0000-0000-0000061A0000}"/>
    <cellStyle name="Normal 12 3 11" xfId="4777" xr:uid="{00000000-0005-0000-0000-0000071A0000}"/>
    <cellStyle name="Normal 12 3 11 2" xfId="4778" xr:uid="{00000000-0005-0000-0000-0000081A0000}"/>
    <cellStyle name="Normal 12 3 11 2 2" xfId="47909" xr:uid="{00000000-0005-0000-0000-0000091A0000}"/>
    <cellStyle name="Normal 12 3 11 2 3" xfId="47910" xr:uid="{00000000-0005-0000-0000-00000A1A0000}"/>
    <cellStyle name="Normal 12 3 11 3" xfId="4779" xr:uid="{00000000-0005-0000-0000-00000B1A0000}"/>
    <cellStyle name="Normal 12 3 11 3 2" xfId="47911" xr:uid="{00000000-0005-0000-0000-00000C1A0000}"/>
    <cellStyle name="Normal 12 3 11 4" xfId="4780" xr:uid="{00000000-0005-0000-0000-00000D1A0000}"/>
    <cellStyle name="Normal 12 3 11 5" xfId="4781" xr:uid="{00000000-0005-0000-0000-00000E1A0000}"/>
    <cellStyle name="Normal 12 3 11 6" xfId="4782" xr:uid="{00000000-0005-0000-0000-00000F1A0000}"/>
    <cellStyle name="Normal 12 3 12" xfId="4783" xr:uid="{00000000-0005-0000-0000-0000101A0000}"/>
    <cellStyle name="Normal 12 3 12 2" xfId="47912" xr:uid="{00000000-0005-0000-0000-0000111A0000}"/>
    <cellStyle name="Normal 12 3 12 3" xfId="47913" xr:uid="{00000000-0005-0000-0000-0000121A0000}"/>
    <cellStyle name="Normal 12 3 13" xfId="4784" xr:uid="{00000000-0005-0000-0000-0000131A0000}"/>
    <cellStyle name="Normal 12 3 13 2" xfId="47914" xr:uid="{00000000-0005-0000-0000-0000141A0000}"/>
    <cellStyle name="Normal 12 3 14" xfId="4785" xr:uid="{00000000-0005-0000-0000-0000151A0000}"/>
    <cellStyle name="Normal 12 3 14 2" xfId="47915" xr:uid="{00000000-0005-0000-0000-0000161A0000}"/>
    <cellStyle name="Normal 12 3 15" xfId="4786" xr:uid="{00000000-0005-0000-0000-0000171A0000}"/>
    <cellStyle name="Normal 12 3 16" xfId="4787" xr:uid="{00000000-0005-0000-0000-0000181A0000}"/>
    <cellStyle name="Normal 12 3 17" xfId="4788" xr:uid="{00000000-0005-0000-0000-0000191A0000}"/>
    <cellStyle name="Normal 12 3 18" xfId="4789" xr:uid="{00000000-0005-0000-0000-00001A1A0000}"/>
    <cellStyle name="Normal 12 3 19" xfId="4790" xr:uid="{00000000-0005-0000-0000-00001B1A0000}"/>
    <cellStyle name="Normal 12 3 2" xfId="4791" xr:uid="{00000000-0005-0000-0000-00001C1A0000}"/>
    <cellStyle name="Normal 12 3 2 10" xfId="4792" xr:uid="{00000000-0005-0000-0000-00001D1A0000}"/>
    <cellStyle name="Normal 12 3 2 11" xfId="4793" xr:uid="{00000000-0005-0000-0000-00001E1A0000}"/>
    <cellStyle name="Normal 12 3 2 12" xfId="4794" xr:uid="{00000000-0005-0000-0000-00001F1A0000}"/>
    <cellStyle name="Normal 12 3 2 13" xfId="4795" xr:uid="{00000000-0005-0000-0000-0000201A0000}"/>
    <cellStyle name="Normal 12 3 2 14" xfId="4796" xr:uid="{00000000-0005-0000-0000-0000211A0000}"/>
    <cellStyle name="Normal 12 3 2 15" xfId="4797" xr:uid="{00000000-0005-0000-0000-0000221A0000}"/>
    <cellStyle name="Normal 12 3 2 2" xfId="4798" xr:uid="{00000000-0005-0000-0000-0000231A0000}"/>
    <cellStyle name="Normal 12 3 2 2 10" xfId="4799" xr:uid="{00000000-0005-0000-0000-0000241A0000}"/>
    <cellStyle name="Normal 12 3 2 2 11" xfId="4800" xr:uid="{00000000-0005-0000-0000-0000251A0000}"/>
    <cellStyle name="Normal 12 3 2 2 12" xfId="4801" xr:uid="{00000000-0005-0000-0000-0000261A0000}"/>
    <cellStyle name="Normal 12 3 2 2 13" xfId="4802" xr:uid="{00000000-0005-0000-0000-0000271A0000}"/>
    <cellStyle name="Normal 12 3 2 2 14" xfId="4803" xr:uid="{00000000-0005-0000-0000-0000281A0000}"/>
    <cellStyle name="Normal 12 3 2 2 2" xfId="4804" xr:uid="{00000000-0005-0000-0000-0000291A0000}"/>
    <cellStyle name="Normal 12 3 2 2 2 2" xfId="4805" xr:uid="{00000000-0005-0000-0000-00002A1A0000}"/>
    <cellStyle name="Normal 12 3 2 2 2 2 2" xfId="4806" xr:uid="{00000000-0005-0000-0000-00002B1A0000}"/>
    <cellStyle name="Normal 12 3 2 2 2 2 2 2" xfId="4807" xr:uid="{00000000-0005-0000-0000-00002C1A0000}"/>
    <cellStyle name="Normal 12 3 2 2 2 2 2 2 2" xfId="47916" xr:uid="{00000000-0005-0000-0000-00002D1A0000}"/>
    <cellStyle name="Normal 12 3 2 2 2 2 2 2 3" xfId="47917" xr:uid="{00000000-0005-0000-0000-00002E1A0000}"/>
    <cellStyle name="Normal 12 3 2 2 2 2 2 3" xfId="4808" xr:uid="{00000000-0005-0000-0000-00002F1A0000}"/>
    <cellStyle name="Normal 12 3 2 2 2 2 2 3 2" xfId="47918" xr:uid="{00000000-0005-0000-0000-0000301A0000}"/>
    <cellStyle name="Normal 12 3 2 2 2 2 2 4" xfId="4809" xr:uid="{00000000-0005-0000-0000-0000311A0000}"/>
    <cellStyle name="Normal 12 3 2 2 2 2 2 5" xfId="4810" xr:uid="{00000000-0005-0000-0000-0000321A0000}"/>
    <cellStyle name="Normal 12 3 2 2 2 2 2 6" xfId="4811" xr:uid="{00000000-0005-0000-0000-0000331A0000}"/>
    <cellStyle name="Normal 12 3 2 2 2 2 3" xfId="4812" xr:uid="{00000000-0005-0000-0000-0000341A0000}"/>
    <cellStyle name="Normal 12 3 2 2 2 2 3 2" xfId="47919" xr:uid="{00000000-0005-0000-0000-0000351A0000}"/>
    <cellStyle name="Normal 12 3 2 2 2 2 3 3" xfId="47920" xr:uid="{00000000-0005-0000-0000-0000361A0000}"/>
    <cellStyle name="Normal 12 3 2 2 2 2 4" xfId="4813" xr:uid="{00000000-0005-0000-0000-0000371A0000}"/>
    <cellStyle name="Normal 12 3 2 2 2 2 4 2" xfId="47921" xr:uid="{00000000-0005-0000-0000-0000381A0000}"/>
    <cellStyle name="Normal 12 3 2 2 2 2 5" xfId="4814" xr:uid="{00000000-0005-0000-0000-0000391A0000}"/>
    <cellStyle name="Normal 12 3 2 2 2 2 6" xfId="4815" xr:uid="{00000000-0005-0000-0000-00003A1A0000}"/>
    <cellStyle name="Normal 12 3 2 2 2 2 7" xfId="4816" xr:uid="{00000000-0005-0000-0000-00003B1A0000}"/>
    <cellStyle name="Normal 12 3 2 2 2 3" xfId="4817" xr:uid="{00000000-0005-0000-0000-00003C1A0000}"/>
    <cellStyle name="Normal 12 3 2 2 2 3 2" xfId="4818" xr:uid="{00000000-0005-0000-0000-00003D1A0000}"/>
    <cellStyle name="Normal 12 3 2 2 2 3 2 2" xfId="47922" xr:uid="{00000000-0005-0000-0000-00003E1A0000}"/>
    <cellStyle name="Normal 12 3 2 2 2 3 2 3" xfId="47923" xr:uid="{00000000-0005-0000-0000-00003F1A0000}"/>
    <cellStyle name="Normal 12 3 2 2 2 3 3" xfId="4819" xr:uid="{00000000-0005-0000-0000-0000401A0000}"/>
    <cellStyle name="Normal 12 3 2 2 2 3 3 2" xfId="47924" xr:uid="{00000000-0005-0000-0000-0000411A0000}"/>
    <cellStyle name="Normal 12 3 2 2 2 3 4" xfId="4820" xr:uid="{00000000-0005-0000-0000-0000421A0000}"/>
    <cellStyle name="Normal 12 3 2 2 2 3 5" xfId="4821" xr:uid="{00000000-0005-0000-0000-0000431A0000}"/>
    <cellStyle name="Normal 12 3 2 2 2 3 6" xfId="4822" xr:uid="{00000000-0005-0000-0000-0000441A0000}"/>
    <cellStyle name="Normal 12 3 2 2 2 4" xfId="4823" xr:uid="{00000000-0005-0000-0000-0000451A0000}"/>
    <cellStyle name="Normal 12 3 2 2 2 4 2" xfId="47925" xr:uid="{00000000-0005-0000-0000-0000461A0000}"/>
    <cellStyle name="Normal 12 3 2 2 2 4 3" xfId="47926" xr:uid="{00000000-0005-0000-0000-0000471A0000}"/>
    <cellStyle name="Normal 12 3 2 2 2 5" xfId="4824" xr:uid="{00000000-0005-0000-0000-0000481A0000}"/>
    <cellStyle name="Normal 12 3 2 2 2 5 2" xfId="47927" xr:uid="{00000000-0005-0000-0000-0000491A0000}"/>
    <cellStyle name="Normal 12 3 2 2 2 6" xfId="4825" xr:uid="{00000000-0005-0000-0000-00004A1A0000}"/>
    <cellStyle name="Normal 12 3 2 2 2 7" xfId="4826" xr:uid="{00000000-0005-0000-0000-00004B1A0000}"/>
    <cellStyle name="Normal 12 3 2 2 2 8" xfId="4827" xr:uid="{00000000-0005-0000-0000-00004C1A0000}"/>
    <cellStyle name="Normal 12 3 2 2 2 9" xfId="4828" xr:uid="{00000000-0005-0000-0000-00004D1A0000}"/>
    <cellStyle name="Normal 12 3 2 2 3" xfId="4829" xr:uid="{00000000-0005-0000-0000-00004E1A0000}"/>
    <cellStyle name="Normal 12 3 2 2 3 2" xfId="4830" xr:uid="{00000000-0005-0000-0000-00004F1A0000}"/>
    <cellStyle name="Normal 12 3 2 2 3 2 2" xfId="4831" xr:uid="{00000000-0005-0000-0000-0000501A0000}"/>
    <cellStyle name="Normal 12 3 2 2 3 2 2 2" xfId="4832" xr:uid="{00000000-0005-0000-0000-0000511A0000}"/>
    <cellStyle name="Normal 12 3 2 2 3 2 2 2 2" xfId="47928" xr:uid="{00000000-0005-0000-0000-0000521A0000}"/>
    <cellStyle name="Normal 12 3 2 2 3 2 2 2 3" xfId="47929" xr:uid="{00000000-0005-0000-0000-0000531A0000}"/>
    <cellStyle name="Normal 12 3 2 2 3 2 2 3" xfId="4833" xr:uid="{00000000-0005-0000-0000-0000541A0000}"/>
    <cellStyle name="Normal 12 3 2 2 3 2 2 3 2" xfId="47930" xr:uid="{00000000-0005-0000-0000-0000551A0000}"/>
    <cellStyle name="Normal 12 3 2 2 3 2 2 4" xfId="4834" xr:uid="{00000000-0005-0000-0000-0000561A0000}"/>
    <cellStyle name="Normal 12 3 2 2 3 2 2 5" xfId="4835" xr:uid="{00000000-0005-0000-0000-0000571A0000}"/>
    <cellStyle name="Normal 12 3 2 2 3 2 2 6" xfId="4836" xr:uid="{00000000-0005-0000-0000-0000581A0000}"/>
    <cellStyle name="Normal 12 3 2 2 3 2 3" xfId="4837" xr:uid="{00000000-0005-0000-0000-0000591A0000}"/>
    <cellStyle name="Normal 12 3 2 2 3 2 3 2" xfId="47931" xr:uid="{00000000-0005-0000-0000-00005A1A0000}"/>
    <cellStyle name="Normal 12 3 2 2 3 2 3 3" xfId="47932" xr:uid="{00000000-0005-0000-0000-00005B1A0000}"/>
    <cellStyle name="Normal 12 3 2 2 3 2 4" xfId="4838" xr:uid="{00000000-0005-0000-0000-00005C1A0000}"/>
    <cellStyle name="Normal 12 3 2 2 3 2 4 2" xfId="47933" xr:uid="{00000000-0005-0000-0000-00005D1A0000}"/>
    <cellStyle name="Normal 12 3 2 2 3 2 5" xfId="4839" xr:uid="{00000000-0005-0000-0000-00005E1A0000}"/>
    <cellStyle name="Normal 12 3 2 2 3 2 6" xfId="4840" xr:uid="{00000000-0005-0000-0000-00005F1A0000}"/>
    <cellStyle name="Normal 12 3 2 2 3 2 7" xfId="4841" xr:uid="{00000000-0005-0000-0000-0000601A0000}"/>
    <cellStyle name="Normal 12 3 2 2 3 3" xfId="4842" xr:uid="{00000000-0005-0000-0000-0000611A0000}"/>
    <cellStyle name="Normal 12 3 2 2 3 3 2" xfId="4843" xr:uid="{00000000-0005-0000-0000-0000621A0000}"/>
    <cellStyle name="Normal 12 3 2 2 3 3 2 2" xfId="47934" xr:uid="{00000000-0005-0000-0000-0000631A0000}"/>
    <cellStyle name="Normal 12 3 2 2 3 3 2 3" xfId="47935" xr:uid="{00000000-0005-0000-0000-0000641A0000}"/>
    <cellStyle name="Normal 12 3 2 2 3 3 3" xfId="4844" xr:uid="{00000000-0005-0000-0000-0000651A0000}"/>
    <cellStyle name="Normal 12 3 2 2 3 3 3 2" xfId="47936" xr:uid="{00000000-0005-0000-0000-0000661A0000}"/>
    <cellStyle name="Normal 12 3 2 2 3 3 4" xfId="4845" xr:uid="{00000000-0005-0000-0000-0000671A0000}"/>
    <cellStyle name="Normal 12 3 2 2 3 3 5" xfId="4846" xr:uid="{00000000-0005-0000-0000-0000681A0000}"/>
    <cellStyle name="Normal 12 3 2 2 3 3 6" xfId="4847" xr:uid="{00000000-0005-0000-0000-0000691A0000}"/>
    <cellStyle name="Normal 12 3 2 2 3 4" xfId="4848" xr:uid="{00000000-0005-0000-0000-00006A1A0000}"/>
    <cellStyle name="Normal 12 3 2 2 3 4 2" xfId="47937" xr:uid="{00000000-0005-0000-0000-00006B1A0000}"/>
    <cellStyle name="Normal 12 3 2 2 3 4 3" xfId="47938" xr:uid="{00000000-0005-0000-0000-00006C1A0000}"/>
    <cellStyle name="Normal 12 3 2 2 3 5" xfId="4849" xr:uid="{00000000-0005-0000-0000-00006D1A0000}"/>
    <cellStyle name="Normal 12 3 2 2 3 5 2" xfId="47939" xr:uid="{00000000-0005-0000-0000-00006E1A0000}"/>
    <cellStyle name="Normal 12 3 2 2 3 6" xfId="4850" xr:uid="{00000000-0005-0000-0000-00006F1A0000}"/>
    <cellStyle name="Normal 12 3 2 2 3 7" xfId="4851" xr:uid="{00000000-0005-0000-0000-0000701A0000}"/>
    <cellStyle name="Normal 12 3 2 2 3 8" xfId="4852" xr:uid="{00000000-0005-0000-0000-0000711A0000}"/>
    <cellStyle name="Normal 12 3 2 2 4" xfId="4853" xr:uid="{00000000-0005-0000-0000-0000721A0000}"/>
    <cellStyle name="Normal 12 3 2 2 4 2" xfId="4854" xr:uid="{00000000-0005-0000-0000-0000731A0000}"/>
    <cellStyle name="Normal 12 3 2 2 4 2 2" xfId="4855" xr:uid="{00000000-0005-0000-0000-0000741A0000}"/>
    <cellStyle name="Normal 12 3 2 2 4 2 2 2" xfId="47940" xr:uid="{00000000-0005-0000-0000-0000751A0000}"/>
    <cellStyle name="Normal 12 3 2 2 4 2 2 3" xfId="47941" xr:uid="{00000000-0005-0000-0000-0000761A0000}"/>
    <cellStyle name="Normal 12 3 2 2 4 2 3" xfId="4856" xr:uid="{00000000-0005-0000-0000-0000771A0000}"/>
    <cellStyle name="Normal 12 3 2 2 4 2 3 2" xfId="47942" xr:uid="{00000000-0005-0000-0000-0000781A0000}"/>
    <cellStyle name="Normal 12 3 2 2 4 2 4" xfId="4857" xr:uid="{00000000-0005-0000-0000-0000791A0000}"/>
    <cellStyle name="Normal 12 3 2 2 4 2 5" xfId="4858" xr:uid="{00000000-0005-0000-0000-00007A1A0000}"/>
    <cellStyle name="Normal 12 3 2 2 4 2 6" xfId="4859" xr:uid="{00000000-0005-0000-0000-00007B1A0000}"/>
    <cellStyle name="Normal 12 3 2 2 4 3" xfId="4860" xr:uid="{00000000-0005-0000-0000-00007C1A0000}"/>
    <cellStyle name="Normal 12 3 2 2 4 3 2" xfId="47943" xr:uid="{00000000-0005-0000-0000-00007D1A0000}"/>
    <cellStyle name="Normal 12 3 2 2 4 3 3" xfId="47944" xr:uid="{00000000-0005-0000-0000-00007E1A0000}"/>
    <cellStyle name="Normal 12 3 2 2 4 4" xfId="4861" xr:uid="{00000000-0005-0000-0000-00007F1A0000}"/>
    <cellStyle name="Normal 12 3 2 2 4 4 2" xfId="47945" xr:uid="{00000000-0005-0000-0000-0000801A0000}"/>
    <cellStyle name="Normal 12 3 2 2 4 5" xfId="4862" xr:uid="{00000000-0005-0000-0000-0000811A0000}"/>
    <cellStyle name="Normal 12 3 2 2 4 6" xfId="4863" xr:uid="{00000000-0005-0000-0000-0000821A0000}"/>
    <cellStyle name="Normal 12 3 2 2 4 7" xfId="4864" xr:uid="{00000000-0005-0000-0000-0000831A0000}"/>
    <cellStyle name="Normal 12 3 2 2 5" xfId="4865" xr:uid="{00000000-0005-0000-0000-0000841A0000}"/>
    <cellStyle name="Normal 12 3 2 2 5 2" xfId="4866" xr:uid="{00000000-0005-0000-0000-0000851A0000}"/>
    <cellStyle name="Normal 12 3 2 2 5 2 2" xfId="47946" xr:uid="{00000000-0005-0000-0000-0000861A0000}"/>
    <cellStyle name="Normal 12 3 2 2 5 2 3" xfId="47947" xr:uid="{00000000-0005-0000-0000-0000871A0000}"/>
    <cellStyle name="Normal 12 3 2 2 5 3" xfId="4867" xr:uid="{00000000-0005-0000-0000-0000881A0000}"/>
    <cellStyle name="Normal 12 3 2 2 5 3 2" xfId="47948" xr:uid="{00000000-0005-0000-0000-0000891A0000}"/>
    <cellStyle name="Normal 12 3 2 2 5 4" xfId="4868" xr:uid="{00000000-0005-0000-0000-00008A1A0000}"/>
    <cellStyle name="Normal 12 3 2 2 5 5" xfId="4869" xr:uid="{00000000-0005-0000-0000-00008B1A0000}"/>
    <cellStyle name="Normal 12 3 2 2 5 6" xfId="4870" xr:uid="{00000000-0005-0000-0000-00008C1A0000}"/>
    <cellStyle name="Normal 12 3 2 2 6" xfId="4871" xr:uid="{00000000-0005-0000-0000-00008D1A0000}"/>
    <cellStyle name="Normal 12 3 2 2 6 2" xfId="47949" xr:uid="{00000000-0005-0000-0000-00008E1A0000}"/>
    <cellStyle name="Normal 12 3 2 2 6 3" xfId="47950" xr:uid="{00000000-0005-0000-0000-00008F1A0000}"/>
    <cellStyle name="Normal 12 3 2 2 7" xfId="4872" xr:uid="{00000000-0005-0000-0000-0000901A0000}"/>
    <cellStyle name="Normal 12 3 2 2 7 2" xfId="47951" xr:uid="{00000000-0005-0000-0000-0000911A0000}"/>
    <cellStyle name="Normal 12 3 2 2 8" xfId="4873" xr:uid="{00000000-0005-0000-0000-0000921A0000}"/>
    <cellStyle name="Normal 12 3 2 2 9" xfId="4874" xr:uid="{00000000-0005-0000-0000-0000931A0000}"/>
    <cellStyle name="Normal 12 3 2 3" xfId="4875" xr:uid="{00000000-0005-0000-0000-0000941A0000}"/>
    <cellStyle name="Normal 12 3 2 3 2" xfId="4876" xr:uid="{00000000-0005-0000-0000-0000951A0000}"/>
    <cellStyle name="Normal 12 3 2 3 2 2" xfId="4877" xr:uid="{00000000-0005-0000-0000-0000961A0000}"/>
    <cellStyle name="Normal 12 3 2 3 2 2 2" xfId="4878" xr:uid="{00000000-0005-0000-0000-0000971A0000}"/>
    <cellStyle name="Normal 12 3 2 3 2 2 2 2" xfId="47952" xr:uid="{00000000-0005-0000-0000-0000981A0000}"/>
    <cellStyle name="Normal 12 3 2 3 2 2 2 3" xfId="47953" xr:uid="{00000000-0005-0000-0000-0000991A0000}"/>
    <cellStyle name="Normal 12 3 2 3 2 2 3" xfId="4879" xr:uid="{00000000-0005-0000-0000-00009A1A0000}"/>
    <cellStyle name="Normal 12 3 2 3 2 2 3 2" xfId="47954" xr:uid="{00000000-0005-0000-0000-00009B1A0000}"/>
    <cellStyle name="Normal 12 3 2 3 2 2 4" xfId="4880" xr:uid="{00000000-0005-0000-0000-00009C1A0000}"/>
    <cellStyle name="Normal 12 3 2 3 2 2 5" xfId="4881" xr:uid="{00000000-0005-0000-0000-00009D1A0000}"/>
    <cellStyle name="Normal 12 3 2 3 2 2 6" xfId="4882" xr:uid="{00000000-0005-0000-0000-00009E1A0000}"/>
    <cellStyle name="Normal 12 3 2 3 2 3" xfId="4883" xr:uid="{00000000-0005-0000-0000-00009F1A0000}"/>
    <cellStyle name="Normal 12 3 2 3 2 3 2" xfId="47955" xr:uid="{00000000-0005-0000-0000-0000A01A0000}"/>
    <cellStyle name="Normal 12 3 2 3 2 3 3" xfId="47956" xr:uid="{00000000-0005-0000-0000-0000A11A0000}"/>
    <cellStyle name="Normal 12 3 2 3 2 4" xfId="4884" xr:uid="{00000000-0005-0000-0000-0000A21A0000}"/>
    <cellStyle name="Normal 12 3 2 3 2 4 2" xfId="47957" xr:uid="{00000000-0005-0000-0000-0000A31A0000}"/>
    <cellStyle name="Normal 12 3 2 3 2 5" xfId="4885" xr:uid="{00000000-0005-0000-0000-0000A41A0000}"/>
    <cellStyle name="Normal 12 3 2 3 2 6" xfId="4886" xr:uid="{00000000-0005-0000-0000-0000A51A0000}"/>
    <cellStyle name="Normal 12 3 2 3 2 7" xfId="4887" xr:uid="{00000000-0005-0000-0000-0000A61A0000}"/>
    <cellStyle name="Normal 12 3 2 3 3" xfId="4888" xr:uid="{00000000-0005-0000-0000-0000A71A0000}"/>
    <cellStyle name="Normal 12 3 2 3 3 2" xfId="4889" xr:uid="{00000000-0005-0000-0000-0000A81A0000}"/>
    <cellStyle name="Normal 12 3 2 3 3 2 2" xfId="47958" xr:uid="{00000000-0005-0000-0000-0000A91A0000}"/>
    <cellStyle name="Normal 12 3 2 3 3 2 3" xfId="47959" xr:uid="{00000000-0005-0000-0000-0000AA1A0000}"/>
    <cellStyle name="Normal 12 3 2 3 3 3" xfId="4890" xr:uid="{00000000-0005-0000-0000-0000AB1A0000}"/>
    <cellStyle name="Normal 12 3 2 3 3 3 2" xfId="47960" xr:uid="{00000000-0005-0000-0000-0000AC1A0000}"/>
    <cellStyle name="Normal 12 3 2 3 3 4" xfId="4891" xr:uid="{00000000-0005-0000-0000-0000AD1A0000}"/>
    <cellStyle name="Normal 12 3 2 3 3 5" xfId="4892" xr:uid="{00000000-0005-0000-0000-0000AE1A0000}"/>
    <cellStyle name="Normal 12 3 2 3 3 6" xfId="4893" xr:uid="{00000000-0005-0000-0000-0000AF1A0000}"/>
    <cellStyle name="Normal 12 3 2 3 4" xfId="4894" xr:uid="{00000000-0005-0000-0000-0000B01A0000}"/>
    <cellStyle name="Normal 12 3 2 3 4 2" xfId="47961" xr:uid="{00000000-0005-0000-0000-0000B11A0000}"/>
    <cellStyle name="Normal 12 3 2 3 4 3" xfId="47962" xr:uid="{00000000-0005-0000-0000-0000B21A0000}"/>
    <cellStyle name="Normal 12 3 2 3 5" xfId="4895" xr:uid="{00000000-0005-0000-0000-0000B31A0000}"/>
    <cellStyle name="Normal 12 3 2 3 5 2" xfId="47963" xr:uid="{00000000-0005-0000-0000-0000B41A0000}"/>
    <cellStyle name="Normal 12 3 2 3 6" xfId="4896" xr:uid="{00000000-0005-0000-0000-0000B51A0000}"/>
    <cellStyle name="Normal 12 3 2 3 7" xfId="4897" xr:uid="{00000000-0005-0000-0000-0000B61A0000}"/>
    <cellStyle name="Normal 12 3 2 3 8" xfId="4898" xr:uid="{00000000-0005-0000-0000-0000B71A0000}"/>
    <cellStyle name="Normal 12 3 2 3 9" xfId="4899" xr:uid="{00000000-0005-0000-0000-0000B81A0000}"/>
    <cellStyle name="Normal 12 3 2 4" xfId="4900" xr:uid="{00000000-0005-0000-0000-0000B91A0000}"/>
    <cellStyle name="Normal 12 3 2 4 2" xfId="4901" xr:uid="{00000000-0005-0000-0000-0000BA1A0000}"/>
    <cellStyle name="Normal 12 3 2 4 2 2" xfId="4902" xr:uid="{00000000-0005-0000-0000-0000BB1A0000}"/>
    <cellStyle name="Normal 12 3 2 4 2 2 2" xfId="4903" xr:uid="{00000000-0005-0000-0000-0000BC1A0000}"/>
    <cellStyle name="Normal 12 3 2 4 2 2 2 2" xfId="47964" xr:uid="{00000000-0005-0000-0000-0000BD1A0000}"/>
    <cellStyle name="Normal 12 3 2 4 2 2 2 3" xfId="47965" xr:uid="{00000000-0005-0000-0000-0000BE1A0000}"/>
    <cellStyle name="Normal 12 3 2 4 2 2 3" xfId="4904" xr:uid="{00000000-0005-0000-0000-0000BF1A0000}"/>
    <cellStyle name="Normal 12 3 2 4 2 2 3 2" xfId="47966" xr:uid="{00000000-0005-0000-0000-0000C01A0000}"/>
    <cellStyle name="Normal 12 3 2 4 2 2 4" xfId="4905" xr:uid="{00000000-0005-0000-0000-0000C11A0000}"/>
    <cellStyle name="Normal 12 3 2 4 2 2 5" xfId="4906" xr:uid="{00000000-0005-0000-0000-0000C21A0000}"/>
    <cellStyle name="Normal 12 3 2 4 2 2 6" xfId="4907" xr:uid="{00000000-0005-0000-0000-0000C31A0000}"/>
    <cellStyle name="Normal 12 3 2 4 2 3" xfId="4908" xr:uid="{00000000-0005-0000-0000-0000C41A0000}"/>
    <cellStyle name="Normal 12 3 2 4 2 3 2" xfId="47967" xr:uid="{00000000-0005-0000-0000-0000C51A0000}"/>
    <cellStyle name="Normal 12 3 2 4 2 3 3" xfId="47968" xr:uid="{00000000-0005-0000-0000-0000C61A0000}"/>
    <cellStyle name="Normal 12 3 2 4 2 4" xfId="4909" xr:uid="{00000000-0005-0000-0000-0000C71A0000}"/>
    <cellStyle name="Normal 12 3 2 4 2 4 2" xfId="47969" xr:uid="{00000000-0005-0000-0000-0000C81A0000}"/>
    <cellStyle name="Normal 12 3 2 4 2 5" xfId="4910" xr:uid="{00000000-0005-0000-0000-0000C91A0000}"/>
    <cellStyle name="Normal 12 3 2 4 2 6" xfId="4911" xr:uid="{00000000-0005-0000-0000-0000CA1A0000}"/>
    <cellStyle name="Normal 12 3 2 4 2 7" xfId="4912" xr:uid="{00000000-0005-0000-0000-0000CB1A0000}"/>
    <cellStyle name="Normal 12 3 2 4 3" xfId="4913" xr:uid="{00000000-0005-0000-0000-0000CC1A0000}"/>
    <cellStyle name="Normal 12 3 2 4 3 2" xfId="4914" xr:uid="{00000000-0005-0000-0000-0000CD1A0000}"/>
    <cellStyle name="Normal 12 3 2 4 3 2 2" xfId="47970" xr:uid="{00000000-0005-0000-0000-0000CE1A0000}"/>
    <cellStyle name="Normal 12 3 2 4 3 2 3" xfId="47971" xr:uid="{00000000-0005-0000-0000-0000CF1A0000}"/>
    <cellStyle name="Normal 12 3 2 4 3 3" xfId="4915" xr:uid="{00000000-0005-0000-0000-0000D01A0000}"/>
    <cellStyle name="Normal 12 3 2 4 3 3 2" xfId="47972" xr:uid="{00000000-0005-0000-0000-0000D11A0000}"/>
    <cellStyle name="Normal 12 3 2 4 3 4" xfId="4916" xr:uid="{00000000-0005-0000-0000-0000D21A0000}"/>
    <cellStyle name="Normal 12 3 2 4 3 5" xfId="4917" xr:uid="{00000000-0005-0000-0000-0000D31A0000}"/>
    <cellStyle name="Normal 12 3 2 4 3 6" xfId="4918" xr:uid="{00000000-0005-0000-0000-0000D41A0000}"/>
    <cellStyle name="Normal 12 3 2 4 4" xfId="4919" xr:uid="{00000000-0005-0000-0000-0000D51A0000}"/>
    <cellStyle name="Normal 12 3 2 4 4 2" xfId="47973" xr:uid="{00000000-0005-0000-0000-0000D61A0000}"/>
    <cellStyle name="Normal 12 3 2 4 4 3" xfId="47974" xr:uid="{00000000-0005-0000-0000-0000D71A0000}"/>
    <cellStyle name="Normal 12 3 2 4 5" xfId="4920" xr:uid="{00000000-0005-0000-0000-0000D81A0000}"/>
    <cellStyle name="Normal 12 3 2 4 5 2" xfId="47975" xr:uid="{00000000-0005-0000-0000-0000D91A0000}"/>
    <cellStyle name="Normal 12 3 2 4 6" xfId="4921" xr:uid="{00000000-0005-0000-0000-0000DA1A0000}"/>
    <cellStyle name="Normal 12 3 2 4 7" xfId="4922" xr:uid="{00000000-0005-0000-0000-0000DB1A0000}"/>
    <cellStyle name="Normal 12 3 2 4 8" xfId="4923" xr:uid="{00000000-0005-0000-0000-0000DC1A0000}"/>
    <cellStyle name="Normal 12 3 2 5" xfId="4924" xr:uid="{00000000-0005-0000-0000-0000DD1A0000}"/>
    <cellStyle name="Normal 12 3 2 5 2" xfId="4925" xr:uid="{00000000-0005-0000-0000-0000DE1A0000}"/>
    <cellStyle name="Normal 12 3 2 5 2 2" xfId="4926" xr:uid="{00000000-0005-0000-0000-0000DF1A0000}"/>
    <cellStyle name="Normal 12 3 2 5 2 2 2" xfId="47976" xr:uid="{00000000-0005-0000-0000-0000E01A0000}"/>
    <cellStyle name="Normal 12 3 2 5 2 2 3" xfId="47977" xr:uid="{00000000-0005-0000-0000-0000E11A0000}"/>
    <cellStyle name="Normal 12 3 2 5 2 3" xfId="4927" xr:uid="{00000000-0005-0000-0000-0000E21A0000}"/>
    <cellStyle name="Normal 12 3 2 5 2 3 2" xfId="47978" xr:uid="{00000000-0005-0000-0000-0000E31A0000}"/>
    <cellStyle name="Normal 12 3 2 5 2 4" xfId="4928" xr:uid="{00000000-0005-0000-0000-0000E41A0000}"/>
    <cellStyle name="Normal 12 3 2 5 2 5" xfId="4929" xr:uid="{00000000-0005-0000-0000-0000E51A0000}"/>
    <cellStyle name="Normal 12 3 2 5 2 6" xfId="4930" xr:uid="{00000000-0005-0000-0000-0000E61A0000}"/>
    <cellStyle name="Normal 12 3 2 5 3" xfId="4931" xr:uid="{00000000-0005-0000-0000-0000E71A0000}"/>
    <cellStyle name="Normal 12 3 2 5 3 2" xfId="47979" xr:uid="{00000000-0005-0000-0000-0000E81A0000}"/>
    <cellStyle name="Normal 12 3 2 5 3 3" xfId="47980" xr:uid="{00000000-0005-0000-0000-0000E91A0000}"/>
    <cellStyle name="Normal 12 3 2 5 4" xfId="4932" xr:uid="{00000000-0005-0000-0000-0000EA1A0000}"/>
    <cellStyle name="Normal 12 3 2 5 4 2" xfId="47981" xr:uid="{00000000-0005-0000-0000-0000EB1A0000}"/>
    <cellStyle name="Normal 12 3 2 5 5" xfId="4933" xr:uid="{00000000-0005-0000-0000-0000EC1A0000}"/>
    <cellStyle name="Normal 12 3 2 5 6" xfId="4934" xr:uid="{00000000-0005-0000-0000-0000ED1A0000}"/>
    <cellStyle name="Normal 12 3 2 5 7" xfId="4935" xr:uid="{00000000-0005-0000-0000-0000EE1A0000}"/>
    <cellStyle name="Normal 12 3 2 6" xfId="4936" xr:uid="{00000000-0005-0000-0000-0000EF1A0000}"/>
    <cellStyle name="Normal 12 3 2 6 2" xfId="4937" xr:uid="{00000000-0005-0000-0000-0000F01A0000}"/>
    <cellStyle name="Normal 12 3 2 6 2 2" xfId="47982" xr:uid="{00000000-0005-0000-0000-0000F11A0000}"/>
    <cellStyle name="Normal 12 3 2 6 2 3" xfId="47983" xr:uid="{00000000-0005-0000-0000-0000F21A0000}"/>
    <cellStyle name="Normal 12 3 2 6 3" xfId="4938" xr:uid="{00000000-0005-0000-0000-0000F31A0000}"/>
    <cellStyle name="Normal 12 3 2 6 3 2" xfId="47984" xr:uid="{00000000-0005-0000-0000-0000F41A0000}"/>
    <cellStyle name="Normal 12 3 2 6 4" xfId="4939" xr:uid="{00000000-0005-0000-0000-0000F51A0000}"/>
    <cellStyle name="Normal 12 3 2 6 5" xfId="4940" xr:uid="{00000000-0005-0000-0000-0000F61A0000}"/>
    <cellStyle name="Normal 12 3 2 6 6" xfId="4941" xr:uid="{00000000-0005-0000-0000-0000F71A0000}"/>
    <cellStyle name="Normal 12 3 2 7" xfId="4942" xr:uid="{00000000-0005-0000-0000-0000F81A0000}"/>
    <cellStyle name="Normal 12 3 2 7 2" xfId="47985" xr:uid="{00000000-0005-0000-0000-0000F91A0000}"/>
    <cellStyle name="Normal 12 3 2 7 3" xfId="47986" xr:uid="{00000000-0005-0000-0000-0000FA1A0000}"/>
    <cellStyle name="Normal 12 3 2 8" xfId="4943" xr:uid="{00000000-0005-0000-0000-0000FB1A0000}"/>
    <cellStyle name="Normal 12 3 2 8 2" xfId="47987" xr:uid="{00000000-0005-0000-0000-0000FC1A0000}"/>
    <cellStyle name="Normal 12 3 2 9" xfId="4944" xr:uid="{00000000-0005-0000-0000-0000FD1A0000}"/>
    <cellStyle name="Normal 12 3 2 9 2" xfId="47988" xr:uid="{00000000-0005-0000-0000-0000FE1A0000}"/>
    <cellStyle name="Normal 12 3 20" xfId="4945" xr:uid="{00000000-0005-0000-0000-0000FF1A0000}"/>
    <cellStyle name="Normal 12 3 21" xfId="4946" xr:uid="{00000000-0005-0000-0000-0000001B0000}"/>
    <cellStyle name="Normal 12 3 3" xfId="4947" xr:uid="{00000000-0005-0000-0000-0000011B0000}"/>
    <cellStyle name="Normal 12 3 3 10" xfId="4948" xr:uid="{00000000-0005-0000-0000-0000021B0000}"/>
    <cellStyle name="Normal 12 3 3 11" xfId="4949" xr:uid="{00000000-0005-0000-0000-0000031B0000}"/>
    <cellStyle name="Normal 12 3 3 12" xfId="4950" xr:uid="{00000000-0005-0000-0000-0000041B0000}"/>
    <cellStyle name="Normal 12 3 3 13" xfId="4951" xr:uid="{00000000-0005-0000-0000-0000051B0000}"/>
    <cellStyle name="Normal 12 3 3 14" xfId="4952" xr:uid="{00000000-0005-0000-0000-0000061B0000}"/>
    <cellStyle name="Normal 12 3 3 15" xfId="4953" xr:uid="{00000000-0005-0000-0000-0000071B0000}"/>
    <cellStyle name="Normal 12 3 3 2" xfId="4954" xr:uid="{00000000-0005-0000-0000-0000081B0000}"/>
    <cellStyle name="Normal 12 3 3 2 10" xfId="4955" xr:uid="{00000000-0005-0000-0000-0000091B0000}"/>
    <cellStyle name="Normal 12 3 3 2 11" xfId="4956" xr:uid="{00000000-0005-0000-0000-00000A1B0000}"/>
    <cellStyle name="Normal 12 3 3 2 12" xfId="4957" xr:uid="{00000000-0005-0000-0000-00000B1B0000}"/>
    <cellStyle name="Normal 12 3 3 2 13" xfId="4958" xr:uid="{00000000-0005-0000-0000-00000C1B0000}"/>
    <cellStyle name="Normal 12 3 3 2 14" xfId="4959" xr:uid="{00000000-0005-0000-0000-00000D1B0000}"/>
    <cellStyle name="Normal 12 3 3 2 2" xfId="4960" xr:uid="{00000000-0005-0000-0000-00000E1B0000}"/>
    <cellStyle name="Normal 12 3 3 2 2 2" xfId="4961" xr:uid="{00000000-0005-0000-0000-00000F1B0000}"/>
    <cellStyle name="Normal 12 3 3 2 2 2 2" xfId="4962" xr:uid="{00000000-0005-0000-0000-0000101B0000}"/>
    <cellStyle name="Normal 12 3 3 2 2 2 2 2" xfId="4963" xr:uid="{00000000-0005-0000-0000-0000111B0000}"/>
    <cellStyle name="Normal 12 3 3 2 2 2 2 2 2" xfId="47989" xr:uid="{00000000-0005-0000-0000-0000121B0000}"/>
    <cellStyle name="Normal 12 3 3 2 2 2 2 2 3" xfId="47990" xr:uid="{00000000-0005-0000-0000-0000131B0000}"/>
    <cellStyle name="Normal 12 3 3 2 2 2 2 3" xfId="4964" xr:uid="{00000000-0005-0000-0000-0000141B0000}"/>
    <cellStyle name="Normal 12 3 3 2 2 2 2 3 2" xfId="47991" xr:uid="{00000000-0005-0000-0000-0000151B0000}"/>
    <cellStyle name="Normal 12 3 3 2 2 2 2 4" xfId="4965" xr:uid="{00000000-0005-0000-0000-0000161B0000}"/>
    <cellStyle name="Normal 12 3 3 2 2 2 2 5" xfId="4966" xr:uid="{00000000-0005-0000-0000-0000171B0000}"/>
    <cellStyle name="Normal 12 3 3 2 2 2 2 6" xfId="4967" xr:uid="{00000000-0005-0000-0000-0000181B0000}"/>
    <cellStyle name="Normal 12 3 3 2 2 2 3" xfId="4968" xr:uid="{00000000-0005-0000-0000-0000191B0000}"/>
    <cellStyle name="Normal 12 3 3 2 2 2 3 2" xfId="47992" xr:uid="{00000000-0005-0000-0000-00001A1B0000}"/>
    <cellStyle name="Normal 12 3 3 2 2 2 3 3" xfId="47993" xr:uid="{00000000-0005-0000-0000-00001B1B0000}"/>
    <cellStyle name="Normal 12 3 3 2 2 2 4" xfId="4969" xr:uid="{00000000-0005-0000-0000-00001C1B0000}"/>
    <cellStyle name="Normal 12 3 3 2 2 2 4 2" xfId="47994" xr:uid="{00000000-0005-0000-0000-00001D1B0000}"/>
    <cellStyle name="Normal 12 3 3 2 2 2 5" xfId="4970" xr:uid="{00000000-0005-0000-0000-00001E1B0000}"/>
    <cellStyle name="Normal 12 3 3 2 2 2 6" xfId="4971" xr:uid="{00000000-0005-0000-0000-00001F1B0000}"/>
    <cellStyle name="Normal 12 3 3 2 2 2 7" xfId="4972" xr:uid="{00000000-0005-0000-0000-0000201B0000}"/>
    <cellStyle name="Normal 12 3 3 2 2 3" xfId="4973" xr:uid="{00000000-0005-0000-0000-0000211B0000}"/>
    <cellStyle name="Normal 12 3 3 2 2 3 2" xfId="4974" xr:uid="{00000000-0005-0000-0000-0000221B0000}"/>
    <cellStyle name="Normal 12 3 3 2 2 3 2 2" xfId="47995" xr:uid="{00000000-0005-0000-0000-0000231B0000}"/>
    <cellStyle name="Normal 12 3 3 2 2 3 2 3" xfId="47996" xr:uid="{00000000-0005-0000-0000-0000241B0000}"/>
    <cellStyle name="Normal 12 3 3 2 2 3 3" xfId="4975" xr:uid="{00000000-0005-0000-0000-0000251B0000}"/>
    <cellStyle name="Normal 12 3 3 2 2 3 3 2" xfId="47997" xr:uid="{00000000-0005-0000-0000-0000261B0000}"/>
    <cellStyle name="Normal 12 3 3 2 2 3 4" xfId="4976" xr:uid="{00000000-0005-0000-0000-0000271B0000}"/>
    <cellStyle name="Normal 12 3 3 2 2 3 5" xfId="4977" xr:uid="{00000000-0005-0000-0000-0000281B0000}"/>
    <cellStyle name="Normal 12 3 3 2 2 3 6" xfId="4978" xr:uid="{00000000-0005-0000-0000-0000291B0000}"/>
    <cellStyle name="Normal 12 3 3 2 2 4" xfId="4979" xr:uid="{00000000-0005-0000-0000-00002A1B0000}"/>
    <cellStyle name="Normal 12 3 3 2 2 4 2" xfId="47998" xr:uid="{00000000-0005-0000-0000-00002B1B0000}"/>
    <cellStyle name="Normal 12 3 3 2 2 4 3" xfId="47999" xr:uid="{00000000-0005-0000-0000-00002C1B0000}"/>
    <cellStyle name="Normal 12 3 3 2 2 5" xfId="4980" xr:uid="{00000000-0005-0000-0000-00002D1B0000}"/>
    <cellStyle name="Normal 12 3 3 2 2 5 2" xfId="48000" xr:uid="{00000000-0005-0000-0000-00002E1B0000}"/>
    <cellStyle name="Normal 12 3 3 2 2 6" xfId="4981" xr:uid="{00000000-0005-0000-0000-00002F1B0000}"/>
    <cellStyle name="Normal 12 3 3 2 2 7" xfId="4982" xr:uid="{00000000-0005-0000-0000-0000301B0000}"/>
    <cellStyle name="Normal 12 3 3 2 2 8" xfId="4983" xr:uid="{00000000-0005-0000-0000-0000311B0000}"/>
    <cellStyle name="Normal 12 3 3 2 2 9" xfId="4984" xr:uid="{00000000-0005-0000-0000-0000321B0000}"/>
    <cellStyle name="Normal 12 3 3 2 3" xfId="4985" xr:uid="{00000000-0005-0000-0000-0000331B0000}"/>
    <cellStyle name="Normal 12 3 3 2 3 2" xfId="4986" xr:uid="{00000000-0005-0000-0000-0000341B0000}"/>
    <cellStyle name="Normal 12 3 3 2 3 2 2" xfId="4987" xr:uid="{00000000-0005-0000-0000-0000351B0000}"/>
    <cellStyle name="Normal 12 3 3 2 3 2 2 2" xfId="4988" xr:uid="{00000000-0005-0000-0000-0000361B0000}"/>
    <cellStyle name="Normal 12 3 3 2 3 2 2 2 2" xfId="48001" xr:uid="{00000000-0005-0000-0000-0000371B0000}"/>
    <cellStyle name="Normal 12 3 3 2 3 2 2 2 3" xfId="48002" xr:uid="{00000000-0005-0000-0000-0000381B0000}"/>
    <cellStyle name="Normal 12 3 3 2 3 2 2 3" xfId="4989" xr:uid="{00000000-0005-0000-0000-0000391B0000}"/>
    <cellStyle name="Normal 12 3 3 2 3 2 2 3 2" xfId="48003" xr:uid="{00000000-0005-0000-0000-00003A1B0000}"/>
    <cellStyle name="Normal 12 3 3 2 3 2 2 4" xfId="4990" xr:uid="{00000000-0005-0000-0000-00003B1B0000}"/>
    <cellStyle name="Normal 12 3 3 2 3 2 2 5" xfId="4991" xr:uid="{00000000-0005-0000-0000-00003C1B0000}"/>
    <cellStyle name="Normal 12 3 3 2 3 2 2 6" xfId="4992" xr:uid="{00000000-0005-0000-0000-00003D1B0000}"/>
    <cellStyle name="Normal 12 3 3 2 3 2 3" xfId="4993" xr:uid="{00000000-0005-0000-0000-00003E1B0000}"/>
    <cellStyle name="Normal 12 3 3 2 3 2 3 2" xfId="48004" xr:uid="{00000000-0005-0000-0000-00003F1B0000}"/>
    <cellStyle name="Normal 12 3 3 2 3 2 3 3" xfId="48005" xr:uid="{00000000-0005-0000-0000-0000401B0000}"/>
    <cellStyle name="Normal 12 3 3 2 3 2 4" xfId="4994" xr:uid="{00000000-0005-0000-0000-0000411B0000}"/>
    <cellStyle name="Normal 12 3 3 2 3 2 4 2" xfId="48006" xr:uid="{00000000-0005-0000-0000-0000421B0000}"/>
    <cellStyle name="Normal 12 3 3 2 3 2 5" xfId="4995" xr:uid="{00000000-0005-0000-0000-0000431B0000}"/>
    <cellStyle name="Normal 12 3 3 2 3 2 6" xfId="4996" xr:uid="{00000000-0005-0000-0000-0000441B0000}"/>
    <cellStyle name="Normal 12 3 3 2 3 2 7" xfId="4997" xr:uid="{00000000-0005-0000-0000-0000451B0000}"/>
    <cellStyle name="Normal 12 3 3 2 3 3" xfId="4998" xr:uid="{00000000-0005-0000-0000-0000461B0000}"/>
    <cellStyle name="Normal 12 3 3 2 3 3 2" xfId="4999" xr:uid="{00000000-0005-0000-0000-0000471B0000}"/>
    <cellStyle name="Normal 12 3 3 2 3 3 2 2" xfId="48007" xr:uid="{00000000-0005-0000-0000-0000481B0000}"/>
    <cellStyle name="Normal 12 3 3 2 3 3 2 3" xfId="48008" xr:uid="{00000000-0005-0000-0000-0000491B0000}"/>
    <cellStyle name="Normal 12 3 3 2 3 3 3" xfId="5000" xr:uid="{00000000-0005-0000-0000-00004A1B0000}"/>
    <cellStyle name="Normal 12 3 3 2 3 3 3 2" xfId="48009" xr:uid="{00000000-0005-0000-0000-00004B1B0000}"/>
    <cellStyle name="Normal 12 3 3 2 3 3 4" xfId="5001" xr:uid="{00000000-0005-0000-0000-00004C1B0000}"/>
    <cellStyle name="Normal 12 3 3 2 3 3 5" xfId="5002" xr:uid="{00000000-0005-0000-0000-00004D1B0000}"/>
    <cellStyle name="Normal 12 3 3 2 3 3 6" xfId="5003" xr:uid="{00000000-0005-0000-0000-00004E1B0000}"/>
    <cellStyle name="Normal 12 3 3 2 3 4" xfId="5004" xr:uid="{00000000-0005-0000-0000-00004F1B0000}"/>
    <cellStyle name="Normal 12 3 3 2 3 4 2" xfId="48010" xr:uid="{00000000-0005-0000-0000-0000501B0000}"/>
    <cellStyle name="Normal 12 3 3 2 3 4 3" xfId="48011" xr:uid="{00000000-0005-0000-0000-0000511B0000}"/>
    <cellStyle name="Normal 12 3 3 2 3 5" xfId="5005" xr:uid="{00000000-0005-0000-0000-0000521B0000}"/>
    <cellStyle name="Normal 12 3 3 2 3 5 2" xfId="48012" xr:uid="{00000000-0005-0000-0000-0000531B0000}"/>
    <cellStyle name="Normal 12 3 3 2 3 6" xfId="5006" xr:uid="{00000000-0005-0000-0000-0000541B0000}"/>
    <cellStyle name="Normal 12 3 3 2 3 7" xfId="5007" xr:uid="{00000000-0005-0000-0000-0000551B0000}"/>
    <cellStyle name="Normal 12 3 3 2 3 8" xfId="5008" xr:uid="{00000000-0005-0000-0000-0000561B0000}"/>
    <cellStyle name="Normal 12 3 3 2 4" xfId="5009" xr:uid="{00000000-0005-0000-0000-0000571B0000}"/>
    <cellStyle name="Normal 12 3 3 2 4 2" xfId="5010" xr:uid="{00000000-0005-0000-0000-0000581B0000}"/>
    <cellStyle name="Normal 12 3 3 2 4 2 2" xfId="5011" xr:uid="{00000000-0005-0000-0000-0000591B0000}"/>
    <cellStyle name="Normal 12 3 3 2 4 2 2 2" xfId="48013" xr:uid="{00000000-0005-0000-0000-00005A1B0000}"/>
    <cellStyle name="Normal 12 3 3 2 4 2 2 3" xfId="48014" xr:uid="{00000000-0005-0000-0000-00005B1B0000}"/>
    <cellStyle name="Normal 12 3 3 2 4 2 3" xfId="5012" xr:uid="{00000000-0005-0000-0000-00005C1B0000}"/>
    <cellStyle name="Normal 12 3 3 2 4 2 3 2" xfId="48015" xr:uid="{00000000-0005-0000-0000-00005D1B0000}"/>
    <cellStyle name="Normal 12 3 3 2 4 2 4" xfId="5013" xr:uid="{00000000-0005-0000-0000-00005E1B0000}"/>
    <cellStyle name="Normal 12 3 3 2 4 2 5" xfId="5014" xr:uid="{00000000-0005-0000-0000-00005F1B0000}"/>
    <cellStyle name="Normal 12 3 3 2 4 2 6" xfId="5015" xr:uid="{00000000-0005-0000-0000-0000601B0000}"/>
    <cellStyle name="Normal 12 3 3 2 4 3" xfId="5016" xr:uid="{00000000-0005-0000-0000-0000611B0000}"/>
    <cellStyle name="Normal 12 3 3 2 4 3 2" xfId="48016" xr:uid="{00000000-0005-0000-0000-0000621B0000}"/>
    <cellStyle name="Normal 12 3 3 2 4 3 3" xfId="48017" xr:uid="{00000000-0005-0000-0000-0000631B0000}"/>
    <cellStyle name="Normal 12 3 3 2 4 4" xfId="5017" xr:uid="{00000000-0005-0000-0000-0000641B0000}"/>
    <cellStyle name="Normal 12 3 3 2 4 4 2" xfId="48018" xr:uid="{00000000-0005-0000-0000-0000651B0000}"/>
    <cellStyle name="Normal 12 3 3 2 4 5" xfId="5018" xr:uid="{00000000-0005-0000-0000-0000661B0000}"/>
    <cellStyle name="Normal 12 3 3 2 4 6" xfId="5019" xr:uid="{00000000-0005-0000-0000-0000671B0000}"/>
    <cellStyle name="Normal 12 3 3 2 4 7" xfId="5020" xr:uid="{00000000-0005-0000-0000-0000681B0000}"/>
    <cellStyle name="Normal 12 3 3 2 5" xfId="5021" xr:uid="{00000000-0005-0000-0000-0000691B0000}"/>
    <cellStyle name="Normal 12 3 3 2 5 2" xfId="5022" xr:uid="{00000000-0005-0000-0000-00006A1B0000}"/>
    <cellStyle name="Normal 12 3 3 2 5 2 2" xfId="48019" xr:uid="{00000000-0005-0000-0000-00006B1B0000}"/>
    <cellStyle name="Normal 12 3 3 2 5 2 3" xfId="48020" xr:uid="{00000000-0005-0000-0000-00006C1B0000}"/>
    <cellStyle name="Normal 12 3 3 2 5 3" xfId="5023" xr:uid="{00000000-0005-0000-0000-00006D1B0000}"/>
    <cellStyle name="Normal 12 3 3 2 5 3 2" xfId="48021" xr:uid="{00000000-0005-0000-0000-00006E1B0000}"/>
    <cellStyle name="Normal 12 3 3 2 5 4" xfId="5024" xr:uid="{00000000-0005-0000-0000-00006F1B0000}"/>
    <cellStyle name="Normal 12 3 3 2 5 5" xfId="5025" xr:uid="{00000000-0005-0000-0000-0000701B0000}"/>
    <cellStyle name="Normal 12 3 3 2 5 6" xfId="5026" xr:uid="{00000000-0005-0000-0000-0000711B0000}"/>
    <cellStyle name="Normal 12 3 3 2 6" xfId="5027" xr:uid="{00000000-0005-0000-0000-0000721B0000}"/>
    <cellStyle name="Normal 12 3 3 2 6 2" xfId="48022" xr:uid="{00000000-0005-0000-0000-0000731B0000}"/>
    <cellStyle name="Normal 12 3 3 2 6 3" xfId="48023" xr:uid="{00000000-0005-0000-0000-0000741B0000}"/>
    <cellStyle name="Normal 12 3 3 2 7" xfId="5028" xr:uid="{00000000-0005-0000-0000-0000751B0000}"/>
    <cellStyle name="Normal 12 3 3 2 7 2" xfId="48024" xr:uid="{00000000-0005-0000-0000-0000761B0000}"/>
    <cellStyle name="Normal 12 3 3 2 8" xfId="5029" xr:uid="{00000000-0005-0000-0000-0000771B0000}"/>
    <cellStyle name="Normal 12 3 3 2 9" xfId="5030" xr:uid="{00000000-0005-0000-0000-0000781B0000}"/>
    <cellStyle name="Normal 12 3 3 3" xfId="5031" xr:uid="{00000000-0005-0000-0000-0000791B0000}"/>
    <cellStyle name="Normal 12 3 3 3 2" xfId="5032" xr:uid="{00000000-0005-0000-0000-00007A1B0000}"/>
    <cellStyle name="Normal 12 3 3 3 2 2" xfId="5033" xr:uid="{00000000-0005-0000-0000-00007B1B0000}"/>
    <cellStyle name="Normal 12 3 3 3 2 2 2" xfId="5034" xr:uid="{00000000-0005-0000-0000-00007C1B0000}"/>
    <cellStyle name="Normal 12 3 3 3 2 2 2 2" xfId="48025" xr:uid="{00000000-0005-0000-0000-00007D1B0000}"/>
    <cellStyle name="Normal 12 3 3 3 2 2 2 3" xfId="48026" xr:uid="{00000000-0005-0000-0000-00007E1B0000}"/>
    <cellStyle name="Normal 12 3 3 3 2 2 3" xfId="5035" xr:uid="{00000000-0005-0000-0000-00007F1B0000}"/>
    <cellStyle name="Normal 12 3 3 3 2 2 3 2" xfId="48027" xr:uid="{00000000-0005-0000-0000-0000801B0000}"/>
    <cellStyle name="Normal 12 3 3 3 2 2 4" xfId="5036" xr:uid="{00000000-0005-0000-0000-0000811B0000}"/>
    <cellStyle name="Normal 12 3 3 3 2 2 5" xfId="5037" xr:uid="{00000000-0005-0000-0000-0000821B0000}"/>
    <cellStyle name="Normal 12 3 3 3 2 2 6" xfId="5038" xr:uid="{00000000-0005-0000-0000-0000831B0000}"/>
    <cellStyle name="Normal 12 3 3 3 2 3" xfId="5039" xr:uid="{00000000-0005-0000-0000-0000841B0000}"/>
    <cellStyle name="Normal 12 3 3 3 2 3 2" xfId="48028" xr:uid="{00000000-0005-0000-0000-0000851B0000}"/>
    <cellStyle name="Normal 12 3 3 3 2 3 3" xfId="48029" xr:uid="{00000000-0005-0000-0000-0000861B0000}"/>
    <cellStyle name="Normal 12 3 3 3 2 4" xfId="5040" xr:uid="{00000000-0005-0000-0000-0000871B0000}"/>
    <cellStyle name="Normal 12 3 3 3 2 4 2" xfId="48030" xr:uid="{00000000-0005-0000-0000-0000881B0000}"/>
    <cellStyle name="Normal 12 3 3 3 2 5" xfId="5041" xr:uid="{00000000-0005-0000-0000-0000891B0000}"/>
    <cellStyle name="Normal 12 3 3 3 2 6" xfId="5042" xr:uid="{00000000-0005-0000-0000-00008A1B0000}"/>
    <cellStyle name="Normal 12 3 3 3 2 7" xfId="5043" xr:uid="{00000000-0005-0000-0000-00008B1B0000}"/>
    <cellStyle name="Normal 12 3 3 3 3" xfId="5044" xr:uid="{00000000-0005-0000-0000-00008C1B0000}"/>
    <cellStyle name="Normal 12 3 3 3 3 2" xfId="5045" xr:uid="{00000000-0005-0000-0000-00008D1B0000}"/>
    <cellStyle name="Normal 12 3 3 3 3 2 2" xfId="48031" xr:uid="{00000000-0005-0000-0000-00008E1B0000}"/>
    <cellStyle name="Normal 12 3 3 3 3 2 3" xfId="48032" xr:uid="{00000000-0005-0000-0000-00008F1B0000}"/>
    <cellStyle name="Normal 12 3 3 3 3 3" xfId="5046" xr:uid="{00000000-0005-0000-0000-0000901B0000}"/>
    <cellStyle name="Normal 12 3 3 3 3 3 2" xfId="48033" xr:uid="{00000000-0005-0000-0000-0000911B0000}"/>
    <cellStyle name="Normal 12 3 3 3 3 4" xfId="5047" xr:uid="{00000000-0005-0000-0000-0000921B0000}"/>
    <cellStyle name="Normal 12 3 3 3 3 5" xfId="5048" xr:uid="{00000000-0005-0000-0000-0000931B0000}"/>
    <cellStyle name="Normal 12 3 3 3 3 6" xfId="5049" xr:uid="{00000000-0005-0000-0000-0000941B0000}"/>
    <cellStyle name="Normal 12 3 3 3 4" xfId="5050" xr:uid="{00000000-0005-0000-0000-0000951B0000}"/>
    <cellStyle name="Normal 12 3 3 3 4 2" xfId="48034" xr:uid="{00000000-0005-0000-0000-0000961B0000}"/>
    <cellStyle name="Normal 12 3 3 3 4 3" xfId="48035" xr:uid="{00000000-0005-0000-0000-0000971B0000}"/>
    <cellStyle name="Normal 12 3 3 3 5" xfId="5051" xr:uid="{00000000-0005-0000-0000-0000981B0000}"/>
    <cellStyle name="Normal 12 3 3 3 5 2" xfId="48036" xr:uid="{00000000-0005-0000-0000-0000991B0000}"/>
    <cellStyle name="Normal 12 3 3 3 6" xfId="5052" xr:uid="{00000000-0005-0000-0000-00009A1B0000}"/>
    <cellStyle name="Normal 12 3 3 3 7" xfId="5053" xr:uid="{00000000-0005-0000-0000-00009B1B0000}"/>
    <cellStyle name="Normal 12 3 3 3 8" xfId="5054" xr:uid="{00000000-0005-0000-0000-00009C1B0000}"/>
    <cellStyle name="Normal 12 3 3 3 9" xfId="5055" xr:uid="{00000000-0005-0000-0000-00009D1B0000}"/>
    <cellStyle name="Normal 12 3 3 4" xfId="5056" xr:uid="{00000000-0005-0000-0000-00009E1B0000}"/>
    <cellStyle name="Normal 12 3 3 4 2" xfId="5057" xr:uid="{00000000-0005-0000-0000-00009F1B0000}"/>
    <cellStyle name="Normal 12 3 3 4 2 2" xfId="5058" xr:uid="{00000000-0005-0000-0000-0000A01B0000}"/>
    <cellStyle name="Normal 12 3 3 4 2 2 2" xfId="5059" xr:uid="{00000000-0005-0000-0000-0000A11B0000}"/>
    <cellStyle name="Normal 12 3 3 4 2 2 2 2" xfId="48037" xr:uid="{00000000-0005-0000-0000-0000A21B0000}"/>
    <cellStyle name="Normal 12 3 3 4 2 2 2 3" xfId="48038" xr:uid="{00000000-0005-0000-0000-0000A31B0000}"/>
    <cellStyle name="Normal 12 3 3 4 2 2 3" xfId="5060" xr:uid="{00000000-0005-0000-0000-0000A41B0000}"/>
    <cellStyle name="Normal 12 3 3 4 2 2 3 2" xfId="48039" xr:uid="{00000000-0005-0000-0000-0000A51B0000}"/>
    <cellStyle name="Normal 12 3 3 4 2 2 4" xfId="5061" xr:uid="{00000000-0005-0000-0000-0000A61B0000}"/>
    <cellStyle name="Normal 12 3 3 4 2 2 5" xfId="5062" xr:uid="{00000000-0005-0000-0000-0000A71B0000}"/>
    <cellStyle name="Normal 12 3 3 4 2 2 6" xfId="5063" xr:uid="{00000000-0005-0000-0000-0000A81B0000}"/>
    <cellStyle name="Normal 12 3 3 4 2 3" xfId="5064" xr:uid="{00000000-0005-0000-0000-0000A91B0000}"/>
    <cellStyle name="Normal 12 3 3 4 2 3 2" xfId="48040" xr:uid="{00000000-0005-0000-0000-0000AA1B0000}"/>
    <cellStyle name="Normal 12 3 3 4 2 3 3" xfId="48041" xr:uid="{00000000-0005-0000-0000-0000AB1B0000}"/>
    <cellStyle name="Normal 12 3 3 4 2 4" xfId="5065" xr:uid="{00000000-0005-0000-0000-0000AC1B0000}"/>
    <cellStyle name="Normal 12 3 3 4 2 4 2" xfId="48042" xr:uid="{00000000-0005-0000-0000-0000AD1B0000}"/>
    <cellStyle name="Normal 12 3 3 4 2 5" xfId="5066" xr:uid="{00000000-0005-0000-0000-0000AE1B0000}"/>
    <cellStyle name="Normal 12 3 3 4 2 6" xfId="5067" xr:uid="{00000000-0005-0000-0000-0000AF1B0000}"/>
    <cellStyle name="Normal 12 3 3 4 2 7" xfId="5068" xr:uid="{00000000-0005-0000-0000-0000B01B0000}"/>
    <cellStyle name="Normal 12 3 3 4 3" xfId="5069" xr:uid="{00000000-0005-0000-0000-0000B11B0000}"/>
    <cellStyle name="Normal 12 3 3 4 3 2" xfId="5070" xr:uid="{00000000-0005-0000-0000-0000B21B0000}"/>
    <cellStyle name="Normal 12 3 3 4 3 2 2" xfId="48043" xr:uid="{00000000-0005-0000-0000-0000B31B0000}"/>
    <cellStyle name="Normal 12 3 3 4 3 2 3" xfId="48044" xr:uid="{00000000-0005-0000-0000-0000B41B0000}"/>
    <cellStyle name="Normal 12 3 3 4 3 3" xfId="5071" xr:uid="{00000000-0005-0000-0000-0000B51B0000}"/>
    <cellStyle name="Normal 12 3 3 4 3 3 2" xfId="48045" xr:uid="{00000000-0005-0000-0000-0000B61B0000}"/>
    <cellStyle name="Normal 12 3 3 4 3 4" xfId="5072" xr:uid="{00000000-0005-0000-0000-0000B71B0000}"/>
    <cellStyle name="Normal 12 3 3 4 3 5" xfId="5073" xr:uid="{00000000-0005-0000-0000-0000B81B0000}"/>
    <cellStyle name="Normal 12 3 3 4 3 6" xfId="5074" xr:uid="{00000000-0005-0000-0000-0000B91B0000}"/>
    <cellStyle name="Normal 12 3 3 4 4" xfId="5075" xr:uid="{00000000-0005-0000-0000-0000BA1B0000}"/>
    <cellStyle name="Normal 12 3 3 4 4 2" xfId="48046" xr:uid="{00000000-0005-0000-0000-0000BB1B0000}"/>
    <cellStyle name="Normal 12 3 3 4 4 3" xfId="48047" xr:uid="{00000000-0005-0000-0000-0000BC1B0000}"/>
    <cellStyle name="Normal 12 3 3 4 5" xfId="5076" xr:uid="{00000000-0005-0000-0000-0000BD1B0000}"/>
    <cellStyle name="Normal 12 3 3 4 5 2" xfId="48048" xr:uid="{00000000-0005-0000-0000-0000BE1B0000}"/>
    <cellStyle name="Normal 12 3 3 4 6" xfId="5077" xr:uid="{00000000-0005-0000-0000-0000BF1B0000}"/>
    <cellStyle name="Normal 12 3 3 4 7" xfId="5078" xr:uid="{00000000-0005-0000-0000-0000C01B0000}"/>
    <cellStyle name="Normal 12 3 3 4 8" xfId="5079" xr:uid="{00000000-0005-0000-0000-0000C11B0000}"/>
    <cellStyle name="Normal 12 3 3 5" xfId="5080" xr:uid="{00000000-0005-0000-0000-0000C21B0000}"/>
    <cellStyle name="Normal 12 3 3 5 2" xfId="5081" xr:uid="{00000000-0005-0000-0000-0000C31B0000}"/>
    <cellStyle name="Normal 12 3 3 5 2 2" xfId="5082" xr:uid="{00000000-0005-0000-0000-0000C41B0000}"/>
    <cellStyle name="Normal 12 3 3 5 2 2 2" xfId="48049" xr:uid="{00000000-0005-0000-0000-0000C51B0000}"/>
    <cellStyle name="Normal 12 3 3 5 2 2 3" xfId="48050" xr:uid="{00000000-0005-0000-0000-0000C61B0000}"/>
    <cellStyle name="Normal 12 3 3 5 2 3" xfId="5083" xr:uid="{00000000-0005-0000-0000-0000C71B0000}"/>
    <cellStyle name="Normal 12 3 3 5 2 3 2" xfId="48051" xr:uid="{00000000-0005-0000-0000-0000C81B0000}"/>
    <cellStyle name="Normal 12 3 3 5 2 4" xfId="5084" xr:uid="{00000000-0005-0000-0000-0000C91B0000}"/>
    <cellStyle name="Normal 12 3 3 5 2 5" xfId="5085" xr:uid="{00000000-0005-0000-0000-0000CA1B0000}"/>
    <cellStyle name="Normal 12 3 3 5 2 6" xfId="5086" xr:uid="{00000000-0005-0000-0000-0000CB1B0000}"/>
    <cellStyle name="Normal 12 3 3 5 3" xfId="5087" xr:uid="{00000000-0005-0000-0000-0000CC1B0000}"/>
    <cellStyle name="Normal 12 3 3 5 3 2" xfId="48052" xr:uid="{00000000-0005-0000-0000-0000CD1B0000}"/>
    <cellStyle name="Normal 12 3 3 5 3 3" xfId="48053" xr:uid="{00000000-0005-0000-0000-0000CE1B0000}"/>
    <cellStyle name="Normal 12 3 3 5 4" xfId="5088" xr:uid="{00000000-0005-0000-0000-0000CF1B0000}"/>
    <cellStyle name="Normal 12 3 3 5 4 2" xfId="48054" xr:uid="{00000000-0005-0000-0000-0000D01B0000}"/>
    <cellStyle name="Normal 12 3 3 5 5" xfId="5089" xr:uid="{00000000-0005-0000-0000-0000D11B0000}"/>
    <cellStyle name="Normal 12 3 3 5 6" xfId="5090" xr:uid="{00000000-0005-0000-0000-0000D21B0000}"/>
    <cellStyle name="Normal 12 3 3 5 7" xfId="5091" xr:uid="{00000000-0005-0000-0000-0000D31B0000}"/>
    <cellStyle name="Normal 12 3 3 6" xfId="5092" xr:uid="{00000000-0005-0000-0000-0000D41B0000}"/>
    <cellStyle name="Normal 12 3 3 6 2" xfId="5093" xr:uid="{00000000-0005-0000-0000-0000D51B0000}"/>
    <cellStyle name="Normal 12 3 3 6 2 2" xfId="48055" xr:uid="{00000000-0005-0000-0000-0000D61B0000}"/>
    <cellStyle name="Normal 12 3 3 6 2 3" xfId="48056" xr:uid="{00000000-0005-0000-0000-0000D71B0000}"/>
    <cellStyle name="Normal 12 3 3 6 3" xfId="5094" xr:uid="{00000000-0005-0000-0000-0000D81B0000}"/>
    <cellStyle name="Normal 12 3 3 6 3 2" xfId="48057" xr:uid="{00000000-0005-0000-0000-0000D91B0000}"/>
    <cellStyle name="Normal 12 3 3 6 4" xfId="5095" xr:uid="{00000000-0005-0000-0000-0000DA1B0000}"/>
    <cellStyle name="Normal 12 3 3 6 5" xfId="5096" xr:uid="{00000000-0005-0000-0000-0000DB1B0000}"/>
    <cellStyle name="Normal 12 3 3 6 6" xfId="5097" xr:uid="{00000000-0005-0000-0000-0000DC1B0000}"/>
    <cellStyle name="Normal 12 3 3 7" xfId="5098" xr:uid="{00000000-0005-0000-0000-0000DD1B0000}"/>
    <cellStyle name="Normal 12 3 3 7 2" xfId="48058" xr:uid="{00000000-0005-0000-0000-0000DE1B0000}"/>
    <cellStyle name="Normal 12 3 3 7 3" xfId="48059" xr:uid="{00000000-0005-0000-0000-0000DF1B0000}"/>
    <cellStyle name="Normal 12 3 3 8" xfId="5099" xr:uid="{00000000-0005-0000-0000-0000E01B0000}"/>
    <cellStyle name="Normal 12 3 3 8 2" xfId="48060" xr:uid="{00000000-0005-0000-0000-0000E11B0000}"/>
    <cellStyle name="Normal 12 3 3 9" xfId="5100" xr:uid="{00000000-0005-0000-0000-0000E21B0000}"/>
    <cellStyle name="Normal 12 3 4" xfId="5101" xr:uid="{00000000-0005-0000-0000-0000E31B0000}"/>
    <cellStyle name="Normal 12 3 4 10" xfId="5102" xr:uid="{00000000-0005-0000-0000-0000E41B0000}"/>
    <cellStyle name="Normal 12 3 4 11" xfId="5103" xr:uid="{00000000-0005-0000-0000-0000E51B0000}"/>
    <cellStyle name="Normal 12 3 4 12" xfId="5104" xr:uid="{00000000-0005-0000-0000-0000E61B0000}"/>
    <cellStyle name="Normal 12 3 4 13" xfId="5105" xr:uid="{00000000-0005-0000-0000-0000E71B0000}"/>
    <cellStyle name="Normal 12 3 4 14" xfId="5106" xr:uid="{00000000-0005-0000-0000-0000E81B0000}"/>
    <cellStyle name="Normal 12 3 4 2" xfId="5107" xr:uid="{00000000-0005-0000-0000-0000E91B0000}"/>
    <cellStyle name="Normal 12 3 4 2 2" xfId="5108" xr:uid="{00000000-0005-0000-0000-0000EA1B0000}"/>
    <cellStyle name="Normal 12 3 4 2 2 2" xfId="5109" xr:uid="{00000000-0005-0000-0000-0000EB1B0000}"/>
    <cellStyle name="Normal 12 3 4 2 2 2 2" xfId="5110" xr:uid="{00000000-0005-0000-0000-0000EC1B0000}"/>
    <cellStyle name="Normal 12 3 4 2 2 2 2 2" xfId="48061" xr:uid="{00000000-0005-0000-0000-0000ED1B0000}"/>
    <cellStyle name="Normal 12 3 4 2 2 2 2 3" xfId="48062" xr:uid="{00000000-0005-0000-0000-0000EE1B0000}"/>
    <cellStyle name="Normal 12 3 4 2 2 2 3" xfId="5111" xr:uid="{00000000-0005-0000-0000-0000EF1B0000}"/>
    <cellStyle name="Normal 12 3 4 2 2 2 3 2" xfId="48063" xr:uid="{00000000-0005-0000-0000-0000F01B0000}"/>
    <cellStyle name="Normal 12 3 4 2 2 2 4" xfId="5112" xr:uid="{00000000-0005-0000-0000-0000F11B0000}"/>
    <cellStyle name="Normal 12 3 4 2 2 2 5" xfId="5113" xr:uid="{00000000-0005-0000-0000-0000F21B0000}"/>
    <cellStyle name="Normal 12 3 4 2 2 2 6" xfId="5114" xr:uid="{00000000-0005-0000-0000-0000F31B0000}"/>
    <cellStyle name="Normal 12 3 4 2 2 3" xfId="5115" xr:uid="{00000000-0005-0000-0000-0000F41B0000}"/>
    <cellStyle name="Normal 12 3 4 2 2 3 2" xfId="48064" xr:uid="{00000000-0005-0000-0000-0000F51B0000}"/>
    <cellStyle name="Normal 12 3 4 2 2 3 3" xfId="48065" xr:uid="{00000000-0005-0000-0000-0000F61B0000}"/>
    <cellStyle name="Normal 12 3 4 2 2 4" xfId="5116" xr:uid="{00000000-0005-0000-0000-0000F71B0000}"/>
    <cellStyle name="Normal 12 3 4 2 2 4 2" xfId="48066" xr:uid="{00000000-0005-0000-0000-0000F81B0000}"/>
    <cellStyle name="Normal 12 3 4 2 2 5" xfId="5117" xr:uid="{00000000-0005-0000-0000-0000F91B0000}"/>
    <cellStyle name="Normal 12 3 4 2 2 6" xfId="5118" xr:uid="{00000000-0005-0000-0000-0000FA1B0000}"/>
    <cellStyle name="Normal 12 3 4 2 2 7" xfId="5119" xr:uid="{00000000-0005-0000-0000-0000FB1B0000}"/>
    <cellStyle name="Normal 12 3 4 2 3" xfId="5120" xr:uid="{00000000-0005-0000-0000-0000FC1B0000}"/>
    <cellStyle name="Normal 12 3 4 2 3 2" xfId="5121" xr:uid="{00000000-0005-0000-0000-0000FD1B0000}"/>
    <cellStyle name="Normal 12 3 4 2 3 2 2" xfId="48067" xr:uid="{00000000-0005-0000-0000-0000FE1B0000}"/>
    <cellStyle name="Normal 12 3 4 2 3 2 3" xfId="48068" xr:uid="{00000000-0005-0000-0000-0000FF1B0000}"/>
    <cellStyle name="Normal 12 3 4 2 3 3" xfId="5122" xr:uid="{00000000-0005-0000-0000-0000001C0000}"/>
    <cellStyle name="Normal 12 3 4 2 3 3 2" xfId="48069" xr:uid="{00000000-0005-0000-0000-0000011C0000}"/>
    <cellStyle name="Normal 12 3 4 2 3 4" xfId="5123" xr:uid="{00000000-0005-0000-0000-0000021C0000}"/>
    <cellStyle name="Normal 12 3 4 2 3 5" xfId="5124" xr:uid="{00000000-0005-0000-0000-0000031C0000}"/>
    <cellStyle name="Normal 12 3 4 2 3 6" xfId="5125" xr:uid="{00000000-0005-0000-0000-0000041C0000}"/>
    <cellStyle name="Normal 12 3 4 2 4" xfId="5126" xr:uid="{00000000-0005-0000-0000-0000051C0000}"/>
    <cellStyle name="Normal 12 3 4 2 4 2" xfId="48070" xr:uid="{00000000-0005-0000-0000-0000061C0000}"/>
    <cellStyle name="Normal 12 3 4 2 4 3" xfId="48071" xr:uid="{00000000-0005-0000-0000-0000071C0000}"/>
    <cellStyle name="Normal 12 3 4 2 5" xfId="5127" xr:uid="{00000000-0005-0000-0000-0000081C0000}"/>
    <cellStyle name="Normal 12 3 4 2 5 2" xfId="48072" xr:uid="{00000000-0005-0000-0000-0000091C0000}"/>
    <cellStyle name="Normal 12 3 4 2 6" xfId="5128" xr:uid="{00000000-0005-0000-0000-00000A1C0000}"/>
    <cellStyle name="Normal 12 3 4 2 7" xfId="5129" xr:uid="{00000000-0005-0000-0000-00000B1C0000}"/>
    <cellStyle name="Normal 12 3 4 2 8" xfId="5130" xr:uid="{00000000-0005-0000-0000-00000C1C0000}"/>
    <cellStyle name="Normal 12 3 4 2 9" xfId="5131" xr:uid="{00000000-0005-0000-0000-00000D1C0000}"/>
    <cellStyle name="Normal 12 3 4 3" xfId="5132" xr:uid="{00000000-0005-0000-0000-00000E1C0000}"/>
    <cellStyle name="Normal 12 3 4 3 2" xfId="5133" xr:uid="{00000000-0005-0000-0000-00000F1C0000}"/>
    <cellStyle name="Normal 12 3 4 3 2 2" xfId="5134" xr:uid="{00000000-0005-0000-0000-0000101C0000}"/>
    <cellStyle name="Normal 12 3 4 3 2 2 2" xfId="5135" xr:uid="{00000000-0005-0000-0000-0000111C0000}"/>
    <cellStyle name="Normal 12 3 4 3 2 2 2 2" xfId="48073" xr:uid="{00000000-0005-0000-0000-0000121C0000}"/>
    <cellStyle name="Normal 12 3 4 3 2 2 2 3" xfId="48074" xr:uid="{00000000-0005-0000-0000-0000131C0000}"/>
    <cellStyle name="Normal 12 3 4 3 2 2 3" xfId="5136" xr:uid="{00000000-0005-0000-0000-0000141C0000}"/>
    <cellStyle name="Normal 12 3 4 3 2 2 3 2" xfId="48075" xr:uid="{00000000-0005-0000-0000-0000151C0000}"/>
    <cellStyle name="Normal 12 3 4 3 2 2 4" xfId="5137" xr:uid="{00000000-0005-0000-0000-0000161C0000}"/>
    <cellStyle name="Normal 12 3 4 3 2 2 5" xfId="5138" xr:uid="{00000000-0005-0000-0000-0000171C0000}"/>
    <cellStyle name="Normal 12 3 4 3 2 2 6" xfId="5139" xr:uid="{00000000-0005-0000-0000-0000181C0000}"/>
    <cellStyle name="Normal 12 3 4 3 2 3" xfId="5140" xr:uid="{00000000-0005-0000-0000-0000191C0000}"/>
    <cellStyle name="Normal 12 3 4 3 2 3 2" xfId="48076" xr:uid="{00000000-0005-0000-0000-00001A1C0000}"/>
    <cellStyle name="Normal 12 3 4 3 2 3 3" xfId="48077" xr:uid="{00000000-0005-0000-0000-00001B1C0000}"/>
    <cellStyle name="Normal 12 3 4 3 2 4" xfId="5141" xr:uid="{00000000-0005-0000-0000-00001C1C0000}"/>
    <cellStyle name="Normal 12 3 4 3 2 4 2" xfId="48078" xr:uid="{00000000-0005-0000-0000-00001D1C0000}"/>
    <cellStyle name="Normal 12 3 4 3 2 5" xfId="5142" xr:uid="{00000000-0005-0000-0000-00001E1C0000}"/>
    <cellStyle name="Normal 12 3 4 3 2 6" xfId="5143" xr:uid="{00000000-0005-0000-0000-00001F1C0000}"/>
    <cellStyle name="Normal 12 3 4 3 2 7" xfId="5144" xr:uid="{00000000-0005-0000-0000-0000201C0000}"/>
    <cellStyle name="Normal 12 3 4 3 3" xfId="5145" xr:uid="{00000000-0005-0000-0000-0000211C0000}"/>
    <cellStyle name="Normal 12 3 4 3 3 2" xfId="5146" xr:uid="{00000000-0005-0000-0000-0000221C0000}"/>
    <cellStyle name="Normal 12 3 4 3 3 2 2" xfId="48079" xr:uid="{00000000-0005-0000-0000-0000231C0000}"/>
    <cellStyle name="Normal 12 3 4 3 3 2 3" xfId="48080" xr:uid="{00000000-0005-0000-0000-0000241C0000}"/>
    <cellStyle name="Normal 12 3 4 3 3 3" xfId="5147" xr:uid="{00000000-0005-0000-0000-0000251C0000}"/>
    <cellStyle name="Normal 12 3 4 3 3 3 2" xfId="48081" xr:uid="{00000000-0005-0000-0000-0000261C0000}"/>
    <cellStyle name="Normal 12 3 4 3 3 4" xfId="5148" xr:uid="{00000000-0005-0000-0000-0000271C0000}"/>
    <cellStyle name="Normal 12 3 4 3 3 5" xfId="5149" xr:uid="{00000000-0005-0000-0000-0000281C0000}"/>
    <cellStyle name="Normal 12 3 4 3 3 6" xfId="5150" xr:uid="{00000000-0005-0000-0000-0000291C0000}"/>
    <cellStyle name="Normal 12 3 4 3 4" xfId="5151" xr:uid="{00000000-0005-0000-0000-00002A1C0000}"/>
    <cellStyle name="Normal 12 3 4 3 4 2" xfId="48082" xr:uid="{00000000-0005-0000-0000-00002B1C0000}"/>
    <cellStyle name="Normal 12 3 4 3 4 3" xfId="48083" xr:uid="{00000000-0005-0000-0000-00002C1C0000}"/>
    <cellStyle name="Normal 12 3 4 3 5" xfId="5152" xr:uid="{00000000-0005-0000-0000-00002D1C0000}"/>
    <cellStyle name="Normal 12 3 4 3 5 2" xfId="48084" xr:uid="{00000000-0005-0000-0000-00002E1C0000}"/>
    <cellStyle name="Normal 12 3 4 3 6" xfId="5153" xr:uid="{00000000-0005-0000-0000-00002F1C0000}"/>
    <cellStyle name="Normal 12 3 4 3 7" xfId="5154" xr:uid="{00000000-0005-0000-0000-0000301C0000}"/>
    <cellStyle name="Normal 12 3 4 3 8" xfId="5155" xr:uid="{00000000-0005-0000-0000-0000311C0000}"/>
    <cellStyle name="Normal 12 3 4 4" xfId="5156" xr:uid="{00000000-0005-0000-0000-0000321C0000}"/>
    <cellStyle name="Normal 12 3 4 4 2" xfId="5157" xr:uid="{00000000-0005-0000-0000-0000331C0000}"/>
    <cellStyle name="Normal 12 3 4 4 2 2" xfId="5158" xr:uid="{00000000-0005-0000-0000-0000341C0000}"/>
    <cellStyle name="Normal 12 3 4 4 2 2 2" xfId="48085" xr:uid="{00000000-0005-0000-0000-0000351C0000}"/>
    <cellStyle name="Normal 12 3 4 4 2 2 3" xfId="48086" xr:uid="{00000000-0005-0000-0000-0000361C0000}"/>
    <cellStyle name="Normal 12 3 4 4 2 3" xfId="5159" xr:uid="{00000000-0005-0000-0000-0000371C0000}"/>
    <cellStyle name="Normal 12 3 4 4 2 3 2" xfId="48087" xr:uid="{00000000-0005-0000-0000-0000381C0000}"/>
    <cellStyle name="Normal 12 3 4 4 2 4" xfId="5160" xr:uid="{00000000-0005-0000-0000-0000391C0000}"/>
    <cellStyle name="Normal 12 3 4 4 2 5" xfId="5161" xr:uid="{00000000-0005-0000-0000-00003A1C0000}"/>
    <cellStyle name="Normal 12 3 4 4 2 6" xfId="5162" xr:uid="{00000000-0005-0000-0000-00003B1C0000}"/>
    <cellStyle name="Normal 12 3 4 4 3" xfId="5163" xr:uid="{00000000-0005-0000-0000-00003C1C0000}"/>
    <cellStyle name="Normal 12 3 4 4 3 2" xfId="48088" xr:uid="{00000000-0005-0000-0000-00003D1C0000}"/>
    <cellStyle name="Normal 12 3 4 4 3 3" xfId="48089" xr:uid="{00000000-0005-0000-0000-00003E1C0000}"/>
    <cellStyle name="Normal 12 3 4 4 4" xfId="5164" xr:uid="{00000000-0005-0000-0000-00003F1C0000}"/>
    <cellStyle name="Normal 12 3 4 4 4 2" xfId="48090" xr:uid="{00000000-0005-0000-0000-0000401C0000}"/>
    <cellStyle name="Normal 12 3 4 4 5" xfId="5165" xr:uid="{00000000-0005-0000-0000-0000411C0000}"/>
    <cellStyle name="Normal 12 3 4 4 6" xfId="5166" xr:uid="{00000000-0005-0000-0000-0000421C0000}"/>
    <cellStyle name="Normal 12 3 4 4 7" xfId="5167" xr:uid="{00000000-0005-0000-0000-0000431C0000}"/>
    <cellStyle name="Normal 12 3 4 5" xfId="5168" xr:uid="{00000000-0005-0000-0000-0000441C0000}"/>
    <cellStyle name="Normal 12 3 4 5 2" xfId="5169" xr:uid="{00000000-0005-0000-0000-0000451C0000}"/>
    <cellStyle name="Normal 12 3 4 5 2 2" xfId="48091" xr:uid="{00000000-0005-0000-0000-0000461C0000}"/>
    <cellStyle name="Normal 12 3 4 5 2 3" xfId="48092" xr:uid="{00000000-0005-0000-0000-0000471C0000}"/>
    <cellStyle name="Normal 12 3 4 5 3" xfId="5170" xr:uid="{00000000-0005-0000-0000-0000481C0000}"/>
    <cellStyle name="Normal 12 3 4 5 3 2" xfId="48093" xr:uid="{00000000-0005-0000-0000-0000491C0000}"/>
    <cellStyle name="Normal 12 3 4 5 4" xfId="5171" xr:uid="{00000000-0005-0000-0000-00004A1C0000}"/>
    <cellStyle name="Normal 12 3 4 5 5" xfId="5172" xr:uid="{00000000-0005-0000-0000-00004B1C0000}"/>
    <cellStyle name="Normal 12 3 4 5 6" xfId="5173" xr:uid="{00000000-0005-0000-0000-00004C1C0000}"/>
    <cellStyle name="Normal 12 3 4 6" xfId="5174" xr:uid="{00000000-0005-0000-0000-00004D1C0000}"/>
    <cellStyle name="Normal 12 3 4 6 2" xfId="48094" xr:uid="{00000000-0005-0000-0000-00004E1C0000}"/>
    <cellStyle name="Normal 12 3 4 6 3" xfId="48095" xr:uid="{00000000-0005-0000-0000-00004F1C0000}"/>
    <cellStyle name="Normal 12 3 4 7" xfId="5175" xr:uid="{00000000-0005-0000-0000-0000501C0000}"/>
    <cellStyle name="Normal 12 3 4 7 2" xfId="48096" xr:uid="{00000000-0005-0000-0000-0000511C0000}"/>
    <cellStyle name="Normal 12 3 4 8" xfId="5176" xr:uid="{00000000-0005-0000-0000-0000521C0000}"/>
    <cellStyle name="Normal 12 3 4 9" xfId="5177" xr:uid="{00000000-0005-0000-0000-0000531C0000}"/>
    <cellStyle name="Normal 12 3 5" xfId="5178" xr:uid="{00000000-0005-0000-0000-0000541C0000}"/>
    <cellStyle name="Normal 12 3 5 10" xfId="5179" xr:uid="{00000000-0005-0000-0000-0000551C0000}"/>
    <cellStyle name="Normal 12 3 5 11" xfId="5180" xr:uid="{00000000-0005-0000-0000-0000561C0000}"/>
    <cellStyle name="Normal 12 3 5 12" xfId="5181" xr:uid="{00000000-0005-0000-0000-0000571C0000}"/>
    <cellStyle name="Normal 12 3 5 13" xfId="5182" xr:uid="{00000000-0005-0000-0000-0000581C0000}"/>
    <cellStyle name="Normal 12 3 5 14" xfId="5183" xr:uid="{00000000-0005-0000-0000-0000591C0000}"/>
    <cellStyle name="Normal 12 3 5 2" xfId="5184" xr:uid="{00000000-0005-0000-0000-00005A1C0000}"/>
    <cellStyle name="Normal 12 3 5 2 2" xfId="5185" xr:uid="{00000000-0005-0000-0000-00005B1C0000}"/>
    <cellStyle name="Normal 12 3 5 2 2 2" xfId="5186" xr:uid="{00000000-0005-0000-0000-00005C1C0000}"/>
    <cellStyle name="Normal 12 3 5 2 2 2 2" xfId="5187" xr:uid="{00000000-0005-0000-0000-00005D1C0000}"/>
    <cellStyle name="Normal 12 3 5 2 2 2 2 2" xfId="48097" xr:uid="{00000000-0005-0000-0000-00005E1C0000}"/>
    <cellStyle name="Normal 12 3 5 2 2 2 2 3" xfId="48098" xr:uid="{00000000-0005-0000-0000-00005F1C0000}"/>
    <cellStyle name="Normal 12 3 5 2 2 2 3" xfId="5188" xr:uid="{00000000-0005-0000-0000-0000601C0000}"/>
    <cellStyle name="Normal 12 3 5 2 2 2 3 2" xfId="48099" xr:uid="{00000000-0005-0000-0000-0000611C0000}"/>
    <cellStyle name="Normal 12 3 5 2 2 2 4" xfId="5189" xr:uid="{00000000-0005-0000-0000-0000621C0000}"/>
    <cellStyle name="Normal 12 3 5 2 2 2 5" xfId="5190" xr:uid="{00000000-0005-0000-0000-0000631C0000}"/>
    <cellStyle name="Normal 12 3 5 2 2 2 6" xfId="5191" xr:uid="{00000000-0005-0000-0000-0000641C0000}"/>
    <cellStyle name="Normal 12 3 5 2 2 3" xfId="5192" xr:uid="{00000000-0005-0000-0000-0000651C0000}"/>
    <cellStyle name="Normal 12 3 5 2 2 3 2" xfId="48100" xr:uid="{00000000-0005-0000-0000-0000661C0000}"/>
    <cellStyle name="Normal 12 3 5 2 2 3 3" xfId="48101" xr:uid="{00000000-0005-0000-0000-0000671C0000}"/>
    <cellStyle name="Normal 12 3 5 2 2 4" xfId="5193" xr:uid="{00000000-0005-0000-0000-0000681C0000}"/>
    <cellStyle name="Normal 12 3 5 2 2 4 2" xfId="48102" xr:uid="{00000000-0005-0000-0000-0000691C0000}"/>
    <cellStyle name="Normal 12 3 5 2 2 5" xfId="5194" xr:uid="{00000000-0005-0000-0000-00006A1C0000}"/>
    <cellStyle name="Normal 12 3 5 2 2 6" xfId="5195" xr:uid="{00000000-0005-0000-0000-00006B1C0000}"/>
    <cellStyle name="Normal 12 3 5 2 2 7" xfId="5196" xr:uid="{00000000-0005-0000-0000-00006C1C0000}"/>
    <cellStyle name="Normal 12 3 5 2 3" xfId="5197" xr:uid="{00000000-0005-0000-0000-00006D1C0000}"/>
    <cellStyle name="Normal 12 3 5 2 3 2" xfId="5198" xr:uid="{00000000-0005-0000-0000-00006E1C0000}"/>
    <cellStyle name="Normal 12 3 5 2 3 2 2" xfId="48103" xr:uid="{00000000-0005-0000-0000-00006F1C0000}"/>
    <cellStyle name="Normal 12 3 5 2 3 2 3" xfId="48104" xr:uid="{00000000-0005-0000-0000-0000701C0000}"/>
    <cellStyle name="Normal 12 3 5 2 3 3" xfId="5199" xr:uid="{00000000-0005-0000-0000-0000711C0000}"/>
    <cellStyle name="Normal 12 3 5 2 3 3 2" xfId="48105" xr:uid="{00000000-0005-0000-0000-0000721C0000}"/>
    <cellStyle name="Normal 12 3 5 2 3 4" xfId="5200" xr:uid="{00000000-0005-0000-0000-0000731C0000}"/>
    <cellStyle name="Normal 12 3 5 2 3 5" xfId="5201" xr:uid="{00000000-0005-0000-0000-0000741C0000}"/>
    <cellStyle name="Normal 12 3 5 2 3 6" xfId="5202" xr:uid="{00000000-0005-0000-0000-0000751C0000}"/>
    <cellStyle name="Normal 12 3 5 2 4" xfId="5203" xr:uid="{00000000-0005-0000-0000-0000761C0000}"/>
    <cellStyle name="Normal 12 3 5 2 4 2" xfId="48106" xr:uid="{00000000-0005-0000-0000-0000771C0000}"/>
    <cellStyle name="Normal 12 3 5 2 4 3" xfId="48107" xr:uid="{00000000-0005-0000-0000-0000781C0000}"/>
    <cellStyle name="Normal 12 3 5 2 5" xfId="5204" xr:uid="{00000000-0005-0000-0000-0000791C0000}"/>
    <cellStyle name="Normal 12 3 5 2 5 2" xfId="48108" xr:uid="{00000000-0005-0000-0000-00007A1C0000}"/>
    <cellStyle name="Normal 12 3 5 2 6" xfId="5205" xr:uid="{00000000-0005-0000-0000-00007B1C0000}"/>
    <cellStyle name="Normal 12 3 5 2 7" xfId="5206" xr:uid="{00000000-0005-0000-0000-00007C1C0000}"/>
    <cellStyle name="Normal 12 3 5 2 8" xfId="5207" xr:uid="{00000000-0005-0000-0000-00007D1C0000}"/>
    <cellStyle name="Normal 12 3 5 2 9" xfId="5208" xr:uid="{00000000-0005-0000-0000-00007E1C0000}"/>
    <cellStyle name="Normal 12 3 5 3" xfId="5209" xr:uid="{00000000-0005-0000-0000-00007F1C0000}"/>
    <cellStyle name="Normal 12 3 5 3 2" xfId="5210" xr:uid="{00000000-0005-0000-0000-0000801C0000}"/>
    <cellStyle name="Normal 12 3 5 3 2 2" xfId="5211" xr:uid="{00000000-0005-0000-0000-0000811C0000}"/>
    <cellStyle name="Normal 12 3 5 3 2 2 2" xfId="5212" xr:uid="{00000000-0005-0000-0000-0000821C0000}"/>
    <cellStyle name="Normal 12 3 5 3 2 2 2 2" xfId="48109" xr:uid="{00000000-0005-0000-0000-0000831C0000}"/>
    <cellStyle name="Normal 12 3 5 3 2 2 2 3" xfId="48110" xr:uid="{00000000-0005-0000-0000-0000841C0000}"/>
    <cellStyle name="Normal 12 3 5 3 2 2 3" xfId="5213" xr:uid="{00000000-0005-0000-0000-0000851C0000}"/>
    <cellStyle name="Normal 12 3 5 3 2 2 3 2" xfId="48111" xr:uid="{00000000-0005-0000-0000-0000861C0000}"/>
    <cellStyle name="Normal 12 3 5 3 2 2 4" xfId="5214" xr:uid="{00000000-0005-0000-0000-0000871C0000}"/>
    <cellStyle name="Normal 12 3 5 3 2 2 5" xfId="5215" xr:uid="{00000000-0005-0000-0000-0000881C0000}"/>
    <cellStyle name="Normal 12 3 5 3 2 2 6" xfId="5216" xr:uid="{00000000-0005-0000-0000-0000891C0000}"/>
    <cellStyle name="Normal 12 3 5 3 2 3" xfId="5217" xr:uid="{00000000-0005-0000-0000-00008A1C0000}"/>
    <cellStyle name="Normal 12 3 5 3 2 3 2" xfId="48112" xr:uid="{00000000-0005-0000-0000-00008B1C0000}"/>
    <cellStyle name="Normal 12 3 5 3 2 3 3" xfId="48113" xr:uid="{00000000-0005-0000-0000-00008C1C0000}"/>
    <cellStyle name="Normal 12 3 5 3 2 4" xfId="5218" xr:uid="{00000000-0005-0000-0000-00008D1C0000}"/>
    <cellStyle name="Normal 12 3 5 3 2 4 2" xfId="48114" xr:uid="{00000000-0005-0000-0000-00008E1C0000}"/>
    <cellStyle name="Normal 12 3 5 3 2 5" xfId="5219" xr:uid="{00000000-0005-0000-0000-00008F1C0000}"/>
    <cellStyle name="Normal 12 3 5 3 2 6" xfId="5220" xr:uid="{00000000-0005-0000-0000-0000901C0000}"/>
    <cellStyle name="Normal 12 3 5 3 2 7" xfId="5221" xr:uid="{00000000-0005-0000-0000-0000911C0000}"/>
    <cellStyle name="Normal 12 3 5 3 3" xfId="5222" xr:uid="{00000000-0005-0000-0000-0000921C0000}"/>
    <cellStyle name="Normal 12 3 5 3 3 2" xfId="5223" xr:uid="{00000000-0005-0000-0000-0000931C0000}"/>
    <cellStyle name="Normal 12 3 5 3 3 2 2" xfId="48115" xr:uid="{00000000-0005-0000-0000-0000941C0000}"/>
    <cellStyle name="Normal 12 3 5 3 3 2 3" xfId="48116" xr:uid="{00000000-0005-0000-0000-0000951C0000}"/>
    <cellStyle name="Normal 12 3 5 3 3 3" xfId="5224" xr:uid="{00000000-0005-0000-0000-0000961C0000}"/>
    <cellStyle name="Normal 12 3 5 3 3 3 2" xfId="48117" xr:uid="{00000000-0005-0000-0000-0000971C0000}"/>
    <cellStyle name="Normal 12 3 5 3 3 4" xfId="5225" xr:uid="{00000000-0005-0000-0000-0000981C0000}"/>
    <cellStyle name="Normal 12 3 5 3 3 5" xfId="5226" xr:uid="{00000000-0005-0000-0000-0000991C0000}"/>
    <cellStyle name="Normal 12 3 5 3 3 6" xfId="5227" xr:uid="{00000000-0005-0000-0000-00009A1C0000}"/>
    <cellStyle name="Normal 12 3 5 3 4" xfId="5228" xr:uid="{00000000-0005-0000-0000-00009B1C0000}"/>
    <cellStyle name="Normal 12 3 5 3 4 2" xfId="48118" xr:uid="{00000000-0005-0000-0000-00009C1C0000}"/>
    <cellStyle name="Normal 12 3 5 3 4 3" xfId="48119" xr:uid="{00000000-0005-0000-0000-00009D1C0000}"/>
    <cellStyle name="Normal 12 3 5 3 5" xfId="5229" xr:uid="{00000000-0005-0000-0000-00009E1C0000}"/>
    <cellStyle name="Normal 12 3 5 3 5 2" xfId="48120" xr:uid="{00000000-0005-0000-0000-00009F1C0000}"/>
    <cellStyle name="Normal 12 3 5 3 6" xfId="5230" xr:uid="{00000000-0005-0000-0000-0000A01C0000}"/>
    <cellStyle name="Normal 12 3 5 3 7" xfId="5231" xr:uid="{00000000-0005-0000-0000-0000A11C0000}"/>
    <cellStyle name="Normal 12 3 5 3 8" xfId="5232" xr:uid="{00000000-0005-0000-0000-0000A21C0000}"/>
    <cellStyle name="Normal 12 3 5 4" xfId="5233" xr:uid="{00000000-0005-0000-0000-0000A31C0000}"/>
    <cellStyle name="Normal 12 3 5 4 2" xfId="5234" xr:uid="{00000000-0005-0000-0000-0000A41C0000}"/>
    <cellStyle name="Normal 12 3 5 4 2 2" xfId="5235" xr:uid="{00000000-0005-0000-0000-0000A51C0000}"/>
    <cellStyle name="Normal 12 3 5 4 2 2 2" xfId="48121" xr:uid="{00000000-0005-0000-0000-0000A61C0000}"/>
    <cellStyle name="Normal 12 3 5 4 2 2 3" xfId="48122" xr:uid="{00000000-0005-0000-0000-0000A71C0000}"/>
    <cellStyle name="Normal 12 3 5 4 2 3" xfId="5236" xr:uid="{00000000-0005-0000-0000-0000A81C0000}"/>
    <cellStyle name="Normal 12 3 5 4 2 3 2" xfId="48123" xr:uid="{00000000-0005-0000-0000-0000A91C0000}"/>
    <cellStyle name="Normal 12 3 5 4 2 4" xfId="5237" xr:uid="{00000000-0005-0000-0000-0000AA1C0000}"/>
    <cellStyle name="Normal 12 3 5 4 2 5" xfId="5238" xr:uid="{00000000-0005-0000-0000-0000AB1C0000}"/>
    <cellStyle name="Normal 12 3 5 4 2 6" xfId="5239" xr:uid="{00000000-0005-0000-0000-0000AC1C0000}"/>
    <cellStyle name="Normal 12 3 5 4 3" xfId="5240" xr:uid="{00000000-0005-0000-0000-0000AD1C0000}"/>
    <cellStyle name="Normal 12 3 5 4 3 2" xfId="48124" xr:uid="{00000000-0005-0000-0000-0000AE1C0000}"/>
    <cellStyle name="Normal 12 3 5 4 3 3" xfId="48125" xr:uid="{00000000-0005-0000-0000-0000AF1C0000}"/>
    <cellStyle name="Normal 12 3 5 4 4" xfId="5241" xr:uid="{00000000-0005-0000-0000-0000B01C0000}"/>
    <cellStyle name="Normal 12 3 5 4 4 2" xfId="48126" xr:uid="{00000000-0005-0000-0000-0000B11C0000}"/>
    <cellStyle name="Normal 12 3 5 4 5" xfId="5242" xr:uid="{00000000-0005-0000-0000-0000B21C0000}"/>
    <cellStyle name="Normal 12 3 5 4 6" xfId="5243" xr:uid="{00000000-0005-0000-0000-0000B31C0000}"/>
    <cellStyle name="Normal 12 3 5 4 7" xfId="5244" xr:uid="{00000000-0005-0000-0000-0000B41C0000}"/>
    <cellStyle name="Normal 12 3 5 5" xfId="5245" xr:uid="{00000000-0005-0000-0000-0000B51C0000}"/>
    <cellStyle name="Normal 12 3 5 5 2" xfId="5246" xr:uid="{00000000-0005-0000-0000-0000B61C0000}"/>
    <cellStyle name="Normal 12 3 5 5 2 2" xfId="48127" xr:uid="{00000000-0005-0000-0000-0000B71C0000}"/>
    <cellStyle name="Normal 12 3 5 5 2 3" xfId="48128" xr:uid="{00000000-0005-0000-0000-0000B81C0000}"/>
    <cellStyle name="Normal 12 3 5 5 3" xfId="5247" xr:uid="{00000000-0005-0000-0000-0000B91C0000}"/>
    <cellStyle name="Normal 12 3 5 5 3 2" xfId="48129" xr:uid="{00000000-0005-0000-0000-0000BA1C0000}"/>
    <cellStyle name="Normal 12 3 5 5 4" xfId="5248" xr:uid="{00000000-0005-0000-0000-0000BB1C0000}"/>
    <cellStyle name="Normal 12 3 5 5 5" xfId="5249" xr:uid="{00000000-0005-0000-0000-0000BC1C0000}"/>
    <cellStyle name="Normal 12 3 5 5 6" xfId="5250" xr:uid="{00000000-0005-0000-0000-0000BD1C0000}"/>
    <cellStyle name="Normal 12 3 5 6" xfId="5251" xr:uid="{00000000-0005-0000-0000-0000BE1C0000}"/>
    <cellStyle name="Normal 12 3 5 6 2" xfId="48130" xr:uid="{00000000-0005-0000-0000-0000BF1C0000}"/>
    <cellStyle name="Normal 12 3 5 6 3" xfId="48131" xr:uid="{00000000-0005-0000-0000-0000C01C0000}"/>
    <cellStyle name="Normal 12 3 5 7" xfId="5252" xr:uid="{00000000-0005-0000-0000-0000C11C0000}"/>
    <cellStyle name="Normal 12 3 5 7 2" xfId="48132" xr:uid="{00000000-0005-0000-0000-0000C21C0000}"/>
    <cellStyle name="Normal 12 3 5 8" xfId="5253" xr:uid="{00000000-0005-0000-0000-0000C31C0000}"/>
    <cellStyle name="Normal 12 3 5 9" xfId="5254" xr:uid="{00000000-0005-0000-0000-0000C41C0000}"/>
    <cellStyle name="Normal 12 3 6" xfId="5255" xr:uid="{00000000-0005-0000-0000-0000C51C0000}"/>
    <cellStyle name="Normal 12 3 6 10" xfId="5256" xr:uid="{00000000-0005-0000-0000-0000C61C0000}"/>
    <cellStyle name="Normal 12 3 6 11" xfId="5257" xr:uid="{00000000-0005-0000-0000-0000C71C0000}"/>
    <cellStyle name="Normal 12 3 6 12" xfId="5258" xr:uid="{00000000-0005-0000-0000-0000C81C0000}"/>
    <cellStyle name="Normal 12 3 6 13" xfId="5259" xr:uid="{00000000-0005-0000-0000-0000C91C0000}"/>
    <cellStyle name="Normal 12 3 6 2" xfId="5260" xr:uid="{00000000-0005-0000-0000-0000CA1C0000}"/>
    <cellStyle name="Normal 12 3 6 2 2" xfId="5261" xr:uid="{00000000-0005-0000-0000-0000CB1C0000}"/>
    <cellStyle name="Normal 12 3 6 2 2 2" xfId="5262" xr:uid="{00000000-0005-0000-0000-0000CC1C0000}"/>
    <cellStyle name="Normal 12 3 6 2 2 2 2" xfId="5263" xr:uid="{00000000-0005-0000-0000-0000CD1C0000}"/>
    <cellStyle name="Normal 12 3 6 2 2 2 2 2" xfId="48133" xr:uid="{00000000-0005-0000-0000-0000CE1C0000}"/>
    <cellStyle name="Normal 12 3 6 2 2 2 2 3" xfId="48134" xr:uid="{00000000-0005-0000-0000-0000CF1C0000}"/>
    <cellStyle name="Normal 12 3 6 2 2 2 3" xfId="5264" xr:uid="{00000000-0005-0000-0000-0000D01C0000}"/>
    <cellStyle name="Normal 12 3 6 2 2 2 3 2" xfId="48135" xr:uid="{00000000-0005-0000-0000-0000D11C0000}"/>
    <cellStyle name="Normal 12 3 6 2 2 2 4" xfId="5265" xr:uid="{00000000-0005-0000-0000-0000D21C0000}"/>
    <cellStyle name="Normal 12 3 6 2 2 2 5" xfId="5266" xr:uid="{00000000-0005-0000-0000-0000D31C0000}"/>
    <cellStyle name="Normal 12 3 6 2 2 2 6" xfId="5267" xr:uid="{00000000-0005-0000-0000-0000D41C0000}"/>
    <cellStyle name="Normal 12 3 6 2 2 3" xfId="5268" xr:uid="{00000000-0005-0000-0000-0000D51C0000}"/>
    <cellStyle name="Normal 12 3 6 2 2 3 2" xfId="48136" xr:uid="{00000000-0005-0000-0000-0000D61C0000}"/>
    <cellStyle name="Normal 12 3 6 2 2 3 3" xfId="48137" xr:uid="{00000000-0005-0000-0000-0000D71C0000}"/>
    <cellStyle name="Normal 12 3 6 2 2 4" xfId="5269" xr:uid="{00000000-0005-0000-0000-0000D81C0000}"/>
    <cellStyle name="Normal 12 3 6 2 2 4 2" xfId="48138" xr:uid="{00000000-0005-0000-0000-0000D91C0000}"/>
    <cellStyle name="Normal 12 3 6 2 2 5" xfId="5270" xr:uid="{00000000-0005-0000-0000-0000DA1C0000}"/>
    <cellStyle name="Normal 12 3 6 2 2 6" xfId="5271" xr:uid="{00000000-0005-0000-0000-0000DB1C0000}"/>
    <cellStyle name="Normal 12 3 6 2 2 7" xfId="5272" xr:uid="{00000000-0005-0000-0000-0000DC1C0000}"/>
    <cellStyle name="Normal 12 3 6 2 3" xfId="5273" xr:uid="{00000000-0005-0000-0000-0000DD1C0000}"/>
    <cellStyle name="Normal 12 3 6 2 3 2" xfId="5274" xr:uid="{00000000-0005-0000-0000-0000DE1C0000}"/>
    <cellStyle name="Normal 12 3 6 2 3 2 2" xfId="48139" xr:uid="{00000000-0005-0000-0000-0000DF1C0000}"/>
    <cellStyle name="Normal 12 3 6 2 3 2 3" xfId="48140" xr:uid="{00000000-0005-0000-0000-0000E01C0000}"/>
    <cellStyle name="Normal 12 3 6 2 3 3" xfId="5275" xr:uid="{00000000-0005-0000-0000-0000E11C0000}"/>
    <cellStyle name="Normal 12 3 6 2 3 3 2" xfId="48141" xr:uid="{00000000-0005-0000-0000-0000E21C0000}"/>
    <cellStyle name="Normal 12 3 6 2 3 4" xfId="5276" xr:uid="{00000000-0005-0000-0000-0000E31C0000}"/>
    <cellStyle name="Normal 12 3 6 2 3 5" xfId="5277" xr:uid="{00000000-0005-0000-0000-0000E41C0000}"/>
    <cellStyle name="Normal 12 3 6 2 3 6" xfId="5278" xr:uid="{00000000-0005-0000-0000-0000E51C0000}"/>
    <cellStyle name="Normal 12 3 6 2 4" xfId="5279" xr:uid="{00000000-0005-0000-0000-0000E61C0000}"/>
    <cellStyle name="Normal 12 3 6 2 4 2" xfId="48142" xr:uid="{00000000-0005-0000-0000-0000E71C0000}"/>
    <cellStyle name="Normal 12 3 6 2 4 3" xfId="48143" xr:uid="{00000000-0005-0000-0000-0000E81C0000}"/>
    <cellStyle name="Normal 12 3 6 2 5" xfId="5280" xr:uid="{00000000-0005-0000-0000-0000E91C0000}"/>
    <cellStyle name="Normal 12 3 6 2 5 2" xfId="48144" xr:uid="{00000000-0005-0000-0000-0000EA1C0000}"/>
    <cellStyle name="Normal 12 3 6 2 6" xfId="5281" xr:uid="{00000000-0005-0000-0000-0000EB1C0000}"/>
    <cellStyle name="Normal 12 3 6 2 7" xfId="5282" xr:uid="{00000000-0005-0000-0000-0000EC1C0000}"/>
    <cellStyle name="Normal 12 3 6 2 8" xfId="5283" xr:uid="{00000000-0005-0000-0000-0000ED1C0000}"/>
    <cellStyle name="Normal 12 3 6 2 9" xfId="5284" xr:uid="{00000000-0005-0000-0000-0000EE1C0000}"/>
    <cellStyle name="Normal 12 3 6 3" xfId="5285" xr:uid="{00000000-0005-0000-0000-0000EF1C0000}"/>
    <cellStyle name="Normal 12 3 6 3 2" xfId="5286" xr:uid="{00000000-0005-0000-0000-0000F01C0000}"/>
    <cellStyle name="Normal 12 3 6 3 2 2" xfId="5287" xr:uid="{00000000-0005-0000-0000-0000F11C0000}"/>
    <cellStyle name="Normal 12 3 6 3 2 2 2" xfId="48145" xr:uid="{00000000-0005-0000-0000-0000F21C0000}"/>
    <cellStyle name="Normal 12 3 6 3 2 2 3" xfId="48146" xr:uid="{00000000-0005-0000-0000-0000F31C0000}"/>
    <cellStyle name="Normal 12 3 6 3 2 3" xfId="5288" xr:uid="{00000000-0005-0000-0000-0000F41C0000}"/>
    <cellStyle name="Normal 12 3 6 3 2 3 2" xfId="48147" xr:uid="{00000000-0005-0000-0000-0000F51C0000}"/>
    <cellStyle name="Normal 12 3 6 3 2 4" xfId="5289" xr:uid="{00000000-0005-0000-0000-0000F61C0000}"/>
    <cellStyle name="Normal 12 3 6 3 2 5" xfId="5290" xr:uid="{00000000-0005-0000-0000-0000F71C0000}"/>
    <cellStyle name="Normal 12 3 6 3 2 6" xfId="5291" xr:uid="{00000000-0005-0000-0000-0000F81C0000}"/>
    <cellStyle name="Normal 12 3 6 3 3" xfId="5292" xr:uid="{00000000-0005-0000-0000-0000F91C0000}"/>
    <cellStyle name="Normal 12 3 6 3 3 2" xfId="48148" xr:uid="{00000000-0005-0000-0000-0000FA1C0000}"/>
    <cellStyle name="Normal 12 3 6 3 3 3" xfId="48149" xr:uid="{00000000-0005-0000-0000-0000FB1C0000}"/>
    <cellStyle name="Normal 12 3 6 3 4" xfId="5293" xr:uid="{00000000-0005-0000-0000-0000FC1C0000}"/>
    <cellStyle name="Normal 12 3 6 3 4 2" xfId="48150" xr:uid="{00000000-0005-0000-0000-0000FD1C0000}"/>
    <cellStyle name="Normal 12 3 6 3 5" xfId="5294" xr:uid="{00000000-0005-0000-0000-0000FE1C0000}"/>
    <cellStyle name="Normal 12 3 6 3 6" xfId="5295" xr:uid="{00000000-0005-0000-0000-0000FF1C0000}"/>
    <cellStyle name="Normal 12 3 6 3 7" xfId="5296" xr:uid="{00000000-0005-0000-0000-0000001D0000}"/>
    <cellStyle name="Normal 12 3 6 4" xfId="5297" xr:uid="{00000000-0005-0000-0000-0000011D0000}"/>
    <cellStyle name="Normal 12 3 6 4 2" xfId="5298" xr:uid="{00000000-0005-0000-0000-0000021D0000}"/>
    <cellStyle name="Normal 12 3 6 4 2 2" xfId="48151" xr:uid="{00000000-0005-0000-0000-0000031D0000}"/>
    <cellStyle name="Normal 12 3 6 4 2 3" xfId="48152" xr:uid="{00000000-0005-0000-0000-0000041D0000}"/>
    <cellStyle name="Normal 12 3 6 4 3" xfId="5299" xr:uid="{00000000-0005-0000-0000-0000051D0000}"/>
    <cellStyle name="Normal 12 3 6 4 3 2" xfId="48153" xr:uid="{00000000-0005-0000-0000-0000061D0000}"/>
    <cellStyle name="Normal 12 3 6 4 4" xfId="5300" xr:uid="{00000000-0005-0000-0000-0000071D0000}"/>
    <cellStyle name="Normal 12 3 6 4 5" xfId="5301" xr:uid="{00000000-0005-0000-0000-0000081D0000}"/>
    <cellStyle name="Normal 12 3 6 4 6" xfId="5302" xr:uid="{00000000-0005-0000-0000-0000091D0000}"/>
    <cellStyle name="Normal 12 3 6 5" xfId="5303" xr:uid="{00000000-0005-0000-0000-00000A1D0000}"/>
    <cellStyle name="Normal 12 3 6 5 2" xfId="48154" xr:uid="{00000000-0005-0000-0000-00000B1D0000}"/>
    <cellStyle name="Normal 12 3 6 5 3" xfId="48155" xr:uid="{00000000-0005-0000-0000-00000C1D0000}"/>
    <cellStyle name="Normal 12 3 6 6" xfId="5304" xr:uid="{00000000-0005-0000-0000-00000D1D0000}"/>
    <cellStyle name="Normal 12 3 6 6 2" xfId="48156" xr:uid="{00000000-0005-0000-0000-00000E1D0000}"/>
    <cellStyle name="Normal 12 3 6 7" xfId="5305" xr:uid="{00000000-0005-0000-0000-00000F1D0000}"/>
    <cellStyle name="Normal 12 3 6 8" xfId="5306" xr:uid="{00000000-0005-0000-0000-0000101D0000}"/>
    <cellStyle name="Normal 12 3 6 9" xfId="5307" xr:uid="{00000000-0005-0000-0000-0000111D0000}"/>
    <cellStyle name="Normal 12 3 7" xfId="5308" xr:uid="{00000000-0005-0000-0000-0000121D0000}"/>
    <cellStyle name="Normal 12 3 7 2" xfId="5309" xr:uid="{00000000-0005-0000-0000-0000131D0000}"/>
    <cellStyle name="Normal 12 3 7 2 2" xfId="5310" xr:uid="{00000000-0005-0000-0000-0000141D0000}"/>
    <cellStyle name="Normal 12 3 7 2 2 2" xfId="5311" xr:uid="{00000000-0005-0000-0000-0000151D0000}"/>
    <cellStyle name="Normal 12 3 7 2 2 2 2" xfId="48157" xr:uid="{00000000-0005-0000-0000-0000161D0000}"/>
    <cellStyle name="Normal 12 3 7 2 2 2 3" xfId="48158" xr:uid="{00000000-0005-0000-0000-0000171D0000}"/>
    <cellStyle name="Normal 12 3 7 2 2 3" xfId="5312" xr:uid="{00000000-0005-0000-0000-0000181D0000}"/>
    <cellStyle name="Normal 12 3 7 2 2 3 2" xfId="48159" xr:uid="{00000000-0005-0000-0000-0000191D0000}"/>
    <cellStyle name="Normal 12 3 7 2 2 4" xfId="5313" xr:uid="{00000000-0005-0000-0000-00001A1D0000}"/>
    <cellStyle name="Normal 12 3 7 2 2 5" xfId="5314" xr:uid="{00000000-0005-0000-0000-00001B1D0000}"/>
    <cellStyle name="Normal 12 3 7 2 2 6" xfId="5315" xr:uid="{00000000-0005-0000-0000-00001C1D0000}"/>
    <cellStyle name="Normal 12 3 7 2 3" xfId="5316" xr:uid="{00000000-0005-0000-0000-00001D1D0000}"/>
    <cellStyle name="Normal 12 3 7 2 3 2" xfId="48160" xr:uid="{00000000-0005-0000-0000-00001E1D0000}"/>
    <cellStyle name="Normal 12 3 7 2 3 3" xfId="48161" xr:uid="{00000000-0005-0000-0000-00001F1D0000}"/>
    <cellStyle name="Normal 12 3 7 2 4" xfId="5317" xr:uid="{00000000-0005-0000-0000-0000201D0000}"/>
    <cellStyle name="Normal 12 3 7 2 4 2" xfId="48162" xr:uid="{00000000-0005-0000-0000-0000211D0000}"/>
    <cellStyle name="Normal 12 3 7 2 5" xfId="5318" xr:uid="{00000000-0005-0000-0000-0000221D0000}"/>
    <cellStyle name="Normal 12 3 7 2 6" xfId="5319" xr:uid="{00000000-0005-0000-0000-0000231D0000}"/>
    <cellStyle name="Normal 12 3 7 2 7" xfId="5320" xr:uid="{00000000-0005-0000-0000-0000241D0000}"/>
    <cellStyle name="Normal 12 3 7 3" xfId="5321" xr:uid="{00000000-0005-0000-0000-0000251D0000}"/>
    <cellStyle name="Normal 12 3 7 3 2" xfId="5322" xr:uid="{00000000-0005-0000-0000-0000261D0000}"/>
    <cellStyle name="Normal 12 3 7 3 2 2" xfId="48163" xr:uid="{00000000-0005-0000-0000-0000271D0000}"/>
    <cellStyle name="Normal 12 3 7 3 2 3" xfId="48164" xr:uid="{00000000-0005-0000-0000-0000281D0000}"/>
    <cellStyle name="Normal 12 3 7 3 3" xfId="5323" xr:uid="{00000000-0005-0000-0000-0000291D0000}"/>
    <cellStyle name="Normal 12 3 7 3 3 2" xfId="48165" xr:uid="{00000000-0005-0000-0000-00002A1D0000}"/>
    <cellStyle name="Normal 12 3 7 3 4" xfId="5324" xr:uid="{00000000-0005-0000-0000-00002B1D0000}"/>
    <cellStyle name="Normal 12 3 7 3 5" xfId="5325" xr:uid="{00000000-0005-0000-0000-00002C1D0000}"/>
    <cellStyle name="Normal 12 3 7 3 6" xfId="5326" xr:uid="{00000000-0005-0000-0000-00002D1D0000}"/>
    <cellStyle name="Normal 12 3 7 4" xfId="5327" xr:uid="{00000000-0005-0000-0000-00002E1D0000}"/>
    <cellStyle name="Normal 12 3 7 4 2" xfId="48166" xr:uid="{00000000-0005-0000-0000-00002F1D0000}"/>
    <cellStyle name="Normal 12 3 7 4 3" xfId="48167" xr:uid="{00000000-0005-0000-0000-0000301D0000}"/>
    <cellStyle name="Normal 12 3 7 5" xfId="5328" xr:uid="{00000000-0005-0000-0000-0000311D0000}"/>
    <cellStyle name="Normal 12 3 7 5 2" xfId="48168" xr:uid="{00000000-0005-0000-0000-0000321D0000}"/>
    <cellStyle name="Normal 12 3 7 6" xfId="5329" xr:uid="{00000000-0005-0000-0000-0000331D0000}"/>
    <cellStyle name="Normal 12 3 7 7" xfId="5330" xr:uid="{00000000-0005-0000-0000-0000341D0000}"/>
    <cellStyle name="Normal 12 3 7 8" xfId="5331" xr:uid="{00000000-0005-0000-0000-0000351D0000}"/>
    <cellStyle name="Normal 12 3 7 9" xfId="5332" xr:uid="{00000000-0005-0000-0000-0000361D0000}"/>
    <cellStyle name="Normal 12 3 8" xfId="5333" xr:uid="{00000000-0005-0000-0000-0000371D0000}"/>
    <cellStyle name="Normal 12 3 8 2" xfId="5334" xr:uid="{00000000-0005-0000-0000-0000381D0000}"/>
    <cellStyle name="Normal 12 3 8 2 2" xfId="5335" xr:uid="{00000000-0005-0000-0000-0000391D0000}"/>
    <cellStyle name="Normal 12 3 8 2 2 2" xfId="5336" xr:uid="{00000000-0005-0000-0000-00003A1D0000}"/>
    <cellStyle name="Normal 12 3 8 2 2 2 2" xfId="48169" xr:uid="{00000000-0005-0000-0000-00003B1D0000}"/>
    <cellStyle name="Normal 12 3 8 2 2 2 3" xfId="48170" xr:uid="{00000000-0005-0000-0000-00003C1D0000}"/>
    <cellStyle name="Normal 12 3 8 2 2 3" xfId="5337" xr:uid="{00000000-0005-0000-0000-00003D1D0000}"/>
    <cellStyle name="Normal 12 3 8 2 2 3 2" xfId="48171" xr:uid="{00000000-0005-0000-0000-00003E1D0000}"/>
    <cellStyle name="Normal 12 3 8 2 2 4" xfId="5338" xr:uid="{00000000-0005-0000-0000-00003F1D0000}"/>
    <cellStyle name="Normal 12 3 8 2 2 5" xfId="5339" xr:uid="{00000000-0005-0000-0000-0000401D0000}"/>
    <cellStyle name="Normal 12 3 8 2 2 6" xfId="5340" xr:uid="{00000000-0005-0000-0000-0000411D0000}"/>
    <cellStyle name="Normal 12 3 8 2 3" xfId="5341" xr:uid="{00000000-0005-0000-0000-0000421D0000}"/>
    <cellStyle name="Normal 12 3 8 2 3 2" xfId="48172" xr:uid="{00000000-0005-0000-0000-0000431D0000}"/>
    <cellStyle name="Normal 12 3 8 2 3 3" xfId="48173" xr:uid="{00000000-0005-0000-0000-0000441D0000}"/>
    <cellStyle name="Normal 12 3 8 2 4" xfId="5342" xr:uid="{00000000-0005-0000-0000-0000451D0000}"/>
    <cellStyle name="Normal 12 3 8 2 4 2" xfId="48174" xr:uid="{00000000-0005-0000-0000-0000461D0000}"/>
    <cellStyle name="Normal 12 3 8 2 5" xfId="5343" xr:uid="{00000000-0005-0000-0000-0000471D0000}"/>
    <cellStyle name="Normal 12 3 8 2 6" xfId="5344" xr:uid="{00000000-0005-0000-0000-0000481D0000}"/>
    <cellStyle name="Normal 12 3 8 2 7" xfId="5345" xr:uid="{00000000-0005-0000-0000-0000491D0000}"/>
    <cellStyle name="Normal 12 3 8 3" xfId="5346" xr:uid="{00000000-0005-0000-0000-00004A1D0000}"/>
    <cellStyle name="Normal 12 3 8 3 2" xfId="5347" xr:uid="{00000000-0005-0000-0000-00004B1D0000}"/>
    <cellStyle name="Normal 12 3 8 3 2 2" xfId="48175" xr:uid="{00000000-0005-0000-0000-00004C1D0000}"/>
    <cellStyle name="Normal 12 3 8 3 2 3" xfId="48176" xr:uid="{00000000-0005-0000-0000-00004D1D0000}"/>
    <cellStyle name="Normal 12 3 8 3 3" xfId="5348" xr:uid="{00000000-0005-0000-0000-00004E1D0000}"/>
    <cellStyle name="Normal 12 3 8 3 3 2" xfId="48177" xr:uid="{00000000-0005-0000-0000-00004F1D0000}"/>
    <cellStyle name="Normal 12 3 8 3 4" xfId="5349" xr:uid="{00000000-0005-0000-0000-0000501D0000}"/>
    <cellStyle name="Normal 12 3 8 3 5" xfId="5350" xr:uid="{00000000-0005-0000-0000-0000511D0000}"/>
    <cellStyle name="Normal 12 3 8 3 6" xfId="5351" xr:uid="{00000000-0005-0000-0000-0000521D0000}"/>
    <cellStyle name="Normal 12 3 8 4" xfId="5352" xr:uid="{00000000-0005-0000-0000-0000531D0000}"/>
    <cellStyle name="Normal 12 3 8 4 2" xfId="48178" xr:uid="{00000000-0005-0000-0000-0000541D0000}"/>
    <cellStyle name="Normal 12 3 8 4 3" xfId="48179" xr:uid="{00000000-0005-0000-0000-0000551D0000}"/>
    <cellStyle name="Normal 12 3 8 5" xfId="5353" xr:uid="{00000000-0005-0000-0000-0000561D0000}"/>
    <cellStyle name="Normal 12 3 8 5 2" xfId="48180" xr:uid="{00000000-0005-0000-0000-0000571D0000}"/>
    <cellStyle name="Normal 12 3 8 6" xfId="5354" xr:uid="{00000000-0005-0000-0000-0000581D0000}"/>
    <cellStyle name="Normal 12 3 8 7" xfId="5355" xr:uid="{00000000-0005-0000-0000-0000591D0000}"/>
    <cellStyle name="Normal 12 3 8 8" xfId="5356" xr:uid="{00000000-0005-0000-0000-00005A1D0000}"/>
    <cellStyle name="Normal 12 3 9" xfId="5357" xr:uid="{00000000-0005-0000-0000-00005B1D0000}"/>
    <cellStyle name="Normal 12 3 9 2" xfId="5358" xr:uid="{00000000-0005-0000-0000-00005C1D0000}"/>
    <cellStyle name="Normal 12 3 9 2 2" xfId="5359" xr:uid="{00000000-0005-0000-0000-00005D1D0000}"/>
    <cellStyle name="Normal 12 3 9 2 2 2" xfId="5360" xr:uid="{00000000-0005-0000-0000-00005E1D0000}"/>
    <cellStyle name="Normal 12 3 9 2 2 2 2" xfId="48181" xr:uid="{00000000-0005-0000-0000-00005F1D0000}"/>
    <cellStyle name="Normal 12 3 9 2 2 2 3" xfId="48182" xr:uid="{00000000-0005-0000-0000-0000601D0000}"/>
    <cellStyle name="Normal 12 3 9 2 2 3" xfId="5361" xr:uid="{00000000-0005-0000-0000-0000611D0000}"/>
    <cellStyle name="Normal 12 3 9 2 2 3 2" xfId="48183" xr:uid="{00000000-0005-0000-0000-0000621D0000}"/>
    <cellStyle name="Normal 12 3 9 2 2 4" xfId="5362" xr:uid="{00000000-0005-0000-0000-0000631D0000}"/>
    <cellStyle name="Normal 12 3 9 2 2 5" xfId="5363" xr:uid="{00000000-0005-0000-0000-0000641D0000}"/>
    <cellStyle name="Normal 12 3 9 2 2 6" xfId="5364" xr:uid="{00000000-0005-0000-0000-0000651D0000}"/>
    <cellStyle name="Normal 12 3 9 2 3" xfId="5365" xr:uid="{00000000-0005-0000-0000-0000661D0000}"/>
    <cellStyle name="Normal 12 3 9 2 3 2" xfId="48184" xr:uid="{00000000-0005-0000-0000-0000671D0000}"/>
    <cellStyle name="Normal 12 3 9 2 3 3" xfId="48185" xr:uid="{00000000-0005-0000-0000-0000681D0000}"/>
    <cellStyle name="Normal 12 3 9 2 4" xfId="5366" xr:uid="{00000000-0005-0000-0000-0000691D0000}"/>
    <cellStyle name="Normal 12 3 9 2 4 2" xfId="48186" xr:uid="{00000000-0005-0000-0000-00006A1D0000}"/>
    <cellStyle name="Normal 12 3 9 2 5" xfId="5367" xr:uid="{00000000-0005-0000-0000-00006B1D0000}"/>
    <cellStyle name="Normal 12 3 9 2 6" xfId="5368" xr:uid="{00000000-0005-0000-0000-00006C1D0000}"/>
    <cellStyle name="Normal 12 3 9 2 7" xfId="5369" xr:uid="{00000000-0005-0000-0000-00006D1D0000}"/>
    <cellStyle name="Normal 12 3 9 3" xfId="5370" xr:uid="{00000000-0005-0000-0000-00006E1D0000}"/>
    <cellStyle name="Normal 12 3 9 3 2" xfId="5371" xr:uid="{00000000-0005-0000-0000-00006F1D0000}"/>
    <cellStyle name="Normal 12 3 9 3 2 2" xfId="48187" xr:uid="{00000000-0005-0000-0000-0000701D0000}"/>
    <cellStyle name="Normal 12 3 9 3 2 3" xfId="48188" xr:uid="{00000000-0005-0000-0000-0000711D0000}"/>
    <cellStyle name="Normal 12 3 9 3 3" xfId="5372" xr:uid="{00000000-0005-0000-0000-0000721D0000}"/>
    <cellStyle name="Normal 12 3 9 3 3 2" xfId="48189" xr:uid="{00000000-0005-0000-0000-0000731D0000}"/>
    <cellStyle name="Normal 12 3 9 3 4" xfId="5373" xr:uid="{00000000-0005-0000-0000-0000741D0000}"/>
    <cellStyle name="Normal 12 3 9 3 5" xfId="5374" xr:uid="{00000000-0005-0000-0000-0000751D0000}"/>
    <cellStyle name="Normal 12 3 9 3 6" xfId="5375" xr:uid="{00000000-0005-0000-0000-0000761D0000}"/>
    <cellStyle name="Normal 12 3 9 4" xfId="5376" xr:uid="{00000000-0005-0000-0000-0000771D0000}"/>
    <cellStyle name="Normal 12 3 9 4 2" xfId="48190" xr:uid="{00000000-0005-0000-0000-0000781D0000}"/>
    <cellStyle name="Normal 12 3 9 4 3" xfId="48191" xr:uid="{00000000-0005-0000-0000-0000791D0000}"/>
    <cellStyle name="Normal 12 3 9 5" xfId="5377" xr:uid="{00000000-0005-0000-0000-00007A1D0000}"/>
    <cellStyle name="Normal 12 3 9 5 2" xfId="48192" xr:uid="{00000000-0005-0000-0000-00007B1D0000}"/>
    <cellStyle name="Normal 12 3 9 6" xfId="5378" xr:uid="{00000000-0005-0000-0000-00007C1D0000}"/>
    <cellStyle name="Normal 12 3 9 7" xfId="5379" xr:uid="{00000000-0005-0000-0000-00007D1D0000}"/>
    <cellStyle name="Normal 12 3 9 8" xfId="5380" xr:uid="{00000000-0005-0000-0000-00007E1D0000}"/>
    <cellStyle name="Normal 12 4" xfId="5381" xr:uid="{00000000-0005-0000-0000-00007F1D0000}"/>
    <cellStyle name="Normal 12 4 10" xfId="5382" xr:uid="{00000000-0005-0000-0000-0000801D0000}"/>
    <cellStyle name="Normal 12 4 11" xfId="5383" xr:uid="{00000000-0005-0000-0000-0000811D0000}"/>
    <cellStyle name="Normal 12 4 12" xfId="5384" xr:uid="{00000000-0005-0000-0000-0000821D0000}"/>
    <cellStyle name="Normal 12 4 13" xfId="5385" xr:uid="{00000000-0005-0000-0000-0000831D0000}"/>
    <cellStyle name="Normal 12 4 14" xfId="5386" xr:uid="{00000000-0005-0000-0000-0000841D0000}"/>
    <cellStyle name="Normal 12 4 15" xfId="5387" xr:uid="{00000000-0005-0000-0000-0000851D0000}"/>
    <cellStyle name="Normal 12 4 16" xfId="5388" xr:uid="{00000000-0005-0000-0000-0000861D0000}"/>
    <cellStyle name="Normal 12 4 2" xfId="5389" xr:uid="{00000000-0005-0000-0000-0000871D0000}"/>
    <cellStyle name="Normal 12 4 2 10" xfId="5390" xr:uid="{00000000-0005-0000-0000-0000881D0000}"/>
    <cellStyle name="Normal 12 4 2 11" xfId="5391" xr:uid="{00000000-0005-0000-0000-0000891D0000}"/>
    <cellStyle name="Normal 12 4 2 12" xfId="5392" xr:uid="{00000000-0005-0000-0000-00008A1D0000}"/>
    <cellStyle name="Normal 12 4 2 13" xfId="5393" xr:uid="{00000000-0005-0000-0000-00008B1D0000}"/>
    <cellStyle name="Normal 12 4 2 14" xfId="5394" xr:uid="{00000000-0005-0000-0000-00008C1D0000}"/>
    <cellStyle name="Normal 12 4 2 2" xfId="5395" xr:uid="{00000000-0005-0000-0000-00008D1D0000}"/>
    <cellStyle name="Normal 12 4 2 2 2" xfId="5396" xr:uid="{00000000-0005-0000-0000-00008E1D0000}"/>
    <cellStyle name="Normal 12 4 2 2 2 2" xfId="5397" xr:uid="{00000000-0005-0000-0000-00008F1D0000}"/>
    <cellStyle name="Normal 12 4 2 2 2 2 2" xfId="5398" xr:uid="{00000000-0005-0000-0000-0000901D0000}"/>
    <cellStyle name="Normal 12 4 2 2 2 2 2 2" xfId="48193" xr:uid="{00000000-0005-0000-0000-0000911D0000}"/>
    <cellStyle name="Normal 12 4 2 2 2 2 2 3" xfId="48194" xr:uid="{00000000-0005-0000-0000-0000921D0000}"/>
    <cellStyle name="Normal 12 4 2 2 2 2 3" xfId="5399" xr:uid="{00000000-0005-0000-0000-0000931D0000}"/>
    <cellStyle name="Normal 12 4 2 2 2 2 3 2" xfId="48195" xr:uid="{00000000-0005-0000-0000-0000941D0000}"/>
    <cellStyle name="Normal 12 4 2 2 2 2 4" xfId="5400" xr:uid="{00000000-0005-0000-0000-0000951D0000}"/>
    <cellStyle name="Normal 12 4 2 2 2 2 5" xfId="5401" xr:uid="{00000000-0005-0000-0000-0000961D0000}"/>
    <cellStyle name="Normal 12 4 2 2 2 2 6" xfId="5402" xr:uid="{00000000-0005-0000-0000-0000971D0000}"/>
    <cellStyle name="Normal 12 4 2 2 2 3" xfId="5403" xr:uid="{00000000-0005-0000-0000-0000981D0000}"/>
    <cellStyle name="Normal 12 4 2 2 2 3 2" xfId="48196" xr:uid="{00000000-0005-0000-0000-0000991D0000}"/>
    <cellStyle name="Normal 12 4 2 2 2 3 3" xfId="48197" xr:uid="{00000000-0005-0000-0000-00009A1D0000}"/>
    <cellStyle name="Normal 12 4 2 2 2 4" xfId="5404" xr:uid="{00000000-0005-0000-0000-00009B1D0000}"/>
    <cellStyle name="Normal 12 4 2 2 2 4 2" xfId="48198" xr:uid="{00000000-0005-0000-0000-00009C1D0000}"/>
    <cellStyle name="Normal 12 4 2 2 2 5" xfId="5405" xr:uid="{00000000-0005-0000-0000-00009D1D0000}"/>
    <cellStyle name="Normal 12 4 2 2 2 6" xfId="5406" xr:uid="{00000000-0005-0000-0000-00009E1D0000}"/>
    <cellStyle name="Normal 12 4 2 2 2 7" xfId="5407" xr:uid="{00000000-0005-0000-0000-00009F1D0000}"/>
    <cellStyle name="Normal 12 4 2 2 3" xfId="5408" xr:uid="{00000000-0005-0000-0000-0000A01D0000}"/>
    <cellStyle name="Normal 12 4 2 2 3 2" xfId="5409" xr:uid="{00000000-0005-0000-0000-0000A11D0000}"/>
    <cellStyle name="Normal 12 4 2 2 3 2 2" xfId="48199" xr:uid="{00000000-0005-0000-0000-0000A21D0000}"/>
    <cellStyle name="Normal 12 4 2 2 3 2 3" xfId="48200" xr:uid="{00000000-0005-0000-0000-0000A31D0000}"/>
    <cellStyle name="Normal 12 4 2 2 3 3" xfId="5410" xr:uid="{00000000-0005-0000-0000-0000A41D0000}"/>
    <cellStyle name="Normal 12 4 2 2 3 3 2" xfId="48201" xr:uid="{00000000-0005-0000-0000-0000A51D0000}"/>
    <cellStyle name="Normal 12 4 2 2 3 4" xfId="5411" xr:uid="{00000000-0005-0000-0000-0000A61D0000}"/>
    <cellStyle name="Normal 12 4 2 2 3 5" xfId="5412" xr:uid="{00000000-0005-0000-0000-0000A71D0000}"/>
    <cellStyle name="Normal 12 4 2 2 3 6" xfId="5413" xr:uid="{00000000-0005-0000-0000-0000A81D0000}"/>
    <cellStyle name="Normal 12 4 2 2 4" xfId="5414" xr:uid="{00000000-0005-0000-0000-0000A91D0000}"/>
    <cellStyle name="Normal 12 4 2 2 4 2" xfId="48202" xr:uid="{00000000-0005-0000-0000-0000AA1D0000}"/>
    <cellStyle name="Normal 12 4 2 2 4 3" xfId="48203" xr:uid="{00000000-0005-0000-0000-0000AB1D0000}"/>
    <cellStyle name="Normal 12 4 2 2 5" xfId="5415" xr:uid="{00000000-0005-0000-0000-0000AC1D0000}"/>
    <cellStyle name="Normal 12 4 2 2 5 2" xfId="48204" xr:uid="{00000000-0005-0000-0000-0000AD1D0000}"/>
    <cellStyle name="Normal 12 4 2 2 6" xfId="5416" xr:uid="{00000000-0005-0000-0000-0000AE1D0000}"/>
    <cellStyle name="Normal 12 4 2 2 7" xfId="5417" xr:uid="{00000000-0005-0000-0000-0000AF1D0000}"/>
    <cellStyle name="Normal 12 4 2 2 8" xfId="5418" xr:uid="{00000000-0005-0000-0000-0000B01D0000}"/>
    <cellStyle name="Normal 12 4 2 2 9" xfId="5419" xr:uid="{00000000-0005-0000-0000-0000B11D0000}"/>
    <cellStyle name="Normal 12 4 2 3" xfId="5420" xr:uid="{00000000-0005-0000-0000-0000B21D0000}"/>
    <cellStyle name="Normal 12 4 2 3 2" xfId="5421" xr:uid="{00000000-0005-0000-0000-0000B31D0000}"/>
    <cellStyle name="Normal 12 4 2 3 2 2" xfId="5422" xr:uid="{00000000-0005-0000-0000-0000B41D0000}"/>
    <cellStyle name="Normal 12 4 2 3 2 2 2" xfId="5423" xr:uid="{00000000-0005-0000-0000-0000B51D0000}"/>
    <cellStyle name="Normal 12 4 2 3 2 2 2 2" xfId="48205" xr:uid="{00000000-0005-0000-0000-0000B61D0000}"/>
    <cellStyle name="Normal 12 4 2 3 2 2 2 3" xfId="48206" xr:uid="{00000000-0005-0000-0000-0000B71D0000}"/>
    <cellStyle name="Normal 12 4 2 3 2 2 3" xfId="5424" xr:uid="{00000000-0005-0000-0000-0000B81D0000}"/>
    <cellStyle name="Normal 12 4 2 3 2 2 3 2" xfId="48207" xr:uid="{00000000-0005-0000-0000-0000B91D0000}"/>
    <cellStyle name="Normal 12 4 2 3 2 2 4" xfId="5425" xr:uid="{00000000-0005-0000-0000-0000BA1D0000}"/>
    <cellStyle name="Normal 12 4 2 3 2 2 5" xfId="5426" xr:uid="{00000000-0005-0000-0000-0000BB1D0000}"/>
    <cellStyle name="Normal 12 4 2 3 2 2 6" xfId="5427" xr:uid="{00000000-0005-0000-0000-0000BC1D0000}"/>
    <cellStyle name="Normal 12 4 2 3 2 3" xfId="5428" xr:uid="{00000000-0005-0000-0000-0000BD1D0000}"/>
    <cellStyle name="Normal 12 4 2 3 2 3 2" xfId="48208" xr:uid="{00000000-0005-0000-0000-0000BE1D0000}"/>
    <cellStyle name="Normal 12 4 2 3 2 3 3" xfId="48209" xr:uid="{00000000-0005-0000-0000-0000BF1D0000}"/>
    <cellStyle name="Normal 12 4 2 3 2 4" xfId="5429" xr:uid="{00000000-0005-0000-0000-0000C01D0000}"/>
    <cellStyle name="Normal 12 4 2 3 2 4 2" xfId="48210" xr:uid="{00000000-0005-0000-0000-0000C11D0000}"/>
    <cellStyle name="Normal 12 4 2 3 2 5" xfId="5430" xr:uid="{00000000-0005-0000-0000-0000C21D0000}"/>
    <cellStyle name="Normal 12 4 2 3 2 6" xfId="5431" xr:uid="{00000000-0005-0000-0000-0000C31D0000}"/>
    <cellStyle name="Normal 12 4 2 3 2 7" xfId="5432" xr:uid="{00000000-0005-0000-0000-0000C41D0000}"/>
    <cellStyle name="Normal 12 4 2 3 3" xfId="5433" xr:uid="{00000000-0005-0000-0000-0000C51D0000}"/>
    <cellStyle name="Normal 12 4 2 3 3 2" xfId="5434" xr:uid="{00000000-0005-0000-0000-0000C61D0000}"/>
    <cellStyle name="Normal 12 4 2 3 3 2 2" xfId="48211" xr:uid="{00000000-0005-0000-0000-0000C71D0000}"/>
    <cellStyle name="Normal 12 4 2 3 3 2 3" xfId="48212" xr:uid="{00000000-0005-0000-0000-0000C81D0000}"/>
    <cellStyle name="Normal 12 4 2 3 3 3" xfId="5435" xr:uid="{00000000-0005-0000-0000-0000C91D0000}"/>
    <cellStyle name="Normal 12 4 2 3 3 3 2" xfId="48213" xr:uid="{00000000-0005-0000-0000-0000CA1D0000}"/>
    <cellStyle name="Normal 12 4 2 3 3 4" xfId="5436" xr:uid="{00000000-0005-0000-0000-0000CB1D0000}"/>
    <cellStyle name="Normal 12 4 2 3 3 5" xfId="5437" xr:uid="{00000000-0005-0000-0000-0000CC1D0000}"/>
    <cellStyle name="Normal 12 4 2 3 3 6" xfId="5438" xr:uid="{00000000-0005-0000-0000-0000CD1D0000}"/>
    <cellStyle name="Normal 12 4 2 3 4" xfId="5439" xr:uid="{00000000-0005-0000-0000-0000CE1D0000}"/>
    <cellStyle name="Normal 12 4 2 3 4 2" xfId="48214" xr:uid="{00000000-0005-0000-0000-0000CF1D0000}"/>
    <cellStyle name="Normal 12 4 2 3 4 3" xfId="48215" xr:uid="{00000000-0005-0000-0000-0000D01D0000}"/>
    <cellStyle name="Normal 12 4 2 3 5" xfId="5440" xr:uid="{00000000-0005-0000-0000-0000D11D0000}"/>
    <cellStyle name="Normal 12 4 2 3 5 2" xfId="48216" xr:uid="{00000000-0005-0000-0000-0000D21D0000}"/>
    <cellStyle name="Normal 12 4 2 3 6" xfId="5441" xr:uid="{00000000-0005-0000-0000-0000D31D0000}"/>
    <cellStyle name="Normal 12 4 2 3 7" xfId="5442" xr:uid="{00000000-0005-0000-0000-0000D41D0000}"/>
    <cellStyle name="Normal 12 4 2 3 8" xfId="5443" xr:uid="{00000000-0005-0000-0000-0000D51D0000}"/>
    <cellStyle name="Normal 12 4 2 4" xfId="5444" xr:uid="{00000000-0005-0000-0000-0000D61D0000}"/>
    <cellStyle name="Normal 12 4 2 4 2" xfId="5445" xr:uid="{00000000-0005-0000-0000-0000D71D0000}"/>
    <cellStyle name="Normal 12 4 2 4 2 2" xfId="5446" xr:uid="{00000000-0005-0000-0000-0000D81D0000}"/>
    <cellStyle name="Normal 12 4 2 4 2 2 2" xfId="48217" xr:uid="{00000000-0005-0000-0000-0000D91D0000}"/>
    <cellStyle name="Normal 12 4 2 4 2 2 3" xfId="48218" xr:uid="{00000000-0005-0000-0000-0000DA1D0000}"/>
    <cellStyle name="Normal 12 4 2 4 2 3" xfId="5447" xr:uid="{00000000-0005-0000-0000-0000DB1D0000}"/>
    <cellStyle name="Normal 12 4 2 4 2 3 2" xfId="48219" xr:uid="{00000000-0005-0000-0000-0000DC1D0000}"/>
    <cellStyle name="Normal 12 4 2 4 2 4" xfId="5448" xr:uid="{00000000-0005-0000-0000-0000DD1D0000}"/>
    <cellStyle name="Normal 12 4 2 4 2 5" xfId="5449" xr:uid="{00000000-0005-0000-0000-0000DE1D0000}"/>
    <cellStyle name="Normal 12 4 2 4 2 6" xfId="5450" xr:uid="{00000000-0005-0000-0000-0000DF1D0000}"/>
    <cellStyle name="Normal 12 4 2 4 3" xfId="5451" xr:uid="{00000000-0005-0000-0000-0000E01D0000}"/>
    <cellStyle name="Normal 12 4 2 4 3 2" xfId="48220" xr:uid="{00000000-0005-0000-0000-0000E11D0000}"/>
    <cellStyle name="Normal 12 4 2 4 3 3" xfId="48221" xr:uid="{00000000-0005-0000-0000-0000E21D0000}"/>
    <cellStyle name="Normal 12 4 2 4 4" xfId="5452" xr:uid="{00000000-0005-0000-0000-0000E31D0000}"/>
    <cellStyle name="Normal 12 4 2 4 4 2" xfId="48222" xr:uid="{00000000-0005-0000-0000-0000E41D0000}"/>
    <cellStyle name="Normal 12 4 2 4 5" xfId="5453" xr:uid="{00000000-0005-0000-0000-0000E51D0000}"/>
    <cellStyle name="Normal 12 4 2 4 6" xfId="5454" xr:uid="{00000000-0005-0000-0000-0000E61D0000}"/>
    <cellStyle name="Normal 12 4 2 4 7" xfId="5455" xr:uid="{00000000-0005-0000-0000-0000E71D0000}"/>
    <cellStyle name="Normal 12 4 2 5" xfId="5456" xr:uid="{00000000-0005-0000-0000-0000E81D0000}"/>
    <cellStyle name="Normal 12 4 2 5 2" xfId="5457" xr:uid="{00000000-0005-0000-0000-0000E91D0000}"/>
    <cellStyle name="Normal 12 4 2 5 2 2" xfId="48223" xr:uid="{00000000-0005-0000-0000-0000EA1D0000}"/>
    <cellStyle name="Normal 12 4 2 5 2 3" xfId="48224" xr:uid="{00000000-0005-0000-0000-0000EB1D0000}"/>
    <cellStyle name="Normal 12 4 2 5 3" xfId="5458" xr:uid="{00000000-0005-0000-0000-0000EC1D0000}"/>
    <cellStyle name="Normal 12 4 2 5 3 2" xfId="48225" xr:uid="{00000000-0005-0000-0000-0000ED1D0000}"/>
    <cellStyle name="Normal 12 4 2 5 4" xfId="5459" xr:uid="{00000000-0005-0000-0000-0000EE1D0000}"/>
    <cellStyle name="Normal 12 4 2 5 5" xfId="5460" xr:uid="{00000000-0005-0000-0000-0000EF1D0000}"/>
    <cellStyle name="Normal 12 4 2 5 6" xfId="5461" xr:uid="{00000000-0005-0000-0000-0000F01D0000}"/>
    <cellStyle name="Normal 12 4 2 6" xfId="5462" xr:uid="{00000000-0005-0000-0000-0000F11D0000}"/>
    <cellStyle name="Normal 12 4 2 6 2" xfId="48226" xr:uid="{00000000-0005-0000-0000-0000F21D0000}"/>
    <cellStyle name="Normal 12 4 2 6 3" xfId="48227" xr:uid="{00000000-0005-0000-0000-0000F31D0000}"/>
    <cellStyle name="Normal 12 4 2 7" xfId="5463" xr:uid="{00000000-0005-0000-0000-0000F41D0000}"/>
    <cellStyle name="Normal 12 4 2 7 2" xfId="48228" xr:uid="{00000000-0005-0000-0000-0000F51D0000}"/>
    <cellStyle name="Normal 12 4 2 8" xfId="5464" xr:uid="{00000000-0005-0000-0000-0000F61D0000}"/>
    <cellStyle name="Normal 12 4 2 8 2" xfId="48229" xr:uid="{00000000-0005-0000-0000-0000F71D0000}"/>
    <cellStyle name="Normal 12 4 2 9" xfId="5465" xr:uid="{00000000-0005-0000-0000-0000F81D0000}"/>
    <cellStyle name="Normal 12 4 3" xfId="5466" xr:uid="{00000000-0005-0000-0000-0000F91D0000}"/>
    <cellStyle name="Normal 12 4 3 2" xfId="5467" xr:uid="{00000000-0005-0000-0000-0000FA1D0000}"/>
    <cellStyle name="Normal 12 4 3 2 2" xfId="5468" xr:uid="{00000000-0005-0000-0000-0000FB1D0000}"/>
    <cellStyle name="Normal 12 4 3 2 2 2" xfId="5469" xr:uid="{00000000-0005-0000-0000-0000FC1D0000}"/>
    <cellStyle name="Normal 12 4 3 2 2 2 2" xfId="48230" xr:uid="{00000000-0005-0000-0000-0000FD1D0000}"/>
    <cellStyle name="Normal 12 4 3 2 2 2 3" xfId="48231" xr:uid="{00000000-0005-0000-0000-0000FE1D0000}"/>
    <cellStyle name="Normal 12 4 3 2 2 3" xfId="5470" xr:uid="{00000000-0005-0000-0000-0000FF1D0000}"/>
    <cellStyle name="Normal 12 4 3 2 2 3 2" xfId="48232" xr:uid="{00000000-0005-0000-0000-0000001E0000}"/>
    <cellStyle name="Normal 12 4 3 2 2 4" xfId="5471" xr:uid="{00000000-0005-0000-0000-0000011E0000}"/>
    <cellStyle name="Normal 12 4 3 2 2 5" xfId="5472" xr:uid="{00000000-0005-0000-0000-0000021E0000}"/>
    <cellStyle name="Normal 12 4 3 2 2 6" xfId="5473" xr:uid="{00000000-0005-0000-0000-0000031E0000}"/>
    <cellStyle name="Normal 12 4 3 2 3" xfId="5474" xr:uid="{00000000-0005-0000-0000-0000041E0000}"/>
    <cellStyle name="Normal 12 4 3 2 3 2" xfId="48233" xr:uid="{00000000-0005-0000-0000-0000051E0000}"/>
    <cellStyle name="Normal 12 4 3 2 3 3" xfId="48234" xr:uid="{00000000-0005-0000-0000-0000061E0000}"/>
    <cellStyle name="Normal 12 4 3 2 4" xfId="5475" xr:uid="{00000000-0005-0000-0000-0000071E0000}"/>
    <cellStyle name="Normal 12 4 3 2 4 2" xfId="48235" xr:uid="{00000000-0005-0000-0000-0000081E0000}"/>
    <cellStyle name="Normal 12 4 3 2 5" xfId="5476" xr:uid="{00000000-0005-0000-0000-0000091E0000}"/>
    <cellStyle name="Normal 12 4 3 2 6" xfId="5477" xr:uid="{00000000-0005-0000-0000-00000A1E0000}"/>
    <cellStyle name="Normal 12 4 3 2 7" xfId="5478" xr:uid="{00000000-0005-0000-0000-00000B1E0000}"/>
    <cellStyle name="Normal 12 4 3 3" xfId="5479" xr:uid="{00000000-0005-0000-0000-00000C1E0000}"/>
    <cellStyle name="Normal 12 4 3 3 2" xfId="5480" xr:uid="{00000000-0005-0000-0000-00000D1E0000}"/>
    <cellStyle name="Normal 12 4 3 3 2 2" xfId="48236" xr:uid="{00000000-0005-0000-0000-00000E1E0000}"/>
    <cellStyle name="Normal 12 4 3 3 2 3" xfId="48237" xr:uid="{00000000-0005-0000-0000-00000F1E0000}"/>
    <cellStyle name="Normal 12 4 3 3 3" xfId="5481" xr:uid="{00000000-0005-0000-0000-0000101E0000}"/>
    <cellStyle name="Normal 12 4 3 3 3 2" xfId="48238" xr:uid="{00000000-0005-0000-0000-0000111E0000}"/>
    <cellStyle name="Normal 12 4 3 3 4" xfId="5482" xr:uid="{00000000-0005-0000-0000-0000121E0000}"/>
    <cellStyle name="Normal 12 4 3 3 5" xfId="5483" xr:uid="{00000000-0005-0000-0000-0000131E0000}"/>
    <cellStyle name="Normal 12 4 3 3 6" xfId="5484" xr:uid="{00000000-0005-0000-0000-0000141E0000}"/>
    <cellStyle name="Normal 12 4 3 4" xfId="5485" xr:uid="{00000000-0005-0000-0000-0000151E0000}"/>
    <cellStyle name="Normal 12 4 3 4 2" xfId="48239" xr:uid="{00000000-0005-0000-0000-0000161E0000}"/>
    <cellStyle name="Normal 12 4 3 4 3" xfId="48240" xr:uid="{00000000-0005-0000-0000-0000171E0000}"/>
    <cellStyle name="Normal 12 4 3 5" xfId="5486" xr:uid="{00000000-0005-0000-0000-0000181E0000}"/>
    <cellStyle name="Normal 12 4 3 5 2" xfId="48241" xr:uid="{00000000-0005-0000-0000-0000191E0000}"/>
    <cellStyle name="Normal 12 4 3 6" xfId="5487" xr:uid="{00000000-0005-0000-0000-00001A1E0000}"/>
    <cellStyle name="Normal 12 4 3 7" xfId="5488" xr:uid="{00000000-0005-0000-0000-00001B1E0000}"/>
    <cellStyle name="Normal 12 4 3 8" xfId="5489" xr:uid="{00000000-0005-0000-0000-00001C1E0000}"/>
    <cellStyle name="Normal 12 4 3 9" xfId="5490" xr:uid="{00000000-0005-0000-0000-00001D1E0000}"/>
    <cellStyle name="Normal 12 4 4" xfId="5491" xr:uid="{00000000-0005-0000-0000-00001E1E0000}"/>
    <cellStyle name="Normal 12 4 4 2" xfId="5492" xr:uid="{00000000-0005-0000-0000-00001F1E0000}"/>
    <cellStyle name="Normal 12 4 4 2 2" xfId="5493" xr:uid="{00000000-0005-0000-0000-0000201E0000}"/>
    <cellStyle name="Normal 12 4 4 2 2 2" xfId="5494" xr:uid="{00000000-0005-0000-0000-0000211E0000}"/>
    <cellStyle name="Normal 12 4 4 2 2 2 2" xfId="48242" xr:uid="{00000000-0005-0000-0000-0000221E0000}"/>
    <cellStyle name="Normal 12 4 4 2 2 2 3" xfId="48243" xr:uid="{00000000-0005-0000-0000-0000231E0000}"/>
    <cellStyle name="Normal 12 4 4 2 2 3" xfId="5495" xr:uid="{00000000-0005-0000-0000-0000241E0000}"/>
    <cellStyle name="Normal 12 4 4 2 2 3 2" xfId="48244" xr:uid="{00000000-0005-0000-0000-0000251E0000}"/>
    <cellStyle name="Normal 12 4 4 2 2 4" xfId="5496" xr:uid="{00000000-0005-0000-0000-0000261E0000}"/>
    <cellStyle name="Normal 12 4 4 2 2 5" xfId="5497" xr:uid="{00000000-0005-0000-0000-0000271E0000}"/>
    <cellStyle name="Normal 12 4 4 2 2 6" xfId="5498" xr:uid="{00000000-0005-0000-0000-0000281E0000}"/>
    <cellStyle name="Normal 12 4 4 2 3" xfId="5499" xr:uid="{00000000-0005-0000-0000-0000291E0000}"/>
    <cellStyle name="Normal 12 4 4 2 3 2" xfId="48245" xr:uid="{00000000-0005-0000-0000-00002A1E0000}"/>
    <cellStyle name="Normal 12 4 4 2 3 3" xfId="48246" xr:uid="{00000000-0005-0000-0000-00002B1E0000}"/>
    <cellStyle name="Normal 12 4 4 2 4" xfId="5500" xr:uid="{00000000-0005-0000-0000-00002C1E0000}"/>
    <cellStyle name="Normal 12 4 4 2 4 2" xfId="48247" xr:uid="{00000000-0005-0000-0000-00002D1E0000}"/>
    <cellStyle name="Normal 12 4 4 2 5" xfId="5501" xr:uid="{00000000-0005-0000-0000-00002E1E0000}"/>
    <cellStyle name="Normal 12 4 4 2 6" xfId="5502" xr:uid="{00000000-0005-0000-0000-00002F1E0000}"/>
    <cellStyle name="Normal 12 4 4 2 7" xfId="5503" xr:uid="{00000000-0005-0000-0000-0000301E0000}"/>
    <cellStyle name="Normal 12 4 4 3" xfId="5504" xr:uid="{00000000-0005-0000-0000-0000311E0000}"/>
    <cellStyle name="Normal 12 4 4 3 2" xfId="5505" xr:uid="{00000000-0005-0000-0000-0000321E0000}"/>
    <cellStyle name="Normal 12 4 4 3 2 2" xfId="48248" xr:uid="{00000000-0005-0000-0000-0000331E0000}"/>
    <cellStyle name="Normal 12 4 4 3 2 3" xfId="48249" xr:uid="{00000000-0005-0000-0000-0000341E0000}"/>
    <cellStyle name="Normal 12 4 4 3 3" xfId="5506" xr:uid="{00000000-0005-0000-0000-0000351E0000}"/>
    <cellStyle name="Normal 12 4 4 3 3 2" xfId="48250" xr:uid="{00000000-0005-0000-0000-0000361E0000}"/>
    <cellStyle name="Normal 12 4 4 3 4" xfId="5507" xr:uid="{00000000-0005-0000-0000-0000371E0000}"/>
    <cellStyle name="Normal 12 4 4 3 5" xfId="5508" xr:uid="{00000000-0005-0000-0000-0000381E0000}"/>
    <cellStyle name="Normal 12 4 4 3 6" xfId="5509" xr:uid="{00000000-0005-0000-0000-0000391E0000}"/>
    <cellStyle name="Normal 12 4 4 4" xfId="5510" xr:uid="{00000000-0005-0000-0000-00003A1E0000}"/>
    <cellStyle name="Normal 12 4 4 4 2" xfId="48251" xr:uid="{00000000-0005-0000-0000-00003B1E0000}"/>
    <cellStyle name="Normal 12 4 4 4 3" xfId="48252" xr:uid="{00000000-0005-0000-0000-00003C1E0000}"/>
    <cellStyle name="Normal 12 4 4 5" xfId="5511" xr:uid="{00000000-0005-0000-0000-00003D1E0000}"/>
    <cellStyle name="Normal 12 4 4 5 2" xfId="48253" xr:uid="{00000000-0005-0000-0000-00003E1E0000}"/>
    <cellStyle name="Normal 12 4 4 6" xfId="5512" xr:uid="{00000000-0005-0000-0000-00003F1E0000}"/>
    <cellStyle name="Normal 12 4 4 7" xfId="5513" xr:uid="{00000000-0005-0000-0000-0000401E0000}"/>
    <cellStyle name="Normal 12 4 4 8" xfId="5514" xr:uid="{00000000-0005-0000-0000-0000411E0000}"/>
    <cellStyle name="Normal 12 4 5" xfId="5515" xr:uid="{00000000-0005-0000-0000-0000421E0000}"/>
    <cellStyle name="Normal 12 4 5 2" xfId="5516" xr:uid="{00000000-0005-0000-0000-0000431E0000}"/>
    <cellStyle name="Normal 12 4 5 2 2" xfId="5517" xr:uid="{00000000-0005-0000-0000-0000441E0000}"/>
    <cellStyle name="Normal 12 4 5 2 2 2" xfId="48254" xr:uid="{00000000-0005-0000-0000-0000451E0000}"/>
    <cellStyle name="Normal 12 4 5 2 2 3" xfId="48255" xr:uid="{00000000-0005-0000-0000-0000461E0000}"/>
    <cellStyle name="Normal 12 4 5 2 3" xfId="5518" xr:uid="{00000000-0005-0000-0000-0000471E0000}"/>
    <cellStyle name="Normal 12 4 5 2 3 2" xfId="48256" xr:uid="{00000000-0005-0000-0000-0000481E0000}"/>
    <cellStyle name="Normal 12 4 5 2 4" xfId="5519" xr:uid="{00000000-0005-0000-0000-0000491E0000}"/>
    <cellStyle name="Normal 12 4 5 2 5" xfId="5520" xr:uid="{00000000-0005-0000-0000-00004A1E0000}"/>
    <cellStyle name="Normal 12 4 5 2 6" xfId="5521" xr:uid="{00000000-0005-0000-0000-00004B1E0000}"/>
    <cellStyle name="Normal 12 4 5 3" xfId="5522" xr:uid="{00000000-0005-0000-0000-00004C1E0000}"/>
    <cellStyle name="Normal 12 4 5 3 2" xfId="48257" xr:uid="{00000000-0005-0000-0000-00004D1E0000}"/>
    <cellStyle name="Normal 12 4 5 3 3" xfId="48258" xr:uid="{00000000-0005-0000-0000-00004E1E0000}"/>
    <cellStyle name="Normal 12 4 5 4" xfId="5523" xr:uid="{00000000-0005-0000-0000-00004F1E0000}"/>
    <cellStyle name="Normal 12 4 5 4 2" xfId="48259" xr:uid="{00000000-0005-0000-0000-0000501E0000}"/>
    <cellStyle name="Normal 12 4 5 5" xfId="5524" xr:uid="{00000000-0005-0000-0000-0000511E0000}"/>
    <cellStyle name="Normal 12 4 5 6" xfId="5525" xr:uid="{00000000-0005-0000-0000-0000521E0000}"/>
    <cellStyle name="Normal 12 4 5 7" xfId="5526" xr:uid="{00000000-0005-0000-0000-0000531E0000}"/>
    <cellStyle name="Normal 12 4 6" xfId="5527" xr:uid="{00000000-0005-0000-0000-0000541E0000}"/>
    <cellStyle name="Normal 12 4 6 2" xfId="5528" xr:uid="{00000000-0005-0000-0000-0000551E0000}"/>
    <cellStyle name="Normal 12 4 6 2 2" xfId="48260" xr:uid="{00000000-0005-0000-0000-0000561E0000}"/>
    <cellStyle name="Normal 12 4 6 2 3" xfId="48261" xr:uid="{00000000-0005-0000-0000-0000571E0000}"/>
    <cellStyle name="Normal 12 4 6 3" xfId="5529" xr:uid="{00000000-0005-0000-0000-0000581E0000}"/>
    <cellStyle name="Normal 12 4 6 3 2" xfId="48262" xr:uid="{00000000-0005-0000-0000-0000591E0000}"/>
    <cellStyle name="Normal 12 4 6 4" xfId="5530" xr:uid="{00000000-0005-0000-0000-00005A1E0000}"/>
    <cellStyle name="Normal 12 4 6 5" xfId="5531" xr:uid="{00000000-0005-0000-0000-00005B1E0000}"/>
    <cellStyle name="Normal 12 4 6 6" xfId="5532" xr:uid="{00000000-0005-0000-0000-00005C1E0000}"/>
    <cellStyle name="Normal 12 4 7" xfId="5533" xr:uid="{00000000-0005-0000-0000-00005D1E0000}"/>
    <cellStyle name="Normal 12 4 7 2" xfId="48263" xr:uid="{00000000-0005-0000-0000-00005E1E0000}"/>
    <cellStyle name="Normal 12 4 7 3" xfId="48264" xr:uid="{00000000-0005-0000-0000-00005F1E0000}"/>
    <cellStyle name="Normal 12 4 8" xfId="5534" xr:uid="{00000000-0005-0000-0000-0000601E0000}"/>
    <cellStyle name="Normal 12 4 8 2" xfId="48265" xr:uid="{00000000-0005-0000-0000-0000611E0000}"/>
    <cellStyle name="Normal 12 4 9" xfId="5535" xr:uid="{00000000-0005-0000-0000-0000621E0000}"/>
    <cellStyle name="Normal 12 4 9 2" xfId="48266" xr:uid="{00000000-0005-0000-0000-0000631E0000}"/>
    <cellStyle name="Normal 12 5" xfId="5536" xr:uid="{00000000-0005-0000-0000-0000641E0000}"/>
    <cellStyle name="Normal 12 5 10" xfId="5537" xr:uid="{00000000-0005-0000-0000-0000651E0000}"/>
    <cellStyle name="Normal 12 5 11" xfId="5538" xr:uid="{00000000-0005-0000-0000-0000661E0000}"/>
    <cellStyle name="Normal 12 5 12" xfId="5539" xr:uid="{00000000-0005-0000-0000-0000671E0000}"/>
    <cellStyle name="Normal 12 5 13" xfId="5540" xr:uid="{00000000-0005-0000-0000-0000681E0000}"/>
    <cellStyle name="Normal 12 5 14" xfId="5541" xr:uid="{00000000-0005-0000-0000-0000691E0000}"/>
    <cellStyle name="Normal 12 5 15" xfId="5542" xr:uid="{00000000-0005-0000-0000-00006A1E0000}"/>
    <cellStyle name="Normal 12 5 16" xfId="5543" xr:uid="{00000000-0005-0000-0000-00006B1E0000}"/>
    <cellStyle name="Normal 12 5 2" xfId="5544" xr:uid="{00000000-0005-0000-0000-00006C1E0000}"/>
    <cellStyle name="Normal 12 5 2 10" xfId="5545" xr:uid="{00000000-0005-0000-0000-00006D1E0000}"/>
    <cellStyle name="Normal 12 5 2 11" xfId="5546" xr:uid="{00000000-0005-0000-0000-00006E1E0000}"/>
    <cellStyle name="Normal 12 5 2 12" xfId="5547" xr:uid="{00000000-0005-0000-0000-00006F1E0000}"/>
    <cellStyle name="Normal 12 5 2 13" xfId="5548" xr:uid="{00000000-0005-0000-0000-0000701E0000}"/>
    <cellStyle name="Normal 12 5 2 14" xfId="5549" xr:uid="{00000000-0005-0000-0000-0000711E0000}"/>
    <cellStyle name="Normal 12 5 2 2" xfId="5550" xr:uid="{00000000-0005-0000-0000-0000721E0000}"/>
    <cellStyle name="Normal 12 5 2 2 2" xfId="5551" xr:uid="{00000000-0005-0000-0000-0000731E0000}"/>
    <cellStyle name="Normal 12 5 2 2 2 2" xfId="5552" xr:uid="{00000000-0005-0000-0000-0000741E0000}"/>
    <cellStyle name="Normal 12 5 2 2 2 2 2" xfId="5553" xr:uid="{00000000-0005-0000-0000-0000751E0000}"/>
    <cellStyle name="Normal 12 5 2 2 2 2 2 2" xfId="48267" xr:uid="{00000000-0005-0000-0000-0000761E0000}"/>
    <cellStyle name="Normal 12 5 2 2 2 2 2 3" xfId="48268" xr:uid="{00000000-0005-0000-0000-0000771E0000}"/>
    <cellStyle name="Normal 12 5 2 2 2 2 3" xfId="5554" xr:uid="{00000000-0005-0000-0000-0000781E0000}"/>
    <cellStyle name="Normal 12 5 2 2 2 2 3 2" xfId="48269" xr:uid="{00000000-0005-0000-0000-0000791E0000}"/>
    <cellStyle name="Normal 12 5 2 2 2 2 4" xfId="5555" xr:uid="{00000000-0005-0000-0000-00007A1E0000}"/>
    <cellStyle name="Normal 12 5 2 2 2 2 5" xfId="5556" xr:uid="{00000000-0005-0000-0000-00007B1E0000}"/>
    <cellStyle name="Normal 12 5 2 2 2 2 6" xfId="5557" xr:uid="{00000000-0005-0000-0000-00007C1E0000}"/>
    <cellStyle name="Normal 12 5 2 2 2 3" xfId="5558" xr:uid="{00000000-0005-0000-0000-00007D1E0000}"/>
    <cellStyle name="Normal 12 5 2 2 2 3 2" xfId="48270" xr:uid="{00000000-0005-0000-0000-00007E1E0000}"/>
    <cellStyle name="Normal 12 5 2 2 2 3 3" xfId="48271" xr:uid="{00000000-0005-0000-0000-00007F1E0000}"/>
    <cellStyle name="Normal 12 5 2 2 2 4" xfId="5559" xr:uid="{00000000-0005-0000-0000-0000801E0000}"/>
    <cellStyle name="Normal 12 5 2 2 2 4 2" xfId="48272" xr:uid="{00000000-0005-0000-0000-0000811E0000}"/>
    <cellStyle name="Normal 12 5 2 2 2 5" xfId="5560" xr:uid="{00000000-0005-0000-0000-0000821E0000}"/>
    <cellStyle name="Normal 12 5 2 2 2 6" xfId="5561" xr:uid="{00000000-0005-0000-0000-0000831E0000}"/>
    <cellStyle name="Normal 12 5 2 2 2 7" xfId="5562" xr:uid="{00000000-0005-0000-0000-0000841E0000}"/>
    <cellStyle name="Normal 12 5 2 2 3" xfId="5563" xr:uid="{00000000-0005-0000-0000-0000851E0000}"/>
    <cellStyle name="Normal 12 5 2 2 3 2" xfId="5564" xr:uid="{00000000-0005-0000-0000-0000861E0000}"/>
    <cellStyle name="Normal 12 5 2 2 3 2 2" xfId="48273" xr:uid="{00000000-0005-0000-0000-0000871E0000}"/>
    <cellStyle name="Normal 12 5 2 2 3 2 3" xfId="48274" xr:uid="{00000000-0005-0000-0000-0000881E0000}"/>
    <cellStyle name="Normal 12 5 2 2 3 3" xfId="5565" xr:uid="{00000000-0005-0000-0000-0000891E0000}"/>
    <cellStyle name="Normal 12 5 2 2 3 3 2" xfId="48275" xr:uid="{00000000-0005-0000-0000-00008A1E0000}"/>
    <cellStyle name="Normal 12 5 2 2 3 4" xfId="5566" xr:uid="{00000000-0005-0000-0000-00008B1E0000}"/>
    <cellStyle name="Normal 12 5 2 2 3 5" xfId="5567" xr:uid="{00000000-0005-0000-0000-00008C1E0000}"/>
    <cellStyle name="Normal 12 5 2 2 3 6" xfId="5568" xr:uid="{00000000-0005-0000-0000-00008D1E0000}"/>
    <cellStyle name="Normal 12 5 2 2 4" xfId="5569" xr:uid="{00000000-0005-0000-0000-00008E1E0000}"/>
    <cellStyle name="Normal 12 5 2 2 4 2" xfId="48276" xr:uid="{00000000-0005-0000-0000-00008F1E0000}"/>
    <cellStyle name="Normal 12 5 2 2 4 3" xfId="48277" xr:uid="{00000000-0005-0000-0000-0000901E0000}"/>
    <cellStyle name="Normal 12 5 2 2 5" xfId="5570" xr:uid="{00000000-0005-0000-0000-0000911E0000}"/>
    <cellStyle name="Normal 12 5 2 2 5 2" xfId="48278" xr:uid="{00000000-0005-0000-0000-0000921E0000}"/>
    <cellStyle name="Normal 12 5 2 2 6" xfId="5571" xr:uid="{00000000-0005-0000-0000-0000931E0000}"/>
    <cellStyle name="Normal 12 5 2 2 7" xfId="5572" xr:uid="{00000000-0005-0000-0000-0000941E0000}"/>
    <cellStyle name="Normal 12 5 2 2 8" xfId="5573" xr:uid="{00000000-0005-0000-0000-0000951E0000}"/>
    <cellStyle name="Normal 12 5 2 2 9" xfId="5574" xr:uid="{00000000-0005-0000-0000-0000961E0000}"/>
    <cellStyle name="Normal 12 5 2 3" xfId="5575" xr:uid="{00000000-0005-0000-0000-0000971E0000}"/>
    <cellStyle name="Normal 12 5 2 3 2" xfId="5576" xr:uid="{00000000-0005-0000-0000-0000981E0000}"/>
    <cellStyle name="Normal 12 5 2 3 2 2" xfId="5577" xr:uid="{00000000-0005-0000-0000-0000991E0000}"/>
    <cellStyle name="Normal 12 5 2 3 2 2 2" xfId="5578" xr:uid="{00000000-0005-0000-0000-00009A1E0000}"/>
    <cellStyle name="Normal 12 5 2 3 2 2 2 2" xfId="48279" xr:uid="{00000000-0005-0000-0000-00009B1E0000}"/>
    <cellStyle name="Normal 12 5 2 3 2 2 2 3" xfId="48280" xr:uid="{00000000-0005-0000-0000-00009C1E0000}"/>
    <cellStyle name="Normal 12 5 2 3 2 2 3" xfId="5579" xr:uid="{00000000-0005-0000-0000-00009D1E0000}"/>
    <cellStyle name="Normal 12 5 2 3 2 2 3 2" xfId="48281" xr:uid="{00000000-0005-0000-0000-00009E1E0000}"/>
    <cellStyle name="Normal 12 5 2 3 2 2 4" xfId="5580" xr:uid="{00000000-0005-0000-0000-00009F1E0000}"/>
    <cellStyle name="Normal 12 5 2 3 2 2 5" xfId="5581" xr:uid="{00000000-0005-0000-0000-0000A01E0000}"/>
    <cellStyle name="Normal 12 5 2 3 2 2 6" xfId="5582" xr:uid="{00000000-0005-0000-0000-0000A11E0000}"/>
    <cellStyle name="Normal 12 5 2 3 2 3" xfId="5583" xr:uid="{00000000-0005-0000-0000-0000A21E0000}"/>
    <cellStyle name="Normal 12 5 2 3 2 3 2" xfId="48282" xr:uid="{00000000-0005-0000-0000-0000A31E0000}"/>
    <cellStyle name="Normal 12 5 2 3 2 3 3" xfId="48283" xr:uid="{00000000-0005-0000-0000-0000A41E0000}"/>
    <cellStyle name="Normal 12 5 2 3 2 4" xfId="5584" xr:uid="{00000000-0005-0000-0000-0000A51E0000}"/>
    <cellStyle name="Normal 12 5 2 3 2 4 2" xfId="48284" xr:uid="{00000000-0005-0000-0000-0000A61E0000}"/>
    <cellStyle name="Normal 12 5 2 3 2 5" xfId="5585" xr:uid="{00000000-0005-0000-0000-0000A71E0000}"/>
    <cellStyle name="Normal 12 5 2 3 2 6" xfId="5586" xr:uid="{00000000-0005-0000-0000-0000A81E0000}"/>
    <cellStyle name="Normal 12 5 2 3 2 7" xfId="5587" xr:uid="{00000000-0005-0000-0000-0000A91E0000}"/>
    <cellStyle name="Normal 12 5 2 3 3" xfId="5588" xr:uid="{00000000-0005-0000-0000-0000AA1E0000}"/>
    <cellStyle name="Normal 12 5 2 3 3 2" xfId="5589" xr:uid="{00000000-0005-0000-0000-0000AB1E0000}"/>
    <cellStyle name="Normal 12 5 2 3 3 2 2" xfId="48285" xr:uid="{00000000-0005-0000-0000-0000AC1E0000}"/>
    <cellStyle name="Normal 12 5 2 3 3 2 3" xfId="48286" xr:uid="{00000000-0005-0000-0000-0000AD1E0000}"/>
    <cellStyle name="Normal 12 5 2 3 3 3" xfId="5590" xr:uid="{00000000-0005-0000-0000-0000AE1E0000}"/>
    <cellStyle name="Normal 12 5 2 3 3 3 2" xfId="48287" xr:uid="{00000000-0005-0000-0000-0000AF1E0000}"/>
    <cellStyle name="Normal 12 5 2 3 3 4" xfId="5591" xr:uid="{00000000-0005-0000-0000-0000B01E0000}"/>
    <cellStyle name="Normal 12 5 2 3 3 5" xfId="5592" xr:uid="{00000000-0005-0000-0000-0000B11E0000}"/>
    <cellStyle name="Normal 12 5 2 3 3 6" xfId="5593" xr:uid="{00000000-0005-0000-0000-0000B21E0000}"/>
    <cellStyle name="Normal 12 5 2 3 4" xfId="5594" xr:uid="{00000000-0005-0000-0000-0000B31E0000}"/>
    <cellStyle name="Normal 12 5 2 3 4 2" xfId="48288" xr:uid="{00000000-0005-0000-0000-0000B41E0000}"/>
    <cellStyle name="Normal 12 5 2 3 4 3" xfId="48289" xr:uid="{00000000-0005-0000-0000-0000B51E0000}"/>
    <cellStyle name="Normal 12 5 2 3 5" xfId="5595" xr:uid="{00000000-0005-0000-0000-0000B61E0000}"/>
    <cellStyle name="Normal 12 5 2 3 5 2" xfId="48290" xr:uid="{00000000-0005-0000-0000-0000B71E0000}"/>
    <cellStyle name="Normal 12 5 2 3 6" xfId="5596" xr:uid="{00000000-0005-0000-0000-0000B81E0000}"/>
    <cellStyle name="Normal 12 5 2 3 7" xfId="5597" xr:uid="{00000000-0005-0000-0000-0000B91E0000}"/>
    <cellStyle name="Normal 12 5 2 3 8" xfId="5598" xr:uid="{00000000-0005-0000-0000-0000BA1E0000}"/>
    <cellStyle name="Normal 12 5 2 4" xfId="5599" xr:uid="{00000000-0005-0000-0000-0000BB1E0000}"/>
    <cellStyle name="Normal 12 5 2 4 2" xfId="5600" xr:uid="{00000000-0005-0000-0000-0000BC1E0000}"/>
    <cellStyle name="Normal 12 5 2 4 2 2" xfId="5601" xr:uid="{00000000-0005-0000-0000-0000BD1E0000}"/>
    <cellStyle name="Normal 12 5 2 4 2 2 2" xfId="48291" xr:uid="{00000000-0005-0000-0000-0000BE1E0000}"/>
    <cellStyle name="Normal 12 5 2 4 2 2 3" xfId="48292" xr:uid="{00000000-0005-0000-0000-0000BF1E0000}"/>
    <cellStyle name="Normal 12 5 2 4 2 3" xfId="5602" xr:uid="{00000000-0005-0000-0000-0000C01E0000}"/>
    <cellStyle name="Normal 12 5 2 4 2 3 2" xfId="48293" xr:uid="{00000000-0005-0000-0000-0000C11E0000}"/>
    <cellStyle name="Normal 12 5 2 4 2 4" xfId="5603" xr:uid="{00000000-0005-0000-0000-0000C21E0000}"/>
    <cellStyle name="Normal 12 5 2 4 2 5" xfId="5604" xr:uid="{00000000-0005-0000-0000-0000C31E0000}"/>
    <cellStyle name="Normal 12 5 2 4 2 6" xfId="5605" xr:uid="{00000000-0005-0000-0000-0000C41E0000}"/>
    <cellStyle name="Normal 12 5 2 4 3" xfId="5606" xr:uid="{00000000-0005-0000-0000-0000C51E0000}"/>
    <cellStyle name="Normal 12 5 2 4 3 2" xfId="48294" xr:uid="{00000000-0005-0000-0000-0000C61E0000}"/>
    <cellStyle name="Normal 12 5 2 4 3 3" xfId="48295" xr:uid="{00000000-0005-0000-0000-0000C71E0000}"/>
    <cellStyle name="Normal 12 5 2 4 4" xfId="5607" xr:uid="{00000000-0005-0000-0000-0000C81E0000}"/>
    <cellStyle name="Normal 12 5 2 4 4 2" xfId="48296" xr:uid="{00000000-0005-0000-0000-0000C91E0000}"/>
    <cellStyle name="Normal 12 5 2 4 5" xfId="5608" xr:uid="{00000000-0005-0000-0000-0000CA1E0000}"/>
    <cellStyle name="Normal 12 5 2 4 6" xfId="5609" xr:uid="{00000000-0005-0000-0000-0000CB1E0000}"/>
    <cellStyle name="Normal 12 5 2 4 7" xfId="5610" xr:uid="{00000000-0005-0000-0000-0000CC1E0000}"/>
    <cellStyle name="Normal 12 5 2 5" xfId="5611" xr:uid="{00000000-0005-0000-0000-0000CD1E0000}"/>
    <cellStyle name="Normal 12 5 2 5 2" xfId="5612" xr:uid="{00000000-0005-0000-0000-0000CE1E0000}"/>
    <cellStyle name="Normal 12 5 2 5 2 2" xfId="48297" xr:uid="{00000000-0005-0000-0000-0000CF1E0000}"/>
    <cellStyle name="Normal 12 5 2 5 2 3" xfId="48298" xr:uid="{00000000-0005-0000-0000-0000D01E0000}"/>
    <cellStyle name="Normal 12 5 2 5 3" xfId="5613" xr:uid="{00000000-0005-0000-0000-0000D11E0000}"/>
    <cellStyle name="Normal 12 5 2 5 3 2" xfId="48299" xr:uid="{00000000-0005-0000-0000-0000D21E0000}"/>
    <cellStyle name="Normal 12 5 2 5 4" xfId="5614" xr:uid="{00000000-0005-0000-0000-0000D31E0000}"/>
    <cellStyle name="Normal 12 5 2 5 5" xfId="5615" xr:uid="{00000000-0005-0000-0000-0000D41E0000}"/>
    <cellStyle name="Normal 12 5 2 5 6" xfId="5616" xr:uid="{00000000-0005-0000-0000-0000D51E0000}"/>
    <cellStyle name="Normal 12 5 2 6" xfId="5617" xr:uid="{00000000-0005-0000-0000-0000D61E0000}"/>
    <cellStyle name="Normal 12 5 2 6 2" xfId="48300" xr:uid="{00000000-0005-0000-0000-0000D71E0000}"/>
    <cellStyle name="Normal 12 5 2 6 3" xfId="48301" xr:uid="{00000000-0005-0000-0000-0000D81E0000}"/>
    <cellStyle name="Normal 12 5 2 7" xfId="5618" xr:uid="{00000000-0005-0000-0000-0000D91E0000}"/>
    <cellStyle name="Normal 12 5 2 7 2" xfId="48302" xr:uid="{00000000-0005-0000-0000-0000DA1E0000}"/>
    <cellStyle name="Normal 12 5 2 8" xfId="5619" xr:uid="{00000000-0005-0000-0000-0000DB1E0000}"/>
    <cellStyle name="Normal 12 5 2 9" xfId="5620" xr:uid="{00000000-0005-0000-0000-0000DC1E0000}"/>
    <cellStyle name="Normal 12 5 3" xfId="5621" xr:uid="{00000000-0005-0000-0000-0000DD1E0000}"/>
    <cellStyle name="Normal 12 5 3 2" xfId="5622" xr:uid="{00000000-0005-0000-0000-0000DE1E0000}"/>
    <cellStyle name="Normal 12 5 3 2 2" xfId="5623" xr:uid="{00000000-0005-0000-0000-0000DF1E0000}"/>
    <cellStyle name="Normal 12 5 3 2 2 2" xfId="5624" xr:uid="{00000000-0005-0000-0000-0000E01E0000}"/>
    <cellStyle name="Normal 12 5 3 2 2 2 2" xfId="48303" xr:uid="{00000000-0005-0000-0000-0000E11E0000}"/>
    <cellStyle name="Normal 12 5 3 2 2 2 3" xfId="48304" xr:uid="{00000000-0005-0000-0000-0000E21E0000}"/>
    <cellStyle name="Normal 12 5 3 2 2 3" xfId="5625" xr:uid="{00000000-0005-0000-0000-0000E31E0000}"/>
    <cellStyle name="Normal 12 5 3 2 2 3 2" xfId="48305" xr:uid="{00000000-0005-0000-0000-0000E41E0000}"/>
    <cellStyle name="Normal 12 5 3 2 2 4" xfId="5626" xr:uid="{00000000-0005-0000-0000-0000E51E0000}"/>
    <cellStyle name="Normal 12 5 3 2 2 5" xfId="5627" xr:uid="{00000000-0005-0000-0000-0000E61E0000}"/>
    <cellStyle name="Normal 12 5 3 2 2 6" xfId="5628" xr:uid="{00000000-0005-0000-0000-0000E71E0000}"/>
    <cellStyle name="Normal 12 5 3 2 3" xfId="5629" xr:uid="{00000000-0005-0000-0000-0000E81E0000}"/>
    <cellStyle name="Normal 12 5 3 2 3 2" xfId="48306" xr:uid="{00000000-0005-0000-0000-0000E91E0000}"/>
    <cellStyle name="Normal 12 5 3 2 3 3" xfId="48307" xr:uid="{00000000-0005-0000-0000-0000EA1E0000}"/>
    <cellStyle name="Normal 12 5 3 2 4" xfId="5630" xr:uid="{00000000-0005-0000-0000-0000EB1E0000}"/>
    <cellStyle name="Normal 12 5 3 2 4 2" xfId="48308" xr:uid="{00000000-0005-0000-0000-0000EC1E0000}"/>
    <cellStyle name="Normal 12 5 3 2 5" xfId="5631" xr:uid="{00000000-0005-0000-0000-0000ED1E0000}"/>
    <cellStyle name="Normal 12 5 3 2 6" xfId="5632" xr:uid="{00000000-0005-0000-0000-0000EE1E0000}"/>
    <cellStyle name="Normal 12 5 3 2 7" xfId="5633" xr:uid="{00000000-0005-0000-0000-0000EF1E0000}"/>
    <cellStyle name="Normal 12 5 3 3" xfId="5634" xr:uid="{00000000-0005-0000-0000-0000F01E0000}"/>
    <cellStyle name="Normal 12 5 3 3 2" xfId="5635" xr:uid="{00000000-0005-0000-0000-0000F11E0000}"/>
    <cellStyle name="Normal 12 5 3 3 2 2" xfId="48309" xr:uid="{00000000-0005-0000-0000-0000F21E0000}"/>
    <cellStyle name="Normal 12 5 3 3 2 3" xfId="48310" xr:uid="{00000000-0005-0000-0000-0000F31E0000}"/>
    <cellStyle name="Normal 12 5 3 3 3" xfId="5636" xr:uid="{00000000-0005-0000-0000-0000F41E0000}"/>
    <cellStyle name="Normal 12 5 3 3 3 2" xfId="48311" xr:uid="{00000000-0005-0000-0000-0000F51E0000}"/>
    <cellStyle name="Normal 12 5 3 3 4" xfId="5637" xr:uid="{00000000-0005-0000-0000-0000F61E0000}"/>
    <cellStyle name="Normal 12 5 3 3 5" xfId="5638" xr:uid="{00000000-0005-0000-0000-0000F71E0000}"/>
    <cellStyle name="Normal 12 5 3 3 6" xfId="5639" xr:uid="{00000000-0005-0000-0000-0000F81E0000}"/>
    <cellStyle name="Normal 12 5 3 4" xfId="5640" xr:uid="{00000000-0005-0000-0000-0000F91E0000}"/>
    <cellStyle name="Normal 12 5 3 4 2" xfId="48312" xr:uid="{00000000-0005-0000-0000-0000FA1E0000}"/>
    <cellStyle name="Normal 12 5 3 4 3" xfId="48313" xr:uid="{00000000-0005-0000-0000-0000FB1E0000}"/>
    <cellStyle name="Normal 12 5 3 5" xfId="5641" xr:uid="{00000000-0005-0000-0000-0000FC1E0000}"/>
    <cellStyle name="Normal 12 5 3 5 2" xfId="48314" xr:uid="{00000000-0005-0000-0000-0000FD1E0000}"/>
    <cellStyle name="Normal 12 5 3 6" xfId="5642" xr:uid="{00000000-0005-0000-0000-0000FE1E0000}"/>
    <cellStyle name="Normal 12 5 3 7" xfId="5643" xr:uid="{00000000-0005-0000-0000-0000FF1E0000}"/>
    <cellStyle name="Normal 12 5 3 8" xfId="5644" xr:uid="{00000000-0005-0000-0000-0000001F0000}"/>
    <cellStyle name="Normal 12 5 3 9" xfId="5645" xr:uid="{00000000-0005-0000-0000-0000011F0000}"/>
    <cellStyle name="Normal 12 5 4" xfId="5646" xr:uid="{00000000-0005-0000-0000-0000021F0000}"/>
    <cellStyle name="Normal 12 5 4 2" xfId="5647" xr:uid="{00000000-0005-0000-0000-0000031F0000}"/>
    <cellStyle name="Normal 12 5 4 2 2" xfId="5648" xr:uid="{00000000-0005-0000-0000-0000041F0000}"/>
    <cellStyle name="Normal 12 5 4 2 2 2" xfId="5649" xr:uid="{00000000-0005-0000-0000-0000051F0000}"/>
    <cellStyle name="Normal 12 5 4 2 2 2 2" xfId="48315" xr:uid="{00000000-0005-0000-0000-0000061F0000}"/>
    <cellStyle name="Normal 12 5 4 2 2 2 3" xfId="48316" xr:uid="{00000000-0005-0000-0000-0000071F0000}"/>
    <cellStyle name="Normal 12 5 4 2 2 3" xfId="5650" xr:uid="{00000000-0005-0000-0000-0000081F0000}"/>
    <cellStyle name="Normal 12 5 4 2 2 3 2" xfId="48317" xr:uid="{00000000-0005-0000-0000-0000091F0000}"/>
    <cellStyle name="Normal 12 5 4 2 2 4" xfId="5651" xr:uid="{00000000-0005-0000-0000-00000A1F0000}"/>
    <cellStyle name="Normal 12 5 4 2 2 5" xfId="5652" xr:uid="{00000000-0005-0000-0000-00000B1F0000}"/>
    <cellStyle name="Normal 12 5 4 2 2 6" xfId="5653" xr:uid="{00000000-0005-0000-0000-00000C1F0000}"/>
    <cellStyle name="Normal 12 5 4 2 3" xfId="5654" xr:uid="{00000000-0005-0000-0000-00000D1F0000}"/>
    <cellStyle name="Normal 12 5 4 2 3 2" xfId="48318" xr:uid="{00000000-0005-0000-0000-00000E1F0000}"/>
    <cellStyle name="Normal 12 5 4 2 3 3" xfId="48319" xr:uid="{00000000-0005-0000-0000-00000F1F0000}"/>
    <cellStyle name="Normal 12 5 4 2 4" xfId="5655" xr:uid="{00000000-0005-0000-0000-0000101F0000}"/>
    <cellStyle name="Normal 12 5 4 2 4 2" xfId="48320" xr:uid="{00000000-0005-0000-0000-0000111F0000}"/>
    <cellStyle name="Normal 12 5 4 2 5" xfId="5656" xr:uid="{00000000-0005-0000-0000-0000121F0000}"/>
    <cellStyle name="Normal 12 5 4 2 6" xfId="5657" xr:uid="{00000000-0005-0000-0000-0000131F0000}"/>
    <cellStyle name="Normal 12 5 4 2 7" xfId="5658" xr:uid="{00000000-0005-0000-0000-0000141F0000}"/>
    <cellStyle name="Normal 12 5 4 3" xfId="5659" xr:uid="{00000000-0005-0000-0000-0000151F0000}"/>
    <cellStyle name="Normal 12 5 4 3 2" xfId="5660" xr:uid="{00000000-0005-0000-0000-0000161F0000}"/>
    <cellStyle name="Normal 12 5 4 3 2 2" xfId="48321" xr:uid="{00000000-0005-0000-0000-0000171F0000}"/>
    <cellStyle name="Normal 12 5 4 3 2 3" xfId="48322" xr:uid="{00000000-0005-0000-0000-0000181F0000}"/>
    <cellStyle name="Normal 12 5 4 3 3" xfId="5661" xr:uid="{00000000-0005-0000-0000-0000191F0000}"/>
    <cellStyle name="Normal 12 5 4 3 3 2" xfId="48323" xr:uid="{00000000-0005-0000-0000-00001A1F0000}"/>
    <cellStyle name="Normal 12 5 4 3 4" xfId="5662" xr:uid="{00000000-0005-0000-0000-00001B1F0000}"/>
    <cellStyle name="Normal 12 5 4 3 5" xfId="5663" xr:uid="{00000000-0005-0000-0000-00001C1F0000}"/>
    <cellStyle name="Normal 12 5 4 3 6" xfId="5664" xr:uid="{00000000-0005-0000-0000-00001D1F0000}"/>
    <cellStyle name="Normal 12 5 4 4" xfId="5665" xr:uid="{00000000-0005-0000-0000-00001E1F0000}"/>
    <cellStyle name="Normal 12 5 4 4 2" xfId="48324" xr:uid="{00000000-0005-0000-0000-00001F1F0000}"/>
    <cellStyle name="Normal 12 5 4 4 3" xfId="48325" xr:uid="{00000000-0005-0000-0000-0000201F0000}"/>
    <cellStyle name="Normal 12 5 4 5" xfId="5666" xr:uid="{00000000-0005-0000-0000-0000211F0000}"/>
    <cellStyle name="Normal 12 5 4 5 2" xfId="48326" xr:uid="{00000000-0005-0000-0000-0000221F0000}"/>
    <cellStyle name="Normal 12 5 4 6" xfId="5667" xr:uid="{00000000-0005-0000-0000-0000231F0000}"/>
    <cellStyle name="Normal 12 5 4 7" xfId="5668" xr:uid="{00000000-0005-0000-0000-0000241F0000}"/>
    <cellStyle name="Normal 12 5 4 8" xfId="5669" xr:uid="{00000000-0005-0000-0000-0000251F0000}"/>
    <cellStyle name="Normal 12 5 5" xfId="5670" xr:uid="{00000000-0005-0000-0000-0000261F0000}"/>
    <cellStyle name="Normal 12 5 5 2" xfId="5671" xr:uid="{00000000-0005-0000-0000-0000271F0000}"/>
    <cellStyle name="Normal 12 5 5 2 2" xfId="5672" xr:uid="{00000000-0005-0000-0000-0000281F0000}"/>
    <cellStyle name="Normal 12 5 5 2 2 2" xfId="48327" xr:uid="{00000000-0005-0000-0000-0000291F0000}"/>
    <cellStyle name="Normal 12 5 5 2 2 3" xfId="48328" xr:uid="{00000000-0005-0000-0000-00002A1F0000}"/>
    <cellStyle name="Normal 12 5 5 2 3" xfId="5673" xr:uid="{00000000-0005-0000-0000-00002B1F0000}"/>
    <cellStyle name="Normal 12 5 5 2 3 2" xfId="48329" xr:uid="{00000000-0005-0000-0000-00002C1F0000}"/>
    <cellStyle name="Normal 12 5 5 2 4" xfId="5674" xr:uid="{00000000-0005-0000-0000-00002D1F0000}"/>
    <cellStyle name="Normal 12 5 5 2 5" xfId="5675" xr:uid="{00000000-0005-0000-0000-00002E1F0000}"/>
    <cellStyle name="Normal 12 5 5 2 6" xfId="5676" xr:uid="{00000000-0005-0000-0000-00002F1F0000}"/>
    <cellStyle name="Normal 12 5 5 3" xfId="5677" xr:uid="{00000000-0005-0000-0000-0000301F0000}"/>
    <cellStyle name="Normal 12 5 5 3 2" xfId="48330" xr:uid="{00000000-0005-0000-0000-0000311F0000}"/>
    <cellStyle name="Normal 12 5 5 3 3" xfId="48331" xr:uid="{00000000-0005-0000-0000-0000321F0000}"/>
    <cellStyle name="Normal 12 5 5 4" xfId="5678" xr:uid="{00000000-0005-0000-0000-0000331F0000}"/>
    <cellStyle name="Normal 12 5 5 4 2" xfId="48332" xr:uid="{00000000-0005-0000-0000-0000341F0000}"/>
    <cellStyle name="Normal 12 5 5 5" xfId="5679" xr:uid="{00000000-0005-0000-0000-0000351F0000}"/>
    <cellStyle name="Normal 12 5 5 6" xfId="5680" xr:uid="{00000000-0005-0000-0000-0000361F0000}"/>
    <cellStyle name="Normal 12 5 5 7" xfId="5681" xr:uid="{00000000-0005-0000-0000-0000371F0000}"/>
    <cellStyle name="Normal 12 5 6" xfId="5682" xr:uid="{00000000-0005-0000-0000-0000381F0000}"/>
    <cellStyle name="Normal 12 5 6 2" xfId="5683" xr:uid="{00000000-0005-0000-0000-0000391F0000}"/>
    <cellStyle name="Normal 12 5 6 2 2" xfId="48333" xr:uid="{00000000-0005-0000-0000-00003A1F0000}"/>
    <cellStyle name="Normal 12 5 6 2 3" xfId="48334" xr:uid="{00000000-0005-0000-0000-00003B1F0000}"/>
    <cellStyle name="Normal 12 5 6 3" xfId="5684" xr:uid="{00000000-0005-0000-0000-00003C1F0000}"/>
    <cellStyle name="Normal 12 5 6 3 2" xfId="48335" xr:uid="{00000000-0005-0000-0000-00003D1F0000}"/>
    <cellStyle name="Normal 12 5 6 4" xfId="5685" xr:uid="{00000000-0005-0000-0000-00003E1F0000}"/>
    <cellStyle name="Normal 12 5 6 5" xfId="5686" xr:uid="{00000000-0005-0000-0000-00003F1F0000}"/>
    <cellStyle name="Normal 12 5 6 6" xfId="5687" xr:uid="{00000000-0005-0000-0000-0000401F0000}"/>
    <cellStyle name="Normal 12 5 7" xfId="5688" xr:uid="{00000000-0005-0000-0000-0000411F0000}"/>
    <cellStyle name="Normal 12 5 7 2" xfId="48336" xr:uid="{00000000-0005-0000-0000-0000421F0000}"/>
    <cellStyle name="Normal 12 5 8" xfId="5689" xr:uid="{00000000-0005-0000-0000-0000431F0000}"/>
    <cellStyle name="Normal 12 5 9" xfId="5690" xr:uid="{00000000-0005-0000-0000-0000441F0000}"/>
    <cellStyle name="Normal 12 6" xfId="5691" xr:uid="{00000000-0005-0000-0000-0000451F0000}"/>
    <cellStyle name="Normal 12 6 10" xfId="5692" xr:uid="{00000000-0005-0000-0000-0000461F0000}"/>
    <cellStyle name="Normal 12 6 11" xfId="5693" xr:uid="{00000000-0005-0000-0000-0000471F0000}"/>
    <cellStyle name="Normal 12 6 12" xfId="5694" xr:uid="{00000000-0005-0000-0000-0000481F0000}"/>
    <cellStyle name="Normal 12 6 13" xfId="5695" xr:uid="{00000000-0005-0000-0000-0000491F0000}"/>
    <cellStyle name="Normal 12 6 14" xfId="5696" xr:uid="{00000000-0005-0000-0000-00004A1F0000}"/>
    <cellStyle name="Normal 12 6 2" xfId="5697" xr:uid="{00000000-0005-0000-0000-00004B1F0000}"/>
    <cellStyle name="Normal 12 6 2 2" xfId="5698" xr:uid="{00000000-0005-0000-0000-00004C1F0000}"/>
    <cellStyle name="Normal 12 6 2 2 2" xfId="5699" xr:uid="{00000000-0005-0000-0000-00004D1F0000}"/>
    <cellStyle name="Normal 12 6 2 2 2 2" xfId="5700" xr:uid="{00000000-0005-0000-0000-00004E1F0000}"/>
    <cellStyle name="Normal 12 6 2 2 2 2 2" xfId="48337" xr:uid="{00000000-0005-0000-0000-00004F1F0000}"/>
    <cellStyle name="Normal 12 6 2 2 2 2 3" xfId="48338" xr:uid="{00000000-0005-0000-0000-0000501F0000}"/>
    <cellStyle name="Normal 12 6 2 2 2 3" xfId="5701" xr:uid="{00000000-0005-0000-0000-0000511F0000}"/>
    <cellStyle name="Normal 12 6 2 2 2 3 2" xfId="48339" xr:uid="{00000000-0005-0000-0000-0000521F0000}"/>
    <cellStyle name="Normal 12 6 2 2 2 4" xfId="5702" xr:uid="{00000000-0005-0000-0000-0000531F0000}"/>
    <cellStyle name="Normal 12 6 2 2 2 5" xfId="5703" xr:uid="{00000000-0005-0000-0000-0000541F0000}"/>
    <cellStyle name="Normal 12 6 2 2 2 6" xfId="5704" xr:uid="{00000000-0005-0000-0000-0000551F0000}"/>
    <cellStyle name="Normal 12 6 2 2 3" xfId="5705" xr:uid="{00000000-0005-0000-0000-0000561F0000}"/>
    <cellStyle name="Normal 12 6 2 2 3 2" xfId="48340" xr:uid="{00000000-0005-0000-0000-0000571F0000}"/>
    <cellStyle name="Normal 12 6 2 2 3 3" xfId="48341" xr:uid="{00000000-0005-0000-0000-0000581F0000}"/>
    <cellStyle name="Normal 12 6 2 2 4" xfId="5706" xr:uid="{00000000-0005-0000-0000-0000591F0000}"/>
    <cellStyle name="Normal 12 6 2 2 4 2" xfId="48342" xr:uid="{00000000-0005-0000-0000-00005A1F0000}"/>
    <cellStyle name="Normal 12 6 2 2 5" xfId="5707" xr:uid="{00000000-0005-0000-0000-00005B1F0000}"/>
    <cellStyle name="Normal 12 6 2 2 6" xfId="5708" xr:uid="{00000000-0005-0000-0000-00005C1F0000}"/>
    <cellStyle name="Normal 12 6 2 2 7" xfId="5709" xr:uid="{00000000-0005-0000-0000-00005D1F0000}"/>
    <cellStyle name="Normal 12 6 2 3" xfId="5710" xr:uid="{00000000-0005-0000-0000-00005E1F0000}"/>
    <cellStyle name="Normal 12 6 2 3 2" xfId="5711" xr:uid="{00000000-0005-0000-0000-00005F1F0000}"/>
    <cellStyle name="Normal 12 6 2 3 2 2" xfId="48343" xr:uid="{00000000-0005-0000-0000-0000601F0000}"/>
    <cellStyle name="Normal 12 6 2 3 2 3" xfId="48344" xr:uid="{00000000-0005-0000-0000-0000611F0000}"/>
    <cellStyle name="Normal 12 6 2 3 3" xfId="5712" xr:uid="{00000000-0005-0000-0000-0000621F0000}"/>
    <cellStyle name="Normal 12 6 2 3 3 2" xfId="48345" xr:uid="{00000000-0005-0000-0000-0000631F0000}"/>
    <cellStyle name="Normal 12 6 2 3 4" xfId="5713" xr:uid="{00000000-0005-0000-0000-0000641F0000}"/>
    <cellStyle name="Normal 12 6 2 3 5" xfId="5714" xr:uid="{00000000-0005-0000-0000-0000651F0000}"/>
    <cellStyle name="Normal 12 6 2 3 6" xfId="5715" xr:uid="{00000000-0005-0000-0000-0000661F0000}"/>
    <cellStyle name="Normal 12 6 2 4" xfId="5716" xr:uid="{00000000-0005-0000-0000-0000671F0000}"/>
    <cellStyle name="Normal 12 6 2 4 2" xfId="48346" xr:uid="{00000000-0005-0000-0000-0000681F0000}"/>
    <cellStyle name="Normal 12 6 2 4 3" xfId="48347" xr:uid="{00000000-0005-0000-0000-0000691F0000}"/>
    <cellStyle name="Normal 12 6 2 5" xfId="5717" xr:uid="{00000000-0005-0000-0000-00006A1F0000}"/>
    <cellStyle name="Normal 12 6 2 5 2" xfId="48348" xr:uid="{00000000-0005-0000-0000-00006B1F0000}"/>
    <cellStyle name="Normal 12 6 2 6" xfId="5718" xr:uid="{00000000-0005-0000-0000-00006C1F0000}"/>
    <cellStyle name="Normal 12 6 2 7" xfId="5719" xr:uid="{00000000-0005-0000-0000-00006D1F0000}"/>
    <cellStyle name="Normal 12 6 2 8" xfId="5720" xr:uid="{00000000-0005-0000-0000-00006E1F0000}"/>
    <cellStyle name="Normal 12 6 2 9" xfId="5721" xr:uid="{00000000-0005-0000-0000-00006F1F0000}"/>
    <cellStyle name="Normal 12 6 3" xfId="5722" xr:uid="{00000000-0005-0000-0000-0000701F0000}"/>
    <cellStyle name="Normal 12 6 3 2" xfId="5723" xr:uid="{00000000-0005-0000-0000-0000711F0000}"/>
    <cellStyle name="Normal 12 6 3 2 2" xfId="5724" xr:uid="{00000000-0005-0000-0000-0000721F0000}"/>
    <cellStyle name="Normal 12 6 3 2 2 2" xfId="5725" xr:uid="{00000000-0005-0000-0000-0000731F0000}"/>
    <cellStyle name="Normal 12 6 3 2 2 2 2" xfId="48349" xr:uid="{00000000-0005-0000-0000-0000741F0000}"/>
    <cellStyle name="Normal 12 6 3 2 2 2 3" xfId="48350" xr:uid="{00000000-0005-0000-0000-0000751F0000}"/>
    <cellStyle name="Normal 12 6 3 2 2 3" xfId="5726" xr:uid="{00000000-0005-0000-0000-0000761F0000}"/>
    <cellStyle name="Normal 12 6 3 2 2 3 2" xfId="48351" xr:uid="{00000000-0005-0000-0000-0000771F0000}"/>
    <cellStyle name="Normal 12 6 3 2 2 4" xfId="5727" xr:uid="{00000000-0005-0000-0000-0000781F0000}"/>
    <cellStyle name="Normal 12 6 3 2 2 5" xfId="5728" xr:uid="{00000000-0005-0000-0000-0000791F0000}"/>
    <cellStyle name="Normal 12 6 3 2 2 6" xfId="5729" xr:uid="{00000000-0005-0000-0000-00007A1F0000}"/>
    <cellStyle name="Normal 12 6 3 2 3" xfId="5730" xr:uid="{00000000-0005-0000-0000-00007B1F0000}"/>
    <cellStyle name="Normal 12 6 3 2 3 2" xfId="48352" xr:uid="{00000000-0005-0000-0000-00007C1F0000}"/>
    <cellStyle name="Normal 12 6 3 2 3 3" xfId="48353" xr:uid="{00000000-0005-0000-0000-00007D1F0000}"/>
    <cellStyle name="Normal 12 6 3 2 4" xfId="5731" xr:uid="{00000000-0005-0000-0000-00007E1F0000}"/>
    <cellStyle name="Normal 12 6 3 2 4 2" xfId="48354" xr:uid="{00000000-0005-0000-0000-00007F1F0000}"/>
    <cellStyle name="Normal 12 6 3 2 5" xfId="5732" xr:uid="{00000000-0005-0000-0000-0000801F0000}"/>
    <cellStyle name="Normal 12 6 3 2 6" xfId="5733" xr:uid="{00000000-0005-0000-0000-0000811F0000}"/>
    <cellStyle name="Normal 12 6 3 2 7" xfId="5734" xr:uid="{00000000-0005-0000-0000-0000821F0000}"/>
    <cellStyle name="Normal 12 6 3 3" xfId="5735" xr:uid="{00000000-0005-0000-0000-0000831F0000}"/>
    <cellStyle name="Normal 12 6 3 3 2" xfId="5736" xr:uid="{00000000-0005-0000-0000-0000841F0000}"/>
    <cellStyle name="Normal 12 6 3 3 2 2" xfId="48355" xr:uid="{00000000-0005-0000-0000-0000851F0000}"/>
    <cellStyle name="Normal 12 6 3 3 2 3" xfId="48356" xr:uid="{00000000-0005-0000-0000-0000861F0000}"/>
    <cellStyle name="Normal 12 6 3 3 3" xfId="5737" xr:uid="{00000000-0005-0000-0000-0000871F0000}"/>
    <cellStyle name="Normal 12 6 3 3 3 2" xfId="48357" xr:uid="{00000000-0005-0000-0000-0000881F0000}"/>
    <cellStyle name="Normal 12 6 3 3 4" xfId="5738" xr:uid="{00000000-0005-0000-0000-0000891F0000}"/>
    <cellStyle name="Normal 12 6 3 3 5" xfId="5739" xr:uid="{00000000-0005-0000-0000-00008A1F0000}"/>
    <cellStyle name="Normal 12 6 3 3 6" xfId="5740" xr:uid="{00000000-0005-0000-0000-00008B1F0000}"/>
    <cellStyle name="Normal 12 6 3 4" xfId="5741" xr:uid="{00000000-0005-0000-0000-00008C1F0000}"/>
    <cellStyle name="Normal 12 6 3 4 2" xfId="48358" xr:uid="{00000000-0005-0000-0000-00008D1F0000}"/>
    <cellStyle name="Normal 12 6 3 4 3" xfId="48359" xr:uid="{00000000-0005-0000-0000-00008E1F0000}"/>
    <cellStyle name="Normal 12 6 3 5" xfId="5742" xr:uid="{00000000-0005-0000-0000-00008F1F0000}"/>
    <cellStyle name="Normal 12 6 3 5 2" xfId="48360" xr:uid="{00000000-0005-0000-0000-0000901F0000}"/>
    <cellStyle name="Normal 12 6 3 6" xfId="5743" xr:uid="{00000000-0005-0000-0000-0000911F0000}"/>
    <cellStyle name="Normal 12 6 3 7" xfId="5744" xr:uid="{00000000-0005-0000-0000-0000921F0000}"/>
    <cellStyle name="Normal 12 6 3 8" xfId="5745" xr:uid="{00000000-0005-0000-0000-0000931F0000}"/>
    <cellStyle name="Normal 12 6 4" xfId="5746" xr:uid="{00000000-0005-0000-0000-0000941F0000}"/>
    <cellStyle name="Normal 12 6 4 2" xfId="5747" xr:uid="{00000000-0005-0000-0000-0000951F0000}"/>
    <cellStyle name="Normal 12 6 4 2 2" xfId="5748" xr:uid="{00000000-0005-0000-0000-0000961F0000}"/>
    <cellStyle name="Normal 12 6 4 2 2 2" xfId="48361" xr:uid="{00000000-0005-0000-0000-0000971F0000}"/>
    <cellStyle name="Normal 12 6 4 2 2 3" xfId="48362" xr:uid="{00000000-0005-0000-0000-0000981F0000}"/>
    <cellStyle name="Normal 12 6 4 2 3" xfId="5749" xr:uid="{00000000-0005-0000-0000-0000991F0000}"/>
    <cellStyle name="Normal 12 6 4 2 3 2" xfId="48363" xr:uid="{00000000-0005-0000-0000-00009A1F0000}"/>
    <cellStyle name="Normal 12 6 4 2 4" xfId="5750" xr:uid="{00000000-0005-0000-0000-00009B1F0000}"/>
    <cellStyle name="Normal 12 6 4 2 5" xfId="5751" xr:uid="{00000000-0005-0000-0000-00009C1F0000}"/>
    <cellStyle name="Normal 12 6 4 2 6" xfId="5752" xr:uid="{00000000-0005-0000-0000-00009D1F0000}"/>
    <cellStyle name="Normal 12 6 4 3" xfId="5753" xr:uid="{00000000-0005-0000-0000-00009E1F0000}"/>
    <cellStyle name="Normal 12 6 4 3 2" xfId="48364" xr:uid="{00000000-0005-0000-0000-00009F1F0000}"/>
    <cellStyle name="Normal 12 6 4 3 3" xfId="48365" xr:uid="{00000000-0005-0000-0000-0000A01F0000}"/>
    <cellStyle name="Normal 12 6 4 4" xfId="5754" xr:uid="{00000000-0005-0000-0000-0000A11F0000}"/>
    <cellStyle name="Normal 12 6 4 4 2" xfId="48366" xr:uid="{00000000-0005-0000-0000-0000A21F0000}"/>
    <cellStyle name="Normal 12 6 4 5" xfId="5755" xr:uid="{00000000-0005-0000-0000-0000A31F0000}"/>
    <cellStyle name="Normal 12 6 4 6" xfId="5756" xr:uid="{00000000-0005-0000-0000-0000A41F0000}"/>
    <cellStyle name="Normal 12 6 4 7" xfId="5757" xr:uid="{00000000-0005-0000-0000-0000A51F0000}"/>
    <cellStyle name="Normal 12 6 5" xfId="5758" xr:uid="{00000000-0005-0000-0000-0000A61F0000}"/>
    <cellStyle name="Normal 12 6 5 2" xfId="5759" xr:uid="{00000000-0005-0000-0000-0000A71F0000}"/>
    <cellStyle name="Normal 12 6 5 2 2" xfId="48367" xr:uid="{00000000-0005-0000-0000-0000A81F0000}"/>
    <cellStyle name="Normal 12 6 5 2 3" xfId="48368" xr:uid="{00000000-0005-0000-0000-0000A91F0000}"/>
    <cellStyle name="Normal 12 6 5 3" xfId="5760" xr:uid="{00000000-0005-0000-0000-0000AA1F0000}"/>
    <cellStyle name="Normal 12 6 5 3 2" xfId="48369" xr:uid="{00000000-0005-0000-0000-0000AB1F0000}"/>
    <cellStyle name="Normal 12 6 5 4" xfId="5761" xr:uid="{00000000-0005-0000-0000-0000AC1F0000}"/>
    <cellStyle name="Normal 12 6 5 5" xfId="5762" xr:uid="{00000000-0005-0000-0000-0000AD1F0000}"/>
    <cellStyle name="Normal 12 6 5 6" xfId="5763" xr:uid="{00000000-0005-0000-0000-0000AE1F0000}"/>
    <cellStyle name="Normal 12 6 6" xfId="5764" xr:uid="{00000000-0005-0000-0000-0000AF1F0000}"/>
    <cellStyle name="Normal 12 6 6 2" xfId="48370" xr:uid="{00000000-0005-0000-0000-0000B01F0000}"/>
    <cellStyle name="Normal 12 6 6 3" xfId="48371" xr:uid="{00000000-0005-0000-0000-0000B11F0000}"/>
    <cellStyle name="Normal 12 6 7" xfId="5765" xr:uid="{00000000-0005-0000-0000-0000B21F0000}"/>
    <cellStyle name="Normal 12 6 7 2" xfId="48372" xr:uid="{00000000-0005-0000-0000-0000B31F0000}"/>
    <cellStyle name="Normal 12 6 8" xfId="5766" xr:uid="{00000000-0005-0000-0000-0000B41F0000}"/>
    <cellStyle name="Normal 12 6 8 2" xfId="48373" xr:uid="{00000000-0005-0000-0000-0000B51F0000}"/>
    <cellStyle name="Normal 12 6 9" xfId="5767" xr:uid="{00000000-0005-0000-0000-0000B61F0000}"/>
    <cellStyle name="Normal 12 7" xfId="5768" xr:uid="{00000000-0005-0000-0000-0000B71F0000}"/>
    <cellStyle name="Normal 12 7 10" xfId="5769" xr:uid="{00000000-0005-0000-0000-0000B81F0000}"/>
    <cellStyle name="Normal 12 7 11" xfId="5770" xr:uid="{00000000-0005-0000-0000-0000B91F0000}"/>
    <cellStyle name="Normal 12 7 12" xfId="5771" xr:uid="{00000000-0005-0000-0000-0000BA1F0000}"/>
    <cellStyle name="Normal 12 7 13" xfId="5772" xr:uid="{00000000-0005-0000-0000-0000BB1F0000}"/>
    <cellStyle name="Normal 12 7 14" xfId="5773" xr:uid="{00000000-0005-0000-0000-0000BC1F0000}"/>
    <cellStyle name="Normal 12 7 2" xfId="5774" xr:uid="{00000000-0005-0000-0000-0000BD1F0000}"/>
    <cellStyle name="Normal 12 7 2 2" xfId="5775" xr:uid="{00000000-0005-0000-0000-0000BE1F0000}"/>
    <cellStyle name="Normal 12 7 2 2 2" xfId="5776" xr:uid="{00000000-0005-0000-0000-0000BF1F0000}"/>
    <cellStyle name="Normal 12 7 2 2 2 2" xfId="5777" xr:uid="{00000000-0005-0000-0000-0000C01F0000}"/>
    <cellStyle name="Normal 12 7 2 2 2 2 2" xfId="48374" xr:uid="{00000000-0005-0000-0000-0000C11F0000}"/>
    <cellStyle name="Normal 12 7 2 2 2 2 3" xfId="48375" xr:uid="{00000000-0005-0000-0000-0000C21F0000}"/>
    <cellStyle name="Normal 12 7 2 2 2 3" xfId="5778" xr:uid="{00000000-0005-0000-0000-0000C31F0000}"/>
    <cellStyle name="Normal 12 7 2 2 2 3 2" xfId="48376" xr:uid="{00000000-0005-0000-0000-0000C41F0000}"/>
    <cellStyle name="Normal 12 7 2 2 2 4" xfId="5779" xr:uid="{00000000-0005-0000-0000-0000C51F0000}"/>
    <cellStyle name="Normal 12 7 2 2 2 5" xfId="5780" xr:uid="{00000000-0005-0000-0000-0000C61F0000}"/>
    <cellStyle name="Normal 12 7 2 2 2 6" xfId="5781" xr:uid="{00000000-0005-0000-0000-0000C71F0000}"/>
    <cellStyle name="Normal 12 7 2 2 3" xfId="5782" xr:uid="{00000000-0005-0000-0000-0000C81F0000}"/>
    <cellStyle name="Normal 12 7 2 2 3 2" xfId="48377" xr:uid="{00000000-0005-0000-0000-0000C91F0000}"/>
    <cellStyle name="Normal 12 7 2 2 3 3" xfId="48378" xr:uid="{00000000-0005-0000-0000-0000CA1F0000}"/>
    <cellStyle name="Normal 12 7 2 2 4" xfId="5783" xr:uid="{00000000-0005-0000-0000-0000CB1F0000}"/>
    <cellStyle name="Normal 12 7 2 2 4 2" xfId="48379" xr:uid="{00000000-0005-0000-0000-0000CC1F0000}"/>
    <cellStyle name="Normal 12 7 2 2 5" xfId="5784" xr:uid="{00000000-0005-0000-0000-0000CD1F0000}"/>
    <cellStyle name="Normal 12 7 2 2 6" xfId="5785" xr:uid="{00000000-0005-0000-0000-0000CE1F0000}"/>
    <cellStyle name="Normal 12 7 2 2 7" xfId="5786" xr:uid="{00000000-0005-0000-0000-0000CF1F0000}"/>
    <cellStyle name="Normal 12 7 2 3" xfId="5787" xr:uid="{00000000-0005-0000-0000-0000D01F0000}"/>
    <cellStyle name="Normal 12 7 2 3 2" xfId="5788" xr:uid="{00000000-0005-0000-0000-0000D11F0000}"/>
    <cellStyle name="Normal 12 7 2 3 2 2" xfId="48380" xr:uid="{00000000-0005-0000-0000-0000D21F0000}"/>
    <cellStyle name="Normal 12 7 2 3 2 3" xfId="48381" xr:uid="{00000000-0005-0000-0000-0000D31F0000}"/>
    <cellStyle name="Normal 12 7 2 3 3" xfId="5789" xr:uid="{00000000-0005-0000-0000-0000D41F0000}"/>
    <cellStyle name="Normal 12 7 2 3 3 2" xfId="48382" xr:uid="{00000000-0005-0000-0000-0000D51F0000}"/>
    <cellStyle name="Normal 12 7 2 3 4" xfId="5790" xr:uid="{00000000-0005-0000-0000-0000D61F0000}"/>
    <cellStyle name="Normal 12 7 2 3 5" xfId="5791" xr:uid="{00000000-0005-0000-0000-0000D71F0000}"/>
    <cellStyle name="Normal 12 7 2 3 6" xfId="5792" xr:uid="{00000000-0005-0000-0000-0000D81F0000}"/>
    <cellStyle name="Normal 12 7 2 4" xfId="5793" xr:uid="{00000000-0005-0000-0000-0000D91F0000}"/>
    <cellStyle name="Normal 12 7 2 4 2" xfId="48383" xr:uid="{00000000-0005-0000-0000-0000DA1F0000}"/>
    <cellStyle name="Normal 12 7 2 4 3" xfId="48384" xr:uid="{00000000-0005-0000-0000-0000DB1F0000}"/>
    <cellStyle name="Normal 12 7 2 5" xfId="5794" xr:uid="{00000000-0005-0000-0000-0000DC1F0000}"/>
    <cellStyle name="Normal 12 7 2 5 2" xfId="48385" xr:uid="{00000000-0005-0000-0000-0000DD1F0000}"/>
    <cellStyle name="Normal 12 7 2 6" xfId="5795" xr:uid="{00000000-0005-0000-0000-0000DE1F0000}"/>
    <cellStyle name="Normal 12 7 2 7" xfId="5796" xr:uid="{00000000-0005-0000-0000-0000DF1F0000}"/>
    <cellStyle name="Normal 12 7 2 8" xfId="5797" xr:uid="{00000000-0005-0000-0000-0000E01F0000}"/>
    <cellStyle name="Normal 12 7 2 9" xfId="5798" xr:uid="{00000000-0005-0000-0000-0000E11F0000}"/>
    <cellStyle name="Normal 12 7 3" xfId="5799" xr:uid="{00000000-0005-0000-0000-0000E21F0000}"/>
    <cellStyle name="Normal 12 7 3 2" xfId="5800" xr:uid="{00000000-0005-0000-0000-0000E31F0000}"/>
    <cellStyle name="Normal 12 7 3 2 2" xfId="5801" xr:uid="{00000000-0005-0000-0000-0000E41F0000}"/>
    <cellStyle name="Normal 12 7 3 2 2 2" xfId="5802" xr:uid="{00000000-0005-0000-0000-0000E51F0000}"/>
    <cellStyle name="Normal 12 7 3 2 2 2 2" xfId="48386" xr:uid="{00000000-0005-0000-0000-0000E61F0000}"/>
    <cellStyle name="Normal 12 7 3 2 2 2 3" xfId="48387" xr:uid="{00000000-0005-0000-0000-0000E71F0000}"/>
    <cellStyle name="Normal 12 7 3 2 2 3" xfId="5803" xr:uid="{00000000-0005-0000-0000-0000E81F0000}"/>
    <cellStyle name="Normal 12 7 3 2 2 3 2" xfId="48388" xr:uid="{00000000-0005-0000-0000-0000E91F0000}"/>
    <cellStyle name="Normal 12 7 3 2 2 4" xfId="5804" xr:uid="{00000000-0005-0000-0000-0000EA1F0000}"/>
    <cellStyle name="Normal 12 7 3 2 2 5" xfId="5805" xr:uid="{00000000-0005-0000-0000-0000EB1F0000}"/>
    <cellStyle name="Normal 12 7 3 2 2 6" xfId="5806" xr:uid="{00000000-0005-0000-0000-0000EC1F0000}"/>
    <cellStyle name="Normal 12 7 3 2 3" xfId="5807" xr:uid="{00000000-0005-0000-0000-0000ED1F0000}"/>
    <cellStyle name="Normal 12 7 3 2 3 2" xfId="48389" xr:uid="{00000000-0005-0000-0000-0000EE1F0000}"/>
    <cellStyle name="Normal 12 7 3 2 3 3" xfId="48390" xr:uid="{00000000-0005-0000-0000-0000EF1F0000}"/>
    <cellStyle name="Normal 12 7 3 2 4" xfId="5808" xr:uid="{00000000-0005-0000-0000-0000F01F0000}"/>
    <cellStyle name="Normal 12 7 3 2 4 2" xfId="48391" xr:uid="{00000000-0005-0000-0000-0000F11F0000}"/>
    <cellStyle name="Normal 12 7 3 2 5" xfId="5809" xr:uid="{00000000-0005-0000-0000-0000F21F0000}"/>
    <cellStyle name="Normal 12 7 3 2 6" xfId="5810" xr:uid="{00000000-0005-0000-0000-0000F31F0000}"/>
    <cellStyle name="Normal 12 7 3 2 7" xfId="5811" xr:uid="{00000000-0005-0000-0000-0000F41F0000}"/>
    <cellStyle name="Normal 12 7 3 3" xfId="5812" xr:uid="{00000000-0005-0000-0000-0000F51F0000}"/>
    <cellStyle name="Normal 12 7 3 3 2" xfId="5813" xr:uid="{00000000-0005-0000-0000-0000F61F0000}"/>
    <cellStyle name="Normal 12 7 3 3 2 2" xfId="48392" xr:uid="{00000000-0005-0000-0000-0000F71F0000}"/>
    <cellStyle name="Normal 12 7 3 3 2 3" xfId="48393" xr:uid="{00000000-0005-0000-0000-0000F81F0000}"/>
    <cellStyle name="Normal 12 7 3 3 3" xfId="5814" xr:uid="{00000000-0005-0000-0000-0000F91F0000}"/>
    <cellStyle name="Normal 12 7 3 3 3 2" xfId="48394" xr:uid="{00000000-0005-0000-0000-0000FA1F0000}"/>
    <cellStyle name="Normal 12 7 3 3 4" xfId="5815" xr:uid="{00000000-0005-0000-0000-0000FB1F0000}"/>
    <cellStyle name="Normal 12 7 3 3 5" xfId="5816" xr:uid="{00000000-0005-0000-0000-0000FC1F0000}"/>
    <cellStyle name="Normal 12 7 3 3 6" xfId="5817" xr:uid="{00000000-0005-0000-0000-0000FD1F0000}"/>
    <cellStyle name="Normal 12 7 3 4" xfId="5818" xr:uid="{00000000-0005-0000-0000-0000FE1F0000}"/>
    <cellStyle name="Normal 12 7 3 4 2" xfId="48395" xr:uid="{00000000-0005-0000-0000-0000FF1F0000}"/>
    <cellStyle name="Normal 12 7 3 4 3" xfId="48396" xr:uid="{00000000-0005-0000-0000-000000200000}"/>
    <cellStyle name="Normal 12 7 3 5" xfId="5819" xr:uid="{00000000-0005-0000-0000-000001200000}"/>
    <cellStyle name="Normal 12 7 3 5 2" xfId="48397" xr:uid="{00000000-0005-0000-0000-000002200000}"/>
    <cellStyle name="Normal 12 7 3 6" xfId="5820" xr:uid="{00000000-0005-0000-0000-000003200000}"/>
    <cellStyle name="Normal 12 7 3 7" xfId="5821" xr:uid="{00000000-0005-0000-0000-000004200000}"/>
    <cellStyle name="Normal 12 7 3 8" xfId="5822" xr:uid="{00000000-0005-0000-0000-000005200000}"/>
    <cellStyle name="Normal 12 7 4" xfId="5823" xr:uid="{00000000-0005-0000-0000-000006200000}"/>
    <cellStyle name="Normal 12 7 4 2" xfId="5824" xr:uid="{00000000-0005-0000-0000-000007200000}"/>
    <cellStyle name="Normal 12 7 4 2 2" xfId="5825" xr:uid="{00000000-0005-0000-0000-000008200000}"/>
    <cellStyle name="Normal 12 7 4 2 2 2" xfId="48398" xr:uid="{00000000-0005-0000-0000-000009200000}"/>
    <cellStyle name="Normal 12 7 4 2 2 3" xfId="48399" xr:uid="{00000000-0005-0000-0000-00000A200000}"/>
    <cellStyle name="Normal 12 7 4 2 3" xfId="5826" xr:uid="{00000000-0005-0000-0000-00000B200000}"/>
    <cellStyle name="Normal 12 7 4 2 3 2" xfId="48400" xr:uid="{00000000-0005-0000-0000-00000C200000}"/>
    <cellStyle name="Normal 12 7 4 2 4" xfId="5827" xr:uid="{00000000-0005-0000-0000-00000D200000}"/>
    <cellStyle name="Normal 12 7 4 2 5" xfId="5828" xr:uid="{00000000-0005-0000-0000-00000E200000}"/>
    <cellStyle name="Normal 12 7 4 2 6" xfId="5829" xr:uid="{00000000-0005-0000-0000-00000F200000}"/>
    <cellStyle name="Normal 12 7 4 3" xfId="5830" xr:uid="{00000000-0005-0000-0000-000010200000}"/>
    <cellStyle name="Normal 12 7 4 3 2" xfId="48401" xr:uid="{00000000-0005-0000-0000-000011200000}"/>
    <cellStyle name="Normal 12 7 4 3 3" xfId="48402" xr:uid="{00000000-0005-0000-0000-000012200000}"/>
    <cellStyle name="Normal 12 7 4 4" xfId="5831" xr:uid="{00000000-0005-0000-0000-000013200000}"/>
    <cellStyle name="Normal 12 7 4 4 2" xfId="48403" xr:uid="{00000000-0005-0000-0000-000014200000}"/>
    <cellStyle name="Normal 12 7 4 5" xfId="5832" xr:uid="{00000000-0005-0000-0000-000015200000}"/>
    <cellStyle name="Normal 12 7 4 6" xfId="5833" xr:uid="{00000000-0005-0000-0000-000016200000}"/>
    <cellStyle name="Normal 12 7 4 7" xfId="5834" xr:uid="{00000000-0005-0000-0000-000017200000}"/>
    <cellStyle name="Normal 12 7 5" xfId="5835" xr:uid="{00000000-0005-0000-0000-000018200000}"/>
    <cellStyle name="Normal 12 7 5 2" xfId="5836" xr:uid="{00000000-0005-0000-0000-000019200000}"/>
    <cellStyle name="Normal 12 7 5 2 2" xfId="48404" xr:uid="{00000000-0005-0000-0000-00001A200000}"/>
    <cellStyle name="Normal 12 7 5 2 3" xfId="48405" xr:uid="{00000000-0005-0000-0000-00001B200000}"/>
    <cellStyle name="Normal 12 7 5 3" xfId="5837" xr:uid="{00000000-0005-0000-0000-00001C200000}"/>
    <cellStyle name="Normal 12 7 5 3 2" xfId="48406" xr:uid="{00000000-0005-0000-0000-00001D200000}"/>
    <cellStyle name="Normal 12 7 5 4" xfId="5838" xr:uid="{00000000-0005-0000-0000-00001E200000}"/>
    <cellStyle name="Normal 12 7 5 5" xfId="5839" xr:uid="{00000000-0005-0000-0000-00001F200000}"/>
    <cellStyle name="Normal 12 7 5 6" xfId="5840" xr:uid="{00000000-0005-0000-0000-000020200000}"/>
    <cellStyle name="Normal 12 7 6" xfId="5841" xr:uid="{00000000-0005-0000-0000-000021200000}"/>
    <cellStyle name="Normal 12 7 6 2" xfId="48407" xr:uid="{00000000-0005-0000-0000-000022200000}"/>
    <cellStyle name="Normal 12 7 6 3" xfId="48408" xr:uid="{00000000-0005-0000-0000-000023200000}"/>
    <cellStyle name="Normal 12 7 7" xfId="5842" xr:uid="{00000000-0005-0000-0000-000024200000}"/>
    <cellStyle name="Normal 12 7 7 2" xfId="48409" xr:uid="{00000000-0005-0000-0000-000025200000}"/>
    <cellStyle name="Normal 12 7 8" xfId="5843" xr:uid="{00000000-0005-0000-0000-000026200000}"/>
    <cellStyle name="Normal 12 7 9" xfId="5844" xr:uid="{00000000-0005-0000-0000-000027200000}"/>
    <cellStyle name="Normal 12 8" xfId="5845" xr:uid="{00000000-0005-0000-0000-000028200000}"/>
    <cellStyle name="Normal 12 8 10" xfId="5846" xr:uid="{00000000-0005-0000-0000-000029200000}"/>
    <cellStyle name="Normal 12 8 11" xfId="5847" xr:uid="{00000000-0005-0000-0000-00002A200000}"/>
    <cellStyle name="Normal 12 8 12" xfId="5848" xr:uid="{00000000-0005-0000-0000-00002B200000}"/>
    <cellStyle name="Normal 12 8 13" xfId="5849" xr:uid="{00000000-0005-0000-0000-00002C200000}"/>
    <cellStyle name="Normal 12 8 2" xfId="5850" xr:uid="{00000000-0005-0000-0000-00002D200000}"/>
    <cellStyle name="Normal 12 8 2 2" xfId="5851" xr:uid="{00000000-0005-0000-0000-00002E200000}"/>
    <cellStyle name="Normal 12 8 2 2 2" xfId="5852" xr:uid="{00000000-0005-0000-0000-00002F200000}"/>
    <cellStyle name="Normal 12 8 2 2 2 2" xfId="5853" xr:uid="{00000000-0005-0000-0000-000030200000}"/>
    <cellStyle name="Normal 12 8 2 2 2 2 2" xfId="48410" xr:uid="{00000000-0005-0000-0000-000031200000}"/>
    <cellStyle name="Normal 12 8 2 2 2 2 3" xfId="48411" xr:uid="{00000000-0005-0000-0000-000032200000}"/>
    <cellStyle name="Normal 12 8 2 2 2 3" xfId="5854" xr:uid="{00000000-0005-0000-0000-000033200000}"/>
    <cellStyle name="Normal 12 8 2 2 2 3 2" xfId="48412" xr:uid="{00000000-0005-0000-0000-000034200000}"/>
    <cellStyle name="Normal 12 8 2 2 2 4" xfId="5855" xr:uid="{00000000-0005-0000-0000-000035200000}"/>
    <cellStyle name="Normal 12 8 2 2 2 5" xfId="5856" xr:uid="{00000000-0005-0000-0000-000036200000}"/>
    <cellStyle name="Normal 12 8 2 2 2 6" xfId="5857" xr:uid="{00000000-0005-0000-0000-000037200000}"/>
    <cellStyle name="Normal 12 8 2 2 3" xfId="5858" xr:uid="{00000000-0005-0000-0000-000038200000}"/>
    <cellStyle name="Normal 12 8 2 2 3 2" xfId="48413" xr:uid="{00000000-0005-0000-0000-000039200000}"/>
    <cellStyle name="Normal 12 8 2 2 3 3" xfId="48414" xr:uid="{00000000-0005-0000-0000-00003A200000}"/>
    <cellStyle name="Normal 12 8 2 2 4" xfId="5859" xr:uid="{00000000-0005-0000-0000-00003B200000}"/>
    <cellStyle name="Normal 12 8 2 2 4 2" xfId="48415" xr:uid="{00000000-0005-0000-0000-00003C200000}"/>
    <cellStyle name="Normal 12 8 2 2 5" xfId="5860" xr:uid="{00000000-0005-0000-0000-00003D200000}"/>
    <cellStyle name="Normal 12 8 2 2 6" xfId="5861" xr:uid="{00000000-0005-0000-0000-00003E200000}"/>
    <cellStyle name="Normal 12 8 2 2 7" xfId="5862" xr:uid="{00000000-0005-0000-0000-00003F200000}"/>
    <cellStyle name="Normal 12 8 2 3" xfId="5863" xr:uid="{00000000-0005-0000-0000-000040200000}"/>
    <cellStyle name="Normal 12 8 2 3 2" xfId="5864" xr:uid="{00000000-0005-0000-0000-000041200000}"/>
    <cellStyle name="Normal 12 8 2 3 2 2" xfId="48416" xr:uid="{00000000-0005-0000-0000-000042200000}"/>
    <cellStyle name="Normal 12 8 2 3 2 3" xfId="48417" xr:uid="{00000000-0005-0000-0000-000043200000}"/>
    <cellStyle name="Normal 12 8 2 3 3" xfId="5865" xr:uid="{00000000-0005-0000-0000-000044200000}"/>
    <cellStyle name="Normal 12 8 2 3 3 2" xfId="48418" xr:uid="{00000000-0005-0000-0000-000045200000}"/>
    <cellStyle name="Normal 12 8 2 3 4" xfId="5866" xr:uid="{00000000-0005-0000-0000-000046200000}"/>
    <cellStyle name="Normal 12 8 2 3 5" xfId="5867" xr:uid="{00000000-0005-0000-0000-000047200000}"/>
    <cellStyle name="Normal 12 8 2 3 6" xfId="5868" xr:uid="{00000000-0005-0000-0000-000048200000}"/>
    <cellStyle name="Normal 12 8 2 4" xfId="5869" xr:uid="{00000000-0005-0000-0000-000049200000}"/>
    <cellStyle name="Normal 12 8 2 4 2" xfId="48419" xr:uid="{00000000-0005-0000-0000-00004A200000}"/>
    <cellStyle name="Normal 12 8 2 4 3" xfId="48420" xr:uid="{00000000-0005-0000-0000-00004B200000}"/>
    <cellStyle name="Normal 12 8 2 5" xfId="5870" xr:uid="{00000000-0005-0000-0000-00004C200000}"/>
    <cellStyle name="Normal 12 8 2 5 2" xfId="48421" xr:uid="{00000000-0005-0000-0000-00004D200000}"/>
    <cellStyle name="Normal 12 8 2 6" xfId="5871" xr:uid="{00000000-0005-0000-0000-00004E200000}"/>
    <cellStyle name="Normal 12 8 2 7" xfId="5872" xr:uid="{00000000-0005-0000-0000-00004F200000}"/>
    <cellStyle name="Normal 12 8 2 8" xfId="5873" xr:uid="{00000000-0005-0000-0000-000050200000}"/>
    <cellStyle name="Normal 12 8 2 9" xfId="5874" xr:uid="{00000000-0005-0000-0000-000051200000}"/>
    <cellStyle name="Normal 12 8 3" xfId="5875" xr:uid="{00000000-0005-0000-0000-000052200000}"/>
    <cellStyle name="Normal 12 8 3 2" xfId="5876" xr:uid="{00000000-0005-0000-0000-000053200000}"/>
    <cellStyle name="Normal 12 8 3 2 2" xfId="5877" xr:uid="{00000000-0005-0000-0000-000054200000}"/>
    <cellStyle name="Normal 12 8 3 2 2 2" xfId="48422" xr:uid="{00000000-0005-0000-0000-000055200000}"/>
    <cellStyle name="Normal 12 8 3 2 2 3" xfId="48423" xr:uid="{00000000-0005-0000-0000-000056200000}"/>
    <cellStyle name="Normal 12 8 3 2 3" xfId="5878" xr:uid="{00000000-0005-0000-0000-000057200000}"/>
    <cellStyle name="Normal 12 8 3 2 3 2" xfId="48424" xr:uid="{00000000-0005-0000-0000-000058200000}"/>
    <cellStyle name="Normal 12 8 3 2 4" xfId="5879" xr:uid="{00000000-0005-0000-0000-000059200000}"/>
    <cellStyle name="Normal 12 8 3 2 5" xfId="5880" xr:uid="{00000000-0005-0000-0000-00005A200000}"/>
    <cellStyle name="Normal 12 8 3 2 6" xfId="5881" xr:uid="{00000000-0005-0000-0000-00005B200000}"/>
    <cellStyle name="Normal 12 8 3 3" xfId="5882" xr:uid="{00000000-0005-0000-0000-00005C200000}"/>
    <cellStyle name="Normal 12 8 3 3 2" xfId="48425" xr:uid="{00000000-0005-0000-0000-00005D200000}"/>
    <cellStyle name="Normal 12 8 3 3 3" xfId="48426" xr:uid="{00000000-0005-0000-0000-00005E200000}"/>
    <cellStyle name="Normal 12 8 3 4" xfId="5883" xr:uid="{00000000-0005-0000-0000-00005F200000}"/>
    <cellStyle name="Normal 12 8 3 4 2" xfId="48427" xr:uid="{00000000-0005-0000-0000-000060200000}"/>
    <cellStyle name="Normal 12 8 3 5" xfId="5884" xr:uid="{00000000-0005-0000-0000-000061200000}"/>
    <cellStyle name="Normal 12 8 3 6" xfId="5885" xr:uid="{00000000-0005-0000-0000-000062200000}"/>
    <cellStyle name="Normal 12 8 3 7" xfId="5886" xr:uid="{00000000-0005-0000-0000-000063200000}"/>
    <cellStyle name="Normal 12 8 4" xfId="5887" xr:uid="{00000000-0005-0000-0000-000064200000}"/>
    <cellStyle name="Normal 12 8 4 2" xfId="5888" xr:uid="{00000000-0005-0000-0000-000065200000}"/>
    <cellStyle name="Normal 12 8 4 2 2" xfId="48428" xr:uid="{00000000-0005-0000-0000-000066200000}"/>
    <cellStyle name="Normal 12 8 4 2 3" xfId="48429" xr:uid="{00000000-0005-0000-0000-000067200000}"/>
    <cellStyle name="Normal 12 8 4 3" xfId="5889" xr:uid="{00000000-0005-0000-0000-000068200000}"/>
    <cellStyle name="Normal 12 8 4 3 2" xfId="48430" xr:uid="{00000000-0005-0000-0000-000069200000}"/>
    <cellStyle name="Normal 12 8 4 4" xfId="5890" xr:uid="{00000000-0005-0000-0000-00006A200000}"/>
    <cellStyle name="Normal 12 8 4 5" xfId="5891" xr:uid="{00000000-0005-0000-0000-00006B200000}"/>
    <cellStyle name="Normal 12 8 4 6" xfId="5892" xr:uid="{00000000-0005-0000-0000-00006C200000}"/>
    <cellStyle name="Normal 12 8 5" xfId="5893" xr:uid="{00000000-0005-0000-0000-00006D200000}"/>
    <cellStyle name="Normal 12 8 5 2" xfId="48431" xr:uid="{00000000-0005-0000-0000-00006E200000}"/>
    <cellStyle name="Normal 12 8 5 3" xfId="48432" xr:uid="{00000000-0005-0000-0000-00006F200000}"/>
    <cellStyle name="Normal 12 8 6" xfId="5894" xr:uid="{00000000-0005-0000-0000-000070200000}"/>
    <cellStyle name="Normal 12 8 6 2" xfId="48433" xr:uid="{00000000-0005-0000-0000-000071200000}"/>
    <cellStyle name="Normal 12 8 7" xfId="5895" xr:uid="{00000000-0005-0000-0000-000072200000}"/>
    <cellStyle name="Normal 12 8 8" xfId="5896" xr:uid="{00000000-0005-0000-0000-000073200000}"/>
    <cellStyle name="Normal 12 8 9" xfId="5897" xr:uid="{00000000-0005-0000-0000-000074200000}"/>
    <cellStyle name="Normal 12 9" xfId="5898" xr:uid="{00000000-0005-0000-0000-000075200000}"/>
    <cellStyle name="Normal 12 9 2" xfId="5899" xr:uid="{00000000-0005-0000-0000-000076200000}"/>
    <cellStyle name="Normal 12 9 2 2" xfId="5900" xr:uid="{00000000-0005-0000-0000-000077200000}"/>
    <cellStyle name="Normal 12 9 2 2 2" xfId="5901" xr:uid="{00000000-0005-0000-0000-000078200000}"/>
    <cellStyle name="Normal 12 9 2 2 2 2" xfId="48434" xr:uid="{00000000-0005-0000-0000-000079200000}"/>
    <cellStyle name="Normal 12 9 2 2 2 3" xfId="48435" xr:uid="{00000000-0005-0000-0000-00007A200000}"/>
    <cellStyle name="Normal 12 9 2 2 3" xfId="5902" xr:uid="{00000000-0005-0000-0000-00007B200000}"/>
    <cellStyle name="Normal 12 9 2 2 3 2" xfId="48436" xr:uid="{00000000-0005-0000-0000-00007C200000}"/>
    <cellStyle name="Normal 12 9 2 2 4" xfId="5903" xr:uid="{00000000-0005-0000-0000-00007D200000}"/>
    <cellStyle name="Normal 12 9 2 2 5" xfId="5904" xr:uid="{00000000-0005-0000-0000-00007E200000}"/>
    <cellStyle name="Normal 12 9 2 2 6" xfId="5905" xr:uid="{00000000-0005-0000-0000-00007F200000}"/>
    <cellStyle name="Normal 12 9 2 3" xfId="5906" xr:uid="{00000000-0005-0000-0000-000080200000}"/>
    <cellStyle name="Normal 12 9 2 3 2" xfId="48437" xr:uid="{00000000-0005-0000-0000-000081200000}"/>
    <cellStyle name="Normal 12 9 2 3 3" xfId="48438" xr:uid="{00000000-0005-0000-0000-000082200000}"/>
    <cellStyle name="Normal 12 9 2 4" xfId="5907" xr:uid="{00000000-0005-0000-0000-000083200000}"/>
    <cellStyle name="Normal 12 9 2 4 2" xfId="48439" xr:uid="{00000000-0005-0000-0000-000084200000}"/>
    <cellStyle name="Normal 12 9 2 5" xfId="5908" xr:uid="{00000000-0005-0000-0000-000085200000}"/>
    <cellStyle name="Normal 12 9 2 6" xfId="5909" xr:uid="{00000000-0005-0000-0000-000086200000}"/>
    <cellStyle name="Normal 12 9 2 7" xfId="5910" xr:uid="{00000000-0005-0000-0000-000087200000}"/>
    <cellStyle name="Normal 12 9 3" xfId="5911" xr:uid="{00000000-0005-0000-0000-000088200000}"/>
    <cellStyle name="Normal 12 9 3 2" xfId="5912" xr:uid="{00000000-0005-0000-0000-000089200000}"/>
    <cellStyle name="Normal 12 9 3 2 2" xfId="48440" xr:uid="{00000000-0005-0000-0000-00008A200000}"/>
    <cellStyle name="Normal 12 9 3 2 3" xfId="48441" xr:uid="{00000000-0005-0000-0000-00008B200000}"/>
    <cellStyle name="Normal 12 9 3 3" xfId="5913" xr:uid="{00000000-0005-0000-0000-00008C200000}"/>
    <cellStyle name="Normal 12 9 3 3 2" xfId="48442" xr:uid="{00000000-0005-0000-0000-00008D200000}"/>
    <cellStyle name="Normal 12 9 3 4" xfId="5914" xr:uid="{00000000-0005-0000-0000-00008E200000}"/>
    <cellStyle name="Normal 12 9 3 5" xfId="5915" xr:uid="{00000000-0005-0000-0000-00008F200000}"/>
    <cellStyle name="Normal 12 9 3 6" xfId="5916" xr:uid="{00000000-0005-0000-0000-000090200000}"/>
    <cellStyle name="Normal 12 9 4" xfId="5917" xr:uid="{00000000-0005-0000-0000-000091200000}"/>
    <cellStyle name="Normal 12 9 4 2" xfId="48443" xr:uid="{00000000-0005-0000-0000-000092200000}"/>
    <cellStyle name="Normal 12 9 4 3" xfId="48444" xr:uid="{00000000-0005-0000-0000-000093200000}"/>
    <cellStyle name="Normal 12 9 5" xfId="5918" xr:uid="{00000000-0005-0000-0000-000094200000}"/>
    <cellStyle name="Normal 12 9 5 2" xfId="48445" xr:uid="{00000000-0005-0000-0000-000095200000}"/>
    <cellStyle name="Normal 12 9 6" xfId="5919" xr:uid="{00000000-0005-0000-0000-000096200000}"/>
    <cellStyle name="Normal 12 9 7" xfId="5920" xr:uid="{00000000-0005-0000-0000-000097200000}"/>
    <cellStyle name="Normal 12 9 8" xfId="5921" xr:uid="{00000000-0005-0000-0000-000098200000}"/>
    <cellStyle name="Normal 12 9 9" xfId="5922" xr:uid="{00000000-0005-0000-0000-000099200000}"/>
    <cellStyle name="Normal 120" xfId="48446" xr:uid="{00000000-0005-0000-0000-00009A200000}"/>
    <cellStyle name="Normal 120 2" xfId="48447" xr:uid="{00000000-0005-0000-0000-00009B200000}"/>
    <cellStyle name="Normal 121" xfId="1" xr:uid="{00000000-0005-0000-0000-00009C200000}"/>
    <cellStyle name="Normal 122" xfId="63079" xr:uid="{00000000-0005-0000-0000-00009D200000}"/>
    <cellStyle name="Normal 13" xfId="5923" xr:uid="{00000000-0005-0000-0000-00009E200000}"/>
    <cellStyle name="Normal 13 10" xfId="5924" xr:uid="{00000000-0005-0000-0000-00009F200000}"/>
    <cellStyle name="Normal 13 10 2" xfId="5925" xr:uid="{00000000-0005-0000-0000-0000A0200000}"/>
    <cellStyle name="Normal 13 10 2 2" xfId="5926" xr:uid="{00000000-0005-0000-0000-0000A1200000}"/>
    <cellStyle name="Normal 13 10 2 2 2" xfId="5927" xr:uid="{00000000-0005-0000-0000-0000A2200000}"/>
    <cellStyle name="Normal 13 10 2 2 2 2" xfId="48448" xr:uid="{00000000-0005-0000-0000-0000A3200000}"/>
    <cellStyle name="Normal 13 10 2 2 2 3" xfId="48449" xr:uid="{00000000-0005-0000-0000-0000A4200000}"/>
    <cellStyle name="Normal 13 10 2 2 3" xfId="5928" xr:uid="{00000000-0005-0000-0000-0000A5200000}"/>
    <cellStyle name="Normal 13 10 2 2 3 2" xfId="48450" xr:uid="{00000000-0005-0000-0000-0000A6200000}"/>
    <cellStyle name="Normal 13 10 2 2 4" xfId="5929" xr:uid="{00000000-0005-0000-0000-0000A7200000}"/>
    <cellStyle name="Normal 13 10 2 2 5" xfId="5930" xr:uid="{00000000-0005-0000-0000-0000A8200000}"/>
    <cellStyle name="Normal 13 10 2 2 6" xfId="5931" xr:uid="{00000000-0005-0000-0000-0000A9200000}"/>
    <cellStyle name="Normal 13 10 2 3" xfId="5932" xr:uid="{00000000-0005-0000-0000-0000AA200000}"/>
    <cellStyle name="Normal 13 10 2 3 2" xfId="48451" xr:uid="{00000000-0005-0000-0000-0000AB200000}"/>
    <cellStyle name="Normal 13 10 2 3 3" xfId="48452" xr:uid="{00000000-0005-0000-0000-0000AC200000}"/>
    <cellStyle name="Normal 13 10 2 4" xfId="5933" xr:uid="{00000000-0005-0000-0000-0000AD200000}"/>
    <cellStyle name="Normal 13 10 2 4 2" xfId="48453" xr:uid="{00000000-0005-0000-0000-0000AE200000}"/>
    <cellStyle name="Normal 13 10 2 5" xfId="5934" xr:uid="{00000000-0005-0000-0000-0000AF200000}"/>
    <cellStyle name="Normal 13 10 2 6" xfId="5935" xr:uid="{00000000-0005-0000-0000-0000B0200000}"/>
    <cellStyle name="Normal 13 10 2 7" xfId="5936" xr:uid="{00000000-0005-0000-0000-0000B1200000}"/>
    <cellStyle name="Normal 13 10 3" xfId="5937" xr:uid="{00000000-0005-0000-0000-0000B2200000}"/>
    <cellStyle name="Normal 13 10 3 2" xfId="5938" xr:uid="{00000000-0005-0000-0000-0000B3200000}"/>
    <cellStyle name="Normal 13 10 3 2 2" xfId="48454" xr:uid="{00000000-0005-0000-0000-0000B4200000}"/>
    <cellStyle name="Normal 13 10 3 2 3" xfId="48455" xr:uid="{00000000-0005-0000-0000-0000B5200000}"/>
    <cellStyle name="Normal 13 10 3 3" xfId="5939" xr:uid="{00000000-0005-0000-0000-0000B6200000}"/>
    <cellStyle name="Normal 13 10 3 3 2" xfId="48456" xr:uid="{00000000-0005-0000-0000-0000B7200000}"/>
    <cellStyle name="Normal 13 10 3 4" xfId="5940" xr:uid="{00000000-0005-0000-0000-0000B8200000}"/>
    <cellStyle name="Normal 13 10 3 5" xfId="5941" xr:uid="{00000000-0005-0000-0000-0000B9200000}"/>
    <cellStyle name="Normal 13 10 3 6" xfId="5942" xr:uid="{00000000-0005-0000-0000-0000BA200000}"/>
    <cellStyle name="Normal 13 10 4" xfId="5943" xr:uid="{00000000-0005-0000-0000-0000BB200000}"/>
    <cellStyle name="Normal 13 10 4 2" xfId="48457" xr:uid="{00000000-0005-0000-0000-0000BC200000}"/>
    <cellStyle name="Normal 13 10 4 3" xfId="48458" xr:uid="{00000000-0005-0000-0000-0000BD200000}"/>
    <cellStyle name="Normal 13 10 5" xfId="5944" xr:uid="{00000000-0005-0000-0000-0000BE200000}"/>
    <cellStyle name="Normal 13 10 5 2" xfId="48459" xr:uid="{00000000-0005-0000-0000-0000BF200000}"/>
    <cellStyle name="Normal 13 10 6" xfId="5945" xr:uid="{00000000-0005-0000-0000-0000C0200000}"/>
    <cellStyle name="Normal 13 10 7" xfId="5946" xr:uid="{00000000-0005-0000-0000-0000C1200000}"/>
    <cellStyle name="Normal 13 10 8" xfId="5947" xr:uid="{00000000-0005-0000-0000-0000C2200000}"/>
    <cellStyle name="Normal 13 10 9" xfId="5948" xr:uid="{00000000-0005-0000-0000-0000C3200000}"/>
    <cellStyle name="Normal 13 11" xfId="5949" xr:uid="{00000000-0005-0000-0000-0000C4200000}"/>
    <cellStyle name="Normal 13 11 2" xfId="5950" xr:uid="{00000000-0005-0000-0000-0000C5200000}"/>
    <cellStyle name="Normal 13 11 2 2" xfId="5951" xr:uid="{00000000-0005-0000-0000-0000C6200000}"/>
    <cellStyle name="Normal 13 11 2 2 2" xfId="5952" xr:uid="{00000000-0005-0000-0000-0000C7200000}"/>
    <cellStyle name="Normal 13 11 2 2 2 2" xfId="48460" xr:uid="{00000000-0005-0000-0000-0000C8200000}"/>
    <cellStyle name="Normal 13 11 2 2 2 3" xfId="48461" xr:uid="{00000000-0005-0000-0000-0000C9200000}"/>
    <cellStyle name="Normal 13 11 2 2 3" xfId="5953" xr:uid="{00000000-0005-0000-0000-0000CA200000}"/>
    <cellStyle name="Normal 13 11 2 2 3 2" xfId="48462" xr:uid="{00000000-0005-0000-0000-0000CB200000}"/>
    <cellStyle name="Normal 13 11 2 2 4" xfId="5954" xr:uid="{00000000-0005-0000-0000-0000CC200000}"/>
    <cellStyle name="Normal 13 11 2 2 5" xfId="5955" xr:uid="{00000000-0005-0000-0000-0000CD200000}"/>
    <cellStyle name="Normal 13 11 2 2 6" xfId="5956" xr:uid="{00000000-0005-0000-0000-0000CE200000}"/>
    <cellStyle name="Normal 13 11 2 3" xfId="5957" xr:uid="{00000000-0005-0000-0000-0000CF200000}"/>
    <cellStyle name="Normal 13 11 2 3 2" xfId="48463" xr:uid="{00000000-0005-0000-0000-0000D0200000}"/>
    <cellStyle name="Normal 13 11 2 3 3" xfId="48464" xr:uid="{00000000-0005-0000-0000-0000D1200000}"/>
    <cellStyle name="Normal 13 11 2 4" xfId="5958" xr:uid="{00000000-0005-0000-0000-0000D2200000}"/>
    <cellStyle name="Normal 13 11 2 4 2" xfId="48465" xr:uid="{00000000-0005-0000-0000-0000D3200000}"/>
    <cellStyle name="Normal 13 11 2 5" xfId="5959" xr:uid="{00000000-0005-0000-0000-0000D4200000}"/>
    <cellStyle name="Normal 13 11 2 6" xfId="5960" xr:uid="{00000000-0005-0000-0000-0000D5200000}"/>
    <cellStyle name="Normal 13 11 2 7" xfId="5961" xr:uid="{00000000-0005-0000-0000-0000D6200000}"/>
    <cellStyle name="Normal 13 11 3" xfId="5962" xr:uid="{00000000-0005-0000-0000-0000D7200000}"/>
    <cellStyle name="Normal 13 11 3 2" xfId="5963" xr:uid="{00000000-0005-0000-0000-0000D8200000}"/>
    <cellStyle name="Normal 13 11 3 2 2" xfId="48466" xr:uid="{00000000-0005-0000-0000-0000D9200000}"/>
    <cellStyle name="Normal 13 11 3 2 3" xfId="48467" xr:uid="{00000000-0005-0000-0000-0000DA200000}"/>
    <cellStyle name="Normal 13 11 3 3" xfId="5964" xr:uid="{00000000-0005-0000-0000-0000DB200000}"/>
    <cellStyle name="Normal 13 11 3 3 2" xfId="48468" xr:uid="{00000000-0005-0000-0000-0000DC200000}"/>
    <cellStyle name="Normal 13 11 3 4" xfId="5965" xr:uid="{00000000-0005-0000-0000-0000DD200000}"/>
    <cellStyle name="Normal 13 11 3 5" xfId="5966" xr:uid="{00000000-0005-0000-0000-0000DE200000}"/>
    <cellStyle name="Normal 13 11 3 6" xfId="5967" xr:uid="{00000000-0005-0000-0000-0000DF200000}"/>
    <cellStyle name="Normal 13 11 4" xfId="5968" xr:uid="{00000000-0005-0000-0000-0000E0200000}"/>
    <cellStyle name="Normal 13 11 4 2" xfId="48469" xr:uid="{00000000-0005-0000-0000-0000E1200000}"/>
    <cellStyle name="Normal 13 11 4 3" xfId="48470" xr:uid="{00000000-0005-0000-0000-0000E2200000}"/>
    <cellStyle name="Normal 13 11 5" xfId="5969" xr:uid="{00000000-0005-0000-0000-0000E3200000}"/>
    <cellStyle name="Normal 13 11 5 2" xfId="48471" xr:uid="{00000000-0005-0000-0000-0000E4200000}"/>
    <cellStyle name="Normal 13 11 6" xfId="5970" xr:uid="{00000000-0005-0000-0000-0000E5200000}"/>
    <cellStyle name="Normal 13 11 7" xfId="5971" xr:uid="{00000000-0005-0000-0000-0000E6200000}"/>
    <cellStyle name="Normal 13 11 8" xfId="5972" xr:uid="{00000000-0005-0000-0000-0000E7200000}"/>
    <cellStyle name="Normal 13 12" xfId="5973" xr:uid="{00000000-0005-0000-0000-0000E8200000}"/>
    <cellStyle name="Normal 13 12 2" xfId="5974" xr:uid="{00000000-0005-0000-0000-0000E9200000}"/>
    <cellStyle name="Normal 13 12 2 2" xfId="5975" xr:uid="{00000000-0005-0000-0000-0000EA200000}"/>
    <cellStyle name="Normal 13 12 2 2 2" xfId="5976" xr:uid="{00000000-0005-0000-0000-0000EB200000}"/>
    <cellStyle name="Normal 13 12 2 2 2 2" xfId="48472" xr:uid="{00000000-0005-0000-0000-0000EC200000}"/>
    <cellStyle name="Normal 13 12 2 2 2 3" xfId="48473" xr:uid="{00000000-0005-0000-0000-0000ED200000}"/>
    <cellStyle name="Normal 13 12 2 2 3" xfId="5977" xr:uid="{00000000-0005-0000-0000-0000EE200000}"/>
    <cellStyle name="Normal 13 12 2 2 3 2" xfId="48474" xr:uid="{00000000-0005-0000-0000-0000EF200000}"/>
    <cellStyle name="Normal 13 12 2 2 4" xfId="5978" xr:uid="{00000000-0005-0000-0000-0000F0200000}"/>
    <cellStyle name="Normal 13 12 2 2 5" xfId="5979" xr:uid="{00000000-0005-0000-0000-0000F1200000}"/>
    <cellStyle name="Normal 13 12 2 2 6" xfId="5980" xr:uid="{00000000-0005-0000-0000-0000F2200000}"/>
    <cellStyle name="Normal 13 12 2 3" xfId="5981" xr:uid="{00000000-0005-0000-0000-0000F3200000}"/>
    <cellStyle name="Normal 13 12 2 3 2" xfId="48475" xr:uid="{00000000-0005-0000-0000-0000F4200000}"/>
    <cellStyle name="Normal 13 12 2 3 3" xfId="48476" xr:uid="{00000000-0005-0000-0000-0000F5200000}"/>
    <cellStyle name="Normal 13 12 2 4" xfId="5982" xr:uid="{00000000-0005-0000-0000-0000F6200000}"/>
    <cellStyle name="Normal 13 12 2 4 2" xfId="48477" xr:uid="{00000000-0005-0000-0000-0000F7200000}"/>
    <cellStyle name="Normal 13 12 2 5" xfId="5983" xr:uid="{00000000-0005-0000-0000-0000F8200000}"/>
    <cellStyle name="Normal 13 12 2 6" xfId="5984" xr:uid="{00000000-0005-0000-0000-0000F9200000}"/>
    <cellStyle name="Normal 13 12 2 7" xfId="5985" xr:uid="{00000000-0005-0000-0000-0000FA200000}"/>
    <cellStyle name="Normal 13 12 3" xfId="5986" xr:uid="{00000000-0005-0000-0000-0000FB200000}"/>
    <cellStyle name="Normal 13 12 3 2" xfId="5987" xr:uid="{00000000-0005-0000-0000-0000FC200000}"/>
    <cellStyle name="Normal 13 12 3 2 2" xfId="48478" xr:uid="{00000000-0005-0000-0000-0000FD200000}"/>
    <cellStyle name="Normal 13 12 3 2 3" xfId="48479" xr:uid="{00000000-0005-0000-0000-0000FE200000}"/>
    <cellStyle name="Normal 13 12 3 3" xfId="5988" xr:uid="{00000000-0005-0000-0000-0000FF200000}"/>
    <cellStyle name="Normal 13 12 3 3 2" xfId="48480" xr:uid="{00000000-0005-0000-0000-000000210000}"/>
    <cellStyle name="Normal 13 12 3 4" xfId="5989" xr:uid="{00000000-0005-0000-0000-000001210000}"/>
    <cellStyle name="Normal 13 12 3 5" xfId="5990" xr:uid="{00000000-0005-0000-0000-000002210000}"/>
    <cellStyle name="Normal 13 12 3 6" xfId="5991" xr:uid="{00000000-0005-0000-0000-000003210000}"/>
    <cellStyle name="Normal 13 12 4" xfId="5992" xr:uid="{00000000-0005-0000-0000-000004210000}"/>
    <cellStyle name="Normal 13 12 4 2" xfId="48481" xr:uid="{00000000-0005-0000-0000-000005210000}"/>
    <cellStyle name="Normal 13 12 4 3" xfId="48482" xr:uid="{00000000-0005-0000-0000-000006210000}"/>
    <cellStyle name="Normal 13 12 5" xfId="5993" xr:uid="{00000000-0005-0000-0000-000007210000}"/>
    <cellStyle name="Normal 13 12 5 2" xfId="48483" xr:uid="{00000000-0005-0000-0000-000008210000}"/>
    <cellStyle name="Normal 13 12 6" xfId="5994" xr:uid="{00000000-0005-0000-0000-000009210000}"/>
    <cellStyle name="Normal 13 12 7" xfId="5995" xr:uid="{00000000-0005-0000-0000-00000A210000}"/>
    <cellStyle name="Normal 13 12 8" xfId="5996" xr:uid="{00000000-0005-0000-0000-00000B210000}"/>
    <cellStyle name="Normal 13 13" xfId="5997" xr:uid="{00000000-0005-0000-0000-00000C210000}"/>
    <cellStyle name="Normal 13 13 2" xfId="5998" xr:uid="{00000000-0005-0000-0000-00000D210000}"/>
    <cellStyle name="Normal 13 13 2 2" xfId="5999" xr:uid="{00000000-0005-0000-0000-00000E210000}"/>
    <cellStyle name="Normal 13 13 2 2 2" xfId="48484" xr:uid="{00000000-0005-0000-0000-00000F210000}"/>
    <cellStyle name="Normal 13 13 2 2 3" xfId="48485" xr:uid="{00000000-0005-0000-0000-000010210000}"/>
    <cellStyle name="Normal 13 13 2 3" xfId="6000" xr:uid="{00000000-0005-0000-0000-000011210000}"/>
    <cellStyle name="Normal 13 13 2 3 2" xfId="48486" xr:uid="{00000000-0005-0000-0000-000012210000}"/>
    <cellStyle name="Normal 13 13 2 4" xfId="6001" xr:uid="{00000000-0005-0000-0000-000013210000}"/>
    <cellStyle name="Normal 13 13 2 5" xfId="6002" xr:uid="{00000000-0005-0000-0000-000014210000}"/>
    <cellStyle name="Normal 13 13 2 6" xfId="6003" xr:uid="{00000000-0005-0000-0000-000015210000}"/>
    <cellStyle name="Normal 13 13 3" xfId="6004" xr:uid="{00000000-0005-0000-0000-000016210000}"/>
    <cellStyle name="Normal 13 13 3 2" xfId="48487" xr:uid="{00000000-0005-0000-0000-000017210000}"/>
    <cellStyle name="Normal 13 13 3 3" xfId="48488" xr:uid="{00000000-0005-0000-0000-000018210000}"/>
    <cellStyle name="Normal 13 13 4" xfId="6005" xr:uid="{00000000-0005-0000-0000-000019210000}"/>
    <cellStyle name="Normal 13 13 4 2" xfId="48489" xr:uid="{00000000-0005-0000-0000-00001A210000}"/>
    <cellStyle name="Normal 13 13 5" xfId="6006" xr:uid="{00000000-0005-0000-0000-00001B210000}"/>
    <cellStyle name="Normal 13 13 6" xfId="6007" xr:uid="{00000000-0005-0000-0000-00001C210000}"/>
    <cellStyle name="Normal 13 13 7" xfId="6008" xr:uid="{00000000-0005-0000-0000-00001D210000}"/>
    <cellStyle name="Normal 13 14" xfId="6009" xr:uid="{00000000-0005-0000-0000-00001E210000}"/>
    <cellStyle name="Normal 13 14 2" xfId="6010" xr:uid="{00000000-0005-0000-0000-00001F210000}"/>
    <cellStyle name="Normal 13 14 2 2" xfId="48490" xr:uid="{00000000-0005-0000-0000-000020210000}"/>
    <cellStyle name="Normal 13 14 2 3" xfId="48491" xr:uid="{00000000-0005-0000-0000-000021210000}"/>
    <cellStyle name="Normal 13 14 3" xfId="6011" xr:uid="{00000000-0005-0000-0000-000022210000}"/>
    <cellStyle name="Normal 13 14 3 2" xfId="48492" xr:uid="{00000000-0005-0000-0000-000023210000}"/>
    <cellStyle name="Normal 13 14 4" xfId="6012" xr:uid="{00000000-0005-0000-0000-000024210000}"/>
    <cellStyle name="Normal 13 14 5" xfId="6013" xr:uid="{00000000-0005-0000-0000-000025210000}"/>
    <cellStyle name="Normal 13 14 6" xfId="6014" xr:uid="{00000000-0005-0000-0000-000026210000}"/>
    <cellStyle name="Normal 13 15" xfId="6015" xr:uid="{00000000-0005-0000-0000-000027210000}"/>
    <cellStyle name="Normal 13 15 2" xfId="48493" xr:uid="{00000000-0005-0000-0000-000028210000}"/>
    <cellStyle name="Normal 13 15 3" xfId="48494" xr:uid="{00000000-0005-0000-0000-000029210000}"/>
    <cellStyle name="Normal 13 16" xfId="6016" xr:uid="{00000000-0005-0000-0000-00002A210000}"/>
    <cellStyle name="Normal 13 16 2" xfId="48495" xr:uid="{00000000-0005-0000-0000-00002B210000}"/>
    <cellStyle name="Normal 13 17" xfId="6017" xr:uid="{00000000-0005-0000-0000-00002C210000}"/>
    <cellStyle name="Normal 13 17 2" xfId="48496" xr:uid="{00000000-0005-0000-0000-00002D210000}"/>
    <cellStyle name="Normal 13 18" xfId="6018" xr:uid="{00000000-0005-0000-0000-00002E210000}"/>
    <cellStyle name="Normal 13 19" xfId="6019" xr:uid="{00000000-0005-0000-0000-00002F210000}"/>
    <cellStyle name="Normal 13 2" xfId="6020" xr:uid="{00000000-0005-0000-0000-000030210000}"/>
    <cellStyle name="Normal 13 2 10" xfId="6021" xr:uid="{00000000-0005-0000-0000-000031210000}"/>
    <cellStyle name="Normal 13 2 10 2" xfId="6022" xr:uid="{00000000-0005-0000-0000-000032210000}"/>
    <cellStyle name="Normal 13 2 10 2 2" xfId="6023" xr:uid="{00000000-0005-0000-0000-000033210000}"/>
    <cellStyle name="Normal 13 2 10 2 2 2" xfId="6024" xr:uid="{00000000-0005-0000-0000-000034210000}"/>
    <cellStyle name="Normal 13 2 10 2 2 2 2" xfId="48497" xr:uid="{00000000-0005-0000-0000-000035210000}"/>
    <cellStyle name="Normal 13 2 10 2 2 2 3" xfId="48498" xr:uid="{00000000-0005-0000-0000-000036210000}"/>
    <cellStyle name="Normal 13 2 10 2 2 3" xfId="6025" xr:uid="{00000000-0005-0000-0000-000037210000}"/>
    <cellStyle name="Normal 13 2 10 2 2 3 2" xfId="48499" xr:uid="{00000000-0005-0000-0000-000038210000}"/>
    <cellStyle name="Normal 13 2 10 2 2 4" xfId="6026" xr:uid="{00000000-0005-0000-0000-000039210000}"/>
    <cellStyle name="Normal 13 2 10 2 2 5" xfId="6027" xr:uid="{00000000-0005-0000-0000-00003A210000}"/>
    <cellStyle name="Normal 13 2 10 2 2 6" xfId="6028" xr:uid="{00000000-0005-0000-0000-00003B210000}"/>
    <cellStyle name="Normal 13 2 10 2 3" xfId="6029" xr:uid="{00000000-0005-0000-0000-00003C210000}"/>
    <cellStyle name="Normal 13 2 10 2 3 2" xfId="48500" xr:uid="{00000000-0005-0000-0000-00003D210000}"/>
    <cellStyle name="Normal 13 2 10 2 3 3" xfId="48501" xr:uid="{00000000-0005-0000-0000-00003E210000}"/>
    <cellStyle name="Normal 13 2 10 2 4" xfId="6030" xr:uid="{00000000-0005-0000-0000-00003F210000}"/>
    <cellStyle name="Normal 13 2 10 2 4 2" xfId="48502" xr:uid="{00000000-0005-0000-0000-000040210000}"/>
    <cellStyle name="Normal 13 2 10 2 5" xfId="6031" xr:uid="{00000000-0005-0000-0000-000041210000}"/>
    <cellStyle name="Normal 13 2 10 2 6" xfId="6032" xr:uid="{00000000-0005-0000-0000-000042210000}"/>
    <cellStyle name="Normal 13 2 10 2 7" xfId="6033" xr:uid="{00000000-0005-0000-0000-000043210000}"/>
    <cellStyle name="Normal 13 2 10 3" xfId="6034" xr:uid="{00000000-0005-0000-0000-000044210000}"/>
    <cellStyle name="Normal 13 2 10 3 2" xfId="6035" xr:uid="{00000000-0005-0000-0000-000045210000}"/>
    <cellStyle name="Normal 13 2 10 3 2 2" xfId="48503" xr:uid="{00000000-0005-0000-0000-000046210000}"/>
    <cellStyle name="Normal 13 2 10 3 2 3" xfId="48504" xr:uid="{00000000-0005-0000-0000-000047210000}"/>
    <cellStyle name="Normal 13 2 10 3 3" xfId="6036" xr:uid="{00000000-0005-0000-0000-000048210000}"/>
    <cellStyle name="Normal 13 2 10 3 3 2" xfId="48505" xr:uid="{00000000-0005-0000-0000-000049210000}"/>
    <cellStyle name="Normal 13 2 10 3 4" xfId="6037" xr:uid="{00000000-0005-0000-0000-00004A210000}"/>
    <cellStyle name="Normal 13 2 10 3 5" xfId="6038" xr:uid="{00000000-0005-0000-0000-00004B210000}"/>
    <cellStyle name="Normal 13 2 10 3 6" xfId="6039" xr:uid="{00000000-0005-0000-0000-00004C210000}"/>
    <cellStyle name="Normal 13 2 10 4" xfId="6040" xr:uid="{00000000-0005-0000-0000-00004D210000}"/>
    <cellStyle name="Normal 13 2 10 4 2" xfId="48506" xr:uid="{00000000-0005-0000-0000-00004E210000}"/>
    <cellStyle name="Normal 13 2 10 4 3" xfId="48507" xr:uid="{00000000-0005-0000-0000-00004F210000}"/>
    <cellStyle name="Normal 13 2 10 5" xfId="6041" xr:uid="{00000000-0005-0000-0000-000050210000}"/>
    <cellStyle name="Normal 13 2 10 5 2" xfId="48508" xr:uid="{00000000-0005-0000-0000-000051210000}"/>
    <cellStyle name="Normal 13 2 10 6" xfId="6042" xr:uid="{00000000-0005-0000-0000-000052210000}"/>
    <cellStyle name="Normal 13 2 10 7" xfId="6043" xr:uid="{00000000-0005-0000-0000-000053210000}"/>
    <cellStyle name="Normal 13 2 10 8" xfId="6044" xr:uid="{00000000-0005-0000-0000-000054210000}"/>
    <cellStyle name="Normal 13 2 11" xfId="6045" xr:uid="{00000000-0005-0000-0000-000055210000}"/>
    <cellStyle name="Normal 13 2 11 2" xfId="6046" xr:uid="{00000000-0005-0000-0000-000056210000}"/>
    <cellStyle name="Normal 13 2 11 2 2" xfId="6047" xr:uid="{00000000-0005-0000-0000-000057210000}"/>
    <cellStyle name="Normal 13 2 11 2 2 2" xfId="6048" xr:uid="{00000000-0005-0000-0000-000058210000}"/>
    <cellStyle name="Normal 13 2 11 2 2 2 2" xfId="48509" xr:uid="{00000000-0005-0000-0000-000059210000}"/>
    <cellStyle name="Normal 13 2 11 2 2 2 3" xfId="48510" xr:uid="{00000000-0005-0000-0000-00005A210000}"/>
    <cellStyle name="Normal 13 2 11 2 2 3" xfId="6049" xr:uid="{00000000-0005-0000-0000-00005B210000}"/>
    <cellStyle name="Normal 13 2 11 2 2 3 2" xfId="48511" xr:uid="{00000000-0005-0000-0000-00005C210000}"/>
    <cellStyle name="Normal 13 2 11 2 2 4" xfId="6050" xr:uid="{00000000-0005-0000-0000-00005D210000}"/>
    <cellStyle name="Normal 13 2 11 2 2 5" xfId="6051" xr:uid="{00000000-0005-0000-0000-00005E210000}"/>
    <cellStyle name="Normal 13 2 11 2 2 6" xfId="6052" xr:uid="{00000000-0005-0000-0000-00005F210000}"/>
    <cellStyle name="Normal 13 2 11 2 3" xfId="6053" xr:uid="{00000000-0005-0000-0000-000060210000}"/>
    <cellStyle name="Normal 13 2 11 2 3 2" xfId="48512" xr:uid="{00000000-0005-0000-0000-000061210000}"/>
    <cellStyle name="Normal 13 2 11 2 3 3" xfId="48513" xr:uid="{00000000-0005-0000-0000-000062210000}"/>
    <cellStyle name="Normal 13 2 11 2 4" xfId="6054" xr:uid="{00000000-0005-0000-0000-000063210000}"/>
    <cellStyle name="Normal 13 2 11 2 4 2" xfId="48514" xr:uid="{00000000-0005-0000-0000-000064210000}"/>
    <cellStyle name="Normal 13 2 11 2 5" xfId="6055" xr:uid="{00000000-0005-0000-0000-000065210000}"/>
    <cellStyle name="Normal 13 2 11 2 6" xfId="6056" xr:uid="{00000000-0005-0000-0000-000066210000}"/>
    <cellStyle name="Normal 13 2 11 2 7" xfId="6057" xr:uid="{00000000-0005-0000-0000-000067210000}"/>
    <cellStyle name="Normal 13 2 11 3" xfId="6058" xr:uid="{00000000-0005-0000-0000-000068210000}"/>
    <cellStyle name="Normal 13 2 11 3 2" xfId="6059" xr:uid="{00000000-0005-0000-0000-000069210000}"/>
    <cellStyle name="Normal 13 2 11 3 2 2" xfId="48515" xr:uid="{00000000-0005-0000-0000-00006A210000}"/>
    <cellStyle name="Normal 13 2 11 3 2 3" xfId="48516" xr:uid="{00000000-0005-0000-0000-00006B210000}"/>
    <cellStyle name="Normal 13 2 11 3 3" xfId="6060" xr:uid="{00000000-0005-0000-0000-00006C210000}"/>
    <cellStyle name="Normal 13 2 11 3 3 2" xfId="48517" xr:uid="{00000000-0005-0000-0000-00006D210000}"/>
    <cellStyle name="Normal 13 2 11 3 4" xfId="6061" xr:uid="{00000000-0005-0000-0000-00006E210000}"/>
    <cellStyle name="Normal 13 2 11 3 5" xfId="6062" xr:uid="{00000000-0005-0000-0000-00006F210000}"/>
    <cellStyle name="Normal 13 2 11 3 6" xfId="6063" xr:uid="{00000000-0005-0000-0000-000070210000}"/>
    <cellStyle name="Normal 13 2 11 4" xfId="6064" xr:uid="{00000000-0005-0000-0000-000071210000}"/>
    <cellStyle name="Normal 13 2 11 4 2" xfId="48518" xr:uid="{00000000-0005-0000-0000-000072210000}"/>
    <cellStyle name="Normal 13 2 11 4 3" xfId="48519" xr:uid="{00000000-0005-0000-0000-000073210000}"/>
    <cellStyle name="Normal 13 2 11 5" xfId="6065" xr:uid="{00000000-0005-0000-0000-000074210000}"/>
    <cellStyle name="Normal 13 2 11 5 2" xfId="48520" xr:uid="{00000000-0005-0000-0000-000075210000}"/>
    <cellStyle name="Normal 13 2 11 6" xfId="6066" xr:uid="{00000000-0005-0000-0000-000076210000}"/>
    <cellStyle name="Normal 13 2 11 7" xfId="6067" xr:uid="{00000000-0005-0000-0000-000077210000}"/>
    <cellStyle name="Normal 13 2 11 8" xfId="6068" xr:uid="{00000000-0005-0000-0000-000078210000}"/>
    <cellStyle name="Normal 13 2 12" xfId="6069" xr:uid="{00000000-0005-0000-0000-000079210000}"/>
    <cellStyle name="Normal 13 2 12 2" xfId="6070" xr:uid="{00000000-0005-0000-0000-00007A210000}"/>
    <cellStyle name="Normal 13 2 12 2 2" xfId="6071" xr:uid="{00000000-0005-0000-0000-00007B210000}"/>
    <cellStyle name="Normal 13 2 12 2 2 2" xfId="48521" xr:uid="{00000000-0005-0000-0000-00007C210000}"/>
    <cellStyle name="Normal 13 2 12 2 2 3" xfId="48522" xr:uid="{00000000-0005-0000-0000-00007D210000}"/>
    <cellStyle name="Normal 13 2 12 2 3" xfId="6072" xr:uid="{00000000-0005-0000-0000-00007E210000}"/>
    <cellStyle name="Normal 13 2 12 2 3 2" xfId="48523" xr:uid="{00000000-0005-0000-0000-00007F210000}"/>
    <cellStyle name="Normal 13 2 12 2 4" xfId="6073" xr:uid="{00000000-0005-0000-0000-000080210000}"/>
    <cellStyle name="Normal 13 2 12 2 5" xfId="6074" xr:uid="{00000000-0005-0000-0000-000081210000}"/>
    <cellStyle name="Normal 13 2 12 2 6" xfId="6075" xr:uid="{00000000-0005-0000-0000-000082210000}"/>
    <cellStyle name="Normal 13 2 12 3" xfId="6076" xr:uid="{00000000-0005-0000-0000-000083210000}"/>
    <cellStyle name="Normal 13 2 12 3 2" xfId="48524" xr:uid="{00000000-0005-0000-0000-000084210000}"/>
    <cellStyle name="Normal 13 2 12 3 3" xfId="48525" xr:uid="{00000000-0005-0000-0000-000085210000}"/>
    <cellStyle name="Normal 13 2 12 4" xfId="6077" xr:uid="{00000000-0005-0000-0000-000086210000}"/>
    <cellStyle name="Normal 13 2 12 4 2" xfId="48526" xr:uid="{00000000-0005-0000-0000-000087210000}"/>
    <cellStyle name="Normal 13 2 12 5" xfId="6078" xr:uid="{00000000-0005-0000-0000-000088210000}"/>
    <cellStyle name="Normal 13 2 12 6" xfId="6079" xr:uid="{00000000-0005-0000-0000-000089210000}"/>
    <cellStyle name="Normal 13 2 12 7" xfId="6080" xr:uid="{00000000-0005-0000-0000-00008A210000}"/>
    <cellStyle name="Normal 13 2 13" xfId="6081" xr:uid="{00000000-0005-0000-0000-00008B210000}"/>
    <cellStyle name="Normal 13 2 13 2" xfId="6082" xr:uid="{00000000-0005-0000-0000-00008C210000}"/>
    <cellStyle name="Normal 13 2 13 2 2" xfId="48527" xr:uid="{00000000-0005-0000-0000-00008D210000}"/>
    <cellStyle name="Normal 13 2 13 2 3" xfId="48528" xr:uid="{00000000-0005-0000-0000-00008E210000}"/>
    <cellStyle name="Normal 13 2 13 3" xfId="6083" xr:uid="{00000000-0005-0000-0000-00008F210000}"/>
    <cellStyle name="Normal 13 2 13 3 2" xfId="48529" xr:uid="{00000000-0005-0000-0000-000090210000}"/>
    <cellStyle name="Normal 13 2 13 4" xfId="6084" xr:uid="{00000000-0005-0000-0000-000091210000}"/>
    <cellStyle name="Normal 13 2 13 5" xfId="6085" xr:uid="{00000000-0005-0000-0000-000092210000}"/>
    <cellStyle name="Normal 13 2 13 6" xfId="6086" xr:uid="{00000000-0005-0000-0000-000093210000}"/>
    <cellStyle name="Normal 13 2 14" xfId="6087" xr:uid="{00000000-0005-0000-0000-000094210000}"/>
    <cellStyle name="Normal 13 2 14 2" xfId="48530" xr:uid="{00000000-0005-0000-0000-000095210000}"/>
    <cellStyle name="Normal 13 2 14 3" xfId="48531" xr:uid="{00000000-0005-0000-0000-000096210000}"/>
    <cellStyle name="Normal 13 2 15" xfId="6088" xr:uid="{00000000-0005-0000-0000-000097210000}"/>
    <cellStyle name="Normal 13 2 15 2" xfId="48532" xr:uid="{00000000-0005-0000-0000-000098210000}"/>
    <cellStyle name="Normal 13 2 16" xfId="6089" xr:uid="{00000000-0005-0000-0000-000099210000}"/>
    <cellStyle name="Normal 13 2 16 2" xfId="48533" xr:uid="{00000000-0005-0000-0000-00009A210000}"/>
    <cellStyle name="Normal 13 2 17" xfId="6090" xr:uid="{00000000-0005-0000-0000-00009B210000}"/>
    <cellStyle name="Normal 13 2 18" xfId="6091" xr:uid="{00000000-0005-0000-0000-00009C210000}"/>
    <cellStyle name="Normal 13 2 19" xfId="6092" xr:uid="{00000000-0005-0000-0000-00009D210000}"/>
    <cellStyle name="Normal 13 2 2" xfId="6093" xr:uid="{00000000-0005-0000-0000-00009E210000}"/>
    <cellStyle name="Normal 13 2 2 10" xfId="6094" xr:uid="{00000000-0005-0000-0000-00009F210000}"/>
    <cellStyle name="Normal 13 2 2 10 2" xfId="6095" xr:uid="{00000000-0005-0000-0000-0000A0210000}"/>
    <cellStyle name="Normal 13 2 2 10 2 2" xfId="6096" xr:uid="{00000000-0005-0000-0000-0000A1210000}"/>
    <cellStyle name="Normal 13 2 2 10 2 2 2" xfId="48534" xr:uid="{00000000-0005-0000-0000-0000A2210000}"/>
    <cellStyle name="Normal 13 2 2 10 2 2 3" xfId="48535" xr:uid="{00000000-0005-0000-0000-0000A3210000}"/>
    <cellStyle name="Normal 13 2 2 10 2 3" xfId="6097" xr:uid="{00000000-0005-0000-0000-0000A4210000}"/>
    <cellStyle name="Normal 13 2 2 10 2 3 2" xfId="48536" xr:uid="{00000000-0005-0000-0000-0000A5210000}"/>
    <cellStyle name="Normal 13 2 2 10 2 4" xfId="6098" xr:uid="{00000000-0005-0000-0000-0000A6210000}"/>
    <cellStyle name="Normal 13 2 2 10 2 5" xfId="6099" xr:uid="{00000000-0005-0000-0000-0000A7210000}"/>
    <cellStyle name="Normal 13 2 2 10 2 6" xfId="6100" xr:uid="{00000000-0005-0000-0000-0000A8210000}"/>
    <cellStyle name="Normal 13 2 2 10 3" xfId="6101" xr:uid="{00000000-0005-0000-0000-0000A9210000}"/>
    <cellStyle name="Normal 13 2 2 10 3 2" xfId="48537" xr:uid="{00000000-0005-0000-0000-0000AA210000}"/>
    <cellStyle name="Normal 13 2 2 10 3 3" xfId="48538" xr:uid="{00000000-0005-0000-0000-0000AB210000}"/>
    <cellStyle name="Normal 13 2 2 10 4" xfId="6102" xr:uid="{00000000-0005-0000-0000-0000AC210000}"/>
    <cellStyle name="Normal 13 2 2 10 4 2" xfId="48539" xr:uid="{00000000-0005-0000-0000-0000AD210000}"/>
    <cellStyle name="Normal 13 2 2 10 5" xfId="6103" xr:uid="{00000000-0005-0000-0000-0000AE210000}"/>
    <cellStyle name="Normal 13 2 2 10 6" xfId="6104" xr:uid="{00000000-0005-0000-0000-0000AF210000}"/>
    <cellStyle name="Normal 13 2 2 10 7" xfId="6105" xr:uid="{00000000-0005-0000-0000-0000B0210000}"/>
    <cellStyle name="Normal 13 2 2 11" xfId="6106" xr:uid="{00000000-0005-0000-0000-0000B1210000}"/>
    <cellStyle name="Normal 13 2 2 11 2" xfId="6107" xr:uid="{00000000-0005-0000-0000-0000B2210000}"/>
    <cellStyle name="Normal 13 2 2 11 2 2" xfId="48540" xr:uid="{00000000-0005-0000-0000-0000B3210000}"/>
    <cellStyle name="Normal 13 2 2 11 2 3" xfId="48541" xr:uid="{00000000-0005-0000-0000-0000B4210000}"/>
    <cellStyle name="Normal 13 2 2 11 3" xfId="6108" xr:uid="{00000000-0005-0000-0000-0000B5210000}"/>
    <cellStyle name="Normal 13 2 2 11 3 2" xfId="48542" xr:uid="{00000000-0005-0000-0000-0000B6210000}"/>
    <cellStyle name="Normal 13 2 2 11 4" xfId="6109" xr:uid="{00000000-0005-0000-0000-0000B7210000}"/>
    <cellStyle name="Normal 13 2 2 11 5" xfId="6110" xr:uid="{00000000-0005-0000-0000-0000B8210000}"/>
    <cellStyle name="Normal 13 2 2 11 6" xfId="6111" xr:uid="{00000000-0005-0000-0000-0000B9210000}"/>
    <cellStyle name="Normal 13 2 2 12" xfId="6112" xr:uid="{00000000-0005-0000-0000-0000BA210000}"/>
    <cellStyle name="Normal 13 2 2 12 2" xfId="48543" xr:uid="{00000000-0005-0000-0000-0000BB210000}"/>
    <cellStyle name="Normal 13 2 2 12 3" xfId="48544" xr:uid="{00000000-0005-0000-0000-0000BC210000}"/>
    <cellStyle name="Normal 13 2 2 13" xfId="6113" xr:uid="{00000000-0005-0000-0000-0000BD210000}"/>
    <cellStyle name="Normal 13 2 2 13 2" xfId="48545" xr:uid="{00000000-0005-0000-0000-0000BE210000}"/>
    <cellStyle name="Normal 13 2 2 14" xfId="6114" xr:uid="{00000000-0005-0000-0000-0000BF210000}"/>
    <cellStyle name="Normal 13 2 2 14 2" xfId="48546" xr:uid="{00000000-0005-0000-0000-0000C0210000}"/>
    <cellStyle name="Normal 13 2 2 15" xfId="6115" xr:uid="{00000000-0005-0000-0000-0000C1210000}"/>
    <cellStyle name="Normal 13 2 2 16" xfId="6116" xr:uid="{00000000-0005-0000-0000-0000C2210000}"/>
    <cellStyle name="Normal 13 2 2 17" xfId="6117" xr:uid="{00000000-0005-0000-0000-0000C3210000}"/>
    <cellStyle name="Normal 13 2 2 18" xfId="6118" xr:uid="{00000000-0005-0000-0000-0000C4210000}"/>
    <cellStyle name="Normal 13 2 2 19" xfId="6119" xr:uid="{00000000-0005-0000-0000-0000C5210000}"/>
    <cellStyle name="Normal 13 2 2 2" xfId="6120" xr:uid="{00000000-0005-0000-0000-0000C6210000}"/>
    <cellStyle name="Normal 13 2 2 2 10" xfId="6121" xr:uid="{00000000-0005-0000-0000-0000C7210000}"/>
    <cellStyle name="Normal 13 2 2 2 11" xfId="6122" xr:uid="{00000000-0005-0000-0000-0000C8210000}"/>
    <cellStyle name="Normal 13 2 2 2 12" xfId="6123" xr:uid="{00000000-0005-0000-0000-0000C9210000}"/>
    <cellStyle name="Normal 13 2 2 2 13" xfId="6124" xr:uid="{00000000-0005-0000-0000-0000CA210000}"/>
    <cellStyle name="Normal 13 2 2 2 14" xfId="6125" xr:uid="{00000000-0005-0000-0000-0000CB210000}"/>
    <cellStyle name="Normal 13 2 2 2 15" xfId="6126" xr:uid="{00000000-0005-0000-0000-0000CC210000}"/>
    <cellStyle name="Normal 13 2 2 2 2" xfId="6127" xr:uid="{00000000-0005-0000-0000-0000CD210000}"/>
    <cellStyle name="Normal 13 2 2 2 2 10" xfId="6128" xr:uid="{00000000-0005-0000-0000-0000CE210000}"/>
    <cellStyle name="Normal 13 2 2 2 2 11" xfId="6129" xr:uid="{00000000-0005-0000-0000-0000CF210000}"/>
    <cellStyle name="Normal 13 2 2 2 2 12" xfId="6130" xr:uid="{00000000-0005-0000-0000-0000D0210000}"/>
    <cellStyle name="Normal 13 2 2 2 2 13" xfId="6131" xr:uid="{00000000-0005-0000-0000-0000D1210000}"/>
    <cellStyle name="Normal 13 2 2 2 2 14" xfId="6132" xr:uid="{00000000-0005-0000-0000-0000D2210000}"/>
    <cellStyle name="Normal 13 2 2 2 2 2" xfId="6133" xr:uid="{00000000-0005-0000-0000-0000D3210000}"/>
    <cellStyle name="Normal 13 2 2 2 2 2 2" xfId="6134" xr:uid="{00000000-0005-0000-0000-0000D4210000}"/>
    <cellStyle name="Normal 13 2 2 2 2 2 2 2" xfId="6135" xr:uid="{00000000-0005-0000-0000-0000D5210000}"/>
    <cellStyle name="Normal 13 2 2 2 2 2 2 2 2" xfId="6136" xr:uid="{00000000-0005-0000-0000-0000D6210000}"/>
    <cellStyle name="Normal 13 2 2 2 2 2 2 2 2 2" xfId="48547" xr:uid="{00000000-0005-0000-0000-0000D7210000}"/>
    <cellStyle name="Normal 13 2 2 2 2 2 2 2 2 3" xfId="48548" xr:uid="{00000000-0005-0000-0000-0000D8210000}"/>
    <cellStyle name="Normal 13 2 2 2 2 2 2 2 3" xfId="6137" xr:uid="{00000000-0005-0000-0000-0000D9210000}"/>
    <cellStyle name="Normal 13 2 2 2 2 2 2 2 3 2" xfId="48549" xr:uid="{00000000-0005-0000-0000-0000DA210000}"/>
    <cellStyle name="Normal 13 2 2 2 2 2 2 2 4" xfId="6138" xr:uid="{00000000-0005-0000-0000-0000DB210000}"/>
    <cellStyle name="Normal 13 2 2 2 2 2 2 2 5" xfId="6139" xr:uid="{00000000-0005-0000-0000-0000DC210000}"/>
    <cellStyle name="Normal 13 2 2 2 2 2 2 2 6" xfId="6140" xr:uid="{00000000-0005-0000-0000-0000DD210000}"/>
    <cellStyle name="Normal 13 2 2 2 2 2 2 3" xfId="6141" xr:uid="{00000000-0005-0000-0000-0000DE210000}"/>
    <cellStyle name="Normal 13 2 2 2 2 2 2 3 2" xfId="48550" xr:uid="{00000000-0005-0000-0000-0000DF210000}"/>
    <cellStyle name="Normal 13 2 2 2 2 2 2 3 3" xfId="48551" xr:uid="{00000000-0005-0000-0000-0000E0210000}"/>
    <cellStyle name="Normal 13 2 2 2 2 2 2 4" xfId="6142" xr:uid="{00000000-0005-0000-0000-0000E1210000}"/>
    <cellStyle name="Normal 13 2 2 2 2 2 2 4 2" xfId="48552" xr:uid="{00000000-0005-0000-0000-0000E2210000}"/>
    <cellStyle name="Normal 13 2 2 2 2 2 2 5" xfId="6143" xr:uid="{00000000-0005-0000-0000-0000E3210000}"/>
    <cellStyle name="Normal 13 2 2 2 2 2 2 6" xfId="6144" xr:uid="{00000000-0005-0000-0000-0000E4210000}"/>
    <cellStyle name="Normal 13 2 2 2 2 2 2 7" xfId="6145" xr:uid="{00000000-0005-0000-0000-0000E5210000}"/>
    <cellStyle name="Normal 13 2 2 2 2 2 3" xfId="6146" xr:uid="{00000000-0005-0000-0000-0000E6210000}"/>
    <cellStyle name="Normal 13 2 2 2 2 2 3 2" xfId="6147" xr:uid="{00000000-0005-0000-0000-0000E7210000}"/>
    <cellStyle name="Normal 13 2 2 2 2 2 3 2 2" xfId="48553" xr:uid="{00000000-0005-0000-0000-0000E8210000}"/>
    <cellStyle name="Normal 13 2 2 2 2 2 3 2 3" xfId="48554" xr:uid="{00000000-0005-0000-0000-0000E9210000}"/>
    <cellStyle name="Normal 13 2 2 2 2 2 3 3" xfId="6148" xr:uid="{00000000-0005-0000-0000-0000EA210000}"/>
    <cellStyle name="Normal 13 2 2 2 2 2 3 3 2" xfId="48555" xr:uid="{00000000-0005-0000-0000-0000EB210000}"/>
    <cellStyle name="Normal 13 2 2 2 2 2 3 4" xfId="6149" xr:uid="{00000000-0005-0000-0000-0000EC210000}"/>
    <cellStyle name="Normal 13 2 2 2 2 2 3 5" xfId="6150" xr:uid="{00000000-0005-0000-0000-0000ED210000}"/>
    <cellStyle name="Normal 13 2 2 2 2 2 3 6" xfId="6151" xr:uid="{00000000-0005-0000-0000-0000EE210000}"/>
    <cellStyle name="Normal 13 2 2 2 2 2 4" xfId="6152" xr:uid="{00000000-0005-0000-0000-0000EF210000}"/>
    <cellStyle name="Normal 13 2 2 2 2 2 4 2" xfId="48556" xr:uid="{00000000-0005-0000-0000-0000F0210000}"/>
    <cellStyle name="Normal 13 2 2 2 2 2 4 3" xfId="48557" xr:uid="{00000000-0005-0000-0000-0000F1210000}"/>
    <cellStyle name="Normal 13 2 2 2 2 2 5" xfId="6153" xr:uid="{00000000-0005-0000-0000-0000F2210000}"/>
    <cellStyle name="Normal 13 2 2 2 2 2 5 2" xfId="48558" xr:uid="{00000000-0005-0000-0000-0000F3210000}"/>
    <cellStyle name="Normal 13 2 2 2 2 2 6" xfId="6154" xr:uid="{00000000-0005-0000-0000-0000F4210000}"/>
    <cellStyle name="Normal 13 2 2 2 2 2 7" xfId="6155" xr:uid="{00000000-0005-0000-0000-0000F5210000}"/>
    <cellStyle name="Normal 13 2 2 2 2 2 8" xfId="6156" xr:uid="{00000000-0005-0000-0000-0000F6210000}"/>
    <cellStyle name="Normal 13 2 2 2 2 2 9" xfId="6157" xr:uid="{00000000-0005-0000-0000-0000F7210000}"/>
    <cellStyle name="Normal 13 2 2 2 2 3" xfId="6158" xr:uid="{00000000-0005-0000-0000-0000F8210000}"/>
    <cellStyle name="Normal 13 2 2 2 2 3 2" xfId="6159" xr:uid="{00000000-0005-0000-0000-0000F9210000}"/>
    <cellStyle name="Normal 13 2 2 2 2 3 2 2" xfId="6160" xr:uid="{00000000-0005-0000-0000-0000FA210000}"/>
    <cellStyle name="Normal 13 2 2 2 2 3 2 2 2" xfId="6161" xr:uid="{00000000-0005-0000-0000-0000FB210000}"/>
    <cellStyle name="Normal 13 2 2 2 2 3 2 2 2 2" xfId="48559" xr:uid="{00000000-0005-0000-0000-0000FC210000}"/>
    <cellStyle name="Normal 13 2 2 2 2 3 2 2 2 3" xfId="48560" xr:uid="{00000000-0005-0000-0000-0000FD210000}"/>
    <cellStyle name="Normal 13 2 2 2 2 3 2 2 3" xfId="6162" xr:uid="{00000000-0005-0000-0000-0000FE210000}"/>
    <cellStyle name="Normal 13 2 2 2 2 3 2 2 3 2" xfId="48561" xr:uid="{00000000-0005-0000-0000-0000FF210000}"/>
    <cellStyle name="Normal 13 2 2 2 2 3 2 2 4" xfId="6163" xr:uid="{00000000-0005-0000-0000-000000220000}"/>
    <cellStyle name="Normal 13 2 2 2 2 3 2 2 5" xfId="6164" xr:uid="{00000000-0005-0000-0000-000001220000}"/>
    <cellStyle name="Normal 13 2 2 2 2 3 2 2 6" xfId="6165" xr:uid="{00000000-0005-0000-0000-000002220000}"/>
    <cellStyle name="Normal 13 2 2 2 2 3 2 3" xfId="6166" xr:uid="{00000000-0005-0000-0000-000003220000}"/>
    <cellStyle name="Normal 13 2 2 2 2 3 2 3 2" xfId="48562" xr:uid="{00000000-0005-0000-0000-000004220000}"/>
    <cellStyle name="Normal 13 2 2 2 2 3 2 3 3" xfId="48563" xr:uid="{00000000-0005-0000-0000-000005220000}"/>
    <cellStyle name="Normal 13 2 2 2 2 3 2 4" xfId="6167" xr:uid="{00000000-0005-0000-0000-000006220000}"/>
    <cellStyle name="Normal 13 2 2 2 2 3 2 4 2" xfId="48564" xr:uid="{00000000-0005-0000-0000-000007220000}"/>
    <cellStyle name="Normal 13 2 2 2 2 3 2 5" xfId="6168" xr:uid="{00000000-0005-0000-0000-000008220000}"/>
    <cellStyle name="Normal 13 2 2 2 2 3 2 6" xfId="6169" xr:uid="{00000000-0005-0000-0000-000009220000}"/>
    <cellStyle name="Normal 13 2 2 2 2 3 2 7" xfId="6170" xr:uid="{00000000-0005-0000-0000-00000A220000}"/>
    <cellStyle name="Normal 13 2 2 2 2 3 3" xfId="6171" xr:uid="{00000000-0005-0000-0000-00000B220000}"/>
    <cellStyle name="Normal 13 2 2 2 2 3 3 2" xfId="6172" xr:uid="{00000000-0005-0000-0000-00000C220000}"/>
    <cellStyle name="Normal 13 2 2 2 2 3 3 2 2" xfId="48565" xr:uid="{00000000-0005-0000-0000-00000D220000}"/>
    <cellStyle name="Normal 13 2 2 2 2 3 3 2 3" xfId="48566" xr:uid="{00000000-0005-0000-0000-00000E220000}"/>
    <cellStyle name="Normal 13 2 2 2 2 3 3 3" xfId="6173" xr:uid="{00000000-0005-0000-0000-00000F220000}"/>
    <cellStyle name="Normal 13 2 2 2 2 3 3 3 2" xfId="48567" xr:uid="{00000000-0005-0000-0000-000010220000}"/>
    <cellStyle name="Normal 13 2 2 2 2 3 3 4" xfId="6174" xr:uid="{00000000-0005-0000-0000-000011220000}"/>
    <cellStyle name="Normal 13 2 2 2 2 3 3 5" xfId="6175" xr:uid="{00000000-0005-0000-0000-000012220000}"/>
    <cellStyle name="Normal 13 2 2 2 2 3 3 6" xfId="6176" xr:uid="{00000000-0005-0000-0000-000013220000}"/>
    <cellStyle name="Normal 13 2 2 2 2 3 4" xfId="6177" xr:uid="{00000000-0005-0000-0000-000014220000}"/>
    <cellStyle name="Normal 13 2 2 2 2 3 4 2" xfId="48568" xr:uid="{00000000-0005-0000-0000-000015220000}"/>
    <cellStyle name="Normal 13 2 2 2 2 3 4 3" xfId="48569" xr:uid="{00000000-0005-0000-0000-000016220000}"/>
    <cellStyle name="Normal 13 2 2 2 2 3 5" xfId="6178" xr:uid="{00000000-0005-0000-0000-000017220000}"/>
    <cellStyle name="Normal 13 2 2 2 2 3 5 2" xfId="48570" xr:uid="{00000000-0005-0000-0000-000018220000}"/>
    <cellStyle name="Normal 13 2 2 2 2 3 6" xfId="6179" xr:uid="{00000000-0005-0000-0000-000019220000}"/>
    <cellStyle name="Normal 13 2 2 2 2 3 7" xfId="6180" xr:uid="{00000000-0005-0000-0000-00001A220000}"/>
    <cellStyle name="Normal 13 2 2 2 2 3 8" xfId="6181" xr:uid="{00000000-0005-0000-0000-00001B220000}"/>
    <cellStyle name="Normal 13 2 2 2 2 4" xfId="6182" xr:uid="{00000000-0005-0000-0000-00001C220000}"/>
    <cellStyle name="Normal 13 2 2 2 2 4 2" xfId="6183" xr:uid="{00000000-0005-0000-0000-00001D220000}"/>
    <cellStyle name="Normal 13 2 2 2 2 4 2 2" xfId="6184" xr:uid="{00000000-0005-0000-0000-00001E220000}"/>
    <cellStyle name="Normal 13 2 2 2 2 4 2 2 2" xfId="48571" xr:uid="{00000000-0005-0000-0000-00001F220000}"/>
    <cellStyle name="Normal 13 2 2 2 2 4 2 2 3" xfId="48572" xr:uid="{00000000-0005-0000-0000-000020220000}"/>
    <cellStyle name="Normal 13 2 2 2 2 4 2 3" xfId="6185" xr:uid="{00000000-0005-0000-0000-000021220000}"/>
    <cellStyle name="Normal 13 2 2 2 2 4 2 3 2" xfId="48573" xr:uid="{00000000-0005-0000-0000-000022220000}"/>
    <cellStyle name="Normal 13 2 2 2 2 4 2 4" xfId="6186" xr:uid="{00000000-0005-0000-0000-000023220000}"/>
    <cellStyle name="Normal 13 2 2 2 2 4 2 5" xfId="6187" xr:uid="{00000000-0005-0000-0000-000024220000}"/>
    <cellStyle name="Normal 13 2 2 2 2 4 2 6" xfId="6188" xr:uid="{00000000-0005-0000-0000-000025220000}"/>
    <cellStyle name="Normal 13 2 2 2 2 4 3" xfId="6189" xr:uid="{00000000-0005-0000-0000-000026220000}"/>
    <cellStyle name="Normal 13 2 2 2 2 4 3 2" xfId="48574" xr:uid="{00000000-0005-0000-0000-000027220000}"/>
    <cellStyle name="Normal 13 2 2 2 2 4 3 3" xfId="48575" xr:uid="{00000000-0005-0000-0000-000028220000}"/>
    <cellStyle name="Normal 13 2 2 2 2 4 4" xfId="6190" xr:uid="{00000000-0005-0000-0000-000029220000}"/>
    <cellStyle name="Normal 13 2 2 2 2 4 4 2" xfId="48576" xr:uid="{00000000-0005-0000-0000-00002A220000}"/>
    <cellStyle name="Normal 13 2 2 2 2 4 5" xfId="6191" xr:uid="{00000000-0005-0000-0000-00002B220000}"/>
    <cellStyle name="Normal 13 2 2 2 2 4 6" xfId="6192" xr:uid="{00000000-0005-0000-0000-00002C220000}"/>
    <cellStyle name="Normal 13 2 2 2 2 4 7" xfId="6193" xr:uid="{00000000-0005-0000-0000-00002D220000}"/>
    <cellStyle name="Normal 13 2 2 2 2 5" xfId="6194" xr:uid="{00000000-0005-0000-0000-00002E220000}"/>
    <cellStyle name="Normal 13 2 2 2 2 5 2" xfId="6195" xr:uid="{00000000-0005-0000-0000-00002F220000}"/>
    <cellStyle name="Normal 13 2 2 2 2 5 2 2" xfId="48577" xr:uid="{00000000-0005-0000-0000-000030220000}"/>
    <cellStyle name="Normal 13 2 2 2 2 5 2 3" xfId="48578" xr:uid="{00000000-0005-0000-0000-000031220000}"/>
    <cellStyle name="Normal 13 2 2 2 2 5 3" xfId="6196" xr:uid="{00000000-0005-0000-0000-000032220000}"/>
    <cellStyle name="Normal 13 2 2 2 2 5 3 2" xfId="48579" xr:uid="{00000000-0005-0000-0000-000033220000}"/>
    <cellStyle name="Normal 13 2 2 2 2 5 4" xfId="6197" xr:uid="{00000000-0005-0000-0000-000034220000}"/>
    <cellStyle name="Normal 13 2 2 2 2 5 5" xfId="6198" xr:uid="{00000000-0005-0000-0000-000035220000}"/>
    <cellStyle name="Normal 13 2 2 2 2 5 6" xfId="6199" xr:uid="{00000000-0005-0000-0000-000036220000}"/>
    <cellStyle name="Normal 13 2 2 2 2 6" xfId="6200" xr:uid="{00000000-0005-0000-0000-000037220000}"/>
    <cellStyle name="Normal 13 2 2 2 2 6 2" xfId="48580" xr:uid="{00000000-0005-0000-0000-000038220000}"/>
    <cellStyle name="Normal 13 2 2 2 2 6 3" xfId="48581" xr:uid="{00000000-0005-0000-0000-000039220000}"/>
    <cellStyle name="Normal 13 2 2 2 2 7" xfId="6201" xr:uid="{00000000-0005-0000-0000-00003A220000}"/>
    <cellStyle name="Normal 13 2 2 2 2 7 2" xfId="48582" xr:uid="{00000000-0005-0000-0000-00003B220000}"/>
    <cellStyle name="Normal 13 2 2 2 2 8" xfId="6202" xr:uid="{00000000-0005-0000-0000-00003C220000}"/>
    <cellStyle name="Normal 13 2 2 2 2 9" xfId="6203" xr:uid="{00000000-0005-0000-0000-00003D220000}"/>
    <cellStyle name="Normal 13 2 2 2 3" xfId="6204" xr:uid="{00000000-0005-0000-0000-00003E220000}"/>
    <cellStyle name="Normal 13 2 2 2 3 2" xfId="6205" xr:uid="{00000000-0005-0000-0000-00003F220000}"/>
    <cellStyle name="Normal 13 2 2 2 3 2 2" xfId="6206" xr:uid="{00000000-0005-0000-0000-000040220000}"/>
    <cellStyle name="Normal 13 2 2 2 3 2 2 2" xfId="6207" xr:uid="{00000000-0005-0000-0000-000041220000}"/>
    <cellStyle name="Normal 13 2 2 2 3 2 2 2 2" xfId="48583" xr:uid="{00000000-0005-0000-0000-000042220000}"/>
    <cellStyle name="Normal 13 2 2 2 3 2 2 2 3" xfId="48584" xr:uid="{00000000-0005-0000-0000-000043220000}"/>
    <cellStyle name="Normal 13 2 2 2 3 2 2 3" xfId="6208" xr:uid="{00000000-0005-0000-0000-000044220000}"/>
    <cellStyle name="Normal 13 2 2 2 3 2 2 3 2" xfId="48585" xr:uid="{00000000-0005-0000-0000-000045220000}"/>
    <cellStyle name="Normal 13 2 2 2 3 2 2 4" xfId="6209" xr:uid="{00000000-0005-0000-0000-000046220000}"/>
    <cellStyle name="Normal 13 2 2 2 3 2 2 5" xfId="6210" xr:uid="{00000000-0005-0000-0000-000047220000}"/>
    <cellStyle name="Normal 13 2 2 2 3 2 2 6" xfId="6211" xr:uid="{00000000-0005-0000-0000-000048220000}"/>
    <cellStyle name="Normal 13 2 2 2 3 2 3" xfId="6212" xr:uid="{00000000-0005-0000-0000-000049220000}"/>
    <cellStyle name="Normal 13 2 2 2 3 2 3 2" xfId="48586" xr:uid="{00000000-0005-0000-0000-00004A220000}"/>
    <cellStyle name="Normal 13 2 2 2 3 2 3 3" xfId="48587" xr:uid="{00000000-0005-0000-0000-00004B220000}"/>
    <cellStyle name="Normal 13 2 2 2 3 2 4" xfId="6213" xr:uid="{00000000-0005-0000-0000-00004C220000}"/>
    <cellStyle name="Normal 13 2 2 2 3 2 4 2" xfId="48588" xr:uid="{00000000-0005-0000-0000-00004D220000}"/>
    <cellStyle name="Normal 13 2 2 2 3 2 5" xfId="6214" xr:uid="{00000000-0005-0000-0000-00004E220000}"/>
    <cellStyle name="Normal 13 2 2 2 3 2 6" xfId="6215" xr:uid="{00000000-0005-0000-0000-00004F220000}"/>
    <cellStyle name="Normal 13 2 2 2 3 2 7" xfId="6216" xr:uid="{00000000-0005-0000-0000-000050220000}"/>
    <cellStyle name="Normal 13 2 2 2 3 3" xfId="6217" xr:uid="{00000000-0005-0000-0000-000051220000}"/>
    <cellStyle name="Normal 13 2 2 2 3 3 2" xfId="6218" xr:uid="{00000000-0005-0000-0000-000052220000}"/>
    <cellStyle name="Normal 13 2 2 2 3 3 2 2" xfId="48589" xr:uid="{00000000-0005-0000-0000-000053220000}"/>
    <cellStyle name="Normal 13 2 2 2 3 3 2 3" xfId="48590" xr:uid="{00000000-0005-0000-0000-000054220000}"/>
    <cellStyle name="Normal 13 2 2 2 3 3 3" xfId="6219" xr:uid="{00000000-0005-0000-0000-000055220000}"/>
    <cellStyle name="Normal 13 2 2 2 3 3 3 2" xfId="48591" xr:uid="{00000000-0005-0000-0000-000056220000}"/>
    <cellStyle name="Normal 13 2 2 2 3 3 4" xfId="6220" xr:uid="{00000000-0005-0000-0000-000057220000}"/>
    <cellStyle name="Normal 13 2 2 2 3 3 5" xfId="6221" xr:uid="{00000000-0005-0000-0000-000058220000}"/>
    <cellStyle name="Normal 13 2 2 2 3 3 6" xfId="6222" xr:uid="{00000000-0005-0000-0000-000059220000}"/>
    <cellStyle name="Normal 13 2 2 2 3 4" xfId="6223" xr:uid="{00000000-0005-0000-0000-00005A220000}"/>
    <cellStyle name="Normal 13 2 2 2 3 4 2" xfId="48592" xr:uid="{00000000-0005-0000-0000-00005B220000}"/>
    <cellStyle name="Normal 13 2 2 2 3 4 3" xfId="48593" xr:uid="{00000000-0005-0000-0000-00005C220000}"/>
    <cellStyle name="Normal 13 2 2 2 3 5" xfId="6224" xr:uid="{00000000-0005-0000-0000-00005D220000}"/>
    <cellStyle name="Normal 13 2 2 2 3 5 2" xfId="48594" xr:uid="{00000000-0005-0000-0000-00005E220000}"/>
    <cellStyle name="Normal 13 2 2 2 3 6" xfId="6225" xr:uid="{00000000-0005-0000-0000-00005F220000}"/>
    <cellStyle name="Normal 13 2 2 2 3 7" xfId="6226" xr:uid="{00000000-0005-0000-0000-000060220000}"/>
    <cellStyle name="Normal 13 2 2 2 3 8" xfId="6227" xr:uid="{00000000-0005-0000-0000-000061220000}"/>
    <cellStyle name="Normal 13 2 2 2 3 9" xfId="6228" xr:uid="{00000000-0005-0000-0000-000062220000}"/>
    <cellStyle name="Normal 13 2 2 2 4" xfId="6229" xr:uid="{00000000-0005-0000-0000-000063220000}"/>
    <cellStyle name="Normal 13 2 2 2 4 2" xfId="6230" xr:uid="{00000000-0005-0000-0000-000064220000}"/>
    <cellStyle name="Normal 13 2 2 2 4 2 2" xfId="6231" xr:uid="{00000000-0005-0000-0000-000065220000}"/>
    <cellStyle name="Normal 13 2 2 2 4 2 2 2" xfId="6232" xr:uid="{00000000-0005-0000-0000-000066220000}"/>
    <cellStyle name="Normal 13 2 2 2 4 2 2 2 2" xfId="48595" xr:uid="{00000000-0005-0000-0000-000067220000}"/>
    <cellStyle name="Normal 13 2 2 2 4 2 2 2 3" xfId="48596" xr:uid="{00000000-0005-0000-0000-000068220000}"/>
    <cellStyle name="Normal 13 2 2 2 4 2 2 3" xfId="6233" xr:uid="{00000000-0005-0000-0000-000069220000}"/>
    <cellStyle name="Normal 13 2 2 2 4 2 2 3 2" xfId="48597" xr:uid="{00000000-0005-0000-0000-00006A220000}"/>
    <cellStyle name="Normal 13 2 2 2 4 2 2 4" xfId="6234" xr:uid="{00000000-0005-0000-0000-00006B220000}"/>
    <cellStyle name="Normal 13 2 2 2 4 2 2 5" xfId="6235" xr:uid="{00000000-0005-0000-0000-00006C220000}"/>
    <cellStyle name="Normal 13 2 2 2 4 2 2 6" xfId="6236" xr:uid="{00000000-0005-0000-0000-00006D220000}"/>
    <cellStyle name="Normal 13 2 2 2 4 2 3" xfId="6237" xr:uid="{00000000-0005-0000-0000-00006E220000}"/>
    <cellStyle name="Normal 13 2 2 2 4 2 3 2" xfId="48598" xr:uid="{00000000-0005-0000-0000-00006F220000}"/>
    <cellStyle name="Normal 13 2 2 2 4 2 3 3" xfId="48599" xr:uid="{00000000-0005-0000-0000-000070220000}"/>
    <cellStyle name="Normal 13 2 2 2 4 2 4" xfId="6238" xr:uid="{00000000-0005-0000-0000-000071220000}"/>
    <cellStyle name="Normal 13 2 2 2 4 2 4 2" xfId="48600" xr:uid="{00000000-0005-0000-0000-000072220000}"/>
    <cellStyle name="Normal 13 2 2 2 4 2 5" xfId="6239" xr:uid="{00000000-0005-0000-0000-000073220000}"/>
    <cellStyle name="Normal 13 2 2 2 4 2 6" xfId="6240" xr:uid="{00000000-0005-0000-0000-000074220000}"/>
    <cellStyle name="Normal 13 2 2 2 4 2 7" xfId="6241" xr:uid="{00000000-0005-0000-0000-000075220000}"/>
    <cellStyle name="Normal 13 2 2 2 4 3" xfId="6242" xr:uid="{00000000-0005-0000-0000-000076220000}"/>
    <cellStyle name="Normal 13 2 2 2 4 3 2" xfId="6243" xr:uid="{00000000-0005-0000-0000-000077220000}"/>
    <cellStyle name="Normal 13 2 2 2 4 3 2 2" xfId="48601" xr:uid="{00000000-0005-0000-0000-000078220000}"/>
    <cellStyle name="Normal 13 2 2 2 4 3 2 3" xfId="48602" xr:uid="{00000000-0005-0000-0000-000079220000}"/>
    <cellStyle name="Normal 13 2 2 2 4 3 3" xfId="6244" xr:uid="{00000000-0005-0000-0000-00007A220000}"/>
    <cellStyle name="Normal 13 2 2 2 4 3 3 2" xfId="48603" xr:uid="{00000000-0005-0000-0000-00007B220000}"/>
    <cellStyle name="Normal 13 2 2 2 4 3 4" xfId="6245" xr:uid="{00000000-0005-0000-0000-00007C220000}"/>
    <cellStyle name="Normal 13 2 2 2 4 3 5" xfId="6246" xr:uid="{00000000-0005-0000-0000-00007D220000}"/>
    <cellStyle name="Normal 13 2 2 2 4 3 6" xfId="6247" xr:uid="{00000000-0005-0000-0000-00007E220000}"/>
    <cellStyle name="Normal 13 2 2 2 4 4" xfId="6248" xr:uid="{00000000-0005-0000-0000-00007F220000}"/>
    <cellStyle name="Normal 13 2 2 2 4 4 2" xfId="48604" xr:uid="{00000000-0005-0000-0000-000080220000}"/>
    <cellStyle name="Normal 13 2 2 2 4 4 3" xfId="48605" xr:uid="{00000000-0005-0000-0000-000081220000}"/>
    <cellStyle name="Normal 13 2 2 2 4 5" xfId="6249" xr:uid="{00000000-0005-0000-0000-000082220000}"/>
    <cellStyle name="Normal 13 2 2 2 4 5 2" xfId="48606" xr:uid="{00000000-0005-0000-0000-000083220000}"/>
    <cellStyle name="Normal 13 2 2 2 4 6" xfId="6250" xr:uid="{00000000-0005-0000-0000-000084220000}"/>
    <cellStyle name="Normal 13 2 2 2 4 7" xfId="6251" xr:uid="{00000000-0005-0000-0000-000085220000}"/>
    <cellStyle name="Normal 13 2 2 2 4 8" xfId="6252" xr:uid="{00000000-0005-0000-0000-000086220000}"/>
    <cellStyle name="Normal 13 2 2 2 5" xfId="6253" xr:uid="{00000000-0005-0000-0000-000087220000}"/>
    <cellStyle name="Normal 13 2 2 2 5 2" xfId="6254" xr:uid="{00000000-0005-0000-0000-000088220000}"/>
    <cellStyle name="Normal 13 2 2 2 5 2 2" xfId="6255" xr:uid="{00000000-0005-0000-0000-000089220000}"/>
    <cellStyle name="Normal 13 2 2 2 5 2 2 2" xfId="48607" xr:uid="{00000000-0005-0000-0000-00008A220000}"/>
    <cellStyle name="Normal 13 2 2 2 5 2 2 3" xfId="48608" xr:uid="{00000000-0005-0000-0000-00008B220000}"/>
    <cellStyle name="Normal 13 2 2 2 5 2 3" xfId="6256" xr:uid="{00000000-0005-0000-0000-00008C220000}"/>
    <cellStyle name="Normal 13 2 2 2 5 2 3 2" xfId="48609" xr:uid="{00000000-0005-0000-0000-00008D220000}"/>
    <cellStyle name="Normal 13 2 2 2 5 2 4" xfId="6257" xr:uid="{00000000-0005-0000-0000-00008E220000}"/>
    <cellStyle name="Normal 13 2 2 2 5 2 5" xfId="6258" xr:uid="{00000000-0005-0000-0000-00008F220000}"/>
    <cellStyle name="Normal 13 2 2 2 5 2 6" xfId="6259" xr:uid="{00000000-0005-0000-0000-000090220000}"/>
    <cellStyle name="Normal 13 2 2 2 5 3" xfId="6260" xr:uid="{00000000-0005-0000-0000-000091220000}"/>
    <cellStyle name="Normal 13 2 2 2 5 3 2" xfId="48610" xr:uid="{00000000-0005-0000-0000-000092220000}"/>
    <cellStyle name="Normal 13 2 2 2 5 3 3" xfId="48611" xr:uid="{00000000-0005-0000-0000-000093220000}"/>
    <cellStyle name="Normal 13 2 2 2 5 4" xfId="6261" xr:uid="{00000000-0005-0000-0000-000094220000}"/>
    <cellStyle name="Normal 13 2 2 2 5 4 2" xfId="48612" xr:uid="{00000000-0005-0000-0000-000095220000}"/>
    <cellStyle name="Normal 13 2 2 2 5 5" xfId="6262" xr:uid="{00000000-0005-0000-0000-000096220000}"/>
    <cellStyle name="Normal 13 2 2 2 5 6" xfId="6263" xr:uid="{00000000-0005-0000-0000-000097220000}"/>
    <cellStyle name="Normal 13 2 2 2 5 7" xfId="6264" xr:uid="{00000000-0005-0000-0000-000098220000}"/>
    <cellStyle name="Normal 13 2 2 2 6" xfId="6265" xr:uid="{00000000-0005-0000-0000-000099220000}"/>
    <cellStyle name="Normal 13 2 2 2 6 2" xfId="6266" xr:uid="{00000000-0005-0000-0000-00009A220000}"/>
    <cellStyle name="Normal 13 2 2 2 6 2 2" xfId="48613" xr:uid="{00000000-0005-0000-0000-00009B220000}"/>
    <cellStyle name="Normal 13 2 2 2 6 2 3" xfId="48614" xr:uid="{00000000-0005-0000-0000-00009C220000}"/>
    <cellStyle name="Normal 13 2 2 2 6 3" xfId="6267" xr:uid="{00000000-0005-0000-0000-00009D220000}"/>
    <cellStyle name="Normal 13 2 2 2 6 3 2" xfId="48615" xr:uid="{00000000-0005-0000-0000-00009E220000}"/>
    <cellStyle name="Normal 13 2 2 2 6 4" xfId="6268" xr:uid="{00000000-0005-0000-0000-00009F220000}"/>
    <cellStyle name="Normal 13 2 2 2 6 5" xfId="6269" xr:uid="{00000000-0005-0000-0000-0000A0220000}"/>
    <cellStyle name="Normal 13 2 2 2 6 6" xfId="6270" xr:uid="{00000000-0005-0000-0000-0000A1220000}"/>
    <cellStyle name="Normal 13 2 2 2 7" xfId="6271" xr:uid="{00000000-0005-0000-0000-0000A2220000}"/>
    <cellStyle name="Normal 13 2 2 2 7 2" xfId="48616" xr:uid="{00000000-0005-0000-0000-0000A3220000}"/>
    <cellStyle name="Normal 13 2 2 2 7 3" xfId="48617" xr:uid="{00000000-0005-0000-0000-0000A4220000}"/>
    <cellStyle name="Normal 13 2 2 2 8" xfId="6272" xr:uid="{00000000-0005-0000-0000-0000A5220000}"/>
    <cellStyle name="Normal 13 2 2 2 8 2" xfId="48618" xr:uid="{00000000-0005-0000-0000-0000A6220000}"/>
    <cellStyle name="Normal 13 2 2 2 9" xfId="6273" xr:uid="{00000000-0005-0000-0000-0000A7220000}"/>
    <cellStyle name="Normal 13 2 2 2 9 2" xfId="48619" xr:uid="{00000000-0005-0000-0000-0000A8220000}"/>
    <cellStyle name="Normal 13 2 2 20" xfId="6274" xr:uid="{00000000-0005-0000-0000-0000A9220000}"/>
    <cellStyle name="Normal 13 2 2 21" xfId="6275" xr:uid="{00000000-0005-0000-0000-0000AA220000}"/>
    <cellStyle name="Normal 13 2 2 3" xfId="6276" xr:uid="{00000000-0005-0000-0000-0000AB220000}"/>
    <cellStyle name="Normal 13 2 2 3 10" xfId="6277" xr:uid="{00000000-0005-0000-0000-0000AC220000}"/>
    <cellStyle name="Normal 13 2 2 3 11" xfId="6278" xr:uid="{00000000-0005-0000-0000-0000AD220000}"/>
    <cellStyle name="Normal 13 2 2 3 12" xfId="6279" xr:uid="{00000000-0005-0000-0000-0000AE220000}"/>
    <cellStyle name="Normal 13 2 2 3 13" xfId="6280" xr:uid="{00000000-0005-0000-0000-0000AF220000}"/>
    <cellStyle name="Normal 13 2 2 3 14" xfId="6281" xr:uid="{00000000-0005-0000-0000-0000B0220000}"/>
    <cellStyle name="Normal 13 2 2 3 15" xfId="6282" xr:uid="{00000000-0005-0000-0000-0000B1220000}"/>
    <cellStyle name="Normal 13 2 2 3 2" xfId="6283" xr:uid="{00000000-0005-0000-0000-0000B2220000}"/>
    <cellStyle name="Normal 13 2 2 3 2 10" xfId="6284" xr:uid="{00000000-0005-0000-0000-0000B3220000}"/>
    <cellStyle name="Normal 13 2 2 3 2 11" xfId="6285" xr:uid="{00000000-0005-0000-0000-0000B4220000}"/>
    <cellStyle name="Normal 13 2 2 3 2 12" xfId="6286" xr:uid="{00000000-0005-0000-0000-0000B5220000}"/>
    <cellStyle name="Normal 13 2 2 3 2 13" xfId="6287" xr:uid="{00000000-0005-0000-0000-0000B6220000}"/>
    <cellStyle name="Normal 13 2 2 3 2 14" xfId="6288" xr:uid="{00000000-0005-0000-0000-0000B7220000}"/>
    <cellStyle name="Normal 13 2 2 3 2 2" xfId="6289" xr:uid="{00000000-0005-0000-0000-0000B8220000}"/>
    <cellStyle name="Normal 13 2 2 3 2 2 2" xfId="6290" xr:uid="{00000000-0005-0000-0000-0000B9220000}"/>
    <cellStyle name="Normal 13 2 2 3 2 2 2 2" xfId="6291" xr:uid="{00000000-0005-0000-0000-0000BA220000}"/>
    <cellStyle name="Normal 13 2 2 3 2 2 2 2 2" xfId="6292" xr:uid="{00000000-0005-0000-0000-0000BB220000}"/>
    <cellStyle name="Normal 13 2 2 3 2 2 2 2 2 2" xfId="48620" xr:uid="{00000000-0005-0000-0000-0000BC220000}"/>
    <cellStyle name="Normal 13 2 2 3 2 2 2 2 2 3" xfId="48621" xr:uid="{00000000-0005-0000-0000-0000BD220000}"/>
    <cellStyle name="Normal 13 2 2 3 2 2 2 2 3" xfId="6293" xr:uid="{00000000-0005-0000-0000-0000BE220000}"/>
    <cellStyle name="Normal 13 2 2 3 2 2 2 2 3 2" xfId="48622" xr:uid="{00000000-0005-0000-0000-0000BF220000}"/>
    <cellStyle name="Normal 13 2 2 3 2 2 2 2 4" xfId="6294" xr:uid="{00000000-0005-0000-0000-0000C0220000}"/>
    <cellStyle name="Normal 13 2 2 3 2 2 2 2 5" xfId="6295" xr:uid="{00000000-0005-0000-0000-0000C1220000}"/>
    <cellStyle name="Normal 13 2 2 3 2 2 2 2 6" xfId="6296" xr:uid="{00000000-0005-0000-0000-0000C2220000}"/>
    <cellStyle name="Normal 13 2 2 3 2 2 2 3" xfId="6297" xr:uid="{00000000-0005-0000-0000-0000C3220000}"/>
    <cellStyle name="Normal 13 2 2 3 2 2 2 3 2" xfId="48623" xr:uid="{00000000-0005-0000-0000-0000C4220000}"/>
    <cellStyle name="Normal 13 2 2 3 2 2 2 3 3" xfId="48624" xr:uid="{00000000-0005-0000-0000-0000C5220000}"/>
    <cellStyle name="Normal 13 2 2 3 2 2 2 4" xfId="6298" xr:uid="{00000000-0005-0000-0000-0000C6220000}"/>
    <cellStyle name="Normal 13 2 2 3 2 2 2 4 2" xfId="48625" xr:uid="{00000000-0005-0000-0000-0000C7220000}"/>
    <cellStyle name="Normal 13 2 2 3 2 2 2 5" xfId="6299" xr:uid="{00000000-0005-0000-0000-0000C8220000}"/>
    <cellStyle name="Normal 13 2 2 3 2 2 2 6" xfId="6300" xr:uid="{00000000-0005-0000-0000-0000C9220000}"/>
    <cellStyle name="Normal 13 2 2 3 2 2 2 7" xfId="6301" xr:uid="{00000000-0005-0000-0000-0000CA220000}"/>
    <cellStyle name="Normal 13 2 2 3 2 2 3" xfId="6302" xr:uid="{00000000-0005-0000-0000-0000CB220000}"/>
    <cellStyle name="Normal 13 2 2 3 2 2 3 2" xfId="6303" xr:uid="{00000000-0005-0000-0000-0000CC220000}"/>
    <cellStyle name="Normal 13 2 2 3 2 2 3 2 2" xfId="48626" xr:uid="{00000000-0005-0000-0000-0000CD220000}"/>
    <cellStyle name="Normal 13 2 2 3 2 2 3 2 3" xfId="48627" xr:uid="{00000000-0005-0000-0000-0000CE220000}"/>
    <cellStyle name="Normal 13 2 2 3 2 2 3 3" xfId="6304" xr:uid="{00000000-0005-0000-0000-0000CF220000}"/>
    <cellStyle name="Normal 13 2 2 3 2 2 3 3 2" xfId="48628" xr:uid="{00000000-0005-0000-0000-0000D0220000}"/>
    <cellStyle name="Normal 13 2 2 3 2 2 3 4" xfId="6305" xr:uid="{00000000-0005-0000-0000-0000D1220000}"/>
    <cellStyle name="Normal 13 2 2 3 2 2 3 5" xfId="6306" xr:uid="{00000000-0005-0000-0000-0000D2220000}"/>
    <cellStyle name="Normal 13 2 2 3 2 2 3 6" xfId="6307" xr:uid="{00000000-0005-0000-0000-0000D3220000}"/>
    <cellStyle name="Normal 13 2 2 3 2 2 4" xfId="6308" xr:uid="{00000000-0005-0000-0000-0000D4220000}"/>
    <cellStyle name="Normal 13 2 2 3 2 2 4 2" xfId="48629" xr:uid="{00000000-0005-0000-0000-0000D5220000}"/>
    <cellStyle name="Normal 13 2 2 3 2 2 4 3" xfId="48630" xr:uid="{00000000-0005-0000-0000-0000D6220000}"/>
    <cellStyle name="Normal 13 2 2 3 2 2 5" xfId="6309" xr:uid="{00000000-0005-0000-0000-0000D7220000}"/>
    <cellStyle name="Normal 13 2 2 3 2 2 5 2" xfId="48631" xr:uid="{00000000-0005-0000-0000-0000D8220000}"/>
    <cellStyle name="Normal 13 2 2 3 2 2 6" xfId="6310" xr:uid="{00000000-0005-0000-0000-0000D9220000}"/>
    <cellStyle name="Normal 13 2 2 3 2 2 7" xfId="6311" xr:uid="{00000000-0005-0000-0000-0000DA220000}"/>
    <cellStyle name="Normal 13 2 2 3 2 2 8" xfId="6312" xr:uid="{00000000-0005-0000-0000-0000DB220000}"/>
    <cellStyle name="Normal 13 2 2 3 2 2 9" xfId="6313" xr:uid="{00000000-0005-0000-0000-0000DC220000}"/>
    <cellStyle name="Normal 13 2 2 3 2 3" xfId="6314" xr:uid="{00000000-0005-0000-0000-0000DD220000}"/>
    <cellStyle name="Normal 13 2 2 3 2 3 2" xfId="6315" xr:uid="{00000000-0005-0000-0000-0000DE220000}"/>
    <cellStyle name="Normal 13 2 2 3 2 3 2 2" xfId="6316" xr:uid="{00000000-0005-0000-0000-0000DF220000}"/>
    <cellStyle name="Normal 13 2 2 3 2 3 2 2 2" xfId="6317" xr:uid="{00000000-0005-0000-0000-0000E0220000}"/>
    <cellStyle name="Normal 13 2 2 3 2 3 2 2 2 2" xfId="48632" xr:uid="{00000000-0005-0000-0000-0000E1220000}"/>
    <cellStyle name="Normal 13 2 2 3 2 3 2 2 2 3" xfId="48633" xr:uid="{00000000-0005-0000-0000-0000E2220000}"/>
    <cellStyle name="Normal 13 2 2 3 2 3 2 2 3" xfId="6318" xr:uid="{00000000-0005-0000-0000-0000E3220000}"/>
    <cellStyle name="Normal 13 2 2 3 2 3 2 2 3 2" xfId="48634" xr:uid="{00000000-0005-0000-0000-0000E4220000}"/>
    <cellStyle name="Normal 13 2 2 3 2 3 2 2 4" xfId="6319" xr:uid="{00000000-0005-0000-0000-0000E5220000}"/>
    <cellStyle name="Normal 13 2 2 3 2 3 2 2 5" xfId="6320" xr:uid="{00000000-0005-0000-0000-0000E6220000}"/>
    <cellStyle name="Normal 13 2 2 3 2 3 2 2 6" xfId="6321" xr:uid="{00000000-0005-0000-0000-0000E7220000}"/>
    <cellStyle name="Normal 13 2 2 3 2 3 2 3" xfId="6322" xr:uid="{00000000-0005-0000-0000-0000E8220000}"/>
    <cellStyle name="Normal 13 2 2 3 2 3 2 3 2" xfId="48635" xr:uid="{00000000-0005-0000-0000-0000E9220000}"/>
    <cellStyle name="Normal 13 2 2 3 2 3 2 3 3" xfId="48636" xr:uid="{00000000-0005-0000-0000-0000EA220000}"/>
    <cellStyle name="Normal 13 2 2 3 2 3 2 4" xfId="6323" xr:uid="{00000000-0005-0000-0000-0000EB220000}"/>
    <cellStyle name="Normal 13 2 2 3 2 3 2 4 2" xfId="48637" xr:uid="{00000000-0005-0000-0000-0000EC220000}"/>
    <cellStyle name="Normal 13 2 2 3 2 3 2 5" xfId="6324" xr:uid="{00000000-0005-0000-0000-0000ED220000}"/>
    <cellStyle name="Normal 13 2 2 3 2 3 2 6" xfId="6325" xr:uid="{00000000-0005-0000-0000-0000EE220000}"/>
    <cellStyle name="Normal 13 2 2 3 2 3 2 7" xfId="6326" xr:uid="{00000000-0005-0000-0000-0000EF220000}"/>
    <cellStyle name="Normal 13 2 2 3 2 3 3" xfId="6327" xr:uid="{00000000-0005-0000-0000-0000F0220000}"/>
    <cellStyle name="Normal 13 2 2 3 2 3 3 2" xfId="6328" xr:uid="{00000000-0005-0000-0000-0000F1220000}"/>
    <cellStyle name="Normal 13 2 2 3 2 3 3 2 2" xfId="48638" xr:uid="{00000000-0005-0000-0000-0000F2220000}"/>
    <cellStyle name="Normal 13 2 2 3 2 3 3 2 3" xfId="48639" xr:uid="{00000000-0005-0000-0000-0000F3220000}"/>
    <cellStyle name="Normal 13 2 2 3 2 3 3 3" xfId="6329" xr:uid="{00000000-0005-0000-0000-0000F4220000}"/>
    <cellStyle name="Normal 13 2 2 3 2 3 3 3 2" xfId="48640" xr:uid="{00000000-0005-0000-0000-0000F5220000}"/>
    <cellStyle name="Normal 13 2 2 3 2 3 3 4" xfId="6330" xr:uid="{00000000-0005-0000-0000-0000F6220000}"/>
    <cellStyle name="Normal 13 2 2 3 2 3 3 5" xfId="6331" xr:uid="{00000000-0005-0000-0000-0000F7220000}"/>
    <cellStyle name="Normal 13 2 2 3 2 3 3 6" xfId="6332" xr:uid="{00000000-0005-0000-0000-0000F8220000}"/>
    <cellStyle name="Normal 13 2 2 3 2 3 4" xfId="6333" xr:uid="{00000000-0005-0000-0000-0000F9220000}"/>
    <cellStyle name="Normal 13 2 2 3 2 3 4 2" xfId="48641" xr:uid="{00000000-0005-0000-0000-0000FA220000}"/>
    <cellStyle name="Normal 13 2 2 3 2 3 4 3" xfId="48642" xr:uid="{00000000-0005-0000-0000-0000FB220000}"/>
    <cellStyle name="Normal 13 2 2 3 2 3 5" xfId="6334" xr:uid="{00000000-0005-0000-0000-0000FC220000}"/>
    <cellStyle name="Normal 13 2 2 3 2 3 5 2" xfId="48643" xr:uid="{00000000-0005-0000-0000-0000FD220000}"/>
    <cellStyle name="Normal 13 2 2 3 2 3 6" xfId="6335" xr:uid="{00000000-0005-0000-0000-0000FE220000}"/>
    <cellStyle name="Normal 13 2 2 3 2 3 7" xfId="6336" xr:uid="{00000000-0005-0000-0000-0000FF220000}"/>
    <cellStyle name="Normal 13 2 2 3 2 3 8" xfId="6337" xr:uid="{00000000-0005-0000-0000-000000230000}"/>
    <cellStyle name="Normal 13 2 2 3 2 4" xfId="6338" xr:uid="{00000000-0005-0000-0000-000001230000}"/>
    <cellStyle name="Normal 13 2 2 3 2 4 2" xfId="6339" xr:uid="{00000000-0005-0000-0000-000002230000}"/>
    <cellStyle name="Normal 13 2 2 3 2 4 2 2" xfId="6340" xr:uid="{00000000-0005-0000-0000-000003230000}"/>
    <cellStyle name="Normal 13 2 2 3 2 4 2 2 2" xfId="48644" xr:uid="{00000000-0005-0000-0000-000004230000}"/>
    <cellStyle name="Normal 13 2 2 3 2 4 2 2 3" xfId="48645" xr:uid="{00000000-0005-0000-0000-000005230000}"/>
    <cellStyle name="Normal 13 2 2 3 2 4 2 3" xfId="6341" xr:uid="{00000000-0005-0000-0000-000006230000}"/>
    <cellStyle name="Normal 13 2 2 3 2 4 2 3 2" xfId="48646" xr:uid="{00000000-0005-0000-0000-000007230000}"/>
    <cellStyle name="Normal 13 2 2 3 2 4 2 4" xfId="6342" xr:uid="{00000000-0005-0000-0000-000008230000}"/>
    <cellStyle name="Normal 13 2 2 3 2 4 2 5" xfId="6343" xr:uid="{00000000-0005-0000-0000-000009230000}"/>
    <cellStyle name="Normal 13 2 2 3 2 4 2 6" xfId="6344" xr:uid="{00000000-0005-0000-0000-00000A230000}"/>
    <cellStyle name="Normal 13 2 2 3 2 4 3" xfId="6345" xr:uid="{00000000-0005-0000-0000-00000B230000}"/>
    <cellStyle name="Normal 13 2 2 3 2 4 3 2" xfId="48647" xr:uid="{00000000-0005-0000-0000-00000C230000}"/>
    <cellStyle name="Normal 13 2 2 3 2 4 3 3" xfId="48648" xr:uid="{00000000-0005-0000-0000-00000D230000}"/>
    <cellStyle name="Normal 13 2 2 3 2 4 4" xfId="6346" xr:uid="{00000000-0005-0000-0000-00000E230000}"/>
    <cellStyle name="Normal 13 2 2 3 2 4 4 2" xfId="48649" xr:uid="{00000000-0005-0000-0000-00000F230000}"/>
    <cellStyle name="Normal 13 2 2 3 2 4 5" xfId="6347" xr:uid="{00000000-0005-0000-0000-000010230000}"/>
    <cellStyle name="Normal 13 2 2 3 2 4 6" xfId="6348" xr:uid="{00000000-0005-0000-0000-000011230000}"/>
    <cellStyle name="Normal 13 2 2 3 2 4 7" xfId="6349" xr:uid="{00000000-0005-0000-0000-000012230000}"/>
    <cellStyle name="Normal 13 2 2 3 2 5" xfId="6350" xr:uid="{00000000-0005-0000-0000-000013230000}"/>
    <cellStyle name="Normal 13 2 2 3 2 5 2" xfId="6351" xr:uid="{00000000-0005-0000-0000-000014230000}"/>
    <cellStyle name="Normal 13 2 2 3 2 5 2 2" xfId="48650" xr:uid="{00000000-0005-0000-0000-000015230000}"/>
    <cellStyle name="Normal 13 2 2 3 2 5 2 3" xfId="48651" xr:uid="{00000000-0005-0000-0000-000016230000}"/>
    <cellStyle name="Normal 13 2 2 3 2 5 3" xfId="6352" xr:uid="{00000000-0005-0000-0000-000017230000}"/>
    <cellStyle name="Normal 13 2 2 3 2 5 3 2" xfId="48652" xr:uid="{00000000-0005-0000-0000-000018230000}"/>
    <cellStyle name="Normal 13 2 2 3 2 5 4" xfId="6353" xr:uid="{00000000-0005-0000-0000-000019230000}"/>
    <cellStyle name="Normal 13 2 2 3 2 5 5" xfId="6354" xr:uid="{00000000-0005-0000-0000-00001A230000}"/>
    <cellStyle name="Normal 13 2 2 3 2 5 6" xfId="6355" xr:uid="{00000000-0005-0000-0000-00001B230000}"/>
    <cellStyle name="Normal 13 2 2 3 2 6" xfId="6356" xr:uid="{00000000-0005-0000-0000-00001C230000}"/>
    <cellStyle name="Normal 13 2 2 3 2 6 2" xfId="48653" xr:uid="{00000000-0005-0000-0000-00001D230000}"/>
    <cellStyle name="Normal 13 2 2 3 2 6 3" xfId="48654" xr:uid="{00000000-0005-0000-0000-00001E230000}"/>
    <cellStyle name="Normal 13 2 2 3 2 7" xfId="6357" xr:uid="{00000000-0005-0000-0000-00001F230000}"/>
    <cellStyle name="Normal 13 2 2 3 2 7 2" xfId="48655" xr:uid="{00000000-0005-0000-0000-000020230000}"/>
    <cellStyle name="Normal 13 2 2 3 2 8" xfId="6358" xr:uid="{00000000-0005-0000-0000-000021230000}"/>
    <cellStyle name="Normal 13 2 2 3 2 9" xfId="6359" xr:uid="{00000000-0005-0000-0000-000022230000}"/>
    <cellStyle name="Normal 13 2 2 3 3" xfId="6360" xr:uid="{00000000-0005-0000-0000-000023230000}"/>
    <cellStyle name="Normal 13 2 2 3 3 2" xfId="6361" xr:uid="{00000000-0005-0000-0000-000024230000}"/>
    <cellStyle name="Normal 13 2 2 3 3 2 2" xfId="6362" xr:uid="{00000000-0005-0000-0000-000025230000}"/>
    <cellStyle name="Normal 13 2 2 3 3 2 2 2" xfId="6363" xr:uid="{00000000-0005-0000-0000-000026230000}"/>
    <cellStyle name="Normal 13 2 2 3 3 2 2 2 2" xfId="48656" xr:uid="{00000000-0005-0000-0000-000027230000}"/>
    <cellStyle name="Normal 13 2 2 3 3 2 2 2 3" xfId="48657" xr:uid="{00000000-0005-0000-0000-000028230000}"/>
    <cellStyle name="Normal 13 2 2 3 3 2 2 3" xfId="6364" xr:uid="{00000000-0005-0000-0000-000029230000}"/>
    <cellStyle name="Normal 13 2 2 3 3 2 2 3 2" xfId="48658" xr:uid="{00000000-0005-0000-0000-00002A230000}"/>
    <cellStyle name="Normal 13 2 2 3 3 2 2 4" xfId="6365" xr:uid="{00000000-0005-0000-0000-00002B230000}"/>
    <cellStyle name="Normal 13 2 2 3 3 2 2 5" xfId="6366" xr:uid="{00000000-0005-0000-0000-00002C230000}"/>
    <cellStyle name="Normal 13 2 2 3 3 2 2 6" xfId="6367" xr:uid="{00000000-0005-0000-0000-00002D230000}"/>
    <cellStyle name="Normal 13 2 2 3 3 2 3" xfId="6368" xr:uid="{00000000-0005-0000-0000-00002E230000}"/>
    <cellStyle name="Normal 13 2 2 3 3 2 3 2" xfId="48659" xr:uid="{00000000-0005-0000-0000-00002F230000}"/>
    <cellStyle name="Normal 13 2 2 3 3 2 3 3" xfId="48660" xr:uid="{00000000-0005-0000-0000-000030230000}"/>
    <cellStyle name="Normal 13 2 2 3 3 2 4" xfId="6369" xr:uid="{00000000-0005-0000-0000-000031230000}"/>
    <cellStyle name="Normal 13 2 2 3 3 2 4 2" xfId="48661" xr:uid="{00000000-0005-0000-0000-000032230000}"/>
    <cellStyle name="Normal 13 2 2 3 3 2 5" xfId="6370" xr:uid="{00000000-0005-0000-0000-000033230000}"/>
    <cellStyle name="Normal 13 2 2 3 3 2 6" xfId="6371" xr:uid="{00000000-0005-0000-0000-000034230000}"/>
    <cellStyle name="Normal 13 2 2 3 3 2 7" xfId="6372" xr:uid="{00000000-0005-0000-0000-000035230000}"/>
    <cellStyle name="Normal 13 2 2 3 3 3" xfId="6373" xr:uid="{00000000-0005-0000-0000-000036230000}"/>
    <cellStyle name="Normal 13 2 2 3 3 3 2" xfId="6374" xr:uid="{00000000-0005-0000-0000-000037230000}"/>
    <cellStyle name="Normal 13 2 2 3 3 3 2 2" xfId="48662" xr:uid="{00000000-0005-0000-0000-000038230000}"/>
    <cellStyle name="Normal 13 2 2 3 3 3 2 3" xfId="48663" xr:uid="{00000000-0005-0000-0000-000039230000}"/>
    <cellStyle name="Normal 13 2 2 3 3 3 3" xfId="6375" xr:uid="{00000000-0005-0000-0000-00003A230000}"/>
    <cellStyle name="Normal 13 2 2 3 3 3 3 2" xfId="48664" xr:uid="{00000000-0005-0000-0000-00003B230000}"/>
    <cellStyle name="Normal 13 2 2 3 3 3 4" xfId="6376" xr:uid="{00000000-0005-0000-0000-00003C230000}"/>
    <cellStyle name="Normal 13 2 2 3 3 3 5" xfId="6377" xr:uid="{00000000-0005-0000-0000-00003D230000}"/>
    <cellStyle name="Normal 13 2 2 3 3 3 6" xfId="6378" xr:uid="{00000000-0005-0000-0000-00003E230000}"/>
    <cellStyle name="Normal 13 2 2 3 3 4" xfId="6379" xr:uid="{00000000-0005-0000-0000-00003F230000}"/>
    <cellStyle name="Normal 13 2 2 3 3 4 2" xfId="48665" xr:uid="{00000000-0005-0000-0000-000040230000}"/>
    <cellStyle name="Normal 13 2 2 3 3 4 3" xfId="48666" xr:uid="{00000000-0005-0000-0000-000041230000}"/>
    <cellStyle name="Normal 13 2 2 3 3 5" xfId="6380" xr:uid="{00000000-0005-0000-0000-000042230000}"/>
    <cellStyle name="Normal 13 2 2 3 3 5 2" xfId="48667" xr:uid="{00000000-0005-0000-0000-000043230000}"/>
    <cellStyle name="Normal 13 2 2 3 3 6" xfId="6381" xr:uid="{00000000-0005-0000-0000-000044230000}"/>
    <cellStyle name="Normal 13 2 2 3 3 7" xfId="6382" xr:uid="{00000000-0005-0000-0000-000045230000}"/>
    <cellStyle name="Normal 13 2 2 3 3 8" xfId="6383" xr:uid="{00000000-0005-0000-0000-000046230000}"/>
    <cellStyle name="Normal 13 2 2 3 3 9" xfId="6384" xr:uid="{00000000-0005-0000-0000-000047230000}"/>
    <cellStyle name="Normal 13 2 2 3 4" xfId="6385" xr:uid="{00000000-0005-0000-0000-000048230000}"/>
    <cellStyle name="Normal 13 2 2 3 4 2" xfId="6386" xr:uid="{00000000-0005-0000-0000-000049230000}"/>
    <cellStyle name="Normal 13 2 2 3 4 2 2" xfId="6387" xr:uid="{00000000-0005-0000-0000-00004A230000}"/>
    <cellStyle name="Normal 13 2 2 3 4 2 2 2" xfId="6388" xr:uid="{00000000-0005-0000-0000-00004B230000}"/>
    <cellStyle name="Normal 13 2 2 3 4 2 2 2 2" xfId="48668" xr:uid="{00000000-0005-0000-0000-00004C230000}"/>
    <cellStyle name="Normal 13 2 2 3 4 2 2 2 3" xfId="48669" xr:uid="{00000000-0005-0000-0000-00004D230000}"/>
    <cellStyle name="Normal 13 2 2 3 4 2 2 3" xfId="6389" xr:uid="{00000000-0005-0000-0000-00004E230000}"/>
    <cellStyle name="Normal 13 2 2 3 4 2 2 3 2" xfId="48670" xr:uid="{00000000-0005-0000-0000-00004F230000}"/>
    <cellStyle name="Normal 13 2 2 3 4 2 2 4" xfId="6390" xr:uid="{00000000-0005-0000-0000-000050230000}"/>
    <cellStyle name="Normal 13 2 2 3 4 2 2 5" xfId="6391" xr:uid="{00000000-0005-0000-0000-000051230000}"/>
    <cellStyle name="Normal 13 2 2 3 4 2 2 6" xfId="6392" xr:uid="{00000000-0005-0000-0000-000052230000}"/>
    <cellStyle name="Normal 13 2 2 3 4 2 3" xfId="6393" xr:uid="{00000000-0005-0000-0000-000053230000}"/>
    <cellStyle name="Normal 13 2 2 3 4 2 3 2" xfId="48671" xr:uid="{00000000-0005-0000-0000-000054230000}"/>
    <cellStyle name="Normal 13 2 2 3 4 2 3 3" xfId="48672" xr:uid="{00000000-0005-0000-0000-000055230000}"/>
    <cellStyle name="Normal 13 2 2 3 4 2 4" xfId="6394" xr:uid="{00000000-0005-0000-0000-000056230000}"/>
    <cellStyle name="Normal 13 2 2 3 4 2 4 2" xfId="48673" xr:uid="{00000000-0005-0000-0000-000057230000}"/>
    <cellStyle name="Normal 13 2 2 3 4 2 5" xfId="6395" xr:uid="{00000000-0005-0000-0000-000058230000}"/>
    <cellStyle name="Normal 13 2 2 3 4 2 6" xfId="6396" xr:uid="{00000000-0005-0000-0000-000059230000}"/>
    <cellStyle name="Normal 13 2 2 3 4 2 7" xfId="6397" xr:uid="{00000000-0005-0000-0000-00005A230000}"/>
    <cellStyle name="Normal 13 2 2 3 4 3" xfId="6398" xr:uid="{00000000-0005-0000-0000-00005B230000}"/>
    <cellStyle name="Normal 13 2 2 3 4 3 2" xfId="6399" xr:uid="{00000000-0005-0000-0000-00005C230000}"/>
    <cellStyle name="Normal 13 2 2 3 4 3 2 2" xfId="48674" xr:uid="{00000000-0005-0000-0000-00005D230000}"/>
    <cellStyle name="Normal 13 2 2 3 4 3 2 3" xfId="48675" xr:uid="{00000000-0005-0000-0000-00005E230000}"/>
    <cellStyle name="Normal 13 2 2 3 4 3 3" xfId="6400" xr:uid="{00000000-0005-0000-0000-00005F230000}"/>
    <cellStyle name="Normal 13 2 2 3 4 3 3 2" xfId="48676" xr:uid="{00000000-0005-0000-0000-000060230000}"/>
    <cellStyle name="Normal 13 2 2 3 4 3 4" xfId="6401" xr:uid="{00000000-0005-0000-0000-000061230000}"/>
    <cellStyle name="Normal 13 2 2 3 4 3 5" xfId="6402" xr:uid="{00000000-0005-0000-0000-000062230000}"/>
    <cellStyle name="Normal 13 2 2 3 4 3 6" xfId="6403" xr:uid="{00000000-0005-0000-0000-000063230000}"/>
    <cellStyle name="Normal 13 2 2 3 4 4" xfId="6404" xr:uid="{00000000-0005-0000-0000-000064230000}"/>
    <cellStyle name="Normal 13 2 2 3 4 4 2" xfId="48677" xr:uid="{00000000-0005-0000-0000-000065230000}"/>
    <cellStyle name="Normal 13 2 2 3 4 4 3" xfId="48678" xr:uid="{00000000-0005-0000-0000-000066230000}"/>
    <cellStyle name="Normal 13 2 2 3 4 5" xfId="6405" xr:uid="{00000000-0005-0000-0000-000067230000}"/>
    <cellStyle name="Normal 13 2 2 3 4 5 2" xfId="48679" xr:uid="{00000000-0005-0000-0000-000068230000}"/>
    <cellStyle name="Normal 13 2 2 3 4 6" xfId="6406" xr:uid="{00000000-0005-0000-0000-000069230000}"/>
    <cellStyle name="Normal 13 2 2 3 4 7" xfId="6407" xr:uid="{00000000-0005-0000-0000-00006A230000}"/>
    <cellStyle name="Normal 13 2 2 3 4 8" xfId="6408" xr:uid="{00000000-0005-0000-0000-00006B230000}"/>
    <cellStyle name="Normal 13 2 2 3 5" xfId="6409" xr:uid="{00000000-0005-0000-0000-00006C230000}"/>
    <cellStyle name="Normal 13 2 2 3 5 2" xfId="6410" xr:uid="{00000000-0005-0000-0000-00006D230000}"/>
    <cellStyle name="Normal 13 2 2 3 5 2 2" xfId="6411" xr:uid="{00000000-0005-0000-0000-00006E230000}"/>
    <cellStyle name="Normal 13 2 2 3 5 2 2 2" xfId="48680" xr:uid="{00000000-0005-0000-0000-00006F230000}"/>
    <cellStyle name="Normal 13 2 2 3 5 2 2 3" xfId="48681" xr:uid="{00000000-0005-0000-0000-000070230000}"/>
    <cellStyle name="Normal 13 2 2 3 5 2 3" xfId="6412" xr:uid="{00000000-0005-0000-0000-000071230000}"/>
    <cellStyle name="Normal 13 2 2 3 5 2 3 2" xfId="48682" xr:uid="{00000000-0005-0000-0000-000072230000}"/>
    <cellStyle name="Normal 13 2 2 3 5 2 4" xfId="6413" xr:uid="{00000000-0005-0000-0000-000073230000}"/>
    <cellStyle name="Normal 13 2 2 3 5 2 5" xfId="6414" xr:uid="{00000000-0005-0000-0000-000074230000}"/>
    <cellStyle name="Normal 13 2 2 3 5 2 6" xfId="6415" xr:uid="{00000000-0005-0000-0000-000075230000}"/>
    <cellStyle name="Normal 13 2 2 3 5 3" xfId="6416" xr:uid="{00000000-0005-0000-0000-000076230000}"/>
    <cellStyle name="Normal 13 2 2 3 5 3 2" xfId="48683" xr:uid="{00000000-0005-0000-0000-000077230000}"/>
    <cellStyle name="Normal 13 2 2 3 5 3 3" xfId="48684" xr:uid="{00000000-0005-0000-0000-000078230000}"/>
    <cellStyle name="Normal 13 2 2 3 5 4" xfId="6417" xr:uid="{00000000-0005-0000-0000-000079230000}"/>
    <cellStyle name="Normal 13 2 2 3 5 4 2" xfId="48685" xr:uid="{00000000-0005-0000-0000-00007A230000}"/>
    <cellStyle name="Normal 13 2 2 3 5 5" xfId="6418" xr:uid="{00000000-0005-0000-0000-00007B230000}"/>
    <cellStyle name="Normal 13 2 2 3 5 6" xfId="6419" xr:uid="{00000000-0005-0000-0000-00007C230000}"/>
    <cellStyle name="Normal 13 2 2 3 5 7" xfId="6420" xr:uid="{00000000-0005-0000-0000-00007D230000}"/>
    <cellStyle name="Normal 13 2 2 3 6" xfId="6421" xr:uid="{00000000-0005-0000-0000-00007E230000}"/>
    <cellStyle name="Normal 13 2 2 3 6 2" xfId="6422" xr:uid="{00000000-0005-0000-0000-00007F230000}"/>
    <cellStyle name="Normal 13 2 2 3 6 2 2" xfId="48686" xr:uid="{00000000-0005-0000-0000-000080230000}"/>
    <cellStyle name="Normal 13 2 2 3 6 2 3" xfId="48687" xr:uid="{00000000-0005-0000-0000-000081230000}"/>
    <cellStyle name="Normal 13 2 2 3 6 3" xfId="6423" xr:uid="{00000000-0005-0000-0000-000082230000}"/>
    <cellStyle name="Normal 13 2 2 3 6 3 2" xfId="48688" xr:uid="{00000000-0005-0000-0000-000083230000}"/>
    <cellStyle name="Normal 13 2 2 3 6 4" xfId="6424" xr:uid="{00000000-0005-0000-0000-000084230000}"/>
    <cellStyle name="Normal 13 2 2 3 6 5" xfId="6425" xr:uid="{00000000-0005-0000-0000-000085230000}"/>
    <cellStyle name="Normal 13 2 2 3 6 6" xfId="6426" xr:uid="{00000000-0005-0000-0000-000086230000}"/>
    <cellStyle name="Normal 13 2 2 3 7" xfId="6427" xr:uid="{00000000-0005-0000-0000-000087230000}"/>
    <cellStyle name="Normal 13 2 2 3 7 2" xfId="48689" xr:uid="{00000000-0005-0000-0000-000088230000}"/>
    <cellStyle name="Normal 13 2 2 3 7 3" xfId="48690" xr:uid="{00000000-0005-0000-0000-000089230000}"/>
    <cellStyle name="Normal 13 2 2 3 8" xfId="6428" xr:uid="{00000000-0005-0000-0000-00008A230000}"/>
    <cellStyle name="Normal 13 2 2 3 8 2" xfId="48691" xr:uid="{00000000-0005-0000-0000-00008B230000}"/>
    <cellStyle name="Normal 13 2 2 3 9" xfId="6429" xr:uid="{00000000-0005-0000-0000-00008C230000}"/>
    <cellStyle name="Normal 13 2 2 4" xfId="6430" xr:uid="{00000000-0005-0000-0000-00008D230000}"/>
    <cellStyle name="Normal 13 2 2 4 10" xfId="6431" xr:uid="{00000000-0005-0000-0000-00008E230000}"/>
    <cellStyle name="Normal 13 2 2 4 11" xfId="6432" xr:uid="{00000000-0005-0000-0000-00008F230000}"/>
    <cellStyle name="Normal 13 2 2 4 12" xfId="6433" xr:uid="{00000000-0005-0000-0000-000090230000}"/>
    <cellStyle name="Normal 13 2 2 4 13" xfId="6434" xr:uid="{00000000-0005-0000-0000-000091230000}"/>
    <cellStyle name="Normal 13 2 2 4 14" xfId="6435" xr:uid="{00000000-0005-0000-0000-000092230000}"/>
    <cellStyle name="Normal 13 2 2 4 2" xfId="6436" xr:uid="{00000000-0005-0000-0000-000093230000}"/>
    <cellStyle name="Normal 13 2 2 4 2 2" xfId="6437" xr:uid="{00000000-0005-0000-0000-000094230000}"/>
    <cellStyle name="Normal 13 2 2 4 2 2 2" xfId="6438" xr:uid="{00000000-0005-0000-0000-000095230000}"/>
    <cellStyle name="Normal 13 2 2 4 2 2 2 2" xfId="6439" xr:uid="{00000000-0005-0000-0000-000096230000}"/>
    <cellStyle name="Normal 13 2 2 4 2 2 2 2 2" xfId="48692" xr:uid="{00000000-0005-0000-0000-000097230000}"/>
    <cellStyle name="Normal 13 2 2 4 2 2 2 2 3" xfId="48693" xr:uid="{00000000-0005-0000-0000-000098230000}"/>
    <cellStyle name="Normal 13 2 2 4 2 2 2 3" xfId="6440" xr:uid="{00000000-0005-0000-0000-000099230000}"/>
    <cellStyle name="Normal 13 2 2 4 2 2 2 3 2" xfId="48694" xr:uid="{00000000-0005-0000-0000-00009A230000}"/>
    <cellStyle name="Normal 13 2 2 4 2 2 2 4" xfId="6441" xr:uid="{00000000-0005-0000-0000-00009B230000}"/>
    <cellStyle name="Normal 13 2 2 4 2 2 2 5" xfId="6442" xr:uid="{00000000-0005-0000-0000-00009C230000}"/>
    <cellStyle name="Normal 13 2 2 4 2 2 2 6" xfId="6443" xr:uid="{00000000-0005-0000-0000-00009D230000}"/>
    <cellStyle name="Normal 13 2 2 4 2 2 3" xfId="6444" xr:uid="{00000000-0005-0000-0000-00009E230000}"/>
    <cellStyle name="Normal 13 2 2 4 2 2 3 2" xfId="48695" xr:uid="{00000000-0005-0000-0000-00009F230000}"/>
    <cellStyle name="Normal 13 2 2 4 2 2 3 3" xfId="48696" xr:uid="{00000000-0005-0000-0000-0000A0230000}"/>
    <cellStyle name="Normal 13 2 2 4 2 2 4" xfId="6445" xr:uid="{00000000-0005-0000-0000-0000A1230000}"/>
    <cellStyle name="Normal 13 2 2 4 2 2 4 2" xfId="48697" xr:uid="{00000000-0005-0000-0000-0000A2230000}"/>
    <cellStyle name="Normal 13 2 2 4 2 2 5" xfId="6446" xr:uid="{00000000-0005-0000-0000-0000A3230000}"/>
    <cellStyle name="Normal 13 2 2 4 2 2 6" xfId="6447" xr:uid="{00000000-0005-0000-0000-0000A4230000}"/>
    <cellStyle name="Normal 13 2 2 4 2 2 7" xfId="6448" xr:uid="{00000000-0005-0000-0000-0000A5230000}"/>
    <cellStyle name="Normal 13 2 2 4 2 3" xfId="6449" xr:uid="{00000000-0005-0000-0000-0000A6230000}"/>
    <cellStyle name="Normal 13 2 2 4 2 3 2" xfId="6450" xr:uid="{00000000-0005-0000-0000-0000A7230000}"/>
    <cellStyle name="Normal 13 2 2 4 2 3 2 2" xfId="48698" xr:uid="{00000000-0005-0000-0000-0000A8230000}"/>
    <cellStyle name="Normal 13 2 2 4 2 3 2 3" xfId="48699" xr:uid="{00000000-0005-0000-0000-0000A9230000}"/>
    <cellStyle name="Normal 13 2 2 4 2 3 3" xfId="6451" xr:uid="{00000000-0005-0000-0000-0000AA230000}"/>
    <cellStyle name="Normal 13 2 2 4 2 3 3 2" xfId="48700" xr:uid="{00000000-0005-0000-0000-0000AB230000}"/>
    <cellStyle name="Normal 13 2 2 4 2 3 4" xfId="6452" xr:uid="{00000000-0005-0000-0000-0000AC230000}"/>
    <cellStyle name="Normal 13 2 2 4 2 3 5" xfId="6453" xr:uid="{00000000-0005-0000-0000-0000AD230000}"/>
    <cellStyle name="Normal 13 2 2 4 2 3 6" xfId="6454" xr:uid="{00000000-0005-0000-0000-0000AE230000}"/>
    <cellStyle name="Normal 13 2 2 4 2 4" xfId="6455" xr:uid="{00000000-0005-0000-0000-0000AF230000}"/>
    <cellStyle name="Normal 13 2 2 4 2 4 2" xfId="48701" xr:uid="{00000000-0005-0000-0000-0000B0230000}"/>
    <cellStyle name="Normal 13 2 2 4 2 4 3" xfId="48702" xr:uid="{00000000-0005-0000-0000-0000B1230000}"/>
    <cellStyle name="Normal 13 2 2 4 2 5" xfId="6456" xr:uid="{00000000-0005-0000-0000-0000B2230000}"/>
    <cellStyle name="Normal 13 2 2 4 2 5 2" xfId="48703" xr:uid="{00000000-0005-0000-0000-0000B3230000}"/>
    <cellStyle name="Normal 13 2 2 4 2 6" xfId="6457" xr:uid="{00000000-0005-0000-0000-0000B4230000}"/>
    <cellStyle name="Normal 13 2 2 4 2 7" xfId="6458" xr:uid="{00000000-0005-0000-0000-0000B5230000}"/>
    <cellStyle name="Normal 13 2 2 4 2 8" xfId="6459" xr:uid="{00000000-0005-0000-0000-0000B6230000}"/>
    <cellStyle name="Normal 13 2 2 4 2 9" xfId="6460" xr:uid="{00000000-0005-0000-0000-0000B7230000}"/>
    <cellStyle name="Normal 13 2 2 4 3" xfId="6461" xr:uid="{00000000-0005-0000-0000-0000B8230000}"/>
    <cellStyle name="Normal 13 2 2 4 3 2" xfId="6462" xr:uid="{00000000-0005-0000-0000-0000B9230000}"/>
    <cellStyle name="Normal 13 2 2 4 3 2 2" xfId="6463" xr:uid="{00000000-0005-0000-0000-0000BA230000}"/>
    <cellStyle name="Normal 13 2 2 4 3 2 2 2" xfId="6464" xr:uid="{00000000-0005-0000-0000-0000BB230000}"/>
    <cellStyle name="Normal 13 2 2 4 3 2 2 2 2" xfId="48704" xr:uid="{00000000-0005-0000-0000-0000BC230000}"/>
    <cellStyle name="Normal 13 2 2 4 3 2 2 2 3" xfId="48705" xr:uid="{00000000-0005-0000-0000-0000BD230000}"/>
    <cellStyle name="Normal 13 2 2 4 3 2 2 3" xfId="6465" xr:uid="{00000000-0005-0000-0000-0000BE230000}"/>
    <cellStyle name="Normal 13 2 2 4 3 2 2 3 2" xfId="48706" xr:uid="{00000000-0005-0000-0000-0000BF230000}"/>
    <cellStyle name="Normal 13 2 2 4 3 2 2 4" xfId="6466" xr:uid="{00000000-0005-0000-0000-0000C0230000}"/>
    <cellStyle name="Normal 13 2 2 4 3 2 2 5" xfId="6467" xr:uid="{00000000-0005-0000-0000-0000C1230000}"/>
    <cellStyle name="Normal 13 2 2 4 3 2 2 6" xfId="6468" xr:uid="{00000000-0005-0000-0000-0000C2230000}"/>
    <cellStyle name="Normal 13 2 2 4 3 2 3" xfId="6469" xr:uid="{00000000-0005-0000-0000-0000C3230000}"/>
    <cellStyle name="Normal 13 2 2 4 3 2 3 2" xfId="48707" xr:uid="{00000000-0005-0000-0000-0000C4230000}"/>
    <cellStyle name="Normal 13 2 2 4 3 2 3 3" xfId="48708" xr:uid="{00000000-0005-0000-0000-0000C5230000}"/>
    <cellStyle name="Normal 13 2 2 4 3 2 4" xfId="6470" xr:uid="{00000000-0005-0000-0000-0000C6230000}"/>
    <cellStyle name="Normal 13 2 2 4 3 2 4 2" xfId="48709" xr:uid="{00000000-0005-0000-0000-0000C7230000}"/>
    <cellStyle name="Normal 13 2 2 4 3 2 5" xfId="6471" xr:uid="{00000000-0005-0000-0000-0000C8230000}"/>
    <cellStyle name="Normal 13 2 2 4 3 2 6" xfId="6472" xr:uid="{00000000-0005-0000-0000-0000C9230000}"/>
    <cellStyle name="Normal 13 2 2 4 3 2 7" xfId="6473" xr:uid="{00000000-0005-0000-0000-0000CA230000}"/>
    <cellStyle name="Normal 13 2 2 4 3 3" xfId="6474" xr:uid="{00000000-0005-0000-0000-0000CB230000}"/>
    <cellStyle name="Normal 13 2 2 4 3 3 2" xfId="6475" xr:uid="{00000000-0005-0000-0000-0000CC230000}"/>
    <cellStyle name="Normal 13 2 2 4 3 3 2 2" xfId="48710" xr:uid="{00000000-0005-0000-0000-0000CD230000}"/>
    <cellStyle name="Normal 13 2 2 4 3 3 2 3" xfId="48711" xr:uid="{00000000-0005-0000-0000-0000CE230000}"/>
    <cellStyle name="Normal 13 2 2 4 3 3 3" xfId="6476" xr:uid="{00000000-0005-0000-0000-0000CF230000}"/>
    <cellStyle name="Normal 13 2 2 4 3 3 3 2" xfId="48712" xr:uid="{00000000-0005-0000-0000-0000D0230000}"/>
    <cellStyle name="Normal 13 2 2 4 3 3 4" xfId="6477" xr:uid="{00000000-0005-0000-0000-0000D1230000}"/>
    <cellStyle name="Normal 13 2 2 4 3 3 5" xfId="6478" xr:uid="{00000000-0005-0000-0000-0000D2230000}"/>
    <cellStyle name="Normal 13 2 2 4 3 3 6" xfId="6479" xr:uid="{00000000-0005-0000-0000-0000D3230000}"/>
    <cellStyle name="Normal 13 2 2 4 3 4" xfId="6480" xr:uid="{00000000-0005-0000-0000-0000D4230000}"/>
    <cellStyle name="Normal 13 2 2 4 3 4 2" xfId="48713" xr:uid="{00000000-0005-0000-0000-0000D5230000}"/>
    <cellStyle name="Normal 13 2 2 4 3 4 3" xfId="48714" xr:uid="{00000000-0005-0000-0000-0000D6230000}"/>
    <cellStyle name="Normal 13 2 2 4 3 5" xfId="6481" xr:uid="{00000000-0005-0000-0000-0000D7230000}"/>
    <cellStyle name="Normal 13 2 2 4 3 5 2" xfId="48715" xr:uid="{00000000-0005-0000-0000-0000D8230000}"/>
    <cellStyle name="Normal 13 2 2 4 3 6" xfId="6482" xr:uid="{00000000-0005-0000-0000-0000D9230000}"/>
    <cellStyle name="Normal 13 2 2 4 3 7" xfId="6483" xr:uid="{00000000-0005-0000-0000-0000DA230000}"/>
    <cellStyle name="Normal 13 2 2 4 3 8" xfId="6484" xr:uid="{00000000-0005-0000-0000-0000DB230000}"/>
    <cellStyle name="Normal 13 2 2 4 4" xfId="6485" xr:uid="{00000000-0005-0000-0000-0000DC230000}"/>
    <cellStyle name="Normal 13 2 2 4 4 2" xfId="6486" xr:uid="{00000000-0005-0000-0000-0000DD230000}"/>
    <cellStyle name="Normal 13 2 2 4 4 2 2" xfId="6487" xr:uid="{00000000-0005-0000-0000-0000DE230000}"/>
    <cellStyle name="Normal 13 2 2 4 4 2 2 2" xfId="48716" xr:uid="{00000000-0005-0000-0000-0000DF230000}"/>
    <cellStyle name="Normal 13 2 2 4 4 2 2 3" xfId="48717" xr:uid="{00000000-0005-0000-0000-0000E0230000}"/>
    <cellStyle name="Normal 13 2 2 4 4 2 3" xfId="6488" xr:uid="{00000000-0005-0000-0000-0000E1230000}"/>
    <cellStyle name="Normal 13 2 2 4 4 2 3 2" xfId="48718" xr:uid="{00000000-0005-0000-0000-0000E2230000}"/>
    <cellStyle name="Normal 13 2 2 4 4 2 4" xfId="6489" xr:uid="{00000000-0005-0000-0000-0000E3230000}"/>
    <cellStyle name="Normal 13 2 2 4 4 2 5" xfId="6490" xr:uid="{00000000-0005-0000-0000-0000E4230000}"/>
    <cellStyle name="Normal 13 2 2 4 4 2 6" xfId="6491" xr:uid="{00000000-0005-0000-0000-0000E5230000}"/>
    <cellStyle name="Normal 13 2 2 4 4 3" xfId="6492" xr:uid="{00000000-0005-0000-0000-0000E6230000}"/>
    <cellStyle name="Normal 13 2 2 4 4 3 2" xfId="48719" xr:uid="{00000000-0005-0000-0000-0000E7230000}"/>
    <cellStyle name="Normal 13 2 2 4 4 3 3" xfId="48720" xr:uid="{00000000-0005-0000-0000-0000E8230000}"/>
    <cellStyle name="Normal 13 2 2 4 4 4" xfId="6493" xr:uid="{00000000-0005-0000-0000-0000E9230000}"/>
    <cellStyle name="Normal 13 2 2 4 4 4 2" xfId="48721" xr:uid="{00000000-0005-0000-0000-0000EA230000}"/>
    <cellStyle name="Normal 13 2 2 4 4 5" xfId="6494" xr:uid="{00000000-0005-0000-0000-0000EB230000}"/>
    <cellStyle name="Normal 13 2 2 4 4 6" xfId="6495" xr:uid="{00000000-0005-0000-0000-0000EC230000}"/>
    <cellStyle name="Normal 13 2 2 4 4 7" xfId="6496" xr:uid="{00000000-0005-0000-0000-0000ED230000}"/>
    <cellStyle name="Normal 13 2 2 4 5" xfId="6497" xr:uid="{00000000-0005-0000-0000-0000EE230000}"/>
    <cellStyle name="Normal 13 2 2 4 5 2" xfId="6498" xr:uid="{00000000-0005-0000-0000-0000EF230000}"/>
    <cellStyle name="Normal 13 2 2 4 5 2 2" xfId="48722" xr:uid="{00000000-0005-0000-0000-0000F0230000}"/>
    <cellStyle name="Normal 13 2 2 4 5 2 3" xfId="48723" xr:uid="{00000000-0005-0000-0000-0000F1230000}"/>
    <cellStyle name="Normal 13 2 2 4 5 3" xfId="6499" xr:uid="{00000000-0005-0000-0000-0000F2230000}"/>
    <cellStyle name="Normal 13 2 2 4 5 3 2" xfId="48724" xr:uid="{00000000-0005-0000-0000-0000F3230000}"/>
    <cellStyle name="Normal 13 2 2 4 5 4" xfId="6500" xr:uid="{00000000-0005-0000-0000-0000F4230000}"/>
    <cellStyle name="Normal 13 2 2 4 5 5" xfId="6501" xr:uid="{00000000-0005-0000-0000-0000F5230000}"/>
    <cellStyle name="Normal 13 2 2 4 5 6" xfId="6502" xr:uid="{00000000-0005-0000-0000-0000F6230000}"/>
    <cellStyle name="Normal 13 2 2 4 6" xfId="6503" xr:uid="{00000000-0005-0000-0000-0000F7230000}"/>
    <cellStyle name="Normal 13 2 2 4 6 2" xfId="48725" xr:uid="{00000000-0005-0000-0000-0000F8230000}"/>
    <cellStyle name="Normal 13 2 2 4 6 3" xfId="48726" xr:uid="{00000000-0005-0000-0000-0000F9230000}"/>
    <cellStyle name="Normal 13 2 2 4 7" xfId="6504" xr:uid="{00000000-0005-0000-0000-0000FA230000}"/>
    <cellStyle name="Normal 13 2 2 4 7 2" xfId="48727" xr:uid="{00000000-0005-0000-0000-0000FB230000}"/>
    <cellStyle name="Normal 13 2 2 4 8" xfId="6505" xr:uid="{00000000-0005-0000-0000-0000FC230000}"/>
    <cellStyle name="Normal 13 2 2 4 9" xfId="6506" xr:uid="{00000000-0005-0000-0000-0000FD230000}"/>
    <cellStyle name="Normal 13 2 2 5" xfId="6507" xr:uid="{00000000-0005-0000-0000-0000FE230000}"/>
    <cellStyle name="Normal 13 2 2 5 10" xfId="6508" xr:uid="{00000000-0005-0000-0000-0000FF230000}"/>
    <cellStyle name="Normal 13 2 2 5 11" xfId="6509" xr:uid="{00000000-0005-0000-0000-000000240000}"/>
    <cellStyle name="Normal 13 2 2 5 12" xfId="6510" xr:uid="{00000000-0005-0000-0000-000001240000}"/>
    <cellStyle name="Normal 13 2 2 5 13" xfId="6511" xr:uid="{00000000-0005-0000-0000-000002240000}"/>
    <cellStyle name="Normal 13 2 2 5 14" xfId="6512" xr:uid="{00000000-0005-0000-0000-000003240000}"/>
    <cellStyle name="Normal 13 2 2 5 2" xfId="6513" xr:uid="{00000000-0005-0000-0000-000004240000}"/>
    <cellStyle name="Normal 13 2 2 5 2 2" xfId="6514" xr:uid="{00000000-0005-0000-0000-000005240000}"/>
    <cellStyle name="Normal 13 2 2 5 2 2 2" xfId="6515" xr:uid="{00000000-0005-0000-0000-000006240000}"/>
    <cellStyle name="Normal 13 2 2 5 2 2 2 2" xfId="6516" xr:uid="{00000000-0005-0000-0000-000007240000}"/>
    <cellStyle name="Normal 13 2 2 5 2 2 2 2 2" xfId="48728" xr:uid="{00000000-0005-0000-0000-000008240000}"/>
    <cellStyle name="Normal 13 2 2 5 2 2 2 2 3" xfId="48729" xr:uid="{00000000-0005-0000-0000-000009240000}"/>
    <cellStyle name="Normal 13 2 2 5 2 2 2 3" xfId="6517" xr:uid="{00000000-0005-0000-0000-00000A240000}"/>
    <cellStyle name="Normal 13 2 2 5 2 2 2 3 2" xfId="48730" xr:uid="{00000000-0005-0000-0000-00000B240000}"/>
    <cellStyle name="Normal 13 2 2 5 2 2 2 4" xfId="6518" xr:uid="{00000000-0005-0000-0000-00000C240000}"/>
    <cellStyle name="Normal 13 2 2 5 2 2 2 5" xfId="6519" xr:uid="{00000000-0005-0000-0000-00000D240000}"/>
    <cellStyle name="Normal 13 2 2 5 2 2 2 6" xfId="6520" xr:uid="{00000000-0005-0000-0000-00000E240000}"/>
    <cellStyle name="Normal 13 2 2 5 2 2 3" xfId="6521" xr:uid="{00000000-0005-0000-0000-00000F240000}"/>
    <cellStyle name="Normal 13 2 2 5 2 2 3 2" xfId="48731" xr:uid="{00000000-0005-0000-0000-000010240000}"/>
    <cellStyle name="Normal 13 2 2 5 2 2 3 3" xfId="48732" xr:uid="{00000000-0005-0000-0000-000011240000}"/>
    <cellStyle name="Normal 13 2 2 5 2 2 4" xfId="6522" xr:uid="{00000000-0005-0000-0000-000012240000}"/>
    <cellStyle name="Normal 13 2 2 5 2 2 4 2" xfId="48733" xr:uid="{00000000-0005-0000-0000-000013240000}"/>
    <cellStyle name="Normal 13 2 2 5 2 2 5" xfId="6523" xr:uid="{00000000-0005-0000-0000-000014240000}"/>
    <cellStyle name="Normal 13 2 2 5 2 2 6" xfId="6524" xr:uid="{00000000-0005-0000-0000-000015240000}"/>
    <cellStyle name="Normal 13 2 2 5 2 2 7" xfId="6525" xr:uid="{00000000-0005-0000-0000-000016240000}"/>
    <cellStyle name="Normal 13 2 2 5 2 3" xfId="6526" xr:uid="{00000000-0005-0000-0000-000017240000}"/>
    <cellStyle name="Normal 13 2 2 5 2 3 2" xfId="6527" xr:uid="{00000000-0005-0000-0000-000018240000}"/>
    <cellStyle name="Normal 13 2 2 5 2 3 2 2" xfId="48734" xr:uid="{00000000-0005-0000-0000-000019240000}"/>
    <cellStyle name="Normal 13 2 2 5 2 3 2 3" xfId="48735" xr:uid="{00000000-0005-0000-0000-00001A240000}"/>
    <cellStyle name="Normal 13 2 2 5 2 3 3" xfId="6528" xr:uid="{00000000-0005-0000-0000-00001B240000}"/>
    <cellStyle name="Normal 13 2 2 5 2 3 3 2" xfId="48736" xr:uid="{00000000-0005-0000-0000-00001C240000}"/>
    <cellStyle name="Normal 13 2 2 5 2 3 4" xfId="6529" xr:uid="{00000000-0005-0000-0000-00001D240000}"/>
    <cellStyle name="Normal 13 2 2 5 2 3 5" xfId="6530" xr:uid="{00000000-0005-0000-0000-00001E240000}"/>
    <cellStyle name="Normal 13 2 2 5 2 3 6" xfId="6531" xr:uid="{00000000-0005-0000-0000-00001F240000}"/>
    <cellStyle name="Normal 13 2 2 5 2 4" xfId="6532" xr:uid="{00000000-0005-0000-0000-000020240000}"/>
    <cellStyle name="Normal 13 2 2 5 2 4 2" xfId="48737" xr:uid="{00000000-0005-0000-0000-000021240000}"/>
    <cellStyle name="Normal 13 2 2 5 2 4 3" xfId="48738" xr:uid="{00000000-0005-0000-0000-000022240000}"/>
    <cellStyle name="Normal 13 2 2 5 2 5" xfId="6533" xr:uid="{00000000-0005-0000-0000-000023240000}"/>
    <cellStyle name="Normal 13 2 2 5 2 5 2" xfId="48739" xr:uid="{00000000-0005-0000-0000-000024240000}"/>
    <cellStyle name="Normal 13 2 2 5 2 6" xfId="6534" xr:uid="{00000000-0005-0000-0000-000025240000}"/>
    <cellStyle name="Normal 13 2 2 5 2 7" xfId="6535" xr:uid="{00000000-0005-0000-0000-000026240000}"/>
    <cellStyle name="Normal 13 2 2 5 2 8" xfId="6536" xr:uid="{00000000-0005-0000-0000-000027240000}"/>
    <cellStyle name="Normal 13 2 2 5 2 9" xfId="6537" xr:uid="{00000000-0005-0000-0000-000028240000}"/>
    <cellStyle name="Normal 13 2 2 5 3" xfId="6538" xr:uid="{00000000-0005-0000-0000-000029240000}"/>
    <cellStyle name="Normal 13 2 2 5 3 2" xfId="6539" xr:uid="{00000000-0005-0000-0000-00002A240000}"/>
    <cellStyle name="Normal 13 2 2 5 3 2 2" xfId="6540" xr:uid="{00000000-0005-0000-0000-00002B240000}"/>
    <cellStyle name="Normal 13 2 2 5 3 2 2 2" xfId="6541" xr:uid="{00000000-0005-0000-0000-00002C240000}"/>
    <cellStyle name="Normal 13 2 2 5 3 2 2 2 2" xfId="48740" xr:uid="{00000000-0005-0000-0000-00002D240000}"/>
    <cellStyle name="Normal 13 2 2 5 3 2 2 2 3" xfId="48741" xr:uid="{00000000-0005-0000-0000-00002E240000}"/>
    <cellStyle name="Normal 13 2 2 5 3 2 2 3" xfId="6542" xr:uid="{00000000-0005-0000-0000-00002F240000}"/>
    <cellStyle name="Normal 13 2 2 5 3 2 2 3 2" xfId="48742" xr:uid="{00000000-0005-0000-0000-000030240000}"/>
    <cellStyle name="Normal 13 2 2 5 3 2 2 4" xfId="6543" xr:uid="{00000000-0005-0000-0000-000031240000}"/>
    <cellStyle name="Normal 13 2 2 5 3 2 2 5" xfId="6544" xr:uid="{00000000-0005-0000-0000-000032240000}"/>
    <cellStyle name="Normal 13 2 2 5 3 2 2 6" xfId="6545" xr:uid="{00000000-0005-0000-0000-000033240000}"/>
    <cellStyle name="Normal 13 2 2 5 3 2 3" xfId="6546" xr:uid="{00000000-0005-0000-0000-000034240000}"/>
    <cellStyle name="Normal 13 2 2 5 3 2 3 2" xfId="48743" xr:uid="{00000000-0005-0000-0000-000035240000}"/>
    <cellStyle name="Normal 13 2 2 5 3 2 3 3" xfId="48744" xr:uid="{00000000-0005-0000-0000-000036240000}"/>
    <cellStyle name="Normal 13 2 2 5 3 2 4" xfId="6547" xr:uid="{00000000-0005-0000-0000-000037240000}"/>
    <cellStyle name="Normal 13 2 2 5 3 2 4 2" xfId="48745" xr:uid="{00000000-0005-0000-0000-000038240000}"/>
    <cellStyle name="Normal 13 2 2 5 3 2 5" xfId="6548" xr:uid="{00000000-0005-0000-0000-000039240000}"/>
    <cellStyle name="Normal 13 2 2 5 3 2 6" xfId="6549" xr:uid="{00000000-0005-0000-0000-00003A240000}"/>
    <cellStyle name="Normal 13 2 2 5 3 2 7" xfId="6550" xr:uid="{00000000-0005-0000-0000-00003B240000}"/>
    <cellStyle name="Normal 13 2 2 5 3 3" xfId="6551" xr:uid="{00000000-0005-0000-0000-00003C240000}"/>
    <cellStyle name="Normal 13 2 2 5 3 3 2" xfId="6552" xr:uid="{00000000-0005-0000-0000-00003D240000}"/>
    <cellStyle name="Normal 13 2 2 5 3 3 2 2" xfId="48746" xr:uid="{00000000-0005-0000-0000-00003E240000}"/>
    <cellStyle name="Normal 13 2 2 5 3 3 2 3" xfId="48747" xr:uid="{00000000-0005-0000-0000-00003F240000}"/>
    <cellStyle name="Normal 13 2 2 5 3 3 3" xfId="6553" xr:uid="{00000000-0005-0000-0000-000040240000}"/>
    <cellStyle name="Normal 13 2 2 5 3 3 3 2" xfId="48748" xr:uid="{00000000-0005-0000-0000-000041240000}"/>
    <cellStyle name="Normal 13 2 2 5 3 3 4" xfId="6554" xr:uid="{00000000-0005-0000-0000-000042240000}"/>
    <cellStyle name="Normal 13 2 2 5 3 3 5" xfId="6555" xr:uid="{00000000-0005-0000-0000-000043240000}"/>
    <cellStyle name="Normal 13 2 2 5 3 3 6" xfId="6556" xr:uid="{00000000-0005-0000-0000-000044240000}"/>
    <cellStyle name="Normal 13 2 2 5 3 4" xfId="6557" xr:uid="{00000000-0005-0000-0000-000045240000}"/>
    <cellStyle name="Normal 13 2 2 5 3 4 2" xfId="48749" xr:uid="{00000000-0005-0000-0000-000046240000}"/>
    <cellStyle name="Normal 13 2 2 5 3 4 3" xfId="48750" xr:uid="{00000000-0005-0000-0000-000047240000}"/>
    <cellStyle name="Normal 13 2 2 5 3 5" xfId="6558" xr:uid="{00000000-0005-0000-0000-000048240000}"/>
    <cellStyle name="Normal 13 2 2 5 3 5 2" xfId="48751" xr:uid="{00000000-0005-0000-0000-000049240000}"/>
    <cellStyle name="Normal 13 2 2 5 3 6" xfId="6559" xr:uid="{00000000-0005-0000-0000-00004A240000}"/>
    <cellStyle name="Normal 13 2 2 5 3 7" xfId="6560" xr:uid="{00000000-0005-0000-0000-00004B240000}"/>
    <cellStyle name="Normal 13 2 2 5 3 8" xfId="6561" xr:uid="{00000000-0005-0000-0000-00004C240000}"/>
    <cellStyle name="Normal 13 2 2 5 4" xfId="6562" xr:uid="{00000000-0005-0000-0000-00004D240000}"/>
    <cellStyle name="Normal 13 2 2 5 4 2" xfId="6563" xr:uid="{00000000-0005-0000-0000-00004E240000}"/>
    <cellStyle name="Normal 13 2 2 5 4 2 2" xfId="6564" xr:uid="{00000000-0005-0000-0000-00004F240000}"/>
    <cellStyle name="Normal 13 2 2 5 4 2 2 2" xfId="48752" xr:uid="{00000000-0005-0000-0000-000050240000}"/>
    <cellStyle name="Normal 13 2 2 5 4 2 2 3" xfId="48753" xr:uid="{00000000-0005-0000-0000-000051240000}"/>
    <cellStyle name="Normal 13 2 2 5 4 2 3" xfId="6565" xr:uid="{00000000-0005-0000-0000-000052240000}"/>
    <cellStyle name="Normal 13 2 2 5 4 2 3 2" xfId="48754" xr:uid="{00000000-0005-0000-0000-000053240000}"/>
    <cellStyle name="Normal 13 2 2 5 4 2 4" xfId="6566" xr:uid="{00000000-0005-0000-0000-000054240000}"/>
    <cellStyle name="Normal 13 2 2 5 4 2 5" xfId="6567" xr:uid="{00000000-0005-0000-0000-000055240000}"/>
    <cellStyle name="Normal 13 2 2 5 4 2 6" xfId="6568" xr:uid="{00000000-0005-0000-0000-000056240000}"/>
    <cellStyle name="Normal 13 2 2 5 4 3" xfId="6569" xr:uid="{00000000-0005-0000-0000-000057240000}"/>
    <cellStyle name="Normal 13 2 2 5 4 3 2" xfId="48755" xr:uid="{00000000-0005-0000-0000-000058240000}"/>
    <cellStyle name="Normal 13 2 2 5 4 3 3" xfId="48756" xr:uid="{00000000-0005-0000-0000-000059240000}"/>
    <cellStyle name="Normal 13 2 2 5 4 4" xfId="6570" xr:uid="{00000000-0005-0000-0000-00005A240000}"/>
    <cellStyle name="Normal 13 2 2 5 4 4 2" xfId="48757" xr:uid="{00000000-0005-0000-0000-00005B240000}"/>
    <cellStyle name="Normal 13 2 2 5 4 5" xfId="6571" xr:uid="{00000000-0005-0000-0000-00005C240000}"/>
    <cellStyle name="Normal 13 2 2 5 4 6" xfId="6572" xr:uid="{00000000-0005-0000-0000-00005D240000}"/>
    <cellStyle name="Normal 13 2 2 5 4 7" xfId="6573" xr:uid="{00000000-0005-0000-0000-00005E240000}"/>
    <cellStyle name="Normal 13 2 2 5 5" xfId="6574" xr:uid="{00000000-0005-0000-0000-00005F240000}"/>
    <cellStyle name="Normal 13 2 2 5 5 2" xfId="6575" xr:uid="{00000000-0005-0000-0000-000060240000}"/>
    <cellStyle name="Normal 13 2 2 5 5 2 2" xfId="48758" xr:uid="{00000000-0005-0000-0000-000061240000}"/>
    <cellStyle name="Normal 13 2 2 5 5 2 3" xfId="48759" xr:uid="{00000000-0005-0000-0000-000062240000}"/>
    <cellStyle name="Normal 13 2 2 5 5 3" xfId="6576" xr:uid="{00000000-0005-0000-0000-000063240000}"/>
    <cellStyle name="Normal 13 2 2 5 5 3 2" xfId="48760" xr:uid="{00000000-0005-0000-0000-000064240000}"/>
    <cellStyle name="Normal 13 2 2 5 5 4" xfId="6577" xr:uid="{00000000-0005-0000-0000-000065240000}"/>
    <cellStyle name="Normal 13 2 2 5 5 5" xfId="6578" xr:uid="{00000000-0005-0000-0000-000066240000}"/>
    <cellStyle name="Normal 13 2 2 5 5 6" xfId="6579" xr:uid="{00000000-0005-0000-0000-000067240000}"/>
    <cellStyle name="Normal 13 2 2 5 6" xfId="6580" xr:uid="{00000000-0005-0000-0000-000068240000}"/>
    <cellStyle name="Normal 13 2 2 5 6 2" xfId="48761" xr:uid="{00000000-0005-0000-0000-000069240000}"/>
    <cellStyle name="Normal 13 2 2 5 6 3" xfId="48762" xr:uid="{00000000-0005-0000-0000-00006A240000}"/>
    <cellStyle name="Normal 13 2 2 5 7" xfId="6581" xr:uid="{00000000-0005-0000-0000-00006B240000}"/>
    <cellStyle name="Normal 13 2 2 5 7 2" xfId="48763" xr:uid="{00000000-0005-0000-0000-00006C240000}"/>
    <cellStyle name="Normal 13 2 2 5 8" xfId="6582" xr:uid="{00000000-0005-0000-0000-00006D240000}"/>
    <cellStyle name="Normal 13 2 2 5 9" xfId="6583" xr:uid="{00000000-0005-0000-0000-00006E240000}"/>
    <cellStyle name="Normal 13 2 2 6" xfId="6584" xr:uid="{00000000-0005-0000-0000-00006F240000}"/>
    <cellStyle name="Normal 13 2 2 6 10" xfId="6585" xr:uid="{00000000-0005-0000-0000-000070240000}"/>
    <cellStyle name="Normal 13 2 2 6 11" xfId="6586" xr:uid="{00000000-0005-0000-0000-000071240000}"/>
    <cellStyle name="Normal 13 2 2 6 12" xfId="6587" xr:uid="{00000000-0005-0000-0000-000072240000}"/>
    <cellStyle name="Normal 13 2 2 6 13" xfId="6588" xr:uid="{00000000-0005-0000-0000-000073240000}"/>
    <cellStyle name="Normal 13 2 2 6 2" xfId="6589" xr:uid="{00000000-0005-0000-0000-000074240000}"/>
    <cellStyle name="Normal 13 2 2 6 2 2" xfId="6590" xr:uid="{00000000-0005-0000-0000-000075240000}"/>
    <cellStyle name="Normal 13 2 2 6 2 2 2" xfId="6591" xr:uid="{00000000-0005-0000-0000-000076240000}"/>
    <cellStyle name="Normal 13 2 2 6 2 2 2 2" xfId="6592" xr:uid="{00000000-0005-0000-0000-000077240000}"/>
    <cellStyle name="Normal 13 2 2 6 2 2 2 2 2" xfId="48764" xr:uid="{00000000-0005-0000-0000-000078240000}"/>
    <cellStyle name="Normal 13 2 2 6 2 2 2 2 3" xfId="48765" xr:uid="{00000000-0005-0000-0000-000079240000}"/>
    <cellStyle name="Normal 13 2 2 6 2 2 2 3" xfId="6593" xr:uid="{00000000-0005-0000-0000-00007A240000}"/>
    <cellStyle name="Normal 13 2 2 6 2 2 2 3 2" xfId="48766" xr:uid="{00000000-0005-0000-0000-00007B240000}"/>
    <cellStyle name="Normal 13 2 2 6 2 2 2 4" xfId="6594" xr:uid="{00000000-0005-0000-0000-00007C240000}"/>
    <cellStyle name="Normal 13 2 2 6 2 2 2 5" xfId="6595" xr:uid="{00000000-0005-0000-0000-00007D240000}"/>
    <cellStyle name="Normal 13 2 2 6 2 2 2 6" xfId="6596" xr:uid="{00000000-0005-0000-0000-00007E240000}"/>
    <cellStyle name="Normal 13 2 2 6 2 2 3" xfId="6597" xr:uid="{00000000-0005-0000-0000-00007F240000}"/>
    <cellStyle name="Normal 13 2 2 6 2 2 3 2" xfId="48767" xr:uid="{00000000-0005-0000-0000-000080240000}"/>
    <cellStyle name="Normal 13 2 2 6 2 2 3 3" xfId="48768" xr:uid="{00000000-0005-0000-0000-000081240000}"/>
    <cellStyle name="Normal 13 2 2 6 2 2 4" xfId="6598" xr:uid="{00000000-0005-0000-0000-000082240000}"/>
    <cellStyle name="Normal 13 2 2 6 2 2 4 2" xfId="48769" xr:uid="{00000000-0005-0000-0000-000083240000}"/>
    <cellStyle name="Normal 13 2 2 6 2 2 5" xfId="6599" xr:uid="{00000000-0005-0000-0000-000084240000}"/>
    <cellStyle name="Normal 13 2 2 6 2 2 6" xfId="6600" xr:uid="{00000000-0005-0000-0000-000085240000}"/>
    <cellStyle name="Normal 13 2 2 6 2 2 7" xfId="6601" xr:uid="{00000000-0005-0000-0000-000086240000}"/>
    <cellStyle name="Normal 13 2 2 6 2 3" xfId="6602" xr:uid="{00000000-0005-0000-0000-000087240000}"/>
    <cellStyle name="Normal 13 2 2 6 2 3 2" xfId="6603" xr:uid="{00000000-0005-0000-0000-000088240000}"/>
    <cellStyle name="Normal 13 2 2 6 2 3 2 2" xfId="48770" xr:uid="{00000000-0005-0000-0000-000089240000}"/>
    <cellStyle name="Normal 13 2 2 6 2 3 2 3" xfId="48771" xr:uid="{00000000-0005-0000-0000-00008A240000}"/>
    <cellStyle name="Normal 13 2 2 6 2 3 3" xfId="6604" xr:uid="{00000000-0005-0000-0000-00008B240000}"/>
    <cellStyle name="Normal 13 2 2 6 2 3 3 2" xfId="48772" xr:uid="{00000000-0005-0000-0000-00008C240000}"/>
    <cellStyle name="Normal 13 2 2 6 2 3 4" xfId="6605" xr:uid="{00000000-0005-0000-0000-00008D240000}"/>
    <cellStyle name="Normal 13 2 2 6 2 3 5" xfId="6606" xr:uid="{00000000-0005-0000-0000-00008E240000}"/>
    <cellStyle name="Normal 13 2 2 6 2 3 6" xfId="6607" xr:uid="{00000000-0005-0000-0000-00008F240000}"/>
    <cellStyle name="Normal 13 2 2 6 2 4" xfId="6608" xr:uid="{00000000-0005-0000-0000-000090240000}"/>
    <cellStyle name="Normal 13 2 2 6 2 4 2" xfId="48773" xr:uid="{00000000-0005-0000-0000-000091240000}"/>
    <cellStyle name="Normal 13 2 2 6 2 4 3" xfId="48774" xr:uid="{00000000-0005-0000-0000-000092240000}"/>
    <cellStyle name="Normal 13 2 2 6 2 5" xfId="6609" xr:uid="{00000000-0005-0000-0000-000093240000}"/>
    <cellStyle name="Normal 13 2 2 6 2 5 2" xfId="48775" xr:uid="{00000000-0005-0000-0000-000094240000}"/>
    <cellStyle name="Normal 13 2 2 6 2 6" xfId="6610" xr:uid="{00000000-0005-0000-0000-000095240000}"/>
    <cellStyle name="Normal 13 2 2 6 2 7" xfId="6611" xr:uid="{00000000-0005-0000-0000-000096240000}"/>
    <cellStyle name="Normal 13 2 2 6 2 8" xfId="6612" xr:uid="{00000000-0005-0000-0000-000097240000}"/>
    <cellStyle name="Normal 13 2 2 6 2 9" xfId="6613" xr:uid="{00000000-0005-0000-0000-000098240000}"/>
    <cellStyle name="Normal 13 2 2 6 3" xfId="6614" xr:uid="{00000000-0005-0000-0000-000099240000}"/>
    <cellStyle name="Normal 13 2 2 6 3 2" xfId="6615" xr:uid="{00000000-0005-0000-0000-00009A240000}"/>
    <cellStyle name="Normal 13 2 2 6 3 2 2" xfId="6616" xr:uid="{00000000-0005-0000-0000-00009B240000}"/>
    <cellStyle name="Normal 13 2 2 6 3 2 2 2" xfId="48776" xr:uid="{00000000-0005-0000-0000-00009C240000}"/>
    <cellStyle name="Normal 13 2 2 6 3 2 2 3" xfId="48777" xr:uid="{00000000-0005-0000-0000-00009D240000}"/>
    <cellStyle name="Normal 13 2 2 6 3 2 3" xfId="6617" xr:uid="{00000000-0005-0000-0000-00009E240000}"/>
    <cellStyle name="Normal 13 2 2 6 3 2 3 2" xfId="48778" xr:uid="{00000000-0005-0000-0000-00009F240000}"/>
    <cellStyle name="Normal 13 2 2 6 3 2 4" xfId="6618" xr:uid="{00000000-0005-0000-0000-0000A0240000}"/>
    <cellStyle name="Normal 13 2 2 6 3 2 5" xfId="6619" xr:uid="{00000000-0005-0000-0000-0000A1240000}"/>
    <cellStyle name="Normal 13 2 2 6 3 2 6" xfId="6620" xr:uid="{00000000-0005-0000-0000-0000A2240000}"/>
    <cellStyle name="Normal 13 2 2 6 3 3" xfId="6621" xr:uid="{00000000-0005-0000-0000-0000A3240000}"/>
    <cellStyle name="Normal 13 2 2 6 3 3 2" xfId="48779" xr:uid="{00000000-0005-0000-0000-0000A4240000}"/>
    <cellStyle name="Normal 13 2 2 6 3 3 3" xfId="48780" xr:uid="{00000000-0005-0000-0000-0000A5240000}"/>
    <cellStyle name="Normal 13 2 2 6 3 4" xfId="6622" xr:uid="{00000000-0005-0000-0000-0000A6240000}"/>
    <cellStyle name="Normal 13 2 2 6 3 4 2" xfId="48781" xr:uid="{00000000-0005-0000-0000-0000A7240000}"/>
    <cellStyle name="Normal 13 2 2 6 3 5" xfId="6623" xr:uid="{00000000-0005-0000-0000-0000A8240000}"/>
    <cellStyle name="Normal 13 2 2 6 3 6" xfId="6624" xr:uid="{00000000-0005-0000-0000-0000A9240000}"/>
    <cellStyle name="Normal 13 2 2 6 3 7" xfId="6625" xr:uid="{00000000-0005-0000-0000-0000AA240000}"/>
    <cellStyle name="Normal 13 2 2 6 4" xfId="6626" xr:uid="{00000000-0005-0000-0000-0000AB240000}"/>
    <cellStyle name="Normal 13 2 2 6 4 2" xfId="6627" xr:uid="{00000000-0005-0000-0000-0000AC240000}"/>
    <cellStyle name="Normal 13 2 2 6 4 2 2" xfId="48782" xr:uid="{00000000-0005-0000-0000-0000AD240000}"/>
    <cellStyle name="Normal 13 2 2 6 4 2 3" xfId="48783" xr:uid="{00000000-0005-0000-0000-0000AE240000}"/>
    <cellStyle name="Normal 13 2 2 6 4 3" xfId="6628" xr:uid="{00000000-0005-0000-0000-0000AF240000}"/>
    <cellStyle name="Normal 13 2 2 6 4 3 2" xfId="48784" xr:uid="{00000000-0005-0000-0000-0000B0240000}"/>
    <cellStyle name="Normal 13 2 2 6 4 4" xfId="6629" xr:uid="{00000000-0005-0000-0000-0000B1240000}"/>
    <cellStyle name="Normal 13 2 2 6 4 5" xfId="6630" xr:uid="{00000000-0005-0000-0000-0000B2240000}"/>
    <cellStyle name="Normal 13 2 2 6 4 6" xfId="6631" xr:uid="{00000000-0005-0000-0000-0000B3240000}"/>
    <cellStyle name="Normal 13 2 2 6 5" xfId="6632" xr:uid="{00000000-0005-0000-0000-0000B4240000}"/>
    <cellStyle name="Normal 13 2 2 6 5 2" xfId="48785" xr:uid="{00000000-0005-0000-0000-0000B5240000}"/>
    <cellStyle name="Normal 13 2 2 6 5 3" xfId="48786" xr:uid="{00000000-0005-0000-0000-0000B6240000}"/>
    <cellStyle name="Normal 13 2 2 6 6" xfId="6633" xr:uid="{00000000-0005-0000-0000-0000B7240000}"/>
    <cellStyle name="Normal 13 2 2 6 6 2" xfId="48787" xr:uid="{00000000-0005-0000-0000-0000B8240000}"/>
    <cellStyle name="Normal 13 2 2 6 7" xfId="6634" xr:uid="{00000000-0005-0000-0000-0000B9240000}"/>
    <cellStyle name="Normal 13 2 2 6 8" xfId="6635" xr:uid="{00000000-0005-0000-0000-0000BA240000}"/>
    <cellStyle name="Normal 13 2 2 6 9" xfId="6636" xr:uid="{00000000-0005-0000-0000-0000BB240000}"/>
    <cellStyle name="Normal 13 2 2 7" xfId="6637" xr:uid="{00000000-0005-0000-0000-0000BC240000}"/>
    <cellStyle name="Normal 13 2 2 7 2" xfId="6638" xr:uid="{00000000-0005-0000-0000-0000BD240000}"/>
    <cellStyle name="Normal 13 2 2 7 2 2" xfId="6639" xr:uid="{00000000-0005-0000-0000-0000BE240000}"/>
    <cellStyle name="Normal 13 2 2 7 2 2 2" xfId="6640" xr:uid="{00000000-0005-0000-0000-0000BF240000}"/>
    <cellStyle name="Normal 13 2 2 7 2 2 2 2" xfId="48788" xr:uid="{00000000-0005-0000-0000-0000C0240000}"/>
    <cellStyle name="Normal 13 2 2 7 2 2 2 3" xfId="48789" xr:uid="{00000000-0005-0000-0000-0000C1240000}"/>
    <cellStyle name="Normal 13 2 2 7 2 2 3" xfId="6641" xr:uid="{00000000-0005-0000-0000-0000C2240000}"/>
    <cellStyle name="Normal 13 2 2 7 2 2 3 2" xfId="48790" xr:uid="{00000000-0005-0000-0000-0000C3240000}"/>
    <cellStyle name="Normal 13 2 2 7 2 2 4" xfId="6642" xr:uid="{00000000-0005-0000-0000-0000C4240000}"/>
    <cellStyle name="Normal 13 2 2 7 2 2 5" xfId="6643" xr:uid="{00000000-0005-0000-0000-0000C5240000}"/>
    <cellStyle name="Normal 13 2 2 7 2 2 6" xfId="6644" xr:uid="{00000000-0005-0000-0000-0000C6240000}"/>
    <cellStyle name="Normal 13 2 2 7 2 3" xfId="6645" xr:uid="{00000000-0005-0000-0000-0000C7240000}"/>
    <cellStyle name="Normal 13 2 2 7 2 3 2" xfId="48791" xr:uid="{00000000-0005-0000-0000-0000C8240000}"/>
    <cellStyle name="Normal 13 2 2 7 2 3 3" xfId="48792" xr:uid="{00000000-0005-0000-0000-0000C9240000}"/>
    <cellStyle name="Normal 13 2 2 7 2 4" xfId="6646" xr:uid="{00000000-0005-0000-0000-0000CA240000}"/>
    <cellStyle name="Normal 13 2 2 7 2 4 2" xfId="48793" xr:uid="{00000000-0005-0000-0000-0000CB240000}"/>
    <cellStyle name="Normal 13 2 2 7 2 5" xfId="6647" xr:uid="{00000000-0005-0000-0000-0000CC240000}"/>
    <cellStyle name="Normal 13 2 2 7 2 6" xfId="6648" xr:uid="{00000000-0005-0000-0000-0000CD240000}"/>
    <cellStyle name="Normal 13 2 2 7 2 7" xfId="6649" xr:uid="{00000000-0005-0000-0000-0000CE240000}"/>
    <cellStyle name="Normal 13 2 2 7 3" xfId="6650" xr:uid="{00000000-0005-0000-0000-0000CF240000}"/>
    <cellStyle name="Normal 13 2 2 7 3 2" xfId="6651" xr:uid="{00000000-0005-0000-0000-0000D0240000}"/>
    <cellStyle name="Normal 13 2 2 7 3 2 2" xfId="48794" xr:uid="{00000000-0005-0000-0000-0000D1240000}"/>
    <cellStyle name="Normal 13 2 2 7 3 2 3" xfId="48795" xr:uid="{00000000-0005-0000-0000-0000D2240000}"/>
    <cellStyle name="Normal 13 2 2 7 3 3" xfId="6652" xr:uid="{00000000-0005-0000-0000-0000D3240000}"/>
    <cellStyle name="Normal 13 2 2 7 3 3 2" xfId="48796" xr:uid="{00000000-0005-0000-0000-0000D4240000}"/>
    <cellStyle name="Normal 13 2 2 7 3 4" xfId="6653" xr:uid="{00000000-0005-0000-0000-0000D5240000}"/>
    <cellStyle name="Normal 13 2 2 7 3 5" xfId="6654" xr:uid="{00000000-0005-0000-0000-0000D6240000}"/>
    <cellStyle name="Normal 13 2 2 7 3 6" xfId="6655" xr:uid="{00000000-0005-0000-0000-0000D7240000}"/>
    <cellStyle name="Normal 13 2 2 7 4" xfId="6656" xr:uid="{00000000-0005-0000-0000-0000D8240000}"/>
    <cellStyle name="Normal 13 2 2 7 4 2" xfId="48797" xr:uid="{00000000-0005-0000-0000-0000D9240000}"/>
    <cellStyle name="Normal 13 2 2 7 4 3" xfId="48798" xr:uid="{00000000-0005-0000-0000-0000DA240000}"/>
    <cellStyle name="Normal 13 2 2 7 5" xfId="6657" xr:uid="{00000000-0005-0000-0000-0000DB240000}"/>
    <cellStyle name="Normal 13 2 2 7 5 2" xfId="48799" xr:uid="{00000000-0005-0000-0000-0000DC240000}"/>
    <cellStyle name="Normal 13 2 2 7 6" xfId="6658" xr:uid="{00000000-0005-0000-0000-0000DD240000}"/>
    <cellStyle name="Normal 13 2 2 7 7" xfId="6659" xr:uid="{00000000-0005-0000-0000-0000DE240000}"/>
    <cellStyle name="Normal 13 2 2 7 8" xfId="6660" xr:uid="{00000000-0005-0000-0000-0000DF240000}"/>
    <cellStyle name="Normal 13 2 2 7 9" xfId="6661" xr:uid="{00000000-0005-0000-0000-0000E0240000}"/>
    <cellStyle name="Normal 13 2 2 8" xfId="6662" xr:uid="{00000000-0005-0000-0000-0000E1240000}"/>
    <cellStyle name="Normal 13 2 2 8 2" xfId="6663" xr:uid="{00000000-0005-0000-0000-0000E2240000}"/>
    <cellStyle name="Normal 13 2 2 8 2 2" xfId="6664" xr:uid="{00000000-0005-0000-0000-0000E3240000}"/>
    <cellStyle name="Normal 13 2 2 8 2 2 2" xfId="6665" xr:uid="{00000000-0005-0000-0000-0000E4240000}"/>
    <cellStyle name="Normal 13 2 2 8 2 2 2 2" xfId="48800" xr:uid="{00000000-0005-0000-0000-0000E5240000}"/>
    <cellStyle name="Normal 13 2 2 8 2 2 2 3" xfId="48801" xr:uid="{00000000-0005-0000-0000-0000E6240000}"/>
    <cellStyle name="Normal 13 2 2 8 2 2 3" xfId="6666" xr:uid="{00000000-0005-0000-0000-0000E7240000}"/>
    <cellStyle name="Normal 13 2 2 8 2 2 3 2" xfId="48802" xr:uid="{00000000-0005-0000-0000-0000E8240000}"/>
    <cellStyle name="Normal 13 2 2 8 2 2 4" xfId="6667" xr:uid="{00000000-0005-0000-0000-0000E9240000}"/>
    <cellStyle name="Normal 13 2 2 8 2 2 5" xfId="6668" xr:uid="{00000000-0005-0000-0000-0000EA240000}"/>
    <cellStyle name="Normal 13 2 2 8 2 2 6" xfId="6669" xr:uid="{00000000-0005-0000-0000-0000EB240000}"/>
    <cellStyle name="Normal 13 2 2 8 2 3" xfId="6670" xr:uid="{00000000-0005-0000-0000-0000EC240000}"/>
    <cellStyle name="Normal 13 2 2 8 2 3 2" xfId="48803" xr:uid="{00000000-0005-0000-0000-0000ED240000}"/>
    <cellStyle name="Normal 13 2 2 8 2 3 3" xfId="48804" xr:uid="{00000000-0005-0000-0000-0000EE240000}"/>
    <cellStyle name="Normal 13 2 2 8 2 4" xfId="6671" xr:uid="{00000000-0005-0000-0000-0000EF240000}"/>
    <cellStyle name="Normal 13 2 2 8 2 4 2" xfId="48805" xr:uid="{00000000-0005-0000-0000-0000F0240000}"/>
    <cellStyle name="Normal 13 2 2 8 2 5" xfId="6672" xr:uid="{00000000-0005-0000-0000-0000F1240000}"/>
    <cellStyle name="Normal 13 2 2 8 2 6" xfId="6673" xr:uid="{00000000-0005-0000-0000-0000F2240000}"/>
    <cellStyle name="Normal 13 2 2 8 2 7" xfId="6674" xr:uid="{00000000-0005-0000-0000-0000F3240000}"/>
    <cellStyle name="Normal 13 2 2 8 3" xfId="6675" xr:uid="{00000000-0005-0000-0000-0000F4240000}"/>
    <cellStyle name="Normal 13 2 2 8 3 2" xfId="6676" xr:uid="{00000000-0005-0000-0000-0000F5240000}"/>
    <cellStyle name="Normal 13 2 2 8 3 2 2" xfId="48806" xr:uid="{00000000-0005-0000-0000-0000F6240000}"/>
    <cellStyle name="Normal 13 2 2 8 3 2 3" xfId="48807" xr:uid="{00000000-0005-0000-0000-0000F7240000}"/>
    <cellStyle name="Normal 13 2 2 8 3 3" xfId="6677" xr:uid="{00000000-0005-0000-0000-0000F8240000}"/>
    <cellStyle name="Normal 13 2 2 8 3 3 2" xfId="48808" xr:uid="{00000000-0005-0000-0000-0000F9240000}"/>
    <cellStyle name="Normal 13 2 2 8 3 4" xfId="6678" xr:uid="{00000000-0005-0000-0000-0000FA240000}"/>
    <cellStyle name="Normal 13 2 2 8 3 5" xfId="6679" xr:uid="{00000000-0005-0000-0000-0000FB240000}"/>
    <cellStyle name="Normal 13 2 2 8 3 6" xfId="6680" xr:uid="{00000000-0005-0000-0000-0000FC240000}"/>
    <cellStyle name="Normal 13 2 2 8 4" xfId="6681" xr:uid="{00000000-0005-0000-0000-0000FD240000}"/>
    <cellStyle name="Normal 13 2 2 8 4 2" xfId="48809" xr:uid="{00000000-0005-0000-0000-0000FE240000}"/>
    <cellStyle name="Normal 13 2 2 8 4 3" xfId="48810" xr:uid="{00000000-0005-0000-0000-0000FF240000}"/>
    <cellStyle name="Normal 13 2 2 8 5" xfId="6682" xr:uid="{00000000-0005-0000-0000-000000250000}"/>
    <cellStyle name="Normal 13 2 2 8 5 2" xfId="48811" xr:uid="{00000000-0005-0000-0000-000001250000}"/>
    <cellStyle name="Normal 13 2 2 8 6" xfId="6683" xr:uid="{00000000-0005-0000-0000-000002250000}"/>
    <cellStyle name="Normal 13 2 2 8 7" xfId="6684" xr:uid="{00000000-0005-0000-0000-000003250000}"/>
    <cellStyle name="Normal 13 2 2 8 8" xfId="6685" xr:uid="{00000000-0005-0000-0000-000004250000}"/>
    <cellStyle name="Normal 13 2 2 9" xfId="6686" xr:uid="{00000000-0005-0000-0000-000005250000}"/>
    <cellStyle name="Normal 13 2 2 9 2" xfId="6687" xr:uid="{00000000-0005-0000-0000-000006250000}"/>
    <cellStyle name="Normal 13 2 2 9 2 2" xfId="6688" xr:uid="{00000000-0005-0000-0000-000007250000}"/>
    <cellStyle name="Normal 13 2 2 9 2 2 2" xfId="6689" xr:uid="{00000000-0005-0000-0000-000008250000}"/>
    <cellStyle name="Normal 13 2 2 9 2 2 2 2" xfId="48812" xr:uid="{00000000-0005-0000-0000-000009250000}"/>
    <cellStyle name="Normal 13 2 2 9 2 2 2 3" xfId="48813" xr:uid="{00000000-0005-0000-0000-00000A250000}"/>
    <cellStyle name="Normal 13 2 2 9 2 2 3" xfId="6690" xr:uid="{00000000-0005-0000-0000-00000B250000}"/>
    <cellStyle name="Normal 13 2 2 9 2 2 3 2" xfId="48814" xr:uid="{00000000-0005-0000-0000-00000C250000}"/>
    <cellStyle name="Normal 13 2 2 9 2 2 4" xfId="6691" xr:uid="{00000000-0005-0000-0000-00000D250000}"/>
    <cellStyle name="Normal 13 2 2 9 2 2 5" xfId="6692" xr:uid="{00000000-0005-0000-0000-00000E250000}"/>
    <cellStyle name="Normal 13 2 2 9 2 2 6" xfId="6693" xr:uid="{00000000-0005-0000-0000-00000F250000}"/>
    <cellStyle name="Normal 13 2 2 9 2 3" xfId="6694" xr:uid="{00000000-0005-0000-0000-000010250000}"/>
    <cellStyle name="Normal 13 2 2 9 2 3 2" xfId="48815" xr:uid="{00000000-0005-0000-0000-000011250000}"/>
    <cellStyle name="Normal 13 2 2 9 2 3 3" xfId="48816" xr:uid="{00000000-0005-0000-0000-000012250000}"/>
    <cellStyle name="Normal 13 2 2 9 2 4" xfId="6695" xr:uid="{00000000-0005-0000-0000-000013250000}"/>
    <cellStyle name="Normal 13 2 2 9 2 4 2" xfId="48817" xr:uid="{00000000-0005-0000-0000-000014250000}"/>
    <cellStyle name="Normal 13 2 2 9 2 5" xfId="6696" xr:uid="{00000000-0005-0000-0000-000015250000}"/>
    <cellStyle name="Normal 13 2 2 9 2 6" xfId="6697" xr:uid="{00000000-0005-0000-0000-000016250000}"/>
    <cellStyle name="Normal 13 2 2 9 2 7" xfId="6698" xr:uid="{00000000-0005-0000-0000-000017250000}"/>
    <cellStyle name="Normal 13 2 2 9 3" xfId="6699" xr:uid="{00000000-0005-0000-0000-000018250000}"/>
    <cellStyle name="Normal 13 2 2 9 3 2" xfId="6700" xr:uid="{00000000-0005-0000-0000-000019250000}"/>
    <cellStyle name="Normal 13 2 2 9 3 2 2" xfId="48818" xr:uid="{00000000-0005-0000-0000-00001A250000}"/>
    <cellStyle name="Normal 13 2 2 9 3 2 3" xfId="48819" xr:uid="{00000000-0005-0000-0000-00001B250000}"/>
    <cellStyle name="Normal 13 2 2 9 3 3" xfId="6701" xr:uid="{00000000-0005-0000-0000-00001C250000}"/>
    <cellStyle name="Normal 13 2 2 9 3 3 2" xfId="48820" xr:uid="{00000000-0005-0000-0000-00001D250000}"/>
    <cellStyle name="Normal 13 2 2 9 3 4" xfId="6702" xr:uid="{00000000-0005-0000-0000-00001E250000}"/>
    <cellStyle name="Normal 13 2 2 9 3 5" xfId="6703" xr:uid="{00000000-0005-0000-0000-00001F250000}"/>
    <cellStyle name="Normal 13 2 2 9 3 6" xfId="6704" xr:uid="{00000000-0005-0000-0000-000020250000}"/>
    <cellStyle name="Normal 13 2 2 9 4" xfId="6705" xr:uid="{00000000-0005-0000-0000-000021250000}"/>
    <cellStyle name="Normal 13 2 2 9 4 2" xfId="48821" xr:uid="{00000000-0005-0000-0000-000022250000}"/>
    <cellStyle name="Normal 13 2 2 9 4 3" xfId="48822" xr:uid="{00000000-0005-0000-0000-000023250000}"/>
    <cellStyle name="Normal 13 2 2 9 5" xfId="6706" xr:uid="{00000000-0005-0000-0000-000024250000}"/>
    <cellStyle name="Normal 13 2 2 9 5 2" xfId="48823" xr:uid="{00000000-0005-0000-0000-000025250000}"/>
    <cellStyle name="Normal 13 2 2 9 6" xfId="6707" xr:uid="{00000000-0005-0000-0000-000026250000}"/>
    <cellStyle name="Normal 13 2 2 9 7" xfId="6708" xr:uid="{00000000-0005-0000-0000-000027250000}"/>
    <cellStyle name="Normal 13 2 2 9 8" xfId="6709" xr:uid="{00000000-0005-0000-0000-000028250000}"/>
    <cellStyle name="Normal 13 2 20" xfId="6710" xr:uid="{00000000-0005-0000-0000-000029250000}"/>
    <cellStyle name="Normal 13 2 21" xfId="6711" xr:uid="{00000000-0005-0000-0000-00002A250000}"/>
    <cellStyle name="Normal 13 2 22" xfId="6712" xr:uid="{00000000-0005-0000-0000-00002B250000}"/>
    <cellStyle name="Normal 13 2 3" xfId="6713" xr:uid="{00000000-0005-0000-0000-00002C250000}"/>
    <cellStyle name="Normal 13 2 3 10" xfId="6714" xr:uid="{00000000-0005-0000-0000-00002D250000}"/>
    <cellStyle name="Normal 13 2 3 10 2" xfId="6715" xr:uid="{00000000-0005-0000-0000-00002E250000}"/>
    <cellStyle name="Normal 13 2 3 10 2 2" xfId="6716" xr:uid="{00000000-0005-0000-0000-00002F250000}"/>
    <cellStyle name="Normal 13 2 3 10 2 2 2" xfId="48824" xr:uid="{00000000-0005-0000-0000-000030250000}"/>
    <cellStyle name="Normal 13 2 3 10 2 2 3" xfId="48825" xr:uid="{00000000-0005-0000-0000-000031250000}"/>
    <cellStyle name="Normal 13 2 3 10 2 3" xfId="6717" xr:uid="{00000000-0005-0000-0000-000032250000}"/>
    <cellStyle name="Normal 13 2 3 10 2 3 2" xfId="48826" xr:uid="{00000000-0005-0000-0000-000033250000}"/>
    <cellStyle name="Normal 13 2 3 10 2 4" xfId="6718" xr:uid="{00000000-0005-0000-0000-000034250000}"/>
    <cellStyle name="Normal 13 2 3 10 2 5" xfId="6719" xr:uid="{00000000-0005-0000-0000-000035250000}"/>
    <cellStyle name="Normal 13 2 3 10 2 6" xfId="6720" xr:uid="{00000000-0005-0000-0000-000036250000}"/>
    <cellStyle name="Normal 13 2 3 10 3" xfId="6721" xr:uid="{00000000-0005-0000-0000-000037250000}"/>
    <cellStyle name="Normal 13 2 3 10 3 2" xfId="48827" xr:uid="{00000000-0005-0000-0000-000038250000}"/>
    <cellStyle name="Normal 13 2 3 10 3 3" xfId="48828" xr:uid="{00000000-0005-0000-0000-000039250000}"/>
    <cellStyle name="Normal 13 2 3 10 4" xfId="6722" xr:uid="{00000000-0005-0000-0000-00003A250000}"/>
    <cellStyle name="Normal 13 2 3 10 4 2" xfId="48829" xr:uid="{00000000-0005-0000-0000-00003B250000}"/>
    <cellStyle name="Normal 13 2 3 10 5" xfId="6723" xr:uid="{00000000-0005-0000-0000-00003C250000}"/>
    <cellStyle name="Normal 13 2 3 10 6" xfId="6724" xr:uid="{00000000-0005-0000-0000-00003D250000}"/>
    <cellStyle name="Normal 13 2 3 10 7" xfId="6725" xr:uid="{00000000-0005-0000-0000-00003E250000}"/>
    <cellStyle name="Normal 13 2 3 11" xfId="6726" xr:uid="{00000000-0005-0000-0000-00003F250000}"/>
    <cellStyle name="Normal 13 2 3 11 2" xfId="6727" xr:uid="{00000000-0005-0000-0000-000040250000}"/>
    <cellStyle name="Normal 13 2 3 11 2 2" xfId="48830" xr:uid="{00000000-0005-0000-0000-000041250000}"/>
    <cellStyle name="Normal 13 2 3 11 2 3" xfId="48831" xr:uid="{00000000-0005-0000-0000-000042250000}"/>
    <cellStyle name="Normal 13 2 3 11 3" xfId="6728" xr:uid="{00000000-0005-0000-0000-000043250000}"/>
    <cellStyle name="Normal 13 2 3 11 3 2" xfId="48832" xr:uid="{00000000-0005-0000-0000-000044250000}"/>
    <cellStyle name="Normal 13 2 3 11 4" xfId="6729" xr:uid="{00000000-0005-0000-0000-000045250000}"/>
    <cellStyle name="Normal 13 2 3 11 5" xfId="6730" xr:uid="{00000000-0005-0000-0000-000046250000}"/>
    <cellStyle name="Normal 13 2 3 11 6" xfId="6731" xr:uid="{00000000-0005-0000-0000-000047250000}"/>
    <cellStyle name="Normal 13 2 3 12" xfId="6732" xr:uid="{00000000-0005-0000-0000-000048250000}"/>
    <cellStyle name="Normal 13 2 3 12 2" xfId="48833" xr:uid="{00000000-0005-0000-0000-000049250000}"/>
    <cellStyle name="Normal 13 2 3 12 3" xfId="48834" xr:uid="{00000000-0005-0000-0000-00004A250000}"/>
    <cellStyle name="Normal 13 2 3 13" xfId="6733" xr:uid="{00000000-0005-0000-0000-00004B250000}"/>
    <cellStyle name="Normal 13 2 3 13 2" xfId="48835" xr:uid="{00000000-0005-0000-0000-00004C250000}"/>
    <cellStyle name="Normal 13 2 3 14" xfId="6734" xr:uid="{00000000-0005-0000-0000-00004D250000}"/>
    <cellStyle name="Normal 13 2 3 14 2" xfId="48836" xr:uid="{00000000-0005-0000-0000-00004E250000}"/>
    <cellStyle name="Normal 13 2 3 15" xfId="6735" xr:uid="{00000000-0005-0000-0000-00004F250000}"/>
    <cellStyle name="Normal 13 2 3 16" xfId="6736" xr:uid="{00000000-0005-0000-0000-000050250000}"/>
    <cellStyle name="Normal 13 2 3 17" xfId="6737" xr:uid="{00000000-0005-0000-0000-000051250000}"/>
    <cellStyle name="Normal 13 2 3 18" xfId="6738" xr:uid="{00000000-0005-0000-0000-000052250000}"/>
    <cellStyle name="Normal 13 2 3 19" xfId="6739" xr:uid="{00000000-0005-0000-0000-000053250000}"/>
    <cellStyle name="Normal 13 2 3 2" xfId="6740" xr:uid="{00000000-0005-0000-0000-000054250000}"/>
    <cellStyle name="Normal 13 2 3 2 10" xfId="6741" xr:uid="{00000000-0005-0000-0000-000055250000}"/>
    <cellStyle name="Normal 13 2 3 2 11" xfId="6742" xr:uid="{00000000-0005-0000-0000-000056250000}"/>
    <cellStyle name="Normal 13 2 3 2 12" xfId="6743" xr:uid="{00000000-0005-0000-0000-000057250000}"/>
    <cellStyle name="Normal 13 2 3 2 13" xfId="6744" xr:uid="{00000000-0005-0000-0000-000058250000}"/>
    <cellStyle name="Normal 13 2 3 2 14" xfId="6745" xr:uid="{00000000-0005-0000-0000-000059250000}"/>
    <cellStyle name="Normal 13 2 3 2 15" xfId="6746" xr:uid="{00000000-0005-0000-0000-00005A250000}"/>
    <cellStyle name="Normal 13 2 3 2 2" xfId="6747" xr:uid="{00000000-0005-0000-0000-00005B250000}"/>
    <cellStyle name="Normal 13 2 3 2 2 10" xfId="6748" xr:uid="{00000000-0005-0000-0000-00005C250000}"/>
    <cellStyle name="Normal 13 2 3 2 2 11" xfId="6749" xr:uid="{00000000-0005-0000-0000-00005D250000}"/>
    <cellStyle name="Normal 13 2 3 2 2 12" xfId="6750" xr:uid="{00000000-0005-0000-0000-00005E250000}"/>
    <cellStyle name="Normal 13 2 3 2 2 13" xfId="6751" xr:uid="{00000000-0005-0000-0000-00005F250000}"/>
    <cellStyle name="Normal 13 2 3 2 2 14" xfId="6752" xr:uid="{00000000-0005-0000-0000-000060250000}"/>
    <cellStyle name="Normal 13 2 3 2 2 2" xfId="6753" xr:uid="{00000000-0005-0000-0000-000061250000}"/>
    <cellStyle name="Normal 13 2 3 2 2 2 2" xfId="6754" xr:uid="{00000000-0005-0000-0000-000062250000}"/>
    <cellStyle name="Normal 13 2 3 2 2 2 2 2" xfId="6755" xr:uid="{00000000-0005-0000-0000-000063250000}"/>
    <cellStyle name="Normal 13 2 3 2 2 2 2 2 2" xfId="6756" xr:uid="{00000000-0005-0000-0000-000064250000}"/>
    <cellStyle name="Normal 13 2 3 2 2 2 2 2 2 2" xfId="48837" xr:uid="{00000000-0005-0000-0000-000065250000}"/>
    <cellStyle name="Normal 13 2 3 2 2 2 2 2 2 3" xfId="48838" xr:uid="{00000000-0005-0000-0000-000066250000}"/>
    <cellStyle name="Normal 13 2 3 2 2 2 2 2 3" xfId="6757" xr:uid="{00000000-0005-0000-0000-000067250000}"/>
    <cellStyle name="Normal 13 2 3 2 2 2 2 2 3 2" xfId="48839" xr:uid="{00000000-0005-0000-0000-000068250000}"/>
    <cellStyle name="Normal 13 2 3 2 2 2 2 2 4" xfId="6758" xr:uid="{00000000-0005-0000-0000-000069250000}"/>
    <cellStyle name="Normal 13 2 3 2 2 2 2 2 5" xfId="6759" xr:uid="{00000000-0005-0000-0000-00006A250000}"/>
    <cellStyle name="Normal 13 2 3 2 2 2 2 2 6" xfId="6760" xr:uid="{00000000-0005-0000-0000-00006B250000}"/>
    <cellStyle name="Normal 13 2 3 2 2 2 2 3" xfId="6761" xr:uid="{00000000-0005-0000-0000-00006C250000}"/>
    <cellStyle name="Normal 13 2 3 2 2 2 2 3 2" xfId="48840" xr:uid="{00000000-0005-0000-0000-00006D250000}"/>
    <cellStyle name="Normal 13 2 3 2 2 2 2 3 3" xfId="48841" xr:uid="{00000000-0005-0000-0000-00006E250000}"/>
    <cellStyle name="Normal 13 2 3 2 2 2 2 4" xfId="6762" xr:uid="{00000000-0005-0000-0000-00006F250000}"/>
    <cellStyle name="Normal 13 2 3 2 2 2 2 4 2" xfId="48842" xr:uid="{00000000-0005-0000-0000-000070250000}"/>
    <cellStyle name="Normal 13 2 3 2 2 2 2 5" xfId="6763" xr:uid="{00000000-0005-0000-0000-000071250000}"/>
    <cellStyle name="Normal 13 2 3 2 2 2 2 6" xfId="6764" xr:uid="{00000000-0005-0000-0000-000072250000}"/>
    <cellStyle name="Normal 13 2 3 2 2 2 2 7" xfId="6765" xr:uid="{00000000-0005-0000-0000-000073250000}"/>
    <cellStyle name="Normal 13 2 3 2 2 2 3" xfId="6766" xr:uid="{00000000-0005-0000-0000-000074250000}"/>
    <cellStyle name="Normal 13 2 3 2 2 2 3 2" xfId="6767" xr:uid="{00000000-0005-0000-0000-000075250000}"/>
    <cellStyle name="Normal 13 2 3 2 2 2 3 2 2" xfId="48843" xr:uid="{00000000-0005-0000-0000-000076250000}"/>
    <cellStyle name="Normal 13 2 3 2 2 2 3 2 3" xfId="48844" xr:uid="{00000000-0005-0000-0000-000077250000}"/>
    <cellStyle name="Normal 13 2 3 2 2 2 3 3" xfId="6768" xr:uid="{00000000-0005-0000-0000-000078250000}"/>
    <cellStyle name="Normal 13 2 3 2 2 2 3 3 2" xfId="48845" xr:uid="{00000000-0005-0000-0000-000079250000}"/>
    <cellStyle name="Normal 13 2 3 2 2 2 3 4" xfId="6769" xr:uid="{00000000-0005-0000-0000-00007A250000}"/>
    <cellStyle name="Normal 13 2 3 2 2 2 3 5" xfId="6770" xr:uid="{00000000-0005-0000-0000-00007B250000}"/>
    <cellStyle name="Normal 13 2 3 2 2 2 3 6" xfId="6771" xr:uid="{00000000-0005-0000-0000-00007C250000}"/>
    <cellStyle name="Normal 13 2 3 2 2 2 4" xfId="6772" xr:uid="{00000000-0005-0000-0000-00007D250000}"/>
    <cellStyle name="Normal 13 2 3 2 2 2 4 2" xfId="48846" xr:uid="{00000000-0005-0000-0000-00007E250000}"/>
    <cellStyle name="Normal 13 2 3 2 2 2 4 3" xfId="48847" xr:uid="{00000000-0005-0000-0000-00007F250000}"/>
    <cellStyle name="Normal 13 2 3 2 2 2 5" xfId="6773" xr:uid="{00000000-0005-0000-0000-000080250000}"/>
    <cellStyle name="Normal 13 2 3 2 2 2 5 2" xfId="48848" xr:uid="{00000000-0005-0000-0000-000081250000}"/>
    <cellStyle name="Normal 13 2 3 2 2 2 6" xfId="6774" xr:uid="{00000000-0005-0000-0000-000082250000}"/>
    <cellStyle name="Normal 13 2 3 2 2 2 7" xfId="6775" xr:uid="{00000000-0005-0000-0000-000083250000}"/>
    <cellStyle name="Normal 13 2 3 2 2 2 8" xfId="6776" xr:uid="{00000000-0005-0000-0000-000084250000}"/>
    <cellStyle name="Normal 13 2 3 2 2 2 9" xfId="6777" xr:uid="{00000000-0005-0000-0000-000085250000}"/>
    <cellStyle name="Normal 13 2 3 2 2 3" xfId="6778" xr:uid="{00000000-0005-0000-0000-000086250000}"/>
    <cellStyle name="Normal 13 2 3 2 2 3 2" xfId="6779" xr:uid="{00000000-0005-0000-0000-000087250000}"/>
    <cellStyle name="Normal 13 2 3 2 2 3 2 2" xfId="6780" xr:uid="{00000000-0005-0000-0000-000088250000}"/>
    <cellStyle name="Normal 13 2 3 2 2 3 2 2 2" xfId="6781" xr:uid="{00000000-0005-0000-0000-000089250000}"/>
    <cellStyle name="Normal 13 2 3 2 2 3 2 2 2 2" xfId="48849" xr:uid="{00000000-0005-0000-0000-00008A250000}"/>
    <cellStyle name="Normal 13 2 3 2 2 3 2 2 2 3" xfId="48850" xr:uid="{00000000-0005-0000-0000-00008B250000}"/>
    <cellStyle name="Normal 13 2 3 2 2 3 2 2 3" xfId="6782" xr:uid="{00000000-0005-0000-0000-00008C250000}"/>
    <cellStyle name="Normal 13 2 3 2 2 3 2 2 3 2" xfId="48851" xr:uid="{00000000-0005-0000-0000-00008D250000}"/>
    <cellStyle name="Normal 13 2 3 2 2 3 2 2 4" xfId="6783" xr:uid="{00000000-0005-0000-0000-00008E250000}"/>
    <cellStyle name="Normal 13 2 3 2 2 3 2 2 5" xfId="6784" xr:uid="{00000000-0005-0000-0000-00008F250000}"/>
    <cellStyle name="Normal 13 2 3 2 2 3 2 2 6" xfId="6785" xr:uid="{00000000-0005-0000-0000-000090250000}"/>
    <cellStyle name="Normal 13 2 3 2 2 3 2 3" xfId="6786" xr:uid="{00000000-0005-0000-0000-000091250000}"/>
    <cellStyle name="Normal 13 2 3 2 2 3 2 3 2" xfId="48852" xr:uid="{00000000-0005-0000-0000-000092250000}"/>
    <cellStyle name="Normal 13 2 3 2 2 3 2 3 3" xfId="48853" xr:uid="{00000000-0005-0000-0000-000093250000}"/>
    <cellStyle name="Normal 13 2 3 2 2 3 2 4" xfId="6787" xr:uid="{00000000-0005-0000-0000-000094250000}"/>
    <cellStyle name="Normal 13 2 3 2 2 3 2 4 2" xfId="48854" xr:uid="{00000000-0005-0000-0000-000095250000}"/>
    <cellStyle name="Normal 13 2 3 2 2 3 2 5" xfId="6788" xr:uid="{00000000-0005-0000-0000-000096250000}"/>
    <cellStyle name="Normal 13 2 3 2 2 3 2 6" xfId="6789" xr:uid="{00000000-0005-0000-0000-000097250000}"/>
    <cellStyle name="Normal 13 2 3 2 2 3 2 7" xfId="6790" xr:uid="{00000000-0005-0000-0000-000098250000}"/>
    <cellStyle name="Normal 13 2 3 2 2 3 3" xfId="6791" xr:uid="{00000000-0005-0000-0000-000099250000}"/>
    <cellStyle name="Normal 13 2 3 2 2 3 3 2" xfId="6792" xr:uid="{00000000-0005-0000-0000-00009A250000}"/>
    <cellStyle name="Normal 13 2 3 2 2 3 3 2 2" xfId="48855" xr:uid="{00000000-0005-0000-0000-00009B250000}"/>
    <cellStyle name="Normal 13 2 3 2 2 3 3 2 3" xfId="48856" xr:uid="{00000000-0005-0000-0000-00009C250000}"/>
    <cellStyle name="Normal 13 2 3 2 2 3 3 3" xfId="6793" xr:uid="{00000000-0005-0000-0000-00009D250000}"/>
    <cellStyle name="Normal 13 2 3 2 2 3 3 3 2" xfId="48857" xr:uid="{00000000-0005-0000-0000-00009E250000}"/>
    <cellStyle name="Normal 13 2 3 2 2 3 3 4" xfId="6794" xr:uid="{00000000-0005-0000-0000-00009F250000}"/>
    <cellStyle name="Normal 13 2 3 2 2 3 3 5" xfId="6795" xr:uid="{00000000-0005-0000-0000-0000A0250000}"/>
    <cellStyle name="Normal 13 2 3 2 2 3 3 6" xfId="6796" xr:uid="{00000000-0005-0000-0000-0000A1250000}"/>
    <cellStyle name="Normal 13 2 3 2 2 3 4" xfId="6797" xr:uid="{00000000-0005-0000-0000-0000A2250000}"/>
    <cellStyle name="Normal 13 2 3 2 2 3 4 2" xfId="48858" xr:uid="{00000000-0005-0000-0000-0000A3250000}"/>
    <cellStyle name="Normal 13 2 3 2 2 3 4 3" xfId="48859" xr:uid="{00000000-0005-0000-0000-0000A4250000}"/>
    <cellStyle name="Normal 13 2 3 2 2 3 5" xfId="6798" xr:uid="{00000000-0005-0000-0000-0000A5250000}"/>
    <cellStyle name="Normal 13 2 3 2 2 3 5 2" xfId="48860" xr:uid="{00000000-0005-0000-0000-0000A6250000}"/>
    <cellStyle name="Normal 13 2 3 2 2 3 6" xfId="6799" xr:uid="{00000000-0005-0000-0000-0000A7250000}"/>
    <cellStyle name="Normal 13 2 3 2 2 3 7" xfId="6800" xr:uid="{00000000-0005-0000-0000-0000A8250000}"/>
    <cellStyle name="Normal 13 2 3 2 2 3 8" xfId="6801" xr:uid="{00000000-0005-0000-0000-0000A9250000}"/>
    <cellStyle name="Normal 13 2 3 2 2 4" xfId="6802" xr:uid="{00000000-0005-0000-0000-0000AA250000}"/>
    <cellStyle name="Normal 13 2 3 2 2 4 2" xfId="6803" xr:uid="{00000000-0005-0000-0000-0000AB250000}"/>
    <cellStyle name="Normal 13 2 3 2 2 4 2 2" xfId="6804" xr:uid="{00000000-0005-0000-0000-0000AC250000}"/>
    <cellStyle name="Normal 13 2 3 2 2 4 2 2 2" xfId="48861" xr:uid="{00000000-0005-0000-0000-0000AD250000}"/>
    <cellStyle name="Normal 13 2 3 2 2 4 2 2 3" xfId="48862" xr:uid="{00000000-0005-0000-0000-0000AE250000}"/>
    <cellStyle name="Normal 13 2 3 2 2 4 2 3" xfId="6805" xr:uid="{00000000-0005-0000-0000-0000AF250000}"/>
    <cellStyle name="Normal 13 2 3 2 2 4 2 3 2" xfId="48863" xr:uid="{00000000-0005-0000-0000-0000B0250000}"/>
    <cellStyle name="Normal 13 2 3 2 2 4 2 4" xfId="6806" xr:uid="{00000000-0005-0000-0000-0000B1250000}"/>
    <cellStyle name="Normal 13 2 3 2 2 4 2 5" xfId="6807" xr:uid="{00000000-0005-0000-0000-0000B2250000}"/>
    <cellStyle name="Normal 13 2 3 2 2 4 2 6" xfId="6808" xr:uid="{00000000-0005-0000-0000-0000B3250000}"/>
    <cellStyle name="Normal 13 2 3 2 2 4 3" xfId="6809" xr:uid="{00000000-0005-0000-0000-0000B4250000}"/>
    <cellStyle name="Normal 13 2 3 2 2 4 3 2" xfId="48864" xr:uid="{00000000-0005-0000-0000-0000B5250000}"/>
    <cellStyle name="Normal 13 2 3 2 2 4 3 3" xfId="48865" xr:uid="{00000000-0005-0000-0000-0000B6250000}"/>
    <cellStyle name="Normal 13 2 3 2 2 4 4" xfId="6810" xr:uid="{00000000-0005-0000-0000-0000B7250000}"/>
    <cellStyle name="Normal 13 2 3 2 2 4 4 2" xfId="48866" xr:uid="{00000000-0005-0000-0000-0000B8250000}"/>
    <cellStyle name="Normal 13 2 3 2 2 4 5" xfId="6811" xr:uid="{00000000-0005-0000-0000-0000B9250000}"/>
    <cellStyle name="Normal 13 2 3 2 2 4 6" xfId="6812" xr:uid="{00000000-0005-0000-0000-0000BA250000}"/>
    <cellStyle name="Normal 13 2 3 2 2 4 7" xfId="6813" xr:uid="{00000000-0005-0000-0000-0000BB250000}"/>
    <cellStyle name="Normal 13 2 3 2 2 5" xfId="6814" xr:uid="{00000000-0005-0000-0000-0000BC250000}"/>
    <cellStyle name="Normal 13 2 3 2 2 5 2" xfId="6815" xr:uid="{00000000-0005-0000-0000-0000BD250000}"/>
    <cellStyle name="Normal 13 2 3 2 2 5 2 2" xfId="48867" xr:uid="{00000000-0005-0000-0000-0000BE250000}"/>
    <cellStyle name="Normal 13 2 3 2 2 5 2 3" xfId="48868" xr:uid="{00000000-0005-0000-0000-0000BF250000}"/>
    <cellStyle name="Normal 13 2 3 2 2 5 3" xfId="6816" xr:uid="{00000000-0005-0000-0000-0000C0250000}"/>
    <cellStyle name="Normal 13 2 3 2 2 5 3 2" xfId="48869" xr:uid="{00000000-0005-0000-0000-0000C1250000}"/>
    <cellStyle name="Normal 13 2 3 2 2 5 4" xfId="6817" xr:uid="{00000000-0005-0000-0000-0000C2250000}"/>
    <cellStyle name="Normal 13 2 3 2 2 5 5" xfId="6818" xr:uid="{00000000-0005-0000-0000-0000C3250000}"/>
    <cellStyle name="Normal 13 2 3 2 2 5 6" xfId="6819" xr:uid="{00000000-0005-0000-0000-0000C4250000}"/>
    <cellStyle name="Normal 13 2 3 2 2 6" xfId="6820" xr:uid="{00000000-0005-0000-0000-0000C5250000}"/>
    <cellStyle name="Normal 13 2 3 2 2 6 2" xfId="48870" xr:uid="{00000000-0005-0000-0000-0000C6250000}"/>
    <cellStyle name="Normal 13 2 3 2 2 6 3" xfId="48871" xr:uid="{00000000-0005-0000-0000-0000C7250000}"/>
    <cellStyle name="Normal 13 2 3 2 2 7" xfId="6821" xr:uid="{00000000-0005-0000-0000-0000C8250000}"/>
    <cellStyle name="Normal 13 2 3 2 2 7 2" xfId="48872" xr:uid="{00000000-0005-0000-0000-0000C9250000}"/>
    <cellStyle name="Normal 13 2 3 2 2 8" xfId="6822" xr:uid="{00000000-0005-0000-0000-0000CA250000}"/>
    <cellStyle name="Normal 13 2 3 2 2 9" xfId="6823" xr:uid="{00000000-0005-0000-0000-0000CB250000}"/>
    <cellStyle name="Normal 13 2 3 2 3" xfId="6824" xr:uid="{00000000-0005-0000-0000-0000CC250000}"/>
    <cellStyle name="Normal 13 2 3 2 3 2" xfId="6825" xr:uid="{00000000-0005-0000-0000-0000CD250000}"/>
    <cellStyle name="Normal 13 2 3 2 3 2 2" xfId="6826" xr:uid="{00000000-0005-0000-0000-0000CE250000}"/>
    <cellStyle name="Normal 13 2 3 2 3 2 2 2" xfId="6827" xr:uid="{00000000-0005-0000-0000-0000CF250000}"/>
    <cellStyle name="Normal 13 2 3 2 3 2 2 2 2" xfId="48873" xr:uid="{00000000-0005-0000-0000-0000D0250000}"/>
    <cellStyle name="Normal 13 2 3 2 3 2 2 2 3" xfId="48874" xr:uid="{00000000-0005-0000-0000-0000D1250000}"/>
    <cellStyle name="Normal 13 2 3 2 3 2 2 3" xfId="6828" xr:uid="{00000000-0005-0000-0000-0000D2250000}"/>
    <cellStyle name="Normal 13 2 3 2 3 2 2 3 2" xfId="48875" xr:uid="{00000000-0005-0000-0000-0000D3250000}"/>
    <cellStyle name="Normal 13 2 3 2 3 2 2 4" xfId="6829" xr:uid="{00000000-0005-0000-0000-0000D4250000}"/>
    <cellStyle name="Normal 13 2 3 2 3 2 2 5" xfId="6830" xr:uid="{00000000-0005-0000-0000-0000D5250000}"/>
    <cellStyle name="Normal 13 2 3 2 3 2 2 6" xfId="6831" xr:uid="{00000000-0005-0000-0000-0000D6250000}"/>
    <cellStyle name="Normal 13 2 3 2 3 2 3" xfId="6832" xr:uid="{00000000-0005-0000-0000-0000D7250000}"/>
    <cellStyle name="Normal 13 2 3 2 3 2 3 2" xfId="48876" xr:uid="{00000000-0005-0000-0000-0000D8250000}"/>
    <cellStyle name="Normal 13 2 3 2 3 2 3 3" xfId="48877" xr:uid="{00000000-0005-0000-0000-0000D9250000}"/>
    <cellStyle name="Normal 13 2 3 2 3 2 4" xfId="6833" xr:uid="{00000000-0005-0000-0000-0000DA250000}"/>
    <cellStyle name="Normal 13 2 3 2 3 2 4 2" xfId="48878" xr:uid="{00000000-0005-0000-0000-0000DB250000}"/>
    <cellStyle name="Normal 13 2 3 2 3 2 5" xfId="6834" xr:uid="{00000000-0005-0000-0000-0000DC250000}"/>
    <cellStyle name="Normal 13 2 3 2 3 2 6" xfId="6835" xr:uid="{00000000-0005-0000-0000-0000DD250000}"/>
    <cellStyle name="Normal 13 2 3 2 3 2 7" xfId="6836" xr:uid="{00000000-0005-0000-0000-0000DE250000}"/>
    <cellStyle name="Normal 13 2 3 2 3 3" xfId="6837" xr:uid="{00000000-0005-0000-0000-0000DF250000}"/>
    <cellStyle name="Normal 13 2 3 2 3 3 2" xfId="6838" xr:uid="{00000000-0005-0000-0000-0000E0250000}"/>
    <cellStyle name="Normal 13 2 3 2 3 3 2 2" xfId="48879" xr:uid="{00000000-0005-0000-0000-0000E1250000}"/>
    <cellStyle name="Normal 13 2 3 2 3 3 2 3" xfId="48880" xr:uid="{00000000-0005-0000-0000-0000E2250000}"/>
    <cellStyle name="Normal 13 2 3 2 3 3 3" xfId="6839" xr:uid="{00000000-0005-0000-0000-0000E3250000}"/>
    <cellStyle name="Normal 13 2 3 2 3 3 3 2" xfId="48881" xr:uid="{00000000-0005-0000-0000-0000E4250000}"/>
    <cellStyle name="Normal 13 2 3 2 3 3 4" xfId="6840" xr:uid="{00000000-0005-0000-0000-0000E5250000}"/>
    <cellStyle name="Normal 13 2 3 2 3 3 5" xfId="6841" xr:uid="{00000000-0005-0000-0000-0000E6250000}"/>
    <cellStyle name="Normal 13 2 3 2 3 3 6" xfId="6842" xr:uid="{00000000-0005-0000-0000-0000E7250000}"/>
    <cellStyle name="Normal 13 2 3 2 3 4" xfId="6843" xr:uid="{00000000-0005-0000-0000-0000E8250000}"/>
    <cellStyle name="Normal 13 2 3 2 3 4 2" xfId="48882" xr:uid="{00000000-0005-0000-0000-0000E9250000}"/>
    <cellStyle name="Normal 13 2 3 2 3 4 3" xfId="48883" xr:uid="{00000000-0005-0000-0000-0000EA250000}"/>
    <cellStyle name="Normal 13 2 3 2 3 5" xfId="6844" xr:uid="{00000000-0005-0000-0000-0000EB250000}"/>
    <cellStyle name="Normal 13 2 3 2 3 5 2" xfId="48884" xr:uid="{00000000-0005-0000-0000-0000EC250000}"/>
    <cellStyle name="Normal 13 2 3 2 3 6" xfId="6845" xr:uid="{00000000-0005-0000-0000-0000ED250000}"/>
    <cellStyle name="Normal 13 2 3 2 3 7" xfId="6846" xr:uid="{00000000-0005-0000-0000-0000EE250000}"/>
    <cellStyle name="Normal 13 2 3 2 3 8" xfId="6847" xr:uid="{00000000-0005-0000-0000-0000EF250000}"/>
    <cellStyle name="Normal 13 2 3 2 3 9" xfId="6848" xr:uid="{00000000-0005-0000-0000-0000F0250000}"/>
    <cellStyle name="Normal 13 2 3 2 4" xfId="6849" xr:uid="{00000000-0005-0000-0000-0000F1250000}"/>
    <cellStyle name="Normal 13 2 3 2 4 2" xfId="6850" xr:uid="{00000000-0005-0000-0000-0000F2250000}"/>
    <cellStyle name="Normal 13 2 3 2 4 2 2" xfId="6851" xr:uid="{00000000-0005-0000-0000-0000F3250000}"/>
    <cellStyle name="Normal 13 2 3 2 4 2 2 2" xfId="6852" xr:uid="{00000000-0005-0000-0000-0000F4250000}"/>
    <cellStyle name="Normal 13 2 3 2 4 2 2 2 2" xfId="48885" xr:uid="{00000000-0005-0000-0000-0000F5250000}"/>
    <cellStyle name="Normal 13 2 3 2 4 2 2 2 3" xfId="48886" xr:uid="{00000000-0005-0000-0000-0000F6250000}"/>
    <cellStyle name="Normal 13 2 3 2 4 2 2 3" xfId="6853" xr:uid="{00000000-0005-0000-0000-0000F7250000}"/>
    <cellStyle name="Normal 13 2 3 2 4 2 2 3 2" xfId="48887" xr:uid="{00000000-0005-0000-0000-0000F8250000}"/>
    <cellStyle name="Normal 13 2 3 2 4 2 2 4" xfId="6854" xr:uid="{00000000-0005-0000-0000-0000F9250000}"/>
    <cellStyle name="Normal 13 2 3 2 4 2 2 5" xfId="6855" xr:uid="{00000000-0005-0000-0000-0000FA250000}"/>
    <cellStyle name="Normal 13 2 3 2 4 2 2 6" xfId="6856" xr:uid="{00000000-0005-0000-0000-0000FB250000}"/>
    <cellStyle name="Normal 13 2 3 2 4 2 3" xfId="6857" xr:uid="{00000000-0005-0000-0000-0000FC250000}"/>
    <cellStyle name="Normal 13 2 3 2 4 2 3 2" xfId="48888" xr:uid="{00000000-0005-0000-0000-0000FD250000}"/>
    <cellStyle name="Normal 13 2 3 2 4 2 3 3" xfId="48889" xr:uid="{00000000-0005-0000-0000-0000FE250000}"/>
    <cellStyle name="Normal 13 2 3 2 4 2 4" xfId="6858" xr:uid="{00000000-0005-0000-0000-0000FF250000}"/>
    <cellStyle name="Normal 13 2 3 2 4 2 4 2" xfId="48890" xr:uid="{00000000-0005-0000-0000-000000260000}"/>
    <cellStyle name="Normal 13 2 3 2 4 2 5" xfId="6859" xr:uid="{00000000-0005-0000-0000-000001260000}"/>
    <cellStyle name="Normal 13 2 3 2 4 2 6" xfId="6860" xr:uid="{00000000-0005-0000-0000-000002260000}"/>
    <cellStyle name="Normal 13 2 3 2 4 2 7" xfId="6861" xr:uid="{00000000-0005-0000-0000-000003260000}"/>
    <cellStyle name="Normal 13 2 3 2 4 3" xfId="6862" xr:uid="{00000000-0005-0000-0000-000004260000}"/>
    <cellStyle name="Normal 13 2 3 2 4 3 2" xfId="6863" xr:uid="{00000000-0005-0000-0000-000005260000}"/>
    <cellStyle name="Normal 13 2 3 2 4 3 2 2" xfId="48891" xr:uid="{00000000-0005-0000-0000-000006260000}"/>
    <cellStyle name="Normal 13 2 3 2 4 3 2 3" xfId="48892" xr:uid="{00000000-0005-0000-0000-000007260000}"/>
    <cellStyle name="Normal 13 2 3 2 4 3 3" xfId="6864" xr:uid="{00000000-0005-0000-0000-000008260000}"/>
    <cellStyle name="Normal 13 2 3 2 4 3 3 2" xfId="48893" xr:uid="{00000000-0005-0000-0000-000009260000}"/>
    <cellStyle name="Normal 13 2 3 2 4 3 4" xfId="6865" xr:uid="{00000000-0005-0000-0000-00000A260000}"/>
    <cellStyle name="Normal 13 2 3 2 4 3 5" xfId="6866" xr:uid="{00000000-0005-0000-0000-00000B260000}"/>
    <cellStyle name="Normal 13 2 3 2 4 3 6" xfId="6867" xr:uid="{00000000-0005-0000-0000-00000C260000}"/>
    <cellStyle name="Normal 13 2 3 2 4 4" xfId="6868" xr:uid="{00000000-0005-0000-0000-00000D260000}"/>
    <cellStyle name="Normal 13 2 3 2 4 4 2" xfId="48894" xr:uid="{00000000-0005-0000-0000-00000E260000}"/>
    <cellStyle name="Normal 13 2 3 2 4 4 3" xfId="48895" xr:uid="{00000000-0005-0000-0000-00000F260000}"/>
    <cellStyle name="Normal 13 2 3 2 4 5" xfId="6869" xr:uid="{00000000-0005-0000-0000-000010260000}"/>
    <cellStyle name="Normal 13 2 3 2 4 5 2" xfId="48896" xr:uid="{00000000-0005-0000-0000-000011260000}"/>
    <cellStyle name="Normal 13 2 3 2 4 6" xfId="6870" xr:uid="{00000000-0005-0000-0000-000012260000}"/>
    <cellStyle name="Normal 13 2 3 2 4 7" xfId="6871" xr:uid="{00000000-0005-0000-0000-000013260000}"/>
    <cellStyle name="Normal 13 2 3 2 4 8" xfId="6872" xr:uid="{00000000-0005-0000-0000-000014260000}"/>
    <cellStyle name="Normal 13 2 3 2 5" xfId="6873" xr:uid="{00000000-0005-0000-0000-000015260000}"/>
    <cellStyle name="Normal 13 2 3 2 5 2" xfId="6874" xr:uid="{00000000-0005-0000-0000-000016260000}"/>
    <cellStyle name="Normal 13 2 3 2 5 2 2" xfId="6875" xr:uid="{00000000-0005-0000-0000-000017260000}"/>
    <cellStyle name="Normal 13 2 3 2 5 2 2 2" xfId="48897" xr:uid="{00000000-0005-0000-0000-000018260000}"/>
    <cellStyle name="Normal 13 2 3 2 5 2 2 3" xfId="48898" xr:uid="{00000000-0005-0000-0000-000019260000}"/>
    <cellStyle name="Normal 13 2 3 2 5 2 3" xfId="6876" xr:uid="{00000000-0005-0000-0000-00001A260000}"/>
    <cellStyle name="Normal 13 2 3 2 5 2 3 2" xfId="48899" xr:uid="{00000000-0005-0000-0000-00001B260000}"/>
    <cellStyle name="Normal 13 2 3 2 5 2 4" xfId="6877" xr:uid="{00000000-0005-0000-0000-00001C260000}"/>
    <cellStyle name="Normal 13 2 3 2 5 2 5" xfId="6878" xr:uid="{00000000-0005-0000-0000-00001D260000}"/>
    <cellStyle name="Normal 13 2 3 2 5 2 6" xfId="6879" xr:uid="{00000000-0005-0000-0000-00001E260000}"/>
    <cellStyle name="Normal 13 2 3 2 5 3" xfId="6880" xr:uid="{00000000-0005-0000-0000-00001F260000}"/>
    <cellStyle name="Normal 13 2 3 2 5 3 2" xfId="48900" xr:uid="{00000000-0005-0000-0000-000020260000}"/>
    <cellStyle name="Normal 13 2 3 2 5 3 3" xfId="48901" xr:uid="{00000000-0005-0000-0000-000021260000}"/>
    <cellStyle name="Normal 13 2 3 2 5 4" xfId="6881" xr:uid="{00000000-0005-0000-0000-000022260000}"/>
    <cellStyle name="Normal 13 2 3 2 5 4 2" xfId="48902" xr:uid="{00000000-0005-0000-0000-000023260000}"/>
    <cellStyle name="Normal 13 2 3 2 5 5" xfId="6882" xr:uid="{00000000-0005-0000-0000-000024260000}"/>
    <cellStyle name="Normal 13 2 3 2 5 6" xfId="6883" xr:uid="{00000000-0005-0000-0000-000025260000}"/>
    <cellStyle name="Normal 13 2 3 2 5 7" xfId="6884" xr:uid="{00000000-0005-0000-0000-000026260000}"/>
    <cellStyle name="Normal 13 2 3 2 6" xfId="6885" xr:uid="{00000000-0005-0000-0000-000027260000}"/>
    <cellStyle name="Normal 13 2 3 2 6 2" xfId="6886" xr:uid="{00000000-0005-0000-0000-000028260000}"/>
    <cellStyle name="Normal 13 2 3 2 6 2 2" xfId="48903" xr:uid="{00000000-0005-0000-0000-000029260000}"/>
    <cellStyle name="Normal 13 2 3 2 6 2 3" xfId="48904" xr:uid="{00000000-0005-0000-0000-00002A260000}"/>
    <cellStyle name="Normal 13 2 3 2 6 3" xfId="6887" xr:uid="{00000000-0005-0000-0000-00002B260000}"/>
    <cellStyle name="Normal 13 2 3 2 6 3 2" xfId="48905" xr:uid="{00000000-0005-0000-0000-00002C260000}"/>
    <cellStyle name="Normal 13 2 3 2 6 4" xfId="6888" xr:uid="{00000000-0005-0000-0000-00002D260000}"/>
    <cellStyle name="Normal 13 2 3 2 6 5" xfId="6889" xr:uid="{00000000-0005-0000-0000-00002E260000}"/>
    <cellStyle name="Normal 13 2 3 2 6 6" xfId="6890" xr:uid="{00000000-0005-0000-0000-00002F260000}"/>
    <cellStyle name="Normal 13 2 3 2 7" xfId="6891" xr:uid="{00000000-0005-0000-0000-000030260000}"/>
    <cellStyle name="Normal 13 2 3 2 7 2" xfId="48906" xr:uid="{00000000-0005-0000-0000-000031260000}"/>
    <cellStyle name="Normal 13 2 3 2 7 3" xfId="48907" xr:uid="{00000000-0005-0000-0000-000032260000}"/>
    <cellStyle name="Normal 13 2 3 2 8" xfId="6892" xr:uid="{00000000-0005-0000-0000-000033260000}"/>
    <cellStyle name="Normal 13 2 3 2 8 2" xfId="48908" xr:uid="{00000000-0005-0000-0000-000034260000}"/>
    <cellStyle name="Normal 13 2 3 2 9" xfId="6893" xr:uid="{00000000-0005-0000-0000-000035260000}"/>
    <cellStyle name="Normal 13 2 3 2 9 2" xfId="48909" xr:uid="{00000000-0005-0000-0000-000036260000}"/>
    <cellStyle name="Normal 13 2 3 20" xfId="6894" xr:uid="{00000000-0005-0000-0000-000037260000}"/>
    <cellStyle name="Normal 13 2 3 3" xfId="6895" xr:uid="{00000000-0005-0000-0000-000038260000}"/>
    <cellStyle name="Normal 13 2 3 3 10" xfId="6896" xr:uid="{00000000-0005-0000-0000-000039260000}"/>
    <cellStyle name="Normal 13 2 3 3 11" xfId="6897" xr:uid="{00000000-0005-0000-0000-00003A260000}"/>
    <cellStyle name="Normal 13 2 3 3 12" xfId="6898" xr:uid="{00000000-0005-0000-0000-00003B260000}"/>
    <cellStyle name="Normal 13 2 3 3 13" xfId="6899" xr:uid="{00000000-0005-0000-0000-00003C260000}"/>
    <cellStyle name="Normal 13 2 3 3 14" xfId="6900" xr:uid="{00000000-0005-0000-0000-00003D260000}"/>
    <cellStyle name="Normal 13 2 3 3 15" xfId="6901" xr:uid="{00000000-0005-0000-0000-00003E260000}"/>
    <cellStyle name="Normal 13 2 3 3 2" xfId="6902" xr:uid="{00000000-0005-0000-0000-00003F260000}"/>
    <cellStyle name="Normal 13 2 3 3 2 10" xfId="6903" xr:uid="{00000000-0005-0000-0000-000040260000}"/>
    <cellStyle name="Normal 13 2 3 3 2 11" xfId="6904" xr:uid="{00000000-0005-0000-0000-000041260000}"/>
    <cellStyle name="Normal 13 2 3 3 2 12" xfId="6905" xr:uid="{00000000-0005-0000-0000-000042260000}"/>
    <cellStyle name="Normal 13 2 3 3 2 13" xfId="6906" xr:uid="{00000000-0005-0000-0000-000043260000}"/>
    <cellStyle name="Normal 13 2 3 3 2 14" xfId="6907" xr:uid="{00000000-0005-0000-0000-000044260000}"/>
    <cellStyle name="Normal 13 2 3 3 2 2" xfId="6908" xr:uid="{00000000-0005-0000-0000-000045260000}"/>
    <cellStyle name="Normal 13 2 3 3 2 2 2" xfId="6909" xr:uid="{00000000-0005-0000-0000-000046260000}"/>
    <cellStyle name="Normal 13 2 3 3 2 2 2 2" xfId="6910" xr:uid="{00000000-0005-0000-0000-000047260000}"/>
    <cellStyle name="Normal 13 2 3 3 2 2 2 2 2" xfId="6911" xr:uid="{00000000-0005-0000-0000-000048260000}"/>
    <cellStyle name="Normal 13 2 3 3 2 2 2 2 2 2" xfId="48910" xr:uid="{00000000-0005-0000-0000-000049260000}"/>
    <cellStyle name="Normal 13 2 3 3 2 2 2 2 2 3" xfId="48911" xr:uid="{00000000-0005-0000-0000-00004A260000}"/>
    <cellStyle name="Normal 13 2 3 3 2 2 2 2 3" xfId="6912" xr:uid="{00000000-0005-0000-0000-00004B260000}"/>
    <cellStyle name="Normal 13 2 3 3 2 2 2 2 3 2" xfId="48912" xr:uid="{00000000-0005-0000-0000-00004C260000}"/>
    <cellStyle name="Normal 13 2 3 3 2 2 2 2 4" xfId="6913" xr:uid="{00000000-0005-0000-0000-00004D260000}"/>
    <cellStyle name="Normal 13 2 3 3 2 2 2 2 5" xfId="6914" xr:uid="{00000000-0005-0000-0000-00004E260000}"/>
    <cellStyle name="Normal 13 2 3 3 2 2 2 2 6" xfId="6915" xr:uid="{00000000-0005-0000-0000-00004F260000}"/>
    <cellStyle name="Normal 13 2 3 3 2 2 2 3" xfId="6916" xr:uid="{00000000-0005-0000-0000-000050260000}"/>
    <cellStyle name="Normal 13 2 3 3 2 2 2 3 2" xfId="48913" xr:uid="{00000000-0005-0000-0000-000051260000}"/>
    <cellStyle name="Normal 13 2 3 3 2 2 2 3 3" xfId="48914" xr:uid="{00000000-0005-0000-0000-000052260000}"/>
    <cellStyle name="Normal 13 2 3 3 2 2 2 4" xfId="6917" xr:uid="{00000000-0005-0000-0000-000053260000}"/>
    <cellStyle name="Normal 13 2 3 3 2 2 2 4 2" xfId="48915" xr:uid="{00000000-0005-0000-0000-000054260000}"/>
    <cellStyle name="Normal 13 2 3 3 2 2 2 5" xfId="6918" xr:uid="{00000000-0005-0000-0000-000055260000}"/>
    <cellStyle name="Normal 13 2 3 3 2 2 2 6" xfId="6919" xr:uid="{00000000-0005-0000-0000-000056260000}"/>
    <cellStyle name="Normal 13 2 3 3 2 2 2 7" xfId="6920" xr:uid="{00000000-0005-0000-0000-000057260000}"/>
    <cellStyle name="Normal 13 2 3 3 2 2 3" xfId="6921" xr:uid="{00000000-0005-0000-0000-000058260000}"/>
    <cellStyle name="Normal 13 2 3 3 2 2 3 2" xfId="6922" xr:uid="{00000000-0005-0000-0000-000059260000}"/>
    <cellStyle name="Normal 13 2 3 3 2 2 3 2 2" xfId="48916" xr:uid="{00000000-0005-0000-0000-00005A260000}"/>
    <cellStyle name="Normal 13 2 3 3 2 2 3 2 3" xfId="48917" xr:uid="{00000000-0005-0000-0000-00005B260000}"/>
    <cellStyle name="Normal 13 2 3 3 2 2 3 3" xfId="6923" xr:uid="{00000000-0005-0000-0000-00005C260000}"/>
    <cellStyle name="Normal 13 2 3 3 2 2 3 3 2" xfId="48918" xr:uid="{00000000-0005-0000-0000-00005D260000}"/>
    <cellStyle name="Normal 13 2 3 3 2 2 3 4" xfId="6924" xr:uid="{00000000-0005-0000-0000-00005E260000}"/>
    <cellStyle name="Normal 13 2 3 3 2 2 3 5" xfId="6925" xr:uid="{00000000-0005-0000-0000-00005F260000}"/>
    <cellStyle name="Normal 13 2 3 3 2 2 3 6" xfId="6926" xr:uid="{00000000-0005-0000-0000-000060260000}"/>
    <cellStyle name="Normal 13 2 3 3 2 2 4" xfId="6927" xr:uid="{00000000-0005-0000-0000-000061260000}"/>
    <cellStyle name="Normal 13 2 3 3 2 2 4 2" xfId="48919" xr:uid="{00000000-0005-0000-0000-000062260000}"/>
    <cellStyle name="Normal 13 2 3 3 2 2 4 3" xfId="48920" xr:uid="{00000000-0005-0000-0000-000063260000}"/>
    <cellStyle name="Normal 13 2 3 3 2 2 5" xfId="6928" xr:uid="{00000000-0005-0000-0000-000064260000}"/>
    <cellStyle name="Normal 13 2 3 3 2 2 5 2" xfId="48921" xr:uid="{00000000-0005-0000-0000-000065260000}"/>
    <cellStyle name="Normal 13 2 3 3 2 2 6" xfId="6929" xr:uid="{00000000-0005-0000-0000-000066260000}"/>
    <cellStyle name="Normal 13 2 3 3 2 2 7" xfId="6930" xr:uid="{00000000-0005-0000-0000-000067260000}"/>
    <cellStyle name="Normal 13 2 3 3 2 2 8" xfId="6931" xr:uid="{00000000-0005-0000-0000-000068260000}"/>
    <cellStyle name="Normal 13 2 3 3 2 2 9" xfId="6932" xr:uid="{00000000-0005-0000-0000-000069260000}"/>
    <cellStyle name="Normal 13 2 3 3 2 3" xfId="6933" xr:uid="{00000000-0005-0000-0000-00006A260000}"/>
    <cellStyle name="Normal 13 2 3 3 2 3 2" xfId="6934" xr:uid="{00000000-0005-0000-0000-00006B260000}"/>
    <cellStyle name="Normal 13 2 3 3 2 3 2 2" xfId="6935" xr:uid="{00000000-0005-0000-0000-00006C260000}"/>
    <cellStyle name="Normal 13 2 3 3 2 3 2 2 2" xfId="6936" xr:uid="{00000000-0005-0000-0000-00006D260000}"/>
    <cellStyle name="Normal 13 2 3 3 2 3 2 2 2 2" xfId="48922" xr:uid="{00000000-0005-0000-0000-00006E260000}"/>
    <cellStyle name="Normal 13 2 3 3 2 3 2 2 2 3" xfId="48923" xr:uid="{00000000-0005-0000-0000-00006F260000}"/>
    <cellStyle name="Normal 13 2 3 3 2 3 2 2 3" xfId="6937" xr:uid="{00000000-0005-0000-0000-000070260000}"/>
    <cellStyle name="Normal 13 2 3 3 2 3 2 2 3 2" xfId="48924" xr:uid="{00000000-0005-0000-0000-000071260000}"/>
    <cellStyle name="Normal 13 2 3 3 2 3 2 2 4" xfId="6938" xr:uid="{00000000-0005-0000-0000-000072260000}"/>
    <cellStyle name="Normal 13 2 3 3 2 3 2 2 5" xfId="6939" xr:uid="{00000000-0005-0000-0000-000073260000}"/>
    <cellStyle name="Normal 13 2 3 3 2 3 2 2 6" xfId="6940" xr:uid="{00000000-0005-0000-0000-000074260000}"/>
    <cellStyle name="Normal 13 2 3 3 2 3 2 3" xfId="6941" xr:uid="{00000000-0005-0000-0000-000075260000}"/>
    <cellStyle name="Normal 13 2 3 3 2 3 2 3 2" xfId="48925" xr:uid="{00000000-0005-0000-0000-000076260000}"/>
    <cellStyle name="Normal 13 2 3 3 2 3 2 3 3" xfId="48926" xr:uid="{00000000-0005-0000-0000-000077260000}"/>
    <cellStyle name="Normal 13 2 3 3 2 3 2 4" xfId="6942" xr:uid="{00000000-0005-0000-0000-000078260000}"/>
    <cellStyle name="Normal 13 2 3 3 2 3 2 4 2" xfId="48927" xr:uid="{00000000-0005-0000-0000-000079260000}"/>
    <cellStyle name="Normal 13 2 3 3 2 3 2 5" xfId="6943" xr:uid="{00000000-0005-0000-0000-00007A260000}"/>
    <cellStyle name="Normal 13 2 3 3 2 3 2 6" xfId="6944" xr:uid="{00000000-0005-0000-0000-00007B260000}"/>
    <cellStyle name="Normal 13 2 3 3 2 3 2 7" xfId="6945" xr:uid="{00000000-0005-0000-0000-00007C260000}"/>
    <cellStyle name="Normal 13 2 3 3 2 3 3" xfId="6946" xr:uid="{00000000-0005-0000-0000-00007D260000}"/>
    <cellStyle name="Normal 13 2 3 3 2 3 3 2" xfId="6947" xr:uid="{00000000-0005-0000-0000-00007E260000}"/>
    <cellStyle name="Normal 13 2 3 3 2 3 3 2 2" xfId="48928" xr:uid="{00000000-0005-0000-0000-00007F260000}"/>
    <cellStyle name="Normal 13 2 3 3 2 3 3 2 3" xfId="48929" xr:uid="{00000000-0005-0000-0000-000080260000}"/>
    <cellStyle name="Normal 13 2 3 3 2 3 3 3" xfId="6948" xr:uid="{00000000-0005-0000-0000-000081260000}"/>
    <cellStyle name="Normal 13 2 3 3 2 3 3 3 2" xfId="48930" xr:uid="{00000000-0005-0000-0000-000082260000}"/>
    <cellStyle name="Normal 13 2 3 3 2 3 3 4" xfId="6949" xr:uid="{00000000-0005-0000-0000-000083260000}"/>
    <cellStyle name="Normal 13 2 3 3 2 3 3 5" xfId="6950" xr:uid="{00000000-0005-0000-0000-000084260000}"/>
    <cellStyle name="Normal 13 2 3 3 2 3 3 6" xfId="6951" xr:uid="{00000000-0005-0000-0000-000085260000}"/>
    <cellStyle name="Normal 13 2 3 3 2 3 4" xfId="6952" xr:uid="{00000000-0005-0000-0000-000086260000}"/>
    <cellStyle name="Normal 13 2 3 3 2 3 4 2" xfId="48931" xr:uid="{00000000-0005-0000-0000-000087260000}"/>
    <cellStyle name="Normal 13 2 3 3 2 3 4 3" xfId="48932" xr:uid="{00000000-0005-0000-0000-000088260000}"/>
    <cellStyle name="Normal 13 2 3 3 2 3 5" xfId="6953" xr:uid="{00000000-0005-0000-0000-000089260000}"/>
    <cellStyle name="Normal 13 2 3 3 2 3 5 2" xfId="48933" xr:uid="{00000000-0005-0000-0000-00008A260000}"/>
    <cellStyle name="Normal 13 2 3 3 2 3 6" xfId="6954" xr:uid="{00000000-0005-0000-0000-00008B260000}"/>
    <cellStyle name="Normal 13 2 3 3 2 3 7" xfId="6955" xr:uid="{00000000-0005-0000-0000-00008C260000}"/>
    <cellStyle name="Normal 13 2 3 3 2 3 8" xfId="6956" xr:uid="{00000000-0005-0000-0000-00008D260000}"/>
    <cellStyle name="Normal 13 2 3 3 2 4" xfId="6957" xr:uid="{00000000-0005-0000-0000-00008E260000}"/>
    <cellStyle name="Normal 13 2 3 3 2 4 2" xfId="6958" xr:uid="{00000000-0005-0000-0000-00008F260000}"/>
    <cellStyle name="Normal 13 2 3 3 2 4 2 2" xfId="6959" xr:uid="{00000000-0005-0000-0000-000090260000}"/>
    <cellStyle name="Normal 13 2 3 3 2 4 2 2 2" xfId="48934" xr:uid="{00000000-0005-0000-0000-000091260000}"/>
    <cellStyle name="Normal 13 2 3 3 2 4 2 2 3" xfId="48935" xr:uid="{00000000-0005-0000-0000-000092260000}"/>
    <cellStyle name="Normal 13 2 3 3 2 4 2 3" xfId="6960" xr:uid="{00000000-0005-0000-0000-000093260000}"/>
    <cellStyle name="Normal 13 2 3 3 2 4 2 3 2" xfId="48936" xr:uid="{00000000-0005-0000-0000-000094260000}"/>
    <cellStyle name="Normal 13 2 3 3 2 4 2 4" xfId="6961" xr:uid="{00000000-0005-0000-0000-000095260000}"/>
    <cellStyle name="Normal 13 2 3 3 2 4 2 5" xfId="6962" xr:uid="{00000000-0005-0000-0000-000096260000}"/>
    <cellStyle name="Normal 13 2 3 3 2 4 2 6" xfId="6963" xr:uid="{00000000-0005-0000-0000-000097260000}"/>
    <cellStyle name="Normal 13 2 3 3 2 4 3" xfId="6964" xr:uid="{00000000-0005-0000-0000-000098260000}"/>
    <cellStyle name="Normal 13 2 3 3 2 4 3 2" xfId="48937" xr:uid="{00000000-0005-0000-0000-000099260000}"/>
    <cellStyle name="Normal 13 2 3 3 2 4 3 3" xfId="48938" xr:uid="{00000000-0005-0000-0000-00009A260000}"/>
    <cellStyle name="Normal 13 2 3 3 2 4 4" xfId="6965" xr:uid="{00000000-0005-0000-0000-00009B260000}"/>
    <cellStyle name="Normal 13 2 3 3 2 4 4 2" xfId="48939" xr:uid="{00000000-0005-0000-0000-00009C260000}"/>
    <cellStyle name="Normal 13 2 3 3 2 4 5" xfId="6966" xr:uid="{00000000-0005-0000-0000-00009D260000}"/>
    <cellStyle name="Normal 13 2 3 3 2 4 6" xfId="6967" xr:uid="{00000000-0005-0000-0000-00009E260000}"/>
    <cellStyle name="Normal 13 2 3 3 2 4 7" xfId="6968" xr:uid="{00000000-0005-0000-0000-00009F260000}"/>
    <cellStyle name="Normal 13 2 3 3 2 5" xfId="6969" xr:uid="{00000000-0005-0000-0000-0000A0260000}"/>
    <cellStyle name="Normal 13 2 3 3 2 5 2" xfId="6970" xr:uid="{00000000-0005-0000-0000-0000A1260000}"/>
    <cellStyle name="Normal 13 2 3 3 2 5 2 2" xfId="48940" xr:uid="{00000000-0005-0000-0000-0000A2260000}"/>
    <cellStyle name="Normal 13 2 3 3 2 5 2 3" xfId="48941" xr:uid="{00000000-0005-0000-0000-0000A3260000}"/>
    <cellStyle name="Normal 13 2 3 3 2 5 3" xfId="6971" xr:uid="{00000000-0005-0000-0000-0000A4260000}"/>
    <cellStyle name="Normal 13 2 3 3 2 5 3 2" xfId="48942" xr:uid="{00000000-0005-0000-0000-0000A5260000}"/>
    <cellStyle name="Normal 13 2 3 3 2 5 4" xfId="6972" xr:uid="{00000000-0005-0000-0000-0000A6260000}"/>
    <cellStyle name="Normal 13 2 3 3 2 5 5" xfId="6973" xr:uid="{00000000-0005-0000-0000-0000A7260000}"/>
    <cellStyle name="Normal 13 2 3 3 2 5 6" xfId="6974" xr:uid="{00000000-0005-0000-0000-0000A8260000}"/>
    <cellStyle name="Normal 13 2 3 3 2 6" xfId="6975" xr:uid="{00000000-0005-0000-0000-0000A9260000}"/>
    <cellStyle name="Normal 13 2 3 3 2 6 2" xfId="48943" xr:uid="{00000000-0005-0000-0000-0000AA260000}"/>
    <cellStyle name="Normal 13 2 3 3 2 6 3" xfId="48944" xr:uid="{00000000-0005-0000-0000-0000AB260000}"/>
    <cellStyle name="Normal 13 2 3 3 2 7" xfId="6976" xr:uid="{00000000-0005-0000-0000-0000AC260000}"/>
    <cellStyle name="Normal 13 2 3 3 2 7 2" xfId="48945" xr:uid="{00000000-0005-0000-0000-0000AD260000}"/>
    <cellStyle name="Normal 13 2 3 3 2 8" xfId="6977" xr:uid="{00000000-0005-0000-0000-0000AE260000}"/>
    <cellStyle name="Normal 13 2 3 3 2 9" xfId="6978" xr:uid="{00000000-0005-0000-0000-0000AF260000}"/>
    <cellStyle name="Normal 13 2 3 3 3" xfId="6979" xr:uid="{00000000-0005-0000-0000-0000B0260000}"/>
    <cellStyle name="Normal 13 2 3 3 3 2" xfId="6980" xr:uid="{00000000-0005-0000-0000-0000B1260000}"/>
    <cellStyle name="Normal 13 2 3 3 3 2 2" xfId="6981" xr:uid="{00000000-0005-0000-0000-0000B2260000}"/>
    <cellStyle name="Normal 13 2 3 3 3 2 2 2" xfId="6982" xr:uid="{00000000-0005-0000-0000-0000B3260000}"/>
    <cellStyle name="Normal 13 2 3 3 3 2 2 2 2" xfId="48946" xr:uid="{00000000-0005-0000-0000-0000B4260000}"/>
    <cellStyle name="Normal 13 2 3 3 3 2 2 2 3" xfId="48947" xr:uid="{00000000-0005-0000-0000-0000B5260000}"/>
    <cellStyle name="Normal 13 2 3 3 3 2 2 3" xfId="6983" xr:uid="{00000000-0005-0000-0000-0000B6260000}"/>
    <cellStyle name="Normal 13 2 3 3 3 2 2 3 2" xfId="48948" xr:uid="{00000000-0005-0000-0000-0000B7260000}"/>
    <cellStyle name="Normal 13 2 3 3 3 2 2 4" xfId="6984" xr:uid="{00000000-0005-0000-0000-0000B8260000}"/>
    <cellStyle name="Normal 13 2 3 3 3 2 2 5" xfId="6985" xr:uid="{00000000-0005-0000-0000-0000B9260000}"/>
    <cellStyle name="Normal 13 2 3 3 3 2 2 6" xfId="6986" xr:uid="{00000000-0005-0000-0000-0000BA260000}"/>
    <cellStyle name="Normal 13 2 3 3 3 2 3" xfId="6987" xr:uid="{00000000-0005-0000-0000-0000BB260000}"/>
    <cellStyle name="Normal 13 2 3 3 3 2 3 2" xfId="48949" xr:uid="{00000000-0005-0000-0000-0000BC260000}"/>
    <cellStyle name="Normal 13 2 3 3 3 2 3 3" xfId="48950" xr:uid="{00000000-0005-0000-0000-0000BD260000}"/>
    <cellStyle name="Normal 13 2 3 3 3 2 4" xfId="6988" xr:uid="{00000000-0005-0000-0000-0000BE260000}"/>
    <cellStyle name="Normal 13 2 3 3 3 2 4 2" xfId="48951" xr:uid="{00000000-0005-0000-0000-0000BF260000}"/>
    <cellStyle name="Normal 13 2 3 3 3 2 5" xfId="6989" xr:uid="{00000000-0005-0000-0000-0000C0260000}"/>
    <cellStyle name="Normal 13 2 3 3 3 2 6" xfId="6990" xr:uid="{00000000-0005-0000-0000-0000C1260000}"/>
    <cellStyle name="Normal 13 2 3 3 3 2 7" xfId="6991" xr:uid="{00000000-0005-0000-0000-0000C2260000}"/>
    <cellStyle name="Normal 13 2 3 3 3 3" xfId="6992" xr:uid="{00000000-0005-0000-0000-0000C3260000}"/>
    <cellStyle name="Normal 13 2 3 3 3 3 2" xfId="6993" xr:uid="{00000000-0005-0000-0000-0000C4260000}"/>
    <cellStyle name="Normal 13 2 3 3 3 3 2 2" xfId="48952" xr:uid="{00000000-0005-0000-0000-0000C5260000}"/>
    <cellStyle name="Normal 13 2 3 3 3 3 2 3" xfId="48953" xr:uid="{00000000-0005-0000-0000-0000C6260000}"/>
    <cellStyle name="Normal 13 2 3 3 3 3 3" xfId="6994" xr:uid="{00000000-0005-0000-0000-0000C7260000}"/>
    <cellStyle name="Normal 13 2 3 3 3 3 3 2" xfId="48954" xr:uid="{00000000-0005-0000-0000-0000C8260000}"/>
    <cellStyle name="Normal 13 2 3 3 3 3 4" xfId="6995" xr:uid="{00000000-0005-0000-0000-0000C9260000}"/>
    <cellStyle name="Normal 13 2 3 3 3 3 5" xfId="6996" xr:uid="{00000000-0005-0000-0000-0000CA260000}"/>
    <cellStyle name="Normal 13 2 3 3 3 3 6" xfId="6997" xr:uid="{00000000-0005-0000-0000-0000CB260000}"/>
    <cellStyle name="Normal 13 2 3 3 3 4" xfId="6998" xr:uid="{00000000-0005-0000-0000-0000CC260000}"/>
    <cellStyle name="Normal 13 2 3 3 3 4 2" xfId="48955" xr:uid="{00000000-0005-0000-0000-0000CD260000}"/>
    <cellStyle name="Normal 13 2 3 3 3 4 3" xfId="48956" xr:uid="{00000000-0005-0000-0000-0000CE260000}"/>
    <cellStyle name="Normal 13 2 3 3 3 5" xfId="6999" xr:uid="{00000000-0005-0000-0000-0000CF260000}"/>
    <cellStyle name="Normal 13 2 3 3 3 5 2" xfId="48957" xr:uid="{00000000-0005-0000-0000-0000D0260000}"/>
    <cellStyle name="Normal 13 2 3 3 3 6" xfId="7000" xr:uid="{00000000-0005-0000-0000-0000D1260000}"/>
    <cellStyle name="Normal 13 2 3 3 3 7" xfId="7001" xr:uid="{00000000-0005-0000-0000-0000D2260000}"/>
    <cellStyle name="Normal 13 2 3 3 3 8" xfId="7002" xr:uid="{00000000-0005-0000-0000-0000D3260000}"/>
    <cellStyle name="Normal 13 2 3 3 3 9" xfId="7003" xr:uid="{00000000-0005-0000-0000-0000D4260000}"/>
    <cellStyle name="Normal 13 2 3 3 4" xfId="7004" xr:uid="{00000000-0005-0000-0000-0000D5260000}"/>
    <cellStyle name="Normal 13 2 3 3 4 2" xfId="7005" xr:uid="{00000000-0005-0000-0000-0000D6260000}"/>
    <cellStyle name="Normal 13 2 3 3 4 2 2" xfId="7006" xr:uid="{00000000-0005-0000-0000-0000D7260000}"/>
    <cellStyle name="Normal 13 2 3 3 4 2 2 2" xfId="7007" xr:uid="{00000000-0005-0000-0000-0000D8260000}"/>
    <cellStyle name="Normal 13 2 3 3 4 2 2 2 2" xfId="48958" xr:uid="{00000000-0005-0000-0000-0000D9260000}"/>
    <cellStyle name="Normal 13 2 3 3 4 2 2 2 3" xfId="48959" xr:uid="{00000000-0005-0000-0000-0000DA260000}"/>
    <cellStyle name="Normal 13 2 3 3 4 2 2 3" xfId="7008" xr:uid="{00000000-0005-0000-0000-0000DB260000}"/>
    <cellStyle name="Normal 13 2 3 3 4 2 2 3 2" xfId="48960" xr:uid="{00000000-0005-0000-0000-0000DC260000}"/>
    <cellStyle name="Normal 13 2 3 3 4 2 2 4" xfId="7009" xr:uid="{00000000-0005-0000-0000-0000DD260000}"/>
    <cellStyle name="Normal 13 2 3 3 4 2 2 5" xfId="7010" xr:uid="{00000000-0005-0000-0000-0000DE260000}"/>
    <cellStyle name="Normal 13 2 3 3 4 2 2 6" xfId="7011" xr:uid="{00000000-0005-0000-0000-0000DF260000}"/>
    <cellStyle name="Normal 13 2 3 3 4 2 3" xfId="7012" xr:uid="{00000000-0005-0000-0000-0000E0260000}"/>
    <cellStyle name="Normal 13 2 3 3 4 2 3 2" xfId="48961" xr:uid="{00000000-0005-0000-0000-0000E1260000}"/>
    <cellStyle name="Normal 13 2 3 3 4 2 3 3" xfId="48962" xr:uid="{00000000-0005-0000-0000-0000E2260000}"/>
    <cellStyle name="Normal 13 2 3 3 4 2 4" xfId="7013" xr:uid="{00000000-0005-0000-0000-0000E3260000}"/>
    <cellStyle name="Normal 13 2 3 3 4 2 4 2" xfId="48963" xr:uid="{00000000-0005-0000-0000-0000E4260000}"/>
    <cellStyle name="Normal 13 2 3 3 4 2 5" xfId="7014" xr:uid="{00000000-0005-0000-0000-0000E5260000}"/>
    <cellStyle name="Normal 13 2 3 3 4 2 6" xfId="7015" xr:uid="{00000000-0005-0000-0000-0000E6260000}"/>
    <cellStyle name="Normal 13 2 3 3 4 2 7" xfId="7016" xr:uid="{00000000-0005-0000-0000-0000E7260000}"/>
    <cellStyle name="Normal 13 2 3 3 4 3" xfId="7017" xr:uid="{00000000-0005-0000-0000-0000E8260000}"/>
    <cellStyle name="Normal 13 2 3 3 4 3 2" xfId="7018" xr:uid="{00000000-0005-0000-0000-0000E9260000}"/>
    <cellStyle name="Normal 13 2 3 3 4 3 2 2" xfId="48964" xr:uid="{00000000-0005-0000-0000-0000EA260000}"/>
    <cellStyle name="Normal 13 2 3 3 4 3 2 3" xfId="48965" xr:uid="{00000000-0005-0000-0000-0000EB260000}"/>
    <cellStyle name="Normal 13 2 3 3 4 3 3" xfId="7019" xr:uid="{00000000-0005-0000-0000-0000EC260000}"/>
    <cellStyle name="Normal 13 2 3 3 4 3 3 2" xfId="48966" xr:uid="{00000000-0005-0000-0000-0000ED260000}"/>
    <cellStyle name="Normal 13 2 3 3 4 3 4" xfId="7020" xr:uid="{00000000-0005-0000-0000-0000EE260000}"/>
    <cellStyle name="Normal 13 2 3 3 4 3 5" xfId="7021" xr:uid="{00000000-0005-0000-0000-0000EF260000}"/>
    <cellStyle name="Normal 13 2 3 3 4 3 6" xfId="7022" xr:uid="{00000000-0005-0000-0000-0000F0260000}"/>
    <cellStyle name="Normal 13 2 3 3 4 4" xfId="7023" xr:uid="{00000000-0005-0000-0000-0000F1260000}"/>
    <cellStyle name="Normal 13 2 3 3 4 4 2" xfId="48967" xr:uid="{00000000-0005-0000-0000-0000F2260000}"/>
    <cellStyle name="Normal 13 2 3 3 4 4 3" xfId="48968" xr:uid="{00000000-0005-0000-0000-0000F3260000}"/>
    <cellStyle name="Normal 13 2 3 3 4 5" xfId="7024" xr:uid="{00000000-0005-0000-0000-0000F4260000}"/>
    <cellStyle name="Normal 13 2 3 3 4 5 2" xfId="48969" xr:uid="{00000000-0005-0000-0000-0000F5260000}"/>
    <cellStyle name="Normal 13 2 3 3 4 6" xfId="7025" xr:uid="{00000000-0005-0000-0000-0000F6260000}"/>
    <cellStyle name="Normal 13 2 3 3 4 7" xfId="7026" xr:uid="{00000000-0005-0000-0000-0000F7260000}"/>
    <cellStyle name="Normal 13 2 3 3 4 8" xfId="7027" xr:uid="{00000000-0005-0000-0000-0000F8260000}"/>
    <cellStyle name="Normal 13 2 3 3 5" xfId="7028" xr:uid="{00000000-0005-0000-0000-0000F9260000}"/>
    <cellStyle name="Normal 13 2 3 3 5 2" xfId="7029" xr:uid="{00000000-0005-0000-0000-0000FA260000}"/>
    <cellStyle name="Normal 13 2 3 3 5 2 2" xfId="7030" xr:uid="{00000000-0005-0000-0000-0000FB260000}"/>
    <cellStyle name="Normal 13 2 3 3 5 2 2 2" xfId="48970" xr:uid="{00000000-0005-0000-0000-0000FC260000}"/>
    <cellStyle name="Normal 13 2 3 3 5 2 2 3" xfId="48971" xr:uid="{00000000-0005-0000-0000-0000FD260000}"/>
    <cellStyle name="Normal 13 2 3 3 5 2 3" xfId="7031" xr:uid="{00000000-0005-0000-0000-0000FE260000}"/>
    <cellStyle name="Normal 13 2 3 3 5 2 3 2" xfId="48972" xr:uid="{00000000-0005-0000-0000-0000FF260000}"/>
    <cellStyle name="Normal 13 2 3 3 5 2 4" xfId="7032" xr:uid="{00000000-0005-0000-0000-000000270000}"/>
    <cellStyle name="Normal 13 2 3 3 5 2 5" xfId="7033" xr:uid="{00000000-0005-0000-0000-000001270000}"/>
    <cellStyle name="Normal 13 2 3 3 5 2 6" xfId="7034" xr:uid="{00000000-0005-0000-0000-000002270000}"/>
    <cellStyle name="Normal 13 2 3 3 5 3" xfId="7035" xr:uid="{00000000-0005-0000-0000-000003270000}"/>
    <cellStyle name="Normal 13 2 3 3 5 3 2" xfId="48973" xr:uid="{00000000-0005-0000-0000-000004270000}"/>
    <cellStyle name="Normal 13 2 3 3 5 3 3" xfId="48974" xr:uid="{00000000-0005-0000-0000-000005270000}"/>
    <cellStyle name="Normal 13 2 3 3 5 4" xfId="7036" xr:uid="{00000000-0005-0000-0000-000006270000}"/>
    <cellStyle name="Normal 13 2 3 3 5 4 2" xfId="48975" xr:uid="{00000000-0005-0000-0000-000007270000}"/>
    <cellStyle name="Normal 13 2 3 3 5 5" xfId="7037" xr:uid="{00000000-0005-0000-0000-000008270000}"/>
    <cellStyle name="Normal 13 2 3 3 5 6" xfId="7038" xr:uid="{00000000-0005-0000-0000-000009270000}"/>
    <cellStyle name="Normal 13 2 3 3 5 7" xfId="7039" xr:uid="{00000000-0005-0000-0000-00000A270000}"/>
    <cellStyle name="Normal 13 2 3 3 6" xfId="7040" xr:uid="{00000000-0005-0000-0000-00000B270000}"/>
    <cellStyle name="Normal 13 2 3 3 6 2" xfId="7041" xr:uid="{00000000-0005-0000-0000-00000C270000}"/>
    <cellStyle name="Normal 13 2 3 3 6 2 2" xfId="48976" xr:uid="{00000000-0005-0000-0000-00000D270000}"/>
    <cellStyle name="Normal 13 2 3 3 6 2 3" xfId="48977" xr:uid="{00000000-0005-0000-0000-00000E270000}"/>
    <cellStyle name="Normal 13 2 3 3 6 3" xfId="7042" xr:uid="{00000000-0005-0000-0000-00000F270000}"/>
    <cellStyle name="Normal 13 2 3 3 6 3 2" xfId="48978" xr:uid="{00000000-0005-0000-0000-000010270000}"/>
    <cellStyle name="Normal 13 2 3 3 6 4" xfId="7043" xr:uid="{00000000-0005-0000-0000-000011270000}"/>
    <cellStyle name="Normal 13 2 3 3 6 5" xfId="7044" xr:uid="{00000000-0005-0000-0000-000012270000}"/>
    <cellStyle name="Normal 13 2 3 3 6 6" xfId="7045" xr:uid="{00000000-0005-0000-0000-000013270000}"/>
    <cellStyle name="Normal 13 2 3 3 7" xfId="7046" xr:uid="{00000000-0005-0000-0000-000014270000}"/>
    <cellStyle name="Normal 13 2 3 3 7 2" xfId="48979" xr:uid="{00000000-0005-0000-0000-000015270000}"/>
    <cellStyle name="Normal 13 2 3 3 7 3" xfId="48980" xr:uid="{00000000-0005-0000-0000-000016270000}"/>
    <cellStyle name="Normal 13 2 3 3 8" xfId="7047" xr:uid="{00000000-0005-0000-0000-000017270000}"/>
    <cellStyle name="Normal 13 2 3 3 8 2" xfId="48981" xr:uid="{00000000-0005-0000-0000-000018270000}"/>
    <cellStyle name="Normal 13 2 3 3 9" xfId="7048" xr:uid="{00000000-0005-0000-0000-000019270000}"/>
    <cellStyle name="Normal 13 2 3 4" xfId="7049" xr:uid="{00000000-0005-0000-0000-00001A270000}"/>
    <cellStyle name="Normal 13 2 3 4 10" xfId="7050" xr:uid="{00000000-0005-0000-0000-00001B270000}"/>
    <cellStyle name="Normal 13 2 3 4 11" xfId="7051" xr:uid="{00000000-0005-0000-0000-00001C270000}"/>
    <cellStyle name="Normal 13 2 3 4 12" xfId="7052" xr:uid="{00000000-0005-0000-0000-00001D270000}"/>
    <cellStyle name="Normal 13 2 3 4 13" xfId="7053" xr:uid="{00000000-0005-0000-0000-00001E270000}"/>
    <cellStyle name="Normal 13 2 3 4 14" xfId="7054" xr:uid="{00000000-0005-0000-0000-00001F270000}"/>
    <cellStyle name="Normal 13 2 3 4 2" xfId="7055" xr:uid="{00000000-0005-0000-0000-000020270000}"/>
    <cellStyle name="Normal 13 2 3 4 2 2" xfId="7056" xr:uid="{00000000-0005-0000-0000-000021270000}"/>
    <cellStyle name="Normal 13 2 3 4 2 2 2" xfId="7057" xr:uid="{00000000-0005-0000-0000-000022270000}"/>
    <cellStyle name="Normal 13 2 3 4 2 2 2 2" xfId="7058" xr:uid="{00000000-0005-0000-0000-000023270000}"/>
    <cellStyle name="Normal 13 2 3 4 2 2 2 2 2" xfId="48982" xr:uid="{00000000-0005-0000-0000-000024270000}"/>
    <cellStyle name="Normal 13 2 3 4 2 2 2 2 3" xfId="48983" xr:uid="{00000000-0005-0000-0000-000025270000}"/>
    <cellStyle name="Normal 13 2 3 4 2 2 2 3" xfId="7059" xr:uid="{00000000-0005-0000-0000-000026270000}"/>
    <cellStyle name="Normal 13 2 3 4 2 2 2 3 2" xfId="48984" xr:uid="{00000000-0005-0000-0000-000027270000}"/>
    <cellStyle name="Normal 13 2 3 4 2 2 2 4" xfId="7060" xr:uid="{00000000-0005-0000-0000-000028270000}"/>
    <cellStyle name="Normal 13 2 3 4 2 2 2 5" xfId="7061" xr:uid="{00000000-0005-0000-0000-000029270000}"/>
    <cellStyle name="Normal 13 2 3 4 2 2 2 6" xfId="7062" xr:uid="{00000000-0005-0000-0000-00002A270000}"/>
    <cellStyle name="Normal 13 2 3 4 2 2 3" xfId="7063" xr:uid="{00000000-0005-0000-0000-00002B270000}"/>
    <cellStyle name="Normal 13 2 3 4 2 2 3 2" xfId="48985" xr:uid="{00000000-0005-0000-0000-00002C270000}"/>
    <cellStyle name="Normal 13 2 3 4 2 2 3 3" xfId="48986" xr:uid="{00000000-0005-0000-0000-00002D270000}"/>
    <cellStyle name="Normal 13 2 3 4 2 2 4" xfId="7064" xr:uid="{00000000-0005-0000-0000-00002E270000}"/>
    <cellStyle name="Normal 13 2 3 4 2 2 4 2" xfId="48987" xr:uid="{00000000-0005-0000-0000-00002F270000}"/>
    <cellStyle name="Normal 13 2 3 4 2 2 5" xfId="7065" xr:uid="{00000000-0005-0000-0000-000030270000}"/>
    <cellStyle name="Normal 13 2 3 4 2 2 6" xfId="7066" xr:uid="{00000000-0005-0000-0000-000031270000}"/>
    <cellStyle name="Normal 13 2 3 4 2 2 7" xfId="7067" xr:uid="{00000000-0005-0000-0000-000032270000}"/>
    <cellStyle name="Normal 13 2 3 4 2 3" xfId="7068" xr:uid="{00000000-0005-0000-0000-000033270000}"/>
    <cellStyle name="Normal 13 2 3 4 2 3 2" xfId="7069" xr:uid="{00000000-0005-0000-0000-000034270000}"/>
    <cellStyle name="Normal 13 2 3 4 2 3 2 2" xfId="48988" xr:uid="{00000000-0005-0000-0000-000035270000}"/>
    <cellStyle name="Normal 13 2 3 4 2 3 2 3" xfId="48989" xr:uid="{00000000-0005-0000-0000-000036270000}"/>
    <cellStyle name="Normal 13 2 3 4 2 3 3" xfId="7070" xr:uid="{00000000-0005-0000-0000-000037270000}"/>
    <cellStyle name="Normal 13 2 3 4 2 3 3 2" xfId="48990" xr:uid="{00000000-0005-0000-0000-000038270000}"/>
    <cellStyle name="Normal 13 2 3 4 2 3 4" xfId="7071" xr:uid="{00000000-0005-0000-0000-000039270000}"/>
    <cellStyle name="Normal 13 2 3 4 2 3 5" xfId="7072" xr:uid="{00000000-0005-0000-0000-00003A270000}"/>
    <cellStyle name="Normal 13 2 3 4 2 3 6" xfId="7073" xr:uid="{00000000-0005-0000-0000-00003B270000}"/>
    <cellStyle name="Normal 13 2 3 4 2 4" xfId="7074" xr:uid="{00000000-0005-0000-0000-00003C270000}"/>
    <cellStyle name="Normal 13 2 3 4 2 4 2" xfId="48991" xr:uid="{00000000-0005-0000-0000-00003D270000}"/>
    <cellStyle name="Normal 13 2 3 4 2 4 3" xfId="48992" xr:uid="{00000000-0005-0000-0000-00003E270000}"/>
    <cellStyle name="Normal 13 2 3 4 2 5" xfId="7075" xr:uid="{00000000-0005-0000-0000-00003F270000}"/>
    <cellStyle name="Normal 13 2 3 4 2 5 2" xfId="48993" xr:uid="{00000000-0005-0000-0000-000040270000}"/>
    <cellStyle name="Normal 13 2 3 4 2 6" xfId="7076" xr:uid="{00000000-0005-0000-0000-000041270000}"/>
    <cellStyle name="Normal 13 2 3 4 2 7" xfId="7077" xr:uid="{00000000-0005-0000-0000-000042270000}"/>
    <cellStyle name="Normal 13 2 3 4 2 8" xfId="7078" xr:uid="{00000000-0005-0000-0000-000043270000}"/>
    <cellStyle name="Normal 13 2 3 4 2 9" xfId="7079" xr:uid="{00000000-0005-0000-0000-000044270000}"/>
    <cellStyle name="Normal 13 2 3 4 3" xfId="7080" xr:uid="{00000000-0005-0000-0000-000045270000}"/>
    <cellStyle name="Normal 13 2 3 4 3 2" xfId="7081" xr:uid="{00000000-0005-0000-0000-000046270000}"/>
    <cellStyle name="Normal 13 2 3 4 3 2 2" xfId="7082" xr:uid="{00000000-0005-0000-0000-000047270000}"/>
    <cellStyle name="Normal 13 2 3 4 3 2 2 2" xfId="7083" xr:uid="{00000000-0005-0000-0000-000048270000}"/>
    <cellStyle name="Normal 13 2 3 4 3 2 2 2 2" xfId="48994" xr:uid="{00000000-0005-0000-0000-000049270000}"/>
    <cellStyle name="Normal 13 2 3 4 3 2 2 2 3" xfId="48995" xr:uid="{00000000-0005-0000-0000-00004A270000}"/>
    <cellStyle name="Normal 13 2 3 4 3 2 2 3" xfId="7084" xr:uid="{00000000-0005-0000-0000-00004B270000}"/>
    <cellStyle name="Normal 13 2 3 4 3 2 2 3 2" xfId="48996" xr:uid="{00000000-0005-0000-0000-00004C270000}"/>
    <cellStyle name="Normal 13 2 3 4 3 2 2 4" xfId="7085" xr:uid="{00000000-0005-0000-0000-00004D270000}"/>
    <cellStyle name="Normal 13 2 3 4 3 2 2 5" xfId="7086" xr:uid="{00000000-0005-0000-0000-00004E270000}"/>
    <cellStyle name="Normal 13 2 3 4 3 2 2 6" xfId="7087" xr:uid="{00000000-0005-0000-0000-00004F270000}"/>
    <cellStyle name="Normal 13 2 3 4 3 2 3" xfId="7088" xr:uid="{00000000-0005-0000-0000-000050270000}"/>
    <cellStyle name="Normal 13 2 3 4 3 2 3 2" xfId="48997" xr:uid="{00000000-0005-0000-0000-000051270000}"/>
    <cellStyle name="Normal 13 2 3 4 3 2 3 3" xfId="48998" xr:uid="{00000000-0005-0000-0000-000052270000}"/>
    <cellStyle name="Normal 13 2 3 4 3 2 4" xfId="7089" xr:uid="{00000000-0005-0000-0000-000053270000}"/>
    <cellStyle name="Normal 13 2 3 4 3 2 4 2" xfId="48999" xr:uid="{00000000-0005-0000-0000-000054270000}"/>
    <cellStyle name="Normal 13 2 3 4 3 2 5" xfId="7090" xr:uid="{00000000-0005-0000-0000-000055270000}"/>
    <cellStyle name="Normal 13 2 3 4 3 2 6" xfId="7091" xr:uid="{00000000-0005-0000-0000-000056270000}"/>
    <cellStyle name="Normal 13 2 3 4 3 2 7" xfId="7092" xr:uid="{00000000-0005-0000-0000-000057270000}"/>
    <cellStyle name="Normal 13 2 3 4 3 3" xfId="7093" xr:uid="{00000000-0005-0000-0000-000058270000}"/>
    <cellStyle name="Normal 13 2 3 4 3 3 2" xfId="7094" xr:uid="{00000000-0005-0000-0000-000059270000}"/>
    <cellStyle name="Normal 13 2 3 4 3 3 2 2" xfId="49000" xr:uid="{00000000-0005-0000-0000-00005A270000}"/>
    <cellStyle name="Normal 13 2 3 4 3 3 2 3" xfId="49001" xr:uid="{00000000-0005-0000-0000-00005B270000}"/>
    <cellStyle name="Normal 13 2 3 4 3 3 3" xfId="7095" xr:uid="{00000000-0005-0000-0000-00005C270000}"/>
    <cellStyle name="Normal 13 2 3 4 3 3 3 2" xfId="49002" xr:uid="{00000000-0005-0000-0000-00005D270000}"/>
    <cellStyle name="Normal 13 2 3 4 3 3 4" xfId="7096" xr:uid="{00000000-0005-0000-0000-00005E270000}"/>
    <cellStyle name="Normal 13 2 3 4 3 3 5" xfId="7097" xr:uid="{00000000-0005-0000-0000-00005F270000}"/>
    <cellStyle name="Normal 13 2 3 4 3 3 6" xfId="7098" xr:uid="{00000000-0005-0000-0000-000060270000}"/>
    <cellStyle name="Normal 13 2 3 4 3 4" xfId="7099" xr:uid="{00000000-0005-0000-0000-000061270000}"/>
    <cellStyle name="Normal 13 2 3 4 3 4 2" xfId="49003" xr:uid="{00000000-0005-0000-0000-000062270000}"/>
    <cellStyle name="Normal 13 2 3 4 3 4 3" xfId="49004" xr:uid="{00000000-0005-0000-0000-000063270000}"/>
    <cellStyle name="Normal 13 2 3 4 3 5" xfId="7100" xr:uid="{00000000-0005-0000-0000-000064270000}"/>
    <cellStyle name="Normal 13 2 3 4 3 5 2" xfId="49005" xr:uid="{00000000-0005-0000-0000-000065270000}"/>
    <cellStyle name="Normal 13 2 3 4 3 6" xfId="7101" xr:uid="{00000000-0005-0000-0000-000066270000}"/>
    <cellStyle name="Normal 13 2 3 4 3 7" xfId="7102" xr:uid="{00000000-0005-0000-0000-000067270000}"/>
    <cellStyle name="Normal 13 2 3 4 3 8" xfId="7103" xr:uid="{00000000-0005-0000-0000-000068270000}"/>
    <cellStyle name="Normal 13 2 3 4 4" xfId="7104" xr:uid="{00000000-0005-0000-0000-000069270000}"/>
    <cellStyle name="Normal 13 2 3 4 4 2" xfId="7105" xr:uid="{00000000-0005-0000-0000-00006A270000}"/>
    <cellStyle name="Normal 13 2 3 4 4 2 2" xfId="7106" xr:uid="{00000000-0005-0000-0000-00006B270000}"/>
    <cellStyle name="Normal 13 2 3 4 4 2 2 2" xfId="49006" xr:uid="{00000000-0005-0000-0000-00006C270000}"/>
    <cellStyle name="Normal 13 2 3 4 4 2 2 3" xfId="49007" xr:uid="{00000000-0005-0000-0000-00006D270000}"/>
    <cellStyle name="Normal 13 2 3 4 4 2 3" xfId="7107" xr:uid="{00000000-0005-0000-0000-00006E270000}"/>
    <cellStyle name="Normal 13 2 3 4 4 2 3 2" xfId="49008" xr:uid="{00000000-0005-0000-0000-00006F270000}"/>
    <cellStyle name="Normal 13 2 3 4 4 2 4" xfId="7108" xr:uid="{00000000-0005-0000-0000-000070270000}"/>
    <cellStyle name="Normal 13 2 3 4 4 2 5" xfId="7109" xr:uid="{00000000-0005-0000-0000-000071270000}"/>
    <cellStyle name="Normal 13 2 3 4 4 2 6" xfId="7110" xr:uid="{00000000-0005-0000-0000-000072270000}"/>
    <cellStyle name="Normal 13 2 3 4 4 3" xfId="7111" xr:uid="{00000000-0005-0000-0000-000073270000}"/>
    <cellStyle name="Normal 13 2 3 4 4 3 2" xfId="49009" xr:uid="{00000000-0005-0000-0000-000074270000}"/>
    <cellStyle name="Normal 13 2 3 4 4 3 3" xfId="49010" xr:uid="{00000000-0005-0000-0000-000075270000}"/>
    <cellStyle name="Normal 13 2 3 4 4 4" xfId="7112" xr:uid="{00000000-0005-0000-0000-000076270000}"/>
    <cellStyle name="Normal 13 2 3 4 4 4 2" xfId="49011" xr:uid="{00000000-0005-0000-0000-000077270000}"/>
    <cellStyle name="Normal 13 2 3 4 4 5" xfId="7113" xr:uid="{00000000-0005-0000-0000-000078270000}"/>
    <cellStyle name="Normal 13 2 3 4 4 6" xfId="7114" xr:uid="{00000000-0005-0000-0000-000079270000}"/>
    <cellStyle name="Normal 13 2 3 4 4 7" xfId="7115" xr:uid="{00000000-0005-0000-0000-00007A270000}"/>
    <cellStyle name="Normal 13 2 3 4 5" xfId="7116" xr:uid="{00000000-0005-0000-0000-00007B270000}"/>
    <cellStyle name="Normal 13 2 3 4 5 2" xfId="7117" xr:uid="{00000000-0005-0000-0000-00007C270000}"/>
    <cellStyle name="Normal 13 2 3 4 5 2 2" xfId="49012" xr:uid="{00000000-0005-0000-0000-00007D270000}"/>
    <cellStyle name="Normal 13 2 3 4 5 2 3" xfId="49013" xr:uid="{00000000-0005-0000-0000-00007E270000}"/>
    <cellStyle name="Normal 13 2 3 4 5 3" xfId="7118" xr:uid="{00000000-0005-0000-0000-00007F270000}"/>
    <cellStyle name="Normal 13 2 3 4 5 3 2" xfId="49014" xr:uid="{00000000-0005-0000-0000-000080270000}"/>
    <cellStyle name="Normal 13 2 3 4 5 4" xfId="7119" xr:uid="{00000000-0005-0000-0000-000081270000}"/>
    <cellStyle name="Normal 13 2 3 4 5 5" xfId="7120" xr:uid="{00000000-0005-0000-0000-000082270000}"/>
    <cellStyle name="Normal 13 2 3 4 5 6" xfId="7121" xr:uid="{00000000-0005-0000-0000-000083270000}"/>
    <cellStyle name="Normal 13 2 3 4 6" xfId="7122" xr:uid="{00000000-0005-0000-0000-000084270000}"/>
    <cellStyle name="Normal 13 2 3 4 6 2" xfId="49015" xr:uid="{00000000-0005-0000-0000-000085270000}"/>
    <cellStyle name="Normal 13 2 3 4 6 3" xfId="49016" xr:uid="{00000000-0005-0000-0000-000086270000}"/>
    <cellStyle name="Normal 13 2 3 4 7" xfId="7123" xr:uid="{00000000-0005-0000-0000-000087270000}"/>
    <cellStyle name="Normal 13 2 3 4 7 2" xfId="49017" xr:uid="{00000000-0005-0000-0000-000088270000}"/>
    <cellStyle name="Normal 13 2 3 4 8" xfId="7124" xr:uid="{00000000-0005-0000-0000-000089270000}"/>
    <cellStyle name="Normal 13 2 3 4 9" xfId="7125" xr:uid="{00000000-0005-0000-0000-00008A270000}"/>
    <cellStyle name="Normal 13 2 3 5" xfId="7126" xr:uid="{00000000-0005-0000-0000-00008B270000}"/>
    <cellStyle name="Normal 13 2 3 5 10" xfId="7127" xr:uid="{00000000-0005-0000-0000-00008C270000}"/>
    <cellStyle name="Normal 13 2 3 5 11" xfId="7128" xr:uid="{00000000-0005-0000-0000-00008D270000}"/>
    <cellStyle name="Normal 13 2 3 5 12" xfId="7129" xr:uid="{00000000-0005-0000-0000-00008E270000}"/>
    <cellStyle name="Normal 13 2 3 5 13" xfId="7130" xr:uid="{00000000-0005-0000-0000-00008F270000}"/>
    <cellStyle name="Normal 13 2 3 5 14" xfId="7131" xr:uid="{00000000-0005-0000-0000-000090270000}"/>
    <cellStyle name="Normal 13 2 3 5 2" xfId="7132" xr:uid="{00000000-0005-0000-0000-000091270000}"/>
    <cellStyle name="Normal 13 2 3 5 2 2" xfId="7133" xr:uid="{00000000-0005-0000-0000-000092270000}"/>
    <cellStyle name="Normal 13 2 3 5 2 2 2" xfId="7134" xr:uid="{00000000-0005-0000-0000-000093270000}"/>
    <cellStyle name="Normal 13 2 3 5 2 2 2 2" xfId="7135" xr:uid="{00000000-0005-0000-0000-000094270000}"/>
    <cellStyle name="Normal 13 2 3 5 2 2 2 2 2" xfId="49018" xr:uid="{00000000-0005-0000-0000-000095270000}"/>
    <cellStyle name="Normal 13 2 3 5 2 2 2 2 3" xfId="49019" xr:uid="{00000000-0005-0000-0000-000096270000}"/>
    <cellStyle name="Normal 13 2 3 5 2 2 2 3" xfId="7136" xr:uid="{00000000-0005-0000-0000-000097270000}"/>
    <cellStyle name="Normal 13 2 3 5 2 2 2 3 2" xfId="49020" xr:uid="{00000000-0005-0000-0000-000098270000}"/>
    <cellStyle name="Normal 13 2 3 5 2 2 2 4" xfId="7137" xr:uid="{00000000-0005-0000-0000-000099270000}"/>
    <cellStyle name="Normal 13 2 3 5 2 2 2 5" xfId="7138" xr:uid="{00000000-0005-0000-0000-00009A270000}"/>
    <cellStyle name="Normal 13 2 3 5 2 2 2 6" xfId="7139" xr:uid="{00000000-0005-0000-0000-00009B270000}"/>
    <cellStyle name="Normal 13 2 3 5 2 2 3" xfId="7140" xr:uid="{00000000-0005-0000-0000-00009C270000}"/>
    <cellStyle name="Normal 13 2 3 5 2 2 3 2" xfId="49021" xr:uid="{00000000-0005-0000-0000-00009D270000}"/>
    <cellStyle name="Normal 13 2 3 5 2 2 3 3" xfId="49022" xr:uid="{00000000-0005-0000-0000-00009E270000}"/>
    <cellStyle name="Normal 13 2 3 5 2 2 4" xfId="7141" xr:uid="{00000000-0005-0000-0000-00009F270000}"/>
    <cellStyle name="Normal 13 2 3 5 2 2 4 2" xfId="49023" xr:uid="{00000000-0005-0000-0000-0000A0270000}"/>
    <cellStyle name="Normal 13 2 3 5 2 2 5" xfId="7142" xr:uid="{00000000-0005-0000-0000-0000A1270000}"/>
    <cellStyle name="Normal 13 2 3 5 2 2 6" xfId="7143" xr:uid="{00000000-0005-0000-0000-0000A2270000}"/>
    <cellStyle name="Normal 13 2 3 5 2 2 7" xfId="7144" xr:uid="{00000000-0005-0000-0000-0000A3270000}"/>
    <cellStyle name="Normal 13 2 3 5 2 3" xfId="7145" xr:uid="{00000000-0005-0000-0000-0000A4270000}"/>
    <cellStyle name="Normal 13 2 3 5 2 3 2" xfId="7146" xr:uid="{00000000-0005-0000-0000-0000A5270000}"/>
    <cellStyle name="Normal 13 2 3 5 2 3 2 2" xfId="49024" xr:uid="{00000000-0005-0000-0000-0000A6270000}"/>
    <cellStyle name="Normal 13 2 3 5 2 3 2 3" xfId="49025" xr:uid="{00000000-0005-0000-0000-0000A7270000}"/>
    <cellStyle name="Normal 13 2 3 5 2 3 3" xfId="7147" xr:uid="{00000000-0005-0000-0000-0000A8270000}"/>
    <cellStyle name="Normal 13 2 3 5 2 3 3 2" xfId="49026" xr:uid="{00000000-0005-0000-0000-0000A9270000}"/>
    <cellStyle name="Normal 13 2 3 5 2 3 4" xfId="7148" xr:uid="{00000000-0005-0000-0000-0000AA270000}"/>
    <cellStyle name="Normal 13 2 3 5 2 3 5" xfId="7149" xr:uid="{00000000-0005-0000-0000-0000AB270000}"/>
    <cellStyle name="Normal 13 2 3 5 2 3 6" xfId="7150" xr:uid="{00000000-0005-0000-0000-0000AC270000}"/>
    <cellStyle name="Normal 13 2 3 5 2 4" xfId="7151" xr:uid="{00000000-0005-0000-0000-0000AD270000}"/>
    <cellStyle name="Normal 13 2 3 5 2 4 2" xfId="49027" xr:uid="{00000000-0005-0000-0000-0000AE270000}"/>
    <cellStyle name="Normal 13 2 3 5 2 4 3" xfId="49028" xr:uid="{00000000-0005-0000-0000-0000AF270000}"/>
    <cellStyle name="Normal 13 2 3 5 2 5" xfId="7152" xr:uid="{00000000-0005-0000-0000-0000B0270000}"/>
    <cellStyle name="Normal 13 2 3 5 2 5 2" xfId="49029" xr:uid="{00000000-0005-0000-0000-0000B1270000}"/>
    <cellStyle name="Normal 13 2 3 5 2 6" xfId="7153" xr:uid="{00000000-0005-0000-0000-0000B2270000}"/>
    <cellStyle name="Normal 13 2 3 5 2 7" xfId="7154" xr:uid="{00000000-0005-0000-0000-0000B3270000}"/>
    <cellStyle name="Normal 13 2 3 5 2 8" xfId="7155" xr:uid="{00000000-0005-0000-0000-0000B4270000}"/>
    <cellStyle name="Normal 13 2 3 5 2 9" xfId="7156" xr:uid="{00000000-0005-0000-0000-0000B5270000}"/>
    <cellStyle name="Normal 13 2 3 5 3" xfId="7157" xr:uid="{00000000-0005-0000-0000-0000B6270000}"/>
    <cellStyle name="Normal 13 2 3 5 3 2" xfId="7158" xr:uid="{00000000-0005-0000-0000-0000B7270000}"/>
    <cellStyle name="Normal 13 2 3 5 3 2 2" xfId="7159" xr:uid="{00000000-0005-0000-0000-0000B8270000}"/>
    <cellStyle name="Normal 13 2 3 5 3 2 2 2" xfId="7160" xr:uid="{00000000-0005-0000-0000-0000B9270000}"/>
    <cellStyle name="Normal 13 2 3 5 3 2 2 2 2" xfId="49030" xr:uid="{00000000-0005-0000-0000-0000BA270000}"/>
    <cellStyle name="Normal 13 2 3 5 3 2 2 2 3" xfId="49031" xr:uid="{00000000-0005-0000-0000-0000BB270000}"/>
    <cellStyle name="Normal 13 2 3 5 3 2 2 3" xfId="7161" xr:uid="{00000000-0005-0000-0000-0000BC270000}"/>
    <cellStyle name="Normal 13 2 3 5 3 2 2 3 2" xfId="49032" xr:uid="{00000000-0005-0000-0000-0000BD270000}"/>
    <cellStyle name="Normal 13 2 3 5 3 2 2 4" xfId="7162" xr:uid="{00000000-0005-0000-0000-0000BE270000}"/>
    <cellStyle name="Normal 13 2 3 5 3 2 2 5" xfId="7163" xr:uid="{00000000-0005-0000-0000-0000BF270000}"/>
    <cellStyle name="Normal 13 2 3 5 3 2 2 6" xfId="7164" xr:uid="{00000000-0005-0000-0000-0000C0270000}"/>
    <cellStyle name="Normal 13 2 3 5 3 2 3" xfId="7165" xr:uid="{00000000-0005-0000-0000-0000C1270000}"/>
    <cellStyle name="Normal 13 2 3 5 3 2 3 2" xfId="49033" xr:uid="{00000000-0005-0000-0000-0000C2270000}"/>
    <cellStyle name="Normal 13 2 3 5 3 2 3 3" xfId="49034" xr:uid="{00000000-0005-0000-0000-0000C3270000}"/>
    <cellStyle name="Normal 13 2 3 5 3 2 4" xfId="7166" xr:uid="{00000000-0005-0000-0000-0000C4270000}"/>
    <cellStyle name="Normal 13 2 3 5 3 2 4 2" xfId="49035" xr:uid="{00000000-0005-0000-0000-0000C5270000}"/>
    <cellStyle name="Normal 13 2 3 5 3 2 5" xfId="7167" xr:uid="{00000000-0005-0000-0000-0000C6270000}"/>
    <cellStyle name="Normal 13 2 3 5 3 2 6" xfId="7168" xr:uid="{00000000-0005-0000-0000-0000C7270000}"/>
    <cellStyle name="Normal 13 2 3 5 3 2 7" xfId="7169" xr:uid="{00000000-0005-0000-0000-0000C8270000}"/>
    <cellStyle name="Normal 13 2 3 5 3 3" xfId="7170" xr:uid="{00000000-0005-0000-0000-0000C9270000}"/>
    <cellStyle name="Normal 13 2 3 5 3 3 2" xfId="7171" xr:uid="{00000000-0005-0000-0000-0000CA270000}"/>
    <cellStyle name="Normal 13 2 3 5 3 3 2 2" xfId="49036" xr:uid="{00000000-0005-0000-0000-0000CB270000}"/>
    <cellStyle name="Normal 13 2 3 5 3 3 2 3" xfId="49037" xr:uid="{00000000-0005-0000-0000-0000CC270000}"/>
    <cellStyle name="Normal 13 2 3 5 3 3 3" xfId="7172" xr:uid="{00000000-0005-0000-0000-0000CD270000}"/>
    <cellStyle name="Normal 13 2 3 5 3 3 3 2" xfId="49038" xr:uid="{00000000-0005-0000-0000-0000CE270000}"/>
    <cellStyle name="Normal 13 2 3 5 3 3 4" xfId="7173" xr:uid="{00000000-0005-0000-0000-0000CF270000}"/>
    <cellStyle name="Normal 13 2 3 5 3 3 5" xfId="7174" xr:uid="{00000000-0005-0000-0000-0000D0270000}"/>
    <cellStyle name="Normal 13 2 3 5 3 3 6" xfId="7175" xr:uid="{00000000-0005-0000-0000-0000D1270000}"/>
    <cellStyle name="Normal 13 2 3 5 3 4" xfId="7176" xr:uid="{00000000-0005-0000-0000-0000D2270000}"/>
    <cellStyle name="Normal 13 2 3 5 3 4 2" xfId="49039" xr:uid="{00000000-0005-0000-0000-0000D3270000}"/>
    <cellStyle name="Normal 13 2 3 5 3 4 3" xfId="49040" xr:uid="{00000000-0005-0000-0000-0000D4270000}"/>
    <cellStyle name="Normal 13 2 3 5 3 5" xfId="7177" xr:uid="{00000000-0005-0000-0000-0000D5270000}"/>
    <cellStyle name="Normal 13 2 3 5 3 5 2" xfId="49041" xr:uid="{00000000-0005-0000-0000-0000D6270000}"/>
    <cellStyle name="Normal 13 2 3 5 3 6" xfId="7178" xr:uid="{00000000-0005-0000-0000-0000D7270000}"/>
    <cellStyle name="Normal 13 2 3 5 3 7" xfId="7179" xr:uid="{00000000-0005-0000-0000-0000D8270000}"/>
    <cellStyle name="Normal 13 2 3 5 3 8" xfId="7180" xr:uid="{00000000-0005-0000-0000-0000D9270000}"/>
    <cellStyle name="Normal 13 2 3 5 4" xfId="7181" xr:uid="{00000000-0005-0000-0000-0000DA270000}"/>
    <cellStyle name="Normal 13 2 3 5 4 2" xfId="7182" xr:uid="{00000000-0005-0000-0000-0000DB270000}"/>
    <cellStyle name="Normal 13 2 3 5 4 2 2" xfId="7183" xr:uid="{00000000-0005-0000-0000-0000DC270000}"/>
    <cellStyle name="Normal 13 2 3 5 4 2 2 2" xfId="49042" xr:uid="{00000000-0005-0000-0000-0000DD270000}"/>
    <cellStyle name="Normal 13 2 3 5 4 2 2 3" xfId="49043" xr:uid="{00000000-0005-0000-0000-0000DE270000}"/>
    <cellStyle name="Normal 13 2 3 5 4 2 3" xfId="7184" xr:uid="{00000000-0005-0000-0000-0000DF270000}"/>
    <cellStyle name="Normal 13 2 3 5 4 2 3 2" xfId="49044" xr:uid="{00000000-0005-0000-0000-0000E0270000}"/>
    <cellStyle name="Normal 13 2 3 5 4 2 4" xfId="7185" xr:uid="{00000000-0005-0000-0000-0000E1270000}"/>
    <cellStyle name="Normal 13 2 3 5 4 2 5" xfId="7186" xr:uid="{00000000-0005-0000-0000-0000E2270000}"/>
    <cellStyle name="Normal 13 2 3 5 4 2 6" xfId="7187" xr:uid="{00000000-0005-0000-0000-0000E3270000}"/>
    <cellStyle name="Normal 13 2 3 5 4 3" xfId="7188" xr:uid="{00000000-0005-0000-0000-0000E4270000}"/>
    <cellStyle name="Normal 13 2 3 5 4 3 2" xfId="49045" xr:uid="{00000000-0005-0000-0000-0000E5270000}"/>
    <cellStyle name="Normal 13 2 3 5 4 3 3" xfId="49046" xr:uid="{00000000-0005-0000-0000-0000E6270000}"/>
    <cellStyle name="Normal 13 2 3 5 4 4" xfId="7189" xr:uid="{00000000-0005-0000-0000-0000E7270000}"/>
    <cellStyle name="Normal 13 2 3 5 4 4 2" xfId="49047" xr:uid="{00000000-0005-0000-0000-0000E8270000}"/>
    <cellStyle name="Normal 13 2 3 5 4 5" xfId="7190" xr:uid="{00000000-0005-0000-0000-0000E9270000}"/>
    <cellStyle name="Normal 13 2 3 5 4 6" xfId="7191" xr:uid="{00000000-0005-0000-0000-0000EA270000}"/>
    <cellStyle name="Normal 13 2 3 5 4 7" xfId="7192" xr:uid="{00000000-0005-0000-0000-0000EB270000}"/>
    <cellStyle name="Normal 13 2 3 5 5" xfId="7193" xr:uid="{00000000-0005-0000-0000-0000EC270000}"/>
    <cellStyle name="Normal 13 2 3 5 5 2" xfId="7194" xr:uid="{00000000-0005-0000-0000-0000ED270000}"/>
    <cellStyle name="Normal 13 2 3 5 5 2 2" xfId="49048" xr:uid="{00000000-0005-0000-0000-0000EE270000}"/>
    <cellStyle name="Normal 13 2 3 5 5 2 3" xfId="49049" xr:uid="{00000000-0005-0000-0000-0000EF270000}"/>
    <cellStyle name="Normal 13 2 3 5 5 3" xfId="7195" xr:uid="{00000000-0005-0000-0000-0000F0270000}"/>
    <cellStyle name="Normal 13 2 3 5 5 3 2" xfId="49050" xr:uid="{00000000-0005-0000-0000-0000F1270000}"/>
    <cellStyle name="Normal 13 2 3 5 5 4" xfId="7196" xr:uid="{00000000-0005-0000-0000-0000F2270000}"/>
    <cellStyle name="Normal 13 2 3 5 5 5" xfId="7197" xr:uid="{00000000-0005-0000-0000-0000F3270000}"/>
    <cellStyle name="Normal 13 2 3 5 5 6" xfId="7198" xr:uid="{00000000-0005-0000-0000-0000F4270000}"/>
    <cellStyle name="Normal 13 2 3 5 6" xfId="7199" xr:uid="{00000000-0005-0000-0000-0000F5270000}"/>
    <cellStyle name="Normal 13 2 3 5 6 2" xfId="49051" xr:uid="{00000000-0005-0000-0000-0000F6270000}"/>
    <cellStyle name="Normal 13 2 3 5 6 3" xfId="49052" xr:uid="{00000000-0005-0000-0000-0000F7270000}"/>
    <cellStyle name="Normal 13 2 3 5 7" xfId="7200" xr:uid="{00000000-0005-0000-0000-0000F8270000}"/>
    <cellStyle name="Normal 13 2 3 5 7 2" xfId="49053" xr:uid="{00000000-0005-0000-0000-0000F9270000}"/>
    <cellStyle name="Normal 13 2 3 5 8" xfId="7201" xr:uid="{00000000-0005-0000-0000-0000FA270000}"/>
    <cellStyle name="Normal 13 2 3 5 9" xfId="7202" xr:uid="{00000000-0005-0000-0000-0000FB270000}"/>
    <cellStyle name="Normal 13 2 3 6" xfId="7203" xr:uid="{00000000-0005-0000-0000-0000FC270000}"/>
    <cellStyle name="Normal 13 2 3 6 10" xfId="7204" xr:uid="{00000000-0005-0000-0000-0000FD270000}"/>
    <cellStyle name="Normal 13 2 3 6 11" xfId="7205" xr:uid="{00000000-0005-0000-0000-0000FE270000}"/>
    <cellStyle name="Normal 13 2 3 6 12" xfId="7206" xr:uid="{00000000-0005-0000-0000-0000FF270000}"/>
    <cellStyle name="Normal 13 2 3 6 13" xfId="7207" xr:uid="{00000000-0005-0000-0000-000000280000}"/>
    <cellStyle name="Normal 13 2 3 6 2" xfId="7208" xr:uid="{00000000-0005-0000-0000-000001280000}"/>
    <cellStyle name="Normal 13 2 3 6 2 2" xfId="7209" xr:uid="{00000000-0005-0000-0000-000002280000}"/>
    <cellStyle name="Normal 13 2 3 6 2 2 2" xfId="7210" xr:uid="{00000000-0005-0000-0000-000003280000}"/>
    <cellStyle name="Normal 13 2 3 6 2 2 2 2" xfId="7211" xr:uid="{00000000-0005-0000-0000-000004280000}"/>
    <cellStyle name="Normal 13 2 3 6 2 2 2 2 2" xfId="49054" xr:uid="{00000000-0005-0000-0000-000005280000}"/>
    <cellStyle name="Normal 13 2 3 6 2 2 2 2 3" xfId="49055" xr:uid="{00000000-0005-0000-0000-000006280000}"/>
    <cellStyle name="Normal 13 2 3 6 2 2 2 3" xfId="7212" xr:uid="{00000000-0005-0000-0000-000007280000}"/>
    <cellStyle name="Normal 13 2 3 6 2 2 2 3 2" xfId="49056" xr:uid="{00000000-0005-0000-0000-000008280000}"/>
    <cellStyle name="Normal 13 2 3 6 2 2 2 4" xfId="7213" xr:uid="{00000000-0005-0000-0000-000009280000}"/>
    <cellStyle name="Normal 13 2 3 6 2 2 2 5" xfId="7214" xr:uid="{00000000-0005-0000-0000-00000A280000}"/>
    <cellStyle name="Normal 13 2 3 6 2 2 2 6" xfId="7215" xr:uid="{00000000-0005-0000-0000-00000B280000}"/>
    <cellStyle name="Normal 13 2 3 6 2 2 3" xfId="7216" xr:uid="{00000000-0005-0000-0000-00000C280000}"/>
    <cellStyle name="Normal 13 2 3 6 2 2 3 2" xfId="49057" xr:uid="{00000000-0005-0000-0000-00000D280000}"/>
    <cellStyle name="Normal 13 2 3 6 2 2 3 3" xfId="49058" xr:uid="{00000000-0005-0000-0000-00000E280000}"/>
    <cellStyle name="Normal 13 2 3 6 2 2 4" xfId="7217" xr:uid="{00000000-0005-0000-0000-00000F280000}"/>
    <cellStyle name="Normal 13 2 3 6 2 2 4 2" xfId="49059" xr:uid="{00000000-0005-0000-0000-000010280000}"/>
    <cellStyle name="Normal 13 2 3 6 2 2 5" xfId="7218" xr:uid="{00000000-0005-0000-0000-000011280000}"/>
    <cellStyle name="Normal 13 2 3 6 2 2 6" xfId="7219" xr:uid="{00000000-0005-0000-0000-000012280000}"/>
    <cellStyle name="Normal 13 2 3 6 2 2 7" xfId="7220" xr:uid="{00000000-0005-0000-0000-000013280000}"/>
    <cellStyle name="Normal 13 2 3 6 2 3" xfId="7221" xr:uid="{00000000-0005-0000-0000-000014280000}"/>
    <cellStyle name="Normal 13 2 3 6 2 3 2" xfId="7222" xr:uid="{00000000-0005-0000-0000-000015280000}"/>
    <cellStyle name="Normal 13 2 3 6 2 3 2 2" xfId="49060" xr:uid="{00000000-0005-0000-0000-000016280000}"/>
    <cellStyle name="Normal 13 2 3 6 2 3 2 3" xfId="49061" xr:uid="{00000000-0005-0000-0000-000017280000}"/>
    <cellStyle name="Normal 13 2 3 6 2 3 3" xfId="7223" xr:uid="{00000000-0005-0000-0000-000018280000}"/>
    <cellStyle name="Normal 13 2 3 6 2 3 3 2" xfId="49062" xr:uid="{00000000-0005-0000-0000-000019280000}"/>
    <cellStyle name="Normal 13 2 3 6 2 3 4" xfId="7224" xr:uid="{00000000-0005-0000-0000-00001A280000}"/>
    <cellStyle name="Normal 13 2 3 6 2 3 5" xfId="7225" xr:uid="{00000000-0005-0000-0000-00001B280000}"/>
    <cellStyle name="Normal 13 2 3 6 2 3 6" xfId="7226" xr:uid="{00000000-0005-0000-0000-00001C280000}"/>
    <cellStyle name="Normal 13 2 3 6 2 4" xfId="7227" xr:uid="{00000000-0005-0000-0000-00001D280000}"/>
    <cellStyle name="Normal 13 2 3 6 2 4 2" xfId="49063" xr:uid="{00000000-0005-0000-0000-00001E280000}"/>
    <cellStyle name="Normal 13 2 3 6 2 4 3" xfId="49064" xr:uid="{00000000-0005-0000-0000-00001F280000}"/>
    <cellStyle name="Normal 13 2 3 6 2 5" xfId="7228" xr:uid="{00000000-0005-0000-0000-000020280000}"/>
    <cellStyle name="Normal 13 2 3 6 2 5 2" xfId="49065" xr:uid="{00000000-0005-0000-0000-000021280000}"/>
    <cellStyle name="Normal 13 2 3 6 2 6" xfId="7229" xr:uid="{00000000-0005-0000-0000-000022280000}"/>
    <cellStyle name="Normal 13 2 3 6 2 7" xfId="7230" xr:uid="{00000000-0005-0000-0000-000023280000}"/>
    <cellStyle name="Normal 13 2 3 6 2 8" xfId="7231" xr:uid="{00000000-0005-0000-0000-000024280000}"/>
    <cellStyle name="Normal 13 2 3 6 2 9" xfId="7232" xr:uid="{00000000-0005-0000-0000-000025280000}"/>
    <cellStyle name="Normal 13 2 3 6 3" xfId="7233" xr:uid="{00000000-0005-0000-0000-000026280000}"/>
    <cellStyle name="Normal 13 2 3 6 3 2" xfId="7234" xr:uid="{00000000-0005-0000-0000-000027280000}"/>
    <cellStyle name="Normal 13 2 3 6 3 2 2" xfId="7235" xr:uid="{00000000-0005-0000-0000-000028280000}"/>
    <cellStyle name="Normal 13 2 3 6 3 2 2 2" xfId="49066" xr:uid="{00000000-0005-0000-0000-000029280000}"/>
    <cellStyle name="Normal 13 2 3 6 3 2 2 3" xfId="49067" xr:uid="{00000000-0005-0000-0000-00002A280000}"/>
    <cellStyle name="Normal 13 2 3 6 3 2 3" xfId="7236" xr:uid="{00000000-0005-0000-0000-00002B280000}"/>
    <cellStyle name="Normal 13 2 3 6 3 2 3 2" xfId="49068" xr:uid="{00000000-0005-0000-0000-00002C280000}"/>
    <cellStyle name="Normal 13 2 3 6 3 2 4" xfId="7237" xr:uid="{00000000-0005-0000-0000-00002D280000}"/>
    <cellStyle name="Normal 13 2 3 6 3 2 5" xfId="7238" xr:uid="{00000000-0005-0000-0000-00002E280000}"/>
    <cellStyle name="Normal 13 2 3 6 3 2 6" xfId="7239" xr:uid="{00000000-0005-0000-0000-00002F280000}"/>
    <cellStyle name="Normal 13 2 3 6 3 3" xfId="7240" xr:uid="{00000000-0005-0000-0000-000030280000}"/>
    <cellStyle name="Normal 13 2 3 6 3 3 2" xfId="49069" xr:uid="{00000000-0005-0000-0000-000031280000}"/>
    <cellStyle name="Normal 13 2 3 6 3 3 3" xfId="49070" xr:uid="{00000000-0005-0000-0000-000032280000}"/>
    <cellStyle name="Normal 13 2 3 6 3 4" xfId="7241" xr:uid="{00000000-0005-0000-0000-000033280000}"/>
    <cellStyle name="Normal 13 2 3 6 3 4 2" xfId="49071" xr:uid="{00000000-0005-0000-0000-000034280000}"/>
    <cellStyle name="Normal 13 2 3 6 3 5" xfId="7242" xr:uid="{00000000-0005-0000-0000-000035280000}"/>
    <cellStyle name="Normal 13 2 3 6 3 6" xfId="7243" xr:uid="{00000000-0005-0000-0000-000036280000}"/>
    <cellStyle name="Normal 13 2 3 6 3 7" xfId="7244" xr:uid="{00000000-0005-0000-0000-000037280000}"/>
    <cellStyle name="Normal 13 2 3 6 4" xfId="7245" xr:uid="{00000000-0005-0000-0000-000038280000}"/>
    <cellStyle name="Normal 13 2 3 6 4 2" xfId="7246" xr:uid="{00000000-0005-0000-0000-000039280000}"/>
    <cellStyle name="Normal 13 2 3 6 4 2 2" xfId="49072" xr:uid="{00000000-0005-0000-0000-00003A280000}"/>
    <cellStyle name="Normal 13 2 3 6 4 2 3" xfId="49073" xr:uid="{00000000-0005-0000-0000-00003B280000}"/>
    <cellStyle name="Normal 13 2 3 6 4 3" xfId="7247" xr:uid="{00000000-0005-0000-0000-00003C280000}"/>
    <cellStyle name="Normal 13 2 3 6 4 3 2" xfId="49074" xr:uid="{00000000-0005-0000-0000-00003D280000}"/>
    <cellStyle name="Normal 13 2 3 6 4 4" xfId="7248" xr:uid="{00000000-0005-0000-0000-00003E280000}"/>
    <cellStyle name="Normal 13 2 3 6 4 5" xfId="7249" xr:uid="{00000000-0005-0000-0000-00003F280000}"/>
    <cellStyle name="Normal 13 2 3 6 4 6" xfId="7250" xr:uid="{00000000-0005-0000-0000-000040280000}"/>
    <cellStyle name="Normal 13 2 3 6 5" xfId="7251" xr:uid="{00000000-0005-0000-0000-000041280000}"/>
    <cellStyle name="Normal 13 2 3 6 5 2" xfId="49075" xr:uid="{00000000-0005-0000-0000-000042280000}"/>
    <cellStyle name="Normal 13 2 3 6 5 3" xfId="49076" xr:uid="{00000000-0005-0000-0000-000043280000}"/>
    <cellStyle name="Normal 13 2 3 6 6" xfId="7252" xr:uid="{00000000-0005-0000-0000-000044280000}"/>
    <cellStyle name="Normal 13 2 3 6 6 2" xfId="49077" xr:uid="{00000000-0005-0000-0000-000045280000}"/>
    <cellStyle name="Normal 13 2 3 6 7" xfId="7253" xr:uid="{00000000-0005-0000-0000-000046280000}"/>
    <cellStyle name="Normal 13 2 3 6 8" xfId="7254" xr:uid="{00000000-0005-0000-0000-000047280000}"/>
    <cellStyle name="Normal 13 2 3 6 9" xfId="7255" xr:uid="{00000000-0005-0000-0000-000048280000}"/>
    <cellStyle name="Normal 13 2 3 7" xfId="7256" xr:uid="{00000000-0005-0000-0000-000049280000}"/>
    <cellStyle name="Normal 13 2 3 7 2" xfId="7257" xr:uid="{00000000-0005-0000-0000-00004A280000}"/>
    <cellStyle name="Normal 13 2 3 7 2 2" xfId="7258" xr:uid="{00000000-0005-0000-0000-00004B280000}"/>
    <cellStyle name="Normal 13 2 3 7 2 2 2" xfId="7259" xr:uid="{00000000-0005-0000-0000-00004C280000}"/>
    <cellStyle name="Normal 13 2 3 7 2 2 2 2" xfId="49078" xr:uid="{00000000-0005-0000-0000-00004D280000}"/>
    <cellStyle name="Normal 13 2 3 7 2 2 2 3" xfId="49079" xr:uid="{00000000-0005-0000-0000-00004E280000}"/>
    <cellStyle name="Normal 13 2 3 7 2 2 3" xfId="7260" xr:uid="{00000000-0005-0000-0000-00004F280000}"/>
    <cellStyle name="Normal 13 2 3 7 2 2 3 2" xfId="49080" xr:uid="{00000000-0005-0000-0000-000050280000}"/>
    <cellStyle name="Normal 13 2 3 7 2 2 4" xfId="7261" xr:uid="{00000000-0005-0000-0000-000051280000}"/>
    <cellStyle name="Normal 13 2 3 7 2 2 5" xfId="7262" xr:uid="{00000000-0005-0000-0000-000052280000}"/>
    <cellStyle name="Normal 13 2 3 7 2 2 6" xfId="7263" xr:uid="{00000000-0005-0000-0000-000053280000}"/>
    <cellStyle name="Normal 13 2 3 7 2 3" xfId="7264" xr:uid="{00000000-0005-0000-0000-000054280000}"/>
    <cellStyle name="Normal 13 2 3 7 2 3 2" xfId="49081" xr:uid="{00000000-0005-0000-0000-000055280000}"/>
    <cellStyle name="Normal 13 2 3 7 2 3 3" xfId="49082" xr:uid="{00000000-0005-0000-0000-000056280000}"/>
    <cellStyle name="Normal 13 2 3 7 2 4" xfId="7265" xr:uid="{00000000-0005-0000-0000-000057280000}"/>
    <cellStyle name="Normal 13 2 3 7 2 4 2" xfId="49083" xr:uid="{00000000-0005-0000-0000-000058280000}"/>
    <cellStyle name="Normal 13 2 3 7 2 5" xfId="7266" xr:uid="{00000000-0005-0000-0000-000059280000}"/>
    <cellStyle name="Normal 13 2 3 7 2 6" xfId="7267" xr:uid="{00000000-0005-0000-0000-00005A280000}"/>
    <cellStyle name="Normal 13 2 3 7 2 7" xfId="7268" xr:uid="{00000000-0005-0000-0000-00005B280000}"/>
    <cellStyle name="Normal 13 2 3 7 3" xfId="7269" xr:uid="{00000000-0005-0000-0000-00005C280000}"/>
    <cellStyle name="Normal 13 2 3 7 3 2" xfId="7270" xr:uid="{00000000-0005-0000-0000-00005D280000}"/>
    <cellStyle name="Normal 13 2 3 7 3 2 2" xfId="49084" xr:uid="{00000000-0005-0000-0000-00005E280000}"/>
    <cellStyle name="Normal 13 2 3 7 3 2 3" xfId="49085" xr:uid="{00000000-0005-0000-0000-00005F280000}"/>
    <cellStyle name="Normal 13 2 3 7 3 3" xfId="7271" xr:uid="{00000000-0005-0000-0000-000060280000}"/>
    <cellStyle name="Normal 13 2 3 7 3 3 2" xfId="49086" xr:uid="{00000000-0005-0000-0000-000061280000}"/>
    <cellStyle name="Normal 13 2 3 7 3 4" xfId="7272" xr:uid="{00000000-0005-0000-0000-000062280000}"/>
    <cellStyle name="Normal 13 2 3 7 3 5" xfId="7273" xr:uid="{00000000-0005-0000-0000-000063280000}"/>
    <cellStyle name="Normal 13 2 3 7 3 6" xfId="7274" xr:uid="{00000000-0005-0000-0000-000064280000}"/>
    <cellStyle name="Normal 13 2 3 7 4" xfId="7275" xr:uid="{00000000-0005-0000-0000-000065280000}"/>
    <cellStyle name="Normal 13 2 3 7 4 2" xfId="49087" xr:uid="{00000000-0005-0000-0000-000066280000}"/>
    <cellStyle name="Normal 13 2 3 7 4 3" xfId="49088" xr:uid="{00000000-0005-0000-0000-000067280000}"/>
    <cellStyle name="Normal 13 2 3 7 5" xfId="7276" xr:uid="{00000000-0005-0000-0000-000068280000}"/>
    <cellStyle name="Normal 13 2 3 7 5 2" xfId="49089" xr:uid="{00000000-0005-0000-0000-000069280000}"/>
    <cellStyle name="Normal 13 2 3 7 6" xfId="7277" xr:uid="{00000000-0005-0000-0000-00006A280000}"/>
    <cellStyle name="Normal 13 2 3 7 7" xfId="7278" xr:uid="{00000000-0005-0000-0000-00006B280000}"/>
    <cellStyle name="Normal 13 2 3 7 8" xfId="7279" xr:uid="{00000000-0005-0000-0000-00006C280000}"/>
    <cellStyle name="Normal 13 2 3 7 9" xfId="7280" xr:uid="{00000000-0005-0000-0000-00006D280000}"/>
    <cellStyle name="Normal 13 2 3 8" xfId="7281" xr:uid="{00000000-0005-0000-0000-00006E280000}"/>
    <cellStyle name="Normal 13 2 3 8 2" xfId="7282" xr:uid="{00000000-0005-0000-0000-00006F280000}"/>
    <cellStyle name="Normal 13 2 3 8 2 2" xfId="7283" xr:uid="{00000000-0005-0000-0000-000070280000}"/>
    <cellStyle name="Normal 13 2 3 8 2 2 2" xfId="7284" xr:uid="{00000000-0005-0000-0000-000071280000}"/>
    <cellStyle name="Normal 13 2 3 8 2 2 2 2" xfId="49090" xr:uid="{00000000-0005-0000-0000-000072280000}"/>
    <cellStyle name="Normal 13 2 3 8 2 2 2 3" xfId="49091" xr:uid="{00000000-0005-0000-0000-000073280000}"/>
    <cellStyle name="Normal 13 2 3 8 2 2 3" xfId="7285" xr:uid="{00000000-0005-0000-0000-000074280000}"/>
    <cellStyle name="Normal 13 2 3 8 2 2 3 2" xfId="49092" xr:uid="{00000000-0005-0000-0000-000075280000}"/>
    <cellStyle name="Normal 13 2 3 8 2 2 4" xfId="7286" xr:uid="{00000000-0005-0000-0000-000076280000}"/>
    <cellStyle name="Normal 13 2 3 8 2 2 5" xfId="7287" xr:uid="{00000000-0005-0000-0000-000077280000}"/>
    <cellStyle name="Normal 13 2 3 8 2 2 6" xfId="7288" xr:uid="{00000000-0005-0000-0000-000078280000}"/>
    <cellStyle name="Normal 13 2 3 8 2 3" xfId="7289" xr:uid="{00000000-0005-0000-0000-000079280000}"/>
    <cellStyle name="Normal 13 2 3 8 2 3 2" xfId="49093" xr:uid="{00000000-0005-0000-0000-00007A280000}"/>
    <cellStyle name="Normal 13 2 3 8 2 3 3" xfId="49094" xr:uid="{00000000-0005-0000-0000-00007B280000}"/>
    <cellStyle name="Normal 13 2 3 8 2 4" xfId="7290" xr:uid="{00000000-0005-0000-0000-00007C280000}"/>
    <cellStyle name="Normal 13 2 3 8 2 4 2" xfId="49095" xr:uid="{00000000-0005-0000-0000-00007D280000}"/>
    <cellStyle name="Normal 13 2 3 8 2 5" xfId="7291" xr:uid="{00000000-0005-0000-0000-00007E280000}"/>
    <cellStyle name="Normal 13 2 3 8 2 6" xfId="7292" xr:uid="{00000000-0005-0000-0000-00007F280000}"/>
    <cellStyle name="Normal 13 2 3 8 2 7" xfId="7293" xr:uid="{00000000-0005-0000-0000-000080280000}"/>
    <cellStyle name="Normal 13 2 3 8 3" xfId="7294" xr:uid="{00000000-0005-0000-0000-000081280000}"/>
    <cellStyle name="Normal 13 2 3 8 3 2" xfId="7295" xr:uid="{00000000-0005-0000-0000-000082280000}"/>
    <cellStyle name="Normal 13 2 3 8 3 2 2" xfId="49096" xr:uid="{00000000-0005-0000-0000-000083280000}"/>
    <cellStyle name="Normal 13 2 3 8 3 2 3" xfId="49097" xr:uid="{00000000-0005-0000-0000-000084280000}"/>
    <cellStyle name="Normal 13 2 3 8 3 3" xfId="7296" xr:uid="{00000000-0005-0000-0000-000085280000}"/>
    <cellStyle name="Normal 13 2 3 8 3 3 2" xfId="49098" xr:uid="{00000000-0005-0000-0000-000086280000}"/>
    <cellStyle name="Normal 13 2 3 8 3 4" xfId="7297" xr:uid="{00000000-0005-0000-0000-000087280000}"/>
    <cellStyle name="Normal 13 2 3 8 3 5" xfId="7298" xr:uid="{00000000-0005-0000-0000-000088280000}"/>
    <cellStyle name="Normal 13 2 3 8 3 6" xfId="7299" xr:uid="{00000000-0005-0000-0000-000089280000}"/>
    <cellStyle name="Normal 13 2 3 8 4" xfId="7300" xr:uid="{00000000-0005-0000-0000-00008A280000}"/>
    <cellStyle name="Normal 13 2 3 8 4 2" xfId="49099" xr:uid="{00000000-0005-0000-0000-00008B280000}"/>
    <cellStyle name="Normal 13 2 3 8 4 3" xfId="49100" xr:uid="{00000000-0005-0000-0000-00008C280000}"/>
    <cellStyle name="Normal 13 2 3 8 5" xfId="7301" xr:uid="{00000000-0005-0000-0000-00008D280000}"/>
    <cellStyle name="Normal 13 2 3 8 5 2" xfId="49101" xr:uid="{00000000-0005-0000-0000-00008E280000}"/>
    <cellStyle name="Normal 13 2 3 8 6" xfId="7302" xr:uid="{00000000-0005-0000-0000-00008F280000}"/>
    <cellStyle name="Normal 13 2 3 8 7" xfId="7303" xr:uid="{00000000-0005-0000-0000-000090280000}"/>
    <cellStyle name="Normal 13 2 3 8 8" xfId="7304" xr:uid="{00000000-0005-0000-0000-000091280000}"/>
    <cellStyle name="Normal 13 2 3 9" xfId="7305" xr:uid="{00000000-0005-0000-0000-000092280000}"/>
    <cellStyle name="Normal 13 2 3 9 2" xfId="7306" xr:uid="{00000000-0005-0000-0000-000093280000}"/>
    <cellStyle name="Normal 13 2 3 9 2 2" xfId="7307" xr:uid="{00000000-0005-0000-0000-000094280000}"/>
    <cellStyle name="Normal 13 2 3 9 2 2 2" xfId="7308" xr:uid="{00000000-0005-0000-0000-000095280000}"/>
    <cellStyle name="Normal 13 2 3 9 2 2 2 2" xfId="49102" xr:uid="{00000000-0005-0000-0000-000096280000}"/>
    <cellStyle name="Normal 13 2 3 9 2 2 2 3" xfId="49103" xr:uid="{00000000-0005-0000-0000-000097280000}"/>
    <cellStyle name="Normal 13 2 3 9 2 2 3" xfId="7309" xr:uid="{00000000-0005-0000-0000-000098280000}"/>
    <cellStyle name="Normal 13 2 3 9 2 2 3 2" xfId="49104" xr:uid="{00000000-0005-0000-0000-000099280000}"/>
    <cellStyle name="Normal 13 2 3 9 2 2 4" xfId="7310" xr:uid="{00000000-0005-0000-0000-00009A280000}"/>
    <cellStyle name="Normal 13 2 3 9 2 2 5" xfId="7311" xr:uid="{00000000-0005-0000-0000-00009B280000}"/>
    <cellStyle name="Normal 13 2 3 9 2 2 6" xfId="7312" xr:uid="{00000000-0005-0000-0000-00009C280000}"/>
    <cellStyle name="Normal 13 2 3 9 2 3" xfId="7313" xr:uid="{00000000-0005-0000-0000-00009D280000}"/>
    <cellStyle name="Normal 13 2 3 9 2 3 2" xfId="49105" xr:uid="{00000000-0005-0000-0000-00009E280000}"/>
    <cellStyle name="Normal 13 2 3 9 2 3 3" xfId="49106" xr:uid="{00000000-0005-0000-0000-00009F280000}"/>
    <cellStyle name="Normal 13 2 3 9 2 4" xfId="7314" xr:uid="{00000000-0005-0000-0000-0000A0280000}"/>
    <cellStyle name="Normal 13 2 3 9 2 4 2" xfId="49107" xr:uid="{00000000-0005-0000-0000-0000A1280000}"/>
    <cellStyle name="Normal 13 2 3 9 2 5" xfId="7315" xr:uid="{00000000-0005-0000-0000-0000A2280000}"/>
    <cellStyle name="Normal 13 2 3 9 2 6" xfId="7316" xr:uid="{00000000-0005-0000-0000-0000A3280000}"/>
    <cellStyle name="Normal 13 2 3 9 2 7" xfId="7317" xr:uid="{00000000-0005-0000-0000-0000A4280000}"/>
    <cellStyle name="Normal 13 2 3 9 3" xfId="7318" xr:uid="{00000000-0005-0000-0000-0000A5280000}"/>
    <cellStyle name="Normal 13 2 3 9 3 2" xfId="7319" xr:uid="{00000000-0005-0000-0000-0000A6280000}"/>
    <cellStyle name="Normal 13 2 3 9 3 2 2" xfId="49108" xr:uid="{00000000-0005-0000-0000-0000A7280000}"/>
    <cellStyle name="Normal 13 2 3 9 3 2 3" xfId="49109" xr:uid="{00000000-0005-0000-0000-0000A8280000}"/>
    <cellStyle name="Normal 13 2 3 9 3 3" xfId="7320" xr:uid="{00000000-0005-0000-0000-0000A9280000}"/>
    <cellStyle name="Normal 13 2 3 9 3 3 2" xfId="49110" xr:uid="{00000000-0005-0000-0000-0000AA280000}"/>
    <cellStyle name="Normal 13 2 3 9 3 4" xfId="7321" xr:uid="{00000000-0005-0000-0000-0000AB280000}"/>
    <cellStyle name="Normal 13 2 3 9 3 5" xfId="7322" xr:uid="{00000000-0005-0000-0000-0000AC280000}"/>
    <cellStyle name="Normal 13 2 3 9 3 6" xfId="7323" xr:uid="{00000000-0005-0000-0000-0000AD280000}"/>
    <cellStyle name="Normal 13 2 3 9 4" xfId="7324" xr:uid="{00000000-0005-0000-0000-0000AE280000}"/>
    <cellStyle name="Normal 13 2 3 9 4 2" xfId="49111" xr:uid="{00000000-0005-0000-0000-0000AF280000}"/>
    <cellStyle name="Normal 13 2 3 9 4 3" xfId="49112" xr:uid="{00000000-0005-0000-0000-0000B0280000}"/>
    <cellStyle name="Normal 13 2 3 9 5" xfId="7325" xr:uid="{00000000-0005-0000-0000-0000B1280000}"/>
    <cellStyle name="Normal 13 2 3 9 5 2" xfId="49113" xr:uid="{00000000-0005-0000-0000-0000B2280000}"/>
    <cellStyle name="Normal 13 2 3 9 6" xfId="7326" xr:uid="{00000000-0005-0000-0000-0000B3280000}"/>
    <cellStyle name="Normal 13 2 3 9 7" xfId="7327" xr:uid="{00000000-0005-0000-0000-0000B4280000}"/>
    <cellStyle name="Normal 13 2 3 9 8" xfId="7328" xr:uid="{00000000-0005-0000-0000-0000B5280000}"/>
    <cellStyle name="Normal 13 2 4" xfId="7329" xr:uid="{00000000-0005-0000-0000-0000B6280000}"/>
    <cellStyle name="Normal 13 2 4 10" xfId="7330" xr:uid="{00000000-0005-0000-0000-0000B7280000}"/>
    <cellStyle name="Normal 13 2 4 11" xfId="7331" xr:uid="{00000000-0005-0000-0000-0000B8280000}"/>
    <cellStyle name="Normal 13 2 4 12" xfId="7332" xr:uid="{00000000-0005-0000-0000-0000B9280000}"/>
    <cellStyle name="Normal 13 2 4 13" xfId="7333" xr:uid="{00000000-0005-0000-0000-0000BA280000}"/>
    <cellStyle name="Normal 13 2 4 14" xfId="7334" xr:uid="{00000000-0005-0000-0000-0000BB280000}"/>
    <cellStyle name="Normal 13 2 4 15" xfId="7335" xr:uid="{00000000-0005-0000-0000-0000BC280000}"/>
    <cellStyle name="Normal 13 2 4 2" xfId="7336" xr:uid="{00000000-0005-0000-0000-0000BD280000}"/>
    <cellStyle name="Normal 13 2 4 2 10" xfId="7337" xr:uid="{00000000-0005-0000-0000-0000BE280000}"/>
    <cellStyle name="Normal 13 2 4 2 11" xfId="7338" xr:uid="{00000000-0005-0000-0000-0000BF280000}"/>
    <cellStyle name="Normal 13 2 4 2 12" xfId="7339" xr:uid="{00000000-0005-0000-0000-0000C0280000}"/>
    <cellStyle name="Normal 13 2 4 2 13" xfId="7340" xr:uid="{00000000-0005-0000-0000-0000C1280000}"/>
    <cellStyle name="Normal 13 2 4 2 14" xfId="7341" xr:uid="{00000000-0005-0000-0000-0000C2280000}"/>
    <cellStyle name="Normal 13 2 4 2 2" xfId="7342" xr:uid="{00000000-0005-0000-0000-0000C3280000}"/>
    <cellStyle name="Normal 13 2 4 2 2 2" xfId="7343" xr:uid="{00000000-0005-0000-0000-0000C4280000}"/>
    <cellStyle name="Normal 13 2 4 2 2 2 2" xfId="7344" xr:uid="{00000000-0005-0000-0000-0000C5280000}"/>
    <cellStyle name="Normal 13 2 4 2 2 2 2 2" xfId="7345" xr:uid="{00000000-0005-0000-0000-0000C6280000}"/>
    <cellStyle name="Normal 13 2 4 2 2 2 2 2 2" xfId="49114" xr:uid="{00000000-0005-0000-0000-0000C7280000}"/>
    <cellStyle name="Normal 13 2 4 2 2 2 2 2 3" xfId="49115" xr:uid="{00000000-0005-0000-0000-0000C8280000}"/>
    <cellStyle name="Normal 13 2 4 2 2 2 2 3" xfId="7346" xr:uid="{00000000-0005-0000-0000-0000C9280000}"/>
    <cellStyle name="Normal 13 2 4 2 2 2 2 3 2" xfId="49116" xr:uid="{00000000-0005-0000-0000-0000CA280000}"/>
    <cellStyle name="Normal 13 2 4 2 2 2 2 4" xfId="7347" xr:uid="{00000000-0005-0000-0000-0000CB280000}"/>
    <cellStyle name="Normal 13 2 4 2 2 2 2 5" xfId="7348" xr:uid="{00000000-0005-0000-0000-0000CC280000}"/>
    <cellStyle name="Normal 13 2 4 2 2 2 2 6" xfId="7349" xr:uid="{00000000-0005-0000-0000-0000CD280000}"/>
    <cellStyle name="Normal 13 2 4 2 2 2 3" xfId="7350" xr:uid="{00000000-0005-0000-0000-0000CE280000}"/>
    <cellStyle name="Normal 13 2 4 2 2 2 3 2" xfId="49117" xr:uid="{00000000-0005-0000-0000-0000CF280000}"/>
    <cellStyle name="Normal 13 2 4 2 2 2 3 3" xfId="49118" xr:uid="{00000000-0005-0000-0000-0000D0280000}"/>
    <cellStyle name="Normal 13 2 4 2 2 2 4" xfId="7351" xr:uid="{00000000-0005-0000-0000-0000D1280000}"/>
    <cellStyle name="Normal 13 2 4 2 2 2 4 2" xfId="49119" xr:uid="{00000000-0005-0000-0000-0000D2280000}"/>
    <cellStyle name="Normal 13 2 4 2 2 2 5" xfId="7352" xr:uid="{00000000-0005-0000-0000-0000D3280000}"/>
    <cellStyle name="Normal 13 2 4 2 2 2 6" xfId="7353" xr:uid="{00000000-0005-0000-0000-0000D4280000}"/>
    <cellStyle name="Normal 13 2 4 2 2 2 7" xfId="7354" xr:uid="{00000000-0005-0000-0000-0000D5280000}"/>
    <cellStyle name="Normal 13 2 4 2 2 3" xfId="7355" xr:uid="{00000000-0005-0000-0000-0000D6280000}"/>
    <cellStyle name="Normal 13 2 4 2 2 3 2" xfId="7356" xr:uid="{00000000-0005-0000-0000-0000D7280000}"/>
    <cellStyle name="Normal 13 2 4 2 2 3 2 2" xfId="49120" xr:uid="{00000000-0005-0000-0000-0000D8280000}"/>
    <cellStyle name="Normal 13 2 4 2 2 3 2 3" xfId="49121" xr:uid="{00000000-0005-0000-0000-0000D9280000}"/>
    <cellStyle name="Normal 13 2 4 2 2 3 3" xfId="7357" xr:uid="{00000000-0005-0000-0000-0000DA280000}"/>
    <cellStyle name="Normal 13 2 4 2 2 3 3 2" xfId="49122" xr:uid="{00000000-0005-0000-0000-0000DB280000}"/>
    <cellStyle name="Normal 13 2 4 2 2 3 4" xfId="7358" xr:uid="{00000000-0005-0000-0000-0000DC280000}"/>
    <cellStyle name="Normal 13 2 4 2 2 3 5" xfId="7359" xr:uid="{00000000-0005-0000-0000-0000DD280000}"/>
    <cellStyle name="Normal 13 2 4 2 2 3 6" xfId="7360" xr:uid="{00000000-0005-0000-0000-0000DE280000}"/>
    <cellStyle name="Normal 13 2 4 2 2 4" xfId="7361" xr:uid="{00000000-0005-0000-0000-0000DF280000}"/>
    <cellStyle name="Normal 13 2 4 2 2 4 2" xfId="49123" xr:uid="{00000000-0005-0000-0000-0000E0280000}"/>
    <cellStyle name="Normal 13 2 4 2 2 4 3" xfId="49124" xr:uid="{00000000-0005-0000-0000-0000E1280000}"/>
    <cellStyle name="Normal 13 2 4 2 2 5" xfId="7362" xr:uid="{00000000-0005-0000-0000-0000E2280000}"/>
    <cellStyle name="Normal 13 2 4 2 2 5 2" xfId="49125" xr:uid="{00000000-0005-0000-0000-0000E3280000}"/>
    <cellStyle name="Normal 13 2 4 2 2 6" xfId="7363" xr:uid="{00000000-0005-0000-0000-0000E4280000}"/>
    <cellStyle name="Normal 13 2 4 2 2 7" xfId="7364" xr:uid="{00000000-0005-0000-0000-0000E5280000}"/>
    <cellStyle name="Normal 13 2 4 2 2 8" xfId="7365" xr:uid="{00000000-0005-0000-0000-0000E6280000}"/>
    <cellStyle name="Normal 13 2 4 2 2 9" xfId="7366" xr:uid="{00000000-0005-0000-0000-0000E7280000}"/>
    <cellStyle name="Normal 13 2 4 2 3" xfId="7367" xr:uid="{00000000-0005-0000-0000-0000E8280000}"/>
    <cellStyle name="Normal 13 2 4 2 3 2" xfId="7368" xr:uid="{00000000-0005-0000-0000-0000E9280000}"/>
    <cellStyle name="Normal 13 2 4 2 3 2 2" xfId="7369" xr:uid="{00000000-0005-0000-0000-0000EA280000}"/>
    <cellStyle name="Normal 13 2 4 2 3 2 2 2" xfId="7370" xr:uid="{00000000-0005-0000-0000-0000EB280000}"/>
    <cellStyle name="Normal 13 2 4 2 3 2 2 2 2" xfId="49126" xr:uid="{00000000-0005-0000-0000-0000EC280000}"/>
    <cellStyle name="Normal 13 2 4 2 3 2 2 2 3" xfId="49127" xr:uid="{00000000-0005-0000-0000-0000ED280000}"/>
    <cellStyle name="Normal 13 2 4 2 3 2 2 3" xfId="7371" xr:uid="{00000000-0005-0000-0000-0000EE280000}"/>
    <cellStyle name="Normal 13 2 4 2 3 2 2 3 2" xfId="49128" xr:uid="{00000000-0005-0000-0000-0000EF280000}"/>
    <cellStyle name="Normal 13 2 4 2 3 2 2 4" xfId="7372" xr:uid="{00000000-0005-0000-0000-0000F0280000}"/>
    <cellStyle name="Normal 13 2 4 2 3 2 2 5" xfId="7373" xr:uid="{00000000-0005-0000-0000-0000F1280000}"/>
    <cellStyle name="Normal 13 2 4 2 3 2 2 6" xfId="7374" xr:uid="{00000000-0005-0000-0000-0000F2280000}"/>
    <cellStyle name="Normal 13 2 4 2 3 2 3" xfId="7375" xr:uid="{00000000-0005-0000-0000-0000F3280000}"/>
    <cellStyle name="Normal 13 2 4 2 3 2 3 2" xfId="49129" xr:uid="{00000000-0005-0000-0000-0000F4280000}"/>
    <cellStyle name="Normal 13 2 4 2 3 2 3 3" xfId="49130" xr:uid="{00000000-0005-0000-0000-0000F5280000}"/>
    <cellStyle name="Normal 13 2 4 2 3 2 4" xfId="7376" xr:uid="{00000000-0005-0000-0000-0000F6280000}"/>
    <cellStyle name="Normal 13 2 4 2 3 2 4 2" xfId="49131" xr:uid="{00000000-0005-0000-0000-0000F7280000}"/>
    <cellStyle name="Normal 13 2 4 2 3 2 5" xfId="7377" xr:uid="{00000000-0005-0000-0000-0000F8280000}"/>
    <cellStyle name="Normal 13 2 4 2 3 2 6" xfId="7378" xr:uid="{00000000-0005-0000-0000-0000F9280000}"/>
    <cellStyle name="Normal 13 2 4 2 3 2 7" xfId="7379" xr:uid="{00000000-0005-0000-0000-0000FA280000}"/>
    <cellStyle name="Normal 13 2 4 2 3 3" xfId="7380" xr:uid="{00000000-0005-0000-0000-0000FB280000}"/>
    <cellStyle name="Normal 13 2 4 2 3 3 2" xfId="7381" xr:uid="{00000000-0005-0000-0000-0000FC280000}"/>
    <cellStyle name="Normal 13 2 4 2 3 3 2 2" xfId="49132" xr:uid="{00000000-0005-0000-0000-0000FD280000}"/>
    <cellStyle name="Normal 13 2 4 2 3 3 2 3" xfId="49133" xr:uid="{00000000-0005-0000-0000-0000FE280000}"/>
    <cellStyle name="Normal 13 2 4 2 3 3 3" xfId="7382" xr:uid="{00000000-0005-0000-0000-0000FF280000}"/>
    <cellStyle name="Normal 13 2 4 2 3 3 3 2" xfId="49134" xr:uid="{00000000-0005-0000-0000-000000290000}"/>
    <cellStyle name="Normal 13 2 4 2 3 3 4" xfId="7383" xr:uid="{00000000-0005-0000-0000-000001290000}"/>
    <cellStyle name="Normal 13 2 4 2 3 3 5" xfId="7384" xr:uid="{00000000-0005-0000-0000-000002290000}"/>
    <cellStyle name="Normal 13 2 4 2 3 3 6" xfId="7385" xr:uid="{00000000-0005-0000-0000-000003290000}"/>
    <cellStyle name="Normal 13 2 4 2 3 4" xfId="7386" xr:uid="{00000000-0005-0000-0000-000004290000}"/>
    <cellStyle name="Normal 13 2 4 2 3 4 2" xfId="49135" xr:uid="{00000000-0005-0000-0000-000005290000}"/>
    <cellStyle name="Normal 13 2 4 2 3 4 3" xfId="49136" xr:uid="{00000000-0005-0000-0000-000006290000}"/>
    <cellStyle name="Normal 13 2 4 2 3 5" xfId="7387" xr:uid="{00000000-0005-0000-0000-000007290000}"/>
    <cellStyle name="Normal 13 2 4 2 3 5 2" xfId="49137" xr:uid="{00000000-0005-0000-0000-000008290000}"/>
    <cellStyle name="Normal 13 2 4 2 3 6" xfId="7388" xr:uid="{00000000-0005-0000-0000-000009290000}"/>
    <cellStyle name="Normal 13 2 4 2 3 7" xfId="7389" xr:uid="{00000000-0005-0000-0000-00000A290000}"/>
    <cellStyle name="Normal 13 2 4 2 3 8" xfId="7390" xr:uid="{00000000-0005-0000-0000-00000B290000}"/>
    <cellStyle name="Normal 13 2 4 2 4" xfId="7391" xr:uid="{00000000-0005-0000-0000-00000C290000}"/>
    <cellStyle name="Normal 13 2 4 2 4 2" xfId="7392" xr:uid="{00000000-0005-0000-0000-00000D290000}"/>
    <cellStyle name="Normal 13 2 4 2 4 2 2" xfId="7393" xr:uid="{00000000-0005-0000-0000-00000E290000}"/>
    <cellStyle name="Normal 13 2 4 2 4 2 2 2" xfId="49138" xr:uid="{00000000-0005-0000-0000-00000F290000}"/>
    <cellStyle name="Normal 13 2 4 2 4 2 2 3" xfId="49139" xr:uid="{00000000-0005-0000-0000-000010290000}"/>
    <cellStyle name="Normal 13 2 4 2 4 2 3" xfId="7394" xr:uid="{00000000-0005-0000-0000-000011290000}"/>
    <cellStyle name="Normal 13 2 4 2 4 2 3 2" xfId="49140" xr:uid="{00000000-0005-0000-0000-000012290000}"/>
    <cellStyle name="Normal 13 2 4 2 4 2 4" xfId="7395" xr:uid="{00000000-0005-0000-0000-000013290000}"/>
    <cellStyle name="Normal 13 2 4 2 4 2 5" xfId="7396" xr:uid="{00000000-0005-0000-0000-000014290000}"/>
    <cellStyle name="Normal 13 2 4 2 4 2 6" xfId="7397" xr:uid="{00000000-0005-0000-0000-000015290000}"/>
    <cellStyle name="Normal 13 2 4 2 4 3" xfId="7398" xr:uid="{00000000-0005-0000-0000-000016290000}"/>
    <cellStyle name="Normal 13 2 4 2 4 3 2" xfId="49141" xr:uid="{00000000-0005-0000-0000-000017290000}"/>
    <cellStyle name="Normal 13 2 4 2 4 3 3" xfId="49142" xr:uid="{00000000-0005-0000-0000-000018290000}"/>
    <cellStyle name="Normal 13 2 4 2 4 4" xfId="7399" xr:uid="{00000000-0005-0000-0000-000019290000}"/>
    <cellStyle name="Normal 13 2 4 2 4 4 2" xfId="49143" xr:uid="{00000000-0005-0000-0000-00001A290000}"/>
    <cellStyle name="Normal 13 2 4 2 4 5" xfId="7400" xr:uid="{00000000-0005-0000-0000-00001B290000}"/>
    <cellStyle name="Normal 13 2 4 2 4 6" xfId="7401" xr:uid="{00000000-0005-0000-0000-00001C290000}"/>
    <cellStyle name="Normal 13 2 4 2 4 7" xfId="7402" xr:uid="{00000000-0005-0000-0000-00001D290000}"/>
    <cellStyle name="Normal 13 2 4 2 5" xfId="7403" xr:uid="{00000000-0005-0000-0000-00001E290000}"/>
    <cellStyle name="Normal 13 2 4 2 5 2" xfId="7404" xr:uid="{00000000-0005-0000-0000-00001F290000}"/>
    <cellStyle name="Normal 13 2 4 2 5 2 2" xfId="49144" xr:uid="{00000000-0005-0000-0000-000020290000}"/>
    <cellStyle name="Normal 13 2 4 2 5 2 3" xfId="49145" xr:uid="{00000000-0005-0000-0000-000021290000}"/>
    <cellStyle name="Normal 13 2 4 2 5 3" xfId="7405" xr:uid="{00000000-0005-0000-0000-000022290000}"/>
    <cellStyle name="Normal 13 2 4 2 5 3 2" xfId="49146" xr:uid="{00000000-0005-0000-0000-000023290000}"/>
    <cellStyle name="Normal 13 2 4 2 5 4" xfId="7406" xr:uid="{00000000-0005-0000-0000-000024290000}"/>
    <cellStyle name="Normal 13 2 4 2 5 5" xfId="7407" xr:uid="{00000000-0005-0000-0000-000025290000}"/>
    <cellStyle name="Normal 13 2 4 2 5 6" xfId="7408" xr:uid="{00000000-0005-0000-0000-000026290000}"/>
    <cellStyle name="Normal 13 2 4 2 6" xfId="7409" xr:uid="{00000000-0005-0000-0000-000027290000}"/>
    <cellStyle name="Normal 13 2 4 2 6 2" xfId="49147" xr:uid="{00000000-0005-0000-0000-000028290000}"/>
    <cellStyle name="Normal 13 2 4 2 6 3" xfId="49148" xr:uid="{00000000-0005-0000-0000-000029290000}"/>
    <cellStyle name="Normal 13 2 4 2 7" xfId="7410" xr:uid="{00000000-0005-0000-0000-00002A290000}"/>
    <cellStyle name="Normal 13 2 4 2 7 2" xfId="49149" xr:uid="{00000000-0005-0000-0000-00002B290000}"/>
    <cellStyle name="Normal 13 2 4 2 8" xfId="7411" xr:uid="{00000000-0005-0000-0000-00002C290000}"/>
    <cellStyle name="Normal 13 2 4 2 9" xfId="7412" xr:uid="{00000000-0005-0000-0000-00002D290000}"/>
    <cellStyle name="Normal 13 2 4 3" xfId="7413" xr:uid="{00000000-0005-0000-0000-00002E290000}"/>
    <cellStyle name="Normal 13 2 4 3 2" xfId="7414" xr:uid="{00000000-0005-0000-0000-00002F290000}"/>
    <cellStyle name="Normal 13 2 4 3 2 2" xfId="7415" xr:uid="{00000000-0005-0000-0000-000030290000}"/>
    <cellStyle name="Normal 13 2 4 3 2 2 2" xfId="7416" xr:uid="{00000000-0005-0000-0000-000031290000}"/>
    <cellStyle name="Normal 13 2 4 3 2 2 2 2" xfId="49150" xr:uid="{00000000-0005-0000-0000-000032290000}"/>
    <cellStyle name="Normal 13 2 4 3 2 2 2 3" xfId="49151" xr:uid="{00000000-0005-0000-0000-000033290000}"/>
    <cellStyle name="Normal 13 2 4 3 2 2 3" xfId="7417" xr:uid="{00000000-0005-0000-0000-000034290000}"/>
    <cellStyle name="Normal 13 2 4 3 2 2 3 2" xfId="49152" xr:uid="{00000000-0005-0000-0000-000035290000}"/>
    <cellStyle name="Normal 13 2 4 3 2 2 4" xfId="7418" xr:uid="{00000000-0005-0000-0000-000036290000}"/>
    <cellStyle name="Normal 13 2 4 3 2 2 5" xfId="7419" xr:uid="{00000000-0005-0000-0000-000037290000}"/>
    <cellStyle name="Normal 13 2 4 3 2 2 6" xfId="7420" xr:uid="{00000000-0005-0000-0000-000038290000}"/>
    <cellStyle name="Normal 13 2 4 3 2 3" xfId="7421" xr:uid="{00000000-0005-0000-0000-000039290000}"/>
    <cellStyle name="Normal 13 2 4 3 2 3 2" xfId="49153" xr:uid="{00000000-0005-0000-0000-00003A290000}"/>
    <cellStyle name="Normal 13 2 4 3 2 3 3" xfId="49154" xr:uid="{00000000-0005-0000-0000-00003B290000}"/>
    <cellStyle name="Normal 13 2 4 3 2 4" xfId="7422" xr:uid="{00000000-0005-0000-0000-00003C290000}"/>
    <cellStyle name="Normal 13 2 4 3 2 4 2" xfId="49155" xr:uid="{00000000-0005-0000-0000-00003D290000}"/>
    <cellStyle name="Normal 13 2 4 3 2 5" xfId="7423" xr:uid="{00000000-0005-0000-0000-00003E290000}"/>
    <cellStyle name="Normal 13 2 4 3 2 6" xfId="7424" xr:uid="{00000000-0005-0000-0000-00003F290000}"/>
    <cellStyle name="Normal 13 2 4 3 2 7" xfId="7425" xr:uid="{00000000-0005-0000-0000-000040290000}"/>
    <cellStyle name="Normal 13 2 4 3 3" xfId="7426" xr:uid="{00000000-0005-0000-0000-000041290000}"/>
    <cellStyle name="Normal 13 2 4 3 3 2" xfId="7427" xr:uid="{00000000-0005-0000-0000-000042290000}"/>
    <cellStyle name="Normal 13 2 4 3 3 2 2" xfId="49156" xr:uid="{00000000-0005-0000-0000-000043290000}"/>
    <cellStyle name="Normal 13 2 4 3 3 2 3" xfId="49157" xr:uid="{00000000-0005-0000-0000-000044290000}"/>
    <cellStyle name="Normal 13 2 4 3 3 3" xfId="7428" xr:uid="{00000000-0005-0000-0000-000045290000}"/>
    <cellStyle name="Normal 13 2 4 3 3 3 2" xfId="49158" xr:uid="{00000000-0005-0000-0000-000046290000}"/>
    <cellStyle name="Normal 13 2 4 3 3 4" xfId="7429" xr:uid="{00000000-0005-0000-0000-000047290000}"/>
    <cellStyle name="Normal 13 2 4 3 3 5" xfId="7430" xr:uid="{00000000-0005-0000-0000-000048290000}"/>
    <cellStyle name="Normal 13 2 4 3 3 6" xfId="7431" xr:uid="{00000000-0005-0000-0000-000049290000}"/>
    <cellStyle name="Normal 13 2 4 3 4" xfId="7432" xr:uid="{00000000-0005-0000-0000-00004A290000}"/>
    <cellStyle name="Normal 13 2 4 3 4 2" xfId="49159" xr:uid="{00000000-0005-0000-0000-00004B290000}"/>
    <cellStyle name="Normal 13 2 4 3 4 3" xfId="49160" xr:uid="{00000000-0005-0000-0000-00004C290000}"/>
    <cellStyle name="Normal 13 2 4 3 5" xfId="7433" xr:uid="{00000000-0005-0000-0000-00004D290000}"/>
    <cellStyle name="Normal 13 2 4 3 5 2" xfId="49161" xr:uid="{00000000-0005-0000-0000-00004E290000}"/>
    <cellStyle name="Normal 13 2 4 3 6" xfId="7434" xr:uid="{00000000-0005-0000-0000-00004F290000}"/>
    <cellStyle name="Normal 13 2 4 3 7" xfId="7435" xr:uid="{00000000-0005-0000-0000-000050290000}"/>
    <cellStyle name="Normal 13 2 4 3 8" xfId="7436" xr:uid="{00000000-0005-0000-0000-000051290000}"/>
    <cellStyle name="Normal 13 2 4 3 9" xfId="7437" xr:uid="{00000000-0005-0000-0000-000052290000}"/>
    <cellStyle name="Normal 13 2 4 4" xfId="7438" xr:uid="{00000000-0005-0000-0000-000053290000}"/>
    <cellStyle name="Normal 13 2 4 4 2" xfId="7439" xr:uid="{00000000-0005-0000-0000-000054290000}"/>
    <cellStyle name="Normal 13 2 4 4 2 2" xfId="7440" xr:uid="{00000000-0005-0000-0000-000055290000}"/>
    <cellStyle name="Normal 13 2 4 4 2 2 2" xfId="7441" xr:uid="{00000000-0005-0000-0000-000056290000}"/>
    <cellStyle name="Normal 13 2 4 4 2 2 2 2" xfId="49162" xr:uid="{00000000-0005-0000-0000-000057290000}"/>
    <cellStyle name="Normal 13 2 4 4 2 2 2 3" xfId="49163" xr:uid="{00000000-0005-0000-0000-000058290000}"/>
    <cellStyle name="Normal 13 2 4 4 2 2 3" xfId="7442" xr:uid="{00000000-0005-0000-0000-000059290000}"/>
    <cellStyle name="Normal 13 2 4 4 2 2 3 2" xfId="49164" xr:uid="{00000000-0005-0000-0000-00005A290000}"/>
    <cellStyle name="Normal 13 2 4 4 2 2 4" xfId="7443" xr:uid="{00000000-0005-0000-0000-00005B290000}"/>
    <cellStyle name="Normal 13 2 4 4 2 2 5" xfId="7444" xr:uid="{00000000-0005-0000-0000-00005C290000}"/>
    <cellStyle name="Normal 13 2 4 4 2 2 6" xfId="7445" xr:uid="{00000000-0005-0000-0000-00005D290000}"/>
    <cellStyle name="Normal 13 2 4 4 2 3" xfId="7446" xr:uid="{00000000-0005-0000-0000-00005E290000}"/>
    <cellStyle name="Normal 13 2 4 4 2 3 2" xfId="49165" xr:uid="{00000000-0005-0000-0000-00005F290000}"/>
    <cellStyle name="Normal 13 2 4 4 2 3 3" xfId="49166" xr:uid="{00000000-0005-0000-0000-000060290000}"/>
    <cellStyle name="Normal 13 2 4 4 2 4" xfId="7447" xr:uid="{00000000-0005-0000-0000-000061290000}"/>
    <cellStyle name="Normal 13 2 4 4 2 4 2" xfId="49167" xr:uid="{00000000-0005-0000-0000-000062290000}"/>
    <cellStyle name="Normal 13 2 4 4 2 5" xfId="7448" xr:uid="{00000000-0005-0000-0000-000063290000}"/>
    <cellStyle name="Normal 13 2 4 4 2 6" xfId="7449" xr:uid="{00000000-0005-0000-0000-000064290000}"/>
    <cellStyle name="Normal 13 2 4 4 2 7" xfId="7450" xr:uid="{00000000-0005-0000-0000-000065290000}"/>
    <cellStyle name="Normal 13 2 4 4 3" xfId="7451" xr:uid="{00000000-0005-0000-0000-000066290000}"/>
    <cellStyle name="Normal 13 2 4 4 3 2" xfId="7452" xr:uid="{00000000-0005-0000-0000-000067290000}"/>
    <cellStyle name="Normal 13 2 4 4 3 2 2" xfId="49168" xr:uid="{00000000-0005-0000-0000-000068290000}"/>
    <cellStyle name="Normal 13 2 4 4 3 2 3" xfId="49169" xr:uid="{00000000-0005-0000-0000-000069290000}"/>
    <cellStyle name="Normal 13 2 4 4 3 3" xfId="7453" xr:uid="{00000000-0005-0000-0000-00006A290000}"/>
    <cellStyle name="Normal 13 2 4 4 3 3 2" xfId="49170" xr:uid="{00000000-0005-0000-0000-00006B290000}"/>
    <cellStyle name="Normal 13 2 4 4 3 4" xfId="7454" xr:uid="{00000000-0005-0000-0000-00006C290000}"/>
    <cellStyle name="Normal 13 2 4 4 3 5" xfId="7455" xr:uid="{00000000-0005-0000-0000-00006D290000}"/>
    <cellStyle name="Normal 13 2 4 4 3 6" xfId="7456" xr:uid="{00000000-0005-0000-0000-00006E290000}"/>
    <cellStyle name="Normal 13 2 4 4 4" xfId="7457" xr:uid="{00000000-0005-0000-0000-00006F290000}"/>
    <cellStyle name="Normal 13 2 4 4 4 2" xfId="49171" xr:uid="{00000000-0005-0000-0000-000070290000}"/>
    <cellStyle name="Normal 13 2 4 4 4 3" xfId="49172" xr:uid="{00000000-0005-0000-0000-000071290000}"/>
    <cellStyle name="Normal 13 2 4 4 5" xfId="7458" xr:uid="{00000000-0005-0000-0000-000072290000}"/>
    <cellStyle name="Normal 13 2 4 4 5 2" xfId="49173" xr:uid="{00000000-0005-0000-0000-000073290000}"/>
    <cellStyle name="Normal 13 2 4 4 6" xfId="7459" xr:uid="{00000000-0005-0000-0000-000074290000}"/>
    <cellStyle name="Normal 13 2 4 4 7" xfId="7460" xr:uid="{00000000-0005-0000-0000-000075290000}"/>
    <cellStyle name="Normal 13 2 4 4 8" xfId="7461" xr:uid="{00000000-0005-0000-0000-000076290000}"/>
    <cellStyle name="Normal 13 2 4 5" xfId="7462" xr:uid="{00000000-0005-0000-0000-000077290000}"/>
    <cellStyle name="Normal 13 2 4 5 2" xfId="7463" xr:uid="{00000000-0005-0000-0000-000078290000}"/>
    <cellStyle name="Normal 13 2 4 5 2 2" xfId="7464" xr:uid="{00000000-0005-0000-0000-000079290000}"/>
    <cellStyle name="Normal 13 2 4 5 2 2 2" xfId="49174" xr:uid="{00000000-0005-0000-0000-00007A290000}"/>
    <cellStyle name="Normal 13 2 4 5 2 2 3" xfId="49175" xr:uid="{00000000-0005-0000-0000-00007B290000}"/>
    <cellStyle name="Normal 13 2 4 5 2 3" xfId="7465" xr:uid="{00000000-0005-0000-0000-00007C290000}"/>
    <cellStyle name="Normal 13 2 4 5 2 3 2" xfId="49176" xr:uid="{00000000-0005-0000-0000-00007D290000}"/>
    <cellStyle name="Normal 13 2 4 5 2 4" xfId="7466" xr:uid="{00000000-0005-0000-0000-00007E290000}"/>
    <cellStyle name="Normal 13 2 4 5 2 5" xfId="7467" xr:uid="{00000000-0005-0000-0000-00007F290000}"/>
    <cellStyle name="Normal 13 2 4 5 2 6" xfId="7468" xr:uid="{00000000-0005-0000-0000-000080290000}"/>
    <cellStyle name="Normal 13 2 4 5 3" xfId="7469" xr:uid="{00000000-0005-0000-0000-000081290000}"/>
    <cellStyle name="Normal 13 2 4 5 3 2" xfId="49177" xr:uid="{00000000-0005-0000-0000-000082290000}"/>
    <cellStyle name="Normal 13 2 4 5 3 3" xfId="49178" xr:uid="{00000000-0005-0000-0000-000083290000}"/>
    <cellStyle name="Normal 13 2 4 5 4" xfId="7470" xr:uid="{00000000-0005-0000-0000-000084290000}"/>
    <cellStyle name="Normal 13 2 4 5 4 2" xfId="49179" xr:uid="{00000000-0005-0000-0000-000085290000}"/>
    <cellStyle name="Normal 13 2 4 5 5" xfId="7471" xr:uid="{00000000-0005-0000-0000-000086290000}"/>
    <cellStyle name="Normal 13 2 4 5 6" xfId="7472" xr:uid="{00000000-0005-0000-0000-000087290000}"/>
    <cellStyle name="Normal 13 2 4 5 7" xfId="7473" xr:uid="{00000000-0005-0000-0000-000088290000}"/>
    <cellStyle name="Normal 13 2 4 6" xfId="7474" xr:uid="{00000000-0005-0000-0000-000089290000}"/>
    <cellStyle name="Normal 13 2 4 6 2" xfId="7475" xr:uid="{00000000-0005-0000-0000-00008A290000}"/>
    <cellStyle name="Normal 13 2 4 6 2 2" xfId="49180" xr:uid="{00000000-0005-0000-0000-00008B290000}"/>
    <cellStyle name="Normal 13 2 4 6 2 3" xfId="49181" xr:uid="{00000000-0005-0000-0000-00008C290000}"/>
    <cellStyle name="Normal 13 2 4 6 3" xfId="7476" xr:uid="{00000000-0005-0000-0000-00008D290000}"/>
    <cellStyle name="Normal 13 2 4 6 3 2" xfId="49182" xr:uid="{00000000-0005-0000-0000-00008E290000}"/>
    <cellStyle name="Normal 13 2 4 6 4" xfId="7477" xr:uid="{00000000-0005-0000-0000-00008F290000}"/>
    <cellStyle name="Normal 13 2 4 6 5" xfId="7478" xr:uid="{00000000-0005-0000-0000-000090290000}"/>
    <cellStyle name="Normal 13 2 4 6 6" xfId="7479" xr:uid="{00000000-0005-0000-0000-000091290000}"/>
    <cellStyle name="Normal 13 2 4 7" xfId="7480" xr:uid="{00000000-0005-0000-0000-000092290000}"/>
    <cellStyle name="Normal 13 2 4 7 2" xfId="49183" xr:uid="{00000000-0005-0000-0000-000093290000}"/>
    <cellStyle name="Normal 13 2 4 7 3" xfId="49184" xr:uid="{00000000-0005-0000-0000-000094290000}"/>
    <cellStyle name="Normal 13 2 4 8" xfId="7481" xr:uid="{00000000-0005-0000-0000-000095290000}"/>
    <cellStyle name="Normal 13 2 4 8 2" xfId="49185" xr:uid="{00000000-0005-0000-0000-000096290000}"/>
    <cellStyle name="Normal 13 2 4 9" xfId="7482" xr:uid="{00000000-0005-0000-0000-000097290000}"/>
    <cellStyle name="Normal 13 2 4 9 2" xfId="49186" xr:uid="{00000000-0005-0000-0000-000098290000}"/>
    <cellStyle name="Normal 13 2 5" xfId="7483" xr:uid="{00000000-0005-0000-0000-000099290000}"/>
    <cellStyle name="Normal 13 2 5 10" xfId="7484" xr:uid="{00000000-0005-0000-0000-00009A290000}"/>
    <cellStyle name="Normal 13 2 5 11" xfId="7485" xr:uid="{00000000-0005-0000-0000-00009B290000}"/>
    <cellStyle name="Normal 13 2 5 12" xfId="7486" xr:uid="{00000000-0005-0000-0000-00009C290000}"/>
    <cellStyle name="Normal 13 2 5 13" xfId="7487" xr:uid="{00000000-0005-0000-0000-00009D290000}"/>
    <cellStyle name="Normal 13 2 5 14" xfId="7488" xr:uid="{00000000-0005-0000-0000-00009E290000}"/>
    <cellStyle name="Normal 13 2 5 15" xfId="7489" xr:uid="{00000000-0005-0000-0000-00009F290000}"/>
    <cellStyle name="Normal 13 2 5 2" xfId="7490" xr:uid="{00000000-0005-0000-0000-0000A0290000}"/>
    <cellStyle name="Normal 13 2 5 2 10" xfId="7491" xr:uid="{00000000-0005-0000-0000-0000A1290000}"/>
    <cellStyle name="Normal 13 2 5 2 11" xfId="7492" xr:uid="{00000000-0005-0000-0000-0000A2290000}"/>
    <cellStyle name="Normal 13 2 5 2 12" xfId="7493" xr:uid="{00000000-0005-0000-0000-0000A3290000}"/>
    <cellStyle name="Normal 13 2 5 2 13" xfId="7494" xr:uid="{00000000-0005-0000-0000-0000A4290000}"/>
    <cellStyle name="Normal 13 2 5 2 14" xfId="7495" xr:uid="{00000000-0005-0000-0000-0000A5290000}"/>
    <cellStyle name="Normal 13 2 5 2 2" xfId="7496" xr:uid="{00000000-0005-0000-0000-0000A6290000}"/>
    <cellStyle name="Normal 13 2 5 2 2 2" xfId="7497" xr:uid="{00000000-0005-0000-0000-0000A7290000}"/>
    <cellStyle name="Normal 13 2 5 2 2 2 2" xfId="7498" xr:uid="{00000000-0005-0000-0000-0000A8290000}"/>
    <cellStyle name="Normal 13 2 5 2 2 2 2 2" xfId="7499" xr:uid="{00000000-0005-0000-0000-0000A9290000}"/>
    <cellStyle name="Normal 13 2 5 2 2 2 2 2 2" xfId="49187" xr:uid="{00000000-0005-0000-0000-0000AA290000}"/>
    <cellStyle name="Normal 13 2 5 2 2 2 2 2 3" xfId="49188" xr:uid="{00000000-0005-0000-0000-0000AB290000}"/>
    <cellStyle name="Normal 13 2 5 2 2 2 2 3" xfId="7500" xr:uid="{00000000-0005-0000-0000-0000AC290000}"/>
    <cellStyle name="Normal 13 2 5 2 2 2 2 3 2" xfId="49189" xr:uid="{00000000-0005-0000-0000-0000AD290000}"/>
    <cellStyle name="Normal 13 2 5 2 2 2 2 4" xfId="7501" xr:uid="{00000000-0005-0000-0000-0000AE290000}"/>
    <cellStyle name="Normal 13 2 5 2 2 2 2 5" xfId="7502" xr:uid="{00000000-0005-0000-0000-0000AF290000}"/>
    <cellStyle name="Normal 13 2 5 2 2 2 2 6" xfId="7503" xr:uid="{00000000-0005-0000-0000-0000B0290000}"/>
    <cellStyle name="Normal 13 2 5 2 2 2 3" xfId="7504" xr:uid="{00000000-0005-0000-0000-0000B1290000}"/>
    <cellStyle name="Normal 13 2 5 2 2 2 3 2" xfId="49190" xr:uid="{00000000-0005-0000-0000-0000B2290000}"/>
    <cellStyle name="Normal 13 2 5 2 2 2 3 3" xfId="49191" xr:uid="{00000000-0005-0000-0000-0000B3290000}"/>
    <cellStyle name="Normal 13 2 5 2 2 2 4" xfId="7505" xr:uid="{00000000-0005-0000-0000-0000B4290000}"/>
    <cellStyle name="Normal 13 2 5 2 2 2 4 2" xfId="49192" xr:uid="{00000000-0005-0000-0000-0000B5290000}"/>
    <cellStyle name="Normal 13 2 5 2 2 2 5" xfId="7506" xr:uid="{00000000-0005-0000-0000-0000B6290000}"/>
    <cellStyle name="Normal 13 2 5 2 2 2 6" xfId="7507" xr:uid="{00000000-0005-0000-0000-0000B7290000}"/>
    <cellStyle name="Normal 13 2 5 2 2 2 7" xfId="7508" xr:uid="{00000000-0005-0000-0000-0000B8290000}"/>
    <cellStyle name="Normal 13 2 5 2 2 3" xfId="7509" xr:uid="{00000000-0005-0000-0000-0000B9290000}"/>
    <cellStyle name="Normal 13 2 5 2 2 3 2" xfId="7510" xr:uid="{00000000-0005-0000-0000-0000BA290000}"/>
    <cellStyle name="Normal 13 2 5 2 2 3 2 2" xfId="49193" xr:uid="{00000000-0005-0000-0000-0000BB290000}"/>
    <cellStyle name="Normal 13 2 5 2 2 3 2 3" xfId="49194" xr:uid="{00000000-0005-0000-0000-0000BC290000}"/>
    <cellStyle name="Normal 13 2 5 2 2 3 3" xfId="7511" xr:uid="{00000000-0005-0000-0000-0000BD290000}"/>
    <cellStyle name="Normal 13 2 5 2 2 3 3 2" xfId="49195" xr:uid="{00000000-0005-0000-0000-0000BE290000}"/>
    <cellStyle name="Normal 13 2 5 2 2 3 4" xfId="7512" xr:uid="{00000000-0005-0000-0000-0000BF290000}"/>
    <cellStyle name="Normal 13 2 5 2 2 3 5" xfId="7513" xr:uid="{00000000-0005-0000-0000-0000C0290000}"/>
    <cellStyle name="Normal 13 2 5 2 2 3 6" xfId="7514" xr:uid="{00000000-0005-0000-0000-0000C1290000}"/>
    <cellStyle name="Normal 13 2 5 2 2 4" xfId="7515" xr:uid="{00000000-0005-0000-0000-0000C2290000}"/>
    <cellStyle name="Normal 13 2 5 2 2 4 2" xfId="49196" xr:uid="{00000000-0005-0000-0000-0000C3290000}"/>
    <cellStyle name="Normal 13 2 5 2 2 4 3" xfId="49197" xr:uid="{00000000-0005-0000-0000-0000C4290000}"/>
    <cellStyle name="Normal 13 2 5 2 2 5" xfId="7516" xr:uid="{00000000-0005-0000-0000-0000C5290000}"/>
    <cellStyle name="Normal 13 2 5 2 2 5 2" xfId="49198" xr:uid="{00000000-0005-0000-0000-0000C6290000}"/>
    <cellStyle name="Normal 13 2 5 2 2 6" xfId="7517" xr:uid="{00000000-0005-0000-0000-0000C7290000}"/>
    <cellStyle name="Normal 13 2 5 2 2 7" xfId="7518" xr:uid="{00000000-0005-0000-0000-0000C8290000}"/>
    <cellStyle name="Normal 13 2 5 2 2 8" xfId="7519" xr:uid="{00000000-0005-0000-0000-0000C9290000}"/>
    <cellStyle name="Normal 13 2 5 2 2 9" xfId="7520" xr:uid="{00000000-0005-0000-0000-0000CA290000}"/>
    <cellStyle name="Normal 13 2 5 2 3" xfId="7521" xr:uid="{00000000-0005-0000-0000-0000CB290000}"/>
    <cellStyle name="Normal 13 2 5 2 3 2" xfId="7522" xr:uid="{00000000-0005-0000-0000-0000CC290000}"/>
    <cellStyle name="Normal 13 2 5 2 3 2 2" xfId="7523" xr:uid="{00000000-0005-0000-0000-0000CD290000}"/>
    <cellStyle name="Normal 13 2 5 2 3 2 2 2" xfId="7524" xr:uid="{00000000-0005-0000-0000-0000CE290000}"/>
    <cellStyle name="Normal 13 2 5 2 3 2 2 2 2" xfId="49199" xr:uid="{00000000-0005-0000-0000-0000CF290000}"/>
    <cellStyle name="Normal 13 2 5 2 3 2 2 2 3" xfId="49200" xr:uid="{00000000-0005-0000-0000-0000D0290000}"/>
    <cellStyle name="Normal 13 2 5 2 3 2 2 3" xfId="7525" xr:uid="{00000000-0005-0000-0000-0000D1290000}"/>
    <cellStyle name="Normal 13 2 5 2 3 2 2 3 2" xfId="49201" xr:uid="{00000000-0005-0000-0000-0000D2290000}"/>
    <cellStyle name="Normal 13 2 5 2 3 2 2 4" xfId="7526" xr:uid="{00000000-0005-0000-0000-0000D3290000}"/>
    <cellStyle name="Normal 13 2 5 2 3 2 2 5" xfId="7527" xr:uid="{00000000-0005-0000-0000-0000D4290000}"/>
    <cellStyle name="Normal 13 2 5 2 3 2 2 6" xfId="7528" xr:uid="{00000000-0005-0000-0000-0000D5290000}"/>
    <cellStyle name="Normal 13 2 5 2 3 2 3" xfId="7529" xr:uid="{00000000-0005-0000-0000-0000D6290000}"/>
    <cellStyle name="Normal 13 2 5 2 3 2 3 2" xfId="49202" xr:uid="{00000000-0005-0000-0000-0000D7290000}"/>
    <cellStyle name="Normal 13 2 5 2 3 2 3 3" xfId="49203" xr:uid="{00000000-0005-0000-0000-0000D8290000}"/>
    <cellStyle name="Normal 13 2 5 2 3 2 4" xfId="7530" xr:uid="{00000000-0005-0000-0000-0000D9290000}"/>
    <cellStyle name="Normal 13 2 5 2 3 2 4 2" xfId="49204" xr:uid="{00000000-0005-0000-0000-0000DA290000}"/>
    <cellStyle name="Normal 13 2 5 2 3 2 5" xfId="7531" xr:uid="{00000000-0005-0000-0000-0000DB290000}"/>
    <cellStyle name="Normal 13 2 5 2 3 2 6" xfId="7532" xr:uid="{00000000-0005-0000-0000-0000DC290000}"/>
    <cellStyle name="Normal 13 2 5 2 3 2 7" xfId="7533" xr:uid="{00000000-0005-0000-0000-0000DD290000}"/>
    <cellStyle name="Normal 13 2 5 2 3 3" xfId="7534" xr:uid="{00000000-0005-0000-0000-0000DE290000}"/>
    <cellStyle name="Normal 13 2 5 2 3 3 2" xfId="7535" xr:uid="{00000000-0005-0000-0000-0000DF290000}"/>
    <cellStyle name="Normal 13 2 5 2 3 3 2 2" xfId="49205" xr:uid="{00000000-0005-0000-0000-0000E0290000}"/>
    <cellStyle name="Normal 13 2 5 2 3 3 2 3" xfId="49206" xr:uid="{00000000-0005-0000-0000-0000E1290000}"/>
    <cellStyle name="Normal 13 2 5 2 3 3 3" xfId="7536" xr:uid="{00000000-0005-0000-0000-0000E2290000}"/>
    <cellStyle name="Normal 13 2 5 2 3 3 3 2" xfId="49207" xr:uid="{00000000-0005-0000-0000-0000E3290000}"/>
    <cellStyle name="Normal 13 2 5 2 3 3 4" xfId="7537" xr:uid="{00000000-0005-0000-0000-0000E4290000}"/>
    <cellStyle name="Normal 13 2 5 2 3 3 5" xfId="7538" xr:uid="{00000000-0005-0000-0000-0000E5290000}"/>
    <cellStyle name="Normal 13 2 5 2 3 3 6" xfId="7539" xr:uid="{00000000-0005-0000-0000-0000E6290000}"/>
    <cellStyle name="Normal 13 2 5 2 3 4" xfId="7540" xr:uid="{00000000-0005-0000-0000-0000E7290000}"/>
    <cellStyle name="Normal 13 2 5 2 3 4 2" xfId="49208" xr:uid="{00000000-0005-0000-0000-0000E8290000}"/>
    <cellStyle name="Normal 13 2 5 2 3 4 3" xfId="49209" xr:uid="{00000000-0005-0000-0000-0000E9290000}"/>
    <cellStyle name="Normal 13 2 5 2 3 5" xfId="7541" xr:uid="{00000000-0005-0000-0000-0000EA290000}"/>
    <cellStyle name="Normal 13 2 5 2 3 5 2" xfId="49210" xr:uid="{00000000-0005-0000-0000-0000EB290000}"/>
    <cellStyle name="Normal 13 2 5 2 3 6" xfId="7542" xr:uid="{00000000-0005-0000-0000-0000EC290000}"/>
    <cellStyle name="Normal 13 2 5 2 3 7" xfId="7543" xr:uid="{00000000-0005-0000-0000-0000ED290000}"/>
    <cellStyle name="Normal 13 2 5 2 3 8" xfId="7544" xr:uid="{00000000-0005-0000-0000-0000EE290000}"/>
    <cellStyle name="Normal 13 2 5 2 4" xfId="7545" xr:uid="{00000000-0005-0000-0000-0000EF290000}"/>
    <cellStyle name="Normal 13 2 5 2 4 2" xfId="7546" xr:uid="{00000000-0005-0000-0000-0000F0290000}"/>
    <cellStyle name="Normal 13 2 5 2 4 2 2" xfId="7547" xr:uid="{00000000-0005-0000-0000-0000F1290000}"/>
    <cellStyle name="Normal 13 2 5 2 4 2 2 2" xfId="49211" xr:uid="{00000000-0005-0000-0000-0000F2290000}"/>
    <cellStyle name="Normal 13 2 5 2 4 2 2 3" xfId="49212" xr:uid="{00000000-0005-0000-0000-0000F3290000}"/>
    <cellStyle name="Normal 13 2 5 2 4 2 3" xfId="7548" xr:uid="{00000000-0005-0000-0000-0000F4290000}"/>
    <cellStyle name="Normal 13 2 5 2 4 2 3 2" xfId="49213" xr:uid="{00000000-0005-0000-0000-0000F5290000}"/>
    <cellStyle name="Normal 13 2 5 2 4 2 4" xfId="7549" xr:uid="{00000000-0005-0000-0000-0000F6290000}"/>
    <cellStyle name="Normal 13 2 5 2 4 2 5" xfId="7550" xr:uid="{00000000-0005-0000-0000-0000F7290000}"/>
    <cellStyle name="Normal 13 2 5 2 4 2 6" xfId="7551" xr:uid="{00000000-0005-0000-0000-0000F8290000}"/>
    <cellStyle name="Normal 13 2 5 2 4 3" xfId="7552" xr:uid="{00000000-0005-0000-0000-0000F9290000}"/>
    <cellStyle name="Normal 13 2 5 2 4 3 2" xfId="49214" xr:uid="{00000000-0005-0000-0000-0000FA290000}"/>
    <cellStyle name="Normal 13 2 5 2 4 3 3" xfId="49215" xr:uid="{00000000-0005-0000-0000-0000FB290000}"/>
    <cellStyle name="Normal 13 2 5 2 4 4" xfId="7553" xr:uid="{00000000-0005-0000-0000-0000FC290000}"/>
    <cellStyle name="Normal 13 2 5 2 4 4 2" xfId="49216" xr:uid="{00000000-0005-0000-0000-0000FD290000}"/>
    <cellStyle name="Normal 13 2 5 2 4 5" xfId="7554" xr:uid="{00000000-0005-0000-0000-0000FE290000}"/>
    <cellStyle name="Normal 13 2 5 2 4 6" xfId="7555" xr:uid="{00000000-0005-0000-0000-0000FF290000}"/>
    <cellStyle name="Normal 13 2 5 2 4 7" xfId="7556" xr:uid="{00000000-0005-0000-0000-0000002A0000}"/>
    <cellStyle name="Normal 13 2 5 2 5" xfId="7557" xr:uid="{00000000-0005-0000-0000-0000012A0000}"/>
    <cellStyle name="Normal 13 2 5 2 5 2" xfId="7558" xr:uid="{00000000-0005-0000-0000-0000022A0000}"/>
    <cellStyle name="Normal 13 2 5 2 5 2 2" xfId="49217" xr:uid="{00000000-0005-0000-0000-0000032A0000}"/>
    <cellStyle name="Normal 13 2 5 2 5 2 3" xfId="49218" xr:uid="{00000000-0005-0000-0000-0000042A0000}"/>
    <cellStyle name="Normal 13 2 5 2 5 3" xfId="7559" xr:uid="{00000000-0005-0000-0000-0000052A0000}"/>
    <cellStyle name="Normal 13 2 5 2 5 3 2" xfId="49219" xr:uid="{00000000-0005-0000-0000-0000062A0000}"/>
    <cellStyle name="Normal 13 2 5 2 5 4" xfId="7560" xr:uid="{00000000-0005-0000-0000-0000072A0000}"/>
    <cellStyle name="Normal 13 2 5 2 5 5" xfId="7561" xr:uid="{00000000-0005-0000-0000-0000082A0000}"/>
    <cellStyle name="Normal 13 2 5 2 5 6" xfId="7562" xr:uid="{00000000-0005-0000-0000-0000092A0000}"/>
    <cellStyle name="Normal 13 2 5 2 6" xfId="7563" xr:uid="{00000000-0005-0000-0000-00000A2A0000}"/>
    <cellStyle name="Normal 13 2 5 2 6 2" xfId="49220" xr:uid="{00000000-0005-0000-0000-00000B2A0000}"/>
    <cellStyle name="Normal 13 2 5 2 6 3" xfId="49221" xr:uid="{00000000-0005-0000-0000-00000C2A0000}"/>
    <cellStyle name="Normal 13 2 5 2 7" xfId="7564" xr:uid="{00000000-0005-0000-0000-00000D2A0000}"/>
    <cellStyle name="Normal 13 2 5 2 7 2" xfId="49222" xr:uid="{00000000-0005-0000-0000-00000E2A0000}"/>
    <cellStyle name="Normal 13 2 5 2 8" xfId="7565" xr:uid="{00000000-0005-0000-0000-00000F2A0000}"/>
    <cellStyle name="Normal 13 2 5 2 9" xfId="7566" xr:uid="{00000000-0005-0000-0000-0000102A0000}"/>
    <cellStyle name="Normal 13 2 5 3" xfId="7567" xr:uid="{00000000-0005-0000-0000-0000112A0000}"/>
    <cellStyle name="Normal 13 2 5 3 2" xfId="7568" xr:uid="{00000000-0005-0000-0000-0000122A0000}"/>
    <cellStyle name="Normal 13 2 5 3 2 2" xfId="7569" xr:uid="{00000000-0005-0000-0000-0000132A0000}"/>
    <cellStyle name="Normal 13 2 5 3 2 2 2" xfId="7570" xr:uid="{00000000-0005-0000-0000-0000142A0000}"/>
    <cellStyle name="Normal 13 2 5 3 2 2 2 2" xfId="49223" xr:uid="{00000000-0005-0000-0000-0000152A0000}"/>
    <cellStyle name="Normal 13 2 5 3 2 2 2 3" xfId="49224" xr:uid="{00000000-0005-0000-0000-0000162A0000}"/>
    <cellStyle name="Normal 13 2 5 3 2 2 3" xfId="7571" xr:uid="{00000000-0005-0000-0000-0000172A0000}"/>
    <cellStyle name="Normal 13 2 5 3 2 2 3 2" xfId="49225" xr:uid="{00000000-0005-0000-0000-0000182A0000}"/>
    <cellStyle name="Normal 13 2 5 3 2 2 4" xfId="7572" xr:uid="{00000000-0005-0000-0000-0000192A0000}"/>
    <cellStyle name="Normal 13 2 5 3 2 2 5" xfId="7573" xr:uid="{00000000-0005-0000-0000-00001A2A0000}"/>
    <cellStyle name="Normal 13 2 5 3 2 2 6" xfId="7574" xr:uid="{00000000-0005-0000-0000-00001B2A0000}"/>
    <cellStyle name="Normal 13 2 5 3 2 3" xfId="7575" xr:uid="{00000000-0005-0000-0000-00001C2A0000}"/>
    <cellStyle name="Normal 13 2 5 3 2 3 2" xfId="49226" xr:uid="{00000000-0005-0000-0000-00001D2A0000}"/>
    <cellStyle name="Normal 13 2 5 3 2 3 3" xfId="49227" xr:uid="{00000000-0005-0000-0000-00001E2A0000}"/>
    <cellStyle name="Normal 13 2 5 3 2 4" xfId="7576" xr:uid="{00000000-0005-0000-0000-00001F2A0000}"/>
    <cellStyle name="Normal 13 2 5 3 2 4 2" xfId="49228" xr:uid="{00000000-0005-0000-0000-0000202A0000}"/>
    <cellStyle name="Normal 13 2 5 3 2 5" xfId="7577" xr:uid="{00000000-0005-0000-0000-0000212A0000}"/>
    <cellStyle name="Normal 13 2 5 3 2 6" xfId="7578" xr:uid="{00000000-0005-0000-0000-0000222A0000}"/>
    <cellStyle name="Normal 13 2 5 3 2 7" xfId="7579" xr:uid="{00000000-0005-0000-0000-0000232A0000}"/>
    <cellStyle name="Normal 13 2 5 3 3" xfId="7580" xr:uid="{00000000-0005-0000-0000-0000242A0000}"/>
    <cellStyle name="Normal 13 2 5 3 3 2" xfId="7581" xr:uid="{00000000-0005-0000-0000-0000252A0000}"/>
    <cellStyle name="Normal 13 2 5 3 3 2 2" xfId="49229" xr:uid="{00000000-0005-0000-0000-0000262A0000}"/>
    <cellStyle name="Normal 13 2 5 3 3 2 3" xfId="49230" xr:uid="{00000000-0005-0000-0000-0000272A0000}"/>
    <cellStyle name="Normal 13 2 5 3 3 3" xfId="7582" xr:uid="{00000000-0005-0000-0000-0000282A0000}"/>
    <cellStyle name="Normal 13 2 5 3 3 3 2" xfId="49231" xr:uid="{00000000-0005-0000-0000-0000292A0000}"/>
    <cellStyle name="Normal 13 2 5 3 3 4" xfId="7583" xr:uid="{00000000-0005-0000-0000-00002A2A0000}"/>
    <cellStyle name="Normal 13 2 5 3 3 5" xfId="7584" xr:uid="{00000000-0005-0000-0000-00002B2A0000}"/>
    <cellStyle name="Normal 13 2 5 3 3 6" xfId="7585" xr:uid="{00000000-0005-0000-0000-00002C2A0000}"/>
    <cellStyle name="Normal 13 2 5 3 4" xfId="7586" xr:uid="{00000000-0005-0000-0000-00002D2A0000}"/>
    <cellStyle name="Normal 13 2 5 3 4 2" xfId="49232" xr:uid="{00000000-0005-0000-0000-00002E2A0000}"/>
    <cellStyle name="Normal 13 2 5 3 4 3" xfId="49233" xr:uid="{00000000-0005-0000-0000-00002F2A0000}"/>
    <cellStyle name="Normal 13 2 5 3 5" xfId="7587" xr:uid="{00000000-0005-0000-0000-0000302A0000}"/>
    <cellStyle name="Normal 13 2 5 3 5 2" xfId="49234" xr:uid="{00000000-0005-0000-0000-0000312A0000}"/>
    <cellStyle name="Normal 13 2 5 3 6" xfId="7588" xr:uid="{00000000-0005-0000-0000-0000322A0000}"/>
    <cellStyle name="Normal 13 2 5 3 7" xfId="7589" xr:uid="{00000000-0005-0000-0000-0000332A0000}"/>
    <cellStyle name="Normal 13 2 5 3 8" xfId="7590" xr:uid="{00000000-0005-0000-0000-0000342A0000}"/>
    <cellStyle name="Normal 13 2 5 3 9" xfId="7591" xr:uid="{00000000-0005-0000-0000-0000352A0000}"/>
    <cellStyle name="Normal 13 2 5 4" xfId="7592" xr:uid="{00000000-0005-0000-0000-0000362A0000}"/>
    <cellStyle name="Normal 13 2 5 4 2" xfId="7593" xr:uid="{00000000-0005-0000-0000-0000372A0000}"/>
    <cellStyle name="Normal 13 2 5 4 2 2" xfId="7594" xr:uid="{00000000-0005-0000-0000-0000382A0000}"/>
    <cellStyle name="Normal 13 2 5 4 2 2 2" xfId="7595" xr:uid="{00000000-0005-0000-0000-0000392A0000}"/>
    <cellStyle name="Normal 13 2 5 4 2 2 2 2" xfId="49235" xr:uid="{00000000-0005-0000-0000-00003A2A0000}"/>
    <cellStyle name="Normal 13 2 5 4 2 2 2 3" xfId="49236" xr:uid="{00000000-0005-0000-0000-00003B2A0000}"/>
    <cellStyle name="Normal 13 2 5 4 2 2 3" xfId="7596" xr:uid="{00000000-0005-0000-0000-00003C2A0000}"/>
    <cellStyle name="Normal 13 2 5 4 2 2 3 2" xfId="49237" xr:uid="{00000000-0005-0000-0000-00003D2A0000}"/>
    <cellStyle name="Normal 13 2 5 4 2 2 4" xfId="7597" xr:uid="{00000000-0005-0000-0000-00003E2A0000}"/>
    <cellStyle name="Normal 13 2 5 4 2 2 5" xfId="7598" xr:uid="{00000000-0005-0000-0000-00003F2A0000}"/>
    <cellStyle name="Normal 13 2 5 4 2 2 6" xfId="7599" xr:uid="{00000000-0005-0000-0000-0000402A0000}"/>
    <cellStyle name="Normal 13 2 5 4 2 3" xfId="7600" xr:uid="{00000000-0005-0000-0000-0000412A0000}"/>
    <cellStyle name="Normal 13 2 5 4 2 3 2" xfId="49238" xr:uid="{00000000-0005-0000-0000-0000422A0000}"/>
    <cellStyle name="Normal 13 2 5 4 2 3 3" xfId="49239" xr:uid="{00000000-0005-0000-0000-0000432A0000}"/>
    <cellStyle name="Normal 13 2 5 4 2 4" xfId="7601" xr:uid="{00000000-0005-0000-0000-0000442A0000}"/>
    <cellStyle name="Normal 13 2 5 4 2 4 2" xfId="49240" xr:uid="{00000000-0005-0000-0000-0000452A0000}"/>
    <cellStyle name="Normal 13 2 5 4 2 5" xfId="7602" xr:uid="{00000000-0005-0000-0000-0000462A0000}"/>
    <cellStyle name="Normal 13 2 5 4 2 6" xfId="7603" xr:uid="{00000000-0005-0000-0000-0000472A0000}"/>
    <cellStyle name="Normal 13 2 5 4 2 7" xfId="7604" xr:uid="{00000000-0005-0000-0000-0000482A0000}"/>
    <cellStyle name="Normal 13 2 5 4 3" xfId="7605" xr:uid="{00000000-0005-0000-0000-0000492A0000}"/>
    <cellStyle name="Normal 13 2 5 4 3 2" xfId="7606" xr:uid="{00000000-0005-0000-0000-00004A2A0000}"/>
    <cellStyle name="Normal 13 2 5 4 3 2 2" xfId="49241" xr:uid="{00000000-0005-0000-0000-00004B2A0000}"/>
    <cellStyle name="Normal 13 2 5 4 3 2 3" xfId="49242" xr:uid="{00000000-0005-0000-0000-00004C2A0000}"/>
    <cellStyle name="Normal 13 2 5 4 3 3" xfId="7607" xr:uid="{00000000-0005-0000-0000-00004D2A0000}"/>
    <cellStyle name="Normal 13 2 5 4 3 3 2" xfId="49243" xr:uid="{00000000-0005-0000-0000-00004E2A0000}"/>
    <cellStyle name="Normal 13 2 5 4 3 4" xfId="7608" xr:uid="{00000000-0005-0000-0000-00004F2A0000}"/>
    <cellStyle name="Normal 13 2 5 4 3 5" xfId="7609" xr:uid="{00000000-0005-0000-0000-0000502A0000}"/>
    <cellStyle name="Normal 13 2 5 4 3 6" xfId="7610" xr:uid="{00000000-0005-0000-0000-0000512A0000}"/>
    <cellStyle name="Normal 13 2 5 4 4" xfId="7611" xr:uid="{00000000-0005-0000-0000-0000522A0000}"/>
    <cellStyle name="Normal 13 2 5 4 4 2" xfId="49244" xr:uid="{00000000-0005-0000-0000-0000532A0000}"/>
    <cellStyle name="Normal 13 2 5 4 4 3" xfId="49245" xr:uid="{00000000-0005-0000-0000-0000542A0000}"/>
    <cellStyle name="Normal 13 2 5 4 5" xfId="7612" xr:uid="{00000000-0005-0000-0000-0000552A0000}"/>
    <cellStyle name="Normal 13 2 5 4 5 2" xfId="49246" xr:uid="{00000000-0005-0000-0000-0000562A0000}"/>
    <cellStyle name="Normal 13 2 5 4 6" xfId="7613" xr:uid="{00000000-0005-0000-0000-0000572A0000}"/>
    <cellStyle name="Normal 13 2 5 4 7" xfId="7614" xr:uid="{00000000-0005-0000-0000-0000582A0000}"/>
    <cellStyle name="Normal 13 2 5 4 8" xfId="7615" xr:uid="{00000000-0005-0000-0000-0000592A0000}"/>
    <cellStyle name="Normal 13 2 5 5" xfId="7616" xr:uid="{00000000-0005-0000-0000-00005A2A0000}"/>
    <cellStyle name="Normal 13 2 5 5 2" xfId="7617" xr:uid="{00000000-0005-0000-0000-00005B2A0000}"/>
    <cellStyle name="Normal 13 2 5 5 2 2" xfId="7618" xr:uid="{00000000-0005-0000-0000-00005C2A0000}"/>
    <cellStyle name="Normal 13 2 5 5 2 2 2" xfId="49247" xr:uid="{00000000-0005-0000-0000-00005D2A0000}"/>
    <cellStyle name="Normal 13 2 5 5 2 2 3" xfId="49248" xr:uid="{00000000-0005-0000-0000-00005E2A0000}"/>
    <cellStyle name="Normal 13 2 5 5 2 3" xfId="7619" xr:uid="{00000000-0005-0000-0000-00005F2A0000}"/>
    <cellStyle name="Normal 13 2 5 5 2 3 2" xfId="49249" xr:uid="{00000000-0005-0000-0000-0000602A0000}"/>
    <cellStyle name="Normal 13 2 5 5 2 4" xfId="7620" xr:uid="{00000000-0005-0000-0000-0000612A0000}"/>
    <cellStyle name="Normal 13 2 5 5 2 5" xfId="7621" xr:uid="{00000000-0005-0000-0000-0000622A0000}"/>
    <cellStyle name="Normal 13 2 5 5 2 6" xfId="7622" xr:uid="{00000000-0005-0000-0000-0000632A0000}"/>
    <cellStyle name="Normal 13 2 5 5 3" xfId="7623" xr:uid="{00000000-0005-0000-0000-0000642A0000}"/>
    <cellStyle name="Normal 13 2 5 5 3 2" xfId="49250" xr:uid="{00000000-0005-0000-0000-0000652A0000}"/>
    <cellStyle name="Normal 13 2 5 5 3 3" xfId="49251" xr:uid="{00000000-0005-0000-0000-0000662A0000}"/>
    <cellStyle name="Normal 13 2 5 5 4" xfId="7624" xr:uid="{00000000-0005-0000-0000-0000672A0000}"/>
    <cellStyle name="Normal 13 2 5 5 4 2" xfId="49252" xr:uid="{00000000-0005-0000-0000-0000682A0000}"/>
    <cellStyle name="Normal 13 2 5 5 5" xfId="7625" xr:uid="{00000000-0005-0000-0000-0000692A0000}"/>
    <cellStyle name="Normal 13 2 5 5 6" xfId="7626" xr:uid="{00000000-0005-0000-0000-00006A2A0000}"/>
    <cellStyle name="Normal 13 2 5 5 7" xfId="7627" xr:uid="{00000000-0005-0000-0000-00006B2A0000}"/>
    <cellStyle name="Normal 13 2 5 6" xfId="7628" xr:uid="{00000000-0005-0000-0000-00006C2A0000}"/>
    <cellStyle name="Normal 13 2 5 6 2" xfId="7629" xr:uid="{00000000-0005-0000-0000-00006D2A0000}"/>
    <cellStyle name="Normal 13 2 5 6 2 2" xfId="49253" xr:uid="{00000000-0005-0000-0000-00006E2A0000}"/>
    <cellStyle name="Normal 13 2 5 6 2 3" xfId="49254" xr:uid="{00000000-0005-0000-0000-00006F2A0000}"/>
    <cellStyle name="Normal 13 2 5 6 3" xfId="7630" xr:uid="{00000000-0005-0000-0000-0000702A0000}"/>
    <cellStyle name="Normal 13 2 5 6 3 2" xfId="49255" xr:uid="{00000000-0005-0000-0000-0000712A0000}"/>
    <cellStyle name="Normal 13 2 5 6 4" xfId="7631" xr:uid="{00000000-0005-0000-0000-0000722A0000}"/>
    <cellStyle name="Normal 13 2 5 6 5" xfId="7632" xr:uid="{00000000-0005-0000-0000-0000732A0000}"/>
    <cellStyle name="Normal 13 2 5 6 6" xfId="7633" xr:uid="{00000000-0005-0000-0000-0000742A0000}"/>
    <cellStyle name="Normal 13 2 5 7" xfId="7634" xr:uid="{00000000-0005-0000-0000-0000752A0000}"/>
    <cellStyle name="Normal 13 2 5 7 2" xfId="49256" xr:uid="{00000000-0005-0000-0000-0000762A0000}"/>
    <cellStyle name="Normal 13 2 5 7 3" xfId="49257" xr:uid="{00000000-0005-0000-0000-0000772A0000}"/>
    <cellStyle name="Normal 13 2 5 8" xfId="7635" xr:uid="{00000000-0005-0000-0000-0000782A0000}"/>
    <cellStyle name="Normal 13 2 5 8 2" xfId="49258" xr:uid="{00000000-0005-0000-0000-0000792A0000}"/>
    <cellStyle name="Normal 13 2 5 9" xfId="7636" xr:uid="{00000000-0005-0000-0000-00007A2A0000}"/>
    <cellStyle name="Normal 13 2 6" xfId="7637" xr:uid="{00000000-0005-0000-0000-00007B2A0000}"/>
    <cellStyle name="Normal 13 2 6 10" xfId="7638" xr:uid="{00000000-0005-0000-0000-00007C2A0000}"/>
    <cellStyle name="Normal 13 2 6 11" xfId="7639" xr:uid="{00000000-0005-0000-0000-00007D2A0000}"/>
    <cellStyle name="Normal 13 2 6 12" xfId="7640" xr:uid="{00000000-0005-0000-0000-00007E2A0000}"/>
    <cellStyle name="Normal 13 2 6 13" xfId="7641" xr:uid="{00000000-0005-0000-0000-00007F2A0000}"/>
    <cellStyle name="Normal 13 2 6 14" xfId="7642" xr:uid="{00000000-0005-0000-0000-0000802A0000}"/>
    <cellStyle name="Normal 13 2 6 2" xfId="7643" xr:uid="{00000000-0005-0000-0000-0000812A0000}"/>
    <cellStyle name="Normal 13 2 6 2 2" xfId="7644" xr:uid="{00000000-0005-0000-0000-0000822A0000}"/>
    <cellStyle name="Normal 13 2 6 2 2 2" xfId="7645" xr:uid="{00000000-0005-0000-0000-0000832A0000}"/>
    <cellStyle name="Normal 13 2 6 2 2 2 2" xfId="7646" xr:uid="{00000000-0005-0000-0000-0000842A0000}"/>
    <cellStyle name="Normal 13 2 6 2 2 2 2 2" xfId="49259" xr:uid="{00000000-0005-0000-0000-0000852A0000}"/>
    <cellStyle name="Normal 13 2 6 2 2 2 2 3" xfId="49260" xr:uid="{00000000-0005-0000-0000-0000862A0000}"/>
    <cellStyle name="Normal 13 2 6 2 2 2 3" xfId="7647" xr:uid="{00000000-0005-0000-0000-0000872A0000}"/>
    <cellStyle name="Normal 13 2 6 2 2 2 3 2" xfId="49261" xr:uid="{00000000-0005-0000-0000-0000882A0000}"/>
    <cellStyle name="Normal 13 2 6 2 2 2 4" xfId="7648" xr:uid="{00000000-0005-0000-0000-0000892A0000}"/>
    <cellStyle name="Normal 13 2 6 2 2 2 5" xfId="7649" xr:uid="{00000000-0005-0000-0000-00008A2A0000}"/>
    <cellStyle name="Normal 13 2 6 2 2 2 6" xfId="7650" xr:uid="{00000000-0005-0000-0000-00008B2A0000}"/>
    <cellStyle name="Normal 13 2 6 2 2 3" xfId="7651" xr:uid="{00000000-0005-0000-0000-00008C2A0000}"/>
    <cellStyle name="Normal 13 2 6 2 2 3 2" xfId="49262" xr:uid="{00000000-0005-0000-0000-00008D2A0000}"/>
    <cellStyle name="Normal 13 2 6 2 2 3 3" xfId="49263" xr:uid="{00000000-0005-0000-0000-00008E2A0000}"/>
    <cellStyle name="Normal 13 2 6 2 2 4" xfId="7652" xr:uid="{00000000-0005-0000-0000-00008F2A0000}"/>
    <cellStyle name="Normal 13 2 6 2 2 4 2" xfId="49264" xr:uid="{00000000-0005-0000-0000-0000902A0000}"/>
    <cellStyle name="Normal 13 2 6 2 2 5" xfId="7653" xr:uid="{00000000-0005-0000-0000-0000912A0000}"/>
    <cellStyle name="Normal 13 2 6 2 2 6" xfId="7654" xr:uid="{00000000-0005-0000-0000-0000922A0000}"/>
    <cellStyle name="Normal 13 2 6 2 2 7" xfId="7655" xr:uid="{00000000-0005-0000-0000-0000932A0000}"/>
    <cellStyle name="Normal 13 2 6 2 3" xfId="7656" xr:uid="{00000000-0005-0000-0000-0000942A0000}"/>
    <cellStyle name="Normal 13 2 6 2 3 2" xfId="7657" xr:uid="{00000000-0005-0000-0000-0000952A0000}"/>
    <cellStyle name="Normal 13 2 6 2 3 2 2" xfId="49265" xr:uid="{00000000-0005-0000-0000-0000962A0000}"/>
    <cellStyle name="Normal 13 2 6 2 3 2 3" xfId="49266" xr:uid="{00000000-0005-0000-0000-0000972A0000}"/>
    <cellStyle name="Normal 13 2 6 2 3 3" xfId="7658" xr:uid="{00000000-0005-0000-0000-0000982A0000}"/>
    <cellStyle name="Normal 13 2 6 2 3 3 2" xfId="49267" xr:uid="{00000000-0005-0000-0000-0000992A0000}"/>
    <cellStyle name="Normal 13 2 6 2 3 4" xfId="7659" xr:uid="{00000000-0005-0000-0000-00009A2A0000}"/>
    <cellStyle name="Normal 13 2 6 2 3 5" xfId="7660" xr:uid="{00000000-0005-0000-0000-00009B2A0000}"/>
    <cellStyle name="Normal 13 2 6 2 3 6" xfId="7661" xr:uid="{00000000-0005-0000-0000-00009C2A0000}"/>
    <cellStyle name="Normal 13 2 6 2 4" xfId="7662" xr:uid="{00000000-0005-0000-0000-00009D2A0000}"/>
    <cellStyle name="Normal 13 2 6 2 4 2" xfId="49268" xr:uid="{00000000-0005-0000-0000-00009E2A0000}"/>
    <cellStyle name="Normal 13 2 6 2 4 3" xfId="49269" xr:uid="{00000000-0005-0000-0000-00009F2A0000}"/>
    <cellStyle name="Normal 13 2 6 2 5" xfId="7663" xr:uid="{00000000-0005-0000-0000-0000A02A0000}"/>
    <cellStyle name="Normal 13 2 6 2 5 2" xfId="49270" xr:uid="{00000000-0005-0000-0000-0000A12A0000}"/>
    <cellStyle name="Normal 13 2 6 2 6" xfId="7664" xr:uid="{00000000-0005-0000-0000-0000A22A0000}"/>
    <cellStyle name="Normal 13 2 6 2 7" xfId="7665" xr:uid="{00000000-0005-0000-0000-0000A32A0000}"/>
    <cellStyle name="Normal 13 2 6 2 8" xfId="7666" xr:uid="{00000000-0005-0000-0000-0000A42A0000}"/>
    <cellStyle name="Normal 13 2 6 2 9" xfId="7667" xr:uid="{00000000-0005-0000-0000-0000A52A0000}"/>
    <cellStyle name="Normal 13 2 6 3" xfId="7668" xr:uid="{00000000-0005-0000-0000-0000A62A0000}"/>
    <cellStyle name="Normal 13 2 6 3 2" xfId="7669" xr:uid="{00000000-0005-0000-0000-0000A72A0000}"/>
    <cellStyle name="Normal 13 2 6 3 2 2" xfId="7670" xr:uid="{00000000-0005-0000-0000-0000A82A0000}"/>
    <cellStyle name="Normal 13 2 6 3 2 2 2" xfId="7671" xr:uid="{00000000-0005-0000-0000-0000A92A0000}"/>
    <cellStyle name="Normal 13 2 6 3 2 2 2 2" xfId="49271" xr:uid="{00000000-0005-0000-0000-0000AA2A0000}"/>
    <cellStyle name="Normal 13 2 6 3 2 2 2 3" xfId="49272" xr:uid="{00000000-0005-0000-0000-0000AB2A0000}"/>
    <cellStyle name="Normal 13 2 6 3 2 2 3" xfId="7672" xr:uid="{00000000-0005-0000-0000-0000AC2A0000}"/>
    <cellStyle name="Normal 13 2 6 3 2 2 3 2" xfId="49273" xr:uid="{00000000-0005-0000-0000-0000AD2A0000}"/>
    <cellStyle name="Normal 13 2 6 3 2 2 4" xfId="7673" xr:uid="{00000000-0005-0000-0000-0000AE2A0000}"/>
    <cellStyle name="Normal 13 2 6 3 2 2 5" xfId="7674" xr:uid="{00000000-0005-0000-0000-0000AF2A0000}"/>
    <cellStyle name="Normal 13 2 6 3 2 2 6" xfId="7675" xr:uid="{00000000-0005-0000-0000-0000B02A0000}"/>
    <cellStyle name="Normal 13 2 6 3 2 3" xfId="7676" xr:uid="{00000000-0005-0000-0000-0000B12A0000}"/>
    <cellStyle name="Normal 13 2 6 3 2 3 2" xfId="49274" xr:uid="{00000000-0005-0000-0000-0000B22A0000}"/>
    <cellStyle name="Normal 13 2 6 3 2 3 3" xfId="49275" xr:uid="{00000000-0005-0000-0000-0000B32A0000}"/>
    <cellStyle name="Normal 13 2 6 3 2 4" xfId="7677" xr:uid="{00000000-0005-0000-0000-0000B42A0000}"/>
    <cellStyle name="Normal 13 2 6 3 2 4 2" xfId="49276" xr:uid="{00000000-0005-0000-0000-0000B52A0000}"/>
    <cellStyle name="Normal 13 2 6 3 2 5" xfId="7678" xr:uid="{00000000-0005-0000-0000-0000B62A0000}"/>
    <cellStyle name="Normal 13 2 6 3 2 6" xfId="7679" xr:uid="{00000000-0005-0000-0000-0000B72A0000}"/>
    <cellStyle name="Normal 13 2 6 3 2 7" xfId="7680" xr:uid="{00000000-0005-0000-0000-0000B82A0000}"/>
    <cellStyle name="Normal 13 2 6 3 3" xfId="7681" xr:uid="{00000000-0005-0000-0000-0000B92A0000}"/>
    <cellStyle name="Normal 13 2 6 3 3 2" xfId="7682" xr:uid="{00000000-0005-0000-0000-0000BA2A0000}"/>
    <cellStyle name="Normal 13 2 6 3 3 2 2" xfId="49277" xr:uid="{00000000-0005-0000-0000-0000BB2A0000}"/>
    <cellStyle name="Normal 13 2 6 3 3 2 3" xfId="49278" xr:uid="{00000000-0005-0000-0000-0000BC2A0000}"/>
    <cellStyle name="Normal 13 2 6 3 3 3" xfId="7683" xr:uid="{00000000-0005-0000-0000-0000BD2A0000}"/>
    <cellStyle name="Normal 13 2 6 3 3 3 2" xfId="49279" xr:uid="{00000000-0005-0000-0000-0000BE2A0000}"/>
    <cellStyle name="Normal 13 2 6 3 3 4" xfId="7684" xr:uid="{00000000-0005-0000-0000-0000BF2A0000}"/>
    <cellStyle name="Normal 13 2 6 3 3 5" xfId="7685" xr:uid="{00000000-0005-0000-0000-0000C02A0000}"/>
    <cellStyle name="Normal 13 2 6 3 3 6" xfId="7686" xr:uid="{00000000-0005-0000-0000-0000C12A0000}"/>
    <cellStyle name="Normal 13 2 6 3 4" xfId="7687" xr:uid="{00000000-0005-0000-0000-0000C22A0000}"/>
    <cellStyle name="Normal 13 2 6 3 4 2" xfId="49280" xr:uid="{00000000-0005-0000-0000-0000C32A0000}"/>
    <cellStyle name="Normal 13 2 6 3 4 3" xfId="49281" xr:uid="{00000000-0005-0000-0000-0000C42A0000}"/>
    <cellStyle name="Normal 13 2 6 3 5" xfId="7688" xr:uid="{00000000-0005-0000-0000-0000C52A0000}"/>
    <cellStyle name="Normal 13 2 6 3 5 2" xfId="49282" xr:uid="{00000000-0005-0000-0000-0000C62A0000}"/>
    <cellStyle name="Normal 13 2 6 3 6" xfId="7689" xr:uid="{00000000-0005-0000-0000-0000C72A0000}"/>
    <cellStyle name="Normal 13 2 6 3 7" xfId="7690" xr:uid="{00000000-0005-0000-0000-0000C82A0000}"/>
    <cellStyle name="Normal 13 2 6 3 8" xfId="7691" xr:uid="{00000000-0005-0000-0000-0000C92A0000}"/>
    <cellStyle name="Normal 13 2 6 4" xfId="7692" xr:uid="{00000000-0005-0000-0000-0000CA2A0000}"/>
    <cellStyle name="Normal 13 2 6 4 2" xfId="7693" xr:uid="{00000000-0005-0000-0000-0000CB2A0000}"/>
    <cellStyle name="Normal 13 2 6 4 2 2" xfId="7694" xr:uid="{00000000-0005-0000-0000-0000CC2A0000}"/>
    <cellStyle name="Normal 13 2 6 4 2 2 2" xfId="49283" xr:uid="{00000000-0005-0000-0000-0000CD2A0000}"/>
    <cellStyle name="Normal 13 2 6 4 2 2 3" xfId="49284" xr:uid="{00000000-0005-0000-0000-0000CE2A0000}"/>
    <cellStyle name="Normal 13 2 6 4 2 3" xfId="7695" xr:uid="{00000000-0005-0000-0000-0000CF2A0000}"/>
    <cellStyle name="Normal 13 2 6 4 2 3 2" xfId="49285" xr:uid="{00000000-0005-0000-0000-0000D02A0000}"/>
    <cellStyle name="Normal 13 2 6 4 2 4" xfId="7696" xr:uid="{00000000-0005-0000-0000-0000D12A0000}"/>
    <cellStyle name="Normal 13 2 6 4 2 5" xfId="7697" xr:uid="{00000000-0005-0000-0000-0000D22A0000}"/>
    <cellStyle name="Normal 13 2 6 4 2 6" xfId="7698" xr:uid="{00000000-0005-0000-0000-0000D32A0000}"/>
    <cellStyle name="Normal 13 2 6 4 3" xfId="7699" xr:uid="{00000000-0005-0000-0000-0000D42A0000}"/>
    <cellStyle name="Normal 13 2 6 4 3 2" xfId="49286" xr:uid="{00000000-0005-0000-0000-0000D52A0000}"/>
    <cellStyle name="Normal 13 2 6 4 3 3" xfId="49287" xr:uid="{00000000-0005-0000-0000-0000D62A0000}"/>
    <cellStyle name="Normal 13 2 6 4 4" xfId="7700" xr:uid="{00000000-0005-0000-0000-0000D72A0000}"/>
    <cellStyle name="Normal 13 2 6 4 4 2" xfId="49288" xr:uid="{00000000-0005-0000-0000-0000D82A0000}"/>
    <cellStyle name="Normal 13 2 6 4 5" xfId="7701" xr:uid="{00000000-0005-0000-0000-0000D92A0000}"/>
    <cellStyle name="Normal 13 2 6 4 6" xfId="7702" xr:uid="{00000000-0005-0000-0000-0000DA2A0000}"/>
    <cellStyle name="Normal 13 2 6 4 7" xfId="7703" xr:uid="{00000000-0005-0000-0000-0000DB2A0000}"/>
    <cellStyle name="Normal 13 2 6 5" xfId="7704" xr:uid="{00000000-0005-0000-0000-0000DC2A0000}"/>
    <cellStyle name="Normal 13 2 6 5 2" xfId="7705" xr:uid="{00000000-0005-0000-0000-0000DD2A0000}"/>
    <cellStyle name="Normal 13 2 6 5 2 2" xfId="49289" xr:uid="{00000000-0005-0000-0000-0000DE2A0000}"/>
    <cellStyle name="Normal 13 2 6 5 2 3" xfId="49290" xr:uid="{00000000-0005-0000-0000-0000DF2A0000}"/>
    <cellStyle name="Normal 13 2 6 5 3" xfId="7706" xr:uid="{00000000-0005-0000-0000-0000E02A0000}"/>
    <cellStyle name="Normal 13 2 6 5 3 2" xfId="49291" xr:uid="{00000000-0005-0000-0000-0000E12A0000}"/>
    <cellStyle name="Normal 13 2 6 5 4" xfId="7707" xr:uid="{00000000-0005-0000-0000-0000E22A0000}"/>
    <cellStyle name="Normal 13 2 6 5 5" xfId="7708" xr:uid="{00000000-0005-0000-0000-0000E32A0000}"/>
    <cellStyle name="Normal 13 2 6 5 6" xfId="7709" xr:uid="{00000000-0005-0000-0000-0000E42A0000}"/>
    <cellStyle name="Normal 13 2 6 6" xfId="7710" xr:uid="{00000000-0005-0000-0000-0000E52A0000}"/>
    <cellStyle name="Normal 13 2 6 6 2" xfId="49292" xr:uid="{00000000-0005-0000-0000-0000E62A0000}"/>
    <cellStyle name="Normal 13 2 6 6 3" xfId="49293" xr:uid="{00000000-0005-0000-0000-0000E72A0000}"/>
    <cellStyle name="Normal 13 2 6 7" xfId="7711" xr:uid="{00000000-0005-0000-0000-0000E82A0000}"/>
    <cellStyle name="Normal 13 2 6 7 2" xfId="49294" xr:uid="{00000000-0005-0000-0000-0000E92A0000}"/>
    <cellStyle name="Normal 13 2 6 8" xfId="7712" xr:uid="{00000000-0005-0000-0000-0000EA2A0000}"/>
    <cellStyle name="Normal 13 2 6 9" xfId="7713" xr:uid="{00000000-0005-0000-0000-0000EB2A0000}"/>
    <cellStyle name="Normal 13 2 7" xfId="7714" xr:uid="{00000000-0005-0000-0000-0000EC2A0000}"/>
    <cellStyle name="Normal 13 2 7 10" xfId="7715" xr:uid="{00000000-0005-0000-0000-0000ED2A0000}"/>
    <cellStyle name="Normal 13 2 7 11" xfId="7716" xr:uid="{00000000-0005-0000-0000-0000EE2A0000}"/>
    <cellStyle name="Normal 13 2 7 12" xfId="7717" xr:uid="{00000000-0005-0000-0000-0000EF2A0000}"/>
    <cellStyle name="Normal 13 2 7 13" xfId="7718" xr:uid="{00000000-0005-0000-0000-0000F02A0000}"/>
    <cellStyle name="Normal 13 2 7 14" xfId="7719" xr:uid="{00000000-0005-0000-0000-0000F12A0000}"/>
    <cellStyle name="Normal 13 2 7 2" xfId="7720" xr:uid="{00000000-0005-0000-0000-0000F22A0000}"/>
    <cellStyle name="Normal 13 2 7 2 2" xfId="7721" xr:uid="{00000000-0005-0000-0000-0000F32A0000}"/>
    <cellStyle name="Normal 13 2 7 2 2 2" xfId="7722" xr:uid="{00000000-0005-0000-0000-0000F42A0000}"/>
    <cellStyle name="Normal 13 2 7 2 2 2 2" xfId="7723" xr:uid="{00000000-0005-0000-0000-0000F52A0000}"/>
    <cellStyle name="Normal 13 2 7 2 2 2 2 2" xfId="49295" xr:uid="{00000000-0005-0000-0000-0000F62A0000}"/>
    <cellStyle name="Normal 13 2 7 2 2 2 2 3" xfId="49296" xr:uid="{00000000-0005-0000-0000-0000F72A0000}"/>
    <cellStyle name="Normal 13 2 7 2 2 2 3" xfId="7724" xr:uid="{00000000-0005-0000-0000-0000F82A0000}"/>
    <cellStyle name="Normal 13 2 7 2 2 2 3 2" xfId="49297" xr:uid="{00000000-0005-0000-0000-0000F92A0000}"/>
    <cellStyle name="Normal 13 2 7 2 2 2 4" xfId="7725" xr:uid="{00000000-0005-0000-0000-0000FA2A0000}"/>
    <cellStyle name="Normal 13 2 7 2 2 2 5" xfId="7726" xr:uid="{00000000-0005-0000-0000-0000FB2A0000}"/>
    <cellStyle name="Normal 13 2 7 2 2 2 6" xfId="7727" xr:uid="{00000000-0005-0000-0000-0000FC2A0000}"/>
    <cellStyle name="Normal 13 2 7 2 2 3" xfId="7728" xr:uid="{00000000-0005-0000-0000-0000FD2A0000}"/>
    <cellStyle name="Normal 13 2 7 2 2 3 2" xfId="49298" xr:uid="{00000000-0005-0000-0000-0000FE2A0000}"/>
    <cellStyle name="Normal 13 2 7 2 2 3 3" xfId="49299" xr:uid="{00000000-0005-0000-0000-0000FF2A0000}"/>
    <cellStyle name="Normal 13 2 7 2 2 4" xfId="7729" xr:uid="{00000000-0005-0000-0000-0000002B0000}"/>
    <cellStyle name="Normal 13 2 7 2 2 4 2" xfId="49300" xr:uid="{00000000-0005-0000-0000-0000012B0000}"/>
    <cellStyle name="Normal 13 2 7 2 2 5" xfId="7730" xr:uid="{00000000-0005-0000-0000-0000022B0000}"/>
    <cellStyle name="Normal 13 2 7 2 2 6" xfId="7731" xr:uid="{00000000-0005-0000-0000-0000032B0000}"/>
    <cellStyle name="Normal 13 2 7 2 2 7" xfId="7732" xr:uid="{00000000-0005-0000-0000-0000042B0000}"/>
    <cellStyle name="Normal 13 2 7 2 3" xfId="7733" xr:uid="{00000000-0005-0000-0000-0000052B0000}"/>
    <cellStyle name="Normal 13 2 7 2 3 2" xfId="7734" xr:uid="{00000000-0005-0000-0000-0000062B0000}"/>
    <cellStyle name="Normal 13 2 7 2 3 2 2" xfId="49301" xr:uid="{00000000-0005-0000-0000-0000072B0000}"/>
    <cellStyle name="Normal 13 2 7 2 3 2 3" xfId="49302" xr:uid="{00000000-0005-0000-0000-0000082B0000}"/>
    <cellStyle name="Normal 13 2 7 2 3 3" xfId="7735" xr:uid="{00000000-0005-0000-0000-0000092B0000}"/>
    <cellStyle name="Normal 13 2 7 2 3 3 2" xfId="49303" xr:uid="{00000000-0005-0000-0000-00000A2B0000}"/>
    <cellStyle name="Normal 13 2 7 2 3 4" xfId="7736" xr:uid="{00000000-0005-0000-0000-00000B2B0000}"/>
    <cellStyle name="Normal 13 2 7 2 3 5" xfId="7737" xr:uid="{00000000-0005-0000-0000-00000C2B0000}"/>
    <cellStyle name="Normal 13 2 7 2 3 6" xfId="7738" xr:uid="{00000000-0005-0000-0000-00000D2B0000}"/>
    <cellStyle name="Normal 13 2 7 2 4" xfId="7739" xr:uid="{00000000-0005-0000-0000-00000E2B0000}"/>
    <cellStyle name="Normal 13 2 7 2 4 2" xfId="49304" xr:uid="{00000000-0005-0000-0000-00000F2B0000}"/>
    <cellStyle name="Normal 13 2 7 2 4 3" xfId="49305" xr:uid="{00000000-0005-0000-0000-0000102B0000}"/>
    <cellStyle name="Normal 13 2 7 2 5" xfId="7740" xr:uid="{00000000-0005-0000-0000-0000112B0000}"/>
    <cellStyle name="Normal 13 2 7 2 5 2" xfId="49306" xr:uid="{00000000-0005-0000-0000-0000122B0000}"/>
    <cellStyle name="Normal 13 2 7 2 6" xfId="7741" xr:uid="{00000000-0005-0000-0000-0000132B0000}"/>
    <cellStyle name="Normal 13 2 7 2 7" xfId="7742" xr:uid="{00000000-0005-0000-0000-0000142B0000}"/>
    <cellStyle name="Normal 13 2 7 2 8" xfId="7743" xr:uid="{00000000-0005-0000-0000-0000152B0000}"/>
    <cellStyle name="Normal 13 2 7 2 9" xfId="7744" xr:uid="{00000000-0005-0000-0000-0000162B0000}"/>
    <cellStyle name="Normal 13 2 7 3" xfId="7745" xr:uid="{00000000-0005-0000-0000-0000172B0000}"/>
    <cellStyle name="Normal 13 2 7 3 2" xfId="7746" xr:uid="{00000000-0005-0000-0000-0000182B0000}"/>
    <cellStyle name="Normal 13 2 7 3 2 2" xfId="7747" xr:uid="{00000000-0005-0000-0000-0000192B0000}"/>
    <cellStyle name="Normal 13 2 7 3 2 2 2" xfId="7748" xr:uid="{00000000-0005-0000-0000-00001A2B0000}"/>
    <cellStyle name="Normal 13 2 7 3 2 2 2 2" xfId="49307" xr:uid="{00000000-0005-0000-0000-00001B2B0000}"/>
    <cellStyle name="Normal 13 2 7 3 2 2 2 3" xfId="49308" xr:uid="{00000000-0005-0000-0000-00001C2B0000}"/>
    <cellStyle name="Normal 13 2 7 3 2 2 3" xfId="7749" xr:uid="{00000000-0005-0000-0000-00001D2B0000}"/>
    <cellStyle name="Normal 13 2 7 3 2 2 3 2" xfId="49309" xr:uid="{00000000-0005-0000-0000-00001E2B0000}"/>
    <cellStyle name="Normal 13 2 7 3 2 2 4" xfId="7750" xr:uid="{00000000-0005-0000-0000-00001F2B0000}"/>
    <cellStyle name="Normal 13 2 7 3 2 2 5" xfId="7751" xr:uid="{00000000-0005-0000-0000-0000202B0000}"/>
    <cellStyle name="Normal 13 2 7 3 2 2 6" xfId="7752" xr:uid="{00000000-0005-0000-0000-0000212B0000}"/>
    <cellStyle name="Normal 13 2 7 3 2 3" xfId="7753" xr:uid="{00000000-0005-0000-0000-0000222B0000}"/>
    <cellStyle name="Normal 13 2 7 3 2 3 2" xfId="49310" xr:uid="{00000000-0005-0000-0000-0000232B0000}"/>
    <cellStyle name="Normal 13 2 7 3 2 3 3" xfId="49311" xr:uid="{00000000-0005-0000-0000-0000242B0000}"/>
    <cellStyle name="Normal 13 2 7 3 2 4" xfId="7754" xr:uid="{00000000-0005-0000-0000-0000252B0000}"/>
    <cellStyle name="Normal 13 2 7 3 2 4 2" xfId="49312" xr:uid="{00000000-0005-0000-0000-0000262B0000}"/>
    <cellStyle name="Normal 13 2 7 3 2 5" xfId="7755" xr:uid="{00000000-0005-0000-0000-0000272B0000}"/>
    <cellStyle name="Normal 13 2 7 3 2 6" xfId="7756" xr:uid="{00000000-0005-0000-0000-0000282B0000}"/>
    <cellStyle name="Normal 13 2 7 3 2 7" xfId="7757" xr:uid="{00000000-0005-0000-0000-0000292B0000}"/>
    <cellStyle name="Normal 13 2 7 3 3" xfId="7758" xr:uid="{00000000-0005-0000-0000-00002A2B0000}"/>
    <cellStyle name="Normal 13 2 7 3 3 2" xfId="7759" xr:uid="{00000000-0005-0000-0000-00002B2B0000}"/>
    <cellStyle name="Normal 13 2 7 3 3 2 2" xfId="49313" xr:uid="{00000000-0005-0000-0000-00002C2B0000}"/>
    <cellStyle name="Normal 13 2 7 3 3 2 3" xfId="49314" xr:uid="{00000000-0005-0000-0000-00002D2B0000}"/>
    <cellStyle name="Normal 13 2 7 3 3 3" xfId="7760" xr:uid="{00000000-0005-0000-0000-00002E2B0000}"/>
    <cellStyle name="Normal 13 2 7 3 3 3 2" xfId="49315" xr:uid="{00000000-0005-0000-0000-00002F2B0000}"/>
    <cellStyle name="Normal 13 2 7 3 3 4" xfId="7761" xr:uid="{00000000-0005-0000-0000-0000302B0000}"/>
    <cellStyle name="Normal 13 2 7 3 3 5" xfId="7762" xr:uid="{00000000-0005-0000-0000-0000312B0000}"/>
    <cellStyle name="Normal 13 2 7 3 3 6" xfId="7763" xr:uid="{00000000-0005-0000-0000-0000322B0000}"/>
    <cellStyle name="Normal 13 2 7 3 4" xfId="7764" xr:uid="{00000000-0005-0000-0000-0000332B0000}"/>
    <cellStyle name="Normal 13 2 7 3 4 2" xfId="49316" xr:uid="{00000000-0005-0000-0000-0000342B0000}"/>
    <cellStyle name="Normal 13 2 7 3 4 3" xfId="49317" xr:uid="{00000000-0005-0000-0000-0000352B0000}"/>
    <cellStyle name="Normal 13 2 7 3 5" xfId="7765" xr:uid="{00000000-0005-0000-0000-0000362B0000}"/>
    <cellStyle name="Normal 13 2 7 3 5 2" xfId="49318" xr:uid="{00000000-0005-0000-0000-0000372B0000}"/>
    <cellStyle name="Normal 13 2 7 3 6" xfId="7766" xr:uid="{00000000-0005-0000-0000-0000382B0000}"/>
    <cellStyle name="Normal 13 2 7 3 7" xfId="7767" xr:uid="{00000000-0005-0000-0000-0000392B0000}"/>
    <cellStyle name="Normal 13 2 7 3 8" xfId="7768" xr:uid="{00000000-0005-0000-0000-00003A2B0000}"/>
    <cellStyle name="Normal 13 2 7 4" xfId="7769" xr:uid="{00000000-0005-0000-0000-00003B2B0000}"/>
    <cellStyle name="Normal 13 2 7 4 2" xfId="7770" xr:uid="{00000000-0005-0000-0000-00003C2B0000}"/>
    <cellStyle name="Normal 13 2 7 4 2 2" xfId="7771" xr:uid="{00000000-0005-0000-0000-00003D2B0000}"/>
    <cellStyle name="Normal 13 2 7 4 2 2 2" xfId="49319" xr:uid="{00000000-0005-0000-0000-00003E2B0000}"/>
    <cellStyle name="Normal 13 2 7 4 2 2 3" xfId="49320" xr:uid="{00000000-0005-0000-0000-00003F2B0000}"/>
    <cellStyle name="Normal 13 2 7 4 2 3" xfId="7772" xr:uid="{00000000-0005-0000-0000-0000402B0000}"/>
    <cellStyle name="Normal 13 2 7 4 2 3 2" xfId="49321" xr:uid="{00000000-0005-0000-0000-0000412B0000}"/>
    <cellStyle name="Normal 13 2 7 4 2 4" xfId="7773" xr:uid="{00000000-0005-0000-0000-0000422B0000}"/>
    <cellStyle name="Normal 13 2 7 4 2 5" xfId="7774" xr:uid="{00000000-0005-0000-0000-0000432B0000}"/>
    <cellStyle name="Normal 13 2 7 4 2 6" xfId="7775" xr:uid="{00000000-0005-0000-0000-0000442B0000}"/>
    <cellStyle name="Normal 13 2 7 4 3" xfId="7776" xr:uid="{00000000-0005-0000-0000-0000452B0000}"/>
    <cellStyle name="Normal 13 2 7 4 3 2" xfId="49322" xr:uid="{00000000-0005-0000-0000-0000462B0000}"/>
    <cellStyle name="Normal 13 2 7 4 3 3" xfId="49323" xr:uid="{00000000-0005-0000-0000-0000472B0000}"/>
    <cellStyle name="Normal 13 2 7 4 4" xfId="7777" xr:uid="{00000000-0005-0000-0000-0000482B0000}"/>
    <cellStyle name="Normal 13 2 7 4 4 2" xfId="49324" xr:uid="{00000000-0005-0000-0000-0000492B0000}"/>
    <cellStyle name="Normal 13 2 7 4 5" xfId="7778" xr:uid="{00000000-0005-0000-0000-00004A2B0000}"/>
    <cellStyle name="Normal 13 2 7 4 6" xfId="7779" xr:uid="{00000000-0005-0000-0000-00004B2B0000}"/>
    <cellStyle name="Normal 13 2 7 4 7" xfId="7780" xr:uid="{00000000-0005-0000-0000-00004C2B0000}"/>
    <cellStyle name="Normal 13 2 7 5" xfId="7781" xr:uid="{00000000-0005-0000-0000-00004D2B0000}"/>
    <cellStyle name="Normal 13 2 7 5 2" xfId="7782" xr:uid="{00000000-0005-0000-0000-00004E2B0000}"/>
    <cellStyle name="Normal 13 2 7 5 2 2" xfId="49325" xr:uid="{00000000-0005-0000-0000-00004F2B0000}"/>
    <cellStyle name="Normal 13 2 7 5 2 3" xfId="49326" xr:uid="{00000000-0005-0000-0000-0000502B0000}"/>
    <cellStyle name="Normal 13 2 7 5 3" xfId="7783" xr:uid="{00000000-0005-0000-0000-0000512B0000}"/>
    <cellStyle name="Normal 13 2 7 5 3 2" xfId="49327" xr:uid="{00000000-0005-0000-0000-0000522B0000}"/>
    <cellStyle name="Normal 13 2 7 5 4" xfId="7784" xr:uid="{00000000-0005-0000-0000-0000532B0000}"/>
    <cellStyle name="Normal 13 2 7 5 5" xfId="7785" xr:uid="{00000000-0005-0000-0000-0000542B0000}"/>
    <cellStyle name="Normal 13 2 7 5 6" xfId="7786" xr:uid="{00000000-0005-0000-0000-0000552B0000}"/>
    <cellStyle name="Normal 13 2 7 6" xfId="7787" xr:uid="{00000000-0005-0000-0000-0000562B0000}"/>
    <cellStyle name="Normal 13 2 7 6 2" xfId="49328" xr:uid="{00000000-0005-0000-0000-0000572B0000}"/>
    <cellStyle name="Normal 13 2 7 6 3" xfId="49329" xr:uid="{00000000-0005-0000-0000-0000582B0000}"/>
    <cellStyle name="Normal 13 2 7 7" xfId="7788" xr:uid="{00000000-0005-0000-0000-0000592B0000}"/>
    <cellStyle name="Normal 13 2 7 7 2" xfId="49330" xr:uid="{00000000-0005-0000-0000-00005A2B0000}"/>
    <cellStyle name="Normal 13 2 7 8" xfId="7789" xr:uid="{00000000-0005-0000-0000-00005B2B0000}"/>
    <cellStyle name="Normal 13 2 7 9" xfId="7790" xr:uid="{00000000-0005-0000-0000-00005C2B0000}"/>
    <cellStyle name="Normal 13 2 8" xfId="7791" xr:uid="{00000000-0005-0000-0000-00005D2B0000}"/>
    <cellStyle name="Normal 13 2 8 10" xfId="7792" xr:uid="{00000000-0005-0000-0000-00005E2B0000}"/>
    <cellStyle name="Normal 13 2 8 11" xfId="7793" xr:uid="{00000000-0005-0000-0000-00005F2B0000}"/>
    <cellStyle name="Normal 13 2 8 12" xfId="7794" xr:uid="{00000000-0005-0000-0000-0000602B0000}"/>
    <cellStyle name="Normal 13 2 8 13" xfId="7795" xr:uid="{00000000-0005-0000-0000-0000612B0000}"/>
    <cellStyle name="Normal 13 2 8 2" xfId="7796" xr:uid="{00000000-0005-0000-0000-0000622B0000}"/>
    <cellStyle name="Normal 13 2 8 2 2" xfId="7797" xr:uid="{00000000-0005-0000-0000-0000632B0000}"/>
    <cellStyle name="Normal 13 2 8 2 2 2" xfId="7798" xr:uid="{00000000-0005-0000-0000-0000642B0000}"/>
    <cellStyle name="Normal 13 2 8 2 2 2 2" xfId="7799" xr:uid="{00000000-0005-0000-0000-0000652B0000}"/>
    <cellStyle name="Normal 13 2 8 2 2 2 2 2" xfId="49331" xr:uid="{00000000-0005-0000-0000-0000662B0000}"/>
    <cellStyle name="Normal 13 2 8 2 2 2 2 3" xfId="49332" xr:uid="{00000000-0005-0000-0000-0000672B0000}"/>
    <cellStyle name="Normal 13 2 8 2 2 2 3" xfId="7800" xr:uid="{00000000-0005-0000-0000-0000682B0000}"/>
    <cellStyle name="Normal 13 2 8 2 2 2 3 2" xfId="49333" xr:uid="{00000000-0005-0000-0000-0000692B0000}"/>
    <cellStyle name="Normal 13 2 8 2 2 2 4" xfId="7801" xr:uid="{00000000-0005-0000-0000-00006A2B0000}"/>
    <cellStyle name="Normal 13 2 8 2 2 2 5" xfId="7802" xr:uid="{00000000-0005-0000-0000-00006B2B0000}"/>
    <cellStyle name="Normal 13 2 8 2 2 2 6" xfId="7803" xr:uid="{00000000-0005-0000-0000-00006C2B0000}"/>
    <cellStyle name="Normal 13 2 8 2 2 3" xfId="7804" xr:uid="{00000000-0005-0000-0000-00006D2B0000}"/>
    <cellStyle name="Normal 13 2 8 2 2 3 2" xfId="49334" xr:uid="{00000000-0005-0000-0000-00006E2B0000}"/>
    <cellStyle name="Normal 13 2 8 2 2 3 3" xfId="49335" xr:uid="{00000000-0005-0000-0000-00006F2B0000}"/>
    <cellStyle name="Normal 13 2 8 2 2 4" xfId="7805" xr:uid="{00000000-0005-0000-0000-0000702B0000}"/>
    <cellStyle name="Normal 13 2 8 2 2 4 2" xfId="49336" xr:uid="{00000000-0005-0000-0000-0000712B0000}"/>
    <cellStyle name="Normal 13 2 8 2 2 5" xfId="7806" xr:uid="{00000000-0005-0000-0000-0000722B0000}"/>
    <cellStyle name="Normal 13 2 8 2 2 6" xfId="7807" xr:uid="{00000000-0005-0000-0000-0000732B0000}"/>
    <cellStyle name="Normal 13 2 8 2 2 7" xfId="7808" xr:uid="{00000000-0005-0000-0000-0000742B0000}"/>
    <cellStyle name="Normal 13 2 8 2 3" xfId="7809" xr:uid="{00000000-0005-0000-0000-0000752B0000}"/>
    <cellStyle name="Normal 13 2 8 2 3 2" xfId="7810" xr:uid="{00000000-0005-0000-0000-0000762B0000}"/>
    <cellStyle name="Normal 13 2 8 2 3 2 2" xfId="49337" xr:uid="{00000000-0005-0000-0000-0000772B0000}"/>
    <cellStyle name="Normal 13 2 8 2 3 2 3" xfId="49338" xr:uid="{00000000-0005-0000-0000-0000782B0000}"/>
    <cellStyle name="Normal 13 2 8 2 3 3" xfId="7811" xr:uid="{00000000-0005-0000-0000-0000792B0000}"/>
    <cellStyle name="Normal 13 2 8 2 3 3 2" xfId="49339" xr:uid="{00000000-0005-0000-0000-00007A2B0000}"/>
    <cellStyle name="Normal 13 2 8 2 3 4" xfId="7812" xr:uid="{00000000-0005-0000-0000-00007B2B0000}"/>
    <cellStyle name="Normal 13 2 8 2 3 5" xfId="7813" xr:uid="{00000000-0005-0000-0000-00007C2B0000}"/>
    <cellStyle name="Normal 13 2 8 2 3 6" xfId="7814" xr:uid="{00000000-0005-0000-0000-00007D2B0000}"/>
    <cellStyle name="Normal 13 2 8 2 4" xfId="7815" xr:uid="{00000000-0005-0000-0000-00007E2B0000}"/>
    <cellStyle name="Normal 13 2 8 2 4 2" xfId="49340" xr:uid="{00000000-0005-0000-0000-00007F2B0000}"/>
    <cellStyle name="Normal 13 2 8 2 4 3" xfId="49341" xr:uid="{00000000-0005-0000-0000-0000802B0000}"/>
    <cellStyle name="Normal 13 2 8 2 5" xfId="7816" xr:uid="{00000000-0005-0000-0000-0000812B0000}"/>
    <cellStyle name="Normal 13 2 8 2 5 2" xfId="49342" xr:uid="{00000000-0005-0000-0000-0000822B0000}"/>
    <cellStyle name="Normal 13 2 8 2 6" xfId="7817" xr:uid="{00000000-0005-0000-0000-0000832B0000}"/>
    <cellStyle name="Normal 13 2 8 2 7" xfId="7818" xr:uid="{00000000-0005-0000-0000-0000842B0000}"/>
    <cellStyle name="Normal 13 2 8 2 8" xfId="7819" xr:uid="{00000000-0005-0000-0000-0000852B0000}"/>
    <cellStyle name="Normal 13 2 8 2 9" xfId="7820" xr:uid="{00000000-0005-0000-0000-0000862B0000}"/>
    <cellStyle name="Normal 13 2 8 3" xfId="7821" xr:uid="{00000000-0005-0000-0000-0000872B0000}"/>
    <cellStyle name="Normal 13 2 8 3 2" xfId="7822" xr:uid="{00000000-0005-0000-0000-0000882B0000}"/>
    <cellStyle name="Normal 13 2 8 3 2 2" xfId="7823" xr:uid="{00000000-0005-0000-0000-0000892B0000}"/>
    <cellStyle name="Normal 13 2 8 3 2 2 2" xfId="49343" xr:uid="{00000000-0005-0000-0000-00008A2B0000}"/>
    <cellStyle name="Normal 13 2 8 3 2 2 3" xfId="49344" xr:uid="{00000000-0005-0000-0000-00008B2B0000}"/>
    <cellStyle name="Normal 13 2 8 3 2 3" xfId="7824" xr:uid="{00000000-0005-0000-0000-00008C2B0000}"/>
    <cellStyle name="Normal 13 2 8 3 2 3 2" xfId="49345" xr:uid="{00000000-0005-0000-0000-00008D2B0000}"/>
    <cellStyle name="Normal 13 2 8 3 2 4" xfId="7825" xr:uid="{00000000-0005-0000-0000-00008E2B0000}"/>
    <cellStyle name="Normal 13 2 8 3 2 5" xfId="7826" xr:uid="{00000000-0005-0000-0000-00008F2B0000}"/>
    <cellStyle name="Normal 13 2 8 3 2 6" xfId="7827" xr:uid="{00000000-0005-0000-0000-0000902B0000}"/>
    <cellStyle name="Normal 13 2 8 3 3" xfId="7828" xr:uid="{00000000-0005-0000-0000-0000912B0000}"/>
    <cellStyle name="Normal 13 2 8 3 3 2" xfId="49346" xr:uid="{00000000-0005-0000-0000-0000922B0000}"/>
    <cellStyle name="Normal 13 2 8 3 3 3" xfId="49347" xr:uid="{00000000-0005-0000-0000-0000932B0000}"/>
    <cellStyle name="Normal 13 2 8 3 4" xfId="7829" xr:uid="{00000000-0005-0000-0000-0000942B0000}"/>
    <cellStyle name="Normal 13 2 8 3 4 2" xfId="49348" xr:uid="{00000000-0005-0000-0000-0000952B0000}"/>
    <cellStyle name="Normal 13 2 8 3 5" xfId="7830" xr:uid="{00000000-0005-0000-0000-0000962B0000}"/>
    <cellStyle name="Normal 13 2 8 3 6" xfId="7831" xr:uid="{00000000-0005-0000-0000-0000972B0000}"/>
    <cellStyle name="Normal 13 2 8 3 7" xfId="7832" xr:uid="{00000000-0005-0000-0000-0000982B0000}"/>
    <cellStyle name="Normal 13 2 8 4" xfId="7833" xr:uid="{00000000-0005-0000-0000-0000992B0000}"/>
    <cellStyle name="Normal 13 2 8 4 2" xfId="7834" xr:uid="{00000000-0005-0000-0000-00009A2B0000}"/>
    <cellStyle name="Normal 13 2 8 4 2 2" xfId="49349" xr:uid="{00000000-0005-0000-0000-00009B2B0000}"/>
    <cellStyle name="Normal 13 2 8 4 2 3" xfId="49350" xr:uid="{00000000-0005-0000-0000-00009C2B0000}"/>
    <cellStyle name="Normal 13 2 8 4 3" xfId="7835" xr:uid="{00000000-0005-0000-0000-00009D2B0000}"/>
    <cellStyle name="Normal 13 2 8 4 3 2" xfId="49351" xr:uid="{00000000-0005-0000-0000-00009E2B0000}"/>
    <cellStyle name="Normal 13 2 8 4 4" xfId="7836" xr:uid="{00000000-0005-0000-0000-00009F2B0000}"/>
    <cellStyle name="Normal 13 2 8 4 5" xfId="7837" xr:uid="{00000000-0005-0000-0000-0000A02B0000}"/>
    <cellStyle name="Normal 13 2 8 4 6" xfId="7838" xr:uid="{00000000-0005-0000-0000-0000A12B0000}"/>
    <cellStyle name="Normal 13 2 8 5" xfId="7839" xr:uid="{00000000-0005-0000-0000-0000A22B0000}"/>
    <cellStyle name="Normal 13 2 8 5 2" xfId="49352" xr:uid="{00000000-0005-0000-0000-0000A32B0000}"/>
    <cellStyle name="Normal 13 2 8 5 3" xfId="49353" xr:uid="{00000000-0005-0000-0000-0000A42B0000}"/>
    <cellStyle name="Normal 13 2 8 6" xfId="7840" xr:uid="{00000000-0005-0000-0000-0000A52B0000}"/>
    <cellStyle name="Normal 13 2 8 6 2" xfId="49354" xr:uid="{00000000-0005-0000-0000-0000A62B0000}"/>
    <cellStyle name="Normal 13 2 8 7" xfId="7841" xr:uid="{00000000-0005-0000-0000-0000A72B0000}"/>
    <cellStyle name="Normal 13 2 8 8" xfId="7842" xr:uid="{00000000-0005-0000-0000-0000A82B0000}"/>
    <cellStyle name="Normal 13 2 8 9" xfId="7843" xr:uid="{00000000-0005-0000-0000-0000A92B0000}"/>
    <cellStyle name="Normal 13 2 9" xfId="7844" xr:uid="{00000000-0005-0000-0000-0000AA2B0000}"/>
    <cellStyle name="Normal 13 2 9 2" xfId="7845" xr:uid="{00000000-0005-0000-0000-0000AB2B0000}"/>
    <cellStyle name="Normal 13 2 9 2 2" xfId="7846" xr:uid="{00000000-0005-0000-0000-0000AC2B0000}"/>
    <cellStyle name="Normal 13 2 9 2 2 2" xfId="7847" xr:uid="{00000000-0005-0000-0000-0000AD2B0000}"/>
    <cellStyle name="Normal 13 2 9 2 2 2 2" xfId="49355" xr:uid="{00000000-0005-0000-0000-0000AE2B0000}"/>
    <cellStyle name="Normal 13 2 9 2 2 2 3" xfId="49356" xr:uid="{00000000-0005-0000-0000-0000AF2B0000}"/>
    <cellStyle name="Normal 13 2 9 2 2 3" xfId="7848" xr:uid="{00000000-0005-0000-0000-0000B02B0000}"/>
    <cellStyle name="Normal 13 2 9 2 2 3 2" xfId="49357" xr:uid="{00000000-0005-0000-0000-0000B12B0000}"/>
    <cellStyle name="Normal 13 2 9 2 2 4" xfId="7849" xr:uid="{00000000-0005-0000-0000-0000B22B0000}"/>
    <cellStyle name="Normal 13 2 9 2 2 5" xfId="7850" xr:uid="{00000000-0005-0000-0000-0000B32B0000}"/>
    <cellStyle name="Normal 13 2 9 2 2 6" xfId="7851" xr:uid="{00000000-0005-0000-0000-0000B42B0000}"/>
    <cellStyle name="Normal 13 2 9 2 3" xfId="7852" xr:uid="{00000000-0005-0000-0000-0000B52B0000}"/>
    <cellStyle name="Normal 13 2 9 2 3 2" xfId="49358" xr:uid="{00000000-0005-0000-0000-0000B62B0000}"/>
    <cellStyle name="Normal 13 2 9 2 3 3" xfId="49359" xr:uid="{00000000-0005-0000-0000-0000B72B0000}"/>
    <cellStyle name="Normal 13 2 9 2 4" xfId="7853" xr:uid="{00000000-0005-0000-0000-0000B82B0000}"/>
    <cellStyle name="Normal 13 2 9 2 4 2" xfId="49360" xr:uid="{00000000-0005-0000-0000-0000B92B0000}"/>
    <cellStyle name="Normal 13 2 9 2 5" xfId="7854" xr:uid="{00000000-0005-0000-0000-0000BA2B0000}"/>
    <cellStyle name="Normal 13 2 9 2 6" xfId="7855" xr:uid="{00000000-0005-0000-0000-0000BB2B0000}"/>
    <cellStyle name="Normal 13 2 9 2 7" xfId="7856" xr:uid="{00000000-0005-0000-0000-0000BC2B0000}"/>
    <cellStyle name="Normal 13 2 9 3" xfId="7857" xr:uid="{00000000-0005-0000-0000-0000BD2B0000}"/>
    <cellStyle name="Normal 13 2 9 3 2" xfId="7858" xr:uid="{00000000-0005-0000-0000-0000BE2B0000}"/>
    <cellStyle name="Normal 13 2 9 3 2 2" xfId="49361" xr:uid="{00000000-0005-0000-0000-0000BF2B0000}"/>
    <cellStyle name="Normal 13 2 9 3 2 3" xfId="49362" xr:uid="{00000000-0005-0000-0000-0000C02B0000}"/>
    <cellStyle name="Normal 13 2 9 3 3" xfId="7859" xr:uid="{00000000-0005-0000-0000-0000C12B0000}"/>
    <cellStyle name="Normal 13 2 9 3 3 2" xfId="49363" xr:uid="{00000000-0005-0000-0000-0000C22B0000}"/>
    <cellStyle name="Normal 13 2 9 3 4" xfId="7860" xr:uid="{00000000-0005-0000-0000-0000C32B0000}"/>
    <cellStyle name="Normal 13 2 9 3 5" xfId="7861" xr:uid="{00000000-0005-0000-0000-0000C42B0000}"/>
    <cellStyle name="Normal 13 2 9 3 6" xfId="7862" xr:uid="{00000000-0005-0000-0000-0000C52B0000}"/>
    <cellStyle name="Normal 13 2 9 4" xfId="7863" xr:uid="{00000000-0005-0000-0000-0000C62B0000}"/>
    <cellStyle name="Normal 13 2 9 4 2" xfId="49364" xr:uid="{00000000-0005-0000-0000-0000C72B0000}"/>
    <cellStyle name="Normal 13 2 9 4 3" xfId="49365" xr:uid="{00000000-0005-0000-0000-0000C82B0000}"/>
    <cellStyle name="Normal 13 2 9 5" xfId="7864" xr:uid="{00000000-0005-0000-0000-0000C92B0000}"/>
    <cellStyle name="Normal 13 2 9 5 2" xfId="49366" xr:uid="{00000000-0005-0000-0000-0000CA2B0000}"/>
    <cellStyle name="Normal 13 2 9 6" xfId="7865" xr:uid="{00000000-0005-0000-0000-0000CB2B0000}"/>
    <cellStyle name="Normal 13 2 9 7" xfId="7866" xr:uid="{00000000-0005-0000-0000-0000CC2B0000}"/>
    <cellStyle name="Normal 13 2 9 8" xfId="7867" xr:uid="{00000000-0005-0000-0000-0000CD2B0000}"/>
    <cellStyle name="Normal 13 2 9 9" xfId="7868" xr:uid="{00000000-0005-0000-0000-0000CE2B0000}"/>
    <cellStyle name="Normal 13 20" xfId="7869" xr:uid="{00000000-0005-0000-0000-0000CF2B0000}"/>
    <cellStyle name="Normal 13 21" xfId="7870" xr:uid="{00000000-0005-0000-0000-0000D02B0000}"/>
    <cellStyle name="Normal 13 22" xfId="7871" xr:uid="{00000000-0005-0000-0000-0000D12B0000}"/>
    <cellStyle name="Normal 13 23" xfId="7872" xr:uid="{00000000-0005-0000-0000-0000D22B0000}"/>
    <cellStyle name="Normal 13 3" xfId="7873" xr:uid="{00000000-0005-0000-0000-0000D32B0000}"/>
    <cellStyle name="Normal 13 3 10" xfId="7874" xr:uid="{00000000-0005-0000-0000-0000D42B0000}"/>
    <cellStyle name="Normal 13 3 10 2" xfId="7875" xr:uid="{00000000-0005-0000-0000-0000D52B0000}"/>
    <cellStyle name="Normal 13 3 10 2 2" xfId="7876" xr:uid="{00000000-0005-0000-0000-0000D62B0000}"/>
    <cellStyle name="Normal 13 3 10 2 2 2" xfId="49367" xr:uid="{00000000-0005-0000-0000-0000D72B0000}"/>
    <cellStyle name="Normal 13 3 10 2 2 3" xfId="49368" xr:uid="{00000000-0005-0000-0000-0000D82B0000}"/>
    <cellStyle name="Normal 13 3 10 2 3" xfId="7877" xr:uid="{00000000-0005-0000-0000-0000D92B0000}"/>
    <cellStyle name="Normal 13 3 10 2 3 2" xfId="49369" xr:uid="{00000000-0005-0000-0000-0000DA2B0000}"/>
    <cellStyle name="Normal 13 3 10 2 4" xfId="7878" xr:uid="{00000000-0005-0000-0000-0000DB2B0000}"/>
    <cellStyle name="Normal 13 3 10 2 5" xfId="7879" xr:uid="{00000000-0005-0000-0000-0000DC2B0000}"/>
    <cellStyle name="Normal 13 3 10 2 6" xfId="7880" xr:uid="{00000000-0005-0000-0000-0000DD2B0000}"/>
    <cellStyle name="Normal 13 3 10 3" xfId="7881" xr:uid="{00000000-0005-0000-0000-0000DE2B0000}"/>
    <cellStyle name="Normal 13 3 10 3 2" xfId="49370" xr:uid="{00000000-0005-0000-0000-0000DF2B0000}"/>
    <cellStyle name="Normal 13 3 10 3 3" xfId="49371" xr:uid="{00000000-0005-0000-0000-0000E02B0000}"/>
    <cellStyle name="Normal 13 3 10 4" xfId="7882" xr:uid="{00000000-0005-0000-0000-0000E12B0000}"/>
    <cellStyle name="Normal 13 3 10 4 2" xfId="49372" xr:uid="{00000000-0005-0000-0000-0000E22B0000}"/>
    <cellStyle name="Normal 13 3 10 5" xfId="7883" xr:uid="{00000000-0005-0000-0000-0000E32B0000}"/>
    <cellStyle name="Normal 13 3 10 6" xfId="7884" xr:uid="{00000000-0005-0000-0000-0000E42B0000}"/>
    <cellStyle name="Normal 13 3 10 7" xfId="7885" xr:uid="{00000000-0005-0000-0000-0000E52B0000}"/>
    <cellStyle name="Normal 13 3 11" xfId="7886" xr:uid="{00000000-0005-0000-0000-0000E62B0000}"/>
    <cellStyle name="Normal 13 3 11 2" xfId="7887" xr:uid="{00000000-0005-0000-0000-0000E72B0000}"/>
    <cellStyle name="Normal 13 3 11 2 2" xfId="49373" xr:uid="{00000000-0005-0000-0000-0000E82B0000}"/>
    <cellStyle name="Normal 13 3 11 2 3" xfId="49374" xr:uid="{00000000-0005-0000-0000-0000E92B0000}"/>
    <cellStyle name="Normal 13 3 11 3" xfId="7888" xr:uid="{00000000-0005-0000-0000-0000EA2B0000}"/>
    <cellStyle name="Normal 13 3 11 3 2" xfId="49375" xr:uid="{00000000-0005-0000-0000-0000EB2B0000}"/>
    <cellStyle name="Normal 13 3 11 4" xfId="7889" xr:uid="{00000000-0005-0000-0000-0000EC2B0000}"/>
    <cellStyle name="Normal 13 3 11 5" xfId="7890" xr:uid="{00000000-0005-0000-0000-0000ED2B0000}"/>
    <cellStyle name="Normal 13 3 11 6" xfId="7891" xr:uid="{00000000-0005-0000-0000-0000EE2B0000}"/>
    <cellStyle name="Normal 13 3 12" xfId="7892" xr:uid="{00000000-0005-0000-0000-0000EF2B0000}"/>
    <cellStyle name="Normal 13 3 12 2" xfId="49376" xr:uid="{00000000-0005-0000-0000-0000F02B0000}"/>
    <cellStyle name="Normal 13 3 12 3" xfId="49377" xr:uid="{00000000-0005-0000-0000-0000F12B0000}"/>
    <cellStyle name="Normal 13 3 13" xfId="7893" xr:uid="{00000000-0005-0000-0000-0000F22B0000}"/>
    <cellStyle name="Normal 13 3 13 2" xfId="49378" xr:uid="{00000000-0005-0000-0000-0000F32B0000}"/>
    <cellStyle name="Normal 13 3 14" xfId="7894" xr:uid="{00000000-0005-0000-0000-0000F42B0000}"/>
    <cellStyle name="Normal 13 3 14 2" xfId="49379" xr:uid="{00000000-0005-0000-0000-0000F52B0000}"/>
    <cellStyle name="Normal 13 3 15" xfId="7895" xr:uid="{00000000-0005-0000-0000-0000F62B0000}"/>
    <cellStyle name="Normal 13 3 16" xfId="7896" xr:uid="{00000000-0005-0000-0000-0000F72B0000}"/>
    <cellStyle name="Normal 13 3 17" xfId="7897" xr:uid="{00000000-0005-0000-0000-0000F82B0000}"/>
    <cellStyle name="Normal 13 3 18" xfId="7898" xr:uid="{00000000-0005-0000-0000-0000F92B0000}"/>
    <cellStyle name="Normal 13 3 19" xfId="7899" xr:uid="{00000000-0005-0000-0000-0000FA2B0000}"/>
    <cellStyle name="Normal 13 3 2" xfId="7900" xr:uid="{00000000-0005-0000-0000-0000FB2B0000}"/>
    <cellStyle name="Normal 13 3 2 10" xfId="7901" xr:uid="{00000000-0005-0000-0000-0000FC2B0000}"/>
    <cellStyle name="Normal 13 3 2 11" xfId="7902" xr:uid="{00000000-0005-0000-0000-0000FD2B0000}"/>
    <cellStyle name="Normal 13 3 2 12" xfId="7903" xr:uid="{00000000-0005-0000-0000-0000FE2B0000}"/>
    <cellStyle name="Normal 13 3 2 13" xfId="7904" xr:uid="{00000000-0005-0000-0000-0000FF2B0000}"/>
    <cellStyle name="Normal 13 3 2 14" xfId="7905" xr:uid="{00000000-0005-0000-0000-0000002C0000}"/>
    <cellStyle name="Normal 13 3 2 15" xfId="7906" xr:uid="{00000000-0005-0000-0000-0000012C0000}"/>
    <cellStyle name="Normal 13 3 2 16" xfId="7907" xr:uid="{00000000-0005-0000-0000-0000022C0000}"/>
    <cellStyle name="Normal 13 3 2 2" xfId="7908" xr:uid="{00000000-0005-0000-0000-0000032C0000}"/>
    <cellStyle name="Normal 13 3 2 2 10" xfId="7909" xr:uid="{00000000-0005-0000-0000-0000042C0000}"/>
    <cellStyle name="Normal 13 3 2 2 11" xfId="7910" xr:uid="{00000000-0005-0000-0000-0000052C0000}"/>
    <cellStyle name="Normal 13 3 2 2 12" xfId="7911" xr:uid="{00000000-0005-0000-0000-0000062C0000}"/>
    <cellStyle name="Normal 13 3 2 2 13" xfId="7912" xr:uid="{00000000-0005-0000-0000-0000072C0000}"/>
    <cellStyle name="Normal 13 3 2 2 14" xfId="7913" xr:uid="{00000000-0005-0000-0000-0000082C0000}"/>
    <cellStyle name="Normal 13 3 2 2 2" xfId="7914" xr:uid="{00000000-0005-0000-0000-0000092C0000}"/>
    <cellStyle name="Normal 13 3 2 2 2 2" xfId="7915" xr:uid="{00000000-0005-0000-0000-00000A2C0000}"/>
    <cellStyle name="Normal 13 3 2 2 2 2 2" xfId="7916" xr:uid="{00000000-0005-0000-0000-00000B2C0000}"/>
    <cellStyle name="Normal 13 3 2 2 2 2 2 2" xfId="7917" xr:uid="{00000000-0005-0000-0000-00000C2C0000}"/>
    <cellStyle name="Normal 13 3 2 2 2 2 2 2 2" xfId="49380" xr:uid="{00000000-0005-0000-0000-00000D2C0000}"/>
    <cellStyle name="Normal 13 3 2 2 2 2 2 2 3" xfId="49381" xr:uid="{00000000-0005-0000-0000-00000E2C0000}"/>
    <cellStyle name="Normal 13 3 2 2 2 2 2 3" xfId="7918" xr:uid="{00000000-0005-0000-0000-00000F2C0000}"/>
    <cellStyle name="Normal 13 3 2 2 2 2 2 3 2" xfId="49382" xr:uid="{00000000-0005-0000-0000-0000102C0000}"/>
    <cellStyle name="Normal 13 3 2 2 2 2 2 4" xfId="7919" xr:uid="{00000000-0005-0000-0000-0000112C0000}"/>
    <cellStyle name="Normal 13 3 2 2 2 2 2 5" xfId="7920" xr:uid="{00000000-0005-0000-0000-0000122C0000}"/>
    <cellStyle name="Normal 13 3 2 2 2 2 2 6" xfId="7921" xr:uid="{00000000-0005-0000-0000-0000132C0000}"/>
    <cellStyle name="Normal 13 3 2 2 2 2 3" xfId="7922" xr:uid="{00000000-0005-0000-0000-0000142C0000}"/>
    <cellStyle name="Normal 13 3 2 2 2 2 3 2" xfId="49383" xr:uid="{00000000-0005-0000-0000-0000152C0000}"/>
    <cellStyle name="Normal 13 3 2 2 2 2 3 3" xfId="49384" xr:uid="{00000000-0005-0000-0000-0000162C0000}"/>
    <cellStyle name="Normal 13 3 2 2 2 2 4" xfId="7923" xr:uid="{00000000-0005-0000-0000-0000172C0000}"/>
    <cellStyle name="Normal 13 3 2 2 2 2 4 2" xfId="49385" xr:uid="{00000000-0005-0000-0000-0000182C0000}"/>
    <cellStyle name="Normal 13 3 2 2 2 2 5" xfId="7924" xr:uid="{00000000-0005-0000-0000-0000192C0000}"/>
    <cellStyle name="Normal 13 3 2 2 2 2 6" xfId="7925" xr:uid="{00000000-0005-0000-0000-00001A2C0000}"/>
    <cellStyle name="Normal 13 3 2 2 2 2 7" xfId="7926" xr:uid="{00000000-0005-0000-0000-00001B2C0000}"/>
    <cellStyle name="Normal 13 3 2 2 2 3" xfId="7927" xr:uid="{00000000-0005-0000-0000-00001C2C0000}"/>
    <cellStyle name="Normal 13 3 2 2 2 3 2" xfId="7928" xr:uid="{00000000-0005-0000-0000-00001D2C0000}"/>
    <cellStyle name="Normal 13 3 2 2 2 3 2 2" xfId="49386" xr:uid="{00000000-0005-0000-0000-00001E2C0000}"/>
    <cellStyle name="Normal 13 3 2 2 2 3 2 3" xfId="49387" xr:uid="{00000000-0005-0000-0000-00001F2C0000}"/>
    <cellStyle name="Normal 13 3 2 2 2 3 3" xfId="7929" xr:uid="{00000000-0005-0000-0000-0000202C0000}"/>
    <cellStyle name="Normal 13 3 2 2 2 3 3 2" xfId="49388" xr:uid="{00000000-0005-0000-0000-0000212C0000}"/>
    <cellStyle name="Normal 13 3 2 2 2 3 4" xfId="7930" xr:uid="{00000000-0005-0000-0000-0000222C0000}"/>
    <cellStyle name="Normal 13 3 2 2 2 3 5" xfId="7931" xr:uid="{00000000-0005-0000-0000-0000232C0000}"/>
    <cellStyle name="Normal 13 3 2 2 2 3 6" xfId="7932" xr:uid="{00000000-0005-0000-0000-0000242C0000}"/>
    <cellStyle name="Normal 13 3 2 2 2 4" xfId="7933" xr:uid="{00000000-0005-0000-0000-0000252C0000}"/>
    <cellStyle name="Normal 13 3 2 2 2 4 2" xfId="49389" xr:uid="{00000000-0005-0000-0000-0000262C0000}"/>
    <cellStyle name="Normal 13 3 2 2 2 4 3" xfId="49390" xr:uid="{00000000-0005-0000-0000-0000272C0000}"/>
    <cellStyle name="Normal 13 3 2 2 2 5" xfId="7934" xr:uid="{00000000-0005-0000-0000-0000282C0000}"/>
    <cellStyle name="Normal 13 3 2 2 2 5 2" xfId="49391" xr:uid="{00000000-0005-0000-0000-0000292C0000}"/>
    <cellStyle name="Normal 13 3 2 2 2 6" xfId="7935" xr:uid="{00000000-0005-0000-0000-00002A2C0000}"/>
    <cellStyle name="Normal 13 3 2 2 2 7" xfId="7936" xr:uid="{00000000-0005-0000-0000-00002B2C0000}"/>
    <cellStyle name="Normal 13 3 2 2 2 8" xfId="7937" xr:uid="{00000000-0005-0000-0000-00002C2C0000}"/>
    <cellStyle name="Normal 13 3 2 2 2 9" xfId="7938" xr:uid="{00000000-0005-0000-0000-00002D2C0000}"/>
    <cellStyle name="Normal 13 3 2 2 3" xfId="7939" xr:uid="{00000000-0005-0000-0000-00002E2C0000}"/>
    <cellStyle name="Normal 13 3 2 2 3 2" xfId="7940" xr:uid="{00000000-0005-0000-0000-00002F2C0000}"/>
    <cellStyle name="Normal 13 3 2 2 3 2 2" xfId="7941" xr:uid="{00000000-0005-0000-0000-0000302C0000}"/>
    <cellStyle name="Normal 13 3 2 2 3 2 2 2" xfId="7942" xr:uid="{00000000-0005-0000-0000-0000312C0000}"/>
    <cellStyle name="Normal 13 3 2 2 3 2 2 2 2" xfId="49392" xr:uid="{00000000-0005-0000-0000-0000322C0000}"/>
    <cellStyle name="Normal 13 3 2 2 3 2 2 2 3" xfId="49393" xr:uid="{00000000-0005-0000-0000-0000332C0000}"/>
    <cellStyle name="Normal 13 3 2 2 3 2 2 3" xfId="7943" xr:uid="{00000000-0005-0000-0000-0000342C0000}"/>
    <cellStyle name="Normal 13 3 2 2 3 2 2 3 2" xfId="49394" xr:uid="{00000000-0005-0000-0000-0000352C0000}"/>
    <cellStyle name="Normal 13 3 2 2 3 2 2 4" xfId="7944" xr:uid="{00000000-0005-0000-0000-0000362C0000}"/>
    <cellStyle name="Normal 13 3 2 2 3 2 2 5" xfId="7945" xr:uid="{00000000-0005-0000-0000-0000372C0000}"/>
    <cellStyle name="Normal 13 3 2 2 3 2 2 6" xfId="7946" xr:uid="{00000000-0005-0000-0000-0000382C0000}"/>
    <cellStyle name="Normal 13 3 2 2 3 2 3" xfId="7947" xr:uid="{00000000-0005-0000-0000-0000392C0000}"/>
    <cellStyle name="Normal 13 3 2 2 3 2 3 2" xfId="49395" xr:uid="{00000000-0005-0000-0000-00003A2C0000}"/>
    <cellStyle name="Normal 13 3 2 2 3 2 3 3" xfId="49396" xr:uid="{00000000-0005-0000-0000-00003B2C0000}"/>
    <cellStyle name="Normal 13 3 2 2 3 2 4" xfId="7948" xr:uid="{00000000-0005-0000-0000-00003C2C0000}"/>
    <cellStyle name="Normal 13 3 2 2 3 2 4 2" xfId="49397" xr:uid="{00000000-0005-0000-0000-00003D2C0000}"/>
    <cellStyle name="Normal 13 3 2 2 3 2 5" xfId="7949" xr:uid="{00000000-0005-0000-0000-00003E2C0000}"/>
    <cellStyle name="Normal 13 3 2 2 3 2 6" xfId="7950" xr:uid="{00000000-0005-0000-0000-00003F2C0000}"/>
    <cellStyle name="Normal 13 3 2 2 3 2 7" xfId="7951" xr:uid="{00000000-0005-0000-0000-0000402C0000}"/>
    <cellStyle name="Normal 13 3 2 2 3 3" xfId="7952" xr:uid="{00000000-0005-0000-0000-0000412C0000}"/>
    <cellStyle name="Normal 13 3 2 2 3 3 2" xfId="7953" xr:uid="{00000000-0005-0000-0000-0000422C0000}"/>
    <cellStyle name="Normal 13 3 2 2 3 3 2 2" xfId="49398" xr:uid="{00000000-0005-0000-0000-0000432C0000}"/>
    <cellStyle name="Normal 13 3 2 2 3 3 2 3" xfId="49399" xr:uid="{00000000-0005-0000-0000-0000442C0000}"/>
    <cellStyle name="Normal 13 3 2 2 3 3 3" xfId="7954" xr:uid="{00000000-0005-0000-0000-0000452C0000}"/>
    <cellStyle name="Normal 13 3 2 2 3 3 3 2" xfId="49400" xr:uid="{00000000-0005-0000-0000-0000462C0000}"/>
    <cellStyle name="Normal 13 3 2 2 3 3 4" xfId="7955" xr:uid="{00000000-0005-0000-0000-0000472C0000}"/>
    <cellStyle name="Normal 13 3 2 2 3 3 5" xfId="7956" xr:uid="{00000000-0005-0000-0000-0000482C0000}"/>
    <cellStyle name="Normal 13 3 2 2 3 3 6" xfId="7957" xr:uid="{00000000-0005-0000-0000-0000492C0000}"/>
    <cellStyle name="Normal 13 3 2 2 3 4" xfId="7958" xr:uid="{00000000-0005-0000-0000-00004A2C0000}"/>
    <cellStyle name="Normal 13 3 2 2 3 4 2" xfId="49401" xr:uid="{00000000-0005-0000-0000-00004B2C0000}"/>
    <cellStyle name="Normal 13 3 2 2 3 4 3" xfId="49402" xr:uid="{00000000-0005-0000-0000-00004C2C0000}"/>
    <cellStyle name="Normal 13 3 2 2 3 5" xfId="7959" xr:uid="{00000000-0005-0000-0000-00004D2C0000}"/>
    <cellStyle name="Normal 13 3 2 2 3 5 2" xfId="49403" xr:uid="{00000000-0005-0000-0000-00004E2C0000}"/>
    <cellStyle name="Normal 13 3 2 2 3 6" xfId="7960" xr:uid="{00000000-0005-0000-0000-00004F2C0000}"/>
    <cellStyle name="Normal 13 3 2 2 3 7" xfId="7961" xr:uid="{00000000-0005-0000-0000-0000502C0000}"/>
    <cellStyle name="Normal 13 3 2 2 3 8" xfId="7962" xr:uid="{00000000-0005-0000-0000-0000512C0000}"/>
    <cellStyle name="Normal 13 3 2 2 4" xfId="7963" xr:uid="{00000000-0005-0000-0000-0000522C0000}"/>
    <cellStyle name="Normal 13 3 2 2 4 2" xfId="7964" xr:uid="{00000000-0005-0000-0000-0000532C0000}"/>
    <cellStyle name="Normal 13 3 2 2 4 2 2" xfId="7965" xr:uid="{00000000-0005-0000-0000-0000542C0000}"/>
    <cellStyle name="Normal 13 3 2 2 4 2 2 2" xfId="49404" xr:uid="{00000000-0005-0000-0000-0000552C0000}"/>
    <cellStyle name="Normal 13 3 2 2 4 2 2 3" xfId="49405" xr:uid="{00000000-0005-0000-0000-0000562C0000}"/>
    <cellStyle name="Normal 13 3 2 2 4 2 3" xfId="7966" xr:uid="{00000000-0005-0000-0000-0000572C0000}"/>
    <cellStyle name="Normal 13 3 2 2 4 2 3 2" xfId="49406" xr:uid="{00000000-0005-0000-0000-0000582C0000}"/>
    <cellStyle name="Normal 13 3 2 2 4 2 4" xfId="7967" xr:uid="{00000000-0005-0000-0000-0000592C0000}"/>
    <cellStyle name="Normal 13 3 2 2 4 2 5" xfId="7968" xr:uid="{00000000-0005-0000-0000-00005A2C0000}"/>
    <cellStyle name="Normal 13 3 2 2 4 2 6" xfId="7969" xr:uid="{00000000-0005-0000-0000-00005B2C0000}"/>
    <cellStyle name="Normal 13 3 2 2 4 3" xfId="7970" xr:uid="{00000000-0005-0000-0000-00005C2C0000}"/>
    <cellStyle name="Normal 13 3 2 2 4 3 2" xfId="49407" xr:uid="{00000000-0005-0000-0000-00005D2C0000}"/>
    <cellStyle name="Normal 13 3 2 2 4 3 3" xfId="49408" xr:uid="{00000000-0005-0000-0000-00005E2C0000}"/>
    <cellStyle name="Normal 13 3 2 2 4 4" xfId="7971" xr:uid="{00000000-0005-0000-0000-00005F2C0000}"/>
    <cellStyle name="Normal 13 3 2 2 4 4 2" xfId="49409" xr:uid="{00000000-0005-0000-0000-0000602C0000}"/>
    <cellStyle name="Normal 13 3 2 2 4 5" xfId="7972" xr:uid="{00000000-0005-0000-0000-0000612C0000}"/>
    <cellStyle name="Normal 13 3 2 2 4 6" xfId="7973" xr:uid="{00000000-0005-0000-0000-0000622C0000}"/>
    <cellStyle name="Normal 13 3 2 2 4 7" xfId="7974" xr:uid="{00000000-0005-0000-0000-0000632C0000}"/>
    <cellStyle name="Normal 13 3 2 2 5" xfId="7975" xr:uid="{00000000-0005-0000-0000-0000642C0000}"/>
    <cellStyle name="Normal 13 3 2 2 5 2" xfId="7976" xr:uid="{00000000-0005-0000-0000-0000652C0000}"/>
    <cellStyle name="Normal 13 3 2 2 5 2 2" xfId="49410" xr:uid="{00000000-0005-0000-0000-0000662C0000}"/>
    <cellStyle name="Normal 13 3 2 2 5 2 3" xfId="49411" xr:uid="{00000000-0005-0000-0000-0000672C0000}"/>
    <cellStyle name="Normal 13 3 2 2 5 3" xfId="7977" xr:uid="{00000000-0005-0000-0000-0000682C0000}"/>
    <cellStyle name="Normal 13 3 2 2 5 3 2" xfId="49412" xr:uid="{00000000-0005-0000-0000-0000692C0000}"/>
    <cellStyle name="Normal 13 3 2 2 5 4" xfId="7978" xr:uid="{00000000-0005-0000-0000-00006A2C0000}"/>
    <cellStyle name="Normal 13 3 2 2 5 5" xfId="7979" xr:uid="{00000000-0005-0000-0000-00006B2C0000}"/>
    <cellStyle name="Normal 13 3 2 2 5 6" xfId="7980" xr:uid="{00000000-0005-0000-0000-00006C2C0000}"/>
    <cellStyle name="Normal 13 3 2 2 6" xfId="7981" xr:uid="{00000000-0005-0000-0000-00006D2C0000}"/>
    <cellStyle name="Normal 13 3 2 2 6 2" xfId="49413" xr:uid="{00000000-0005-0000-0000-00006E2C0000}"/>
    <cellStyle name="Normal 13 3 2 2 6 3" xfId="49414" xr:uid="{00000000-0005-0000-0000-00006F2C0000}"/>
    <cellStyle name="Normal 13 3 2 2 7" xfId="7982" xr:uid="{00000000-0005-0000-0000-0000702C0000}"/>
    <cellStyle name="Normal 13 3 2 2 7 2" xfId="49415" xr:uid="{00000000-0005-0000-0000-0000712C0000}"/>
    <cellStyle name="Normal 13 3 2 2 8" xfId="7983" xr:uid="{00000000-0005-0000-0000-0000722C0000}"/>
    <cellStyle name="Normal 13 3 2 2 9" xfId="7984" xr:uid="{00000000-0005-0000-0000-0000732C0000}"/>
    <cellStyle name="Normal 13 3 2 3" xfId="7985" xr:uid="{00000000-0005-0000-0000-0000742C0000}"/>
    <cellStyle name="Normal 13 3 2 3 2" xfId="7986" xr:uid="{00000000-0005-0000-0000-0000752C0000}"/>
    <cellStyle name="Normal 13 3 2 3 2 2" xfId="7987" xr:uid="{00000000-0005-0000-0000-0000762C0000}"/>
    <cellStyle name="Normal 13 3 2 3 2 2 2" xfId="7988" xr:uid="{00000000-0005-0000-0000-0000772C0000}"/>
    <cellStyle name="Normal 13 3 2 3 2 2 2 2" xfId="49416" xr:uid="{00000000-0005-0000-0000-0000782C0000}"/>
    <cellStyle name="Normal 13 3 2 3 2 2 2 3" xfId="49417" xr:uid="{00000000-0005-0000-0000-0000792C0000}"/>
    <cellStyle name="Normal 13 3 2 3 2 2 3" xfId="7989" xr:uid="{00000000-0005-0000-0000-00007A2C0000}"/>
    <cellStyle name="Normal 13 3 2 3 2 2 3 2" xfId="49418" xr:uid="{00000000-0005-0000-0000-00007B2C0000}"/>
    <cellStyle name="Normal 13 3 2 3 2 2 4" xfId="7990" xr:uid="{00000000-0005-0000-0000-00007C2C0000}"/>
    <cellStyle name="Normal 13 3 2 3 2 2 5" xfId="7991" xr:uid="{00000000-0005-0000-0000-00007D2C0000}"/>
    <cellStyle name="Normal 13 3 2 3 2 2 6" xfId="7992" xr:uid="{00000000-0005-0000-0000-00007E2C0000}"/>
    <cellStyle name="Normal 13 3 2 3 2 3" xfId="7993" xr:uid="{00000000-0005-0000-0000-00007F2C0000}"/>
    <cellStyle name="Normal 13 3 2 3 2 3 2" xfId="49419" xr:uid="{00000000-0005-0000-0000-0000802C0000}"/>
    <cellStyle name="Normal 13 3 2 3 2 3 3" xfId="49420" xr:uid="{00000000-0005-0000-0000-0000812C0000}"/>
    <cellStyle name="Normal 13 3 2 3 2 4" xfId="7994" xr:uid="{00000000-0005-0000-0000-0000822C0000}"/>
    <cellStyle name="Normal 13 3 2 3 2 4 2" xfId="49421" xr:uid="{00000000-0005-0000-0000-0000832C0000}"/>
    <cellStyle name="Normal 13 3 2 3 2 5" xfId="7995" xr:uid="{00000000-0005-0000-0000-0000842C0000}"/>
    <cellStyle name="Normal 13 3 2 3 2 6" xfId="7996" xr:uid="{00000000-0005-0000-0000-0000852C0000}"/>
    <cellStyle name="Normal 13 3 2 3 2 7" xfId="7997" xr:uid="{00000000-0005-0000-0000-0000862C0000}"/>
    <cellStyle name="Normal 13 3 2 3 3" xfId="7998" xr:uid="{00000000-0005-0000-0000-0000872C0000}"/>
    <cellStyle name="Normal 13 3 2 3 3 2" xfId="7999" xr:uid="{00000000-0005-0000-0000-0000882C0000}"/>
    <cellStyle name="Normal 13 3 2 3 3 2 2" xfId="49422" xr:uid="{00000000-0005-0000-0000-0000892C0000}"/>
    <cellStyle name="Normal 13 3 2 3 3 2 3" xfId="49423" xr:uid="{00000000-0005-0000-0000-00008A2C0000}"/>
    <cellStyle name="Normal 13 3 2 3 3 3" xfId="8000" xr:uid="{00000000-0005-0000-0000-00008B2C0000}"/>
    <cellStyle name="Normal 13 3 2 3 3 3 2" xfId="49424" xr:uid="{00000000-0005-0000-0000-00008C2C0000}"/>
    <cellStyle name="Normal 13 3 2 3 3 4" xfId="8001" xr:uid="{00000000-0005-0000-0000-00008D2C0000}"/>
    <cellStyle name="Normal 13 3 2 3 3 5" xfId="8002" xr:uid="{00000000-0005-0000-0000-00008E2C0000}"/>
    <cellStyle name="Normal 13 3 2 3 3 6" xfId="8003" xr:uid="{00000000-0005-0000-0000-00008F2C0000}"/>
    <cellStyle name="Normal 13 3 2 3 4" xfId="8004" xr:uid="{00000000-0005-0000-0000-0000902C0000}"/>
    <cellStyle name="Normal 13 3 2 3 4 2" xfId="49425" xr:uid="{00000000-0005-0000-0000-0000912C0000}"/>
    <cellStyle name="Normal 13 3 2 3 4 3" xfId="49426" xr:uid="{00000000-0005-0000-0000-0000922C0000}"/>
    <cellStyle name="Normal 13 3 2 3 5" xfId="8005" xr:uid="{00000000-0005-0000-0000-0000932C0000}"/>
    <cellStyle name="Normal 13 3 2 3 5 2" xfId="49427" xr:uid="{00000000-0005-0000-0000-0000942C0000}"/>
    <cellStyle name="Normal 13 3 2 3 6" xfId="8006" xr:uid="{00000000-0005-0000-0000-0000952C0000}"/>
    <cellStyle name="Normal 13 3 2 3 7" xfId="8007" xr:uid="{00000000-0005-0000-0000-0000962C0000}"/>
    <cellStyle name="Normal 13 3 2 3 8" xfId="8008" xr:uid="{00000000-0005-0000-0000-0000972C0000}"/>
    <cellStyle name="Normal 13 3 2 3 9" xfId="8009" xr:uid="{00000000-0005-0000-0000-0000982C0000}"/>
    <cellStyle name="Normal 13 3 2 4" xfId="8010" xr:uid="{00000000-0005-0000-0000-0000992C0000}"/>
    <cellStyle name="Normal 13 3 2 4 2" xfId="8011" xr:uid="{00000000-0005-0000-0000-00009A2C0000}"/>
    <cellStyle name="Normal 13 3 2 4 2 2" xfId="8012" xr:uid="{00000000-0005-0000-0000-00009B2C0000}"/>
    <cellStyle name="Normal 13 3 2 4 2 2 2" xfId="8013" xr:uid="{00000000-0005-0000-0000-00009C2C0000}"/>
    <cellStyle name="Normal 13 3 2 4 2 2 2 2" xfId="49428" xr:uid="{00000000-0005-0000-0000-00009D2C0000}"/>
    <cellStyle name="Normal 13 3 2 4 2 2 2 3" xfId="49429" xr:uid="{00000000-0005-0000-0000-00009E2C0000}"/>
    <cellStyle name="Normal 13 3 2 4 2 2 3" xfId="8014" xr:uid="{00000000-0005-0000-0000-00009F2C0000}"/>
    <cellStyle name="Normal 13 3 2 4 2 2 3 2" xfId="49430" xr:uid="{00000000-0005-0000-0000-0000A02C0000}"/>
    <cellStyle name="Normal 13 3 2 4 2 2 4" xfId="8015" xr:uid="{00000000-0005-0000-0000-0000A12C0000}"/>
    <cellStyle name="Normal 13 3 2 4 2 2 5" xfId="8016" xr:uid="{00000000-0005-0000-0000-0000A22C0000}"/>
    <cellStyle name="Normal 13 3 2 4 2 2 6" xfId="8017" xr:uid="{00000000-0005-0000-0000-0000A32C0000}"/>
    <cellStyle name="Normal 13 3 2 4 2 3" xfId="8018" xr:uid="{00000000-0005-0000-0000-0000A42C0000}"/>
    <cellStyle name="Normal 13 3 2 4 2 3 2" xfId="49431" xr:uid="{00000000-0005-0000-0000-0000A52C0000}"/>
    <cellStyle name="Normal 13 3 2 4 2 3 3" xfId="49432" xr:uid="{00000000-0005-0000-0000-0000A62C0000}"/>
    <cellStyle name="Normal 13 3 2 4 2 4" xfId="8019" xr:uid="{00000000-0005-0000-0000-0000A72C0000}"/>
    <cellStyle name="Normal 13 3 2 4 2 4 2" xfId="49433" xr:uid="{00000000-0005-0000-0000-0000A82C0000}"/>
    <cellStyle name="Normal 13 3 2 4 2 5" xfId="8020" xr:uid="{00000000-0005-0000-0000-0000A92C0000}"/>
    <cellStyle name="Normal 13 3 2 4 2 6" xfId="8021" xr:uid="{00000000-0005-0000-0000-0000AA2C0000}"/>
    <cellStyle name="Normal 13 3 2 4 2 7" xfId="8022" xr:uid="{00000000-0005-0000-0000-0000AB2C0000}"/>
    <cellStyle name="Normal 13 3 2 4 3" xfId="8023" xr:uid="{00000000-0005-0000-0000-0000AC2C0000}"/>
    <cellStyle name="Normal 13 3 2 4 3 2" xfId="8024" xr:uid="{00000000-0005-0000-0000-0000AD2C0000}"/>
    <cellStyle name="Normal 13 3 2 4 3 2 2" xfId="49434" xr:uid="{00000000-0005-0000-0000-0000AE2C0000}"/>
    <cellStyle name="Normal 13 3 2 4 3 2 3" xfId="49435" xr:uid="{00000000-0005-0000-0000-0000AF2C0000}"/>
    <cellStyle name="Normal 13 3 2 4 3 3" xfId="8025" xr:uid="{00000000-0005-0000-0000-0000B02C0000}"/>
    <cellStyle name="Normal 13 3 2 4 3 3 2" xfId="49436" xr:uid="{00000000-0005-0000-0000-0000B12C0000}"/>
    <cellStyle name="Normal 13 3 2 4 3 4" xfId="8026" xr:uid="{00000000-0005-0000-0000-0000B22C0000}"/>
    <cellStyle name="Normal 13 3 2 4 3 5" xfId="8027" xr:uid="{00000000-0005-0000-0000-0000B32C0000}"/>
    <cellStyle name="Normal 13 3 2 4 3 6" xfId="8028" xr:uid="{00000000-0005-0000-0000-0000B42C0000}"/>
    <cellStyle name="Normal 13 3 2 4 4" xfId="8029" xr:uid="{00000000-0005-0000-0000-0000B52C0000}"/>
    <cellStyle name="Normal 13 3 2 4 4 2" xfId="49437" xr:uid="{00000000-0005-0000-0000-0000B62C0000}"/>
    <cellStyle name="Normal 13 3 2 4 4 3" xfId="49438" xr:uid="{00000000-0005-0000-0000-0000B72C0000}"/>
    <cellStyle name="Normal 13 3 2 4 5" xfId="8030" xr:uid="{00000000-0005-0000-0000-0000B82C0000}"/>
    <cellStyle name="Normal 13 3 2 4 5 2" xfId="49439" xr:uid="{00000000-0005-0000-0000-0000B92C0000}"/>
    <cellStyle name="Normal 13 3 2 4 6" xfId="8031" xr:uid="{00000000-0005-0000-0000-0000BA2C0000}"/>
    <cellStyle name="Normal 13 3 2 4 7" xfId="8032" xr:uid="{00000000-0005-0000-0000-0000BB2C0000}"/>
    <cellStyle name="Normal 13 3 2 4 8" xfId="8033" xr:uid="{00000000-0005-0000-0000-0000BC2C0000}"/>
    <cellStyle name="Normal 13 3 2 5" xfId="8034" xr:uid="{00000000-0005-0000-0000-0000BD2C0000}"/>
    <cellStyle name="Normal 13 3 2 5 2" xfId="8035" xr:uid="{00000000-0005-0000-0000-0000BE2C0000}"/>
    <cellStyle name="Normal 13 3 2 5 2 2" xfId="8036" xr:uid="{00000000-0005-0000-0000-0000BF2C0000}"/>
    <cellStyle name="Normal 13 3 2 5 2 2 2" xfId="49440" xr:uid="{00000000-0005-0000-0000-0000C02C0000}"/>
    <cellStyle name="Normal 13 3 2 5 2 2 3" xfId="49441" xr:uid="{00000000-0005-0000-0000-0000C12C0000}"/>
    <cellStyle name="Normal 13 3 2 5 2 3" xfId="8037" xr:uid="{00000000-0005-0000-0000-0000C22C0000}"/>
    <cellStyle name="Normal 13 3 2 5 2 3 2" xfId="49442" xr:uid="{00000000-0005-0000-0000-0000C32C0000}"/>
    <cellStyle name="Normal 13 3 2 5 2 4" xfId="8038" xr:uid="{00000000-0005-0000-0000-0000C42C0000}"/>
    <cellStyle name="Normal 13 3 2 5 2 5" xfId="8039" xr:uid="{00000000-0005-0000-0000-0000C52C0000}"/>
    <cellStyle name="Normal 13 3 2 5 2 6" xfId="8040" xr:uid="{00000000-0005-0000-0000-0000C62C0000}"/>
    <cellStyle name="Normal 13 3 2 5 3" xfId="8041" xr:uid="{00000000-0005-0000-0000-0000C72C0000}"/>
    <cellStyle name="Normal 13 3 2 5 3 2" xfId="49443" xr:uid="{00000000-0005-0000-0000-0000C82C0000}"/>
    <cellStyle name="Normal 13 3 2 5 3 3" xfId="49444" xr:uid="{00000000-0005-0000-0000-0000C92C0000}"/>
    <cellStyle name="Normal 13 3 2 5 4" xfId="8042" xr:uid="{00000000-0005-0000-0000-0000CA2C0000}"/>
    <cellStyle name="Normal 13 3 2 5 4 2" xfId="49445" xr:uid="{00000000-0005-0000-0000-0000CB2C0000}"/>
    <cellStyle name="Normal 13 3 2 5 5" xfId="8043" xr:uid="{00000000-0005-0000-0000-0000CC2C0000}"/>
    <cellStyle name="Normal 13 3 2 5 6" xfId="8044" xr:uid="{00000000-0005-0000-0000-0000CD2C0000}"/>
    <cellStyle name="Normal 13 3 2 5 7" xfId="8045" xr:uid="{00000000-0005-0000-0000-0000CE2C0000}"/>
    <cellStyle name="Normal 13 3 2 6" xfId="8046" xr:uid="{00000000-0005-0000-0000-0000CF2C0000}"/>
    <cellStyle name="Normal 13 3 2 6 2" xfId="8047" xr:uid="{00000000-0005-0000-0000-0000D02C0000}"/>
    <cellStyle name="Normal 13 3 2 6 2 2" xfId="49446" xr:uid="{00000000-0005-0000-0000-0000D12C0000}"/>
    <cellStyle name="Normal 13 3 2 6 2 3" xfId="49447" xr:uid="{00000000-0005-0000-0000-0000D22C0000}"/>
    <cellStyle name="Normal 13 3 2 6 3" xfId="8048" xr:uid="{00000000-0005-0000-0000-0000D32C0000}"/>
    <cellStyle name="Normal 13 3 2 6 3 2" xfId="49448" xr:uid="{00000000-0005-0000-0000-0000D42C0000}"/>
    <cellStyle name="Normal 13 3 2 6 4" xfId="8049" xr:uid="{00000000-0005-0000-0000-0000D52C0000}"/>
    <cellStyle name="Normal 13 3 2 6 5" xfId="8050" xr:uid="{00000000-0005-0000-0000-0000D62C0000}"/>
    <cellStyle name="Normal 13 3 2 6 6" xfId="8051" xr:uid="{00000000-0005-0000-0000-0000D72C0000}"/>
    <cellStyle name="Normal 13 3 2 7" xfId="8052" xr:uid="{00000000-0005-0000-0000-0000D82C0000}"/>
    <cellStyle name="Normal 13 3 2 7 2" xfId="49449" xr:uid="{00000000-0005-0000-0000-0000D92C0000}"/>
    <cellStyle name="Normal 13 3 2 7 3" xfId="49450" xr:uid="{00000000-0005-0000-0000-0000DA2C0000}"/>
    <cellStyle name="Normal 13 3 2 8" xfId="8053" xr:uid="{00000000-0005-0000-0000-0000DB2C0000}"/>
    <cellStyle name="Normal 13 3 2 8 2" xfId="49451" xr:uid="{00000000-0005-0000-0000-0000DC2C0000}"/>
    <cellStyle name="Normal 13 3 2 9" xfId="8054" xr:uid="{00000000-0005-0000-0000-0000DD2C0000}"/>
    <cellStyle name="Normal 13 3 2 9 2" xfId="49452" xr:uid="{00000000-0005-0000-0000-0000DE2C0000}"/>
    <cellStyle name="Normal 13 3 20" xfId="8055" xr:uid="{00000000-0005-0000-0000-0000DF2C0000}"/>
    <cellStyle name="Normal 13 3 21" xfId="8056" xr:uid="{00000000-0005-0000-0000-0000E02C0000}"/>
    <cellStyle name="Normal 13 3 3" xfId="8057" xr:uid="{00000000-0005-0000-0000-0000E12C0000}"/>
    <cellStyle name="Normal 13 3 3 10" xfId="8058" xr:uid="{00000000-0005-0000-0000-0000E22C0000}"/>
    <cellStyle name="Normal 13 3 3 11" xfId="8059" xr:uid="{00000000-0005-0000-0000-0000E32C0000}"/>
    <cellStyle name="Normal 13 3 3 12" xfId="8060" xr:uid="{00000000-0005-0000-0000-0000E42C0000}"/>
    <cellStyle name="Normal 13 3 3 13" xfId="8061" xr:uid="{00000000-0005-0000-0000-0000E52C0000}"/>
    <cellStyle name="Normal 13 3 3 14" xfId="8062" xr:uid="{00000000-0005-0000-0000-0000E62C0000}"/>
    <cellStyle name="Normal 13 3 3 15" xfId="8063" xr:uid="{00000000-0005-0000-0000-0000E72C0000}"/>
    <cellStyle name="Normal 13 3 3 2" xfId="8064" xr:uid="{00000000-0005-0000-0000-0000E82C0000}"/>
    <cellStyle name="Normal 13 3 3 2 10" xfId="8065" xr:uid="{00000000-0005-0000-0000-0000E92C0000}"/>
    <cellStyle name="Normal 13 3 3 2 11" xfId="8066" xr:uid="{00000000-0005-0000-0000-0000EA2C0000}"/>
    <cellStyle name="Normal 13 3 3 2 12" xfId="8067" xr:uid="{00000000-0005-0000-0000-0000EB2C0000}"/>
    <cellStyle name="Normal 13 3 3 2 13" xfId="8068" xr:uid="{00000000-0005-0000-0000-0000EC2C0000}"/>
    <cellStyle name="Normal 13 3 3 2 14" xfId="8069" xr:uid="{00000000-0005-0000-0000-0000ED2C0000}"/>
    <cellStyle name="Normal 13 3 3 2 2" xfId="8070" xr:uid="{00000000-0005-0000-0000-0000EE2C0000}"/>
    <cellStyle name="Normal 13 3 3 2 2 2" xfId="8071" xr:uid="{00000000-0005-0000-0000-0000EF2C0000}"/>
    <cellStyle name="Normal 13 3 3 2 2 2 2" xfId="8072" xr:uid="{00000000-0005-0000-0000-0000F02C0000}"/>
    <cellStyle name="Normal 13 3 3 2 2 2 2 2" xfId="8073" xr:uid="{00000000-0005-0000-0000-0000F12C0000}"/>
    <cellStyle name="Normal 13 3 3 2 2 2 2 2 2" xfId="49453" xr:uid="{00000000-0005-0000-0000-0000F22C0000}"/>
    <cellStyle name="Normal 13 3 3 2 2 2 2 2 3" xfId="49454" xr:uid="{00000000-0005-0000-0000-0000F32C0000}"/>
    <cellStyle name="Normal 13 3 3 2 2 2 2 3" xfId="8074" xr:uid="{00000000-0005-0000-0000-0000F42C0000}"/>
    <cellStyle name="Normal 13 3 3 2 2 2 2 3 2" xfId="49455" xr:uid="{00000000-0005-0000-0000-0000F52C0000}"/>
    <cellStyle name="Normal 13 3 3 2 2 2 2 4" xfId="8075" xr:uid="{00000000-0005-0000-0000-0000F62C0000}"/>
    <cellStyle name="Normal 13 3 3 2 2 2 2 5" xfId="8076" xr:uid="{00000000-0005-0000-0000-0000F72C0000}"/>
    <cellStyle name="Normal 13 3 3 2 2 2 2 6" xfId="8077" xr:uid="{00000000-0005-0000-0000-0000F82C0000}"/>
    <cellStyle name="Normal 13 3 3 2 2 2 3" xfId="8078" xr:uid="{00000000-0005-0000-0000-0000F92C0000}"/>
    <cellStyle name="Normal 13 3 3 2 2 2 3 2" xfId="49456" xr:uid="{00000000-0005-0000-0000-0000FA2C0000}"/>
    <cellStyle name="Normal 13 3 3 2 2 2 3 3" xfId="49457" xr:uid="{00000000-0005-0000-0000-0000FB2C0000}"/>
    <cellStyle name="Normal 13 3 3 2 2 2 4" xfId="8079" xr:uid="{00000000-0005-0000-0000-0000FC2C0000}"/>
    <cellStyle name="Normal 13 3 3 2 2 2 4 2" xfId="49458" xr:uid="{00000000-0005-0000-0000-0000FD2C0000}"/>
    <cellStyle name="Normal 13 3 3 2 2 2 5" xfId="8080" xr:uid="{00000000-0005-0000-0000-0000FE2C0000}"/>
    <cellStyle name="Normal 13 3 3 2 2 2 6" xfId="8081" xr:uid="{00000000-0005-0000-0000-0000FF2C0000}"/>
    <cellStyle name="Normal 13 3 3 2 2 2 7" xfId="8082" xr:uid="{00000000-0005-0000-0000-0000002D0000}"/>
    <cellStyle name="Normal 13 3 3 2 2 3" xfId="8083" xr:uid="{00000000-0005-0000-0000-0000012D0000}"/>
    <cellStyle name="Normal 13 3 3 2 2 3 2" xfId="8084" xr:uid="{00000000-0005-0000-0000-0000022D0000}"/>
    <cellStyle name="Normal 13 3 3 2 2 3 2 2" xfId="49459" xr:uid="{00000000-0005-0000-0000-0000032D0000}"/>
    <cellStyle name="Normal 13 3 3 2 2 3 2 3" xfId="49460" xr:uid="{00000000-0005-0000-0000-0000042D0000}"/>
    <cellStyle name="Normal 13 3 3 2 2 3 3" xfId="8085" xr:uid="{00000000-0005-0000-0000-0000052D0000}"/>
    <cellStyle name="Normal 13 3 3 2 2 3 3 2" xfId="49461" xr:uid="{00000000-0005-0000-0000-0000062D0000}"/>
    <cellStyle name="Normal 13 3 3 2 2 3 4" xfId="8086" xr:uid="{00000000-0005-0000-0000-0000072D0000}"/>
    <cellStyle name="Normal 13 3 3 2 2 3 5" xfId="8087" xr:uid="{00000000-0005-0000-0000-0000082D0000}"/>
    <cellStyle name="Normal 13 3 3 2 2 3 6" xfId="8088" xr:uid="{00000000-0005-0000-0000-0000092D0000}"/>
    <cellStyle name="Normal 13 3 3 2 2 4" xfId="8089" xr:uid="{00000000-0005-0000-0000-00000A2D0000}"/>
    <cellStyle name="Normal 13 3 3 2 2 4 2" xfId="49462" xr:uid="{00000000-0005-0000-0000-00000B2D0000}"/>
    <cellStyle name="Normal 13 3 3 2 2 4 3" xfId="49463" xr:uid="{00000000-0005-0000-0000-00000C2D0000}"/>
    <cellStyle name="Normal 13 3 3 2 2 5" xfId="8090" xr:uid="{00000000-0005-0000-0000-00000D2D0000}"/>
    <cellStyle name="Normal 13 3 3 2 2 5 2" xfId="49464" xr:uid="{00000000-0005-0000-0000-00000E2D0000}"/>
    <cellStyle name="Normal 13 3 3 2 2 6" xfId="8091" xr:uid="{00000000-0005-0000-0000-00000F2D0000}"/>
    <cellStyle name="Normal 13 3 3 2 2 7" xfId="8092" xr:uid="{00000000-0005-0000-0000-0000102D0000}"/>
    <cellStyle name="Normal 13 3 3 2 2 8" xfId="8093" xr:uid="{00000000-0005-0000-0000-0000112D0000}"/>
    <cellStyle name="Normal 13 3 3 2 2 9" xfId="8094" xr:uid="{00000000-0005-0000-0000-0000122D0000}"/>
    <cellStyle name="Normal 13 3 3 2 3" xfId="8095" xr:uid="{00000000-0005-0000-0000-0000132D0000}"/>
    <cellStyle name="Normal 13 3 3 2 3 2" xfId="8096" xr:uid="{00000000-0005-0000-0000-0000142D0000}"/>
    <cellStyle name="Normal 13 3 3 2 3 2 2" xfId="8097" xr:uid="{00000000-0005-0000-0000-0000152D0000}"/>
    <cellStyle name="Normal 13 3 3 2 3 2 2 2" xfId="8098" xr:uid="{00000000-0005-0000-0000-0000162D0000}"/>
    <cellStyle name="Normal 13 3 3 2 3 2 2 2 2" xfId="49465" xr:uid="{00000000-0005-0000-0000-0000172D0000}"/>
    <cellStyle name="Normal 13 3 3 2 3 2 2 2 3" xfId="49466" xr:uid="{00000000-0005-0000-0000-0000182D0000}"/>
    <cellStyle name="Normal 13 3 3 2 3 2 2 3" xfId="8099" xr:uid="{00000000-0005-0000-0000-0000192D0000}"/>
    <cellStyle name="Normal 13 3 3 2 3 2 2 3 2" xfId="49467" xr:uid="{00000000-0005-0000-0000-00001A2D0000}"/>
    <cellStyle name="Normal 13 3 3 2 3 2 2 4" xfId="8100" xr:uid="{00000000-0005-0000-0000-00001B2D0000}"/>
    <cellStyle name="Normal 13 3 3 2 3 2 2 5" xfId="8101" xr:uid="{00000000-0005-0000-0000-00001C2D0000}"/>
    <cellStyle name="Normal 13 3 3 2 3 2 2 6" xfId="8102" xr:uid="{00000000-0005-0000-0000-00001D2D0000}"/>
    <cellStyle name="Normal 13 3 3 2 3 2 3" xfId="8103" xr:uid="{00000000-0005-0000-0000-00001E2D0000}"/>
    <cellStyle name="Normal 13 3 3 2 3 2 3 2" xfId="49468" xr:uid="{00000000-0005-0000-0000-00001F2D0000}"/>
    <cellStyle name="Normal 13 3 3 2 3 2 3 3" xfId="49469" xr:uid="{00000000-0005-0000-0000-0000202D0000}"/>
    <cellStyle name="Normal 13 3 3 2 3 2 4" xfId="8104" xr:uid="{00000000-0005-0000-0000-0000212D0000}"/>
    <cellStyle name="Normal 13 3 3 2 3 2 4 2" xfId="49470" xr:uid="{00000000-0005-0000-0000-0000222D0000}"/>
    <cellStyle name="Normal 13 3 3 2 3 2 5" xfId="8105" xr:uid="{00000000-0005-0000-0000-0000232D0000}"/>
    <cellStyle name="Normal 13 3 3 2 3 2 6" xfId="8106" xr:uid="{00000000-0005-0000-0000-0000242D0000}"/>
    <cellStyle name="Normal 13 3 3 2 3 2 7" xfId="8107" xr:uid="{00000000-0005-0000-0000-0000252D0000}"/>
    <cellStyle name="Normal 13 3 3 2 3 3" xfId="8108" xr:uid="{00000000-0005-0000-0000-0000262D0000}"/>
    <cellStyle name="Normal 13 3 3 2 3 3 2" xfId="8109" xr:uid="{00000000-0005-0000-0000-0000272D0000}"/>
    <cellStyle name="Normal 13 3 3 2 3 3 2 2" xfId="49471" xr:uid="{00000000-0005-0000-0000-0000282D0000}"/>
    <cellStyle name="Normal 13 3 3 2 3 3 2 3" xfId="49472" xr:uid="{00000000-0005-0000-0000-0000292D0000}"/>
    <cellStyle name="Normal 13 3 3 2 3 3 3" xfId="8110" xr:uid="{00000000-0005-0000-0000-00002A2D0000}"/>
    <cellStyle name="Normal 13 3 3 2 3 3 3 2" xfId="49473" xr:uid="{00000000-0005-0000-0000-00002B2D0000}"/>
    <cellStyle name="Normal 13 3 3 2 3 3 4" xfId="8111" xr:uid="{00000000-0005-0000-0000-00002C2D0000}"/>
    <cellStyle name="Normal 13 3 3 2 3 3 5" xfId="8112" xr:uid="{00000000-0005-0000-0000-00002D2D0000}"/>
    <cellStyle name="Normal 13 3 3 2 3 3 6" xfId="8113" xr:uid="{00000000-0005-0000-0000-00002E2D0000}"/>
    <cellStyle name="Normal 13 3 3 2 3 4" xfId="8114" xr:uid="{00000000-0005-0000-0000-00002F2D0000}"/>
    <cellStyle name="Normal 13 3 3 2 3 4 2" xfId="49474" xr:uid="{00000000-0005-0000-0000-0000302D0000}"/>
    <cellStyle name="Normal 13 3 3 2 3 4 3" xfId="49475" xr:uid="{00000000-0005-0000-0000-0000312D0000}"/>
    <cellStyle name="Normal 13 3 3 2 3 5" xfId="8115" xr:uid="{00000000-0005-0000-0000-0000322D0000}"/>
    <cellStyle name="Normal 13 3 3 2 3 5 2" xfId="49476" xr:uid="{00000000-0005-0000-0000-0000332D0000}"/>
    <cellStyle name="Normal 13 3 3 2 3 6" xfId="8116" xr:uid="{00000000-0005-0000-0000-0000342D0000}"/>
    <cellStyle name="Normal 13 3 3 2 3 7" xfId="8117" xr:uid="{00000000-0005-0000-0000-0000352D0000}"/>
    <cellStyle name="Normal 13 3 3 2 3 8" xfId="8118" xr:uid="{00000000-0005-0000-0000-0000362D0000}"/>
    <cellStyle name="Normal 13 3 3 2 4" xfId="8119" xr:uid="{00000000-0005-0000-0000-0000372D0000}"/>
    <cellStyle name="Normal 13 3 3 2 4 2" xfId="8120" xr:uid="{00000000-0005-0000-0000-0000382D0000}"/>
    <cellStyle name="Normal 13 3 3 2 4 2 2" xfId="8121" xr:uid="{00000000-0005-0000-0000-0000392D0000}"/>
    <cellStyle name="Normal 13 3 3 2 4 2 2 2" xfId="49477" xr:uid="{00000000-0005-0000-0000-00003A2D0000}"/>
    <cellStyle name="Normal 13 3 3 2 4 2 2 3" xfId="49478" xr:uid="{00000000-0005-0000-0000-00003B2D0000}"/>
    <cellStyle name="Normal 13 3 3 2 4 2 3" xfId="8122" xr:uid="{00000000-0005-0000-0000-00003C2D0000}"/>
    <cellStyle name="Normal 13 3 3 2 4 2 3 2" xfId="49479" xr:uid="{00000000-0005-0000-0000-00003D2D0000}"/>
    <cellStyle name="Normal 13 3 3 2 4 2 4" xfId="8123" xr:uid="{00000000-0005-0000-0000-00003E2D0000}"/>
    <cellStyle name="Normal 13 3 3 2 4 2 5" xfId="8124" xr:uid="{00000000-0005-0000-0000-00003F2D0000}"/>
    <cellStyle name="Normal 13 3 3 2 4 2 6" xfId="8125" xr:uid="{00000000-0005-0000-0000-0000402D0000}"/>
    <cellStyle name="Normal 13 3 3 2 4 3" xfId="8126" xr:uid="{00000000-0005-0000-0000-0000412D0000}"/>
    <cellStyle name="Normal 13 3 3 2 4 3 2" xfId="49480" xr:uid="{00000000-0005-0000-0000-0000422D0000}"/>
    <cellStyle name="Normal 13 3 3 2 4 3 3" xfId="49481" xr:uid="{00000000-0005-0000-0000-0000432D0000}"/>
    <cellStyle name="Normal 13 3 3 2 4 4" xfId="8127" xr:uid="{00000000-0005-0000-0000-0000442D0000}"/>
    <cellStyle name="Normal 13 3 3 2 4 4 2" xfId="49482" xr:uid="{00000000-0005-0000-0000-0000452D0000}"/>
    <cellStyle name="Normal 13 3 3 2 4 5" xfId="8128" xr:uid="{00000000-0005-0000-0000-0000462D0000}"/>
    <cellStyle name="Normal 13 3 3 2 4 6" xfId="8129" xr:uid="{00000000-0005-0000-0000-0000472D0000}"/>
    <cellStyle name="Normal 13 3 3 2 4 7" xfId="8130" xr:uid="{00000000-0005-0000-0000-0000482D0000}"/>
    <cellStyle name="Normal 13 3 3 2 5" xfId="8131" xr:uid="{00000000-0005-0000-0000-0000492D0000}"/>
    <cellStyle name="Normal 13 3 3 2 5 2" xfId="8132" xr:uid="{00000000-0005-0000-0000-00004A2D0000}"/>
    <cellStyle name="Normal 13 3 3 2 5 2 2" xfId="49483" xr:uid="{00000000-0005-0000-0000-00004B2D0000}"/>
    <cellStyle name="Normal 13 3 3 2 5 2 3" xfId="49484" xr:uid="{00000000-0005-0000-0000-00004C2D0000}"/>
    <cellStyle name="Normal 13 3 3 2 5 3" xfId="8133" xr:uid="{00000000-0005-0000-0000-00004D2D0000}"/>
    <cellStyle name="Normal 13 3 3 2 5 3 2" xfId="49485" xr:uid="{00000000-0005-0000-0000-00004E2D0000}"/>
    <cellStyle name="Normal 13 3 3 2 5 4" xfId="8134" xr:uid="{00000000-0005-0000-0000-00004F2D0000}"/>
    <cellStyle name="Normal 13 3 3 2 5 5" xfId="8135" xr:uid="{00000000-0005-0000-0000-0000502D0000}"/>
    <cellStyle name="Normal 13 3 3 2 5 6" xfId="8136" xr:uid="{00000000-0005-0000-0000-0000512D0000}"/>
    <cellStyle name="Normal 13 3 3 2 6" xfId="8137" xr:uid="{00000000-0005-0000-0000-0000522D0000}"/>
    <cellStyle name="Normal 13 3 3 2 6 2" xfId="49486" xr:uid="{00000000-0005-0000-0000-0000532D0000}"/>
    <cellStyle name="Normal 13 3 3 2 6 3" xfId="49487" xr:uid="{00000000-0005-0000-0000-0000542D0000}"/>
    <cellStyle name="Normal 13 3 3 2 7" xfId="8138" xr:uid="{00000000-0005-0000-0000-0000552D0000}"/>
    <cellStyle name="Normal 13 3 3 2 7 2" xfId="49488" xr:uid="{00000000-0005-0000-0000-0000562D0000}"/>
    <cellStyle name="Normal 13 3 3 2 8" xfId="8139" xr:uid="{00000000-0005-0000-0000-0000572D0000}"/>
    <cellStyle name="Normal 13 3 3 2 9" xfId="8140" xr:uid="{00000000-0005-0000-0000-0000582D0000}"/>
    <cellStyle name="Normal 13 3 3 3" xfId="8141" xr:uid="{00000000-0005-0000-0000-0000592D0000}"/>
    <cellStyle name="Normal 13 3 3 3 2" xfId="8142" xr:uid="{00000000-0005-0000-0000-00005A2D0000}"/>
    <cellStyle name="Normal 13 3 3 3 2 2" xfId="8143" xr:uid="{00000000-0005-0000-0000-00005B2D0000}"/>
    <cellStyle name="Normal 13 3 3 3 2 2 2" xfId="8144" xr:uid="{00000000-0005-0000-0000-00005C2D0000}"/>
    <cellStyle name="Normal 13 3 3 3 2 2 2 2" xfId="49489" xr:uid="{00000000-0005-0000-0000-00005D2D0000}"/>
    <cellStyle name="Normal 13 3 3 3 2 2 2 3" xfId="49490" xr:uid="{00000000-0005-0000-0000-00005E2D0000}"/>
    <cellStyle name="Normal 13 3 3 3 2 2 3" xfId="8145" xr:uid="{00000000-0005-0000-0000-00005F2D0000}"/>
    <cellStyle name="Normal 13 3 3 3 2 2 3 2" xfId="49491" xr:uid="{00000000-0005-0000-0000-0000602D0000}"/>
    <cellStyle name="Normal 13 3 3 3 2 2 4" xfId="8146" xr:uid="{00000000-0005-0000-0000-0000612D0000}"/>
    <cellStyle name="Normal 13 3 3 3 2 2 5" xfId="8147" xr:uid="{00000000-0005-0000-0000-0000622D0000}"/>
    <cellStyle name="Normal 13 3 3 3 2 2 6" xfId="8148" xr:uid="{00000000-0005-0000-0000-0000632D0000}"/>
    <cellStyle name="Normal 13 3 3 3 2 3" xfId="8149" xr:uid="{00000000-0005-0000-0000-0000642D0000}"/>
    <cellStyle name="Normal 13 3 3 3 2 3 2" xfId="49492" xr:uid="{00000000-0005-0000-0000-0000652D0000}"/>
    <cellStyle name="Normal 13 3 3 3 2 3 3" xfId="49493" xr:uid="{00000000-0005-0000-0000-0000662D0000}"/>
    <cellStyle name="Normal 13 3 3 3 2 4" xfId="8150" xr:uid="{00000000-0005-0000-0000-0000672D0000}"/>
    <cellStyle name="Normal 13 3 3 3 2 4 2" xfId="49494" xr:uid="{00000000-0005-0000-0000-0000682D0000}"/>
    <cellStyle name="Normal 13 3 3 3 2 5" xfId="8151" xr:uid="{00000000-0005-0000-0000-0000692D0000}"/>
    <cellStyle name="Normal 13 3 3 3 2 6" xfId="8152" xr:uid="{00000000-0005-0000-0000-00006A2D0000}"/>
    <cellStyle name="Normal 13 3 3 3 2 7" xfId="8153" xr:uid="{00000000-0005-0000-0000-00006B2D0000}"/>
    <cellStyle name="Normal 13 3 3 3 3" xfId="8154" xr:uid="{00000000-0005-0000-0000-00006C2D0000}"/>
    <cellStyle name="Normal 13 3 3 3 3 2" xfId="8155" xr:uid="{00000000-0005-0000-0000-00006D2D0000}"/>
    <cellStyle name="Normal 13 3 3 3 3 2 2" xfId="49495" xr:uid="{00000000-0005-0000-0000-00006E2D0000}"/>
    <cellStyle name="Normal 13 3 3 3 3 2 3" xfId="49496" xr:uid="{00000000-0005-0000-0000-00006F2D0000}"/>
    <cellStyle name="Normal 13 3 3 3 3 3" xfId="8156" xr:uid="{00000000-0005-0000-0000-0000702D0000}"/>
    <cellStyle name="Normal 13 3 3 3 3 3 2" xfId="49497" xr:uid="{00000000-0005-0000-0000-0000712D0000}"/>
    <cellStyle name="Normal 13 3 3 3 3 4" xfId="8157" xr:uid="{00000000-0005-0000-0000-0000722D0000}"/>
    <cellStyle name="Normal 13 3 3 3 3 5" xfId="8158" xr:uid="{00000000-0005-0000-0000-0000732D0000}"/>
    <cellStyle name="Normal 13 3 3 3 3 6" xfId="8159" xr:uid="{00000000-0005-0000-0000-0000742D0000}"/>
    <cellStyle name="Normal 13 3 3 3 4" xfId="8160" xr:uid="{00000000-0005-0000-0000-0000752D0000}"/>
    <cellStyle name="Normal 13 3 3 3 4 2" xfId="49498" xr:uid="{00000000-0005-0000-0000-0000762D0000}"/>
    <cellStyle name="Normal 13 3 3 3 4 3" xfId="49499" xr:uid="{00000000-0005-0000-0000-0000772D0000}"/>
    <cellStyle name="Normal 13 3 3 3 5" xfId="8161" xr:uid="{00000000-0005-0000-0000-0000782D0000}"/>
    <cellStyle name="Normal 13 3 3 3 5 2" xfId="49500" xr:uid="{00000000-0005-0000-0000-0000792D0000}"/>
    <cellStyle name="Normal 13 3 3 3 6" xfId="8162" xr:uid="{00000000-0005-0000-0000-00007A2D0000}"/>
    <cellStyle name="Normal 13 3 3 3 7" xfId="8163" xr:uid="{00000000-0005-0000-0000-00007B2D0000}"/>
    <cellStyle name="Normal 13 3 3 3 8" xfId="8164" xr:uid="{00000000-0005-0000-0000-00007C2D0000}"/>
    <cellStyle name="Normal 13 3 3 3 9" xfId="8165" xr:uid="{00000000-0005-0000-0000-00007D2D0000}"/>
    <cellStyle name="Normal 13 3 3 4" xfId="8166" xr:uid="{00000000-0005-0000-0000-00007E2D0000}"/>
    <cellStyle name="Normal 13 3 3 4 2" xfId="8167" xr:uid="{00000000-0005-0000-0000-00007F2D0000}"/>
    <cellStyle name="Normal 13 3 3 4 2 2" xfId="8168" xr:uid="{00000000-0005-0000-0000-0000802D0000}"/>
    <cellStyle name="Normal 13 3 3 4 2 2 2" xfId="8169" xr:uid="{00000000-0005-0000-0000-0000812D0000}"/>
    <cellStyle name="Normal 13 3 3 4 2 2 2 2" xfId="49501" xr:uid="{00000000-0005-0000-0000-0000822D0000}"/>
    <cellStyle name="Normal 13 3 3 4 2 2 2 3" xfId="49502" xr:uid="{00000000-0005-0000-0000-0000832D0000}"/>
    <cellStyle name="Normal 13 3 3 4 2 2 3" xfId="8170" xr:uid="{00000000-0005-0000-0000-0000842D0000}"/>
    <cellStyle name="Normal 13 3 3 4 2 2 3 2" xfId="49503" xr:uid="{00000000-0005-0000-0000-0000852D0000}"/>
    <cellStyle name="Normal 13 3 3 4 2 2 4" xfId="8171" xr:uid="{00000000-0005-0000-0000-0000862D0000}"/>
    <cellStyle name="Normal 13 3 3 4 2 2 5" xfId="8172" xr:uid="{00000000-0005-0000-0000-0000872D0000}"/>
    <cellStyle name="Normal 13 3 3 4 2 2 6" xfId="8173" xr:uid="{00000000-0005-0000-0000-0000882D0000}"/>
    <cellStyle name="Normal 13 3 3 4 2 3" xfId="8174" xr:uid="{00000000-0005-0000-0000-0000892D0000}"/>
    <cellStyle name="Normal 13 3 3 4 2 3 2" xfId="49504" xr:uid="{00000000-0005-0000-0000-00008A2D0000}"/>
    <cellStyle name="Normal 13 3 3 4 2 3 3" xfId="49505" xr:uid="{00000000-0005-0000-0000-00008B2D0000}"/>
    <cellStyle name="Normal 13 3 3 4 2 4" xfId="8175" xr:uid="{00000000-0005-0000-0000-00008C2D0000}"/>
    <cellStyle name="Normal 13 3 3 4 2 4 2" xfId="49506" xr:uid="{00000000-0005-0000-0000-00008D2D0000}"/>
    <cellStyle name="Normal 13 3 3 4 2 5" xfId="8176" xr:uid="{00000000-0005-0000-0000-00008E2D0000}"/>
    <cellStyle name="Normal 13 3 3 4 2 6" xfId="8177" xr:uid="{00000000-0005-0000-0000-00008F2D0000}"/>
    <cellStyle name="Normal 13 3 3 4 2 7" xfId="8178" xr:uid="{00000000-0005-0000-0000-0000902D0000}"/>
    <cellStyle name="Normal 13 3 3 4 3" xfId="8179" xr:uid="{00000000-0005-0000-0000-0000912D0000}"/>
    <cellStyle name="Normal 13 3 3 4 3 2" xfId="8180" xr:uid="{00000000-0005-0000-0000-0000922D0000}"/>
    <cellStyle name="Normal 13 3 3 4 3 2 2" xfId="49507" xr:uid="{00000000-0005-0000-0000-0000932D0000}"/>
    <cellStyle name="Normal 13 3 3 4 3 2 3" xfId="49508" xr:uid="{00000000-0005-0000-0000-0000942D0000}"/>
    <cellStyle name="Normal 13 3 3 4 3 3" xfId="8181" xr:uid="{00000000-0005-0000-0000-0000952D0000}"/>
    <cellStyle name="Normal 13 3 3 4 3 3 2" xfId="49509" xr:uid="{00000000-0005-0000-0000-0000962D0000}"/>
    <cellStyle name="Normal 13 3 3 4 3 4" xfId="8182" xr:uid="{00000000-0005-0000-0000-0000972D0000}"/>
    <cellStyle name="Normal 13 3 3 4 3 5" xfId="8183" xr:uid="{00000000-0005-0000-0000-0000982D0000}"/>
    <cellStyle name="Normal 13 3 3 4 3 6" xfId="8184" xr:uid="{00000000-0005-0000-0000-0000992D0000}"/>
    <cellStyle name="Normal 13 3 3 4 4" xfId="8185" xr:uid="{00000000-0005-0000-0000-00009A2D0000}"/>
    <cellStyle name="Normal 13 3 3 4 4 2" xfId="49510" xr:uid="{00000000-0005-0000-0000-00009B2D0000}"/>
    <cellStyle name="Normal 13 3 3 4 4 3" xfId="49511" xr:uid="{00000000-0005-0000-0000-00009C2D0000}"/>
    <cellStyle name="Normal 13 3 3 4 5" xfId="8186" xr:uid="{00000000-0005-0000-0000-00009D2D0000}"/>
    <cellStyle name="Normal 13 3 3 4 5 2" xfId="49512" xr:uid="{00000000-0005-0000-0000-00009E2D0000}"/>
    <cellStyle name="Normal 13 3 3 4 6" xfId="8187" xr:uid="{00000000-0005-0000-0000-00009F2D0000}"/>
    <cellStyle name="Normal 13 3 3 4 7" xfId="8188" xr:uid="{00000000-0005-0000-0000-0000A02D0000}"/>
    <cellStyle name="Normal 13 3 3 4 8" xfId="8189" xr:uid="{00000000-0005-0000-0000-0000A12D0000}"/>
    <cellStyle name="Normal 13 3 3 5" xfId="8190" xr:uid="{00000000-0005-0000-0000-0000A22D0000}"/>
    <cellStyle name="Normal 13 3 3 5 2" xfId="8191" xr:uid="{00000000-0005-0000-0000-0000A32D0000}"/>
    <cellStyle name="Normal 13 3 3 5 2 2" xfId="8192" xr:uid="{00000000-0005-0000-0000-0000A42D0000}"/>
    <cellStyle name="Normal 13 3 3 5 2 2 2" xfId="49513" xr:uid="{00000000-0005-0000-0000-0000A52D0000}"/>
    <cellStyle name="Normal 13 3 3 5 2 2 3" xfId="49514" xr:uid="{00000000-0005-0000-0000-0000A62D0000}"/>
    <cellStyle name="Normal 13 3 3 5 2 3" xfId="8193" xr:uid="{00000000-0005-0000-0000-0000A72D0000}"/>
    <cellStyle name="Normal 13 3 3 5 2 3 2" xfId="49515" xr:uid="{00000000-0005-0000-0000-0000A82D0000}"/>
    <cellStyle name="Normal 13 3 3 5 2 4" xfId="8194" xr:uid="{00000000-0005-0000-0000-0000A92D0000}"/>
    <cellStyle name="Normal 13 3 3 5 2 5" xfId="8195" xr:uid="{00000000-0005-0000-0000-0000AA2D0000}"/>
    <cellStyle name="Normal 13 3 3 5 2 6" xfId="8196" xr:uid="{00000000-0005-0000-0000-0000AB2D0000}"/>
    <cellStyle name="Normal 13 3 3 5 3" xfId="8197" xr:uid="{00000000-0005-0000-0000-0000AC2D0000}"/>
    <cellStyle name="Normal 13 3 3 5 3 2" xfId="49516" xr:uid="{00000000-0005-0000-0000-0000AD2D0000}"/>
    <cellStyle name="Normal 13 3 3 5 3 3" xfId="49517" xr:uid="{00000000-0005-0000-0000-0000AE2D0000}"/>
    <cellStyle name="Normal 13 3 3 5 4" xfId="8198" xr:uid="{00000000-0005-0000-0000-0000AF2D0000}"/>
    <cellStyle name="Normal 13 3 3 5 4 2" xfId="49518" xr:uid="{00000000-0005-0000-0000-0000B02D0000}"/>
    <cellStyle name="Normal 13 3 3 5 5" xfId="8199" xr:uid="{00000000-0005-0000-0000-0000B12D0000}"/>
    <cellStyle name="Normal 13 3 3 5 6" xfId="8200" xr:uid="{00000000-0005-0000-0000-0000B22D0000}"/>
    <cellStyle name="Normal 13 3 3 5 7" xfId="8201" xr:uid="{00000000-0005-0000-0000-0000B32D0000}"/>
    <cellStyle name="Normal 13 3 3 6" xfId="8202" xr:uid="{00000000-0005-0000-0000-0000B42D0000}"/>
    <cellStyle name="Normal 13 3 3 6 2" xfId="8203" xr:uid="{00000000-0005-0000-0000-0000B52D0000}"/>
    <cellStyle name="Normal 13 3 3 6 2 2" xfId="49519" xr:uid="{00000000-0005-0000-0000-0000B62D0000}"/>
    <cellStyle name="Normal 13 3 3 6 2 3" xfId="49520" xr:uid="{00000000-0005-0000-0000-0000B72D0000}"/>
    <cellStyle name="Normal 13 3 3 6 3" xfId="8204" xr:uid="{00000000-0005-0000-0000-0000B82D0000}"/>
    <cellStyle name="Normal 13 3 3 6 3 2" xfId="49521" xr:uid="{00000000-0005-0000-0000-0000B92D0000}"/>
    <cellStyle name="Normal 13 3 3 6 4" xfId="8205" xr:uid="{00000000-0005-0000-0000-0000BA2D0000}"/>
    <cellStyle name="Normal 13 3 3 6 5" xfId="8206" xr:uid="{00000000-0005-0000-0000-0000BB2D0000}"/>
    <cellStyle name="Normal 13 3 3 6 6" xfId="8207" xr:uid="{00000000-0005-0000-0000-0000BC2D0000}"/>
    <cellStyle name="Normal 13 3 3 7" xfId="8208" xr:uid="{00000000-0005-0000-0000-0000BD2D0000}"/>
    <cellStyle name="Normal 13 3 3 7 2" xfId="49522" xr:uid="{00000000-0005-0000-0000-0000BE2D0000}"/>
    <cellStyle name="Normal 13 3 3 7 3" xfId="49523" xr:uid="{00000000-0005-0000-0000-0000BF2D0000}"/>
    <cellStyle name="Normal 13 3 3 8" xfId="8209" xr:uid="{00000000-0005-0000-0000-0000C02D0000}"/>
    <cellStyle name="Normal 13 3 3 8 2" xfId="49524" xr:uid="{00000000-0005-0000-0000-0000C12D0000}"/>
    <cellStyle name="Normal 13 3 3 9" xfId="8210" xr:uid="{00000000-0005-0000-0000-0000C22D0000}"/>
    <cellStyle name="Normal 13 3 4" xfId="8211" xr:uid="{00000000-0005-0000-0000-0000C32D0000}"/>
    <cellStyle name="Normal 13 3 4 10" xfId="8212" xr:uid="{00000000-0005-0000-0000-0000C42D0000}"/>
    <cellStyle name="Normal 13 3 4 11" xfId="8213" xr:uid="{00000000-0005-0000-0000-0000C52D0000}"/>
    <cellStyle name="Normal 13 3 4 12" xfId="8214" xr:uid="{00000000-0005-0000-0000-0000C62D0000}"/>
    <cellStyle name="Normal 13 3 4 13" xfId="8215" xr:uid="{00000000-0005-0000-0000-0000C72D0000}"/>
    <cellStyle name="Normal 13 3 4 14" xfId="8216" xr:uid="{00000000-0005-0000-0000-0000C82D0000}"/>
    <cellStyle name="Normal 13 3 4 2" xfId="8217" xr:uid="{00000000-0005-0000-0000-0000C92D0000}"/>
    <cellStyle name="Normal 13 3 4 2 2" xfId="8218" xr:uid="{00000000-0005-0000-0000-0000CA2D0000}"/>
    <cellStyle name="Normal 13 3 4 2 2 2" xfId="8219" xr:uid="{00000000-0005-0000-0000-0000CB2D0000}"/>
    <cellStyle name="Normal 13 3 4 2 2 2 2" xfId="8220" xr:uid="{00000000-0005-0000-0000-0000CC2D0000}"/>
    <cellStyle name="Normal 13 3 4 2 2 2 2 2" xfId="49525" xr:uid="{00000000-0005-0000-0000-0000CD2D0000}"/>
    <cellStyle name="Normal 13 3 4 2 2 2 2 3" xfId="49526" xr:uid="{00000000-0005-0000-0000-0000CE2D0000}"/>
    <cellStyle name="Normal 13 3 4 2 2 2 3" xfId="8221" xr:uid="{00000000-0005-0000-0000-0000CF2D0000}"/>
    <cellStyle name="Normal 13 3 4 2 2 2 3 2" xfId="49527" xr:uid="{00000000-0005-0000-0000-0000D02D0000}"/>
    <cellStyle name="Normal 13 3 4 2 2 2 4" xfId="8222" xr:uid="{00000000-0005-0000-0000-0000D12D0000}"/>
    <cellStyle name="Normal 13 3 4 2 2 2 5" xfId="8223" xr:uid="{00000000-0005-0000-0000-0000D22D0000}"/>
    <cellStyle name="Normal 13 3 4 2 2 2 6" xfId="8224" xr:uid="{00000000-0005-0000-0000-0000D32D0000}"/>
    <cellStyle name="Normal 13 3 4 2 2 3" xfId="8225" xr:uid="{00000000-0005-0000-0000-0000D42D0000}"/>
    <cellStyle name="Normal 13 3 4 2 2 3 2" xfId="49528" xr:uid="{00000000-0005-0000-0000-0000D52D0000}"/>
    <cellStyle name="Normal 13 3 4 2 2 3 3" xfId="49529" xr:uid="{00000000-0005-0000-0000-0000D62D0000}"/>
    <cellStyle name="Normal 13 3 4 2 2 4" xfId="8226" xr:uid="{00000000-0005-0000-0000-0000D72D0000}"/>
    <cellStyle name="Normal 13 3 4 2 2 4 2" xfId="49530" xr:uid="{00000000-0005-0000-0000-0000D82D0000}"/>
    <cellStyle name="Normal 13 3 4 2 2 5" xfId="8227" xr:uid="{00000000-0005-0000-0000-0000D92D0000}"/>
    <cellStyle name="Normal 13 3 4 2 2 6" xfId="8228" xr:uid="{00000000-0005-0000-0000-0000DA2D0000}"/>
    <cellStyle name="Normal 13 3 4 2 2 7" xfId="8229" xr:uid="{00000000-0005-0000-0000-0000DB2D0000}"/>
    <cellStyle name="Normal 13 3 4 2 3" xfId="8230" xr:uid="{00000000-0005-0000-0000-0000DC2D0000}"/>
    <cellStyle name="Normal 13 3 4 2 3 2" xfId="8231" xr:uid="{00000000-0005-0000-0000-0000DD2D0000}"/>
    <cellStyle name="Normal 13 3 4 2 3 2 2" xfId="49531" xr:uid="{00000000-0005-0000-0000-0000DE2D0000}"/>
    <cellStyle name="Normal 13 3 4 2 3 2 3" xfId="49532" xr:uid="{00000000-0005-0000-0000-0000DF2D0000}"/>
    <cellStyle name="Normal 13 3 4 2 3 3" xfId="8232" xr:uid="{00000000-0005-0000-0000-0000E02D0000}"/>
    <cellStyle name="Normal 13 3 4 2 3 3 2" xfId="49533" xr:uid="{00000000-0005-0000-0000-0000E12D0000}"/>
    <cellStyle name="Normal 13 3 4 2 3 4" xfId="8233" xr:uid="{00000000-0005-0000-0000-0000E22D0000}"/>
    <cellStyle name="Normal 13 3 4 2 3 5" xfId="8234" xr:uid="{00000000-0005-0000-0000-0000E32D0000}"/>
    <cellStyle name="Normal 13 3 4 2 3 6" xfId="8235" xr:uid="{00000000-0005-0000-0000-0000E42D0000}"/>
    <cellStyle name="Normal 13 3 4 2 4" xfId="8236" xr:uid="{00000000-0005-0000-0000-0000E52D0000}"/>
    <cellStyle name="Normal 13 3 4 2 4 2" xfId="49534" xr:uid="{00000000-0005-0000-0000-0000E62D0000}"/>
    <cellStyle name="Normal 13 3 4 2 4 3" xfId="49535" xr:uid="{00000000-0005-0000-0000-0000E72D0000}"/>
    <cellStyle name="Normal 13 3 4 2 5" xfId="8237" xr:uid="{00000000-0005-0000-0000-0000E82D0000}"/>
    <cellStyle name="Normal 13 3 4 2 5 2" xfId="49536" xr:uid="{00000000-0005-0000-0000-0000E92D0000}"/>
    <cellStyle name="Normal 13 3 4 2 6" xfId="8238" xr:uid="{00000000-0005-0000-0000-0000EA2D0000}"/>
    <cellStyle name="Normal 13 3 4 2 7" xfId="8239" xr:uid="{00000000-0005-0000-0000-0000EB2D0000}"/>
    <cellStyle name="Normal 13 3 4 2 8" xfId="8240" xr:uid="{00000000-0005-0000-0000-0000EC2D0000}"/>
    <cellStyle name="Normal 13 3 4 2 9" xfId="8241" xr:uid="{00000000-0005-0000-0000-0000ED2D0000}"/>
    <cellStyle name="Normal 13 3 4 3" xfId="8242" xr:uid="{00000000-0005-0000-0000-0000EE2D0000}"/>
    <cellStyle name="Normal 13 3 4 3 2" xfId="8243" xr:uid="{00000000-0005-0000-0000-0000EF2D0000}"/>
    <cellStyle name="Normal 13 3 4 3 2 2" xfId="8244" xr:uid="{00000000-0005-0000-0000-0000F02D0000}"/>
    <cellStyle name="Normal 13 3 4 3 2 2 2" xfId="8245" xr:uid="{00000000-0005-0000-0000-0000F12D0000}"/>
    <cellStyle name="Normal 13 3 4 3 2 2 2 2" xfId="49537" xr:uid="{00000000-0005-0000-0000-0000F22D0000}"/>
    <cellStyle name="Normal 13 3 4 3 2 2 2 3" xfId="49538" xr:uid="{00000000-0005-0000-0000-0000F32D0000}"/>
    <cellStyle name="Normal 13 3 4 3 2 2 3" xfId="8246" xr:uid="{00000000-0005-0000-0000-0000F42D0000}"/>
    <cellStyle name="Normal 13 3 4 3 2 2 3 2" xfId="49539" xr:uid="{00000000-0005-0000-0000-0000F52D0000}"/>
    <cellStyle name="Normal 13 3 4 3 2 2 4" xfId="8247" xr:uid="{00000000-0005-0000-0000-0000F62D0000}"/>
    <cellStyle name="Normal 13 3 4 3 2 2 5" xfId="8248" xr:uid="{00000000-0005-0000-0000-0000F72D0000}"/>
    <cellStyle name="Normal 13 3 4 3 2 2 6" xfId="8249" xr:uid="{00000000-0005-0000-0000-0000F82D0000}"/>
    <cellStyle name="Normal 13 3 4 3 2 3" xfId="8250" xr:uid="{00000000-0005-0000-0000-0000F92D0000}"/>
    <cellStyle name="Normal 13 3 4 3 2 3 2" xfId="49540" xr:uid="{00000000-0005-0000-0000-0000FA2D0000}"/>
    <cellStyle name="Normal 13 3 4 3 2 3 3" xfId="49541" xr:uid="{00000000-0005-0000-0000-0000FB2D0000}"/>
    <cellStyle name="Normal 13 3 4 3 2 4" xfId="8251" xr:uid="{00000000-0005-0000-0000-0000FC2D0000}"/>
    <cellStyle name="Normal 13 3 4 3 2 4 2" xfId="49542" xr:uid="{00000000-0005-0000-0000-0000FD2D0000}"/>
    <cellStyle name="Normal 13 3 4 3 2 5" xfId="8252" xr:uid="{00000000-0005-0000-0000-0000FE2D0000}"/>
    <cellStyle name="Normal 13 3 4 3 2 6" xfId="8253" xr:uid="{00000000-0005-0000-0000-0000FF2D0000}"/>
    <cellStyle name="Normal 13 3 4 3 2 7" xfId="8254" xr:uid="{00000000-0005-0000-0000-0000002E0000}"/>
    <cellStyle name="Normal 13 3 4 3 3" xfId="8255" xr:uid="{00000000-0005-0000-0000-0000012E0000}"/>
    <cellStyle name="Normal 13 3 4 3 3 2" xfId="8256" xr:uid="{00000000-0005-0000-0000-0000022E0000}"/>
    <cellStyle name="Normal 13 3 4 3 3 2 2" xfId="49543" xr:uid="{00000000-0005-0000-0000-0000032E0000}"/>
    <cellStyle name="Normal 13 3 4 3 3 2 3" xfId="49544" xr:uid="{00000000-0005-0000-0000-0000042E0000}"/>
    <cellStyle name="Normal 13 3 4 3 3 3" xfId="8257" xr:uid="{00000000-0005-0000-0000-0000052E0000}"/>
    <cellStyle name="Normal 13 3 4 3 3 3 2" xfId="49545" xr:uid="{00000000-0005-0000-0000-0000062E0000}"/>
    <cellStyle name="Normal 13 3 4 3 3 4" xfId="8258" xr:uid="{00000000-0005-0000-0000-0000072E0000}"/>
    <cellStyle name="Normal 13 3 4 3 3 5" xfId="8259" xr:uid="{00000000-0005-0000-0000-0000082E0000}"/>
    <cellStyle name="Normal 13 3 4 3 3 6" xfId="8260" xr:uid="{00000000-0005-0000-0000-0000092E0000}"/>
    <cellStyle name="Normal 13 3 4 3 4" xfId="8261" xr:uid="{00000000-0005-0000-0000-00000A2E0000}"/>
    <cellStyle name="Normal 13 3 4 3 4 2" xfId="49546" xr:uid="{00000000-0005-0000-0000-00000B2E0000}"/>
    <cellStyle name="Normal 13 3 4 3 4 3" xfId="49547" xr:uid="{00000000-0005-0000-0000-00000C2E0000}"/>
    <cellStyle name="Normal 13 3 4 3 5" xfId="8262" xr:uid="{00000000-0005-0000-0000-00000D2E0000}"/>
    <cellStyle name="Normal 13 3 4 3 5 2" xfId="49548" xr:uid="{00000000-0005-0000-0000-00000E2E0000}"/>
    <cellStyle name="Normal 13 3 4 3 6" xfId="8263" xr:uid="{00000000-0005-0000-0000-00000F2E0000}"/>
    <cellStyle name="Normal 13 3 4 3 7" xfId="8264" xr:uid="{00000000-0005-0000-0000-0000102E0000}"/>
    <cellStyle name="Normal 13 3 4 3 8" xfId="8265" xr:uid="{00000000-0005-0000-0000-0000112E0000}"/>
    <cellStyle name="Normal 13 3 4 4" xfId="8266" xr:uid="{00000000-0005-0000-0000-0000122E0000}"/>
    <cellStyle name="Normal 13 3 4 4 2" xfId="8267" xr:uid="{00000000-0005-0000-0000-0000132E0000}"/>
    <cellStyle name="Normal 13 3 4 4 2 2" xfId="8268" xr:uid="{00000000-0005-0000-0000-0000142E0000}"/>
    <cellStyle name="Normal 13 3 4 4 2 2 2" xfId="49549" xr:uid="{00000000-0005-0000-0000-0000152E0000}"/>
    <cellStyle name="Normal 13 3 4 4 2 2 3" xfId="49550" xr:uid="{00000000-0005-0000-0000-0000162E0000}"/>
    <cellStyle name="Normal 13 3 4 4 2 3" xfId="8269" xr:uid="{00000000-0005-0000-0000-0000172E0000}"/>
    <cellStyle name="Normal 13 3 4 4 2 3 2" xfId="49551" xr:uid="{00000000-0005-0000-0000-0000182E0000}"/>
    <cellStyle name="Normal 13 3 4 4 2 4" xfId="8270" xr:uid="{00000000-0005-0000-0000-0000192E0000}"/>
    <cellStyle name="Normal 13 3 4 4 2 5" xfId="8271" xr:uid="{00000000-0005-0000-0000-00001A2E0000}"/>
    <cellStyle name="Normal 13 3 4 4 2 6" xfId="8272" xr:uid="{00000000-0005-0000-0000-00001B2E0000}"/>
    <cellStyle name="Normal 13 3 4 4 3" xfId="8273" xr:uid="{00000000-0005-0000-0000-00001C2E0000}"/>
    <cellStyle name="Normal 13 3 4 4 3 2" xfId="49552" xr:uid="{00000000-0005-0000-0000-00001D2E0000}"/>
    <cellStyle name="Normal 13 3 4 4 3 3" xfId="49553" xr:uid="{00000000-0005-0000-0000-00001E2E0000}"/>
    <cellStyle name="Normal 13 3 4 4 4" xfId="8274" xr:uid="{00000000-0005-0000-0000-00001F2E0000}"/>
    <cellStyle name="Normal 13 3 4 4 4 2" xfId="49554" xr:uid="{00000000-0005-0000-0000-0000202E0000}"/>
    <cellStyle name="Normal 13 3 4 4 5" xfId="8275" xr:uid="{00000000-0005-0000-0000-0000212E0000}"/>
    <cellStyle name="Normal 13 3 4 4 6" xfId="8276" xr:uid="{00000000-0005-0000-0000-0000222E0000}"/>
    <cellStyle name="Normal 13 3 4 4 7" xfId="8277" xr:uid="{00000000-0005-0000-0000-0000232E0000}"/>
    <cellStyle name="Normal 13 3 4 5" xfId="8278" xr:uid="{00000000-0005-0000-0000-0000242E0000}"/>
    <cellStyle name="Normal 13 3 4 5 2" xfId="8279" xr:uid="{00000000-0005-0000-0000-0000252E0000}"/>
    <cellStyle name="Normal 13 3 4 5 2 2" xfId="49555" xr:uid="{00000000-0005-0000-0000-0000262E0000}"/>
    <cellStyle name="Normal 13 3 4 5 2 3" xfId="49556" xr:uid="{00000000-0005-0000-0000-0000272E0000}"/>
    <cellStyle name="Normal 13 3 4 5 3" xfId="8280" xr:uid="{00000000-0005-0000-0000-0000282E0000}"/>
    <cellStyle name="Normal 13 3 4 5 3 2" xfId="49557" xr:uid="{00000000-0005-0000-0000-0000292E0000}"/>
    <cellStyle name="Normal 13 3 4 5 4" xfId="8281" xr:uid="{00000000-0005-0000-0000-00002A2E0000}"/>
    <cellStyle name="Normal 13 3 4 5 5" xfId="8282" xr:uid="{00000000-0005-0000-0000-00002B2E0000}"/>
    <cellStyle name="Normal 13 3 4 5 6" xfId="8283" xr:uid="{00000000-0005-0000-0000-00002C2E0000}"/>
    <cellStyle name="Normal 13 3 4 6" xfId="8284" xr:uid="{00000000-0005-0000-0000-00002D2E0000}"/>
    <cellStyle name="Normal 13 3 4 6 2" xfId="49558" xr:uid="{00000000-0005-0000-0000-00002E2E0000}"/>
    <cellStyle name="Normal 13 3 4 6 3" xfId="49559" xr:uid="{00000000-0005-0000-0000-00002F2E0000}"/>
    <cellStyle name="Normal 13 3 4 7" xfId="8285" xr:uid="{00000000-0005-0000-0000-0000302E0000}"/>
    <cellStyle name="Normal 13 3 4 7 2" xfId="49560" xr:uid="{00000000-0005-0000-0000-0000312E0000}"/>
    <cellStyle name="Normal 13 3 4 8" xfId="8286" xr:uid="{00000000-0005-0000-0000-0000322E0000}"/>
    <cellStyle name="Normal 13 3 4 9" xfId="8287" xr:uid="{00000000-0005-0000-0000-0000332E0000}"/>
    <cellStyle name="Normal 13 3 5" xfId="8288" xr:uid="{00000000-0005-0000-0000-0000342E0000}"/>
    <cellStyle name="Normal 13 3 5 10" xfId="8289" xr:uid="{00000000-0005-0000-0000-0000352E0000}"/>
    <cellStyle name="Normal 13 3 5 11" xfId="8290" xr:uid="{00000000-0005-0000-0000-0000362E0000}"/>
    <cellStyle name="Normal 13 3 5 12" xfId="8291" xr:uid="{00000000-0005-0000-0000-0000372E0000}"/>
    <cellStyle name="Normal 13 3 5 13" xfId="8292" xr:uid="{00000000-0005-0000-0000-0000382E0000}"/>
    <cellStyle name="Normal 13 3 5 14" xfId="8293" xr:uid="{00000000-0005-0000-0000-0000392E0000}"/>
    <cellStyle name="Normal 13 3 5 2" xfId="8294" xr:uid="{00000000-0005-0000-0000-00003A2E0000}"/>
    <cellStyle name="Normal 13 3 5 2 2" xfId="8295" xr:uid="{00000000-0005-0000-0000-00003B2E0000}"/>
    <cellStyle name="Normal 13 3 5 2 2 2" xfId="8296" xr:uid="{00000000-0005-0000-0000-00003C2E0000}"/>
    <cellStyle name="Normal 13 3 5 2 2 2 2" xfId="8297" xr:uid="{00000000-0005-0000-0000-00003D2E0000}"/>
    <cellStyle name="Normal 13 3 5 2 2 2 2 2" xfId="49561" xr:uid="{00000000-0005-0000-0000-00003E2E0000}"/>
    <cellStyle name="Normal 13 3 5 2 2 2 2 3" xfId="49562" xr:uid="{00000000-0005-0000-0000-00003F2E0000}"/>
    <cellStyle name="Normal 13 3 5 2 2 2 3" xfId="8298" xr:uid="{00000000-0005-0000-0000-0000402E0000}"/>
    <cellStyle name="Normal 13 3 5 2 2 2 3 2" xfId="49563" xr:uid="{00000000-0005-0000-0000-0000412E0000}"/>
    <cellStyle name="Normal 13 3 5 2 2 2 4" xfId="8299" xr:uid="{00000000-0005-0000-0000-0000422E0000}"/>
    <cellStyle name="Normal 13 3 5 2 2 2 5" xfId="8300" xr:uid="{00000000-0005-0000-0000-0000432E0000}"/>
    <cellStyle name="Normal 13 3 5 2 2 2 6" xfId="8301" xr:uid="{00000000-0005-0000-0000-0000442E0000}"/>
    <cellStyle name="Normal 13 3 5 2 2 3" xfId="8302" xr:uid="{00000000-0005-0000-0000-0000452E0000}"/>
    <cellStyle name="Normal 13 3 5 2 2 3 2" xfId="49564" xr:uid="{00000000-0005-0000-0000-0000462E0000}"/>
    <cellStyle name="Normal 13 3 5 2 2 3 3" xfId="49565" xr:uid="{00000000-0005-0000-0000-0000472E0000}"/>
    <cellStyle name="Normal 13 3 5 2 2 4" xfId="8303" xr:uid="{00000000-0005-0000-0000-0000482E0000}"/>
    <cellStyle name="Normal 13 3 5 2 2 4 2" xfId="49566" xr:uid="{00000000-0005-0000-0000-0000492E0000}"/>
    <cellStyle name="Normal 13 3 5 2 2 5" xfId="8304" xr:uid="{00000000-0005-0000-0000-00004A2E0000}"/>
    <cellStyle name="Normal 13 3 5 2 2 6" xfId="8305" xr:uid="{00000000-0005-0000-0000-00004B2E0000}"/>
    <cellStyle name="Normal 13 3 5 2 2 7" xfId="8306" xr:uid="{00000000-0005-0000-0000-00004C2E0000}"/>
    <cellStyle name="Normal 13 3 5 2 3" xfId="8307" xr:uid="{00000000-0005-0000-0000-00004D2E0000}"/>
    <cellStyle name="Normal 13 3 5 2 3 2" xfId="8308" xr:uid="{00000000-0005-0000-0000-00004E2E0000}"/>
    <cellStyle name="Normal 13 3 5 2 3 2 2" xfId="49567" xr:uid="{00000000-0005-0000-0000-00004F2E0000}"/>
    <cellStyle name="Normal 13 3 5 2 3 2 3" xfId="49568" xr:uid="{00000000-0005-0000-0000-0000502E0000}"/>
    <cellStyle name="Normal 13 3 5 2 3 3" xfId="8309" xr:uid="{00000000-0005-0000-0000-0000512E0000}"/>
    <cellStyle name="Normal 13 3 5 2 3 3 2" xfId="49569" xr:uid="{00000000-0005-0000-0000-0000522E0000}"/>
    <cellStyle name="Normal 13 3 5 2 3 4" xfId="8310" xr:uid="{00000000-0005-0000-0000-0000532E0000}"/>
    <cellStyle name="Normal 13 3 5 2 3 5" xfId="8311" xr:uid="{00000000-0005-0000-0000-0000542E0000}"/>
    <cellStyle name="Normal 13 3 5 2 3 6" xfId="8312" xr:uid="{00000000-0005-0000-0000-0000552E0000}"/>
    <cellStyle name="Normal 13 3 5 2 4" xfId="8313" xr:uid="{00000000-0005-0000-0000-0000562E0000}"/>
    <cellStyle name="Normal 13 3 5 2 4 2" xfId="49570" xr:uid="{00000000-0005-0000-0000-0000572E0000}"/>
    <cellStyle name="Normal 13 3 5 2 4 3" xfId="49571" xr:uid="{00000000-0005-0000-0000-0000582E0000}"/>
    <cellStyle name="Normal 13 3 5 2 5" xfId="8314" xr:uid="{00000000-0005-0000-0000-0000592E0000}"/>
    <cellStyle name="Normal 13 3 5 2 5 2" xfId="49572" xr:uid="{00000000-0005-0000-0000-00005A2E0000}"/>
    <cellStyle name="Normal 13 3 5 2 6" xfId="8315" xr:uid="{00000000-0005-0000-0000-00005B2E0000}"/>
    <cellStyle name="Normal 13 3 5 2 7" xfId="8316" xr:uid="{00000000-0005-0000-0000-00005C2E0000}"/>
    <cellStyle name="Normal 13 3 5 2 8" xfId="8317" xr:uid="{00000000-0005-0000-0000-00005D2E0000}"/>
    <cellStyle name="Normal 13 3 5 2 9" xfId="8318" xr:uid="{00000000-0005-0000-0000-00005E2E0000}"/>
    <cellStyle name="Normal 13 3 5 3" xfId="8319" xr:uid="{00000000-0005-0000-0000-00005F2E0000}"/>
    <cellStyle name="Normal 13 3 5 3 2" xfId="8320" xr:uid="{00000000-0005-0000-0000-0000602E0000}"/>
    <cellStyle name="Normal 13 3 5 3 2 2" xfId="8321" xr:uid="{00000000-0005-0000-0000-0000612E0000}"/>
    <cellStyle name="Normal 13 3 5 3 2 2 2" xfId="8322" xr:uid="{00000000-0005-0000-0000-0000622E0000}"/>
    <cellStyle name="Normal 13 3 5 3 2 2 2 2" xfId="49573" xr:uid="{00000000-0005-0000-0000-0000632E0000}"/>
    <cellStyle name="Normal 13 3 5 3 2 2 2 3" xfId="49574" xr:uid="{00000000-0005-0000-0000-0000642E0000}"/>
    <cellStyle name="Normal 13 3 5 3 2 2 3" xfId="8323" xr:uid="{00000000-0005-0000-0000-0000652E0000}"/>
    <cellStyle name="Normal 13 3 5 3 2 2 3 2" xfId="49575" xr:uid="{00000000-0005-0000-0000-0000662E0000}"/>
    <cellStyle name="Normal 13 3 5 3 2 2 4" xfId="8324" xr:uid="{00000000-0005-0000-0000-0000672E0000}"/>
    <cellStyle name="Normal 13 3 5 3 2 2 5" xfId="8325" xr:uid="{00000000-0005-0000-0000-0000682E0000}"/>
    <cellStyle name="Normal 13 3 5 3 2 2 6" xfId="8326" xr:uid="{00000000-0005-0000-0000-0000692E0000}"/>
    <cellStyle name="Normal 13 3 5 3 2 3" xfId="8327" xr:uid="{00000000-0005-0000-0000-00006A2E0000}"/>
    <cellStyle name="Normal 13 3 5 3 2 3 2" xfId="49576" xr:uid="{00000000-0005-0000-0000-00006B2E0000}"/>
    <cellStyle name="Normal 13 3 5 3 2 3 3" xfId="49577" xr:uid="{00000000-0005-0000-0000-00006C2E0000}"/>
    <cellStyle name="Normal 13 3 5 3 2 4" xfId="8328" xr:uid="{00000000-0005-0000-0000-00006D2E0000}"/>
    <cellStyle name="Normal 13 3 5 3 2 4 2" xfId="49578" xr:uid="{00000000-0005-0000-0000-00006E2E0000}"/>
    <cellStyle name="Normal 13 3 5 3 2 5" xfId="8329" xr:uid="{00000000-0005-0000-0000-00006F2E0000}"/>
    <cellStyle name="Normal 13 3 5 3 2 6" xfId="8330" xr:uid="{00000000-0005-0000-0000-0000702E0000}"/>
    <cellStyle name="Normal 13 3 5 3 2 7" xfId="8331" xr:uid="{00000000-0005-0000-0000-0000712E0000}"/>
    <cellStyle name="Normal 13 3 5 3 3" xfId="8332" xr:uid="{00000000-0005-0000-0000-0000722E0000}"/>
    <cellStyle name="Normal 13 3 5 3 3 2" xfId="8333" xr:uid="{00000000-0005-0000-0000-0000732E0000}"/>
    <cellStyle name="Normal 13 3 5 3 3 2 2" xfId="49579" xr:uid="{00000000-0005-0000-0000-0000742E0000}"/>
    <cellStyle name="Normal 13 3 5 3 3 2 3" xfId="49580" xr:uid="{00000000-0005-0000-0000-0000752E0000}"/>
    <cellStyle name="Normal 13 3 5 3 3 3" xfId="8334" xr:uid="{00000000-0005-0000-0000-0000762E0000}"/>
    <cellStyle name="Normal 13 3 5 3 3 3 2" xfId="49581" xr:uid="{00000000-0005-0000-0000-0000772E0000}"/>
    <cellStyle name="Normal 13 3 5 3 3 4" xfId="8335" xr:uid="{00000000-0005-0000-0000-0000782E0000}"/>
    <cellStyle name="Normal 13 3 5 3 3 5" xfId="8336" xr:uid="{00000000-0005-0000-0000-0000792E0000}"/>
    <cellStyle name="Normal 13 3 5 3 3 6" xfId="8337" xr:uid="{00000000-0005-0000-0000-00007A2E0000}"/>
    <cellStyle name="Normal 13 3 5 3 4" xfId="8338" xr:uid="{00000000-0005-0000-0000-00007B2E0000}"/>
    <cellStyle name="Normal 13 3 5 3 4 2" xfId="49582" xr:uid="{00000000-0005-0000-0000-00007C2E0000}"/>
    <cellStyle name="Normal 13 3 5 3 4 3" xfId="49583" xr:uid="{00000000-0005-0000-0000-00007D2E0000}"/>
    <cellStyle name="Normal 13 3 5 3 5" xfId="8339" xr:uid="{00000000-0005-0000-0000-00007E2E0000}"/>
    <cellStyle name="Normal 13 3 5 3 5 2" xfId="49584" xr:uid="{00000000-0005-0000-0000-00007F2E0000}"/>
    <cellStyle name="Normal 13 3 5 3 6" xfId="8340" xr:uid="{00000000-0005-0000-0000-0000802E0000}"/>
    <cellStyle name="Normal 13 3 5 3 7" xfId="8341" xr:uid="{00000000-0005-0000-0000-0000812E0000}"/>
    <cellStyle name="Normal 13 3 5 3 8" xfId="8342" xr:uid="{00000000-0005-0000-0000-0000822E0000}"/>
    <cellStyle name="Normal 13 3 5 4" xfId="8343" xr:uid="{00000000-0005-0000-0000-0000832E0000}"/>
    <cellStyle name="Normal 13 3 5 4 2" xfId="8344" xr:uid="{00000000-0005-0000-0000-0000842E0000}"/>
    <cellStyle name="Normal 13 3 5 4 2 2" xfId="8345" xr:uid="{00000000-0005-0000-0000-0000852E0000}"/>
    <cellStyle name="Normal 13 3 5 4 2 2 2" xfId="49585" xr:uid="{00000000-0005-0000-0000-0000862E0000}"/>
    <cellStyle name="Normal 13 3 5 4 2 2 3" xfId="49586" xr:uid="{00000000-0005-0000-0000-0000872E0000}"/>
    <cellStyle name="Normal 13 3 5 4 2 3" xfId="8346" xr:uid="{00000000-0005-0000-0000-0000882E0000}"/>
    <cellStyle name="Normal 13 3 5 4 2 3 2" xfId="49587" xr:uid="{00000000-0005-0000-0000-0000892E0000}"/>
    <cellStyle name="Normal 13 3 5 4 2 4" xfId="8347" xr:uid="{00000000-0005-0000-0000-00008A2E0000}"/>
    <cellStyle name="Normal 13 3 5 4 2 5" xfId="8348" xr:uid="{00000000-0005-0000-0000-00008B2E0000}"/>
    <cellStyle name="Normal 13 3 5 4 2 6" xfId="8349" xr:uid="{00000000-0005-0000-0000-00008C2E0000}"/>
    <cellStyle name="Normal 13 3 5 4 3" xfId="8350" xr:uid="{00000000-0005-0000-0000-00008D2E0000}"/>
    <cellStyle name="Normal 13 3 5 4 3 2" xfId="49588" xr:uid="{00000000-0005-0000-0000-00008E2E0000}"/>
    <cellStyle name="Normal 13 3 5 4 3 3" xfId="49589" xr:uid="{00000000-0005-0000-0000-00008F2E0000}"/>
    <cellStyle name="Normal 13 3 5 4 4" xfId="8351" xr:uid="{00000000-0005-0000-0000-0000902E0000}"/>
    <cellStyle name="Normal 13 3 5 4 4 2" xfId="49590" xr:uid="{00000000-0005-0000-0000-0000912E0000}"/>
    <cellStyle name="Normal 13 3 5 4 5" xfId="8352" xr:uid="{00000000-0005-0000-0000-0000922E0000}"/>
    <cellStyle name="Normal 13 3 5 4 6" xfId="8353" xr:uid="{00000000-0005-0000-0000-0000932E0000}"/>
    <cellStyle name="Normal 13 3 5 4 7" xfId="8354" xr:uid="{00000000-0005-0000-0000-0000942E0000}"/>
    <cellStyle name="Normal 13 3 5 5" xfId="8355" xr:uid="{00000000-0005-0000-0000-0000952E0000}"/>
    <cellStyle name="Normal 13 3 5 5 2" xfId="8356" xr:uid="{00000000-0005-0000-0000-0000962E0000}"/>
    <cellStyle name="Normal 13 3 5 5 2 2" xfId="49591" xr:uid="{00000000-0005-0000-0000-0000972E0000}"/>
    <cellStyle name="Normal 13 3 5 5 2 3" xfId="49592" xr:uid="{00000000-0005-0000-0000-0000982E0000}"/>
    <cellStyle name="Normal 13 3 5 5 3" xfId="8357" xr:uid="{00000000-0005-0000-0000-0000992E0000}"/>
    <cellStyle name="Normal 13 3 5 5 3 2" xfId="49593" xr:uid="{00000000-0005-0000-0000-00009A2E0000}"/>
    <cellStyle name="Normal 13 3 5 5 4" xfId="8358" xr:uid="{00000000-0005-0000-0000-00009B2E0000}"/>
    <cellStyle name="Normal 13 3 5 5 5" xfId="8359" xr:uid="{00000000-0005-0000-0000-00009C2E0000}"/>
    <cellStyle name="Normal 13 3 5 5 6" xfId="8360" xr:uid="{00000000-0005-0000-0000-00009D2E0000}"/>
    <cellStyle name="Normal 13 3 5 6" xfId="8361" xr:uid="{00000000-0005-0000-0000-00009E2E0000}"/>
    <cellStyle name="Normal 13 3 5 6 2" xfId="49594" xr:uid="{00000000-0005-0000-0000-00009F2E0000}"/>
    <cellStyle name="Normal 13 3 5 6 3" xfId="49595" xr:uid="{00000000-0005-0000-0000-0000A02E0000}"/>
    <cellStyle name="Normal 13 3 5 7" xfId="8362" xr:uid="{00000000-0005-0000-0000-0000A12E0000}"/>
    <cellStyle name="Normal 13 3 5 7 2" xfId="49596" xr:uid="{00000000-0005-0000-0000-0000A22E0000}"/>
    <cellStyle name="Normal 13 3 5 8" xfId="8363" xr:uid="{00000000-0005-0000-0000-0000A32E0000}"/>
    <cellStyle name="Normal 13 3 5 9" xfId="8364" xr:uid="{00000000-0005-0000-0000-0000A42E0000}"/>
    <cellStyle name="Normal 13 3 6" xfId="8365" xr:uid="{00000000-0005-0000-0000-0000A52E0000}"/>
    <cellStyle name="Normal 13 3 6 10" xfId="8366" xr:uid="{00000000-0005-0000-0000-0000A62E0000}"/>
    <cellStyle name="Normal 13 3 6 11" xfId="8367" xr:uid="{00000000-0005-0000-0000-0000A72E0000}"/>
    <cellStyle name="Normal 13 3 6 12" xfId="8368" xr:uid="{00000000-0005-0000-0000-0000A82E0000}"/>
    <cellStyle name="Normal 13 3 6 13" xfId="8369" xr:uid="{00000000-0005-0000-0000-0000A92E0000}"/>
    <cellStyle name="Normal 13 3 6 2" xfId="8370" xr:uid="{00000000-0005-0000-0000-0000AA2E0000}"/>
    <cellStyle name="Normal 13 3 6 2 2" xfId="8371" xr:uid="{00000000-0005-0000-0000-0000AB2E0000}"/>
    <cellStyle name="Normal 13 3 6 2 2 2" xfId="8372" xr:uid="{00000000-0005-0000-0000-0000AC2E0000}"/>
    <cellStyle name="Normal 13 3 6 2 2 2 2" xfId="8373" xr:uid="{00000000-0005-0000-0000-0000AD2E0000}"/>
    <cellStyle name="Normal 13 3 6 2 2 2 2 2" xfId="49597" xr:uid="{00000000-0005-0000-0000-0000AE2E0000}"/>
    <cellStyle name="Normal 13 3 6 2 2 2 2 3" xfId="49598" xr:uid="{00000000-0005-0000-0000-0000AF2E0000}"/>
    <cellStyle name="Normal 13 3 6 2 2 2 3" xfId="8374" xr:uid="{00000000-0005-0000-0000-0000B02E0000}"/>
    <cellStyle name="Normal 13 3 6 2 2 2 3 2" xfId="49599" xr:uid="{00000000-0005-0000-0000-0000B12E0000}"/>
    <cellStyle name="Normal 13 3 6 2 2 2 4" xfId="8375" xr:uid="{00000000-0005-0000-0000-0000B22E0000}"/>
    <cellStyle name="Normal 13 3 6 2 2 2 5" xfId="8376" xr:uid="{00000000-0005-0000-0000-0000B32E0000}"/>
    <cellStyle name="Normal 13 3 6 2 2 2 6" xfId="8377" xr:uid="{00000000-0005-0000-0000-0000B42E0000}"/>
    <cellStyle name="Normal 13 3 6 2 2 3" xfId="8378" xr:uid="{00000000-0005-0000-0000-0000B52E0000}"/>
    <cellStyle name="Normal 13 3 6 2 2 3 2" xfId="49600" xr:uid="{00000000-0005-0000-0000-0000B62E0000}"/>
    <cellStyle name="Normal 13 3 6 2 2 3 3" xfId="49601" xr:uid="{00000000-0005-0000-0000-0000B72E0000}"/>
    <cellStyle name="Normal 13 3 6 2 2 4" xfId="8379" xr:uid="{00000000-0005-0000-0000-0000B82E0000}"/>
    <cellStyle name="Normal 13 3 6 2 2 4 2" xfId="49602" xr:uid="{00000000-0005-0000-0000-0000B92E0000}"/>
    <cellStyle name="Normal 13 3 6 2 2 5" xfId="8380" xr:uid="{00000000-0005-0000-0000-0000BA2E0000}"/>
    <cellStyle name="Normal 13 3 6 2 2 6" xfId="8381" xr:uid="{00000000-0005-0000-0000-0000BB2E0000}"/>
    <cellStyle name="Normal 13 3 6 2 2 7" xfId="8382" xr:uid="{00000000-0005-0000-0000-0000BC2E0000}"/>
    <cellStyle name="Normal 13 3 6 2 3" xfId="8383" xr:uid="{00000000-0005-0000-0000-0000BD2E0000}"/>
    <cellStyle name="Normal 13 3 6 2 3 2" xfId="8384" xr:uid="{00000000-0005-0000-0000-0000BE2E0000}"/>
    <cellStyle name="Normal 13 3 6 2 3 2 2" xfId="49603" xr:uid="{00000000-0005-0000-0000-0000BF2E0000}"/>
    <cellStyle name="Normal 13 3 6 2 3 2 3" xfId="49604" xr:uid="{00000000-0005-0000-0000-0000C02E0000}"/>
    <cellStyle name="Normal 13 3 6 2 3 3" xfId="8385" xr:uid="{00000000-0005-0000-0000-0000C12E0000}"/>
    <cellStyle name="Normal 13 3 6 2 3 3 2" xfId="49605" xr:uid="{00000000-0005-0000-0000-0000C22E0000}"/>
    <cellStyle name="Normal 13 3 6 2 3 4" xfId="8386" xr:uid="{00000000-0005-0000-0000-0000C32E0000}"/>
    <cellStyle name="Normal 13 3 6 2 3 5" xfId="8387" xr:uid="{00000000-0005-0000-0000-0000C42E0000}"/>
    <cellStyle name="Normal 13 3 6 2 3 6" xfId="8388" xr:uid="{00000000-0005-0000-0000-0000C52E0000}"/>
    <cellStyle name="Normal 13 3 6 2 4" xfId="8389" xr:uid="{00000000-0005-0000-0000-0000C62E0000}"/>
    <cellStyle name="Normal 13 3 6 2 4 2" xfId="49606" xr:uid="{00000000-0005-0000-0000-0000C72E0000}"/>
    <cellStyle name="Normal 13 3 6 2 4 3" xfId="49607" xr:uid="{00000000-0005-0000-0000-0000C82E0000}"/>
    <cellStyle name="Normal 13 3 6 2 5" xfId="8390" xr:uid="{00000000-0005-0000-0000-0000C92E0000}"/>
    <cellStyle name="Normal 13 3 6 2 5 2" xfId="49608" xr:uid="{00000000-0005-0000-0000-0000CA2E0000}"/>
    <cellStyle name="Normal 13 3 6 2 6" xfId="8391" xr:uid="{00000000-0005-0000-0000-0000CB2E0000}"/>
    <cellStyle name="Normal 13 3 6 2 7" xfId="8392" xr:uid="{00000000-0005-0000-0000-0000CC2E0000}"/>
    <cellStyle name="Normal 13 3 6 2 8" xfId="8393" xr:uid="{00000000-0005-0000-0000-0000CD2E0000}"/>
    <cellStyle name="Normal 13 3 6 2 9" xfId="8394" xr:uid="{00000000-0005-0000-0000-0000CE2E0000}"/>
    <cellStyle name="Normal 13 3 6 3" xfId="8395" xr:uid="{00000000-0005-0000-0000-0000CF2E0000}"/>
    <cellStyle name="Normal 13 3 6 3 2" xfId="8396" xr:uid="{00000000-0005-0000-0000-0000D02E0000}"/>
    <cellStyle name="Normal 13 3 6 3 2 2" xfId="8397" xr:uid="{00000000-0005-0000-0000-0000D12E0000}"/>
    <cellStyle name="Normal 13 3 6 3 2 2 2" xfId="49609" xr:uid="{00000000-0005-0000-0000-0000D22E0000}"/>
    <cellStyle name="Normal 13 3 6 3 2 2 3" xfId="49610" xr:uid="{00000000-0005-0000-0000-0000D32E0000}"/>
    <cellStyle name="Normal 13 3 6 3 2 3" xfId="8398" xr:uid="{00000000-0005-0000-0000-0000D42E0000}"/>
    <cellStyle name="Normal 13 3 6 3 2 3 2" xfId="49611" xr:uid="{00000000-0005-0000-0000-0000D52E0000}"/>
    <cellStyle name="Normal 13 3 6 3 2 4" xfId="8399" xr:uid="{00000000-0005-0000-0000-0000D62E0000}"/>
    <cellStyle name="Normal 13 3 6 3 2 5" xfId="8400" xr:uid="{00000000-0005-0000-0000-0000D72E0000}"/>
    <cellStyle name="Normal 13 3 6 3 2 6" xfId="8401" xr:uid="{00000000-0005-0000-0000-0000D82E0000}"/>
    <cellStyle name="Normal 13 3 6 3 3" xfId="8402" xr:uid="{00000000-0005-0000-0000-0000D92E0000}"/>
    <cellStyle name="Normal 13 3 6 3 3 2" xfId="49612" xr:uid="{00000000-0005-0000-0000-0000DA2E0000}"/>
    <cellStyle name="Normal 13 3 6 3 3 3" xfId="49613" xr:uid="{00000000-0005-0000-0000-0000DB2E0000}"/>
    <cellStyle name="Normal 13 3 6 3 4" xfId="8403" xr:uid="{00000000-0005-0000-0000-0000DC2E0000}"/>
    <cellStyle name="Normal 13 3 6 3 4 2" xfId="49614" xr:uid="{00000000-0005-0000-0000-0000DD2E0000}"/>
    <cellStyle name="Normal 13 3 6 3 5" xfId="8404" xr:uid="{00000000-0005-0000-0000-0000DE2E0000}"/>
    <cellStyle name="Normal 13 3 6 3 6" xfId="8405" xr:uid="{00000000-0005-0000-0000-0000DF2E0000}"/>
    <cellStyle name="Normal 13 3 6 3 7" xfId="8406" xr:uid="{00000000-0005-0000-0000-0000E02E0000}"/>
    <cellStyle name="Normal 13 3 6 4" xfId="8407" xr:uid="{00000000-0005-0000-0000-0000E12E0000}"/>
    <cellStyle name="Normal 13 3 6 4 2" xfId="8408" xr:uid="{00000000-0005-0000-0000-0000E22E0000}"/>
    <cellStyle name="Normal 13 3 6 4 2 2" xfId="49615" xr:uid="{00000000-0005-0000-0000-0000E32E0000}"/>
    <cellStyle name="Normal 13 3 6 4 2 3" xfId="49616" xr:uid="{00000000-0005-0000-0000-0000E42E0000}"/>
    <cellStyle name="Normal 13 3 6 4 3" xfId="8409" xr:uid="{00000000-0005-0000-0000-0000E52E0000}"/>
    <cellStyle name="Normal 13 3 6 4 3 2" xfId="49617" xr:uid="{00000000-0005-0000-0000-0000E62E0000}"/>
    <cellStyle name="Normal 13 3 6 4 4" xfId="8410" xr:uid="{00000000-0005-0000-0000-0000E72E0000}"/>
    <cellStyle name="Normal 13 3 6 4 5" xfId="8411" xr:uid="{00000000-0005-0000-0000-0000E82E0000}"/>
    <cellStyle name="Normal 13 3 6 4 6" xfId="8412" xr:uid="{00000000-0005-0000-0000-0000E92E0000}"/>
    <cellStyle name="Normal 13 3 6 5" xfId="8413" xr:uid="{00000000-0005-0000-0000-0000EA2E0000}"/>
    <cellStyle name="Normal 13 3 6 5 2" xfId="49618" xr:uid="{00000000-0005-0000-0000-0000EB2E0000}"/>
    <cellStyle name="Normal 13 3 6 5 3" xfId="49619" xr:uid="{00000000-0005-0000-0000-0000EC2E0000}"/>
    <cellStyle name="Normal 13 3 6 6" xfId="8414" xr:uid="{00000000-0005-0000-0000-0000ED2E0000}"/>
    <cellStyle name="Normal 13 3 6 6 2" xfId="49620" xr:uid="{00000000-0005-0000-0000-0000EE2E0000}"/>
    <cellStyle name="Normal 13 3 6 7" xfId="8415" xr:uid="{00000000-0005-0000-0000-0000EF2E0000}"/>
    <cellStyle name="Normal 13 3 6 8" xfId="8416" xr:uid="{00000000-0005-0000-0000-0000F02E0000}"/>
    <cellStyle name="Normal 13 3 6 9" xfId="8417" xr:uid="{00000000-0005-0000-0000-0000F12E0000}"/>
    <cellStyle name="Normal 13 3 7" xfId="8418" xr:uid="{00000000-0005-0000-0000-0000F22E0000}"/>
    <cellStyle name="Normal 13 3 7 2" xfId="8419" xr:uid="{00000000-0005-0000-0000-0000F32E0000}"/>
    <cellStyle name="Normal 13 3 7 2 2" xfId="8420" xr:uid="{00000000-0005-0000-0000-0000F42E0000}"/>
    <cellStyle name="Normal 13 3 7 2 2 2" xfId="8421" xr:uid="{00000000-0005-0000-0000-0000F52E0000}"/>
    <cellStyle name="Normal 13 3 7 2 2 2 2" xfId="49621" xr:uid="{00000000-0005-0000-0000-0000F62E0000}"/>
    <cellStyle name="Normal 13 3 7 2 2 2 3" xfId="49622" xr:uid="{00000000-0005-0000-0000-0000F72E0000}"/>
    <cellStyle name="Normal 13 3 7 2 2 3" xfId="8422" xr:uid="{00000000-0005-0000-0000-0000F82E0000}"/>
    <cellStyle name="Normal 13 3 7 2 2 3 2" xfId="49623" xr:uid="{00000000-0005-0000-0000-0000F92E0000}"/>
    <cellStyle name="Normal 13 3 7 2 2 4" xfId="8423" xr:uid="{00000000-0005-0000-0000-0000FA2E0000}"/>
    <cellStyle name="Normal 13 3 7 2 2 5" xfId="8424" xr:uid="{00000000-0005-0000-0000-0000FB2E0000}"/>
    <cellStyle name="Normal 13 3 7 2 2 6" xfId="8425" xr:uid="{00000000-0005-0000-0000-0000FC2E0000}"/>
    <cellStyle name="Normal 13 3 7 2 3" xfId="8426" xr:uid="{00000000-0005-0000-0000-0000FD2E0000}"/>
    <cellStyle name="Normal 13 3 7 2 3 2" xfId="49624" xr:uid="{00000000-0005-0000-0000-0000FE2E0000}"/>
    <cellStyle name="Normal 13 3 7 2 3 3" xfId="49625" xr:uid="{00000000-0005-0000-0000-0000FF2E0000}"/>
    <cellStyle name="Normal 13 3 7 2 4" xfId="8427" xr:uid="{00000000-0005-0000-0000-0000002F0000}"/>
    <cellStyle name="Normal 13 3 7 2 4 2" xfId="49626" xr:uid="{00000000-0005-0000-0000-0000012F0000}"/>
    <cellStyle name="Normal 13 3 7 2 5" xfId="8428" xr:uid="{00000000-0005-0000-0000-0000022F0000}"/>
    <cellStyle name="Normal 13 3 7 2 6" xfId="8429" xr:uid="{00000000-0005-0000-0000-0000032F0000}"/>
    <cellStyle name="Normal 13 3 7 2 7" xfId="8430" xr:uid="{00000000-0005-0000-0000-0000042F0000}"/>
    <cellStyle name="Normal 13 3 7 3" xfId="8431" xr:uid="{00000000-0005-0000-0000-0000052F0000}"/>
    <cellStyle name="Normal 13 3 7 3 2" xfId="8432" xr:uid="{00000000-0005-0000-0000-0000062F0000}"/>
    <cellStyle name="Normal 13 3 7 3 2 2" xfId="49627" xr:uid="{00000000-0005-0000-0000-0000072F0000}"/>
    <cellStyle name="Normal 13 3 7 3 2 3" xfId="49628" xr:uid="{00000000-0005-0000-0000-0000082F0000}"/>
    <cellStyle name="Normal 13 3 7 3 3" xfId="8433" xr:uid="{00000000-0005-0000-0000-0000092F0000}"/>
    <cellStyle name="Normal 13 3 7 3 3 2" xfId="49629" xr:uid="{00000000-0005-0000-0000-00000A2F0000}"/>
    <cellStyle name="Normal 13 3 7 3 4" xfId="8434" xr:uid="{00000000-0005-0000-0000-00000B2F0000}"/>
    <cellStyle name="Normal 13 3 7 3 5" xfId="8435" xr:uid="{00000000-0005-0000-0000-00000C2F0000}"/>
    <cellStyle name="Normal 13 3 7 3 6" xfId="8436" xr:uid="{00000000-0005-0000-0000-00000D2F0000}"/>
    <cellStyle name="Normal 13 3 7 4" xfId="8437" xr:uid="{00000000-0005-0000-0000-00000E2F0000}"/>
    <cellStyle name="Normal 13 3 7 4 2" xfId="49630" xr:uid="{00000000-0005-0000-0000-00000F2F0000}"/>
    <cellStyle name="Normal 13 3 7 4 3" xfId="49631" xr:uid="{00000000-0005-0000-0000-0000102F0000}"/>
    <cellStyle name="Normal 13 3 7 5" xfId="8438" xr:uid="{00000000-0005-0000-0000-0000112F0000}"/>
    <cellStyle name="Normal 13 3 7 5 2" xfId="49632" xr:uid="{00000000-0005-0000-0000-0000122F0000}"/>
    <cellStyle name="Normal 13 3 7 6" xfId="8439" xr:uid="{00000000-0005-0000-0000-0000132F0000}"/>
    <cellStyle name="Normal 13 3 7 7" xfId="8440" xr:uid="{00000000-0005-0000-0000-0000142F0000}"/>
    <cellStyle name="Normal 13 3 7 8" xfId="8441" xr:uid="{00000000-0005-0000-0000-0000152F0000}"/>
    <cellStyle name="Normal 13 3 7 9" xfId="8442" xr:uid="{00000000-0005-0000-0000-0000162F0000}"/>
    <cellStyle name="Normal 13 3 8" xfId="8443" xr:uid="{00000000-0005-0000-0000-0000172F0000}"/>
    <cellStyle name="Normal 13 3 8 2" xfId="8444" xr:uid="{00000000-0005-0000-0000-0000182F0000}"/>
    <cellStyle name="Normal 13 3 8 2 2" xfId="8445" xr:uid="{00000000-0005-0000-0000-0000192F0000}"/>
    <cellStyle name="Normal 13 3 8 2 2 2" xfId="8446" xr:uid="{00000000-0005-0000-0000-00001A2F0000}"/>
    <cellStyle name="Normal 13 3 8 2 2 2 2" xfId="49633" xr:uid="{00000000-0005-0000-0000-00001B2F0000}"/>
    <cellStyle name="Normal 13 3 8 2 2 2 3" xfId="49634" xr:uid="{00000000-0005-0000-0000-00001C2F0000}"/>
    <cellStyle name="Normal 13 3 8 2 2 3" xfId="8447" xr:uid="{00000000-0005-0000-0000-00001D2F0000}"/>
    <cellStyle name="Normal 13 3 8 2 2 3 2" xfId="49635" xr:uid="{00000000-0005-0000-0000-00001E2F0000}"/>
    <cellStyle name="Normal 13 3 8 2 2 4" xfId="8448" xr:uid="{00000000-0005-0000-0000-00001F2F0000}"/>
    <cellStyle name="Normal 13 3 8 2 2 5" xfId="8449" xr:uid="{00000000-0005-0000-0000-0000202F0000}"/>
    <cellStyle name="Normal 13 3 8 2 2 6" xfId="8450" xr:uid="{00000000-0005-0000-0000-0000212F0000}"/>
    <cellStyle name="Normal 13 3 8 2 3" xfId="8451" xr:uid="{00000000-0005-0000-0000-0000222F0000}"/>
    <cellStyle name="Normal 13 3 8 2 3 2" xfId="49636" xr:uid="{00000000-0005-0000-0000-0000232F0000}"/>
    <cellStyle name="Normal 13 3 8 2 3 3" xfId="49637" xr:uid="{00000000-0005-0000-0000-0000242F0000}"/>
    <cellStyle name="Normal 13 3 8 2 4" xfId="8452" xr:uid="{00000000-0005-0000-0000-0000252F0000}"/>
    <cellStyle name="Normal 13 3 8 2 4 2" xfId="49638" xr:uid="{00000000-0005-0000-0000-0000262F0000}"/>
    <cellStyle name="Normal 13 3 8 2 5" xfId="8453" xr:uid="{00000000-0005-0000-0000-0000272F0000}"/>
    <cellStyle name="Normal 13 3 8 2 6" xfId="8454" xr:uid="{00000000-0005-0000-0000-0000282F0000}"/>
    <cellStyle name="Normal 13 3 8 2 7" xfId="8455" xr:uid="{00000000-0005-0000-0000-0000292F0000}"/>
    <cellStyle name="Normal 13 3 8 3" xfId="8456" xr:uid="{00000000-0005-0000-0000-00002A2F0000}"/>
    <cellStyle name="Normal 13 3 8 3 2" xfId="8457" xr:uid="{00000000-0005-0000-0000-00002B2F0000}"/>
    <cellStyle name="Normal 13 3 8 3 2 2" xfId="49639" xr:uid="{00000000-0005-0000-0000-00002C2F0000}"/>
    <cellStyle name="Normal 13 3 8 3 2 3" xfId="49640" xr:uid="{00000000-0005-0000-0000-00002D2F0000}"/>
    <cellStyle name="Normal 13 3 8 3 3" xfId="8458" xr:uid="{00000000-0005-0000-0000-00002E2F0000}"/>
    <cellStyle name="Normal 13 3 8 3 3 2" xfId="49641" xr:uid="{00000000-0005-0000-0000-00002F2F0000}"/>
    <cellStyle name="Normal 13 3 8 3 4" xfId="8459" xr:uid="{00000000-0005-0000-0000-0000302F0000}"/>
    <cellStyle name="Normal 13 3 8 3 5" xfId="8460" xr:uid="{00000000-0005-0000-0000-0000312F0000}"/>
    <cellStyle name="Normal 13 3 8 3 6" xfId="8461" xr:uid="{00000000-0005-0000-0000-0000322F0000}"/>
    <cellStyle name="Normal 13 3 8 4" xfId="8462" xr:uid="{00000000-0005-0000-0000-0000332F0000}"/>
    <cellStyle name="Normal 13 3 8 4 2" xfId="49642" xr:uid="{00000000-0005-0000-0000-0000342F0000}"/>
    <cellStyle name="Normal 13 3 8 4 3" xfId="49643" xr:uid="{00000000-0005-0000-0000-0000352F0000}"/>
    <cellStyle name="Normal 13 3 8 5" xfId="8463" xr:uid="{00000000-0005-0000-0000-0000362F0000}"/>
    <cellStyle name="Normal 13 3 8 5 2" xfId="49644" xr:uid="{00000000-0005-0000-0000-0000372F0000}"/>
    <cellStyle name="Normal 13 3 8 6" xfId="8464" xr:uid="{00000000-0005-0000-0000-0000382F0000}"/>
    <cellStyle name="Normal 13 3 8 7" xfId="8465" xr:uid="{00000000-0005-0000-0000-0000392F0000}"/>
    <cellStyle name="Normal 13 3 8 8" xfId="8466" xr:uid="{00000000-0005-0000-0000-00003A2F0000}"/>
    <cellStyle name="Normal 13 3 9" xfId="8467" xr:uid="{00000000-0005-0000-0000-00003B2F0000}"/>
    <cellStyle name="Normal 13 3 9 2" xfId="8468" xr:uid="{00000000-0005-0000-0000-00003C2F0000}"/>
    <cellStyle name="Normal 13 3 9 2 2" xfId="8469" xr:uid="{00000000-0005-0000-0000-00003D2F0000}"/>
    <cellStyle name="Normal 13 3 9 2 2 2" xfId="8470" xr:uid="{00000000-0005-0000-0000-00003E2F0000}"/>
    <cellStyle name="Normal 13 3 9 2 2 2 2" xfId="49645" xr:uid="{00000000-0005-0000-0000-00003F2F0000}"/>
    <cellStyle name="Normal 13 3 9 2 2 2 3" xfId="49646" xr:uid="{00000000-0005-0000-0000-0000402F0000}"/>
    <cellStyle name="Normal 13 3 9 2 2 3" xfId="8471" xr:uid="{00000000-0005-0000-0000-0000412F0000}"/>
    <cellStyle name="Normal 13 3 9 2 2 3 2" xfId="49647" xr:uid="{00000000-0005-0000-0000-0000422F0000}"/>
    <cellStyle name="Normal 13 3 9 2 2 4" xfId="8472" xr:uid="{00000000-0005-0000-0000-0000432F0000}"/>
    <cellStyle name="Normal 13 3 9 2 2 5" xfId="8473" xr:uid="{00000000-0005-0000-0000-0000442F0000}"/>
    <cellStyle name="Normal 13 3 9 2 2 6" xfId="8474" xr:uid="{00000000-0005-0000-0000-0000452F0000}"/>
    <cellStyle name="Normal 13 3 9 2 3" xfId="8475" xr:uid="{00000000-0005-0000-0000-0000462F0000}"/>
    <cellStyle name="Normal 13 3 9 2 3 2" xfId="49648" xr:uid="{00000000-0005-0000-0000-0000472F0000}"/>
    <cellStyle name="Normal 13 3 9 2 3 3" xfId="49649" xr:uid="{00000000-0005-0000-0000-0000482F0000}"/>
    <cellStyle name="Normal 13 3 9 2 4" xfId="8476" xr:uid="{00000000-0005-0000-0000-0000492F0000}"/>
    <cellStyle name="Normal 13 3 9 2 4 2" xfId="49650" xr:uid="{00000000-0005-0000-0000-00004A2F0000}"/>
    <cellStyle name="Normal 13 3 9 2 5" xfId="8477" xr:uid="{00000000-0005-0000-0000-00004B2F0000}"/>
    <cellStyle name="Normal 13 3 9 2 6" xfId="8478" xr:uid="{00000000-0005-0000-0000-00004C2F0000}"/>
    <cellStyle name="Normal 13 3 9 2 7" xfId="8479" xr:uid="{00000000-0005-0000-0000-00004D2F0000}"/>
    <cellStyle name="Normal 13 3 9 3" xfId="8480" xr:uid="{00000000-0005-0000-0000-00004E2F0000}"/>
    <cellStyle name="Normal 13 3 9 3 2" xfId="8481" xr:uid="{00000000-0005-0000-0000-00004F2F0000}"/>
    <cellStyle name="Normal 13 3 9 3 2 2" xfId="49651" xr:uid="{00000000-0005-0000-0000-0000502F0000}"/>
    <cellStyle name="Normal 13 3 9 3 2 3" xfId="49652" xr:uid="{00000000-0005-0000-0000-0000512F0000}"/>
    <cellStyle name="Normal 13 3 9 3 3" xfId="8482" xr:uid="{00000000-0005-0000-0000-0000522F0000}"/>
    <cellStyle name="Normal 13 3 9 3 3 2" xfId="49653" xr:uid="{00000000-0005-0000-0000-0000532F0000}"/>
    <cellStyle name="Normal 13 3 9 3 4" xfId="8483" xr:uid="{00000000-0005-0000-0000-0000542F0000}"/>
    <cellStyle name="Normal 13 3 9 3 5" xfId="8484" xr:uid="{00000000-0005-0000-0000-0000552F0000}"/>
    <cellStyle name="Normal 13 3 9 3 6" xfId="8485" xr:uid="{00000000-0005-0000-0000-0000562F0000}"/>
    <cellStyle name="Normal 13 3 9 4" xfId="8486" xr:uid="{00000000-0005-0000-0000-0000572F0000}"/>
    <cellStyle name="Normal 13 3 9 4 2" xfId="49654" xr:uid="{00000000-0005-0000-0000-0000582F0000}"/>
    <cellStyle name="Normal 13 3 9 4 3" xfId="49655" xr:uid="{00000000-0005-0000-0000-0000592F0000}"/>
    <cellStyle name="Normal 13 3 9 5" xfId="8487" xr:uid="{00000000-0005-0000-0000-00005A2F0000}"/>
    <cellStyle name="Normal 13 3 9 5 2" xfId="49656" xr:uid="{00000000-0005-0000-0000-00005B2F0000}"/>
    <cellStyle name="Normal 13 3 9 6" xfId="8488" xr:uid="{00000000-0005-0000-0000-00005C2F0000}"/>
    <cellStyle name="Normal 13 3 9 7" xfId="8489" xr:uid="{00000000-0005-0000-0000-00005D2F0000}"/>
    <cellStyle name="Normal 13 3 9 8" xfId="8490" xr:uid="{00000000-0005-0000-0000-00005E2F0000}"/>
    <cellStyle name="Normal 13 4" xfId="8491" xr:uid="{00000000-0005-0000-0000-00005F2F0000}"/>
    <cellStyle name="Normal 13 4 10" xfId="8492" xr:uid="{00000000-0005-0000-0000-0000602F0000}"/>
    <cellStyle name="Normal 13 4 10 2" xfId="8493" xr:uid="{00000000-0005-0000-0000-0000612F0000}"/>
    <cellStyle name="Normal 13 4 10 2 2" xfId="8494" xr:uid="{00000000-0005-0000-0000-0000622F0000}"/>
    <cellStyle name="Normal 13 4 10 2 2 2" xfId="49657" xr:uid="{00000000-0005-0000-0000-0000632F0000}"/>
    <cellStyle name="Normal 13 4 10 2 2 3" xfId="49658" xr:uid="{00000000-0005-0000-0000-0000642F0000}"/>
    <cellStyle name="Normal 13 4 10 2 3" xfId="8495" xr:uid="{00000000-0005-0000-0000-0000652F0000}"/>
    <cellStyle name="Normal 13 4 10 2 3 2" xfId="49659" xr:uid="{00000000-0005-0000-0000-0000662F0000}"/>
    <cellStyle name="Normal 13 4 10 2 4" xfId="8496" xr:uid="{00000000-0005-0000-0000-0000672F0000}"/>
    <cellStyle name="Normal 13 4 10 2 5" xfId="8497" xr:uid="{00000000-0005-0000-0000-0000682F0000}"/>
    <cellStyle name="Normal 13 4 10 2 6" xfId="8498" xr:uid="{00000000-0005-0000-0000-0000692F0000}"/>
    <cellStyle name="Normal 13 4 10 3" xfId="8499" xr:uid="{00000000-0005-0000-0000-00006A2F0000}"/>
    <cellStyle name="Normal 13 4 10 3 2" xfId="49660" xr:uid="{00000000-0005-0000-0000-00006B2F0000}"/>
    <cellStyle name="Normal 13 4 10 3 3" xfId="49661" xr:uid="{00000000-0005-0000-0000-00006C2F0000}"/>
    <cellStyle name="Normal 13 4 10 4" xfId="8500" xr:uid="{00000000-0005-0000-0000-00006D2F0000}"/>
    <cellStyle name="Normal 13 4 10 4 2" xfId="49662" xr:uid="{00000000-0005-0000-0000-00006E2F0000}"/>
    <cellStyle name="Normal 13 4 10 5" xfId="8501" xr:uid="{00000000-0005-0000-0000-00006F2F0000}"/>
    <cellStyle name="Normal 13 4 10 6" xfId="8502" xr:uid="{00000000-0005-0000-0000-0000702F0000}"/>
    <cellStyle name="Normal 13 4 10 7" xfId="8503" xr:uid="{00000000-0005-0000-0000-0000712F0000}"/>
    <cellStyle name="Normal 13 4 11" xfId="8504" xr:uid="{00000000-0005-0000-0000-0000722F0000}"/>
    <cellStyle name="Normal 13 4 11 2" xfId="8505" xr:uid="{00000000-0005-0000-0000-0000732F0000}"/>
    <cellStyle name="Normal 13 4 11 2 2" xfId="49663" xr:uid="{00000000-0005-0000-0000-0000742F0000}"/>
    <cellStyle name="Normal 13 4 11 2 3" xfId="49664" xr:uid="{00000000-0005-0000-0000-0000752F0000}"/>
    <cellStyle name="Normal 13 4 11 3" xfId="8506" xr:uid="{00000000-0005-0000-0000-0000762F0000}"/>
    <cellStyle name="Normal 13 4 11 3 2" xfId="49665" xr:uid="{00000000-0005-0000-0000-0000772F0000}"/>
    <cellStyle name="Normal 13 4 11 4" xfId="8507" xr:uid="{00000000-0005-0000-0000-0000782F0000}"/>
    <cellStyle name="Normal 13 4 11 5" xfId="8508" xr:uid="{00000000-0005-0000-0000-0000792F0000}"/>
    <cellStyle name="Normal 13 4 11 6" xfId="8509" xr:uid="{00000000-0005-0000-0000-00007A2F0000}"/>
    <cellStyle name="Normal 13 4 12" xfId="8510" xr:uid="{00000000-0005-0000-0000-00007B2F0000}"/>
    <cellStyle name="Normal 13 4 12 2" xfId="49666" xr:uid="{00000000-0005-0000-0000-00007C2F0000}"/>
    <cellStyle name="Normal 13 4 12 3" xfId="49667" xr:uid="{00000000-0005-0000-0000-00007D2F0000}"/>
    <cellStyle name="Normal 13 4 13" xfId="8511" xr:uid="{00000000-0005-0000-0000-00007E2F0000}"/>
    <cellStyle name="Normal 13 4 13 2" xfId="49668" xr:uid="{00000000-0005-0000-0000-00007F2F0000}"/>
    <cellStyle name="Normal 13 4 14" xfId="8512" xr:uid="{00000000-0005-0000-0000-0000802F0000}"/>
    <cellStyle name="Normal 13 4 14 2" xfId="49669" xr:uid="{00000000-0005-0000-0000-0000812F0000}"/>
    <cellStyle name="Normal 13 4 15" xfId="8513" xr:uid="{00000000-0005-0000-0000-0000822F0000}"/>
    <cellStyle name="Normal 13 4 16" xfId="8514" xr:uid="{00000000-0005-0000-0000-0000832F0000}"/>
    <cellStyle name="Normal 13 4 17" xfId="8515" xr:uid="{00000000-0005-0000-0000-0000842F0000}"/>
    <cellStyle name="Normal 13 4 18" xfId="8516" xr:uid="{00000000-0005-0000-0000-0000852F0000}"/>
    <cellStyle name="Normal 13 4 19" xfId="8517" xr:uid="{00000000-0005-0000-0000-0000862F0000}"/>
    <cellStyle name="Normal 13 4 2" xfId="8518" xr:uid="{00000000-0005-0000-0000-0000872F0000}"/>
    <cellStyle name="Normal 13 4 2 10" xfId="8519" xr:uid="{00000000-0005-0000-0000-0000882F0000}"/>
    <cellStyle name="Normal 13 4 2 11" xfId="8520" xr:uid="{00000000-0005-0000-0000-0000892F0000}"/>
    <cellStyle name="Normal 13 4 2 12" xfId="8521" xr:uid="{00000000-0005-0000-0000-00008A2F0000}"/>
    <cellStyle name="Normal 13 4 2 13" xfId="8522" xr:uid="{00000000-0005-0000-0000-00008B2F0000}"/>
    <cellStyle name="Normal 13 4 2 14" xfId="8523" xr:uid="{00000000-0005-0000-0000-00008C2F0000}"/>
    <cellStyle name="Normal 13 4 2 15" xfId="8524" xr:uid="{00000000-0005-0000-0000-00008D2F0000}"/>
    <cellStyle name="Normal 13 4 2 2" xfId="8525" xr:uid="{00000000-0005-0000-0000-00008E2F0000}"/>
    <cellStyle name="Normal 13 4 2 2 10" xfId="8526" xr:uid="{00000000-0005-0000-0000-00008F2F0000}"/>
    <cellStyle name="Normal 13 4 2 2 11" xfId="8527" xr:uid="{00000000-0005-0000-0000-0000902F0000}"/>
    <cellStyle name="Normal 13 4 2 2 12" xfId="8528" xr:uid="{00000000-0005-0000-0000-0000912F0000}"/>
    <cellStyle name="Normal 13 4 2 2 13" xfId="8529" xr:uid="{00000000-0005-0000-0000-0000922F0000}"/>
    <cellStyle name="Normal 13 4 2 2 14" xfId="8530" xr:uid="{00000000-0005-0000-0000-0000932F0000}"/>
    <cellStyle name="Normal 13 4 2 2 2" xfId="8531" xr:uid="{00000000-0005-0000-0000-0000942F0000}"/>
    <cellStyle name="Normal 13 4 2 2 2 2" xfId="8532" xr:uid="{00000000-0005-0000-0000-0000952F0000}"/>
    <cellStyle name="Normal 13 4 2 2 2 2 2" xfId="8533" xr:uid="{00000000-0005-0000-0000-0000962F0000}"/>
    <cellStyle name="Normal 13 4 2 2 2 2 2 2" xfId="8534" xr:uid="{00000000-0005-0000-0000-0000972F0000}"/>
    <cellStyle name="Normal 13 4 2 2 2 2 2 2 2" xfId="49670" xr:uid="{00000000-0005-0000-0000-0000982F0000}"/>
    <cellStyle name="Normal 13 4 2 2 2 2 2 2 3" xfId="49671" xr:uid="{00000000-0005-0000-0000-0000992F0000}"/>
    <cellStyle name="Normal 13 4 2 2 2 2 2 3" xfId="8535" xr:uid="{00000000-0005-0000-0000-00009A2F0000}"/>
    <cellStyle name="Normal 13 4 2 2 2 2 2 3 2" xfId="49672" xr:uid="{00000000-0005-0000-0000-00009B2F0000}"/>
    <cellStyle name="Normal 13 4 2 2 2 2 2 4" xfId="8536" xr:uid="{00000000-0005-0000-0000-00009C2F0000}"/>
    <cellStyle name="Normal 13 4 2 2 2 2 2 5" xfId="8537" xr:uid="{00000000-0005-0000-0000-00009D2F0000}"/>
    <cellStyle name="Normal 13 4 2 2 2 2 2 6" xfId="8538" xr:uid="{00000000-0005-0000-0000-00009E2F0000}"/>
    <cellStyle name="Normal 13 4 2 2 2 2 3" xfId="8539" xr:uid="{00000000-0005-0000-0000-00009F2F0000}"/>
    <cellStyle name="Normal 13 4 2 2 2 2 3 2" xfId="49673" xr:uid="{00000000-0005-0000-0000-0000A02F0000}"/>
    <cellStyle name="Normal 13 4 2 2 2 2 3 3" xfId="49674" xr:uid="{00000000-0005-0000-0000-0000A12F0000}"/>
    <cellStyle name="Normal 13 4 2 2 2 2 4" xfId="8540" xr:uid="{00000000-0005-0000-0000-0000A22F0000}"/>
    <cellStyle name="Normal 13 4 2 2 2 2 4 2" xfId="49675" xr:uid="{00000000-0005-0000-0000-0000A32F0000}"/>
    <cellStyle name="Normal 13 4 2 2 2 2 5" xfId="8541" xr:uid="{00000000-0005-0000-0000-0000A42F0000}"/>
    <cellStyle name="Normal 13 4 2 2 2 2 6" xfId="8542" xr:uid="{00000000-0005-0000-0000-0000A52F0000}"/>
    <cellStyle name="Normal 13 4 2 2 2 2 7" xfId="8543" xr:uid="{00000000-0005-0000-0000-0000A62F0000}"/>
    <cellStyle name="Normal 13 4 2 2 2 3" xfId="8544" xr:uid="{00000000-0005-0000-0000-0000A72F0000}"/>
    <cellStyle name="Normal 13 4 2 2 2 3 2" xfId="8545" xr:uid="{00000000-0005-0000-0000-0000A82F0000}"/>
    <cellStyle name="Normal 13 4 2 2 2 3 2 2" xfId="49676" xr:uid="{00000000-0005-0000-0000-0000A92F0000}"/>
    <cellStyle name="Normal 13 4 2 2 2 3 2 3" xfId="49677" xr:uid="{00000000-0005-0000-0000-0000AA2F0000}"/>
    <cellStyle name="Normal 13 4 2 2 2 3 3" xfId="8546" xr:uid="{00000000-0005-0000-0000-0000AB2F0000}"/>
    <cellStyle name="Normal 13 4 2 2 2 3 3 2" xfId="49678" xr:uid="{00000000-0005-0000-0000-0000AC2F0000}"/>
    <cellStyle name="Normal 13 4 2 2 2 3 4" xfId="8547" xr:uid="{00000000-0005-0000-0000-0000AD2F0000}"/>
    <cellStyle name="Normal 13 4 2 2 2 3 5" xfId="8548" xr:uid="{00000000-0005-0000-0000-0000AE2F0000}"/>
    <cellStyle name="Normal 13 4 2 2 2 3 6" xfId="8549" xr:uid="{00000000-0005-0000-0000-0000AF2F0000}"/>
    <cellStyle name="Normal 13 4 2 2 2 4" xfId="8550" xr:uid="{00000000-0005-0000-0000-0000B02F0000}"/>
    <cellStyle name="Normal 13 4 2 2 2 4 2" xfId="49679" xr:uid="{00000000-0005-0000-0000-0000B12F0000}"/>
    <cellStyle name="Normal 13 4 2 2 2 4 3" xfId="49680" xr:uid="{00000000-0005-0000-0000-0000B22F0000}"/>
    <cellStyle name="Normal 13 4 2 2 2 5" xfId="8551" xr:uid="{00000000-0005-0000-0000-0000B32F0000}"/>
    <cellStyle name="Normal 13 4 2 2 2 5 2" xfId="49681" xr:uid="{00000000-0005-0000-0000-0000B42F0000}"/>
    <cellStyle name="Normal 13 4 2 2 2 6" xfId="8552" xr:uid="{00000000-0005-0000-0000-0000B52F0000}"/>
    <cellStyle name="Normal 13 4 2 2 2 7" xfId="8553" xr:uid="{00000000-0005-0000-0000-0000B62F0000}"/>
    <cellStyle name="Normal 13 4 2 2 2 8" xfId="8554" xr:uid="{00000000-0005-0000-0000-0000B72F0000}"/>
    <cellStyle name="Normal 13 4 2 2 2 9" xfId="8555" xr:uid="{00000000-0005-0000-0000-0000B82F0000}"/>
    <cellStyle name="Normal 13 4 2 2 3" xfId="8556" xr:uid="{00000000-0005-0000-0000-0000B92F0000}"/>
    <cellStyle name="Normal 13 4 2 2 3 2" xfId="8557" xr:uid="{00000000-0005-0000-0000-0000BA2F0000}"/>
    <cellStyle name="Normal 13 4 2 2 3 2 2" xfId="8558" xr:uid="{00000000-0005-0000-0000-0000BB2F0000}"/>
    <cellStyle name="Normal 13 4 2 2 3 2 2 2" xfId="8559" xr:uid="{00000000-0005-0000-0000-0000BC2F0000}"/>
    <cellStyle name="Normal 13 4 2 2 3 2 2 2 2" xfId="49682" xr:uid="{00000000-0005-0000-0000-0000BD2F0000}"/>
    <cellStyle name="Normal 13 4 2 2 3 2 2 2 3" xfId="49683" xr:uid="{00000000-0005-0000-0000-0000BE2F0000}"/>
    <cellStyle name="Normal 13 4 2 2 3 2 2 3" xfId="8560" xr:uid="{00000000-0005-0000-0000-0000BF2F0000}"/>
    <cellStyle name="Normal 13 4 2 2 3 2 2 3 2" xfId="49684" xr:uid="{00000000-0005-0000-0000-0000C02F0000}"/>
    <cellStyle name="Normal 13 4 2 2 3 2 2 4" xfId="8561" xr:uid="{00000000-0005-0000-0000-0000C12F0000}"/>
    <cellStyle name="Normal 13 4 2 2 3 2 2 5" xfId="8562" xr:uid="{00000000-0005-0000-0000-0000C22F0000}"/>
    <cellStyle name="Normal 13 4 2 2 3 2 2 6" xfId="8563" xr:uid="{00000000-0005-0000-0000-0000C32F0000}"/>
    <cellStyle name="Normal 13 4 2 2 3 2 3" xfId="8564" xr:uid="{00000000-0005-0000-0000-0000C42F0000}"/>
    <cellStyle name="Normal 13 4 2 2 3 2 3 2" xfId="49685" xr:uid="{00000000-0005-0000-0000-0000C52F0000}"/>
    <cellStyle name="Normal 13 4 2 2 3 2 3 3" xfId="49686" xr:uid="{00000000-0005-0000-0000-0000C62F0000}"/>
    <cellStyle name="Normal 13 4 2 2 3 2 4" xfId="8565" xr:uid="{00000000-0005-0000-0000-0000C72F0000}"/>
    <cellStyle name="Normal 13 4 2 2 3 2 4 2" xfId="49687" xr:uid="{00000000-0005-0000-0000-0000C82F0000}"/>
    <cellStyle name="Normal 13 4 2 2 3 2 5" xfId="8566" xr:uid="{00000000-0005-0000-0000-0000C92F0000}"/>
    <cellStyle name="Normal 13 4 2 2 3 2 6" xfId="8567" xr:uid="{00000000-0005-0000-0000-0000CA2F0000}"/>
    <cellStyle name="Normal 13 4 2 2 3 2 7" xfId="8568" xr:uid="{00000000-0005-0000-0000-0000CB2F0000}"/>
    <cellStyle name="Normal 13 4 2 2 3 3" xfId="8569" xr:uid="{00000000-0005-0000-0000-0000CC2F0000}"/>
    <cellStyle name="Normal 13 4 2 2 3 3 2" xfId="8570" xr:uid="{00000000-0005-0000-0000-0000CD2F0000}"/>
    <cellStyle name="Normal 13 4 2 2 3 3 2 2" xfId="49688" xr:uid="{00000000-0005-0000-0000-0000CE2F0000}"/>
    <cellStyle name="Normal 13 4 2 2 3 3 2 3" xfId="49689" xr:uid="{00000000-0005-0000-0000-0000CF2F0000}"/>
    <cellStyle name="Normal 13 4 2 2 3 3 3" xfId="8571" xr:uid="{00000000-0005-0000-0000-0000D02F0000}"/>
    <cellStyle name="Normal 13 4 2 2 3 3 3 2" xfId="49690" xr:uid="{00000000-0005-0000-0000-0000D12F0000}"/>
    <cellStyle name="Normal 13 4 2 2 3 3 4" xfId="8572" xr:uid="{00000000-0005-0000-0000-0000D22F0000}"/>
    <cellStyle name="Normal 13 4 2 2 3 3 5" xfId="8573" xr:uid="{00000000-0005-0000-0000-0000D32F0000}"/>
    <cellStyle name="Normal 13 4 2 2 3 3 6" xfId="8574" xr:uid="{00000000-0005-0000-0000-0000D42F0000}"/>
    <cellStyle name="Normal 13 4 2 2 3 4" xfId="8575" xr:uid="{00000000-0005-0000-0000-0000D52F0000}"/>
    <cellStyle name="Normal 13 4 2 2 3 4 2" xfId="49691" xr:uid="{00000000-0005-0000-0000-0000D62F0000}"/>
    <cellStyle name="Normal 13 4 2 2 3 4 3" xfId="49692" xr:uid="{00000000-0005-0000-0000-0000D72F0000}"/>
    <cellStyle name="Normal 13 4 2 2 3 5" xfId="8576" xr:uid="{00000000-0005-0000-0000-0000D82F0000}"/>
    <cellStyle name="Normal 13 4 2 2 3 5 2" xfId="49693" xr:uid="{00000000-0005-0000-0000-0000D92F0000}"/>
    <cellStyle name="Normal 13 4 2 2 3 6" xfId="8577" xr:uid="{00000000-0005-0000-0000-0000DA2F0000}"/>
    <cellStyle name="Normal 13 4 2 2 3 7" xfId="8578" xr:uid="{00000000-0005-0000-0000-0000DB2F0000}"/>
    <cellStyle name="Normal 13 4 2 2 3 8" xfId="8579" xr:uid="{00000000-0005-0000-0000-0000DC2F0000}"/>
    <cellStyle name="Normal 13 4 2 2 4" xfId="8580" xr:uid="{00000000-0005-0000-0000-0000DD2F0000}"/>
    <cellStyle name="Normal 13 4 2 2 4 2" xfId="8581" xr:uid="{00000000-0005-0000-0000-0000DE2F0000}"/>
    <cellStyle name="Normal 13 4 2 2 4 2 2" xfId="8582" xr:uid="{00000000-0005-0000-0000-0000DF2F0000}"/>
    <cellStyle name="Normal 13 4 2 2 4 2 2 2" xfId="49694" xr:uid="{00000000-0005-0000-0000-0000E02F0000}"/>
    <cellStyle name="Normal 13 4 2 2 4 2 2 3" xfId="49695" xr:uid="{00000000-0005-0000-0000-0000E12F0000}"/>
    <cellStyle name="Normal 13 4 2 2 4 2 3" xfId="8583" xr:uid="{00000000-0005-0000-0000-0000E22F0000}"/>
    <cellStyle name="Normal 13 4 2 2 4 2 3 2" xfId="49696" xr:uid="{00000000-0005-0000-0000-0000E32F0000}"/>
    <cellStyle name="Normal 13 4 2 2 4 2 4" xfId="8584" xr:uid="{00000000-0005-0000-0000-0000E42F0000}"/>
    <cellStyle name="Normal 13 4 2 2 4 2 5" xfId="8585" xr:uid="{00000000-0005-0000-0000-0000E52F0000}"/>
    <cellStyle name="Normal 13 4 2 2 4 2 6" xfId="8586" xr:uid="{00000000-0005-0000-0000-0000E62F0000}"/>
    <cellStyle name="Normal 13 4 2 2 4 3" xfId="8587" xr:uid="{00000000-0005-0000-0000-0000E72F0000}"/>
    <cellStyle name="Normal 13 4 2 2 4 3 2" xfId="49697" xr:uid="{00000000-0005-0000-0000-0000E82F0000}"/>
    <cellStyle name="Normal 13 4 2 2 4 3 3" xfId="49698" xr:uid="{00000000-0005-0000-0000-0000E92F0000}"/>
    <cellStyle name="Normal 13 4 2 2 4 4" xfId="8588" xr:uid="{00000000-0005-0000-0000-0000EA2F0000}"/>
    <cellStyle name="Normal 13 4 2 2 4 4 2" xfId="49699" xr:uid="{00000000-0005-0000-0000-0000EB2F0000}"/>
    <cellStyle name="Normal 13 4 2 2 4 5" xfId="8589" xr:uid="{00000000-0005-0000-0000-0000EC2F0000}"/>
    <cellStyle name="Normal 13 4 2 2 4 6" xfId="8590" xr:uid="{00000000-0005-0000-0000-0000ED2F0000}"/>
    <cellStyle name="Normal 13 4 2 2 4 7" xfId="8591" xr:uid="{00000000-0005-0000-0000-0000EE2F0000}"/>
    <cellStyle name="Normal 13 4 2 2 5" xfId="8592" xr:uid="{00000000-0005-0000-0000-0000EF2F0000}"/>
    <cellStyle name="Normal 13 4 2 2 5 2" xfId="8593" xr:uid="{00000000-0005-0000-0000-0000F02F0000}"/>
    <cellStyle name="Normal 13 4 2 2 5 2 2" xfId="49700" xr:uid="{00000000-0005-0000-0000-0000F12F0000}"/>
    <cellStyle name="Normal 13 4 2 2 5 2 3" xfId="49701" xr:uid="{00000000-0005-0000-0000-0000F22F0000}"/>
    <cellStyle name="Normal 13 4 2 2 5 3" xfId="8594" xr:uid="{00000000-0005-0000-0000-0000F32F0000}"/>
    <cellStyle name="Normal 13 4 2 2 5 3 2" xfId="49702" xr:uid="{00000000-0005-0000-0000-0000F42F0000}"/>
    <cellStyle name="Normal 13 4 2 2 5 4" xfId="8595" xr:uid="{00000000-0005-0000-0000-0000F52F0000}"/>
    <cellStyle name="Normal 13 4 2 2 5 5" xfId="8596" xr:uid="{00000000-0005-0000-0000-0000F62F0000}"/>
    <cellStyle name="Normal 13 4 2 2 5 6" xfId="8597" xr:uid="{00000000-0005-0000-0000-0000F72F0000}"/>
    <cellStyle name="Normal 13 4 2 2 6" xfId="8598" xr:uid="{00000000-0005-0000-0000-0000F82F0000}"/>
    <cellStyle name="Normal 13 4 2 2 6 2" xfId="49703" xr:uid="{00000000-0005-0000-0000-0000F92F0000}"/>
    <cellStyle name="Normal 13 4 2 2 6 3" xfId="49704" xr:uid="{00000000-0005-0000-0000-0000FA2F0000}"/>
    <cellStyle name="Normal 13 4 2 2 7" xfId="8599" xr:uid="{00000000-0005-0000-0000-0000FB2F0000}"/>
    <cellStyle name="Normal 13 4 2 2 7 2" xfId="49705" xr:uid="{00000000-0005-0000-0000-0000FC2F0000}"/>
    <cellStyle name="Normal 13 4 2 2 8" xfId="8600" xr:uid="{00000000-0005-0000-0000-0000FD2F0000}"/>
    <cellStyle name="Normal 13 4 2 2 9" xfId="8601" xr:uid="{00000000-0005-0000-0000-0000FE2F0000}"/>
    <cellStyle name="Normal 13 4 2 3" xfId="8602" xr:uid="{00000000-0005-0000-0000-0000FF2F0000}"/>
    <cellStyle name="Normal 13 4 2 3 2" xfId="8603" xr:uid="{00000000-0005-0000-0000-000000300000}"/>
    <cellStyle name="Normal 13 4 2 3 2 2" xfId="8604" xr:uid="{00000000-0005-0000-0000-000001300000}"/>
    <cellStyle name="Normal 13 4 2 3 2 2 2" xfId="8605" xr:uid="{00000000-0005-0000-0000-000002300000}"/>
    <cellStyle name="Normal 13 4 2 3 2 2 2 2" xfId="49706" xr:uid="{00000000-0005-0000-0000-000003300000}"/>
    <cellStyle name="Normal 13 4 2 3 2 2 2 3" xfId="49707" xr:uid="{00000000-0005-0000-0000-000004300000}"/>
    <cellStyle name="Normal 13 4 2 3 2 2 3" xfId="8606" xr:uid="{00000000-0005-0000-0000-000005300000}"/>
    <cellStyle name="Normal 13 4 2 3 2 2 3 2" xfId="49708" xr:uid="{00000000-0005-0000-0000-000006300000}"/>
    <cellStyle name="Normal 13 4 2 3 2 2 4" xfId="8607" xr:uid="{00000000-0005-0000-0000-000007300000}"/>
    <cellStyle name="Normal 13 4 2 3 2 2 5" xfId="8608" xr:uid="{00000000-0005-0000-0000-000008300000}"/>
    <cellStyle name="Normal 13 4 2 3 2 2 6" xfId="8609" xr:uid="{00000000-0005-0000-0000-000009300000}"/>
    <cellStyle name="Normal 13 4 2 3 2 3" xfId="8610" xr:uid="{00000000-0005-0000-0000-00000A300000}"/>
    <cellStyle name="Normal 13 4 2 3 2 3 2" xfId="49709" xr:uid="{00000000-0005-0000-0000-00000B300000}"/>
    <cellStyle name="Normal 13 4 2 3 2 3 3" xfId="49710" xr:uid="{00000000-0005-0000-0000-00000C300000}"/>
    <cellStyle name="Normal 13 4 2 3 2 4" xfId="8611" xr:uid="{00000000-0005-0000-0000-00000D300000}"/>
    <cellStyle name="Normal 13 4 2 3 2 4 2" xfId="49711" xr:uid="{00000000-0005-0000-0000-00000E300000}"/>
    <cellStyle name="Normal 13 4 2 3 2 5" xfId="8612" xr:uid="{00000000-0005-0000-0000-00000F300000}"/>
    <cellStyle name="Normal 13 4 2 3 2 6" xfId="8613" xr:uid="{00000000-0005-0000-0000-000010300000}"/>
    <cellStyle name="Normal 13 4 2 3 2 7" xfId="8614" xr:uid="{00000000-0005-0000-0000-000011300000}"/>
    <cellStyle name="Normal 13 4 2 3 3" xfId="8615" xr:uid="{00000000-0005-0000-0000-000012300000}"/>
    <cellStyle name="Normal 13 4 2 3 3 2" xfId="8616" xr:uid="{00000000-0005-0000-0000-000013300000}"/>
    <cellStyle name="Normal 13 4 2 3 3 2 2" xfId="49712" xr:uid="{00000000-0005-0000-0000-000014300000}"/>
    <cellStyle name="Normal 13 4 2 3 3 2 3" xfId="49713" xr:uid="{00000000-0005-0000-0000-000015300000}"/>
    <cellStyle name="Normal 13 4 2 3 3 3" xfId="8617" xr:uid="{00000000-0005-0000-0000-000016300000}"/>
    <cellStyle name="Normal 13 4 2 3 3 3 2" xfId="49714" xr:uid="{00000000-0005-0000-0000-000017300000}"/>
    <cellStyle name="Normal 13 4 2 3 3 4" xfId="8618" xr:uid="{00000000-0005-0000-0000-000018300000}"/>
    <cellStyle name="Normal 13 4 2 3 3 5" xfId="8619" xr:uid="{00000000-0005-0000-0000-000019300000}"/>
    <cellStyle name="Normal 13 4 2 3 3 6" xfId="8620" xr:uid="{00000000-0005-0000-0000-00001A300000}"/>
    <cellStyle name="Normal 13 4 2 3 4" xfId="8621" xr:uid="{00000000-0005-0000-0000-00001B300000}"/>
    <cellStyle name="Normal 13 4 2 3 4 2" xfId="49715" xr:uid="{00000000-0005-0000-0000-00001C300000}"/>
    <cellStyle name="Normal 13 4 2 3 4 3" xfId="49716" xr:uid="{00000000-0005-0000-0000-00001D300000}"/>
    <cellStyle name="Normal 13 4 2 3 5" xfId="8622" xr:uid="{00000000-0005-0000-0000-00001E300000}"/>
    <cellStyle name="Normal 13 4 2 3 5 2" xfId="49717" xr:uid="{00000000-0005-0000-0000-00001F300000}"/>
    <cellStyle name="Normal 13 4 2 3 6" xfId="8623" xr:uid="{00000000-0005-0000-0000-000020300000}"/>
    <cellStyle name="Normal 13 4 2 3 7" xfId="8624" xr:uid="{00000000-0005-0000-0000-000021300000}"/>
    <cellStyle name="Normal 13 4 2 3 8" xfId="8625" xr:uid="{00000000-0005-0000-0000-000022300000}"/>
    <cellStyle name="Normal 13 4 2 3 9" xfId="8626" xr:uid="{00000000-0005-0000-0000-000023300000}"/>
    <cellStyle name="Normal 13 4 2 4" xfId="8627" xr:uid="{00000000-0005-0000-0000-000024300000}"/>
    <cellStyle name="Normal 13 4 2 4 2" xfId="8628" xr:uid="{00000000-0005-0000-0000-000025300000}"/>
    <cellStyle name="Normal 13 4 2 4 2 2" xfId="8629" xr:uid="{00000000-0005-0000-0000-000026300000}"/>
    <cellStyle name="Normal 13 4 2 4 2 2 2" xfId="8630" xr:uid="{00000000-0005-0000-0000-000027300000}"/>
    <cellStyle name="Normal 13 4 2 4 2 2 2 2" xfId="49718" xr:uid="{00000000-0005-0000-0000-000028300000}"/>
    <cellStyle name="Normal 13 4 2 4 2 2 2 3" xfId="49719" xr:uid="{00000000-0005-0000-0000-000029300000}"/>
    <cellStyle name="Normal 13 4 2 4 2 2 3" xfId="8631" xr:uid="{00000000-0005-0000-0000-00002A300000}"/>
    <cellStyle name="Normal 13 4 2 4 2 2 3 2" xfId="49720" xr:uid="{00000000-0005-0000-0000-00002B300000}"/>
    <cellStyle name="Normal 13 4 2 4 2 2 4" xfId="8632" xr:uid="{00000000-0005-0000-0000-00002C300000}"/>
    <cellStyle name="Normal 13 4 2 4 2 2 5" xfId="8633" xr:uid="{00000000-0005-0000-0000-00002D300000}"/>
    <cellStyle name="Normal 13 4 2 4 2 2 6" xfId="8634" xr:uid="{00000000-0005-0000-0000-00002E300000}"/>
    <cellStyle name="Normal 13 4 2 4 2 3" xfId="8635" xr:uid="{00000000-0005-0000-0000-00002F300000}"/>
    <cellStyle name="Normal 13 4 2 4 2 3 2" xfId="49721" xr:uid="{00000000-0005-0000-0000-000030300000}"/>
    <cellStyle name="Normal 13 4 2 4 2 3 3" xfId="49722" xr:uid="{00000000-0005-0000-0000-000031300000}"/>
    <cellStyle name="Normal 13 4 2 4 2 4" xfId="8636" xr:uid="{00000000-0005-0000-0000-000032300000}"/>
    <cellStyle name="Normal 13 4 2 4 2 4 2" xfId="49723" xr:uid="{00000000-0005-0000-0000-000033300000}"/>
    <cellStyle name="Normal 13 4 2 4 2 5" xfId="8637" xr:uid="{00000000-0005-0000-0000-000034300000}"/>
    <cellStyle name="Normal 13 4 2 4 2 6" xfId="8638" xr:uid="{00000000-0005-0000-0000-000035300000}"/>
    <cellStyle name="Normal 13 4 2 4 2 7" xfId="8639" xr:uid="{00000000-0005-0000-0000-000036300000}"/>
    <cellStyle name="Normal 13 4 2 4 3" xfId="8640" xr:uid="{00000000-0005-0000-0000-000037300000}"/>
    <cellStyle name="Normal 13 4 2 4 3 2" xfId="8641" xr:uid="{00000000-0005-0000-0000-000038300000}"/>
    <cellStyle name="Normal 13 4 2 4 3 2 2" xfId="49724" xr:uid="{00000000-0005-0000-0000-000039300000}"/>
    <cellStyle name="Normal 13 4 2 4 3 2 3" xfId="49725" xr:uid="{00000000-0005-0000-0000-00003A300000}"/>
    <cellStyle name="Normal 13 4 2 4 3 3" xfId="8642" xr:uid="{00000000-0005-0000-0000-00003B300000}"/>
    <cellStyle name="Normal 13 4 2 4 3 3 2" xfId="49726" xr:uid="{00000000-0005-0000-0000-00003C300000}"/>
    <cellStyle name="Normal 13 4 2 4 3 4" xfId="8643" xr:uid="{00000000-0005-0000-0000-00003D300000}"/>
    <cellStyle name="Normal 13 4 2 4 3 5" xfId="8644" xr:uid="{00000000-0005-0000-0000-00003E300000}"/>
    <cellStyle name="Normal 13 4 2 4 3 6" xfId="8645" xr:uid="{00000000-0005-0000-0000-00003F300000}"/>
    <cellStyle name="Normal 13 4 2 4 4" xfId="8646" xr:uid="{00000000-0005-0000-0000-000040300000}"/>
    <cellStyle name="Normal 13 4 2 4 4 2" xfId="49727" xr:uid="{00000000-0005-0000-0000-000041300000}"/>
    <cellStyle name="Normal 13 4 2 4 4 3" xfId="49728" xr:uid="{00000000-0005-0000-0000-000042300000}"/>
    <cellStyle name="Normal 13 4 2 4 5" xfId="8647" xr:uid="{00000000-0005-0000-0000-000043300000}"/>
    <cellStyle name="Normal 13 4 2 4 5 2" xfId="49729" xr:uid="{00000000-0005-0000-0000-000044300000}"/>
    <cellStyle name="Normal 13 4 2 4 6" xfId="8648" xr:uid="{00000000-0005-0000-0000-000045300000}"/>
    <cellStyle name="Normal 13 4 2 4 7" xfId="8649" xr:uid="{00000000-0005-0000-0000-000046300000}"/>
    <cellStyle name="Normal 13 4 2 4 8" xfId="8650" xr:uid="{00000000-0005-0000-0000-000047300000}"/>
    <cellStyle name="Normal 13 4 2 5" xfId="8651" xr:uid="{00000000-0005-0000-0000-000048300000}"/>
    <cellStyle name="Normal 13 4 2 5 2" xfId="8652" xr:uid="{00000000-0005-0000-0000-000049300000}"/>
    <cellStyle name="Normal 13 4 2 5 2 2" xfId="8653" xr:uid="{00000000-0005-0000-0000-00004A300000}"/>
    <cellStyle name="Normal 13 4 2 5 2 2 2" xfId="49730" xr:uid="{00000000-0005-0000-0000-00004B300000}"/>
    <cellStyle name="Normal 13 4 2 5 2 2 3" xfId="49731" xr:uid="{00000000-0005-0000-0000-00004C300000}"/>
    <cellStyle name="Normal 13 4 2 5 2 3" xfId="8654" xr:uid="{00000000-0005-0000-0000-00004D300000}"/>
    <cellStyle name="Normal 13 4 2 5 2 3 2" xfId="49732" xr:uid="{00000000-0005-0000-0000-00004E300000}"/>
    <cellStyle name="Normal 13 4 2 5 2 4" xfId="8655" xr:uid="{00000000-0005-0000-0000-00004F300000}"/>
    <cellStyle name="Normal 13 4 2 5 2 5" xfId="8656" xr:uid="{00000000-0005-0000-0000-000050300000}"/>
    <cellStyle name="Normal 13 4 2 5 2 6" xfId="8657" xr:uid="{00000000-0005-0000-0000-000051300000}"/>
    <cellStyle name="Normal 13 4 2 5 3" xfId="8658" xr:uid="{00000000-0005-0000-0000-000052300000}"/>
    <cellStyle name="Normal 13 4 2 5 3 2" xfId="49733" xr:uid="{00000000-0005-0000-0000-000053300000}"/>
    <cellStyle name="Normal 13 4 2 5 3 3" xfId="49734" xr:uid="{00000000-0005-0000-0000-000054300000}"/>
    <cellStyle name="Normal 13 4 2 5 4" xfId="8659" xr:uid="{00000000-0005-0000-0000-000055300000}"/>
    <cellStyle name="Normal 13 4 2 5 4 2" xfId="49735" xr:uid="{00000000-0005-0000-0000-000056300000}"/>
    <cellStyle name="Normal 13 4 2 5 5" xfId="8660" xr:uid="{00000000-0005-0000-0000-000057300000}"/>
    <cellStyle name="Normal 13 4 2 5 6" xfId="8661" xr:uid="{00000000-0005-0000-0000-000058300000}"/>
    <cellStyle name="Normal 13 4 2 5 7" xfId="8662" xr:uid="{00000000-0005-0000-0000-000059300000}"/>
    <cellStyle name="Normal 13 4 2 6" xfId="8663" xr:uid="{00000000-0005-0000-0000-00005A300000}"/>
    <cellStyle name="Normal 13 4 2 6 2" xfId="8664" xr:uid="{00000000-0005-0000-0000-00005B300000}"/>
    <cellStyle name="Normal 13 4 2 6 2 2" xfId="49736" xr:uid="{00000000-0005-0000-0000-00005C300000}"/>
    <cellStyle name="Normal 13 4 2 6 2 3" xfId="49737" xr:uid="{00000000-0005-0000-0000-00005D300000}"/>
    <cellStyle name="Normal 13 4 2 6 3" xfId="8665" xr:uid="{00000000-0005-0000-0000-00005E300000}"/>
    <cellStyle name="Normal 13 4 2 6 3 2" xfId="49738" xr:uid="{00000000-0005-0000-0000-00005F300000}"/>
    <cellStyle name="Normal 13 4 2 6 4" xfId="8666" xr:uid="{00000000-0005-0000-0000-000060300000}"/>
    <cellStyle name="Normal 13 4 2 6 5" xfId="8667" xr:uid="{00000000-0005-0000-0000-000061300000}"/>
    <cellStyle name="Normal 13 4 2 6 6" xfId="8668" xr:uid="{00000000-0005-0000-0000-000062300000}"/>
    <cellStyle name="Normal 13 4 2 7" xfId="8669" xr:uid="{00000000-0005-0000-0000-000063300000}"/>
    <cellStyle name="Normal 13 4 2 7 2" xfId="49739" xr:uid="{00000000-0005-0000-0000-000064300000}"/>
    <cellStyle name="Normal 13 4 2 7 3" xfId="49740" xr:uid="{00000000-0005-0000-0000-000065300000}"/>
    <cellStyle name="Normal 13 4 2 8" xfId="8670" xr:uid="{00000000-0005-0000-0000-000066300000}"/>
    <cellStyle name="Normal 13 4 2 8 2" xfId="49741" xr:uid="{00000000-0005-0000-0000-000067300000}"/>
    <cellStyle name="Normal 13 4 2 9" xfId="8671" xr:uid="{00000000-0005-0000-0000-000068300000}"/>
    <cellStyle name="Normal 13 4 2 9 2" xfId="49742" xr:uid="{00000000-0005-0000-0000-000069300000}"/>
    <cellStyle name="Normal 13 4 20" xfId="8672" xr:uid="{00000000-0005-0000-0000-00006A300000}"/>
    <cellStyle name="Normal 13 4 3" xfId="8673" xr:uid="{00000000-0005-0000-0000-00006B300000}"/>
    <cellStyle name="Normal 13 4 3 10" xfId="8674" xr:uid="{00000000-0005-0000-0000-00006C300000}"/>
    <cellStyle name="Normal 13 4 3 11" xfId="8675" xr:uid="{00000000-0005-0000-0000-00006D300000}"/>
    <cellStyle name="Normal 13 4 3 12" xfId="8676" xr:uid="{00000000-0005-0000-0000-00006E300000}"/>
    <cellStyle name="Normal 13 4 3 13" xfId="8677" xr:uid="{00000000-0005-0000-0000-00006F300000}"/>
    <cellStyle name="Normal 13 4 3 14" xfId="8678" xr:uid="{00000000-0005-0000-0000-000070300000}"/>
    <cellStyle name="Normal 13 4 3 15" xfId="8679" xr:uid="{00000000-0005-0000-0000-000071300000}"/>
    <cellStyle name="Normal 13 4 3 2" xfId="8680" xr:uid="{00000000-0005-0000-0000-000072300000}"/>
    <cellStyle name="Normal 13 4 3 2 10" xfId="8681" xr:uid="{00000000-0005-0000-0000-000073300000}"/>
    <cellStyle name="Normal 13 4 3 2 11" xfId="8682" xr:uid="{00000000-0005-0000-0000-000074300000}"/>
    <cellStyle name="Normal 13 4 3 2 12" xfId="8683" xr:uid="{00000000-0005-0000-0000-000075300000}"/>
    <cellStyle name="Normal 13 4 3 2 13" xfId="8684" xr:uid="{00000000-0005-0000-0000-000076300000}"/>
    <cellStyle name="Normal 13 4 3 2 14" xfId="8685" xr:uid="{00000000-0005-0000-0000-000077300000}"/>
    <cellStyle name="Normal 13 4 3 2 2" xfId="8686" xr:uid="{00000000-0005-0000-0000-000078300000}"/>
    <cellStyle name="Normal 13 4 3 2 2 2" xfId="8687" xr:uid="{00000000-0005-0000-0000-000079300000}"/>
    <cellStyle name="Normal 13 4 3 2 2 2 2" xfId="8688" xr:uid="{00000000-0005-0000-0000-00007A300000}"/>
    <cellStyle name="Normal 13 4 3 2 2 2 2 2" xfId="8689" xr:uid="{00000000-0005-0000-0000-00007B300000}"/>
    <cellStyle name="Normal 13 4 3 2 2 2 2 2 2" xfId="49743" xr:uid="{00000000-0005-0000-0000-00007C300000}"/>
    <cellStyle name="Normal 13 4 3 2 2 2 2 2 3" xfId="49744" xr:uid="{00000000-0005-0000-0000-00007D300000}"/>
    <cellStyle name="Normal 13 4 3 2 2 2 2 3" xfId="8690" xr:uid="{00000000-0005-0000-0000-00007E300000}"/>
    <cellStyle name="Normal 13 4 3 2 2 2 2 3 2" xfId="49745" xr:uid="{00000000-0005-0000-0000-00007F300000}"/>
    <cellStyle name="Normal 13 4 3 2 2 2 2 4" xfId="8691" xr:uid="{00000000-0005-0000-0000-000080300000}"/>
    <cellStyle name="Normal 13 4 3 2 2 2 2 5" xfId="8692" xr:uid="{00000000-0005-0000-0000-000081300000}"/>
    <cellStyle name="Normal 13 4 3 2 2 2 2 6" xfId="8693" xr:uid="{00000000-0005-0000-0000-000082300000}"/>
    <cellStyle name="Normal 13 4 3 2 2 2 3" xfId="8694" xr:uid="{00000000-0005-0000-0000-000083300000}"/>
    <cellStyle name="Normal 13 4 3 2 2 2 3 2" xfId="49746" xr:uid="{00000000-0005-0000-0000-000084300000}"/>
    <cellStyle name="Normal 13 4 3 2 2 2 3 3" xfId="49747" xr:uid="{00000000-0005-0000-0000-000085300000}"/>
    <cellStyle name="Normal 13 4 3 2 2 2 4" xfId="8695" xr:uid="{00000000-0005-0000-0000-000086300000}"/>
    <cellStyle name="Normal 13 4 3 2 2 2 4 2" xfId="49748" xr:uid="{00000000-0005-0000-0000-000087300000}"/>
    <cellStyle name="Normal 13 4 3 2 2 2 5" xfId="8696" xr:uid="{00000000-0005-0000-0000-000088300000}"/>
    <cellStyle name="Normal 13 4 3 2 2 2 6" xfId="8697" xr:uid="{00000000-0005-0000-0000-000089300000}"/>
    <cellStyle name="Normal 13 4 3 2 2 2 7" xfId="8698" xr:uid="{00000000-0005-0000-0000-00008A300000}"/>
    <cellStyle name="Normal 13 4 3 2 2 3" xfId="8699" xr:uid="{00000000-0005-0000-0000-00008B300000}"/>
    <cellStyle name="Normal 13 4 3 2 2 3 2" xfId="8700" xr:uid="{00000000-0005-0000-0000-00008C300000}"/>
    <cellStyle name="Normal 13 4 3 2 2 3 2 2" xfId="49749" xr:uid="{00000000-0005-0000-0000-00008D300000}"/>
    <cellStyle name="Normal 13 4 3 2 2 3 2 3" xfId="49750" xr:uid="{00000000-0005-0000-0000-00008E300000}"/>
    <cellStyle name="Normal 13 4 3 2 2 3 3" xfId="8701" xr:uid="{00000000-0005-0000-0000-00008F300000}"/>
    <cellStyle name="Normal 13 4 3 2 2 3 3 2" xfId="49751" xr:uid="{00000000-0005-0000-0000-000090300000}"/>
    <cellStyle name="Normal 13 4 3 2 2 3 4" xfId="8702" xr:uid="{00000000-0005-0000-0000-000091300000}"/>
    <cellStyle name="Normal 13 4 3 2 2 3 5" xfId="8703" xr:uid="{00000000-0005-0000-0000-000092300000}"/>
    <cellStyle name="Normal 13 4 3 2 2 3 6" xfId="8704" xr:uid="{00000000-0005-0000-0000-000093300000}"/>
    <cellStyle name="Normal 13 4 3 2 2 4" xfId="8705" xr:uid="{00000000-0005-0000-0000-000094300000}"/>
    <cellStyle name="Normal 13 4 3 2 2 4 2" xfId="49752" xr:uid="{00000000-0005-0000-0000-000095300000}"/>
    <cellStyle name="Normal 13 4 3 2 2 4 3" xfId="49753" xr:uid="{00000000-0005-0000-0000-000096300000}"/>
    <cellStyle name="Normal 13 4 3 2 2 5" xfId="8706" xr:uid="{00000000-0005-0000-0000-000097300000}"/>
    <cellStyle name="Normal 13 4 3 2 2 5 2" xfId="49754" xr:uid="{00000000-0005-0000-0000-000098300000}"/>
    <cellStyle name="Normal 13 4 3 2 2 6" xfId="8707" xr:uid="{00000000-0005-0000-0000-000099300000}"/>
    <cellStyle name="Normal 13 4 3 2 2 7" xfId="8708" xr:uid="{00000000-0005-0000-0000-00009A300000}"/>
    <cellStyle name="Normal 13 4 3 2 2 8" xfId="8709" xr:uid="{00000000-0005-0000-0000-00009B300000}"/>
    <cellStyle name="Normal 13 4 3 2 2 9" xfId="8710" xr:uid="{00000000-0005-0000-0000-00009C300000}"/>
    <cellStyle name="Normal 13 4 3 2 3" xfId="8711" xr:uid="{00000000-0005-0000-0000-00009D300000}"/>
    <cellStyle name="Normal 13 4 3 2 3 2" xfId="8712" xr:uid="{00000000-0005-0000-0000-00009E300000}"/>
    <cellStyle name="Normal 13 4 3 2 3 2 2" xfId="8713" xr:uid="{00000000-0005-0000-0000-00009F300000}"/>
    <cellStyle name="Normal 13 4 3 2 3 2 2 2" xfId="8714" xr:uid="{00000000-0005-0000-0000-0000A0300000}"/>
    <cellStyle name="Normal 13 4 3 2 3 2 2 2 2" xfId="49755" xr:uid="{00000000-0005-0000-0000-0000A1300000}"/>
    <cellStyle name="Normal 13 4 3 2 3 2 2 2 3" xfId="49756" xr:uid="{00000000-0005-0000-0000-0000A2300000}"/>
    <cellStyle name="Normal 13 4 3 2 3 2 2 3" xfId="8715" xr:uid="{00000000-0005-0000-0000-0000A3300000}"/>
    <cellStyle name="Normal 13 4 3 2 3 2 2 3 2" xfId="49757" xr:uid="{00000000-0005-0000-0000-0000A4300000}"/>
    <cellStyle name="Normal 13 4 3 2 3 2 2 4" xfId="8716" xr:uid="{00000000-0005-0000-0000-0000A5300000}"/>
    <cellStyle name="Normal 13 4 3 2 3 2 2 5" xfId="8717" xr:uid="{00000000-0005-0000-0000-0000A6300000}"/>
    <cellStyle name="Normal 13 4 3 2 3 2 2 6" xfId="8718" xr:uid="{00000000-0005-0000-0000-0000A7300000}"/>
    <cellStyle name="Normal 13 4 3 2 3 2 3" xfId="8719" xr:uid="{00000000-0005-0000-0000-0000A8300000}"/>
    <cellStyle name="Normal 13 4 3 2 3 2 3 2" xfId="49758" xr:uid="{00000000-0005-0000-0000-0000A9300000}"/>
    <cellStyle name="Normal 13 4 3 2 3 2 3 3" xfId="49759" xr:uid="{00000000-0005-0000-0000-0000AA300000}"/>
    <cellStyle name="Normal 13 4 3 2 3 2 4" xfId="8720" xr:uid="{00000000-0005-0000-0000-0000AB300000}"/>
    <cellStyle name="Normal 13 4 3 2 3 2 4 2" xfId="49760" xr:uid="{00000000-0005-0000-0000-0000AC300000}"/>
    <cellStyle name="Normal 13 4 3 2 3 2 5" xfId="8721" xr:uid="{00000000-0005-0000-0000-0000AD300000}"/>
    <cellStyle name="Normal 13 4 3 2 3 2 6" xfId="8722" xr:uid="{00000000-0005-0000-0000-0000AE300000}"/>
    <cellStyle name="Normal 13 4 3 2 3 2 7" xfId="8723" xr:uid="{00000000-0005-0000-0000-0000AF300000}"/>
    <cellStyle name="Normal 13 4 3 2 3 3" xfId="8724" xr:uid="{00000000-0005-0000-0000-0000B0300000}"/>
    <cellStyle name="Normal 13 4 3 2 3 3 2" xfId="8725" xr:uid="{00000000-0005-0000-0000-0000B1300000}"/>
    <cellStyle name="Normal 13 4 3 2 3 3 2 2" xfId="49761" xr:uid="{00000000-0005-0000-0000-0000B2300000}"/>
    <cellStyle name="Normal 13 4 3 2 3 3 2 3" xfId="49762" xr:uid="{00000000-0005-0000-0000-0000B3300000}"/>
    <cellStyle name="Normal 13 4 3 2 3 3 3" xfId="8726" xr:uid="{00000000-0005-0000-0000-0000B4300000}"/>
    <cellStyle name="Normal 13 4 3 2 3 3 3 2" xfId="49763" xr:uid="{00000000-0005-0000-0000-0000B5300000}"/>
    <cellStyle name="Normal 13 4 3 2 3 3 4" xfId="8727" xr:uid="{00000000-0005-0000-0000-0000B6300000}"/>
    <cellStyle name="Normal 13 4 3 2 3 3 5" xfId="8728" xr:uid="{00000000-0005-0000-0000-0000B7300000}"/>
    <cellStyle name="Normal 13 4 3 2 3 3 6" xfId="8729" xr:uid="{00000000-0005-0000-0000-0000B8300000}"/>
    <cellStyle name="Normal 13 4 3 2 3 4" xfId="8730" xr:uid="{00000000-0005-0000-0000-0000B9300000}"/>
    <cellStyle name="Normal 13 4 3 2 3 4 2" xfId="49764" xr:uid="{00000000-0005-0000-0000-0000BA300000}"/>
    <cellStyle name="Normal 13 4 3 2 3 4 3" xfId="49765" xr:uid="{00000000-0005-0000-0000-0000BB300000}"/>
    <cellStyle name="Normal 13 4 3 2 3 5" xfId="8731" xr:uid="{00000000-0005-0000-0000-0000BC300000}"/>
    <cellStyle name="Normal 13 4 3 2 3 5 2" xfId="49766" xr:uid="{00000000-0005-0000-0000-0000BD300000}"/>
    <cellStyle name="Normal 13 4 3 2 3 6" xfId="8732" xr:uid="{00000000-0005-0000-0000-0000BE300000}"/>
    <cellStyle name="Normal 13 4 3 2 3 7" xfId="8733" xr:uid="{00000000-0005-0000-0000-0000BF300000}"/>
    <cellStyle name="Normal 13 4 3 2 3 8" xfId="8734" xr:uid="{00000000-0005-0000-0000-0000C0300000}"/>
    <cellStyle name="Normal 13 4 3 2 4" xfId="8735" xr:uid="{00000000-0005-0000-0000-0000C1300000}"/>
    <cellStyle name="Normal 13 4 3 2 4 2" xfId="8736" xr:uid="{00000000-0005-0000-0000-0000C2300000}"/>
    <cellStyle name="Normal 13 4 3 2 4 2 2" xfId="8737" xr:uid="{00000000-0005-0000-0000-0000C3300000}"/>
    <cellStyle name="Normal 13 4 3 2 4 2 2 2" xfId="49767" xr:uid="{00000000-0005-0000-0000-0000C4300000}"/>
    <cellStyle name="Normal 13 4 3 2 4 2 2 3" xfId="49768" xr:uid="{00000000-0005-0000-0000-0000C5300000}"/>
    <cellStyle name="Normal 13 4 3 2 4 2 3" xfId="8738" xr:uid="{00000000-0005-0000-0000-0000C6300000}"/>
    <cellStyle name="Normal 13 4 3 2 4 2 3 2" xfId="49769" xr:uid="{00000000-0005-0000-0000-0000C7300000}"/>
    <cellStyle name="Normal 13 4 3 2 4 2 4" xfId="8739" xr:uid="{00000000-0005-0000-0000-0000C8300000}"/>
    <cellStyle name="Normal 13 4 3 2 4 2 5" xfId="8740" xr:uid="{00000000-0005-0000-0000-0000C9300000}"/>
    <cellStyle name="Normal 13 4 3 2 4 2 6" xfId="8741" xr:uid="{00000000-0005-0000-0000-0000CA300000}"/>
    <cellStyle name="Normal 13 4 3 2 4 3" xfId="8742" xr:uid="{00000000-0005-0000-0000-0000CB300000}"/>
    <cellStyle name="Normal 13 4 3 2 4 3 2" xfId="49770" xr:uid="{00000000-0005-0000-0000-0000CC300000}"/>
    <cellStyle name="Normal 13 4 3 2 4 3 3" xfId="49771" xr:uid="{00000000-0005-0000-0000-0000CD300000}"/>
    <cellStyle name="Normal 13 4 3 2 4 4" xfId="8743" xr:uid="{00000000-0005-0000-0000-0000CE300000}"/>
    <cellStyle name="Normal 13 4 3 2 4 4 2" xfId="49772" xr:uid="{00000000-0005-0000-0000-0000CF300000}"/>
    <cellStyle name="Normal 13 4 3 2 4 5" xfId="8744" xr:uid="{00000000-0005-0000-0000-0000D0300000}"/>
    <cellStyle name="Normal 13 4 3 2 4 6" xfId="8745" xr:uid="{00000000-0005-0000-0000-0000D1300000}"/>
    <cellStyle name="Normal 13 4 3 2 4 7" xfId="8746" xr:uid="{00000000-0005-0000-0000-0000D2300000}"/>
    <cellStyle name="Normal 13 4 3 2 5" xfId="8747" xr:uid="{00000000-0005-0000-0000-0000D3300000}"/>
    <cellStyle name="Normal 13 4 3 2 5 2" xfId="8748" xr:uid="{00000000-0005-0000-0000-0000D4300000}"/>
    <cellStyle name="Normal 13 4 3 2 5 2 2" xfId="49773" xr:uid="{00000000-0005-0000-0000-0000D5300000}"/>
    <cellStyle name="Normal 13 4 3 2 5 2 3" xfId="49774" xr:uid="{00000000-0005-0000-0000-0000D6300000}"/>
    <cellStyle name="Normal 13 4 3 2 5 3" xfId="8749" xr:uid="{00000000-0005-0000-0000-0000D7300000}"/>
    <cellStyle name="Normal 13 4 3 2 5 3 2" xfId="49775" xr:uid="{00000000-0005-0000-0000-0000D8300000}"/>
    <cellStyle name="Normal 13 4 3 2 5 4" xfId="8750" xr:uid="{00000000-0005-0000-0000-0000D9300000}"/>
    <cellStyle name="Normal 13 4 3 2 5 5" xfId="8751" xr:uid="{00000000-0005-0000-0000-0000DA300000}"/>
    <cellStyle name="Normal 13 4 3 2 5 6" xfId="8752" xr:uid="{00000000-0005-0000-0000-0000DB300000}"/>
    <cellStyle name="Normal 13 4 3 2 6" xfId="8753" xr:uid="{00000000-0005-0000-0000-0000DC300000}"/>
    <cellStyle name="Normal 13 4 3 2 6 2" xfId="49776" xr:uid="{00000000-0005-0000-0000-0000DD300000}"/>
    <cellStyle name="Normal 13 4 3 2 6 3" xfId="49777" xr:uid="{00000000-0005-0000-0000-0000DE300000}"/>
    <cellStyle name="Normal 13 4 3 2 7" xfId="8754" xr:uid="{00000000-0005-0000-0000-0000DF300000}"/>
    <cellStyle name="Normal 13 4 3 2 7 2" xfId="49778" xr:uid="{00000000-0005-0000-0000-0000E0300000}"/>
    <cellStyle name="Normal 13 4 3 2 8" xfId="8755" xr:uid="{00000000-0005-0000-0000-0000E1300000}"/>
    <cellStyle name="Normal 13 4 3 2 9" xfId="8756" xr:uid="{00000000-0005-0000-0000-0000E2300000}"/>
    <cellStyle name="Normal 13 4 3 3" xfId="8757" xr:uid="{00000000-0005-0000-0000-0000E3300000}"/>
    <cellStyle name="Normal 13 4 3 3 2" xfId="8758" xr:uid="{00000000-0005-0000-0000-0000E4300000}"/>
    <cellStyle name="Normal 13 4 3 3 2 2" xfId="8759" xr:uid="{00000000-0005-0000-0000-0000E5300000}"/>
    <cellStyle name="Normal 13 4 3 3 2 2 2" xfId="8760" xr:uid="{00000000-0005-0000-0000-0000E6300000}"/>
    <cellStyle name="Normal 13 4 3 3 2 2 2 2" xfId="49779" xr:uid="{00000000-0005-0000-0000-0000E7300000}"/>
    <cellStyle name="Normal 13 4 3 3 2 2 2 3" xfId="49780" xr:uid="{00000000-0005-0000-0000-0000E8300000}"/>
    <cellStyle name="Normal 13 4 3 3 2 2 3" xfId="8761" xr:uid="{00000000-0005-0000-0000-0000E9300000}"/>
    <cellStyle name="Normal 13 4 3 3 2 2 3 2" xfId="49781" xr:uid="{00000000-0005-0000-0000-0000EA300000}"/>
    <cellStyle name="Normal 13 4 3 3 2 2 4" xfId="8762" xr:uid="{00000000-0005-0000-0000-0000EB300000}"/>
    <cellStyle name="Normal 13 4 3 3 2 2 5" xfId="8763" xr:uid="{00000000-0005-0000-0000-0000EC300000}"/>
    <cellStyle name="Normal 13 4 3 3 2 2 6" xfId="8764" xr:uid="{00000000-0005-0000-0000-0000ED300000}"/>
    <cellStyle name="Normal 13 4 3 3 2 3" xfId="8765" xr:uid="{00000000-0005-0000-0000-0000EE300000}"/>
    <cellStyle name="Normal 13 4 3 3 2 3 2" xfId="49782" xr:uid="{00000000-0005-0000-0000-0000EF300000}"/>
    <cellStyle name="Normal 13 4 3 3 2 3 3" xfId="49783" xr:uid="{00000000-0005-0000-0000-0000F0300000}"/>
    <cellStyle name="Normal 13 4 3 3 2 4" xfId="8766" xr:uid="{00000000-0005-0000-0000-0000F1300000}"/>
    <cellStyle name="Normal 13 4 3 3 2 4 2" xfId="49784" xr:uid="{00000000-0005-0000-0000-0000F2300000}"/>
    <cellStyle name="Normal 13 4 3 3 2 5" xfId="8767" xr:uid="{00000000-0005-0000-0000-0000F3300000}"/>
    <cellStyle name="Normal 13 4 3 3 2 6" xfId="8768" xr:uid="{00000000-0005-0000-0000-0000F4300000}"/>
    <cellStyle name="Normal 13 4 3 3 2 7" xfId="8769" xr:uid="{00000000-0005-0000-0000-0000F5300000}"/>
    <cellStyle name="Normal 13 4 3 3 3" xfId="8770" xr:uid="{00000000-0005-0000-0000-0000F6300000}"/>
    <cellStyle name="Normal 13 4 3 3 3 2" xfId="8771" xr:uid="{00000000-0005-0000-0000-0000F7300000}"/>
    <cellStyle name="Normal 13 4 3 3 3 2 2" xfId="49785" xr:uid="{00000000-0005-0000-0000-0000F8300000}"/>
    <cellStyle name="Normal 13 4 3 3 3 2 3" xfId="49786" xr:uid="{00000000-0005-0000-0000-0000F9300000}"/>
    <cellStyle name="Normal 13 4 3 3 3 3" xfId="8772" xr:uid="{00000000-0005-0000-0000-0000FA300000}"/>
    <cellStyle name="Normal 13 4 3 3 3 3 2" xfId="49787" xr:uid="{00000000-0005-0000-0000-0000FB300000}"/>
    <cellStyle name="Normal 13 4 3 3 3 4" xfId="8773" xr:uid="{00000000-0005-0000-0000-0000FC300000}"/>
    <cellStyle name="Normal 13 4 3 3 3 5" xfId="8774" xr:uid="{00000000-0005-0000-0000-0000FD300000}"/>
    <cellStyle name="Normal 13 4 3 3 3 6" xfId="8775" xr:uid="{00000000-0005-0000-0000-0000FE300000}"/>
    <cellStyle name="Normal 13 4 3 3 4" xfId="8776" xr:uid="{00000000-0005-0000-0000-0000FF300000}"/>
    <cellStyle name="Normal 13 4 3 3 4 2" xfId="49788" xr:uid="{00000000-0005-0000-0000-000000310000}"/>
    <cellStyle name="Normal 13 4 3 3 4 3" xfId="49789" xr:uid="{00000000-0005-0000-0000-000001310000}"/>
    <cellStyle name="Normal 13 4 3 3 5" xfId="8777" xr:uid="{00000000-0005-0000-0000-000002310000}"/>
    <cellStyle name="Normal 13 4 3 3 5 2" xfId="49790" xr:uid="{00000000-0005-0000-0000-000003310000}"/>
    <cellStyle name="Normal 13 4 3 3 6" xfId="8778" xr:uid="{00000000-0005-0000-0000-000004310000}"/>
    <cellStyle name="Normal 13 4 3 3 7" xfId="8779" xr:uid="{00000000-0005-0000-0000-000005310000}"/>
    <cellStyle name="Normal 13 4 3 3 8" xfId="8780" xr:uid="{00000000-0005-0000-0000-000006310000}"/>
    <cellStyle name="Normal 13 4 3 3 9" xfId="8781" xr:uid="{00000000-0005-0000-0000-000007310000}"/>
    <cellStyle name="Normal 13 4 3 4" xfId="8782" xr:uid="{00000000-0005-0000-0000-000008310000}"/>
    <cellStyle name="Normal 13 4 3 4 2" xfId="8783" xr:uid="{00000000-0005-0000-0000-000009310000}"/>
    <cellStyle name="Normal 13 4 3 4 2 2" xfId="8784" xr:uid="{00000000-0005-0000-0000-00000A310000}"/>
    <cellStyle name="Normal 13 4 3 4 2 2 2" xfId="8785" xr:uid="{00000000-0005-0000-0000-00000B310000}"/>
    <cellStyle name="Normal 13 4 3 4 2 2 2 2" xfId="49791" xr:uid="{00000000-0005-0000-0000-00000C310000}"/>
    <cellStyle name="Normal 13 4 3 4 2 2 2 3" xfId="49792" xr:uid="{00000000-0005-0000-0000-00000D310000}"/>
    <cellStyle name="Normal 13 4 3 4 2 2 3" xfId="8786" xr:uid="{00000000-0005-0000-0000-00000E310000}"/>
    <cellStyle name="Normal 13 4 3 4 2 2 3 2" xfId="49793" xr:uid="{00000000-0005-0000-0000-00000F310000}"/>
    <cellStyle name="Normal 13 4 3 4 2 2 4" xfId="8787" xr:uid="{00000000-0005-0000-0000-000010310000}"/>
    <cellStyle name="Normal 13 4 3 4 2 2 5" xfId="8788" xr:uid="{00000000-0005-0000-0000-000011310000}"/>
    <cellStyle name="Normal 13 4 3 4 2 2 6" xfId="8789" xr:uid="{00000000-0005-0000-0000-000012310000}"/>
    <cellStyle name="Normal 13 4 3 4 2 3" xfId="8790" xr:uid="{00000000-0005-0000-0000-000013310000}"/>
    <cellStyle name="Normal 13 4 3 4 2 3 2" xfId="49794" xr:uid="{00000000-0005-0000-0000-000014310000}"/>
    <cellStyle name="Normal 13 4 3 4 2 3 3" xfId="49795" xr:uid="{00000000-0005-0000-0000-000015310000}"/>
    <cellStyle name="Normal 13 4 3 4 2 4" xfId="8791" xr:uid="{00000000-0005-0000-0000-000016310000}"/>
    <cellStyle name="Normal 13 4 3 4 2 4 2" xfId="49796" xr:uid="{00000000-0005-0000-0000-000017310000}"/>
    <cellStyle name="Normal 13 4 3 4 2 5" xfId="8792" xr:uid="{00000000-0005-0000-0000-000018310000}"/>
    <cellStyle name="Normal 13 4 3 4 2 6" xfId="8793" xr:uid="{00000000-0005-0000-0000-000019310000}"/>
    <cellStyle name="Normal 13 4 3 4 2 7" xfId="8794" xr:uid="{00000000-0005-0000-0000-00001A310000}"/>
    <cellStyle name="Normal 13 4 3 4 3" xfId="8795" xr:uid="{00000000-0005-0000-0000-00001B310000}"/>
    <cellStyle name="Normal 13 4 3 4 3 2" xfId="8796" xr:uid="{00000000-0005-0000-0000-00001C310000}"/>
    <cellStyle name="Normal 13 4 3 4 3 2 2" xfId="49797" xr:uid="{00000000-0005-0000-0000-00001D310000}"/>
    <cellStyle name="Normal 13 4 3 4 3 2 3" xfId="49798" xr:uid="{00000000-0005-0000-0000-00001E310000}"/>
    <cellStyle name="Normal 13 4 3 4 3 3" xfId="8797" xr:uid="{00000000-0005-0000-0000-00001F310000}"/>
    <cellStyle name="Normal 13 4 3 4 3 3 2" xfId="49799" xr:uid="{00000000-0005-0000-0000-000020310000}"/>
    <cellStyle name="Normal 13 4 3 4 3 4" xfId="8798" xr:uid="{00000000-0005-0000-0000-000021310000}"/>
    <cellStyle name="Normal 13 4 3 4 3 5" xfId="8799" xr:uid="{00000000-0005-0000-0000-000022310000}"/>
    <cellStyle name="Normal 13 4 3 4 3 6" xfId="8800" xr:uid="{00000000-0005-0000-0000-000023310000}"/>
    <cellStyle name="Normal 13 4 3 4 4" xfId="8801" xr:uid="{00000000-0005-0000-0000-000024310000}"/>
    <cellStyle name="Normal 13 4 3 4 4 2" xfId="49800" xr:uid="{00000000-0005-0000-0000-000025310000}"/>
    <cellStyle name="Normal 13 4 3 4 4 3" xfId="49801" xr:uid="{00000000-0005-0000-0000-000026310000}"/>
    <cellStyle name="Normal 13 4 3 4 5" xfId="8802" xr:uid="{00000000-0005-0000-0000-000027310000}"/>
    <cellStyle name="Normal 13 4 3 4 5 2" xfId="49802" xr:uid="{00000000-0005-0000-0000-000028310000}"/>
    <cellStyle name="Normal 13 4 3 4 6" xfId="8803" xr:uid="{00000000-0005-0000-0000-000029310000}"/>
    <cellStyle name="Normal 13 4 3 4 7" xfId="8804" xr:uid="{00000000-0005-0000-0000-00002A310000}"/>
    <cellStyle name="Normal 13 4 3 4 8" xfId="8805" xr:uid="{00000000-0005-0000-0000-00002B310000}"/>
    <cellStyle name="Normal 13 4 3 5" xfId="8806" xr:uid="{00000000-0005-0000-0000-00002C310000}"/>
    <cellStyle name="Normal 13 4 3 5 2" xfId="8807" xr:uid="{00000000-0005-0000-0000-00002D310000}"/>
    <cellStyle name="Normal 13 4 3 5 2 2" xfId="8808" xr:uid="{00000000-0005-0000-0000-00002E310000}"/>
    <cellStyle name="Normal 13 4 3 5 2 2 2" xfId="49803" xr:uid="{00000000-0005-0000-0000-00002F310000}"/>
    <cellStyle name="Normal 13 4 3 5 2 2 3" xfId="49804" xr:uid="{00000000-0005-0000-0000-000030310000}"/>
    <cellStyle name="Normal 13 4 3 5 2 3" xfId="8809" xr:uid="{00000000-0005-0000-0000-000031310000}"/>
    <cellStyle name="Normal 13 4 3 5 2 3 2" xfId="49805" xr:uid="{00000000-0005-0000-0000-000032310000}"/>
    <cellStyle name="Normal 13 4 3 5 2 4" xfId="8810" xr:uid="{00000000-0005-0000-0000-000033310000}"/>
    <cellStyle name="Normal 13 4 3 5 2 5" xfId="8811" xr:uid="{00000000-0005-0000-0000-000034310000}"/>
    <cellStyle name="Normal 13 4 3 5 2 6" xfId="8812" xr:uid="{00000000-0005-0000-0000-000035310000}"/>
    <cellStyle name="Normal 13 4 3 5 3" xfId="8813" xr:uid="{00000000-0005-0000-0000-000036310000}"/>
    <cellStyle name="Normal 13 4 3 5 3 2" xfId="49806" xr:uid="{00000000-0005-0000-0000-000037310000}"/>
    <cellStyle name="Normal 13 4 3 5 3 3" xfId="49807" xr:uid="{00000000-0005-0000-0000-000038310000}"/>
    <cellStyle name="Normal 13 4 3 5 4" xfId="8814" xr:uid="{00000000-0005-0000-0000-000039310000}"/>
    <cellStyle name="Normal 13 4 3 5 4 2" xfId="49808" xr:uid="{00000000-0005-0000-0000-00003A310000}"/>
    <cellStyle name="Normal 13 4 3 5 5" xfId="8815" xr:uid="{00000000-0005-0000-0000-00003B310000}"/>
    <cellStyle name="Normal 13 4 3 5 6" xfId="8816" xr:uid="{00000000-0005-0000-0000-00003C310000}"/>
    <cellStyle name="Normal 13 4 3 5 7" xfId="8817" xr:uid="{00000000-0005-0000-0000-00003D310000}"/>
    <cellStyle name="Normal 13 4 3 6" xfId="8818" xr:uid="{00000000-0005-0000-0000-00003E310000}"/>
    <cellStyle name="Normal 13 4 3 6 2" xfId="8819" xr:uid="{00000000-0005-0000-0000-00003F310000}"/>
    <cellStyle name="Normal 13 4 3 6 2 2" xfId="49809" xr:uid="{00000000-0005-0000-0000-000040310000}"/>
    <cellStyle name="Normal 13 4 3 6 2 3" xfId="49810" xr:uid="{00000000-0005-0000-0000-000041310000}"/>
    <cellStyle name="Normal 13 4 3 6 3" xfId="8820" xr:uid="{00000000-0005-0000-0000-000042310000}"/>
    <cellStyle name="Normal 13 4 3 6 3 2" xfId="49811" xr:uid="{00000000-0005-0000-0000-000043310000}"/>
    <cellStyle name="Normal 13 4 3 6 4" xfId="8821" xr:uid="{00000000-0005-0000-0000-000044310000}"/>
    <cellStyle name="Normal 13 4 3 6 5" xfId="8822" xr:uid="{00000000-0005-0000-0000-000045310000}"/>
    <cellStyle name="Normal 13 4 3 6 6" xfId="8823" xr:uid="{00000000-0005-0000-0000-000046310000}"/>
    <cellStyle name="Normal 13 4 3 7" xfId="8824" xr:uid="{00000000-0005-0000-0000-000047310000}"/>
    <cellStyle name="Normal 13 4 3 7 2" xfId="49812" xr:uid="{00000000-0005-0000-0000-000048310000}"/>
    <cellStyle name="Normal 13 4 3 7 3" xfId="49813" xr:uid="{00000000-0005-0000-0000-000049310000}"/>
    <cellStyle name="Normal 13 4 3 8" xfId="8825" xr:uid="{00000000-0005-0000-0000-00004A310000}"/>
    <cellStyle name="Normal 13 4 3 8 2" xfId="49814" xr:uid="{00000000-0005-0000-0000-00004B310000}"/>
    <cellStyle name="Normal 13 4 3 9" xfId="8826" xr:uid="{00000000-0005-0000-0000-00004C310000}"/>
    <cellStyle name="Normal 13 4 4" xfId="8827" xr:uid="{00000000-0005-0000-0000-00004D310000}"/>
    <cellStyle name="Normal 13 4 4 10" xfId="8828" xr:uid="{00000000-0005-0000-0000-00004E310000}"/>
    <cellStyle name="Normal 13 4 4 11" xfId="8829" xr:uid="{00000000-0005-0000-0000-00004F310000}"/>
    <cellStyle name="Normal 13 4 4 12" xfId="8830" xr:uid="{00000000-0005-0000-0000-000050310000}"/>
    <cellStyle name="Normal 13 4 4 13" xfId="8831" xr:uid="{00000000-0005-0000-0000-000051310000}"/>
    <cellStyle name="Normal 13 4 4 14" xfId="8832" xr:uid="{00000000-0005-0000-0000-000052310000}"/>
    <cellStyle name="Normal 13 4 4 2" xfId="8833" xr:uid="{00000000-0005-0000-0000-000053310000}"/>
    <cellStyle name="Normal 13 4 4 2 2" xfId="8834" xr:uid="{00000000-0005-0000-0000-000054310000}"/>
    <cellStyle name="Normal 13 4 4 2 2 2" xfId="8835" xr:uid="{00000000-0005-0000-0000-000055310000}"/>
    <cellStyle name="Normal 13 4 4 2 2 2 2" xfId="8836" xr:uid="{00000000-0005-0000-0000-000056310000}"/>
    <cellStyle name="Normal 13 4 4 2 2 2 2 2" xfId="49815" xr:uid="{00000000-0005-0000-0000-000057310000}"/>
    <cellStyle name="Normal 13 4 4 2 2 2 2 3" xfId="49816" xr:uid="{00000000-0005-0000-0000-000058310000}"/>
    <cellStyle name="Normal 13 4 4 2 2 2 3" xfId="8837" xr:uid="{00000000-0005-0000-0000-000059310000}"/>
    <cellStyle name="Normal 13 4 4 2 2 2 3 2" xfId="49817" xr:uid="{00000000-0005-0000-0000-00005A310000}"/>
    <cellStyle name="Normal 13 4 4 2 2 2 4" xfId="8838" xr:uid="{00000000-0005-0000-0000-00005B310000}"/>
    <cellStyle name="Normal 13 4 4 2 2 2 5" xfId="8839" xr:uid="{00000000-0005-0000-0000-00005C310000}"/>
    <cellStyle name="Normal 13 4 4 2 2 2 6" xfId="8840" xr:uid="{00000000-0005-0000-0000-00005D310000}"/>
    <cellStyle name="Normal 13 4 4 2 2 3" xfId="8841" xr:uid="{00000000-0005-0000-0000-00005E310000}"/>
    <cellStyle name="Normal 13 4 4 2 2 3 2" xfId="49818" xr:uid="{00000000-0005-0000-0000-00005F310000}"/>
    <cellStyle name="Normal 13 4 4 2 2 3 3" xfId="49819" xr:uid="{00000000-0005-0000-0000-000060310000}"/>
    <cellStyle name="Normal 13 4 4 2 2 4" xfId="8842" xr:uid="{00000000-0005-0000-0000-000061310000}"/>
    <cellStyle name="Normal 13 4 4 2 2 4 2" xfId="49820" xr:uid="{00000000-0005-0000-0000-000062310000}"/>
    <cellStyle name="Normal 13 4 4 2 2 5" xfId="8843" xr:uid="{00000000-0005-0000-0000-000063310000}"/>
    <cellStyle name="Normal 13 4 4 2 2 6" xfId="8844" xr:uid="{00000000-0005-0000-0000-000064310000}"/>
    <cellStyle name="Normal 13 4 4 2 2 7" xfId="8845" xr:uid="{00000000-0005-0000-0000-000065310000}"/>
    <cellStyle name="Normal 13 4 4 2 3" xfId="8846" xr:uid="{00000000-0005-0000-0000-000066310000}"/>
    <cellStyle name="Normal 13 4 4 2 3 2" xfId="8847" xr:uid="{00000000-0005-0000-0000-000067310000}"/>
    <cellStyle name="Normal 13 4 4 2 3 2 2" xfId="49821" xr:uid="{00000000-0005-0000-0000-000068310000}"/>
    <cellStyle name="Normal 13 4 4 2 3 2 3" xfId="49822" xr:uid="{00000000-0005-0000-0000-000069310000}"/>
    <cellStyle name="Normal 13 4 4 2 3 3" xfId="8848" xr:uid="{00000000-0005-0000-0000-00006A310000}"/>
    <cellStyle name="Normal 13 4 4 2 3 3 2" xfId="49823" xr:uid="{00000000-0005-0000-0000-00006B310000}"/>
    <cellStyle name="Normal 13 4 4 2 3 4" xfId="8849" xr:uid="{00000000-0005-0000-0000-00006C310000}"/>
    <cellStyle name="Normal 13 4 4 2 3 5" xfId="8850" xr:uid="{00000000-0005-0000-0000-00006D310000}"/>
    <cellStyle name="Normal 13 4 4 2 3 6" xfId="8851" xr:uid="{00000000-0005-0000-0000-00006E310000}"/>
    <cellStyle name="Normal 13 4 4 2 4" xfId="8852" xr:uid="{00000000-0005-0000-0000-00006F310000}"/>
    <cellStyle name="Normal 13 4 4 2 4 2" xfId="49824" xr:uid="{00000000-0005-0000-0000-000070310000}"/>
    <cellStyle name="Normal 13 4 4 2 4 3" xfId="49825" xr:uid="{00000000-0005-0000-0000-000071310000}"/>
    <cellStyle name="Normal 13 4 4 2 5" xfId="8853" xr:uid="{00000000-0005-0000-0000-000072310000}"/>
    <cellStyle name="Normal 13 4 4 2 5 2" xfId="49826" xr:uid="{00000000-0005-0000-0000-000073310000}"/>
    <cellStyle name="Normal 13 4 4 2 6" xfId="8854" xr:uid="{00000000-0005-0000-0000-000074310000}"/>
    <cellStyle name="Normal 13 4 4 2 7" xfId="8855" xr:uid="{00000000-0005-0000-0000-000075310000}"/>
    <cellStyle name="Normal 13 4 4 2 8" xfId="8856" xr:uid="{00000000-0005-0000-0000-000076310000}"/>
    <cellStyle name="Normal 13 4 4 2 9" xfId="8857" xr:uid="{00000000-0005-0000-0000-000077310000}"/>
    <cellStyle name="Normal 13 4 4 3" xfId="8858" xr:uid="{00000000-0005-0000-0000-000078310000}"/>
    <cellStyle name="Normal 13 4 4 3 2" xfId="8859" xr:uid="{00000000-0005-0000-0000-000079310000}"/>
    <cellStyle name="Normal 13 4 4 3 2 2" xfId="8860" xr:uid="{00000000-0005-0000-0000-00007A310000}"/>
    <cellStyle name="Normal 13 4 4 3 2 2 2" xfId="8861" xr:uid="{00000000-0005-0000-0000-00007B310000}"/>
    <cellStyle name="Normal 13 4 4 3 2 2 2 2" xfId="49827" xr:uid="{00000000-0005-0000-0000-00007C310000}"/>
    <cellStyle name="Normal 13 4 4 3 2 2 2 3" xfId="49828" xr:uid="{00000000-0005-0000-0000-00007D310000}"/>
    <cellStyle name="Normal 13 4 4 3 2 2 3" xfId="8862" xr:uid="{00000000-0005-0000-0000-00007E310000}"/>
    <cellStyle name="Normal 13 4 4 3 2 2 3 2" xfId="49829" xr:uid="{00000000-0005-0000-0000-00007F310000}"/>
    <cellStyle name="Normal 13 4 4 3 2 2 4" xfId="8863" xr:uid="{00000000-0005-0000-0000-000080310000}"/>
    <cellStyle name="Normal 13 4 4 3 2 2 5" xfId="8864" xr:uid="{00000000-0005-0000-0000-000081310000}"/>
    <cellStyle name="Normal 13 4 4 3 2 2 6" xfId="8865" xr:uid="{00000000-0005-0000-0000-000082310000}"/>
    <cellStyle name="Normal 13 4 4 3 2 3" xfId="8866" xr:uid="{00000000-0005-0000-0000-000083310000}"/>
    <cellStyle name="Normal 13 4 4 3 2 3 2" xfId="49830" xr:uid="{00000000-0005-0000-0000-000084310000}"/>
    <cellStyle name="Normal 13 4 4 3 2 3 3" xfId="49831" xr:uid="{00000000-0005-0000-0000-000085310000}"/>
    <cellStyle name="Normal 13 4 4 3 2 4" xfId="8867" xr:uid="{00000000-0005-0000-0000-000086310000}"/>
    <cellStyle name="Normal 13 4 4 3 2 4 2" xfId="49832" xr:uid="{00000000-0005-0000-0000-000087310000}"/>
    <cellStyle name="Normal 13 4 4 3 2 5" xfId="8868" xr:uid="{00000000-0005-0000-0000-000088310000}"/>
    <cellStyle name="Normal 13 4 4 3 2 6" xfId="8869" xr:uid="{00000000-0005-0000-0000-000089310000}"/>
    <cellStyle name="Normal 13 4 4 3 2 7" xfId="8870" xr:uid="{00000000-0005-0000-0000-00008A310000}"/>
    <cellStyle name="Normal 13 4 4 3 3" xfId="8871" xr:uid="{00000000-0005-0000-0000-00008B310000}"/>
    <cellStyle name="Normal 13 4 4 3 3 2" xfId="8872" xr:uid="{00000000-0005-0000-0000-00008C310000}"/>
    <cellStyle name="Normal 13 4 4 3 3 2 2" xfId="49833" xr:uid="{00000000-0005-0000-0000-00008D310000}"/>
    <cellStyle name="Normal 13 4 4 3 3 2 3" xfId="49834" xr:uid="{00000000-0005-0000-0000-00008E310000}"/>
    <cellStyle name="Normal 13 4 4 3 3 3" xfId="8873" xr:uid="{00000000-0005-0000-0000-00008F310000}"/>
    <cellStyle name="Normal 13 4 4 3 3 3 2" xfId="49835" xr:uid="{00000000-0005-0000-0000-000090310000}"/>
    <cellStyle name="Normal 13 4 4 3 3 4" xfId="8874" xr:uid="{00000000-0005-0000-0000-000091310000}"/>
    <cellStyle name="Normal 13 4 4 3 3 5" xfId="8875" xr:uid="{00000000-0005-0000-0000-000092310000}"/>
    <cellStyle name="Normal 13 4 4 3 3 6" xfId="8876" xr:uid="{00000000-0005-0000-0000-000093310000}"/>
    <cellStyle name="Normal 13 4 4 3 4" xfId="8877" xr:uid="{00000000-0005-0000-0000-000094310000}"/>
    <cellStyle name="Normal 13 4 4 3 4 2" xfId="49836" xr:uid="{00000000-0005-0000-0000-000095310000}"/>
    <cellStyle name="Normal 13 4 4 3 4 3" xfId="49837" xr:uid="{00000000-0005-0000-0000-000096310000}"/>
    <cellStyle name="Normal 13 4 4 3 5" xfId="8878" xr:uid="{00000000-0005-0000-0000-000097310000}"/>
    <cellStyle name="Normal 13 4 4 3 5 2" xfId="49838" xr:uid="{00000000-0005-0000-0000-000098310000}"/>
    <cellStyle name="Normal 13 4 4 3 6" xfId="8879" xr:uid="{00000000-0005-0000-0000-000099310000}"/>
    <cellStyle name="Normal 13 4 4 3 7" xfId="8880" xr:uid="{00000000-0005-0000-0000-00009A310000}"/>
    <cellStyle name="Normal 13 4 4 3 8" xfId="8881" xr:uid="{00000000-0005-0000-0000-00009B310000}"/>
    <cellStyle name="Normal 13 4 4 4" xfId="8882" xr:uid="{00000000-0005-0000-0000-00009C310000}"/>
    <cellStyle name="Normal 13 4 4 4 2" xfId="8883" xr:uid="{00000000-0005-0000-0000-00009D310000}"/>
    <cellStyle name="Normal 13 4 4 4 2 2" xfId="8884" xr:uid="{00000000-0005-0000-0000-00009E310000}"/>
    <cellStyle name="Normal 13 4 4 4 2 2 2" xfId="49839" xr:uid="{00000000-0005-0000-0000-00009F310000}"/>
    <cellStyle name="Normal 13 4 4 4 2 2 3" xfId="49840" xr:uid="{00000000-0005-0000-0000-0000A0310000}"/>
    <cellStyle name="Normal 13 4 4 4 2 3" xfId="8885" xr:uid="{00000000-0005-0000-0000-0000A1310000}"/>
    <cellStyle name="Normal 13 4 4 4 2 3 2" xfId="49841" xr:uid="{00000000-0005-0000-0000-0000A2310000}"/>
    <cellStyle name="Normal 13 4 4 4 2 4" xfId="8886" xr:uid="{00000000-0005-0000-0000-0000A3310000}"/>
    <cellStyle name="Normal 13 4 4 4 2 5" xfId="8887" xr:uid="{00000000-0005-0000-0000-0000A4310000}"/>
    <cellStyle name="Normal 13 4 4 4 2 6" xfId="8888" xr:uid="{00000000-0005-0000-0000-0000A5310000}"/>
    <cellStyle name="Normal 13 4 4 4 3" xfId="8889" xr:uid="{00000000-0005-0000-0000-0000A6310000}"/>
    <cellStyle name="Normal 13 4 4 4 3 2" xfId="49842" xr:uid="{00000000-0005-0000-0000-0000A7310000}"/>
    <cellStyle name="Normal 13 4 4 4 3 3" xfId="49843" xr:uid="{00000000-0005-0000-0000-0000A8310000}"/>
    <cellStyle name="Normal 13 4 4 4 4" xfId="8890" xr:uid="{00000000-0005-0000-0000-0000A9310000}"/>
    <cellStyle name="Normal 13 4 4 4 4 2" xfId="49844" xr:uid="{00000000-0005-0000-0000-0000AA310000}"/>
    <cellStyle name="Normal 13 4 4 4 5" xfId="8891" xr:uid="{00000000-0005-0000-0000-0000AB310000}"/>
    <cellStyle name="Normal 13 4 4 4 6" xfId="8892" xr:uid="{00000000-0005-0000-0000-0000AC310000}"/>
    <cellStyle name="Normal 13 4 4 4 7" xfId="8893" xr:uid="{00000000-0005-0000-0000-0000AD310000}"/>
    <cellStyle name="Normal 13 4 4 5" xfId="8894" xr:uid="{00000000-0005-0000-0000-0000AE310000}"/>
    <cellStyle name="Normal 13 4 4 5 2" xfId="8895" xr:uid="{00000000-0005-0000-0000-0000AF310000}"/>
    <cellStyle name="Normal 13 4 4 5 2 2" xfId="49845" xr:uid="{00000000-0005-0000-0000-0000B0310000}"/>
    <cellStyle name="Normal 13 4 4 5 2 3" xfId="49846" xr:uid="{00000000-0005-0000-0000-0000B1310000}"/>
    <cellStyle name="Normal 13 4 4 5 3" xfId="8896" xr:uid="{00000000-0005-0000-0000-0000B2310000}"/>
    <cellStyle name="Normal 13 4 4 5 3 2" xfId="49847" xr:uid="{00000000-0005-0000-0000-0000B3310000}"/>
    <cellStyle name="Normal 13 4 4 5 4" xfId="8897" xr:uid="{00000000-0005-0000-0000-0000B4310000}"/>
    <cellStyle name="Normal 13 4 4 5 5" xfId="8898" xr:uid="{00000000-0005-0000-0000-0000B5310000}"/>
    <cellStyle name="Normal 13 4 4 5 6" xfId="8899" xr:uid="{00000000-0005-0000-0000-0000B6310000}"/>
    <cellStyle name="Normal 13 4 4 6" xfId="8900" xr:uid="{00000000-0005-0000-0000-0000B7310000}"/>
    <cellStyle name="Normal 13 4 4 6 2" xfId="49848" xr:uid="{00000000-0005-0000-0000-0000B8310000}"/>
    <cellStyle name="Normal 13 4 4 6 3" xfId="49849" xr:uid="{00000000-0005-0000-0000-0000B9310000}"/>
    <cellStyle name="Normal 13 4 4 7" xfId="8901" xr:uid="{00000000-0005-0000-0000-0000BA310000}"/>
    <cellStyle name="Normal 13 4 4 7 2" xfId="49850" xr:uid="{00000000-0005-0000-0000-0000BB310000}"/>
    <cellStyle name="Normal 13 4 4 8" xfId="8902" xr:uid="{00000000-0005-0000-0000-0000BC310000}"/>
    <cellStyle name="Normal 13 4 4 9" xfId="8903" xr:uid="{00000000-0005-0000-0000-0000BD310000}"/>
    <cellStyle name="Normal 13 4 5" xfId="8904" xr:uid="{00000000-0005-0000-0000-0000BE310000}"/>
    <cellStyle name="Normal 13 4 5 10" xfId="8905" xr:uid="{00000000-0005-0000-0000-0000BF310000}"/>
    <cellStyle name="Normal 13 4 5 11" xfId="8906" xr:uid="{00000000-0005-0000-0000-0000C0310000}"/>
    <cellStyle name="Normal 13 4 5 12" xfId="8907" xr:uid="{00000000-0005-0000-0000-0000C1310000}"/>
    <cellStyle name="Normal 13 4 5 13" xfId="8908" xr:uid="{00000000-0005-0000-0000-0000C2310000}"/>
    <cellStyle name="Normal 13 4 5 14" xfId="8909" xr:uid="{00000000-0005-0000-0000-0000C3310000}"/>
    <cellStyle name="Normal 13 4 5 2" xfId="8910" xr:uid="{00000000-0005-0000-0000-0000C4310000}"/>
    <cellStyle name="Normal 13 4 5 2 2" xfId="8911" xr:uid="{00000000-0005-0000-0000-0000C5310000}"/>
    <cellStyle name="Normal 13 4 5 2 2 2" xfId="8912" xr:uid="{00000000-0005-0000-0000-0000C6310000}"/>
    <cellStyle name="Normal 13 4 5 2 2 2 2" xfId="8913" xr:uid="{00000000-0005-0000-0000-0000C7310000}"/>
    <cellStyle name="Normal 13 4 5 2 2 2 2 2" xfId="49851" xr:uid="{00000000-0005-0000-0000-0000C8310000}"/>
    <cellStyle name="Normal 13 4 5 2 2 2 2 3" xfId="49852" xr:uid="{00000000-0005-0000-0000-0000C9310000}"/>
    <cellStyle name="Normal 13 4 5 2 2 2 3" xfId="8914" xr:uid="{00000000-0005-0000-0000-0000CA310000}"/>
    <cellStyle name="Normal 13 4 5 2 2 2 3 2" xfId="49853" xr:uid="{00000000-0005-0000-0000-0000CB310000}"/>
    <cellStyle name="Normal 13 4 5 2 2 2 4" xfId="8915" xr:uid="{00000000-0005-0000-0000-0000CC310000}"/>
    <cellStyle name="Normal 13 4 5 2 2 2 5" xfId="8916" xr:uid="{00000000-0005-0000-0000-0000CD310000}"/>
    <cellStyle name="Normal 13 4 5 2 2 2 6" xfId="8917" xr:uid="{00000000-0005-0000-0000-0000CE310000}"/>
    <cellStyle name="Normal 13 4 5 2 2 3" xfId="8918" xr:uid="{00000000-0005-0000-0000-0000CF310000}"/>
    <cellStyle name="Normal 13 4 5 2 2 3 2" xfId="49854" xr:uid="{00000000-0005-0000-0000-0000D0310000}"/>
    <cellStyle name="Normal 13 4 5 2 2 3 3" xfId="49855" xr:uid="{00000000-0005-0000-0000-0000D1310000}"/>
    <cellStyle name="Normal 13 4 5 2 2 4" xfId="8919" xr:uid="{00000000-0005-0000-0000-0000D2310000}"/>
    <cellStyle name="Normal 13 4 5 2 2 4 2" xfId="49856" xr:uid="{00000000-0005-0000-0000-0000D3310000}"/>
    <cellStyle name="Normal 13 4 5 2 2 5" xfId="8920" xr:uid="{00000000-0005-0000-0000-0000D4310000}"/>
    <cellStyle name="Normal 13 4 5 2 2 6" xfId="8921" xr:uid="{00000000-0005-0000-0000-0000D5310000}"/>
    <cellStyle name="Normal 13 4 5 2 2 7" xfId="8922" xr:uid="{00000000-0005-0000-0000-0000D6310000}"/>
    <cellStyle name="Normal 13 4 5 2 3" xfId="8923" xr:uid="{00000000-0005-0000-0000-0000D7310000}"/>
    <cellStyle name="Normal 13 4 5 2 3 2" xfId="8924" xr:uid="{00000000-0005-0000-0000-0000D8310000}"/>
    <cellStyle name="Normal 13 4 5 2 3 2 2" xfId="49857" xr:uid="{00000000-0005-0000-0000-0000D9310000}"/>
    <cellStyle name="Normal 13 4 5 2 3 2 3" xfId="49858" xr:uid="{00000000-0005-0000-0000-0000DA310000}"/>
    <cellStyle name="Normal 13 4 5 2 3 3" xfId="8925" xr:uid="{00000000-0005-0000-0000-0000DB310000}"/>
    <cellStyle name="Normal 13 4 5 2 3 3 2" xfId="49859" xr:uid="{00000000-0005-0000-0000-0000DC310000}"/>
    <cellStyle name="Normal 13 4 5 2 3 4" xfId="8926" xr:uid="{00000000-0005-0000-0000-0000DD310000}"/>
    <cellStyle name="Normal 13 4 5 2 3 5" xfId="8927" xr:uid="{00000000-0005-0000-0000-0000DE310000}"/>
    <cellStyle name="Normal 13 4 5 2 3 6" xfId="8928" xr:uid="{00000000-0005-0000-0000-0000DF310000}"/>
    <cellStyle name="Normal 13 4 5 2 4" xfId="8929" xr:uid="{00000000-0005-0000-0000-0000E0310000}"/>
    <cellStyle name="Normal 13 4 5 2 4 2" xfId="49860" xr:uid="{00000000-0005-0000-0000-0000E1310000}"/>
    <cellStyle name="Normal 13 4 5 2 4 3" xfId="49861" xr:uid="{00000000-0005-0000-0000-0000E2310000}"/>
    <cellStyle name="Normal 13 4 5 2 5" xfId="8930" xr:uid="{00000000-0005-0000-0000-0000E3310000}"/>
    <cellStyle name="Normal 13 4 5 2 5 2" xfId="49862" xr:uid="{00000000-0005-0000-0000-0000E4310000}"/>
    <cellStyle name="Normal 13 4 5 2 6" xfId="8931" xr:uid="{00000000-0005-0000-0000-0000E5310000}"/>
    <cellStyle name="Normal 13 4 5 2 7" xfId="8932" xr:uid="{00000000-0005-0000-0000-0000E6310000}"/>
    <cellStyle name="Normal 13 4 5 2 8" xfId="8933" xr:uid="{00000000-0005-0000-0000-0000E7310000}"/>
    <cellStyle name="Normal 13 4 5 2 9" xfId="8934" xr:uid="{00000000-0005-0000-0000-0000E8310000}"/>
    <cellStyle name="Normal 13 4 5 3" xfId="8935" xr:uid="{00000000-0005-0000-0000-0000E9310000}"/>
    <cellStyle name="Normal 13 4 5 3 2" xfId="8936" xr:uid="{00000000-0005-0000-0000-0000EA310000}"/>
    <cellStyle name="Normal 13 4 5 3 2 2" xfId="8937" xr:uid="{00000000-0005-0000-0000-0000EB310000}"/>
    <cellStyle name="Normal 13 4 5 3 2 2 2" xfId="8938" xr:uid="{00000000-0005-0000-0000-0000EC310000}"/>
    <cellStyle name="Normal 13 4 5 3 2 2 2 2" xfId="49863" xr:uid="{00000000-0005-0000-0000-0000ED310000}"/>
    <cellStyle name="Normal 13 4 5 3 2 2 2 3" xfId="49864" xr:uid="{00000000-0005-0000-0000-0000EE310000}"/>
    <cellStyle name="Normal 13 4 5 3 2 2 3" xfId="8939" xr:uid="{00000000-0005-0000-0000-0000EF310000}"/>
    <cellStyle name="Normal 13 4 5 3 2 2 3 2" xfId="49865" xr:uid="{00000000-0005-0000-0000-0000F0310000}"/>
    <cellStyle name="Normal 13 4 5 3 2 2 4" xfId="8940" xr:uid="{00000000-0005-0000-0000-0000F1310000}"/>
    <cellStyle name="Normal 13 4 5 3 2 2 5" xfId="8941" xr:uid="{00000000-0005-0000-0000-0000F2310000}"/>
    <cellStyle name="Normal 13 4 5 3 2 2 6" xfId="8942" xr:uid="{00000000-0005-0000-0000-0000F3310000}"/>
    <cellStyle name="Normal 13 4 5 3 2 3" xfId="8943" xr:uid="{00000000-0005-0000-0000-0000F4310000}"/>
    <cellStyle name="Normal 13 4 5 3 2 3 2" xfId="49866" xr:uid="{00000000-0005-0000-0000-0000F5310000}"/>
    <cellStyle name="Normal 13 4 5 3 2 3 3" xfId="49867" xr:uid="{00000000-0005-0000-0000-0000F6310000}"/>
    <cellStyle name="Normal 13 4 5 3 2 4" xfId="8944" xr:uid="{00000000-0005-0000-0000-0000F7310000}"/>
    <cellStyle name="Normal 13 4 5 3 2 4 2" xfId="49868" xr:uid="{00000000-0005-0000-0000-0000F8310000}"/>
    <cellStyle name="Normal 13 4 5 3 2 5" xfId="8945" xr:uid="{00000000-0005-0000-0000-0000F9310000}"/>
    <cellStyle name="Normal 13 4 5 3 2 6" xfId="8946" xr:uid="{00000000-0005-0000-0000-0000FA310000}"/>
    <cellStyle name="Normal 13 4 5 3 2 7" xfId="8947" xr:uid="{00000000-0005-0000-0000-0000FB310000}"/>
    <cellStyle name="Normal 13 4 5 3 3" xfId="8948" xr:uid="{00000000-0005-0000-0000-0000FC310000}"/>
    <cellStyle name="Normal 13 4 5 3 3 2" xfId="8949" xr:uid="{00000000-0005-0000-0000-0000FD310000}"/>
    <cellStyle name="Normal 13 4 5 3 3 2 2" xfId="49869" xr:uid="{00000000-0005-0000-0000-0000FE310000}"/>
    <cellStyle name="Normal 13 4 5 3 3 2 3" xfId="49870" xr:uid="{00000000-0005-0000-0000-0000FF310000}"/>
    <cellStyle name="Normal 13 4 5 3 3 3" xfId="8950" xr:uid="{00000000-0005-0000-0000-000000320000}"/>
    <cellStyle name="Normal 13 4 5 3 3 3 2" xfId="49871" xr:uid="{00000000-0005-0000-0000-000001320000}"/>
    <cellStyle name="Normal 13 4 5 3 3 4" xfId="8951" xr:uid="{00000000-0005-0000-0000-000002320000}"/>
    <cellStyle name="Normal 13 4 5 3 3 5" xfId="8952" xr:uid="{00000000-0005-0000-0000-000003320000}"/>
    <cellStyle name="Normal 13 4 5 3 3 6" xfId="8953" xr:uid="{00000000-0005-0000-0000-000004320000}"/>
    <cellStyle name="Normal 13 4 5 3 4" xfId="8954" xr:uid="{00000000-0005-0000-0000-000005320000}"/>
    <cellStyle name="Normal 13 4 5 3 4 2" xfId="49872" xr:uid="{00000000-0005-0000-0000-000006320000}"/>
    <cellStyle name="Normal 13 4 5 3 4 3" xfId="49873" xr:uid="{00000000-0005-0000-0000-000007320000}"/>
    <cellStyle name="Normal 13 4 5 3 5" xfId="8955" xr:uid="{00000000-0005-0000-0000-000008320000}"/>
    <cellStyle name="Normal 13 4 5 3 5 2" xfId="49874" xr:uid="{00000000-0005-0000-0000-000009320000}"/>
    <cellStyle name="Normal 13 4 5 3 6" xfId="8956" xr:uid="{00000000-0005-0000-0000-00000A320000}"/>
    <cellStyle name="Normal 13 4 5 3 7" xfId="8957" xr:uid="{00000000-0005-0000-0000-00000B320000}"/>
    <cellStyle name="Normal 13 4 5 3 8" xfId="8958" xr:uid="{00000000-0005-0000-0000-00000C320000}"/>
    <cellStyle name="Normal 13 4 5 4" xfId="8959" xr:uid="{00000000-0005-0000-0000-00000D320000}"/>
    <cellStyle name="Normal 13 4 5 4 2" xfId="8960" xr:uid="{00000000-0005-0000-0000-00000E320000}"/>
    <cellStyle name="Normal 13 4 5 4 2 2" xfId="8961" xr:uid="{00000000-0005-0000-0000-00000F320000}"/>
    <cellStyle name="Normal 13 4 5 4 2 2 2" xfId="49875" xr:uid="{00000000-0005-0000-0000-000010320000}"/>
    <cellStyle name="Normal 13 4 5 4 2 2 3" xfId="49876" xr:uid="{00000000-0005-0000-0000-000011320000}"/>
    <cellStyle name="Normal 13 4 5 4 2 3" xfId="8962" xr:uid="{00000000-0005-0000-0000-000012320000}"/>
    <cellStyle name="Normal 13 4 5 4 2 3 2" xfId="49877" xr:uid="{00000000-0005-0000-0000-000013320000}"/>
    <cellStyle name="Normal 13 4 5 4 2 4" xfId="8963" xr:uid="{00000000-0005-0000-0000-000014320000}"/>
    <cellStyle name="Normal 13 4 5 4 2 5" xfId="8964" xr:uid="{00000000-0005-0000-0000-000015320000}"/>
    <cellStyle name="Normal 13 4 5 4 2 6" xfId="8965" xr:uid="{00000000-0005-0000-0000-000016320000}"/>
    <cellStyle name="Normal 13 4 5 4 3" xfId="8966" xr:uid="{00000000-0005-0000-0000-000017320000}"/>
    <cellStyle name="Normal 13 4 5 4 3 2" xfId="49878" xr:uid="{00000000-0005-0000-0000-000018320000}"/>
    <cellStyle name="Normal 13 4 5 4 3 3" xfId="49879" xr:uid="{00000000-0005-0000-0000-000019320000}"/>
    <cellStyle name="Normal 13 4 5 4 4" xfId="8967" xr:uid="{00000000-0005-0000-0000-00001A320000}"/>
    <cellStyle name="Normal 13 4 5 4 4 2" xfId="49880" xr:uid="{00000000-0005-0000-0000-00001B320000}"/>
    <cellStyle name="Normal 13 4 5 4 5" xfId="8968" xr:uid="{00000000-0005-0000-0000-00001C320000}"/>
    <cellStyle name="Normal 13 4 5 4 6" xfId="8969" xr:uid="{00000000-0005-0000-0000-00001D320000}"/>
    <cellStyle name="Normal 13 4 5 4 7" xfId="8970" xr:uid="{00000000-0005-0000-0000-00001E320000}"/>
    <cellStyle name="Normal 13 4 5 5" xfId="8971" xr:uid="{00000000-0005-0000-0000-00001F320000}"/>
    <cellStyle name="Normal 13 4 5 5 2" xfId="8972" xr:uid="{00000000-0005-0000-0000-000020320000}"/>
    <cellStyle name="Normal 13 4 5 5 2 2" xfId="49881" xr:uid="{00000000-0005-0000-0000-000021320000}"/>
    <cellStyle name="Normal 13 4 5 5 2 3" xfId="49882" xr:uid="{00000000-0005-0000-0000-000022320000}"/>
    <cellStyle name="Normal 13 4 5 5 3" xfId="8973" xr:uid="{00000000-0005-0000-0000-000023320000}"/>
    <cellStyle name="Normal 13 4 5 5 3 2" xfId="49883" xr:uid="{00000000-0005-0000-0000-000024320000}"/>
    <cellStyle name="Normal 13 4 5 5 4" xfId="8974" xr:uid="{00000000-0005-0000-0000-000025320000}"/>
    <cellStyle name="Normal 13 4 5 5 5" xfId="8975" xr:uid="{00000000-0005-0000-0000-000026320000}"/>
    <cellStyle name="Normal 13 4 5 5 6" xfId="8976" xr:uid="{00000000-0005-0000-0000-000027320000}"/>
    <cellStyle name="Normal 13 4 5 6" xfId="8977" xr:uid="{00000000-0005-0000-0000-000028320000}"/>
    <cellStyle name="Normal 13 4 5 6 2" xfId="49884" xr:uid="{00000000-0005-0000-0000-000029320000}"/>
    <cellStyle name="Normal 13 4 5 6 3" xfId="49885" xr:uid="{00000000-0005-0000-0000-00002A320000}"/>
    <cellStyle name="Normal 13 4 5 7" xfId="8978" xr:uid="{00000000-0005-0000-0000-00002B320000}"/>
    <cellStyle name="Normal 13 4 5 7 2" xfId="49886" xr:uid="{00000000-0005-0000-0000-00002C320000}"/>
    <cellStyle name="Normal 13 4 5 8" xfId="8979" xr:uid="{00000000-0005-0000-0000-00002D320000}"/>
    <cellStyle name="Normal 13 4 5 9" xfId="8980" xr:uid="{00000000-0005-0000-0000-00002E320000}"/>
    <cellStyle name="Normal 13 4 6" xfId="8981" xr:uid="{00000000-0005-0000-0000-00002F320000}"/>
    <cellStyle name="Normal 13 4 6 10" xfId="8982" xr:uid="{00000000-0005-0000-0000-000030320000}"/>
    <cellStyle name="Normal 13 4 6 11" xfId="8983" xr:uid="{00000000-0005-0000-0000-000031320000}"/>
    <cellStyle name="Normal 13 4 6 12" xfId="8984" xr:uid="{00000000-0005-0000-0000-000032320000}"/>
    <cellStyle name="Normal 13 4 6 13" xfId="8985" xr:uid="{00000000-0005-0000-0000-000033320000}"/>
    <cellStyle name="Normal 13 4 6 2" xfId="8986" xr:uid="{00000000-0005-0000-0000-000034320000}"/>
    <cellStyle name="Normal 13 4 6 2 2" xfId="8987" xr:uid="{00000000-0005-0000-0000-000035320000}"/>
    <cellStyle name="Normal 13 4 6 2 2 2" xfId="8988" xr:uid="{00000000-0005-0000-0000-000036320000}"/>
    <cellStyle name="Normal 13 4 6 2 2 2 2" xfId="8989" xr:uid="{00000000-0005-0000-0000-000037320000}"/>
    <cellStyle name="Normal 13 4 6 2 2 2 2 2" xfId="49887" xr:uid="{00000000-0005-0000-0000-000038320000}"/>
    <cellStyle name="Normal 13 4 6 2 2 2 2 3" xfId="49888" xr:uid="{00000000-0005-0000-0000-000039320000}"/>
    <cellStyle name="Normal 13 4 6 2 2 2 3" xfId="8990" xr:uid="{00000000-0005-0000-0000-00003A320000}"/>
    <cellStyle name="Normal 13 4 6 2 2 2 3 2" xfId="49889" xr:uid="{00000000-0005-0000-0000-00003B320000}"/>
    <cellStyle name="Normal 13 4 6 2 2 2 4" xfId="8991" xr:uid="{00000000-0005-0000-0000-00003C320000}"/>
    <cellStyle name="Normal 13 4 6 2 2 2 5" xfId="8992" xr:uid="{00000000-0005-0000-0000-00003D320000}"/>
    <cellStyle name="Normal 13 4 6 2 2 2 6" xfId="8993" xr:uid="{00000000-0005-0000-0000-00003E320000}"/>
    <cellStyle name="Normal 13 4 6 2 2 3" xfId="8994" xr:uid="{00000000-0005-0000-0000-00003F320000}"/>
    <cellStyle name="Normal 13 4 6 2 2 3 2" xfId="49890" xr:uid="{00000000-0005-0000-0000-000040320000}"/>
    <cellStyle name="Normal 13 4 6 2 2 3 3" xfId="49891" xr:uid="{00000000-0005-0000-0000-000041320000}"/>
    <cellStyle name="Normal 13 4 6 2 2 4" xfId="8995" xr:uid="{00000000-0005-0000-0000-000042320000}"/>
    <cellStyle name="Normal 13 4 6 2 2 4 2" xfId="49892" xr:uid="{00000000-0005-0000-0000-000043320000}"/>
    <cellStyle name="Normal 13 4 6 2 2 5" xfId="8996" xr:uid="{00000000-0005-0000-0000-000044320000}"/>
    <cellStyle name="Normal 13 4 6 2 2 6" xfId="8997" xr:uid="{00000000-0005-0000-0000-000045320000}"/>
    <cellStyle name="Normal 13 4 6 2 2 7" xfId="8998" xr:uid="{00000000-0005-0000-0000-000046320000}"/>
    <cellStyle name="Normal 13 4 6 2 3" xfId="8999" xr:uid="{00000000-0005-0000-0000-000047320000}"/>
    <cellStyle name="Normal 13 4 6 2 3 2" xfId="9000" xr:uid="{00000000-0005-0000-0000-000048320000}"/>
    <cellStyle name="Normal 13 4 6 2 3 2 2" xfId="49893" xr:uid="{00000000-0005-0000-0000-000049320000}"/>
    <cellStyle name="Normal 13 4 6 2 3 2 3" xfId="49894" xr:uid="{00000000-0005-0000-0000-00004A320000}"/>
    <cellStyle name="Normal 13 4 6 2 3 3" xfId="9001" xr:uid="{00000000-0005-0000-0000-00004B320000}"/>
    <cellStyle name="Normal 13 4 6 2 3 3 2" xfId="49895" xr:uid="{00000000-0005-0000-0000-00004C320000}"/>
    <cellStyle name="Normal 13 4 6 2 3 4" xfId="9002" xr:uid="{00000000-0005-0000-0000-00004D320000}"/>
    <cellStyle name="Normal 13 4 6 2 3 5" xfId="9003" xr:uid="{00000000-0005-0000-0000-00004E320000}"/>
    <cellStyle name="Normal 13 4 6 2 3 6" xfId="9004" xr:uid="{00000000-0005-0000-0000-00004F320000}"/>
    <cellStyle name="Normal 13 4 6 2 4" xfId="9005" xr:uid="{00000000-0005-0000-0000-000050320000}"/>
    <cellStyle name="Normal 13 4 6 2 4 2" xfId="49896" xr:uid="{00000000-0005-0000-0000-000051320000}"/>
    <cellStyle name="Normal 13 4 6 2 4 3" xfId="49897" xr:uid="{00000000-0005-0000-0000-000052320000}"/>
    <cellStyle name="Normal 13 4 6 2 5" xfId="9006" xr:uid="{00000000-0005-0000-0000-000053320000}"/>
    <cellStyle name="Normal 13 4 6 2 5 2" xfId="49898" xr:uid="{00000000-0005-0000-0000-000054320000}"/>
    <cellStyle name="Normal 13 4 6 2 6" xfId="9007" xr:uid="{00000000-0005-0000-0000-000055320000}"/>
    <cellStyle name="Normal 13 4 6 2 7" xfId="9008" xr:uid="{00000000-0005-0000-0000-000056320000}"/>
    <cellStyle name="Normal 13 4 6 2 8" xfId="9009" xr:uid="{00000000-0005-0000-0000-000057320000}"/>
    <cellStyle name="Normal 13 4 6 2 9" xfId="9010" xr:uid="{00000000-0005-0000-0000-000058320000}"/>
    <cellStyle name="Normal 13 4 6 3" xfId="9011" xr:uid="{00000000-0005-0000-0000-000059320000}"/>
    <cellStyle name="Normal 13 4 6 3 2" xfId="9012" xr:uid="{00000000-0005-0000-0000-00005A320000}"/>
    <cellStyle name="Normal 13 4 6 3 2 2" xfId="9013" xr:uid="{00000000-0005-0000-0000-00005B320000}"/>
    <cellStyle name="Normal 13 4 6 3 2 2 2" xfId="49899" xr:uid="{00000000-0005-0000-0000-00005C320000}"/>
    <cellStyle name="Normal 13 4 6 3 2 2 3" xfId="49900" xr:uid="{00000000-0005-0000-0000-00005D320000}"/>
    <cellStyle name="Normal 13 4 6 3 2 3" xfId="9014" xr:uid="{00000000-0005-0000-0000-00005E320000}"/>
    <cellStyle name="Normal 13 4 6 3 2 3 2" xfId="49901" xr:uid="{00000000-0005-0000-0000-00005F320000}"/>
    <cellStyle name="Normal 13 4 6 3 2 4" xfId="9015" xr:uid="{00000000-0005-0000-0000-000060320000}"/>
    <cellStyle name="Normal 13 4 6 3 2 5" xfId="9016" xr:uid="{00000000-0005-0000-0000-000061320000}"/>
    <cellStyle name="Normal 13 4 6 3 2 6" xfId="9017" xr:uid="{00000000-0005-0000-0000-000062320000}"/>
    <cellStyle name="Normal 13 4 6 3 3" xfId="9018" xr:uid="{00000000-0005-0000-0000-000063320000}"/>
    <cellStyle name="Normal 13 4 6 3 3 2" xfId="49902" xr:uid="{00000000-0005-0000-0000-000064320000}"/>
    <cellStyle name="Normal 13 4 6 3 3 3" xfId="49903" xr:uid="{00000000-0005-0000-0000-000065320000}"/>
    <cellStyle name="Normal 13 4 6 3 4" xfId="9019" xr:uid="{00000000-0005-0000-0000-000066320000}"/>
    <cellStyle name="Normal 13 4 6 3 4 2" xfId="49904" xr:uid="{00000000-0005-0000-0000-000067320000}"/>
    <cellStyle name="Normal 13 4 6 3 5" xfId="9020" xr:uid="{00000000-0005-0000-0000-000068320000}"/>
    <cellStyle name="Normal 13 4 6 3 6" xfId="9021" xr:uid="{00000000-0005-0000-0000-000069320000}"/>
    <cellStyle name="Normal 13 4 6 3 7" xfId="9022" xr:uid="{00000000-0005-0000-0000-00006A320000}"/>
    <cellStyle name="Normal 13 4 6 4" xfId="9023" xr:uid="{00000000-0005-0000-0000-00006B320000}"/>
    <cellStyle name="Normal 13 4 6 4 2" xfId="9024" xr:uid="{00000000-0005-0000-0000-00006C320000}"/>
    <cellStyle name="Normal 13 4 6 4 2 2" xfId="49905" xr:uid="{00000000-0005-0000-0000-00006D320000}"/>
    <cellStyle name="Normal 13 4 6 4 2 3" xfId="49906" xr:uid="{00000000-0005-0000-0000-00006E320000}"/>
    <cellStyle name="Normal 13 4 6 4 3" xfId="9025" xr:uid="{00000000-0005-0000-0000-00006F320000}"/>
    <cellStyle name="Normal 13 4 6 4 3 2" xfId="49907" xr:uid="{00000000-0005-0000-0000-000070320000}"/>
    <cellStyle name="Normal 13 4 6 4 4" xfId="9026" xr:uid="{00000000-0005-0000-0000-000071320000}"/>
    <cellStyle name="Normal 13 4 6 4 5" xfId="9027" xr:uid="{00000000-0005-0000-0000-000072320000}"/>
    <cellStyle name="Normal 13 4 6 4 6" xfId="9028" xr:uid="{00000000-0005-0000-0000-000073320000}"/>
    <cellStyle name="Normal 13 4 6 5" xfId="9029" xr:uid="{00000000-0005-0000-0000-000074320000}"/>
    <cellStyle name="Normal 13 4 6 5 2" xfId="49908" xr:uid="{00000000-0005-0000-0000-000075320000}"/>
    <cellStyle name="Normal 13 4 6 5 3" xfId="49909" xr:uid="{00000000-0005-0000-0000-000076320000}"/>
    <cellStyle name="Normal 13 4 6 6" xfId="9030" xr:uid="{00000000-0005-0000-0000-000077320000}"/>
    <cellStyle name="Normal 13 4 6 6 2" xfId="49910" xr:uid="{00000000-0005-0000-0000-000078320000}"/>
    <cellStyle name="Normal 13 4 6 7" xfId="9031" xr:uid="{00000000-0005-0000-0000-000079320000}"/>
    <cellStyle name="Normal 13 4 6 8" xfId="9032" xr:uid="{00000000-0005-0000-0000-00007A320000}"/>
    <cellStyle name="Normal 13 4 6 9" xfId="9033" xr:uid="{00000000-0005-0000-0000-00007B320000}"/>
    <cellStyle name="Normal 13 4 7" xfId="9034" xr:uid="{00000000-0005-0000-0000-00007C320000}"/>
    <cellStyle name="Normal 13 4 7 2" xfId="9035" xr:uid="{00000000-0005-0000-0000-00007D320000}"/>
    <cellStyle name="Normal 13 4 7 2 2" xfId="9036" xr:uid="{00000000-0005-0000-0000-00007E320000}"/>
    <cellStyle name="Normal 13 4 7 2 2 2" xfId="9037" xr:uid="{00000000-0005-0000-0000-00007F320000}"/>
    <cellStyle name="Normal 13 4 7 2 2 2 2" xfId="49911" xr:uid="{00000000-0005-0000-0000-000080320000}"/>
    <cellStyle name="Normal 13 4 7 2 2 2 3" xfId="49912" xr:uid="{00000000-0005-0000-0000-000081320000}"/>
    <cellStyle name="Normal 13 4 7 2 2 3" xfId="9038" xr:uid="{00000000-0005-0000-0000-000082320000}"/>
    <cellStyle name="Normal 13 4 7 2 2 3 2" xfId="49913" xr:uid="{00000000-0005-0000-0000-000083320000}"/>
    <cellStyle name="Normal 13 4 7 2 2 4" xfId="9039" xr:uid="{00000000-0005-0000-0000-000084320000}"/>
    <cellStyle name="Normal 13 4 7 2 2 5" xfId="9040" xr:uid="{00000000-0005-0000-0000-000085320000}"/>
    <cellStyle name="Normal 13 4 7 2 2 6" xfId="9041" xr:uid="{00000000-0005-0000-0000-000086320000}"/>
    <cellStyle name="Normal 13 4 7 2 3" xfId="9042" xr:uid="{00000000-0005-0000-0000-000087320000}"/>
    <cellStyle name="Normal 13 4 7 2 3 2" xfId="49914" xr:uid="{00000000-0005-0000-0000-000088320000}"/>
    <cellStyle name="Normal 13 4 7 2 3 3" xfId="49915" xr:uid="{00000000-0005-0000-0000-000089320000}"/>
    <cellStyle name="Normal 13 4 7 2 4" xfId="9043" xr:uid="{00000000-0005-0000-0000-00008A320000}"/>
    <cellStyle name="Normal 13 4 7 2 4 2" xfId="49916" xr:uid="{00000000-0005-0000-0000-00008B320000}"/>
    <cellStyle name="Normal 13 4 7 2 5" xfId="9044" xr:uid="{00000000-0005-0000-0000-00008C320000}"/>
    <cellStyle name="Normal 13 4 7 2 6" xfId="9045" xr:uid="{00000000-0005-0000-0000-00008D320000}"/>
    <cellStyle name="Normal 13 4 7 2 7" xfId="9046" xr:uid="{00000000-0005-0000-0000-00008E320000}"/>
    <cellStyle name="Normal 13 4 7 3" xfId="9047" xr:uid="{00000000-0005-0000-0000-00008F320000}"/>
    <cellStyle name="Normal 13 4 7 3 2" xfId="9048" xr:uid="{00000000-0005-0000-0000-000090320000}"/>
    <cellStyle name="Normal 13 4 7 3 2 2" xfId="49917" xr:uid="{00000000-0005-0000-0000-000091320000}"/>
    <cellStyle name="Normal 13 4 7 3 2 3" xfId="49918" xr:uid="{00000000-0005-0000-0000-000092320000}"/>
    <cellStyle name="Normal 13 4 7 3 3" xfId="9049" xr:uid="{00000000-0005-0000-0000-000093320000}"/>
    <cellStyle name="Normal 13 4 7 3 3 2" xfId="49919" xr:uid="{00000000-0005-0000-0000-000094320000}"/>
    <cellStyle name="Normal 13 4 7 3 4" xfId="9050" xr:uid="{00000000-0005-0000-0000-000095320000}"/>
    <cellStyle name="Normal 13 4 7 3 5" xfId="9051" xr:uid="{00000000-0005-0000-0000-000096320000}"/>
    <cellStyle name="Normal 13 4 7 3 6" xfId="9052" xr:uid="{00000000-0005-0000-0000-000097320000}"/>
    <cellStyle name="Normal 13 4 7 4" xfId="9053" xr:uid="{00000000-0005-0000-0000-000098320000}"/>
    <cellStyle name="Normal 13 4 7 4 2" xfId="49920" xr:uid="{00000000-0005-0000-0000-000099320000}"/>
    <cellStyle name="Normal 13 4 7 4 3" xfId="49921" xr:uid="{00000000-0005-0000-0000-00009A320000}"/>
    <cellStyle name="Normal 13 4 7 5" xfId="9054" xr:uid="{00000000-0005-0000-0000-00009B320000}"/>
    <cellStyle name="Normal 13 4 7 5 2" xfId="49922" xr:uid="{00000000-0005-0000-0000-00009C320000}"/>
    <cellStyle name="Normal 13 4 7 6" xfId="9055" xr:uid="{00000000-0005-0000-0000-00009D320000}"/>
    <cellStyle name="Normal 13 4 7 7" xfId="9056" xr:uid="{00000000-0005-0000-0000-00009E320000}"/>
    <cellStyle name="Normal 13 4 7 8" xfId="9057" xr:uid="{00000000-0005-0000-0000-00009F320000}"/>
    <cellStyle name="Normal 13 4 7 9" xfId="9058" xr:uid="{00000000-0005-0000-0000-0000A0320000}"/>
    <cellStyle name="Normal 13 4 8" xfId="9059" xr:uid="{00000000-0005-0000-0000-0000A1320000}"/>
    <cellStyle name="Normal 13 4 8 2" xfId="9060" xr:uid="{00000000-0005-0000-0000-0000A2320000}"/>
    <cellStyle name="Normal 13 4 8 2 2" xfId="9061" xr:uid="{00000000-0005-0000-0000-0000A3320000}"/>
    <cellStyle name="Normal 13 4 8 2 2 2" xfId="9062" xr:uid="{00000000-0005-0000-0000-0000A4320000}"/>
    <cellStyle name="Normal 13 4 8 2 2 2 2" xfId="49923" xr:uid="{00000000-0005-0000-0000-0000A5320000}"/>
    <cellStyle name="Normal 13 4 8 2 2 2 3" xfId="49924" xr:uid="{00000000-0005-0000-0000-0000A6320000}"/>
    <cellStyle name="Normal 13 4 8 2 2 3" xfId="9063" xr:uid="{00000000-0005-0000-0000-0000A7320000}"/>
    <cellStyle name="Normal 13 4 8 2 2 3 2" xfId="49925" xr:uid="{00000000-0005-0000-0000-0000A8320000}"/>
    <cellStyle name="Normal 13 4 8 2 2 4" xfId="9064" xr:uid="{00000000-0005-0000-0000-0000A9320000}"/>
    <cellStyle name="Normal 13 4 8 2 2 5" xfId="9065" xr:uid="{00000000-0005-0000-0000-0000AA320000}"/>
    <cellStyle name="Normal 13 4 8 2 2 6" xfId="9066" xr:uid="{00000000-0005-0000-0000-0000AB320000}"/>
    <cellStyle name="Normal 13 4 8 2 3" xfId="9067" xr:uid="{00000000-0005-0000-0000-0000AC320000}"/>
    <cellStyle name="Normal 13 4 8 2 3 2" xfId="49926" xr:uid="{00000000-0005-0000-0000-0000AD320000}"/>
    <cellStyle name="Normal 13 4 8 2 3 3" xfId="49927" xr:uid="{00000000-0005-0000-0000-0000AE320000}"/>
    <cellStyle name="Normal 13 4 8 2 4" xfId="9068" xr:uid="{00000000-0005-0000-0000-0000AF320000}"/>
    <cellStyle name="Normal 13 4 8 2 4 2" xfId="49928" xr:uid="{00000000-0005-0000-0000-0000B0320000}"/>
    <cellStyle name="Normal 13 4 8 2 5" xfId="9069" xr:uid="{00000000-0005-0000-0000-0000B1320000}"/>
    <cellStyle name="Normal 13 4 8 2 6" xfId="9070" xr:uid="{00000000-0005-0000-0000-0000B2320000}"/>
    <cellStyle name="Normal 13 4 8 2 7" xfId="9071" xr:uid="{00000000-0005-0000-0000-0000B3320000}"/>
    <cellStyle name="Normal 13 4 8 3" xfId="9072" xr:uid="{00000000-0005-0000-0000-0000B4320000}"/>
    <cellStyle name="Normal 13 4 8 3 2" xfId="9073" xr:uid="{00000000-0005-0000-0000-0000B5320000}"/>
    <cellStyle name="Normal 13 4 8 3 2 2" xfId="49929" xr:uid="{00000000-0005-0000-0000-0000B6320000}"/>
    <cellStyle name="Normal 13 4 8 3 2 3" xfId="49930" xr:uid="{00000000-0005-0000-0000-0000B7320000}"/>
    <cellStyle name="Normal 13 4 8 3 3" xfId="9074" xr:uid="{00000000-0005-0000-0000-0000B8320000}"/>
    <cellStyle name="Normal 13 4 8 3 3 2" xfId="49931" xr:uid="{00000000-0005-0000-0000-0000B9320000}"/>
    <cellStyle name="Normal 13 4 8 3 4" xfId="9075" xr:uid="{00000000-0005-0000-0000-0000BA320000}"/>
    <cellStyle name="Normal 13 4 8 3 5" xfId="9076" xr:uid="{00000000-0005-0000-0000-0000BB320000}"/>
    <cellStyle name="Normal 13 4 8 3 6" xfId="9077" xr:uid="{00000000-0005-0000-0000-0000BC320000}"/>
    <cellStyle name="Normal 13 4 8 4" xfId="9078" xr:uid="{00000000-0005-0000-0000-0000BD320000}"/>
    <cellStyle name="Normal 13 4 8 4 2" xfId="49932" xr:uid="{00000000-0005-0000-0000-0000BE320000}"/>
    <cellStyle name="Normal 13 4 8 4 3" xfId="49933" xr:uid="{00000000-0005-0000-0000-0000BF320000}"/>
    <cellStyle name="Normal 13 4 8 5" xfId="9079" xr:uid="{00000000-0005-0000-0000-0000C0320000}"/>
    <cellStyle name="Normal 13 4 8 5 2" xfId="49934" xr:uid="{00000000-0005-0000-0000-0000C1320000}"/>
    <cellStyle name="Normal 13 4 8 6" xfId="9080" xr:uid="{00000000-0005-0000-0000-0000C2320000}"/>
    <cellStyle name="Normal 13 4 8 7" xfId="9081" xr:uid="{00000000-0005-0000-0000-0000C3320000}"/>
    <cellStyle name="Normal 13 4 8 8" xfId="9082" xr:uid="{00000000-0005-0000-0000-0000C4320000}"/>
    <cellStyle name="Normal 13 4 9" xfId="9083" xr:uid="{00000000-0005-0000-0000-0000C5320000}"/>
    <cellStyle name="Normal 13 4 9 2" xfId="9084" xr:uid="{00000000-0005-0000-0000-0000C6320000}"/>
    <cellStyle name="Normal 13 4 9 2 2" xfId="9085" xr:uid="{00000000-0005-0000-0000-0000C7320000}"/>
    <cellStyle name="Normal 13 4 9 2 2 2" xfId="9086" xr:uid="{00000000-0005-0000-0000-0000C8320000}"/>
    <cellStyle name="Normal 13 4 9 2 2 2 2" xfId="49935" xr:uid="{00000000-0005-0000-0000-0000C9320000}"/>
    <cellStyle name="Normal 13 4 9 2 2 2 3" xfId="49936" xr:uid="{00000000-0005-0000-0000-0000CA320000}"/>
    <cellStyle name="Normal 13 4 9 2 2 3" xfId="9087" xr:uid="{00000000-0005-0000-0000-0000CB320000}"/>
    <cellStyle name="Normal 13 4 9 2 2 3 2" xfId="49937" xr:uid="{00000000-0005-0000-0000-0000CC320000}"/>
    <cellStyle name="Normal 13 4 9 2 2 4" xfId="9088" xr:uid="{00000000-0005-0000-0000-0000CD320000}"/>
    <cellStyle name="Normal 13 4 9 2 2 5" xfId="9089" xr:uid="{00000000-0005-0000-0000-0000CE320000}"/>
    <cellStyle name="Normal 13 4 9 2 2 6" xfId="9090" xr:uid="{00000000-0005-0000-0000-0000CF320000}"/>
    <cellStyle name="Normal 13 4 9 2 3" xfId="9091" xr:uid="{00000000-0005-0000-0000-0000D0320000}"/>
    <cellStyle name="Normal 13 4 9 2 3 2" xfId="49938" xr:uid="{00000000-0005-0000-0000-0000D1320000}"/>
    <cellStyle name="Normal 13 4 9 2 3 3" xfId="49939" xr:uid="{00000000-0005-0000-0000-0000D2320000}"/>
    <cellStyle name="Normal 13 4 9 2 4" xfId="9092" xr:uid="{00000000-0005-0000-0000-0000D3320000}"/>
    <cellStyle name="Normal 13 4 9 2 4 2" xfId="49940" xr:uid="{00000000-0005-0000-0000-0000D4320000}"/>
    <cellStyle name="Normal 13 4 9 2 5" xfId="9093" xr:uid="{00000000-0005-0000-0000-0000D5320000}"/>
    <cellStyle name="Normal 13 4 9 2 6" xfId="9094" xr:uid="{00000000-0005-0000-0000-0000D6320000}"/>
    <cellStyle name="Normal 13 4 9 2 7" xfId="9095" xr:uid="{00000000-0005-0000-0000-0000D7320000}"/>
    <cellStyle name="Normal 13 4 9 3" xfId="9096" xr:uid="{00000000-0005-0000-0000-0000D8320000}"/>
    <cellStyle name="Normal 13 4 9 3 2" xfId="9097" xr:uid="{00000000-0005-0000-0000-0000D9320000}"/>
    <cellStyle name="Normal 13 4 9 3 2 2" xfId="49941" xr:uid="{00000000-0005-0000-0000-0000DA320000}"/>
    <cellStyle name="Normal 13 4 9 3 2 3" xfId="49942" xr:uid="{00000000-0005-0000-0000-0000DB320000}"/>
    <cellStyle name="Normal 13 4 9 3 3" xfId="9098" xr:uid="{00000000-0005-0000-0000-0000DC320000}"/>
    <cellStyle name="Normal 13 4 9 3 3 2" xfId="49943" xr:uid="{00000000-0005-0000-0000-0000DD320000}"/>
    <cellStyle name="Normal 13 4 9 3 4" xfId="9099" xr:uid="{00000000-0005-0000-0000-0000DE320000}"/>
    <cellStyle name="Normal 13 4 9 3 5" xfId="9100" xr:uid="{00000000-0005-0000-0000-0000DF320000}"/>
    <cellStyle name="Normal 13 4 9 3 6" xfId="9101" xr:uid="{00000000-0005-0000-0000-0000E0320000}"/>
    <cellStyle name="Normal 13 4 9 4" xfId="9102" xr:uid="{00000000-0005-0000-0000-0000E1320000}"/>
    <cellStyle name="Normal 13 4 9 4 2" xfId="49944" xr:uid="{00000000-0005-0000-0000-0000E2320000}"/>
    <cellStyle name="Normal 13 4 9 4 3" xfId="49945" xr:uid="{00000000-0005-0000-0000-0000E3320000}"/>
    <cellStyle name="Normal 13 4 9 5" xfId="9103" xr:uid="{00000000-0005-0000-0000-0000E4320000}"/>
    <cellStyle name="Normal 13 4 9 5 2" xfId="49946" xr:uid="{00000000-0005-0000-0000-0000E5320000}"/>
    <cellStyle name="Normal 13 4 9 6" xfId="9104" xr:uid="{00000000-0005-0000-0000-0000E6320000}"/>
    <cellStyle name="Normal 13 4 9 7" xfId="9105" xr:uid="{00000000-0005-0000-0000-0000E7320000}"/>
    <cellStyle name="Normal 13 4 9 8" xfId="9106" xr:uid="{00000000-0005-0000-0000-0000E8320000}"/>
    <cellStyle name="Normal 13 5" xfId="9107" xr:uid="{00000000-0005-0000-0000-0000E9320000}"/>
    <cellStyle name="Normal 13 5 10" xfId="9108" xr:uid="{00000000-0005-0000-0000-0000EA320000}"/>
    <cellStyle name="Normal 13 5 11" xfId="9109" xr:uid="{00000000-0005-0000-0000-0000EB320000}"/>
    <cellStyle name="Normal 13 5 12" xfId="9110" xr:uid="{00000000-0005-0000-0000-0000EC320000}"/>
    <cellStyle name="Normal 13 5 13" xfId="9111" xr:uid="{00000000-0005-0000-0000-0000ED320000}"/>
    <cellStyle name="Normal 13 5 14" xfId="9112" xr:uid="{00000000-0005-0000-0000-0000EE320000}"/>
    <cellStyle name="Normal 13 5 15" xfId="9113" xr:uid="{00000000-0005-0000-0000-0000EF320000}"/>
    <cellStyle name="Normal 13 5 16" xfId="9114" xr:uid="{00000000-0005-0000-0000-0000F0320000}"/>
    <cellStyle name="Normal 13 5 2" xfId="9115" xr:uid="{00000000-0005-0000-0000-0000F1320000}"/>
    <cellStyle name="Normal 13 5 2 10" xfId="9116" xr:uid="{00000000-0005-0000-0000-0000F2320000}"/>
    <cellStyle name="Normal 13 5 2 11" xfId="9117" xr:uid="{00000000-0005-0000-0000-0000F3320000}"/>
    <cellStyle name="Normal 13 5 2 12" xfId="9118" xr:uid="{00000000-0005-0000-0000-0000F4320000}"/>
    <cellStyle name="Normal 13 5 2 13" xfId="9119" xr:uid="{00000000-0005-0000-0000-0000F5320000}"/>
    <cellStyle name="Normal 13 5 2 14" xfId="9120" xr:uid="{00000000-0005-0000-0000-0000F6320000}"/>
    <cellStyle name="Normal 13 5 2 2" xfId="9121" xr:uid="{00000000-0005-0000-0000-0000F7320000}"/>
    <cellStyle name="Normal 13 5 2 2 2" xfId="9122" xr:uid="{00000000-0005-0000-0000-0000F8320000}"/>
    <cellStyle name="Normal 13 5 2 2 2 2" xfId="9123" xr:uid="{00000000-0005-0000-0000-0000F9320000}"/>
    <cellStyle name="Normal 13 5 2 2 2 2 2" xfId="9124" xr:uid="{00000000-0005-0000-0000-0000FA320000}"/>
    <cellStyle name="Normal 13 5 2 2 2 2 2 2" xfId="49947" xr:uid="{00000000-0005-0000-0000-0000FB320000}"/>
    <cellStyle name="Normal 13 5 2 2 2 2 2 3" xfId="49948" xr:uid="{00000000-0005-0000-0000-0000FC320000}"/>
    <cellStyle name="Normal 13 5 2 2 2 2 3" xfId="9125" xr:uid="{00000000-0005-0000-0000-0000FD320000}"/>
    <cellStyle name="Normal 13 5 2 2 2 2 3 2" xfId="49949" xr:uid="{00000000-0005-0000-0000-0000FE320000}"/>
    <cellStyle name="Normal 13 5 2 2 2 2 4" xfId="9126" xr:uid="{00000000-0005-0000-0000-0000FF320000}"/>
    <cellStyle name="Normal 13 5 2 2 2 2 5" xfId="9127" xr:uid="{00000000-0005-0000-0000-000000330000}"/>
    <cellStyle name="Normal 13 5 2 2 2 2 6" xfId="9128" xr:uid="{00000000-0005-0000-0000-000001330000}"/>
    <cellStyle name="Normal 13 5 2 2 2 3" xfId="9129" xr:uid="{00000000-0005-0000-0000-000002330000}"/>
    <cellStyle name="Normal 13 5 2 2 2 3 2" xfId="49950" xr:uid="{00000000-0005-0000-0000-000003330000}"/>
    <cellStyle name="Normal 13 5 2 2 2 3 3" xfId="49951" xr:uid="{00000000-0005-0000-0000-000004330000}"/>
    <cellStyle name="Normal 13 5 2 2 2 4" xfId="9130" xr:uid="{00000000-0005-0000-0000-000005330000}"/>
    <cellStyle name="Normal 13 5 2 2 2 4 2" xfId="49952" xr:uid="{00000000-0005-0000-0000-000006330000}"/>
    <cellStyle name="Normal 13 5 2 2 2 5" xfId="9131" xr:uid="{00000000-0005-0000-0000-000007330000}"/>
    <cellStyle name="Normal 13 5 2 2 2 6" xfId="9132" xr:uid="{00000000-0005-0000-0000-000008330000}"/>
    <cellStyle name="Normal 13 5 2 2 2 7" xfId="9133" xr:uid="{00000000-0005-0000-0000-000009330000}"/>
    <cellStyle name="Normal 13 5 2 2 3" xfId="9134" xr:uid="{00000000-0005-0000-0000-00000A330000}"/>
    <cellStyle name="Normal 13 5 2 2 3 2" xfId="9135" xr:uid="{00000000-0005-0000-0000-00000B330000}"/>
    <cellStyle name="Normal 13 5 2 2 3 2 2" xfId="49953" xr:uid="{00000000-0005-0000-0000-00000C330000}"/>
    <cellStyle name="Normal 13 5 2 2 3 2 3" xfId="49954" xr:uid="{00000000-0005-0000-0000-00000D330000}"/>
    <cellStyle name="Normal 13 5 2 2 3 3" xfId="9136" xr:uid="{00000000-0005-0000-0000-00000E330000}"/>
    <cellStyle name="Normal 13 5 2 2 3 3 2" xfId="49955" xr:uid="{00000000-0005-0000-0000-00000F330000}"/>
    <cellStyle name="Normal 13 5 2 2 3 4" xfId="9137" xr:uid="{00000000-0005-0000-0000-000010330000}"/>
    <cellStyle name="Normal 13 5 2 2 3 5" xfId="9138" xr:uid="{00000000-0005-0000-0000-000011330000}"/>
    <cellStyle name="Normal 13 5 2 2 3 6" xfId="9139" xr:uid="{00000000-0005-0000-0000-000012330000}"/>
    <cellStyle name="Normal 13 5 2 2 4" xfId="9140" xr:uid="{00000000-0005-0000-0000-000013330000}"/>
    <cellStyle name="Normal 13 5 2 2 4 2" xfId="49956" xr:uid="{00000000-0005-0000-0000-000014330000}"/>
    <cellStyle name="Normal 13 5 2 2 4 3" xfId="49957" xr:uid="{00000000-0005-0000-0000-000015330000}"/>
    <cellStyle name="Normal 13 5 2 2 5" xfId="9141" xr:uid="{00000000-0005-0000-0000-000016330000}"/>
    <cellStyle name="Normal 13 5 2 2 5 2" xfId="49958" xr:uid="{00000000-0005-0000-0000-000017330000}"/>
    <cellStyle name="Normal 13 5 2 2 6" xfId="9142" xr:uid="{00000000-0005-0000-0000-000018330000}"/>
    <cellStyle name="Normal 13 5 2 2 7" xfId="9143" xr:uid="{00000000-0005-0000-0000-000019330000}"/>
    <cellStyle name="Normal 13 5 2 2 8" xfId="9144" xr:uid="{00000000-0005-0000-0000-00001A330000}"/>
    <cellStyle name="Normal 13 5 2 2 9" xfId="9145" xr:uid="{00000000-0005-0000-0000-00001B330000}"/>
    <cellStyle name="Normal 13 5 2 3" xfId="9146" xr:uid="{00000000-0005-0000-0000-00001C330000}"/>
    <cellStyle name="Normal 13 5 2 3 2" xfId="9147" xr:uid="{00000000-0005-0000-0000-00001D330000}"/>
    <cellStyle name="Normal 13 5 2 3 2 2" xfId="9148" xr:uid="{00000000-0005-0000-0000-00001E330000}"/>
    <cellStyle name="Normal 13 5 2 3 2 2 2" xfId="9149" xr:uid="{00000000-0005-0000-0000-00001F330000}"/>
    <cellStyle name="Normal 13 5 2 3 2 2 2 2" xfId="49959" xr:uid="{00000000-0005-0000-0000-000020330000}"/>
    <cellStyle name="Normal 13 5 2 3 2 2 2 3" xfId="49960" xr:uid="{00000000-0005-0000-0000-000021330000}"/>
    <cellStyle name="Normal 13 5 2 3 2 2 3" xfId="9150" xr:uid="{00000000-0005-0000-0000-000022330000}"/>
    <cellStyle name="Normal 13 5 2 3 2 2 3 2" xfId="49961" xr:uid="{00000000-0005-0000-0000-000023330000}"/>
    <cellStyle name="Normal 13 5 2 3 2 2 4" xfId="9151" xr:uid="{00000000-0005-0000-0000-000024330000}"/>
    <cellStyle name="Normal 13 5 2 3 2 2 5" xfId="9152" xr:uid="{00000000-0005-0000-0000-000025330000}"/>
    <cellStyle name="Normal 13 5 2 3 2 2 6" xfId="9153" xr:uid="{00000000-0005-0000-0000-000026330000}"/>
    <cellStyle name="Normal 13 5 2 3 2 3" xfId="9154" xr:uid="{00000000-0005-0000-0000-000027330000}"/>
    <cellStyle name="Normal 13 5 2 3 2 3 2" xfId="49962" xr:uid="{00000000-0005-0000-0000-000028330000}"/>
    <cellStyle name="Normal 13 5 2 3 2 3 3" xfId="49963" xr:uid="{00000000-0005-0000-0000-000029330000}"/>
    <cellStyle name="Normal 13 5 2 3 2 4" xfId="9155" xr:uid="{00000000-0005-0000-0000-00002A330000}"/>
    <cellStyle name="Normal 13 5 2 3 2 4 2" xfId="49964" xr:uid="{00000000-0005-0000-0000-00002B330000}"/>
    <cellStyle name="Normal 13 5 2 3 2 5" xfId="9156" xr:uid="{00000000-0005-0000-0000-00002C330000}"/>
    <cellStyle name="Normal 13 5 2 3 2 6" xfId="9157" xr:uid="{00000000-0005-0000-0000-00002D330000}"/>
    <cellStyle name="Normal 13 5 2 3 2 7" xfId="9158" xr:uid="{00000000-0005-0000-0000-00002E330000}"/>
    <cellStyle name="Normal 13 5 2 3 3" xfId="9159" xr:uid="{00000000-0005-0000-0000-00002F330000}"/>
    <cellStyle name="Normal 13 5 2 3 3 2" xfId="9160" xr:uid="{00000000-0005-0000-0000-000030330000}"/>
    <cellStyle name="Normal 13 5 2 3 3 2 2" xfId="49965" xr:uid="{00000000-0005-0000-0000-000031330000}"/>
    <cellStyle name="Normal 13 5 2 3 3 2 3" xfId="49966" xr:uid="{00000000-0005-0000-0000-000032330000}"/>
    <cellStyle name="Normal 13 5 2 3 3 3" xfId="9161" xr:uid="{00000000-0005-0000-0000-000033330000}"/>
    <cellStyle name="Normal 13 5 2 3 3 3 2" xfId="49967" xr:uid="{00000000-0005-0000-0000-000034330000}"/>
    <cellStyle name="Normal 13 5 2 3 3 4" xfId="9162" xr:uid="{00000000-0005-0000-0000-000035330000}"/>
    <cellStyle name="Normal 13 5 2 3 3 5" xfId="9163" xr:uid="{00000000-0005-0000-0000-000036330000}"/>
    <cellStyle name="Normal 13 5 2 3 3 6" xfId="9164" xr:uid="{00000000-0005-0000-0000-000037330000}"/>
    <cellStyle name="Normal 13 5 2 3 4" xfId="9165" xr:uid="{00000000-0005-0000-0000-000038330000}"/>
    <cellStyle name="Normal 13 5 2 3 4 2" xfId="49968" xr:uid="{00000000-0005-0000-0000-000039330000}"/>
    <cellStyle name="Normal 13 5 2 3 4 3" xfId="49969" xr:uid="{00000000-0005-0000-0000-00003A330000}"/>
    <cellStyle name="Normal 13 5 2 3 5" xfId="9166" xr:uid="{00000000-0005-0000-0000-00003B330000}"/>
    <cellStyle name="Normal 13 5 2 3 5 2" xfId="49970" xr:uid="{00000000-0005-0000-0000-00003C330000}"/>
    <cellStyle name="Normal 13 5 2 3 6" xfId="9167" xr:uid="{00000000-0005-0000-0000-00003D330000}"/>
    <cellStyle name="Normal 13 5 2 3 7" xfId="9168" xr:uid="{00000000-0005-0000-0000-00003E330000}"/>
    <cellStyle name="Normal 13 5 2 3 8" xfId="9169" xr:uid="{00000000-0005-0000-0000-00003F330000}"/>
    <cellStyle name="Normal 13 5 2 4" xfId="9170" xr:uid="{00000000-0005-0000-0000-000040330000}"/>
    <cellStyle name="Normal 13 5 2 4 2" xfId="9171" xr:uid="{00000000-0005-0000-0000-000041330000}"/>
    <cellStyle name="Normal 13 5 2 4 2 2" xfId="9172" xr:uid="{00000000-0005-0000-0000-000042330000}"/>
    <cellStyle name="Normal 13 5 2 4 2 2 2" xfId="49971" xr:uid="{00000000-0005-0000-0000-000043330000}"/>
    <cellStyle name="Normal 13 5 2 4 2 2 3" xfId="49972" xr:uid="{00000000-0005-0000-0000-000044330000}"/>
    <cellStyle name="Normal 13 5 2 4 2 3" xfId="9173" xr:uid="{00000000-0005-0000-0000-000045330000}"/>
    <cellStyle name="Normal 13 5 2 4 2 3 2" xfId="49973" xr:uid="{00000000-0005-0000-0000-000046330000}"/>
    <cellStyle name="Normal 13 5 2 4 2 4" xfId="9174" xr:uid="{00000000-0005-0000-0000-000047330000}"/>
    <cellStyle name="Normal 13 5 2 4 2 5" xfId="9175" xr:uid="{00000000-0005-0000-0000-000048330000}"/>
    <cellStyle name="Normal 13 5 2 4 2 6" xfId="9176" xr:uid="{00000000-0005-0000-0000-000049330000}"/>
    <cellStyle name="Normal 13 5 2 4 3" xfId="9177" xr:uid="{00000000-0005-0000-0000-00004A330000}"/>
    <cellStyle name="Normal 13 5 2 4 3 2" xfId="49974" xr:uid="{00000000-0005-0000-0000-00004B330000}"/>
    <cellStyle name="Normal 13 5 2 4 3 3" xfId="49975" xr:uid="{00000000-0005-0000-0000-00004C330000}"/>
    <cellStyle name="Normal 13 5 2 4 4" xfId="9178" xr:uid="{00000000-0005-0000-0000-00004D330000}"/>
    <cellStyle name="Normal 13 5 2 4 4 2" xfId="49976" xr:uid="{00000000-0005-0000-0000-00004E330000}"/>
    <cellStyle name="Normal 13 5 2 4 5" xfId="9179" xr:uid="{00000000-0005-0000-0000-00004F330000}"/>
    <cellStyle name="Normal 13 5 2 4 6" xfId="9180" xr:uid="{00000000-0005-0000-0000-000050330000}"/>
    <cellStyle name="Normal 13 5 2 4 7" xfId="9181" xr:uid="{00000000-0005-0000-0000-000051330000}"/>
    <cellStyle name="Normal 13 5 2 5" xfId="9182" xr:uid="{00000000-0005-0000-0000-000052330000}"/>
    <cellStyle name="Normal 13 5 2 5 2" xfId="9183" xr:uid="{00000000-0005-0000-0000-000053330000}"/>
    <cellStyle name="Normal 13 5 2 5 2 2" xfId="49977" xr:uid="{00000000-0005-0000-0000-000054330000}"/>
    <cellStyle name="Normal 13 5 2 5 2 3" xfId="49978" xr:uid="{00000000-0005-0000-0000-000055330000}"/>
    <cellStyle name="Normal 13 5 2 5 3" xfId="9184" xr:uid="{00000000-0005-0000-0000-000056330000}"/>
    <cellStyle name="Normal 13 5 2 5 3 2" xfId="49979" xr:uid="{00000000-0005-0000-0000-000057330000}"/>
    <cellStyle name="Normal 13 5 2 5 4" xfId="9185" xr:uid="{00000000-0005-0000-0000-000058330000}"/>
    <cellStyle name="Normal 13 5 2 5 5" xfId="9186" xr:uid="{00000000-0005-0000-0000-000059330000}"/>
    <cellStyle name="Normal 13 5 2 5 6" xfId="9187" xr:uid="{00000000-0005-0000-0000-00005A330000}"/>
    <cellStyle name="Normal 13 5 2 6" xfId="9188" xr:uid="{00000000-0005-0000-0000-00005B330000}"/>
    <cellStyle name="Normal 13 5 2 6 2" xfId="49980" xr:uid="{00000000-0005-0000-0000-00005C330000}"/>
    <cellStyle name="Normal 13 5 2 6 3" xfId="49981" xr:uid="{00000000-0005-0000-0000-00005D330000}"/>
    <cellStyle name="Normal 13 5 2 7" xfId="9189" xr:uid="{00000000-0005-0000-0000-00005E330000}"/>
    <cellStyle name="Normal 13 5 2 7 2" xfId="49982" xr:uid="{00000000-0005-0000-0000-00005F330000}"/>
    <cellStyle name="Normal 13 5 2 8" xfId="9190" xr:uid="{00000000-0005-0000-0000-000060330000}"/>
    <cellStyle name="Normal 13 5 2 9" xfId="9191" xr:uid="{00000000-0005-0000-0000-000061330000}"/>
    <cellStyle name="Normal 13 5 3" xfId="9192" xr:uid="{00000000-0005-0000-0000-000062330000}"/>
    <cellStyle name="Normal 13 5 3 2" xfId="9193" xr:uid="{00000000-0005-0000-0000-000063330000}"/>
    <cellStyle name="Normal 13 5 3 2 2" xfId="9194" xr:uid="{00000000-0005-0000-0000-000064330000}"/>
    <cellStyle name="Normal 13 5 3 2 2 2" xfId="9195" xr:uid="{00000000-0005-0000-0000-000065330000}"/>
    <cellStyle name="Normal 13 5 3 2 2 2 2" xfId="49983" xr:uid="{00000000-0005-0000-0000-000066330000}"/>
    <cellStyle name="Normal 13 5 3 2 2 2 3" xfId="49984" xr:uid="{00000000-0005-0000-0000-000067330000}"/>
    <cellStyle name="Normal 13 5 3 2 2 3" xfId="9196" xr:uid="{00000000-0005-0000-0000-000068330000}"/>
    <cellStyle name="Normal 13 5 3 2 2 3 2" xfId="49985" xr:uid="{00000000-0005-0000-0000-000069330000}"/>
    <cellStyle name="Normal 13 5 3 2 2 4" xfId="9197" xr:uid="{00000000-0005-0000-0000-00006A330000}"/>
    <cellStyle name="Normal 13 5 3 2 2 5" xfId="9198" xr:uid="{00000000-0005-0000-0000-00006B330000}"/>
    <cellStyle name="Normal 13 5 3 2 2 6" xfId="9199" xr:uid="{00000000-0005-0000-0000-00006C330000}"/>
    <cellStyle name="Normal 13 5 3 2 3" xfId="9200" xr:uid="{00000000-0005-0000-0000-00006D330000}"/>
    <cellStyle name="Normal 13 5 3 2 3 2" xfId="49986" xr:uid="{00000000-0005-0000-0000-00006E330000}"/>
    <cellStyle name="Normal 13 5 3 2 3 3" xfId="49987" xr:uid="{00000000-0005-0000-0000-00006F330000}"/>
    <cellStyle name="Normal 13 5 3 2 4" xfId="9201" xr:uid="{00000000-0005-0000-0000-000070330000}"/>
    <cellStyle name="Normal 13 5 3 2 4 2" xfId="49988" xr:uid="{00000000-0005-0000-0000-000071330000}"/>
    <cellStyle name="Normal 13 5 3 2 5" xfId="9202" xr:uid="{00000000-0005-0000-0000-000072330000}"/>
    <cellStyle name="Normal 13 5 3 2 6" xfId="9203" xr:uid="{00000000-0005-0000-0000-000073330000}"/>
    <cellStyle name="Normal 13 5 3 2 7" xfId="9204" xr:uid="{00000000-0005-0000-0000-000074330000}"/>
    <cellStyle name="Normal 13 5 3 3" xfId="9205" xr:uid="{00000000-0005-0000-0000-000075330000}"/>
    <cellStyle name="Normal 13 5 3 3 2" xfId="9206" xr:uid="{00000000-0005-0000-0000-000076330000}"/>
    <cellStyle name="Normal 13 5 3 3 2 2" xfId="49989" xr:uid="{00000000-0005-0000-0000-000077330000}"/>
    <cellStyle name="Normal 13 5 3 3 2 3" xfId="49990" xr:uid="{00000000-0005-0000-0000-000078330000}"/>
    <cellStyle name="Normal 13 5 3 3 3" xfId="9207" xr:uid="{00000000-0005-0000-0000-000079330000}"/>
    <cellStyle name="Normal 13 5 3 3 3 2" xfId="49991" xr:uid="{00000000-0005-0000-0000-00007A330000}"/>
    <cellStyle name="Normal 13 5 3 3 4" xfId="9208" xr:uid="{00000000-0005-0000-0000-00007B330000}"/>
    <cellStyle name="Normal 13 5 3 3 5" xfId="9209" xr:uid="{00000000-0005-0000-0000-00007C330000}"/>
    <cellStyle name="Normal 13 5 3 3 6" xfId="9210" xr:uid="{00000000-0005-0000-0000-00007D330000}"/>
    <cellStyle name="Normal 13 5 3 4" xfId="9211" xr:uid="{00000000-0005-0000-0000-00007E330000}"/>
    <cellStyle name="Normal 13 5 3 4 2" xfId="49992" xr:uid="{00000000-0005-0000-0000-00007F330000}"/>
    <cellStyle name="Normal 13 5 3 4 3" xfId="49993" xr:uid="{00000000-0005-0000-0000-000080330000}"/>
    <cellStyle name="Normal 13 5 3 5" xfId="9212" xr:uid="{00000000-0005-0000-0000-000081330000}"/>
    <cellStyle name="Normal 13 5 3 5 2" xfId="49994" xr:uid="{00000000-0005-0000-0000-000082330000}"/>
    <cellStyle name="Normal 13 5 3 6" xfId="9213" xr:uid="{00000000-0005-0000-0000-000083330000}"/>
    <cellStyle name="Normal 13 5 3 7" xfId="9214" xr:uid="{00000000-0005-0000-0000-000084330000}"/>
    <cellStyle name="Normal 13 5 3 8" xfId="9215" xr:uid="{00000000-0005-0000-0000-000085330000}"/>
    <cellStyle name="Normal 13 5 3 9" xfId="9216" xr:uid="{00000000-0005-0000-0000-000086330000}"/>
    <cellStyle name="Normal 13 5 4" xfId="9217" xr:uid="{00000000-0005-0000-0000-000087330000}"/>
    <cellStyle name="Normal 13 5 4 2" xfId="9218" xr:uid="{00000000-0005-0000-0000-000088330000}"/>
    <cellStyle name="Normal 13 5 4 2 2" xfId="9219" xr:uid="{00000000-0005-0000-0000-000089330000}"/>
    <cellStyle name="Normal 13 5 4 2 2 2" xfId="9220" xr:uid="{00000000-0005-0000-0000-00008A330000}"/>
    <cellStyle name="Normal 13 5 4 2 2 2 2" xfId="49995" xr:uid="{00000000-0005-0000-0000-00008B330000}"/>
    <cellStyle name="Normal 13 5 4 2 2 2 3" xfId="49996" xr:uid="{00000000-0005-0000-0000-00008C330000}"/>
    <cellStyle name="Normal 13 5 4 2 2 3" xfId="9221" xr:uid="{00000000-0005-0000-0000-00008D330000}"/>
    <cellStyle name="Normal 13 5 4 2 2 3 2" xfId="49997" xr:uid="{00000000-0005-0000-0000-00008E330000}"/>
    <cellStyle name="Normal 13 5 4 2 2 4" xfId="9222" xr:uid="{00000000-0005-0000-0000-00008F330000}"/>
    <cellStyle name="Normal 13 5 4 2 2 5" xfId="9223" xr:uid="{00000000-0005-0000-0000-000090330000}"/>
    <cellStyle name="Normal 13 5 4 2 2 6" xfId="9224" xr:uid="{00000000-0005-0000-0000-000091330000}"/>
    <cellStyle name="Normal 13 5 4 2 3" xfId="9225" xr:uid="{00000000-0005-0000-0000-000092330000}"/>
    <cellStyle name="Normal 13 5 4 2 3 2" xfId="49998" xr:uid="{00000000-0005-0000-0000-000093330000}"/>
    <cellStyle name="Normal 13 5 4 2 3 3" xfId="49999" xr:uid="{00000000-0005-0000-0000-000094330000}"/>
    <cellStyle name="Normal 13 5 4 2 4" xfId="9226" xr:uid="{00000000-0005-0000-0000-000095330000}"/>
    <cellStyle name="Normal 13 5 4 2 4 2" xfId="50000" xr:uid="{00000000-0005-0000-0000-000096330000}"/>
    <cellStyle name="Normal 13 5 4 2 5" xfId="9227" xr:uid="{00000000-0005-0000-0000-000097330000}"/>
    <cellStyle name="Normal 13 5 4 2 6" xfId="9228" xr:uid="{00000000-0005-0000-0000-000098330000}"/>
    <cellStyle name="Normal 13 5 4 2 7" xfId="9229" xr:uid="{00000000-0005-0000-0000-000099330000}"/>
    <cellStyle name="Normal 13 5 4 3" xfId="9230" xr:uid="{00000000-0005-0000-0000-00009A330000}"/>
    <cellStyle name="Normal 13 5 4 3 2" xfId="9231" xr:uid="{00000000-0005-0000-0000-00009B330000}"/>
    <cellStyle name="Normal 13 5 4 3 2 2" xfId="50001" xr:uid="{00000000-0005-0000-0000-00009C330000}"/>
    <cellStyle name="Normal 13 5 4 3 2 3" xfId="50002" xr:uid="{00000000-0005-0000-0000-00009D330000}"/>
    <cellStyle name="Normal 13 5 4 3 3" xfId="9232" xr:uid="{00000000-0005-0000-0000-00009E330000}"/>
    <cellStyle name="Normal 13 5 4 3 3 2" xfId="50003" xr:uid="{00000000-0005-0000-0000-00009F330000}"/>
    <cellStyle name="Normal 13 5 4 3 4" xfId="9233" xr:uid="{00000000-0005-0000-0000-0000A0330000}"/>
    <cellStyle name="Normal 13 5 4 3 5" xfId="9234" xr:uid="{00000000-0005-0000-0000-0000A1330000}"/>
    <cellStyle name="Normal 13 5 4 3 6" xfId="9235" xr:uid="{00000000-0005-0000-0000-0000A2330000}"/>
    <cellStyle name="Normal 13 5 4 4" xfId="9236" xr:uid="{00000000-0005-0000-0000-0000A3330000}"/>
    <cellStyle name="Normal 13 5 4 4 2" xfId="50004" xr:uid="{00000000-0005-0000-0000-0000A4330000}"/>
    <cellStyle name="Normal 13 5 4 4 3" xfId="50005" xr:uid="{00000000-0005-0000-0000-0000A5330000}"/>
    <cellStyle name="Normal 13 5 4 5" xfId="9237" xr:uid="{00000000-0005-0000-0000-0000A6330000}"/>
    <cellStyle name="Normal 13 5 4 5 2" xfId="50006" xr:uid="{00000000-0005-0000-0000-0000A7330000}"/>
    <cellStyle name="Normal 13 5 4 6" xfId="9238" xr:uid="{00000000-0005-0000-0000-0000A8330000}"/>
    <cellStyle name="Normal 13 5 4 7" xfId="9239" xr:uid="{00000000-0005-0000-0000-0000A9330000}"/>
    <cellStyle name="Normal 13 5 4 8" xfId="9240" xr:uid="{00000000-0005-0000-0000-0000AA330000}"/>
    <cellStyle name="Normal 13 5 5" xfId="9241" xr:uid="{00000000-0005-0000-0000-0000AB330000}"/>
    <cellStyle name="Normal 13 5 5 2" xfId="9242" xr:uid="{00000000-0005-0000-0000-0000AC330000}"/>
    <cellStyle name="Normal 13 5 5 2 2" xfId="9243" xr:uid="{00000000-0005-0000-0000-0000AD330000}"/>
    <cellStyle name="Normal 13 5 5 2 2 2" xfId="50007" xr:uid="{00000000-0005-0000-0000-0000AE330000}"/>
    <cellStyle name="Normal 13 5 5 2 2 3" xfId="50008" xr:uid="{00000000-0005-0000-0000-0000AF330000}"/>
    <cellStyle name="Normal 13 5 5 2 3" xfId="9244" xr:uid="{00000000-0005-0000-0000-0000B0330000}"/>
    <cellStyle name="Normal 13 5 5 2 3 2" xfId="50009" xr:uid="{00000000-0005-0000-0000-0000B1330000}"/>
    <cellStyle name="Normal 13 5 5 2 4" xfId="9245" xr:uid="{00000000-0005-0000-0000-0000B2330000}"/>
    <cellStyle name="Normal 13 5 5 2 5" xfId="9246" xr:uid="{00000000-0005-0000-0000-0000B3330000}"/>
    <cellStyle name="Normal 13 5 5 2 6" xfId="9247" xr:uid="{00000000-0005-0000-0000-0000B4330000}"/>
    <cellStyle name="Normal 13 5 5 3" xfId="9248" xr:uid="{00000000-0005-0000-0000-0000B5330000}"/>
    <cellStyle name="Normal 13 5 5 3 2" xfId="50010" xr:uid="{00000000-0005-0000-0000-0000B6330000}"/>
    <cellStyle name="Normal 13 5 5 3 3" xfId="50011" xr:uid="{00000000-0005-0000-0000-0000B7330000}"/>
    <cellStyle name="Normal 13 5 5 4" xfId="9249" xr:uid="{00000000-0005-0000-0000-0000B8330000}"/>
    <cellStyle name="Normal 13 5 5 4 2" xfId="50012" xr:uid="{00000000-0005-0000-0000-0000B9330000}"/>
    <cellStyle name="Normal 13 5 5 5" xfId="9250" xr:uid="{00000000-0005-0000-0000-0000BA330000}"/>
    <cellStyle name="Normal 13 5 5 6" xfId="9251" xr:uid="{00000000-0005-0000-0000-0000BB330000}"/>
    <cellStyle name="Normal 13 5 5 7" xfId="9252" xr:uid="{00000000-0005-0000-0000-0000BC330000}"/>
    <cellStyle name="Normal 13 5 6" xfId="9253" xr:uid="{00000000-0005-0000-0000-0000BD330000}"/>
    <cellStyle name="Normal 13 5 6 2" xfId="9254" xr:uid="{00000000-0005-0000-0000-0000BE330000}"/>
    <cellStyle name="Normal 13 5 6 2 2" xfId="50013" xr:uid="{00000000-0005-0000-0000-0000BF330000}"/>
    <cellStyle name="Normal 13 5 6 2 3" xfId="50014" xr:uid="{00000000-0005-0000-0000-0000C0330000}"/>
    <cellStyle name="Normal 13 5 6 3" xfId="9255" xr:uid="{00000000-0005-0000-0000-0000C1330000}"/>
    <cellStyle name="Normal 13 5 6 3 2" xfId="50015" xr:uid="{00000000-0005-0000-0000-0000C2330000}"/>
    <cellStyle name="Normal 13 5 6 4" xfId="9256" xr:uid="{00000000-0005-0000-0000-0000C3330000}"/>
    <cellStyle name="Normal 13 5 6 5" xfId="9257" xr:uid="{00000000-0005-0000-0000-0000C4330000}"/>
    <cellStyle name="Normal 13 5 6 6" xfId="9258" xr:uid="{00000000-0005-0000-0000-0000C5330000}"/>
    <cellStyle name="Normal 13 5 7" xfId="9259" xr:uid="{00000000-0005-0000-0000-0000C6330000}"/>
    <cellStyle name="Normal 13 5 7 2" xfId="50016" xr:uid="{00000000-0005-0000-0000-0000C7330000}"/>
    <cellStyle name="Normal 13 5 8" xfId="9260" xr:uid="{00000000-0005-0000-0000-0000C8330000}"/>
    <cellStyle name="Normal 13 5 9" xfId="9261" xr:uid="{00000000-0005-0000-0000-0000C9330000}"/>
    <cellStyle name="Normal 13 6" xfId="9262" xr:uid="{00000000-0005-0000-0000-0000CA330000}"/>
    <cellStyle name="Normal 13 6 10" xfId="9263" xr:uid="{00000000-0005-0000-0000-0000CB330000}"/>
    <cellStyle name="Normal 13 6 11" xfId="9264" xr:uid="{00000000-0005-0000-0000-0000CC330000}"/>
    <cellStyle name="Normal 13 6 12" xfId="9265" xr:uid="{00000000-0005-0000-0000-0000CD330000}"/>
    <cellStyle name="Normal 13 6 13" xfId="9266" xr:uid="{00000000-0005-0000-0000-0000CE330000}"/>
    <cellStyle name="Normal 13 6 14" xfId="9267" xr:uid="{00000000-0005-0000-0000-0000CF330000}"/>
    <cellStyle name="Normal 13 6 15" xfId="9268" xr:uid="{00000000-0005-0000-0000-0000D0330000}"/>
    <cellStyle name="Normal 13 6 2" xfId="9269" xr:uid="{00000000-0005-0000-0000-0000D1330000}"/>
    <cellStyle name="Normal 13 6 2 10" xfId="9270" xr:uid="{00000000-0005-0000-0000-0000D2330000}"/>
    <cellStyle name="Normal 13 6 2 11" xfId="9271" xr:uid="{00000000-0005-0000-0000-0000D3330000}"/>
    <cellStyle name="Normal 13 6 2 12" xfId="9272" xr:uid="{00000000-0005-0000-0000-0000D4330000}"/>
    <cellStyle name="Normal 13 6 2 13" xfId="9273" xr:uid="{00000000-0005-0000-0000-0000D5330000}"/>
    <cellStyle name="Normal 13 6 2 14" xfId="9274" xr:uid="{00000000-0005-0000-0000-0000D6330000}"/>
    <cellStyle name="Normal 13 6 2 2" xfId="9275" xr:uid="{00000000-0005-0000-0000-0000D7330000}"/>
    <cellStyle name="Normal 13 6 2 2 2" xfId="9276" xr:uid="{00000000-0005-0000-0000-0000D8330000}"/>
    <cellStyle name="Normal 13 6 2 2 2 2" xfId="9277" xr:uid="{00000000-0005-0000-0000-0000D9330000}"/>
    <cellStyle name="Normal 13 6 2 2 2 2 2" xfId="9278" xr:uid="{00000000-0005-0000-0000-0000DA330000}"/>
    <cellStyle name="Normal 13 6 2 2 2 2 2 2" xfId="50017" xr:uid="{00000000-0005-0000-0000-0000DB330000}"/>
    <cellStyle name="Normal 13 6 2 2 2 2 2 3" xfId="50018" xr:uid="{00000000-0005-0000-0000-0000DC330000}"/>
    <cellStyle name="Normal 13 6 2 2 2 2 3" xfId="9279" xr:uid="{00000000-0005-0000-0000-0000DD330000}"/>
    <cellStyle name="Normal 13 6 2 2 2 2 3 2" xfId="50019" xr:uid="{00000000-0005-0000-0000-0000DE330000}"/>
    <cellStyle name="Normal 13 6 2 2 2 2 4" xfId="9280" xr:uid="{00000000-0005-0000-0000-0000DF330000}"/>
    <cellStyle name="Normal 13 6 2 2 2 2 5" xfId="9281" xr:uid="{00000000-0005-0000-0000-0000E0330000}"/>
    <cellStyle name="Normal 13 6 2 2 2 2 6" xfId="9282" xr:uid="{00000000-0005-0000-0000-0000E1330000}"/>
    <cellStyle name="Normal 13 6 2 2 2 3" xfId="9283" xr:uid="{00000000-0005-0000-0000-0000E2330000}"/>
    <cellStyle name="Normal 13 6 2 2 2 3 2" xfId="50020" xr:uid="{00000000-0005-0000-0000-0000E3330000}"/>
    <cellStyle name="Normal 13 6 2 2 2 3 3" xfId="50021" xr:uid="{00000000-0005-0000-0000-0000E4330000}"/>
    <cellStyle name="Normal 13 6 2 2 2 4" xfId="9284" xr:uid="{00000000-0005-0000-0000-0000E5330000}"/>
    <cellStyle name="Normal 13 6 2 2 2 4 2" xfId="50022" xr:uid="{00000000-0005-0000-0000-0000E6330000}"/>
    <cellStyle name="Normal 13 6 2 2 2 5" xfId="9285" xr:uid="{00000000-0005-0000-0000-0000E7330000}"/>
    <cellStyle name="Normal 13 6 2 2 2 6" xfId="9286" xr:uid="{00000000-0005-0000-0000-0000E8330000}"/>
    <cellStyle name="Normal 13 6 2 2 2 7" xfId="9287" xr:uid="{00000000-0005-0000-0000-0000E9330000}"/>
    <cellStyle name="Normal 13 6 2 2 3" xfId="9288" xr:uid="{00000000-0005-0000-0000-0000EA330000}"/>
    <cellStyle name="Normal 13 6 2 2 3 2" xfId="9289" xr:uid="{00000000-0005-0000-0000-0000EB330000}"/>
    <cellStyle name="Normal 13 6 2 2 3 2 2" xfId="50023" xr:uid="{00000000-0005-0000-0000-0000EC330000}"/>
    <cellStyle name="Normal 13 6 2 2 3 2 3" xfId="50024" xr:uid="{00000000-0005-0000-0000-0000ED330000}"/>
    <cellStyle name="Normal 13 6 2 2 3 3" xfId="9290" xr:uid="{00000000-0005-0000-0000-0000EE330000}"/>
    <cellStyle name="Normal 13 6 2 2 3 3 2" xfId="50025" xr:uid="{00000000-0005-0000-0000-0000EF330000}"/>
    <cellStyle name="Normal 13 6 2 2 3 4" xfId="9291" xr:uid="{00000000-0005-0000-0000-0000F0330000}"/>
    <cellStyle name="Normal 13 6 2 2 3 5" xfId="9292" xr:uid="{00000000-0005-0000-0000-0000F1330000}"/>
    <cellStyle name="Normal 13 6 2 2 3 6" xfId="9293" xr:uid="{00000000-0005-0000-0000-0000F2330000}"/>
    <cellStyle name="Normal 13 6 2 2 4" xfId="9294" xr:uid="{00000000-0005-0000-0000-0000F3330000}"/>
    <cellStyle name="Normal 13 6 2 2 4 2" xfId="50026" xr:uid="{00000000-0005-0000-0000-0000F4330000}"/>
    <cellStyle name="Normal 13 6 2 2 4 3" xfId="50027" xr:uid="{00000000-0005-0000-0000-0000F5330000}"/>
    <cellStyle name="Normal 13 6 2 2 5" xfId="9295" xr:uid="{00000000-0005-0000-0000-0000F6330000}"/>
    <cellStyle name="Normal 13 6 2 2 5 2" xfId="50028" xr:uid="{00000000-0005-0000-0000-0000F7330000}"/>
    <cellStyle name="Normal 13 6 2 2 6" xfId="9296" xr:uid="{00000000-0005-0000-0000-0000F8330000}"/>
    <cellStyle name="Normal 13 6 2 2 7" xfId="9297" xr:uid="{00000000-0005-0000-0000-0000F9330000}"/>
    <cellStyle name="Normal 13 6 2 2 8" xfId="9298" xr:uid="{00000000-0005-0000-0000-0000FA330000}"/>
    <cellStyle name="Normal 13 6 2 2 9" xfId="9299" xr:uid="{00000000-0005-0000-0000-0000FB330000}"/>
    <cellStyle name="Normal 13 6 2 3" xfId="9300" xr:uid="{00000000-0005-0000-0000-0000FC330000}"/>
    <cellStyle name="Normal 13 6 2 3 2" xfId="9301" xr:uid="{00000000-0005-0000-0000-0000FD330000}"/>
    <cellStyle name="Normal 13 6 2 3 2 2" xfId="9302" xr:uid="{00000000-0005-0000-0000-0000FE330000}"/>
    <cellStyle name="Normal 13 6 2 3 2 2 2" xfId="9303" xr:uid="{00000000-0005-0000-0000-0000FF330000}"/>
    <cellStyle name="Normal 13 6 2 3 2 2 2 2" xfId="50029" xr:uid="{00000000-0005-0000-0000-000000340000}"/>
    <cellStyle name="Normal 13 6 2 3 2 2 2 3" xfId="50030" xr:uid="{00000000-0005-0000-0000-000001340000}"/>
    <cellStyle name="Normal 13 6 2 3 2 2 3" xfId="9304" xr:uid="{00000000-0005-0000-0000-000002340000}"/>
    <cellStyle name="Normal 13 6 2 3 2 2 3 2" xfId="50031" xr:uid="{00000000-0005-0000-0000-000003340000}"/>
    <cellStyle name="Normal 13 6 2 3 2 2 4" xfId="9305" xr:uid="{00000000-0005-0000-0000-000004340000}"/>
    <cellStyle name="Normal 13 6 2 3 2 2 5" xfId="9306" xr:uid="{00000000-0005-0000-0000-000005340000}"/>
    <cellStyle name="Normal 13 6 2 3 2 2 6" xfId="9307" xr:uid="{00000000-0005-0000-0000-000006340000}"/>
    <cellStyle name="Normal 13 6 2 3 2 3" xfId="9308" xr:uid="{00000000-0005-0000-0000-000007340000}"/>
    <cellStyle name="Normal 13 6 2 3 2 3 2" xfId="50032" xr:uid="{00000000-0005-0000-0000-000008340000}"/>
    <cellStyle name="Normal 13 6 2 3 2 3 3" xfId="50033" xr:uid="{00000000-0005-0000-0000-000009340000}"/>
    <cellStyle name="Normal 13 6 2 3 2 4" xfId="9309" xr:uid="{00000000-0005-0000-0000-00000A340000}"/>
    <cellStyle name="Normal 13 6 2 3 2 4 2" xfId="50034" xr:uid="{00000000-0005-0000-0000-00000B340000}"/>
    <cellStyle name="Normal 13 6 2 3 2 5" xfId="9310" xr:uid="{00000000-0005-0000-0000-00000C340000}"/>
    <cellStyle name="Normal 13 6 2 3 2 6" xfId="9311" xr:uid="{00000000-0005-0000-0000-00000D340000}"/>
    <cellStyle name="Normal 13 6 2 3 2 7" xfId="9312" xr:uid="{00000000-0005-0000-0000-00000E340000}"/>
    <cellStyle name="Normal 13 6 2 3 3" xfId="9313" xr:uid="{00000000-0005-0000-0000-00000F340000}"/>
    <cellStyle name="Normal 13 6 2 3 3 2" xfId="9314" xr:uid="{00000000-0005-0000-0000-000010340000}"/>
    <cellStyle name="Normal 13 6 2 3 3 2 2" xfId="50035" xr:uid="{00000000-0005-0000-0000-000011340000}"/>
    <cellStyle name="Normal 13 6 2 3 3 2 3" xfId="50036" xr:uid="{00000000-0005-0000-0000-000012340000}"/>
    <cellStyle name="Normal 13 6 2 3 3 3" xfId="9315" xr:uid="{00000000-0005-0000-0000-000013340000}"/>
    <cellStyle name="Normal 13 6 2 3 3 3 2" xfId="50037" xr:uid="{00000000-0005-0000-0000-000014340000}"/>
    <cellStyle name="Normal 13 6 2 3 3 4" xfId="9316" xr:uid="{00000000-0005-0000-0000-000015340000}"/>
    <cellStyle name="Normal 13 6 2 3 3 5" xfId="9317" xr:uid="{00000000-0005-0000-0000-000016340000}"/>
    <cellStyle name="Normal 13 6 2 3 3 6" xfId="9318" xr:uid="{00000000-0005-0000-0000-000017340000}"/>
    <cellStyle name="Normal 13 6 2 3 4" xfId="9319" xr:uid="{00000000-0005-0000-0000-000018340000}"/>
    <cellStyle name="Normal 13 6 2 3 4 2" xfId="50038" xr:uid="{00000000-0005-0000-0000-000019340000}"/>
    <cellStyle name="Normal 13 6 2 3 4 3" xfId="50039" xr:uid="{00000000-0005-0000-0000-00001A340000}"/>
    <cellStyle name="Normal 13 6 2 3 5" xfId="9320" xr:uid="{00000000-0005-0000-0000-00001B340000}"/>
    <cellStyle name="Normal 13 6 2 3 5 2" xfId="50040" xr:uid="{00000000-0005-0000-0000-00001C340000}"/>
    <cellStyle name="Normal 13 6 2 3 6" xfId="9321" xr:uid="{00000000-0005-0000-0000-00001D340000}"/>
    <cellStyle name="Normal 13 6 2 3 7" xfId="9322" xr:uid="{00000000-0005-0000-0000-00001E340000}"/>
    <cellStyle name="Normal 13 6 2 3 8" xfId="9323" xr:uid="{00000000-0005-0000-0000-00001F340000}"/>
    <cellStyle name="Normal 13 6 2 4" xfId="9324" xr:uid="{00000000-0005-0000-0000-000020340000}"/>
    <cellStyle name="Normal 13 6 2 4 2" xfId="9325" xr:uid="{00000000-0005-0000-0000-000021340000}"/>
    <cellStyle name="Normal 13 6 2 4 2 2" xfId="9326" xr:uid="{00000000-0005-0000-0000-000022340000}"/>
    <cellStyle name="Normal 13 6 2 4 2 2 2" xfId="50041" xr:uid="{00000000-0005-0000-0000-000023340000}"/>
    <cellStyle name="Normal 13 6 2 4 2 2 3" xfId="50042" xr:uid="{00000000-0005-0000-0000-000024340000}"/>
    <cellStyle name="Normal 13 6 2 4 2 3" xfId="9327" xr:uid="{00000000-0005-0000-0000-000025340000}"/>
    <cellStyle name="Normal 13 6 2 4 2 3 2" xfId="50043" xr:uid="{00000000-0005-0000-0000-000026340000}"/>
    <cellStyle name="Normal 13 6 2 4 2 4" xfId="9328" xr:uid="{00000000-0005-0000-0000-000027340000}"/>
    <cellStyle name="Normal 13 6 2 4 2 5" xfId="9329" xr:uid="{00000000-0005-0000-0000-000028340000}"/>
    <cellStyle name="Normal 13 6 2 4 2 6" xfId="9330" xr:uid="{00000000-0005-0000-0000-000029340000}"/>
    <cellStyle name="Normal 13 6 2 4 3" xfId="9331" xr:uid="{00000000-0005-0000-0000-00002A340000}"/>
    <cellStyle name="Normal 13 6 2 4 3 2" xfId="50044" xr:uid="{00000000-0005-0000-0000-00002B340000}"/>
    <cellStyle name="Normal 13 6 2 4 3 3" xfId="50045" xr:uid="{00000000-0005-0000-0000-00002C340000}"/>
    <cellStyle name="Normal 13 6 2 4 4" xfId="9332" xr:uid="{00000000-0005-0000-0000-00002D340000}"/>
    <cellStyle name="Normal 13 6 2 4 4 2" xfId="50046" xr:uid="{00000000-0005-0000-0000-00002E340000}"/>
    <cellStyle name="Normal 13 6 2 4 5" xfId="9333" xr:uid="{00000000-0005-0000-0000-00002F340000}"/>
    <cellStyle name="Normal 13 6 2 4 6" xfId="9334" xr:uid="{00000000-0005-0000-0000-000030340000}"/>
    <cellStyle name="Normal 13 6 2 4 7" xfId="9335" xr:uid="{00000000-0005-0000-0000-000031340000}"/>
    <cellStyle name="Normal 13 6 2 5" xfId="9336" xr:uid="{00000000-0005-0000-0000-000032340000}"/>
    <cellStyle name="Normal 13 6 2 5 2" xfId="9337" xr:uid="{00000000-0005-0000-0000-000033340000}"/>
    <cellStyle name="Normal 13 6 2 5 2 2" xfId="50047" xr:uid="{00000000-0005-0000-0000-000034340000}"/>
    <cellStyle name="Normal 13 6 2 5 2 3" xfId="50048" xr:uid="{00000000-0005-0000-0000-000035340000}"/>
    <cellStyle name="Normal 13 6 2 5 3" xfId="9338" xr:uid="{00000000-0005-0000-0000-000036340000}"/>
    <cellStyle name="Normal 13 6 2 5 3 2" xfId="50049" xr:uid="{00000000-0005-0000-0000-000037340000}"/>
    <cellStyle name="Normal 13 6 2 5 4" xfId="9339" xr:uid="{00000000-0005-0000-0000-000038340000}"/>
    <cellStyle name="Normal 13 6 2 5 5" xfId="9340" xr:uid="{00000000-0005-0000-0000-000039340000}"/>
    <cellStyle name="Normal 13 6 2 5 6" xfId="9341" xr:uid="{00000000-0005-0000-0000-00003A340000}"/>
    <cellStyle name="Normal 13 6 2 6" xfId="9342" xr:uid="{00000000-0005-0000-0000-00003B340000}"/>
    <cellStyle name="Normal 13 6 2 6 2" xfId="50050" xr:uid="{00000000-0005-0000-0000-00003C340000}"/>
    <cellStyle name="Normal 13 6 2 6 3" xfId="50051" xr:uid="{00000000-0005-0000-0000-00003D340000}"/>
    <cellStyle name="Normal 13 6 2 7" xfId="9343" xr:uid="{00000000-0005-0000-0000-00003E340000}"/>
    <cellStyle name="Normal 13 6 2 7 2" xfId="50052" xr:uid="{00000000-0005-0000-0000-00003F340000}"/>
    <cellStyle name="Normal 13 6 2 8" xfId="9344" xr:uid="{00000000-0005-0000-0000-000040340000}"/>
    <cellStyle name="Normal 13 6 2 9" xfId="9345" xr:uid="{00000000-0005-0000-0000-000041340000}"/>
    <cellStyle name="Normal 13 6 3" xfId="9346" xr:uid="{00000000-0005-0000-0000-000042340000}"/>
    <cellStyle name="Normal 13 6 3 2" xfId="9347" xr:uid="{00000000-0005-0000-0000-000043340000}"/>
    <cellStyle name="Normal 13 6 3 2 2" xfId="9348" xr:uid="{00000000-0005-0000-0000-000044340000}"/>
    <cellStyle name="Normal 13 6 3 2 2 2" xfId="9349" xr:uid="{00000000-0005-0000-0000-000045340000}"/>
    <cellStyle name="Normal 13 6 3 2 2 2 2" xfId="50053" xr:uid="{00000000-0005-0000-0000-000046340000}"/>
    <cellStyle name="Normal 13 6 3 2 2 2 3" xfId="50054" xr:uid="{00000000-0005-0000-0000-000047340000}"/>
    <cellStyle name="Normal 13 6 3 2 2 3" xfId="9350" xr:uid="{00000000-0005-0000-0000-000048340000}"/>
    <cellStyle name="Normal 13 6 3 2 2 3 2" xfId="50055" xr:uid="{00000000-0005-0000-0000-000049340000}"/>
    <cellStyle name="Normal 13 6 3 2 2 4" xfId="9351" xr:uid="{00000000-0005-0000-0000-00004A340000}"/>
    <cellStyle name="Normal 13 6 3 2 2 5" xfId="9352" xr:uid="{00000000-0005-0000-0000-00004B340000}"/>
    <cellStyle name="Normal 13 6 3 2 2 6" xfId="9353" xr:uid="{00000000-0005-0000-0000-00004C340000}"/>
    <cellStyle name="Normal 13 6 3 2 3" xfId="9354" xr:uid="{00000000-0005-0000-0000-00004D340000}"/>
    <cellStyle name="Normal 13 6 3 2 3 2" xfId="50056" xr:uid="{00000000-0005-0000-0000-00004E340000}"/>
    <cellStyle name="Normal 13 6 3 2 3 3" xfId="50057" xr:uid="{00000000-0005-0000-0000-00004F340000}"/>
    <cellStyle name="Normal 13 6 3 2 4" xfId="9355" xr:uid="{00000000-0005-0000-0000-000050340000}"/>
    <cellStyle name="Normal 13 6 3 2 4 2" xfId="50058" xr:uid="{00000000-0005-0000-0000-000051340000}"/>
    <cellStyle name="Normal 13 6 3 2 5" xfId="9356" xr:uid="{00000000-0005-0000-0000-000052340000}"/>
    <cellStyle name="Normal 13 6 3 2 6" xfId="9357" xr:uid="{00000000-0005-0000-0000-000053340000}"/>
    <cellStyle name="Normal 13 6 3 2 7" xfId="9358" xr:uid="{00000000-0005-0000-0000-000054340000}"/>
    <cellStyle name="Normal 13 6 3 3" xfId="9359" xr:uid="{00000000-0005-0000-0000-000055340000}"/>
    <cellStyle name="Normal 13 6 3 3 2" xfId="9360" xr:uid="{00000000-0005-0000-0000-000056340000}"/>
    <cellStyle name="Normal 13 6 3 3 2 2" xfId="50059" xr:uid="{00000000-0005-0000-0000-000057340000}"/>
    <cellStyle name="Normal 13 6 3 3 2 3" xfId="50060" xr:uid="{00000000-0005-0000-0000-000058340000}"/>
    <cellStyle name="Normal 13 6 3 3 3" xfId="9361" xr:uid="{00000000-0005-0000-0000-000059340000}"/>
    <cellStyle name="Normal 13 6 3 3 3 2" xfId="50061" xr:uid="{00000000-0005-0000-0000-00005A340000}"/>
    <cellStyle name="Normal 13 6 3 3 4" xfId="9362" xr:uid="{00000000-0005-0000-0000-00005B340000}"/>
    <cellStyle name="Normal 13 6 3 3 5" xfId="9363" xr:uid="{00000000-0005-0000-0000-00005C340000}"/>
    <cellStyle name="Normal 13 6 3 3 6" xfId="9364" xr:uid="{00000000-0005-0000-0000-00005D340000}"/>
    <cellStyle name="Normal 13 6 3 4" xfId="9365" xr:uid="{00000000-0005-0000-0000-00005E340000}"/>
    <cellStyle name="Normal 13 6 3 4 2" xfId="50062" xr:uid="{00000000-0005-0000-0000-00005F340000}"/>
    <cellStyle name="Normal 13 6 3 4 3" xfId="50063" xr:uid="{00000000-0005-0000-0000-000060340000}"/>
    <cellStyle name="Normal 13 6 3 5" xfId="9366" xr:uid="{00000000-0005-0000-0000-000061340000}"/>
    <cellStyle name="Normal 13 6 3 5 2" xfId="50064" xr:uid="{00000000-0005-0000-0000-000062340000}"/>
    <cellStyle name="Normal 13 6 3 6" xfId="9367" xr:uid="{00000000-0005-0000-0000-000063340000}"/>
    <cellStyle name="Normal 13 6 3 7" xfId="9368" xr:uid="{00000000-0005-0000-0000-000064340000}"/>
    <cellStyle name="Normal 13 6 3 8" xfId="9369" xr:uid="{00000000-0005-0000-0000-000065340000}"/>
    <cellStyle name="Normal 13 6 3 9" xfId="9370" xr:uid="{00000000-0005-0000-0000-000066340000}"/>
    <cellStyle name="Normal 13 6 4" xfId="9371" xr:uid="{00000000-0005-0000-0000-000067340000}"/>
    <cellStyle name="Normal 13 6 4 2" xfId="9372" xr:uid="{00000000-0005-0000-0000-000068340000}"/>
    <cellStyle name="Normal 13 6 4 2 2" xfId="9373" xr:uid="{00000000-0005-0000-0000-000069340000}"/>
    <cellStyle name="Normal 13 6 4 2 2 2" xfId="9374" xr:uid="{00000000-0005-0000-0000-00006A340000}"/>
    <cellStyle name="Normal 13 6 4 2 2 2 2" xfId="50065" xr:uid="{00000000-0005-0000-0000-00006B340000}"/>
    <cellStyle name="Normal 13 6 4 2 2 2 3" xfId="50066" xr:uid="{00000000-0005-0000-0000-00006C340000}"/>
    <cellStyle name="Normal 13 6 4 2 2 3" xfId="9375" xr:uid="{00000000-0005-0000-0000-00006D340000}"/>
    <cellStyle name="Normal 13 6 4 2 2 3 2" xfId="50067" xr:uid="{00000000-0005-0000-0000-00006E340000}"/>
    <cellStyle name="Normal 13 6 4 2 2 4" xfId="9376" xr:uid="{00000000-0005-0000-0000-00006F340000}"/>
    <cellStyle name="Normal 13 6 4 2 2 5" xfId="9377" xr:uid="{00000000-0005-0000-0000-000070340000}"/>
    <cellStyle name="Normal 13 6 4 2 2 6" xfId="9378" xr:uid="{00000000-0005-0000-0000-000071340000}"/>
    <cellStyle name="Normal 13 6 4 2 3" xfId="9379" xr:uid="{00000000-0005-0000-0000-000072340000}"/>
    <cellStyle name="Normal 13 6 4 2 3 2" xfId="50068" xr:uid="{00000000-0005-0000-0000-000073340000}"/>
    <cellStyle name="Normal 13 6 4 2 3 3" xfId="50069" xr:uid="{00000000-0005-0000-0000-000074340000}"/>
    <cellStyle name="Normal 13 6 4 2 4" xfId="9380" xr:uid="{00000000-0005-0000-0000-000075340000}"/>
    <cellStyle name="Normal 13 6 4 2 4 2" xfId="50070" xr:uid="{00000000-0005-0000-0000-000076340000}"/>
    <cellStyle name="Normal 13 6 4 2 5" xfId="9381" xr:uid="{00000000-0005-0000-0000-000077340000}"/>
    <cellStyle name="Normal 13 6 4 2 6" xfId="9382" xr:uid="{00000000-0005-0000-0000-000078340000}"/>
    <cellStyle name="Normal 13 6 4 2 7" xfId="9383" xr:uid="{00000000-0005-0000-0000-000079340000}"/>
    <cellStyle name="Normal 13 6 4 3" xfId="9384" xr:uid="{00000000-0005-0000-0000-00007A340000}"/>
    <cellStyle name="Normal 13 6 4 3 2" xfId="9385" xr:uid="{00000000-0005-0000-0000-00007B340000}"/>
    <cellStyle name="Normal 13 6 4 3 2 2" xfId="50071" xr:uid="{00000000-0005-0000-0000-00007C340000}"/>
    <cellStyle name="Normal 13 6 4 3 2 3" xfId="50072" xr:uid="{00000000-0005-0000-0000-00007D340000}"/>
    <cellStyle name="Normal 13 6 4 3 3" xfId="9386" xr:uid="{00000000-0005-0000-0000-00007E340000}"/>
    <cellStyle name="Normal 13 6 4 3 3 2" xfId="50073" xr:uid="{00000000-0005-0000-0000-00007F340000}"/>
    <cellStyle name="Normal 13 6 4 3 4" xfId="9387" xr:uid="{00000000-0005-0000-0000-000080340000}"/>
    <cellStyle name="Normal 13 6 4 3 5" xfId="9388" xr:uid="{00000000-0005-0000-0000-000081340000}"/>
    <cellStyle name="Normal 13 6 4 3 6" xfId="9389" xr:uid="{00000000-0005-0000-0000-000082340000}"/>
    <cellStyle name="Normal 13 6 4 4" xfId="9390" xr:uid="{00000000-0005-0000-0000-000083340000}"/>
    <cellStyle name="Normal 13 6 4 4 2" xfId="50074" xr:uid="{00000000-0005-0000-0000-000084340000}"/>
    <cellStyle name="Normal 13 6 4 4 3" xfId="50075" xr:uid="{00000000-0005-0000-0000-000085340000}"/>
    <cellStyle name="Normal 13 6 4 5" xfId="9391" xr:uid="{00000000-0005-0000-0000-000086340000}"/>
    <cellStyle name="Normal 13 6 4 5 2" xfId="50076" xr:uid="{00000000-0005-0000-0000-000087340000}"/>
    <cellStyle name="Normal 13 6 4 6" xfId="9392" xr:uid="{00000000-0005-0000-0000-000088340000}"/>
    <cellStyle name="Normal 13 6 4 7" xfId="9393" xr:uid="{00000000-0005-0000-0000-000089340000}"/>
    <cellStyle name="Normal 13 6 4 8" xfId="9394" xr:uid="{00000000-0005-0000-0000-00008A340000}"/>
    <cellStyle name="Normal 13 6 5" xfId="9395" xr:uid="{00000000-0005-0000-0000-00008B340000}"/>
    <cellStyle name="Normal 13 6 5 2" xfId="9396" xr:uid="{00000000-0005-0000-0000-00008C340000}"/>
    <cellStyle name="Normal 13 6 5 2 2" xfId="9397" xr:uid="{00000000-0005-0000-0000-00008D340000}"/>
    <cellStyle name="Normal 13 6 5 2 2 2" xfId="50077" xr:uid="{00000000-0005-0000-0000-00008E340000}"/>
    <cellStyle name="Normal 13 6 5 2 2 3" xfId="50078" xr:uid="{00000000-0005-0000-0000-00008F340000}"/>
    <cellStyle name="Normal 13 6 5 2 3" xfId="9398" xr:uid="{00000000-0005-0000-0000-000090340000}"/>
    <cellStyle name="Normal 13 6 5 2 3 2" xfId="50079" xr:uid="{00000000-0005-0000-0000-000091340000}"/>
    <cellStyle name="Normal 13 6 5 2 4" xfId="9399" xr:uid="{00000000-0005-0000-0000-000092340000}"/>
    <cellStyle name="Normal 13 6 5 2 5" xfId="9400" xr:uid="{00000000-0005-0000-0000-000093340000}"/>
    <cellStyle name="Normal 13 6 5 2 6" xfId="9401" xr:uid="{00000000-0005-0000-0000-000094340000}"/>
    <cellStyle name="Normal 13 6 5 3" xfId="9402" xr:uid="{00000000-0005-0000-0000-000095340000}"/>
    <cellStyle name="Normal 13 6 5 3 2" xfId="50080" xr:uid="{00000000-0005-0000-0000-000096340000}"/>
    <cellStyle name="Normal 13 6 5 3 3" xfId="50081" xr:uid="{00000000-0005-0000-0000-000097340000}"/>
    <cellStyle name="Normal 13 6 5 4" xfId="9403" xr:uid="{00000000-0005-0000-0000-000098340000}"/>
    <cellStyle name="Normal 13 6 5 4 2" xfId="50082" xr:uid="{00000000-0005-0000-0000-000099340000}"/>
    <cellStyle name="Normal 13 6 5 5" xfId="9404" xr:uid="{00000000-0005-0000-0000-00009A340000}"/>
    <cellStyle name="Normal 13 6 5 6" xfId="9405" xr:uid="{00000000-0005-0000-0000-00009B340000}"/>
    <cellStyle name="Normal 13 6 5 7" xfId="9406" xr:uid="{00000000-0005-0000-0000-00009C340000}"/>
    <cellStyle name="Normal 13 6 6" xfId="9407" xr:uid="{00000000-0005-0000-0000-00009D340000}"/>
    <cellStyle name="Normal 13 6 6 2" xfId="9408" xr:uid="{00000000-0005-0000-0000-00009E340000}"/>
    <cellStyle name="Normal 13 6 6 2 2" xfId="50083" xr:uid="{00000000-0005-0000-0000-00009F340000}"/>
    <cellStyle name="Normal 13 6 6 2 3" xfId="50084" xr:uid="{00000000-0005-0000-0000-0000A0340000}"/>
    <cellStyle name="Normal 13 6 6 3" xfId="9409" xr:uid="{00000000-0005-0000-0000-0000A1340000}"/>
    <cellStyle name="Normal 13 6 6 3 2" xfId="50085" xr:uid="{00000000-0005-0000-0000-0000A2340000}"/>
    <cellStyle name="Normal 13 6 6 4" xfId="9410" xr:uid="{00000000-0005-0000-0000-0000A3340000}"/>
    <cellStyle name="Normal 13 6 6 5" xfId="9411" xr:uid="{00000000-0005-0000-0000-0000A4340000}"/>
    <cellStyle name="Normal 13 6 6 6" xfId="9412" xr:uid="{00000000-0005-0000-0000-0000A5340000}"/>
    <cellStyle name="Normal 13 6 7" xfId="9413" xr:uid="{00000000-0005-0000-0000-0000A6340000}"/>
    <cellStyle name="Normal 13 6 7 2" xfId="50086" xr:uid="{00000000-0005-0000-0000-0000A7340000}"/>
    <cellStyle name="Normal 13 6 7 3" xfId="50087" xr:uid="{00000000-0005-0000-0000-0000A8340000}"/>
    <cellStyle name="Normal 13 6 8" xfId="9414" xr:uid="{00000000-0005-0000-0000-0000A9340000}"/>
    <cellStyle name="Normal 13 6 8 2" xfId="50088" xr:uid="{00000000-0005-0000-0000-0000AA340000}"/>
    <cellStyle name="Normal 13 6 9" xfId="9415" xr:uid="{00000000-0005-0000-0000-0000AB340000}"/>
    <cellStyle name="Normal 13 6 9 2" xfId="50089" xr:uid="{00000000-0005-0000-0000-0000AC340000}"/>
    <cellStyle name="Normal 13 7" xfId="9416" xr:uid="{00000000-0005-0000-0000-0000AD340000}"/>
    <cellStyle name="Normal 13 7 10" xfId="9417" xr:uid="{00000000-0005-0000-0000-0000AE340000}"/>
    <cellStyle name="Normal 13 7 11" xfId="9418" xr:uid="{00000000-0005-0000-0000-0000AF340000}"/>
    <cellStyle name="Normal 13 7 12" xfId="9419" xr:uid="{00000000-0005-0000-0000-0000B0340000}"/>
    <cellStyle name="Normal 13 7 13" xfId="9420" xr:uid="{00000000-0005-0000-0000-0000B1340000}"/>
    <cellStyle name="Normal 13 7 14" xfId="9421" xr:uid="{00000000-0005-0000-0000-0000B2340000}"/>
    <cellStyle name="Normal 13 7 2" xfId="9422" xr:uid="{00000000-0005-0000-0000-0000B3340000}"/>
    <cellStyle name="Normal 13 7 2 2" xfId="9423" xr:uid="{00000000-0005-0000-0000-0000B4340000}"/>
    <cellStyle name="Normal 13 7 2 2 2" xfId="9424" xr:uid="{00000000-0005-0000-0000-0000B5340000}"/>
    <cellStyle name="Normal 13 7 2 2 2 2" xfId="9425" xr:uid="{00000000-0005-0000-0000-0000B6340000}"/>
    <cellStyle name="Normal 13 7 2 2 2 2 2" xfId="50090" xr:uid="{00000000-0005-0000-0000-0000B7340000}"/>
    <cellStyle name="Normal 13 7 2 2 2 2 3" xfId="50091" xr:uid="{00000000-0005-0000-0000-0000B8340000}"/>
    <cellStyle name="Normal 13 7 2 2 2 3" xfId="9426" xr:uid="{00000000-0005-0000-0000-0000B9340000}"/>
    <cellStyle name="Normal 13 7 2 2 2 3 2" xfId="50092" xr:uid="{00000000-0005-0000-0000-0000BA340000}"/>
    <cellStyle name="Normal 13 7 2 2 2 4" xfId="9427" xr:uid="{00000000-0005-0000-0000-0000BB340000}"/>
    <cellStyle name="Normal 13 7 2 2 2 5" xfId="9428" xr:uid="{00000000-0005-0000-0000-0000BC340000}"/>
    <cellStyle name="Normal 13 7 2 2 2 6" xfId="9429" xr:uid="{00000000-0005-0000-0000-0000BD340000}"/>
    <cellStyle name="Normal 13 7 2 2 3" xfId="9430" xr:uid="{00000000-0005-0000-0000-0000BE340000}"/>
    <cellStyle name="Normal 13 7 2 2 3 2" xfId="50093" xr:uid="{00000000-0005-0000-0000-0000BF340000}"/>
    <cellStyle name="Normal 13 7 2 2 3 3" xfId="50094" xr:uid="{00000000-0005-0000-0000-0000C0340000}"/>
    <cellStyle name="Normal 13 7 2 2 4" xfId="9431" xr:uid="{00000000-0005-0000-0000-0000C1340000}"/>
    <cellStyle name="Normal 13 7 2 2 4 2" xfId="50095" xr:uid="{00000000-0005-0000-0000-0000C2340000}"/>
    <cellStyle name="Normal 13 7 2 2 5" xfId="9432" xr:uid="{00000000-0005-0000-0000-0000C3340000}"/>
    <cellStyle name="Normal 13 7 2 2 6" xfId="9433" xr:uid="{00000000-0005-0000-0000-0000C4340000}"/>
    <cellStyle name="Normal 13 7 2 2 7" xfId="9434" xr:uid="{00000000-0005-0000-0000-0000C5340000}"/>
    <cellStyle name="Normal 13 7 2 3" xfId="9435" xr:uid="{00000000-0005-0000-0000-0000C6340000}"/>
    <cellStyle name="Normal 13 7 2 3 2" xfId="9436" xr:uid="{00000000-0005-0000-0000-0000C7340000}"/>
    <cellStyle name="Normal 13 7 2 3 2 2" xfId="50096" xr:uid="{00000000-0005-0000-0000-0000C8340000}"/>
    <cellStyle name="Normal 13 7 2 3 2 3" xfId="50097" xr:uid="{00000000-0005-0000-0000-0000C9340000}"/>
    <cellStyle name="Normal 13 7 2 3 3" xfId="9437" xr:uid="{00000000-0005-0000-0000-0000CA340000}"/>
    <cellStyle name="Normal 13 7 2 3 3 2" xfId="50098" xr:uid="{00000000-0005-0000-0000-0000CB340000}"/>
    <cellStyle name="Normal 13 7 2 3 4" xfId="9438" xr:uid="{00000000-0005-0000-0000-0000CC340000}"/>
    <cellStyle name="Normal 13 7 2 3 5" xfId="9439" xr:uid="{00000000-0005-0000-0000-0000CD340000}"/>
    <cellStyle name="Normal 13 7 2 3 6" xfId="9440" xr:uid="{00000000-0005-0000-0000-0000CE340000}"/>
    <cellStyle name="Normal 13 7 2 4" xfId="9441" xr:uid="{00000000-0005-0000-0000-0000CF340000}"/>
    <cellStyle name="Normal 13 7 2 4 2" xfId="50099" xr:uid="{00000000-0005-0000-0000-0000D0340000}"/>
    <cellStyle name="Normal 13 7 2 4 3" xfId="50100" xr:uid="{00000000-0005-0000-0000-0000D1340000}"/>
    <cellStyle name="Normal 13 7 2 5" xfId="9442" xr:uid="{00000000-0005-0000-0000-0000D2340000}"/>
    <cellStyle name="Normal 13 7 2 5 2" xfId="50101" xr:uid="{00000000-0005-0000-0000-0000D3340000}"/>
    <cellStyle name="Normal 13 7 2 6" xfId="9443" xr:uid="{00000000-0005-0000-0000-0000D4340000}"/>
    <cellStyle name="Normal 13 7 2 7" xfId="9444" xr:uid="{00000000-0005-0000-0000-0000D5340000}"/>
    <cellStyle name="Normal 13 7 2 8" xfId="9445" xr:uid="{00000000-0005-0000-0000-0000D6340000}"/>
    <cellStyle name="Normal 13 7 2 9" xfId="9446" xr:uid="{00000000-0005-0000-0000-0000D7340000}"/>
    <cellStyle name="Normal 13 7 3" xfId="9447" xr:uid="{00000000-0005-0000-0000-0000D8340000}"/>
    <cellStyle name="Normal 13 7 3 2" xfId="9448" xr:uid="{00000000-0005-0000-0000-0000D9340000}"/>
    <cellStyle name="Normal 13 7 3 2 2" xfId="9449" xr:uid="{00000000-0005-0000-0000-0000DA340000}"/>
    <cellStyle name="Normal 13 7 3 2 2 2" xfId="9450" xr:uid="{00000000-0005-0000-0000-0000DB340000}"/>
    <cellStyle name="Normal 13 7 3 2 2 2 2" xfId="50102" xr:uid="{00000000-0005-0000-0000-0000DC340000}"/>
    <cellStyle name="Normal 13 7 3 2 2 2 3" xfId="50103" xr:uid="{00000000-0005-0000-0000-0000DD340000}"/>
    <cellStyle name="Normal 13 7 3 2 2 3" xfId="9451" xr:uid="{00000000-0005-0000-0000-0000DE340000}"/>
    <cellStyle name="Normal 13 7 3 2 2 3 2" xfId="50104" xr:uid="{00000000-0005-0000-0000-0000DF340000}"/>
    <cellStyle name="Normal 13 7 3 2 2 4" xfId="9452" xr:uid="{00000000-0005-0000-0000-0000E0340000}"/>
    <cellStyle name="Normal 13 7 3 2 2 5" xfId="9453" xr:uid="{00000000-0005-0000-0000-0000E1340000}"/>
    <cellStyle name="Normal 13 7 3 2 2 6" xfId="9454" xr:uid="{00000000-0005-0000-0000-0000E2340000}"/>
    <cellStyle name="Normal 13 7 3 2 3" xfId="9455" xr:uid="{00000000-0005-0000-0000-0000E3340000}"/>
    <cellStyle name="Normal 13 7 3 2 3 2" xfId="50105" xr:uid="{00000000-0005-0000-0000-0000E4340000}"/>
    <cellStyle name="Normal 13 7 3 2 3 3" xfId="50106" xr:uid="{00000000-0005-0000-0000-0000E5340000}"/>
    <cellStyle name="Normal 13 7 3 2 4" xfId="9456" xr:uid="{00000000-0005-0000-0000-0000E6340000}"/>
    <cellStyle name="Normal 13 7 3 2 4 2" xfId="50107" xr:uid="{00000000-0005-0000-0000-0000E7340000}"/>
    <cellStyle name="Normal 13 7 3 2 5" xfId="9457" xr:uid="{00000000-0005-0000-0000-0000E8340000}"/>
    <cellStyle name="Normal 13 7 3 2 6" xfId="9458" xr:uid="{00000000-0005-0000-0000-0000E9340000}"/>
    <cellStyle name="Normal 13 7 3 2 7" xfId="9459" xr:uid="{00000000-0005-0000-0000-0000EA340000}"/>
    <cellStyle name="Normal 13 7 3 3" xfId="9460" xr:uid="{00000000-0005-0000-0000-0000EB340000}"/>
    <cellStyle name="Normal 13 7 3 3 2" xfId="9461" xr:uid="{00000000-0005-0000-0000-0000EC340000}"/>
    <cellStyle name="Normal 13 7 3 3 2 2" xfId="50108" xr:uid="{00000000-0005-0000-0000-0000ED340000}"/>
    <cellStyle name="Normal 13 7 3 3 2 3" xfId="50109" xr:uid="{00000000-0005-0000-0000-0000EE340000}"/>
    <cellStyle name="Normal 13 7 3 3 3" xfId="9462" xr:uid="{00000000-0005-0000-0000-0000EF340000}"/>
    <cellStyle name="Normal 13 7 3 3 3 2" xfId="50110" xr:uid="{00000000-0005-0000-0000-0000F0340000}"/>
    <cellStyle name="Normal 13 7 3 3 4" xfId="9463" xr:uid="{00000000-0005-0000-0000-0000F1340000}"/>
    <cellStyle name="Normal 13 7 3 3 5" xfId="9464" xr:uid="{00000000-0005-0000-0000-0000F2340000}"/>
    <cellStyle name="Normal 13 7 3 3 6" xfId="9465" xr:uid="{00000000-0005-0000-0000-0000F3340000}"/>
    <cellStyle name="Normal 13 7 3 4" xfId="9466" xr:uid="{00000000-0005-0000-0000-0000F4340000}"/>
    <cellStyle name="Normal 13 7 3 4 2" xfId="50111" xr:uid="{00000000-0005-0000-0000-0000F5340000}"/>
    <cellStyle name="Normal 13 7 3 4 3" xfId="50112" xr:uid="{00000000-0005-0000-0000-0000F6340000}"/>
    <cellStyle name="Normal 13 7 3 5" xfId="9467" xr:uid="{00000000-0005-0000-0000-0000F7340000}"/>
    <cellStyle name="Normal 13 7 3 5 2" xfId="50113" xr:uid="{00000000-0005-0000-0000-0000F8340000}"/>
    <cellStyle name="Normal 13 7 3 6" xfId="9468" xr:uid="{00000000-0005-0000-0000-0000F9340000}"/>
    <cellStyle name="Normal 13 7 3 7" xfId="9469" xr:uid="{00000000-0005-0000-0000-0000FA340000}"/>
    <cellStyle name="Normal 13 7 3 8" xfId="9470" xr:uid="{00000000-0005-0000-0000-0000FB340000}"/>
    <cellStyle name="Normal 13 7 4" xfId="9471" xr:uid="{00000000-0005-0000-0000-0000FC340000}"/>
    <cellStyle name="Normal 13 7 4 2" xfId="9472" xr:uid="{00000000-0005-0000-0000-0000FD340000}"/>
    <cellStyle name="Normal 13 7 4 2 2" xfId="9473" xr:uid="{00000000-0005-0000-0000-0000FE340000}"/>
    <cellStyle name="Normal 13 7 4 2 2 2" xfId="50114" xr:uid="{00000000-0005-0000-0000-0000FF340000}"/>
    <cellStyle name="Normal 13 7 4 2 2 3" xfId="50115" xr:uid="{00000000-0005-0000-0000-000000350000}"/>
    <cellStyle name="Normal 13 7 4 2 3" xfId="9474" xr:uid="{00000000-0005-0000-0000-000001350000}"/>
    <cellStyle name="Normal 13 7 4 2 3 2" xfId="50116" xr:uid="{00000000-0005-0000-0000-000002350000}"/>
    <cellStyle name="Normal 13 7 4 2 4" xfId="9475" xr:uid="{00000000-0005-0000-0000-000003350000}"/>
    <cellStyle name="Normal 13 7 4 2 5" xfId="9476" xr:uid="{00000000-0005-0000-0000-000004350000}"/>
    <cellStyle name="Normal 13 7 4 2 6" xfId="9477" xr:uid="{00000000-0005-0000-0000-000005350000}"/>
    <cellStyle name="Normal 13 7 4 3" xfId="9478" xr:uid="{00000000-0005-0000-0000-000006350000}"/>
    <cellStyle name="Normal 13 7 4 3 2" xfId="50117" xr:uid="{00000000-0005-0000-0000-000007350000}"/>
    <cellStyle name="Normal 13 7 4 3 3" xfId="50118" xr:uid="{00000000-0005-0000-0000-000008350000}"/>
    <cellStyle name="Normal 13 7 4 4" xfId="9479" xr:uid="{00000000-0005-0000-0000-000009350000}"/>
    <cellStyle name="Normal 13 7 4 4 2" xfId="50119" xr:uid="{00000000-0005-0000-0000-00000A350000}"/>
    <cellStyle name="Normal 13 7 4 5" xfId="9480" xr:uid="{00000000-0005-0000-0000-00000B350000}"/>
    <cellStyle name="Normal 13 7 4 6" xfId="9481" xr:uid="{00000000-0005-0000-0000-00000C350000}"/>
    <cellStyle name="Normal 13 7 4 7" xfId="9482" xr:uid="{00000000-0005-0000-0000-00000D350000}"/>
    <cellStyle name="Normal 13 7 5" xfId="9483" xr:uid="{00000000-0005-0000-0000-00000E350000}"/>
    <cellStyle name="Normal 13 7 5 2" xfId="9484" xr:uid="{00000000-0005-0000-0000-00000F350000}"/>
    <cellStyle name="Normal 13 7 5 2 2" xfId="50120" xr:uid="{00000000-0005-0000-0000-000010350000}"/>
    <cellStyle name="Normal 13 7 5 2 3" xfId="50121" xr:uid="{00000000-0005-0000-0000-000011350000}"/>
    <cellStyle name="Normal 13 7 5 3" xfId="9485" xr:uid="{00000000-0005-0000-0000-000012350000}"/>
    <cellStyle name="Normal 13 7 5 3 2" xfId="50122" xr:uid="{00000000-0005-0000-0000-000013350000}"/>
    <cellStyle name="Normal 13 7 5 4" xfId="9486" xr:uid="{00000000-0005-0000-0000-000014350000}"/>
    <cellStyle name="Normal 13 7 5 5" xfId="9487" xr:uid="{00000000-0005-0000-0000-000015350000}"/>
    <cellStyle name="Normal 13 7 5 6" xfId="9488" xr:uid="{00000000-0005-0000-0000-000016350000}"/>
    <cellStyle name="Normal 13 7 6" xfId="9489" xr:uid="{00000000-0005-0000-0000-000017350000}"/>
    <cellStyle name="Normal 13 7 6 2" xfId="50123" xr:uid="{00000000-0005-0000-0000-000018350000}"/>
    <cellStyle name="Normal 13 7 6 3" xfId="50124" xr:uid="{00000000-0005-0000-0000-000019350000}"/>
    <cellStyle name="Normal 13 7 7" xfId="9490" xr:uid="{00000000-0005-0000-0000-00001A350000}"/>
    <cellStyle name="Normal 13 7 7 2" xfId="50125" xr:uid="{00000000-0005-0000-0000-00001B350000}"/>
    <cellStyle name="Normal 13 7 8" xfId="9491" xr:uid="{00000000-0005-0000-0000-00001C350000}"/>
    <cellStyle name="Normal 13 7 9" xfId="9492" xr:uid="{00000000-0005-0000-0000-00001D350000}"/>
    <cellStyle name="Normal 13 8" xfId="9493" xr:uid="{00000000-0005-0000-0000-00001E350000}"/>
    <cellStyle name="Normal 13 8 10" xfId="9494" xr:uid="{00000000-0005-0000-0000-00001F350000}"/>
    <cellStyle name="Normal 13 8 11" xfId="9495" xr:uid="{00000000-0005-0000-0000-000020350000}"/>
    <cellStyle name="Normal 13 8 12" xfId="9496" xr:uid="{00000000-0005-0000-0000-000021350000}"/>
    <cellStyle name="Normal 13 8 13" xfId="9497" xr:uid="{00000000-0005-0000-0000-000022350000}"/>
    <cellStyle name="Normal 13 8 14" xfId="9498" xr:uid="{00000000-0005-0000-0000-000023350000}"/>
    <cellStyle name="Normal 13 8 2" xfId="9499" xr:uid="{00000000-0005-0000-0000-000024350000}"/>
    <cellStyle name="Normal 13 8 2 2" xfId="9500" xr:uid="{00000000-0005-0000-0000-000025350000}"/>
    <cellStyle name="Normal 13 8 2 2 2" xfId="9501" xr:uid="{00000000-0005-0000-0000-000026350000}"/>
    <cellStyle name="Normal 13 8 2 2 2 2" xfId="9502" xr:uid="{00000000-0005-0000-0000-000027350000}"/>
    <cellStyle name="Normal 13 8 2 2 2 2 2" xfId="50126" xr:uid="{00000000-0005-0000-0000-000028350000}"/>
    <cellStyle name="Normal 13 8 2 2 2 2 3" xfId="50127" xr:uid="{00000000-0005-0000-0000-000029350000}"/>
    <cellStyle name="Normal 13 8 2 2 2 3" xfId="9503" xr:uid="{00000000-0005-0000-0000-00002A350000}"/>
    <cellStyle name="Normal 13 8 2 2 2 3 2" xfId="50128" xr:uid="{00000000-0005-0000-0000-00002B350000}"/>
    <cellStyle name="Normal 13 8 2 2 2 4" xfId="9504" xr:uid="{00000000-0005-0000-0000-00002C350000}"/>
    <cellStyle name="Normal 13 8 2 2 2 5" xfId="9505" xr:uid="{00000000-0005-0000-0000-00002D350000}"/>
    <cellStyle name="Normal 13 8 2 2 2 6" xfId="9506" xr:uid="{00000000-0005-0000-0000-00002E350000}"/>
    <cellStyle name="Normal 13 8 2 2 3" xfId="9507" xr:uid="{00000000-0005-0000-0000-00002F350000}"/>
    <cellStyle name="Normal 13 8 2 2 3 2" xfId="50129" xr:uid="{00000000-0005-0000-0000-000030350000}"/>
    <cellStyle name="Normal 13 8 2 2 3 3" xfId="50130" xr:uid="{00000000-0005-0000-0000-000031350000}"/>
    <cellStyle name="Normal 13 8 2 2 4" xfId="9508" xr:uid="{00000000-0005-0000-0000-000032350000}"/>
    <cellStyle name="Normal 13 8 2 2 4 2" xfId="50131" xr:uid="{00000000-0005-0000-0000-000033350000}"/>
    <cellStyle name="Normal 13 8 2 2 5" xfId="9509" xr:uid="{00000000-0005-0000-0000-000034350000}"/>
    <cellStyle name="Normal 13 8 2 2 6" xfId="9510" xr:uid="{00000000-0005-0000-0000-000035350000}"/>
    <cellStyle name="Normal 13 8 2 2 7" xfId="9511" xr:uid="{00000000-0005-0000-0000-000036350000}"/>
    <cellStyle name="Normal 13 8 2 3" xfId="9512" xr:uid="{00000000-0005-0000-0000-000037350000}"/>
    <cellStyle name="Normal 13 8 2 3 2" xfId="9513" xr:uid="{00000000-0005-0000-0000-000038350000}"/>
    <cellStyle name="Normal 13 8 2 3 2 2" xfId="50132" xr:uid="{00000000-0005-0000-0000-000039350000}"/>
    <cellStyle name="Normal 13 8 2 3 2 3" xfId="50133" xr:uid="{00000000-0005-0000-0000-00003A350000}"/>
    <cellStyle name="Normal 13 8 2 3 3" xfId="9514" xr:uid="{00000000-0005-0000-0000-00003B350000}"/>
    <cellStyle name="Normal 13 8 2 3 3 2" xfId="50134" xr:uid="{00000000-0005-0000-0000-00003C350000}"/>
    <cellStyle name="Normal 13 8 2 3 4" xfId="9515" xr:uid="{00000000-0005-0000-0000-00003D350000}"/>
    <cellStyle name="Normal 13 8 2 3 5" xfId="9516" xr:uid="{00000000-0005-0000-0000-00003E350000}"/>
    <cellStyle name="Normal 13 8 2 3 6" xfId="9517" xr:uid="{00000000-0005-0000-0000-00003F350000}"/>
    <cellStyle name="Normal 13 8 2 4" xfId="9518" xr:uid="{00000000-0005-0000-0000-000040350000}"/>
    <cellStyle name="Normal 13 8 2 4 2" xfId="50135" xr:uid="{00000000-0005-0000-0000-000041350000}"/>
    <cellStyle name="Normal 13 8 2 4 3" xfId="50136" xr:uid="{00000000-0005-0000-0000-000042350000}"/>
    <cellStyle name="Normal 13 8 2 5" xfId="9519" xr:uid="{00000000-0005-0000-0000-000043350000}"/>
    <cellStyle name="Normal 13 8 2 5 2" xfId="50137" xr:uid="{00000000-0005-0000-0000-000044350000}"/>
    <cellStyle name="Normal 13 8 2 6" xfId="9520" xr:uid="{00000000-0005-0000-0000-000045350000}"/>
    <cellStyle name="Normal 13 8 2 7" xfId="9521" xr:uid="{00000000-0005-0000-0000-000046350000}"/>
    <cellStyle name="Normal 13 8 2 8" xfId="9522" xr:uid="{00000000-0005-0000-0000-000047350000}"/>
    <cellStyle name="Normal 13 8 2 9" xfId="9523" xr:uid="{00000000-0005-0000-0000-000048350000}"/>
    <cellStyle name="Normal 13 8 3" xfId="9524" xr:uid="{00000000-0005-0000-0000-000049350000}"/>
    <cellStyle name="Normal 13 8 3 2" xfId="9525" xr:uid="{00000000-0005-0000-0000-00004A350000}"/>
    <cellStyle name="Normal 13 8 3 2 2" xfId="9526" xr:uid="{00000000-0005-0000-0000-00004B350000}"/>
    <cellStyle name="Normal 13 8 3 2 2 2" xfId="9527" xr:uid="{00000000-0005-0000-0000-00004C350000}"/>
    <cellStyle name="Normal 13 8 3 2 2 2 2" xfId="50138" xr:uid="{00000000-0005-0000-0000-00004D350000}"/>
    <cellStyle name="Normal 13 8 3 2 2 2 3" xfId="50139" xr:uid="{00000000-0005-0000-0000-00004E350000}"/>
    <cellStyle name="Normal 13 8 3 2 2 3" xfId="9528" xr:uid="{00000000-0005-0000-0000-00004F350000}"/>
    <cellStyle name="Normal 13 8 3 2 2 3 2" xfId="50140" xr:uid="{00000000-0005-0000-0000-000050350000}"/>
    <cellStyle name="Normal 13 8 3 2 2 4" xfId="9529" xr:uid="{00000000-0005-0000-0000-000051350000}"/>
    <cellStyle name="Normal 13 8 3 2 2 5" xfId="9530" xr:uid="{00000000-0005-0000-0000-000052350000}"/>
    <cellStyle name="Normal 13 8 3 2 2 6" xfId="9531" xr:uid="{00000000-0005-0000-0000-000053350000}"/>
    <cellStyle name="Normal 13 8 3 2 3" xfId="9532" xr:uid="{00000000-0005-0000-0000-000054350000}"/>
    <cellStyle name="Normal 13 8 3 2 3 2" xfId="50141" xr:uid="{00000000-0005-0000-0000-000055350000}"/>
    <cellStyle name="Normal 13 8 3 2 3 3" xfId="50142" xr:uid="{00000000-0005-0000-0000-000056350000}"/>
    <cellStyle name="Normal 13 8 3 2 4" xfId="9533" xr:uid="{00000000-0005-0000-0000-000057350000}"/>
    <cellStyle name="Normal 13 8 3 2 4 2" xfId="50143" xr:uid="{00000000-0005-0000-0000-000058350000}"/>
    <cellStyle name="Normal 13 8 3 2 5" xfId="9534" xr:uid="{00000000-0005-0000-0000-000059350000}"/>
    <cellStyle name="Normal 13 8 3 2 6" xfId="9535" xr:uid="{00000000-0005-0000-0000-00005A350000}"/>
    <cellStyle name="Normal 13 8 3 2 7" xfId="9536" xr:uid="{00000000-0005-0000-0000-00005B350000}"/>
    <cellStyle name="Normal 13 8 3 3" xfId="9537" xr:uid="{00000000-0005-0000-0000-00005C350000}"/>
    <cellStyle name="Normal 13 8 3 3 2" xfId="9538" xr:uid="{00000000-0005-0000-0000-00005D350000}"/>
    <cellStyle name="Normal 13 8 3 3 2 2" xfId="50144" xr:uid="{00000000-0005-0000-0000-00005E350000}"/>
    <cellStyle name="Normal 13 8 3 3 2 3" xfId="50145" xr:uid="{00000000-0005-0000-0000-00005F350000}"/>
    <cellStyle name="Normal 13 8 3 3 3" xfId="9539" xr:uid="{00000000-0005-0000-0000-000060350000}"/>
    <cellStyle name="Normal 13 8 3 3 3 2" xfId="50146" xr:uid="{00000000-0005-0000-0000-000061350000}"/>
    <cellStyle name="Normal 13 8 3 3 4" xfId="9540" xr:uid="{00000000-0005-0000-0000-000062350000}"/>
    <cellStyle name="Normal 13 8 3 3 5" xfId="9541" xr:uid="{00000000-0005-0000-0000-000063350000}"/>
    <cellStyle name="Normal 13 8 3 3 6" xfId="9542" xr:uid="{00000000-0005-0000-0000-000064350000}"/>
    <cellStyle name="Normal 13 8 3 4" xfId="9543" xr:uid="{00000000-0005-0000-0000-000065350000}"/>
    <cellStyle name="Normal 13 8 3 4 2" xfId="50147" xr:uid="{00000000-0005-0000-0000-000066350000}"/>
    <cellStyle name="Normal 13 8 3 4 3" xfId="50148" xr:uid="{00000000-0005-0000-0000-000067350000}"/>
    <cellStyle name="Normal 13 8 3 5" xfId="9544" xr:uid="{00000000-0005-0000-0000-000068350000}"/>
    <cellStyle name="Normal 13 8 3 5 2" xfId="50149" xr:uid="{00000000-0005-0000-0000-000069350000}"/>
    <cellStyle name="Normal 13 8 3 6" xfId="9545" xr:uid="{00000000-0005-0000-0000-00006A350000}"/>
    <cellStyle name="Normal 13 8 3 7" xfId="9546" xr:uid="{00000000-0005-0000-0000-00006B350000}"/>
    <cellStyle name="Normal 13 8 3 8" xfId="9547" xr:uid="{00000000-0005-0000-0000-00006C350000}"/>
    <cellStyle name="Normal 13 8 4" xfId="9548" xr:uid="{00000000-0005-0000-0000-00006D350000}"/>
    <cellStyle name="Normal 13 8 4 2" xfId="9549" xr:uid="{00000000-0005-0000-0000-00006E350000}"/>
    <cellStyle name="Normal 13 8 4 2 2" xfId="9550" xr:uid="{00000000-0005-0000-0000-00006F350000}"/>
    <cellStyle name="Normal 13 8 4 2 2 2" xfId="50150" xr:uid="{00000000-0005-0000-0000-000070350000}"/>
    <cellStyle name="Normal 13 8 4 2 2 3" xfId="50151" xr:uid="{00000000-0005-0000-0000-000071350000}"/>
    <cellStyle name="Normal 13 8 4 2 3" xfId="9551" xr:uid="{00000000-0005-0000-0000-000072350000}"/>
    <cellStyle name="Normal 13 8 4 2 3 2" xfId="50152" xr:uid="{00000000-0005-0000-0000-000073350000}"/>
    <cellStyle name="Normal 13 8 4 2 4" xfId="9552" xr:uid="{00000000-0005-0000-0000-000074350000}"/>
    <cellStyle name="Normal 13 8 4 2 5" xfId="9553" xr:uid="{00000000-0005-0000-0000-000075350000}"/>
    <cellStyle name="Normal 13 8 4 2 6" xfId="9554" xr:uid="{00000000-0005-0000-0000-000076350000}"/>
    <cellStyle name="Normal 13 8 4 3" xfId="9555" xr:uid="{00000000-0005-0000-0000-000077350000}"/>
    <cellStyle name="Normal 13 8 4 3 2" xfId="50153" xr:uid="{00000000-0005-0000-0000-000078350000}"/>
    <cellStyle name="Normal 13 8 4 3 3" xfId="50154" xr:uid="{00000000-0005-0000-0000-000079350000}"/>
    <cellStyle name="Normal 13 8 4 4" xfId="9556" xr:uid="{00000000-0005-0000-0000-00007A350000}"/>
    <cellStyle name="Normal 13 8 4 4 2" xfId="50155" xr:uid="{00000000-0005-0000-0000-00007B350000}"/>
    <cellStyle name="Normal 13 8 4 5" xfId="9557" xr:uid="{00000000-0005-0000-0000-00007C350000}"/>
    <cellStyle name="Normal 13 8 4 6" xfId="9558" xr:uid="{00000000-0005-0000-0000-00007D350000}"/>
    <cellStyle name="Normal 13 8 4 7" xfId="9559" xr:uid="{00000000-0005-0000-0000-00007E350000}"/>
    <cellStyle name="Normal 13 8 5" xfId="9560" xr:uid="{00000000-0005-0000-0000-00007F350000}"/>
    <cellStyle name="Normal 13 8 5 2" xfId="9561" xr:uid="{00000000-0005-0000-0000-000080350000}"/>
    <cellStyle name="Normal 13 8 5 2 2" xfId="50156" xr:uid="{00000000-0005-0000-0000-000081350000}"/>
    <cellStyle name="Normal 13 8 5 2 3" xfId="50157" xr:uid="{00000000-0005-0000-0000-000082350000}"/>
    <cellStyle name="Normal 13 8 5 3" xfId="9562" xr:uid="{00000000-0005-0000-0000-000083350000}"/>
    <cellStyle name="Normal 13 8 5 3 2" xfId="50158" xr:uid="{00000000-0005-0000-0000-000084350000}"/>
    <cellStyle name="Normal 13 8 5 4" xfId="9563" xr:uid="{00000000-0005-0000-0000-000085350000}"/>
    <cellStyle name="Normal 13 8 5 5" xfId="9564" xr:uid="{00000000-0005-0000-0000-000086350000}"/>
    <cellStyle name="Normal 13 8 5 6" xfId="9565" xr:uid="{00000000-0005-0000-0000-000087350000}"/>
    <cellStyle name="Normal 13 8 6" xfId="9566" xr:uid="{00000000-0005-0000-0000-000088350000}"/>
    <cellStyle name="Normal 13 8 6 2" xfId="50159" xr:uid="{00000000-0005-0000-0000-000089350000}"/>
    <cellStyle name="Normal 13 8 6 3" xfId="50160" xr:uid="{00000000-0005-0000-0000-00008A350000}"/>
    <cellStyle name="Normal 13 8 7" xfId="9567" xr:uid="{00000000-0005-0000-0000-00008B350000}"/>
    <cellStyle name="Normal 13 8 7 2" xfId="50161" xr:uid="{00000000-0005-0000-0000-00008C350000}"/>
    <cellStyle name="Normal 13 8 8" xfId="9568" xr:uid="{00000000-0005-0000-0000-00008D350000}"/>
    <cellStyle name="Normal 13 8 9" xfId="9569" xr:uid="{00000000-0005-0000-0000-00008E350000}"/>
    <cellStyle name="Normal 13 9" xfId="9570" xr:uid="{00000000-0005-0000-0000-00008F350000}"/>
    <cellStyle name="Normal 13 9 10" xfId="9571" xr:uid="{00000000-0005-0000-0000-000090350000}"/>
    <cellStyle name="Normal 13 9 11" xfId="9572" xr:uid="{00000000-0005-0000-0000-000091350000}"/>
    <cellStyle name="Normal 13 9 12" xfId="9573" xr:uid="{00000000-0005-0000-0000-000092350000}"/>
    <cellStyle name="Normal 13 9 13" xfId="9574" xr:uid="{00000000-0005-0000-0000-000093350000}"/>
    <cellStyle name="Normal 13 9 2" xfId="9575" xr:uid="{00000000-0005-0000-0000-000094350000}"/>
    <cellStyle name="Normal 13 9 2 2" xfId="9576" xr:uid="{00000000-0005-0000-0000-000095350000}"/>
    <cellStyle name="Normal 13 9 2 2 2" xfId="9577" xr:uid="{00000000-0005-0000-0000-000096350000}"/>
    <cellStyle name="Normal 13 9 2 2 2 2" xfId="9578" xr:uid="{00000000-0005-0000-0000-000097350000}"/>
    <cellStyle name="Normal 13 9 2 2 2 2 2" xfId="50162" xr:uid="{00000000-0005-0000-0000-000098350000}"/>
    <cellStyle name="Normal 13 9 2 2 2 2 3" xfId="50163" xr:uid="{00000000-0005-0000-0000-000099350000}"/>
    <cellStyle name="Normal 13 9 2 2 2 3" xfId="9579" xr:uid="{00000000-0005-0000-0000-00009A350000}"/>
    <cellStyle name="Normal 13 9 2 2 2 3 2" xfId="50164" xr:uid="{00000000-0005-0000-0000-00009B350000}"/>
    <cellStyle name="Normal 13 9 2 2 2 4" xfId="9580" xr:uid="{00000000-0005-0000-0000-00009C350000}"/>
    <cellStyle name="Normal 13 9 2 2 2 5" xfId="9581" xr:uid="{00000000-0005-0000-0000-00009D350000}"/>
    <cellStyle name="Normal 13 9 2 2 2 6" xfId="9582" xr:uid="{00000000-0005-0000-0000-00009E350000}"/>
    <cellStyle name="Normal 13 9 2 2 3" xfId="9583" xr:uid="{00000000-0005-0000-0000-00009F350000}"/>
    <cellStyle name="Normal 13 9 2 2 3 2" xfId="50165" xr:uid="{00000000-0005-0000-0000-0000A0350000}"/>
    <cellStyle name="Normal 13 9 2 2 3 3" xfId="50166" xr:uid="{00000000-0005-0000-0000-0000A1350000}"/>
    <cellStyle name="Normal 13 9 2 2 4" xfId="9584" xr:uid="{00000000-0005-0000-0000-0000A2350000}"/>
    <cellStyle name="Normal 13 9 2 2 4 2" xfId="50167" xr:uid="{00000000-0005-0000-0000-0000A3350000}"/>
    <cellStyle name="Normal 13 9 2 2 5" xfId="9585" xr:uid="{00000000-0005-0000-0000-0000A4350000}"/>
    <cellStyle name="Normal 13 9 2 2 6" xfId="9586" xr:uid="{00000000-0005-0000-0000-0000A5350000}"/>
    <cellStyle name="Normal 13 9 2 2 7" xfId="9587" xr:uid="{00000000-0005-0000-0000-0000A6350000}"/>
    <cellStyle name="Normal 13 9 2 3" xfId="9588" xr:uid="{00000000-0005-0000-0000-0000A7350000}"/>
    <cellStyle name="Normal 13 9 2 3 2" xfId="9589" xr:uid="{00000000-0005-0000-0000-0000A8350000}"/>
    <cellStyle name="Normal 13 9 2 3 2 2" xfId="50168" xr:uid="{00000000-0005-0000-0000-0000A9350000}"/>
    <cellStyle name="Normal 13 9 2 3 2 3" xfId="50169" xr:uid="{00000000-0005-0000-0000-0000AA350000}"/>
    <cellStyle name="Normal 13 9 2 3 3" xfId="9590" xr:uid="{00000000-0005-0000-0000-0000AB350000}"/>
    <cellStyle name="Normal 13 9 2 3 3 2" xfId="50170" xr:uid="{00000000-0005-0000-0000-0000AC350000}"/>
    <cellStyle name="Normal 13 9 2 3 4" xfId="9591" xr:uid="{00000000-0005-0000-0000-0000AD350000}"/>
    <cellStyle name="Normal 13 9 2 3 5" xfId="9592" xr:uid="{00000000-0005-0000-0000-0000AE350000}"/>
    <cellStyle name="Normal 13 9 2 3 6" xfId="9593" xr:uid="{00000000-0005-0000-0000-0000AF350000}"/>
    <cellStyle name="Normal 13 9 2 4" xfId="9594" xr:uid="{00000000-0005-0000-0000-0000B0350000}"/>
    <cellStyle name="Normal 13 9 2 4 2" xfId="50171" xr:uid="{00000000-0005-0000-0000-0000B1350000}"/>
    <cellStyle name="Normal 13 9 2 4 3" xfId="50172" xr:uid="{00000000-0005-0000-0000-0000B2350000}"/>
    <cellStyle name="Normal 13 9 2 5" xfId="9595" xr:uid="{00000000-0005-0000-0000-0000B3350000}"/>
    <cellStyle name="Normal 13 9 2 5 2" xfId="50173" xr:uid="{00000000-0005-0000-0000-0000B4350000}"/>
    <cellStyle name="Normal 13 9 2 6" xfId="9596" xr:uid="{00000000-0005-0000-0000-0000B5350000}"/>
    <cellStyle name="Normal 13 9 2 7" xfId="9597" xr:uid="{00000000-0005-0000-0000-0000B6350000}"/>
    <cellStyle name="Normal 13 9 2 8" xfId="9598" xr:uid="{00000000-0005-0000-0000-0000B7350000}"/>
    <cellStyle name="Normal 13 9 2 9" xfId="9599" xr:uid="{00000000-0005-0000-0000-0000B8350000}"/>
    <cellStyle name="Normal 13 9 3" xfId="9600" xr:uid="{00000000-0005-0000-0000-0000B9350000}"/>
    <cellStyle name="Normal 13 9 3 2" xfId="9601" xr:uid="{00000000-0005-0000-0000-0000BA350000}"/>
    <cellStyle name="Normal 13 9 3 2 2" xfId="9602" xr:uid="{00000000-0005-0000-0000-0000BB350000}"/>
    <cellStyle name="Normal 13 9 3 2 2 2" xfId="50174" xr:uid="{00000000-0005-0000-0000-0000BC350000}"/>
    <cellStyle name="Normal 13 9 3 2 2 3" xfId="50175" xr:uid="{00000000-0005-0000-0000-0000BD350000}"/>
    <cellStyle name="Normal 13 9 3 2 3" xfId="9603" xr:uid="{00000000-0005-0000-0000-0000BE350000}"/>
    <cellStyle name="Normal 13 9 3 2 3 2" xfId="50176" xr:uid="{00000000-0005-0000-0000-0000BF350000}"/>
    <cellStyle name="Normal 13 9 3 2 4" xfId="9604" xr:uid="{00000000-0005-0000-0000-0000C0350000}"/>
    <cellStyle name="Normal 13 9 3 2 5" xfId="9605" xr:uid="{00000000-0005-0000-0000-0000C1350000}"/>
    <cellStyle name="Normal 13 9 3 2 6" xfId="9606" xr:uid="{00000000-0005-0000-0000-0000C2350000}"/>
    <cellStyle name="Normal 13 9 3 3" xfId="9607" xr:uid="{00000000-0005-0000-0000-0000C3350000}"/>
    <cellStyle name="Normal 13 9 3 3 2" xfId="50177" xr:uid="{00000000-0005-0000-0000-0000C4350000}"/>
    <cellStyle name="Normal 13 9 3 3 3" xfId="50178" xr:uid="{00000000-0005-0000-0000-0000C5350000}"/>
    <cellStyle name="Normal 13 9 3 4" xfId="9608" xr:uid="{00000000-0005-0000-0000-0000C6350000}"/>
    <cellStyle name="Normal 13 9 3 4 2" xfId="50179" xr:uid="{00000000-0005-0000-0000-0000C7350000}"/>
    <cellStyle name="Normal 13 9 3 5" xfId="9609" xr:uid="{00000000-0005-0000-0000-0000C8350000}"/>
    <cellStyle name="Normal 13 9 3 6" xfId="9610" xr:uid="{00000000-0005-0000-0000-0000C9350000}"/>
    <cellStyle name="Normal 13 9 3 7" xfId="9611" xr:uid="{00000000-0005-0000-0000-0000CA350000}"/>
    <cellStyle name="Normal 13 9 4" xfId="9612" xr:uid="{00000000-0005-0000-0000-0000CB350000}"/>
    <cellStyle name="Normal 13 9 4 2" xfId="9613" xr:uid="{00000000-0005-0000-0000-0000CC350000}"/>
    <cellStyle name="Normal 13 9 4 2 2" xfId="50180" xr:uid="{00000000-0005-0000-0000-0000CD350000}"/>
    <cellStyle name="Normal 13 9 4 2 3" xfId="50181" xr:uid="{00000000-0005-0000-0000-0000CE350000}"/>
    <cellStyle name="Normal 13 9 4 3" xfId="9614" xr:uid="{00000000-0005-0000-0000-0000CF350000}"/>
    <cellStyle name="Normal 13 9 4 3 2" xfId="50182" xr:uid="{00000000-0005-0000-0000-0000D0350000}"/>
    <cellStyle name="Normal 13 9 4 4" xfId="9615" xr:uid="{00000000-0005-0000-0000-0000D1350000}"/>
    <cellStyle name="Normal 13 9 4 5" xfId="9616" xr:uid="{00000000-0005-0000-0000-0000D2350000}"/>
    <cellStyle name="Normal 13 9 4 6" xfId="9617" xr:uid="{00000000-0005-0000-0000-0000D3350000}"/>
    <cellStyle name="Normal 13 9 5" xfId="9618" xr:uid="{00000000-0005-0000-0000-0000D4350000}"/>
    <cellStyle name="Normal 13 9 5 2" xfId="50183" xr:uid="{00000000-0005-0000-0000-0000D5350000}"/>
    <cellStyle name="Normal 13 9 5 3" xfId="50184" xr:uid="{00000000-0005-0000-0000-0000D6350000}"/>
    <cellStyle name="Normal 13 9 6" xfId="9619" xr:uid="{00000000-0005-0000-0000-0000D7350000}"/>
    <cellStyle name="Normal 13 9 6 2" xfId="50185" xr:uid="{00000000-0005-0000-0000-0000D8350000}"/>
    <cellStyle name="Normal 13 9 7" xfId="9620" xr:uid="{00000000-0005-0000-0000-0000D9350000}"/>
    <cellStyle name="Normal 13 9 8" xfId="9621" xr:uid="{00000000-0005-0000-0000-0000DA350000}"/>
    <cellStyle name="Normal 13 9 9" xfId="9622" xr:uid="{00000000-0005-0000-0000-0000DB350000}"/>
    <cellStyle name="Normal 14" xfId="9623" xr:uid="{00000000-0005-0000-0000-0000DC350000}"/>
    <cellStyle name="Normal 14 10" xfId="9624" xr:uid="{00000000-0005-0000-0000-0000DD350000}"/>
    <cellStyle name="Normal 14 10 2" xfId="9625" xr:uid="{00000000-0005-0000-0000-0000DE350000}"/>
    <cellStyle name="Normal 14 10 2 2" xfId="9626" xr:uid="{00000000-0005-0000-0000-0000DF350000}"/>
    <cellStyle name="Normal 14 10 2 2 2" xfId="9627" xr:uid="{00000000-0005-0000-0000-0000E0350000}"/>
    <cellStyle name="Normal 14 10 2 2 2 2" xfId="50186" xr:uid="{00000000-0005-0000-0000-0000E1350000}"/>
    <cellStyle name="Normal 14 10 2 2 2 3" xfId="50187" xr:uid="{00000000-0005-0000-0000-0000E2350000}"/>
    <cellStyle name="Normal 14 10 2 2 3" xfId="9628" xr:uid="{00000000-0005-0000-0000-0000E3350000}"/>
    <cellStyle name="Normal 14 10 2 2 3 2" xfId="50188" xr:uid="{00000000-0005-0000-0000-0000E4350000}"/>
    <cellStyle name="Normal 14 10 2 2 4" xfId="9629" xr:uid="{00000000-0005-0000-0000-0000E5350000}"/>
    <cellStyle name="Normal 14 10 2 2 5" xfId="9630" xr:uid="{00000000-0005-0000-0000-0000E6350000}"/>
    <cellStyle name="Normal 14 10 2 2 6" xfId="9631" xr:uid="{00000000-0005-0000-0000-0000E7350000}"/>
    <cellStyle name="Normal 14 10 2 3" xfId="9632" xr:uid="{00000000-0005-0000-0000-0000E8350000}"/>
    <cellStyle name="Normal 14 10 2 3 2" xfId="50189" xr:uid="{00000000-0005-0000-0000-0000E9350000}"/>
    <cellStyle name="Normal 14 10 2 3 3" xfId="50190" xr:uid="{00000000-0005-0000-0000-0000EA350000}"/>
    <cellStyle name="Normal 14 10 2 4" xfId="9633" xr:uid="{00000000-0005-0000-0000-0000EB350000}"/>
    <cellStyle name="Normal 14 10 2 4 2" xfId="50191" xr:uid="{00000000-0005-0000-0000-0000EC350000}"/>
    <cellStyle name="Normal 14 10 2 5" xfId="9634" xr:uid="{00000000-0005-0000-0000-0000ED350000}"/>
    <cellStyle name="Normal 14 10 2 6" xfId="9635" xr:uid="{00000000-0005-0000-0000-0000EE350000}"/>
    <cellStyle name="Normal 14 10 2 7" xfId="9636" xr:uid="{00000000-0005-0000-0000-0000EF350000}"/>
    <cellStyle name="Normal 14 10 3" xfId="9637" xr:uid="{00000000-0005-0000-0000-0000F0350000}"/>
    <cellStyle name="Normal 14 10 3 2" xfId="9638" xr:uid="{00000000-0005-0000-0000-0000F1350000}"/>
    <cellStyle name="Normal 14 10 3 2 2" xfId="50192" xr:uid="{00000000-0005-0000-0000-0000F2350000}"/>
    <cellStyle name="Normal 14 10 3 2 3" xfId="50193" xr:uid="{00000000-0005-0000-0000-0000F3350000}"/>
    <cellStyle name="Normal 14 10 3 3" xfId="9639" xr:uid="{00000000-0005-0000-0000-0000F4350000}"/>
    <cellStyle name="Normal 14 10 3 3 2" xfId="50194" xr:uid="{00000000-0005-0000-0000-0000F5350000}"/>
    <cellStyle name="Normal 14 10 3 4" xfId="9640" xr:uid="{00000000-0005-0000-0000-0000F6350000}"/>
    <cellStyle name="Normal 14 10 3 5" xfId="9641" xr:uid="{00000000-0005-0000-0000-0000F7350000}"/>
    <cellStyle name="Normal 14 10 3 6" xfId="9642" xr:uid="{00000000-0005-0000-0000-0000F8350000}"/>
    <cellStyle name="Normal 14 10 4" xfId="9643" xr:uid="{00000000-0005-0000-0000-0000F9350000}"/>
    <cellStyle name="Normal 14 10 4 2" xfId="50195" xr:uid="{00000000-0005-0000-0000-0000FA350000}"/>
    <cellStyle name="Normal 14 10 4 3" xfId="50196" xr:uid="{00000000-0005-0000-0000-0000FB350000}"/>
    <cellStyle name="Normal 14 10 5" xfId="9644" xr:uid="{00000000-0005-0000-0000-0000FC350000}"/>
    <cellStyle name="Normal 14 10 5 2" xfId="50197" xr:uid="{00000000-0005-0000-0000-0000FD350000}"/>
    <cellStyle name="Normal 14 10 6" xfId="9645" xr:uid="{00000000-0005-0000-0000-0000FE350000}"/>
    <cellStyle name="Normal 14 10 7" xfId="9646" xr:uid="{00000000-0005-0000-0000-0000FF350000}"/>
    <cellStyle name="Normal 14 10 8" xfId="9647" xr:uid="{00000000-0005-0000-0000-000000360000}"/>
    <cellStyle name="Normal 14 11" xfId="9648" xr:uid="{00000000-0005-0000-0000-000001360000}"/>
    <cellStyle name="Normal 14 11 2" xfId="9649" xr:uid="{00000000-0005-0000-0000-000002360000}"/>
    <cellStyle name="Normal 14 11 2 2" xfId="9650" xr:uid="{00000000-0005-0000-0000-000003360000}"/>
    <cellStyle name="Normal 14 11 2 2 2" xfId="9651" xr:uid="{00000000-0005-0000-0000-000004360000}"/>
    <cellStyle name="Normal 14 11 2 2 2 2" xfId="50198" xr:uid="{00000000-0005-0000-0000-000005360000}"/>
    <cellStyle name="Normal 14 11 2 2 2 3" xfId="50199" xr:uid="{00000000-0005-0000-0000-000006360000}"/>
    <cellStyle name="Normal 14 11 2 2 3" xfId="9652" xr:uid="{00000000-0005-0000-0000-000007360000}"/>
    <cellStyle name="Normal 14 11 2 2 3 2" xfId="50200" xr:uid="{00000000-0005-0000-0000-000008360000}"/>
    <cellStyle name="Normal 14 11 2 2 4" xfId="9653" xr:uid="{00000000-0005-0000-0000-000009360000}"/>
    <cellStyle name="Normal 14 11 2 2 5" xfId="9654" xr:uid="{00000000-0005-0000-0000-00000A360000}"/>
    <cellStyle name="Normal 14 11 2 2 6" xfId="9655" xr:uid="{00000000-0005-0000-0000-00000B360000}"/>
    <cellStyle name="Normal 14 11 2 3" xfId="9656" xr:uid="{00000000-0005-0000-0000-00000C360000}"/>
    <cellStyle name="Normal 14 11 2 3 2" xfId="50201" xr:uid="{00000000-0005-0000-0000-00000D360000}"/>
    <cellStyle name="Normal 14 11 2 3 3" xfId="50202" xr:uid="{00000000-0005-0000-0000-00000E360000}"/>
    <cellStyle name="Normal 14 11 2 4" xfId="9657" xr:uid="{00000000-0005-0000-0000-00000F360000}"/>
    <cellStyle name="Normal 14 11 2 4 2" xfId="50203" xr:uid="{00000000-0005-0000-0000-000010360000}"/>
    <cellStyle name="Normal 14 11 2 5" xfId="9658" xr:uid="{00000000-0005-0000-0000-000011360000}"/>
    <cellStyle name="Normal 14 11 2 6" xfId="9659" xr:uid="{00000000-0005-0000-0000-000012360000}"/>
    <cellStyle name="Normal 14 11 2 7" xfId="9660" xr:uid="{00000000-0005-0000-0000-000013360000}"/>
    <cellStyle name="Normal 14 11 3" xfId="9661" xr:uid="{00000000-0005-0000-0000-000014360000}"/>
    <cellStyle name="Normal 14 11 3 2" xfId="9662" xr:uid="{00000000-0005-0000-0000-000015360000}"/>
    <cellStyle name="Normal 14 11 3 2 2" xfId="50204" xr:uid="{00000000-0005-0000-0000-000016360000}"/>
    <cellStyle name="Normal 14 11 3 2 3" xfId="50205" xr:uid="{00000000-0005-0000-0000-000017360000}"/>
    <cellStyle name="Normal 14 11 3 3" xfId="9663" xr:uid="{00000000-0005-0000-0000-000018360000}"/>
    <cellStyle name="Normal 14 11 3 3 2" xfId="50206" xr:uid="{00000000-0005-0000-0000-000019360000}"/>
    <cellStyle name="Normal 14 11 3 4" xfId="9664" xr:uid="{00000000-0005-0000-0000-00001A360000}"/>
    <cellStyle name="Normal 14 11 3 5" xfId="9665" xr:uid="{00000000-0005-0000-0000-00001B360000}"/>
    <cellStyle name="Normal 14 11 3 6" xfId="9666" xr:uid="{00000000-0005-0000-0000-00001C360000}"/>
    <cellStyle name="Normal 14 11 4" xfId="9667" xr:uid="{00000000-0005-0000-0000-00001D360000}"/>
    <cellStyle name="Normal 14 11 4 2" xfId="50207" xr:uid="{00000000-0005-0000-0000-00001E360000}"/>
    <cellStyle name="Normal 14 11 4 3" xfId="50208" xr:uid="{00000000-0005-0000-0000-00001F360000}"/>
    <cellStyle name="Normal 14 11 5" xfId="9668" xr:uid="{00000000-0005-0000-0000-000020360000}"/>
    <cellStyle name="Normal 14 11 5 2" xfId="50209" xr:uid="{00000000-0005-0000-0000-000021360000}"/>
    <cellStyle name="Normal 14 11 6" xfId="9669" xr:uid="{00000000-0005-0000-0000-000022360000}"/>
    <cellStyle name="Normal 14 11 7" xfId="9670" xr:uid="{00000000-0005-0000-0000-000023360000}"/>
    <cellStyle name="Normal 14 11 8" xfId="9671" xr:uid="{00000000-0005-0000-0000-000024360000}"/>
    <cellStyle name="Normal 14 12" xfId="9672" xr:uid="{00000000-0005-0000-0000-000025360000}"/>
    <cellStyle name="Normal 14 12 2" xfId="9673" xr:uid="{00000000-0005-0000-0000-000026360000}"/>
    <cellStyle name="Normal 14 12 2 2" xfId="9674" xr:uid="{00000000-0005-0000-0000-000027360000}"/>
    <cellStyle name="Normal 14 12 2 2 2" xfId="50210" xr:uid="{00000000-0005-0000-0000-000028360000}"/>
    <cellStyle name="Normal 14 12 2 2 3" xfId="50211" xr:uid="{00000000-0005-0000-0000-000029360000}"/>
    <cellStyle name="Normal 14 12 2 3" xfId="9675" xr:uid="{00000000-0005-0000-0000-00002A360000}"/>
    <cellStyle name="Normal 14 12 2 3 2" xfId="50212" xr:uid="{00000000-0005-0000-0000-00002B360000}"/>
    <cellStyle name="Normal 14 12 2 4" xfId="9676" xr:uid="{00000000-0005-0000-0000-00002C360000}"/>
    <cellStyle name="Normal 14 12 2 5" xfId="9677" xr:uid="{00000000-0005-0000-0000-00002D360000}"/>
    <cellStyle name="Normal 14 12 2 6" xfId="9678" xr:uid="{00000000-0005-0000-0000-00002E360000}"/>
    <cellStyle name="Normal 14 12 3" xfId="9679" xr:uid="{00000000-0005-0000-0000-00002F360000}"/>
    <cellStyle name="Normal 14 12 3 2" xfId="50213" xr:uid="{00000000-0005-0000-0000-000030360000}"/>
    <cellStyle name="Normal 14 12 3 3" xfId="50214" xr:uid="{00000000-0005-0000-0000-000031360000}"/>
    <cellStyle name="Normal 14 12 4" xfId="9680" xr:uid="{00000000-0005-0000-0000-000032360000}"/>
    <cellStyle name="Normal 14 12 4 2" xfId="50215" xr:uid="{00000000-0005-0000-0000-000033360000}"/>
    <cellStyle name="Normal 14 12 5" xfId="9681" xr:uid="{00000000-0005-0000-0000-000034360000}"/>
    <cellStyle name="Normal 14 12 6" xfId="9682" xr:uid="{00000000-0005-0000-0000-000035360000}"/>
    <cellStyle name="Normal 14 12 7" xfId="9683" xr:uid="{00000000-0005-0000-0000-000036360000}"/>
    <cellStyle name="Normal 14 13" xfId="9684" xr:uid="{00000000-0005-0000-0000-000037360000}"/>
    <cellStyle name="Normal 14 13 2" xfId="9685" xr:uid="{00000000-0005-0000-0000-000038360000}"/>
    <cellStyle name="Normal 14 13 2 2" xfId="50216" xr:uid="{00000000-0005-0000-0000-000039360000}"/>
    <cellStyle name="Normal 14 13 2 3" xfId="50217" xr:uid="{00000000-0005-0000-0000-00003A360000}"/>
    <cellStyle name="Normal 14 13 3" xfId="9686" xr:uid="{00000000-0005-0000-0000-00003B360000}"/>
    <cellStyle name="Normal 14 13 3 2" xfId="50218" xr:uid="{00000000-0005-0000-0000-00003C360000}"/>
    <cellStyle name="Normal 14 13 4" xfId="9687" xr:uid="{00000000-0005-0000-0000-00003D360000}"/>
    <cellStyle name="Normal 14 13 5" xfId="9688" xr:uid="{00000000-0005-0000-0000-00003E360000}"/>
    <cellStyle name="Normal 14 13 6" xfId="9689" xr:uid="{00000000-0005-0000-0000-00003F360000}"/>
    <cellStyle name="Normal 14 14" xfId="9690" xr:uid="{00000000-0005-0000-0000-000040360000}"/>
    <cellStyle name="Normal 14 14 2" xfId="50219" xr:uid="{00000000-0005-0000-0000-000041360000}"/>
    <cellStyle name="Normal 14 14 3" xfId="50220" xr:uid="{00000000-0005-0000-0000-000042360000}"/>
    <cellStyle name="Normal 14 15" xfId="9691" xr:uid="{00000000-0005-0000-0000-000043360000}"/>
    <cellStyle name="Normal 14 15 2" xfId="50221" xr:uid="{00000000-0005-0000-0000-000044360000}"/>
    <cellStyle name="Normal 14 16" xfId="9692" xr:uid="{00000000-0005-0000-0000-000045360000}"/>
    <cellStyle name="Normal 14 16 2" xfId="50222" xr:uid="{00000000-0005-0000-0000-000046360000}"/>
    <cellStyle name="Normal 14 17" xfId="9693" xr:uid="{00000000-0005-0000-0000-000047360000}"/>
    <cellStyle name="Normal 14 18" xfId="9694" xr:uid="{00000000-0005-0000-0000-000048360000}"/>
    <cellStyle name="Normal 14 19" xfId="9695" xr:uid="{00000000-0005-0000-0000-000049360000}"/>
    <cellStyle name="Normal 14 2" xfId="9696" xr:uid="{00000000-0005-0000-0000-00004A360000}"/>
    <cellStyle name="Normal 14 2 10" xfId="9697" xr:uid="{00000000-0005-0000-0000-00004B360000}"/>
    <cellStyle name="Normal 14 2 10 2" xfId="9698" xr:uid="{00000000-0005-0000-0000-00004C360000}"/>
    <cellStyle name="Normal 14 2 10 2 2" xfId="9699" xr:uid="{00000000-0005-0000-0000-00004D360000}"/>
    <cellStyle name="Normal 14 2 10 2 2 2" xfId="50223" xr:uid="{00000000-0005-0000-0000-00004E360000}"/>
    <cellStyle name="Normal 14 2 10 2 2 3" xfId="50224" xr:uid="{00000000-0005-0000-0000-00004F360000}"/>
    <cellStyle name="Normal 14 2 10 2 3" xfId="9700" xr:uid="{00000000-0005-0000-0000-000050360000}"/>
    <cellStyle name="Normal 14 2 10 2 3 2" xfId="50225" xr:uid="{00000000-0005-0000-0000-000051360000}"/>
    <cellStyle name="Normal 14 2 10 2 4" xfId="9701" xr:uid="{00000000-0005-0000-0000-000052360000}"/>
    <cellStyle name="Normal 14 2 10 2 5" xfId="9702" xr:uid="{00000000-0005-0000-0000-000053360000}"/>
    <cellStyle name="Normal 14 2 10 2 6" xfId="9703" xr:uid="{00000000-0005-0000-0000-000054360000}"/>
    <cellStyle name="Normal 14 2 10 3" xfId="9704" xr:uid="{00000000-0005-0000-0000-000055360000}"/>
    <cellStyle name="Normal 14 2 10 3 2" xfId="50226" xr:uid="{00000000-0005-0000-0000-000056360000}"/>
    <cellStyle name="Normal 14 2 10 3 3" xfId="50227" xr:uid="{00000000-0005-0000-0000-000057360000}"/>
    <cellStyle name="Normal 14 2 10 4" xfId="9705" xr:uid="{00000000-0005-0000-0000-000058360000}"/>
    <cellStyle name="Normal 14 2 10 4 2" xfId="50228" xr:uid="{00000000-0005-0000-0000-000059360000}"/>
    <cellStyle name="Normal 14 2 10 5" xfId="9706" xr:uid="{00000000-0005-0000-0000-00005A360000}"/>
    <cellStyle name="Normal 14 2 10 6" xfId="9707" xr:uid="{00000000-0005-0000-0000-00005B360000}"/>
    <cellStyle name="Normal 14 2 10 7" xfId="9708" xr:uid="{00000000-0005-0000-0000-00005C360000}"/>
    <cellStyle name="Normal 14 2 11" xfId="9709" xr:uid="{00000000-0005-0000-0000-00005D360000}"/>
    <cellStyle name="Normal 14 2 11 2" xfId="9710" xr:uid="{00000000-0005-0000-0000-00005E360000}"/>
    <cellStyle name="Normal 14 2 11 2 2" xfId="50229" xr:uid="{00000000-0005-0000-0000-00005F360000}"/>
    <cellStyle name="Normal 14 2 11 2 3" xfId="50230" xr:uid="{00000000-0005-0000-0000-000060360000}"/>
    <cellStyle name="Normal 14 2 11 3" xfId="9711" xr:uid="{00000000-0005-0000-0000-000061360000}"/>
    <cellStyle name="Normal 14 2 11 3 2" xfId="50231" xr:uid="{00000000-0005-0000-0000-000062360000}"/>
    <cellStyle name="Normal 14 2 11 4" xfId="9712" xr:uid="{00000000-0005-0000-0000-000063360000}"/>
    <cellStyle name="Normal 14 2 11 5" xfId="9713" xr:uid="{00000000-0005-0000-0000-000064360000}"/>
    <cellStyle name="Normal 14 2 11 6" xfId="9714" xr:uid="{00000000-0005-0000-0000-000065360000}"/>
    <cellStyle name="Normal 14 2 12" xfId="9715" xr:uid="{00000000-0005-0000-0000-000066360000}"/>
    <cellStyle name="Normal 14 2 12 2" xfId="50232" xr:uid="{00000000-0005-0000-0000-000067360000}"/>
    <cellStyle name="Normal 14 2 12 3" xfId="50233" xr:uid="{00000000-0005-0000-0000-000068360000}"/>
    <cellStyle name="Normal 14 2 13" xfId="9716" xr:uid="{00000000-0005-0000-0000-000069360000}"/>
    <cellStyle name="Normal 14 2 13 2" xfId="50234" xr:uid="{00000000-0005-0000-0000-00006A360000}"/>
    <cellStyle name="Normal 14 2 14" xfId="9717" xr:uid="{00000000-0005-0000-0000-00006B360000}"/>
    <cellStyle name="Normal 14 2 14 2" xfId="50235" xr:uid="{00000000-0005-0000-0000-00006C360000}"/>
    <cellStyle name="Normal 14 2 15" xfId="9718" xr:uid="{00000000-0005-0000-0000-00006D360000}"/>
    <cellStyle name="Normal 14 2 16" xfId="9719" xr:uid="{00000000-0005-0000-0000-00006E360000}"/>
    <cellStyle name="Normal 14 2 17" xfId="9720" xr:uid="{00000000-0005-0000-0000-00006F360000}"/>
    <cellStyle name="Normal 14 2 18" xfId="9721" xr:uid="{00000000-0005-0000-0000-000070360000}"/>
    <cellStyle name="Normal 14 2 19" xfId="9722" xr:uid="{00000000-0005-0000-0000-000071360000}"/>
    <cellStyle name="Normal 14 2 2" xfId="9723" xr:uid="{00000000-0005-0000-0000-000072360000}"/>
    <cellStyle name="Normal 14 2 2 10" xfId="9724" xr:uid="{00000000-0005-0000-0000-000073360000}"/>
    <cellStyle name="Normal 14 2 2 11" xfId="9725" xr:uid="{00000000-0005-0000-0000-000074360000}"/>
    <cellStyle name="Normal 14 2 2 12" xfId="9726" xr:uid="{00000000-0005-0000-0000-000075360000}"/>
    <cellStyle name="Normal 14 2 2 13" xfId="9727" xr:uid="{00000000-0005-0000-0000-000076360000}"/>
    <cellStyle name="Normal 14 2 2 14" xfId="9728" xr:uid="{00000000-0005-0000-0000-000077360000}"/>
    <cellStyle name="Normal 14 2 2 15" xfId="9729" xr:uid="{00000000-0005-0000-0000-000078360000}"/>
    <cellStyle name="Normal 14 2 2 16" xfId="9730" xr:uid="{00000000-0005-0000-0000-000079360000}"/>
    <cellStyle name="Normal 14 2 2 2" xfId="9731" xr:uid="{00000000-0005-0000-0000-00007A360000}"/>
    <cellStyle name="Normal 14 2 2 2 10" xfId="9732" xr:uid="{00000000-0005-0000-0000-00007B360000}"/>
    <cellStyle name="Normal 14 2 2 2 11" xfId="9733" xr:uid="{00000000-0005-0000-0000-00007C360000}"/>
    <cellStyle name="Normal 14 2 2 2 12" xfId="9734" xr:uid="{00000000-0005-0000-0000-00007D360000}"/>
    <cellStyle name="Normal 14 2 2 2 13" xfId="9735" xr:uid="{00000000-0005-0000-0000-00007E360000}"/>
    <cellStyle name="Normal 14 2 2 2 14" xfId="9736" xr:uid="{00000000-0005-0000-0000-00007F360000}"/>
    <cellStyle name="Normal 14 2 2 2 2" xfId="9737" xr:uid="{00000000-0005-0000-0000-000080360000}"/>
    <cellStyle name="Normal 14 2 2 2 2 2" xfId="9738" xr:uid="{00000000-0005-0000-0000-000081360000}"/>
    <cellStyle name="Normal 14 2 2 2 2 2 2" xfId="9739" xr:uid="{00000000-0005-0000-0000-000082360000}"/>
    <cellStyle name="Normal 14 2 2 2 2 2 2 2" xfId="9740" xr:uid="{00000000-0005-0000-0000-000083360000}"/>
    <cellStyle name="Normal 14 2 2 2 2 2 2 2 2" xfId="50236" xr:uid="{00000000-0005-0000-0000-000084360000}"/>
    <cellStyle name="Normal 14 2 2 2 2 2 2 2 3" xfId="50237" xr:uid="{00000000-0005-0000-0000-000085360000}"/>
    <cellStyle name="Normal 14 2 2 2 2 2 2 3" xfId="9741" xr:uid="{00000000-0005-0000-0000-000086360000}"/>
    <cellStyle name="Normal 14 2 2 2 2 2 2 3 2" xfId="50238" xr:uid="{00000000-0005-0000-0000-000087360000}"/>
    <cellStyle name="Normal 14 2 2 2 2 2 2 4" xfId="9742" xr:uid="{00000000-0005-0000-0000-000088360000}"/>
    <cellStyle name="Normal 14 2 2 2 2 2 2 5" xfId="9743" xr:uid="{00000000-0005-0000-0000-000089360000}"/>
    <cellStyle name="Normal 14 2 2 2 2 2 2 6" xfId="9744" xr:uid="{00000000-0005-0000-0000-00008A360000}"/>
    <cellStyle name="Normal 14 2 2 2 2 2 3" xfId="9745" xr:uid="{00000000-0005-0000-0000-00008B360000}"/>
    <cellStyle name="Normal 14 2 2 2 2 2 3 2" xfId="50239" xr:uid="{00000000-0005-0000-0000-00008C360000}"/>
    <cellStyle name="Normal 14 2 2 2 2 2 3 3" xfId="50240" xr:uid="{00000000-0005-0000-0000-00008D360000}"/>
    <cellStyle name="Normal 14 2 2 2 2 2 4" xfId="9746" xr:uid="{00000000-0005-0000-0000-00008E360000}"/>
    <cellStyle name="Normal 14 2 2 2 2 2 4 2" xfId="50241" xr:uid="{00000000-0005-0000-0000-00008F360000}"/>
    <cellStyle name="Normal 14 2 2 2 2 2 5" xfId="9747" xr:uid="{00000000-0005-0000-0000-000090360000}"/>
    <cellStyle name="Normal 14 2 2 2 2 2 6" xfId="9748" xr:uid="{00000000-0005-0000-0000-000091360000}"/>
    <cellStyle name="Normal 14 2 2 2 2 2 7" xfId="9749" xr:uid="{00000000-0005-0000-0000-000092360000}"/>
    <cellStyle name="Normal 14 2 2 2 2 3" xfId="9750" xr:uid="{00000000-0005-0000-0000-000093360000}"/>
    <cellStyle name="Normal 14 2 2 2 2 3 2" xfId="9751" xr:uid="{00000000-0005-0000-0000-000094360000}"/>
    <cellStyle name="Normal 14 2 2 2 2 3 2 2" xfId="50242" xr:uid="{00000000-0005-0000-0000-000095360000}"/>
    <cellStyle name="Normal 14 2 2 2 2 3 2 3" xfId="50243" xr:uid="{00000000-0005-0000-0000-000096360000}"/>
    <cellStyle name="Normal 14 2 2 2 2 3 3" xfId="9752" xr:uid="{00000000-0005-0000-0000-000097360000}"/>
    <cellStyle name="Normal 14 2 2 2 2 3 3 2" xfId="50244" xr:uid="{00000000-0005-0000-0000-000098360000}"/>
    <cellStyle name="Normal 14 2 2 2 2 3 4" xfId="9753" xr:uid="{00000000-0005-0000-0000-000099360000}"/>
    <cellStyle name="Normal 14 2 2 2 2 3 5" xfId="9754" xr:uid="{00000000-0005-0000-0000-00009A360000}"/>
    <cellStyle name="Normal 14 2 2 2 2 3 6" xfId="9755" xr:uid="{00000000-0005-0000-0000-00009B360000}"/>
    <cellStyle name="Normal 14 2 2 2 2 4" xfId="9756" xr:uid="{00000000-0005-0000-0000-00009C360000}"/>
    <cellStyle name="Normal 14 2 2 2 2 4 2" xfId="50245" xr:uid="{00000000-0005-0000-0000-00009D360000}"/>
    <cellStyle name="Normal 14 2 2 2 2 4 3" xfId="50246" xr:uid="{00000000-0005-0000-0000-00009E360000}"/>
    <cellStyle name="Normal 14 2 2 2 2 5" xfId="9757" xr:uid="{00000000-0005-0000-0000-00009F360000}"/>
    <cellStyle name="Normal 14 2 2 2 2 5 2" xfId="50247" xr:uid="{00000000-0005-0000-0000-0000A0360000}"/>
    <cellStyle name="Normal 14 2 2 2 2 6" xfId="9758" xr:uid="{00000000-0005-0000-0000-0000A1360000}"/>
    <cellStyle name="Normal 14 2 2 2 2 7" xfId="9759" xr:uid="{00000000-0005-0000-0000-0000A2360000}"/>
    <cellStyle name="Normal 14 2 2 2 2 8" xfId="9760" xr:uid="{00000000-0005-0000-0000-0000A3360000}"/>
    <cellStyle name="Normal 14 2 2 2 2 9" xfId="9761" xr:uid="{00000000-0005-0000-0000-0000A4360000}"/>
    <cellStyle name="Normal 14 2 2 2 3" xfId="9762" xr:uid="{00000000-0005-0000-0000-0000A5360000}"/>
    <cellStyle name="Normal 14 2 2 2 3 2" xfId="9763" xr:uid="{00000000-0005-0000-0000-0000A6360000}"/>
    <cellStyle name="Normal 14 2 2 2 3 2 2" xfId="9764" xr:uid="{00000000-0005-0000-0000-0000A7360000}"/>
    <cellStyle name="Normal 14 2 2 2 3 2 2 2" xfId="9765" xr:uid="{00000000-0005-0000-0000-0000A8360000}"/>
    <cellStyle name="Normal 14 2 2 2 3 2 2 2 2" xfId="50248" xr:uid="{00000000-0005-0000-0000-0000A9360000}"/>
    <cellStyle name="Normal 14 2 2 2 3 2 2 2 3" xfId="50249" xr:uid="{00000000-0005-0000-0000-0000AA360000}"/>
    <cellStyle name="Normal 14 2 2 2 3 2 2 3" xfId="9766" xr:uid="{00000000-0005-0000-0000-0000AB360000}"/>
    <cellStyle name="Normal 14 2 2 2 3 2 2 3 2" xfId="50250" xr:uid="{00000000-0005-0000-0000-0000AC360000}"/>
    <cellStyle name="Normal 14 2 2 2 3 2 2 4" xfId="9767" xr:uid="{00000000-0005-0000-0000-0000AD360000}"/>
    <cellStyle name="Normal 14 2 2 2 3 2 2 5" xfId="9768" xr:uid="{00000000-0005-0000-0000-0000AE360000}"/>
    <cellStyle name="Normal 14 2 2 2 3 2 2 6" xfId="9769" xr:uid="{00000000-0005-0000-0000-0000AF360000}"/>
    <cellStyle name="Normal 14 2 2 2 3 2 3" xfId="9770" xr:uid="{00000000-0005-0000-0000-0000B0360000}"/>
    <cellStyle name="Normal 14 2 2 2 3 2 3 2" xfId="50251" xr:uid="{00000000-0005-0000-0000-0000B1360000}"/>
    <cellStyle name="Normal 14 2 2 2 3 2 3 3" xfId="50252" xr:uid="{00000000-0005-0000-0000-0000B2360000}"/>
    <cellStyle name="Normal 14 2 2 2 3 2 4" xfId="9771" xr:uid="{00000000-0005-0000-0000-0000B3360000}"/>
    <cellStyle name="Normal 14 2 2 2 3 2 4 2" xfId="50253" xr:uid="{00000000-0005-0000-0000-0000B4360000}"/>
    <cellStyle name="Normal 14 2 2 2 3 2 5" xfId="9772" xr:uid="{00000000-0005-0000-0000-0000B5360000}"/>
    <cellStyle name="Normal 14 2 2 2 3 2 6" xfId="9773" xr:uid="{00000000-0005-0000-0000-0000B6360000}"/>
    <cellStyle name="Normal 14 2 2 2 3 2 7" xfId="9774" xr:uid="{00000000-0005-0000-0000-0000B7360000}"/>
    <cellStyle name="Normal 14 2 2 2 3 3" xfId="9775" xr:uid="{00000000-0005-0000-0000-0000B8360000}"/>
    <cellStyle name="Normal 14 2 2 2 3 3 2" xfId="9776" xr:uid="{00000000-0005-0000-0000-0000B9360000}"/>
    <cellStyle name="Normal 14 2 2 2 3 3 2 2" xfId="50254" xr:uid="{00000000-0005-0000-0000-0000BA360000}"/>
    <cellStyle name="Normal 14 2 2 2 3 3 2 3" xfId="50255" xr:uid="{00000000-0005-0000-0000-0000BB360000}"/>
    <cellStyle name="Normal 14 2 2 2 3 3 3" xfId="9777" xr:uid="{00000000-0005-0000-0000-0000BC360000}"/>
    <cellStyle name="Normal 14 2 2 2 3 3 3 2" xfId="50256" xr:uid="{00000000-0005-0000-0000-0000BD360000}"/>
    <cellStyle name="Normal 14 2 2 2 3 3 4" xfId="9778" xr:uid="{00000000-0005-0000-0000-0000BE360000}"/>
    <cellStyle name="Normal 14 2 2 2 3 3 5" xfId="9779" xr:uid="{00000000-0005-0000-0000-0000BF360000}"/>
    <cellStyle name="Normal 14 2 2 2 3 3 6" xfId="9780" xr:uid="{00000000-0005-0000-0000-0000C0360000}"/>
    <cellStyle name="Normal 14 2 2 2 3 4" xfId="9781" xr:uid="{00000000-0005-0000-0000-0000C1360000}"/>
    <cellStyle name="Normal 14 2 2 2 3 4 2" xfId="50257" xr:uid="{00000000-0005-0000-0000-0000C2360000}"/>
    <cellStyle name="Normal 14 2 2 2 3 4 3" xfId="50258" xr:uid="{00000000-0005-0000-0000-0000C3360000}"/>
    <cellStyle name="Normal 14 2 2 2 3 5" xfId="9782" xr:uid="{00000000-0005-0000-0000-0000C4360000}"/>
    <cellStyle name="Normal 14 2 2 2 3 5 2" xfId="50259" xr:uid="{00000000-0005-0000-0000-0000C5360000}"/>
    <cellStyle name="Normal 14 2 2 2 3 6" xfId="9783" xr:uid="{00000000-0005-0000-0000-0000C6360000}"/>
    <cellStyle name="Normal 14 2 2 2 3 7" xfId="9784" xr:uid="{00000000-0005-0000-0000-0000C7360000}"/>
    <cellStyle name="Normal 14 2 2 2 3 8" xfId="9785" xr:uid="{00000000-0005-0000-0000-0000C8360000}"/>
    <cellStyle name="Normal 14 2 2 2 4" xfId="9786" xr:uid="{00000000-0005-0000-0000-0000C9360000}"/>
    <cellStyle name="Normal 14 2 2 2 4 2" xfId="9787" xr:uid="{00000000-0005-0000-0000-0000CA360000}"/>
    <cellStyle name="Normal 14 2 2 2 4 2 2" xfId="9788" xr:uid="{00000000-0005-0000-0000-0000CB360000}"/>
    <cellStyle name="Normal 14 2 2 2 4 2 2 2" xfId="50260" xr:uid="{00000000-0005-0000-0000-0000CC360000}"/>
    <cellStyle name="Normal 14 2 2 2 4 2 2 3" xfId="50261" xr:uid="{00000000-0005-0000-0000-0000CD360000}"/>
    <cellStyle name="Normal 14 2 2 2 4 2 3" xfId="9789" xr:uid="{00000000-0005-0000-0000-0000CE360000}"/>
    <cellStyle name="Normal 14 2 2 2 4 2 3 2" xfId="50262" xr:uid="{00000000-0005-0000-0000-0000CF360000}"/>
    <cellStyle name="Normal 14 2 2 2 4 2 4" xfId="9790" xr:uid="{00000000-0005-0000-0000-0000D0360000}"/>
    <cellStyle name="Normal 14 2 2 2 4 2 5" xfId="9791" xr:uid="{00000000-0005-0000-0000-0000D1360000}"/>
    <cellStyle name="Normal 14 2 2 2 4 2 6" xfId="9792" xr:uid="{00000000-0005-0000-0000-0000D2360000}"/>
    <cellStyle name="Normal 14 2 2 2 4 3" xfId="9793" xr:uid="{00000000-0005-0000-0000-0000D3360000}"/>
    <cellStyle name="Normal 14 2 2 2 4 3 2" xfId="50263" xr:uid="{00000000-0005-0000-0000-0000D4360000}"/>
    <cellStyle name="Normal 14 2 2 2 4 3 3" xfId="50264" xr:uid="{00000000-0005-0000-0000-0000D5360000}"/>
    <cellStyle name="Normal 14 2 2 2 4 4" xfId="9794" xr:uid="{00000000-0005-0000-0000-0000D6360000}"/>
    <cellStyle name="Normal 14 2 2 2 4 4 2" xfId="50265" xr:uid="{00000000-0005-0000-0000-0000D7360000}"/>
    <cellStyle name="Normal 14 2 2 2 4 5" xfId="9795" xr:uid="{00000000-0005-0000-0000-0000D8360000}"/>
    <cellStyle name="Normal 14 2 2 2 4 6" xfId="9796" xr:uid="{00000000-0005-0000-0000-0000D9360000}"/>
    <cellStyle name="Normal 14 2 2 2 4 7" xfId="9797" xr:uid="{00000000-0005-0000-0000-0000DA360000}"/>
    <cellStyle name="Normal 14 2 2 2 5" xfId="9798" xr:uid="{00000000-0005-0000-0000-0000DB360000}"/>
    <cellStyle name="Normal 14 2 2 2 5 2" xfId="9799" xr:uid="{00000000-0005-0000-0000-0000DC360000}"/>
    <cellStyle name="Normal 14 2 2 2 5 2 2" xfId="50266" xr:uid="{00000000-0005-0000-0000-0000DD360000}"/>
    <cellStyle name="Normal 14 2 2 2 5 2 3" xfId="50267" xr:uid="{00000000-0005-0000-0000-0000DE360000}"/>
    <cellStyle name="Normal 14 2 2 2 5 3" xfId="9800" xr:uid="{00000000-0005-0000-0000-0000DF360000}"/>
    <cellStyle name="Normal 14 2 2 2 5 3 2" xfId="50268" xr:uid="{00000000-0005-0000-0000-0000E0360000}"/>
    <cellStyle name="Normal 14 2 2 2 5 4" xfId="9801" xr:uid="{00000000-0005-0000-0000-0000E1360000}"/>
    <cellStyle name="Normal 14 2 2 2 5 5" xfId="9802" xr:uid="{00000000-0005-0000-0000-0000E2360000}"/>
    <cellStyle name="Normal 14 2 2 2 5 6" xfId="9803" xr:uid="{00000000-0005-0000-0000-0000E3360000}"/>
    <cellStyle name="Normal 14 2 2 2 6" xfId="9804" xr:uid="{00000000-0005-0000-0000-0000E4360000}"/>
    <cellStyle name="Normal 14 2 2 2 6 2" xfId="50269" xr:uid="{00000000-0005-0000-0000-0000E5360000}"/>
    <cellStyle name="Normal 14 2 2 2 6 3" xfId="50270" xr:uid="{00000000-0005-0000-0000-0000E6360000}"/>
    <cellStyle name="Normal 14 2 2 2 7" xfId="9805" xr:uid="{00000000-0005-0000-0000-0000E7360000}"/>
    <cellStyle name="Normal 14 2 2 2 7 2" xfId="50271" xr:uid="{00000000-0005-0000-0000-0000E8360000}"/>
    <cellStyle name="Normal 14 2 2 2 8" xfId="9806" xr:uid="{00000000-0005-0000-0000-0000E9360000}"/>
    <cellStyle name="Normal 14 2 2 2 9" xfId="9807" xr:uid="{00000000-0005-0000-0000-0000EA360000}"/>
    <cellStyle name="Normal 14 2 2 3" xfId="9808" xr:uid="{00000000-0005-0000-0000-0000EB360000}"/>
    <cellStyle name="Normal 14 2 2 3 2" xfId="9809" xr:uid="{00000000-0005-0000-0000-0000EC360000}"/>
    <cellStyle name="Normal 14 2 2 3 2 2" xfId="9810" xr:uid="{00000000-0005-0000-0000-0000ED360000}"/>
    <cellStyle name="Normal 14 2 2 3 2 2 2" xfId="9811" xr:uid="{00000000-0005-0000-0000-0000EE360000}"/>
    <cellStyle name="Normal 14 2 2 3 2 2 2 2" xfId="50272" xr:uid="{00000000-0005-0000-0000-0000EF360000}"/>
    <cellStyle name="Normal 14 2 2 3 2 2 2 3" xfId="50273" xr:uid="{00000000-0005-0000-0000-0000F0360000}"/>
    <cellStyle name="Normal 14 2 2 3 2 2 3" xfId="9812" xr:uid="{00000000-0005-0000-0000-0000F1360000}"/>
    <cellStyle name="Normal 14 2 2 3 2 2 3 2" xfId="50274" xr:uid="{00000000-0005-0000-0000-0000F2360000}"/>
    <cellStyle name="Normal 14 2 2 3 2 2 4" xfId="9813" xr:uid="{00000000-0005-0000-0000-0000F3360000}"/>
    <cellStyle name="Normal 14 2 2 3 2 2 5" xfId="9814" xr:uid="{00000000-0005-0000-0000-0000F4360000}"/>
    <cellStyle name="Normal 14 2 2 3 2 2 6" xfId="9815" xr:uid="{00000000-0005-0000-0000-0000F5360000}"/>
    <cellStyle name="Normal 14 2 2 3 2 3" xfId="9816" xr:uid="{00000000-0005-0000-0000-0000F6360000}"/>
    <cellStyle name="Normal 14 2 2 3 2 3 2" xfId="50275" xr:uid="{00000000-0005-0000-0000-0000F7360000}"/>
    <cellStyle name="Normal 14 2 2 3 2 3 3" xfId="50276" xr:uid="{00000000-0005-0000-0000-0000F8360000}"/>
    <cellStyle name="Normal 14 2 2 3 2 4" xfId="9817" xr:uid="{00000000-0005-0000-0000-0000F9360000}"/>
    <cellStyle name="Normal 14 2 2 3 2 4 2" xfId="50277" xr:uid="{00000000-0005-0000-0000-0000FA360000}"/>
    <cellStyle name="Normal 14 2 2 3 2 5" xfId="9818" xr:uid="{00000000-0005-0000-0000-0000FB360000}"/>
    <cellStyle name="Normal 14 2 2 3 2 6" xfId="9819" xr:uid="{00000000-0005-0000-0000-0000FC360000}"/>
    <cellStyle name="Normal 14 2 2 3 2 7" xfId="9820" xr:uid="{00000000-0005-0000-0000-0000FD360000}"/>
    <cellStyle name="Normal 14 2 2 3 3" xfId="9821" xr:uid="{00000000-0005-0000-0000-0000FE360000}"/>
    <cellStyle name="Normal 14 2 2 3 3 2" xfId="9822" xr:uid="{00000000-0005-0000-0000-0000FF360000}"/>
    <cellStyle name="Normal 14 2 2 3 3 2 2" xfId="50278" xr:uid="{00000000-0005-0000-0000-000000370000}"/>
    <cellStyle name="Normal 14 2 2 3 3 2 3" xfId="50279" xr:uid="{00000000-0005-0000-0000-000001370000}"/>
    <cellStyle name="Normal 14 2 2 3 3 3" xfId="9823" xr:uid="{00000000-0005-0000-0000-000002370000}"/>
    <cellStyle name="Normal 14 2 2 3 3 3 2" xfId="50280" xr:uid="{00000000-0005-0000-0000-000003370000}"/>
    <cellStyle name="Normal 14 2 2 3 3 4" xfId="9824" xr:uid="{00000000-0005-0000-0000-000004370000}"/>
    <cellStyle name="Normal 14 2 2 3 3 5" xfId="9825" xr:uid="{00000000-0005-0000-0000-000005370000}"/>
    <cellStyle name="Normal 14 2 2 3 3 6" xfId="9826" xr:uid="{00000000-0005-0000-0000-000006370000}"/>
    <cellStyle name="Normal 14 2 2 3 4" xfId="9827" xr:uid="{00000000-0005-0000-0000-000007370000}"/>
    <cellStyle name="Normal 14 2 2 3 4 2" xfId="50281" xr:uid="{00000000-0005-0000-0000-000008370000}"/>
    <cellStyle name="Normal 14 2 2 3 4 3" xfId="50282" xr:uid="{00000000-0005-0000-0000-000009370000}"/>
    <cellStyle name="Normal 14 2 2 3 5" xfId="9828" xr:uid="{00000000-0005-0000-0000-00000A370000}"/>
    <cellStyle name="Normal 14 2 2 3 5 2" xfId="50283" xr:uid="{00000000-0005-0000-0000-00000B370000}"/>
    <cellStyle name="Normal 14 2 2 3 6" xfId="9829" xr:uid="{00000000-0005-0000-0000-00000C370000}"/>
    <cellStyle name="Normal 14 2 2 3 7" xfId="9830" xr:uid="{00000000-0005-0000-0000-00000D370000}"/>
    <cellStyle name="Normal 14 2 2 3 8" xfId="9831" xr:uid="{00000000-0005-0000-0000-00000E370000}"/>
    <cellStyle name="Normal 14 2 2 3 9" xfId="9832" xr:uid="{00000000-0005-0000-0000-00000F370000}"/>
    <cellStyle name="Normal 14 2 2 4" xfId="9833" xr:uid="{00000000-0005-0000-0000-000010370000}"/>
    <cellStyle name="Normal 14 2 2 4 2" xfId="9834" xr:uid="{00000000-0005-0000-0000-000011370000}"/>
    <cellStyle name="Normal 14 2 2 4 2 2" xfId="9835" xr:uid="{00000000-0005-0000-0000-000012370000}"/>
    <cellStyle name="Normal 14 2 2 4 2 2 2" xfId="9836" xr:uid="{00000000-0005-0000-0000-000013370000}"/>
    <cellStyle name="Normal 14 2 2 4 2 2 2 2" xfId="50284" xr:uid="{00000000-0005-0000-0000-000014370000}"/>
    <cellStyle name="Normal 14 2 2 4 2 2 2 3" xfId="50285" xr:uid="{00000000-0005-0000-0000-000015370000}"/>
    <cellStyle name="Normal 14 2 2 4 2 2 3" xfId="9837" xr:uid="{00000000-0005-0000-0000-000016370000}"/>
    <cellStyle name="Normal 14 2 2 4 2 2 3 2" xfId="50286" xr:uid="{00000000-0005-0000-0000-000017370000}"/>
    <cellStyle name="Normal 14 2 2 4 2 2 4" xfId="9838" xr:uid="{00000000-0005-0000-0000-000018370000}"/>
    <cellStyle name="Normal 14 2 2 4 2 2 5" xfId="9839" xr:uid="{00000000-0005-0000-0000-000019370000}"/>
    <cellStyle name="Normal 14 2 2 4 2 2 6" xfId="9840" xr:uid="{00000000-0005-0000-0000-00001A370000}"/>
    <cellStyle name="Normal 14 2 2 4 2 3" xfId="9841" xr:uid="{00000000-0005-0000-0000-00001B370000}"/>
    <cellStyle name="Normal 14 2 2 4 2 3 2" xfId="50287" xr:uid="{00000000-0005-0000-0000-00001C370000}"/>
    <cellStyle name="Normal 14 2 2 4 2 3 3" xfId="50288" xr:uid="{00000000-0005-0000-0000-00001D370000}"/>
    <cellStyle name="Normal 14 2 2 4 2 4" xfId="9842" xr:uid="{00000000-0005-0000-0000-00001E370000}"/>
    <cellStyle name="Normal 14 2 2 4 2 4 2" xfId="50289" xr:uid="{00000000-0005-0000-0000-00001F370000}"/>
    <cellStyle name="Normal 14 2 2 4 2 5" xfId="9843" xr:uid="{00000000-0005-0000-0000-000020370000}"/>
    <cellStyle name="Normal 14 2 2 4 2 6" xfId="9844" xr:uid="{00000000-0005-0000-0000-000021370000}"/>
    <cellStyle name="Normal 14 2 2 4 2 7" xfId="9845" xr:uid="{00000000-0005-0000-0000-000022370000}"/>
    <cellStyle name="Normal 14 2 2 4 3" xfId="9846" xr:uid="{00000000-0005-0000-0000-000023370000}"/>
    <cellStyle name="Normal 14 2 2 4 3 2" xfId="9847" xr:uid="{00000000-0005-0000-0000-000024370000}"/>
    <cellStyle name="Normal 14 2 2 4 3 2 2" xfId="50290" xr:uid="{00000000-0005-0000-0000-000025370000}"/>
    <cellStyle name="Normal 14 2 2 4 3 2 3" xfId="50291" xr:uid="{00000000-0005-0000-0000-000026370000}"/>
    <cellStyle name="Normal 14 2 2 4 3 3" xfId="9848" xr:uid="{00000000-0005-0000-0000-000027370000}"/>
    <cellStyle name="Normal 14 2 2 4 3 3 2" xfId="50292" xr:uid="{00000000-0005-0000-0000-000028370000}"/>
    <cellStyle name="Normal 14 2 2 4 3 4" xfId="9849" xr:uid="{00000000-0005-0000-0000-000029370000}"/>
    <cellStyle name="Normal 14 2 2 4 3 5" xfId="9850" xr:uid="{00000000-0005-0000-0000-00002A370000}"/>
    <cellStyle name="Normal 14 2 2 4 3 6" xfId="9851" xr:uid="{00000000-0005-0000-0000-00002B370000}"/>
    <cellStyle name="Normal 14 2 2 4 4" xfId="9852" xr:uid="{00000000-0005-0000-0000-00002C370000}"/>
    <cellStyle name="Normal 14 2 2 4 4 2" xfId="50293" xr:uid="{00000000-0005-0000-0000-00002D370000}"/>
    <cellStyle name="Normal 14 2 2 4 4 3" xfId="50294" xr:uid="{00000000-0005-0000-0000-00002E370000}"/>
    <cellStyle name="Normal 14 2 2 4 5" xfId="9853" xr:uid="{00000000-0005-0000-0000-00002F370000}"/>
    <cellStyle name="Normal 14 2 2 4 5 2" xfId="50295" xr:uid="{00000000-0005-0000-0000-000030370000}"/>
    <cellStyle name="Normal 14 2 2 4 6" xfId="9854" xr:uid="{00000000-0005-0000-0000-000031370000}"/>
    <cellStyle name="Normal 14 2 2 4 7" xfId="9855" xr:uid="{00000000-0005-0000-0000-000032370000}"/>
    <cellStyle name="Normal 14 2 2 4 8" xfId="9856" xr:uid="{00000000-0005-0000-0000-000033370000}"/>
    <cellStyle name="Normal 14 2 2 5" xfId="9857" xr:uid="{00000000-0005-0000-0000-000034370000}"/>
    <cellStyle name="Normal 14 2 2 5 2" xfId="9858" xr:uid="{00000000-0005-0000-0000-000035370000}"/>
    <cellStyle name="Normal 14 2 2 5 2 2" xfId="9859" xr:uid="{00000000-0005-0000-0000-000036370000}"/>
    <cellStyle name="Normal 14 2 2 5 2 2 2" xfId="50296" xr:uid="{00000000-0005-0000-0000-000037370000}"/>
    <cellStyle name="Normal 14 2 2 5 2 2 3" xfId="50297" xr:uid="{00000000-0005-0000-0000-000038370000}"/>
    <cellStyle name="Normal 14 2 2 5 2 3" xfId="9860" xr:uid="{00000000-0005-0000-0000-000039370000}"/>
    <cellStyle name="Normal 14 2 2 5 2 3 2" xfId="50298" xr:uid="{00000000-0005-0000-0000-00003A370000}"/>
    <cellStyle name="Normal 14 2 2 5 2 4" xfId="9861" xr:uid="{00000000-0005-0000-0000-00003B370000}"/>
    <cellStyle name="Normal 14 2 2 5 2 5" xfId="9862" xr:uid="{00000000-0005-0000-0000-00003C370000}"/>
    <cellStyle name="Normal 14 2 2 5 2 6" xfId="9863" xr:uid="{00000000-0005-0000-0000-00003D370000}"/>
    <cellStyle name="Normal 14 2 2 5 3" xfId="9864" xr:uid="{00000000-0005-0000-0000-00003E370000}"/>
    <cellStyle name="Normal 14 2 2 5 3 2" xfId="50299" xr:uid="{00000000-0005-0000-0000-00003F370000}"/>
    <cellStyle name="Normal 14 2 2 5 3 3" xfId="50300" xr:uid="{00000000-0005-0000-0000-000040370000}"/>
    <cellStyle name="Normal 14 2 2 5 4" xfId="9865" xr:uid="{00000000-0005-0000-0000-000041370000}"/>
    <cellStyle name="Normal 14 2 2 5 4 2" xfId="50301" xr:uid="{00000000-0005-0000-0000-000042370000}"/>
    <cellStyle name="Normal 14 2 2 5 5" xfId="9866" xr:uid="{00000000-0005-0000-0000-000043370000}"/>
    <cellStyle name="Normal 14 2 2 5 6" xfId="9867" xr:uid="{00000000-0005-0000-0000-000044370000}"/>
    <cellStyle name="Normal 14 2 2 5 7" xfId="9868" xr:uid="{00000000-0005-0000-0000-000045370000}"/>
    <cellStyle name="Normal 14 2 2 6" xfId="9869" xr:uid="{00000000-0005-0000-0000-000046370000}"/>
    <cellStyle name="Normal 14 2 2 6 2" xfId="9870" xr:uid="{00000000-0005-0000-0000-000047370000}"/>
    <cellStyle name="Normal 14 2 2 6 2 2" xfId="50302" xr:uid="{00000000-0005-0000-0000-000048370000}"/>
    <cellStyle name="Normal 14 2 2 6 2 3" xfId="50303" xr:uid="{00000000-0005-0000-0000-000049370000}"/>
    <cellStyle name="Normal 14 2 2 6 3" xfId="9871" xr:uid="{00000000-0005-0000-0000-00004A370000}"/>
    <cellStyle name="Normal 14 2 2 6 3 2" xfId="50304" xr:uid="{00000000-0005-0000-0000-00004B370000}"/>
    <cellStyle name="Normal 14 2 2 6 4" xfId="9872" xr:uid="{00000000-0005-0000-0000-00004C370000}"/>
    <cellStyle name="Normal 14 2 2 6 5" xfId="9873" xr:uid="{00000000-0005-0000-0000-00004D370000}"/>
    <cellStyle name="Normal 14 2 2 6 6" xfId="9874" xr:uid="{00000000-0005-0000-0000-00004E370000}"/>
    <cellStyle name="Normal 14 2 2 7" xfId="9875" xr:uid="{00000000-0005-0000-0000-00004F370000}"/>
    <cellStyle name="Normal 14 2 2 7 2" xfId="50305" xr:uid="{00000000-0005-0000-0000-000050370000}"/>
    <cellStyle name="Normal 14 2 2 7 3" xfId="50306" xr:uid="{00000000-0005-0000-0000-000051370000}"/>
    <cellStyle name="Normal 14 2 2 8" xfId="9876" xr:uid="{00000000-0005-0000-0000-000052370000}"/>
    <cellStyle name="Normal 14 2 2 8 2" xfId="50307" xr:uid="{00000000-0005-0000-0000-000053370000}"/>
    <cellStyle name="Normal 14 2 2 9" xfId="9877" xr:uid="{00000000-0005-0000-0000-000054370000}"/>
    <cellStyle name="Normal 14 2 2 9 2" xfId="50308" xr:uid="{00000000-0005-0000-0000-000055370000}"/>
    <cellStyle name="Normal 14 2 20" xfId="9878" xr:uid="{00000000-0005-0000-0000-000056370000}"/>
    <cellStyle name="Normal 14 2 3" xfId="9879" xr:uid="{00000000-0005-0000-0000-000057370000}"/>
    <cellStyle name="Normal 14 2 3 10" xfId="9880" xr:uid="{00000000-0005-0000-0000-000058370000}"/>
    <cellStyle name="Normal 14 2 3 11" xfId="9881" xr:uid="{00000000-0005-0000-0000-000059370000}"/>
    <cellStyle name="Normal 14 2 3 12" xfId="9882" xr:uid="{00000000-0005-0000-0000-00005A370000}"/>
    <cellStyle name="Normal 14 2 3 13" xfId="9883" xr:uid="{00000000-0005-0000-0000-00005B370000}"/>
    <cellStyle name="Normal 14 2 3 14" xfId="9884" xr:uid="{00000000-0005-0000-0000-00005C370000}"/>
    <cellStyle name="Normal 14 2 3 15" xfId="9885" xr:uid="{00000000-0005-0000-0000-00005D370000}"/>
    <cellStyle name="Normal 14 2 3 2" xfId="9886" xr:uid="{00000000-0005-0000-0000-00005E370000}"/>
    <cellStyle name="Normal 14 2 3 2 10" xfId="9887" xr:uid="{00000000-0005-0000-0000-00005F370000}"/>
    <cellStyle name="Normal 14 2 3 2 11" xfId="9888" xr:uid="{00000000-0005-0000-0000-000060370000}"/>
    <cellStyle name="Normal 14 2 3 2 12" xfId="9889" xr:uid="{00000000-0005-0000-0000-000061370000}"/>
    <cellStyle name="Normal 14 2 3 2 13" xfId="9890" xr:uid="{00000000-0005-0000-0000-000062370000}"/>
    <cellStyle name="Normal 14 2 3 2 14" xfId="9891" xr:uid="{00000000-0005-0000-0000-000063370000}"/>
    <cellStyle name="Normal 14 2 3 2 2" xfId="9892" xr:uid="{00000000-0005-0000-0000-000064370000}"/>
    <cellStyle name="Normal 14 2 3 2 2 2" xfId="9893" xr:uid="{00000000-0005-0000-0000-000065370000}"/>
    <cellStyle name="Normal 14 2 3 2 2 2 2" xfId="9894" xr:uid="{00000000-0005-0000-0000-000066370000}"/>
    <cellStyle name="Normal 14 2 3 2 2 2 2 2" xfId="9895" xr:uid="{00000000-0005-0000-0000-000067370000}"/>
    <cellStyle name="Normal 14 2 3 2 2 2 2 2 2" xfId="50309" xr:uid="{00000000-0005-0000-0000-000068370000}"/>
    <cellStyle name="Normal 14 2 3 2 2 2 2 2 3" xfId="50310" xr:uid="{00000000-0005-0000-0000-000069370000}"/>
    <cellStyle name="Normal 14 2 3 2 2 2 2 3" xfId="9896" xr:uid="{00000000-0005-0000-0000-00006A370000}"/>
    <cellStyle name="Normal 14 2 3 2 2 2 2 3 2" xfId="50311" xr:uid="{00000000-0005-0000-0000-00006B370000}"/>
    <cellStyle name="Normal 14 2 3 2 2 2 2 4" xfId="9897" xr:uid="{00000000-0005-0000-0000-00006C370000}"/>
    <cellStyle name="Normal 14 2 3 2 2 2 2 5" xfId="9898" xr:uid="{00000000-0005-0000-0000-00006D370000}"/>
    <cellStyle name="Normal 14 2 3 2 2 2 2 6" xfId="9899" xr:uid="{00000000-0005-0000-0000-00006E370000}"/>
    <cellStyle name="Normal 14 2 3 2 2 2 3" xfId="9900" xr:uid="{00000000-0005-0000-0000-00006F370000}"/>
    <cellStyle name="Normal 14 2 3 2 2 2 3 2" xfId="50312" xr:uid="{00000000-0005-0000-0000-000070370000}"/>
    <cellStyle name="Normal 14 2 3 2 2 2 3 3" xfId="50313" xr:uid="{00000000-0005-0000-0000-000071370000}"/>
    <cellStyle name="Normal 14 2 3 2 2 2 4" xfId="9901" xr:uid="{00000000-0005-0000-0000-000072370000}"/>
    <cellStyle name="Normal 14 2 3 2 2 2 4 2" xfId="50314" xr:uid="{00000000-0005-0000-0000-000073370000}"/>
    <cellStyle name="Normal 14 2 3 2 2 2 5" xfId="9902" xr:uid="{00000000-0005-0000-0000-000074370000}"/>
    <cellStyle name="Normal 14 2 3 2 2 2 6" xfId="9903" xr:uid="{00000000-0005-0000-0000-000075370000}"/>
    <cellStyle name="Normal 14 2 3 2 2 2 7" xfId="9904" xr:uid="{00000000-0005-0000-0000-000076370000}"/>
    <cellStyle name="Normal 14 2 3 2 2 3" xfId="9905" xr:uid="{00000000-0005-0000-0000-000077370000}"/>
    <cellStyle name="Normal 14 2 3 2 2 3 2" xfId="9906" xr:uid="{00000000-0005-0000-0000-000078370000}"/>
    <cellStyle name="Normal 14 2 3 2 2 3 2 2" xfId="50315" xr:uid="{00000000-0005-0000-0000-000079370000}"/>
    <cellStyle name="Normal 14 2 3 2 2 3 2 3" xfId="50316" xr:uid="{00000000-0005-0000-0000-00007A370000}"/>
    <cellStyle name="Normal 14 2 3 2 2 3 3" xfId="9907" xr:uid="{00000000-0005-0000-0000-00007B370000}"/>
    <cellStyle name="Normal 14 2 3 2 2 3 3 2" xfId="50317" xr:uid="{00000000-0005-0000-0000-00007C370000}"/>
    <cellStyle name="Normal 14 2 3 2 2 3 4" xfId="9908" xr:uid="{00000000-0005-0000-0000-00007D370000}"/>
    <cellStyle name="Normal 14 2 3 2 2 3 5" xfId="9909" xr:uid="{00000000-0005-0000-0000-00007E370000}"/>
    <cellStyle name="Normal 14 2 3 2 2 3 6" xfId="9910" xr:uid="{00000000-0005-0000-0000-00007F370000}"/>
    <cellStyle name="Normal 14 2 3 2 2 4" xfId="9911" xr:uid="{00000000-0005-0000-0000-000080370000}"/>
    <cellStyle name="Normal 14 2 3 2 2 4 2" xfId="50318" xr:uid="{00000000-0005-0000-0000-000081370000}"/>
    <cellStyle name="Normal 14 2 3 2 2 4 3" xfId="50319" xr:uid="{00000000-0005-0000-0000-000082370000}"/>
    <cellStyle name="Normal 14 2 3 2 2 5" xfId="9912" xr:uid="{00000000-0005-0000-0000-000083370000}"/>
    <cellStyle name="Normal 14 2 3 2 2 5 2" xfId="50320" xr:uid="{00000000-0005-0000-0000-000084370000}"/>
    <cellStyle name="Normal 14 2 3 2 2 6" xfId="9913" xr:uid="{00000000-0005-0000-0000-000085370000}"/>
    <cellStyle name="Normal 14 2 3 2 2 7" xfId="9914" xr:uid="{00000000-0005-0000-0000-000086370000}"/>
    <cellStyle name="Normal 14 2 3 2 2 8" xfId="9915" xr:uid="{00000000-0005-0000-0000-000087370000}"/>
    <cellStyle name="Normal 14 2 3 2 2 9" xfId="9916" xr:uid="{00000000-0005-0000-0000-000088370000}"/>
    <cellStyle name="Normal 14 2 3 2 3" xfId="9917" xr:uid="{00000000-0005-0000-0000-000089370000}"/>
    <cellStyle name="Normal 14 2 3 2 3 2" xfId="9918" xr:uid="{00000000-0005-0000-0000-00008A370000}"/>
    <cellStyle name="Normal 14 2 3 2 3 2 2" xfId="9919" xr:uid="{00000000-0005-0000-0000-00008B370000}"/>
    <cellStyle name="Normal 14 2 3 2 3 2 2 2" xfId="9920" xr:uid="{00000000-0005-0000-0000-00008C370000}"/>
    <cellStyle name="Normal 14 2 3 2 3 2 2 2 2" xfId="50321" xr:uid="{00000000-0005-0000-0000-00008D370000}"/>
    <cellStyle name="Normal 14 2 3 2 3 2 2 2 3" xfId="50322" xr:uid="{00000000-0005-0000-0000-00008E370000}"/>
    <cellStyle name="Normal 14 2 3 2 3 2 2 3" xfId="9921" xr:uid="{00000000-0005-0000-0000-00008F370000}"/>
    <cellStyle name="Normal 14 2 3 2 3 2 2 3 2" xfId="50323" xr:uid="{00000000-0005-0000-0000-000090370000}"/>
    <cellStyle name="Normal 14 2 3 2 3 2 2 4" xfId="9922" xr:uid="{00000000-0005-0000-0000-000091370000}"/>
    <cellStyle name="Normal 14 2 3 2 3 2 2 5" xfId="9923" xr:uid="{00000000-0005-0000-0000-000092370000}"/>
    <cellStyle name="Normal 14 2 3 2 3 2 2 6" xfId="9924" xr:uid="{00000000-0005-0000-0000-000093370000}"/>
    <cellStyle name="Normal 14 2 3 2 3 2 3" xfId="9925" xr:uid="{00000000-0005-0000-0000-000094370000}"/>
    <cellStyle name="Normal 14 2 3 2 3 2 3 2" xfId="50324" xr:uid="{00000000-0005-0000-0000-000095370000}"/>
    <cellStyle name="Normal 14 2 3 2 3 2 3 3" xfId="50325" xr:uid="{00000000-0005-0000-0000-000096370000}"/>
    <cellStyle name="Normal 14 2 3 2 3 2 4" xfId="9926" xr:uid="{00000000-0005-0000-0000-000097370000}"/>
    <cellStyle name="Normal 14 2 3 2 3 2 4 2" xfId="50326" xr:uid="{00000000-0005-0000-0000-000098370000}"/>
    <cellStyle name="Normal 14 2 3 2 3 2 5" xfId="9927" xr:uid="{00000000-0005-0000-0000-000099370000}"/>
    <cellStyle name="Normal 14 2 3 2 3 2 6" xfId="9928" xr:uid="{00000000-0005-0000-0000-00009A370000}"/>
    <cellStyle name="Normal 14 2 3 2 3 2 7" xfId="9929" xr:uid="{00000000-0005-0000-0000-00009B370000}"/>
    <cellStyle name="Normal 14 2 3 2 3 3" xfId="9930" xr:uid="{00000000-0005-0000-0000-00009C370000}"/>
    <cellStyle name="Normal 14 2 3 2 3 3 2" xfId="9931" xr:uid="{00000000-0005-0000-0000-00009D370000}"/>
    <cellStyle name="Normal 14 2 3 2 3 3 2 2" xfId="50327" xr:uid="{00000000-0005-0000-0000-00009E370000}"/>
    <cellStyle name="Normal 14 2 3 2 3 3 2 3" xfId="50328" xr:uid="{00000000-0005-0000-0000-00009F370000}"/>
    <cellStyle name="Normal 14 2 3 2 3 3 3" xfId="9932" xr:uid="{00000000-0005-0000-0000-0000A0370000}"/>
    <cellStyle name="Normal 14 2 3 2 3 3 3 2" xfId="50329" xr:uid="{00000000-0005-0000-0000-0000A1370000}"/>
    <cellStyle name="Normal 14 2 3 2 3 3 4" xfId="9933" xr:uid="{00000000-0005-0000-0000-0000A2370000}"/>
    <cellStyle name="Normal 14 2 3 2 3 3 5" xfId="9934" xr:uid="{00000000-0005-0000-0000-0000A3370000}"/>
    <cellStyle name="Normal 14 2 3 2 3 3 6" xfId="9935" xr:uid="{00000000-0005-0000-0000-0000A4370000}"/>
    <cellStyle name="Normal 14 2 3 2 3 4" xfId="9936" xr:uid="{00000000-0005-0000-0000-0000A5370000}"/>
    <cellStyle name="Normal 14 2 3 2 3 4 2" xfId="50330" xr:uid="{00000000-0005-0000-0000-0000A6370000}"/>
    <cellStyle name="Normal 14 2 3 2 3 4 3" xfId="50331" xr:uid="{00000000-0005-0000-0000-0000A7370000}"/>
    <cellStyle name="Normal 14 2 3 2 3 5" xfId="9937" xr:uid="{00000000-0005-0000-0000-0000A8370000}"/>
    <cellStyle name="Normal 14 2 3 2 3 5 2" xfId="50332" xr:uid="{00000000-0005-0000-0000-0000A9370000}"/>
    <cellStyle name="Normal 14 2 3 2 3 6" xfId="9938" xr:uid="{00000000-0005-0000-0000-0000AA370000}"/>
    <cellStyle name="Normal 14 2 3 2 3 7" xfId="9939" xr:uid="{00000000-0005-0000-0000-0000AB370000}"/>
    <cellStyle name="Normal 14 2 3 2 3 8" xfId="9940" xr:uid="{00000000-0005-0000-0000-0000AC370000}"/>
    <cellStyle name="Normal 14 2 3 2 4" xfId="9941" xr:uid="{00000000-0005-0000-0000-0000AD370000}"/>
    <cellStyle name="Normal 14 2 3 2 4 2" xfId="9942" xr:uid="{00000000-0005-0000-0000-0000AE370000}"/>
    <cellStyle name="Normal 14 2 3 2 4 2 2" xfId="9943" xr:uid="{00000000-0005-0000-0000-0000AF370000}"/>
    <cellStyle name="Normal 14 2 3 2 4 2 2 2" xfId="50333" xr:uid="{00000000-0005-0000-0000-0000B0370000}"/>
    <cellStyle name="Normal 14 2 3 2 4 2 2 3" xfId="50334" xr:uid="{00000000-0005-0000-0000-0000B1370000}"/>
    <cellStyle name="Normal 14 2 3 2 4 2 3" xfId="9944" xr:uid="{00000000-0005-0000-0000-0000B2370000}"/>
    <cellStyle name="Normal 14 2 3 2 4 2 3 2" xfId="50335" xr:uid="{00000000-0005-0000-0000-0000B3370000}"/>
    <cellStyle name="Normal 14 2 3 2 4 2 4" xfId="9945" xr:uid="{00000000-0005-0000-0000-0000B4370000}"/>
    <cellStyle name="Normal 14 2 3 2 4 2 5" xfId="9946" xr:uid="{00000000-0005-0000-0000-0000B5370000}"/>
    <cellStyle name="Normal 14 2 3 2 4 2 6" xfId="9947" xr:uid="{00000000-0005-0000-0000-0000B6370000}"/>
    <cellStyle name="Normal 14 2 3 2 4 3" xfId="9948" xr:uid="{00000000-0005-0000-0000-0000B7370000}"/>
    <cellStyle name="Normal 14 2 3 2 4 3 2" xfId="50336" xr:uid="{00000000-0005-0000-0000-0000B8370000}"/>
    <cellStyle name="Normal 14 2 3 2 4 3 3" xfId="50337" xr:uid="{00000000-0005-0000-0000-0000B9370000}"/>
    <cellStyle name="Normal 14 2 3 2 4 4" xfId="9949" xr:uid="{00000000-0005-0000-0000-0000BA370000}"/>
    <cellStyle name="Normal 14 2 3 2 4 4 2" xfId="50338" xr:uid="{00000000-0005-0000-0000-0000BB370000}"/>
    <cellStyle name="Normal 14 2 3 2 4 5" xfId="9950" xr:uid="{00000000-0005-0000-0000-0000BC370000}"/>
    <cellStyle name="Normal 14 2 3 2 4 6" xfId="9951" xr:uid="{00000000-0005-0000-0000-0000BD370000}"/>
    <cellStyle name="Normal 14 2 3 2 4 7" xfId="9952" xr:uid="{00000000-0005-0000-0000-0000BE370000}"/>
    <cellStyle name="Normal 14 2 3 2 5" xfId="9953" xr:uid="{00000000-0005-0000-0000-0000BF370000}"/>
    <cellStyle name="Normal 14 2 3 2 5 2" xfId="9954" xr:uid="{00000000-0005-0000-0000-0000C0370000}"/>
    <cellStyle name="Normal 14 2 3 2 5 2 2" xfId="50339" xr:uid="{00000000-0005-0000-0000-0000C1370000}"/>
    <cellStyle name="Normal 14 2 3 2 5 2 3" xfId="50340" xr:uid="{00000000-0005-0000-0000-0000C2370000}"/>
    <cellStyle name="Normal 14 2 3 2 5 3" xfId="9955" xr:uid="{00000000-0005-0000-0000-0000C3370000}"/>
    <cellStyle name="Normal 14 2 3 2 5 3 2" xfId="50341" xr:uid="{00000000-0005-0000-0000-0000C4370000}"/>
    <cellStyle name="Normal 14 2 3 2 5 4" xfId="9956" xr:uid="{00000000-0005-0000-0000-0000C5370000}"/>
    <cellStyle name="Normal 14 2 3 2 5 5" xfId="9957" xr:uid="{00000000-0005-0000-0000-0000C6370000}"/>
    <cellStyle name="Normal 14 2 3 2 5 6" xfId="9958" xr:uid="{00000000-0005-0000-0000-0000C7370000}"/>
    <cellStyle name="Normal 14 2 3 2 6" xfId="9959" xr:uid="{00000000-0005-0000-0000-0000C8370000}"/>
    <cellStyle name="Normal 14 2 3 2 6 2" xfId="50342" xr:uid="{00000000-0005-0000-0000-0000C9370000}"/>
    <cellStyle name="Normal 14 2 3 2 6 3" xfId="50343" xr:uid="{00000000-0005-0000-0000-0000CA370000}"/>
    <cellStyle name="Normal 14 2 3 2 7" xfId="9960" xr:uid="{00000000-0005-0000-0000-0000CB370000}"/>
    <cellStyle name="Normal 14 2 3 2 7 2" xfId="50344" xr:uid="{00000000-0005-0000-0000-0000CC370000}"/>
    <cellStyle name="Normal 14 2 3 2 8" xfId="9961" xr:uid="{00000000-0005-0000-0000-0000CD370000}"/>
    <cellStyle name="Normal 14 2 3 2 9" xfId="9962" xr:uid="{00000000-0005-0000-0000-0000CE370000}"/>
    <cellStyle name="Normal 14 2 3 3" xfId="9963" xr:uid="{00000000-0005-0000-0000-0000CF370000}"/>
    <cellStyle name="Normal 14 2 3 3 2" xfId="9964" xr:uid="{00000000-0005-0000-0000-0000D0370000}"/>
    <cellStyle name="Normal 14 2 3 3 2 2" xfId="9965" xr:uid="{00000000-0005-0000-0000-0000D1370000}"/>
    <cellStyle name="Normal 14 2 3 3 2 2 2" xfId="9966" xr:uid="{00000000-0005-0000-0000-0000D2370000}"/>
    <cellStyle name="Normal 14 2 3 3 2 2 2 2" xfId="50345" xr:uid="{00000000-0005-0000-0000-0000D3370000}"/>
    <cellStyle name="Normal 14 2 3 3 2 2 2 3" xfId="50346" xr:uid="{00000000-0005-0000-0000-0000D4370000}"/>
    <cellStyle name="Normal 14 2 3 3 2 2 3" xfId="9967" xr:uid="{00000000-0005-0000-0000-0000D5370000}"/>
    <cellStyle name="Normal 14 2 3 3 2 2 3 2" xfId="50347" xr:uid="{00000000-0005-0000-0000-0000D6370000}"/>
    <cellStyle name="Normal 14 2 3 3 2 2 4" xfId="9968" xr:uid="{00000000-0005-0000-0000-0000D7370000}"/>
    <cellStyle name="Normal 14 2 3 3 2 2 5" xfId="9969" xr:uid="{00000000-0005-0000-0000-0000D8370000}"/>
    <cellStyle name="Normal 14 2 3 3 2 2 6" xfId="9970" xr:uid="{00000000-0005-0000-0000-0000D9370000}"/>
    <cellStyle name="Normal 14 2 3 3 2 3" xfId="9971" xr:uid="{00000000-0005-0000-0000-0000DA370000}"/>
    <cellStyle name="Normal 14 2 3 3 2 3 2" xfId="50348" xr:uid="{00000000-0005-0000-0000-0000DB370000}"/>
    <cellStyle name="Normal 14 2 3 3 2 3 3" xfId="50349" xr:uid="{00000000-0005-0000-0000-0000DC370000}"/>
    <cellStyle name="Normal 14 2 3 3 2 4" xfId="9972" xr:uid="{00000000-0005-0000-0000-0000DD370000}"/>
    <cellStyle name="Normal 14 2 3 3 2 4 2" xfId="50350" xr:uid="{00000000-0005-0000-0000-0000DE370000}"/>
    <cellStyle name="Normal 14 2 3 3 2 5" xfId="9973" xr:uid="{00000000-0005-0000-0000-0000DF370000}"/>
    <cellStyle name="Normal 14 2 3 3 2 6" xfId="9974" xr:uid="{00000000-0005-0000-0000-0000E0370000}"/>
    <cellStyle name="Normal 14 2 3 3 2 7" xfId="9975" xr:uid="{00000000-0005-0000-0000-0000E1370000}"/>
    <cellStyle name="Normal 14 2 3 3 3" xfId="9976" xr:uid="{00000000-0005-0000-0000-0000E2370000}"/>
    <cellStyle name="Normal 14 2 3 3 3 2" xfId="9977" xr:uid="{00000000-0005-0000-0000-0000E3370000}"/>
    <cellStyle name="Normal 14 2 3 3 3 2 2" xfId="50351" xr:uid="{00000000-0005-0000-0000-0000E4370000}"/>
    <cellStyle name="Normal 14 2 3 3 3 2 3" xfId="50352" xr:uid="{00000000-0005-0000-0000-0000E5370000}"/>
    <cellStyle name="Normal 14 2 3 3 3 3" xfId="9978" xr:uid="{00000000-0005-0000-0000-0000E6370000}"/>
    <cellStyle name="Normal 14 2 3 3 3 3 2" xfId="50353" xr:uid="{00000000-0005-0000-0000-0000E7370000}"/>
    <cellStyle name="Normal 14 2 3 3 3 4" xfId="9979" xr:uid="{00000000-0005-0000-0000-0000E8370000}"/>
    <cellStyle name="Normal 14 2 3 3 3 5" xfId="9980" xr:uid="{00000000-0005-0000-0000-0000E9370000}"/>
    <cellStyle name="Normal 14 2 3 3 3 6" xfId="9981" xr:uid="{00000000-0005-0000-0000-0000EA370000}"/>
    <cellStyle name="Normal 14 2 3 3 4" xfId="9982" xr:uid="{00000000-0005-0000-0000-0000EB370000}"/>
    <cellStyle name="Normal 14 2 3 3 4 2" xfId="50354" xr:uid="{00000000-0005-0000-0000-0000EC370000}"/>
    <cellStyle name="Normal 14 2 3 3 4 3" xfId="50355" xr:uid="{00000000-0005-0000-0000-0000ED370000}"/>
    <cellStyle name="Normal 14 2 3 3 5" xfId="9983" xr:uid="{00000000-0005-0000-0000-0000EE370000}"/>
    <cellStyle name="Normal 14 2 3 3 5 2" xfId="50356" xr:uid="{00000000-0005-0000-0000-0000EF370000}"/>
    <cellStyle name="Normal 14 2 3 3 6" xfId="9984" xr:uid="{00000000-0005-0000-0000-0000F0370000}"/>
    <cellStyle name="Normal 14 2 3 3 7" xfId="9985" xr:uid="{00000000-0005-0000-0000-0000F1370000}"/>
    <cellStyle name="Normal 14 2 3 3 8" xfId="9986" xr:uid="{00000000-0005-0000-0000-0000F2370000}"/>
    <cellStyle name="Normal 14 2 3 3 9" xfId="9987" xr:uid="{00000000-0005-0000-0000-0000F3370000}"/>
    <cellStyle name="Normal 14 2 3 4" xfId="9988" xr:uid="{00000000-0005-0000-0000-0000F4370000}"/>
    <cellStyle name="Normal 14 2 3 4 2" xfId="9989" xr:uid="{00000000-0005-0000-0000-0000F5370000}"/>
    <cellStyle name="Normal 14 2 3 4 2 2" xfId="9990" xr:uid="{00000000-0005-0000-0000-0000F6370000}"/>
    <cellStyle name="Normal 14 2 3 4 2 2 2" xfId="9991" xr:uid="{00000000-0005-0000-0000-0000F7370000}"/>
    <cellStyle name="Normal 14 2 3 4 2 2 2 2" xfId="50357" xr:uid="{00000000-0005-0000-0000-0000F8370000}"/>
    <cellStyle name="Normal 14 2 3 4 2 2 2 3" xfId="50358" xr:uid="{00000000-0005-0000-0000-0000F9370000}"/>
    <cellStyle name="Normal 14 2 3 4 2 2 3" xfId="9992" xr:uid="{00000000-0005-0000-0000-0000FA370000}"/>
    <cellStyle name="Normal 14 2 3 4 2 2 3 2" xfId="50359" xr:uid="{00000000-0005-0000-0000-0000FB370000}"/>
    <cellStyle name="Normal 14 2 3 4 2 2 4" xfId="9993" xr:uid="{00000000-0005-0000-0000-0000FC370000}"/>
    <cellStyle name="Normal 14 2 3 4 2 2 5" xfId="9994" xr:uid="{00000000-0005-0000-0000-0000FD370000}"/>
    <cellStyle name="Normal 14 2 3 4 2 2 6" xfId="9995" xr:uid="{00000000-0005-0000-0000-0000FE370000}"/>
    <cellStyle name="Normal 14 2 3 4 2 3" xfId="9996" xr:uid="{00000000-0005-0000-0000-0000FF370000}"/>
    <cellStyle name="Normal 14 2 3 4 2 3 2" xfId="50360" xr:uid="{00000000-0005-0000-0000-000000380000}"/>
    <cellStyle name="Normal 14 2 3 4 2 3 3" xfId="50361" xr:uid="{00000000-0005-0000-0000-000001380000}"/>
    <cellStyle name="Normal 14 2 3 4 2 4" xfId="9997" xr:uid="{00000000-0005-0000-0000-000002380000}"/>
    <cellStyle name="Normal 14 2 3 4 2 4 2" xfId="50362" xr:uid="{00000000-0005-0000-0000-000003380000}"/>
    <cellStyle name="Normal 14 2 3 4 2 5" xfId="9998" xr:uid="{00000000-0005-0000-0000-000004380000}"/>
    <cellStyle name="Normal 14 2 3 4 2 6" xfId="9999" xr:uid="{00000000-0005-0000-0000-000005380000}"/>
    <cellStyle name="Normal 14 2 3 4 2 7" xfId="10000" xr:uid="{00000000-0005-0000-0000-000006380000}"/>
    <cellStyle name="Normal 14 2 3 4 3" xfId="10001" xr:uid="{00000000-0005-0000-0000-000007380000}"/>
    <cellStyle name="Normal 14 2 3 4 3 2" xfId="10002" xr:uid="{00000000-0005-0000-0000-000008380000}"/>
    <cellStyle name="Normal 14 2 3 4 3 2 2" xfId="50363" xr:uid="{00000000-0005-0000-0000-000009380000}"/>
    <cellStyle name="Normal 14 2 3 4 3 2 3" xfId="50364" xr:uid="{00000000-0005-0000-0000-00000A380000}"/>
    <cellStyle name="Normal 14 2 3 4 3 3" xfId="10003" xr:uid="{00000000-0005-0000-0000-00000B380000}"/>
    <cellStyle name="Normal 14 2 3 4 3 3 2" xfId="50365" xr:uid="{00000000-0005-0000-0000-00000C380000}"/>
    <cellStyle name="Normal 14 2 3 4 3 4" xfId="10004" xr:uid="{00000000-0005-0000-0000-00000D380000}"/>
    <cellStyle name="Normal 14 2 3 4 3 5" xfId="10005" xr:uid="{00000000-0005-0000-0000-00000E380000}"/>
    <cellStyle name="Normal 14 2 3 4 3 6" xfId="10006" xr:uid="{00000000-0005-0000-0000-00000F380000}"/>
    <cellStyle name="Normal 14 2 3 4 4" xfId="10007" xr:uid="{00000000-0005-0000-0000-000010380000}"/>
    <cellStyle name="Normal 14 2 3 4 4 2" xfId="50366" xr:uid="{00000000-0005-0000-0000-000011380000}"/>
    <cellStyle name="Normal 14 2 3 4 4 3" xfId="50367" xr:uid="{00000000-0005-0000-0000-000012380000}"/>
    <cellStyle name="Normal 14 2 3 4 5" xfId="10008" xr:uid="{00000000-0005-0000-0000-000013380000}"/>
    <cellStyle name="Normal 14 2 3 4 5 2" xfId="50368" xr:uid="{00000000-0005-0000-0000-000014380000}"/>
    <cellStyle name="Normal 14 2 3 4 6" xfId="10009" xr:uid="{00000000-0005-0000-0000-000015380000}"/>
    <cellStyle name="Normal 14 2 3 4 7" xfId="10010" xr:uid="{00000000-0005-0000-0000-000016380000}"/>
    <cellStyle name="Normal 14 2 3 4 8" xfId="10011" xr:uid="{00000000-0005-0000-0000-000017380000}"/>
    <cellStyle name="Normal 14 2 3 5" xfId="10012" xr:uid="{00000000-0005-0000-0000-000018380000}"/>
    <cellStyle name="Normal 14 2 3 5 2" xfId="10013" xr:uid="{00000000-0005-0000-0000-000019380000}"/>
    <cellStyle name="Normal 14 2 3 5 2 2" xfId="10014" xr:uid="{00000000-0005-0000-0000-00001A380000}"/>
    <cellStyle name="Normal 14 2 3 5 2 2 2" xfId="50369" xr:uid="{00000000-0005-0000-0000-00001B380000}"/>
    <cellStyle name="Normal 14 2 3 5 2 2 3" xfId="50370" xr:uid="{00000000-0005-0000-0000-00001C380000}"/>
    <cellStyle name="Normal 14 2 3 5 2 3" xfId="10015" xr:uid="{00000000-0005-0000-0000-00001D380000}"/>
    <cellStyle name="Normal 14 2 3 5 2 3 2" xfId="50371" xr:uid="{00000000-0005-0000-0000-00001E380000}"/>
    <cellStyle name="Normal 14 2 3 5 2 4" xfId="10016" xr:uid="{00000000-0005-0000-0000-00001F380000}"/>
    <cellStyle name="Normal 14 2 3 5 2 5" xfId="10017" xr:uid="{00000000-0005-0000-0000-000020380000}"/>
    <cellStyle name="Normal 14 2 3 5 2 6" xfId="10018" xr:uid="{00000000-0005-0000-0000-000021380000}"/>
    <cellStyle name="Normal 14 2 3 5 3" xfId="10019" xr:uid="{00000000-0005-0000-0000-000022380000}"/>
    <cellStyle name="Normal 14 2 3 5 3 2" xfId="50372" xr:uid="{00000000-0005-0000-0000-000023380000}"/>
    <cellStyle name="Normal 14 2 3 5 3 3" xfId="50373" xr:uid="{00000000-0005-0000-0000-000024380000}"/>
    <cellStyle name="Normal 14 2 3 5 4" xfId="10020" xr:uid="{00000000-0005-0000-0000-000025380000}"/>
    <cellStyle name="Normal 14 2 3 5 4 2" xfId="50374" xr:uid="{00000000-0005-0000-0000-000026380000}"/>
    <cellStyle name="Normal 14 2 3 5 5" xfId="10021" xr:uid="{00000000-0005-0000-0000-000027380000}"/>
    <cellStyle name="Normal 14 2 3 5 6" xfId="10022" xr:uid="{00000000-0005-0000-0000-000028380000}"/>
    <cellStyle name="Normal 14 2 3 5 7" xfId="10023" xr:uid="{00000000-0005-0000-0000-000029380000}"/>
    <cellStyle name="Normal 14 2 3 6" xfId="10024" xr:uid="{00000000-0005-0000-0000-00002A380000}"/>
    <cellStyle name="Normal 14 2 3 6 2" xfId="10025" xr:uid="{00000000-0005-0000-0000-00002B380000}"/>
    <cellStyle name="Normal 14 2 3 6 2 2" xfId="50375" xr:uid="{00000000-0005-0000-0000-00002C380000}"/>
    <cellStyle name="Normal 14 2 3 6 2 3" xfId="50376" xr:uid="{00000000-0005-0000-0000-00002D380000}"/>
    <cellStyle name="Normal 14 2 3 6 3" xfId="10026" xr:uid="{00000000-0005-0000-0000-00002E380000}"/>
    <cellStyle name="Normal 14 2 3 6 3 2" xfId="50377" xr:uid="{00000000-0005-0000-0000-00002F380000}"/>
    <cellStyle name="Normal 14 2 3 6 4" xfId="10027" xr:uid="{00000000-0005-0000-0000-000030380000}"/>
    <cellStyle name="Normal 14 2 3 6 5" xfId="10028" xr:uid="{00000000-0005-0000-0000-000031380000}"/>
    <cellStyle name="Normal 14 2 3 6 6" xfId="10029" xr:uid="{00000000-0005-0000-0000-000032380000}"/>
    <cellStyle name="Normal 14 2 3 7" xfId="10030" xr:uid="{00000000-0005-0000-0000-000033380000}"/>
    <cellStyle name="Normal 14 2 3 7 2" xfId="50378" xr:uid="{00000000-0005-0000-0000-000034380000}"/>
    <cellStyle name="Normal 14 2 3 7 3" xfId="50379" xr:uid="{00000000-0005-0000-0000-000035380000}"/>
    <cellStyle name="Normal 14 2 3 8" xfId="10031" xr:uid="{00000000-0005-0000-0000-000036380000}"/>
    <cellStyle name="Normal 14 2 3 8 2" xfId="50380" xr:uid="{00000000-0005-0000-0000-000037380000}"/>
    <cellStyle name="Normal 14 2 3 9" xfId="10032" xr:uid="{00000000-0005-0000-0000-000038380000}"/>
    <cellStyle name="Normal 14 2 4" xfId="10033" xr:uid="{00000000-0005-0000-0000-000039380000}"/>
    <cellStyle name="Normal 14 2 4 10" xfId="10034" xr:uid="{00000000-0005-0000-0000-00003A380000}"/>
    <cellStyle name="Normal 14 2 4 11" xfId="10035" xr:uid="{00000000-0005-0000-0000-00003B380000}"/>
    <cellStyle name="Normal 14 2 4 12" xfId="10036" xr:uid="{00000000-0005-0000-0000-00003C380000}"/>
    <cellStyle name="Normal 14 2 4 13" xfId="10037" xr:uid="{00000000-0005-0000-0000-00003D380000}"/>
    <cellStyle name="Normal 14 2 4 14" xfId="10038" xr:uid="{00000000-0005-0000-0000-00003E380000}"/>
    <cellStyle name="Normal 14 2 4 2" xfId="10039" xr:uid="{00000000-0005-0000-0000-00003F380000}"/>
    <cellStyle name="Normal 14 2 4 2 2" xfId="10040" xr:uid="{00000000-0005-0000-0000-000040380000}"/>
    <cellStyle name="Normal 14 2 4 2 2 2" xfId="10041" xr:uid="{00000000-0005-0000-0000-000041380000}"/>
    <cellStyle name="Normal 14 2 4 2 2 2 2" xfId="10042" xr:uid="{00000000-0005-0000-0000-000042380000}"/>
    <cellStyle name="Normal 14 2 4 2 2 2 2 2" xfId="50381" xr:uid="{00000000-0005-0000-0000-000043380000}"/>
    <cellStyle name="Normal 14 2 4 2 2 2 2 3" xfId="50382" xr:uid="{00000000-0005-0000-0000-000044380000}"/>
    <cellStyle name="Normal 14 2 4 2 2 2 3" xfId="10043" xr:uid="{00000000-0005-0000-0000-000045380000}"/>
    <cellStyle name="Normal 14 2 4 2 2 2 3 2" xfId="50383" xr:uid="{00000000-0005-0000-0000-000046380000}"/>
    <cellStyle name="Normal 14 2 4 2 2 2 4" xfId="10044" xr:uid="{00000000-0005-0000-0000-000047380000}"/>
    <cellStyle name="Normal 14 2 4 2 2 2 5" xfId="10045" xr:uid="{00000000-0005-0000-0000-000048380000}"/>
    <cellStyle name="Normal 14 2 4 2 2 2 6" xfId="10046" xr:uid="{00000000-0005-0000-0000-000049380000}"/>
    <cellStyle name="Normal 14 2 4 2 2 3" xfId="10047" xr:uid="{00000000-0005-0000-0000-00004A380000}"/>
    <cellStyle name="Normal 14 2 4 2 2 3 2" xfId="50384" xr:uid="{00000000-0005-0000-0000-00004B380000}"/>
    <cellStyle name="Normal 14 2 4 2 2 3 3" xfId="50385" xr:uid="{00000000-0005-0000-0000-00004C380000}"/>
    <cellStyle name="Normal 14 2 4 2 2 4" xfId="10048" xr:uid="{00000000-0005-0000-0000-00004D380000}"/>
    <cellStyle name="Normal 14 2 4 2 2 4 2" xfId="50386" xr:uid="{00000000-0005-0000-0000-00004E380000}"/>
    <cellStyle name="Normal 14 2 4 2 2 5" xfId="10049" xr:uid="{00000000-0005-0000-0000-00004F380000}"/>
    <cellStyle name="Normal 14 2 4 2 2 6" xfId="10050" xr:uid="{00000000-0005-0000-0000-000050380000}"/>
    <cellStyle name="Normal 14 2 4 2 2 7" xfId="10051" xr:uid="{00000000-0005-0000-0000-000051380000}"/>
    <cellStyle name="Normal 14 2 4 2 3" xfId="10052" xr:uid="{00000000-0005-0000-0000-000052380000}"/>
    <cellStyle name="Normal 14 2 4 2 3 2" xfId="10053" xr:uid="{00000000-0005-0000-0000-000053380000}"/>
    <cellStyle name="Normal 14 2 4 2 3 2 2" xfId="50387" xr:uid="{00000000-0005-0000-0000-000054380000}"/>
    <cellStyle name="Normal 14 2 4 2 3 2 3" xfId="50388" xr:uid="{00000000-0005-0000-0000-000055380000}"/>
    <cellStyle name="Normal 14 2 4 2 3 3" xfId="10054" xr:uid="{00000000-0005-0000-0000-000056380000}"/>
    <cellStyle name="Normal 14 2 4 2 3 3 2" xfId="50389" xr:uid="{00000000-0005-0000-0000-000057380000}"/>
    <cellStyle name="Normal 14 2 4 2 3 4" xfId="10055" xr:uid="{00000000-0005-0000-0000-000058380000}"/>
    <cellStyle name="Normal 14 2 4 2 3 5" xfId="10056" xr:uid="{00000000-0005-0000-0000-000059380000}"/>
    <cellStyle name="Normal 14 2 4 2 3 6" xfId="10057" xr:uid="{00000000-0005-0000-0000-00005A380000}"/>
    <cellStyle name="Normal 14 2 4 2 4" xfId="10058" xr:uid="{00000000-0005-0000-0000-00005B380000}"/>
    <cellStyle name="Normal 14 2 4 2 4 2" xfId="50390" xr:uid="{00000000-0005-0000-0000-00005C380000}"/>
    <cellStyle name="Normal 14 2 4 2 4 3" xfId="50391" xr:uid="{00000000-0005-0000-0000-00005D380000}"/>
    <cellStyle name="Normal 14 2 4 2 5" xfId="10059" xr:uid="{00000000-0005-0000-0000-00005E380000}"/>
    <cellStyle name="Normal 14 2 4 2 5 2" xfId="50392" xr:uid="{00000000-0005-0000-0000-00005F380000}"/>
    <cellStyle name="Normal 14 2 4 2 6" xfId="10060" xr:uid="{00000000-0005-0000-0000-000060380000}"/>
    <cellStyle name="Normal 14 2 4 2 7" xfId="10061" xr:uid="{00000000-0005-0000-0000-000061380000}"/>
    <cellStyle name="Normal 14 2 4 2 8" xfId="10062" xr:uid="{00000000-0005-0000-0000-000062380000}"/>
    <cellStyle name="Normal 14 2 4 2 9" xfId="10063" xr:uid="{00000000-0005-0000-0000-000063380000}"/>
    <cellStyle name="Normal 14 2 4 3" xfId="10064" xr:uid="{00000000-0005-0000-0000-000064380000}"/>
    <cellStyle name="Normal 14 2 4 3 2" xfId="10065" xr:uid="{00000000-0005-0000-0000-000065380000}"/>
    <cellStyle name="Normal 14 2 4 3 2 2" xfId="10066" xr:uid="{00000000-0005-0000-0000-000066380000}"/>
    <cellStyle name="Normal 14 2 4 3 2 2 2" xfId="10067" xr:uid="{00000000-0005-0000-0000-000067380000}"/>
    <cellStyle name="Normal 14 2 4 3 2 2 2 2" xfId="50393" xr:uid="{00000000-0005-0000-0000-000068380000}"/>
    <cellStyle name="Normal 14 2 4 3 2 2 2 3" xfId="50394" xr:uid="{00000000-0005-0000-0000-000069380000}"/>
    <cellStyle name="Normal 14 2 4 3 2 2 3" xfId="10068" xr:uid="{00000000-0005-0000-0000-00006A380000}"/>
    <cellStyle name="Normal 14 2 4 3 2 2 3 2" xfId="50395" xr:uid="{00000000-0005-0000-0000-00006B380000}"/>
    <cellStyle name="Normal 14 2 4 3 2 2 4" xfId="10069" xr:uid="{00000000-0005-0000-0000-00006C380000}"/>
    <cellStyle name="Normal 14 2 4 3 2 2 5" xfId="10070" xr:uid="{00000000-0005-0000-0000-00006D380000}"/>
    <cellStyle name="Normal 14 2 4 3 2 2 6" xfId="10071" xr:uid="{00000000-0005-0000-0000-00006E380000}"/>
    <cellStyle name="Normal 14 2 4 3 2 3" xfId="10072" xr:uid="{00000000-0005-0000-0000-00006F380000}"/>
    <cellStyle name="Normal 14 2 4 3 2 3 2" xfId="50396" xr:uid="{00000000-0005-0000-0000-000070380000}"/>
    <cellStyle name="Normal 14 2 4 3 2 3 3" xfId="50397" xr:uid="{00000000-0005-0000-0000-000071380000}"/>
    <cellStyle name="Normal 14 2 4 3 2 4" xfId="10073" xr:uid="{00000000-0005-0000-0000-000072380000}"/>
    <cellStyle name="Normal 14 2 4 3 2 4 2" xfId="50398" xr:uid="{00000000-0005-0000-0000-000073380000}"/>
    <cellStyle name="Normal 14 2 4 3 2 5" xfId="10074" xr:uid="{00000000-0005-0000-0000-000074380000}"/>
    <cellStyle name="Normal 14 2 4 3 2 6" xfId="10075" xr:uid="{00000000-0005-0000-0000-000075380000}"/>
    <cellStyle name="Normal 14 2 4 3 2 7" xfId="10076" xr:uid="{00000000-0005-0000-0000-000076380000}"/>
    <cellStyle name="Normal 14 2 4 3 3" xfId="10077" xr:uid="{00000000-0005-0000-0000-000077380000}"/>
    <cellStyle name="Normal 14 2 4 3 3 2" xfId="10078" xr:uid="{00000000-0005-0000-0000-000078380000}"/>
    <cellStyle name="Normal 14 2 4 3 3 2 2" xfId="50399" xr:uid="{00000000-0005-0000-0000-000079380000}"/>
    <cellStyle name="Normal 14 2 4 3 3 2 3" xfId="50400" xr:uid="{00000000-0005-0000-0000-00007A380000}"/>
    <cellStyle name="Normal 14 2 4 3 3 3" xfId="10079" xr:uid="{00000000-0005-0000-0000-00007B380000}"/>
    <cellStyle name="Normal 14 2 4 3 3 3 2" xfId="50401" xr:uid="{00000000-0005-0000-0000-00007C380000}"/>
    <cellStyle name="Normal 14 2 4 3 3 4" xfId="10080" xr:uid="{00000000-0005-0000-0000-00007D380000}"/>
    <cellStyle name="Normal 14 2 4 3 3 5" xfId="10081" xr:uid="{00000000-0005-0000-0000-00007E380000}"/>
    <cellStyle name="Normal 14 2 4 3 3 6" xfId="10082" xr:uid="{00000000-0005-0000-0000-00007F380000}"/>
    <cellStyle name="Normal 14 2 4 3 4" xfId="10083" xr:uid="{00000000-0005-0000-0000-000080380000}"/>
    <cellStyle name="Normal 14 2 4 3 4 2" xfId="50402" xr:uid="{00000000-0005-0000-0000-000081380000}"/>
    <cellStyle name="Normal 14 2 4 3 4 3" xfId="50403" xr:uid="{00000000-0005-0000-0000-000082380000}"/>
    <cellStyle name="Normal 14 2 4 3 5" xfId="10084" xr:uid="{00000000-0005-0000-0000-000083380000}"/>
    <cellStyle name="Normal 14 2 4 3 5 2" xfId="50404" xr:uid="{00000000-0005-0000-0000-000084380000}"/>
    <cellStyle name="Normal 14 2 4 3 6" xfId="10085" xr:uid="{00000000-0005-0000-0000-000085380000}"/>
    <cellStyle name="Normal 14 2 4 3 7" xfId="10086" xr:uid="{00000000-0005-0000-0000-000086380000}"/>
    <cellStyle name="Normal 14 2 4 3 8" xfId="10087" xr:uid="{00000000-0005-0000-0000-000087380000}"/>
    <cellStyle name="Normal 14 2 4 4" xfId="10088" xr:uid="{00000000-0005-0000-0000-000088380000}"/>
    <cellStyle name="Normal 14 2 4 4 2" xfId="10089" xr:uid="{00000000-0005-0000-0000-000089380000}"/>
    <cellStyle name="Normal 14 2 4 4 2 2" xfId="10090" xr:uid="{00000000-0005-0000-0000-00008A380000}"/>
    <cellStyle name="Normal 14 2 4 4 2 2 2" xfId="50405" xr:uid="{00000000-0005-0000-0000-00008B380000}"/>
    <cellStyle name="Normal 14 2 4 4 2 2 3" xfId="50406" xr:uid="{00000000-0005-0000-0000-00008C380000}"/>
    <cellStyle name="Normal 14 2 4 4 2 3" xfId="10091" xr:uid="{00000000-0005-0000-0000-00008D380000}"/>
    <cellStyle name="Normal 14 2 4 4 2 3 2" xfId="50407" xr:uid="{00000000-0005-0000-0000-00008E380000}"/>
    <cellStyle name="Normal 14 2 4 4 2 4" xfId="10092" xr:uid="{00000000-0005-0000-0000-00008F380000}"/>
    <cellStyle name="Normal 14 2 4 4 2 5" xfId="10093" xr:uid="{00000000-0005-0000-0000-000090380000}"/>
    <cellStyle name="Normal 14 2 4 4 2 6" xfId="10094" xr:uid="{00000000-0005-0000-0000-000091380000}"/>
    <cellStyle name="Normal 14 2 4 4 3" xfId="10095" xr:uid="{00000000-0005-0000-0000-000092380000}"/>
    <cellStyle name="Normal 14 2 4 4 3 2" xfId="50408" xr:uid="{00000000-0005-0000-0000-000093380000}"/>
    <cellStyle name="Normal 14 2 4 4 3 3" xfId="50409" xr:uid="{00000000-0005-0000-0000-000094380000}"/>
    <cellStyle name="Normal 14 2 4 4 4" xfId="10096" xr:uid="{00000000-0005-0000-0000-000095380000}"/>
    <cellStyle name="Normal 14 2 4 4 4 2" xfId="50410" xr:uid="{00000000-0005-0000-0000-000096380000}"/>
    <cellStyle name="Normal 14 2 4 4 5" xfId="10097" xr:uid="{00000000-0005-0000-0000-000097380000}"/>
    <cellStyle name="Normal 14 2 4 4 6" xfId="10098" xr:uid="{00000000-0005-0000-0000-000098380000}"/>
    <cellStyle name="Normal 14 2 4 4 7" xfId="10099" xr:uid="{00000000-0005-0000-0000-000099380000}"/>
    <cellStyle name="Normal 14 2 4 5" xfId="10100" xr:uid="{00000000-0005-0000-0000-00009A380000}"/>
    <cellStyle name="Normal 14 2 4 5 2" xfId="10101" xr:uid="{00000000-0005-0000-0000-00009B380000}"/>
    <cellStyle name="Normal 14 2 4 5 2 2" xfId="50411" xr:uid="{00000000-0005-0000-0000-00009C380000}"/>
    <cellStyle name="Normal 14 2 4 5 2 3" xfId="50412" xr:uid="{00000000-0005-0000-0000-00009D380000}"/>
    <cellStyle name="Normal 14 2 4 5 3" xfId="10102" xr:uid="{00000000-0005-0000-0000-00009E380000}"/>
    <cellStyle name="Normal 14 2 4 5 3 2" xfId="50413" xr:uid="{00000000-0005-0000-0000-00009F380000}"/>
    <cellStyle name="Normal 14 2 4 5 4" xfId="10103" xr:uid="{00000000-0005-0000-0000-0000A0380000}"/>
    <cellStyle name="Normal 14 2 4 5 5" xfId="10104" xr:uid="{00000000-0005-0000-0000-0000A1380000}"/>
    <cellStyle name="Normal 14 2 4 5 6" xfId="10105" xr:uid="{00000000-0005-0000-0000-0000A2380000}"/>
    <cellStyle name="Normal 14 2 4 6" xfId="10106" xr:uid="{00000000-0005-0000-0000-0000A3380000}"/>
    <cellStyle name="Normal 14 2 4 6 2" xfId="50414" xr:uid="{00000000-0005-0000-0000-0000A4380000}"/>
    <cellStyle name="Normal 14 2 4 6 3" xfId="50415" xr:uid="{00000000-0005-0000-0000-0000A5380000}"/>
    <cellStyle name="Normal 14 2 4 7" xfId="10107" xr:uid="{00000000-0005-0000-0000-0000A6380000}"/>
    <cellStyle name="Normal 14 2 4 7 2" xfId="50416" xr:uid="{00000000-0005-0000-0000-0000A7380000}"/>
    <cellStyle name="Normal 14 2 4 8" xfId="10108" xr:uid="{00000000-0005-0000-0000-0000A8380000}"/>
    <cellStyle name="Normal 14 2 4 9" xfId="10109" xr:uid="{00000000-0005-0000-0000-0000A9380000}"/>
    <cellStyle name="Normal 14 2 5" xfId="10110" xr:uid="{00000000-0005-0000-0000-0000AA380000}"/>
    <cellStyle name="Normal 14 2 5 10" xfId="10111" xr:uid="{00000000-0005-0000-0000-0000AB380000}"/>
    <cellStyle name="Normal 14 2 5 11" xfId="10112" xr:uid="{00000000-0005-0000-0000-0000AC380000}"/>
    <cellStyle name="Normal 14 2 5 12" xfId="10113" xr:uid="{00000000-0005-0000-0000-0000AD380000}"/>
    <cellStyle name="Normal 14 2 5 13" xfId="10114" xr:uid="{00000000-0005-0000-0000-0000AE380000}"/>
    <cellStyle name="Normal 14 2 5 14" xfId="10115" xr:uid="{00000000-0005-0000-0000-0000AF380000}"/>
    <cellStyle name="Normal 14 2 5 2" xfId="10116" xr:uid="{00000000-0005-0000-0000-0000B0380000}"/>
    <cellStyle name="Normal 14 2 5 2 2" xfId="10117" xr:uid="{00000000-0005-0000-0000-0000B1380000}"/>
    <cellStyle name="Normal 14 2 5 2 2 2" xfId="10118" xr:uid="{00000000-0005-0000-0000-0000B2380000}"/>
    <cellStyle name="Normal 14 2 5 2 2 2 2" xfId="10119" xr:uid="{00000000-0005-0000-0000-0000B3380000}"/>
    <cellStyle name="Normal 14 2 5 2 2 2 2 2" xfId="50417" xr:uid="{00000000-0005-0000-0000-0000B4380000}"/>
    <cellStyle name="Normal 14 2 5 2 2 2 2 3" xfId="50418" xr:uid="{00000000-0005-0000-0000-0000B5380000}"/>
    <cellStyle name="Normal 14 2 5 2 2 2 3" xfId="10120" xr:uid="{00000000-0005-0000-0000-0000B6380000}"/>
    <cellStyle name="Normal 14 2 5 2 2 2 3 2" xfId="50419" xr:uid="{00000000-0005-0000-0000-0000B7380000}"/>
    <cellStyle name="Normal 14 2 5 2 2 2 4" xfId="10121" xr:uid="{00000000-0005-0000-0000-0000B8380000}"/>
    <cellStyle name="Normal 14 2 5 2 2 2 5" xfId="10122" xr:uid="{00000000-0005-0000-0000-0000B9380000}"/>
    <cellStyle name="Normal 14 2 5 2 2 2 6" xfId="10123" xr:uid="{00000000-0005-0000-0000-0000BA380000}"/>
    <cellStyle name="Normal 14 2 5 2 2 3" xfId="10124" xr:uid="{00000000-0005-0000-0000-0000BB380000}"/>
    <cellStyle name="Normal 14 2 5 2 2 3 2" xfId="50420" xr:uid="{00000000-0005-0000-0000-0000BC380000}"/>
    <cellStyle name="Normal 14 2 5 2 2 3 3" xfId="50421" xr:uid="{00000000-0005-0000-0000-0000BD380000}"/>
    <cellStyle name="Normal 14 2 5 2 2 4" xfId="10125" xr:uid="{00000000-0005-0000-0000-0000BE380000}"/>
    <cellStyle name="Normal 14 2 5 2 2 4 2" xfId="50422" xr:uid="{00000000-0005-0000-0000-0000BF380000}"/>
    <cellStyle name="Normal 14 2 5 2 2 5" xfId="10126" xr:uid="{00000000-0005-0000-0000-0000C0380000}"/>
    <cellStyle name="Normal 14 2 5 2 2 6" xfId="10127" xr:uid="{00000000-0005-0000-0000-0000C1380000}"/>
    <cellStyle name="Normal 14 2 5 2 2 7" xfId="10128" xr:uid="{00000000-0005-0000-0000-0000C2380000}"/>
    <cellStyle name="Normal 14 2 5 2 3" xfId="10129" xr:uid="{00000000-0005-0000-0000-0000C3380000}"/>
    <cellStyle name="Normal 14 2 5 2 3 2" xfId="10130" xr:uid="{00000000-0005-0000-0000-0000C4380000}"/>
    <cellStyle name="Normal 14 2 5 2 3 2 2" xfId="50423" xr:uid="{00000000-0005-0000-0000-0000C5380000}"/>
    <cellStyle name="Normal 14 2 5 2 3 2 3" xfId="50424" xr:uid="{00000000-0005-0000-0000-0000C6380000}"/>
    <cellStyle name="Normal 14 2 5 2 3 3" xfId="10131" xr:uid="{00000000-0005-0000-0000-0000C7380000}"/>
    <cellStyle name="Normal 14 2 5 2 3 3 2" xfId="50425" xr:uid="{00000000-0005-0000-0000-0000C8380000}"/>
    <cellStyle name="Normal 14 2 5 2 3 4" xfId="10132" xr:uid="{00000000-0005-0000-0000-0000C9380000}"/>
    <cellStyle name="Normal 14 2 5 2 3 5" xfId="10133" xr:uid="{00000000-0005-0000-0000-0000CA380000}"/>
    <cellStyle name="Normal 14 2 5 2 3 6" xfId="10134" xr:uid="{00000000-0005-0000-0000-0000CB380000}"/>
    <cellStyle name="Normal 14 2 5 2 4" xfId="10135" xr:uid="{00000000-0005-0000-0000-0000CC380000}"/>
    <cellStyle name="Normal 14 2 5 2 4 2" xfId="50426" xr:uid="{00000000-0005-0000-0000-0000CD380000}"/>
    <cellStyle name="Normal 14 2 5 2 4 3" xfId="50427" xr:uid="{00000000-0005-0000-0000-0000CE380000}"/>
    <cellStyle name="Normal 14 2 5 2 5" xfId="10136" xr:uid="{00000000-0005-0000-0000-0000CF380000}"/>
    <cellStyle name="Normal 14 2 5 2 5 2" xfId="50428" xr:uid="{00000000-0005-0000-0000-0000D0380000}"/>
    <cellStyle name="Normal 14 2 5 2 6" xfId="10137" xr:uid="{00000000-0005-0000-0000-0000D1380000}"/>
    <cellStyle name="Normal 14 2 5 2 7" xfId="10138" xr:uid="{00000000-0005-0000-0000-0000D2380000}"/>
    <cellStyle name="Normal 14 2 5 2 8" xfId="10139" xr:uid="{00000000-0005-0000-0000-0000D3380000}"/>
    <cellStyle name="Normal 14 2 5 2 9" xfId="10140" xr:uid="{00000000-0005-0000-0000-0000D4380000}"/>
    <cellStyle name="Normal 14 2 5 3" xfId="10141" xr:uid="{00000000-0005-0000-0000-0000D5380000}"/>
    <cellStyle name="Normal 14 2 5 3 2" xfId="10142" xr:uid="{00000000-0005-0000-0000-0000D6380000}"/>
    <cellStyle name="Normal 14 2 5 3 2 2" xfId="10143" xr:uid="{00000000-0005-0000-0000-0000D7380000}"/>
    <cellStyle name="Normal 14 2 5 3 2 2 2" xfId="10144" xr:uid="{00000000-0005-0000-0000-0000D8380000}"/>
    <cellStyle name="Normal 14 2 5 3 2 2 2 2" xfId="50429" xr:uid="{00000000-0005-0000-0000-0000D9380000}"/>
    <cellStyle name="Normal 14 2 5 3 2 2 2 3" xfId="50430" xr:uid="{00000000-0005-0000-0000-0000DA380000}"/>
    <cellStyle name="Normal 14 2 5 3 2 2 3" xfId="10145" xr:uid="{00000000-0005-0000-0000-0000DB380000}"/>
    <cellStyle name="Normal 14 2 5 3 2 2 3 2" xfId="50431" xr:uid="{00000000-0005-0000-0000-0000DC380000}"/>
    <cellStyle name="Normal 14 2 5 3 2 2 4" xfId="10146" xr:uid="{00000000-0005-0000-0000-0000DD380000}"/>
    <cellStyle name="Normal 14 2 5 3 2 2 5" xfId="10147" xr:uid="{00000000-0005-0000-0000-0000DE380000}"/>
    <cellStyle name="Normal 14 2 5 3 2 2 6" xfId="10148" xr:uid="{00000000-0005-0000-0000-0000DF380000}"/>
    <cellStyle name="Normal 14 2 5 3 2 3" xfId="10149" xr:uid="{00000000-0005-0000-0000-0000E0380000}"/>
    <cellStyle name="Normal 14 2 5 3 2 3 2" xfId="50432" xr:uid="{00000000-0005-0000-0000-0000E1380000}"/>
    <cellStyle name="Normal 14 2 5 3 2 3 3" xfId="50433" xr:uid="{00000000-0005-0000-0000-0000E2380000}"/>
    <cellStyle name="Normal 14 2 5 3 2 4" xfId="10150" xr:uid="{00000000-0005-0000-0000-0000E3380000}"/>
    <cellStyle name="Normal 14 2 5 3 2 4 2" xfId="50434" xr:uid="{00000000-0005-0000-0000-0000E4380000}"/>
    <cellStyle name="Normal 14 2 5 3 2 5" xfId="10151" xr:uid="{00000000-0005-0000-0000-0000E5380000}"/>
    <cellStyle name="Normal 14 2 5 3 2 6" xfId="10152" xr:uid="{00000000-0005-0000-0000-0000E6380000}"/>
    <cellStyle name="Normal 14 2 5 3 2 7" xfId="10153" xr:uid="{00000000-0005-0000-0000-0000E7380000}"/>
    <cellStyle name="Normal 14 2 5 3 3" xfId="10154" xr:uid="{00000000-0005-0000-0000-0000E8380000}"/>
    <cellStyle name="Normal 14 2 5 3 3 2" xfId="10155" xr:uid="{00000000-0005-0000-0000-0000E9380000}"/>
    <cellStyle name="Normal 14 2 5 3 3 2 2" xfId="50435" xr:uid="{00000000-0005-0000-0000-0000EA380000}"/>
    <cellStyle name="Normal 14 2 5 3 3 2 3" xfId="50436" xr:uid="{00000000-0005-0000-0000-0000EB380000}"/>
    <cellStyle name="Normal 14 2 5 3 3 3" xfId="10156" xr:uid="{00000000-0005-0000-0000-0000EC380000}"/>
    <cellStyle name="Normal 14 2 5 3 3 3 2" xfId="50437" xr:uid="{00000000-0005-0000-0000-0000ED380000}"/>
    <cellStyle name="Normal 14 2 5 3 3 4" xfId="10157" xr:uid="{00000000-0005-0000-0000-0000EE380000}"/>
    <cellStyle name="Normal 14 2 5 3 3 5" xfId="10158" xr:uid="{00000000-0005-0000-0000-0000EF380000}"/>
    <cellStyle name="Normal 14 2 5 3 3 6" xfId="10159" xr:uid="{00000000-0005-0000-0000-0000F0380000}"/>
    <cellStyle name="Normal 14 2 5 3 4" xfId="10160" xr:uid="{00000000-0005-0000-0000-0000F1380000}"/>
    <cellStyle name="Normal 14 2 5 3 4 2" xfId="50438" xr:uid="{00000000-0005-0000-0000-0000F2380000}"/>
    <cellStyle name="Normal 14 2 5 3 4 3" xfId="50439" xr:uid="{00000000-0005-0000-0000-0000F3380000}"/>
    <cellStyle name="Normal 14 2 5 3 5" xfId="10161" xr:uid="{00000000-0005-0000-0000-0000F4380000}"/>
    <cellStyle name="Normal 14 2 5 3 5 2" xfId="50440" xr:uid="{00000000-0005-0000-0000-0000F5380000}"/>
    <cellStyle name="Normal 14 2 5 3 6" xfId="10162" xr:uid="{00000000-0005-0000-0000-0000F6380000}"/>
    <cellStyle name="Normal 14 2 5 3 7" xfId="10163" xr:uid="{00000000-0005-0000-0000-0000F7380000}"/>
    <cellStyle name="Normal 14 2 5 3 8" xfId="10164" xr:uid="{00000000-0005-0000-0000-0000F8380000}"/>
    <cellStyle name="Normal 14 2 5 4" xfId="10165" xr:uid="{00000000-0005-0000-0000-0000F9380000}"/>
    <cellStyle name="Normal 14 2 5 4 2" xfId="10166" xr:uid="{00000000-0005-0000-0000-0000FA380000}"/>
    <cellStyle name="Normal 14 2 5 4 2 2" xfId="10167" xr:uid="{00000000-0005-0000-0000-0000FB380000}"/>
    <cellStyle name="Normal 14 2 5 4 2 2 2" xfId="50441" xr:uid="{00000000-0005-0000-0000-0000FC380000}"/>
    <cellStyle name="Normal 14 2 5 4 2 2 3" xfId="50442" xr:uid="{00000000-0005-0000-0000-0000FD380000}"/>
    <cellStyle name="Normal 14 2 5 4 2 3" xfId="10168" xr:uid="{00000000-0005-0000-0000-0000FE380000}"/>
    <cellStyle name="Normal 14 2 5 4 2 3 2" xfId="50443" xr:uid="{00000000-0005-0000-0000-0000FF380000}"/>
    <cellStyle name="Normal 14 2 5 4 2 4" xfId="10169" xr:uid="{00000000-0005-0000-0000-000000390000}"/>
    <cellStyle name="Normal 14 2 5 4 2 5" xfId="10170" xr:uid="{00000000-0005-0000-0000-000001390000}"/>
    <cellStyle name="Normal 14 2 5 4 2 6" xfId="10171" xr:uid="{00000000-0005-0000-0000-000002390000}"/>
    <cellStyle name="Normal 14 2 5 4 3" xfId="10172" xr:uid="{00000000-0005-0000-0000-000003390000}"/>
    <cellStyle name="Normal 14 2 5 4 3 2" xfId="50444" xr:uid="{00000000-0005-0000-0000-000004390000}"/>
    <cellStyle name="Normal 14 2 5 4 3 3" xfId="50445" xr:uid="{00000000-0005-0000-0000-000005390000}"/>
    <cellStyle name="Normal 14 2 5 4 4" xfId="10173" xr:uid="{00000000-0005-0000-0000-000006390000}"/>
    <cellStyle name="Normal 14 2 5 4 4 2" xfId="50446" xr:uid="{00000000-0005-0000-0000-000007390000}"/>
    <cellStyle name="Normal 14 2 5 4 5" xfId="10174" xr:uid="{00000000-0005-0000-0000-000008390000}"/>
    <cellStyle name="Normal 14 2 5 4 6" xfId="10175" xr:uid="{00000000-0005-0000-0000-000009390000}"/>
    <cellStyle name="Normal 14 2 5 4 7" xfId="10176" xr:uid="{00000000-0005-0000-0000-00000A390000}"/>
    <cellStyle name="Normal 14 2 5 5" xfId="10177" xr:uid="{00000000-0005-0000-0000-00000B390000}"/>
    <cellStyle name="Normal 14 2 5 5 2" xfId="10178" xr:uid="{00000000-0005-0000-0000-00000C390000}"/>
    <cellStyle name="Normal 14 2 5 5 2 2" xfId="50447" xr:uid="{00000000-0005-0000-0000-00000D390000}"/>
    <cellStyle name="Normal 14 2 5 5 2 3" xfId="50448" xr:uid="{00000000-0005-0000-0000-00000E390000}"/>
    <cellStyle name="Normal 14 2 5 5 3" xfId="10179" xr:uid="{00000000-0005-0000-0000-00000F390000}"/>
    <cellStyle name="Normal 14 2 5 5 3 2" xfId="50449" xr:uid="{00000000-0005-0000-0000-000010390000}"/>
    <cellStyle name="Normal 14 2 5 5 4" xfId="10180" xr:uid="{00000000-0005-0000-0000-000011390000}"/>
    <cellStyle name="Normal 14 2 5 5 5" xfId="10181" xr:uid="{00000000-0005-0000-0000-000012390000}"/>
    <cellStyle name="Normal 14 2 5 5 6" xfId="10182" xr:uid="{00000000-0005-0000-0000-000013390000}"/>
    <cellStyle name="Normal 14 2 5 6" xfId="10183" xr:uid="{00000000-0005-0000-0000-000014390000}"/>
    <cellStyle name="Normal 14 2 5 6 2" xfId="50450" xr:uid="{00000000-0005-0000-0000-000015390000}"/>
    <cellStyle name="Normal 14 2 5 6 3" xfId="50451" xr:uid="{00000000-0005-0000-0000-000016390000}"/>
    <cellStyle name="Normal 14 2 5 7" xfId="10184" xr:uid="{00000000-0005-0000-0000-000017390000}"/>
    <cellStyle name="Normal 14 2 5 7 2" xfId="50452" xr:uid="{00000000-0005-0000-0000-000018390000}"/>
    <cellStyle name="Normal 14 2 5 8" xfId="10185" xr:uid="{00000000-0005-0000-0000-000019390000}"/>
    <cellStyle name="Normal 14 2 5 9" xfId="10186" xr:uid="{00000000-0005-0000-0000-00001A390000}"/>
    <cellStyle name="Normal 14 2 6" xfId="10187" xr:uid="{00000000-0005-0000-0000-00001B390000}"/>
    <cellStyle name="Normal 14 2 6 10" xfId="10188" xr:uid="{00000000-0005-0000-0000-00001C390000}"/>
    <cellStyle name="Normal 14 2 6 11" xfId="10189" xr:uid="{00000000-0005-0000-0000-00001D390000}"/>
    <cellStyle name="Normal 14 2 6 12" xfId="10190" xr:uid="{00000000-0005-0000-0000-00001E390000}"/>
    <cellStyle name="Normal 14 2 6 13" xfId="10191" xr:uid="{00000000-0005-0000-0000-00001F390000}"/>
    <cellStyle name="Normal 14 2 6 2" xfId="10192" xr:uid="{00000000-0005-0000-0000-000020390000}"/>
    <cellStyle name="Normal 14 2 6 2 2" xfId="10193" xr:uid="{00000000-0005-0000-0000-000021390000}"/>
    <cellStyle name="Normal 14 2 6 2 2 2" xfId="10194" xr:uid="{00000000-0005-0000-0000-000022390000}"/>
    <cellStyle name="Normal 14 2 6 2 2 2 2" xfId="10195" xr:uid="{00000000-0005-0000-0000-000023390000}"/>
    <cellStyle name="Normal 14 2 6 2 2 2 2 2" xfId="50453" xr:uid="{00000000-0005-0000-0000-000024390000}"/>
    <cellStyle name="Normal 14 2 6 2 2 2 2 3" xfId="50454" xr:uid="{00000000-0005-0000-0000-000025390000}"/>
    <cellStyle name="Normal 14 2 6 2 2 2 3" xfId="10196" xr:uid="{00000000-0005-0000-0000-000026390000}"/>
    <cellStyle name="Normal 14 2 6 2 2 2 3 2" xfId="50455" xr:uid="{00000000-0005-0000-0000-000027390000}"/>
    <cellStyle name="Normal 14 2 6 2 2 2 4" xfId="10197" xr:uid="{00000000-0005-0000-0000-000028390000}"/>
    <cellStyle name="Normal 14 2 6 2 2 2 5" xfId="10198" xr:uid="{00000000-0005-0000-0000-000029390000}"/>
    <cellStyle name="Normal 14 2 6 2 2 2 6" xfId="10199" xr:uid="{00000000-0005-0000-0000-00002A390000}"/>
    <cellStyle name="Normal 14 2 6 2 2 3" xfId="10200" xr:uid="{00000000-0005-0000-0000-00002B390000}"/>
    <cellStyle name="Normal 14 2 6 2 2 3 2" xfId="50456" xr:uid="{00000000-0005-0000-0000-00002C390000}"/>
    <cellStyle name="Normal 14 2 6 2 2 3 3" xfId="50457" xr:uid="{00000000-0005-0000-0000-00002D390000}"/>
    <cellStyle name="Normal 14 2 6 2 2 4" xfId="10201" xr:uid="{00000000-0005-0000-0000-00002E390000}"/>
    <cellStyle name="Normal 14 2 6 2 2 4 2" xfId="50458" xr:uid="{00000000-0005-0000-0000-00002F390000}"/>
    <cellStyle name="Normal 14 2 6 2 2 5" xfId="10202" xr:uid="{00000000-0005-0000-0000-000030390000}"/>
    <cellStyle name="Normal 14 2 6 2 2 6" xfId="10203" xr:uid="{00000000-0005-0000-0000-000031390000}"/>
    <cellStyle name="Normal 14 2 6 2 2 7" xfId="10204" xr:uid="{00000000-0005-0000-0000-000032390000}"/>
    <cellStyle name="Normal 14 2 6 2 3" xfId="10205" xr:uid="{00000000-0005-0000-0000-000033390000}"/>
    <cellStyle name="Normal 14 2 6 2 3 2" xfId="10206" xr:uid="{00000000-0005-0000-0000-000034390000}"/>
    <cellStyle name="Normal 14 2 6 2 3 2 2" xfId="50459" xr:uid="{00000000-0005-0000-0000-000035390000}"/>
    <cellStyle name="Normal 14 2 6 2 3 2 3" xfId="50460" xr:uid="{00000000-0005-0000-0000-000036390000}"/>
    <cellStyle name="Normal 14 2 6 2 3 3" xfId="10207" xr:uid="{00000000-0005-0000-0000-000037390000}"/>
    <cellStyle name="Normal 14 2 6 2 3 3 2" xfId="50461" xr:uid="{00000000-0005-0000-0000-000038390000}"/>
    <cellStyle name="Normal 14 2 6 2 3 4" xfId="10208" xr:uid="{00000000-0005-0000-0000-000039390000}"/>
    <cellStyle name="Normal 14 2 6 2 3 5" xfId="10209" xr:uid="{00000000-0005-0000-0000-00003A390000}"/>
    <cellStyle name="Normal 14 2 6 2 3 6" xfId="10210" xr:uid="{00000000-0005-0000-0000-00003B390000}"/>
    <cellStyle name="Normal 14 2 6 2 4" xfId="10211" xr:uid="{00000000-0005-0000-0000-00003C390000}"/>
    <cellStyle name="Normal 14 2 6 2 4 2" xfId="50462" xr:uid="{00000000-0005-0000-0000-00003D390000}"/>
    <cellStyle name="Normal 14 2 6 2 4 3" xfId="50463" xr:uid="{00000000-0005-0000-0000-00003E390000}"/>
    <cellStyle name="Normal 14 2 6 2 5" xfId="10212" xr:uid="{00000000-0005-0000-0000-00003F390000}"/>
    <cellStyle name="Normal 14 2 6 2 5 2" xfId="50464" xr:uid="{00000000-0005-0000-0000-000040390000}"/>
    <cellStyle name="Normal 14 2 6 2 6" xfId="10213" xr:uid="{00000000-0005-0000-0000-000041390000}"/>
    <cellStyle name="Normal 14 2 6 2 7" xfId="10214" xr:uid="{00000000-0005-0000-0000-000042390000}"/>
    <cellStyle name="Normal 14 2 6 2 8" xfId="10215" xr:uid="{00000000-0005-0000-0000-000043390000}"/>
    <cellStyle name="Normal 14 2 6 2 9" xfId="10216" xr:uid="{00000000-0005-0000-0000-000044390000}"/>
    <cellStyle name="Normal 14 2 6 3" xfId="10217" xr:uid="{00000000-0005-0000-0000-000045390000}"/>
    <cellStyle name="Normal 14 2 6 3 2" xfId="10218" xr:uid="{00000000-0005-0000-0000-000046390000}"/>
    <cellStyle name="Normal 14 2 6 3 2 2" xfId="10219" xr:uid="{00000000-0005-0000-0000-000047390000}"/>
    <cellStyle name="Normal 14 2 6 3 2 2 2" xfId="50465" xr:uid="{00000000-0005-0000-0000-000048390000}"/>
    <cellStyle name="Normal 14 2 6 3 2 2 3" xfId="50466" xr:uid="{00000000-0005-0000-0000-000049390000}"/>
    <cellStyle name="Normal 14 2 6 3 2 3" xfId="10220" xr:uid="{00000000-0005-0000-0000-00004A390000}"/>
    <cellStyle name="Normal 14 2 6 3 2 3 2" xfId="50467" xr:uid="{00000000-0005-0000-0000-00004B390000}"/>
    <cellStyle name="Normal 14 2 6 3 2 4" xfId="10221" xr:uid="{00000000-0005-0000-0000-00004C390000}"/>
    <cellStyle name="Normal 14 2 6 3 2 5" xfId="10222" xr:uid="{00000000-0005-0000-0000-00004D390000}"/>
    <cellStyle name="Normal 14 2 6 3 2 6" xfId="10223" xr:uid="{00000000-0005-0000-0000-00004E390000}"/>
    <cellStyle name="Normal 14 2 6 3 3" xfId="10224" xr:uid="{00000000-0005-0000-0000-00004F390000}"/>
    <cellStyle name="Normal 14 2 6 3 3 2" xfId="50468" xr:uid="{00000000-0005-0000-0000-000050390000}"/>
    <cellStyle name="Normal 14 2 6 3 3 3" xfId="50469" xr:uid="{00000000-0005-0000-0000-000051390000}"/>
    <cellStyle name="Normal 14 2 6 3 4" xfId="10225" xr:uid="{00000000-0005-0000-0000-000052390000}"/>
    <cellStyle name="Normal 14 2 6 3 4 2" xfId="50470" xr:uid="{00000000-0005-0000-0000-000053390000}"/>
    <cellStyle name="Normal 14 2 6 3 5" xfId="10226" xr:uid="{00000000-0005-0000-0000-000054390000}"/>
    <cellStyle name="Normal 14 2 6 3 6" xfId="10227" xr:uid="{00000000-0005-0000-0000-000055390000}"/>
    <cellStyle name="Normal 14 2 6 3 7" xfId="10228" xr:uid="{00000000-0005-0000-0000-000056390000}"/>
    <cellStyle name="Normal 14 2 6 4" xfId="10229" xr:uid="{00000000-0005-0000-0000-000057390000}"/>
    <cellStyle name="Normal 14 2 6 4 2" xfId="10230" xr:uid="{00000000-0005-0000-0000-000058390000}"/>
    <cellStyle name="Normal 14 2 6 4 2 2" xfId="50471" xr:uid="{00000000-0005-0000-0000-000059390000}"/>
    <cellStyle name="Normal 14 2 6 4 2 3" xfId="50472" xr:uid="{00000000-0005-0000-0000-00005A390000}"/>
    <cellStyle name="Normal 14 2 6 4 3" xfId="10231" xr:uid="{00000000-0005-0000-0000-00005B390000}"/>
    <cellStyle name="Normal 14 2 6 4 3 2" xfId="50473" xr:uid="{00000000-0005-0000-0000-00005C390000}"/>
    <cellStyle name="Normal 14 2 6 4 4" xfId="10232" xr:uid="{00000000-0005-0000-0000-00005D390000}"/>
    <cellStyle name="Normal 14 2 6 4 5" xfId="10233" xr:uid="{00000000-0005-0000-0000-00005E390000}"/>
    <cellStyle name="Normal 14 2 6 4 6" xfId="10234" xr:uid="{00000000-0005-0000-0000-00005F390000}"/>
    <cellStyle name="Normal 14 2 6 5" xfId="10235" xr:uid="{00000000-0005-0000-0000-000060390000}"/>
    <cellStyle name="Normal 14 2 6 5 2" xfId="50474" xr:uid="{00000000-0005-0000-0000-000061390000}"/>
    <cellStyle name="Normal 14 2 6 5 3" xfId="50475" xr:uid="{00000000-0005-0000-0000-000062390000}"/>
    <cellStyle name="Normal 14 2 6 6" xfId="10236" xr:uid="{00000000-0005-0000-0000-000063390000}"/>
    <cellStyle name="Normal 14 2 6 6 2" xfId="50476" xr:uid="{00000000-0005-0000-0000-000064390000}"/>
    <cellStyle name="Normal 14 2 6 7" xfId="10237" xr:uid="{00000000-0005-0000-0000-000065390000}"/>
    <cellStyle name="Normal 14 2 6 8" xfId="10238" xr:uid="{00000000-0005-0000-0000-000066390000}"/>
    <cellStyle name="Normal 14 2 6 9" xfId="10239" xr:uid="{00000000-0005-0000-0000-000067390000}"/>
    <cellStyle name="Normal 14 2 7" xfId="10240" xr:uid="{00000000-0005-0000-0000-000068390000}"/>
    <cellStyle name="Normal 14 2 7 2" xfId="10241" xr:uid="{00000000-0005-0000-0000-000069390000}"/>
    <cellStyle name="Normal 14 2 7 2 2" xfId="10242" xr:uid="{00000000-0005-0000-0000-00006A390000}"/>
    <cellStyle name="Normal 14 2 7 2 2 2" xfId="10243" xr:uid="{00000000-0005-0000-0000-00006B390000}"/>
    <cellStyle name="Normal 14 2 7 2 2 2 2" xfId="50477" xr:uid="{00000000-0005-0000-0000-00006C390000}"/>
    <cellStyle name="Normal 14 2 7 2 2 2 3" xfId="50478" xr:uid="{00000000-0005-0000-0000-00006D390000}"/>
    <cellStyle name="Normal 14 2 7 2 2 3" xfId="10244" xr:uid="{00000000-0005-0000-0000-00006E390000}"/>
    <cellStyle name="Normal 14 2 7 2 2 3 2" xfId="50479" xr:uid="{00000000-0005-0000-0000-00006F390000}"/>
    <cellStyle name="Normal 14 2 7 2 2 4" xfId="10245" xr:uid="{00000000-0005-0000-0000-000070390000}"/>
    <cellStyle name="Normal 14 2 7 2 2 5" xfId="10246" xr:uid="{00000000-0005-0000-0000-000071390000}"/>
    <cellStyle name="Normal 14 2 7 2 2 6" xfId="10247" xr:uid="{00000000-0005-0000-0000-000072390000}"/>
    <cellStyle name="Normal 14 2 7 2 3" xfId="10248" xr:uid="{00000000-0005-0000-0000-000073390000}"/>
    <cellStyle name="Normal 14 2 7 2 3 2" xfId="50480" xr:uid="{00000000-0005-0000-0000-000074390000}"/>
    <cellStyle name="Normal 14 2 7 2 3 3" xfId="50481" xr:uid="{00000000-0005-0000-0000-000075390000}"/>
    <cellStyle name="Normal 14 2 7 2 4" xfId="10249" xr:uid="{00000000-0005-0000-0000-000076390000}"/>
    <cellStyle name="Normal 14 2 7 2 4 2" xfId="50482" xr:uid="{00000000-0005-0000-0000-000077390000}"/>
    <cellStyle name="Normal 14 2 7 2 5" xfId="10250" xr:uid="{00000000-0005-0000-0000-000078390000}"/>
    <cellStyle name="Normal 14 2 7 2 6" xfId="10251" xr:uid="{00000000-0005-0000-0000-000079390000}"/>
    <cellStyle name="Normal 14 2 7 2 7" xfId="10252" xr:uid="{00000000-0005-0000-0000-00007A390000}"/>
    <cellStyle name="Normal 14 2 7 3" xfId="10253" xr:uid="{00000000-0005-0000-0000-00007B390000}"/>
    <cellStyle name="Normal 14 2 7 3 2" xfId="10254" xr:uid="{00000000-0005-0000-0000-00007C390000}"/>
    <cellStyle name="Normal 14 2 7 3 2 2" xfId="50483" xr:uid="{00000000-0005-0000-0000-00007D390000}"/>
    <cellStyle name="Normal 14 2 7 3 2 3" xfId="50484" xr:uid="{00000000-0005-0000-0000-00007E390000}"/>
    <cellStyle name="Normal 14 2 7 3 3" xfId="10255" xr:uid="{00000000-0005-0000-0000-00007F390000}"/>
    <cellStyle name="Normal 14 2 7 3 3 2" xfId="50485" xr:uid="{00000000-0005-0000-0000-000080390000}"/>
    <cellStyle name="Normal 14 2 7 3 4" xfId="10256" xr:uid="{00000000-0005-0000-0000-000081390000}"/>
    <cellStyle name="Normal 14 2 7 3 5" xfId="10257" xr:uid="{00000000-0005-0000-0000-000082390000}"/>
    <cellStyle name="Normal 14 2 7 3 6" xfId="10258" xr:uid="{00000000-0005-0000-0000-000083390000}"/>
    <cellStyle name="Normal 14 2 7 4" xfId="10259" xr:uid="{00000000-0005-0000-0000-000084390000}"/>
    <cellStyle name="Normal 14 2 7 4 2" xfId="50486" xr:uid="{00000000-0005-0000-0000-000085390000}"/>
    <cellStyle name="Normal 14 2 7 4 3" xfId="50487" xr:uid="{00000000-0005-0000-0000-000086390000}"/>
    <cellStyle name="Normal 14 2 7 5" xfId="10260" xr:uid="{00000000-0005-0000-0000-000087390000}"/>
    <cellStyle name="Normal 14 2 7 5 2" xfId="50488" xr:uid="{00000000-0005-0000-0000-000088390000}"/>
    <cellStyle name="Normal 14 2 7 6" xfId="10261" xr:uid="{00000000-0005-0000-0000-000089390000}"/>
    <cellStyle name="Normal 14 2 7 7" xfId="10262" xr:uid="{00000000-0005-0000-0000-00008A390000}"/>
    <cellStyle name="Normal 14 2 7 8" xfId="10263" xr:uid="{00000000-0005-0000-0000-00008B390000}"/>
    <cellStyle name="Normal 14 2 7 9" xfId="10264" xr:uid="{00000000-0005-0000-0000-00008C390000}"/>
    <cellStyle name="Normal 14 2 8" xfId="10265" xr:uid="{00000000-0005-0000-0000-00008D390000}"/>
    <cellStyle name="Normal 14 2 8 2" xfId="10266" xr:uid="{00000000-0005-0000-0000-00008E390000}"/>
    <cellStyle name="Normal 14 2 8 2 2" xfId="10267" xr:uid="{00000000-0005-0000-0000-00008F390000}"/>
    <cellStyle name="Normal 14 2 8 2 2 2" xfId="10268" xr:uid="{00000000-0005-0000-0000-000090390000}"/>
    <cellStyle name="Normal 14 2 8 2 2 2 2" xfId="50489" xr:uid="{00000000-0005-0000-0000-000091390000}"/>
    <cellStyle name="Normal 14 2 8 2 2 2 3" xfId="50490" xr:uid="{00000000-0005-0000-0000-000092390000}"/>
    <cellStyle name="Normal 14 2 8 2 2 3" xfId="10269" xr:uid="{00000000-0005-0000-0000-000093390000}"/>
    <cellStyle name="Normal 14 2 8 2 2 3 2" xfId="50491" xr:uid="{00000000-0005-0000-0000-000094390000}"/>
    <cellStyle name="Normal 14 2 8 2 2 4" xfId="10270" xr:uid="{00000000-0005-0000-0000-000095390000}"/>
    <cellStyle name="Normal 14 2 8 2 2 5" xfId="10271" xr:uid="{00000000-0005-0000-0000-000096390000}"/>
    <cellStyle name="Normal 14 2 8 2 2 6" xfId="10272" xr:uid="{00000000-0005-0000-0000-000097390000}"/>
    <cellStyle name="Normal 14 2 8 2 3" xfId="10273" xr:uid="{00000000-0005-0000-0000-000098390000}"/>
    <cellStyle name="Normal 14 2 8 2 3 2" xfId="50492" xr:uid="{00000000-0005-0000-0000-000099390000}"/>
    <cellStyle name="Normal 14 2 8 2 3 3" xfId="50493" xr:uid="{00000000-0005-0000-0000-00009A390000}"/>
    <cellStyle name="Normal 14 2 8 2 4" xfId="10274" xr:uid="{00000000-0005-0000-0000-00009B390000}"/>
    <cellStyle name="Normal 14 2 8 2 4 2" xfId="50494" xr:uid="{00000000-0005-0000-0000-00009C390000}"/>
    <cellStyle name="Normal 14 2 8 2 5" xfId="10275" xr:uid="{00000000-0005-0000-0000-00009D390000}"/>
    <cellStyle name="Normal 14 2 8 2 6" xfId="10276" xr:uid="{00000000-0005-0000-0000-00009E390000}"/>
    <cellStyle name="Normal 14 2 8 2 7" xfId="10277" xr:uid="{00000000-0005-0000-0000-00009F390000}"/>
    <cellStyle name="Normal 14 2 8 3" xfId="10278" xr:uid="{00000000-0005-0000-0000-0000A0390000}"/>
    <cellStyle name="Normal 14 2 8 3 2" xfId="10279" xr:uid="{00000000-0005-0000-0000-0000A1390000}"/>
    <cellStyle name="Normal 14 2 8 3 2 2" xfId="50495" xr:uid="{00000000-0005-0000-0000-0000A2390000}"/>
    <cellStyle name="Normal 14 2 8 3 2 3" xfId="50496" xr:uid="{00000000-0005-0000-0000-0000A3390000}"/>
    <cellStyle name="Normal 14 2 8 3 3" xfId="10280" xr:uid="{00000000-0005-0000-0000-0000A4390000}"/>
    <cellStyle name="Normal 14 2 8 3 3 2" xfId="50497" xr:uid="{00000000-0005-0000-0000-0000A5390000}"/>
    <cellStyle name="Normal 14 2 8 3 4" xfId="10281" xr:uid="{00000000-0005-0000-0000-0000A6390000}"/>
    <cellStyle name="Normal 14 2 8 3 5" xfId="10282" xr:uid="{00000000-0005-0000-0000-0000A7390000}"/>
    <cellStyle name="Normal 14 2 8 3 6" xfId="10283" xr:uid="{00000000-0005-0000-0000-0000A8390000}"/>
    <cellStyle name="Normal 14 2 8 4" xfId="10284" xr:uid="{00000000-0005-0000-0000-0000A9390000}"/>
    <cellStyle name="Normal 14 2 8 4 2" xfId="50498" xr:uid="{00000000-0005-0000-0000-0000AA390000}"/>
    <cellStyle name="Normal 14 2 8 4 3" xfId="50499" xr:uid="{00000000-0005-0000-0000-0000AB390000}"/>
    <cellStyle name="Normal 14 2 8 5" xfId="10285" xr:uid="{00000000-0005-0000-0000-0000AC390000}"/>
    <cellStyle name="Normal 14 2 8 5 2" xfId="50500" xr:uid="{00000000-0005-0000-0000-0000AD390000}"/>
    <cellStyle name="Normal 14 2 8 6" xfId="10286" xr:uid="{00000000-0005-0000-0000-0000AE390000}"/>
    <cellStyle name="Normal 14 2 8 7" xfId="10287" xr:uid="{00000000-0005-0000-0000-0000AF390000}"/>
    <cellStyle name="Normal 14 2 8 8" xfId="10288" xr:uid="{00000000-0005-0000-0000-0000B0390000}"/>
    <cellStyle name="Normal 14 2 9" xfId="10289" xr:uid="{00000000-0005-0000-0000-0000B1390000}"/>
    <cellStyle name="Normal 14 2 9 2" xfId="10290" xr:uid="{00000000-0005-0000-0000-0000B2390000}"/>
    <cellStyle name="Normal 14 2 9 2 2" xfId="10291" xr:uid="{00000000-0005-0000-0000-0000B3390000}"/>
    <cellStyle name="Normal 14 2 9 2 2 2" xfId="10292" xr:uid="{00000000-0005-0000-0000-0000B4390000}"/>
    <cellStyle name="Normal 14 2 9 2 2 2 2" xfId="50501" xr:uid="{00000000-0005-0000-0000-0000B5390000}"/>
    <cellStyle name="Normal 14 2 9 2 2 2 3" xfId="50502" xr:uid="{00000000-0005-0000-0000-0000B6390000}"/>
    <cellStyle name="Normal 14 2 9 2 2 3" xfId="10293" xr:uid="{00000000-0005-0000-0000-0000B7390000}"/>
    <cellStyle name="Normal 14 2 9 2 2 3 2" xfId="50503" xr:uid="{00000000-0005-0000-0000-0000B8390000}"/>
    <cellStyle name="Normal 14 2 9 2 2 4" xfId="10294" xr:uid="{00000000-0005-0000-0000-0000B9390000}"/>
    <cellStyle name="Normal 14 2 9 2 2 5" xfId="10295" xr:uid="{00000000-0005-0000-0000-0000BA390000}"/>
    <cellStyle name="Normal 14 2 9 2 2 6" xfId="10296" xr:uid="{00000000-0005-0000-0000-0000BB390000}"/>
    <cellStyle name="Normal 14 2 9 2 3" xfId="10297" xr:uid="{00000000-0005-0000-0000-0000BC390000}"/>
    <cellStyle name="Normal 14 2 9 2 3 2" xfId="50504" xr:uid="{00000000-0005-0000-0000-0000BD390000}"/>
    <cellStyle name="Normal 14 2 9 2 3 3" xfId="50505" xr:uid="{00000000-0005-0000-0000-0000BE390000}"/>
    <cellStyle name="Normal 14 2 9 2 4" xfId="10298" xr:uid="{00000000-0005-0000-0000-0000BF390000}"/>
    <cellStyle name="Normal 14 2 9 2 4 2" xfId="50506" xr:uid="{00000000-0005-0000-0000-0000C0390000}"/>
    <cellStyle name="Normal 14 2 9 2 5" xfId="10299" xr:uid="{00000000-0005-0000-0000-0000C1390000}"/>
    <cellStyle name="Normal 14 2 9 2 6" xfId="10300" xr:uid="{00000000-0005-0000-0000-0000C2390000}"/>
    <cellStyle name="Normal 14 2 9 2 7" xfId="10301" xr:uid="{00000000-0005-0000-0000-0000C3390000}"/>
    <cellStyle name="Normal 14 2 9 3" xfId="10302" xr:uid="{00000000-0005-0000-0000-0000C4390000}"/>
    <cellStyle name="Normal 14 2 9 3 2" xfId="10303" xr:uid="{00000000-0005-0000-0000-0000C5390000}"/>
    <cellStyle name="Normal 14 2 9 3 2 2" xfId="50507" xr:uid="{00000000-0005-0000-0000-0000C6390000}"/>
    <cellStyle name="Normal 14 2 9 3 2 3" xfId="50508" xr:uid="{00000000-0005-0000-0000-0000C7390000}"/>
    <cellStyle name="Normal 14 2 9 3 3" xfId="10304" xr:uid="{00000000-0005-0000-0000-0000C8390000}"/>
    <cellStyle name="Normal 14 2 9 3 3 2" xfId="50509" xr:uid="{00000000-0005-0000-0000-0000C9390000}"/>
    <cellStyle name="Normal 14 2 9 3 4" xfId="10305" xr:uid="{00000000-0005-0000-0000-0000CA390000}"/>
    <cellStyle name="Normal 14 2 9 3 5" xfId="10306" xr:uid="{00000000-0005-0000-0000-0000CB390000}"/>
    <cellStyle name="Normal 14 2 9 3 6" xfId="10307" xr:uid="{00000000-0005-0000-0000-0000CC390000}"/>
    <cellStyle name="Normal 14 2 9 4" xfId="10308" xr:uid="{00000000-0005-0000-0000-0000CD390000}"/>
    <cellStyle name="Normal 14 2 9 4 2" xfId="50510" xr:uid="{00000000-0005-0000-0000-0000CE390000}"/>
    <cellStyle name="Normal 14 2 9 4 3" xfId="50511" xr:uid="{00000000-0005-0000-0000-0000CF390000}"/>
    <cellStyle name="Normal 14 2 9 5" xfId="10309" xr:uid="{00000000-0005-0000-0000-0000D0390000}"/>
    <cellStyle name="Normal 14 2 9 5 2" xfId="50512" xr:uid="{00000000-0005-0000-0000-0000D1390000}"/>
    <cellStyle name="Normal 14 2 9 6" xfId="10310" xr:uid="{00000000-0005-0000-0000-0000D2390000}"/>
    <cellStyle name="Normal 14 2 9 7" xfId="10311" xr:uid="{00000000-0005-0000-0000-0000D3390000}"/>
    <cellStyle name="Normal 14 2 9 8" xfId="10312" xr:uid="{00000000-0005-0000-0000-0000D4390000}"/>
    <cellStyle name="Normal 14 20" xfId="10313" xr:uid="{00000000-0005-0000-0000-0000D5390000}"/>
    <cellStyle name="Normal 14 21" xfId="10314" xr:uid="{00000000-0005-0000-0000-0000D6390000}"/>
    <cellStyle name="Normal 14 22" xfId="10315" xr:uid="{00000000-0005-0000-0000-0000D7390000}"/>
    <cellStyle name="Normal 14 3" xfId="10316" xr:uid="{00000000-0005-0000-0000-0000D8390000}"/>
    <cellStyle name="Normal 14 3 10" xfId="10317" xr:uid="{00000000-0005-0000-0000-0000D9390000}"/>
    <cellStyle name="Normal 14 3 10 2" xfId="10318" xr:uid="{00000000-0005-0000-0000-0000DA390000}"/>
    <cellStyle name="Normal 14 3 10 2 2" xfId="10319" xr:uid="{00000000-0005-0000-0000-0000DB390000}"/>
    <cellStyle name="Normal 14 3 10 2 2 2" xfId="50513" xr:uid="{00000000-0005-0000-0000-0000DC390000}"/>
    <cellStyle name="Normal 14 3 10 2 2 3" xfId="50514" xr:uid="{00000000-0005-0000-0000-0000DD390000}"/>
    <cellStyle name="Normal 14 3 10 2 3" xfId="10320" xr:uid="{00000000-0005-0000-0000-0000DE390000}"/>
    <cellStyle name="Normal 14 3 10 2 3 2" xfId="50515" xr:uid="{00000000-0005-0000-0000-0000DF390000}"/>
    <cellStyle name="Normal 14 3 10 2 4" xfId="10321" xr:uid="{00000000-0005-0000-0000-0000E0390000}"/>
    <cellStyle name="Normal 14 3 10 2 5" xfId="10322" xr:uid="{00000000-0005-0000-0000-0000E1390000}"/>
    <cellStyle name="Normal 14 3 10 2 6" xfId="10323" xr:uid="{00000000-0005-0000-0000-0000E2390000}"/>
    <cellStyle name="Normal 14 3 10 3" xfId="10324" xr:uid="{00000000-0005-0000-0000-0000E3390000}"/>
    <cellStyle name="Normal 14 3 10 3 2" xfId="50516" xr:uid="{00000000-0005-0000-0000-0000E4390000}"/>
    <cellStyle name="Normal 14 3 10 3 3" xfId="50517" xr:uid="{00000000-0005-0000-0000-0000E5390000}"/>
    <cellStyle name="Normal 14 3 10 4" xfId="10325" xr:uid="{00000000-0005-0000-0000-0000E6390000}"/>
    <cellStyle name="Normal 14 3 10 4 2" xfId="50518" xr:uid="{00000000-0005-0000-0000-0000E7390000}"/>
    <cellStyle name="Normal 14 3 10 5" xfId="10326" xr:uid="{00000000-0005-0000-0000-0000E8390000}"/>
    <cellStyle name="Normal 14 3 10 6" xfId="10327" xr:uid="{00000000-0005-0000-0000-0000E9390000}"/>
    <cellStyle name="Normal 14 3 10 7" xfId="10328" xr:uid="{00000000-0005-0000-0000-0000EA390000}"/>
    <cellStyle name="Normal 14 3 11" xfId="10329" xr:uid="{00000000-0005-0000-0000-0000EB390000}"/>
    <cellStyle name="Normal 14 3 11 2" xfId="10330" xr:uid="{00000000-0005-0000-0000-0000EC390000}"/>
    <cellStyle name="Normal 14 3 11 2 2" xfId="50519" xr:uid="{00000000-0005-0000-0000-0000ED390000}"/>
    <cellStyle name="Normal 14 3 11 2 3" xfId="50520" xr:uid="{00000000-0005-0000-0000-0000EE390000}"/>
    <cellStyle name="Normal 14 3 11 3" xfId="10331" xr:uid="{00000000-0005-0000-0000-0000EF390000}"/>
    <cellStyle name="Normal 14 3 11 3 2" xfId="50521" xr:uid="{00000000-0005-0000-0000-0000F0390000}"/>
    <cellStyle name="Normal 14 3 11 4" xfId="10332" xr:uid="{00000000-0005-0000-0000-0000F1390000}"/>
    <cellStyle name="Normal 14 3 11 5" xfId="10333" xr:uid="{00000000-0005-0000-0000-0000F2390000}"/>
    <cellStyle name="Normal 14 3 11 6" xfId="10334" xr:uid="{00000000-0005-0000-0000-0000F3390000}"/>
    <cellStyle name="Normal 14 3 12" xfId="10335" xr:uid="{00000000-0005-0000-0000-0000F4390000}"/>
    <cellStyle name="Normal 14 3 12 2" xfId="50522" xr:uid="{00000000-0005-0000-0000-0000F5390000}"/>
    <cellStyle name="Normal 14 3 12 3" xfId="50523" xr:uid="{00000000-0005-0000-0000-0000F6390000}"/>
    <cellStyle name="Normal 14 3 13" xfId="10336" xr:uid="{00000000-0005-0000-0000-0000F7390000}"/>
    <cellStyle name="Normal 14 3 13 2" xfId="50524" xr:uid="{00000000-0005-0000-0000-0000F8390000}"/>
    <cellStyle name="Normal 14 3 14" xfId="10337" xr:uid="{00000000-0005-0000-0000-0000F9390000}"/>
    <cellStyle name="Normal 14 3 14 2" xfId="50525" xr:uid="{00000000-0005-0000-0000-0000FA390000}"/>
    <cellStyle name="Normal 14 3 15" xfId="10338" xr:uid="{00000000-0005-0000-0000-0000FB390000}"/>
    <cellStyle name="Normal 14 3 16" xfId="10339" xr:uid="{00000000-0005-0000-0000-0000FC390000}"/>
    <cellStyle name="Normal 14 3 17" xfId="10340" xr:uid="{00000000-0005-0000-0000-0000FD390000}"/>
    <cellStyle name="Normal 14 3 18" xfId="10341" xr:uid="{00000000-0005-0000-0000-0000FE390000}"/>
    <cellStyle name="Normal 14 3 19" xfId="10342" xr:uid="{00000000-0005-0000-0000-0000FF390000}"/>
    <cellStyle name="Normal 14 3 2" xfId="10343" xr:uid="{00000000-0005-0000-0000-0000003A0000}"/>
    <cellStyle name="Normal 14 3 2 10" xfId="10344" xr:uid="{00000000-0005-0000-0000-0000013A0000}"/>
    <cellStyle name="Normal 14 3 2 11" xfId="10345" xr:uid="{00000000-0005-0000-0000-0000023A0000}"/>
    <cellStyle name="Normal 14 3 2 12" xfId="10346" xr:uid="{00000000-0005-0000-0000-0000033A0000}"/>
    <cellStyle name="Normal 14 3 2 13" xfId="10347" xr:uid="{00000000-0005-0000-0000-0000043A0000}"/>
    <cellStyle name="Normal 14 3 2 14" xfId="10348" xr:uid="{00000000-0005-0000-0000-0000053A0000}"/>
    <cellStyle name="Normal 14 3 2 15" xfId="10349" xr:uid="{00000000-0005-0000-0000-0000063A0000}"/>
    <cellStyle name="Normal 14 3 2 2" xfId="10350" xr:uid="{00000000-0005-0000-0000-0000073A0000}"/>
    <cellStyle name="Normal 14 3 2 2 10" xfId="10351" xr:uid="{00000000-0005-0000-0000-0000083A0000}"/>
    <cellStyle name="Normal 14 3 2 2 11" xfId="10352" xr:uid="{00000000-0005-0000-0000-0000093A0000}"/>
    <cellStyle name="Normal 14 3 2 2 12" xfId="10353" xr:uid="{00000000-0005-0000-0000-00000A3A0000}"/>
    <cellStyle name="Normal 14 3 2 2 13" xfId="10354" xr:uid="{00000000-0005-0000-0000-00000B3A0000}"/>
    <cellStyle name="Normal 14 3 2 2 14" xfId="10355" xr:uid="{00000000-0005-0000-0000-00000C3A0000}"/>
    <cellStyle name="Normal 14 3 2 2 2" xfId="10356" xr:uid="{00000000-0005-0000-0000-00000D3A0000}"/>
    <cellStyle name="Normal 14 3 2 2 2 2" xfId="10357" xr:uid="{00000000-0005-0000-0000-00000E3A0000}"/>
    <cellStyle name="Normal 14 3 2 2 2 2 2" xfId="10358" xr:uid="{00000000-0005-0000-0000-00000F3A0000}"/>
    <cellStyle name="Normal 14 3 2 2 2 2 2 2" xfId="10359" xr:uid="{00000000-0005-0000-0000-0000103A0000}"/>
    <cellStyle name="Normal 14 3 2 2 2 2 2 2 2" xfId="50526" xr:uid="{00000000-0005-0000-0000-0000113A0000}"/>
    <cellStyle name="Normal 14 3 2 2 2 2 2 2 3" xfId="50527" xr:uid="{00000000-0005-0000-0000-0000123A0000}"/>
    <cellStyle name="Normal 14 3 2 2 2 2 2 3" xfId="10360" xr:uid="{00000000-0005-0000-0000-0000133A0000}"/>
    <cellStyle name="Normal 14 3 2 2 2 2 2 3 2" xfId="50528" xr:uid="{00000000-0005-0000-0000-0000143A0000}"/>
    <cellStyle name="Normal 14 3 2 2 2 2 2 4" xfId="10361" xr:uid="{00000000-0005-0000-0000-0000153A0000}"/>
    <cellStyle name="Normal 14 3 2 2 2 2 2 5" xfId="10362" xr:uid="{00000000-0005-0000-0000-0000163A0000}"/>
    <cellStyle name="Normal 14 3 2 2 2 2 2 6" xfId="10363" xr:uid="{00000000-0005-0000-0000-0000173A0000}"/>
    <cellStyle name="Normal 14 3 2 2 2 2 3" xfId="10364" xr:uid="{00000000-0005-0000-0000-0000183A0000}"/>
    <cellStyle name="Normal 14 3 2 2 2 2 3 2" xfId="50529" xr:uid="{00000000-0005-0000-0000-0000193A0000}"/>
    <cellStyle name="Normal 14 3 2 2 2 2 3 3" xfId="50530" xr:uid="{00000000-0005-0000-0000-00001A3A0000}"/>
    <cellStyle name="Normal 14 3 2 2 2 2 4" xfId="10365" xr:uid="{00000000-0005-0000-0000-00001B3A0000}"/>
    <cellStyle name="Normal 14 3 2 2 2 2 4 2" xfId="50531" xr:uid="{00000000-0005-0000-0000-00001C3A0000}"/>
    <cellStyle name="Normal 14 3 2 2 2 2 5" xfId="10366" xr:uid="{00000000-0005-0000-0000-00001D3A0000}"/>
    <cellStyle name="Normal 14 3 2 2 2 2 6" xfId="10367" xr:uid="{00000000-0005-0000-0000-00001E3A0000}"/>
    <cellStyle name="Normal 14 3 2 2 2 2 7" xfId="10368" xr:uid="{00000000-0005-0000-0000-00001F3A0000}"/>
    <cellStyle name="Normal 14 3 2 2 2 3" xfId="10369" xr:uid="{00000000-0005-0000-0000-0000203A0000}"/>
    <cellStyle name="Normal 14 3 2 2 2 3 2" xfId="10370" xr:uid="{00000000-0005-0000-0000-0000213A0000}"/>
    <cellStyle name="Normal 14 3 2 2 2 3 2 2" xfId="50532" xr:uid="{00000000-0005-0000-0000-0000223A0000}"/>
    <cellStyle name="Normal 14 3 2 2 2 3 2 3" xfId="50533" xr:uid="{00000000-0005-0000-0000-0000233A0000}"/>
    <cellStyle name="Normal 14 3 2 2 2 3 3" xfId="10371" xr:uid="{00000000-0005-0000-0000-0000243A0000}"/>
    <cellStyle name="Normal 14 3 2 2 2 3 3 2" xfId="50534" xr:uid="{00000000-0005-0000-0000-0000253A0000}"/>
    <cellStyle name="Normal 14 3 2 2 2 3 4" xfId="10372" xr:uid="{00000000-0005-0000-0000-0000263A0000}"/>
    <cellStyle name="Normal 14 3 2 2 2 3 5" xfId="10373" xr:uid="{00000000-0005-0000-0000-0000273A0000}"/>
    <cellStyle name="Normal 14 3 2 2 2 3 6" xfId="10374" xr:uid="{00000000-0005-0000-0000-0000283A0000}"/>
    <cellStyle name="Normal 14 3 2 2 2 4" xfId="10375" xr:uid="{00000000-0005-0000-0000-0000293A0000}"/>
    <cellStyle name="Normal 14 3 2 2 2 4 2" xfId="50535" xr:uid="{00000000-0005-0000-0000-00002A3A0000}"/>
    <cellStyle name="Normal 14 3 2 2 2 4 3" xfId="50536" xr:uid="{00000000-0005-0000-0000-00002B3A0000}"/>
    <cellStyle name="Normal 14 3 2 2 2 5" xfId="10376" xr:uid="{00000000-0005-0000-0000-00002C3A0000}"/>
    <cellStyle name="Normal 14 3 2 2 2 5 2" xfId="50537" xr:uid="{00000000-0005-0000-0000-00002D3A0000}"/>
    <cellStyle name="Normal 14 3 2 2 2 6" xfId="10377" xr:uid="{00000000-0005-0000-0000-00002E3A0000}"/>
    <cellStyle name="Normal 14 3 2 2 2 7" xfId="10378" xr:uid="{00000000-0005-0000-0000-00002F3A0000}"/>
    <cellStyle name="Normal 14 3 2 2 2 8" xfId="10379" xr:uid="{00000000-0005-0000-0000-0000303A0000}"/>
    <cellStyle name="Normal 14 3 2 2 2 9" xfId="10380" xr:uid="{00000000-0005-0000-0000-0000313A0000}"/>
    <cellStyle name="Normal 14 3 2 2 3" xfId="10381" xr:uid="{00000000-0005-0000-0000-0000323A0000}"/>
    <cellStyle name="Normal 14 3 2 2 3 2" xfId="10382" xr:uid="{00000000-0005-0000-0000-0000333A0000}"/>
    <cellStyle name="Normal 14 3 2 2 3 2 2" xfId="10383" xr:uid="{00000000-0005-0000-0000-0000343A0000}"/>
    <cellStyle name="Normal 14 3 2 2 3 2 2 2" xfId="10384" xr:uid="{00000000-0005-0000-0000-0000353A0000}"/>
    <cellStyle name="Normal 14 3 2 2 3 2 2 2 2" xfId="50538" xr:uid="{00000000-0005-0000-0000-0000363A0000}"/>
    <cellStyle name="Normal 14 3 2 2 3 2 2 2 3" xfId="50539" xr:uid="{00000000-0005-0000-0000-0000373A0000}"/>
    <cellStyle name="Normal 14 3 2 2 3 2 2 3" xfId="10385" xr:uid="{00000000-0005-0000-0000-0000383A0000}"/>
    <cellStyle name="Normal 14 3 2 2 3 2 2 3 2" xfId="50540" xr:uid="{00000000-0005-0000-0000-0000393A0000}"/>
    <cellStyle name="Normal 14 3 2 2 3 2 2 4" xfId="10386" xr:uid="{00000000-0005-0000-0000-00003A3A0000}"/>
    <cellStyle name="Normal 14 3 2 2 3 2 2 5" xfId="10387" xr:uid="{00000000-0005-0000-0000-00003B3A0000}"/>
    <cellStyle name="Normal 14 3 2 2 3 2 2 6" xfId="10388" xr:uid="{00000000-0005-0000-0000-00003C3A0000}"/>
    <cellStyle name="Normal 14 3 2 2 3 2 3" xfId="10389" xr:uid="{00000000-0005-0000-0000-00003D3A0000}"/>
    <cellStyle name="Normal 14 3 2 2 3 2 3 2" xfId="50541" xr:uid="{00000000-0005-0000-0000-00003E3A0000}"/>
    <cellStyle name="Normal 14 3 2 2 3 2 3 3" xfId="50542" xr:uid="{00000000-0005-0000-0000-00003F3A0000}"/>
    <cellStyle name="Normal 14 3 2 2 3 2 4" xfId="10390" xr:uid="{00000000-0005-0000-0000-0000403A0000}"/>
    <cellStyle name="Normal 14 3 2 2 3 2 4 2" xfId="50543" xr:uid="{00000000-0005-0000-0000-0000413A0000}"/>
    <cellStyle name="Normal 14 3 2 2 3 2 5" xfId="10391" xr:uid="{00000000-0005-0000-0000-0000423A0000}"/>
    <cellStyle name="Normal 14 3 2 2 3 2 6" xfId="10392" xr:uid="{00000000-0005-0000-0000-0000433A0000}"/>
    <cellStyle name="Normal 14 3 2 2 3 2 7" xfId="10393" xr:uid="{00000000-0005-0000-0000-0000443A0000}"/>
    <cellStyle name="Normal 14 3 2 2 3 3" xfId="10394" xr:uid="{00000000-0005-0000-0000-0000453A0000}"/>
    <cellStyle name="Normal 14 3 2 2 3 3 2" xfId="10395" xr:uid="{00000000-0005-0000-0000-0000463A0000}"/>
    <cellStyle name="Normal 14 3 2 2 3 3 2 2" xfId="50544" xr:uid="{00000000-0005-0000-0000-0000473A0000}"/>
    <cellStyle name="Normal 14 3 2 2 3 3 2 3" xfId="50545" xr:uid="{00000000-0005-0000-0000-0000483A0000}"/>
    <cellStyle name="Normal 14 3 2 2 3 3 3" xfId="10396" xr:uid="{00000000-0005-0000-0000-0000493A0000}"/>
    <cellStyle name="Normal 14 3 2 2 3 3 3 2" xfId="50546" xr:uid="{00000000-0005-0000-0000-00004A3A0000}"/>
    <cellStyle name="Normal 14 3 2 2 3 3 4" xfId="10397" xr:uid="{00000000-0005-0000-0000-00004B3A0000}"/>
    <cellStyle name="Normal 14 3 2 2 3 3 5" xfId="10398" xr:uid="{00000000-0005-0000-0000-00004C3A0000}"/>
    <cellStyle name="Normal 14 3 2 2 3 3 6" xfId="10399" xr:uid="{00000000-0005-0000-0000-00004D3A0000}"/>
    <cellStyle name="Normal 14 3 2 2 3 4" xfId="10400" xr:uid="{00000000-0005-0000-0000-00004E3A0000}"/>
    <cellStyle name="Normal 14 3 2 2 3 4 2" xfId="50547" xr:uid="{00000000-0005-0000-0000-00004F3A0000}"/>
    <cellStyle name="Normal 14 3 2 2 3 4 3" xfId="50548" xr:uid="{00000000-0005-0000-0000-0000503A0000}"/>
    <cellStyle name="Normal 14 3 2 2 3 5" xfId="10401" xr:uid="{00000000-0005-0000-0000-0000513A0000}"/>
    <cellStyle name="Normal 14 3 2 2 3 5 2" xfId="50549" xr:uid="{00000000-0005-0000-0000-0000523A0000}"/>
    <cellStyle name="Normal 14 3 2 2 3 6" xfId="10402" xr:uid="{00000000-0005-0000-0000-0000533A0000}"/>
    <cellStyle name="Normal 14 3 2 2 3 7" xfId="10403" xr:uid="{00000000-0005-0000-0000-0000543A0000}"/>
    <cellStyle name="Normal 14 3 2 2 3 8" xfId="10404" xr:uid="{00000000-0005-0000-0000-0000553A0000}"/>
    <cellStyle name="Normal 14 3 2 2 4" xfId="10405" xr:uid="{00000000-0005-0000-0000-0000563A0000}"/>
    <cellStyle name="Normal 14 3 2 2 4 2" xfId="10406" xr:uid="{00000000-0005-0000-0000-0000573A0000}"/>
    <cellStyle name="Normal 14 3 2 2 4 2 2" xfId="10407" xr:uid="{00000000-0005-0000-0000-0000583A0000}"/>
    <cellStyle name="Normal 14 3 2 2 4 2 2 2" xfId="50550" xr:uid="{00000000-0005-0000-0000-0000593A0000}"/>
    <cellStyle name="Normal 14 3 2 2 4 2 2 3" xfId="50551" xr:uid="{00000000-0005-0000-0000-00005A3A0000}"/>
    <cellStyle name="Normal 14 3 2 2 4 2 3" xfId="10408" xr:uid="{00000000-0005-0000-0000-00005B3A0000}"/>
    <cellStyle name="Normal 14 3 2 2 4 2 3 2" xfId="50552" xr:uid="{00000000-0005-0000-0000-00005C3A0000}"/>
    <cellStyle name="Normal 14 3 2 2 4 2 4" xfId="10409" xr:uid="{00000000-0005-0000-0000-00005D3A0000}"/>
    <cellStyle name="Normal 14 3 2 2 4 2 5" xfId="10410" xr:uid="{00000000-0005-0000-0000-00005E3A0000}"/>
    <cellStyle name="Normal 14 3 2 2 4 2 6" xfId="10411" xr:uid="{00000000-0005-0000-0000-00005F3A0000}"/>
    <cellStyle name="Normal 14 3 2 2 4 3" xfId="10412" xr:uid="{00000000-0005-0000-0000-0000603A0000}"/>
    <cellStyle name="Normal 14 3 2 2 4 3 2" xfId="50553" xr:uid="{00000000-0005-0000-0000-0000613A0000}"/>
    <cellStyle name="Normal 14 3 2 2 4 3 3" xfId="50554" xr:uid="{00000000-0005-0000-0000-0000623A0000}"/>
    <cellStyle name="Normal 14 3 2 2 4 4" xfId="10413" xr:uid="{00000000-0005-0000-0000-0000633A0000}"/>
    <cellStyle name="Normal 14 3 2 2 4 4 2" xfId="50555" xr:uid="{00000000-0005-0000-0000-0000643A0000}"/>
    <cellStyle name="Normal 14 3 2 2 4 5" xfId="10414" xr:uid="{00000000-0005-0000-0000-0000653A0000}"/>
    <cellStyle name="Normal 14 3 2 2 4 6" xfId="10415" xr:uid="{00000000-0005-0000-0000-0000663A0000}"/>
    <cellStyle name="Normal 14 3 2 2 4 7" xfId="10416" xr:uid="{00000000-0005-0000-0000-0000673A0000}"/>
    <cellStyle name="Normal 14 3 2 2 5" xfId="10417" xr:uid="{00000000-0005-0000-0000-0000683A0000}"/>
    <cellStyle name="Normal 14 3 2 2 5 2" xfId="10418" xr:uid="{00000000-0005-0000-0000-0000693A0000}"/>
    <cellStyle name="Normal 14 3 2 2 5 2 2" xfId="50556" xr:uid="{00000000-0005-0000-0000-00006A3A0000}"/>
    <cellStyle name="Normal 14 3 2 2 5 2 3" xfId="50557" xr:uid="{00000000-0005-0000-0000-00006B3A0000}"/>
    <cellStyle name="Normal 14 3 2 2 5 3" xfId="10419" xr:uid="{00000000-0005-0000-0000-00006C3A0000}"/>
    <cellStyle name="Normal 14 3 2 2 5 3 2" xfId="50558" xr:uid="{00000000-0005-0000-0000-00006D3A0000}"/>
    <cellStyle name="Normal 14 3 2 2 5 4" xfId="10420" xr:uid="{00000000-0005-0000-0000-00006E3A0000}"/>
    <cellStyle name="Normal 14 3 2 2 5 5" xfId="10421" xr:uid="{00000000-0005-0000-0000-00006F3A0000}"/>
    <cellStyle name="Normal 14 3 2 2 5 6" xfId="10422" xr:uid="{00000000-0005-0000-0000-0000703A0000}"/>
    <cellStyle name="Normal 14 3 2 2 6" xfId="10423" xr:uid="{00000000-0005-0000-0000-0000713A0000}"/>
    <cellStyle name="Normal 14 3 2 2 6 2" xfId="50559" xr:uid="{00000000-0005-0000-0000-0000723A0000}"/>
    <cellStyle name="Normal 14 3 2 2 6 3" xfId="50560" xr:uid="{00000000-0005-0000-0000-0000733A0000}"/>
    <cellStyle name="Normal 14 3 2 2 7" xfId="10424" xr:uid="{00000000-0005-0000-0000-0000743A0000}"/>
    <cellStyle name="Normal 14 3 2 2 7 2" xfId="50561" xr:uid="{00000000-0005-0000-0000-0000753A0000}"/>
    <cellStyle name="Normal 14 3 2 2 8" xfId="10425" xr:uid="{00000000-0005-0000-0000-0000763A0000}"/>
    <cellStyle name="Normal 14 3 2 2 9" xfId="10426" xr:uid="{00000000-0005-0000-0000-0000773A0000}"/>
    <cellStyle name="Normal 14 3 2 3" xfId="10427" xr:uid="{00000000-0005-0000-0000-0000783A0000}"/>
    <cellStyle name="Normal 14 3 2 3 2" xfId="10428" xr:uid="{00000000-0005-0000-0000-0000793A0000}"/>
    <cellStyle name="Normal 14 3 2 3 2 2" xfId="10429" xr:uid="{00000000-0005-0000-0000-00007A3A0000}"/>
    <cellStyle name="Normal 14 3 2 3 2 2 2" xfId="10430" xr:uid="{00000000-0005-0000-0000-00007B3A0000}"/>
    <cellStyle name="Normal 14 3 2 3 2 2 2 2" xfId="50562" xr:uid="{00000000-0005-0000-0000-00007C3A0000}"/>
    <cellStyle name="Normal 14 3 2 3 2 2 2 3" xfId="50563" xr:uid="{00000000-0005-0000-0000-00007D3A0000}"/>
    <cellStyle name="Normal 14 3 2 3 2 2 3" xfId="10431" xr:uid="{00000000-0005-0000-0000-00007E3A0000}"/>
    <cellStyle name="Normal 14 3 2 3 2 2 3 2" xfId="50564" xr:uid="{00000000-0005-0000-0000-00007F3A0000}"/>
    <cellStyle name="Normal 14 3 2 3 2 2 4" xfId="10432" xr:uid="{00000000-0005-0000-0000-0000803A0000}"/>
    <cellStyle name="Normal 14 3 2 3 2 2 5" xfId="10433" xr:uid="{00000000-0005-0000-0000-0000813A0000}"/>
    <cellStyle name="Normal 14 3 2 3 2 2 6" xfId="10434" xr:uid="{00000000-0005-0000-0000-0000823A0000}"/>
    <cellStyle name="Normal 14 3 2 3 2 3" xfId="10435" xr:uid="{00000000-0005-0000-0000-0000833A0000}"/>
    <cellStyle name="Normal 14 3 2 3 2 3 2" xfId="50565" xr:uid="{00000000-0005-0000-0000-0000843A0000}"/>
    <cellStyle name="Normal 14 3 2 3 2 3 3" xfId="50566" xr:uid="{00000000-0005-0000-0000-0000853A0000}"/>
    <cellStyle name="Normal 14 3 2 3 2 4" xfId="10436" xr:uid="{00000000-0005-0000-0000-0000863A0000}"/>
    <cellStyle name="Normal 14 3 2 3 2 4 2" xfId="50567" xr:uid="{00000000-0005-0000-0000-0000873A0000}"/>
    <cellStyle name="Normal 14 3 2 3 2 5" xfId="10437" xr:uid="{00000000-0005-0000-0000-0000883A0000}"/>
    <cellStyle name="Normal 14 3 2 3 2 6" xfId="10438" xr:uid="{00000000-0005-0000-0000-0000893A0000}"/>
    <cellStyle name="Normal 14 3 2 3 2 7" xfId="10439" xr:uid="{00000000-0005-0000-0000-00008A3A0000}"/>
    <cellStyle name="Normal 14 3 2 3 3" xfId="10440" xr:uid="{00000000-0005-0000-0000-00008B3A0000}"/>
    <cellStyle name="Normal 14 3 2 3 3 2" xfId="10441" xr:uid="{00000000-0005-0000-0000-00008C3A0000}"/>
    <cellStyle name="Normal 14 3 2 3 3 2 2" xfId="50568" xr:uid="{00000000-0005-0000-0000-00008D3A0000}"/>
    <cellStyle name="Normal 14 3 2 3 3 2 3" xfId="50569" xr:uid="{00000000-0005-0000-0000-00008E3A0000}"/>
    <cellStyle name="Normal 14 3 2 3 3 3" xfId="10442" xr:uid="{00000000-0005-0000-0000-00008F3A0000}"/>
    <cellStyle name="Normal 14 3 2 3 3 3 2" xfId="50570" xr:uid="{00000000-0005-0000-0000-0000903A0000}"/>
    <cellStyle name="Normal 14 3 2 3 3 4" xfId="10443" xr:uid="{00000000-0005-0000-0000-0000913A0000}"/>
    <cellStyle name="Normal 14 3 2 3 3 5" xfId="10444" xr:uid="{00000000-0005-0000-0000-0000923A0000}"/>
    <cellStyle name="Normal 14 3 2 3 3 6" xfId="10445" xr:uid="{00000000-0005-0000-0000-0000933A0000}"/>
    <cellStyle name="Normal 14 3 2 3 4" xfId="10446" xr:uid="{00000000-0005-0000-0000-0000943A0000}"/>
    <cellStyle name="Normal 14 3 2 3 4 2" xfId="50571" xr:uid="{00000000-0005-0000-0000-0000953A0000}"/>
    <cellStyle name="Normal 14 3 2 3 4 3" xfId="50572" xr:uid="{00000000-0005-0000-0000-0000963A0000}"/>
    <cellStyle name="Normal 14 3 2 3 5" xfId="10447" xr:uid="{00000000-0005-0000-0000-0000973A0000}"/>
    <cellStyle name="Normal 14 3 2 3 5 2" xfId="50573" xr:uid="{00000000-0005-0000-0000-0000983A0000}"/>
    <cellStyle name="Normal 14 3 2 3 6" xfId="10448" xr:uid="{00000000-0005-0000-0000-0000993A0000}"/>
    <cellStyle name="Normal 14 3 2 3 7" xfId="10449" xr:uid="{00000000-0005-0000-0000-00009A3A0000}"/>
    <cellStyle name="Normal 14 3 2 3 8" xfId="10450" xr:uid="{00000000-0005-0000-0000-00009B3A0000}"/>
    <cellStyle name="Normal 14 3 2 3 9" xfId="10451" xr:uid="{00000000-0005-0000-0000-00009C3A0000}"/>
    <cellStyle name="Normal 14 3 2 4" xfId="10452" xr:uid="{00000000-0005-0000-0000-00009D3A0000}"/>
    <cellStyle name="Normal 14 3 2 4 2" xfId="10453" xr:uid="{00000000-0005-0000-0000-00009E3A0000}"/>
    <cellStyle name="Normal 14 3 2 4 2 2" xfId="10454" xr:uid="{00000000-0005-0000-0000-00009F3A0000}"/>
    <cellStyle name="Normal 14 3 2 4 2 2 2" xfId="10455" xr:uid="{00000000-0005-0000-0000-0000A03A0000}"/>
    <cellStyle name="Normal 14 3 2 4 2 2 2 2" xfId="50574" xr:uid="{00000000-0005-0000-0000-0000A13A0000}"/>
    <cellStyle name="Normal 14 3 2 4 2 2 2 3" xfId="50575" xr:uid="{00000000-0005-0000-0000-0000A23A0000}"/>
    <cellStyle name="Normal 14 3 2 4 2 2 3" xfId="10456" xr:uid="{00000000-0005-0000-0000-0000A33A0000}"/>
    <cellStyle name="Normal 14 3 2 4 2 2 3 2" xfId="50576" xr:uid="{00000000-0005-0000-0000-0000A43A0000}"/>
    <cellStyle name="Normal 14 3 2 4 2 2 4" xfId="10457" xr:uid="{00000000-0005-0000-0000-0000A53A0000}"/>
    <cellStyle name="Normal 14 3 2 4 2 2 5" xfId="10458" xr:uid="{00000000-0005-0000-0000-0000A63A0000}"/>
    <cellStyle name="Normal 14 3 2 4 2 2 6" xfId="10459" xr:uid="{00000000-0005-0000-0000-0000A73A0000}"/>
    <cellStyle name="Normal 14 3 2 4 2 3" xfId="10460" xr:uid="{00000000-0005-0000-0000-0000A83A0000}"/>
    <cellStyle name="Normal 14 3 2 4 2 3 2" xfId="50577" xr:uid="{00000000-0005-0000-0000-0000A93A0000}"/>
    <cellStyle name="Normal 14 3 2 4 2 3 3" xfId="50578" xr:uid="{00000000-0005-0000-0000-0000AA3A0000}"/>
    <cellStyle name="Normal 14 3 2 4 2 4" xfId="10461" xr:uid="{00000000-0005-0000-0000-0000AB3A0000}"/>
    <cellStyle name="Normal 14 3 2 4 2 4 2" xfId="50579" xr:uid="{00000000-0005-0000-0000-0000AC3A0000}"/>
    <cellStyle name="Normal 14 3 2 4 2 5" xfId="10462" xr:uid="{00000000-0005-0000-0000-0000AD3A0000}"/>
    <cellStyle name="Normal 14 3 2 4 2 6" xfId="10463" xr:uid="{00000000-0005-0000-0000-0000AE3A0000}"/>
    <cellStyle name="Normal 14 3 2 4 2 7" xfId="10464" xr:uid="{00000000-0005-0000-0000-0000AF3A0000}"/>
    <cellStyle name="Normal 14 3 2 4 3" xfId="10465" xr:uid="{00000000-0005-0000-0000-0000B03A0000}"/>
    <cellStyle name="Normal 14 3 2 4 3 2" xfId="10466" xr:uid="{00000000-0005-0000-0000-0000B13A0000}"/>
    <cellStyle name="Normal 14 3 2 4 3 2 2" xfId="50580" xr:uid="{00000000-0005-0000-0000-0000B23A0000}"/>
    <cellStyle name="Normal 14 3 2 4 3 2 3" xfId="50581" xr:uid="{00000000-0005-0000-0000-0000B33A0000}"/>
    <cellStyle name="Normal 14 3 2 4 3 3" xfId="10467" xr:uid="{00000000-0005-0000-0000-0000B43A0000}"/>
    <cellStyle name="Normal 14 3 2 4 3 3 2" xfId="50582" xr:uid="{00000000-0005-0000-0000-0000B53A0000}"/>
    <cellStyle name="Normal 14 3 2 4 3 4" xfId="10468" xr:uid="{00000000-0005-0000-0000-0000B63A0000}"/>
    <cellStyle name="Normal 14 3 2 4 3 5" xfId="10469" xr:uid="{00000000-0005-0000-0000-0000B73A0000}"/>
    <cellStyle name="Normal 14 3 2 4 3 6" xfId="10470" xr:uid="{00000000-0005-0000-0000-0000B83A0000}"/>
    <cellStyle name="Normal 14 3 2 4 4" xfId="10471" xr:uid="{00000000-0005-0000-0000-0000B93A0000}"/>
    <cellStyle name="Normal 14 3 2 4 4 2" xfId="50583" xr:uid="{00000000-0005-0000-0000-0000BA3A0000}"/>
    <cellStyle name="Normal 14 3 2 4 4 3" xfId="50584" xr:uid="{00000000-0005-0000-0000-0000BB3A0000}"/>
    <cellStyle name="Normal 14 3 2 4 5" xfId="10472" xr:uid="{00000000-0005-0000-0000-0000BC3A0000}"/>
    <cellStyle name="Normal 14 3 2 4 5 2" xfId="50585" xr:uid="{00000000-0005-0000-0000-0000BD3A0000}"/>
    <cellStyle name="Normal 14 3 2 4 6" xfId="10473" xr:uid="{00000000-0005-0000-0000-0000BE3A0000}"/>
    <cellStyle name="Normal 14 3 2 4 7" xfId="10474" xr:uid="{00000000-0005-0000-0000-0000BF3A0000}"/>
    <cellStyle name="Normal 14 3 2 4 8" xfId="10475" xr:uid="{00000000-0005-0000-0000-0000C03A0000}"/>
    <cellStyle name="Normal 14 3 2 5" xfId="10476" xr:uid="{00000000-0005-0000-0000-0000C13A0000}"/>
    <cellStyle name="Normal 14 3 2 5 2" xfId="10477" xr:uid="{00000000-0005-0000-0000-0000C23A0000}"/>
    <cellStyle name="Normal 14 3 2 5 2 2" xfId="10478" xr:uid="{00000000-0005-0000-0000-0000C33A0000}"/>
    <cellStyle name="Normal 14 3 2 5 2 2 2" xfId="50586" xr:uid="{00000000-0005-0000-0000-0000C43A0000}"/>
    <cellStyle name="Normal 14 3 2 5 2 2 3" xfId="50587" xr:uid="{00000000-0005-0000-0000-0000C53A0000}"/>
    <cellStyle name="Normal 14 3 2 5 2 3" xfId="10479" xr:uid="{00000000-0005-0000-0000-0000C63A0000}"/>
    <cellStyle name="Normal 14 3 2 5 2 3 2" xfId="50588" xr:uid="{00000000-0005-0000-0000-0000C73A0000}"/>
    <cellStyle name="Normal 14 3 2 5 2 4" xfId="10480" xr:uid="{00000000-0005-0000-0000-0000C83A0000}"/>
    <cellStyle name="Normal 14 3 2 5 2 5" xfId="10481" xr:uid="{00000000-0005-0000-0000-0000C93A0000}"/>
    <cellStyle name="Normal 14 3 2 5 2 6" xfId="10482" xr:uid="{00000000-0005-0000-0000-0000CA3A0000}"/>
    <cellStyle name="Normal 14 3 2 5 3" xfId="10483" xr:uid="{00000000-0005-0000-0000-0000CB3A0000}"/>
    <cellStyle name="Normal 14 3 2 5 3 2" xfId="50589" xr:uid="{00000000-0005-0000-0000-0000CC3A0000}"/>
    <cellStyle name="Normal 14 3 2 5 3 3" xfId="50590" xr:uid="{00000000-0005-0000-0000-0000CD3A0000}"/>
    <cellStyle name="Normal 14 3 2 5 4" xfId="10484" xr:uid="{00000000-0005-0000-0000-0000CE3A0000}"/>
    <cellStyle name="Normal 14 3 2 5 4 2" xfId="50591" xr:uid="{00000000-0005-0000-0000-0000CF3A0000}"/>
    <cellStyle name="Normal 14 3 2 5 5" xfId="10485" xr:uid="{00000000-0005-0000-0000-0000D03A0000}"/>
    <cellStyle name="Normal 14 3 2 5 6" xfId="10486" xr:uid="{00000000-0005-0000-0000-0000D13A0000}"/>
    <cellStyle name="Normal 14 3 2 5 7" xfId="10487" xr:uid="{00000000-0005-0000-0000-0000D23A0000}"/>
    <cellStyle name="Normal 14 3 2 6" xfId="10488" xr:uid="{00000000-0005-0000-0000-0000D33A0000}"/>
    <cellStyle name="Normal 14 3 2 6 2" xfId="10489" xr:uid="{00000000-0005-0000-0000-0000D43A0000}"/>
    <cellStyle name="Normal 14 3 2 6 2 2" xfId="50592" xr:uid="{00000000-0005-0000-0000-0000D53A0000}"/>
    <cellStyle name="Normal 14 3 2 6 2 3" xfId="50593" xr:uid="{00000000-0005-0000-0000-0000D63A0000}"/>
    <cellStyle name="Normal 14 3 2 6 3" xfId="10490" xr:uid="{00000000-0005-0000-0000-0000D73A0000}"/>
    <cellStyle name="Normal 14 3 2 6 3 2" xfId="50594" xr:uid="{00000000-0005-0000-0000-0000D83A0000}"/>
    <cellStyle name="Normal 14 3 2 6 4" xfId="10491" xr:uid="{00000000-0005-0000-0000-0000D93A0000}"/>
    <cellStyle name="Normal 14 3 2 6 5" xfId="10492" xr:uid="{00000000-0005-0000-0000-0000DA3A0000}"/>
    <cellStyle name="Normal 14 3 2 6 6" xfId="10493" xr:uid="{00000000-0005-0000-0000-0000DB3A0000}"/>
    <cellStyle name="Normal 14 3 2 7" xfId="10494" xr:uid="{00000000-0005-0000-0000-0000DC3A0000}"/>
    <cellStyle name="Normal 14 3 2 7 2" xfId="50595" xr:uid="{00000000-0005-0000-0000-0000DD3A0000}"/>
    <cellStyle name="Normal 14 3 2 7 3" xfId="50596" xr:uid="{00000000-0005-0000-0000-0000DE3A0000}"/>
    <cellStyle name="Normal 14 3 2 8" xfId="10495" xr:uid="{00000000-0005-0000-0000-0000DF3A0000}"/>
    <cellStyle name="Normal 14 3 2 8 2" xfId="50597" xr:uid="{00000000-0005-0000-0000-0000E03A0000}"/>
    <cellStyle name="Normal 14 3 2 9" xfId="10496" xr:uid="{00000000-0005-0000-0000-0000E13A0000}"/>
    <cellStyle name="Normal 14 3 2 9 2" xfId="50598" xr:uid="{00000000-0005-0000-0000-0000E23A0000}"/>
    <cellStyle name="Normal 14 3 20" xfId="10497" xr:uid="{00000000-0005-0000-0000-0000E33A0000}"/>
    <cellStyle name="Normal 14 3 21" xfId="10498" xr:uid="{00000000-0005-0000-0000-0000E43A0000}"/>
    <cellStyle name="Normal 14 3 3" xfId="10499" xr:uid="{00000000-0005-0000-0000-0000E53A0000}"/>
    <cellStyle name="Normal 14 3 3 10" xfId="10500" xr:uid="{00000000-0005-0000-0000-0000E63A0000}"/>
    <cellStyle name="Normal 14 3 3 11" xfId="10501" xr:uid="{00000000-0005-0000-0000-0000E73A0000}"/>
    <cellStyle name="Normal 14 3 3 12" xfId="10502" xr:uid="{00000000-0005-0000-0000-0000E83A0000}"/>
    <cellStyle name="Normal 14 3 3 13" xfId="10503" xr:uid="{00000000-0005-0000-0000-0000E93A0000}"/>
    <cellStyle name="Normal 14 3 3 14" xfId="10504" xr:uid="{00000000-0005-0000-0000-0000EA3A0000}"/>
    <cellStyle name="Normal 14 3 3 15" xfId="10505" xr:uid="{00000000-0005-0000-0000-0000EB3A0000}"/>
    <cellStyle name="Normal 14 3 3 2" xfId="10506" xr:uid="{00000000-0005-0000-0000-0000EC3A0000}"/>
    <cellStyle name="Normal 14 3 3 2 10" xfId="10507" xr:uid="{00000000-0005-0000-0000-0000ED3A0000}"/>
    <cellStyle name="Normal 14 3 3 2 11" xfId="10508" xr:uid="{00000000-0005-0000-0000-0000EE3A0000}"/>
    <cellStyle name="Normal 14 3 3 2 12" xfId="10509" xr:uid="{00000000-0005-0000-0000-0000EF3A0000}"/>
    <cellStyle name="Normal 14 3 3 2 13" xfId="10510" xr:uid="{00000000-0005-0000-0000-0000F03A0000}"/>
    <cellStyle name="Normal 14 3 3 2 14" xfId="10511" xr:uid="{00000000-0005-0000-0000-0000F13A0000}"/>
    <cellStyle name="Normal 14 3 3 2 2" xfId="10512" xr:uid="{00000000-0005-0000-0000-0000F23A0000}"/>
    <cellStyle name="Normal 14 3 3 2 2 2" xfId="10513" xr:uid="{00000000-0005-0000-0000-0000F33A0000}"/>
    <cellStyle name="Normal 14 3 3 2 2 2 2" xfId="10514" xr:uid="{00000000-0005-0000-0000-0000F43A0000}"/>
    <cellStyle name="Normal 14 3 3 2 2 2 2 2" xfId="10515" xr:uid="{00000000-0005-0000-0000-0000F53A0000}"/>
    <cellStyle name="Normal 14 3 3 2 2 2 2 2 2" xfId="50599" xr:uid="{00000000-0005-0000-0000-0000F63A0000}"/>
    <cellStyle name="Normal 14 3 3 2 2 2 2 2 3" xfId="50600" xr:uid="{00000000-0005-0000-0000-0000F73A0000}"/>
    <cellStyle name="Normal 14 3 3 2 2 2 2 3" xfId="10516" xr:uid="{00000000-0005-0000-0000-0000F83A0000}"/>
    <cellStyle name="Normal 14 3 3 2 2 2 2 3 2" xfId="50601" xr:uid="{00000000-0005-0000-0000-0000F93A0000}"/>
    <cellStyle name="Normal 14 3 3 2 2 2 2 4" xfId="10517" xr:uid="{00000000-0005-0000-0000-0000FA3A0000}"/>
    <cellStyle name="Normal 14 3 3 2 2 2 2 5" xfId="10518" xr:uid="{00000000-0005-0000-0000-0000FB3A0000}"/>
    <cellStyle name="Normal 14 3 3 2 2 2 2 6" xfId="10519" xr:uid="{00000000-0005-0000-0000-0000FC3A0000}"/>
    <cellStyle name="Normal 14 3 3 2 2 2 3" xfId="10520" xr:uid="{00000000-0005-0000-0000-0000FD3A0000}"/>
    <cellStyle name="Normal 14 3 3 2 2 2 3 2" xfId="50602" xr:uid="{00000000-0005-0000-0000-0000FE3A0000}"/>
    <cellStyle name="Normal 14 3 3 2 2 2 3 3" xfId="50603" xr:uid="{00000000-0005-0000-0000-0000FF3A0000}"/>
    <cellStyle name="Normal 14 3 3 2 2 2 4" xfId="10521" xr:uid="{00000000-0005-0000-0000-0000003B0000}"/>
    <cellStyle name="Normal 14 3 3 2 2 2 4 2" xfId="50604" xr:uid="{00000000-0005-0000-0000-0000013B0000}"/>
    <cellStyle name="Normal 14 3 3 2 2 2 5" xfId="10522" xr:uid="{00000000-0005-0000-0000-0000023B0000}"/>
    <cellStyle name="Normal 14 3 3 2 2 2 6" xfId="10523" xr:uid="{00000000-0005-0000-0000-0000033B0000}"/>
    <cellStyle name="Normal 14 3 3 2 2 2 7" xfId="10524" xr:uid="{00000000-0005-0000-0000-0000043B0000}"/>
    <cellStyle name="Normal 14 3 3 2 2 3" xfId="10525" xr:uid="{00000000-0005-0000-0000-0000053B0000}"/>
    <cellStyle name="Normal 14 3 3 2 2 3 2" xfId="10526" xr:uid="{00000000-0005-0000-0000-0000063B0000}"/>
    <cellStyle name="Normal 14 3 3 2 2 3 2 2" xfId="50605" xr:uid="{00000000-0005-0000-0000-0000073B0000}"/>
    <cellStyle name="Normal 14 3 3 2 2 3 2 3" xfId="50606" xr:uid="{00000000-0005-0000-0000-0000083B0000}"/>
    <cellStyle name="Normal 14 3 3 2 2 3 3" xfId="10527" xr:uid="{00000000-0005-0000-0000-0000093B0000}"/>
    <cellStyle name="Normal 14 3 3 2 2 3 3 2" xfId="50607" xr:uid="{00000000-0005-0000-0000-00000A3B0000}"/>
    <cellStyle name="Normal 14 3 3 2 2 3 4" xfId="10528" xr:uid="{00000000-0005-0000-0000-00000B3B0000}"/>
    <cellStyle name="Normal 14 3 3 2 2 3 5" xfId="10529" xr:uid="{00000000-0005-0000-0000-00000C3B0000}"/>
    <cellStyle name="Normal 14 3 3 2 2 3 6" xfId="10530" xr:uid="{00000000-0005-0000-0000-00000D3B0000}"/>
    <cellStyle name="Normal 14 3 3 2 2 4" xfId="10531" xr:uid="{00000000-0005-0000-0000-00000E3B0000}"/>
    <cellStyle name="Normal 14 3 3 2 2 4 2" xfId="50608" xr:uid="{00000000-0005-0000-0000-00000F3B0000}"/>
    <cellStyle name="Normal 14 3 3 2 2 4 3" xfId="50609" xr:uid="{00000000-0005-0000-0000-0000103B0000}"/>
    <cellStyle name="Normal 14 3 3 2 2 5" xfId="10532" xr:uid="{00000000-0005-0000-0000-0000113B0000}"/>
    <cellStyle name="Normal 14 3 3 2 2 5 2" xfId="50610" xr:uid="{00000000-0005-0000-0000-0000123B0000}"/>
    <cellStyle name="Normal 14 3 3 2 2 6" xfId="10533" xr:uid="{00000000-0005-0000-0000-0000133B0000}"/>
    <cellStyle name="Normal 14 3 3 2 2 7" xfId="10534" xr:uid="{00000000-0005-0000-0000-0000143B0000}"/>
    <cellStyle name="Normal 14 3 3 2 2 8" xfId="10535" xr:uid="{00000000-0005-0000-0000-0000153B0000}"/>
    <cellStyle name="Normal 14 3 3 2 2 9" xfId="10536" xr:uid="{00000000-0005-0000-0000-0000163B0000}"/>
    <cellStyle name="Normal 14 3 3 2 3" xfId="10537" xr:uid="{00000000-0005-0000-0000-0000173B0000}"/>
    <cellStyle name="Normal 14 3 3 2 3 2" xfId="10538" xr:uid="{00000000-0005-0000-0000-0000183B0000}"/>
    <cellStyle name="Normal 14 3 3 2 3 2 2" xfId="10539" xr:uid="{00000000-0005-0000-0000-0000193B0000}"/>
    <cellStyle name="Normal 14 3 3 2 3 2 2 2" xfId="10540" xr:uid="{00000000-0005-0000-0000-00001A3B0000}"/>
    <cellStyle name="Normal 14 3 3 2 3 2 2 2 2" xfId="50611" xr:uid="{00000000-0005-0000-0000-00001B3B0000}"/>
    <cellStyle name="Normal 14 3 3 2 3 2 2 2 3" xfId="50612" xr:uid="{00000000-0005-0000-0000-00001C3B0000}"/>
    <cellStyle name="Normal 14 3 3 2 3 2 2 3" xfId="10541" xr:uid="{00000000-0005-0000-0000-00001D3B0000}"/>
    <cellStyle name="Normal 14 3 3 2 3 2 2 3 2" xfId="50613" xr:uid="{00000000-0005-0000-0000-00001E3B0000}"/>
    <cellStyle name="Normal 14 3 3 2 3 2 2 4" xfId="10542" xr:uid="{00000000-0005-0000-0000-00001F3B0000}"/>
    <cellStyle name="Normal 14 3 3 2 3 2 2 5" xfId="10543" xr:uid="{00000000-0005-0000-0000-0000203B0000}"/>
    <cellStyle name="Normal 14 3 3 2 3 2 2 6" xfId="10544" xr:uid="{00000000-0005-0000-0000-0000213B0000}"/>
    <cellStyle name="Normal 14 3 3 2 3 2 3" xfId="10545" xr:uid="{00000000-0005-0000-0000-0000223B0000}"/>
    <cellStyle name="Normal 14 3 3 2 3 2 3 2" xfId="50614" xr:uid="{00000000-0005-0000-0000-0000233B0000}"/>
    <cellStyle name="Normal 14 3 3 2 3 2 3 3" xfId="50615" xr:uid="{00000000-0005-0000-0000-0000243B0000}"/>
    <cellStyle name="Normal 14 3 3 2 3 2 4" xfId="10546" xr:uid="{00000000-0005-0000-0000-0000253B0000}"/>
    <cellStyle name="Normal 14 3 3 2 3 2 4 2" xfId="50616" xr:uid="{00000000-0005-0000-0000-0000263B0000}"/>
    <cellStyle name="Normal 14 3 3 2 3 2 5" xfId="10547" xr:uid="{00000000-0005-0000-0000-0000273B0000}"/>
    <cellStyle name="Normal 14 3 3 2 3 2 6" xfId="10548" xr:uid="{00000000-0005-0000-0000-0000283B0000}"/>
    <cellStyle name="Normal 14 3 3 2 3 2 7" xfId="10549" xr:uid="{00000000-0005-0000-0000-0000293B0000}"/>
    <cellStyle name="Normal 14 3 3 2 3 3" xfId="10550" xr:uid="{00000000-0005-0000-0000-00002A3B0000}"/>
    <cellStyle name="Normal 14 3 3 2 3 3 2" xfId="10551" xr:uid="{00000000-0005-0000-0000-00002B3B0000}"/>
    <cellStyle name="Normal 14 3 3 2 3 3 2 2" xfId="50617" xr:uid="{00000000-0005-0000-0000-00002C3B0000}"/>
    <cellStyle name="Normal 14 3 3 2 3 3 2 3" xfId="50618" xr:uid="{00000000-0005-0000-0000-00002D3B0000}"/>
    <cellStyle name="Normal 14 3 3 2 3 3 3" xfId="10552" xr:uid="{00000000-0005-0000-0000-00002E3B0000}"/>
    <cellStyle name="Normal 14 3 3 2 3 3 3 2" xfId="50619" xr:uid="{00000000-0005-0000-0000-00002F3B0000}"/>
    <cellStyle name="Normal 14 3 3 2 3 3 4" xfId="10553" xr:uid="{00000000-0005-0000-0000-0000303B0000}"/>
    <cellStyle name="Normal 14 3 3 2 3 3 5" xfId="10554" xr:uid="{00000000-0005-0000-0000-0000313B0000}"/>
    <cellStyle name="Normal 14 3 3 2 3 3 6" xfId="10555" xr:uid="{00000000-0005-0000-0000-0000323B0000}"/>
    <cellStyle name="Normal 14 3 3 2 3 4" xfId="10556" xr:uid="{00000000-0005-0000-0000-0000333B0000}"/>
    <cellStyle name="Normal 14 3 3 2 3 4 2" xfId="50620" xr:uid="{00000000-0005-0000-0000-0000343B0000}"/>
    <cellStyle name="Normal 14 3 3 2 3 4 3" xfId="50621" xr:uid="{00000000-0005-0000-0000-0000353B0000}"/>
    <cellStyle name="Normal 14 3 3 2 3 5" xfId="10557" xr:uid="{00000000-0005-0000-0000-0000363B0000}"/>
    <cellStyle name="Normal 14 3 3 2 3 5 2" xfId="50622" xr:uid="{00000000-0005-0000-0000-0000373B0000}"/>
    <cellStyle name="Normal 14 3 3 2 3 6" xfId="10558" xr:uid="{00000000-0005-0000-0000-0000383B0000}"/>
    <cellStyle name="Normal 14 3 3 2 3 7" xfId="10559" xr:uid="{00000000-0005-0000-0000-0000393B0000}"/>
    <cellStyle name="Normal 14 3 3 2 3 8" xfId="10560" xr:uid="{00000000-0005-0000-0000-00003A3B0000}"/>
    <cellStyle name="Normal 14 3 3 2 4" xfId="10561" xr:uid="{00000000-0005-0000-0000-00003B3B0000}"/>
    <cellStyle name="Normal 14 3 3 2 4 2" xfId="10562" xr:uid="{00000000-0005-0000-0000-00003C3B0000}"/>
    <cellStyle name="Normal 14 3 3 2 4 2 2" xfId="10563" xr:uid="{00000000-0005-0000-0000-00003D3B0000}"/>
    <cellStyle name="Normal 14 3 3 2 4 2 2 2" xfId="50623" xr:uid="{00000000-0005-0000-0000-00003E3B0000}"/>
    <cellStyle name="Normal 14 3 3 2 4 2 2 3" xfId="50624" xr:uid="{00000000-0005-0000-0000-00003F3B0000}"/>
    <cellStyle name="Normal 14 3 3 2 4 2 3" xfId="10564" xr:uid="{00000000-0005-0000-0000-0000403B0000}"/>
    <cellStyle name="Normal 14 3 3 2 4 2 3 2" xfId="50625" xr:uid="{00000000-0005-0000-0000-0000413B0000}"/>
    <cellStyle name="Normal 14 3 3 2 4 2 4" xfId="10565" xr:uid="{00000000-0005-0000-0000-0000423B0000}"/>
    <cellStyle name="Normal 14 3 3 2 4 2 5" xfId="10566" xr:uid="{00000000-0005-0000-0000-0000433B0000}"/>
    <cellStyle name="Normal 14 3 3 2 4 2 6" xfId="10567" xr:uid="{00000000-0005-0000-0000-0000443B0000}"/>
    <cellStyle name="Normal 14 3 3 2 4 3" xfId="10568" xr:uid="{00000000-0005-0000-0000-0000453B0000}"/>
    <cellStyle name="Normal 14 3 3 2 4 3 2" xfId="50626" xr:uid="{00000000-0005-0000-0000-0000463B0000}"/>
    <cellStyle name="Normal 14 3 3 2 4 3 3" xfId="50627" xr:uid="{00000000-0005-0000-0000-0000473B0000}"/>
    <cellStyle name="Normal 14 3 3 2 4 4" xfId="10569" xr:uid="{00000000-0005-0000-0000-0000483B0000}"/>
    <cellStyle name="Normal 14 3 3 2 4 4 2" xfId="50628" xr:uid="{00000000-0005-0000-0000-0000493B0000}"/>
    <cellStyle name="Normal 14 3 3 2 4 5" xfId="10570" xr:uid="{00000000-0005-0000-0000-00004A3B0000}"/>
    <cellStyle name="Normal 14 3 3 2 4 6" xfId="10571" xr:uid="{00000000-0005-0000-0000-00004B3B0000}"/>
    <cellStyle name="Normal 14 3 3 2 4 7" xfId="10572" xr:uid="{00000000-0005-0000-0000-00004C3B0000}"/>
    <cellStyle name="Normal 14 3 3 2 5" xfId="10573" xr:uid="{00000000-0005-0000-0000-00004D3B0000}"/>
    <cellStyle name="Normal 14 3 3 2 5 2" xfId="10574" xr:uid="{00000000-0005-0000-0000-00004E3B0000}"/>
    <cellStyle name="Normal 14 3 3 2 5 2 2" xfId="50629" xr:uid="{00000000-0005-0000-0000-00004F3B0000}"/>
    <cellStyle name="Normal 14 3 3 2 5 2 3" xfId="50630" xr:uid="{00000000-0005-0000-0000-0000503B0000}"/>
    <cellStyle name="Normal 14 3 3 2 5 3" xfId="10575" xr:uid="{00000000-0005-0000-0000-0000513B0000}"/>
    <cellStyle name="Normal 14 3 3 2 5 3 2" xfId="50631" xr:uid="{00000000-0005-0000-0000-0000523B0000}"/>
    <cellStyle name="Normal 14 3 3 2 5 4" xfId="10576" xr:uid="{00000000-0005-0000-0000-0000533B0000}"/>
    <cellStyle name="Normal 14 3 3 2 5 5" xfId="10577" xr:uid="{00000000-0005-0000-0000-0000543B0000}"/>
    <cellStyle name="Normal 14 3 3 2 5 6" xfId="10578" xr:uid="{00000000-0005-0000-0000-0000553B0000}"/>
    <cellStyle name="Normal 14 3 3 2 6" xfId="10579" xr:uid="{00000000-0005-0000-0000-0000563B0000}"/>
    <cellStyle name="Normal 14 3 3 2 6 2" xfId="50632" xr:uid="{00000000-0005-0000-0000-0000573B0000}"/>
    <cellStyle name="Normal 14 3 3 2 6 3" xfId="50633" xr:uid="{00000000-0005-0000-0000-0000583B0000}"/>
    <cellStyle name="Normal 14 3 3 2 7" xfId="10580" xr:uid="{00000000-0005-0000-0000-0000593B0000}"/>
    <cellStyle name="Normal 14 3 3 2 7 2" xfId="50634" xr:uid="{00000000-0005-0000-0000-00005A3B0000}"/>
    <cellStyle name="Normal 14 3 3 2 8" xfId="10581" xr:uid="{00000000-0005-0000-0000-00005B3B0000}"/>
    <cellStyle name="Normal 14 3 3 2 9" xfId="10582" xr:uid="{00000000-0005-0000-0000-00005C3B0000}"/>
    <cellStyle name="Normal 14 3 3 3" xfId="10583" xr:uid="{00000000-0005-0000-0000-00005D3B0000}"/>
    <cellStyle name="Normal 14 3 3 3 2" xfId="10584" xr:uid="{00000000-0005-0000-0000-00005E3B0000}"/>
    <cellStyle name="Normal 14 3 3 3 2 2" xfId="10585" xr:uid="{00000000-0005-0000-0000-00005F3B0000}"/>
    <cellStyle name="Normal 14 3 3 3 2 2 2" xfId="10586" xr:uid="{00000000-0005-0000-0000-0000603B0000}"/>
    <cellStyle name="Normal 14 3 3 3 2 2 2 2" xfId="50635" xr:uid="{00000000-0005-0000-0000-0000613B0000}"/>
    <cellStyle name="Normal 14 3 3 3 2 2 2 3" xfId="50636" xr:uid="{00000000-0005-0000-0000-0000623B0000}"/>
    <cellStyle name="Normal 14 3 3 3 2 2 3" xfId="10587" xr:uid="{00000000-0005-0000-0000-0000633B0000}"/>
    <cellStyle name="Normal 14 3 3 3 2 2 3 2" xfId="50637" xr:uid="{00000000-0005-0000-0000-0000643B0000}"/>
    <cellStyle name="Normal 14 3 3 3 2 2 4" xfId="10588" xr:uid="{00000000-0005-0000-0000-0000653B0000}"/>
    <cellStyle name="Normal 14 3 3 3 2 2 5" xfId="10589" xr:uid="{00000000-0005-0000-0000-0000663B0000}"/>
    <cellStyle name="Normal 14 3 3 3 2 2 6" xfId="10590" xr:uid="{00000000-0005-0000-0000-0000673B0000}"/>
    <cellStyle name="Normal 14 3 3 3 2 3" xfId="10591" xr:uid="{00000000-0005-0000-0000-0000683B0000}"/>
    <cellStyle name="Normal 14 3 3 3 2 3 2" xfId="50638" xr:uid="{00000000-0005-0000-0000-0000693B0000}"/>
    <cellStyle name="Normal 14 3 3 3 2 3 3" xfId="50639" xr:uid="{00000000-0005-0000-0000-00006A3B0000}"/>
    <cellStyle name="Normal 14 3 3 3 2 4" xfId="10592" xr:uid="{00000000-0005-0000-0000-00006B3B0000}"/>
    <cellStyle name="Normal 14 3 3 3 2 4 2" xfId="50640" xr:uid="{00000000-0005-0000-0000-00006C3B0000}"/>
    <cellStyle name="Normal 14 3 3 3 2 5" xfId="10593" xr:uid="{00000000-0005-0000-0000-00006D3B0000}"/>
    <cellStyle name="Normal 14 3 3 3 2 6" xfId="10594" xr:uid="{00000000-0005-0000-0000-00006E3B0000}"/>
    <cellStyle name="Normal 14 3 3 3 2 7" xfId="10595" xr:uid="{00000000-0005-0000-0000-00006F3B0000}"/>
    <cellStyle name="Normal 14 3 3 3 3" xfId="10596" xr:uid="{00000000-0005-0000-0000-0000703B0000}"/>
    <cellStyle name="Normal 14 3 3 3 3 2" xfId="10597" xr:uid="{00000000-0005-0000-0000-0000713B0000}"/>
    <cellStyle name="Normal 14 3 3 3 3 2 2" xfId="50641" xr:uid="{00000000-0005-0000-0000-0000723B0000}"/>
    <cellStyle name="Normal 14 3 3 3 3 2 3" xfId="50642" xr:uid="{00000000-0005-0000-0000-0000733B0000}"/>
    <cellStyle name="Normal 14 3 3 3 3 3" xfId="10598" xr:uid="{00000000-0005-0000-0000-0000743B0000}"/>
    <cellStyle name="Normal 14 3 3 3 3 3 2" xfId="50643" xr:uid="{00000000-0005-0000-0000-0000753B0000}"/>
    <cellStyle name="Normal 14 3 3 3 3 4" xfId="10599" xr:uid="{00000000-0005-0000-0000-0000763B0000}"/>
    <cellStyle name="Normal 14 3 3 3 3 5" xfId="10600" xr:uid="{00000000-0005-0000-0000-0000773B0000}"/>
    <cellStyle name="Normal 14 3 3 3 3 6" xfId="10601" xr:uid="{00000000-0005-0000-0000-0000783B0000}"/>
    <cellStyle name="Normal 14 3 3 3 4" xfId="10602" xr:uid="{00000000-0005-0000-0000-0000793B0000}"/>
    <cellStyle name="Normal 14 3 3 3 4 2" xfId="50644" xr:uid="{00000000-0005-0000-0000-00007A3B0000}"/>
    <cellStyle name="Normal 14 3 3 3 4 3" xfId="50645" xr:uid="{00000000-0005-0000-0000-00007B3B0000}"/>
    <cellStyle name="Normal 14 3 3 3 5" xfId="10603" xr:uid="{00000000-0005-0000-0000-00007C3B0000}"/>
    <cellStyle name="Normal 14 3 3 3 5 2" xfId="50646" xr:uid="{00000000-0005-0000-0000-00007D3B0000}"/>
    <cellStyle name="Normal 14 3 3 3 6" xfId="10604" xr:uid="{00000000-0005-0000-0000-00007E3B0000}"/>
    <cellStyle name="Normal 14 3 3 3 7" xfId="10605" xr:uid="{00000000-0005-0000-0000-00007F3B0000}"/>
    <cellStyle name="Normal 14 3 3 3 8" xfId="10606" xr:uid="{00000000-0005-0000-0000-0000803B0000}"/>
    <cellStyle name="Normal 14 3 3 3 9" xfId="10607" xr:uid="{00000000-0005-0000-0000-0000813B0000}"/>
    <cellStyle name="Normal 14 3 3 4" xfId="10608" xr:uid="{00000000-0005-0000-0000-0000823B0000}"/>
    <cellStyle name="Normal 14 3 3 4 2" xfId="10609" xr:uid="{00000000-0005-0000-0000-0000833B0000}"/>
    <cellStyle name="Normal 14 3 3 4 2 2" xfId="10610" xr:uid="{00000000-0005-0000-0000-0000843B0000}"/>
    <cellStyle name="Normal 14 3 3 4 2 2 2" xfId="10611" xr:uid="{00000000-0005-0000-0000-0000853B0000}"/>
    <cellStyle name="Normal 14 3 3 4 2 2 2 2" xfId="50647" xr:uid="{00000000-0005-0000-0000-0000863B0000}"/>
    <cellStyle name="Normal 14 3 3 4 2 2 2 3" xfId="50648" xr:uid="{00000000-0005-0000-0000-0000873B0000}"/>
    <cellStyle name="Normal 14 3 3 4 2 2 3" xfId="10612" xr:uid="{00000000-0005-0000-0000-0000883B0000}"/>
    <cellStyle name="Normal 14 3 3 4 2 2 3 2" xfId="50649" xr:uid="{00000000-0005-0000-0000-0000893B0000}"/>
    <cellStyle name="Normal 14 3 3 4 2 2 4" xfId="10613" xr:uid="{00000000-0005-0000-0000-00008A3B0000}"/>
    <cellStyle name="Normal 14 3 3 4 2 2 5" xfId="10614" xr:uid="{00000000-0005-0000-0000-00008B3B0000}"/>
    <cellStyle name="Normal 14 3 3 4 2 2 6" xfId="10615" xr:uid="{00000000-0005-0000-0000-00008C3B0000}"/>
    <cellStyle name="Normal 14 3 3 4 2 3" xfId="10616" xr:uid="{00000000-0005-0000-0000-00008D3B0000}"/>
    <cellStyle name="Normal 14 3 3 4 2 3 2" xfId="50650" xr:uid="{00000000-0005-0000-0000-00008E3B0000}"/>
    <cellStyle name="Normal 14 3 3 4 2 3 3" xfId="50651" xr:uid="{00000000-0005-0000-0000-00008F3B0000}"/>
    <cellStyle name="Normal 14 3 3 4 2 4" xfId="10617" xr:uid="{00000000-0005-0000-0000-0000903B0000}"/>
    <cellStyle name="Normal 14 3 3 4 2 4 2" xfId="50652" xr:uid="{00000000-0005-0000-0000-0000913B0000}"/>
    <cellStyle name="Normal 14 3 3 4 2 5" xfId="10618" xr:uid="{00000000-0005-0000-0000-0000923B0000}"/>
    <cellStyle name="Normal 14 3 3 4 2 6" xfId="10619" xr:uid="{00000000-0005-0000-0000-0000933B0000}"/>
    <cellStyle name="Normal 14 3 3 4 2 7" xfId="10620" xr:uid="{00000000-0005-0000-0000-0000943B0000}"/>
    <cellStyle name="Normal 14 3 3 4 3" xfId="10621" xr:uid="{00000000-0005-0000-0000-0000953B0000}"/>
    <cellStyle name="Normal 14 3 3 4 3 2" xfId="10622" xr:uid="{00000000-0005-0000-0000-0000963B0000}"/>
    <cellStyle name="Normal 14 3 3 4 3 2 2" xfId="50653" xr:uid="{00000000-0005-0000-0000-0000973B0000}"/>
    <cellStyle name="Normal 14 3 3 4 3 2 3" xfId="50654" xr:uid="{00000000-0005-0000-0000-0000983B0000}"/>
    <cellStyle name="Normal 14 3 3 4 3 3" xfId="10623" xr:uid="{00000000-0005-0000-0000-0000993B0000}"/>
    <cellStyle name="Normal 14 3 3 4 3 3 2" xfId="50655" xr:uid="{00000000-0005-0000-0000-00009A3B0000}"/>
    <cellStyle name="Normal 14 3 3 4 3 4" xfId="10624" xr:uid="{00000000-0005-0000-0000-00009B3B0000}"/>
    <cellStyle name="Normal 14 3 3 4 3 5" xfId="10625" xr:uid="{00000000-0005-0000-0000-00009C3B0000}"/>
    <cellStyle name="Normal 14 3 3 4 3 6" xfId="10626" xr:uid="{00000000-0005-0000-0000-00009D3B0000}"/>
    <cellStyle name="Normal 14 3 3 4 4" xfId="10627" xr:uid="{00000000-0005-0000-0000-00009E3B0000}"/>
    <cellStyle name="Normal 14 3 3 4 4 2" xfId="50656" xr:uid="{00000000-0005-0000-0000-00009F3B0000}"/>
    <cellStyle name="Normal 14 3 3 4 4 3" xfId="50657" xr:uid="{00000000-0005-0000-0000-0000A03B0000}"/>
    <cellStyle name="Normal 14 3 3 4 5" xfId="10628" xr:uid="{00000000-0005-0000-0000-0000A13B0000}"/>
    <cellStyle name="Normal 14 3 3 4 5 2" xfId="50658" xr:uid="{00000000-0005-0000-0000-0000A23B0000}"/>
    <cellStyle name="Normal 14 3 3 4 6" xfId="10629" xr:uid="{00000000-0005-0000-0000-0000A33B0000}"/>
    <cellStyle name="Normal 14 3 3 4 7" xfId="10630" xr:uid="{00000000-0005-0000-0000-0000A43B0000}"/>
    <cellStyle name="Normal 14 3 3 4 8" xfId="10631" xr:uid="{00000000-0005-0000-0000-0000A53B0000}"/>
    <cellStyle name="Normal 14 3 3 5" xfId="10632" xr:uid="{00000000-0005-0000-0000-0000A63B0000}"/>
    <cellStyle name="Normal 14 3 3 5 2" xfId="10633" xr:uid="{00000000-0005-0000-0000-0000A73B0000}"/>
    <cellStyle name="Normal 14 3 3 5 2 2" xfId="10634" xr:uid="{00000000-0005-0000-0000-0000A83B0000}"/>
    <cellStyle name="Normal 14 3 3 5 2 2 2" xfId="50659" xr:uid="{00000000-0005-0000-0000-0000A93B0000}"/>
    <cellStyle name="Normal 14 3 3 5 2 2 3" xfId="50660" xr:uid="{00000000-0005-0000-0000-0000AA3B0000}"/>
    <cellStyle name="Normal 14 3 3 5 2 3" xfId="10635" xr:uid="{00000000-0005-0000-0000-0000AB3B0000}"/>
    <cellStyle name="Normal 14 3 3 5 2 3 2" xfId="50661" xr:uid="{00000000-0005-0000-0000-0000AC3B0000}"/>
    <cellStyle name="Normal 14 3 3 5 2 4" xfId="10636" xr:uid="{00000000-0005-0000-0000-0000AD3B0000}"/>
    <cellStyle name="Normal 14 3 3 5 2 5" xfId="10637" xr:uid="{00000000-0005-0000-0000-0000AE3B0000}"/>
    <cellStyle name="Normal 14 3 3 5 2 6" xfId="10638" xr:uid="{00000000-0005-0000-0000-0000AF3B0000}"/>
    <cellStyle name="Normal 14 3 3 5 3" xfId="10639" xr:uid="{00000000-0005-0000-0000-0000B03B0000}"/>
    <cellStyle name="Normal 14 3 3 5 3 2" xfId="50662" xr:uid="{00000000-0005-0000-0000-0000B13B0000}"/>
    <cellStyle name="Normal 14 3 3 5 3 3" xfId="50663" xr:uid="{00000000-0005-0000-0000-0000B23B0000}"/>
    <cellStyle name="Normal 14 3 3 5 4" xfId="10640" xr:uid="{00000000-0005-0000-0000-0000B33B0000}"/>
    <cellStyle name="Normal 14 3 3 5 4 2" xfId="50664" xr:uid="{00000000-0005-0000-0000-0000B43B0000}"/>
    <cellStyle name="Normal 14 3 3 5 5" xfId="10641" xr:uid="{00000000-0005-0000-0000-0000B53B0000}"/>
    <cellStyle name="Normal 14 3 3 5 6" xfId="10642" xr:uid="{00000000-0005-0000-0000-0000B63B0000}"/>
    <cellStyle name="Normal 14 3 3 5 7" xfId="10643" xr:uid="{00000000-0005-0000-0000-0000B73B0000}"/>
    <cellStyle name="Normal 14 3 3 6" xfId="10644" xr:uid="{00000000-0005-0000-0000-0000B83B0000}"/>
    <cellStyle name="Normal 14 3 3 6 2" xfId="10645" xr:uid="{00000000-0005-0000-0000-0000B93B0000}"/>
    <cellStyle name="Normal 14 3 3 6 2 2" xfId="50665" xr:uid="{00000000-0005-0000-0000-0000BA3B0000}"/>
    <cellStyle name="Normal 14 3 3 6 2 3" xfId="50666" xr:uid="{00000000-0005-0000-0000-0000BB3B0000}"/>
    <cellStyle name="Normal 14 3 3 6 3" xfId="10646" xr:uid="{00000000-0005-0000-0000-0000BC3B0000}"/>
    <cellStyle name="Normal 14 3 3 6 3 2" xfId="50667" xr:uid="{00000000-0005-0000-0000-0000BD3B0000}"/>
    <cellStyle name="Normal 14 3 3 6 4" xfId="10647" xr:uid="{00000000-0005-0000-0000-0000BE3B0000}"/>
    <cellStyle name="Normal 14 3 3 6 5" xfId="10648" xr:uid="{00000000-0005-0000-0000-0000BF3B0000}"/>
    <cellStyle name="Normal 14 3 3 6 6" xfId="10649" xr:uid="{00000000-0005-0000-0000-0000C03B0000}"/>
    <cellStyle name="Normal 14 3 3 7" xfId="10650" xr:uid="{00000000-0005-0000-0000-0000C13B0000}"/>
    <cellStyle name="Normal 14 3 3 7 2" xfId="50668" xr:uid="{00000000-0005-0000-0000-0000C23B0000}"/>
    <cellStyle name="Normal 14 3 3 7 3" xfId="50669" xr:uid="{00000000-0005-0000-0000-0000C33B0000}"/>
    <cellStyle name="Normal 14 3 3 8" xfId="10651" xr:uid="{00000000-0005-0000-0000-0000C43B0000}"/>
    <cellStyle name="Normal 14 3 3 8 2" xfId="50670" xr:uid="{00000000-0005-0000-0000-0000C53B0000}"/>
    <cellStyle name="Normal 14 3 3 9" xfId="10652" xr:uid="{00000000-0005-0000-0000-0000C63B0000}"/>
    <cellStyle name="Normal 14 3 4" xfId="10653" xr:uid="{00000000-0005-0000-0000-0000C73B0000}"/>
    <cellStyle name="Normal 14 3 4 10" xfId="10654" xr:uid="{00000000-0005-0000-0000-0000C83B0000}"/>
    <cellStyle name="Normal 14 3 4 11" xfId="10655" xr:uid="{00000000-0005-0000-0000-0000C93B0000}"/>
    <cellStyle name="Normal 14 3 4 12" xfId="10656" xr:uid="{00000000-0005-0000-0000-0000CA3B0000}"/>
    <cellStyle name="Normal 14 3 4 13" xfId="10657" xr:uid="{00000000-0005-0000-0000-0000CB3B0000}"/>
    <cellStyle name="Normal 14 3 4 14" xfId="10658" xr:uid="{00000000-0005-0000-0000-0000CC3B0000}"/>
    <cellStyle name="Normal 14 3 4 2" xfId="10659" xr:uid="{00000000-0005-0000-0000-0000CD3B0000}"/>
    <cellStyle name="Normal 14 3 4 2 2" xfId="10660" xr:uid="{00000000-0005-0000-0000-0000CE3B0000}"/>
    <cellStyle name="Normal 14 3 4 2 2 2" xfId="10661" xr:uid="{00000000-0005-0000-0000-0000CF3B0000}"/>
    <cellStyle name="Normal 14 3 4 2 2 2 2" xfId="10662" xr:uid="{00000000-0005-0000-0000-0000D03B0000}"/>
    <cellStyle name="Normal 14 3 4 2 2 2 2 2" xfId="50671" xr:uid="{00000000-0005-0000-0000-0000D13B0000}"/>
    <cellStyle name="Normal 14 3 4 2 2 2 2 3" xfId="50672" xr:uid="{00000000-0005-0000-0000-0000D23B0000}"/>
    <cellStyle name="Normal 14 3 4 2 2 2 3" xfId="10663" xr:uid="{00000000-0005-0000-0000-0000D33B0000}"/>
    <cellStyle name="Normal 14 3 4 2 2 2 3 2" xfId="50673" xr:uid="{00000000-0005-0000-0000-0000D43B0000}"/>
    <cellStyle name="Normal 14 3 4 2 2 2 4" xfId="10664" xr:uid="{00000000-0005-0000-0000-0000D53B0000}"/>
    <cellStyle name="Normal 14 3 4 2 2 2 5" xfId="10665" xr:uid="{00000000-0005-0000-0000-0000D63B0000}"/>
    <cellStyle name="Normal 14 3 4 2 2 2 6" xfId="10666" xr:uid="{00000000-0005-0000-0000-0000D73B0000}"/>
    <cellStyle name="Normal 14 3 4 2 2 3" xfId="10667" xr:uid="{00000000-0005-0000-0000-0000D83B0000}"/>
    <cellStyle name="Normal 14 3 4 2 2 3 2" xfId="50674" xr:uid="{00000000-0005-0000-0000-0000D93B0000}"/>
    <cellStyle name="Normal 14 3 4 2 2 3 3" xfId="50675" xr:uid="{00000000-0005-0000-0000-0000DA3B0000}"/>
    <cellStyle name="Normal 14 3 4 2 2 4" xfId="10668" xr:uid="{00000000-0005-0000-0000-0000DB3B0000}"/>
    <cellStyle name="Normal 14 3 4 2 2 4 2" xfId="50676" xr:uid="{00000000-0005-0000-0000-0000DC3B0000}"/>
    <cellStyle name="Normal 14 3 4 2 2 5" xfId="10669" xr:uid="{00000000-0005-0000-0000-0000DD3B0000}"/>
    <cellStyle name="Normal 14 3 4 2 2 6" xfId="10670" xr:uid="{00000000-0005-0000-0000-0000DE3B0000}"/>
    <cellStyle name="Normal 14 3 4 2 2 7" xfId="10671" xr:uid="{00000000-0005-0000-0000-0000DF3B0000}"/>
    <cellStyle name="Normal 14 3 4 2 3" xfId="10672" xr:uid="{00000000-0005-0000-0000-0000E03B0000}"/>
    <cellStyle name="Normal 14 3 4 2 3 2" xfId="10673" xr:uid="{00000000-0005-0000-0000-0000E13B0000}"/>
    <cellStyle name="Normal 14 3 4 2 3 2 2" xfId="50677" xr:uid="{00000000-0005-0000-0000-0000E23B0000}"/>
    <cellStyle name="Normal 14 3 4 2 3 2 3" xfId="50678" xr:uid="{00000000-0005-0000-0000-0000E33B0000}"/>
    <cellStyle name="Normal 14 3 4 2 3 3" xfId="10674" xr:uid="{00000000-0005-0000-0000-0000E43B0000}"/>
    <cellStyle name="Normal 14 3 4 2 3 3 2" xfId="50679" xr:uid="{00000000-0005-0000-0000-0000E53B0000}"/>
    <cellStyle name="Normal 14 3 4 2 3 4" xfId="10675" xr:uid="{00000000-0005-0000-0000-0000E63B0000}"/>
    <cellStyle name="Normal 14 3 4 2 3 5" xfId="10676" xr:uid="{00000000-0005-0000-0000-0000E73B0000}"/>
    <cellStyle name="Normal 14 3 4 2 3 6" xfId="10677" xr:uid="{00000000-0005-0000-0000-0000E83B0000}"/>
    <cellStyle name="Normal 14 3 4 2 4" xfId="10678" xr:uid="{00000000-0005-0000-0000-0000E93B0000}"/>
    <cellStyle name="Normal 14 3 4 2 4 2" xfId="50680" xr:uid="{00000000-0005-0000-0000-0000EA3B0000}"/>
    <cellStyle name="Normal 14 3 4 2 4 3" xfId="50681" xr:uid="{00000000-0005-0000-0000-0000EB3B0000}"/>
    <cellStyle name="Normal 14 3 4 2 5" xfId="10679" xr:uid="{00000000-0005-0000-0000-0000EC3B0000}"/>
    <cellStyle name="Normal 14 3 4 2 5 2" xfId="50682" xr:uid="{00000000-0005-0000-0000-0000ED3B0000}"/>
    <cellStyle name="Normal 14 3 4 2 6" xfId="10680" xr:uid="{00000000-0005-0000-0000-0000EE3B0000}"/>
    <cellStyle name="Normal 14 3 4 2 7" xfId="10681" xr:uid="{00000000-0005-0000-0000-0000EF3B0000}"/>
    <cellStyle name="Normal 14 3 4 2 8" xfId="10682" xr:uid="{00000000-0005-0000-0000-0000F03B0000}"/>
    <cellStyle name="Normal 14 3 4 2 9" xfId="10683" xr:uid="{00000000-0005-0000-0000-0000F13B0000}"/>
    <cellStyle name="Normal 14 3 4 3" xfId="10684" xr:uid="{00000000-0005-0000-0000-0000F23B0000}"/>
    <cellStyle name="Normal 14 3 4 3 2" xfId="10685" xr:uid="{00000000-0005-0000-0000-0000F33B0000}"/>
    <cellStyle name="Normal 14 3 4 3 2 2" xfId="10686" xr:uid="{00000000-0005-0000-0000-0000F43B0000}"/>
    <cellStyle name="Normal 14 3 4 3 2 2 2" xfId="10687" xr:uid="{00000000-0005-0000-0000-0000F53B0000}"/>
    <cellStyle name="Normal 14 3 4 3 2 2 2 2" xfId="50683" xr:uid="{00000000-0005-0000-0000-0000F63B0000}"/>
    <cellStyle name="Normal 14 3 4 3 2 2 2 3" xfId="50684" xr:uid="{00000000-0005-0000-0000-0000F73B0000}"/>
    <cellStyle name="Normal 14 3 4 3 2 2 3" xfId="10688" xr:uid="{00000000-0005-0000-0000-0000F83B0000}"/>
    <cellStyle name="Normal 14 3 4 3 2 2 3 2" xfId="50685" xr:uid="{00000000-0005-0000-0000-0000F93B0000}"/>
    <cellStyle name="Normal 14 3 4 3 2 2 4" xfId="10689" xr:uid="{00000000-0005-0000-0000-0000FA3B0000}"/>
    <cellStyle name="Normal 14 3 4 3 2 2 5" xfId="10690" xr:uid="{00000000-0005-0000-0000-0000FB3B0000}"/>
    <cellStyle name="Normal 14 3 4 3 2 2 6" xfId="10691" xr:uid="{00000000-0005-0000-0000-0000FC3B0000}"/>
    <cellStyle name="Normal 14 3 4 3 2 3" xfId="10692" xr:uid="{00000000-0005-0000-0000-0000FD3B0000}"/>
    <cellStyle name="Normal 14 3 4 3 2 3 2" xfId="50686" xr:uid="{00000000-0005-0000-0000-0000FE3B0000}"/>
    <cellStyle name="Normal 14 3 4 3 2 3 3" xfId="50687" xr:uid="{00000000-0005-0000-0000-0000FF3B0000}"/>
    <cellStyle name="Normal 14 3 4 3 2 4" xfId="10693" xr:uid="{00000000-0005-0000-0000-0000003C0000}"/>
    <cellStyle name="Normal 14 3 4 3 2 4 2" xfId="50688" xr:uid="{00000000-0005-0000-0000-0000013C0000}"/>
    <cellStyle name="Normal 14 3 4 3 2 5" xfId="10694" xr:uid="{00000000-0005-0000-0000-0000023C0000}"/>
    <cellStyle name="Normal 14 3 4 3 2 6" xfId="10695" xr:uid="{00000000-0005-0000-0000-0000033C0000}"/>
    <cellStyle name="Normal 14 3 4 3 2 7" xfId="10696" xr:uid="{00000000-0005-0000-0000-0000043C0000}"/>
    <cellStyle name="Normal 14 3 4 3 3" xfId="10697" xr:uid="{00000000-0005-0000-0000-0000053C0000}"/>
    <cellStyle name="Normal 14 3 4 3 3 2" xfId="10698" xr:uid="{00000000-0005-0000-0000-0000063C0000}"/>
    <cellStyle name="Normal 14 3 4 3 3 2 2" xfId="50689" xr:uid="{00000000-0005-0000-0000-0000073C0000}"/>
    <cellStyle name="Normal 14 3 4 3 3 2 3" xfId="50690" xr:uid="{00000000-0005-0000-0000-0000083C0000}"/>
    <cellStyle name="Normal 14 3 4 3 3 3" xfId="10699" xr:uid="{00000000-0005-0000-0000-0000093C0000}"/>
    <cellStyle name="Normal 14 3 4 3 3 3 2" xfId="50691" xr:uid="{00000000-0005-0000-0000-00000A3C0000}"/>
    <cellStyle name="Normal 14 3 4 3 3 4" xfId="10700" xr:uid="{00000000-0005-0000-0000-00000B3C0000}"/>
    <cellStyle name="Normal 14 3 4 3 3 5" xfId="10701" xr:uid="{00000000-0005-0000-0000-00000C3C0000}"/>
    <cellStyle name="Normal 14 3 4 3 3 6" xfId="10702" xr:uid="{00000000-0005-0000-0000-00000D3C0000}"/>
    <cellStyle name="Normal 14 3 4 3 4" xfId="10703" xr:uid="{00000000-0005-0000-0000-00000E3C0000}"/>
    <cellStyle name="Normal 14 3 4 3 4 2" xfId="50692" xr:uid="{00000000-0005-0000-0000-00000F3C0000}"/>
    <cellStyle name="Normal 14 3 4 3 4 3" xfId="50693" xr:uid="{00000000-0005-0000-0000-0000103C0000}"/>
    <cellStyle name="Normal 14 3 4 3 5" xfId="10704" xr:uid="{00000000-0005-0000-0000-0000113C0000}"/>
    <cellStyle name="Normal 14 3 4 3 5 2" xfId="50694" xr:uid="{00000000-0005-0000-0000-0000123C0000}"/>
    <cellStyle name="Normal 14 3 4 3 6" xfId="10705" xr:uid="{00000000-0005-0000-0000-0000133C0000}"/>
    <cellStyle name="Normal 14 3 4 3 7" xfId="10706" xr:uid="{00000000-0005-0000-0000-0000143C0000}"/>
    <cellStyle name="Normal 14 3 4 3 8" xfId="10707" xr:uid="{00000000-0005-0000-0000-0000153C0000}"/>
    <cellStyle name="Normal 14 3 4 4" xfId="10708" xr:uid="{00000000-0005-0000-0000-0000163C0000}"/>
    <cellStyle name="Normal 14 3 4 4 2" xfId="10709" xr:uid="{00000000-0005-0000-0000-0000173C0000}"/>
    <cellStyle name="Normal 14 3 4 4 2 2" xfId="10710" xr:uid="{00000000-0005-0000-0000-0000183C0000}"/>
    <cellStyle name="Normal 14 3 4 4 2 2 2" xfId="50695" xr:uid="{00000000-0005-0000-0000-0000193C0000}"/>
    <cellStyle name="Normal 14 3 4 4 2 2 3" xfId="50696" xr:uid="{00000000-0005-0000-0000-00001A3C0000}"/>
    <cellStyle name="Normal 14 3 4 4 2 3" xfId="10711" xr:uid="{00000000-0005-0000-0000-00001B3C0000}"/>
    <cellStyle name="Normal 14 3 4 4 2 3 2" xfId="50697" xr:uid="{00000000-0005-0000-0000-00001C3C0000}"/>
    <cellStyle name="Normal 14 3 4 4 2 4" xfId="10712" xr:uid="{00000000-0005-0000-0000-00001D3C0000}"/>
    <cellStyle name="Normal 14 3 4 4 2 5" xfId="10713" xr:uid="{00000000-0005-0000-0000-00001E3C0000}"/>
    <cellStyle name="Normal 14 3 4 4 2 6" xfId="10714" xr:uid="{00000000-0005-0000-0000-00001F3C0000}"/>
    <cellStyle name="Normal 14 3 4 4 3" xfId="10715" xr:uid="{00000000-0005-0000-0000-0000203C0000}"/>
    <cellStyle name="Normal 14 3 4 4 3 2" xfId="50698" xr:uid="{00000000-0005-0000-0000-0000213C0000}"/>
    <cellStyle name="Normal 14 3 4 4 3 3" xfId="50699" xr:uid="{00000000-0005-0000-0000-0000223C0000}"/>
    <cellStyle name="Normal 14 3 4 4 4" xfId="10716" xr:uid="{00000000-0005-0000-0000-0000233C0000}"/>
    <cellStyle name="Normal 14 3 4 4 4 2" xfId="50700" xr:uid="{00000000-0005-0000-0000-0000243C0000}"/>
    <cellStyle name="Normal 14 3 4 4 5" xfId="10717" xr:uid="{00000000-0005-0000-0000-0000253C0000}"/>
    <cellStyle name="Normal 14 3 4 4 6" xfId="10718" xr:uid="{00000000-0005-0000-0000-0000263C0000}"/>
    <cellStyle name="Normal 14 3 4 4 7" xfId="10719" xr:uid="{00000000-0005-0000-0000-0000273C0000}"/>
    <cellStyle name="Normal 14 3 4 5" xfId="10720" xr:uid="{00000000-0005-0000-0000-0000283C0000}"/>
    <cellStyle name="Normal 14 3 4 5 2" xfId="10721" xr:uid="{00000000-0005-0000-0000-0000293C0000}"/>
    <cellStyle name="Normal 14 3 4 5 2 2" xfId="50701" xr:uid="{00000000-0005-0000-0000-00002A3C0000}"/>
    <cellStyle name="Normal 14 3 4 5 2 3" xfId="50702" xr:uid="{00000000-0005-0000-0000-00002B3C0000}"/>
    <cellStyle name="Normal 14 3 4 5 3" xfId="10722" xr:uid="{00000000-0005-0000-0000-00002C3C0000}"/>
    <cellStyle name="Normal 14 3 4 5 3 2" xfId="50703" xr:uid="{00000000-0005-0000-0000-00002D3C0000}"/>
    <cellStyle name="Normal 14 3 4 5 4" xfId="10723" xr:uid="{00000000-0005-0000-0000-00002E3C0000}"/>
    <cellStyle name="Normal 14 3 4 5 5" xfId="10724" xr:uid="{00000000-0005-0000-0000-00002F3C0000}"/>
    <cellStyle name="Normal 14 3 4 5 6" xfId="10725" xr:uid="{00000000-0005-0000-0000-0000303C0000}"/>
    <cellStyle name="Normal 14 3 4 6" xfId="10726" xr:uid="{00000000-0005-0000-0000-0000313C0000}"/>
    <cellStyle name="Normal 14 3 4 6 2" xfId="50704" xr:uid="{00000000-0005-0000-0000-0000323C0000}"/>
    <cellStyle name="Normal 14 3 4 6 3" xfId="50705" xr:uid="{00000000-0005-0000-0000-0000333C0000}"/>
    <cellStyle name="Normal 14 3 4 7" xfId="10727" xr:uid="{00000000-0005-0000-0000-0000343C0000}"/>
    <cellStyle name="Normal 14 3 4 7 2" xfId="50706" xr:uid="{00000000-0005-0000-0000-0000353C0000}"/>
    <cellStyle name="Normal 14 3 4 8" xfId="10728" xr:uid="{00000000-0005-0000-0000-0000363C0000}"/>
    <cellStyle name="Normal 14 3 4 9" xfId="10729" xr:uid="{00000000-0005-0000-0000-0000373C0000}"/>
    <cellStyle name="Normal 14 3 5" xfId="10730" xr:uid="{00000000-0005-0000-0000-0000383C0000}"/>
    <cellStyle name="Normal 14 3 5 10" xfId="10731" xr:uid="{00000000-0005-0000-0000-0000393C0000}"/>
    <cellStyle name="Normal 14 3 5 11" xfId="10732" xr:uid="{00000000-0005-0000-0000-00003A3C0000}"/>
    <cellStyle name="Normal 14 3 5 12" xfId="10733" xr:uid="{00000000-0005-0000-0000-00003B3C0000}"/>
    <cellStyle name="Normal 14 3 5 13" xfId="10734" xr:uid="{00000000-0005-0000-0000-00003C3C0000}"/>
    <cellStyle name="Normal 14 3 5 14" xfId="10735" xr:uid="{00000000-0005-0000-0000-00003D3C0000}"/>
    <cellStyle name="Normal 14 3 5 2" xfId="10736" xr:uid="{00000000-0005-0000-0000-00003E3C0000}"/>
    <cellStyle name="Normal 14 3 5 2 2" xfId="10737" xr:uid="{00000000-0005-0000-0000-00003F3C0000}"/>
    <cellStyle name="Normal 14 3 5 2 2 2" xfId="10738" xr:uid="{00000000-0005-0000-0000-0000403C0000}"/>
    <cellStyle name="Normal 14 3 5 2 2 2 2" xfId="10739" xr:uid="{00000000-0005-0000-0000-0000413C0000}"/>
    <cellStyle name="Normal 14 3 5 2 2 2 2 2" xfId="50707" xr:uid="{00000000-0005-0000-0000-0000423C0000}"/>
    <cellStyle name="Normal 14 3 5 2 2 2 2 3" xfId="50708" xr:uid="{00000000-0005-0000-0000-0000433C0000}"/>
    <cellStyle name="Normal 14 3 5 2 2 2 3" xfId="10740" xr:uid="{00000000-0005-0000-0000-0000443C0000}"/>
    <cellStyle name="Normal 14 3 5 2 2 2 3 2" xfId="50709" xr:uid="{00000000-0005-0000-0000-0000453C0000}"/>
    <cellStyle name="Normal 14 3 5 2 2 2 4" xfId="10741" xr:uid="{00000000-0005-0000-0000-0000463C0000}"/>
    <cellStyle name="Normal 14 3 5 2 2 2 5" xfId="10742" xr:uid="{00000000-0005-0000-0000-0000473C0000}"/>
    <cellStyle name="Normal 14 3 5 2 2 2 6" xfId="10743" xr:uid="{00000000-0005-0000-0000-0000483C0000}"/>
    <cellStyle name="Normal 14 3 5 2 2 3" xfId="10744" xr:uid="{00000000-0005-0000-0000-0000493C0000}"/>
    <cellStyle name="Normal 14 3 5 2 2 3 2" xfId="50710" xr:uid="{00000000-0005-0000-0000-00004A3C0000}"/>
    <cellStyle name="Normal 14 3 5 2 2 3 3" xfId="50711" xr:uid="{00000000-0005-0000-0000-00004B3C0000}"/>
    <cellStyle name="Normal 14 3 5 2 2 4" xfId="10745" xr:uid="{00000000-0005-0000-0000-00004C3C0000}"/>
    <cellStyle name="Normal 14 3 5 2 2 4 2" xfId="50712" xr:uid="{00000000-0005-0000-0000-00004D3C0000}"/>
    <cellStyle name="Normal 14 3 5 2 2 5" xfId="10746" xr:uid="{00000000-0005-0000-0000-00004E3C0000}"/>
    <cellStyle name="Normal 14 3 5 2 2 6" xfId="10747" xr:uid="{00000000-0005-0000-0000-00004F3C0000}"/>
    <cellStyle name="Normal 14 3 5 2 2 7" xfId="10748" xr:uid="{00000000-0005-0000-0000-0000503C0000}"/>
    <cellStyle name="Normal 14 3 5 2 3" xfId="10749" xr:uid="{00000000-0005-0000-0000-0000513C0000}"/>
    <cellStyle name="Normal 14 3 5 2 3 2" xfId="10750" xr:uid="{00000000-0005-0000-0000-0000523C0000}"/>
    <cellStyle name="Normal 14 3 5 2 3 2 2" xfId="50713" xr:uid="{00000000-0005-0000-0000-0000533C0000}"/>
    <cellStyle name="Normal 14 3 5 2 3 2 3" xfId="50714" xr:uid="{00000000-0005-0000-0000-0000543C0000}"/>
    <cellStyle name="Normal 14 3 5 2 3 3" xfId="10751" xr:uid="{00000000-0005-0000-0000-0000553C0000}"/>
    <cellStyle name="Normal 14 3 5 2 3 3 2" xfId="50715" xr:uid="{00000000-0005-0000-0000-0000563C0000}"/>
    <cellStyle name="Normal 14 3 5 2 3 4" xfId="10752" xr:uid="{00000000-0005-0000-0000-0000573C0000}"/>
    <cellStyle name="Normal 14 3 5 2 3 5" xfId="10753" xr:uid="{00000000-0005-0000-0000-0000583C0000}"/>
    <cellStyle name="Normal 14 3 5 2 3 6" xfId="10754" xr:uid="{00000000-0005-0000-0000-0000593C0000}"/>
    <cellStyle name="Normal 14 3 5 2 4" xfId="10755" xr:uid="{00000000-0005-0000-0000-00005A3C0000}"/>
    <cellStyle name="Normal 14 3 5 2 4 2" xfId="50716" xr:uid="{00000000-0005-0000-0000-00005B3C0000}"/>
    <cellStyle name="Normal 14 3 5 2 4 3" xfId="50717" xr:uid="{00000000-0005-0000-0000-00005C3C0000}"/>
    <cellStyle name="Normal 14 3 5 2 5" xfId="10756" xr:uid="{00000000-0005-0000-0000-00005D3C0000}"/>
    <cellStyle name="Normal 14 3 5 2 5 2" xfId="50718" xr:uid="{00000000-0005-0000-0000-00005E3C0000}"/>
    <cellStyle name="Normal 14 3 5 2 6" xfId="10757" xr:uid="{00000000-0005-0000-0000-00005F3C0000}"/>
    <cellStyle name="Normal 14 3 5 2 7" xfId="10758" xr:uid="{00000000-0005-0000-0000-0000603C0000}"/>
    <cellStyle name="Normal 14 3 5 2 8" xfId="10759" xr:uid="{00000000-0005-0000-0000-0000613C0000}"/>
    <cellStyle name="Normal 14 3 5 2 9" xfId="10760" xr:uid="{00000000-0005-0000-0000-0000623C0000}"/>
    <cellStyle name="Normal 14 3 5 3" xfId="10761" xr:uid="{00000000-0005-0000-0000-0000633C0000}"/>
    <cellStyle name="Normal 14 3 5 3 2" xfId="10762" xr:uid="{00000000-0005-0000-0000-0000643C0000}"/>
    <cellStyle name="Normal 14 3 5 3 2 2" xfId="10763" xr:uid="{00000000-0005-0000-0000-0000653C0000}"/>
    <cellStyle name="Normal 14 3 5 3 2 2 2" xfId="10764" xr:uid="{00000000-0005-0000-0000-0000663C0000}"/>
    <cellStyle name="Normal 14 3 5 3 2 2 2 2" xfId="50719" xr:uid="{00000000-0005-0000-0000-0000673C0000}"/>
    <cellStyle name="Normal 14 3 5 3 2 2 2 3" xfId="50720" xr:uid="{00000000-0005-0000-0000-0000683C0000}"/>
    <cellStyle name="Normal 14 3 5 3 2 2 3" xfId="10765" xr:uid="{00000000-0005-0000-0000-0000693C0000}"/>
    <cellStyle name="Normal 14 3 5 3 2 2 3 2" xfId="50721" xr:uid="{00000000-0005-0000-0000-00006A3C0000}"/>
    <cellStyle name="Normal 14 3 5 3 2 2 4" xfId="10766" xr:uid="{00000000-0005-0000-0000-00006B3C0000}"/>
    <cellStyle name="Normal 14 3 5 3 2 2 5" xfId="10767" xr:uid="{00000000-0005-0000-0000-00006C3C0000}"/>
    <cellStyle name="Normal 14 3 5 3 2 2 6" xfId="10768" xr:uid="{00000000-0005-0000-0000-00006D3C0000}"/>
    <cellStyle name="Normal 14 3 5 3 2 3" xfId="10769" xr:uid="{00000000-0005-0000-0000-00006E3C0000}"/>
    <cellStyle name="Normal 14 3 5 3 2 3 2" xfId="50722" xr:uid="{00000000-0005-0000-0000-00006F3C0000}"/>
    <cellStyle name="Normal 14 3 5 3 2 3 3" xfId="50723" xr:uid="{00000000-0005-0000-0000-0000703C0000}"/>
    <cellStyle name="Normal 14 3 5 3 2 4" xfId="10770" xr:uid="{00000000-0005-0000-0000-0000713C0000}"/>
    <cellStyle name="Normal 14 3 5 3 2 4 2" xfId="50724" xr:uid="{00000000-0005-0000-0000-0000723C0000}"/>
    <cellStyle name="Normal 14 3 5 3 2 5" xfId="10771" xr:uid="{00000000-0005-0000-0000-0000733C0000}"/>
    <cellStyle name="Normal 14 3 5 3 2 6" xfId="10772" xr:uid="{00000000-0005-0000-0000-0000743C0000}"/>
    <cellStyle name="Normal 14 3 5 3 2 7" xfId="10773" xr:uid="{00000000-0005-0000-0000-0000753C0000}"/>
    <cellStyle name="Normal 14 3 5 3 3" xfId="10774" xr:uid="{00000000-0005-0000-0000-0000763C0000}"/>
    <cellStyle name="Normal 14 3 5 3 3 2" xfId="10775" xr:uid="{00000000-0005-0000-0000-0000773C0000}"/>
    <cellStyle name="Normal 14 3 5 3 3 2 2" xfId="50725" xr:uid="{00000000-0005-0000-0000-0000783C0000}"/>
    <cellStyle name="Normal 14 3 5 3 3 2 3" xfId="50726" xr:uid="{00000000-0005-0000-0000-0000793C0000}"/>
    <cellStyle name="Normal 14 3 5 3 3 3" xfId="10776" xr:uid="{00000000-0005-0000-0000-00007A3C0000}"/>
    <cellStyle name="Normal 14 3 5 3 3 3 2" xfId="50727" xr:uid="{00000000-0005-0000-0000-00007B3C0000}"/>
    <cellStyle name="Normal 14 3 5 3 3 4" xfId="10777" xr:uid="{00000000-0005-0000-0000-00007C3C0000}"/>
    <cellStyle name="Normal 14 3 5 3 3 5" xfId="10778" xr:uid="{00000000-0005-0000-0000-00007D3C0000}"/>
    <cellStyle name="Normal 14 3 5 3 3 6" xfId="10779" xr:uid="{00000000-0005-0000-0000-00007E3C0000}"/>
    <cellStyle name="Normal 14 3 5 3 4" xfId="10780" xr:uid="{00000000-0005-0000-0000-00007F3C0000}"/>
    <cellStyle name="Normal 14 3 5 3 4 2" xfId="50728" xr:uid="{00000000-0005-0000-0000-0000803C0000}"/>
    <cellStyle name="Normal 14 3 5 3 4 3" xfId="50729" xr:uid="{00000000-0005-0000-0000-0000813C0000}"/>
    <cellStyle name="Normal 14 3 5 3 5" xfId="10781" xr:uid="{00000000-0005-0000-0000-0000823C0000}"/>
    <cellStyle name="Normal 14 3 5 3 5 2" xfId="50730" xr:uid="{00000000-0005-0000-0000-0000833C0000}"/>
    <cellStyle name="Normal 14 3 5 3 6" xfId="10782" xr:uid="{00000000-0005-0000-0000-0000843C0000}"/>
    <cellStyle name="Normal 14 3 5 3 7" xfId="10783" xr:uid="{00000000-0005-0000-0000-0000853C0000}"/>
    <cellStyle name="Normal 14 3 5 3 8" xfId="10784" xr:uid="{00000000-0005-0000-0000-0000863C0000}"/>
    <cellStyle name="Normal 14 3 5 4" xfId="10785" xr:uid="{00000000-0005-0000-0000-0000873C0000}"/>
    <cellStyle name="Normal 14 3 5 4 2" xfId="10786" xr:uid="{00000000-0005-0000-0000-0000883C0000}"/>
    <cellStyle name="Normal 14 3 5 4 2 2" xfId="10787" xr:uid="{00000000-0005-0000-0000-0000893C0000}"/>
    <cellStyle name="Normal 14 3 5 4 2 2 2" xfId="50731" xr:uid="{00000000-0005-0000-0000-00008A3C0000}"/>
    <cellStyle name="Normal 14 3 5 4 2 2 3" xfId="50732" xr:uid="{00000000-0005-0000-0000-00008B3C0000}"/>
    <cellStyle name="Normal 14 3 5 4 2 3" xfId="10788" xr:uid="{00000000-0005-0000-0000-00008C3C0000}"/>
    <cellStyle name="Normal 14 3 5 4 2 3 2" xfId="50733" xr:uid="{00000000-0005-0000-0000-00008D3C0000}"/>
    <cellStyle name="Normal 14 3 5 4 2 4" xfId="10789" xr:uid="{00000000-0005-0000-0000-00008E3C0000}"/>
    <cellStyle name="Normal 14 3 5 4 2 5" xfId="10790" xr:uid="{00000000-0005-0000-0000-00008F3C0000}"/>
    <cellStyle name="Normal 14 3 5 4 2 6" xfId="10791" xr:uid="{00000000-0005-0000-0000-0000903C0000}"/>
    <cellStyle name="Normal 14 3 5 4 3" xfId="10792" xr:uid="{00000000-0005-0000-0000-0000913C0000}"/>
    <cellStyle name="Normal 14 3 5 4 3 2" xfId="50734" xr:uid="{00000000-0005-0000-0000-0000923C0000}"/>
    <cellStyle name="Normal 14 3 5 4 3 3" xfId="50735" xr:uid="{00000000-0005-0000-0000-0000933C0000}"/>
    <cellStyle name="Normal 14 3 5 4 4" xfId="10793" xr:uid="{00000000-0005-0000-0000-0000943C0000}"/>
    <cellStyle name="Normal 14 3 5 4 4 2" xfId="50736" xr:uid="{00000000-0005-0000-0000-0000953C0000}"/>
    <cellStyle name="Normal 14 3 5 4 5" xfId="10794" xr:uid="{00000000-0005-0000-0000-0000963C0000}"/>
    <cellStyle name="Normal 14 3 5 4 6" xfId="10795" xr:uid="{00000000-0005-0000-0000-0000973C0000}"/>
    <cellStyle name="Normal 14 3 5 4 7" xfId="10796" xr:uid="{00000000-0005-0000-0000-0000983C0000}"/>
    <cellStyle name="Normal 14 3 5 5" xfId="10797" xr:uid="{00000000-0005-0000-0000-0000993C0000}"/>
    <cellStyle name="Normal 14 3 5 5 2" xfId="10798" xr:uid="{00000000-0005-0000-0000-00009A3C0000}"/>
    <cellStyle name="Normal 14 3 5 5 2 2" xfId="50737" xr:uid="{00000000-0005-0000-0000-00009B3C0000}"/>
    <cellStyle name="Normal 14 3 5 5 2 3" xfId="50738" xr:uid="{00000000-0005-0000-0000-00009C3C0000}"/>
    <cellStyle name="Normal 14 3 5 5 3" xfId="10799" xr:uid="{00000000-0005-0000-0000-00009D3C0000}"/>
    <cellStyle name="Normal 14 3 5 5 3 2" xfId="50739" xr:uid="{00000000-0005-0000-0000-00009E3C0000}"/>
    <cellStyle name="Normal 14 3 5 5 4" xfId="10800" xr:uid="{00000000-0005-0000-0000-00009F3C0000}"/>
    <cellStyle name="Normal 14 3 5 5 5" xfId="10801" xr:uid="{00000000-0005-0000-0000-0000A03C0000}"/>
    <cellStyle name="Normal 14 3 5 5 6" xfId="10802" xr:uid="{00000000-0005-0000-0000-0000A13C0000}"/>
    <cellStyle name="Normal 14 3 5 6" xfId="10803" xr:uid="{00000000-0005-0000-0000-0000A23C0000}"/>
    <cellStyle name="Normal 14 3 5 6 2" xfId="50740" xr:uid="{00000000-0005-0000-0000-0000A33C0000}"/>
    <cellStyle name="Normal 14 3 5 6 3" xfId="50741" xr:uid="{00000000-0005-0000-0000-0000A43C0000}"/>
    <cellStyle name="Normal 14 3 5 7" xfId="10804" xr:uid="{00000000-0005-0000-0000-0000A53C0000}"/>
    <cellStyle name="Normal 14 3 5 7 2" xfId="50742" xr:uid="{00000000-0005-0000-0000-0000A63C0000}"/>
    <cellStyle name="Normal 14 3 5 8" xfId="10805" xr:uid="{00000000-0005-0000-0000-0000A73C0000}"/>
    <cellStyle name="Normal 14 3 5 9" xfId="10806" xr:uid="{00000000-0005-0000-0000-0000A83C0000}"/>
    <cellStyle name="Normal 14 3 6" xfId="10807" xr:uid="{00000000-0005-0000-0000-0000A93C0000}"/>
    <cellStyle name="Normal 14 3 6 10" xfId="10808" xr:uid="{00000000-0005-0000-0000-0000AA3C0000}"/>
    <cellStyle name="Normal 14 3 6 11" xfId="10809" xr:uid="{00000000-0005-0000-0000-0000AB3C0000}"/>
    <cellStyle name="Normal 14 3 6 12" xfId="10810" xr:uid="{00000000-0005-0000-0000-0000AC3C0000}"/>
    <cellStyle name="Normal 14 3 6 13" xfId="10811" xr:uid="{00000000-0005-0000-0000-0000AD3C0000}"/>
    <cellStyle name="Normal 14 3 6 2" xfId="10812" xr:uid="{00000000-0005-0000-0000-0000AE3C0000}"/>
    <cellStyle name="Normal 14 3 6 2 2" xfId="10813" xr:uid="{00000000-0005-0000-0000-0000AF3C0000}"/>
    <cellStyle name="Normal 14 3 6 2 2 2" xfId="10814" xr:uid="{00000000-0005-0000-0000-0000B03C0000}"/>
    <cellStyle name="Normal 14 3 6 2 2 2 2" xfId="10815" xr:uid="{00000000-0005-0000-0000-0000B13C0000}"/>
    <cellStyle name="Normal 14 3 6 2 2 2 2 2" xfId="50743" xr:uid="{00000000-0005-0000-0000-0000B23C0000}"/>
    <cellStyle name="Normal 14 3 6 2 2 2 2 3" xfId="50744" xr:uid="{00000000-0005-0000-0000-0000B33C0000}"/>
    <cellStyle name="Normal 14 3 6 2 2 2 3" xfId="10816" xr:uid="{00000000-0005-0000-0000-0000B43C0000}"/>
    <cellStyle name="Normal 14 3 6 2 2 2 3 2" xfId="50745" xr:uid="{00000000-0005-0000-0000-0000B53C0000}"/>
    <cellStyle name="Normal 14 3 6 2 2 2 4" xfId="10817" xr:uid="{00000000-0005-0000-0000-0000B63C0000}"/>
    <cellStyle name="Normal 14 3 6 2 2 2 5" xfId="10818" xr:uid="{00000000-0005-0000-0000-0000B73C0000}"/>
    <cellStyle name="Normal 14 3 6 2 2 2 6" xfId="10819" xr:uid="{00000000-0005-0000-0000-0000B83C0000}"/>
    <cellStyle name="Normal 14 3 6 2 2 3" xfId="10820" xr:uid="{00000000-0005-0000-0000-0000B93C0000}"/>
    <cellStyle name="Normal 14 3 6 2 2 3 2" xfId="50746" xr:uid="{00000000-0005-0000-0000-0000BA3C0000}"/>
    <cellStyle name="Normal 14 3 6 2 2 3 3" xfId="50747" xr:uid="{00000000-0005-0000-0000-0000BB3C0000}"/>
    <cellStyle name="Normal 14 3 6 2 2 4" xfId="10821" xr:uid="{00000000-0005-0000-0000-0000BC3C0000}"/>
    <cellStyle name="Normal 14 3 6 2 2 4 2" xfId="50748" xr:uid="{00000000-0005-0000-0000-0000BD3C0000}"/>
    <cellStyle name="Normal 14 3 6 2 2 5" xfId="10822" xr:uid="{00000000-0005-0000-0000-0000BE3C0000}"/>
    <cellStyle name="Normal 14 3 6 2 2 6" xfId="10823" xr:uid="{00000000-0005-0000-0000-0000BF3C0000}"/>
    <cellStyle name="Normal 14 3 6 2 2 7" xfId="10824" xr:uid="{00000000-0005-0000-0000-0000C03C0000}"/>
    <cellStyle name="Normal 14 3 6 2 3" xfId="10825" xr:uid="{00000000-0005-0000-0000-0000C13C0000}"/>
    <cellStyle name="Normal 14 3 6 2 3 2" xfId="10826" xr:uid="{00000000-0005-0000-0000-0000C23C0000}"/>
    <cellStyle name="Normal 14 3 6 2 3 2 2" xfId="50749" xr:uid="{00000000-0005-0000-0000-0000C33C0000}"/>
    <cellStyle name="Normal 14 3 6 2 3 2 3" xfId="50750" xr:uid="{00000000-0005-0000-0000-0000C43C0000}"/>
    <cellStyle name="Normal 14 3 6 2 3 3" xfId="10827" xr:uid="{00000000-0005-0000-0000-0000C53C0000}"/>
    <cellStyle name="Normal 14 3 6 2 3 3 2" xfId="50751" xr:uid="{00000000-0005-0000-0000-0000C63C0000}"/>
    <cellStyle name="Normal 14 3 6 2 3 4" xfId="10828" xr:uid="{00000000-0005-0000-0000-0000C73C0000}"/>
    <cellStyle name="Normal 14 3 6 2 3 5" xfId="10829" xr:uid="{00000000-0005-0000-0000-0000C83C0000}"/>
    <cellStyle name="Normal 14 3 6 2 3 6" xfId="10830" xr:uid="{00000000-0005-0000-0000-0000C93C0000}"/>
    <cellStyle name="Normal 14 3 6 2 4" xfId="10831" xr:uid="{00000000-0005-0000-0000-0000CA3C0000}"/>
    <cellStyle name="Normal 14 3 6 2 4 2" xfId="50752" xr:uid="{00000000-0005-0000-0000-0000CB3C0000}"/>
    <cellStyle name="Normal 14 3 6 2 4 3" xfId="50753" xr:uid="{00000000-0005-0000-0000-0000CC3C0000}"/>
    <cellStyle name="Normal 14 3 6 2 5" xfId="10832" xr:uid="{00000000-0005-0000-0000-0000CD3C0000}"/>
    <cellStyle name="Normal 14 3 6 2 5 2" xfId="50754" xr:uid="{00000000-0005-0000-0000-0000CE3C0000}"/>
    <cellStyle name="Normal 14 3 6 2 6" xfId="10833" xr:uid="{00000000-0005-0000-0000-0000CF3C0000}"/>
    <cellStyle name="Normal 14 3 6 2 7" xfId="10834" xr:uid="{00000000-0005-0000-0000-0000D03C0000}"/>
    <cellStyle name="Normal 14 3 6 2 8" xfId="10835" xr:uid="{00000000-0005-0000-0000-0000D13C0000}"/>
    <cellStyle name="Normal 14 3 6 2 9" xfId="10836" xr:uid="{00000000-0005-0000-0000-0000D23C0000}"/>
    <cellStyle name="Normal 14 3 6 3" xfId="10837" xr:uid="{00000000-0005-0000-0000-0000D33C0000}"/>
    <cellStyle name="Normal 14 3 6 3 2" xfId="10838" xr:uid="{00000000-0005-0000-0000-0000D43C0000}"/>
    <cellStyle name="Normal 14 3 6 3 2 2" xfId="10839" xr:uid="{00000000-0005-0000-0000-0000D53C0000}"/>
    <cellStyle name="Normal 14 3 6 3 2 2 2" xfId="50755" xr:uid="{00000000-0005-0000-0000-0000D63C0000}"/>
    <cellStyle name="Normal 14 3 6 3 2 2 3" xfId="50756" xr:uid="{00000000-0005-0000-0000-0000D73C0000}"/>
    <cellStyle name="Normal 14 3 6 3 2 3" xfId="10840" xr:uid="{00000000-0005-0000-0000-0000D83C0000}"/>
    <cellStyle name="Normal 14 3 6 3 2 3 2" xfId="50757" xr:uid="{00000000-0005-0000-0000-0000D93C0000}"/>
    <cellStyle name="Normal 14 3 6 3 2 4" xfId="10841" xr:uid="{00000000-0005-0000-0000-0000DA3C0000}"/>
    <cellStyle name="Normal 14 3 6 3 2 5" xfId="10842" xr:uid="{00000000-0005-0000-0000-0000DB3C0000}"/>
    <cellStyle name="Normal 14 3 6 3 2 6" xfId="10843" xr:uid="{00000000-0005-0000-0000-0000DC3C0000}"/>
    <cellStyle name="Normal 14 3 6 3 3" xfId="10844" xr:uid="{00000000-0005-0000-0000-0000DD3C0000}"/>
    <cellStyle name="Normal 14 3 6 3 3 2" xfId="50758" xr:uid="{00000000-0005-0000-0000-0000DE3C0000}"/>
    <cellStyle name="Normal 14 3 6 3 3 3" xfId="50759" xr:uid="{00000000-0005-0000-0000-0000DF3C0000}"/>
    <cellStyle name="Normal 14 3 6 3 4" xfId="10845" xr:uid="{00000000-0005-0000-0000-0000E03C0000}"/>
    <cellStyle name="Normal 14 3 6 3 4 2" xfId="50760" xr:uid="{00000000-0005-0000-0000-0000E13C0000}"/>
    <cellStyle name="Normal 14 3 6 3 5" xfId="10846" xr:uid="{00000000-0005-0000-0000-0000E23C0000}"/>
    <cellStyle name="Normal 14 3 6 3 6" xfId="10847" xr:uid="{00000000-0005-0000-0000-0000E33C0000}"/>
    <cellStyle name="Normal 14 3 6 3 7" xfId="10848" xr:uid="{00000000-0005-0000-0000-0000E43C0000}"/>
    <cellStyle name="Normal 14 3 6 4" xfId="10849" xr:uid="{00000000-0005-0000-0000-0000E53C0000}"/>
    <cellStyle name="Normal 14 3 6 4 2" xfId="10850" xr:uid="{00000000-0005-0000-0000-0000E63C0000}"/>
    <cellStyle name="Normal 14 3 6 4 2 2" xfId="50761" xr:uid="{00000000-0005-0000-0000-0000E73C0000}"/>
    <cellStyle name="Normal 14 3 6 4 2 3" xfId="50762" xr:uid="{00000000-0005-0000-0000-0000E83C0000}"/>
    <cellStyle name="Normal 14 3 6 4 3" xfId="10851" xr:uid="{00000000-0005-0000-0000-0000E93C0000}"/>
    <cellStyle name="Normal 14 3 6 4 3 2" xfId="50763" xr:uid="{00000000-0005-0000-0000-0000EA3C0000}"/>
    <cellStyle name="Normal 14 3 6 4 4" xfId="10852" xr:uid="{00000000-0005-0000-0000-0000EB3C0000}"/>
    <cellStyle name="Normal 14 3 6 4 5" xfId="10853" xr:uid="{00000000-0005-0000-0000-0000EC3C0000}"/>
    <cellStyle name="Normal 14 3 6 4 6" xfId="10854" xr:uid="{00000000-0005-0000-0000-0000ED3C0000}"/>
    <cellStyle name="Normal 14 3 6 5" xfId="10855" xr:uid="{00000000-0005-0000-0000-0000EE3C0000}"/>
    <cellStyle name="Normal 14 3 6 5 2" xfId="50764" xr:uid="{00000000-0005-0000-0000-0000EF3C0000}"/>
    <cellStyle name="Normal 14 3 6 5 3" xfId="50765" xr:uid="{00000000-0005-0000-0000-0000F03C0000}"/>
    <cellStyle name="Normal 14 3 6 6" xfId="10856" xr:uid="{00000000-0005-0000-0000-0000F13C0000}"/>
    <cellStyle name="Normal 14 3 6 6 2" xfId="50766" xr:uid="{00000000-0005-0000-0000-0000F23C0000}"/>
    <cellStyle name="Normal 14 3 6 7" xfId="10857" xr:uid="{00000000-0005-0000-0000-0000F33C0000}"/>
    <cellStyle name="Normal 14 3 6 8" xfId="10858" xr:uid="{00000000-0005-0000-0000-0000F43C0000}"/>
    <cellStyle name="Normal 14 3 6 9" xfId="10859" xr:uid="{00000000-0005-0000-0000-0000F53C0000}"/>
    <cellStyle name="Normal 14 3 7" xfId="10860" xr:uid="{00000000-0005-0000-0000-0000F63C0000}"/>
    <cellStyle name="Normal 14 3 7 2" xfId="10861" xr:uid="{00000000-0005-0000-0000-0000F73C0000}"/>
    <cellStyle name="Normal 14 3 7 2 2" xfId="10862" xr:uid="{00000000-0005-0000-0000-0000F83C0000}"/>
    <cellStyle name="Normal 14 3 7 2 2 2" xfId="10863" xr:uid="{00000000-0005-0000-0000-0000F93C0000}"/>
    <cellStyle name="Normal 14 3 7 2 2 2 2" xfId="50767" xr:uid="{00000000-0005-0000-0000-0000FA3C0000}"/>
    <cellStyle name="Normal 14 3 7 2 2 2 3" xfId="50768" xr:uid="{00000000-0005-0000-0000-0000FB3C0000}"/>
    <cellStyle name="Normal 14 3 7 2 2 3" xfId="10864" xr:uid="{00000000-0005-0000-0000-0000FC3C0000}"/>
    <cellStyle name="Normal 14 3 7 2 2 3 2" xfId="50769" xr:uid="{00000000-0005-0000-0000-0000FD3C0000}"/>
    <cellStyle name="Normal 14 3 7 2 2 4" xfId="10865" xr:uid="{00000000-0005-0000-0000-0000FE3C0000}"/>
    <cellStyle name="Normal 14 3 7 2 2 5" xfId="10866" xr:uid="{00000000-0005-0000-0000-0000FF3C0000}"/>
    <cellStyle name="Normal 14 3 7 2 2 6" xfId="10867" xr:uid="{00000000-0005-0000-0000-0000003D0000}"/>
    <cellStyle name="Normal 14 3 7 2 3" xfId="10868" xr:uid="{00000000-0005-0000-0000-0000013D0000}"/>
    <cellStyle name="Normal 14 3 7 2 3 2" xfId="50770" xr:uid="{00000000-0005-0000-0000-0000023D0000}"/>
    <cellStyle name="Normal 14 3 7 2 3 3" xfId="50771" xr:uid="{00000000-0005-0000-0000-0000033D0000}"/>
    <cellStyle name="Normal 14 3 7 2 4" xfId="10869" xr:uid="{00000000-0005-0000-0000-0000043D0000}"/>
    <cellStyle name="Normal 14 3 7 2 4 2" xfId="50772" xr:uid="{00000000-0005-0000-0000-0000053D0000}"/>
    <cellStyle name="Normal 14 3 7 2 5" xfId="10870" xr:uid="{00000000-0005-0000-0000-0000063D0000}"/>
    <cellStyle name="Normal 14 3 7 2 6" xfId="10871" xr:uid="{00000000-0005-0000-0000-0000073D0000}"/>
    <cellStyle name="Normal 14 3 7 2 7" xfId="10872" xr:uid="{00000000-0005-0000-0000-0000083D0000}"/>
    <cellStyle name="Normal 14 3 7 3" xfId="10873" xr:uid="{00000000-0005-0000-0000-0000093D0000}"/>
    <cellStyle name="Normal 14 3 7 3 2" xfId="10874" xr:uid="{00000000-0005-0000-0000-00000A3D0000}"/>
    <cellStyle name="Normal 14 3 7 3 2 2" xfId="50773" xr:uid="{00000000-0005-0000-0000-00000B3D0000}"/>
    <cellStyle name="Normal 14 3 7 3 2 3" xfId="50774" xr:uid="{00000000-0005-0000-0000-00000C3D0000}"/>
    <cellStyle name="Normal 14 3 7 3 3" xfId="10875" xr:uid="{00000000-0005-0000-0000-00000D3D0000}"/>
    <cellStyle name="Normal 14 3 7 3 3 2" xfId="50775" xr:uid="{00000000-0005-0000-0000-00000E3D0000}"/>
    <cellStyle name="Normal 14 3 7 3 4" xfId="10876" xr:uid="{00000000-0005-0000-0000-00000F3D0000}"/>
    <cellStyle name="Normal 14 3 7 3 5" xfId="10877" xr:uid="{00000000-0005-0000-0000-0000103D0000}"/>
    <cellStyle name="Normal 14 3 7 3 6" xfId="10878" xr:uid="{00000000-0005-0000-0000-0000113D0000}"/>
    <cellStyle name="Normal 14 3 7 4" xfId="10879" xr:uid="{00000000-0005-0000-0000-0000123D0000}"/>
    <cellStyle name="Normal 14 3 7 4 2" xfId="50776" xr:uid="{00000000-0005-0000-0000-0000133D0000}"/>
    <cellStyle name="Normal 14 3 7 4 3" xfId="50777" xr:uid="{00000000-0005-0000-0000-0000143D0000}"/>
    <cellStyle name="Normal 14 3 7 5" xfId="10880" xr:uid="{00000000-0005-0000-0000-0000153D0000}"/>
    <cellStyle name="Normal 14 3 7 5 2" xfId="50778" xr:uid="{00000000-0005-0000-0000-0000163D0000}"/>
    <cellStyle name="Normal 14 3 7 6" xfId="10881" xr:uid="{00000000-0005-0000-0000-0000173D0000}"/>
    <cellStyle name="Normal 14 3 7 7" xfId="10882" xr:uid="{00000000-0005-0000-0000-0000183D0000}"/>
    <cellStyle name="Normal 14 3 7 8" xfId="10883" xr:uid="{00000000-0005-0000-0000-0000193D0000}"/>
    <cellStyle name="Normal 14 3 7 9" xfId="10884" xr:uid="{00000000-0005-0000-0000-00001A3D0000}"/>
    <cellStyle name="Normal 14 3 8" xfId="10885" xr:uid="{00000000-0005-0000-0000-00001B3D0000}"/>
    <cellStyle name="Normal 14 3 8 2" xfId="10886" xr:uid="{00000000-0005-0000-0000-00001C3D0000}"/>
    <cellStyle name="Normal 14 3 8 2 2" xfId="10887" xr:uid="{00000000-0005-0000-0000-00001D3D0000}"/>
    <cellStyle name="Normal 14 3 8 2 2 2" xfId="10888" xr:uid="{00000000-0005-0000-0000-00001E3D0000}"/>
    <cellStyle name="Normal 14 3 8 2 2 2 2" xfId="50779" xr:uid="{00000000-0005-0000-0000-00001F3D0000}"/>
    <cellStyle name="Normal 14 3 8 2 2 2 3" xfId="50780" xr:uid="{00000000-0005-0000-0000-0000203D0000}"/>
    <cellStyle name="Normal 14 3 8 2 2 3" xfId="10889" xr:uid="{00000000-0005-0000-0000-0000213D0000}"/>
    <cellStyle name="Normal 14 3 8 2 2 3 2" xfId="50781" xr:uid="{00000000-0005-0000-0000-0000223D0000}"/>
    <cellStyle name="Normal 14 3 8 2 2 4" xfId="10890" xr:uid="{00000000-0005-0000-0000-0000233D0000}"/>
    <cellStyle name="Normal 14 3 8 2 2 5" xfId="10891" xr:uid="{00000000-0005-0000-0000-0000243D0000}"/>
    <cellStyle name="Normal 14 3 8 2 2 6" xfId="10892" xr:uid="{00000000-0005-0000-0000-0000253D0000}"/>
    <cellStyle name="Normal 14 3 8 2 3" xfId="10893" xr:uid="{00000000-0005-0000-0000-0000263D0000}"/>
    <cellStyle name="Normal 14 3 8 2 3 2" xfId="50782" xr:uid="{00000000-0005-0000-0000-0000273D0000}"/>
    <cellStyle name="Normal 14 3 8 2 3 3" xfId="50783" xr:uid="{00000000-0005-0000-0000-0000283D0000}"/>
    <cellStyle name="Normal 14 3 8 2 4" xfId="10894" xr:uid="{00000000-0005-0000-0000-0000293D0000}"/>
    <cellStyle name="Normal 14 3 8 2 4 2" xfId="50784" xr:uid="{00000000-0005-0000-0000-00002A3D0000}"/>
    <cellStyle name="Normal 14 3 8 2 5" xfId="10895" xr:uid="{00000000-0005-0000-0000-00002B3D0000}"/>
    <cellStyle name="Normal 14 3 8 2 6" xfId="10896" xr:uid="{00000000-0005-0000-0000-00002C3D0000}"/>
    <cellStyle name="Normal 14 3 8 2 7" xfId="10897" xr:uid="{00000000-0005-0000-0000-00002D3D0000}"/>
    <cellStyle name="Normal 14 3 8 3" xfId="10898" xr:uid="{00000000-0005-0000-0000-00002E3D0000}"/>
    <cellStyle name="Normal 14 3 8 3 2" xfId="10899" xr:uid="{00000000-0005-0000-0000-00002F3D0000}"/>
    <cellStyle name="Normal 14 3 8 3 2 2" xfId="50785" xr:uid="{00000000-0005-0000-0000-0000303D0000}"/>
    <cellStyle name="Normal 14 3 8 3 2 3" xfId="50786" xr:uid="{00000000-0005-0000-0000-0000313D0000}"/>
    <cellStyle name="Normal 14 3 8 3 3" xfId="10900" xr:uid="{00000000-0005-0000-0000-0000323D0000}"/>
    <cellStyle name="Normal 14 3 8 3 3 2" xfId="50787" xr:uid="{00000000-0005-0000-0000-0000333D0000}"/>
    <cellStyle name="Normal 14 3 8 3 4" xfId="10901" xr:uid="{00000000-0005-0000-0000-0000343D0000}"/>
    <cellStyle name="Normal 14 3 8 3 5" xfId="10902" xr:uid="{00000000-0005-0000-0000-0000353D0000}"/>
    <cellStyle name="Normal 14 3 8 3 6" xfId="10903" xr:uid="{00000000-0005-0000-0000-0000363D0000}"/>
    <cellStyle name="Normal 14 3 8 4" xfId="10904" xr:uid="{00000000-0005-0000-0000-0000373D0000}"/>
    <cellStyle name="Normal 14 3 8 4 2" xfId="50788" xr:uid="{00000000-0005-0000-0000-0000383D0000}"/>
    <cellStyle name="Normal 14 3 8 4 3" xfId="50789" xr:uid="{00000000-0005-0000-0000-0000393D0000}"/>
    <cellStyle name="Normal 14 3 8 5" xfId="10905" xr:uid="{00000000-0005-0000-0000-00003A3D0000}"/>
    <cellStyle name="Normal 14 3 8 5 2" xfId="50790" xr:uid="{00000000-0005-0000-0000-00003B3D0000}"/>
    <cellStyle name="Normal 14 3 8 6" xfId="10906" xr:uid="{00000000-0005-0000-0000-00003C3D0000}"/>
    <cellStyle name="Normal 14 3 8 7" xfId="10907" xr:uid="{00000000-0005-0000-0000-00003D3D0000}"/>
    <cellStyle name="Normal 14 3 8 8" xfId="10908" xr:uid="{00000000-0005-0000-0000-00003E3D0000}"/>
    <cellStyle name="Normal 14 3 9" xfId="10909" xr:uid="{00000000-0005-0000-0000-00003F3D0000}"/>
    <cellStyle name="Normal 14 3 9 2" xfId="10910" xr:uid="{00000000-0005-0000-0000-0000403D0000}"/>
    <cellStyle name="Normal 14 3 9 2 2" xfId="10911" xr:uid="{00000000-0005-0000-0000-0000413D0000}"/>
    <cellStyle name="Normal 14 3 9 2 2 2" xfId="10912" xr:uid="{00000000-0005-0000-0000-0000423D0000}"/>
    <cellStyle name="Normal 14 3 9 2 2 2 2" xfId="50791" xr:uid="{00000000-0005-0000-0000-0000433D0000}"/>
    <cellStyle name="Normal 14 3 9 2 2 2 3" xfId="50792" xr:uid="{00000000-0005-0000-0000-0000443D0000}"/>
    <cellStyle name="Normal 14 3 9 2 2 3" xfId="10913" xr:uid="{00000000-0005-0000-0000-0000453D0000}"/>
    <cellStyle name="Normal 14 3 9 2 2 3 2" xfId="50793" xr:uid="{00000000-0005-0000-0000-0000463D0000}"/>
    <cellStyle name="Normal 14 3 9 2 2 4" xfId="10914" xr:uid="{00000000-0005-0000-0000-0000473D0000}"/>
    <cellStyle name="Normal 14 3 9 2 2 5" xfId="10915" xr:uid="{00000000-0005-0000-0000-0000483D0000}"/>
    <cellStyle name="Normal 14 3 9 2 2 6" xfId="10916" xr:uid="{00000000-0005-0000-0000-0000493D0000}"/>
    <cellStyle name="Normal 14 3 9 2 3" xfId="10917" xr:uid="{00000000-0005-0000-0000-00004A3D0000}"/>
    <cellStyle name="Normal 14 3 9 2 3 2" xfId="50794" xr:uid="{00000000-0005-0000-0000-00004B3D0000}"/>
    <cellStyle name="Normal 14 3 9 2 3 3" xfId="50795" xr:uid="{00000000-0005-0000-0000-00004C3D0000}"/>
    <cellStyle name="Normal 14 3 9 2 4" xfId="10918" xr:uid="{00000000-0005-0000-0000-00004D3D0000}"/>
    <cellStyle name="Normal 14 3 9 2 4 2" xfId="50796" xr:uid="{00000000-0005-0000-0000-00004E3D0000}"/>
    <cellStyle name="Normal 14 3 9 2 5" xfId="10919" xr:uid="{00000000-0005-0000-0000-00004F3D0000}"/>
    <cellStyle name="Normal 14 3 9 2 6" xfId="10920" xr:uid="{00000000-0005-0000-0000-0000503D0000}"/>
    <cellStyle name="Normal 14 3 9 2 7" xfId="10921" xr:uid="{00000000-0005-0000-0000-0000513D0000}"/>
    <cellStyle name="Normal 14 3 9 3" xfId="10922" xr:uid="{00000000-0005-0000-0000-0000523D0000}"/>
    <cellStyle name="Normal 14 3 9 3 2" xfId="10923" xr:uid="{00000000-0005-0000-0000-0000533D0000}"/>
    <cellStyle name="Normal 14 3 9 3 2 2" xfId="50797" xr:uid="{00000000-0005-0000-0000-0000543D0000}"/>
    <cellStyle name="Normal 14 3 9 3 2 3" xfId="50798" xr:uid="{00000000-0005-0000-0000-0000553D0000}"/>
    <cellStyle name="Normal 14 3 9 3 3" xfId="10924" xr:uid="{00000000-0005-0000-0000-0000563D0000}"/>
    <cellStyle name="Normal 14 3 9 3 3 2" xfId="50799" xr:uid="{00000000-0005-0000-0000-0000573D0000}"/>
    <cellStyle name="Normal 14 3 9 3 4" xfId="10925" xr:uid="{00000000-0005-0000-0000-0000583D0000}"/>
    <cellStyle name="Normal 14 3 9 3 5" xfId="10926" xr:uid="{00000000-0005-0000-0000-0000593D0000}"/>
    <cellStyle name="Normal 14 3 9 3 6" xfId="10927" xr:uid="{00000000-0005-0000-0000-00005A3D0000}"/>
    <cellStyle name="Normal 14 3 9 4" xfId="10928" xr:uid="{00000000-0005-0000-0000-00005B3D0000}"/>
    <cellStyle name="Normal 14 3 9 4 2" xfId="50800" xr:uid="{00000000-0005-0000-0000-00005C3D0000}"/>
    <cellStyle name="Normal 14 3 9 4 3" xfId="50801" xr:uid="{00000000-0005-0000-0000-00005D3D0000}"/>
    <cellStyle name="Normal 14 3 9 5" xfId="10929" xr:uid="{00000000-0005-0000-0000-00005E3D0000}"/>
    <cellStyle name="Normal 14 3 9 5 2" xfId="50802" xr:uid="{00000000-0005-0000-0000-00005F3D0000}"/>
    <cellStyle name="Normal 14 3 9 6" xfId="10930" xr:uid="{00000000-0005-0000-0000-0000603D0000}"/>
    <cellStyle name="Normal 14 3 9 7" xfId="10931" xr:uid="{00000000-0005-0000-0000-0000613D0000}"/>
    <cellStyle name="Normal 14 3 9 8" xfId="10932" xr:uid="{00000000-0005-0000-0000-0000623D0000}"/>
    <cellStyle name="Normal 14 4" xfId="10933" xr:uid="{00000000-0005-0000-0000-0000633D0000}"/>
    <cellStyle name="Normal 14 4 10" xfId="10934" xr:uid="{00000000-0005-0000-0000-0000643D0000}"/>
    <cellStyle name="Normal 14 4 11" xfId="10935" xr:uid="{00000000-0005-0000-0000-0000653D0000}"/>
    <cellStyle name="Normal 14 4 12" xfId="10936" xr:uid="{00000000-0005-0000-0000-0000663D0000}"/>
    <cellStyle name="Normal 14 4 13" xfId="10937" xr:uid="{00000000-0005-0000-0000-0000673D0000}"/>
    <cellStyle name="Normal 14 4 14" xfId="10938" xr:uid="{00000000-0005-0000-0000-0000683D0000}"/>
    <cellStyle name="Normal 14 4 15" xfId="10939" xr:uid="{00000000-0005-0000-0000-0000693D0000}"/>
    <cellStyle name="Normal 14 4 2" xfId="10940" xr:uid="{00000000-0005-0000-0000-00006A3D0000}"/>
    <cellStyle name="Normal 14 4 2 10" xfId="10941" xr:uid="{00000000-0005-0000-0000-00006B3D0000}"/>
    <cellStyle name="Normal 14 4 2 11" xfId="10942" xr:uid="{00000000-0005-0000-0000-00006C3D0000}"/>
    <cellStyle name="Normal 14 4 2 12" xfId="10943" xr:uid="{00000000-0005-0000-0000-00006D3D0000}"/>
    <cellStyle name="Normal 14 4 2 13" xfId="10944" xr:uid="{00000000-0005-0000-0000-00006E3D0000}"/>
    <cellStyle name="Normal 14 4 2 14" xfId="10945" xr:uid="{00000000-0005-0000-0000-00006F3D0000}"/>
    <cellStyle name="Normal 14 4 2 2" xfId="10946" xr:uid="{00000000-0005-0000-0000-0000703D0000}"/>
    <cellStyle name="Normal 14 4 2 2 2" xfId="10947" xr:uid="{00000000-0005-0000-0000-0000713D0000}"/>
    <cellStyle name="Normal 14 4 2 2 2 2" xfId="10948" xr:uid="{00000000-0005-0000-0000-0000723D0000}"/>
    <cellStyle name="Normal 14 4 2 2 2 2 2" xfId="10949" xr:uid="{00000000-0005-0000-0000-0000733D0000}"/>
    <cellStyle name="Normal 14 4 2 2 2 2 2 2" xfId="50803" xr:uid="{00000000-0005-0000-0000-0000743D0000}"/>
    <cellStyle name="Normal 14 4 2 2 2 2 2 3" xfId="50804" xr:uid="{00000000-0005-0000-0000-0000753D0000}"/>
    <cellStyle name="Normal 14 4 2 2 2 2 3" xfId="10950" xr:uid="{00000000-0005-0000-0000-0000763D0000}"/>
    <cellStyle name="Normal 14 4 2 2 2 2 3 2" xfId="50805" xr:uid="{00000000-0005-0000-0000-0000773D0000}"/>
    <cellStyle name="Normal 14 4 2 2 2 2 4" xfId="10951" xr:uid="{00000000-0005-0000-0000-0000783D0000}"/>
    <cellStyle name="Normal 14 4 2 2 2 2 5" xfId="10952" xr:uid="{00000000-0005-0000-0000-0000793D0000}"/>
    <cellStyle name="Normal 14 4 2 2 2 2 6" xfId="10953" xr:uid="{00000000-0005-0000-0000-00007A3D0000}"/>
    <cellStyle name="Normal 14 4 2 2 2 3" xfId="10954" xr:uid="{00000000-0005-0000-0000-00007B3D0000}"/>
    <cellStyle name="Normal 14 4 2 2 2 3 2" xfId="50806" xr:uid="{00000000-0005-0000-0000-00007C3D0000}"/>
    <cellStyle name="Normal 14 4 2 2 2 3 3" xfId="50807" xr:uid="{00000000-0005-0000-0000-00007D3D0000}"/>
    <cellStyle name="Normal 14 4 2 2 2 4" xfId="10955" xr:uid="{00000000-0005-0000-0000-00007E3D0000}"/>
    <cellStyle name="Normal 14 4 2 2 2 4 2" xfId="50808" xr:uid="{00000000-0005-0000-0000-00007F3D0000}"/>
    <cellStyle name="Normal 14 4 2 2 2 5" xfId="10956" xr:uid="{00000000-0005-0000-0000-0000803D0000}"/>
    <cellStyle name="Normal 14 4 2 2 2 6" xfId="10957" xr:uid="{00000000-0005-0000-0000-0000813D0000}"/>
    <cellStyle name="Normal 14 4 2 2 2 7" xfId="10958" xr:uid="{00000000-0005-0000-0000-0000823D0000}"/>
    <cellStyle name="Normal 14 4 2 2 3" xfId="10959" xr:uid="{00000000-0005-0000-0000-0000833D0000}"/>
    <cellStyle name="Normal 14 4 2 2 3 2" xfId="10960" xr:uid="{00000000-0005-0000-0000-0000843D0000}"/>
    <cellStyle name="Normal 14 4 2 2 3 2 2" xfId="50809" xr:uid="{00000000-0005-0000-0000-0000853D0000}"/>
    <cellStyle name="Normal 14 4 2 2 3 2 3" xfId="50810" xr:uid="{00000000-0005-0000-0000-0000863D0000}"/>
    <cellStyle name="Normal 14 4 2 2 3 3" xfId="10961" xr:uid="{00000000-0005-0000-0000-0000873D0000}"/>
    <cellStyle name="Normal 14 4 2 2 3 3 2" xfId="50811" xr:uid="{00000000-0005-0000-0000-0000883D0000}"/>
    <cellStyle name="Normal 14 4 2 2 3 4" xfId="10962" xr:uid="{00000000-0005-0000-0000-0000893D0000}"/>
    <cellStyle name="Normal 14 4 2 2 3 5" xfId="10963" xr:uid="{00000000-0005-0000-0000-00008A3D0000}"/>
    <cellStyle name="Normal 14 4 2 2 3 6" xfId="10964" xr:uid="{00000000-0005-0000-0000-00008B3D0000}"/>
    <cellStyle name="Normal 14 4 2 2 4" xfId="10965" xr:uid="{00000000-0005-0000-0000-00008C3D0000}"/>
    <cellStyle name="Normal 14 4 2 2 4 2" xfId="50812" xr:uid="{00000000-0005-0000-0000-00008D3D0000}"/>
    <cellStyle name="Normal 14 4 2 2 4 3" xfId="50813" xr:uid="{00000000-0005-0000-0000-00008E3D0000}"/>
    <cellStyle name="Normal 14 4 2 2 5" xfId="10966" xr:uid="{00000000-0005-0000-0000-00008F3D0000}"/>
    <cellStyle name="Normal 14 4 2 2 5 2" xfId="50814" xr:uid="{00000000-0005-0000-0000-0000903D0000}"/>
    <cellStyle name="Normal 14 4 2 2 6" xfId="10967" xr:uid="{00000000-0005-0000-0000-0000913D0000}"/>
    <cellStyle name="Normal 14 4 2 2 7" xfId="10968" xr:uid="{00000000-0005-0000-0000-0000923D0000}"/>
    <cellStyle name="Normal 14 4 2 2 8" xfId="10969" xr:uid="{00000000-0005-0000-0000-0000933D0000}"/>
    <cellStyle name="Normal 14 4 2 2 9" xfId="10970" xr:uid="{00000000-0005-0000-0000-0000943D0000}"/>
    <cellStyle name="Normal 14 4 2 3" xfId="10971" xr:uid="{00000000-0005-0000-0000-0000953D0000}"/>
    <cellStyle name="Normal 14 4 2 3 2" xfId="10972" xr:uid="{00000000-0005-0000-0000-0000963D0000}"/>
    <cellStyle name="Normal 14 4 2 3 2 2" xfId="10973" xr:uid="{00000000-0005-0000-0000-0000973D0000}"/>
    <cellStyle name="Normal 14 4 2 3 2 2 2" xfId="10974" xr:uid="{00000000-0005-0000-0000-0000983D0000}"/>
    <cellStyle name="Normal 14 4 2 3 2 2 2 2" xfId="50815" xr:uid="{00000000-0005-0000-0000-0000993D0000}"/>
    <cellStyle name="Normal 14 4 2 3 2 2 2 3" xfId="50816" xr:uid="{00000000-0005-0000-0000-00009A3D0000}"/>
    <cellStyle name="Normal 14 4 2 3 2 2 3" xfId="10975" xr:uid="{00000000-0005-0000-0000-00009B3D0000}"/>
    <cellStyle name="Normal 14 4 2 3 2 2 3 2" xfId="50817" xr:uid="{00000000-0005-0000-0000-00009C3D0000}"/>
    <cellStyle name="Normal 14 4 2 3 2 2 4" xfId="10976" xr:uid="{00000000-0005-0000-0000-00009D3D0000}"/>
    <cellStyle name="Normal 14 4 2 3 2 2 5" xfId="10977" xr:uid="{00000000-0005-0000-0000-00009E3D0000}"/>
    <cellStyle name="Normal 14 4 2 3 2 2 6" xfId="10978" xr:uid="{00000000-0005-0000-0000-00009F3D0000}"/>
    <cellStyle name="Normal 14 4 2 3 2 3" xfId="10979" xr:uid="{00000000-0005-0000-0000-0000A03D0000}"/>
    <cellStyle name="Normal 14 4 2 3 2 3 2" xfId="50818" xr:uid="{00000000-0005-0000-0000-0000A13D0000}"/>
    <cellStyle name="Normal 14 4 2 3 2 3 3" xfId="50819" xr:uid="{00000000-0005-0000-0000-0000A23D0000}"/>
    <cellStyle name="Normal 14 4 2 3 2 4" xfId="10980" xr:uid="{00000000-0005-0000-0000-0000A33D0000}"/>
    <cellStyle name="Normal 14 4 2 3 2 4 2" xfId="50820" xr:uid="{00000000-0005-0000-0000-0000A43D0000}"/>
    <cellStyle name="Normal 14 4 2 3 2 5" xfId="10981" xr:uid="{00000000-0005-0000-0000-0000A53D0000}"/>
    <cellStyle name="Normal 14 4 2 3 2 6" xfId="10982" xr:uid="{00000000-0005-0000-0000-0000A63D0000}"/>
    <cellStyle name="Normal 14 4 2 3 2 7" xfId="10983" xr:uid="{00000000-0005-0000-0000-0000A73D0000}"/>
    <cellStyle name="Normal 14 4 2 3 3" xfId="10984" xr:uid="{00000000-0005-0000-0000-0000A83D0000}"/>
    <cellStyle name="Normal 14 4 2 3 3 2" xfId="10985" xr:uid="{00000000-0005-0000-0000-0000A93D0000}"/>
    <cellStyle name="Normal 14 4 2 3 3 2 2" xfId="50821" xr:uid="{00000000-0005-0000-0000-0000AA3D0000}"/>
    <cellStyle name="Normal 14 4 2 3 3 2 3" xfId="50822" xr:uid="{00000000-0005-0000-0000-0000AB3D0000}"/>
    <cellStyle name="Normal 14 4 2 3 3 3" xfId="10986" xr:uid="{00000000-0005-0000-0000-0000AC3D0000}"/>
    <cellStyle name="Normal 14 4 2 3 3 3 2" xfId="50823" xr:uid="{00000000-0005-0000-0000-0000AD3D0000}"/>
    <cellStyle name="Normal 14 4 2 3 3 4" xfId="10987" xr:uid="{00000000-0005-0000-0000-0000AE3D0000}"/>
    <cellStyle name="Normal 14 4 2 3 3 5" xfId="10988" xr:uid="{00000000-0005-0000-0000-0000AF3D0000}"/>
    <cellStyle name="Normal 14 4 2 3 3 6" xfId="10989" xr:uid="{00000000-0005-0000-0000-0000B03D0000}"/>
    <cellStyle name="Normal 14 4 2 3 4" xfId="10990" xr:uid="{00000000-0005-0000-0000-0000B13D0000}"/>
    <cellStyle name="Normal 14 4 2 3 4 2" xfId="50824" xr:uid="{00000000-0005-0000-0000-0000B23D0000}"/>
    <cellStyle name="Normal 14 4 2 3 4 3" xfId="50825" xr:uid="{00000000-0005-0000-0000-0000B33D0000}"/>
    <cellStyle name="Normal 14 4 2 3 5" xfId="10991" xr:uid="{00000000-0005-0000-0000-0000B43D0000}"/>
    <cellStyle name="Normal 14 4 2 3 5 2" xfId="50826" xr:uid="{00000000-0005-0000-0000-0000B53D0000}"/>
    <cellStyle name="Normal 14 4 2 3 6" xfId="10992" xr:uid="{00000000-0005-0000-0000-0000B63D0000}"/>
    <cellStyle name="Normal 14 4 2 3 7" xfId="10993" xr:uid="{00000000-0005-0000-0000-0000B73D0000}"/>
    <cellStyle name="Normal 14 4 2 3 8" xfId="10994" xr:uid="{00000000-0005-0000-0000-0000B83D0000}"/>
    <cellStyle name="Normal 14 4 2 4" xfId="10995" xr:uid="{00000000-0005-0000-0000-0000B93D0000}"/>
    <cellStyle name="Normal 14 4 2 4 2" xfId="10996" xr:uid="{00000000-0005-0000-0000-0000BA3D0000}"/>
    <cellStyle name="Normal 14 4 2 4 2 2" xfId="10997" xr:uid="{00000000-0005-0000-0000-0000BB3D0000}"/>
    <cellStyle name="Normal 14 4 2 4 2 2 2" xfId="50827" xr:uid="{00000000-0005-0000-0000-0000BC3D0000}"/>
    <cellStyle name="Normal 14 4 2 4 2 2 3" xfId="50828" xr:uid="{00000000-0005-0000-0000-0000BD3D0000}"/>
    <cellStyle name="Normal 14 4 2 4 2 3" xfId="10998" xr:uid="{00000000-0005-0000-0000-0000BE3D0000}"/>
    <cellStyle name="Normal 14 4 2 4 2 3 2" xfId="50829" xr:uid="{00000000-0005-0000-0000-0000BF3D0000}"/>
    <cellStyle name="Normal 14 4 2 4 2 4" xfId="10999" xr:uid="{00000000-0005-0000-0000-0000C03D0000}"/>
    <cellStyle name="Normal 14 4 2 4 2 5" xfId="11000" xr:uid="{00000000-0005-0000-0000-0000C13D0000}"/>
    <cellStyle name="Normal 14 4 2 4 2 6" xfId="11001" xr:uid="{00000000-0005-0000-0000-0000C23D0000}"/>
    <cellStyle name="Normal 14 4 2 4 3" xfId="11002" xr:uid="{00000000-0005-0000-0000-0000C33D0000}"/>
    <cellStyle name="Normal 14 4 2 4 3 2" xfId="50830" xr:uid="{00000000-0005-0000-0000-0000C43D0000}"/>
    <cellStyle name="Normal 14 4 2 4 3 3" xfId="50831" xr:uid="{00000000-0005-0000-0000-0000C53D0000}"/>
    <cellStyle name="Normal 14 4 2 4 4" xfId="11003" xr:uid="{00000000-0005-0000-0000-0000C63D0000}"/>
    <cellStyle name="Normal 14 4 2 4 4 2" xfId="50832" xr:uid="{00000000-0005-0000-0000-0000C73D0000}"/>
    <cellStyle name="Normal 14 4 2 4 5" xfId="11004" xr:uid="{00000000-0005-0000-0000-0000C83D0000}"/>
    <cellStyle name="Normal 14 4 2 4 6" xfId="11005" xr:uid="{00000000-0005-0000-0000-0000C93D0000}"/>
    <cellStyle name="Normal 14 4 2 4 7" xfId="11006" xr:uid="{00000000-0005-0000-0000-0000CA3D0000}"/>
    <cellStyle name="Normal 14 4 2 5" xfId="11007" xr:uid="{00000000-0005-0000-0000-0000CB3D0000}"/>
    <cellStyle name="Normal 14 4 2 5 2" xfId="11008" xr:uid="{00000000-0005-0000-0000-0000CC3D0000}"/>
    <cellStyle name="Normal 14 4 2 5 2 2" xfId="50833" xr:uid="{00000000-0005-0000-0000-0000CD3D0000}"/>
    <cellStyle name="Normal 14 4 2 5 2 3" xfId="50834" xr:uid="{00000000-0005-0000-0000-0000CE3D0000}"/>
    <cellStyle name="Normal 14 4 2 5 3" xfId="11009" xr:uid="{00000000-0005-0000-0000-0000CF3D0000}"/>
    <cellStyle name="Normal 14 4 2 5 3 2" xfId="50835" xr:uid="{00000000-0005-0000-0000-0000D03D0000}"/>
    <cellStyle name="Normal 14 4 2 5 4" xfId="11010" xr:uid="{00000000-0005-0000-0000-0000D13D0000}"/>
    <cellStyle name="Normal 14 4 2 5 5" xfId="11011" xr:uid="{00000000-0005-0000-0000-0000D23D0000}"/>
    <cellStyle name="Normal 14 4 2 5 6" xfId="11012" xr:uid="{00000000-0005-0000-0000-0000D33D0000}"/>
    <cellStyle name="Normal 14 4 2 6" xfId="11013" xr:uid="{00000000-0005-0000-0000-0000D43D0000}"/>
    <cellStyle name="Normal 14 4 2 6 2" xfId="50836" xr:uid="{00000000-0005-0000-0000-0000D53D0000}"/>
    <cellStyle name="Normal 14 4 2 6 3" xfId="50837" xr:uid="{00000000-0005-0000-0000-0000D63D0000}"/>
    <cellStyle name="Normal 14 4 2 7" xfId="11014" xr:uid="{00000000-0005-0000-0000-0000D73D0000}"/>
    <cellStyle name="Normal 14 4 2 7 2" xfId="50838" xr:uid="{00000000-0005-0000-0000-0000D83D0000}"/>
    <cellStyle name="Normal 14 4 2 8" xfId="11015" xr:uid="{00000000-0005-0000-0000-0000D93D0000}"/>
    <cellStyle name="Normal 14 4 2 8 2" xfId="50839" xr:uid="{00000000-0005-0000-0000-0000DA3D0000}"/>
    <cellStyle name="Normal 14 4 2 9" xfId="11016" xr:uid="{00000000-0005-0000-0000-0000DB3D0000}"/>
    <cellStyle name="Normal 14 4 3" xfId="11017" xr:uid="{00000000-0005-0000-0000-0000DC3D0000}"/>
    <cellStyle name="Normal 14 4 3 2" xfId="11018" xr:uid="{00000000-0005-0000-0000-0000DD3D0000}"/>
    <cellStyle name="Normal 14 4 3 2 2" xfId="11019" xr:uid="{00000000-0005-0000-0000-0000DE3D0000}"/>
    <cellStyle name="Normal 14 4 3 2 2 2" xfId="11020" xr:uid="{00000000-0005-0000-0000-0000DF3D0000}"/>
    <cellStyle name="Normal 14 4 3 2 2 2 2" xfId="50840" xr:uid="{00000000-0005-0000-0000-0000E03D0000}"/>
    <cellStyle name="Normal 14 4 3 2 2 2 3" xfId="50841" xr:uid="{00000000-0005-0000-0000-0000E13D0000}"/>
    <cellStyle name="Normal 14 4 3 2 2 3" xfId="11021" xr:uid="{00000000-0005-0000-0000-0000E23D0000}"/>
    <cellStyle name="Normal 14 4 3 2 2 3 2" xfId="50842" xr:uid="{00000000-0005-0000-0000-0000E33D0000}"/>
    <cellStyle name="Normal 14 4 3 2 2 4" xfId="11022" xr:uid="{00000000-0005-0000-0000-0000E43D0000}"/>
    <cellStyle name="Normal 14 4 3 2 2 5" xfId="11023" xr:uid="{00000000-0005-0000-0000-0000E53D0000}"/>
    <cellStyle name="Normal 14 4 3 2 2 6" xfId="11024" xr:uid="{00000000-0005-0000-0000-0000E63D0000}"/>
    <cellStyle name="Normal 14 4 3 2 3" xfId="11025" xr:uid="{00000000-0005-0000-0000-0000E73D0000}"/>
    <cellStyle name="Normal 14 4 3 2 3 2" xfId="50843" xr:uid="{00000000-0005-0000-0000-0000E83D0000}"/>
    <cellStyle name="Normal 14 4 3 2 3 3" xfId="50844" xr:uid="{00000000-0005-0000-0000-0000E93D0000}"/>
    <cellStyle name="Normal 14 4 3 2 4" xfId="11026" xr:uid="{00000000-0005-0000-0000-0000EA3D0000}"/>
    <cellStyle name="Normal 14 4 3 2 4 2" xfId="50845" xr:uid="{00000000-0005-0000-0000-0000EB3D0000}"/>
    <cellStyle name="Normal 14 4 3 2 5" xfId="11027" xr:uid="{00000000-0005-0000-0000-0000EC3D0000}"/>
    <cellStyle name="Normal 14 4 3 2 6" xfId="11028" xr:uid="{00000000-0005-0000-0000-0000ED3D0000}"/>
    <cellStyle name="Normal 14 4 3 2 7" xfId="11029" xr:uid="{00000000-0005-0000-0000-0000EE3D0000}"/>
    <cellStyle name="Normal 14 4 3 3" xfId="11030" xr:uid="{00000000-0005-0000-0000-0000EF3D0000}"/>
    <cellStyle name="Normal 14 4 3 3 2" xfId="11031" xr:uid="{00000000-0005-0000-0000-0000F03D0000}"/>
    <cellStyle name="Normal 14 4 3 3 2 2" xfId="50846" xr:uid="{00000000-0005-0000-0000-0000F13D0000}"/>
    <cellStyle name="Normal 14 4 3 3 2 3" xfId="50847" xr:uid="{00000000-0005-0000-0000-0000F23D0000}"/>
    <cellStyle name="Normal 14 4 3 3 3" xfId="11032" xr:uid="{00000000-0005-0000-0000-0000F33D0000}"/>
    <cellStyle name="Normal 14 4 3 3 3 2" xfId="50848" xr:uid="{00000000-0005-0000-0000-0000F43D0000}"/>
    <cellStyle name="Normal 14 4 3 3 4" xfId="11033" xr:uid="{00000000-0005-0000-0000-0000F53D0000}"/>
    <cellStyle name="Normal 14 4 3 3 5" xfId="11034" xr:uid="{00000000-0005-0000-0000-0000F63D0000}"/>
    <cellStyle name="Normal 14 4 3 3 6" xfId="11035" xr:uid="{00000000-0005-0000-0000-0000F73D0000}"/>
    <cellStyle name="Normal 14 4 3 4" xfId="11036" xr:uid="{00000000-0005-0000-0000-0000F83D0000}"/>
    <cellStyle name="Normal 14 4 3 4 2" xfId="50849" xr:uid="{00000000-0005-0000-0000-0000F93D0000}"/>
    <cellStyle name="Normal 14 4 3 4 3" xfId="50850" xr:uid="{00000000-0005-0000-0000-0000FA3D0000}"/>
    <cellStyle name="Normal 14 4 3 5" xfId="11037" xr:uid="{00000000-0005-0000-0000-0000FB3D0000}"/>
    <cellStyle name="Normal 14 4 3 5 2" xfId="50851" xr:uid="{00000000-0005-0000-0000-0000FC3D0000}"/>
    <cellStyle name="Normal 14 4 3 6" xfId="11038" xr:uid="{00000000-0005-0000-0000-0000FD3D0000}"/>
    <cellStyle name="Normal 14 4 3 7" xfId="11039" xr:uid="{00000000-0005-0000-0000-0000FE3D0000}"/>
    <cellStyle name="Normal 14 4 3 8" xfId="11040" xr:uid="{00000000-0005-0000-0000-0000FF3D0000}"/>
    <cellStyle name="Normal 14 4 3 9" xfId="11041" xr:uid="{00000000-0005-0000-0000-0000003E0000}"/>
    <cellStyle name="Normal 14 4 4" xfId="11042" xr:uid="{00000000-0005-0000-0000-0000013E0000}"/>
    <cellStyle name="Normal 14 4 4 2" xfId="11043" xr:uid="{00000000-0005-0000-0000-0000023E0000}"/>
    <cellStyle name="Normal 14 4 4 2 2" xfId="11044" xr:uid="{00000000-0005-0000-0000-0000033E0000}"/>
    <cellStyle name="Normal 14 4 4 2 2 2" xfId="11045" xr:uid="{00000000-0005-0000-0000-0000043E0000}"/>
    <cellStyle name="Normal 14 4 4 2 2 2 2" xfId="50852" xr:uid="{00000000-0005-0000-0000-0000053E0000}"/>
    <cellStyle name="Normal 14 4 4 2 2 2 3" xfId="50853" xr:uid="{00000000-0005-0000-0000-0000063E0000}"/>
    <cellStyle name="Normal 14 4 4 2 2 3" xfId="11046" xr:uid="{00000000-0005-0000-0000-0000073E0000}"/>
    <cellStyle name="Normal 14 4 4 2 2 3 2" xfId="50854" xr:uid="{00000000-0005-0000-0000-0000083E0000}"/>
    <cellStyle name="Normal 14 4 4 2 2 4" xfId="11047" xr:uid="{00000000-0005-0000-0000-0000093E0000}"/>
    <cellStyle name="Normal 14 4 4 2 2 5" xfId="11048" xr:uid="{00000000-0005-0000-0000-00000A3E0000}"/>
    <cellStyle name="Normal 14 4 4 2 2 6" xfId="11049" xr:uid="{00000000-0005-0000-0000-00000B3E0000}"/>
    <cellStyle name="Normal 14 4 4 2 3" xfId="11050" xr:uid="{00000000-0005-0000-0000-00000C3E0000}"/>
    <cellStyle name="Normal 14 4 4 2 3 2" xfId="50855" xr:uid="{00000000-0005-0000-0000-00000D3E0000}"/>
    <cellStyle name="Normal 14 4 4 2 3 3" xfId="50856" xr:uid="{00000000-0005-0000-0000-00000E3E0000}"/>
    <cellStyle name="Normal 14 4 4 2 4" xfId="11051" xr:uid="{00000000-0005-0000-0000-00000F3E0000}"/>
    <cellStyle name="Normal 14 4 4 2 4 2" xfId="50857" xr:uid="{00000000-0005-0000-0000-0000103E0000}"/>
    <cellStyle name="Normal 14 4 4 2 5" xfId="11052" xr:uid="{00000000-0005-0000-0000-0000113E0000}"/>
    <cellStyle name="Normal 14 4 4 2 6" xfId="11053" xr:uid="{00000000-0005-0000-0000-0000123E0000}"/>
    <cellStyle name="Normal 14 4 4 2 7" xfId="11054" xr:uid="{00000000-0005-0000-0000-0000133E0000}"/>
    <cellStyle name="Normal 14 4 4 3" xfId="11055" xr:uid="{00000000-0005-0000-0000-0000143E0000}"/>
    <cellStyle name="Normal 14 4 4 3 2" xfId="11056" xr:uid="{00000000-0005-0000-0000-0000153E0000}"/>
    <cellStyle name="Normal 14 4 4 3 2 2" xfId="50858" xr:uid="{00000000-0005-0000-0000-0000163E0000}"/>
    <cellStyle name="Normal 14 4 4 3 2 3" xfId="50859" xr:uid="{00000000-0005-0000-0000-0000173E0000}"/>
    <cellStyle name="Normal 14 4 4 3 3" xfId="11057" xr:uid="{00000000-0005-0000-0000-0000183E0000}"/>
    <cellStyle name="Normal 14 4 4 3 3 2" xfId="50860" xr:uid="{00000000-0005-0000-0000-0000193E0000}"/>
    <cellStyle name="Normal 14 4 4 3 4" xfId="11058" xr:uid="{00000000-0005-0000-0000-00001A3E0000}"/>
    <cellStyle name="Normal 14 4 4 3 5" xfId="11059" xr:uid="{00000000-0005-0000-0000-00001B3E0000}"/>
    <cellStyle name="Normal 14 4 4 3 6" xfId="11060" xr:uid="{00000000-0005-0000-0000-00001C3E0000}"/>
    <cellStyle name="Normal 14 4 4 4" xfId="11061" xr:uid="{00000000-0005-0000-0000-00001D3E0000}"/>
    <cellStyle name="Normal 14 4 4 4 2" xfId="50861" xr:uid="{00000000-0005-0000-0000-00001E3E0000}"/>
    <cellStyle name="Normal 14 4 4 4 3" xfId="50862" xr:uid="{00000000-0005-0000-0000-00001F3E0000}"/>
    <cellStyle name="Normal 14 4 4 5" xfId="11062" xr:uid="{00000000-0005-0000-0000-0000203E0000}"/>
    <cellStyle name="Normal 14 4 4 5 2" xfId="50863" xr:uid="{00000000-0005-0000-0000-0000213E0000}"/>
    <cellStyle name="Normal 14 4 4 6" xfId="11063" xr:uid="{00000000-0005-0000-0000-0000223E0000}"/>
    <cellStyle name="Normal 14 4 4 7" xfId="11064" xr:uid="{00000000-0005-0000-0000-0000233E0000}"/>
    <cellStyle name="Normal 14 4 4 8" xfId="11065" xr:uid="{00000000-0005-0000-0000-0000243E0000}"/>
    <cellStyle name="Normal 14 4 5" xfId="11066" xr:uid="{00000000-0005-0000-0000-0000253E0000}"/>
    <cellStyle name="Normal 14 4 5 2" xfId="11067" xr:uid="{00000000-0005-0000-0000-0000263E0000}"/>
    <cellStyle name="Normal 14 4 5 2 2" xfId="11068" xr:uid="{00000000-0005-0000-0000-0000273E0000}"/>
    <cellStyle name="Normal 14 4 5 2 2 2" xfId="50864" xr:uid="{00000000-0005-0000-0000-0000283E0000}"/>
    <cellStyle name="Normal 14 4 5 2 2 3" xfId="50865" xr:uid="{00000000-0005-0000-0000-0000293E0000}"/>
    <cellStyle name="Normal 14 4 5 2 3" xfId="11069" xr:uid="{00000000-0005-0000-0000-00002A3E0000}"/>
    <cellStyle name="Normal 14 4 5 2 3 2" xfId="50866" xr:uid="{00000000-0005-0000-0000-00002B3E0000}"/>
    <cellStyle name="Normal 14 4 5 2 4" xfId="11070" xr:uid="{00000000-0005-0000-0000-00002C3E0000}"/>
    <cellStyle name="Normal 14 4 5 2 5" xfId="11071" xr:uid="{00000000-0005-0000-0000-00002D3E0000}"/>
    <cellStyle name="Normal 14 4 5 2 6" xfId="11072" xr:uid="{00000000-0005-0000-0000-00002E3E0000}"/>
    <cellStyle name="Normal 14 4 5 3" xfId="11073" xr:uid="{00000000-0005-0000-0000-00002F3E0000}"/>
    <cellStyle name="Normal 14 4 5 3 2" xfId="50867" xr:uid="{00000000-0005-0000-0000-0000303E0000}"/>
    <cellStyle name="Normal 14 4 5 3 3" xfId="50868" xr:uid="{00000000-0005-0000-0000-0000313E0000}"/>
    <cellStyle name="Normal 14 4 5 4" xfId="11074" xr:uid="{00000000-0005-0000-0000-0000323E0000}"/>
    <cellStyle name="Normal 14 4 5 4 2" xfId="50869" xr:uid="{00000000-0005-0000-0000-0000333E0000}"/>
    <cellStyle name="Normal 14 4 5 5" xfId="11075" xr:uid="{00000000-0005-0000-0000-0000343E0000}"/>
    <cellStyle name="Normal 14 4 5 6" xfId="11076" xr:uid="{00000000-0005-0000-0000-0000353E0000}"/>
    <cellStyle name="Normal 14 4 5 7" xfId="11077" xr:uid="{00000000-0005-0000-0000-0000363E0000}"/>
    <cellStyle name="Normal 14 4 6" xfId="11078" xr:uid="{00000000-0005-0000-0000-0000373E0000}"/>
    <cellStyle name="Normal 14 4 6 2" xfId="11079" xr:uid="{00000000-0005-0000-0000-0000383E0000}"/>
    <cellStyle name="Normal 14 4 6 2 2" xfId="50870" xr:uid="{00000000-0005-0000-0000-0000393E0000}"/>
    <cellStyle name="Normal 14 4 6 2 3" xfId="50871" xr:uid="{00000000-0005-0000-0000-00003A3E0000}"/>
    <cellStyle name="Normal 14 4 6 3" xfId="11080" xr:uid="{00000000-0005-0000-0000-00003B3E0000}"/>
    <cellStyle name="Normal 14 4 6 3 2" xfId="50872" xr:uid="{00000000-0005-0000-0000-00003C3E0000}"/>
    <cellStyle name="Normal 14 4 6 4" xfId="11081" xr:uid="{00000000-0005-0000-0000-00003D3E0000}"/>
    <cellStyle name="Normal 14 4 6 5" xfId="11082" xr:uid="{00000000-0005-0000-0000-00003E3E0000}"/>
    <cellStyle name="Normal 14 4 6 6" xfId="11083" xr:uid="{00000000-0005-0000-0000-00003F3E0000}"/>
    <cellStyle name="Normal 14 4 7" xfId="11084" xr:uid="{00000000-0005-0000-0000-0000403E0000}"/>
    <cellStyle name="Normal 14 4 7 2" xfId="50873" xr:uid="{00000000-0005-0000-0000-0000413E0000}"/>
    <cellStyle name="Normal 14 4 7 3" xfId="50874" xr:uid="{00000000-0005-0000-0000-0000423E0000}"/>
    <cellStyle name="Normal 14 4 8" xfId="11085" xr:uid="{00000000-0005-0000-0000-0000433E0000}"/>
    <cellStyle name="Normal 14 4 8 2" xfId="50875" xr:uid="{00000000-0005-0000-0000-0000443E0000}"/>
    <cellStyle name="Normal 14 4 9" xfId="11086" xr:uid="{00000000-0005-0000-0000-0000453E0000}"/>
    <cellStyle name="Normal 14 4 9 2" xfId="50876" xr:uid="{00000000-0005-0000-0000-0000463E0000}"/>
    <cellStyle name="Normal 14 5" xfId="11087" xr:uid="{00000000-0005-0000-0000-0000473E0000}"/>
    <cellStyle name="Normal 14 5 10" xfId="11088" xr:uid="{00000000-0005-0000-0000-0000483E0000}"/>
    <cellStyle name="Normal 14 5 11" xfId="11089" xr:uid="{00000000-0005-0000-0000-0000493E0000}"/>
    <cellStyle name="Normal 14 5 12" xfId="11090" xr:uid="{00000000-0005-0000-0000-00004A3E0000}"/>
    <cellStyle name="Normal 14 5 13" xfId="11091" xr:uid="{00000000-0005-0000-0000-00004B3E0000}"/>
    <cellStyle name="Normal 14 5 14" xfId="11092" xr:uid="{00000000-0005-0000-0000-00004C3E0000}"/>
    <cellStyle name="Normal 14 5 15" xfId="11093" xr:uid="{00000000-0005-0000-0000-00004D3E0000}"/>
    <cellStyle name="Normal 14 5 16" xfId="11094" xr:uid="{00000000-0005-0000-0000-00004E3E0000}"/>
    <cellStyle name="Normal 14 5 2" xfId="11095" xr:uid="{00000000-0005-0000-0000-00004F3E0000}"/>
    <cellStyle name="Normal 14 5 2 10" xfId="11096" xr:uid="{00000000-0005-0000-0000-0000503E0000}"/>
    <cellStyle name="Normal 14 5 2 11" xfId="11097" xr:uid="{00000000-0005-0000-0000-0000513E0000}"/>
    <cellStyle name="Normal 14 5 2 12" xfId="11098" xr:uid="{00000000-0005-0000-0000-0000523E0000}"/>
    <cellStyle name="Normal 14 5 2 13" xfId="11099" xr:uid="{00000000-0005-0000-0000-0000533E0000}"/>
    <cellStyle name="Normal 14 5 2 14" xfId="11100" xr:uid="{00000000-0005-0000-0000-0000543E0000}"/>
    <cellStyle name="Normal 14 5 2 2" xfId="11101" xr:uid="{00000000-0005-0000-0000-0000553E0000}"/>
    <cellStyle name="Normal 14 5 2 2 2" xfId="11102" xr:uid="{00000000-0005-0000-0000-0000563E0000}"/>
    <cellStyle name="Normal 14 5 2 2 2 2" xfId="11103" xr:uid="{00000000-0005-0000-0000-0000573E0000}"/>
    <cellStyle name="Normal 14 5 2 2 2 2 2" xfId="11104" xr:uid="{00000000-0005-0000-0000-0000583E0000}"/>
    <cellStyle name="Normal 14 5 2 2 2 2 2 2" xfId="50877" xr:uid="{00000000-0005-0000-0000-0000593E0000}"/>
    <cellStyle name="Normal 14 5 2 2 2 2 2 3" xfId="50878" xr:uid="{00000000-0005-0000-0000-00005A3E0000}"/>
    <cellStyle name="Normal 14 5 2 2 2 2 3" xfId="11105" xr:uid="{00000000-0005-0000-0000-00005B3E0000}"/>
    <cellStyle name="Normal 14 5 2 2 2 2 3 2" xfId="50879" xr:uid="{00000000-0005-0000-0000-00005C3E0000}"/>
    <cellStyle name="Normal 14 5 2 2 2 2 4" xfId="11106" xr:uid="{00000000-0005-0000-0000-00005D3E0000}"/>
    <cellStyle name="Normal 14 5 2 2 2 2 5" xfId="11107" xr:uid="{00000000-0005-0000-0000-00005E3E0000}"/>
    <cellStyle name="Normal 14 5 2 2 2 2 6" xfId="11108" xr:uid="{00000000-0005-0000-0000-00005F3E0000}"/>
    <cellStyle name="Normal 14 5 2 2 2 3" xfId="11109" xr:uid="{00000000-0005-0000-0000-0000603E0000}"/>
    <cellStyle name="Normal 14 5 2 2 2 3 2" xfId="50880" xr:uid="{00000000-0005-0000-0000-0000613E0000}"/>
    <cellStyle name="Normal 14 5 2 2 2 3 3" xfId="50881" xr:uid="{00000000-0005-0000-0000-0000623E0000}"/>
    <cellStyle name="Normal 14 5 2 2 2 4" xfId="11110" xr:uid="{00000000-0005-0000-0000-0000633E0000}"/>
    <cellStyle name="Normal 14 5 2 2 2 4 2" xfId="50882" xr:uid="{00000000-0005-0000-0000-0000643E0000}"/>
    <cellStyle name="Normal 14 5 2 2 2 5" xfId="11111" xr:uid="{00000000-0005-0000-0000-0000653E0000}"/>
    <cellStyle name="Normal 14 5 2 2 2 6" xfId="11112" xr:uid="{00000000-0005-0000-0000-0000663E0000}"/>
    <cellStyle name="Normal 14 5 2 2 2 7" xfId="11113" xr:uid="{00000000-0005-0000-0000-0000673E0000}"/>
    <cellStyle name="Normal 14 5 2 2 3" xfId="11114" xr:uid="{00000000-0005-0000-0000-0000683E0000}"/>
    <cellStyle name="Normal 14 5 2 2 3 2" xfId="11115" xr:uid="{00000000-0005-0000-0000-0000693E0000}"/>
    <cellStyle name="Normal 14 5 2 2 3 2 2" xfId="50883" xr:uid="{00000000-0005-0000-0000-00006A3E0000}"/>
    <cellStyle name="Normal 14 5 2 2 3 2 3" xfId="50884" xr:uid="{00000000-0005-0000-0000-00006B3E0000}"/>
    <cellStyle name="Normal 14 5 2 2 3 3" xfId="11116" xr:uid="{00000000-0005-0000-0000-00006C3E0000}"/>
    <cellStyle name="Normal 14 5 2 2 3 3 2" xfId="50885" xr:uid="{00000000-0005-0000-0000-00006D3E0000}"/>
    <cellStyle name="Normal 14 5 2 2 3 4" xfId="11117" xr:uid="{00000000-0005-0000-0000-00006E3E0000}"/>
    <cellStyle name="Normal 14 5 2 2 3 5" xfId="11118" xr:uid="{00000000-0005-0000-0000-00006F3E0000}"/>
    <cellStyle name="Normal 14 5 2 2 3 6" xfId="11119" xr:uid="{00000000-0005-0000-0000-0000703E0000}"/>
    <cellStyle name="Normal 14 5 2 2 4" xfId="11120" xr:uid="{00000000-0005-0000-0000-0000713E0000}"/>
    <cellStyle name="Normal 14 5 2 2 4 2" xfId="50886" xr:uid="{00000000-0005-0000-0000-0000723E0000}"/>
    <cellStyle name="Normal 14 5 2 2 4 3" xfId="50887" xr:uid="{00000000-0005-0000-0000-0000733E0000}"/>
    <cellStyle name="Normal 14 5 2 2 5" xfId="11121" xr:uid="{00000000-0005-0000-0000-0000743E0000}"/>
    <cellStyle name="Normal 14 5 2 2 5 2" xfId="50888" xr:uid="{00000000-0005-0000-0000-0000753E0000}"/>
    <cellStyle name="Normal 14 5 2 2 6" xfId="11122" xr:uid="{00000000-0005-0000-0000-0000763E0000}"/>
    <cellStyle name="Normal 14 5 2 2 7" xfId="11123" xr:uid="{00000000-0005-0000-0000-0000773E0000}"/>
    <cellStyle name="Normal 14 5 2 2 8" xfId="11124" xr:uid="{00000000-0005-0000-0000-0000783E0000}"/>
    <cellStyle name="Normal 14 5 2 2 9" xfId="11125" xr:uid="{00000000-0005-0000-0000-0000793E0000}"/>
    <cellStyle name="Normal 14 5 2 3" xfId="11126" xr:uid="{00000000-0005-0000-0000-00007A3E0000}"/>
    <cellStyle name="Normal 14 5 2 3 2" xfId="11127" xr:uid="{00000000-0005-0000-0000-00007B3E0000}"/>
    <cellStyle name="Normal 14 5 2 3 2 2" xfId="11128" xr:uid="{00000000-0005-0000-0000-00007C3E0000}"/>
    <cellStyle name="Normal 14 5 2 3 2 2 2" xfId="11129" xr:uid="{00000000-0005-0000-0000-00007D3E0000}"/>
    <cellStyle name="Normal 14 5 2 3 2 2 2 2" xfId="50889" xr:uid="{00000000-0005-0000-0000-00007E3E0000}"/>
    <cellStyle name="Normal 14 5 2 3 2 2 2 3" xfId="50890" xr:uid="{00000000-0005-0000-0000-00007F3E0000}"/>
    <cellStyle name="Normal 14 5 2 3 2 2 3" xfId="11130" xr:uid="{00000000-0005-0000-0000-0000803E0000}"/>
    <cellStyle name="Normal 14 5 2 3 2 2 3 2" xfId="50891" xr:uid="{00000000-0005-0000-0000-0000813E0000}"/>
    <cellStyle name="Normal 14 5 2 3 2 2 4" xfId="11131" xr:uid="{00000000-0005-0000-0000-0000823E0000}"/>
    <cellStyle name="Normal 14 5 2 3 2 2 5" xfId="11132" xr:uid="{00000000-0005-0000-0000-0000833E0000}"/>
    <cellStyle name="Normal 14 5 2 3 2 2 6" xfId="11133" xr:uid="{00000000-0005-0000-0000-0000843E0000}"/>
    <cellStyle name="Normal 14 5 2 3 2 3" xfId="11134" xr:uid="{00000000-0005-0000-0000-0000853E0000}"/>
    <cellStyle name="Normal 14 5 2 3 2 3 2" xfId="50892" xr:uid="{00000000-0005-0000-0000-0000863E0000}"/>
    <cellStyle name="Normal 14 5 2 3 2 3 3" xfId="50893" xr:uid="{00000000-0005-0000-0000-0000873E0000}"/>
    <cellStyle name="Normal 14 5 2 3 2 4" xfId="11135" xr:uid="{00000000-0005-0000-0000-0000883E0000}"/>
    <cellStyle name="Normal 14 5 2 3 2 4 2" xfId="50894" xr:uid="{00000000-0005-0000-0000-0000893E0000}"/>
    <cellStyle name="Normal 14 5 2 3 2 5" xfId="11136" xr:uid="{00000000-0005-0000-0000-00008A3E0000}"/>
    <cellStyle name="Normal 14 5 2 3 2 6" xfId="11137" xr:uid="{00000000-0005-0000-0000-00008B3E0000}"/>
    <cellStyle name="Normal 14 5 2 3 2 7" xfId="11138" xr:uid="{00000000-0005-0000-0000-00008C3E0000}"/>
    <cellStyle name="Normal 14 5 2 3 3" xfId="11139" xr:uid="{00000000-0005-0000-0000-00008D3E0000}"/>
    <cellStyle name="Normal 14 5 2 3 3 2" xfId="11140" xr:uid="{00000000-0005-0000-0000-00008E3E0000}"/>
    <cellStyle name="Normal 14 5 2 3 3 2 2" xfId="50895" xr:uid="{00000000-0005-0000-0000-00008F3E0000}"/>
    <cellStyle name="Normal 14 5 2 3 3 2 3" xfId="50896" xr:uid="{00000000-0005-0000-0000-0000903E0000}"/>
    <cellStyle name="Normal 14 5 2 3 3 3" xfId="11141" xr:uid="{00000000-0005-0000-0000-0000913E0000}"/>
    <cellStyle name="Normal 14 5 2 3 3 3 2" xfId="50897" xr:uid="{00000000-0005-0000-0000-0000923E0000}"/>
    <cellStyle name="Normal 14 5 2 3 3 4" xfId="11142" xr:uid="{00000000-0005-0000-0000-0000933E0000}"/>
    <cellStyle name="Normal 14 5 2 3 3 5" xfId="11143" xr:uid="{00000000-0005-0000-0000-0000943E0000}"/>
    <cellStyle name="Normal 14 5 2 3 3 6" xfId="11144" xr:uid="{00000000-0005-0000-0000-0000953E0000}"/>
    <cellStyle name="Normal 14 5 2 3 4" xfId="11145" xr:uid="{00000000-0005-0000-0000-0000963E0000}"/>
    <cellStyle name="Normal 14 5 2 3 4 2" xfId="50898" xr:uid="{00000000-0005-0000-0000-0000973E0000}"/>
    <cellStyle name="Normal 14 5 2 3 4 3" xfId="50899" xr:uid="{00000000-0005-0000-0000-0000983E0000}"/>
    <cellStyle name="Normal 14 5 2 3 5" xfId="11146" xr:uid="{00000000-0005-0000-0000-0000993E0000}"/>
    <cellStyle name="Normal 14 5 2 3 5 2" xfId="50900" xr:uid="{00000000-0005-0000-0000-00009A3E0000}"/>
    <cellStyle name="Normal 14 5 2 3 6" xfId="11147" xr:uid="{00000000-0005-0000-0000-00009B3E0000}"/>
    <cellStyle name="Normal 14 5 2 3 7" xfId="11148" xr:uid="{00000000-0005-0000-0000-00009C3E0000}"/>
    <cellStyle name="Normal 14 5 2 3 8" xfId="11149" xr:uid="{00000000-0005-0000-0000-00009D3E0000}"/>
    <cellStyle name="Normal 14 5 2 4" xfId="11150" xr:uid="{00000000-0005-0000-0000-00009E3E0000}"/>
    <cellStyle name="Normal 14 5 2 4 2" xfId="11151" xr:uid="{00000000-0005-0000-0000-00009F3E0000}"/>
    <cellStyle name="Normal 14 5 2 4 2 2" xfId="11152" xr:uid="{00000000-0005-0000-0000-0000A03E0000}"/>
    <cellStyle name="Normal 14 5 2 4 2 2 2" xfId="50901" xr:uid="{00000000-0005-0000-0000-0000A13E0000}"/>
    <cellStyle name="Normal 14 5 2 4 2 2 3" xfId="50902" xr:uid="{00000000-0005-0000-0000-0000A23E0000}"/>
    <cellStyle name="Normal 14 5 2 4 2 3" xfId="11153" xr:uid="{00000000-0005-0000-0000-0000A33E0000}"/>
    <cellStyle name="Normal 14 5 2 4 2 3 2" xfId="50903" xr:uid="{00000000-0005-0000-0000-0000A43E0000}"/>
    <cellStyle name="Normal 14 5 2 4 2 4" xfId="11154" xr:uid="{00000000-0005-0000-0000-0000A53E0000}"/>
    <cellStyle name="Normal 14 5 2 4 2 5" xfId="11155" xr:uid="{00000000-0005-0000-0000-0000A63E0000}"/>
    <cellStyle name="Normal 14 5 2 4 2 6" xfId="11156" xr:uid="{00000000-0005-0000-0000-0000A73E0000}"/>
    <cellStyle name="Normal 14 5 2 4 3" xfId="11157" xr:uid="{00000000-0005-0000-0000-0000A83E0000}"/>
    <cellStyle name="Normal 14 5 2 4 3 2" xfId="50904" xr:uid="{00000000-0005-0000-0000-0000A93E0000}"/>
    <cellStyle name="Normal 14 5 2 4 3 3" xfId="50905" xr:uid="{00000000-0005-0000-0000-0000AA3E0000}"/>
    <cellStyle name="Normal 14 5 2 4 4" xfId="11158" xr:uid="{00000000-0005-0000-0000-0000AB3E0000}"/>
    <cellStyle name="Normal 14 5 2 4 4 2" xfId="50906" xr:uid="{00000000-0005-0000-0000-0000AC3E0000}"/>
    <cellStyle name="Normal 14 5 2 4 5" xfId="11159" xr:uid="{00000000-0005-0000-0000-0000AD3E0000}"/>
    <cellStyle name="Normal 14 5 2 4 6" xfId="11160" xr:uid="{00000000-0005-0000-0000-0000AE3E0000}"/>
    <cellStyle name="Normal 14 5 2 4 7" xfId="11161" xr:uid="{00000000-0005-0000-0000-0000AF3E0000}"/>
    <cellStyle name="Normal 14 5 2 5" xfId="11162" xr:uid="{00000000-0005-0000-0000-0000B03E0000}"/>
    <cellStyle name="Normal 14 5 2 5 2" xfId="11163" xr:uid="{00000000-0005-0000-0000-0000B13E0000}"/>
    <cellStyle name="Normal 14 5 2 5 2 2" xfId="50907" xr:uid="{00000000-0005-0000-0000-0000B23E0000}"/>
    <cellStyle name="Normal 14 5 2 5 2 3" xfId="50908" xr:uid="{00000000-0005-0000-0000-0000B33E0000}"/>
    <cellStyle name="Normal 14 5 2 5 3" xfId="11164" xr:uid="{00000000-0005-0000-0000-0000B43E0000}"/>
    <cellStyle name="Normal 14 5 2 5 3 2" xfId="50909" xr:uid="{00000000-0005-0000-0000-0000B53E0000}"/>
    <cellStyle name="Normal 14 5 2 5 4" xfId="11165" xr:uid="{00000000-0005-0000-0000-0000B63E0000}"/>
    <cellStyle name="Normal 14 5 2 5 5" xfId="11166" xr:uid="{00000000-0005-0000-0000-0000B73E0000}"/>
    <cellStyle name="Normal 14 5 2 5 6" xfId="11167" xr:uid="{00000000-0005-0000-0000-0000B83E0000}"/>
    <cellStyle name="Normal 14 5 2 6" xfId="11168" xr:uid="{00000000-0005-0000-0000-0000B93E0000}"/>
    <cellStyle name="Normal 14 5 2 6 2" xfId="50910" xr:uid="{00000000-0005-0000-0000-0000BA3E0000}"/>
    <cellStyle name="Normal 14 5 2 6 3" xfId="50911" xr:uid="{00000000-0005-0000-0000-0000BB3E0000}"/>
    <cellStyle name="Normal 14 5 2 7" xfId="11169" xr:uid="{00000000-0005-0000-0000-0000BC3E0000}"/>
    <cellStyle name="Normal 14 5 2 7 2" xfId="50912" xr:uid="{00000000-0005-0000-0000-0000BD3E0000}"/>
    <cellStyle name="Normal 14 5 2 8" xfId="11170" xr:uid="{00000000-0005-0000-0000-0000BE3E0000}"/>
    <cellStyle name="Normal 14 5 2 9" xfId="11171" xr:uid="{00000000-0005-0000-0000-0000BF3E0000}"/>
    <cellStyle name="Normal 14 5 3" xfId="11172" xr:uid="{00000000-0005-0000-0000-0000C03E0000}"/>
    <cellStyle name="Normal 14 5 3 2" xfId="11173" xr:uid="{00000000-0005-0000-0000-0000C13E0000}"/>
    <cellStyle name="Normal 14 5 3 2 2" xfId="11174" xr:uid="{00000000-0005-0000-0000-0000C23E0000}"/>
    <cellStyle name="Normal 14 5 3 2 2 2" xfId="11175" xr:uid="{00000000-0005-0000-0000-0000C33E0000}"/>
    <cellStyle name="Normal 14 5 3 2 2 2 2" xfId="50913" xr:uid="{00000000-0005-0000-0000-0000C43E0000}"/>
    <cellStyle name="Normal 14 5 3 2 2 2 3" xfId="50914" xr:uid="{00000000-0005-0000-0000-0000C53E0000}"/>
    <cellStyle name="Normal 14 5 3 2 2 3" xfId="11176" xr:uid="{00000000-0005-0000-0000-0000C63E0000}"/>
    <cellStyle name="Normal 14 5 3 2 2 3 2" xfId="50915" xr:uid="{00000000-0005-0000-0000-0000C73E0000}"/>
    <cellStyle name="Normal 14 5 3 2 2 4" xfId="11177" xr:uid="{00000000-0005-0000-0000-0000C83E0000}"/>
    <cellStyle name="Normal 14 5 3 2 2 5" xfId="11178" xr:uid="{00000000-0005-0000-0000-0000C93E0000}"/>
    <cellStyle name="Normal 14 5 3 2 2 6" xfId="11179" xr:uid="{00000000-0005-0000-0000-0000CA3E0000}"/>
    <cellStyle name="Normal 14 5 3 2 3" xfId="11180" xr:uid="{00000000-0005-0000-0000-0000CB3E0000}"/>
    <cellStyle name="Normal 14 5 3 2 3 2" xfId="50916" xr:uid="{00000000-0005-0000-0000-0000CC3E0000}"/>
    <cellStyle name="Normal 14 5 3 2 3 3" xfId="50917" xr:uid="{00000000-0005-0000-0000-0000CD3E0000}"/>
    <cellStyle name="Normal 14 5 3 2 4" xfId="11181" xr:uid="{00000000-0005-0000-0000-0000CE3E0000}"/>
    <cellStyle name="Normal 14 5 3 2 4 2" xfId="50918" xr:uid="{00000000-0005-0000-0000-0000CF3E0000}"/>
    <cellStyle name="Normal 14 5 3 2 5" xfId="11182" xr:uid="{00000000-0005-0000-0000-0000D03E0000}"/>
    <cellStyle name="Normal 14 5 3 2 6" xfId="11183" xr:uid="{00000000-0005-0000-0000-0000D13E0000}"/>
    <cellStyle name="Normal 14 5 3 2 7" xfId="11184" xr:uid="{00000000-0005-0000-0000-0000D23E0000}"/>
    <cellStyle name="Normal 14 5 3 3" xfId="11185" xr:uid="{00000000-0005-0000-0000-0000D33E0000}"/>
    <cellStyle name="Normal 14 5 3 3 2" xfId="11186" xr:uid="{00000000-0005-0000-0000-0000D43E0000}"/>
    <cellStyle name="Normal 14 5 3 3 2 2" xfId="50919" xr:uid="{00000000-0005-0000-0000-0000D53E0000}"/>
    <cellStyle name="Normal 14 5 3 3 2 3" xfId="50920" xr:uid="{00000000-0005-0000-0000-0000D63E0000}"/>
    <cellStyle name="Normal 14 5 3 3 3" xfId="11187" xr:uid="{00000000-0005-0000-0000-0000D73E0000}"/>
    <cellStyle name="Normal 14 5 3 3 3 2" xfId="50921" xr:uid="{00000000-0005-0000-0000-0000D83E0000}"/>
    <cellStyle name="Normal 14 5 3 3 4" xfId="11188" xr:uid="{00000000-0005-0000-0000-0000D93E0000}"/>
    <cellStyle name="Normal 14 5 3 3 5" xfId="11189" xr:uid="{00000000-0005-0000-0000-0000DA3E0000}"/>
    <cellStyle name="Normal 14 5 3 3 6" xfId="11190" xr:uid="{00000000-0005-0000-0000-0000DB3E0000}"/>
    <cellStyle name="Normal 14 5 3 4" xfId="11191" xr:uid="{00000000-0005-0000-0000-0000DC3E0000}"/>
    <cellStyle name="Normal 14 5 3 4 2" xfId="50922" xr:uid="{00000000-0005-0000-0000-0000DD3E0000}"/>
    <cellStyle name="Normal 14 5 3 4 3" xfId="50923" xr:uid="{00000000-0005-0000-0000-0000DE3E0000}"/>
    <cellStyle name="Normal 14 5 3 5" xfId="11192" xr:uid="{00000000-0005-0000-0000-0000DF3E0000}"/>
    <cellStyle name="Normal 14 5 3 5 2" xfId="50924" xr:uid="{00000000-0005-0000-0000-0000E03E0000}"/>
    <cellStyle name="Normal 14 5 3 6" xfId="11193" xr:uid="{00000000-0005-0000-0000-0000E13E0000}"/>
    <cellStyle name="Normal 14 5 3 7" xfId="11194" xr:uid="{00000000-0005-0000-0000-0000E23E0000}"/>
    <cellStyle name="Normal 14 5 3 8" xfId="11195" xr:uid="{00000000-0005-0000-0000-0000E33E0000}"/>
    <cellStyle name="Normal 14 5 3 9" xfId="11196" xr:uid="{00000000-0005-0000-0000-0000E43E0000}"/>
    <cellStyle name="Normal 14 5 4" xfId="11197" xr:uid="{00000000-0005-0000-0000-0000E53E0000}"/>
    <cellStyle name="Normal 14 5 4 2" xfId="11198" xr:uid="{00000000-0005-0000-0000-0000E63E0000}"/>
    <cellStyle name="Normal 14 5 4 2 2" xfId="11199" xr:uid="{00000000-0005-0000-0000-0000E73E0000}"/>
    <cellStyle name="Normal 14 5 4 2 2 2" xfId="11200" xr:uid="{00000000-0005-0000-0000-0000E83E0000}"/>
    <cellStyle name="Normal 14 5 4 2 2 2 2" xfId="50925" xr:uid="{00000000-0005-0000-0000-0000E93E0000}"/>
    <cellStyle name="Normal 14 5 4 2 2 2 3" xfId="50926" xr:uid="{00000000-0005-0000-0000-0000EA3E0000}"/>
    <cellStyle name="Normal 14 5 4 2 2 3" xfId="11201" xr:uid="{00000000-0005-0000-0000-0000EB3E0000}"/>
    <cellStyle name="Normal 14 5 4 2 2 3 2" xfId="50927" xr:uid="{00000000-0005-0000-0000-0000EC3E0000}"/>
    <cellStyle name="Normal 14 5 4 2 2 4" xfId="11202" xr:uid="{00000000-0005-0000-0000-0000ED3E0000}"/>
    <cellStyle name="Normal 14 5 4 2 2 5" xfId="11203" xr:uid="{00000000-0005-0000-0000-0000EE3E0000}"/>
    <cellStyle name="Normal 14 5 4 2 2 6" xfId="11204" xr:uid="{00000000-0005-0000-0000-0000EF3E0000}"/>
    <cellStyle name="Normal 14 5 4 2 3" xfId="11205" xr:uid="{00000000-0005-0000-0000-0000F03E0000}"/>
    <cellStyle name="Normal 14 5 4 2 3 2" xfId="50928" xr:uid="{00000000-0005-0000-0000-0000F13E0000}"/>
    <cellStyle name="Normal 14 5 4 2 3 3" xfId="50929" xr:uid="{00000000-0005-0000-0000-0000F23E0000}"/>
    <cellStyle name="Normal 14 5 4 2 4" xfId="11206" xr:uid="{00000000-0005-0000-0000-0000F33E0000}"/>
    <cellStyle name="Normal 14 5 4 2 4 2" xfId="50930" xr:uid="{00000000-0005-0000-0000-0000F43E0000}"/>
    <cellStyle name="Normal 14 5 4 2 5" xfId="11207" xr:uid="{00000000-0005-0000-0000-0000F53E0000}"/>
    <cellStyle name="Normal 14 5 4 2 6" xfId="11208" xr:uid="{00000000-0005-0000-0000-0000F63E0000}"/>
    <cellStyle name="Normal 14 5 4 2 7" xfId="11209" xr:uid="{00000000-0005-0000-0000-0000F73E0000}"/>
    <cellStyle name="Normal 14 5 4 3" xfId="11210" xr:uid="{00000000-0005-0000-0000-0000F83E0000}"/>
    <cellStyle name="Normal 14 5 4 3 2" xfId="11211" xr:uid="{00000000-0005-0000-0000-0000F93E0000}"/>
    <cellStyle name="Normal 14 5 4 3 2 2" xfId="50931" xr:uid="{00000000-0005-0000-0000-0000FA3E0000}"/>
    <cellStyle name="Normal 14 5 4 3 2 3" xfId="50932" xr:uid="{00000000-0005-0000-0000-0000FB3E0000}"/>
    <cellStyle name="Normal 14 5 4 3 3" xfId="11212" xr:uid="{00000000-0005-0000-0000-0000FC3E0000}"/>
    <cellStyle name="Normal 14 5 4 3 3 2" xfId="50933" xr:uid="{00000000-0005-0000-0000-0000FD3E0000}"/>
    <cellStyle name="Normal 14 5 4 3 4" xfId="11213" xr:uid="{00000000-0005-0000-0000-0000FE3E0000}"/>
    <cellStyle name="Normal 14 5 4 3 5" xfId="11214" xr:uid="{00000000-0005-0000-0000-0000FF3E0000}"/>
    <cellStyle name="Normal 14 5 4 3 6" xfId="11215" xr:uid="{00000000-0005-0000-0000-0000003F0000}"/>
    <cellStyle name="Normal 14 5 4 4" xfId="11216" xr:uid="{00000000-0005-0000-0000-0000013F0000}"/>
    <cellStyle name="Normal 14 5 4 4 2" xfId="50934" xr:uid="{00000000-0005-0000-0000-0000023F0000}"/>
    <cellStyle name="Normal 14 5 4 4 3" xfId="50935" xr:uid="{00000000-0005-0000-0000-0000033F0000}"/>
    <cellStyle name="Normal 14 5 4 5" xfId="11217" xr:uid="{00000000-0005-0000-0000-0000043F0000}"/>
    <cellStyle name="Normal 14 5 4 5 2" xfId="50936" xr:uid="{00000000-0005-0000-0000-0000053F0000}"/>
    <cellStyle name="Normal 14 5 4 6" xfId="11218" xr:uid="{00000000-0005-0000-0000-0000063F0000}"/>
    <cellStyle name="Normal 14 5 4 7" xfId="11219" xr:uid="{00000000-0005-0000-0000-0000073F0000}"/>
    <cellStyle name="Normal 14 5 4 8" xfId="11220" xr:uid="{00000000-0005-0000-0000-0000083F0000}"/>
    <cellStyle name="Normal 14 5 5" xfId="11221" xr:uid="{00000000-0005-0000-0000-0000093F0000}"/>
    <cellStyle name="Normal 14 5 5 2" xfId="11222" xr:uid="{00000000-0005-0000-0000-00000A3F0000}"/>
    <cellStyle name="Normal 14 5 5 2 2" xfId="11223" xr:uid="{00000000-0005-0000-0000-00000B3F0000}"/>
    <cellStyle name="Normal 14 5 5 2 2 2" xfId="50937" xr:uid="{00000000-0005-0000-0000-00000C3F0000}"/>
    <cellStyle name="Normal 14 5 5 2 2 3" xfId="50938" xr:uid="{00000000-0005-0000-0000-00000D3F0000}"/>
    <cellStyle name="Normal 14 5 5 2 3" xfId="11224" xr:uid="{00000000-0005-0000-0000-00000E3F0000}"/>
    <cellStyle name="Normal 14 5 5 2 3 2" xfId="50939" xr:uid="{00000000-0005-0000-0000-00000F3F0000}"/>
    <cellStyle name="Normal 14 5 5 2 4" xfId="11225" xr:uid="{00000000-0005-0000-0000-0000103F0000}"/>
    <cellStyle name="Normal 14 5 5 2 5" xfId="11226" xr:uid="{00000000-0005-0000-0000-0000113F0000}"/>
    <cellStyle name="Normal 14 5 5 2 6" xfId="11227" xr:uid="{00000000-0005-0000-0000-0000123F0000}"/>
    <cellStyle name="Normal 14 5 5 3" xfId="11228" xr:uid="{00000000-0005-0000-0000-0000133F0000}"/>
    <cellStyle name="Normal 14 5 5 3 2" xfId="50940" xr:uid="{00000000-0005-0000-0000-0000143F0000}"/>
    <cellStyle name="Normal 14 5 5 3 3" xfId="50941" xr:uid="{00000000-0005-0000-0000-0000153F0000}"/>
    <cellStyle name="Normal 14 5 5 4" xfId="11229" xr:uid="{00000000-0005-0000-0000-0000163F0000}"/>
    <cellStyle name="Normal 14 5 5 4 2" xfId="50942" xr:uid="{00000000-0005-0000-0000-0000173F0000}"/>
    <cellStyle name="Normal 14 5 5 5" xfId="11230" xr:uid="{00000000-0005-0000-0000-0000183F0000}"/>
    <cellStyle name="Normal 14 5 5 6" xfId="11231" xr:uid="{00000000-0005-0000-0000-0000193F0000}"/>
    <cellStyle name="Normal 14 5 5 7" xfId="11232" xr:uid="{00000000-0005-0000-0000-00001A3F0000}"/>
    <cellStyle name="Normal 14 5 6" xfId="11233" xr:uid="{00000000-0005-0000-0000-00001B3F0000}"/>
    <cellStyle name="Normal 14 5 6 2" xfId="11234" xr:uid="{00000000-0005-0000-0000-00001C3F0000}"/>
    <cellStyle name="Normal 14 5 6 2 2" xfId="50943" xr:uid="{00000000-0005-0000-0000-00001D3F0000}"/>
    <cellStyle name="Normal 14 5 6 2 3" xfId="50944" xr:uid="{00000000-0005-0000-0000-00001E3F0000}"/>
    <cellStyle name="Normal 14 5 6 3" xfId="11235" xr:uid="{00000000-0005-0000-0000-00001F3F0000}"/>
    <cellStyle name="Normal 14 5 6 3 2" xfId="50945" xr:uid="{00000000-0005-0000-0000-0000203F0000}"/>
    <cellStyle name="Normal 14 5 6 4" xfId="11236" xr:uid="{00000000-0005-0000-0000-0000213F0000}"/>
    <cellStyle name="Normal 14 5 6 5" xfId="11237" xr:uid="{00000000-0005-0000-0000-0000223F0000}"/>
    <cellStyle name="Normal 14 5 6 6" xfId="11238" xr:uid="{00000000-0005-0000-0000-0000233F0000}"/>
    <cellStyle name="Normal 14 5 7" xfId="11239" xr:uid="{00000000-0005-0000-0000-0000243F0000}"/>
    <cellStyle name="Normal 14 5 7 2" xfId="50946" xr:uid="{00000000-0005-0000-0000-0000253F0000}"/>
    <cellStyle name="Normal 14 5 7 3" xfId="50947" xr:uid="{00000000-0005-0000-0000-0000263F0000}"/>
    <cellStyle name="Normal 14 5 8" xfId="11240" xr:uid="{00000000-0005-0000-0000-0000273F0000}"/>
    <cellStyle name="Normal 14 5 8 2" xfId="50948" xr:uid="{00000000-0005-0000-0000-0000283F0000}"/>
    <cellStyle name="Normal 14 5 9" xfId="11241" xr:uid="{00000000-0005-0000-0000-0000293F0000}"/>
    <cellStyle name="Normal 14 5 9 2" xfId="50949" xr:uid="{00000000-0005-0000-0000-00002A3F0000}"/>
    <cellStyle name="Normal 14 6" xfId="11242" xr:uid="{00000000-0005-0000-0000-00002B3F0000}"/>
    <cellStyle name="Normal 14 6 10" xfId="11243" xr:uid="{00000000-0005-0000-0000-00002C3F0000}"/>
    <cellStyle name="Normal 14 6 11" xfId="11244" xr:uid="{00000000-0005-0000-0000-00002D3F0000}"/>
    <cellStyle name="Normal 14 6 12" xfId="11245" xr:uid="{00000000-0005-0000-0000-00002E3F0000}"/>
    <cellStyle name="Normal 14 6 13" xfId="11246" xr:uid="{00000000-0005-0000-0000-00002F3F0000}"/>
    <cellStyle name="Normal 14 6 14" xfId="11247" xr:uid="{00000000-0005-0000-0000-0000303F0000}"/>
    <cellStyle name="Normal 14 6 2" xfId="11248" xr:uid="{00000000-0005-0000-0000-0000313F0000}"/>
    <cellStyle name="Normal 14 6 2 2" xfId="11249" xr:uid="{00000000-0005-0000-0000-0000323F0000}"/>
    <cellStyle name="Normal 14 6 2 2 2" xfId="11250" xr:uid="{00000000-0005-0000-0000-0000333F0000}"/>
    <cellStyle name="Normal 14 6 2 2 2 2" xfId="11251" xr:uid="{00000000-0005-0000-0000-0000343F0000}"/>
    <cellStyle name="Normal 14 6 2 2 2 2 2" xfId="50950" xr:uid="{00000000-0005-0000-0000-0000353F0000}"/>
    <cellStyle name="Normal 14 6 2 2 2 2 3" xfId="50951" xr:uid="{00000000-0005-0000-0000-0000363F0000}"/>
    <cellStyle name="Normal 14 6 2 2 2 3" xfId="11252" xr:uid="{00000000-0005-0000-0000-0000373F0000}"/>
    <cellStyle name="Normal 14 6 2 2 2 3 2" xfId="50952" xr:uid="{00000000-0005-0000-0000-0000383F0000}"/>
    <cellStyle name="Normal 14 6 2 2 2 4" xfId="11253" xr:uid="{00000000-0005-0000-0000-0000393F0000}"/>
    <cellStyle name="Normal 14 6 2 2 2 5" xfId="11254" xr:uid="{00000000-0005-0000-0000-00003A3F0000}"/>
    <cellStyle name="Normal 14 6 2 2 2 6" xfId="11255" xr:uid="{00000000-0005-0000-0000-00003B3F0000}"/>
    <cellStyle name="Normal 14 6 2 2 3" xfId="11256" xr:uid="{00000000-0005-0000-0000-00003C3F0000}"/>
    <cellStyle name="Normal 14 6 2 2 3 2" xfId="50953" xr:uid="{00000000-0005-0000-0000-00003D3F0000}"/>
    <cellStyle name="Normal 14 6 2 2 3 3" xfId="50954" xr:uid="{00000000-0005-0000-0000-00003E3F0000}"/>
    <cellStyle name="Normal 14 6 2 2 4" xfId="11257" xr:uid="{00000000-0005-0000-0000-00003F3F0000}"/>
    <cellStyle name="Normal 14 6 2 2 4 2" xfId="50955" xr:uid="{00000000-0005-0000-0000-0000403F0000}"/>
    <cellStyle name="Normal 14 6 2 2 5" xfId="11258" xr:uid="{00000000-0005-0000-0000-0000413F0000}"/>
    <cellStyle name="Normal 14 6 2 2 6" xfId="11259" xr:uid="{00000000-0005-0000-0000-0000423F0000}"/>
    <cellStyle name="Normal 14 6 2 2 7" xfId="11260" xr:uid="{00000000-0005-0000-0000-0000433F0000}"/>
    <cellStyle name="Normal 14 6 2 3" xfId="11261" xr:uid="{00000000-0005-0000-0000-0000443F0000}"/>
    <cellStyle name="Normal 14 6 2 3 2" xfId="11262" xr:uid="{00000000-0005-0000-0000-0000453F0000}"/>
    <cellStyle name="Normal 14 6 2 3 2 2" xfId="50956" xr:uid="{00000000-0005-0000-0000-0000463F0000}"/>
    <cellStyle name="Normal 14 6 2 3 2 3" xfId="50957" xr:uid="{00000000-0005-0000-0000-0000473F0000}"/>
    <cellStyle name="Normal 14 6 2 3 3" xfId="11263" xr:uid="{00000000-0005-0000-0000-0000483F0000}"/>
    <cellStyle name="Normal 14 6 2 3 3 2" xfId="50958" xr:uid="{00000000-0005-0000-0000-0000493F0000}"/>
    <cellStyle name="Normal 14 6 2 3 4" xfId="11264" xr:uid="{00000000-0005-0000-0000-00004A3F0000}"/>
    <cellStyle name="Normal 14 6 2 3 5" xfId="11265" xr:uid="{00000000-0005-0000-0000-00004B3F0000}"/>
    <cellStyle name="Normal 14 6 2 3 6" xfId="11266" xr:uid="{00000000-0005-0000-0000-00004C3F0000}"/>
    <cellStyle name="Normal 14 6 2 4" xfId="11267" xr:uid="{00000000-0005-0000-0000-00004D3F0000}"/>
    <cellStyle name="Normal 14 6 2 4 2" xfId="50959" xr:uid="{00000000-0005-0000-0000-00004E3F0000}"/>
    <cellStyle name="Normal 14 6 2 4 3" xfId="50960" xr:uid="{00000000-0005-0000-0000-00004F3F0000}"/>
    <cellStyle name="Normal 14 6 2 5" xfId="11268" xr:uid="{00000000-0005-0000-0000-0000503F0000}"/>
    <cellStyle name="Normal 14 6 2 5 2" xfId="50961" xr:uid="{00000000-0005-0000-0000-0000513F0000}"/>
    <cellStyle name="Normal 14 6 2 6" xfId="11269" xr:uid="{00000000-0005-0000-0000-0000523F0000}"/>
    <cellStyle name="Normal 14 6 2 7" xfId="11270" xr:uid="{00000000-0005-0000-0000-0000533F0000}"/>
    <cellStyle name="Normal 14 6 2 8" xfId="11271" xr:uid="{00000000-0005-0000-0000-0000543F0000}"/>
    <cellStyle name="Normal 14 6 2 9" xfId="11272" xr:uid="{00000000-0005-0000-0000-0000553F0000}"/>
    <cellStyle name="Normal 14 6 3" xfId="11273" xr:uid="{00000000-0005-0000-0000-0000563F0000}"/>
    <cellStyle name="Normal 14 6 3 2" xfId="11274" xr:uid="{00000000-0005-0000-0000-0000573F0000}"/>
    <cellStyle name="Normal 14 6 3 2 2" xfId="11275" xr:uid="{00000000-0005-0000-0000-0000583F0000}"/>
    <cellStyle name="Normal 14 6 3 2 2 2" xfId="11276" xr:uid="{00000000-0005-0000-0000-0000593F0000}"/>
    <cellStyle name="Normal 14 6 3 2 2 2 2" xfId="50962" xr:uid="{00000000-0005-0000-0000-00005A3F0000}"/>
    <cellStyle name="Normal 14 6 3 2 2 2 3" xfId="50963" xr:uid="{00000000-0005-0000-0000-00005B3F0000}"/>
    <cellStyle name="Normal 14 6 3 2 2 3" xfId="11277" xr:uid="{00000000-0005-0000-0000-00005C3F0000}"/>
    <cellStyle name="Normal 14 6 3 2 2 3 2" xfId="50964" xr:uid="{00000000-0005-0000-0000-00005D3F0000}"/>
    <cellStyle name="Normal 14 6 3 2 2 4" xfId="11278" xr:uid="{00000000-0005-0000-0000-00005E3F0000}"/>
    <cellStyle name="Normal 14 6 3 2 2 5" xfId="11279" xr:uid="{00000000-0005-0000-0000-00005F3F0000}"/>
    <cellStyle name="Normal 14 6 3 2 2 6" xfId="11280" xr:uid="{00000000-0005-0000-0000-0000603F0000}"/>
    <cellStyle name="Normal 14 6 3 2 3" xfId="11281" xr:uid="{00000000-0005-0000-0000-0000613F0000}"/>
    <cellStyle name="Normal 14 6 3 2 3 2" xfId="50965" xr:uid="{00000000-0005-0000-0000-0000623F0000}"/>
    <cellStyle name="Normal 14 6 3 2 3 3" xfId="50966" xr:uid="{00000000-0005-0000-0000-0000633F0000}"/>
    <cellStyle name="Normal 14 6 3 2 4" xfId="11282" xr:uid="{00000000-0005-0000-0000-0000643F0000}"/>
    <cellStyle name="Normal 14 6 3 2 4 2" xfId="50967" xr:uid="{00000000-0005-0000-0000-0000653F0000}"/>
    <cellStyle name="Normal 14 6 3 2 5" xfId="11283" xr:uid="{00000000-0005-0000-0000-0000663F0000}"/>
    <cellStyle name="Normal 14 6 3 2 6" xfId="11284" xr:uid="{00000000-0005-0000-0000-0000673F0000}"/>
    <cellStyle name="Normal 14 6 3 2 7" xfId="11285" xr:uid="{00000000-0005-0000-0000-0000683F0000}"/>
    <cellStyle name="Normal 14 6 3 3" xfId="11286" xr:uid="{00000000-0005-0000-0000-0000693F0000}"/>
    <cellStyle name="Normal 14 6 3 3 2" xfId="11287" xr:uid="{00000000-0005-0000-0000-00006A3F0000}"/>
    <cellStyle name="Normal 14 6 3 3 2 2" xfId="50968" xr:uid="{00000000-0005-0000-0000-00006B3F0000}"/>
    <cellStyle name="Normal 14 6 3 3 2 3" xfId="50969" xr:uid="{00000000-0005-0000-0000-00006C3F0000}"/>
    <cellStyle name="Normal 14 6 3 3 3" xfId="11288" xr:uid="{00000000-0005-0000-0000-00006D3F0000}"/>
    <cellStyle name="Normal 14 6 3 3 3 2" xfId="50970" xr:uid="{00000000-0005-0000-0000-00006E3F0000}"/>
    <cellStyle name="Normal 14 6 3 3 4" xfId="11289" xr:uid="{00000000-0005-0000-0000-00006F3F0000}"/>
    <cellStyle name="Normal 14 6 3 3 5" xfId="11290" xr:uid="{00000000-0005-0000-0000-0000703F0000}"/>
    <cellStyle name="Normal 14 6 3 3 6" xfId="11291" xr:uid="{00000000-0005-0000-0000-0000713F0000}"/>
    <cellStyle name="Normal 14 6 3 4" xfId="11292" xr:uid="{00000000-0005-0000-0000-0000723F0000}"/>
    <cellStyle name="Normal 14 6 3 4 2" xfId="50971" xr:uid="{00000000-0005-0000-0000-0000733F0000}"/>
    <cellStyle name="Normal 14 6 3 4 3" xfId="50972" xr:uid="{00000000-0005-0000-0000-0000743F0000}"/>
    <cellStyle name="Normal 14 6 3 5" xfId="11293" xr:uid="{00000000-0005-0000-0000-0000753F0000}"/>
    <cellStyle name="Normal 14 6 3 5 2" xfId="50973" xr:uid="{00000000-0005-0000-0000-0000763F0000}"/>
    <cellStyle name="Normal 14 6 3 6" xfId="11294" xr:uid="{00000000-0005-0000-0000-0000773F0000}"/>
    <cellStyle name="Normal 14 6 3 7" xfId="11295" xr:uid="{00000000-0005-0000-0000-0000783F0000}"/>
    <cellStyle name="Normal 14 6 3 8" xfId="11296" xr:uid="{00000000-0005-0000-0000-0000793F0000}"/>
    <cellStyle name="Normal 14 6 4" xfId="11297" xr:uid="{00000000-0005-0000-0000-00007A3F0000}"/>
    <cellStyle name="Normal 14 6 4 2" xfId="11298" xr:uid="{00000000-0005-0000-0000-00007B3F0000}"/>
    <cellStyle name="Normal 14 6 4 2 2" xfId="11299" xr:uid="{00000000-0005-0000-0000-00007C3F0000}"/>
    <cellStyle name="Normal 14 6 4 2 2 2" xfId="50974" xr:uid="{00000000-0005-0000-0000-00007D3F0000}"/>
    <cellStyle name="Normal 14 6 4 2 2 3" xfId="50975" xr:uid="{00000000-0005-0000-0000-00007E3F0000}"/>
    <cellStyle name="Normal 14 6 4 2 3" xfId="11300" xr:uid="{00000000-0005-0000-0000-00007F3F0000}"/>
    <cellStyle name="Normal 14 6 4 2 3 2" xfId="50976" xr:uid="{00000000-0005-0000-0000-0000803F0000}"/>
    <cellStyle name="Normal 14 6 4 2 4" xfId="11301" xr:uid="{00000000-0005-0000-0000-0000813F0000}"/>
    <cellStyle name="Normal 14 6 4 2 5" xfId="11302" xr:uid="{00000000-0005-0000-0000-0000823F0000}"/>
    <cellStyle name="Normal 14 6 4 2 6" xfId="11303" xr:uid="{00000000-0005-0000-0000-0000833F0000}"/>
    <cellStyle name="Normal 14 6 4 3" xfId="11304" xr:uid="{00000000-0005-0000-0000-0000843F0000}"/>
    <cellStyle name="Normal 14 6 4 3 2" xfId="50977" xr:uid="{00000000-0005-0000-0000-0000853F0000}"/>
    <cellStyle name="Normal 14 6 4 3 3" xfId="50978" xr:uid="{00000000-0005-0000-0000-0000863F0000}"/>
    <cellStyle name="Normal 14 6 4 4" xfId="11305" xr:uid="{00000000-0005-0000-0000-0000873F0000}"/>
    <cellStyle name="Normal 14 6 4 4 2" xfId="50979" xr:uid="{00000000-0005-0000-0000-0000883F0000}"/>
    <cellStyle name="Normal 14 6 4 5" xfId="11306" xr:uid="{00000000-0005-0000-0000-0000893F0000}"/>
    <cellStyle name="Normal 14 6 4 6" xfId="11307" xr:uid="{00000000-0005-0000-0000-00008A3F0000}"/>
    <cellStyle name="Normal 14 6 4 7" xfId="11308" xr:uid="{00000000-0005-0000-0000-00008B3F0000}"/>
    <cellStyle name="Normal 14 6 5" xfId="11309" xr:uid="{00000000-0005-0000-0000-00008C3F0000}"/>
    <cellStyle name="Normal 14 6 5 2" xfId="11310" xr:uid="{00000000-0005-0000-0000-00008D3F0000}"/>
    <cellStyle name="Normal 14 6 5 2 2" xfId="50980" xr:uid="{00000000-0005-0000-0000-00008E3F0000}"/>
    <cellStyle name="Normal 14 6 5 2 3" xfId="50981" xr:uid="{00000000-0005-0000-0000-00008F3F0000}"/>
    <cellStyle name="Normal 14 6 5 3" xfId="11311" xr:uid="{00000000-0005-0000-0000-0000903F0000}"/>
    <cellStyle name="Normal 14 6 5 3 2" xfId="50982" xr:uid="{00000000-0005-0000-0000-0000913F0000}"/>
    <cellStyle name="Normal 14 6 5 4" xfId="11312" xr:uid="{00000000-0005-0000-0000-0000923F0000}"/>
    <cellStyle name="Normal 14 6 5 5" xfId="11313" xr:uid="{00000000-0005-0000-0000-0000933F0000}"/>
    <cellStyle name="Normal 14 6 5 6" xfId="11314" xr:uid="{00000000-0005-0000-0000-0000943F0000}"/>
    <cellStyle name="Normal 14 6 6" xfId="11315" xr:uid="{00000000-0005-0000-0000-0000953F0000}"/>
    <cellStyle name="Normal 14 6 6 2" xfId="50983" xr:uid="{00000000-0005-0000-0000-0000963F0000}"/>
    <cellStyle name="Normal 14 6 6 3" xfId="50984" xr:uid="{00000000-0005-0000-0000-0000973F0000}"/>
    <cellStyle name="Normal 14 6 7" xfId="11316" xr:uid="{00000000-0005-0000-0000-0000983F0000}"/>
    <cellStyle name="Normal 14 6 7 2" xfId="50985" xr:uid="{00000000-0005-0000-0000-0000993F0000}"/>
    <cellStyle name="Normal 14 6 8" xfId="11317" xr:uid="{00000000-0005-0000-0000-00009A3F0000}"/>
    <cellStyle name="Normal 14 6 9" xfId="11318" xr:uid="{00000000-0005-0000-0000-00009B3F0000}"/>
    <cellStyle name="Normal 14 7" xfId="11319" xr:uid="{00000000-0005-0000-0000-00009C3F0000}"/>
    <cellStyle name="Normal 14 7 10" xfId="11320" xr:uid="{00000000-0005-0000-0000-00009D3F0000}"/>
    <cellStyle name="Normal 14 7 11" xfId="11321" xr:uid="{00000000-0005-0000-0000-00009E3F0000}"/>
    <cellStyle name="Normal 14 7 12" xfId="11322" xr:uid="{00000000-0005-0000-0000-00009F3F0000}"/>
    <cellStyle name="Normal 14 7 13" xfId="11323" xr:uid="{00000000-0005-0000-0000-0000A03F0000}"/>
    <cellStyle name="Normal 14 7 14" xfId="11324" xr:uid="{00000000-0005-0000-0000-0000A13F0000}"/>
    <cellStyle name="Normal 14 7 2" xfId="11325" xr:uid="{00000000-0005-0000-0000-0000A23F0000}"/>
    <cellStyle name="Normal 14 7 2 2" xfId="11326" xr:uid="{00000000-0005-0000-0000-0000A33F0000}"/>
    <cellStyle name="Normal 14 7 2 2 2" xfId="11327" xr:uid="{00000000-0005-0000-0000-0000A43F0000}"/>
    <cellStyle name="Normal 14 7 2 2 2 2" xfId="11328" xr:uid="{00000000-0005-0000-0000-0000A53F0000}"/>
    <cellStyle name="Normal 14 7 2 2 2 2 2" xfId="50986" xr:uid="{00000000-0005-0000-0000-0000A63F0000}"/>
    <cellStyle name="Normal 14 7 2 2 2 2 3" xfId="50987" xr:uid="{00000000-0005-0000-0000-0000A73F0000}"/>
    <cellStyle name="Normal 14 7 2 2 2 3" xfId="11329" xr:uid="{00000000-0005-0000-0000-0000A83F0000}"/>
    <cellStyle name="Normal 14 7 2 2 2 3 2" xfId="50988" xr:uid="{00000000-0005-0000-0000-0000A93F0000}"/>
    <cellStyle name="Normal 14 7 2 2 2 4" xfId="11330" xr:uid="{00000000-0005-0000-0000-0000AA3F0000}"/>
    <cellStyle name="Normal 14 7 2 2 2 5" xfId="11331" xr:uid="{00000000-0005-0000-0000-0000AB3F0000}"/>
    <cellStyle name="Normal 14 7 2 2 2 6" xfId="11332" xr:uid="{00000000-0005-0000-0000-0000AC3F0000}"/>
    <cellStyle name="Normal 14 7 2 2 3" xfId="11333" xr:uid="{00000000-0005-0000-0000-0000AD3F0000}"/>
    <cellStyle name="Normal 14 7 2 2 3 2" xfId="50989" xr:uid="{00000000-0005-0000-0000-0000AE3F0000}"/>
    <cellStyle name="Normal 14 7 2 2 3 3" xfId="50990" xr:uid="{00000000-0005-0000-0000-0000AF3F0000}"/>
    <cellStyle name="Normal 14 7 2 2 4" xfId="11334" xr:uid="{00000000-0005-0000-0000-0000B03F0000}"/>
    <cellStyle name="Normal 14 7 2 2 4 2" xfId="50991" xr:uid="{00000000-0005-0000-0000-0000B13F0000}"/>
    <cellStyle name="Normal 14 7 2 2 5" xfId="11335" xr:uid="{00000000-0005-0000-0000-0000B23F0000}"/>
    <cellStyle name="Normal 14 7 2 2 6" xfId="11336" xr:uid="{00000000-0005-0000-0000-0000B33F0000}"/>
    <cellStyle name="Normal 14 7 2 2 7" xfId="11337" xr:uid="{00000000-0005-0000-0000-0000B43F0000}"/>
    <cellStyle name="Normal 14 7 2 3" xfId="11338" xr:uid="{00000000-0005-0000-0000-0000B53F0000}"/>
    <cellStyle name="Normal 14 7 2 3 2" xfId="11339" xr:uid="{00000000-0005-0000-0000-0000B63F0000}"/>
    <cellStyle name="Normal 14 7 2 3 2 2" xfId="50992" xr:uid="{00000000-0005-0000-0000-0000B73F0000}"/>
    <cellStyle name="Normal 14 7 2 3 2 3" xfId="50993" xr:uid="{00000000-0005-0000-0000-0000B83F0000}"/>
    <cellStyle name="Normal 14 7 2 3 3" xfId="11340" xr:uid="{00000000-0005-0000-0000-0000B93F0000}"/>
    <cellStyle name="Normal 14 7 2 3 3 2" xfId="50994" xr:uid="{00000000-0005-0000-0000-0000BA3F0000}"/>
    <cellStyle name="Normal 14 7 2 3 4" xfId="11341" xr:uid="{00000000-0005-0000-0000-0000BB3F0000}"/>
    <cellStyle name="Normal 14 7 2 3 5" xfId="11342" xr:uid="{00000000-0005-0000-0000-0000BC3F0000}"/>
    <cellStyle name="Normal 14 7 2 3 6" xfId="11343" xr:uid="{00000000-0005-0000-0000-0000BD3F0000}"/>
    <cellStyle name="Normal 14 7 2 4" xfId="11344" xr:uid="{00000000-0005-0000-0000-0000BE3F0000}"/>
    <cellStyle name="Normal 14 7 2 4 2" xfId="50995" xr:uid="{00000000-0005-0000-0000-0000BF3F0000}"/>
    <cellStyle name="Normal 14 7 2 4 3" xfId="50996" xr:uid="{00000000-0005-0000-0000-0000C03F0000}"/>
    <cellStyle name="Normal 14 7 2 5" xfId="11345" xr:uid="{00000000-0005-0000-0000-0000C13F0000}"/>
    <cellStyle name="Normal 14 7 2 5 2" xfId="50997" xr:uid="{00000000-0005-0000-0000-0000C23F0000}"/>
    <cellStyle name="Normal 14 7 2 6" xfId="11346" xr:uid="{00000000-0005-0000-0000-0000C33F0000}"/>
    <cellStyle name="Normal 14 7 2 7" xfId="11347" xr:uid="{00000000-0005-0000-0000-0000C43F0000}"/>
    <cellStyle name="Normal 14 7 2 8" xfId="11348" xr:uid="{00000000-0005-0000-0000-0000C53F0000}"/>
    <cellStyle name="Normal 14 7 2 9" xfId="11349" xr:uid="{00000000-0005-0000-0000-0000C63F0000}"/>
    <cellStyle name="Normal 14 7 3" xfId="11350" xr:uid="{00000000-0005-0000-0000-0000C73F0000}"/>
    <cellStyle name="Normal 14 7 3 2" xfId="11351" xr:uid="{00000000-0005-0000-0000-0000C83F0000}"/>
    <cellStyle name="Normal 14 7 3 2 2" xfId="11352" xr:uid="{00000000-0005-0000-0000-0000C93F0000}"/>
    <cellStyle name="Normal 14 7 3 2 2 2" xfId="11353" xr:uid="{00000000-0005-0000-0000-0000CA3F0000}"/>
    <cellStyle name="Normal 14 7 3 2 2 2 2" xfId="50998" xr:uid="{00000000-0005-0000-0000-0000CB3F0000}"/>
    <cellStyle name="Normal 14 7 3 2 2 2 3" xfId="50999" xr:uid="{00000000-0005-0000-0000-0000CC3F0000}"/>
    <cellStyle name="Normal 14 7 3 2 2 3" xfId="11354" xr:uid="{00000000-0005-0000-0000-0000CD3F0000}"/>
    <cellStyle name="Normal 14 7 3 2 2 3 2" xfId="51000" xr:uid="{00000000-0005-0000-0000-0000CE3F0000}"/>
    <cellStyle name="Normal 14 7 3 2 2 4" xfId="11355" xr:uid="{00000000-0005-0000-0000-0000CF3F0000}"/>
    <cellStyle name="Normal 14 7 3 2 2 5" xfId="11356" xr:uid="{00000000-0005-0000-0000-0000D03F0000}"/>
    <cellStyle name="Normal 14 7 3 2 2 6" xfId="11357" xr:uid="{00000000-0005-0000-0000-0000D13F0000}"/>
    <cellStyle name="Normal 14 7 3 2 3" xfId="11358" xr:uid="{00000000-0005-0000-0000-0000D23F0000}"/>
    <cellStyle name="Normal 14 7 3 2 3 2" xfId="51001" xr:uid="{00000000-0005-0000-0000-0000D33F0000}"/>
    <cellStyle name="Normal 14 7 3 2 3 3" xfId="51002" xr:uid="{00000000-0005-0000-0000-0000D43F0000}"/>
    <cellStyle name="Normal 14 7 3 2 4" xfId="11359" xr:uid="{00000000-0005-0000-0000-0000D53F0000}"/>
    <cellStyle name="Normal 14 7 3 2 4 2" xfId="51003" xr:uid="{00000000-0005-0000-0000-0000D63F0000}"/>
    <cellStyle name="Normal 14 7 3 2 5" xfId="11360" xr:uid="{00000000-0005-0000-0000-0000D73F0000}"/>
    <cellStyle name="Normal 14 7 3 2 6" xfId="11361" xr:uid="{00000000-0005-0000-0000-0000D83F0000}"/>
    <cellStyle name="Normal 14 7 3 2 7" xfId="11362" xr:uid="{00000000-0005-0000-0000-0000D93F0000}"/>
    <cellStyle name="Normal 14 7 3 3" xfId="11363" xr:uid="{00000000-0005-0000-0000-0000DA3F0000}"/>
    <cellStyle name="Normal 14 7 3 3 2" xfId="11364" xr:uid="{00000000-0005-0000-0000-0000DB3F0000}"/>
    <cellStyle name="Normal 14 7 3 3 2 2" xfId="51004" xr:uid="{00000000-0005-0000-0000-0000DC3F0000}"/>
    <cellStyle name="Normal 14 7 3 3 2 3" xfId="51005" xr:uid="{00000000-0005-0000-0000-0000DD3F0000}"/>
    <cellStyle name="Normal 14 7 3 3 3" xfId="11365" xr:uid="{00000000-0005-0000-0000-0000DE3F0000}"/>
    <cellStyle name="Normal 14 7 3 3 3 2" xfId="51006" xr:uid="{00000000-0005-0000-0000-0000DF3F0000}"/>
    <cellStyle name="Normal 14 7 3 3 4" xfId="11366" xr:uid="{00000000-0005-0000-0000-0000E03F0000}"/>
    <cellStyle name="Normal 14 7 3 3 5" xfId="11367" xr:uid="{00000000-0005-0000-0000-0000E13F0000}"/>
    <cellStyle name="Normal 14 7 3 3 6" xfId="11368" xr:uid="{00000000-0005-0000-0000-0000E23F0000}"/>
    <cellStyle name="Normal 14 7 3 4" xfId="11369" xr:uid="{00000000-0005-0000-0000-0000E33F0000}"/>
    <cellStyle name="Normal 14 7 3 4 2" xfId="51007" xr:uid="{00000000-0005-0000-0000-0000E43F0000}"/>
    <cellStyle name="Normal 14 7 3 4 3" xfId="51008" xr:uid="{00000000-0005-0000-0000-0000E53F0000}"/>
    <cellStyle name="Normal 14 7 3 5" xfId="11370" xr:uid="{00000000-0005-0000-0000-0000E63F0000}"/>
    <cellStyle name="Normal 14 7 3 5 2" xfId="51009" xr:uid="{00000000-0005-0000-0000-0000E73F0000}"/>
    <cellStyle name="Normal 14 7 3 6" xfId="11371" xr:uid="{00000000-0005-0000-0000-0000E83F0000}"/>
    <cellStyle name="Normal 14 7 3 7" xfId="11372" xr:uid="{00000000-0005-0000-0000-0000E93F0000}"/>
    <cellStyle name="Normal 14 7 3 8" xfId="11373" xr:uid="{00000000-0005-0000-0000-0000EA3F0000}"/>
    <cellStyle name="Normal 14 7 4" xfId="11374" xr:uid="{00000000-0005-0000-0000-0000EB3F0000}"/>
    <cellStyle name="Normal 14 7 4 2" xfId="11375" xr:uid="{00000000-0005-0000-0000-0000EC3F0000}"/>
    <cellStyle name="Normal 14 7 4 2 2" xfId="11376" xr:uid="{00000000-0005-0000-0000-0000ED3F0000}"/>
    <cellStyle name="Normal 14 7 4 2 2 2" xfId="51010" xr:uid="{00000000-0005-0000-0000-0000EE3F0000}"/>
    <cellStyle name="Normal 14 7 4 2 2 3" xfId="51011" xr:uid="{00000000-0005-0000-0000-0000EF3F0000}"/>
    <cellStyle name="Normal 14 7 4 2 3" xfId="11377" xr:uid="{00000000-0005-0000-0000-0000F03F0000}"/>
    <cellStyle name="Normal 14 7 4 2 3 2" xfId="51012" xr:uid="{00000000-0005-0000-0000-0000F13F0000}"/>
    <cellStyle name="Normal 14 7 4 2 4" xfId="11378" xr:uid="{00000000-0005-0000-0000-0000F23F0000}"/>
    <cellStyle name="Normal 14 7 4 2 5" xfId="11379" xr:uid="{00000000-0005-0000-0000-0000F33F0000}"/>
    <cellStyle name="Normal 14 7 4 2 6" xfId="11380" xr:uid="{00000000-0005-0000-0000-0000F43F0000}"/>
    <cellStyle name="Normal 14 7 4 3" xfId="11381" xr:uid="{00000000-0005-0000-0000-0000F53F0000}"/>
    <cellStyle name="Normal 14 7 4 3 2" xfId="51013" xr:uid="{00000000-0005-0000-0000-0000F63F0000}"/>
    <cellStyle name="Normal 14 7 4 3 3" xfId="51014" xr:uid="{00000000-0005-0000-0000-0000F73F0000}"/>
    <cellStyle name="Normal 14 7 4 4" xfId="11382" xr:uid="{00000000-0005-0000-0000-0000F83F0000}"/>
    <cellStyle name="Normal 14 7 4 4 2" xfId="51015" xr:uid="{00000000-0005-0000-0000-0000F93F0000}"/>
    <cellStyle name="Normal 14 7 4 5" xfId="11383" xr:uid="{00000000-0005-0000-0000-0000FA3F0000}"/>
    <cellStyle name="Normal 14 7 4 6" xfId="11384" xr:uid="{00000000-0005-0000-0000-0000FB3F0000}"/>
    <cellStyle name="Normal 14 7 4 7" xfId="11385" xr:uid="{00000000-0005-0000-0000-0000FC3F0000}"/>
    <cellStyle name="Normal 14 7 5" xfId="11386" xr:uid="{00000000-0005-0000-0000-0000FD3F0000}"/>
    <cellStyle name="Normal 14 7 5 2" xfId="11387" xr:uid="{00000000-0005-0000-0000-0000FE3F0000}"/>
    <cellStyle name="Normal 14 7 5 2 2" xfId="51016" xr:uid="{00000000-0005-0000-0000-0000FF3F0000}"/>
    <cellStyle name="Normal 14 7 5 2 3" xfId="51017" xr:uid="{00000000-0005-0000-0000-000000400000}"/>
    <cellStyle name="Normal 14 7 5 3" xfId="11388" xr:uid="{00000000-0005-0000-0000-000001400000}"/>
    <cellStyle name="Normal 14 7 5 3 2" xfId="51018" xr:uid="{00000000-0005-0000-0000-000002400000}"/>
    <cellStyle name="Normal 14 7 5 4" xfId="11389" xr:uid="{00000000-0005-0000-0000-000003400000}"/>
    <cellStyle name="Normal 14 7 5 5" xfId="11390" xr:uid="{00000000-0005-0000-0000-000004400000}"/>
    <cellStyle name="Normal 14 7 5 6" xfId="11391" xr:uid="{00000000-0005-0000-0000-000005400000}"/>
    <cellStyle name="Normal 14 7 6" xfId="11392" xr:uid="{00000000-0005-0000-0000-000006400000}"/>
    <cellStyle name="Normal 14 7 6 2" xfId="51019" xr:uid="{00000000-0005-0000-0000-000007400000}"/>
    <cellStyle name="Normal 14 7 6 3" xfId="51020" xr:uid="{00000000-0005-0000-0000-000008400000}"/>
    <cellStyle name="Normal 14 7 7" xfId="11393" xr:uid="{00000000-0005-0000-0000-000009400000}"/>
    <cellStyle name="Normal 14 7 7 2" xfId="51021" xr:uid="{00000000-0005-0000-0000-00000A400000}"/>
    <cellStyle name="Normal 14 7 8" xfId="11394" xr:uid="{00000000-0005-0000-0000-00000B400000}"/>
    <cellStyle name="Normal 14 7 9" xfId="11395" xr:uid="{00000000-0005-0000-0000-00000C400000}"/>
    <cellStyle name="Normal 14 8" xfId="11396" xr:uid="{00000000-0005-0000-0000-00000D400000}"/>
    <cellStyle name="Normal 14 8 10" xfId="11397" xr:uid="{00000000-0005-0000-0000-00000E400000}"/>
    <cellStyle name="Normal 14 8 11" xfId="11398" xr:uid="{00000000-0005-0000-0000-00000F400000}"/>
    <cellStyle name="Normal 14 8 12" xfId="11399" xr:uid="{00000000-0005-0000-0000-000010400000}"/>
    <cellStyle name="Normal 14 8 13" xfId="11400" xr:uid="{00000000-0005-0000-0000-000011400000}"/>
    <cellStyle name="Normal 14 8 2" xfId="11401" xr:uid="{00000000-0005-0000-0000-000012400000}"/>
    <cellStyle name="Normal 14 8 2 2" xfId="11402" xr:uid="{00000000-0005-0000-0000-000013400000}"/>
    <cellStyle name="Normal 14 8 2 2 2" xfId="11403" xr:uid="{00000000-0005-0000-0000-000014400000}"/>
    <cellStyle name="Normal 14 8 2 2 2 2" xfId="11404" xr:uid="{00000000-0005-0000-0000-000015400000}"/>
    <cellStyle name="Normal 14 8 2 2 2 2 2" xfId="51022" xr:uid="{00000000-0005-0000-0000-000016400000}"/>
    <cellStyle name="Normal 14 8 2 2 2 2 3" xfId="51023" xr:uid="{00000000-0005-0000-0000-000017400000}"/>
    <cellStyle name="Normal 14 8 2 2 2 3" xfId="11405" xr:uid="{00000000-0005-0000-0000-000018400000}"/>
    <cellStyle name="Normal 14 8 2 2 2 3 2" xfId="51024" xr:uid="{00000000-0005-0000-0000-000019400000}"/>
    <cellStyle name="Normal 14 8 2 2 2 4" xfId="11406" xr:uid="{00000000-0005-0000-0000-00001A400000}"/>
    <cellStyle name="Normal 14 8 2 2 2 5" xfId="11407" xr:uid="{00000000-0005-0000-0000-00001B400000}"/>
    <cellStyle name="Normal 14 8 2 2 2 6" xfId="11408" xr:uid="{00000000-0005-0000-0000-00001C400000}"/>
    <cellStyle name="Normal 14 8 2 2 3" xfId="11409" xr:uid="{00000000-0005-0000-0000-00001D400000}"/>
    <cellStyle name="Normal 14 8 2 2 3 2" xfId="51025" xr:uid="{00000000-0005-0000-0000-00001E400000}"/>
    <cellStyle name="Normal 14 8 2 2 3 3" xfId="51026" xr:uid="{00000000-0005-0000-0000-00001F400000}"/>
    <cellStyle name="Normal 14 8 2 2 4" xfId="11410" xr:uid="{00000000-0005-0000-0000-000020400000}"/>
    <cellStyle name="Normal 14 8 2 2 4 2" xfId="51027" xr:uid="{00000000-0005-0000-0000-000021400000}"/>
    <cellStyle name="Normal 14 8 2 2 5" xfId="11411" xr:uid="{00000000-0005-0000-0000-000022400000}"/>
    <cellStyle name="Normal 14 8 2 2 6" xfId="11412" xr:uid="{00000000-0005-0000-0000-000023400000}"/>
    <cellStyle name="Normal 14 8 2 2 7" xfId="11413" xr:uid="{00000000-0005-0000-0000-000024400000}"/>
    <cellStyle name="Normal 14 8 2 3" xfId="11414" xr:uid="{00000000-0005-0000-0000-000025400000}"/>
    <cellStyle name="Normal 14 8 2 3 2" xfId="11415" xr:uid="{00000000-0005-0000-0000-000026400000}"/>
    <cellStyle name="Normal 14 8 2 3 2 2" xfId="51028" xr:uid="{00000000-0005-0000-0000-000027400000}"/>
    <cellStyle name="Normal 14 8 2 3 2 3" xfId="51029" xr:uid="{00000000-0005-0000-0000-000028400000}"/>
    <cellStyle name="Normal 14 8 2 3 3" xfId="11416" xr:uid="{00000000-0005-0000-0000-000029400000}"/>
    <cellStyle name="Normal 14 8 2 3 3 2" xfId="51030" xr:uid="{00000000-0005-0000-0000-00002A400000}"/>
    <cellStyle name="Normal 14 8 2 3 4" xfId="11417" xr:uid="{00000000-0005-0000-0000-00002B400000}"/>
    <cellStyle name="Normal 14 8 2 3 5" xfId="11418" xr:uid="{00000000-0005-0000-0000-00002C400000}"/>
    <cellStyle name="Normal 14 8 2 3 6" xfId="11419" xr:uid="{00000000-0005-0000-0000-00002D400000}"/>
    <cellStyle name="Normal 14 8 2 4" xfId="11420" xr:uid="{00000000-0005-0000-0000-00002E400000}"/>
    <cellStyle name="Normal 14 8 2 4 2" xfId="51031" xr:uid="{00000000-0005-0000-0000-00002F400000}"/>
    <cellStyle name="Normal 14 8 2 4 3" xfId="51032" xr:uid="{00000000-0005-0000-0000-000030400000}"/>
    <cellStyle name="Normal 14 8 2 5" xfId="11421" xr:uid="{00000000-0005-0000-0000-000031400000}"/>
    <cellStyle name="Normal 14 8 2 5 2" xfId="51033" xr:uid="{00000000-0005-0000-0000-000032400000}"/>
    <cellStyle name="Normal 14 8 2 6" xfId="11422" xr:uid="{00000000-0005-0000-0000-000033400000}"/>
    <cellStyle name="Normal 14 8 2 7" xfId="11423" xr:uid="{00000000-0005-0000-0000-000034400000}"/>
    <cellStyle name="Normal 14 8 2 8" xfId="11424" xr:uid="{00000000-0005-0000-0000-000035400000}"/>
    <cellStyle name="Normal 14 8 2 9" xfId="11425" xr:uid="{00000000-0005-0000-0000-000036400000}"/>
    <cellStyle name="Normal 14 8 3" xfId="11426" xr:uid="{00000000-0005-0000-0000-000037400000}"/>
    <cellStyle name="Normal 14 8 3 2" xfId="11427" xr:uid="{00000000-0005-0000-0000-000038400000}"/>
    <cellStyle name="Normal 14 8 3 2 2" xfId="11428" xr:uid="{00000000-0005-0000-0000-000039400000}"/>
    <cellStyle name="Normal 14 8 3 2 2 2" xfId="51034" xr:uid="{00000000-0005-0000-0000-00003A400000}"/>
    <cellStyle name="Normal 14 8 3 2 2 3" xfId="51035" xr:uid="{00000000-0005-0000-0000-00003B400000}"/>
    <cellStyle name="Normal 14 8 3 2 3" xfId="11429" xr:uid="{00000000-0005-0000-0000-00003C400000}"/>
    <cellStyle name="Normal 14 8 3 2 3 2" xfId="51036" xr:uid="{00000000-0005-0000-0000-00003D400000}"/>
    <cellStyle name="Normal 14 8 3 2 4" xfId="11430" xr:uid="{00000000-0005-0000-0000-00003E400000}"/>
    <cellStyle name="Normal 14 8 3 2 5" xfId="11431" xr:uid="{00000000-0005-0000-0000-00003F400000}"/>
    <cellStyle name="Normal 14 8 3 2 6" xfId="11432" xr:uid="{00000000-0005-0000-0000-000040400000}"/>
    <cellStyle name="Normal 14 8 3 3" xfId="11433" xr:uid="{00000000-0005-0000-0000-000041400000}"/>
    <cellStyle name="Normal 14 8 3 3 2" xfId="51037" xr:uid="{00000000-0005-0000-0000-000042400000}"/>
    <cellStyle name="Normal 14 8 3 3 3" xfId="51038" xr:uid="{00000000-0005-0000-0000-000043400000}"/>
    <cellStyle name="Normal 14 8 3 4" xfId="11434" xr:uid="{00000000-0005-0000-0000-000044400000}"/>
    <cellStyle name="Normal 14 8 3 4 2" xfId="51039" xr:uid="{00000000-0005-0000-0000-000045400000}"/>
    <cellStyle name="Normal 14 8 3 5" xfId="11435" xr:uid="{00000000-0005-0000-0000-000046400000}"/>
    <cellStyle name="Normal 14 8 3 6" xfId="11436" xr:uid="{00000000-0005-0000-0000-000047400000}"/>
    <cellStyle name="Normal 14 8 3 7" xfId="11437" xr:uid="{00000000-0005-0000-0000-000048400000}"/>
    <cellStyle name="Normal 14 8 4" xfId="11438" xr:uid="{00000000-0005-0000-0000-000049400000}"/>
    <cellStyle name="Normal 14 8 4 2" xfId="11439" xr:uid="{00000000-0005-0000-0000-00004A400000}"/>
    <cellStyle name="Normal 14 8 4 2 2" xfId="51040" xr:uid="{00000000-0005-0000-0000-00004B400000}"/>
    <cellStyle name="Normal 14 8 4 2 3" xfId="51041" xr:uid="{00000000-0005-0000-0000-00004C400000}"/>
    <cellStyle name="Normal 14 8 4 3" xfId="11440" xr:uid="{00000000-0005-0000-0000-00004D400000}"/>
    <cellStyle name="Normal 14 8 4 3 2" xfId="51042" xr:uid="{00000000-0005-0000-0000-00004E400000}"/>
    <cellStyle name="Normal 14 8 4 4" xfId="11441" xr:uid="{00000000-0005-0000-0000-00004F400000}"/>
    <cellStyle name="Normal 14 8 4 5" xfId="11442" xr:uid="{00000000-0005-0000-0000-000050400000}"/>
    <cellStyle name="Normal 14 8 4 6" xfId="11443" xr:uid="{00000000-0005-0000-0000-000051400000}"/>
    <cellStyle name="Normal 14 8 5" xfId="11444" xr:uid="{00000000-0005-0000-0000-000052400000}"/>
    <cellStyle name="Normal 14 8 5 2" xfId="51043" xr:uid="{00000000-0005-0000-0000-000053400000}"/>
    <cellStyle name="Normal 14 8 5 3" xfId="51044" xr:uid="{00000000-0005-0000-0000-000054400000}"/>
    <cellStyle name="Normal 14 8 6" xfId="11445" xr:uid="{00000000-0005-0000-0000-000055400000}"/>
    <cellStyle name="Normal 14 8 6 2" xfId="51045" xr:uid="{00000000-0005-0000-0000-000056400000}"/>
    <cellStyle name="Normal 14 8 7" xfId="11446" xr:uid="{00000000-0005-0000-0000-000057400000}"/>
    <cellStyle name="Normal 14 8 8" xfId="11447" xr:uid="{00000000-0005-0000-0000-000058400000}"/>
    <cellStyle name="Normal 14 8 9" xfId="11448" xr:uid="{00000000-0005-0000-0000-000059400000}"/>
    <cellStyle name="Normal 14 9" xfId="11449" xr:uid="{00000000-0005-0000-0000-00005A400000}"/>
    <cellStyle name="Normal 14 9 2" xfId="11450" xr:uid="{00000000-0005-0000-0000-00005B400000}"/>
    <cellStyle name="Normal 14 9 2 2" xfId="11451" xr:uid="{00000000-0005-0000-0000-00005C400000}"/>
    <cellStyle name="Normal 14 9 2 2 2" xfId="11452" xr:uid="{00000000-0005-0000-0000-00005D400000}"/>
    <cellStyle name="Normal 14 9 2 2 2 2" xfId="51046" xr:uid="{00000000-0005-0000-0000-00005E400000}"/>
    <cellStyle name="Normal 14 9 2 2 2 3" xfId="51047" xr:uid="{00000000-0005-0000-0000-00005F400000}"/>
    <cellStyle name="Normal 14 9 2 2 3" xfId="11453" xr:uid="{00000000-0005-0000-0000-000060400000}"/>
    <cellStyle name="Normal 14 9 2 2 3 2" xfId="51048" xr:uid="{00000000-0005-0000-0000-000061400000}"/>
    <cellStyle name="Normal 14 9 2 2 4" xfId="11454" xr:uid="{00000000-0005-0000-0000-000062400000}"/>
    <cellStyle name="Normal 14 9 2 2 5" xfId="11455" xr:uid="{00000000-0005-0000-0000-000063400000}"/>
    <cellStyle name="Normal 14 9 2 2 6" xfId="11456" xr:uid="{00000000-0005-0000-0000-000064400000}"/>
    <cellStyle name="Normal 14 9 2 3" xfId="11457" xr:uid="{00000000-0005-0000-0000-000065400000}"/>
    <cellStyle name="Normal 14 9 2 3 2" xfId="51049" xr:uid="{00000000-0005-0000-0000-000066400000}"/>
    <cellStyle name="Normal 14 9 2 3 3" xfId="51050" xr:uid="{00000000-0005-0000-0000-000067400000}"/>
    <cellStyle name="Normal 14 9 2 4" xfId="11458" xr:uid="{00000000-0005-0000-0000-000068400000}"/>
    <cellStyle name="Normal 14 9 2 4 2" xfId="51051" xr:uid="{00000000-0005-0000-0000-000069400000}"/>
    <cellStyle name="Normal 14 9 2 5" xfId="11459" xr:uid="{00000000-0005-0000-0000-00006A400000}"/>
    <cellStyle name="Normal 14 9 2 6" xfId="11460" xr:uid="{00000000-0005-0000-0000-00006B400000}"/>
    <cellStyle name="Normal 14 9 2 7" xfId="11461" xr:uid="{00000000-0005-0000-0000-00006C400000}"/>
    <cellStyle name="Normal 14 9 3" xfId="11462" xr:uid="{00000000-0005-0000-0000-00006D400000}"/>
    <cellStyle name="Normal 14 9 3 2" xfId="11463" xr:uid="{00000000-0005-0000-0000-00006E400000}"/>
    <cellStyle name="Normal 14 9 3 2 2" xfId="51052" xr:uid="{00000000-0005-0000-0000-00006F400000}"/>
    <cellStyle name="Normal 14 9 3 2 3" xfId="51053" xr:uid="{00000000-0005-0000-0000-000070400000}"/>
    <cellStyle name="Normal 14 9 3 3" xfId="11464" xr:uid="{00000000-0005-0000-0000-000071400000}"/>
    <cellStyle name="Normal 14 9 3 3 2" xfId="51054" xr:uid="{00000000-0005-0000-0000-000072400000}"/>
    <cellStyle name="Normal 14 9 3 4" xfId="11465" xr:uid="{00000000-0005-0000-0000-000073400000}"/>
    <cellStyle name="Normal 14 9 3 5" xfId="11466" xr:uid="{00000000-0005-0000-0000-000074400000}"/>
    <cellStyle name="Normal 14 9 3 6" xfId="11467" xr:uid="{00000000-0005-0000-0000-000075400000}"/>
    <cellStyle name="Normal 14 9 4" xfId="11468" xr:uid="{00000000-0005-0000-0000-000076400000}"/>
    <cellStyle name="Normal 14 9 4 2" xfId="51055" xr:uid="{00000000-0005-0000-0000-000077400000}"/>
    <cellStyle name="Normal 14 9 4 3" xfId="51056" xr:uid="{00000000-0005-0000-0000-000078400000}"/>
    <cellStyle name="Normal 14 9 5" xfId="11469" xr:uid="{00000000-0005-0000-0000-000079400000}"/>
    <cellStyle name="Normal 14 9 5 2" xfId="51057" xr:uid="{00000000-0005-0000-0000-00007A400000}"/>
    <cellStyle name="Normal 14 9 6" xfId="11470" xr:uid="{00000000-0005-0000-0000-00007B400000}"/>
    <cellStyle name="Normal 14 9 7" xfId="11471" xr:uid="{00000000-0005-0000-0000-00007C400000}"/>
    <cellStyle name="Normal 14 9 8" xfId="11472" xr:uid="{00000000-0005-0000-0000-00007D400000}"/>
    <cellStyle name="Normal 14 9 9" xfId="11473" xr:uid="{00000000-0005-0000-0000-00007E400000}"/>
    <cellStyle name="Normal 15" xfId="11474" xr:uid="{00000000-0005-0000-0000-00007F400000}"/>
    <cellStyle name="Normal 15 10" xfId="11475" xr:uid="{00000000-0005-0000-0000-000080400000}"/>
    <cellStyle name="Normal 15 10 2" xfId="11476" xr:uid="{00000000-0005-0000-0000-000081400000}"/>
    <cellStyle name="Normal 15 10 2 2" xfId="11477" xr:uid="{00000000-0005-0000-0000-000082400000}"/>
    <cellStyle name="Normal 15 10 2 2 2" xfId="11478" xr:uid="{00000000-0005-0000-0000-000083400000}"/>
    <cellStyle name="Normal 15 10 2 2 2 2" xfId="51058" xr:uid="{00000000-0005-0000-0000-000084400000}"/>
    <cellStyle name="Normal 15 10 2 2 2 3" xfId="51059" xr:uid="{00000000-0005-0000-0000-000085400000}"/>
    <cellStyle name="Normal 15 10 2 2 3" xfId="11479" xr:uid="{00000000-0005-0000-0000-000086400000}"/>
    <cellStyle name="Normal 15 10 2 2 3 2" xfId="51060" xr:uid="{00000000-0005-0000-0000-000087400000}"/>
    <cellStyle name="Normal 15 10 2 2 4" xfId="11480" xr:uid="{00000000-0005-0000-0000-000088400000}"/>
    <cellStyle name="Normal 15 10 2 2 5" xfId="11481" xr:uid="{00000000-0005-0000-0000-000089400000}"/>
    <cellStyle name="Normal 15 10 2 2 6" xfId="11482" xr:uid="{00000000-0005-0000-0000-00008A400000}"/>
    <cellStyle name="Normal 15 10 2 3" xfId="11483" xr:uid="{00000000-0005-0000-0000-00008B400000}"/>
    <cellStyle name="Normal 15 10 2 3 2" xfId="51061" xr:uid="{00000000-0005-0000-0000-00008C400000}"/>
    <cellStyle name="Normal 15 10 2 3 3" xfId="51062" xr:uid="{00000000-0005-0000-0000-00008D400000}"/>
    <cellStyle name="Normal 15 10 2 4" xfId="11484" xr:uid="{00000000-0005-0000-0000-00008E400000}"/>
    <cellStyle name="Normal 15 10 2 4 2" xfId="51063" xr:uid="{00000000-0005-0000-0000-00008F400000}"/>
    <cellStyle name="Normal 15 10 2 5" xfId="11485" xr:uid="{00000000-0005-0000-0000-000090400000}"/>
    <cellStyle name="Normal 15 10 2 6" xfId="11486" xr:uid="{00000000-0005-0000-0000-000091400000}"/>
    <cellStyle name="Normal 15 10 2 7" xfId="11487" xr:uid="{00000000-0005-0000-0000-000092400000}"/>
    <cellStyle name="Normal 15 10 3" xfId="11488" xr:uid="{00000000-0005-0000-0000-000093400000}"/>
    <cellStyle name="Normal 15 10 3 2" xfId="11489" xr:uid="{00000000-0005-0000-0000-000094400000}"/>
    <cellStyle name="Normal 15 10 3 2 2" xfId="51064" xr:uid="{00000000-0005-0000-0000-000095400000}"/>
    <cellStyle name="Normal 15 10 3 2 3" xfId="51065" xr:uid="{00000000-0005-0000-0000-000096400000}"/>
    <cellStyle name="Normal 15 10 3 3" xfId="11490" xr:uid="{00000000-0005-0000-0000-000097400000}"/>
    <cellStyle name="Normal 15 10 3 3 2" xfId="51066" xr:uid="{00000000-0005-0000-0000-000098400000}"/>
    <cellStyle name="Normal 15 10 3 4" xfId="11491" xr:uid="{00000000-0005-0000-0000-000099400000}"/>
    <cellStyle name="Normal 15 10 3 5" xfId="11492" xr:uid="{00000000-0005-0000-0000-00009A400000}"/>
    <cellStyle name="Normal 15 10 3 6" xfId="11493" xr:uid="{00000000-0005-0000-0000-00009B400000}"/>
    <cellStyle name="Normal 15 10 4" xfId="11494" xr:uid="{00000000-0005-0000-0000-00009C400000}"/>
    <cellStyle name="Normal 15 10 4 2" xfId="51067" xr:uid="{00000000-0005-0000-0000-00009D400000}"/>
    <cellStyle name="Normal 15 10 4 3" xfId="51068" xr:uid="{00000000-0005-0000-0000-00009E400000}"/>
    <cellStyle name="Normal 15 10 5" xfId="11495" xr:uid="{00000000-0005-0000-0000-00009F400000}"/>
    <cellStyle name="Normal 15 10 5 2" xfId="51069" xr:uid="{00000000-0005-0000-0000-0000A0400000}"/>
    <cellStyle name="Normal 15 10 6" xfId="11496" xr:uid="{00000000-0005-0000-0000-0000A1400000}"/>
    <cellStyle name="Normal 15 10 7" xfId="11497" xr:uid="{00000000-0005-0000-0000-0000A2400000}"/>
    <cellStyle name="Normal 15 10 8" xfId="11498" xr:uid="{00000000-0005-0000-0000-0000A3400000}"/>
    <cellStyle name="Normal 15 11" xfId="11499" xr:uid="{00000000-0005-0000-0000-0000A4400000}"/>
    <cellStyle name="Normal 15 11 2" xfId="11500" xr:uid="{00000000-0005-0000-0000-0000A5400000}"/>
    <cellStyle name="Normal 15 11 2 2" xfId="11501" xr:uid="{00000000-0005-0000-0000-0000A6400000}"/>
    <cellStyle name="Normal 15 11 2 2 2" xfId="11502" xr:uid="{00000000-0005-0000-0000-0000A7400000}"/>
    <cellStyle name="Normal 15 11 2 2 2 2" xfId="51070" xr:uid="{00000000-0005-0000-0000-0000A8400000}"/>
    <cellStyle name="Normal 15 11 2 2 2 3" xfId="51071" xr:uid="{00000000-0005-0000-0000-0000A9400000}"/>
    <cellStyle name="Normal 15 11 2 2 3" xfId="11503" xr:uid="{00000000-0005-0000-0000-0000AA400000}"/>
    <cellStyle name="Normal 15 11 2 2 3 2" xfId="51072" xr:uid="{00000000-0005-0000-0000-0000AB400000}"/>
    <cellStyle name="Normal 15 11 2 2 4" xfId="11504" xr:uid="{00000000-0005-0000-0000-0000AC400000}"/>
    <cellStyle name="Normal 15 11 2 2 5" xfId="11505" xr:uid="{00000000-0005-0000-0000-0000AD400000}"/>
    <cellStyle name="Normal 15 11 2 2 6" xfId="11506" xr:uid="{00000000-0005-0000-0000-0000AE400000}"/>
    <cellStyle name="Normal 15 11 2 3" xfId="11507" xr:uid="{00000000-0005-0000-0000-0000AF400000}"/>
    <cellStyle name="Normal 15 11 2 3 2" xfId="51073" xr:uid="{00000000-0005-0000-0000-0000B0400000}"/>
    <cellStyle name="Normal 15 11 2 3 3" xfId="51074" xr:uid="{00000000-0005-0000-0000-0000B1400000}"/>
    <cellStyle name="Normal 15 11 2 4" xfId="11508" xr:uid="{00000000-0005-0000-0000-0000B2400000}"/>
    <cellStyle name="Normal 15 11 2 4 2" xfId="51075" xr:uid="{00000000-0005-0000-0000-0000B3400000}"/>
    <cellStyle name="Normal 15 11 2 5" xfId="11509" xr:uid="{00000000-0005-0000-0000-0000B4400000}"/>
    <cellStyle name="Normal 15 11 2 6" xfId="11510" xr:uid="{00000000-0005-0000-0000-0000B5400000}"/>
    <cellStyle name="Normal 15 11 2 7" xfId="11511" xr:uid="{00000000-0005-0000-0000-0000B6400000}"/>
    <cellStyle name="Normal 15 11 3" xfId="11512" xr:uid="{00000000-0005-0000-0000-0000B7400000}"/>
    <cellStyle name="Normal 15 11 3 2" xfId="11513" xr:uid="{00000000-0005-0000-0000-0000B8400000}"/>
    <cellStyle name="Normal 15 11 3 2 2" xfId="51076" xr:uid="{00000000-0005-0000-0000-0000B9400000}"/>
    <cellStyle name="Normal 15 11 3 2 3" xfId="51077" xr:uid="{00000000-0005-0000-0000-0000BA400000}"/>
    <cellStyle name="Normal 15 11 3 3" xfId="11514" xr:uid="{00000000-0005-0000-0000-0000BB400000}"/>
    <cellStyle name="Normal 15 11 3 3 2" xfId="51078" xr:uid="{00000000-0005-0000-0000-0000BC400000}"/>
    <cellStyle name="Normal 15 11 3 4" xfId="11515" xr:uid="{00000000-0005-0000-0000-0000BD400000}"/>
    <cellStyle name="Normal 15 11 3 5" xfId="11516" xr:uid="{00000000-0005-0000-0000-0000BE400000}"/>
    <cellStyle name="Normal 15 11 3 6" xfId="11517" xr:uid="{00000000-0005-0000-0000-0000BF400000}"/>
    <cellStyle name="Normal 15 11 4" xfId="11518" xr:uid="{00000000-0005-0000-0000-0000C0400000}"/>
    <cellStyle name="Normal 15 11 4 2" xfId="51079" xr:uid="{00000000-0005-0000-0000-0000C1400000}"/>
    <cellStyle name="Normal 15 11 4 3" xfId="51080" xr:uid="{00000000-0005-0000-0000-0000C2400000}"/>
    <cellStyle name="Normal 15 11 5" xfId="11519" xr:uid="{00000000-0005-0000-0000-0000C3400000}"/>
    <cellStyle name="Normal 15 11 5 2" xfId="51081" xr:uid="{00000000-0005-0000-0000-0000C4400000}"/>
    <cellStyle name="Normal 15 11 6" xfId="11520" xr:uid="{00000000-0005-0000-0000-0000C5400000}"/>
    <cellStyle name="Normal 15 11 7" xfId="11521" xr:uid="{00000000-0005-0000-0000-0000C6400000}"/>
    <cellStyle name="Normal 15 11 8" xfId="11522" xr:uid="{00000000-0005-0000-0000-0000C7400000}"/>
    <cellStyle name="Normal 15 12" xfId="11523" xr:uid="{00000000-0005-0000-0000-0000C8400000}"/>
    <cellStyle name="Normal 15 12 2" xfId="11524" xr:uid="{00000000-0005-0000-0000-0000C9400000}"/>
    <cellStyle name="Normal 15 12 2 2" xfId="11525" xr:uid="{00000000-0005-0000-0000-0000CA400000}"/>
    <cellStyle name="Normal 15 12 2 2 2" xfId="51082" xr:uid="{00000000-0005-0000-0000-0000CB400000}"/>
    <cellStyle name="Normal 15 12 2 2 3" xfId="51083" xr:uid="{00000000-0005-0000-0000-0000CC400000}"/>
    <cellStyle name="Normal 15 12 2 3" xfId="11526" xr:uid="{00000000-0005-0000-0000-0000CD400000}"/>
    <cellStyle name="Normal 15 12 2 3 2" xfId="51084" xr:uid="{00000000-0005-0000-0000-0000CE400000}"/>
    <cellStyle name="Normal 15 12 2 4" xfId="11527" xr:uid="{00000000-0005-0000-0000-0000CF400000}"/>
    <cellStyle name="Normal 15 12 2 5" xfId="11528" xr:uid="{00000000-0005-0000-0000-0000D0400000}"/>
    <cellStyle name="Normal 15 12 2 6" xfId="11529" xr:uid="{00000000-0005-0000-0000-0000D1400000}"/>
    <cellStyle name="Normal 15 12 3" xfId="11530" xr:uid="{00000000-0005-0000-0000-0000D2400000}"/>
    <cellStyle name="Normal 15 12 3 2" xfId="51085" xr:uid="{00000000-0005-0000-0000-0000D3400000}"/>
    <cellStyle name="Normal 15 12 3 3" xfId="51086" xr:uid="{00000000-0005-0000-0000-0000D4400000}"/>
    <cellStyle name="Normal 15 12 4" xfId="11531" xr:uid="{00000000-0005-0000-0000-0000D5400000}"/>
    <cellStyle name="Normal 15 12 4 2" xfId="51087" xr:uid="{00000000-0005-0000-0000-0000D6400000}"/>
    <cellStyle name="Normal 15 12 5" xfId="11532" xr:uid="{00000000-0005-0000-0000-0000D7400000}"/>
    <cellStyle name="Normal 15 12 6" xfId="11533" xr:uid="{00000000-0005-0000-0000-0000D8400000}"/>
    <cellStyle name="Normal 15 12 7" xfId="11534" xr:uid="{00000000-0005-0000-0000-0000D9400000}"/>
    <cellStyle name="Normal 15 13" xfId="11535" xr:uid="{00000000-0005-0000-0000-0000DA400000}"/>
    <cellStyle name="Normal 15 13 2" xfId="11536" xr:uid="{00000000-0005-0000-0000-0000DB400000}"/>
    <cellStyle name="Normal 15 13 2 2" xfId="51088" xr:uid="{00000000-0005-0000-0000-0000DC400000}"/>
    <cellStyle name="Normal 15 13 2 3" xfId="51089" xr:uid="{00000000-0005-0000-0000-0000DD400000}"/>
    <cellStyle name="Normal 15 13 3" xfId="11537" xr:uid="{00000000-0005-0000-0000-0000DE400000}"/>
    <cellStyle name="Normal 15 13 3 2" xfId="51090" xr:uid="{00000000-0005-0000-0000-0000DF400000}"/>
    <cellStyle name="Normal 15 13 4" xfId="11538" xr:uid="{00000000-0005-0000-0000-0000E0400000}"/>
    <cellStyle name="Normal 15 13 5" xfId="11539" xr:uid="{00000000-0005-0000-0000-0000E1400000}"/>
    <cellStyle name="Normal 15 13 6" xfId="11540" xr:uid="{00000000-0005-0000-0000-0000E2400000}"/>
    <cellStyle name="Normal 15 14" xfId="11541" xr:uid="{00000000-0005-0000-0000-0000E3400000}"/>
    <cellStyle name="Normal 15 14 2" xfId="51091" xr:uid="{00000000-0005-0000-0000-0000E4400000}"/>
    <cellStyle name="Normal 15 14 3" xfId="51092" xr:uid="{00000000-0005-0000-0000-0000E5400000}"/>
    <cellStyle name="Normal 15 15" xfId="11542" xr:uid="{00000000-0005-0000-0000-0000E6400000}"/>
    <cellStyle name="Normal 15 15 2" xfId="51093" xr:uid="{00000000-0005-0000-0000-0000E7400000}"/>
    <cellStyle name="Normal 15 16" xfId="11543" xr:uid="{00000000-0005-0000-0000-0000E8400000}"/>
    <cellStyle name="Normal 15 16 2" xfId="51094" xr:uid="{00000000-0005-0000-0000-0000E9400000}"/>
    <cellStyle name="Normal 15 17" xfId="11544" xr:uid="{00000000-0005-0000-0000-0000EA400000}"/>
    <cellStyle name="Normal 15 18" xfId="11545" xr:uid="{00000000-0005-0000-0000-0000EB400000}"/>
    <cellStyle name="Normal 15 19" xfId="11546" xr:uid="{00000000-0005-0000-0000-0000EC400000}"/>
    <cellStyle name="Normal 15 2" xfId="11547" xr:uid="{00000000-0005-0000-0000-0000ED400000}"/>
    <cellStyle name="Normal 15 2 10" xfId="11548" xr:uid="{00000000-0005-0000-0000-0000EE400000}"/>
    <cellStyle name="Normal 15 2 10 2" xfId="11549" xr:uid="{00000000-0005-0000-0000-0000EF400000}"/>
    <cellStyle name="Normal 15 2 10 2 2" xfId="11550" xr:uid="{00000000-0005-0000-0000-0000F0400000}"/>
    <cellStyle name="Normal 15 2 10 2 2 2" xfId="51095" xr:uid="{00000000-0005-0000-0000-0000F1400000}"/>
    <cellStyle name="Normal 15 2 10 2 2 3" xfId="51096" xr:uid="{00000000-0005-0000-0000-0000F2400000}"/>
    <cellStyle name="Normal 15 2 10 2 3" xfId="11551" xr:uid="{00000000-0005-0000-0000-0000F3400000}"/>
    <cellStyle name="Normal 15 2 10 2 3 2" xfId="51097" xr:uid="{00000000-0005-0000-0000-0000F4400000}"/>
    <cellStyle name="Normal 15 2 10 2 4" xfId="11552" xr:uid="{00000000-0005-0000-0000-0000F5400000}"/>
    <cellStyle name="Normal 15 2 10 2 5" xfId="11553" xr:uid="{00000000-0005-0000-0000-0000F6400000}"/>
    <cellStyle name="Normal 15 2 10 2 6" xfId="11554" xr:uid="{00000000-0005-0000-0000-0000F7400000}"/>
    <cellStyle name="Normal 15 2 10 3" xfId="11555" xr:uid="{00000000-0005-0000-0000-0000F8400000}"/>
    <cellStyle name="Normal 15 2 10 3 2" xfId="51098" xr:uid="{00000000-0005-0000-0000-0000F9400000}"/>
    <cellStyle name="Normal 15 2 10 3 3" xfId="51099" xr:uid="{00000000-0005-0000-0000-0000FA400000}"/>
    <cellStyle name="Normal 15 2 10 4" xfId="11556" xr:uid="{00000000-0005-0000-0000-0000FB400000}"/>
    <cellStyle name="Normal 15 2 10 4 2" xfId="51100" xr:uid="{00000000-0005-0000-0000-0000FC400000}"/>
    <cellStyle name="Normal 15 2 10 5" xfId="11557" xr:uid="{00000000-0005-0000-0000-0000FD400000}"/>
    <cellStyle name="Normal 15 2 10 6" xfId="11558" xr:uid="{00000000-0005-0000-0000-0000FE400000}"/>
    <cellStyle name="Normal 15 2 10 7" xfId="11559" xr:uid="{00000000-0005-0000-0000-0000FF400000}"/>
    <cellStyle name="Normal 15 2 11" xfId="11560" xr:uid="{00000000-0005-0000-0000-000000410000}"/>
    <cellStyle name="Normal 15 2 11 2" xfId="11561" xr:uid="{00000000-0005-0000-0000-000001410000}"/>
    <cellStyle name="Normal 15 2 11 2 2" xfId="51101" xr:uid="{00000000-0005-0000-0000-000002410000}"/>
    <cellStyle name="Normal 15 2 11 2 3" xfId="51102" xr:uid="{00000000-0005-0000-0000-000003410000}"/>
    <cellStyle name="Normal 15 2 11 3" xfId="11562" xr:uid="{00000000-0005-0000-0000-000004410000}"/>
    <cellStyle name="Normal 15 2 11 3 2" xfId="51103" xr:uid="{00000000-0005-0000-0000-000005410000}"/>
    <cellStyle name="Normal 15 2 11 4" xfId="11563" xr:uid="{00000000-0005-0000-0000-000006410000}"/>
    <cellStyle name="Normal 15 2 11 5" xfId="11564" xr:uid="{00000000-0005-0000-0000-000007410000}"/>
    <cellStyle name="Normal 15 2 11 6" xfId="11565" xr:uid="{00000000-0005-0000-0000-000008410000}"/>
    <cellStyle name="Normal 15 2 12" xfId="11566" xr:uid="{00000000-0005-0000-0000-000009410000}"/>
    <cellStyle name="Normal 15 2 12 2" xfId="51104" xr:uid="{00000000-0005-0000-0000-00000A410000}"/>
    <cellStyle name="Normal 15 2 12 3" xfId="51105" xr:uid="{00000000-0005-0000-0000-00000B410000}"/>
    <cellStyle name="Normal 15 2 13" xfId="11567" xr:uid="{00000000-0005-0000-0000-00000C410000}"/>
    <cellStyle name="Normal 15 2 13 2" xfId="51106" xr:uid="{00000000-0005-0000-0000-00000D410000}"/>
    <cellStyle name="Normal 15 2 14" xfId="11568" xr:uid="{00000000-0005-0000-0000-00000E410000}"/>
    <cellStyle name="Normal 15 2 14 2" xfId="11569" xr:uid="{00000000-0005-0000-0000-00000F410000}"/>
    <cellStyle name="Normal 15 2 15" xfId="11570" xr:uid="{00000000-0005-0000-0000-000010410000}"/>
    <cellStyle name="Normal 15 2 15 2" xfId="51107" xr:uid="{00000000-0005-0000-0000-000011410000}"/>
    <cellStyle name="Normal 15 2 16" xfId="11571" xr:uid="{00000000-0005-0000-0000-000012410000}"/>
    <cellStyle name="Normal 15 2 17" xfId="11572" xr:uid="{00000000-0005-0000-0000-000013410000}"/>
    <cellStyle name="Normal 15 2 18" xfId="11573" xr:uid="{00000000-0005-0000-0000-000014410000}"/>
    <cellStyle name="Normal 15 2 19" xfId="11574" xr:uid="{00000000-0005-0000-0000-000015410000}"/>
    <cellStyle name="Normal 15 2 2" xfId="11575" xr:uid="{00000000-0005-0000-0000-000016410000}"/>
    <cellStyle name="Normal 15 2 2 10" xfId="11576" xr:uid="{00000000-0005-0000-0000-000017410000}"/>
    <cellStyle name="Normal 15 2 2 11" xfId="11577" xr:uid="{00000000-0005-0000-0000-000018410000}"/>
    <cellStyle name="Normal 15 2 2 12" xfId="11578" xr:uid="{00000000-0005-0000-0000-000019410000}"/>
    <cellStyle name="Normal 15 2 2 13" xfId="11579" xr:uid="{00000000-0005-0000-0000-00001A410000}"/>
    <cellStyle name="Normal 15 2 2 14" xfId="11580" xr:uid="{00000000-0005-0000-0000-00001B410000}"/>
    <cellStyle name="Normal 15 2 2 15" xfId="11581" xr:uid="{00000000-0005-0000-0000-00001C410000}"/>
    <cellStyle name="Normal 15 2 2 16" xfId="11582" xr:uid="{00000000-0005-0000-0000-00001D410000}"/>
    <cellStyle name="Normal 15 2 2 2" xfId="11583" xr:uid="{00000000-0005-0000-0000-00001E410000}"/>
    <cellStyle name="Normal 15 2 2 2 10" xfId="11584" xr:uid="{00000000-0005-0000-0000-00001F410000}"/>
    <cellStyle name="Normal 15 2 2 2 11" xfId="11585" xr:uid="{00000000-0005-0000-0000-000020410000}"/>
    <cellStyle name="Normal 15 2 2 2 12" xfId="11586" xr:uid="{00000000-0005-0000-0000-000021410000}"/>
    <cellStyle name="Normal 15 2 2 2 13" xfId="11587" xr:uid="{00000000-0005-0000-0000-000022410000}"/>
    <cellStyle name="Normal 15 2 2 2 14" xfId="11588" xr:uid="{00000000-0005-0000-0000-000023410000}"/>
    <cellStyle name="Normal 15 2 2 2 15" xfId="11589" xr:uid="{00000000-0005-0000-0000-000024410000}"/>
    <cellStyle name="Normal 15 2 2 2 2" xfId="11590" xr:uid="{00000000-0005-0000-0000-000025410000}"/>
    <cellStyle name="Normal 15 2 2 2 2 2" xfId="11591" xr:uid="{00000000-0005-0000-0000-000026410000}"/>
    <cellStyle name="Normal 15 2 2 2 2 2 2" xfId="11592" xr:uid="{00000000-0005-0000-0000-000027410000}"/>
    <cellStyle name="Normal 15 2 2 2 2 2 2 2" xfId="11593" xr:uid="{00000000-0005-0000-0000-000028410000}"/>
    <cellStyle name="Normal 15 2 2 2 2 2 2 2 2" xfId="51108" xr:uid="{00000000-0005-0000-0000-000029410000}"/>
    <cellStyle name="Normal 15 2 2 2 2 2 2 2 3" xfId="51109" xr:uid="{00000000-0005-0000-0000-00002A410000}"/>
    <cellStyle name="Normal 15 2 2 2 2 2 2 3" xfId="11594" xr:uid="{00000000-0005-0000-0000-00002B410000}"/>
    <cellStyle name="Normal 15 2 2 2 2 2 2 3 2" xfId="51110" xr:uid="{00000000-0005-0000-0000-00002C410000}"/>
    <cellStyle name="Normal 15 2 2 2 2 2 2 4" xfId="11595" xr:uid="{00000000-0005-0000-0000-00002D410000}"/>
    <cellStyle name="Normal 15 2 2 2 2 2 2 5" xfId="11596" xr:uid="{00000000-0005-0000-0000-00002E410000}"/>
    <cellStyle name="Normal 15 2 2 2 2 2 2 6" xfId="11597" xr:uid="{00000000-0005-0000-0000-00002F410000}"/>
    <cellStyle name="Normal 15 2 2 2 2 2 3" xfId="11598" xr:uid="{00000000-0005-0000-0000-000030410000}"/>
    <cellStyle name="Normal 15 2 2 2 2 2 3 2" xfId="51111" xr:uid="{00000000-0005-0000-0000-000031410000}"/>
    <cellStyle name="Normal 15 2 2 2 2 2 3 3" xfId="51112" xr:uid="{00000000-0005-0000-0000-000032410000}"/>
    <cellStyle name="Normal 15 2 2 2 2 2 4" xfId="11599" xr:uid="{00000000-0005-0000-0000-000033410000}"/>
    <cellStyle name="Normal 15 2 2 2 2 2 4 2" xfId="51113" xr:uid="{00000000-0005-0000-0000-000034410000}"/>
    <cellStyle name="Normal 15 2 2 2 2 2 5" xfId="11600" xr:uid="{00000000-0005-0000-0000-000035410000}"/>
    <cellStyle name="Normal 15 2 2 2 2 2 6" xfId="11601" xr:uid="{00000000-0005-0000-0000-000036410000}"/>
    <cellStyle name="Normal 15 2 2 2 2 2 7" xfId="11602" xr:uid="{00000000-0005-0000-0000-000037410000}"/>
    <cellStyle name="Normal 15 2 2 2 2 3" xfId="11603" xr:uid="{00000000-0005-0000-0000-000038410000}"/>
    <cellStyle name="Normal 15 2 2 2 2 3 2" xfId="11604" xr:uid="{00000000-0005-0000-0000-000039410000}"/>
    <cellStyle name="Normal 15 2 2 2 2 3 2 2" xfId="51114" xr:uid="{00000000-0005-0000-0000-00003A410000}"/>
    <cellStyle name="Normal 15 2 2 2 2 3 2 3" xfId="51115" xr:uid="{00000000-0005-0000-0000-00003B410000}"/>
    <cellStyle name="Normal 15 2 2 2 2 3 3" xfId="11605" xr:uid="{00000000-0005-0000-0000-00003C410000}"/>
    <cellStyle name="Normal 15 2 2 2 2 3 3 2" xfId="51116" xr:uid="{00000000-0005-0000-0000-00003D410000}"/>
    <cellStyle name="Normal 15 2 2 2 2 3 4" xfId="11606" xr:uid="{00000000-0005-0000-0000-00003E410000}"/>
    <cellStyle name="Normal 15 2 2 2 2 3 5" xfId="11607" xr:uid="{00000000-0005-0000-0000-00003F410000}"/>
    <cellStyle name="Normal 15 2 2 2 2 3 6" xfId="11608" xr:uid="{00000000-0005-0000-0000-000040410000}"/>
    <cellStyle name="Normal 15 2 2 2 2 4" xfId="11609" xr:uid="{00000000-0005-0000-0000-000041410000}"/>
    <cellStyle name="Normal 15 2 2 2 2 4 2" xfId="51117" xr:uid="{00000000-0005-0000-0000-000042410000}"/>
    <cellStyle name="Normal 15 2 2 2 2 4 3" xfId="51118" xr:uid="{00000000-0005-0000-0000-000043410000}"/>
    <cellStyle name="Normal 15 2 2 2 2 5" xfId="11610" xr:uid="{00000000-0005-0000-0000-000044410000}"/>
    <cellStyle name="Normal 15 2 2 2 2 5 2" xfId="51119" xr:uid="{00000000-0005-0000-0000-000045410000}"/>
    <cellStyle name="Normal 15 2 2 2 2 6" xfId="11611" xr:uid="{00000000-0005-0000-0000-000046410000}"/>
    <cellStyle name="Normal 15 2 2 2 2 7" xfId="11612" xr:uid="{00000000-0005-0000-0000-000047410000}"/>
    <cellStyle name="Normal 15 2 2 2 2 8" xfId="11613" xr:uid="{00000000-0005-0000-0000-000048410000}"/>
    <cellStyle name="Normal 15 2 2 2 2 9" xfId="11614" xr:uid="{00000000-0005-0000-0000-000049410000}"/>
    <cellStyle name="Normal 15 2 2 2 3" xfId="11615" xr:uid="{00000000-0005-0000-0000-00004A410000}"/>
    <cellStyle name="Normal 15 2 2 2 3 2" xfId="11616" xr:uid="{00000000-0005-0000-0000-00004B410000}"/>
    <cellStyle name="Normal 15 2 2 2 3 2 2" xfId="11617" xr:uid="{00000000-0005-0000-0000-00004C410000}"/>
    <cellStyle name="Normal 15 2 2 2 3 2 2 2" xfId="11618" xr:uid="{00000000-0005-0000-0000-00004D410000}"/>
    <cellStyle name="Normal 15 2 2 2 3 2 2 2 2" xfId="51120" xr:uid="{00000000-0005-0000-0000-00004E410000}"/>
    <cellStyle name="Normal 15 2 2 2 3 2 2 2 3" xfId="51121" xr:uid="{00000000-0005-0000-0000-00004F410000}"/>
    <cellStyle name="Normal 15 2 2 2 3 2 2 3" xfId="11619" xr:uid="{00000000-0005-0000-0000-000050410000}"/>
    <cellStyle name="Normal 15 2 2 2 3 2 2 3 2" xfId="51122" xr:uid="{00000000-0005-0000-0000-000051410000}"/>
    <cellStyle name="Normal 15 2 2 2 3 2 2 4" xfId="11620" xr:uid="{00000000-0005-0000-0000-000052410000}"/>
    <cellStyle name="Normal 15 2 2 2 3 2 2 5" xfId="11621" xr:uid="{00000000-0005-0000-0000-000053410000}"/>
    <cellStyle name="Normal 15 2 2 2 3 2 2 6" xfId="11622" xr:uid="{00000000-0005-0000-0000-000054410000}"/>
    <cellStyle name="Normal 15 2 2 2 3 2 3" xfId="11623" xr:uid="{00000000-0005-0000-0000-000055410000}"/>
    <cellStyle name="Normal 15 2 2 2 3 2 3 2" xfId="51123" xr:uid="{00000000-0005-0000-0000-000056410000}"/>
    <cellStyle name="Normal 15 2 2 2 3 2 3 3" xfId="51124" xr:uid="{00000000-0005-0000-0000-000057410000}"/>
    <cellStyle name="Normal 15 2 2 2 3 2 4" xfId="11624" xr:uid="{00000000-0005-0000-0000-000058410000}"/>
    <cellStyle name="Normal 15 2 2 2 3 2 4 2" xfId="51125" xr:uid="{00000000-0005-0000-0000-000059410000}"/>
    <cellStyle name="Normal 15 2 2 2 3 2 5" xfId="11625" xr:uid="{00000000-0005-0000-0000-00005A410000}"/>
    <cellStyle name="Normal 15 2 2 2 3 2 6" xfId="11626" xr:uid="{00000000-0005-0000-0000-00005B410000}"/>
    <cellStyle name="Normal 15 2 2 2 3 2 7" xfId="11627" xr:uid="{00000000-0005-0000-0000-00005C410000}"/>
    <cellStyle name="Normal 15 2 2 2 3 3" xfId="11628" xr:uid="{00000000-0005-0000-0000-00005D410000}"/>
    <cellStyle name="Normal 15 2 2 2 3 3 2" xfId="11629" xr:uid="{00000000-0005-0000-0000-00005E410000}"/>
    <cellStyle name="Normal 15 2 2 2 3 3 2 2" xfId="51126" xr:uid="{00000000-0005-0000-0000-00005F410000}"/>
    <cellStyle name="Normal 15 2 2 2 3 3 2 3" xfId="51127" xr:uid="{00000000-0005-0000-0000-000060410000}"/>
    <cellStyle name="Normal 15 2 2 2 3 3 3" xfId="11630" xr:uid="{00000000-0005-0000-0000-000061410000}"/>
    <cellStyle name="Normal 15 2 2 2 3 3 3 2" xfId="51128" xr:uid="{00000000-0005-0000-0000-000062410000}"/>
    <cellStyle name="Normal 15 2 2 2 3 3 4" xfId="11631" xr:uid="{00000000-0005-0000-0000-000063410000}"/>
    <cellStyle name="Normal 15 2 2 2 3 3 5" xfId="11632" xr:uid="{00000000-0005-0000-0000-000064410000}"/>
    <cellStyle name="Normal 15 2 2 2 3 3 6" xfId="11633" xr:uid="{00000000-0005-0000-0000-000065410000}"/>
    <cellStyle name="Normal 15 2 2 2 3 4" xfId="11634" xr:uid="{00000000-0005-0000-0000-000066410000}"/>
    <cellStyle name="Normal 15 2 2 2 3 4 2" xfId="51129" xr:uid="{00000000-0005-0000-0000-000067410000}"/>
    <cellStyle name="Normal 15 2 2 2 3 4 3" xfId="51130" xr:uid="{00000000-0005-0000-0000-000068410000}"/>
    <cellStyle name="Normal 15 2 2 2 3 5" xfId="11635" xr:uid="{00000000-0005-0000-0000-000069410000}"/>
    <cellStyle name="Normal 15 2 2 2 3 5 2" xfId="51131" xr:uid="{00000000-0005-0000-0000-00006A410000}"/>
    <cellStyle name="Normal 15 2 2 2 3 6" xfId="11636" xr:uid="{00000000-0005-0000-0000-00006B410000}"/>
    <cellStyle name="Normal 15 2 2 2 3 7" xfId="11637" xr:uid="{00000000-0005-0000-0000-00006C410000}"/>
    <cellStyle name="Normal 15 2 2 2 3 8" xfId="11638" xr:uid="{00000000-0005-0000-0000-00006D410000}"/>
    <cellStyle name="Normal 15 2 2 2 4" xfId="11639" xr:uid="{00000000-0005-0000-0000-00006E410000}"/>
    <cellStyle name="Normal 15 2 2 2 4 2" xfId="11640" xr:uid="{00000000-0005-0000-0000-00006F410000}"/>
    <cellStyle name="Normal 15 2 2 2 4 2 2" xfId="11641" xr:uid="{00000000-0005-0000-0000-000070410000}"/>
    <cellStyle name="Normal 15 2 2 2 4 2 2 2" xfId="51132" xr:uid="{00000000-0005-0000-0000-000071410000}"/>
    <cellStyle name="Normal 15 2 2 2 4 2 2 3" xfId="51133" xr:uid="{00000000-0005-0000-0000-000072410000}"/>
    <cellStyle name="Normal 15 2 2 2 4 2 3" xfId="11642" xr:uid="{00000000-0005-0000-0000-000073410000}"/>
    <cellStyle name="Normal 15 2 2 2 4 2 3 2" xfId="51134" xr:uid="{00000000-0005-0000-0000-000074410000}"/>
    <cellStyle name="Normal 15 2 2 2 4 2 4" xfId="11643" xr:uid="{00000000-0005-0000-0000-000075410000}"/>
    <cellStyle name="Normal 15 2 2 2 4 2 5" xfId="11644" xr:uid="{00000000-0005-0000-0000-000076410000}"/>
    <cellStyle name="Normal 15 2 2 2 4 2 6" xfId="11645" xr:uid="{00000000-0005-0000-0000-000077410000}"/>
    <cellStyle name="Normal 15 2 2 2 4 3" xfId="11646" xr:uid="{00000000-0005-0000-0000-000078410000}"/>
    <cellStyle name="Normal 15 2 2 2 4 3 2" xfId="51135" xr:uid="{00000000-0005-0000-0000-000079410000}"/>
    <cellStyle name="Normal 15 2 2 2 4 3 3" xfId="51136" xr:uid="{00000000-0005-0000-0000-00007A410000}"/>
    <cellStyle name="Normal 15 2 2 2 4 4" xfId="11647" xr:uid="{00000000-0005-0000-0000-00007B410000}"/>
    <cellStyle name="Normal 15 2 2 2 4 4 2" xfId="51137" xr:uid="{00000000-0005-0000-0000-00007C410000}"/>
    <cellStyle name="Normal 15 2 2 2 4 5" xfId="11648" xr:uid="{00000000-0005-0000-0000-00007D410000}"/>
    <cellStyle name="Normal 15 2 2 2 4 6" xfId="11649" xr:uid="{00000000-0005-0000-0000-00007E410000}"/>
    <cellStyle name="Normal 15 2 2 2 4 7" xfId="11650" xr:uid="{00000000-0005-0000-0000-00007F410000}"/>
    <cellStyle name="Normal 15 2 2 2 5" xfId="11651" xr:uid="{00000000-0005-0000-0000-000080410000}"/>
    <cellStyle name="Normal 15 2 2 2 5 2" xfId="11652" xr:uid="{00000000-0005-0000-0000-000081410000}"/>
    <cellStyle name="Normal 15 2 2 2 5 2 2" xfId="51138" xr:uid="{00000000-0005-0000-0000-000082410000}"/>
    <cellStyle name="Normal 15 2 2 2 5 2 3" xfId="51139" xr:uid="{00000000-0005-0000-0000-000083410000}"/>
    <cellStyle name="Normal 15 2 2 2 5 3" xfId="11653" xr:uid="{00000000-0005-0000-0000-000084410000}"/>
    <cellStyle name="Normal 15 2 2 2 5 3 2" xfId="51140" xr:uid="{00000000-0005-0000-0000-000085410000}"/>
    <cellStyle name="Normal 15 2 2 2 5 4" xfId="11654" xr:uid="{00000000-0005-0000-0000-000086410000}"/>
    <cellStyle name="Normal 15 2 2 2 5 5" xfId="11655" xr:uid="{00000000-0005-0000-0000-000087410000}"/>
    <cellStyle name="Normal 15 2 2 2 5 6" xfId="11656" xr:uid="{00000000-0005-0000-0000-000088410000}"/>
    <cellStyle name="Normal 15 2 2 2 6" xfId="11657" xr:uid="{00000000-0005-0000-0000-000089410000}"/>
    <cellStyle name="Normal 15 2 2 2 6 2" xfId="51141" xr:uid="{00000000-0005-0000-0000-00008A410000}"/>
    <cellStyle name="Normal 15 2 2 2 6 3" xfId="51142" xr:uid="{00000000-0005-0000-0000-00008B410000}"/>
    <cellStyle name="Normal 15 2 2 2 7" xfId="11658" xr:uid="{00000000-0005-0000-0000-00008C410000}"/>
    <cellStyle name="Normal 15 2 2 2 7 2" xfId="51143" xr:uid="{00000000-0005-0000-0000-00008D410000}"/>
    <cellStyle name="Normal 15 2 2 2 8" xfId="11659" xr:uid="{00000000-0005-0000-0000-00008E410000}"/>
    <cellStyle name="Normal 15 2 2 2 9" xfId="11660" xr:uid="{00000000-0005-0000-0000-00008F410000}"/>
    <cellStyle name="Normal 15 2 2 3" xfId="11661" xr:uid="{00000000-0005-0000-0000-000090410000}"/>
    <cellStyle name="Normal 15 2 2 3 2" xfId="11662" xr:uid="{00000000-0005-0000-0000-000091410000}"/>
    <cellStyle name="Normal 15 2 2 3 2 2" xfId="11663" xr:uid="{00000000-0005-0000-0000-000092410000}"/>
    <cellStyle name="Normal 15 2 2 3 2 2 2" xfId="11664" xr:uid="{00000000-0005-0000-0000-000093410000}"/>
    <cellStyle name="Normal 15 2 2 3 2 2 2 2" xfId="51144" xr:uid="{00000000-0005-0000-0000-000094410000}"/>
    <cellStyle name="Normal 15 2 2 3 2 2 2 3" xfId="51145" xr:uid="{00000000-0005-0000-0000-000095410000}"/>
    <cellStyle name="Normal 15 2 2 3 2 2 3" xfId="11665" xr:uid="{00000000-0005-0000-0000-000096410000}"/>
    <cellStyle name="Normal 15 2 2 3 2 2 3 2" xfId="51146" xr:uid="{00000000-0005-0000-0000-000097410000}"/>
    <cellStyle name="Normal 15 2 2 3 2 2 4" xfId="11666" xr:uid="{00000000-0005-0000-0000-000098410000}"/>
    <cellStyle name="Normal 15 2 2 3 2 2 5" xfId="11667" xr:uid="{00000000-0005-0000-0000-000099410000}"/>
    <cellStyle name="Normal 15 2 2 3 2 2 6" xfId="11668" xr:uid="{00000000-0005-0000-0000-00009A410000}"/>
    <cellStyle name="Normal 15 2 2 3 2 3" xfId="11669" xr:uid="{00000000-0005-0000-0000-00009B410000}"/>
    <cellStyle name="Normal 15 2 2 3 2 3 2" xfId="51147" xr:uid="{00000000-0005-0000-0000-00009C410000}"/>
    <cellStyle name="Normal 15 2 2 3 2 3 3" xfId="51148" xr:uid="{00000000-0005-0000-0000-00009D410000}"/>
    <cellStyle name="Normal 15 2 2 3 2 4" xfId="11670" xr:uid="{00000000-0005-0000-0000-00009E410000}"/>
    <cellStyle name="Normal 15 2 2 3 2 4 2" xfId="51149" xr:uid="{00000000-0005-0000-0000-00009F410000}"/>
    <cellStyle name="Normal 15 2 2 3 2 5" xfId="11671" xr:uid="{00000000-0005-0000-0000-0000A0410000}"/>
    <cellStyle name="Normal 15 2 2 3 2 6" xfId="11672" xr:uid="{00000000-0005-0000-0000-0000A1410000}"/>
    <cellStyle name="Normal 15 2 2 3 2 7" xfId="11673" xr:uid="{00000000-0005-0000-0000-0000A2410000}"/>
    <cellStyle name="Normal 15 2 2 3 3" xfId="11674" xr:uid="{00000000-0005-0000-0000-0000A3410000}"/>
    <cellStyle name="Normal 15 2 2 3 3 2" xfId="11675" xr:uid="{00000000-0005-0000-0000-0000A4410000}"/>
    <cellStyle name="Normal 15 2 2 3 3 2 2" xfId="51150" xr:uid="{00000000-0005-0000-0000-0000A5410000}"/>
    <cellStyle name="Normal 15 2 2 3 3 2 3" xfId="51151" xr:uid="{00000000-0005-0000-0000-0000A6410000}"/>
    <cellStyle name="Normal 15 2 2 3 3 3" xfId="11676" xr:uid="{00000000-0005-0000-0000-0000A7410000}"/>
    <cellStyle name="Normal 15 2 2 3 3 3 2" xfId="51152" xr:uid="{00000000-0005-0000-0000-0000A8410000}"/>
    <cellStyle name="Normal 15 2 2 3 3 4" xfId="11677" xr:uid="{00000000-0005-0000-0000-0000A9410000}"/>
    <cellStyle name="Normal 15 2 2 3 3 5" xfId="11678" xr:uid="{00000000-0005-0000-0000-0000AA410000}"/>
    <cellStyle name="Normal 15 2 2 3 3 6" xfId="11679" xr:uid="{00000000-0005-0000-0000-0000AB410000}"/>
    <cellStyle name="Normal 15 2 2 3 4" xfId="11680" xr:uid="{00000000-0005-0000-0000-0000AC410000}"/>
    <cellStyle name="Normal 15 2 2 3 4 2" xfId="51153" xr:uid="{00000000-0005-0000-0000-0000AD410000}"/>
    <cellStyle name="Normal 15 2 2 3 4 3" xfId="51154" xr:uid="{00000000-0005-0000-0000-0000AE410000}"/>
    <cellStyle name="Normal 15 2 2 3 5" xfId="11681" xr:uid="{00000000-0005-0000-0000-0000AF410000}"/>
    <cellStyle name="Normal 15 2 2 3 5 2" xfId="51155" xr:uid="{00000000-0005-0000-0000-0000B0410000}"/>
    <cellStyle name="Normal 15 2 2 3 6" xfId="11682" xr:uid="{00000000-0005-0000-0000-0000B1410000}"/>
    <cellStyle name="Normal 15 2 2 3 7" xfId="11683" xr:uid="{00000000-0005-0000-0000-0000B2410000}"/>
    <cellStyle name="Normal 15 2 2 3 8" xfId="11684" xr:uid="{00000000-0005-0000-0000-0000B3410000}"/>
    <cellStyle name="Normal 15 2 2 3 9" xfId="11685" xr:uid="{00000000-0005-0000-0000-0000B4410000}"/>
    <cellStyle name="Normal 15 2 2 4" xfId="11686" xr:uid="{00000000-0005-0000-0000-0000B5410000}"/>
    <cellStyle name="Normal 15 2 2 4 2" xfId="11687" xr:uid="{00000000-0005-0000-0000-0000B6410000}"/>
    <cellStyle name="Normal 15 2 2 4 2 2" xfId="11688" xr:uid="{00000000-0005-0000-0000-0000B7410000}"/>
    <cellStyle name="Normal 15 2 2 4 2 2 2" xfId="11689" xr:uid="{00000000-0005-0000-0000-0000B8410000}"/>
    <cellStyle name="Normal 15 2 2 4 2 2 2 2" xfId="51156" xr:uid="{00000000-0005-0000-0000-0000B9410000}"/>
    <cellStyle name="Normal 15 2 2 4 2 2 2 3" xfId="51157" xr:uid="{00000000-0005-0000-0000-0000BA410000}"/>
    <cellStyle name="Normal 15 2 2 4 2 2 3" xfId="11690" xr:uid="{00000000-0005-0000-0000-0000BB410000}"/>
    <cellStyle name="Normal 15 2 2 4 2 2 3 2" xfId="51158" xr:uid="{00000000-0005-0000-0000-0000BC410000}"/>
    <cellStyle name="Normal 15 2 2 4 2 2 4" xfId="11691" xr:uid="{00000000-0005-0000-0000-0000BD410000}"/>
    <cellStyle name="Normal 15 2 2 4 2 2 5" xfId="11692" xr:uid="{00000000-0005-0000-0000-0000BE410000}"/>
    <cellStyle name="Normal 15 2 2 4 2 2 6" xfId="11693" xr:uid="{00000000-0005-0000-0000-0000BF410000}"/>
    <cellStyle name="Normal 15 2 2 4 2 3" xfId="11694" xr:uid="{00000000-0005-0000-0000-0000C0410000}"/>
    <cellStyle name="Normal 15 2 2 4 2 3 2" xfId="51159" xr:uid="{00000000-0005-0000-0000-0000C1410000}"/>
    <cellStyle name="Normal 15 2 2 4 2 3 3" xfId="51160" xr:uid="{00000000-0005-0000-0000-0000C2410000}"/>
    <cellStyle name="Normal 15 2 2 4 2 4" xfId="11695" xr:uid="{00000000-0005-0000-0000-0000C3410000}"/>
    <cellStyle name="Normal 15 2 2 4 2 4 2" xfId="51161" xr:uid="{00000000-0005-0000-0000-0000C4410000}"/>
    <cellStyle name="Normal 15 2 2 4 2 5" xfId="11696" xr:uid="{00000000-0005-0000-0000-0000C5410000}"/>
    <cellStyle name="Normal 15 2 2 4 2 6" xfId="11697" xr:uid="{00000000-0005-0000-0000-0000C6410000}"/>
    <cellStyle name="Normal 15 2 2 4 2 7" xfId="11698" xr:uid="{00000000-0005-0000-0000-0000C7410000}"/>
    <cellStyle name="Normal 15 2 2 4 3" xfId="11699" xr:uid="{00000000-0005-0000-0000-0000C8410000}"/>
    <cellStyle name="Normal 15 2 2 4 3 2" xfId="11700" xr:uid="{00000000-0005-0000-0000-0000C9410000}"/>
    <cellStyle name="Normal 15 2 2 4 3 2 2" xfId="51162" xr:uid="{00000000-0005-0000-0000-0000CA410000}"/>
    <cellStyle name="Normal 15 2 2 4 3 2 3" xfId="51163" xr:uid="{00000000-0005-0000-0000-0000CB410000}"/>
    <cellStyle name="Normal 15 2 2 4 3 3" xfId="11701" xr:uid="{00000000-0005-0000-0000-0000CC410000}"/>
    <cellStyle name="Normal 15 2 2 4 3 3 2" xfId="51164" xr:uid="{00000000-0005-0000-0000-0000CD410000}"/>
    <cellStyle name="Normal 15 2 2 4 3 4" xfId="11702" xr:uid="{00000000-0005-0000-0000-0000CE410000}"/>
    <cellStyle name="Normal 15 2 2 4 3 5" xfId="11703" xr:uid="{00000000-0005-0000-0000-0000CF410000}"/>
    <cellStyle name="Normal 15 2 2 4 3 6" xfId="11704" xr:uid="{00000000-0005-0000-0000-0000D0410000}"/>
    <cellStyle name="Normal 15 2 2 4 4" xfId="11705" xr:uid="{00000000-0005-0000-0000-0000D1410000}"/>
    <cellStyle name="Normal 15 2 2 4 4 2" xfId="51165" xr:uid="{00000000-0005-0000-0000-0000D2410000}"/>
    <cellStyle name="Normal 15 2 2 4 4 3" xfId="51166" xr:uid="{00000000-0005-0000-0000-0000D3410000}"/>
    <cellStyle name="Normal 15 2 2 4 5" xfId="11706" xr:uid="{00000000-0005-0000-0000-0000D4410000}"/>
    <cellStyle name="Normal 15 2 2 4 5 2" xfId="51167" xr:uid="{00000000-0005-0000-0000-0000D5410000}"/>
    <cellStyle name="Normal 15 2 2 4 6" xfId="11707" xr:uid="{00000000-0005-0000-0000-0000D6410000}"/>
    <cellStyle name="Normal 15 2 2 4 7" xfId="11708" xr:uid="{00000000-0005-0000-0000-0000D7410000}"/>
    <cellStyle name="Normal 15 2 2 4 8" xfId="11709" xr:uid="{00000000-0005-0000-0000-0000D8410000}"/>
    <cellStyle name="Normal 15 2 2 5" xfId="11710" xr:uid="{00000000-0005-0000-0000-0000D9410000}"/>
    <cellStyle name="Normal 15 2 2 5 2" xfId="11711" xr:uid="{00000000-0005-0000-0000-0000DA410000}"/>
    <cellStyle name="Normal 15 2 2 5 2 2" xfId="11712" xr:uid="{00000000-0005-0000-0000-0000DB410000}"/>
    <cellStyle name="Normal 15 2 2 5 2 2 2" xfId="51168" xr:uid="{00000000-0005-0000-0000-0000DC410000}"/>
    <cellStyle name="Normal 15 2 2 5 2 2 3" xfId="51169" xr:uid="{00000000-0005-0000-0000-0000DD410000}"/>
    <cellStyle name="Normal 15 2 2 5 2 3" xfId="11713" xr:uid="{00000000-0005-0000-0000-0000DE410000}"/>
    <cellStyle name="Normal 15 2 2 5 2 3 2" xfId="51170" xr:uid="{00000000-0005-0000-0000-0000DF410000}"/>
    <cellStyle name="Normal 15 2 2 5 2 4" xfId="11714" xr:uid="{00000000-0005-0000-0000-0000E0410000}"/>
    <cellStyle name="Normal 15 2 2 5 2 5" xfId="11715" xr:uid="{00000000-0005-0000-0000-0000E1410000}"/>
    <cellStyle name="Normal 15 2 2 5 2 6" xfId="11716" xr:uid="{00000000-0005-0000-0000-0000E2410000}"/>
    <cellStyle name="Normal 15 2 2 5 3" xfId="11717" xr:uid="{00000000-0005-0000-0000-0000E3410000}"/>
    <cellStyle name="Normal 15 2 2 5 3 2" xfId="51171" xr:uid="{00000000-0005-0000-0000-0000E4410000}"/>
    <cellStyle name="Normal 15 2 2 5 3 3" xfId="51172" xr:uid="{00000000-0005-0000-0000-0000E5410000}"/>
    <cellStyle name="Normal 15 2 2 5 4" xfId="11718" xr:uid="{00000000-0005-0000-0000-0000E6410000}"/>
    <cellStyle name="Normal 15 2 2 5 4 2" xfId="51173" xr:uid="{00000000-0005-0000-0000-0000E7410000}"/>
    <cellStyle name="Normal 15 2 2 5 5" xfId="11719" xr:uid="{00000000-0005-0000-0000-0000E8410000}"/>
    <cellStyle name="Normal 15 2 2 5 6" xfId="11720" xr:uid="{00000000-0005-0000-0000-0000E9410000}"/>
    <cellStyle name="Normal 15 2 2 5 7" xfId="11721" xr:uid="{00000000-0005-0000-0000-0000EA410000}"/>
    <cellStyle name="Normal 15 2 2 6" xfId="11722" xr:uid="{00000000-0005-0000-0000-0000EB410000}"/>
    <cellStyle name="Normal 15 2 2 6 2" xfId="11723" xr:uid="{00000000-0005-0000-0000-0000EC410000}"/>
    <cellStyle name="Normal 15 2 2 6 2 2" xfId="51174" xr:uid="{00000000-0005-0000-0000-0000ED410000}"/>
    <cellStyle name="Normal 15 2 2 6 2 3" xfId="51175" xr:uid="{00000000-0005-0000-0000-0000EE410000}"/>
    <cellStyle name="Normal 15 2 2 6 3" xfId="11724" xr:uid="{00000000-0005-0000-0000-0000EF410000}"/>
    <cellStyle name="Normal 15 2 2 6 3 2" xfId="51176" xr:uid="{00000000-0005-0000-0000-0000F0410000}"/>
    <cellStyle name="Normal 15 2 2 6 4" xfId="11725" xr:uid="{00000000-0005-0000-0000-0000F1410000}"/>
    <cellStyle name="Normal 15 2 2 6 5" xfId="11726" xr:uid="{00000000-0005-0000-0000-0000F2410000}"/>
    <cellStyle name="Normal 15 2 2 6 6" xfId="11727" xr:uid="{00000000-0005-0000-0000-0000F3410000}"/>
    <cellStyle name="Normal 15 2 2 7" xfId="11728" xr:uid="{00000000-0005-0000-0000-0000F4410000}"/>
    <cellStyle name="Normal 15 2 2 7 2" xfId="51177" xr:uid="{00000000-0005-0000-0000-0000F5410000}"/>
    <cellStyle name="Normal 15 2 2 7 3" xfId="51178" xr:uid="{00000000-0005-0000-0000-0000F6410000}"/>
    <cellStyle name="Normal 15 2 2 8" xfId="11729" xr:uid="{00000000-0005-0000-0000-0000F7410000}"/>
    <cellStyle name="Normal 15 2 2 8 2" xfId="51179" xr:uid="{00000000-0005-0000-0000-0000F8410000}"/>
    <cellStyle name="Normal 15 2 2 9" xfId="11730" xr:uid="{00000000-0005-0000-0000-0000F9410000}"/>
    <cellStyle name="Normal 15 2 2 9 2" xfId="51180" xr:uid="{00000000-0005-0000-0000-0000FA410000}"/>
    <cellStyle name="Normal 15 2 20" xfId="11731" xr:uid="{00000000-0005-0000-0000-0000FB410000}"/>
    <cellStyle name="Normal 15 2 3" xfId="11732" xr:uid="{00000000-0005-0000-0000-0000FC410000}"/>
    <cellStyle name="Normal 15 2 3 10" xfId="11733" xr:uid="{00000000-0005-0000-0000-0000FD410000}"/>
    <cellStyle name="Normal 15 2 3 11" xfId="11734" xr:uid="{00000000-0005-0000-0000-0000FE410000}"/>
    <cellStyle name="Normal 15 2 3 12" xfId="11735" xr:uid="{00000000-0005-0000-0000-0000FF410000}"/>
    <cellStyle name="Normal 15 2 3 13" xfId="11736" xr:uid="{00000000-0005-0000-0000-000000420000}"/>
    <cellStyle name="Normal 15 2 3 14" xfId="11737" xr:uid="{00000000-0005-0000-0000-000001420000}"/>
    <cellStyle name="Normal 15 2 3 15" xfId="11738" xr:uid="{00000000-0005-0000-0000-000002420000}"/>
    <cellStyle name="Normal 15 2 3 16" xfId="11739" xr:uid="{00000000-0005-0000-0000-000003420000}"/>
    <cellStyle name="Normal 15 2 3 2" xfId="11740" xr:uid="{00000000-0005-0000-0000-000004420000}"/>
    <cellStyle name="Normal 15 2 3 2 10" xfId="11741" xr:uid="{00000000-0005-0000-0000-000005420000}"/>
    <cellStyle name="Normal 15 2 3 2 11" xfId="11742" xr:uid="{00000000-0005-0000-0000-000006420000}"/>
    <cellStyle name="Normal 15 2 3 2 12" xfId="11743" xr:uid="{00000000-0005-0000-0000-000007420000}"/>
    <cellStyle name="Normal 15 2 3 2 13" xfId="11744" xr:uid="{00000000-0005-0000-0000-000008420000}"/>
    <cellStyle name="Normal 15 2 3 2 14" xfId="11745" xr:uid="{00000000-0005-0000-0000-000009420000}"/>
    <cellStyle name="Normal 15 2 3 2 2" xfId="11746" xr:uid="{00000000-0005-0000-0000-00000A420000}"/>
    <cellStyle name="Normal 15 2 3 2 2 2" xfId="11747" xr:uid="{00000000-0005-0000-0000-00000B420000}"/>
    <cellStyle name="Normal 15 2 3 2 2 2 2" xfId="11748" xr:uid="{00000000-0005-0000-0000-00000C420000}"/>
    <cellStyle name="Normal 15 2 3 2 2 2 2 2" xfId="11749" xr:uid="{00000000-0005-0000-0000-00000D420000}"/>
    <cellStyle name="Normal 15 2 3 2 2 2 2 2 2" xfId="51181" xr:uid="{00000000-0005-0000-0000-00000E420000}"/>
    <cellStyle name="Normal 15 2 3 2 2 2 2 2 3" xfId="51182" xr:uid="{00000000-0005-0000-0000-00000F420000}"/>
    <cellStyle name="Normal 15 2 3 2 2 2 2 3" xfId="11750" xr:uid="{00000000-0005-0000-0000-000010420000}"/>
    <cellStyle name="Normal 15 2 3 2 2 2 2 3 2" xfId="51183" xr:uid="{00000000-0005-0000-0000-000011420000}"/>
    <cellStyle name="Normal 15 2 3 2 2 2 2 4" xfId="11751" xr:uid="{00000000-0005-0000-0000-000012420000}"/>
    <cellStyle name="Normal 15 2 3 2 2 2 2 5" xfId="11752" xr:uid="{00000000-0005-0000-0000-000013420000}"/>
    <cellStyle name="Normal 15 2 3 2 2 2 2 6" xfId="11753" xr:uid="{00000000-0005-0000-0000-000014420000}"/>
    <cellStyle name="Normal 15 2 3 2 2 2 3" xfId="11754" xr:uid="{00000000-0005-0000-0000-000015420000}"/>
    <cellStyle name="Normal 15 2 3 2 2 2 3 2" xfId="51184" xr:uid="{00000000-0005-0000-0000-000016420000}"/>
    <cellStyle name="Normal 15 2 3 2 2 2 3 3" xfId="51185" xr:uid="{00000000-0005-0000-0000-000017420000}"/>
    <cellStyle name="Normal 15 2 3 2 2 2 4" xfId="11755" xr:uid="{00000000-0005-0000-0000-000018420000}"/>
    <cellStyle name="Normal 15 2 3 2 2 2 4 2" xfId="51186" xr:uid="{00000000-0005-0000-0000-000019420000}"/>
    <cellStyle name="Normal 15 2 3 2 2 2 5" xfId="11756" xr:uid="{00000000-0005-0000-0000-00001A420000}"/>
    <cellStyle name="Normal 15 2 3 2 2 2 6" xfId="11757" xr:uid="{00000000-0005-0000-0000-00001B420000}"/>
    <cellStyle name="Normal 15 2 3 2 2 2 7" xfId="11758" xr:uid="{00000000-0005-0000-0000-00001C420000}"/>
    <cellStyle name="Normal 15 2 3 2 2 3" xfId="11759" xr:uid="{00000000-0005-0000-0000-00001D420000}"/>
    <cellStyle name="Normal 15 2 3 2 2 3 2" xfId="11760" xr:uid="{00000000-0005-0000-0000-00001E420000}"/>
    <cellStyle name="Normal 15 2 3 2 2 3 2 2" xfId="51187" xr:uid="{00000000-0005-0000-0000-00001F420000}"/>
    <cellStyle name="Normal 15 2 3 2 2 3 2 3" xfId="51188" xr:uid="{00000000-0005-0000-0000-000020420000}"/>
    <cellStyle name="Normal 15 2 3 2 2 3 3" xfId="11761" xr:uid="{00000000-0005-0000-0000-000021420000}"/>
    <cellStyle name="Normal 15 2 3 2 2 3 3 2" xfId="51189" xr:uid="{00000000-0005-0000-0000-000022420000}"/>
    <cellStyle name="Normal 15 2 3 2 2 3 4" xfId="11762" xr:uid="{00000000-0005-0000-0000-000023420000}"/>
    <cellStyle name="Normal 15 2 3 2 2 3 5" xfId="11763" xr:uid="{00000000-0005-0000-0000-000024420000}"/>
    <cellStyle name="Normal 15 2 3 2 2 3 6" xfId="11764" xr:uid="{00000000-0005-0000-0000-000025420000}"/>
    <cellStyle name="Normal 15 2 3 2 2 4" xfId="11765" xr:uid="{00000000-0005-0000-0000-000026420000}"/>
    <cellStyle name="Normal 15 2 3 2 2 4 2" xfId="51190" xr:uid="{00000000-0005-0000-0000-000027420000}"/>
    <cellStyle name="Normal 15 2 3 2 2 4 3" xfId="51191" xr:uid="{00000000-0005-0000-0000-000028420000}"/>
    <cellStyle name="Normal 15 2 3 2 2 5" xfId="11766" xr:uid="{00000000-0005-0000-0000-000029420000}"/>
    <cellStyle name="Normal 15 2 3 2 2 5 2" xfId="51192" xr:uid="{00000000-0005-0000-0000-00002A420000}"/>
    <cellStyle name="Normal 15 2 3 2 2 6" xfId="11767" xr:uid="{00000000-0005-0000-0000-00002B420000}"/>
    <cellStyle name="Normal 15 2 3 2 2 7" xfId="11768" xr:uid="{00000000-0005-0000-0000-00002C420000}"/>
    <cellStyle name="Normal 15 2 3 2 2 8" xfId="11769" xr:uid="{00000000-0005-0000-0000-00002D420000}"/>
    <cellStyle name="Normal 15 2 3 2 2 9" xfId="11770" xr:uid="{00000000-0005-0000-0000-00002E420000}"/>
    <cellStyle name="Normal 15 2 3 2 3" xfId="11771" xr:uid="{00000000-0005-0000-0000-00002F420000}"/>
    <cellStyle name="Normal 15 2 3 2 3 2" xfId="11772" xr:uid="{00000000-0005-0000-0000-000030420000}"/>
    <cellStyle name="Normal 15 2 3 2 3 2 2" xfId="11773" xr:uid="{00000000-0005-0000-0000-000031420000}"/>
    <cellStyle name="Normal 15 2 3 2 3 2 2 2" xfId="11774" xr:uid="{00000000-0005-0000-0000-000032420000}"/>
    <cellStyle name="Normal 15 2 3 2 3 2 2 2 2" xfId="51193" xr:uid="{00000000-0005-0000-0000-000033420000}"/>
    <cellStyle name="Normal 15 2 3 2 3 2 2 2 3" xfId="51194" xr:uid="{00000000-0005-0000-0000-000034420000}"/>
    <cellStyle name="Normal 15 2 3 2 3 2 2 3" xfId="11775" xr:uid="{00000000-0005-0000-0000-000035420000}"/>
    <cellStyle name="Normal 15 2 3 2 3 2 2 3 2" xfId="51195" xr:uid="{00000000-0005-0000-0000-000036420000}"/>
    <cellStyle name="Normal 15 2 3 2 3 2 2 4" xfId="11776" xr:uid="{00000000-0005-0000-0000-000037420000}"/>
    <cellStyle name="Normal 15 2 3 2 3 2 2 5" xfId="11777" xr:uid="{00000000-0005-0000-0000-000038420000}"/>
    <cellStyle name="Normal 15 2 3 2 3 2 2 6" xfId="11778" xr:uid="{00000000-0005-0000-0000-000039420000}"/>
    <cellStyle name="Normal 15 2 3 2 3 2 3" xfId="11779" xr:uid="{00000000-0005-0000-0000-00003A420000}"/>
    <cellStyle name="Normal 15 2 3 2 3 2 3 2" xfId="51196" xr:uid="{00000000-0005-0000-0000-00003B420000}"/>
    <cellStyle name="Normal 15 2 3 2 3 2 3 3" xfId="51197" xr:uid="{00000000-0005-0000-0000-00003C420000}"/>
    <cellStyle name="Normal 15 2 3 2 3 2 4" xfId="11780" xr:uid="{00000000-0005-0000-0000-00003D420000}"/>
    <cellStyle name="Normal 15 2 3 2 3 2 4 2" xfId="51198" xr:uid="{00000000-0005-0000-0000-00003E420000}"/>
    <cellStyle name="Normal 15 2 3 2 3 2 5" xfId="11781" xr:uid="{00000000-0005-0000-0000-00003F420000}"/>
    <cellStyle name="Normal 15 2 3 2 3 2 6" xfId="11782" xr:uid="{00000000-0005-0000-0000-000040420000}"/>
    <cellStyle name="Normal 15 2 3 2 3 2 7" xfId="11783" xr:uid="{00000000-0005-0000-0000-000041420000}"/>
    <cellStyle name="Normal 15 2 3 2 3 3" xfId="11784" xr:uid="{00000000-0005-0000-0000-000042420000}"/>
    <cellStyle name="Normal 15 2 3 2 3 3 2" xfId="11785" xr:uid="{00000000-0005-0000-0000-000043420000}"/>
    <cellStyle name="Normal 15 2 3 2 3 3 2 2" xfId="51199" xr:uid="{00000000-0005-0000-0000-000044420000}"/>
    <cellStyle name="Normal 15 2 3 2 3 3 2 3" xfId="51200" xr:uid="{00000000-0005-0000-0000-000045420000}"/>
    <cellStyle name="Normal 15 2 3 2 3 3 3" xfId="11786" xr:uid="{00000000-0005-0000-0000-000046420000}"/>
    <cellStyle name="Normal 15 2 3 2 3 3 3 2" xfId="51201" xr:uid="{00000000-0005-0000-0000-000047420000}"/>
    <cellStyle name="Normal 15 2 3 2 3 3 4" xfId="11787" xr:uid="{00000000-0005-0000-0000-000048420000}"/>
    <cellStyle name="Normal 15 2 3 2 3 3 5" xfId="11788" xr:uid="{00000000-0005-0000-0000-000049420000}"/>
    <cellStyle name="Normal 15 2 3 2 3 3 6" xfId="11789" xr:uid="{00000000-0005-0000-0000-00004A420000}"/>
    <cellStyle name="Normal 15 2 3 2 3 4" xfId="11790" xr:uid="{00000000-0005-0000-0000-00004B420000}"/>
    <cellStyle name="Normal 15 2 3 2 3 4 2" xfId="51202" xr:uid="{00000000-0005-0000-0000-00004C420000}"/>
    <cellStyle name="Normal 15 2 3 2 3 4 3" xfId="51203" xr:uid="{00000000-0005-0000-0000-00004D420000}"/>
    <cellStyle name="Normal 15 2 3 2 3 5" xfId="11791" xr:uid="{00000000-0005-0000-0000-00004E420000}"/>
    <cellStyle name="Normal 15 2 3 2 3 5 2" xfId="51204" xr:uid="{00000000-0005-0000-0000-00004F420000}"/>
    <cellStyle name="Normal 15 2 3 2 3 6" xfId="11792" xr:uid="{00000000-0005-0000-0000-000050420000}"/>
    <cellStyle name="Normal 15 2 3 2 3 7" xfId="11793" xr:uid="{00000000-0005-0000-0000-000051420000}"/>
    <cellStyle name="Normal 15 2 3 2 3 8" xfId="11794" xr:uid="{00000000-0005-0000-0000-000052420000}"/>
    <cellStyle name="Normal 15 2 3 2 4" xfId="11795" xr:uid="{00000000-0005-0000-0000-000053420000}"/>
    <cellStyle name="Normal 15 2 3 2 4 2" xfId="11796" xr:uid="{00000000-0005-0000-0000-000054420000}"/>
    <cellStyle name="Normal 15 2 3 2 4 2 2" xfId="11797" xr:uid="{00000000-0005-0000-0000-000055420000}"/>
    <cellStyle name="Normal 15 2 3 2 4 2 2 2" xfId="51205" xr:uid="{00000000-0005-0000-0000-000056420000}"/>
    <cellStyle name="Normal 15 2 3 2 4 2 2 3" xfId="51206" xr:uid="{00000000-0005-0000-0000-000057420000}"/>
    <cellStyle name="Normal 15 2 3 2 4 2 3" xfId="11798" xr:uid="{00000000-0005-0000-0000-000058420000}"/>
    <cellStyle name="Normal 15 2 3 2 4 2 3 2" xfId="51207" xr:uid="{00000000-0005-0000-0000-000059420000}"/>
    <cellStyle name="Normal 15 2 3 2 4 2 4" xfId="11799" xr:uid="{00000000-0005-0000-0000-00005A420000}"/>
    <cellStyle name="Normal 15 2 3 2 4 2 5" xfId="11800" xr:uid="{00000000-0005-0000-0000-00005B420000}"/>
    <cellStyle name="Normal 15 2 3 2 4 2 6" xfId="11801" xr:uid="{00000000-0005-0000-0000-00005C420000}"/>
    <cellStyle name="Normal 15 2 3 2 4 3" xfId="11802" xr:uid="{00000000-0005-0000-0000-00005D420000}"/>
    <cellStyle name="Normal 15 2 3 2 4 3 2" xfId="51208" xr:uid="{00000000-0005-0000-0000-00005E420000}"/>
    <cellStyle name="Normal 15 2 3 2 4 3 3" xfId="51209" xr:uid="{00000000-0005-0000-0000-00005F420000}"/>
    <cellStyle name="Normal 15 2 3 2 4 4" xfId="11803" xr:uid="{00000000-0005-0000-0000-000060420000}"/>
    <cellStyle name="Normal 15 2 3 2 4 4 2" xfId="51210" xr:uid="{00000000-0005-0000-0000-000061420000}"/>
    <cellStyle name="Normal 15 2 3 2 4 5" xfId="11804" xr:uid="{00000000-0005-0000-0000-000062420000}"/>
    <cellStyle name="Normal 15 2 3 2 4 6" xfId="11805" xr:uid="{00000000-0005-0000-0000-000063420000}"/>
    <cellStyle name="Normal 15 2 3 2 4 7" xfId="11806" xr:uid="{00000000-0005-0000-0000-000064420000}"/>
    <cellStyle name="Normal 15 2 3 2 5" xfId="11807" xr:uid="{00000000-0005-0000-0000-000065420000}"/>
    <cellStyle name="Normal 15 2 3 2 5 2" xfId="11808" xr:uid="{00000000-0005-0000-0000-000066420000}"/>
    <cellStyle name="Normal 15 2 3 2 5 2 2" xfId="51211" xr:uid="{00000000-0005-0000-0000-000067420000}"/>
    <cellStyle name="Normal 15 2 3 2 5 2 3" xfId="51212" xr:uid="{00000000-0005-0000-0000-000068420000}"/>
    <cellStyle name="Normal 15 2 3 2 5 3" xfId="11809" xr:uid="{00000000-0005-0000-0000-000069420000}"/>
    <cellStyle name="Normal 15 2 3 2 5 3 2" xfId="51213" xr:uid="{00000000-0005-0000-0000-00006A420000}"/>
    <cellStyle name="Normal 15 2 3 2 5 4" xfId="11810" xr:uid="{00000000-0005-0000-0000-00006B420000}"/>
    <cellStyle name="Normal 15 2 3 2 5 5" xfId="11811" xr:uid="{00000000-0005-0000-0000-00006C420000}"/>
    <cellStyle name="Normal 15 2 3 2 5 6" xfId="11812" xr:uid="{00000000-0005-0000-0000-00006D420000}"/>
    <cellStyle name="Normal 15 2 3 2 6" xfId="11813" xr:uid="{00000000-0005-0000-0000-00006E420000}"/>
    <cellStyle name="Normal 15 2 3 2 6 2" xfId="51214" xr:uid="{00000000-0005-0000-0000-00006F420000}"/>
    <cellStyle name="Normal 15 2 3 2 6 3" xfId="51215" xr:uid="{00000000-0005-0000-0000-000070420000}"/>
    <cellStyle name="Normal 15 2 3 2 7" xfId="11814" xr:uid="{00000000-0005-0000-0000-000071420000}"/>
    <cellStyle name="Normal 15 2 3 2 7 2" xfId="51216" xr:uid="{00000000-0005-0000-0000-000072420000}"/>
    <cellStyle name="Normal 15 2 3 2 8" xfId="11815" xr:uid="{00000000-0005-0000-0000-000073420000}"/>
    <cellStyle name="Normal 15 2 3 2 9" xfId="11816" xr:uid="{00000000-0005-0000-0000-000074420000}"/>
    <cellStyle name="Normal 15 2 3 3" xfId="11817" xr:uid="{00000000-0005-0000-0000-000075420000}"/>
    <cellStyle name="Normal 15 2 3 3 2" xfId="11818" xr:uid="{00000000-0005-0000-0000-000076420000}"/>
    <cellStyle name="Normal 15 2 3 3 2 2" xfId="11819" xr:uid="{00000000-0005-0000-0000-000077420000}"/>
    <cellStyle name="Normal 15 2 3 3 2 2 2" xfId="11820" xr:uid="{00000000-0005-0000-0000-000078420000}"/>
    <cellStyle name="Normal 15 2 3 3 2 2 2 2" xfId="51217" xr:uid="{00000000-0005-0000-0000-000079420000}"/>
    <cellStyle name="Normal 15 2 3 3 2 2 2 3" xfId="51218" xr:uid="{00000000-0005-0000-0000-00007A420000}"/>
    <cellStyle name="Normal 15 2 3 3 2 2 3" xfId="11821" xr:uid="{00000000-0005-0000-0000-00007B420000}"/>
    <cellStyle name="Normal 15 2 3 3 2 2 3 2" xfId="51219" xr:uid="{00000000-0005-0000-0000-00007C420000}"/>
    <cellStyle name="Normal 15 2 3 3 2 2 4" xfId="11822" xr:uid="{00000000-0005-0000-0000-00007D420000}"/>
    <cellStyle name="Normal 15 2 3 3 2 2 5" xfId="11823" xr:uid="{00000000-0005-0000-0000-00007E420000}"/>
    <cellStyle name="Normal 15 2 3 3 2 2 6" xfId="11824" xr:uid="{00000000-0005-0000-0000-00007F420000}"/>
    <cellStyle name="Normal 15 2 3 3 2 3" xfId="11825" xr:uid="{00000000-0005-0000-0000-000080420000}"/>
    <cellStyle name="Normal 15 2 3 3 2 3 2" xfId="51220" xr:uid="{00000000-0005-0000-0000-000081420000}"/>
    <cellStyle name="Normal 15 2 3 3 2 3 3" xfId="51221" xr:uid="{00000000-0005-0000-0000-000082420000}"/>
    <cellStyle name="Normal 15 2 3 3 2 4" xfId="11826" xr:uid="{00000000-0005-0000-0000-000083420000}"/>
    <cellStyle name="Normal 15 2 3 3 2 4 2" xfId="51222" xr:uid="{00000000-0005-0000-0000-000084420000}"/>
    <cellStyle name="Normal 15 2 3 3 2 5" xfId="11827" xr:uid="{00000000-0005-0000-0000-000085420000}"/>
    <cellStyle name="Normal 15 2 3 3 2 6" xfId="11828" xr:uid="{00000000-0005-0000-0000-000086420000}"/>
    <cellStyle name="Normal 15 2 3 3 2 7" xfId="11829" xr:uid="{00000000-0005-0000-0000-000087420000}"/>
    <cellStyle name="Normal 15 2 3 3 3" xfId="11830" xr:uid="{00000000-0005-0000-0000-000088420000}"/>
    <cellStyle name="Normal 15 2 3 3 3 2" xfId="11831" xr:uid="{00000000-0005-0000-0000-000089420000}"/>
    <cellStyle name="Normal 15 2 3 3 3 2 2" xfId="51223" xr:uid="{00000000-0005-0000-0000-00008A420000}"/>
    <cellStyle name="Normal 15 2 3 3 3 2 3" xfId="51224" xr:uid="{00000000-0005-0000-0000-00008B420000}"/>
    <cellStyle name="Normal 15 2 3 3 3 3" xfId="11832" xr:uid="{00000000-0005-0000-0000-00008C420000}"/>
    <cellStyle name="Normal 15 2 3 3 3 3 2" xfId="51225" xr:uid="{00000000-0005-0000-0000-00008D420000}"/>
    <cellStyle name="Normal 15 2 3 3 3 4" xfId="11833" xr:uid="{00000000-0005-0000-0000-00008E420000}"/>
    <cellStyle name="Normal 15 2 3 3 3 5" xfId="11834" xr:uid="{00000000-0005-0000-0000-00008F420000}"/>
    <cellStyle name="Normal 15 2 3 3 3 6" xfId="11835" xr:uid="{00000000-0005-0000-0000-000090420000}"/>
    <cellStyle name="Normal 15 2 3 3 4" xfId="11836" xr:uid="{00000000-0005-0000-0000-000091420000}"/>
    <cellStyle name="Normal 15 2 3 3 4 2" xfId="51226" xr:uid="{00000000-0005-0000-0000-000092420000}"/>
    <cellStyle name="Normal 15 2 3 3 4 3" xfId="51227" xr:uid="{00000000-0005-0000-0000-000093420000}"/>
    <cellStyle name="Normal 15 2 3 3 5" xfId="11837" xr:uid="{00000000-0005-0000-0000-000094420000}"/>
    <cellStyle name="Normal 15 2 3 3 5 2" xfId="51228" xr:uid="{00000000-0005-0000-0000-000095420000}"/>
    <cellStyle name="Normal 15 2 3 3 6" xfId="11838" xr:uid="{00000000-0005-0000-0000-000096420000}"/>
    <cellStyle name="Normal 15 2 3 3 7" xfId="11839" xr:uid="{00000000-0005-0000-0000-000097420000}"/>
    <cellStyle name="Normal 15 2 3 3 8" xfId="11840" xr:uid="{00000000-0005-0000-0000-000098420000}"/>
    <cellStyle name="Normal 15 2 3 3 9" xfId="11841" xr:uid="{00000000-0005-0000-0000-000099420000}"/>
    <cellStyle name="Normal 15 2 3 4" xfId="11842" xr:uid="{00000000-0005-0000-0000-00009A420000}"/>
    <cellStyle name="Normal 15 2 3 4 2" xfId="11843" xr:uid="{00000000-0005-0000-0000-00009B420000}"/>
    <cellStyle name="Normal 15 2 3 4 2 2" xfId="11844" xr:uid="{00000000-0005-0000-0000-00009C420000}"/>
    <cellStyle name="Normal 15 2 3 4 2 2 2" xfId="11845" xr:uid="{00000000-0005-0000-0000-00009D420000}"/>
    <cellStyle name="Normal 15 2 3 4 2 2 2 2" xfId="51229" xr:uid="{00000000-0005-0000-0000-00009E420000}"/>
    <cellStyle name="Normal 15 2 3 4 2 2 2 3" xfId="51230" xr:uid="{00000000-0005-0000-0000-00009F420000}"/>
    <cellStyle name="Normal 15 2 3 4 2 2 3" xfId="11846" xr:uid="{00000000-0005-0000-0000-0000A0420000}"/>
    <cellStyle name="Normal 15 2 3 4 2 2 3 2" xfId="51231" xr:uid="{00000000-0005-0000-0000-0000A1420000}"/>
    <cellStyle name="Normal 15 2 3 4 2 2 4" xfId="11847" xr:uid="{00000000-0005-0000-0000-0000A2420000}"/>
    <cellStyle name="Normal 15 2 3 4 2 2 5" xfId="11848" xr:uid="{00000000-0005-0000-0000-0000A3420000}"/>
    <cellStyle name="Normal 15 2 3 4 2 2 6" xfId="11849" xr:uid="{00000000-0005-0000-0000-0000A4420000}"/>
    <cellStyle name="Normal 15 2 3 4 2 3" xfId="11850" xr:uid="{00000000-0005-0000-0000-0000A5420000}"/>
    <cellStyle name="Normal 15 2 3 4 2 3 2" xfId="51232" xr:uid="{00000000-0005-0000-0000-0000A6420000}"/>
    <cellStyle name="Normal 15 2 3 4 2 3 3" xfId="51233" xr:uid="{00000000-0005-0000-0000-0000A7420000}"/>
    <cellStyle name="Normal 15 2 3 4 2 4" xfId="11851" xr:uid="{00000000-0005-0000-0000-0000A8420000}"/>
    <cellStyle name="Normal 15 2 3 4 2 4 2" xfId="51234" xr:uid="{00000000-0005-0000-0000-0000A9420000}"/>
    <cellStyle name="Normal 15 2 3 4 2 5" xfId="11852" xr:uid="{00000000-0005-0000-0000-0000AA420000}"/>
    <cellStyle name="Normal 15 2 3 4 2 6" xfId="11853" xr:uid="{00000000-0005-0000-0000-0000AB420000}"/>
    <cellStyle name="Normal 15 2 3 4 2 7" xfId="11854" xr:uid="{00000000-0005-0000-0000-0000AC420000}"/>
    <cellStyle name="Normal 15 2 3 4 3" xfId="11855" xr:uid="{00000000-0005-0000-0000-0000AD420000}"/>
    <cellStyle name="Normal 15 2 3 4 3 2" xfId="11856" xr:uid="{00000000-0005-0000-0000-0000AE420000}"/>
    <cellStyle name="Normal 15 2 3 4 3 2 2" xfId="51235" xr:uid="{00000000-0005-0000-0000-0000AF420000}"/>
    <cellStyle name="Normal 15 2 3 4 3 2 3" xfId="51236" xr:uid="{00000000-0005-0000-0000-0000B0420000}"/>
    <cellStyle name="Normal 15 2 3 4 3 3" xfId="11857" xr:uid="{00000000-0005-0000-0000-0000B1420000}"/>
    <cellStyle name="Normal 15 2 3 4 3 3 2" xfId="51237" xr:uid="{00000000-0005-0000-0000-0000B2420000}"/>
    <cellStyle name="Normal 15 2 3 4 3 4" xfId="11858" xr:uid="{00000000-0005-0000-0000-0000B3420000}"/>
    <cellStyle name="Normal 15 2 3 4 3 5" xfId="11859" xr:uid="{00000000-0005-0000-0000-0000B4420000}"/>
    <cellStyle name="Normal 15 2 3 4 3 6" xfId="11860" xr:uid="{00000000-0005-0000-0000-0000B5420000}"/>
    <cellStyle name="Normal 15 2 3 4 4" xfId="11861" xr:uid="{00000000-0005-0000-0000-0000B6420000}"/>
    <cellStyle name="Normal 15 2 3 4 4 2" xfId="51238" xr:uid="{00000000-0005-0000-0000-0000B7420000}"/>
    <cellStyle name="Normal 15 2 3 4 4 3" xfId="51239" xr:uid="{00000000-0005-0000-0000-0000B8420000}"/>
    <cellStyle name="Normal 15 2 3 4 5" xfId="11862" xr:uid="{00000000-0005-0000-0000-0000B9420000}"/>
    <cellStyle name="Normal 15 2 3 4 5 2" xfId="51240" xr:uid="{00000000-0005-0000-0000-0000BA420000}"/>
    <cellStyle name="Normal 15 2 3 4 6" xfId="11863" xr:uid="{00000000-0005-0000-0000-0000BB420000}"/>
    <cellStyle name="Normal 15 2 3 4 7" xfId="11864" xr:uid="{00000000-0005-0000-0000-0000BC420000}"/>
    <cellStyle name="Normal 15 2 3 4 8" xfId="11865" xr:uid="{00000000-0005-0000-0000-0000BD420000}"/>
    <cellStyle name="Normal 15 2 3 5" xfId="11866" xr:uid="{00000000-0005-0000-0000-0000BE420000}"/>
    <cellStyle name="Normal 15 2 3 5 2" xfId="11867" xr:uid="{00000000-0005-0000-0000-0000BF420000}"/>
    <cellStyle name="Normal 15 2 3 5 2 2" xfId="11868" xr:uid="{00000000-0005-0000-0000-0000C0420000}"/>
    <cellStyle name="Normal 15 2 3 5 2 2 2" xfId="51241" xr:uid="{00000000-0005-0000-0000-0000C1420000}"/>
    <cellStyle name="Normal 15 2 3 5 2 2 3" xfId="51242" xr:uid="{00000000-0005-0000-0000-0000C2420000}"/>
    <cellStyle name="Normal 15 2 3 5 2 3" xfId="11869" xr:uid="{00000000-0005-0000-0000-0000C3420000}"/>
    <cellStyle name="Normal 15 2 3 5 2 3 2" xfId="51243" xr:uid="{00000000-0005-0000-0000-0000C4420000}"/>
    <cellStyle name="Normal 15 2 3 5 2 4" xfId="11870" xr:uid="{00000000-0005-0000-0000-0000C5420000}"/>
    <cellStyle name="Normal 15 2 3 5 2 5" xfId="11871" xr:uid="{00000000-0005-0000-0000-0000C6420000}"/>
    <cellStyle name="Normal 15 2 3 5 2 6" xfId="11872" xr:uid="{00000000-0005-0000-0000-0000C7420000}"/>
    <cellStyle name="Normal 15 2 3 5 3" xfId="11873" xr:uid="{00000000-0005-0000-0000-0000C8420000}"/>
    <cellStyle name="Normal 15 2 3 5 3 2" xfId="51244" xr:uid="{00000000-0005-0000-0000-0000C9420000}"/>
    <cellStyle name="Normal 15 2 3 5 3 3" xfId="51245" xr:uid="{00000000-0005-0000-0000-0000CA420000}"/>
    <cellStyle name="Normal 15 2 3 5 4" xfId="11874" xr:uid="{00000000-0005-0000-0000-0000CB420000}"/>
    <cellStyle name="Normal 15 2 3 5 4 2" xfId="51246" xr:uid="{00000000-0005-0000-0000-0000CC420000}"/>
    <cellStyle name="Normal 15 2 3 5 5" xfId="11875" xr:uid="{00000000-0005-0000-0000-0000CD420000}"/>
    <cellStyle name="Normal 15 2 3 5 6" xfId="11876" xr:uid="{00000000-0005-0000-0000-0000CE420000}"/>
    <cellStyle name="Normal 15 2 3 5 7" xfId="11877" xr:uid="{00000000-0005-0000-0000-0000CF420000}"/>
    <cellStyle name="Normal 15 2 3 6" xfId="11878" xr:uid="{00000000-0005-0000-0000-0000D0420000}"/>
    <cellStyle name="Normal 15 2 3 6 2" xfId="11879" xr:uid="{00000000-0005-0000-0000-0000D1420000}"/>
    <cellStyle name="Normal 15 2 3 6 2 2" xfId="51247" xr:uid="{00000000-0005-0000-0000-0000D2420000}"/>
    <cellStyle name="Normal 15 2 3 6 2 3" xfId="51248" xr:uid="{00000000-0005-0000-0000-0000D3420000}"/>
    <cellStyle name="Normal 15 2 3 6 3" xfId="11880" xr:uid="{00000000-0005-0000-0000-0000D4420000}"/>
    <cellStyle name="Normal 15 2 3 6 3 2" xfId="51249" xr:uid="{00000000-0005-0000-0000-0000D5420000}"/>
    <cellStyle name="Normal 15 2 3 6 4" xfId="11881" xr:uid="{00000000-0005-0000-0000-0000D6420000}"/>
    <cellStyle name="Normal 15 2 3 6 5" xfId="11882" xr:uid="{00000000-0005-0000-0000-0000D7420000}"/>
    <cellStyle name="Normal 15 2 3 6 6" xfId="11883" xr:uid="{00000000-0005-0000-0000-0000D8420000}"/>
    <cellStyle name="Normal 15 2 3 7" xfId="11884" xr:uid="{00000000-0005-0000-0000-0000D9420000}"/>
    <cellStyle name="Normal 15 2 3 7 2" xfId="51250" xr:uid="{00000000-0005-0000-0000-0000DA420000}"/>
    <cellStyle name="Normal 15 2 3 7 3" xfId="51251" xr:uid="{00000000-0005-0000-0000-0000DB420000}"/>
    <cellStyle name="Normal 15 2 3 8" xfId="11885" xr:uid="{00000000-0005-0000-0000-0000DC420000}"/>
    <cellStyle name="Normal 15 2 3 8 2" xfId="51252" xr:uid="{00000000-0005-0000-0000-0000DD420000}"/>
    <cellStyle name="Normal 15 2 3 9" xfId="11886" xr:uid="{00000000-0005-0000-0000-0000DE420000}"/>
    <cellStyle name="Normal 15 2 4" xfId="11887" xr:uid="{00000000-0005-0000-0000-0000DF420000}"/>
    <cellStyle name="Normal 15 2 4 10" xfId="11888" xr:uid="{00000000-0005-0000-0000-0000E0420000}"/>
    <cellStyle name="Normal 15 2 4 11" xfId="11889" xr:uid="{00000000-0005-0000-0000-0000E1420000}"/>
    <cellStyle name="Normal 15 2 4 12" xfId="11890" xr:uid="{00000000-0005-0000-0000-0000E2420000}"/>
    <cellStyle name="Normal 15 2 4 13" xfId="11891" xr:uid="{00000000-0005-0000-0000-0000E3420000}"/>
    <cellStyle name="Normal 15 2 4 14" xfId="11892" xr:uid="{00000000-0005-0000-0000-0000E4420000}"/>
    <cellStyle name="Normal 15 2 4 2" xfId="11893" xr:uid="{00000000-0005-0000-0000-0000E5420000}"/>
    <cellStyle name="Normal 15 2 4 2 2" xfId="11894" xr:uid="{00000000-0005-0000-0000-0000E6420000}"/>
    <cellStyle name="Normal 15 2 4 2 2 2" xfId="11895" xr:uid="{00000000-0005-0000-0000-0000E7420000}"/>
    <cellStyle name="Normal 15 2 4 2 2 2 2" xfId="11896" xr:uid="{00000000-0005-0000-0000-0000E8420000}"/>
    <cellStyle name="Normal 15 2 4 2 2 2 2 2" xfId="51253" xr:uid="{00000000-0005-0000-0000-0000E9420000}"/>
    <cellStyle name="Normal 15 2 4 2 2 2 2 3" xfId="51254" xr:uid="{00000000-0005-0000-0000-0000EA420000}"/>
    <cellStyle name="Normal 15 2 4 2 2 2 3" xfId="11897" xr:uid="{00000000-0005-0000-0000-0000EB420000}"/>
    <cellStyle name="Normal 15 2 4 2 2 2 3 2" xfId="51255" xr:uid="{00000000-0005-0000-0000-0000EC420000}"/>
    <cellStyle name="Normal 15 2 4 2 2 2 4" xfId="11898" xr:uid="{00000000-0005-0000-0000-0000ED420000}"/>
    <cellStyle name="Normal 15 2 4 2 2 2 5" xfId="11899" xr:uid="{00000000-0005-0000-0000-0000EE420000}"/>
    <cellStyle name="Normal 15 2 4 2 2 2 6" xfId="11900" xr:uid="{00000000-0005-0000-0000-0000EF420000}"/>
    <cellStyle name="Normal 15 2 4 2 2 3" xfId="11901" xr:uid="{00000000-0005-0000-0000-0000F0420000}"/>
    <cellStyle name="Normal 15 2 4 2 2 3 2" xfId="51256" xr:uid="{00000000-0005-0000-0000-0000F1420000}"/>
    <cellStyle name="Normal 15 2 4 2 2 3 3" xfId="51257" xr:uid="{00000000-0005-0000-0000-0000F2420000}"/>
    <cellStyle name="Normal 15 2 4 2 2 4" xfId="11902" xr:uid="{00000000-0005-0000-0000-0000F3420000}"/>
    <cellStyle name="Normal 15 2 4 2 2 4 2" xfId="51258" xr:uid="{00000000-0005-0000-0000-0000F4420000}"/>
    <cellStyle name="Normal 15 2 4 2 2 5" xfId="11903" xr:uid="{00000000-0005-0000-0000-0000F5420000}"/>
    <cellStyle name="Normal 15 2 4 2 2 6" xfId="11904" xr:uid="{00000000-0005-0000-0000-0000F6420000}"/>
    <cellStyle name="Normal 15 2 4 2 2 7" xfId="11905" xr:uid="{00000000-0005-0000-0000-0000F7420000}"/>
    <cellStyle name="Normal 15 2 4 2 3" xfId="11906" xr:uid="{00000000-0005-0000-0000-0000F8420000}"/>
    <cellStyle name="Normal 15 2 4 2 3 2" xfId="11907" xr:uid="{00000000-0005-0000-0000-0000F9420000}"/>
    <cellStyle name="Normal 15 2 4 2 3 2 2" xfId="51259" xr:uid="{00000000-0005-0000-0000-0000FA420000}"/>
    <cellStyle name="Normal 15 2 4 2 3 2 3" xfId="51260" xr:uid="{00000000-0005-0000-0000-0000FB420000}"/>
    <cellStyle name="Normal 15 2 4 2 3 3" xfId="11908" xr:uid="{00000000-0005-0000-0000-0000FC420000}"/>
    <cellStyle name="Normal 15 2 4 2 3 3 2" xfId="51261" xr:uid="{00000000-0005-0000-0000-0000FD420000}"/>
    <cellStyle name="Normal 15 2 4 2 3 4" xfId="11909" xr:uid="{00000000-0005-0000-0000-0000FE420000}"/>
    <cellStyle name="Normal 15 2 4 2 3 5" xfId="11910" xr:uid="{00000000-0005-0000-0000-0000FF420000}"/>
    <cellStyle name="Normal 15 2 4 2 3 6" xfId="11911" xr:uid="{00000000-0005-0000-0000-000000430000}"/>
    <cellStyle name="Normal 15 2 4 2 4" xfId="11912" xr:uid="{00000000-0005-0000-0000-000001430000}"/>
    <cellStyle name="Normal 15 2 4 2 4 2" xfId="51262" xr:uid="{00000000-0005-0000-0000-000002430000}"/>
    <cellStyle name="Normal 15 2 4 2 4 3" xfId="51263" xr:uid="{00000000-0005-0000-0000-000003430000}"/>
    <cellStyle name="Normal 15 2 4 2 5" xfId="11913" xr:uid="{00000000-0005-0000-0000-000004430000}"/>
    <cellStyle name="Normal 15 2 4 2 5 2" xfId="51264" xr:uid="{00000000-0005-0000-0000-000005430000}"/>
    <cellStyle name="Normal 15 2 4 2 6" xfId="11914" xr:uid="{00000000-0005-0000-0000-000006430000}"/>
    <cellStyle name="Normal 15 2 4 2 7" xfId="11915" xr:uid="{00000000-0005-0000-0000-000007430000}"/>
    <cellStyle name="Normal 15 2 4 2 8" xfId="11916" xr:uid="{00000000-0005-0000-0000-000008430000}"/>
    <cellStyle name="Normal 15 2 4 2 9" xfId="11917" xr:uid="{00000000-0005-0000-0000-000009430000}"/>
    <cellStyle name="Normal 15 2 4 3" xfId="11918" xr:uid="{00000000-0005-0000-0000-00000A430000}"/>
    <cellStyle name="Normal 15 2 4 3 2" xfId="11919" xr:uid="{00000000-0005-0000-0000-00000B430000}"/>
    <cellStyle name="Normal 15 2 4 3 2 2" xfId="11920" xr:uid="{00000000-0005-0000-0000-00000C430000}"/>
    <cellStyle name="Normal 15 2 4 3 2 2 2" xfId="11921" xr:uid="{00000000-0005-0000-0000-00000D430000}"/>
    <cellStyle name="Normal 15 2 4 3 2 2 2 2" xfId="51265" xr:uid="{00000000-0005-0000-0000-00000E430000}"/>
    <cellStyle name="Normal 15 2 4 3 2 2 2 3" xfId="51266" xr:uid="{00000000-0005-0000-0000-00000F430000}"/>
    <cellStyle name="Normal 15 2 4 3 2 2 3" xfId="11922" xr:uid="{00000000-0005-0000-0000-000010430000}"/>
    <cellStyle name="Normal 15 2 4 3 2 2 3 2" xfId="51267" xr:uid="{00000000-0005-0000-0000-000011430000}"/>
    <cellStyle name="Normal 15 2 4 3 2 2 4" xfId="11923" xr:uid="{00000000-0005-0000-0000-000012430000}"/>
    <cellStyle name="Normal 15 2 4 3 2 2 5" xfId="11924" xr:uid="{00000000-0005-0000-0000-000013430000}"/>
    <cellStyle name="Normal 15 2 4 3 2 2 6" xfId="11925" xr:uid="{00000000-0005-0000-0000-000014430000}"/>
    <cellStyle name="Normal 15 2 4 3 2 3" xfId="11926" xr:uid="{00000000-0005-0000-0000-000015430000}"/>
    <cellStyle name="Normal 15 2 4 3 2 3 2" xfId="51268" xr:uid="{00000000-0005-0000-0000-000016430000}"/>
    <cellStyle name="Normal 15 2 4 3 2 3 3" xfId="51269" xr:uid="{00000000-0005-0000-0000-000017430000}"/>
    <cellStyle name="Normal 15 2 4 3 2 4" xfId="11927" xr:uid="{00000000-0005-0000-0000-000018430000}"/>
    <cellStyle name="Normal 15 2 4 3 2 4 2" xfId="51270" xr:uid="{00000000-0005-0000-0000-000019430000}"/>
    <cellStyle name="Normal 15 2 4 3 2 5" xfId="11928" xr:uid="{00000000-0005-0000-0000-00001A430000}"/>
    <cellStyle name="Normal 15 2 4 3 2 6" xfId="11929" xr:uid="{00000000-0005-0000-0000-00001B430000}"/>
    <cellStyle name="Normal 15 2 4 3 2 7" xfId="11930" xr:uid="{00000000-0005-0000-0000-00001C430000}"/>
    <cellStyle name="Normal 15 2 4 3 3" xfId="11931" xr:uid="{00000000-0005-0000-0000-00001D430000}"/>
    <cellStyle name="Normal 15 2 4 3 3 2" xfId="11932" xr:uid="{00000000-0005-0000-0000-00001E430000}"/>
    <cellStyle name="Normal 15 2 4 3 3 2 2" xfId="51271" xr:uid="{00000000-0005-0000-0000-00001F430000}"/>
    <cellStyle name="Normal 15 2 4 3 3 2 3" xfId="51272" xr:uid="{00000000-0005-0000-0000-000020430000}"/>
    <cellStyle name="Normal 15 2 4 3 3 3" xfId="11933" xr:uid="{00000000-0005-0000-0000-000021430000}"/>
    <cellStyle name="Normal 15 2 4 3 3 3 2" xfId="51273" xr:uid="{00000000-0005-0000-0000-000022430000}"/>
    <cellStyle name="Normal 15 2 4 3 3 4" xfId="11934" xr:uid="{00000000-0005-0000-0000-000023430000}"/>
    <cellStyle name="Normal 15 2 4 3 3 5" xfId="11935" xr:uid="{00000000-0005-0000-0000-000024430000}"/>
    <cellStyle name="Normal 15 2 4 3 3 6" xfId="11936" xr:uid="{00000000-0005-0000-0000-000025430000}"/>
    <cellStyle name="Normal 15 2 4 3 4" xfId="11937" xr:uid="{00000000-0005-0000-0000-000026430000}"/>
    <cellStyle name="Normal 15 2 4 3 4 2" xfId="51274" xr:uid="{00000000-0005-0000-0000-000027430000}"/>
    <cellStyle name="Normal 15 2 4 3 4 3" xfId="51275" xr:uid="{00000000-0005-0000-0000-000028430000}"/>
    <cellStyle name="Normal 15 2 4 3 5" xfId="11938" xr:uid="{00000000-0005-0000-0000-000029430000}"/>
    <cellStyle name="Normal 15 2 4 3 5 2" xfId="51276" xr:uid="{00000000-0005-0000-0000-00002A430000}"/>
    <cellStyle name="Normal 15 2 4 3 6" xfId="11939" xr:uid="{00000000-0005-0000-0000-00002B430000}"/>
    <cellStyle name="Normal 15 2 4 3 7" xfId="11940" xr:uid="{00000000-0005-0000-0000-00002C430000}"/>
    <cellStyle name="Normal 15 2 4 3 8" xfId="11941" xr:uid="{00000000-0005-0000-0000-00002D430000}"/>
    <cellStyle name="Normal 15 2 4 4" xfId="11942" xr:uid="{00000000-0005-0000-0000-00002E430000}"/>
    <cellStyle name="Normal 15 2 4 4 2" xfId="11943" xr:uid="{00000000-0005-0000-0000-00002F430000}"/>
    <cellStyle name="Normal 15 2 4 4 2 2" xfId="11944" xr:uid="{00000000-0005-0000-0000-000030430000}"/>
    <cellStyle name="Normal 15 2 4 4 2 2 2" xfId="51277" xr:uid="{00000000-0005-0000-0000-000031430000}"/>
    <cellStyle name="Normal 15 2 4 4 2 2 3" xfId="51278" xr:uid="{00000000-0005-0000-0000-000032430000}"/>
    <cellStyle name="Normal 15 2 4 4 2 3" xfId="11945" xr:uid="{00000000-0005-0000-0000-000033430000}"/>
    <cellStyle name="Normal 15 2 4 4 2 3 2" xfId="51279" xr:uid="{00000000-0005-0000-0000-000034430000}"/>
    <cellStyle name="Normal 15 2 4 4 2 4" xfId="11946" xr:uid="{00000000-0005-0000-0000-000035430000}"/>
    <cellStyle name="Normal 15 2 4 4 2 5" xfId="11947" xr:uid="{00000000-0005-0000-0000-000036430000}"/>
    <cellStyle name="Normal 15 2 4 4 2 6" xfId="11948" xr:uid="{00000000-0005-0000-0000-000037430000}"/>
    <cellStyle name="Normal 15 2 4 4 3" xfId="11949" xr:uid="{00000000-0005-0000-0000-000038430000}"/>
    <cellStyle name="Normal 15 2 4 4 3 2" xfId="51280" xr:uid="{00000000-0005-0000-0000-000039430000}"/>
    <cellStyle name="Normal 15 2 4 4 3 3" xfId="51281" xr:uid="{00000000-0005-0000-0000-00003A430000}"/>
    <cellStyle name="Normal 15 2 4 4 4" xfId="11950" xr:uid="{00000000-0005-0000-0000-00003B430000}"/>
    <cellStyle name="Normal 15 2 4 4 4 2" xfId="51282" xr:uid="{00000000-0005-0000-0000-00003C430000}"/>
    <cellStyle name="Normal 15 2 4 4 5" xfId="11951" xr:uid="{00000000-0005-0000-0000-00003D430000}"/>
    <cellStyle name="Normal 15 2 4 4 6" xfId="11952" xr:uid="{00000000-0005-0000-0000-00003E430000}"/>
    <cellStyle name="Normal 15 2 4 4 7" xfId="11953" xr:uid="{00000000-0005-0000-0000-00003F430000}"/>
    <cellStyle name="Normal 15 2 4 5" xfId="11954" xr:uid="{00000000-0005-0000-0000-000040430000}"/>
    <cellStyle name="Normal 15 2 4 5 2" xfId="11955" xr:uid="{00000000-0005-0000-0000-000041430000}"/>
    <cellStyle name="Normal 15 2 4 5 2 2" xfId="51283" xr:uid="{00000000-0005-0000-0000-000042430000}"/>
    <cellStyle name="Normal 15 2 4 5 2 3" xfId="51284" xr:uid="{00000000-0005-0000-0000-000043430000}"/>
    <cellStyle name="Normal 15 2 4 5 3" xfId="11956" xr:uid="{00000000-0005-0000-0000-000044430000}"/>
    <cellStyle name="Normal 15 2 4 5 3 2" xfId="51285" xr:uid="{00000000-0005-0000-0000-000045430000}"/>
    <cellStyle name="Normal 15 2 4 5 4" xfId="11957" xr:uid="{00000000-0005-0000-0000-000046430000}"/>
    <cellStyle name="Normal 15 2 4 5 5" xfId="11958" xr:uid="{00000000-0005-0000-0000-000047430000}"/>
    <cellStyle name="Normal 15 2 4 5 6" xfId="11959" xr:uid="{00000000-0005-0000-0000-000048430000}"/>
    <cellStyle name="Normal 15 2 4 6" xfId="11960" xr:uid="{00000000-0005-0000-0000-000049430000}"/>
    <cellStyle name="Normal 15 2 4 6 2" xfId="51286" xr:uid="{00000000-0005-0000-0000-00004A430000}"/>
    <cellStyle name="Normal 15 2 4 6 3" xfId="51287" xr:uid="{00000000-0005-0000-0000-00004B430000}"/>
    <cellStyle name="Normal 15 2 4 7" xfId="11961" xr:uid="{00000000-0005-0000-0000-00004C430000}"/>
    <cellStyle name="Normal 15 2 4 7 2" xfId="51288" xr:uid="{00000000-0005-0000-0000-00004D430000}"/>
    <cellStyle name="Normal 15 2 4 8" xfId="11962" xr:uid="{00000000-0005-0000-0000-00004E430000}"/>
    <cellStyle name="Normal 15 2 4 9" xfId="11963" xr:uid="{00000000-0005-0000-0000-00004F430000}"/>
    <cellStyle name="Normal 15 2 5" xfId="11964" xr:uid="{00000000-0005-0000-0000-000050430000}"/>
    <cellStyle name="Normal 15 2 5 10" xfId="11965" xr:uid="{00000000-0005-0000-0000-000051430000}"/>
    <cellStyle name="Normal 15 2 5 11" xfId="11966" xr:uid="{00000000-0005-0000-0000-000052430000}"/>
    <cellStyle name="Normal 15 2 5 12" xfId="11967" xr:uid="{00000000-0005-0000-0000-000053430000}"/>
    <cellStyle name="Normal 15 2 5 13" xfId="11968" xr:uid="{00000000-0005-0000-0000-000054430000}"/>
    <cellStyle name="Normal 15 2 5 14" xfId="11969" xr:uid="{00000000-0005-0000-0000-000055430000}"/>
    <cellStyle name="Normal 15 2 5 2" xfId="11970" xr:uid="{00000000-0005-0000-0000-000056430000}"/>
    <cellStyle name="Normal 15 2 5 2 2" xfId="11971" xr:uid="{00000000-0005-0000-0000-000057430000}"/>
    <cellStyle name="Normal 15 2 5 2 2 2" xfId="11972" xr:uid="{00000000-0005-0000-0000-000058430000}"/>
    <cellStyle name="Normal 15 2 5 2 2 2 2" xfId="11973" xr:uid="{00000000-0005-0000-0000-000059430000}"/>
    <cellStyle name="Normal 15 2 5 2 2 2 2 2" xfId="51289" xr:uid="{00000000-0005-0000-0000-00005A430000}"/>
    <cellStyle name="Normal 15 2 5 2 2 2 2 3" xfId="51290" xr:uid="{00000000-0005-0000-0000-00005B430000}"/>
    <cellStyle name="Normal 15 2 5 2 2 2 3" xfId="11974" xr:uid="{00000000-0005-0000-0000-00005C430000}"/>
    <cellStyle name="Normal 15 2 5 2 2 2 3 2" xfId="51291" xr:uid="{00000000-0005-0000-0000-00005D430000}"/>
    <cellStyle name="Normal 15 2 5 2 2 2 4" xfId="11975" xr:uid="{00000000-0005-0000-0000-00005E430000}"/>
    <cellStyle name="Normal 15 2 5 2 2 2 5" xfId="11976" xr:uid="{00000000-0005-0000-0000-00005F430000}"/>
    <cellStyle name="Normal 15 2 5 2 2 2 6" xfId="11977" xr:uid="{00000000-0005-0000-0000-000060430000}"/>
    <cellStyle name="Normal 15 2 5 2 2 3" xfId="11978" xr:uid="{00000000-0005-0000-0000-000061430000}"/>
    <cellStyle name="Normal 15 2 5 2 2 3 2" xfId="51292" xr:uid="{00000000-0005-0000-0000-000062430000}"/>
    <cellStyle name="Normal 15 2 5 2 2 3 3" xfId="51293" xr:uid="{00000000-0005-0000-0000-000063430000}"/>
    <cellStyle name="Normal 15 2 5 2 2 4" xfId="11979" xr:uid="{00000000-0005-0000-0000-000064430000}"/>
    <cellStyle name="Normal 15 2 5 2 2 4 2" xfId="51294" xr:uid="{00000000-0005-0000-0000-000065430000}"/>
    <cellStyle name="Normal 15 2 5 2 2 5" xfId="11980" xr:uid="{00000000-0005-0000-0000-000066430000}"/>
    <cellStyle name="Normal 15 2 5 2 2 6" xfId="11981" xr:uid="{00000000-0005-0000-0000-000067430000}"/>
    <cellStyle name="Normal 15 2 5 2 2 7" xfId="11982" xr:uid="{00000000-0005-0000-0000-000068430000}"/>
    <cellStyle name="Normal 15 2 5 2 3" xfId="11983" xr:uid="{00000000-0005-0000-0000-000069430000}"/>
    <cellStyle name="Normal 15 2 5 2 3 2" xfId="11984" xr:uid="{00000000-0005-0000-0000-00006A430000}"/>
    <cellStyle name="Normal 15 2 5 2 3 2 2" xfId="51295" xr:uid="{00000000-0005-0000-0000-00006B430000}"/>
    <cellStyle name="Normal 15 2 5 2 3 2 3" xfId="51296" xr:uid="{00000000-0005-0000-0000-00006C430000}"/>
    <cellStyle name="Normal 15 2 5 2 3 3" xfId="11985" xr:uid="{00000000-0005-0000-0000-00006D430000}"/>
    <cellStyle name="Normal 15 2 5 2 3 3 2" xfId="51297" xr:uid="{00000000-0005-0000-0000-00006E430000}"/>
    <cellStyle name="Normal 15 2 5 2 3 4" xfId="11986" xr:uid="{00000000-0005-0000-0000-00006F430000}"/>
    <cellStyle name="Normal 15 2 5 2 3 5" xfId="11987" xr:uid="{00000000-0005-0000-0000-000070430000}"/>
    <cellStyle name="Normal 15 2 5 2 3 6" xfId="11988" xr:uid="{00000000-0005-0000-0000-000071430000}"/>
    <cellStyle name="Normal 15 2 5 2 4" xfId="11989" xr:uid="{00000000-0005-0000-0000-000072430000}"/>
    <cellStyle name="Normal 15 2 5 2 4 2" xfId="51298" xr:uid="{00000000-0005-0000-0000-000073430000}"/>
    <cellStyle name="Normal 15 2 5 2 4 3" xfId="51299" xr:uid="{00000000-0005-0000-0000-000074430000}"/>
    <cellStyle name="Normal 15 2 5 2 5" xfId="11990" xr:uid="{00000000-0005-0000-0000-000075430000}"/>
    <cellStyle name="Normal 15 2 5 2 5 2" xfId="51300" xr:uid="{00000000-0005-0000-0000-000076430000}"/>
    <cellStyle name="Normal 15 2 5 2 6" xfId="11991" xr:uid="{00000000-0005-0000-0000-000077430000}"/>
    <cellStyle name="Normal 15 2 5 2 7" xfId="11992" xr:uid="{00000000-0005-0000-0000-000078430000}"/>
    <cellStyle name="Normal 15 2 5 2 8" xfId="11993" xr:uid="{00000000-0005-0000-0000-000079430000}"/>
    <cellStyle name="Normal 15 2 5 2 9" xfId="11994" xr:uid="{00000000-0005-0000-0000-00007A430000}"/>
    <cellStyle name="Normal 15 2 5 3" xfId="11995" xr:uid="{00000000-0005-0000-0000-00007B430000}"/>
    <cellStyle name="Normal 15 2 5 3 2" xfId="11996" xr:uid="{00000000-0005-0000-0000-00007C430000}"/>
    <cellStyle name="Normal 15 2 5 3 2 2" xfId="11997" xr:uid="{00000000-0005-0000-0000-00007D430000}"/>
    <cellStyle name="Normal 15 2 5 3 2 2 2" xfId="11998" xr:uid="{00000000-0005-0000-0000-00007E430000}"/>
    <cellStyle name="Normal 15 2 5 3 2 2 2 2" xfId="51301" xr:uid="{00000000-0005-0000-0000-00007F430000}"/>
    <cellStyle name="Normal 15 2 5 3 2 2 2 3" xfId="51302" xr:uid="{00000000-0005-0000-0000-000080430000}"/>
    <cellStyle name="Normal 15 2 5 3 2 2 3" xfId="11999" xr:uid="{00000000-0005-0000-0000-000081430000}"/>
    <cellStyle name="Normal 15 2 5 3 2 2 3 2" xfId="51303" xr:uid="{00000000-0005-0000-0000-000082430000}"/>
    <cellStyle name="Normal 15 2 5 3 2 2 4" xfId="12000" xr:uid="{00000000-0005-0000-0000-000083430000}"/>
    <cellStyle name="Normal 15 2 5 3 2 2 5" xfId="12001" xr:uid="{00000000-0005-0000-0000-000084430000}"/>
    <cellStyle name="Normal 15 2 5 3 2 2 6" xfId="12002" xr:uid="{00000000-0005-0000-0000-000085430000}"/>
    <cellStyle name="Normal 15 2 5 3 2 3" xfId="12003" xr:uid="{00000000-0005-0000-0000-000086430000}"/>
    <cellStyle name="Normal 15 2 5 3 2 3 2" xfId="51304" xr:uid="{00000000-0005-0000-0000-000087430000}"/>
    <cellStyle name="Normal 15 2 5 3 2 3 3" xfId="51305" xr:uid="{00000000-0005-0000-0000-000088430000}"/>
    <cellStyle name="Normal 15 2 5 3 2 4" xfId="12004" xr:uid="{00000000-0005-0000-0000-000089430000}"/>
    <cellStyle name="Normal 15 2 5 3 2 4 2" xfId="51306" xr:uid="{00000000-0005-0000-0000-00008A430000}"/>
    <cellStyle name="Normal 15 2 5 3 2 5" xfId="12005" xr:uid="{00000000-0005-0000-0000-00008B430000}"/>
    <cellStyle name="Normal 15 2 5 3 2 6" xfId="12006" xr:uid="{00000000-0005-0000-0000-00008C430000}"/>
    <cellStyle name="Normal 15 2 5 3 2 7" xfId="12007" xr:uid="{00000000-0005-0000-0000-00008D430000}"/>
    <cellStyle name="Normal 15 2 5 3 3" xfId="12008" xr:uid="{00000000-0005-0000-0000-00008E430000}"/>
    <cellStyle name="Normal 15 2 5 3 3 2" xfId="12009" xr:uid="{00000000-0005-0000-0000-00008F430000}"/>
    <cellStyle name="Normal 15 2 5 3 3 2 2" xfId="51307" xr:uid="{00000000-0005-0000-0000-000090430000}"/>
    <cellStyle name="Normal 15 2 5 3 3 2 3" xfId="51308" xr:uid="{00000000-0005-0000-0000-000091430000}"/>
    <cellStyle name="Normal 15 2 5 3 3 3" xfId="12010" xr:uid="{00000000-0005-0000-0000-000092430000}"/>
    <cellStyle name="Normal 15 2 5 3 3 3 2" xfId="51309" xr:uid="{00000000-0005-0000-0000-000093430000}"/>
    <cellStyle name="Normal 15 2 5 3 3 4" xfId="12011" xr:uid="{00000000-0005-0000-0000-000094430000}"/>
    <cellStyle name="Normal 15 2 5 3 3 5" xfId="12012" xr:uid="{00000000-0005-0000-0000-000095430000}"/>
    <cellStyle name="Normal 15 2 5 3 3 6" xfId="12013" xr:uid="{00000000-0005-0000-0000-000096430000}"/>
    <cellStyle name="Normal 15 2 5 3 4" xfId="12014" xr:uid="{00000000-0005-0000-0000-000097430000}"/>
    <cellStyle name="Normal 15 2 5 3 4 2" xfId="51310" xr:uid="{00000000-0005-0000-0000-000098430000}"/>
    <cellStyle name="Normal 15 2 5 3 4 3" xfId="51311" xr:uid="{00000000-0005-0000-0000-000099430000}"/>
    <cellStyle name="Normal 15 2 5 3 5" xfId="12015" xr:uid="{00000000-0005-0000-0000-00009A430000}"/>
    <cellStyle name="Normal 15 2 5 3 5 2" xfId="51312" xr:uid="{00000000-0005-0000-0000-00009B430000}"/>
    <cellStyle name="Normal 15 2 5 3 6" xfId="12016" xr:uid="{00000000-0005-0000-0000-00009C430000}"/>
    <cellStyle name="Normal 15 2 5 3 7" xfId="12017" xr:uid="{00000000-0005-0000-0000-00009D430000}"/>
    <cellStyle name="Normal 15 2 5 3 8" xfId="12018" xr:uid="{00000000-0005-0000-0000-00009E430000}"/>
    <cellStyle name="Normal 15 2 5 4" xfId="12019" xr:uid="{00000000-0005-0000-0000-00009F430000}"/>
    <cellStyle name="Normal 15 2 5 4 2" xfId="12020" xr:uid="{00000000-0005-0000-0000-0000A0430000}"/>
    <cellStyle name="Normal 15 2 5 4 2 2" xfId="12021" xr:uid="{00000000-0005-0000-0000-0000A1430000}"/>
    <cellStyle name="Normal 15 2 5 4 2 2 2" xfId="51313" xr:uid="{00000000-0005-0000-0000-0000A2430000}"/>
    <cellStyle name="Normal 15 2 5 4 2 2 3" xfId="51314" xr:uid="{00000000-0005-0000-0000-0000A3430000}"/>
    <cellStyle name="Normal 15 2 5 4 2 3" xfId="12022" xr:uid="{00000000-0005-0000-0000-0000A4430000}"/>
    <cellStyle name="Normal 15 2 5 4 2 3 2" xfId="51315" xr:uid="{00000000-0005-0000-0000-0000A5430000}"/>
    <cellStyle name="Normal 15 2 5 4 2 4" xfId="12023" xr:uid="{00000000-0005-0000-0000-0000A6430000}"/>
    <cellStyle name="Normal 15 2 5 4 2 5" xfId="12024" xr:uid="{00000000-0005-0000-0000-0000A7430000}"/>
    <cellStyle name="Normal 15 2 5 4 2 6" xfId="12025" xr:uid="{00000000-0005-0000-0000-0000A8430000}"/>
    <cellStyle name="Normal 15 2 5 4 3" xfId="12026" xr:uid="{00000000-0005-0000-0000-0000A9430000}"/>
    <cellStyle name="Normal 15 2 5 4 3 2" xfId="51316" xr:uid="{00000000-0005-0000-0000-0000AA430000}"/>
    <cellStyle name="Normal 15 2 5 4 3 3" xfId="51317" xr:uid="{00000000-0005-0000-0000-0000AB430000}"/>
    <cellStyle name="Normal 15 2 5 4 4" xfId="12027" xr:uid="{00000000-0005-0000-0000-0000AC430000}"/>
    <cellStyle name="Normal 15 2 5 4 4 2" xfId="51318" xr:uid="{00000000-0005-0000-0000-0000AD430000}"/>
    <cellStyle name="Normal 15 2 5 4 5" xfId="12028" xr:uid="{00000000-0005-0000-0000-0000AE430000}"/>
    <cellStyle name="Normal 15 2 5 4 6" xfId="12029" xr:uid="{00000000-0005-0000-0000-0000AF430000}"/>
    <cellStyle name="Normal 15 2 5 4 7" xfId="12030" xr:uid="{00000000-0005-0000-0000-0000B0430000}"/>
    <cellStyle name="Normal 15 2 5 5" xfId="12031" xr:uid="{00000000-0005-0000-0000-0000B1430000}"/>
    <cellStyle name="Normal 15 2 5 5 2" xfId="12032" xr:uid="{00000000-0005-0000-0000-0000B2430000}"/>
    <cellStyle name="Normal 15 2 5 5 2 2" xfId="51319" xr:uid="{00000000-0005-0000-0000-0000B3430000}"/>
    <cellStyle name="Normal 15 2 5 5 2 3" xfId="51320" xr:uid="{00000000-0005-0000-0000-0000B4430000}"/>
    <cellStyle name="Normal 15 2 5 5 3" xfId="12033" xr:uid="{00000000-0005-0000-0000-0000B5430000}"/>
    <cellStyle name="Normal 15 2 5 5 3 2" xfId="51321" xr:uid="{00000000-0005-0000-0000-0000B6430000}"/>
    <cellStyle name="Normal 15 2 5 5 4" xfId="12034" xr:uid="{00000000-0005-0000-0000-0000B7430000}"/>
    <cellStyle name="Normal 15 2 5 5 5" xfId="12035" xr:uid="{00000000-0005-0000-0000-0000B8430000}"/>
    <cellStyle name="Normal 15 2 5 5 6" xfId="12036" xr:uid="{00000000-0005-0000-0000-0000B9430000}"/>
    <cellStyle name="Normal 15 2 5 6" xfId="12037" xr:uid="{00000000-0005-0000-0000-0000BA430000}"/>
    <cellStyle name="Normal 15 2 5 6 2" xfId="51322" xr:uid="{00000000-0005-0000-0000-0000BB430000}"/>
    <cellStyle name="Normal 15 2 5 6 3" xfId="51323" xr:uid="{00000000-0005-0000-0000-0000BC430000}"/>
    <cellStyle name="Normal 15 2 5 7" xfId="12038" xr:uid="{00000000-0005-0000-0000-0000BD430000}"/>
    <cellStyle name="Normal 15 2 5 7 2" xfId="51324" xr:uid="{00000000-0005-0000-0000-0000BE430000}"/>
    <cellStyle name="Normal 15 2 5 8" xfId="12039" xr:uid="{00000000-0005-0000-0000-0000BF430000}"/>
    <cellStyle name="Normal 15 2 5 9" xfId="12040" xr:uid="{00000000-0005-0000-0000-0000C0430000}"/>
    <cellStyle name="Normal 15 2 6" xfId="12041" xr:uid="{00000000-0005-0000-0000-0000C1430000}"/>
    <cellStyle name="Normal 15 2 6 10" xfId="12042" xr:uid="{00000000-0005-0000-0000-0000C2430000}"/>
    <cellStyle name="Normal 15 2 6 11" xfId="12043" xr:uid="{00000000-0005-0000-0000-0000C3430000}"/>
    <cellStyle name="Normal 15 2 6 12" xfId="12044" xr:uid="{00000000-0005-0000-0000-0000C4430000}"/>
    <cellStyle name="Normal 15 2 6 13" xfId="12045" xr:uid="{00000000-0005-0000-0000-0000C5430000}"/>
    <cellStyle name="Normal 15 2 6 2" xfId="12046" xr:uid="{00000000-0005-0000-0000-0000C6430000}"/>
    <cellStyle name="Normal 15 2 6 2 2" xfId="12047" xr:uid="{00000000-0005-0000-0000-0000C7430000}"/>
    <cellStyle name="Normal 15 2 6 2 2 2" xfId="12048" xr:uid="{00000000-0005-0000-0000-0000C8430000}"/>
    <cellStyle name="Normal 15 2 6 2 2 2 2" xfId="12049" xr:uid="{00000000-0005-0000-0000-0000C9430000}"/>
    <cellStyle name="Normal 15 2 6 2 2 2 2 2" xfId="51325" xr:uid="{00000000-0005-0000-0000-0000CA430000}"/>
    <cellStyle name="Normal 15 2 6 2 2 2 2 3" xfId="51326" xr:uid="{00000000-0005-0000-0000-0000CB430000}"/>
    <cellStyle name="Normal 15 2 6 2 2 2 3" xfId="12050" xr:uid="{00000000-0005-0000-0000-0000CC430000}"/>
    <cellStyle name="Normal 15 2 6 2 2 2 3 2" xfId="51327" xr:uid="{00000000-0005-0000-0000-0000CD430000}"/>
    <cellStyle name="Normal 15 2 6 2 2 2 4" xfId="12051" xr:uid="{00000000-0005-0000-0000-0000CE430000}"/>
    <cellStyle name="Normal 15 2 6 2 2 2 5" xfId="12052" xr:uid="{00000000-0005-0000-0000-0000CF430000}"/>
    <cellStyle name="Normal 15 2 6 2 2 2 6" xfId="12053" xr:uid="{00000000-0005-0000-0000-0000D0430000}"/>
    <cellStyle name="Normal 15 2 6 2 2 3" xfId="12054" xr:uid="{00000000-0005-0000-0000-0000D1430000}"/>
    <cellStyle name="Normal 15 2 6 2 2 3 2" xfId="51328" xr:uid="{00000000-0005-0000-0000-0000D2430000}"/>
    <cellStyle name="Normal 15 2 6 2 2 3 3" xfId="51329" xr:uid="{00000000-0005-0000-0000-0000D3430000}"/>
    <cellStyle name="Normal 15 2 6 2 2 4" xfId="12055" xr:uid="{00000000-0005-0000-0000-0000D4430000}"/>
    <cellStyle name="Normal 15 2 6 2 2 4 2" xfId="51330" xr:uid="{00000000-0005-0000-0000-0000D5430000}"/>
    <cellStyle name="Normal 15 2 6 2 2 5" xfId="12056" xr:uid="{00000000-0005-0000-0000-0000D6430000}"/>
    <cellStyle name="Normal 15 2 6 2 2 6" xfId="12057" xr:uid="{00000000-0005-0000-0000-0000D7430000}"/>
    <cellStyle name="Normal 15 2 6 2 2 7" xfId="12058" xr:uid="{00000000-0005-0000-0000-0000D8430000}"/>
    <cellStyle name="Normal 15 2 6 2 3" xfId="12059" xr:uid="{00000000-0005-0000-0000-0000D9430000}"/>
    <cellStyle name="Normal 15 2 6 2 3 2" xfId="12060" xr:uid="{00000000-0005-0000-0000-0000DA430000}"/>
    <cellStyle name="Normal 15 2 6 2 3 2 2" xfId="51331" xr:uid="{00000000-0005-0000-0000-0000DB430000}"/>
    <cellStyle name="Normal 15 2 6 2 3 2 3" xfId="51332" xr:uid="{00000000-0005-0000-0000-0000DC430000}"/>
    <cellStyle name="Normal 15 2 6 2 3 3" xfId="12061" xr:uid="{00000000-0005-0000-0000-0000DD430000}"/>
    <cellStyle name="Normal 15 2 6 2 3 3 2" xfId="51333" xr:uid="{00000000-0005-0000-0000-0000DE430000}"/>
    <cellStyle name="Normal 15 2 6 2 3 4" xfId="12062" xr:uid="{00000000-0005-0000-0000-0000DF430000}"/>
    <cellStyle name="Normal 15 2 6 2 3 5" xfId="12063" xr:uid="{00000000-0005-0000-0000-0000E0430000}"/>
    <cellStyle name="Normal 15 2 6 2 3 6" xfId="12064" xr:uid="{00000000-0005-0000-0000-0000E1430000}"/>
    <cellStyle name="Normal 15 2 6 2 4" xfId="12065" xr:uid="{00000000-0005-0000-0000-0000E2430000}"/>
    <cellStyle name="Normal 15 2 6 2 4 2" xfId="51334" xr:uid="{00000000-0005-0000-0000-0000E3430000}"/>
    <cellStyle name="Normal 15 2 6 2 4 3" xfId="51335" xr:uid="{00000000-0005-0000-0000-0000E4430000}"/>
    <cellStyle name="Normal 15 2 6 2 5" xfId="12066" xr:uid="{00000000-0005-0000-0000-0000E5430000}"/>
    <cellStyle name="Normal 15 2 6 2 5 2" xfId="51336" xr:uid="{00000000-0005-0000-0000-0000E6430000}"/>
    <cellStyle name="Normal 15 2 6 2 6" xfId="12067" xr:uid="{00000000-0005-0000-0000-0000E7430000}"/>
    <cellStyle name="Normal 15 2 6 2 7" xfId="12068" xr:uid="{00000000-0005-0000-0000-0000E8430000}"/>
    <cellStyle name="Normal 15 2 6 2 8" xfId="12069" xr:uid="{00000000-0005-0000-0000-0000E9430000}"/>
    <cellStyle name="Normal 15 2 6 2 9" xfId="12070" xr:uid="{00000000-0005-0000-0000-0000EA430000}"/>
    <cellStyle name="Normal 15 2 6 3" xfId="12071" xr:uid="{00000000-0005-0000-0000-0000EB430000}"/>
    <cellStyle name="Normal 15 2 6 3 2" xfId="12072" xr:uid="{00000000-0005-0000-0000-0000EC430000}"/>
    <cellStyle name="Normal 15 2 6 3 2 2" xfId="12073" xr:uid="{00000000-0005-0000-0000-0000ED430000}"/>
    <cellStyle name="Normal 15 2 6 3 2 2 2" xfId="51337" xr:uid="{00000000-0005-0000-0000-0000EE430000}"/>
    <cellStyle name="Normal 15 2 6 3 2 2 3" xfId="51338" xr:uid="{00000000-0005-0000-0000-0000EF430000}"/>
    <cellStyle name="Normal 15 2 6 3 2 3" xfId="12074" xr:uid="{00000000-0005-0000-0000-0000F0430000}"/>
    <cellStyle name="Normal 15 2 6 3 2 3 2" xfId="51339" xr:uid="{00000000-0005-0000-0000-0000F1430000}"/>
    <cellStyle name="Normal 15 2 6 3 2 4" xfId="12075" xr:uid="{00000000-0005-0000-0000-0000F2430000}"/>
    <cellStyle name="Normal 15 2 6 3 2 5" xfId="12076" xr:uid="{00000000-0005-0000-0000-0000F3430000}"/>
    <cellStyle name="Normal 15 2 6 3 2 6" xfId="12077" xr:uid="{00000000-0005-0000-0000-0000F4430000}"/>
    <cellStyle name="Normal 15 2 6 3 3" xfId="12078" xr:uid="{00000000-0005-0000-0000-0000F5430000}"/>
    <cellStyle name="Normal 15 2 6 3 3 2" xfId="51340" xr:uid="{00000000-0005-0000-0000-0000F6430000}"/>
    <cellStyle name="Normal 15 2 6 3 3 3" xfId="51341" xr:uid="{00000000-0005-0000-0000-0000F7430000}"/>
    <cellStyle name="Normal 15 2 6 3 4" xfId="12079" xr:uid="{00000000-0005-0000-0000-0000F8430000}"/>
    <cellStyle name="Normal 15 2 6 3 4 2" xfId="51342" xr:uid="{00000000-0005-0000-0000-0000F9430000}"/>
    <cellStyle name="Normal 15 2 6 3 5" xfId="12080" xr:uid="{00000000-0005-0000-0000-0000FA430000}"/>
    <cellStyle name="Normal 15 2 6 3 6" xfId="12081" xr:uid="{00000000-0005-0000-0000-0000FB430000}"/>
    <cellStyle name="Normal 15 2 6 3 7" xfId="12082" xr:uid="{00000000-0005-0000-0000-0000FC430000}"/>
    <cellStyle name="Normal 15 2 6 4" xfId="12083" xr:uid="{00000000-0005-0000-0000-0000FD430000}"/>
    <cellStyle name="Normal 15 2 6 4 2" xfId="12084" xr:uid="{00000000-0005-0000-0000-0000FE430000}"/>
    <cellStyle name="Normal 15 2 6 4 2 2" xfId="51343" xr:uid="{00000000-0005-0000-0000-0000FF430000}"/>
    <cellStyle name="Normal 15 2 6 4 2 3" xfId="51344" xr:uid="{00000000-0005-0000-0000-000000440000}"/>
    <cellStyle name="Normal 15 2 6 4 3" xfId="12085" xr:uid="{00000000-0005-0000-0000-000001440000}"/>
    <cellStyle name="Normal 15 2 6 4 3 2" xfId="51345" xr:uid="{00000000-0005-0000-0000-000002440000}"/>
    <cellStyle name="Normal 15 2 6 4 4" xfId="12086" xr:uid="{00000000-0005-0000-0000-000003440000}"/>
    <cellStyle name="Normal 15 2 6 4 5" xfId="12087" xr:uid="{00000000-0005-0000-0000-000004440000}"/>
    <cellStyle name="Normal 15 2 6 4 6" xfId="12088" xr:uid="{00000000-0005-0000-0000-000005440000}"/>
    <cellStyle name="Normal 15 2 6 5" xfId="12089" xr:uid="{00000000-0005-0000-0000-000006440000}"/>
    <cellStyle name="Normal 15 2 6 5 2" xfId="51346" xr:uid="{00000000-0005-0000-0000-000007440000}"/>
    <cellStyle name="Normal 15 2 6 5 3" xfId="51347" xr:uid="{00000000-0005-0000-0000-000008440000}"/>
    <cellStyle name="Normal 15 2 6 6" xfId="12090" xr:uid="{00000000-0005-0000-0000-000009440000}"/>
    <cellStyle name="Normal 15 2 6 6 2" xfId="51348" xr:uid="{00000000-0005-0000-0000-00000A440000}"/>
    <cellStyle name="Normal 15 2 6 7" xfId="12091" xr:uid="{00000000-0005-0000-0000-00000B440000}"/>
    <cellStyle name="Normal 15 2 6 8" xfId="12092" xr:uid="{00000000-0005-0000-0000-00000C440000}"/>
    <cellStyle name="Normal 15 2 6 9" xfId="12093" xr:uid="{00000000-0005-0000-0000-00000D440000}"/>
    <cellStyle name="Normal 15 2 7" xfId="12094" xr:uid="{00000000-0005-0000-0000-00000E440000}"/>
    <cellStyle name="Normal 15 2 7 2" xfId="12095" xr:uid="{00000000-0005-0000-0000-00000F440000}"/>
    <cellStyle name="Normal 15 2 7 2 2" xfId="12096" xr:uid="{00000000-0005-0000-0000-000010440000}"/>
    <cellStyle name="Normal 15 2 7 2 2 2" xfId="12097" xr:uid="{00000000-0005-0000-0000-000011440000}"/>
    <cellStyle name="Normal 15 2 7 2 2 2 2" xfId="51349" xr:uid="{00000000-0005-0000-0000-000012440000}"/>
    <cellStyle name="Normal 15 2 7 2 2 2 3" xfId="51350" xr:uid="{00000000-0005-0000-0000-000013440000}"/>
    <cellStyle name="Normal 15 2 7 2 2 3" xfId="12098" xr:uid="{00000000-0005-0000-0000-000014440000}"/>
    <cellStyle name="Normal 15 2 7 2 2 3 2" xfId="51351" xr:uid="{00000000-0005-0000-0000-000015440000}"/>
    <cellStyle name="Normal 15 2 7 2 2 4" xfId="12099" xr:uid="{00000000-0005-0000-0000-000016440000}"/>
    <cellStyle name="Normal 15 2 7 2 2 5" xfId="12100" xr:uid="{00000000-0005-0000-0000-000017440000}"/>
    <cellStyle name="Normal 15 2 7 2 2 6" xfId="12101" xr:uid="{00000000-0005-0000-0000-000018440000}"/>
    <cellStyle name="Normal 15 2 7 2 3" xfId="12102" xr:uid="{00000000-0005-0000-0000-000019440000}"/>
    <cellStyle name="Normal 15 2 7 2 3 2" xfId="51352" xr:uid="{00000000-0005-0000-0000-00001A440000}"/>
    <cellStyle name="Normal 15 2 7 2 3 3" xfId="51353" xr:uid="{00000000-0005-0000-0000-00001B440000}"/>
    <cellStyle name="Normal 15 2 7 2 4" xfId="12103" xr:uid="{00000000-0005-0000-0000-00001C440000}"/>
    <cellStyle name="Normal 15 2 7 2 4 2" xfId="51354" xr:uid="{00000000-0005-0000-0000-00001D440000}"/>
    <cellStyle name="Normal 15 2 7 2 5" xfId="12104" xr:uid="{00000000-0005-0000-0000-00001E440000}"/>
    <cellStyle name="Normal 15 2 7 2 6" xfId="12105" xr:uid="{00000000-0005-0000-0000-00001F440000}"/>
    <cellStyle name="Normal 15 2 7 2 7" xfId="12106" xr:uid="{00000000-0005-0000-0000-000020440000}"/>
    <cellStyle name="Normal 15 2 7 3" xfId="12107" xr:uid="{00000000-0005-0000-0000-000021440000}"/>
    <cellStyle name="Normal 15 2 7 3 2" xfId="12108" xr:uid="{00000000-0005-0000-0000-000022440000}"/>
    <cellStyle name="Normal 15 2 7 3 2 2" xfId="51355" xr:uid="{00000000-0005-0000-0000-000023440000}"/>
    <cellStyle name="Normal 15 2 7 3 2 3" xfId="51356" xr:uid="{00000000-0005-0000-0000-000024440000}"/>
    <cellStyle name="Normal 15 2 7 3 3" xfId="12109" xr:uid="{00000000-0005-0000-0000-000025440000}"/>
    <cellStyle name="Normal 15 2 7 3 3 2" xfId="51357" xr:uid="{00000000-0005-0000-0000-000026440000}"/>
    <cellStyle name="Normal 15 2 7 3 4" xfId="12110" xr:uid="{00000000-0005-0000-0000-000027440000}"/>
    <cellStyle name="Normal 15 2 7 3 5" xfId="12111" xr:uid="{00000000-0005-0000-0000-000028440000}"/>
    <cellStyle name="Normal 15 2 7 3 6" xfId="12112" xr:uid="{00000000-0005-0000-0000-000029440000}"/>
    <cellStyle name="Normal 15 2 7 4" xfId="12113" xr:uid="{00000000-0005-0000-0000-00002A440000}"/>
    <cellStyle name="Normal 15 2 7 4 2" xfId="51358" xr:uid="{00000000-0005-0000-0000-00002B440000}"/>
    <cellStyle name="Normal 15 2 7 4 3" xfId="51359" xr:uid="{00000000-0005-0000-0000-00002C440000}"/>
    <cellStyle name="Normal 15 2 7 5" xfId="12114" xr:uid="{00000000-0005-0000-0000-00002D440000}"/>
    <cellStyle name="Normal 15 2 7 5 2" xfId="51360" xr:uid="{00000000-0005-0000-0000-00002E440000}"/>
    <cellStyle name="Normal 15 2 7 6" xfId="12115" xr:uid="{00000000-0005-0000-0000-00002F440000}"/>
    <cellStyle name="Normal 15 2 7 7" xfId="12116" xr:uid="{00000000-0005-0000-0000-000030440000}"/>
    <cellStyle name="Normal 15 2 7 8" xfId="12117" xr:uid="{00000000-0005-0000-0000-000031440000}"/>
    <cellStyle name="Normal 15 2 7 9" xfId="12118" xr:uid="{00000000-0005-0000-0000-000032440000}"/>
    <cellStyle name="Normal 15 2 8" xfId="12119" xr:uid="{00000000-0005-0000-0000-000033440000}"/>
    <cellStyle name="Normal 15 2 8 2" xfId="12120" xr:uid="{00000000-0005-0000-0000-000034440000}"/>
    <cellStyle name="Normal 15 2 8 2 2" xfId="12121" xr:uid="{00000000-0005-0000-0000-000035440000}"/>
    <cellStyle name="Normal 15 2 8 2 2 2" xfId="12122" xr:uid="{00000000-0005-0000-0000-000036440000}"/>
    <cellStyle name="Normal 15 2 8 2 2 2 2" xfId="51361" xr:uid="{00000000-0005-0000-0000-000037440000}"/>
    <cellStyle name="Normal 15 2 8 2 2 2 3" xfId="51362" xr:uid="{00000000-0005-0000-0000-000038440000}"/>
    <cellStyle name="Normal 15 2 8 2 2 3" xfId="12123" xr:uid="{00000000-0005-0000-0000-000039440000}"/>
    <cellStyle name="Normal 15 2 8 2 2 3 2" xfId="51363" xr:uid="{00000000-0005-0000-0000-00003A440000}"/>
    <cellStyle name="Normal 15 2 8 2 2 4" xfId="12124" xr:uid="{00000000-0005-0000-0000-00003B440000}"/>
    <cellStyle name="Normal 15 2 8 2 2 5" xfId="12125" xr:uid="{00000000-0005-0000-0000-00003C440000}"/>
    <cellStyle name="Normal 15 2 8 2 2 6" xfId="12126" xr:uid="{00000000-0005-0000-0000-00003D440000}"/>
    <cellStyle name="Normal 15 2 8 2 3" xfId="12127" xr:uid="{00000000-0005-0000-0000-00003E440000}"/>
    <cellStyle name="Normal 15 2 8 2 3 2" xfId="51364" xr:uid="{00000000-0005-0000-0000-00003F440000}"/>
    <cellStyle name="Normal 15 2 8 2 3 3" xfId="51365" xr:uid="{00000000-0005-0000-0000-000040440000}"/>
    <cellStyle name="Normal 15 2 8 2 4" xfId="12128" xr:uid="{00000000-0005-0000-0000-000041440000}"/>
    <cellStyle name="Normal 15 2 8 2 4 2" xfId="51366" xr:uid="{00000000-0005-0000-0000-000042440000}"/>
    <cellStyle name="Normal 15 2 8 2 5" xfId="12129" xr:uid="{00000000-0005-0000-0000-000043440000}"/>
    <cellStyle name="Normal 15 2 8 2 6" xfId="12130" xr:uid="{00000000-0005-0000-0000-000044440000}"/>
    <cellStyle name="Normal 15 2 8 2 7" xfId="12131" xr:uid="{00000000-0005-0000-0000-000045440000}"/>
    <cellStyle name="Normal 15 2 8 3" xfId="12132" xr:uid="{00000000-0005-0000-0000-000046440000}"/>
    <cellStyle name="Normal 15 2 8 3 2" xfId="12133" xr:uid="{00000000-0005-0000-0000-000047440000}"/>
    <cellStyle name="Normal 15 2 8 3 2 2" xfId="51367" xr:uid="{00000000-0005-0000-0000-000048440000}"/>
    <cellStyle name="Normal 15 2 8 3 2 3" xfId="51368" xr:uid="{00000000-0005-0000-0000-000049440000}"/>
    <cellStyle name="Normal 15 2 8 3 3" xfId="12134" xr:uid="{00000000-0005-0000-0000-00004A440000}"/>
    <cellStyle name="Normal 15 2 8 3 3 2" xfId="51369" xr:uid="{00000000-0005-0000-0000-00004B440000}"/>
    <cellStyle name="Normal 15 2 8 3 4" xfId="12135" xr:uid="{00000000-0005-0000-0000-00004C440000}"/>
    <cellStyle name="Normal 15 2 8 3 5" xfId="12136" xr:uid="{00000000-0005-0000-0000-00004D440000}"/>
    <cellStyle name="Normal 15 2 8 3 6" xfId="12137" xr:uid="{00000000-0005-0000-0000-00004E440000}"/>
    <cellStyle name="Normal 15 2 8 4" xfId="12138" xr:uid="{00000000-0005-0000-0000-00004F440000}"/>
    <cellStyle name="Normal 15 2 8 4 2" xfId="51370" xr:uid="{00000000-0005-0000-0000-000050440000}"/>
    <cellStyle name="Normal 15 2 8 4 3" xfId="51371" xr:uid="{00000000-0005-0000-0000-000051440000}"/>
    <cellStyle name="Normal 15 2 8 5" xfId="12139" xr:uid="{00000000-0005-0000-0000-000052440000}"/>
    <cellStyle name="Normal 15 2 8 5 2" xfId="51372" xr:uid="{00000000-0005-0000-0000-000053440000}"/>
    <cellStyle name="Normal 15 2 8 6" xfId="12140" xr:uid="{00000000-0005-0000-0000-000054440000}"/>
    <cellStyle name="Normal 15 2 8 7" xfId="12141" xr:uid="{00000000-0005-0000-0000-000055440000}"/>
    <cellStyle name="Normal 15 2 8 8" xfId="12142" xr:uid="{00000000-0005-0000-0000-000056440000}"/>
    <cellStyle name="Normal 15 2 9" xfId="12143" xr:uid="{00000000-0005-0000-0000-000057440000}"/>
    <cellStyle name="Normal 15 2 9 2" xfId="12144" xr:uid="{00000000-0005-0000-0000-000058440000}"/>
    <cellStyle name="Normal 15 2 9 2 2" xfId="12145" xr:uid="{00000000-0005-0000-0000-000059440000}"/>
    <cellStyle name="Normal 15 2 9 2 2 2" xfId="12146" xr:uid="{00000000-0005-0000-0000-00005A440000}"/>
    <cellStyle name="Normal 15 2 9 2 2 2 2" xfId="51373" xr:uid="{00000000-0005-0000-0000-00005B440000}"/>
    <cellStyle name="Normal 15 2 9 2 2 2 3" xfId="51374" xr:uid="{00000000-0005-0000-0000-00005C440000}"/>
    <cellStyle name="Normal 15 2 9 2 2 3" xfId="12147" xr:uid="{00000000-0005-0000-0000-00005D440000}"/>
    <cellStyle name="Normal 15 2 9 2 2 3 2" xfId="51375" xr:uid="{00000000-0005-0000-0000-00005E440000}"/>
    <cellStyle name="Normal 15 2 9 2 2 4" xfId="12148" xr:uid="{00000000-0005-0000-0000-00005F440000}"/>
    <cellStyle name="Normal 15 2 9 2 2 5" xfId="12149" xr:uid="{00000000-0005-0000-0000-000060440000}"/>
    <cellStyle name="Normal 15 2 9 2 2 6" xfId="12150" xr:uid="{00000000-0005-0000-0000-000061440000}"/>
    <cellStyle name="Normal 15 2 9 2 3" xfId="12151" xr:uid="{00000000-0005-0000-0000-000062440000}"/>
    <cellStyle name="Normal 15 2 9 2 3 2" xfId="51376" xr:uid="{00000000-0005-0000-0000-000063440000}"/>
    <cellStyle name="Normal 15 2 9 2 3 3" xfId="51377" xr:uid="{00000000-0005-0000-0000-000064440000}"/>
    <cellStyle name="Normal 15 2 9 2 4" xfId="12152" xr:uid="{00000000-0005-0000-0000-000065440000}"/>
    <cellStyle name="Normal 15 2 9 2 4 2" xfId="51378" xr:uid="{00000000-0005-0000-0000-000066440000}"/>
    <cellStyle name="Normal 15 2 9 2 5" xfId="12153" xr:uid="{00000000-0005-0000-0000-000067440000}"/>
    <cellStyle name="Normal 15 2 9 2 6" xfId="12154" xr:uid="{00000000-0005-0000-0000-000068440000}"/>
    <cellStyle name="Normal 15 2 9 2 7" xfId="12155" xr:uid="{00000000-0005-0000-0000-000069440000}"/>
    <cellStyle name="Normal 15 2 9 3" xfId="12156" xr:uid="{00000000-0005-0000-0000-00006A440000}"/>
    <cellStyle name="Normal 15 2 9 3 2" xfId="12157" xr:uid="{00000000-0005-0000-0000-00006B440000}"/>
    <cellStyle name="Normal 15 2 9 3 2 2" xfId="51379" xr:uid="{00000000-0005-0000-0000-00006C440000}"/>
    <cellStyle name="Normal 15 2 9 3 2 3" xfId="51380" xr:uid="{00000000-0005-0000-0000-00006D440000}"/>
    <cellStyle name="Normal 15 2 9 3 3" xfId="12158" xr:uid="{00000000-0005-0000-0000-00006E440000}"/>
    <cellStyle name="Normal 15 2 9 3 3 2" xfId="51381" xr:uid="{00000000-0005-0000-0000-00006F440000}"/>
    <cellStyle name="Normal 15 2 9 3 4" xfId="12159" xr:uid="{00000000-0005-0000-0000-000070440000}"/>
    <cellStyle name="Normal 15 2 9 3 5" xfId="12160" xr:uid="{00000000-0005-0000-0000-000071440000}"/>
    <cellStyle name="Normal 15 2 9 3 6" xfId="12161" xr:uid="{00000000-0005-0000-0000-000072440000}"/>
    <cellStyle name="Normal 15 2 9 4" xfId="12162" xr:uid="{00000000-0005-0000-0000-000073440000}"/>
    <cellStyle name="Normal 15 2 9 4 2" xfId="51382" xr:uid="{00000000-0005-0000-0000-000074440000}"/>
    <cellStyle name="Normal 15 2 9 4 3" xfId="51383" xr:uid="{00000000-0005-0000-0000-000075440000}"/>
    <cellStyle name="Normal 15 2 9 5" xfId="12163" xr:uid="{00000000-0005-0000-0000-000076440000}"/>
    <cellStyle name="Normal 15 2 9 5 2" xfId="51384" xr:uid="{00000000-0005-0000-0000-000077440000}"/>
    <cellStyle name="Normal 15 2 9 6" xfId="12164" xr:uid="{00000000-0005-0000-0000-000078440000}"/>
    <cellStyle name="Normal 15 2 9 7" xfId="12165" xr:uid="{00000000-0005-0000-0000-000079440000}"/>
    <cellStyle name="Normal 15 2 9 8" xfId="12166" xr:uid="{00000000-0005-0000-0000-00007A440000}"/>
    <cellStyle name="Normal 15 20" xfId="12167" xr:uid="{00000000-0005-0000-0000-00007B440000}"/>
    <cellStyle name="Normal 15 21" xfId="12168" xr:uid="{00000000-0005-0000-0000-00007C440000}"/>
    <cellStyle name="Normal 15 22" xfId="12169" xr:uid="{00000000-0005-0000-0000-00007D440000}"/>
    <cellStyle name="Normal 15 3" xfId="12170" xr:uid="{00000000-0005-0000-0000-00007E440000}"/>
    <cellStyle name="Normal 15 3 10" xfId="12171" xr:uid="{00000000-0005-0000-0000-00007F440000}"/>
    <cellStyle name="Normal 15 3 10 2" xfId="12172" xr:uid="{00000000-0005-0000-0000-000080440000}"/>
    <cellStyle name="Normal 15 3 10 2 2" xfId="12173" xr:uid="{00000000-0005-0000-0000-000081440000}"/>
    <cellStyle name="Normal 15 3 10 2 2 2" xfId="51385" xr:uid="{00000000-0005-0000-0000-000082440000}"/>
    <cellStyle name="Normal 15 3 10 2 2 3" xfId="51386" xr:uid="{00000000-0005-0000-0000-000083440000}"/>
    <cellStyle name="Normal 15 3 10 2 3" xfId="12174" xr:uid="{00000000-0005-0000-0000-000084440000}"/>
    <cellStyle name="Normal 15 3 10 2 3 2" xfId="51387" xr:uid="{00000000-0005-0000-0000-000085440000}"/>
    <cellStyle name="Normal 15 3 10 2 4" xfId="12175" xr:uid="{00000000-0005-0000-0000-000086440000}"/>
    <cellStyle name="Normal 15 3 10 2 5" xfId="12176" xr:uid="{00000000-0005-0000-0000-000087440000}"/>
    <cellStyle name="Normal 15 3 10 2 6" xfId="12177" xr:uid="{00000000-0005-0000-0000-000088440000}"/>
    <cellStyle name="Normal 15 3 10 3" xfId="12178" xr:uid="{00000000-0005-0000-0000-000089440000}"/>
    <cellStyle name="Normal 15 3 10 3 2" xfId="51388" xr:uid="{00000000-0005-0000-0000-00008A440000}"/>
    <cellStyle name="Normal 15 3 10 3 3" xfId="51389" xr:uid="{00000000-0005-0000-0000-00008B440000}"/>
    <cellStyle name="Normal 15 3 10 4" xfId="12179" xr:uid="{00000000-0005-0000-0000-00008C440000}"/>
    <cellStyle name="Normal 15 3 10 4 2" xfId="51390" xr:uid="{00000000-0005-0000-0000-00008D440000}"/>
    <cellStyle name="Normal 15 3 10 5" xfId="12180" xr:uid="{00000000-0005-0000-0000-00008E440000}"/>
    <cellStyle name="Normal 15 3 10 6" xfId="12181" xr:uid="{00000000-0005-0000-0000-00008F440000}"/>
    <cellStyle name="Normal 15 3 10 7" xfId="12182" xr:uid="{00000000-0005-0000-0000-000090440000}"/>
    <cellStyle name="Normal 15 3 11" xfId="12183" xr:uid="{00000000-0005-0000-0000-000091440000}"/>
    <cellStyle name="Normal 15 3 11 2" xfId="12184" xr:uid="{00000000-0005-0000-0000-000092440000}"/>
    <cellStyle name="Normal 15 3 11 2 2" xfId="51391" xr:uid="{00000000-0005-0000-0000-000093440000}"/>
    <cellStyle name="Normal 15 3 11 2 3" xfId="51392" xr:uid="{00000000-0005-0000-0000-000094440000}"/>
    <cellStyle name="Normal 15 3 11 3" xfId="12185" xr:uid="{00000000-0005-0000-0000-000095440000}"/>
    <cellStyle name="Normal 15 3 11 3 2" xfId="51393" xr:uid="{00000000-0005-0000-0000-000096440000}"/>
    <cellStyle name="Normal 15 3 11 4" xfId="12186" xr:uid="{00000000-0005-0000-0000-000097440000}"/>
    <cellStyle name="Normal 15 3 11 5" xfId="12187" xr:uid="{00000000-0005-0000-0000-000098440000}"/>
    <cellStyle name="Normal 15 3 11 6" xfId="12188" xr:uid="{00000000-0005-0000-0000-000099440000}"/>
    <cellStyle name="Normal 15 3 12" xfId="12189" xr:uid="{00000000-0005-0000-0000-00009A440000}"/>
    <cellStyle name="Normal 15 3 12 2" xfId="51394" xr:uid="{00000000-0005-0000-0000-00009B440000}"/>
    <cellStyle name="Normal 15 3 12 3" xfId="51395" xr:uid="{00000000-0005-0000-0000-00009C440000}"/>
    <cellStyle name="Normal 15 3 13" xfId="12190" xr:uid="{00000000-0005-0000-0000-00009D440000}"/>
    <cellStyle name="Normal 15 3 13 2" xfId="51396" xr:uid="{00000000-0005-0000-0000-00009E440000}"/>
    <cellStyle name="Normal 15 3 14" xfId="12191" xr:uid="{00000000-0005-0000-0000-00009F440000}"/>
    <cellStyle name="Normal 15 3 14 2" xfId="51397" xr:uid="{00000000-0005-0000-0000-0000A0440000}"/>
    <cellStyle name="Normal 15 3 15" xfId="12192" xr:uid="{00000000-0005-0000-0000-0000A1440000}"/>
    <cellStyle name="Normal 15 3 16" xfId="12193" xr:uid="{00000000-0005-0000-0000-0000A2440000}"/>
    <cellStyle name="Normal 15 3 17" xfId="12194" xr:uid="{00000000-0005-0000-0000-0000A3440000}"/>
    <cellStyle name="Normal 15 3 18" xfId="12195" xr:uid="{00000000-0005-0000-0000-0000A4440000}"/>
    <cellStyle name="Normal 15 3 19" xfId="12196" xr:uid="{00000000-0005-0000-0000-0000A5440000}"/>
    <cellStyle name="Normal 15 3 2" xfId="12197" xr:uid="{00000000-0005-0000-0000-0000A6440000}"/>
    <cellStyle name="Normal 15 3 2 10" xfId="12198" xr:uid="{00000000-0005-0000-0000-0000A7440000}"/>
    <cellStyle name="Normal 15 3 2 11" xfId="12199" xr:uid="{00000000-0005-0000-0000-0000A8440000}"/>
    <cellStyle name="Normal 15 3 2 12" xfId="12200" xr:uid="{00000000-0005-0000-0000-0000A9440000}"/>
    <cellStyle name="Normal 15 3 2 13" xfId="12201" xr:uid="{00000000-0005-0000-0000-0000AA440000}"/>
    <cellStyle name="Normal 15 3 2 14" xfId="12202" xr:uid="{00000000-0005-0000-0000-0000AB440000}"/>
    <cellStyle name="Normal 15 3 2 15" xfId="12203" xr:uid="{00000000-0005-0000-0000-0000AC440000}"/>
    <cellStyle name="Normal 15 3 2 16" xfId="12204" xr:uid="{00000000-0005-0000-0000-0000AD440000}"/>
    <cellStyle name="Normal 15 3 2 2" xfId="12205" xr:uid="{00000000-0005-0000-0000-0000AE440000}"/>
    <cellStyle name="Normal 15 3 2 2 10" xfId="12206" xr:uid="{00000000-0005-0000-0000-0000AF440000}"/>
    <cellStyle name="Normal 15 3 2 2 11" xfId="12207" xr:uid="{00000000-0005-0000-0000-0000B0440000}"/>
    <cellStyle name="Normal 15 3 2 2 12" xfId="12208" xr:uid="{00000000-0005-0000-0000-0000B1440000}"/>
    <cellStyle name="Normal 15 3 2 2 13" xfId="12209" xr:uid="{00000000-0005-0000-0000-0000B2440000}"/>
    <cellStyle name="Normal 15 3 2 2 14" xfId="12210" xr:uid="{00000000-0005-0000-0000-0000B3440000}"/>
    <cellStyle name="Normal 15 3 2 2 2" xfId="12211" xr:uid="{00000000-0005-0000-0000-0000B4440000}"/>
    <cellStyle name="Normal 15 3 2 2 2 2" xfId="12212" xr:uid="{00000000-0005-0000-0000-0000B5440000}"/>
    <cellStyle name="Normal 15 3 2 2 2 2 2" xfId="12213" xr:uid="{00000000-0005-0000-0000-0000B6440000}"/>
    <cellStyle name="Normal 15 3 2 2 2 2 2 2" xfId="12214" xr:uid="{00000000-0005-0000-0000-0000B7440000}"/>
    <cellStyle name="Normal 15 3 2 2 2 2 2 2 2" xfId="51398" xr:uid="{00000000-0005-0000-0000-0000B8440000}"/>
    <cellStyle name="Normal 15 3 2 2 2 2 2 2 3" xfId="51399" xr:uid="{00000000-0005-0000-0000-0000B9440000}"/>
    <cellStyle name="Normal 15 3 2 2 2 2 2 3" xfId="12215" xr:uid="{00000000-0005-0000-0000-0000BA440000}"/>
    <cellStyle name="Normal 15 3 2 2 2 2 2 3 2" xfId="51400" xr:uid="{00000000-0005-0000-0000-0000BB440000}"/>
    <cellStyle name="Normal 15 3 2 2 2 2 2 4" xfId="12216" xr:uid="{00000000-0005-0000-0000-0000BC440000}"/>
    <cellStyle name="Normal 15 3 2 2 2 2 2 5" xfId="12217" xr:uid="{00000000-0005-0000-0000-0000BD440000}"/>
    <cellStyle name="Normal 15 3 2 2 2 2 2 6" xfId="12218" xr:uid="{00000000-0005-0000-0000-0000BE440000}"/>
    <cellStyle name="Normal 15 3 2 2 2 2 3" xfId="12219" xr:uid="{00000000-0005-0000-0000-0000BF440000}"/>
    <cellStyle name="Normal 15 3 2 2 2 2 3 2" xfId="51401" xr:uid="{00000000-0005-0000-0000-0000C0440000}"/>
    <cellStyle name="Normal 15 3 2 2 2 2 3 3" xfId="51402" xr:uid="{00000000-0005-0000-0000-0000C1440000}"/>
    <cellStyle name="Normal 15 3 2 2 2 2 4" xfId="12220" xr:uid="{00000000-0005-0000-0000-0000C2440000}"/>
    <cellStyle name="Normal 15 3 2 2 2 2 4 2" xfId="51403" xr:uid="{00000000-0005-0000-0000-0000C3440000}"/>
    <cellStyle name="Normal 15 3 2 2 2 2 5" xfId="12221" xr:uid="{00000000-0005-0000-0000-0000C4440000}"/>
    <cellStyle name="Normal 15 3 2 2 2 2 6" xfId="12222" xr:uid="{00000000-0005-0000-0000-0000C5440000}"/>
    <cellStyle name="Normal 15 3 2 2 2 2 7" xfId="12223" xr:uid="{00000000-0005-0000-0000-0000C6440000}"/>
    <cellStyle name="Normal 15 3 2 2 2 3" xfId="12224" xr:uid="{00000000-0005-0000-0000-0000C7440000}"/>
    <cellStyle name="Normal 15 3 2 2 2 3 2" xfId="12225" xr:uid="{00000000-0005-0000-0000-0000C8440000}"/>
    <cellStyle name="Normal 15 3 2 2 2 3 2 2" xfId="51404" xr:uid="{00000000-0005-0000-0000-0000C9440000}"/>
    <cellStyle name="Normal 15 3 2 2 2 3 2 3" xfId="51405" xr:uid="{00000000-0005-0000-0000-0000CA440000}"/>
    <cellStyle name="Normal 15 3 2 2 2 3 3" xfId="12226" xr:uid="{00000000-0005-0000-0000-0000CB440000}"/>
    <cellStyle name="Normal 15 3 2 2 2 3 3 2" xfId="51406" xr:uid="{00000000-0005-0000-0000-0000CC440000}"/>
    <cellStyle name="Normal 15 3 2 2 2 3 4" xfId="12227" xr:uid="{00000000-0005-0000-0000-0000CD440000}"/>
    <cellStyle name="Normal 15 3 2 2 2 3 5" xfId="12228" xr:uid="{00000000-0005-0000-0000-0000CE440000}"/>
    <cellStyle name="Normal 15 3 2 2 2 3 6" xfId="12229" xr:uid="{00000000-0005-0000-0000-0000CF440000}"/>
    <cellStyle name="Normal 15 3 2 2 2 4" xfId="12230" xr:uid="{00000000-0005-0000-0000-0000D0440000}"/>
    <cellStyle name="Normal 15 3 2 2 2 4 2" xfId="51407" xr:uid="{00000000-0005-0000-0000-0000D1440000}"/>
    <cellStyle name="Normal 15 3 2 2 2 4 3" xfId="51408" xr:uid="{00000000-0005-0000-0000-0000D2440000}"/>
    <cellStyle name="Normal 15 3 2 2 2 5" xfId="12231" xr:uid="{00000000-0005-0000-0000-0000D3440000}"/>
    <cellStyle name="Normal 15 3 2 2 2 5 2" xfId="51409" xr:uid="{00000000-0005-0000-0000-0000D4440000}"/>
    <cellStyle name="Normal 15 3 2 2 2 6" xfId="12232" xr:uid="{00000000-0005-0000-0000-0000D5440000}"/>
    <cellStyle name="Normal 15 3 2 2 2 7" xfId="12233" xr:uid="{00000000-0005-0000-0000-0000D6440000}"/>
    <cellStyle name="Normal 15 3 2 2 2 8" xfId="12234" xr:uid="{00000000-0005-0000-0000-0000D7440000}"/>
    <cellStyle name="Normal 15 3 2 2 2 9" xfId="12235" xr:uid="{00000000-0005-0000-0000-0000D8440000}"/>
    <cellStyle name="Normal 15 3 2 2 3" xfId="12236" xr:uid="{00000000-0005-0000-0000-0000D9440000}"/>
    <cellStyle name="Normal 15 3 2 2 3 2" xfId="12237" xr:uid="{00000000-0005-0000-0000-0000DA440000}"/>
    <cellStyle name="Normal 15 3 2 2 3 2 2" xfId="12238" xr:uid="{00000000-0005-0000-0000-0000DB440000}"/>
    <cellStyle name="Normal 15 3 2 2 3 2 2 2" xfId="12239" xr:uid="{00000000-0005-0000-0000-0000DC440000}"/>
    <cellStyle name="Normal 15 3 2 2 3 2 2 2 2" xfId="51410" xr:uid="{00000000-0005-0000-0000-0000DD440000}"/>
    <cellStyle name="Normal 15 3 2 2 3 2 2 2 3" xfId="51411" xr:uid="{00000000-0005-0000-0000-0000DE440000}"/>
    <cellStyle name="Normal 15 3 2 2 3 2 2 3" xfId="12240" xr:uid="{00000000-0005-0000-0000-0000DF440000}"/>
    <cellStyle name="Normal 15 3 2 2 3 2 2 3 2" xfId="51412" xr:uid="{00000000-0005-0000-0000-0000E0440000}"/>
    <cellStyle name="Normal 15 3 2 2 3 2 2 4" xfId="12241" xr:uid="{00000000-0005-0000-0000-0000E1440000}"/>
    <cellStyle name="Normal 15 3 2 2 3 2 2 5" xfId="12242" xr:uid="{00000000-0005-0000-0000-0000E2440000}"/>
    <cellStyle name="Normal 15 3 2 2 3 2 2 6" xfId="12243" xr:uid="{00000000-0005-0000-0000-0000E3440000}"/>
    <cellStyle name="Normal 15 3 2 2 3 2 3" xfId="12244" xr:uid="{00000000-0005-0000-0000-0000E4440000}"/>
    <cellStyle name="Normal 15 3 2 2 3 2 3 2" xfId="51413" xr:uid="{00000000-0005-0000-0000-0000E5440000}"/>
    <cellStyle name="Normal 15 3 2 2 3 2 3 3" xfId="51414" xr:uid="{00000000-0005-0000-0000-0000E6440000}"/>
    <cellStyle name="Normal 15 3 2 2 3 2 4" xfId="12245" xr:uid="{00000000-0005-0000-0000-0000E7440000}"/>
    <cellStyle name="Normal 15 3 2 2 3 2 4 2" xfId="51415" xr:uid="{00000000-0005-0000-0000-0000E8440000}"/>
    <cellStyle name="Normal 15 3 2 2 3 2 5" xfId="12246" xr:uid="{00000000-0005-0000-0000-0000E9440000}"/>
    <cellStyle name="Normal 15 3 2 2 3 2 6" xfId="12247" xr:uid="{00000000-0005-0000-0000-0000EA440000}"/>
    <cellStyle name="Normal 15 3 2 2 3 2 7" xfId="12248" xr:uid="{00000000-0005-0000-0000-0000EB440000}"/>
    <cellStyle name="Normal 15 3 2 2 3 3" xfId="12249" xr:uid="{00000000-0005-0000-0000-0000EC440000}"/>
    <cellStyle name="Normal 15 3 2 2 3 3 2" xfId="12250" xr:uid="{00000000-0005-0000-0000-0000ED440000}"/>
    <cellStyle name="Normal 15 3 2 2 3 3 2 2" xfId="51416" xr:uid="{00000000-0005-0000-0000-0000EE440000}"/>
    <cellStyle name="Normal 15 3 2 2 3 3 2 3" xfId="51417" xr:uid="{00000000-0005-0000-0000-0000EF440000}"/>
    <cellStyle name="Normal 15 3 2 2 3 3 3" xfId="12251" xr:uid="{00000000-0005-0000-0000-0000F0440000}"/>
    <cellStyle name="Normal 15 3 2 2 3 3 3 2" xfId="51418" xr:uid="{00000000-0005-0000-0000-0000F1440000}"/>
    <cellStyle name="Normal 15 3 2 2 3 3 4" xfId="12252" xr:uid="{00000000-0005-0000-0000-0000F2440000}"/>
    <cellStyle name="Normal 15 3 2 2 3 3 5" xfId="12253" xr:uid="{00000000-0005-0000-0000-0000F3440000}"/>
    <cellStyle name="Normal 15 3 2 2 3 3 6" xfId="12254" xr:uid="{00000000-0005-0000-0000-0000F4440000}"/>
    <cellStyle name="Normal 15 3 2 2 3 4" xfId="12255" xr:uid="{00000000-0005-0000-0000-0000F5440000}"/>
    <cellStyle name="Normal 15 3 2 2 3 4 2" xfId="51419" xr:uid="{00000000-0005-0000-0000-0000F6440000}"/>
    <cellStyle name="Normal 15 3 2 2 3 4 3" xfId="51420" xr:uid="{00000000-0005-0000-0000-0000F7440000}"/>
    <cellStyle name="Normal 15 3 2 2 3 5" xfId="12256" xr:uid="{00000000-0005-0000-0000-0000F8440000}"/>
    <cellStyle name="Normal 15 3 2 2 3 5 2" xfId="51421" xr:uid="{00000000-0005-0000-0000-0000F9440000}"/>
    <cellStyle name="Normal 15 3 2 2 3 6" xfId="12257" xr:uid="{00000000-0005-0000-0000-0000FA440000}"/>
    <cellStyle name="Normal 15 3 2 2 3 7" xfId="12258" xr:uid="{00000000-0005-0000-0000-0000FB440000}"/>
    <cellStyle name="Normal 15 3 2 2 3 8" xfId="12259" xr:uid="{00000000-0005-0000-0000-0000FC440000}"/>
    <cellStyle name="Normal 15 3 2 2 4" xfId="12260" xr:uid="{00000000-0005-0000-0000-0000FD440000}"/>
    <cellStyle name="Normal 15 3 2 2 4 2" xfId="12261" xr:uid="{00000000-0005-0000-0000-0000FE440000}"/>
    <cellStyle name="Normal 15 3 2 2 4 2 2" xfId="12262" xr:uid="{00000000-0005-0000-0000-0000FF440000}"/>
    <cellStyle name="Normal 15 3 2 2 4 2 2 2" xfId="51422" xr:uid="{00000000-0005-0000-0000-000000450000}"/>
    <cellStyle name="Normal 15 3 2 2 4 2 2 3" xfId="51423" xr:uid="{00000000-0005-0000-0000-000001450000}"/>
    <cellStyle name="Normal 15 3 2 2 4 2 3" xfId="12263" xr:uid="{00000000-0005-0000-0000-000002450000}"/>
    <cellStyle name="Normal 15 3 2 2 4 2 3 2" xfId="51424" xr:uid="{00000000-0005-0000-0000-000003450000}"/>
    <cellStyle name="Normal 15 3 2 2 4 2 4" xfId="12264" xr:uid="{00000000-0005-0000-0000-000004450000}"/>
    <cellStyle name="Normal 15 3 2 2 4 2 5" xfId="12265" xr:uid="{00000000-0005-0000-0000-000005450000}"/>
    <cellStyle name="Normal 15 3 2 2 4 2 6" xfId="12266" xr:uid="{00000000-0005-0000-0000-000006450000}"/>
    <cellStyle name="Normal 15 3 2 2 4 3" xfId="12267" xr:uid="{00000000-0005-0000-0000-000007450000}"/>
    <cellStyle name="Normal 15 3 2 2 4 3 2" xfId="51425" xr:uid="{00000000-0005-0000-0000-000008450000}"/>
    <cellStyle name="Normal 15 3 2 2 4 3 3" xfId="51426" xr:uid="{00000000-0005-0000-0000-000009450000}"/>
    <cellStyle name="Normal 15 3 2 2 4 4" xfId="12268" xr:uid="{00000000-0005-0000-0000-00000A450000}"/>
    <cellStyle name="Normal 15 3 2 2 4 4 2" xfId="51427" xr:uid="{00000000-0005-0000-0000-00000B450000}"/>
    <cellStyle name="Normal 15 3 2 2 4 5" xfId="12269" xr:uid="{00000000-0005-0000-0000-00000C450000}"/>
    <cellStyle name="Normal 15 3 2 2 4 6" xfId="12270" xr:uid="{00000000-0005-0000-0000-00000D450000}"/>
    <cellStyle name="Normal 15 3 2 2 4 7" xfId="12271" xr:uid="{00000000-0005-0000-0000-00000E450000}"/>
    <cellStyle name="Normal 15 3 2 2 5" xfId="12272" xr:uid="{00000000-0005-0000-0000-00000F450000}"/>
    <cellStyle name="Normal 15 3 2 2 5 2" xfId="12273" xr:uid="{00000000-0005-0000-0000-000010450000}"/>
    <cellStyle name="Normal 15 3 2 2 5 2 2" xfId="51428" xr:uid="{00000000-0005-0000-0000-000011450000}"/>
    <cellStyle name="Normal 15 3 2 2 5 2 3" xfId="51429" xr:uid="{00000000-0005-0000-0000-000012450000}"/>
    <cellStyle name="Normal 15 3 2 2 5 3" xfId="12274" xr:uid="{00000000-0005-0000-0000-000013450000}"/>
    <cellStyle name="Normal 15 3 2 2 5 3 2" xfId="51430" xr:uid="{00000000-0005-0000-0000-000014450000}"/>
    <cellStyle name="Normal 15 3 2 2 5 4" xfId="12275" xr:uid="{00000000-0005-0000-0000-000015450000}"/>
    <cellStyle name="Normal 15 3 2 2 5 5" xfId="12276" xr:uid="{00000000-0005-0000-0000-000016450000}"/>
    <cellStyle name="Normal 15 3 2 2 5 6" xfId="12277" xr:uid="{00000000-0005-0000-0000-000017450000}"/>
    <cellStyle name="Normal 15 3 2 2 6" xfId="12278" xr:uid="{00000000-0005-0000-0000-000018450000}"/>
    <cellStyle name="Normal 15 3 2 2 6 2" xfId="51431" xr:uid="{00000000-0005-0000-0000-000019450000}"/>
    <cellStyle name="Normal 15 3 2 2 6 3" xfId="51432" xr:uid="{00000000-0005-0000-0000-00001A450000}"/>
    <cellStyle name="Normal 15 3 2 2 7" xfId="12279" xr:uid="{00000000-0005-0000-0000-00001B450000}"/>
    <cellStyle name="Normal 15 3 2 2 7 2" xfId="51433" xr:uid="{00000000-0005-0000-0000-00001C450000}"/>
    <cellStyle name="Normal 15 3 2 2 8" xfId="12280" xr:uid="{00000000-0005-0000-0000-00001D450000}"/>
    <cellStyle name="Normal 15 3 2 2 9" xfId="12281" xr:uid="{00000000-0005-0000-0000-00001E450000}"/>
    <cellStyle name="Normal 15 3 2 3" xfId="12282" xr:uid="{00000000-0005-0000-0000-00001F450000}"/>
    <cellStyle name="Normal 15 3 2 3 2" xfId="12283" xr:uid="{00000000-0005-0000-0000-000020450000}"/>
    <cellStyle name="Normal 15 3 2 3 2 2" xfId="12284" xr:uid="{00000000-0005-0000-0000-000021450000}"/>
    <cellStyle name="Normal 15 3 2 3 2 2 2" xfId="12285" xr:uid="{00000000-0005-0000-0000-000022450000}"/>
    <cellStyle name="Normal 15 3 2 3 2 2 2 2" xfId="51434" xr:uid="{00000000-0005-0000-0000-000023450000}"/>
    <cellStyle name="Normal 15 3 2 3 2 2 2 3" xfId="51435" xr:uid="{00000000-0005-0000-0000-000024450000}"/>
    <cellStyle name="Normal 15 3 2 3 2 2 3" xfId="12286" xr:uid="{00000000-0005-0000-0000-000025450000}"/>
    <cellStyle name="Normal 15 3 2 3 2 2 3 2" xfId="51436" xr:uid="{00000000-0005-0000-0000-000026450000}"/>
    <cellStyle name="Normal 15 3 2 3 2 2 4" xfId="12287" xr:uid="{00000000-0005-0000-0000-000027450000}"/>
    <cellStyle name="Normal 15 3 2 3 2 2 5" xfId="12288" xr:uid="{00000000-0005-0000-0000-000028450000}"/>
    <cellStyle name="Normal 15 3 2 3 2 2 6" xfId="12289" xr:uid="{00000000-0005-0000-0000-000029450000}"/>
    <cellStyle name="Normal 15 3 2 3 2 3" xfId="12290" xr:uid="{00000000-0005-0000-0000-00002A450000}"/>
    <cellStyle name="Normal 15 3 2 3 2 3 2" xfId="51437" xr:uid="{00000000-0005-0000-0000-00002B450000}"/>
    <cellStyle name="Normal 15 3 2 3 2 3 3" xfId="51438" xr:uid="{00000000-0005-0000-0000-00002C450000}"/>
    <cellStyle name="Normal 15 3 2 3 2 4" xfId="12291" xr:uid="{00000000-0005-0000-0000-00002D450000}"/>
    <cellStyle name="Normal 15 3 2 3 2 4 2" xfId="51439" xr:uid="{00000000-0005-0000-0000-00002E450000}"/>
    <cellStyle name="Normal 15 3 2 3 2 5" xfId="12292" xr:uid="{00000000-0005-0000-0000-00002F450000}"/>
    <cellStyle name="Normal 15 3 2 3 2 6" xfId="12293" xr:uid="{00000000-0005-0000-0000-000030450000}"/>
    <cellStyle name="Normal 15 3 2 3 2 7" xfId="12294" xr:uid="{00000000-0005-0000-0000-000031450000}"/>
    <cellStyle name="Normal 15 3 2 3 3" xfId="12295" xr:uid="{00000000-0005-0000-0000-000032450000}"/>
    <cellStyle name="Normal 15 3 2 3 3 2" xfId="12296" xr:uid="{00000000-0005-0000-0000-000033450000}"/>
    <cellStyle name="Normal 15 3 2 3 3 2 2" xfId="51440" xr:uid="{00000000-0005-0000-0000-000034450000}"/>
    <cellStyle name="Normal 15 3 2 3 3 2 3" xfId="51441" xr:uid="{00000000-0005-0000-0000-000035450000}"/>
    <cellStyle name="Normal 15 3 2 3 3 3" xfId="12297" xr:uid="{00000000-0005-0000-0000-000036450000}"/>
    <cellStyle name="Normal 15 3 2 3 3 3 2" xfId="51442" xr:uid="{00000000-0005-0000-0000-000037450000}"/>
    <cellStyle name="Normal 15 3 2 3 3 4" xfId="12298" xr:uid="{00000000-0005-0000-0000-000038450000}"/>
    <cellStyle name="Normal 15 3 2 3 3 5" xfId="12299" xr:uid="{00000000-0005-0000-0000-000039450000}"/>
    <cellStyle name="Normal 15 3 2 3 3 6" xfId="12300" xr:uid="{00000000-0005-0000-0000-00003A450000}"/>
    <cellStyle name="Normal 15 3 2 3 4" xfId="12301" xr:uid="{00000000-0005-0000-0000-00003B450000}"/>
    <cellStyle name="Normal 15 3 2 3 4 2" xfId="51443" xr:uid="{00000000-0005-0000-0000-00003C450000}"/>
    <cellStyle name="Normal 15 3 2 3 4 3" xfId="51444" xr:uid="{00000000-0005-0000-0000-00003D450000}"/>
    <cellStyle name="Normal 15 3 2 3 5" xfId="12302" xr:uid="{00000000-0005-0000-0000-00003E450000}"/>
    <cellStyle name="Normal 15 3 2 3 5 2" xfId="51445" xr:uid="{00000000-0005-0000-0000-00003F450000}"/>
    <cellStyle name="Normal 15 3 2 3 6" xfId="12303" xr:uid="{00000000-0005-0000-0000-000040450000}"/>
    <cellStyle name="Normal 15 3 2 3 7" xfId="12304" xr:uid="{00000000-0005-0000-0000-000041450000}"/>
    <cellStyle name="Normal 15 3 2 3 8" xfId="12305" xr:uid="{00000000-0005-0000-0000-000042450000}"/>
    <cellStyle name="Normal 15 3 2 3 9" xfId="12306" xr:uid="{00000000-0005-0000-0000-000043450000}"/>
    <cellStyle name="Normal 15 3 2 4" xfId="12307" xr:uid="{00000000-0005-0000-0000-000044450000}"/>
    <cellStyle name="Normal 15 3 2 4 2" xfId="12308" xr:uid="{00000000-0005-0000-0000-000045450000}"/>
    <cellStyle name="Normal 15 3 2 4 2 2" xfId="12309" xr:uid="{00000000-0005-0000-0000-000046450000}"/>
    <cellStyle name="Normal 15 3 2 4 2 2 2" xfId="12310" xr:uid="{00000000-0005-0000-0000-000047450000}"/>
    <cellStyle name="Normal 15 3 2 4 2 2 2 2" xfId="51446" xr:uid="{00000000-0005-0000-0000-000048450000}"/>
    <cellStyle name="Normal 15 3 2 4 2 2 2 3" xfId="51447" xr:uid="{00000000-0005-0000-0000-000049450000}"/>
    <cellStyle name="Normal 15 3 2 4 2 2 3" xfId="12311" xr:uid="{00000000-0005-0000-0000-00004A450000}"/>
    <cellStyle name="Normal 15 3 2 4 2 2 3 2" xfId="51448" xr:uid="{00000000-0005-0000-0000-00004B450000}"/>
    <cellStyle name="Normal 15 3 2 4 2 2 4" xfId="12312" xr:uid="{00000000-0005-0000-0000-00004C450000}"/>
    <cellStyle name="Normal 15 3 2 4 2 2 5" xfId="12313" xr:uid="{00000000-0005-0000-0000-00004D450000}"/>
    <cellStyle name="Normal 15 3 2 4 2 2 6" xfId="12314" xr:uid="{00000000-0005-0000-0000-00004E450000}"/>
    <cellStyle name="Normal 15 3 2 4 2 3" xfId="12315" xr:uid="{00000000-0005-0000-0000-00004F450000}"/>
    <cellStyle name="Normal 15 3 2 4 2 3 2" xfId="51449" xr:uid="{00000000-0005-0000-0000-000050450000}"/>
    <cellStyle name="Normal 15 3 2 4 2 3 3" xfId="51450" xr:uid="{00000000-0005-0000-0000-000051450000}"/>
    <cellStyle name="Normal 15 3 2 4 2 4" xfId="12316" xr:uid="{00000000-0005-0000-0000-000052450000}"/>
    <cellStyle name="Normal 15 3 2 4 2 4 2" xfId="51451" xr:uid="{00000000-0005-0000-0000-000053450000}"/>
    <cellStyle name="Normal 15 3 2 4 2 5" xfId="12317" xr:uid="{00000000-0005-0000-0000-000054450000}"/>
    <cellStyle name="Normal 15 3 2 4 2 6" xfId="12318" xr:uid="{00000000-0005-0000-0000-000055450000}"/>
    <cellStyle name="Normal 15 3 2 4 2 7" xfId="12319" xr:uid="{00000000-0005-0000-0000-000056450000}"/>
    <cellStyle name="Normal 15 3 2 4 3" xfId="12320" xr:uid="{00000000-0005-0000-0000-000057450000}"/>
    <cellStyle name="Normal 15 3 2 4 3 2" xfId="12321" xr:uid="{00000000-0005-0000-0000-000058450000}"/>
    <cellStyle name="Normal 15 3 2 4 3 2 2" xfId="51452" xr:uid="{00000000-0005-0000-0000-000059450000}"/>
    <cellStyle name="Normal 15 3 2 4 3 2 3" xfId="51453" xr:uid="{00000000-0005-0000-0000-00005A450000}"/>
    <cellStyle name="Normal 15 3 2 4 3 3" xfId="12322" xr:uid="{00000000-0005-0000-0000-00005B450000}"/>
    <cellStyle name="Normal 15 3 2 4 3 3 2" xfId="51454" xr:uid="{00000000-0005-0000-0000-00005C450000}"/>
    <cellStyle name="Normal 15 3 2 4 3 4" xfId="12323" xr:uid="{00000000-0005-0000-0000-00005D450000}"/>
    <cellStyle name="Normal 15 3 2 4 3 5" xfId="12324" xr:uid="{00000000-0005-0000-0000-00005E450000}"/>
    <cellStyle name="Normal 15 3 2 4 3 6" xfId="12325" xr:uid="{00000000-0005-0000-0000-00005F450000}"/>
    <cellStyle name="Normal 15 3 2 4 4" xfId="12326" xr:uid="{00000000-0005-0000-0000-000060450000}"/>
    <cellStyle name="Normal 15 3 2 4 4 2" xfId="51455" xr:uid="{00000000-0005-0000-0000-000061450000}"/>
    <cellStyle name="Normal 15 3 2 4 4 3" xfId="51456" xr:uid="{00000000-0005-0000-0000-000062450000}"/>
    <cellStyle name="Normal 15 3 2 4 5" xfId="12327" xr:uid="{00000000-0005-0000-0000-000063450000}"/>
    <cellStyle name="Normal 15 3 2 4 5 2" xfId="51457" xr:uid="{00000000-0005-0000-0000-000064450000}"/>
    <cellStyle name="Normal 15 3 2 4 6" xfId="12328" xr:uid="{00000000-0005-0000-0000-000065450000}"/>
    <cellStyle name="Normal 15 3 2 4 7" xfId="12329" xr:uid="{00000000-0005-0000-0000-000066450000}"/>
    <cellStyle name="Normal 15 3 2 4 8" xfId="12330" xr:uid="{00000000-0005-0000-0000-000067450000}"/>
    <cellStyle name="Normal 15 3 2 5" xfId="12331" xr:uid="{00000000-0005-0000-0000-000068450000}"/>
    <cellStyle name="Normal 15 3 2 5 2" xfId="12332" xr:uid="{00000000-0005-0000-0000-000069450000}"/>
    <cellStyle name="Normal 15 3 2 5 2 2" xfId="12333" xr:uid="{00000000-0005-0000-0000-00006A450000}"/>
    <cellStyle name="Normal 15 3 2 5 2 2 2" xfId="51458" xr:uid="{00000000-0005-0000-0000-00006B450000}"/>
    <cellStyle name="Normal 15 3 2 5 2 2 3" xfId="51459" xr:uid="{00000000-0005-0000-0000-00006C450000}"/>
    <cellStyle name="Normal 15 3 2 5 2 3" xfId="12334" xr:uid="{00000000-0005-0000-0000-00006D450000}"/>
    <cellStyle name="Normal 15 3 2 5 2 3 2" xfId="51460" xr:uid="{00000000-0005-0000-0000-00006E450000}"/>
    <cellStyle name="Normal 15 3 2 5 2 4" xfId="12335" xr:uid="{00000000-0005-0000-0000-00006F450000}"/>
    <cellStyle name="Normal 15 3 2 5 2 5" xfId="12336" xr:uid="{00000000-0005-0000-0000-000070450000}"/>
    <cellStyle name="Normal 15 3 2 5 2 6" xfId="12337" xr:uid="{00000000-0005-0000-0000-000071450000}"/>
    <cellStyle name="Normal 15 3 2 5 3" xfId="12338" xr:uid="{00000000-0005-0000-0000-000072450000}"/>
    <cellStyle name="Normal 15 3 2 5 3 2" xfId="51461" xr:uid="{00000000-0005-0000-0000-000073450000}"/>
    <cellStyle name="Normal 15 3 2 5 3 3" xfId="51462" xr:uid="{00000000-0005-0000-0000-000074450000}"/>
    <cellStyle name="Normal 15 3 2 5 4" xfId="12339" xr:uid="{00000000-0005-0000-0000-000075450000}"/>
    <cellStyle name="Normal 15 3 2 5 4 2" xfId="51463" xr:uid="{00000000-0005-0000-0000-000076450000}"/>
    <cellStyle name="Normal 15 3 2 5 5" xfId="12340" xr:uid="{00000000-0005-0000-0000-000077450000}"/>
    <cellStyle name="Normal 15 3 2 5 6" xfId="12341" xr:uid="{00000000-0005-0000-0000-000078450000}"/>
    <cellStyle name="Normal 15 3 2 5 7" xfId="12342" xr:uid="{00000000-0005-0000-0000-000079450000}"/>
    <cellStyle name="Normal 15 3 2 6" xfId="12343" xr:uid="{00000000-0005-0000-0000-00007A450000}"/>
    <cellStyle name="Normal 15 3 2 6 2" xfId="12344" xr:uid="{00000000-0005-0000-0000-00007B450000}"/>
    <cellStyle name="Normal 15 3 2 6 2 2" xfId="51464" xr:uid="{00000000-0005-0000-0000-00007C450000}"/>
    <cellStyle name="Normal 15 3 2 6 2 3" xfId="51465" xr:uid="{00000000-0005-0000-0000-00007D450000}"/>
    <cellStyle name="Normal 15 3 2 6 3" xfId="12345" xr:uid="{00000000-0005-0000-0000-00007E450000}"/>
    <cellStyle name="Normal 15 3 2 6 3 2" xfId="51466" xr:uid="{00000000-0005-0000-0000-00007F450000}"/>
    <cellStyle name="Normal 15 3 2 6 4" xfId="12346" xr:uid="{00000000-0005-0000-0000-000080450000}"/>
    <cellStyle name="Normal 15 3 2 6 5" xfId="12347" xr:uid="{00000000-0005-0000-0000-000081450000}"/>
    <cellStyle name="Normal 15 3 2 6 6" xfId="12348" xr:uid="{00000000-0005-0000-0000-000082450000}"/>
    <cellStyle name="Normal 15 3 2 7" xfId="12349" xr:uid="{00000000-0005-0000-0000-000083450000}"/>
    <cellStyle name="Normal 15 3 2 7 2" xfId="51467" xr:uid="{00000000-0005-0000-0000-000084450000}"/>
    <cellStyle name="Normal 15 3 2 7 3" xfId="51468" xr:uid="{00000000-0005-0000-0000-000085450000}"/>
    <cellStyle name="Normal 15 3 2 8" xfId="12350" xr:uid="{00000000-0005-0000-0000-000086450000}"/>
    <cellStyle name="Normal 15 3 2 8 2" xfId="51469" xr:uid="{00000000-0005-0000-0000-000087450000}"/>
    <cellStyle name="Normal 15 3 2 9" xfId="12351" xr:uid="{00000000-0005-0000-0000-000088450000}"/>
    <cellStyle name="Normal 15 3 2 9 2" xfId="51470" xr:uid="{00000000-0005-0000-0000-000089450000}"/>
    <cellStyle name="Normal 15 3 20" xfId="12352" xr:uid="{00000000-0005-0000-0000-00008A450000}"/>
    <cellStyle name="Normal 15 3 3" xfId="12353" xr:uid="{00000000-0005-0000-0000-00008B450000}"/>
    <cellStyle name="Normal 15 3 3 10" xfId="12354" xr:uid="{00000000-0005-0000-0000-00008C450000}"/>
    <cellStyle name="Normal 15 3 3 11" xfId="12355" xr:uid="{00000000-0005-0000-0000-00008D450000}"/>
    <cellStyle name="Normal 15 3 3 12" xfId="12356" xr:uid="{00000000-0005-0000-0000-00008E450000}"/>
    <cellStyle name="Normal 15 3 3 13" xfId="12357" xr:uid="{00000000-0005-0000-0000-00008F450000}"/>
    <cellStyle name="Normal 15 3 3 14" xfId="12358" xr:uid="{00000000-0005-0000-0000-000090450000}"/>
    <cellStyle name="Normal 15 3 3 15" xfId="12359" xr:uid="{00000000-0005-0000-0000-000091450000}"/>
    <cellStyle name="Normal 15 3 3 2" xfId="12360" xr:uid="{00000000-0005-0000-0000-000092450000}"/>
    <cellStyle name="Normal 15 3 3 2 10" xfId="12361" xr:uid="{00000000-0005-0000-0000-000093450000}"/>
    <cellStyle name="Normal 15 3 3 2 11" xfId="12362" xr:uid="{00000000-0005-0000-0000-000094450000}"/>
    <cellStyle name="Normal 15 3 3 2 12" xfId="12363" xr:uid="{00000000-0005-0000-0000-000095450000}"/>
    <cellStyle name="Normal 15 3 3 2 13" xfId="12364" xr:uid="{00000000-0005-0000-0000-000096450000}"/>
    <cellStyle name="Normal 15 3 3 2 14" xfId="12365" xr:uid="{00000000-0005-0000-0000-000097450000}"/>
    <cellStyle name="Normal 15 3 3 2 2" xfId="12366" xr:uid="{00000000-0005-0000-0000-000098450000}"/>
    <cellStyle name="Normal 15 3 3 2 2 2" xfId="12367" xr:uid="{00000000-0005-0000-0000-000099450000}"/>
    <cellStyle name="Normal 15 3 3 2 2 2 2" xfId="12368" xr:uid="{00000000-0005-0000-0000-00009A450000}"/>
    <cellStyle name="Normal 15 3 3 2 2 2 2 2" xfId="12369" xr:uid="{00000000-0005-0000-0000-00009B450000}"/>
    <cellStyle name="Normal 15 3 3 2 2 2 2 2 2" xfId="51471" xr:uid="{00000000-0005-0000-0000-00009C450000}"/>
    <cellStyle name="Normal 15 3 3 2 2 2 2 2 3" xfId="51472" xr:uid="{00000000-0005-0000-0000-00009D450000}"/>
    <cellStyle name="Normal 15 3 3 2 2 2 2 3" xfId="12370" xr:uid="{00000000-0005-0000-0000-00009E450000}"/>
    <cellStyle name="Normal 15 3 3 2 2 2 2 3 2" xfId="51473" xr:uid="{00000000-0005-0000-0000-00009F450000}"/>
    <cellStyle name="Normal 15 3 3 2 2 2 2 4" xfId="12371" xr:uid="{00000000-0005-0000-0000-0000A0450000}"/>
    <cellStyle name="Normal 15 3 3 2 2 2 2 5" xfId="12372" xr:uid="{00000000-0005-0000-0000-0000A1450000}"/>
    <cellStyle name="Normal 15 3 3 2 2 2 2 6" xfId="12373" xr:uid="{00000000-0005-0000-0000-0000A2450000}"/>
    <cellStyle name="Normal 15 3 3 2 2 2 3" xfId="12374" xr:uid="{00000000-0005-0000-0000-0000A3450000}"/>
    <cellStyle name="Normal 15 3 3 2 2 2 3 2" xfId="51474" xr:uid="{00000000-0005-0000-0000-0000A4450000}"/>
    <cellStyle name="Normal 15 3 3 2 2 2 3 3" xfId="51475" xr:uid="{00000000-0005-0000-0000-0000A5450000}"/>
    <cellStyle name="Normal 15 3 3 2 2 2 4" xfId="12375" xr:uid="{00000000-0005-0000-0000-0000A6450000}"/>
    <cellStyle name="Normal 15 3 3 2 2 2 4 2" xfId="51476" xr:uid="{00000000-0005-0000-0000-0000A7450000}"/>
    <cellStyle name="Normal 15 3 3 2 2 2 5" xfId="12376" xr:uid="{00000000-0005-0000-0000-0000A8450000}"/>
    <cellStyle name="Normal 15 3 3 2 2 2 6" xfId="12377" xr:uid="{00000000-0005-0000-0000-0000A9450000}"/>
    <cellStyle name="Normal 15 3 3 2 2 2 7" xfId="12378" xr:uid="{00000000-0005-0000-0000-0000AA450000}"/>
    <cellStyle name="Normal 15 3 3 2 2 3" xfId="12379" xr:uid="{00000000-0005-0000-0000-0000AB450000}"/>
    <cellStyle name="Normal 15 3 3 2 2 3 2" xfId="12380" xr:uid="{00000000-0005-0000-0000-0000AC450000}"/>
    <cellStyle name="Normal 15 3 3 2 2 3 2 2" xfId="51477" xr:uid="{00000000-0005-0000-0000-0000AD450000}"/>
    <cellStyle name="Normal 15 3 3 2 2 3 2 3" xfId="51478" xr:uid="{00000000-0005-0000-0000-0000AE450000}"/>
    <cellStyle name="Normal 15 3 3 2 2 3 3" xfId="12381" xr:uid="{00000000-0005-0000-0000-0000AF450000}"/>
    <cellStyle name="Normal 15 3 3 2 2 3 3 2" xfId="51479" xr:uid="{00000000-0005-0000-0000-0000B0450000}"/>
    <cellStyle name="Normal 15 3 3 2 2 3 4" xfId="12382" xr:uid="{00000000-0005-0000-0000-0000B1450000}"/>
    <cellStyle name="Normal 15 3 3 2 2 3 5" xfId="12383" xr:uid="{00000000-0005-0000-0000-0000B2450000}"/>
    <cellStyle name="Normal 15 3 3 2 2 3 6" xfId="12384" xr:uid="{00000000-0005-0000-0000-0000B3450000}"/>
    <cellStyle name="Normal 15 3 3 2 2 4" xfId="12385" xr:uid="{00000000-0005-0000-0000-0000B4450000}"/>
    <cellStyle name="Normal 15 3 3 2 2 4 2" xfId="51480" xr:uid="{00000000-0005-0000-0000-0000B5450000}"/>
    <cellStyle name="Normal 15 3 3 2 2 4 3" xfId="51481" xr:uid="{00000000-0005-0000-0000-0000B6450000}"/>
    <cellStyle name="Normal 15 3 3 2 2 5" xfId="12386" xr:uid="{00000000-0005-0000-0000-0000B7450000}"/>
    <cellStyle name="Normal 15 3 3 2 2 5 2" xfId="51482" xr:uid="{00000000-0005-0000-0000-0000B8450000}"/>
    <cellStyle name="Normal 15 3 3 2 2 6" xfId="12387" xr:uid="{00000000-0005-0000-0000-0000B9450000}"/>
    <cellStyle name="Normal 15 3 3 2 2 7" xfId="12388" xr:uid="{00000000-0005-0000-0000-0000BA450000}"/>
    <cellStyle name="Normal 15 3 3 2 2 8" xfId="12389" xr:uid="{00000000-0005-0000-0000-0000BB450000}"/>
    <cellStyle name="Normal 15 3 3 2 2 9" xfId="12390" xr:uid="{00000000-0005-0000-0000-0000BC450000}"/>
    <cellStyle name="Normal 15 3 3 2 3" xfId="12391" xr:uid="{00000000-0005-0000-0000-0000BD450000}"/>
    <cellStyle name="Normal 15 3 3 2 3 2" xfId="12392" xr:uid="{00000000-0005-0000-0000-0000BE450000}"/>
    <cellStyle name="Normal 15 3 3 2 3 2 2" xfId="12393" xr:uid="{00000000-0005-0000-0000-0000BF450000}"/>
    <cellStyle name="Normal 15 3 3 2 3 2 2 2" xfId="12394" xr:uid="{00000000-0005-0000-0000-0000C0450000}"/>
    <cellStyle name="Normal 15 3 3 2 3 2 2 2 2" xfId="51483" xr:uid="{00000000-0005-0000-0000-0000C1450000}"/>
    <cellStyle name="Normal 15 3 3 2 3 2 2 2 3" xfId="51484" xr:uid="{00000000-0005-0000-0000-0000C2450000}"/>
    <cellStyle name="Normal 15 3 3 2 3 2 2 3" xfId="12395" xr:uid="{00000000-0005-0000-0000-0000C3450000}"/>
    <cellStyle name="Normal 15 3 3 2 3 2 2 3 2" xfId="51485" xr:uid="{00000000-0005-0000-0000-0000C4450000}"/>
    <cellStyle name="Normal 15 3 3 2 3 2 2 4" xfId="12396" xr:uid="{00000000-0005-0000-0000-0000C5450000}"/>
    <cellStyle name="Normal 15 3 3 2 3 2 2 5" xfId="12397" xr:uid="{00000000-0005-0000-0000-0000C6450000}"/>
    <cellStyle name="Normal 15 3 3 2 3 2 2 6" xfId="12398" xr:uid="{00000000-0005-0000-0000-0000C7450000}"/>
    <cellStyle name="Normal 15 3 3 2 3 2 3" xfId="12399" xr:uid="{00000000-0005-0000-0000-0000C8450000}"/>
    <cellStyle name="Normal 15 3 3 2 3 2 3 2" xfId="51486" xr:uid="{00000000-0005-0000-0000-0000C9450000}"/>
    <cellStyle name="Normal 15 3 3 2 3 2 3 3" xfId="51487" xr:uid="{00000000-0005-0000-0000-0000CA450000}"/>
    <cellStyle name="Normal 15 3 3 2 3 2 4" xfId="12400" xr:uid="{00000000-0005-0000-0000-0000CB450000}"/>
    <cellStyle name="Normal 15 3 3 2 3 2 4 2" xfId="51488" xr:uid="{00000000-0005-0000-0000-0000CC450000}"/>
    <cellStyle name="Normal 15 3 3 2 3 2 5" xfId="12401" xr:uid="{00000000-0005-0000-0000-0000CD450000}"/>
    <cellStyle name="Normal 15 3 3 2 3 2 6" xfId="12402" xr:uid="{00000000-0005-0000-0000-0000CE450000}"/>
    <cellStyle name="Normal 15 3 3 2 3 2 7" xfId="12403" xr:uid="{00000000-0005-0000-0000-0000CF450000}"/>
    <cellStyle name="Normal 15 3 3 2 3 3" xfId="12404" xr:uid="{00000000-0005-0000-0000-0000D0450000}"/>
    <cellStyle name="Normal 15 3 3 2 3 3 2" xfId="12405" xr:uid="{00000000-0005-0000-0000-0000D1450000}"/>
    <cellStyle name="Normal 15 3 3 2 3 3 2 2" xfId="51489" xr:uid="{00000000-0005-0000-0000-0000D2450000}"/>
    <cellStyle name="Normal 15 3 3 2 3 3 2 3" xfId="51490" xr:uid="{00000000-0005-0000-0000-0000D3450000}"/>
    <cellStyle name="Normal 15 3 3 2 3 3 3" xfId="12406" xr:uid="{00000000-0005-0000-0000-0000D4450000}"/>
    <cellStyle name="Normal 15 3 3 2 3 3 3 2" xfId="51491" xr:uid="{00000000-0005-0000-0000-0000D5450000}"/>
    <cellStyle name="Normal 15 3 3 2 3 3 4" xfId="12407" xr:uid="{00000000-0005-0000-0000-0000D6450000}"/>
    <cellStyle name="Normal 15 3 3 2 3 3 5" xfId="12408" xr:uid="{00000000-0005-0000-0000-0000D7450000}"/>
    <cellStyle name="Normal 15 3 3 2 3 3 6" xfId="12409" xr:uid="{00000000-0005-0000-0000-0000D8450000}"/>
    <cellStyle name="Normal 15 3 3 2 3 4" xfId="12410" xr:uid="{00000000-0005-0000-0000-0000D9450000}"/>
    <cellStyle name="Normal 15 3 3 2 3 4 2" xfId="51492" xr:uid="{00000000-0005-0000-0000-0000DA450000}"/>
    <cellStyle name="Normal 15 3 3 2 3 4 3" xfId="51493" xr:uid="{00000000-0005-0000-0000-0000DB450000}"/>
    <cellStyle name="Normal 15 3 3 2 3 5" xfId="12411" xr:uid="{00000000-0005-0000-0000-0000DC450000}"/>
    <cellStyle name="Normal 15 3 3 2 3 5 2" xfId="51494" xr:uid="{00000000-0005-0000-0000-0000DD450000}"/>
    <cellStyle name="Normal 15 3 3 2 3 6" xfId="12412" xr:uid="{00000000-0005-0000-0000-0000DE450000}"/>
    <cellStyle name="Normal 15 3 3 2 3 7" xfId="12413" xr:uid="{00000000-0005-0000-0000-0000DF450000}"/>
    <cellStyle name="Normal 15 3 3 2 3 8" xfId="12414" xr:uid="{00000000-0005-0000-0000-0000E0450000}"/>
    <cellStyle name="Normal 15 3 3 2 4" xfId="12415" xr:uid="{00000000-0005-0000-0000-0000E1450000}"/>
    <cellStyle name="Normal 15 3 3 2 4 2" xfId="12416" xr:uid="{00000000-0005-0000-0000-0000E2450000}"/>
    <cellStyle name="Normal 15 3 3 2 4 2 2" xfId="12417" xr:uid="{00000000-0005-0000-0000-0000E3450000}"/>
    <cellStyle name="Normal 15 3 3 2 4 2 2 2" xfId="51495" xr:uid="{00000000-0005-0000-0000-0000E4450000}"/>
    <cellStyle name="Normal 15 3 3 2 4 2 2 3" xfId="51496" xr:uid="{00000000-0005-0000-0000-0000E5450000}"/>
    <cellStyle name="Normal 15 3 3 2 4 2 3" xfId="12418" xr:uid="{00000000-0005-0000-0000-0000E6450000}"/>
    <cellStyle name="Normal 15 3 3 2 4 2 3 2" xfId="51497" xr:uid="{00000000-0005-0000-0000-0000E7450000}"/>
    <cellStyle name="Normal 15 3 3 2 4 2 4" xfId="12419" xr:uid="{00000000-0005-0000-0000-0000E8450000}"/>
    <cellStyle name="Normal 15 3 3 2 4 2 5" xfId="12420" xr:uid="{00000000-0005-0000-0000-0000E9450000}"/>
    <cellStyle name="Normal 15 3 3 2 4 2 6" xfId="12421" xr:uid="{00000000-0005-0000-0000-0000EA450000}"/>
    <cellStyle name="Normal 15 3 3 2 4 3" xfId="12422" xr:uid="{00000000-0005-0000-0000-0000EB450000}"/>
    <cellStyle name="Normal 15 3 3 2 4 3 2" xfId="51498" xr:uid="{00000000-0005-0000-0000-0000EC450000}"/>
    <cellStyle name="Normal 15 3 3 2 4 3 3" xfId="51499" xr:uid="{00000000-0005-0000-0000-0000ED450000}"/>
    <cellStyle name="Normal 15 3 3 2 4 4" xfId="12423" xr:uid="{00000000-0005-0000-0000-0000EE450000}"/>
    <cellStyle name="Normal 15 3 3 2 4 4 2" xfId="51500" xr:uid="{00000000-0005-0000-0000-0000EF450000}"/>
    <cellStyle name="Normal 15 3 3 2 4 5" xfId="12424" xr:uid="{00000000-0005-0000-0000-0000F0450000}"/>
    <cellStyle name="Normal 15 3 3 2 4 6" xfId="12425" xr:uid="{00000000-0005-0000-0000-0000F1450000}"/>
    <cellStyle name="Normal 15 3 3 2 4 7" xfId="12426" xr:uid="{00000000-0005-0000-0000-0000F2450000}"/>
    <cellStyle name="Normal 15 3 3 2 5" xfId="12427" xr:uid="{00000000-0005-0000-0000-0000F3450000}"/>
    <cellStyle name="Normal 15 3 3 2 5 2" xfId="12428" xr:uid="{00000000-0005-0000-0000-0000F4450000}"/>
    <cellStyle name="Normal 15 3 3 2 5 2 2" xfId="51501" xr:uid="{00000000-0005-0000-0000-0000F5450000}"/>
    <cellStyle name="Normal 15 3 3 2 5 2 3" xfId="51502" xr:uid="{00000000-0005-0000-0000-0000F6450000}"/>
    <cellStyle name="Normal 15 3 3 2 5 3" xfId="12429" xr:uid="{00000000-0005-0000-0000-0000F7450000}"/>
    <cellStyle name="Normal 15 3 3 2 5 3 2" xfId="51503" xr:uid="{00000000-0005-0000-0000-0000F8450000}"/>
    <cellStyle name="Normal 15 3 3 2 5 4" xfId="12430" xr:uid="{00000000-0005-0000-0000-0000F9450000}"/>
    <cellStyle name="Normal 15 3 3 2 5 5" xfId="12431" xr:uid="{00000000-0005-0000-0000-0000FA450000}"/>
    <cellStyle name="Normal 15 3 3 2 5 6" xfId="12432" xr:uid="{00000000-0005-0000-0000-0000FB450000}"/>
    <cellStyle name="Normal 15 3 3 2 6" xfId="12433" xr:uid="{00000000-0005-0000-0000-0000FC450000}"/>
    <cellStyle name="Normal 15 3 3 2 6 2" xfId="51504" xr:uid="{00000000-0005-0000-0000-0000FD450000}"/>
    <cellStyle name="Normal 15 3 3 2 6 3" xfId="51505" xr:uid="{00000000-0005-0000-0000-0000FE450000}"/>
    <cellStyle name="Normal 15 3 3 2 7" xfId="12434" xr:uid="{00000000-0005-0000-0000-0000FF450000}"/>
    <cellStyle name="Normal 15 3 3 2 7 2" xfId="51506" xr:uid="{00000000-0005-0000-0000-000000460000}"/>
    <cellStyle name="Normal 15 3 3 2 8" xfId="12435" xr:uid="{00000000-0005-0000-0000-000001460000}"/>
    <cellStyle name="Normal 15 3 3 2 9" xfId="12436" xr:uid="{00000000-0005-0000-0000-000002460000}"/>
    <cellStyle name="Normal 15 3 3 3" xfId="12437" xr:uid="{00000000-0005-0000-0000-000003460000}"/>
    <cellStyle name="Normal 15 3 3 3 2" xfId="12438" xr:uid="{00000000-0005-0000-0000-000004460000}"/>
    <cellStyle name="Normal 15 3 3 3 2 2" xfId="12439" xr:uid="{00000000-0005-0000-0000-000005460000}"/>
    <cellStyle name="Normal 15 3 3 3 2 2 2" xfId="12440" xr:uid="{00000000-0005-0000-0000-000006460000}"/>
    <cellStyle name="Normal 15 3 3 3 2 2 2 2" xfId="51507" xr:uid="{00000000-0005-0000-0000-000007460000}"/>
    <cellStyle name="Normal 15 3 3 3 2 2 2 3" xfId="51508" xr:uid="{00000000-0005-0000-0000-000008460000}"/>
    <cellStyle name="Normal 15 3 3 3 2 2 3" xfId="12441" xr:uid="{00000000-0005-0000-0000-000009460000}"/>
    <cellStyle name="Normal 15 3 3 3 2 2 3 2" xfId="51509" xr:uid="{00000000-0005-0000-0000-00000A460000}"/>
    <cellStyle name="Normal 15 3 3 3 2 2 4" xfId="12442" xr:uid="{00000000-0005-0000-0000-00000B460000}"/>
    <cellStyle name="Normal 15 3 3 3 2 2 5" xfId="12443" xr:uid="{00000000-0005-0000-0000-00000C460000}"/>
    <cellStyle name="Normal 15 3 3 3 2 2 6" xfId="12444" xr:uid="{00000000-0005-0000-0000-00000D460000}"/>
    <cellStyle name="Normal 15 3 3 3 2 3" xfId="12445" xr:uid="{00000000-0005-0000-0000-00000E460000}"/>
    <cellStyle name="Normal 15 3 3 3 2 3 2" xfId="51510" xr:uid="{00000000-0005-0000-0000-00000F460000}"/>
    <cellStyle name="Normal 15 3 3 3 2 3 3" xfId="51511" xr:uid="{00000000-0005-0000-0000-000010460000}"/>
    <cellStyle name="Normal 15 3 3 3 2 4" xfId="12446" xr:uid="{00000000-0005-0000-0000-000011460000}"/>
    <cellStyle name="Normal 15 3 3 3 2 4 2" xfId="51512" xr:uid="{00000000-0005-0000-0000-000012460000}"/>
    <cellStyle name="Normal 15 3 3 3 2 5" xfId="12447" xr:uid="{00000000-0005-0000-0000-000013460000}"/>
    <cellStyle name="Normal 15 3 3 3 2 6" xfId="12448" xr:uid="{00000000-0005-0000-0000-000014460000}"/>
    <cellStyle name="Normal 15 3 3 3 2 7" xfId="12449" xr:uid="{00000000-0005-0000-0000-000015460000}"/>
    <cellStyle name="Normal 15 3 3 3 3" xfId="12450" xr:uid="{00000000-0005-0000-0000-000016460000}"/>
    <cellStyle name="Normal 15 3 3 3 3 2" xfId="12451" xr:uid="{00000000-0005-0000-0000-000017460000}"/>
    <cellStyle name="Normal 15 3 3 3 3 2 2" xfId="51513" xr:uid="{00000000-0005-0000-0000-000018460000}"/>
    <cellStyle name="Normal 15 3 3 3 3 2 3" xfId="51514" xr:uid="{00000000-0005-0000-0000-000019460000}"/>
    <cellStyle name="Normal 15 3 3 3 3 3" xfId="12452" xr:uid="{00000000-0005-0000-0000-00001A460000}"/>
    <cellStyle name="Normal 15 3 3 3 3 3 2" xfId="51515" xr:uid="{00000000-0005-0000-0000-00001B460000}"/>
    <cellStyle name="Normal 15 3 3 3 3 4" xfId="12453" xr:uid="{00000000-0005-0000-0000-00001C460000}"/>
    <cellStyle name="Normal 15 3 3 3 3 5" xfId="12454" xr:uid="{00000000-0005-0000-0000-00001D460000}"/>
    <cellStyle name="Normal 15 3 3 3 3 6" xfId="12455" xr:uid="{00000000-0005-0000-0000-00001E460000}"/>
    <cellStyle name="Normal 15 3 3 3 4" xfId="12456" xr:uid="{00000000-0005-0000-0000-00001F460000}"/>
    <cellStyle name="Normal 15 3 3 3 4 2" xfId="51516" xr:uid="{00000000-0005-0000-0000-000020460000}"/>
    <cellStyle name="Normal 15 3 3 3 4 3" xfId="51517" xr:uid="{00000000-0005-0000-0000-000021460000}"/>
    <cellStyle name="Normal 15 3 3 3 5" xfId="12457" xr:uid="{00000000-0005-0000-0000-000022460000}"/>
    <cellStyle name="Normal 15 3 3 3 5 2" xfId="51518" xr:uid="{00000000-0005-0000-0000-000023460000}"/>
    <cellStyle name="Normal 15 3 3 3 6" xfId="12458" xr:uid="{00000000-0005-0000-0000-000024460000}"/>
    <cellStyle name="Normal 15 3 3 3 7" xfId="12459" xr:uid="{00000000-0005-0000-0000-000025460000}"/>
    <cellStyle name="Normal 15 3 3 3 8" xfId="12460" xr:uid="{00000000-0005-0000-0000-000026460000}"/>
    <cellStyle name="Normal 15 3 3 3 9" xfId="12461" xr:uid="{00000000-0005-0000-0000-000027460000}"/>
    <cellStyle name="Normal 15 3 3 4" xfId="12462" xr:uid="{00000000-0005-0000-0000-000028460000}"/>
    <cellStyle name="Normal 15 3 3 4 2" xfId="12463" xr:uid="{00000000-0005-0000-0000-000029460000}"/>
    <cellStyle name="Normal 15 3 3 4 2 2" xfId="12464" xr:uid="{00000000-0005-0000-0000-00002A460000}"/>
    <cellStyle name="Normal 15 3 3 4 2 2 2" xfId="12465" xr:uid="{00000000-0005-0000-0000-00002B460000}"/>
    <cellStyle name="Normal 15 3 3 4 2 2 2 2" xfId="51519" xr:uid="{00000000-0005-0000-0000-00002C460000}"/>
    <cellStyle name="Normal 15 3 3 4 2 2 2 3" xfId="51520" xr:uid="{00000000-0005-0000-0000-00002D460000}"/>
    <cellStyle name="Normal 15 3 3 4 2 2 3" xfId="12466" xr:uid="{00000000-0005-0000-0000-00002E460000}"/>
    <cellStyle name="Normal 15 3 3 4 2 2 3 2" xfId="51521" xr:uid="{00000000-0005-0000-0000-00002F460000}"/>
    <cellStyle name="Normal 15 3 3 4 2 2 4" xfId="12467" xr:uid="{00000000-0005-0000-0000-000030460000}"/>
    <cellStyle name="Normal 15 3 3 4 2 2 5" xfId="12468" xr:uid="{00000000-0005-0000-0000-000031460000}"/>
    <cellStyle name="Normal 15 3 3 4 2 2 6" xfId="12469" xr:uid="{00000000-0005-0000-0000-000032460000}"/>
    <cellStyle name="Normal 15 3 3 4 2 3" xfId="12470" xr:uid="{00000000-0005-0000-0000-000033460000}"/>
    <cellStyle name="Normal 15 3 3 4 2 3 2" xfId="51522" xr:uid="{00000000-0005-0000-0000-000034460000}"/>
    <cellStyle name="Normal 15 3 3 4 2 3 3" xfId="51523" xr:uid="{00000000-0005-0000-0000-000035460000}"/>
    <cellStyle name="Normal 15 3 3 4 2 4" xfId="12471" xr:uid="{00000000-0005-0000-0000-000036460000}"/>
    <cellStyle name="Normal 15 3 3 4 2 4 2" xfId="51524" xr:uid="{00000000-0005-0000-0000-000037460000}"/>
    <cellStyle name="Normal 15 3 3 4 2 5" xfId="12472" xr:uid="{00000000-0005-0000-0000-000038460000}"/>
    <cellStyle name="Normal 15 3 3 4 2 6" xfId="12473" xr:uid="{00000000-0005-0000-0000-000039460000}"/>
    <cellStyle name="Normal 15 3 3 4 2 7" xfId="12474" xr:uid="{00000000-0005-0000-0000-00003A460000}"/>
    <cellStyle name="Normal 15 3 3 4 3" xfId="12475" xr:uid="{00000000-0005-0000-0000-00003B460000}"/>
    <cellStyle name="Normal 15 3 3 4 3 2" xfId="12476" xr:uid="{00000000-0005-0000-0000-00003C460000}"/>
    <cellStyle name="Normal 15 3 3 4 3 2 2" xfId="51525" xr:uid="{00000000-0005-0000-0000-00003D460000}"/>
    <cellStyle name="Normal 15 3 3 4 3 2 3" xfId="51526" xr:uid="{00000000-0005-0000-0000-00003E460000}"/>
    <cellStyle name="Normal 15 3 3 4 3 3" xfId="12477" xr:uid="{00000000-0005-0000-0000-00003F460000}"/>
    <cellStyle name="Normal 15 3 3 4 3 3 2" xfId="51527" xr:uid="{00000000-0005-0000-0000-000040460000}"/>
    <cellStyle name="Normal 15 3 3 4 3 4" xfId="12478" xr:uid="{00000000-0005-0000-0000-000041460000}"/>
    <cellStyle name="Normal 15 3 3 4 3 5" xfId="12479" xr:uid="{00000000-0005-0000-0000-000042460000}"/>
    <cellStyle name="Normal 15 3 3 4 3 6" xfId="12480" xr:uid="{00000000-0005-0000-0000-000043460000}"/>
    <cellStyle name="Normal 15 3 3 4 4" xfId="12481" xr:uid="{00000000-0005-0000-0000-000044460000}"/>
    <cellStyle name="Normal 15 3 3 4 4 2" xfId="51528" xr:uid="{00000000-0005-0000-0000-000045460000}"/>
    <cellStyle name="Normal 15 3 3 4 4 3" xfId="51529" xr:uid="{00000000-0005-0000-0000-000046460000}"/>
    <cellStyle name="Normal 15 3 3 4 5" xfId="12482" xr:uid="{00000000-0005-0000-0000-000047460000}"/>
    <cellStyle name="Normal 15 3 3 4 5 2" xfId="51530" xr:uid="{00000000-0005-0000-0000-000048460000}"/>
    <cellStyle name="Normal 15 3 3 4 6" xfId="12483" xr:uid="{00000000-0005-0000-0000-000049460000}"/>
    <cellStyle name="Normal 15 3 3 4 7" xfId="12484" xr:uid="{00000000-0005-0000-0000-00004A460000}"/>
    <cellStyle name="Normal 15 3 3 4 8" xfId="12485" xr:uid="{00000000-0005-0000-0000-00004B460000}"/>
    <cellStyle name="Normal 15 3 3 5" xfId="12486" xr:uid="{00000000-0005-0000-0000-00004C460000}"/>
    <cellStyle name="Normal 15 3 3 5 2" xfId="12487" xr:uid="{00000000-0005-0000-0000-00004D460000}"/>
    <cellStyle name="Normal 15 3 3 5 2 2" xfId="12488" xr:uid="{00000000-0005-0000-0000-00004E460000}"/>
    <cellStyle name="Normal 15 3 3 5 2 2 2" xfId="51531" xr:uid="{00000000-0005-0000-0000-00004F460000}"/>
    <cellStyle name="Normal 15 3 3 5 2 2 3" xfId="51532" xr:uid="{00000000-0005-0000-0000-000050460000}"/>
    <cellStyle name="Normal 15 3 3 5 2 3" xfId="12489" xr:uid="{00000000-0005-0000-0000-000051460000}"/>
    <cellStyle name="Normal 15 3 3 5 2 3 2" xfId="51533" xr:uid="{00000000-0005-0000-0000-000052460000}"/>
    <cellStyle name="Normal 15 3 3 5 2 4" xfId="12490" xr:uid="{00000000-0005-0000-0000-000053460000}"/>
    <cellStyle name="Normal 15 3 3 5 2 5" xfId="12491" xr:uid="{00000000-0005-0000-0000-000054460000}"/>
    <cellStyle name="Normal 15 3 3 5 2 6" xfId="12492" xr:uid="{00000000-0005-0000-0000-000055460000}"/>
    <cellStyle name="Normal 15 3 3 5 3" xfId="12493" xr:uid="{00000000-0005-0000-0000-000056460000}"/>
    <cellStyle name="Normal 15 3 3 5 3 2" xfId="51534" xr:uid="{00000000-0005-0000-0000-000057460000}"/>
    <cellStyle name="Normal 15 3 3 5 3 3" xfId="51535" xr:uid="{00000000-0005-0000-0000-000058460000}"/>
    <cellStyle name="Normal 15 3 3 5 4" xfId="12494" xr:uid="{00000000-0005-0000-0000-000059460000}"/>
    <cellStyle name="Normal 15 3 3 5 4 2" xfId="51536" xr:uid="{00000000-0005-0000-0000-00005A460000}"/>
    <cellStyle name="Normal 15 3 3 5 5" xfId="12495" xr:uid="{00000000-0005-0000-0000-00005B460000}"/>
    <cellStyle name="Normal 15 3 3 5 6" xfId="12496" xr:uid="{00000000-0005-0000-0000-00005C460000}"/>
    <cellStyle name="Normal 15 3 3 5 7" xfId="12497" xr:uid="{00000000-0005-0000-0000-00005D460000}"/>
    <cellStyle name="Normal 15 3 3 6" xfId="12498" xr:uid="{00000000-0005-0000-0000-00005E460000}"/>
    <cellStyle name="Normal 15 3 3 6 2" xfId="12499" xr:uid="{00000000-0005-0000-0000-00005F460000}"/>
    <cellStyle name="Normal 15 3 3 6 2 2" xfId="51537" xr:uid="{00000000-0005-0000-0000-000060460000}"/>
    <cellStyle name="Normal 15 3 3 6 2 3" xfId="51538" xr:uid="{00000000-0005-0000-0000-000061460000}"/>
    <cellStyle name="Normal 15 3 3 6 3" xfId="12500" xr:uid="{00000000-0005-0000-0000-000062460000}"/>
    <cellStyle name="Normal 15 3 3 6 3 2" xfId="51539" xr:uid="{00000000-0005-0000-0000-000063460000}"/>
    <cellStyle name="Normal 15 3 3 6 4" xfId="12501" xr:uid="{00000000-0005-0000-0000-000064460000}"/>
    <cellStyle name="Normal 15 3 3 6 5" xfId="12502" xr:uid="{00000000-0005-0000-0000-000065460000}"/>
    <cellStyle name="Normal 15 3 3 6 6" xfId="12503" xr:uid="{00000000-0005-0000-0000-000066460000}"/>
    <cellStyle name="Normal 15 3 3 7" xfId="12504" xr:uid="{00000000-0005-0000-0000-000067460000}"/>
    <cellStyle name="Normal 15 3 3 7 2" xfId="51540" xr:uid="{00000000-0005-0000-0000-000068460000}"/>
    <cellStyle name="Normal 15 3 3 7 3" xfId="51541" xr:uid="{00000000-0005-0000-0000-000069460000}"/>
    <cellStyle name="Normal 15 3 3 8" xfId="12505" xr:uid="{00000000-0005-0000-0000-00006A460000}"/>
    <cellStyle name="Normal 15 3 3 8 2" xfId="51542" xr:uid="{00000000-0005-0000-0000-00006B460000}"/>
    <cellStyle name="Normal 15 3 3 9" xfId="12506" xr:uid="{00000000-0005-0000-0000-00006C460000}"/>
    <cellStyle name="Normal 15 3 4" xfId="12507" xr:uid="{00000000-0005-0000-0000-00006D460000}"/>
    <cellStyle name="Normal 15 3 4 10" xfId="12508" xr:uid="{00000000-0005-0000-0000-00006E460000}"/>
    <cellStyle name="Normal 15 3 4 11" xfId="12509" xr:uid="{00000000-0005-0000-0000-00006F460000}"/>
    <cellStyle name="Normal 15 3 4 12" xfId="12510" xr:uid="{00000000-0005-0000-0000-000070460000}"/>
    <cellStyle name="Normal 15 3 4 13" xfId="12511" xr:uid="{00000000-0005-0000-0000-000071460000}"/>
    <cellStyle name="Normal 15 3 4 14" xfId="12512" xr:uid="{00000000-0005-0000-0000-000072460000}"/>
    <cellStyle name="Normal 15 3 4 2" xfId="12513" xr:uid="{00000000-0005-0000-0000-000073460000}"/>
    <cellStyle name="Normal 15 3 4 2 2" xfId="12514" xr:uid="{00000000-0005-0000-0000-000074460000}"/>
    <cellStyle name="Normal 15 3 4 2 2 2" xfId="12515" xr:uid="{00000000-0005-0000-0000-000075460000}"/>
    <cellStyle name="Normal 15 3 4 2 2 2 2" xfId="12516" xr:uid="{00000000-0005-0000-0000-000076460000}"/>
    <cellStyle name="Normal 15 3 4 2 2 2 2 2" xfId="51543" xr:uid="{00000000-0005-0000-0000-000077460000}"/>
    <cellStyle name="Normal 15 3 4 2 2 2 2 3" xfId="51544" xr:uid="{00000000-0005-0000-0000-000078460000}"/>
    <cellStyle name="Normal 15 3 4 2 2 2 3" xfId="12517" xr:uid="{00000000-0005-0000-0000-000079460000}"/>
    <cellStyle name="Normal 15 3 4 2 2 2 3 2" xfId="51545" xr:uid="{00000000-0005-0000-0000-00007A460000}"/>
    <cellStyle name="Normal 15 3 4 2 2 2 4" xfId="12518" xr:uid="{00000000-0005-0000-0000-00007B460000}"/>
    <cellStyle name="Normal 15 3 4 2 2 2 5" xfId="12519" xr:uid="{00000000-0005-0000-0000-00007C460000}"/>
    <cellStyle name="Normal 15 3 4 2 2 2 6" xfId="12520" xr:uid="{00000000-0005-0000-0000-00007D460000}"/>
    <cellStyle name="Normal 15 3 4 2 2 3" xfId="12521" xr:uid="{00000000-0005-0000-0000-00007E460000}"/>
    <cellStyle name="Normal 15 3 4 2 2 3 2" xfId="51546" xr:uid="{00000000-0005-0000-0000-00007F460000}"/>
    <cellStyle name="Normal 15 3 4 2 2 3 3" xfId="51547" xr:uid="{00000000-0005-0000-0000-000080460000}"/>
    <cellStyle name="Normal 15 3 4 2 2 4" xfId="12522" xr:uid="{00000000-0005-0000-0000-000081460000}"/>
    <cellStyle name="Normal 15 3 4 2 2 4 2" xfId="51548" xr:uid="{00000000-0005-0000-0000-000082460000}"/>
    <cellStyle name="Normal 15 3 4 2 2 5" xfId="12523" xr:uid="{00000000-0005-0000-0000-000083460000}"/>
    <cellStyle name="Normal 15 3 4 2 2 6" xfId="12524" xr:uid="{00000000-0005-0000-0000-000084460000}"/>
    <cellStyle name="Normal 15 3 4 2 2 7" xfId="12525" xr:uid="{00000000-0005-0000-0000-000085460000}"/>
    <cellStyle name="Normal 15 3 4 2 3" xfId="12526" xr:uid="{00000000-0005-0000-0000-000086460000}"/>
    <cellStyle name="Normal 15 3 4 2 3 2" xfId="12527" xr:uid="{00000000-0005-0000-0000-000087460000}"/>
    <cellStyle name="Normal 15 3 4 2 3 2 2" xfId="51549" xr:uid="{00000000-0005-0000-0000-000088460000}"/>
    <cellStyle name="Normal 15 3 4 2 3 2 3" xfId="51550" xr:uid="{00000000-0005-0000-0000-000089460000}"/>
    <cellStyle name="Normal 15 3 4 2 3 3" xfId="12528" xr:uid="{00000000-0005-0000-0000-00008A460000}"/>
    <cellStyle name="Normal 15 3 4 2 3 3 2" xfId="51551" xr:uid="{00000000-0005-0000-0000-00008B460000}"/>
    <cellStyle name="Normal 15 3 4 2 3 4" xfId="12529" xr:uid="{00000000-0005-0000-0000-00008C460000}"/>
    <cellStyle name="Normal 15 3 4 2 3 5" xfId="12530" xr:uid="{00000000-0005-0000-0000-00008D460000}"/>
    <cellStyle name="Normal 15 3 4 2 3 6" xfId="12531" xr:uid="{00000000-0005-0000-0000-00008E460000}"/>
    <cellStyle name="Normal 15 3 4 2 4" xfId="12532" xr:uid="{00000000-0005-0000-0000-00008F460000}"/>
    <cellStyle name="Normal 15 3 4 2 4 2" xfId="51552" xr:uid="{00000000-0005-0000-0000-000090460000}"/>
    <cellStyle name="Normal 15 3 4 2 4 3" xfId="51553" xr:uid="{00000000-0005-0000-0000-000091460000}"/>
    <cellStyle name="Normal 15 3 4 2 5" xfId="12533" xr:uid="{00000000-0005-0000-0000-000092460000}"/>
    <cellStyle name="Normal 15 3 4 2 5 2" xfId="51554" xr:uid="{00000000-0005-0000-0000-000093460000}"/>
    <cellStyle name="Normal 15 3 4 2 6" xfId="12534" xr:uid="{00000000-0005-0000-0000-000094460000}"/>
    <cellStyle name="Normal 15 3 4 2 7" xfId="12535" xr:uid="{00000000-0005-0000-0000-000095460000}"/>
    <cellStyle name="Normal 15 3 4 2 8" xfId="12536" xr:uid="{00000000-0005-0000-0000-000096460000}"/>
    <cellStyle name="Normal 15 3 4 2 9" xfId="12537" xr:uid="{00000000-0005-0000-0000-000097460000}"/>
    <cellStyle name="Normal 15 3 4 3" xfId="12538" xr:uid="{00000000-0005-0000-0000-000098460000}"/>
    <cellStyle name="Normal 15 3 4 3 2" xfId="12539" xr:uid="{00000000-0005-0000-0000-000099460000}"/>
    <cellStyle name="Normal 15 3 4 3 2 2" xfId="12540" xr:uid="{00000000-0005-0000-0000-00009A460000}"/>
    <cellStyle name="Normal 15 3 4 3 2 2 2" xfId="12541" xr:uid="{00000000-0005-0000-0000-00009B460000}"/>
    <cellStyle name="Normal 15 3 4 3 2 2 2 2" xfId="51555" xr:uid="{00000000-0005-0000-0000-00009C460000}"/>
    <cellStyle name="Normal 15 3 4 3 2 2 2 3" xfId="51556" xr:uid="{00000000-0005-0000-0000-00009D460000}"/>
    <cellStyle name="Normal 15 3 4 3 2 2 3" xfId="12542" xr:uid="{00000000-0005-0000-0000-00009E460000}"/>
    <cellStyle name="Normal 15 3 4 3 2 2 3 2" xfId="51557" xr:uid="{00000000-0005-0000-0000-00009F460000}"/>
    <cellStyle name="Normal 15 3 4 3 2 2 4" xfId="12543" xr:uid="{00000000-0005-0000-0000-0000A0460000}"/>
    <cellStyle name="Normal 15 3 4 3 2 2 5" xfId="12544" xr:uid="{00000000-0005-0000-0000-0000A1460000}"/>
    <cellStyle name="Normal 15 3 4 3 2 2 6" xfId="12545" xr:uid="{00000000-0005-0000-0000-0000A2460000}"/>
    <cellStyle name="Normal 15 3 4 3 2 3" xfId="12546" xr:uid="{00000000-0005-0000-0000-0000A3460000}"/>
    <cellStyle name="Normal 15 3 4 3 2 3 2" xfId="51558" xr:uid="{00000000-0005-0000-0000-0000A4460000}"/>
    <cellStyle name="Normal 15 3 4 3 2 3 3" xfId="51559" xr:uid="{00000000-0005-0000-0000-0000A5460000}"/>
    <cellStyle name="Normal 15 3 4 3 2 4" xfId="12547" xr:uid="{00000000-0005-0000-0000-0000A6460000}"/>
    <cellStyle name="Normal 15 3 4 3 2 4 2" xfId="51560" xr:uid="{00000000-0005-0000-0000-0000A7460000}"/>
    <cellStyle name="Normal 15 3 4 3 2 5" xfId="12548" xr:uid="{00000000-0005-0000-0000-0000A8460000}"/>
    <cellStyle name="Normal 15 3 4 3 2 6" xfId="12549" xr:uid="{00000000-0005-0000-0000-0000A9460000}"/>
    <cellStyle name="Normal 15 3 4 3 2 7" xfId="12550" xr:uid="{00000000-0005-0000-0000-0000AA460000}"/>
    <cellStyle name="Normal 15 3 4 3 3" xfId="12551" xr:uid="{00000000-0005-0000-0000-0000AB460000}"/>
    <cellStyle name="Normal 15 3 4 3 3 2" xfId="12552" xr:uid="{00000000-0005-0000-0000-0000AC460000}"/>
    <cellStyle name="Normal 15 3 4 3 3 2 2" xfId="51561" xr:uid="{00000000-0005-0000-0000-0000AD460000}"/>
    <cellStyle name="Normal 15 3 4 3 3 2 3" xfId="51562" xr:uid="{00000000-0005-0000-0000-0000AE460000}"/>
    <cellStyle name="Normal 15 3 4 3 3 3" xfId="12553" xr:uid="{00000000-0005-0000-0000-0000AF460000}"/>
    <cellStyle name="Normal 15 3 4 3 3 3 2" xfId="51563" xr:uid="{00000000-0005-0000-0000-0000B0460000}"/>
    <cellStyle name="Normal 15 3 4 3 3 4" xfId="12554" xr:uid="{00000000-0005-0000-0000-0000B1460000}"/>
    <cellStyle name="Normal 15 3 4 3 3 5" xfId="12555" xr:uid="{00000000-0005-0000-0000-0000B2460000}"/>
    <cellStyle name="Normal 15 3 4 3 3 6" xfId="12556" xr:uid="{00000000-0005-0000-0000-0000B3460000}"/>
    <cellStyle name="Normal 15 3 4 3 4" xfId="12557" xr:uid="{00000000-0005-0000-0000-0000B4460000}"/>
    <cellStyle name="Normal 15 3 4 3 4 2" xfId="51564" xr:uid="{00000000-0005-0000-0000-0000B5460000}"/>
    <cellStyle name="Normal 15 3 4 3 4 3" xfId="51565" xr:uid="{00000000-0005-0000-0000-0000B6460000}"/>
    <cellStyle name="Normal 15 3 4 3 5" xfId="12558" xr:uid="{00000000-0005-0000-0000-0000B7460000}"/>
    <cellStyle name="Normal 15 3 4 3 5 2" xfId="51566" xr:uid="{00000000-0005-0000-0000-0000B8460000}"/>
    <cellStyle name="Normal 15 3 4 3 6" xfId="12559" xr:uid="{00000000-0005-0000-0000-0000B9460000}"/>
    <cellStyle name="Normal 15 3 4 3 7" xfId="12560" xr:uid="{00000000-0005-0000-0000-0000BA460000}"/>
    <cellStyle name="Normal 15 3 4 3 8" xfId="12561" xr:uid="{00000000-0005-0000-0000-0000BB460000}"/>
    <cellStyle name="Normal 15 3 4 4" xfId="12562" xr:uid="{00000000-0005-0000-0000-0000BC460000}"/>
    <cellStyle name="Normal 15 3 4 4 2" xfId="12563" xr:uid="{00000000-0005-0000-0000-0000BD460000}"/>
    <cellStyle name="Normal 15 3 4 4 2 2" xfId="12564" xr:uid="{00000000-0005-0000-0000-0000BE460000}"/>
    <cellStyle name="Normal 15 3 4 4 2 2 2" xfId="51567" xr:uid="{00000000-0005-0000-0000-0000BF460000}"/>
    <cellStyle name="Normal 15 3 4 4 2 2 3" xfId="51568" xr:uid="{00000000-0005-0000-0000-0000C0460000}"/>
    <cellStyle name="Normal 15 3 4 4 2 3" xfId="12565" xr:uid="{00000000-0005-0000-0000-0000C1460000}"/>
    <cellStyle name="Normal 15 3 4 4 2 3 2" xfId="51569" xr:uid="{00000000-0005-0000-0000-0000C2460000}"/>
    <cellStyle name="Normal 15 3 4 4 2 4" xfId="12566" xr:uid="{00000000-0005-0000-0000-0000C3460000}"/>
    <cellStyle name="Normal 15 3 4 4 2 5" xfId="12567" xr:uid="{00000000-0005-0000-0000-0000C4460000}"/>
    <cellStyle name="Normal 15 3 4 4 2 6" xfId="12568" xr:uid="{00000000-0005-0000-0000-0000C5460000}"/>
    <cellStyle name="Normal 15 3 4 4 3" xfId="12569" xr:uid="{00000000-0005-0000-0000-0000C6460000}"/>
    <cellStyle name="Normal 15 3 4 4 3 2" xfId="51570" xr:uid="{00000000-0005-0000-0000-0000C7460000}"/>
    <cellStyle name="Normal 15 3 4 4 3 3" xfId="51571" xr:uid="{00000000-0005-0000-0000-0000C8460000}"/>
    <cellStyle name="Normal 15 3 4 4 4" xfId="12570" xr:uid="{00000000-0005-0000-0000-0000C9460000}"/>
    <cellStyle name="Normal 15 3 4 4 4 2" xfId="51572" xr:uid="{00000000-0005-0000-0000-0000CA460000}"/>
    <cellStyle name="Normal 15 3 4 4 5" xfId="12571" xr:uid="{00000000-0005-0000-0000-0000CB460000}"/>
    <cellStyle name="Normal 15 3 4 4 6" xfId="12572" xr:uid="{00000000-0005-0000-0000-0000CC460000}"/>
    <cellStyle name="Normal 15 3 4 4 7" xfId="12573" xr:uid="{00000000-0005-0000-0000-0000CD460000}"/>
    <cellStyle name="Normal 15 3 4 5" xfId="12574" xr:uid="{00000000-0005-0000-0000-0000CE460000}"/>
    <cellStyle name="Normal 15 3 4 5 2" xfId="12575" xr:uid="{00000000-0005-0000-0000-0000CF460000}"/>
    <cellStyle name="Normal 15 3 4 5 2 2" xfId="51573" xr:uid="{00000000-0005-0000-0000-0000D0460000}"/>
    <cellStyle name="Normal 15 3 4 5 2 3" xfId="51574" xr:uid="{00000000-0005-0000-0000-0000D1460000}"/>
    <cellStyle name="Normal 15 3 4 5 3" xfId="12576" xr:uid="{00000000-0005-0000-0000-0000D2460000}"/>
    <cellStyle name="Normal 15 3 4 5 3 2" xfId="51575" xr:uid="{00000000-0005-0000-0000-0000D3460000}"/>
    <cellStyle name="Normal 15 3 4 5 4" xfId="12577" xr:uid="{00000000-0005-0000-0000-0000D4460000}"/>
    <cellStyle name="Normal 15 3 4 5 5" xfId="12578" xr:uid="{00000000-0005-0000-0000-0000D5460000}"/>
    <cellStyle name="Normal 15 3 4 5 6" xfId="12579" xr:uid="{00000000-0005-0000-0000-0000D6460000}"/>
    <cellStyle name="Normal 15 3 4 6" xfId="12580" xr:uid="{00000000-0005-0000-0000-0000D7460000}"/>
    <cellStyle name="Normal 15 3 4 6 2" xfId="51576" xr:uid="{00000000-0005-0000-0000-0000D8460000}"/>
    <cellStyle name="Normal 15 3 4 6 3" xfId="51577" xr:uid="{00000000-0005-0000-0000-0000D9460000}"/>
    <cellStyle name="Normal 15 3 4 7" xfId="12581" xr:uid="{00000000-0005-0000-0000-0000DA460000}"/>
    <cellStyle name="Normal 15 3 4 7 2" xfId="51578" xr:uid="{00000000-0005-0000-0000-0000DB460000}"/>
    <cellStyle name="Normal 15 3 4 8" xfId="12582" xr:uid="{00000000-0005-0000-0000-0000DC460000}"/>
    <cellStyle name="Normal 15 3 4 9" xfId="12583" xr:uid="{00000000-0005-0000-0000-0000DD460000}"/>
    <cellStyle name="Normal 15 3 5" xfId="12584" xr:uid="{00000000-0005-0000-0000-0000DE460000}"/>
    <cellStyle name="Normal 15 3 5 10" xfId="12585" xr:uid="{00000000-0005-0000-0000-0000DF460000}"/>
    <cellStyle name="Normal 15 3 5 11" xfId="12586" xr:uid="{00000000-0005-0000-0000-0000E0460000}"/>
    <cellStyle name="Normal 15 3 5 12" xfId="12587" xr:uid="{00000000-0005-0000-0000-0000E1460000}"/>
    <cellStyle name="Normal 15 3 5 13" xfId="12588" xr:uid="{00000000-0005-0000-0000-0000E2460000}"/>
    <cellStyle name="Normal 15 3 5 14" xfId="12589" xr:uid="{00000000-0005-0000-0000-0000E3460000}"/>
    <cellStyle name="Normal 15 3 5 2" xfId="12590" xr:uid="{00000000-0005-0000-0000-0000E4460000}"/>
    <cellStyle name="Normal 15 3 5 2 2" xfId="12591" xr:uid="{00000000-0005-0000-0000-0000E5460000}"/>
    <cellStyle name="Normal 15 3 5 2 2 2" xfId="12592" xr:uid="{00000000-0005-0000-0000-0000E6460000}"/>
    <cellStyle name="Normal 15 3 5 2 2 2 2" xfId="12593" xr:uid="{00000000-0005-0000-0000-0000E7460000}"/>
    <cellStyle name="Normal 15 3 5 2 2 2 2 2" xfId="51579" xr:uid="{00000000-0005-0000-0000-0000E8460000}"/>
    <cellStyle name="Normal 15 3 5 2 2 2 2 3" xfId="51580" xr:uid="{00000000-0005-0000-0000-0000E9460000}"/>
    <cellStyle name="Normal 15 3 5 2 2 2 3" xfId="12594" xr:uid="{00000000-0005-0000-0000-0000EA460000}"/>
    <cellStyle name="Normal 15 3 5 2 2 2 3 2" xfId="51581" xr:uid="{00000000-0005-0000-0000-0000EB460000}"/>
    <cellStyle name="Normal 15 3 5 2 2 2 4" xfId="12595" xr:uid="{00000000-0005-0000-0000-0000EC460000}"/>
    <cellStyle name="Normal 15 3 5 2 2 2 5" xfId="12596" xr:uid="{00000000-0005-0000-0000-0000ED460000}"/>
    <cellStyle name="Normal 15 3 5 2 2 2 6" xfId="12597" xr:uid="{00000000-0005-0000-0000-0000EE460000}"/>
    <cellStyle name="Normal 15 3 5 2 2 3" xfId="12598" xr:uid="{00000000-0005-0000-0000-0000EF460000}"/>
    <cellStyle name="Normal 15 3 5 2 2 3 2" xfId="51582" xr:uid="{00000000-0005-0000-0000-0000F0460000}"/>
    <cellStyle name="Normal 15 3 5 2 2 3 3" xfId="51583" xr:uid="{00000000-0005-0000-0000-0000F1460000}"/>
    <cellStyle name="Normal 15 3 5 2 2 4" xfId="12599" xr:uid="{00000000-0005-0000-0000-0000F2460000}"/>
    <cellStyle name="Normal 15 3 5 2 2 4 2" xfId="51584" xr:uid="{00000000-0005-0000-0000-0000F3460000}"/>
    <cellStyle name="Normal 15 3 5 2 2 5" xfId="12600" xr:uid="{00000000-0005-0000-0000-0000F4460000}"/>
    <cellStyle name="Normal 15 3 5 2 2 6" xfId="12601" xr:uid="{00000000-0005-0000-0000-0000F5460000}"/>
    <cellStyle name="Normal 15 3 5 2 2 7" xfId="12602" xr:uid="{00000000-0005-0000-0000-0000F6460000}"/>
    <cellStyle name="Normal 15 3 5 2 3" xfId="12603" xr:uid="{00000000-0005-0000-0000-0000F7460000}"/>
    <cellStyle name="Normal 15 3 5 2 3 2" xfId="12604" xr:uid="{00000000-0005-0000-0000-0000F8460000}"/>
    <cellStyle name="Normal 15 3 5 2 3 2 2" xfId="51585" xr:uid="{00000000-0005-0000-0000-0000F9460000}"/>
    <cellStyle name="Normal 15 3 5 2 3 2 3" xfId="51586" xr:uid="{00000000-0005-0000-0000-0000FA460000}"/>
    <cellStyle name="Normal 15 3 5 2 3 3" xfId="12605" xr:uid="{00000000-0005-0000-0000-0000FB460000}"/>
    <cellStyle name="Normal 15 3 5 2 3 3 2" xfId="51587" xr:uid="{00000000-0005-0000-0000-0000FC460000}"/>
    <cellStyle name="Normal 15 3 5 2 3 4" xfId="12606" xr:uid="{00000000-0005-0000-0000-0000FD460000}"/>
    <cellStyle name="Normal 15 3 5 2 3 5" xfId="12607" xr:uid="{00000000-0005-0000-0000-0000FE460000}"/>
    <cellStyle name="Normal 15 3 5 2 3 6" xfId="12608" xr:uid="{00000000-0005-0000-0000-0000FF460000}"/>
    <cellStyle name="Normal 15 3 5 2 4" xfId="12609" xr:uid="{00000000-0005-0000-0000-000000470000}"/>
    <cellStyle name="Normal 15 3 5 2 4 2" xfId="51588" xr:uid="{00000000-0005-0000-0000-000001470000}"/>
    <cellStyle name="Normal 15 3 5 2 4 3" xfId="51589" xr:uid="{00000000-0005-0000-0000-000002470000}"/>
    <cellStyle name="Normal 15 3 5 2 5" xfId="12610" xr:uid="{00000000-0005-0000-0000-000003470000}"/>
    <cellStyle name="Normal 15 3 5 2 5 2" xfId="51590" xr:uid="{00000000-0005-0000-0000-000004470000}"/>
    <cellStyle name="Normal 15 3 5 2 6" xfId="12611" xr:uid="{00000000-0005-0000-0000-000005470000}"/>
    <cellStyle name="Normal 15 3 5 2 7" xfId="12612" xr:uid="{00000000-0005-0000-0000-000006470000}"/>
    <cellStyle name="Normal 15 3 5 2 8" xfId="12613" xr:uid="{00000000-0005-0000-0000-000007470000}"/>
    <cellStyle name="Normal 15 3 5 2 9" xfId="12614" xr:uid="{00000000-0005-0000-0000-000008470000}"/>
    <cellStyle name="Normal 15 3 5 3" xfId="12615" xr:uid="{00000000-0005-0000-0000-000009470000}"/>
    <cellStyle name="Normal 15 3 5 3 2" xfId="12616" xr:uid="{00000000-0005-0000-0000-00000A470000}"/>
    <cellStyle name="Normal 15 3 5 3 2 2" xfId="12617" xr:uid="{00000000-0005-0000-0000-00000B470000}"/>
    <cellStyle name="Normal 15 3 5 3 2 2 2" xfId="12618" xr:uid="{00000000-0005-0000-0000-00000C470000}"/>
    <cellStyle name="Normal 15 3 5 3 2 2 2 2" xfId="51591" xr:uid="{00000000-0005-0000-0000-00000D470000}"/>
    <cellStyle name="Normal 15 3 5 3 2 2 2 3" xfId="51592" xr:uid="{00000000-0005-0000-0000-00000E470000}"/>
    <cellStyle name="Normal 15 3 5 3 2 2 3" xfId="12619" xr:uid="{00000000-0005-0000-0000-00000F470000}"/>
    <cellStyle name="Normal 15 3 5 3 2 2 3 2" xfId="51593" xr:uid="{00000000-0005-0000-0000-000010470000}"/>
    <cellStyle name="Normal 15 3 5 3 2 2 4" xfId="12620" xr:uid="{00000000-0005-0000-0000-000011470000}"/>
    <cellStyle name="Normal 15 3 5 3 2 2 5" xfId="12621" xr:uid="{00000000-0005-0000-0000-000012470000}"/>
    <cellStyle name="Normal 15 3 5 3 2 2 6" xfId="12622" xr:uid="{00000000-0005-0000-0000-000013470000}"/>
    <cellStyle name="Normal 15 3 5 3 2 3" xfId="12623" xr:uid="{00000000-0005-0000-0000-000014470000}"/>
    <cellStyle name="Normal 15 3 5 3 2 3 2" xfId="51594" xr:uid="{00000000-0005-0000-0000-000015470000}"/>
    <cellStyle name="Normal 15 3 5 3 2 3 3" xfId="51595" xr:uid="{00000000-0005-0000-0000-000016470000}"/>
    <cellStyle name="Normal 15 3 5 3 2 4" xfId="12624" xr:uid="{00000000-0005-0000-0000-000017470000}"/>
    <cellStyle name="Normal 15 3 5 3 2 4 2" xfId="51596" xr:uid="{00000000-0005-0000-0000-000018470000}"/>
    <cellStyle name="Normal 15 3 5 3 2 5" xfId="12625" xr:uid="{00000000-0005-0000-0000-000019470000}"/>
    <cellStyle name="Normal 15 3 5 3 2 6" xfId="12626" xr:uid="{00000000-0005-0000-0000-00001A470000}"/>
    <cellStyle name="Normal 15 3 5 3 2 7" xfId="12627" xr:uid="{00000000-0005-0000-0000-00001B470000}"/>
    <cellStyle name="Normal 15 3 5 3 3" xfId="12628" xr:uid="{00000000-0005-0000-0000-00001C470000}"/>
    <cellStyle name="Normal 15 3 5 3 3 2" xfId="12629" xr:uid="{00000000-0005-0000-0000-00001D470000}"/>
    <cellStyle name="Normal 15 3 5 3 3 2 2" xfId="51597" xr:uid="{00000000-0005-0000-0000-00001E470000}"/>
    <cellStyle name="Normal 15 3 5 3 3 2 3" xfId="51598" xr:uid="{00000000-0005-0000-0000-00001F470000}"/>
    <cellStyle name="Normal 15 3 5 3 3 3" xfId="12630" xr:uid="{00000000-0005-0000-0000-000020470000}"/>
    <cellStyle name="Normal 15 3 5 3 3 3 2" xfId="51599" xr:uid="{00000000-0005-0000-0000-000021470000}"/>
    <cellStyle name="Normal 15 3 5 3 3 4" xfId="12631" xr:uid="{00000000-0005-0000-0000-000022470000}"/>
    <cellStyle name="Normal 15 3 5 3 3 5" xfId="12632" xr:uid="{00000000-0005-0000-0000-000023470000}"/>
    <cellStyle name="Normal 15 3 5 3 3 6" xfId="12633" xr:uid="{00000000-0005-0000-0000-000024470000}"/>
    <cellStyle name="Normal 15 3 5 3 4" xfId="12634" xr:uid="{00000000-0005-0000-0000-000025470000}"/>
    <cellStyle name="Normal 15 3 5 3 4 2" xfId="51600" xr:uid="{00000000-0005-0000-0000-000026470000}"/>
    <cellStyle name="Normal 15 3 5 3 4 3" xfId="51601" xr:uid="{00000000-0005-0000-0000-000027470000}"/>
    <cellStyle name="Normal 15 3 5 3 5" xfId="12635" xr:uid="{00000000-0005-0000-0000-000028470000}"/>
    <cellStyle name="Normal 15 3 5 3 5 2" xfId="51602" xr:uid="{00000000-0005-0000-0000-000029470000}"/>
    <cellStyle name="Normal 15 3 5 3 6" xfId="12636" xr:uid="{00000000-0005-0000-0000-00002A470000}"/>
    <cellStyle name="Normal 15 3 5 3 7" xfId="12637" xr:uid="{00000000-0005-0000-0000-00002B470000}"/>
    <cellStyle name="Normal 15 3 5 3 8" xfId="12638" xr:uid="{00000000-0005-0000-0000-00002C470000}"/>
    <cellStyle name="Normal 15 3 5 4" xfId="12639" xr:uid="{00000000-0005-0000-0000-00002D470000}"/>
    <cellStyle name="Normal 15 3 5 4 2" xfId="12640" xr:uid="{00000000-0005-0000-0000-00002E470000}"/>
    <cellStyle name="Normal 15 3 5 4 2 2" xfId="12641" xr:uid="{00000000-0005-0000-0000-00002F470000}"/>
    <cellStyle name="Normal 15 3 5 4 2 2 2" xfId="51603" xr:uid="{00000000-0005-0000-0000-000030470000}"/>
    <cellStyle name="Normal 15 3 5 4 2 2 3" xfId="51604" xr:uid="{00000000-0005-0000-0000-000031470000}"/>
    <cellStyle name="Normal 15 3 5 4 2 3" xfId="12642" xr:uid="{00000000-0005-0000-0000-000032470000}"/>
    <cellStyle name="Normal 15 3 5 4 2 3 2" xfId="51605" xr:uid="{00000000-0005-0000-0000-000033470000}"/>
    <cellStyle name="Normal 15 3 5 4 2 4" xfId="12643" xr:uid="{00000000-0005-0000-0000-000034470000}"/>
    <cellStyle name="Normal 15 3 5 4 2 5" xfId="12644" xr:uid="{00000000-0005-0000-0000-000035470000}"/>
    <cellStyle name="Normal 15 3 5 4 2 6" xfId="12645" xr:uid="{00000000-0005-0000-0000-000036470000}"/>
    <cellStyle name="Normal 15 3 5 4 3" xfId="12646" xr:uid="{00000000-0005-0000-0000-000037470000}"/>
    <cellStyle name="Normal 15 3 5 4 3 2" xfId="51606" xr:uid="{00000000-0005-0000-0000-000038470000}"/>
    <cellStyle name="Normal 15 3 5 4 3 3" xfId="51607" xr:uid="{00000000-0005-0000-0000-000039470000}"/>
    <cellStyle name="Normal 15 3 5 4 4" xfId="12647" xr:uid="{00000000-0005-0000-0000-00003A470000}"/>
    <cellStyle name="Normal 15 3 5 4 4 2" xfId="51608" xr:uid="{00000000-0005-0000-0000-00003B470000}"/>
    <cellStyle name="Normal 15 3 5 4 5" xfId="12648" xr:uid="{00000000-0005-0000-0000-00003C470000}"/>
    <cellStyle name="Normal 15 3 5 4 6" xfId="12649" xr:uid="{00000000-0005-0000-0000-00003D470000}"/>
    <cellStyle name="Normal 15 3 5 4 7" xfId="12650" xr:uid="{00000000-0005-0000-0000-00003E470000}"/>
    <cellStyle name="Normal 15 3 5 5" xfId="12651" xr:uid="{00000000-0005-0000-0000-00003F470000}"/>
    <cellStyle name="Normal 15 3 5 5 2" xfId="12652" xr:uid="{00000000-0005-0000-0000-000040470000}"/>
    <cellStyle name="Normal 15 3 5 5 2 2" xfId="51609" xr:uid="{00000000-0005-0000-0000-000041470000}"/>
    <cellStyle name="Normal 15 3 5 5 2 3" xfId="51610" xr:uid="{00000000-0005-0000-0000-000042470000}"/>
    <cellStyle name="Normal 15 3 5 5 3" xfId="12653" xr:uid="{00000000-0005-0000-0000-000043470000}"/>
    <cellStyle name="Normal 15 3 5 5 3 2" xfId="51611" xr:uid="{00000000-0005-0000-0000-000044470000}"/>
    <cellStyle name="Normal 15 3 5 5 4" xfId="12654" xr:uid="{00000000-0005-0000-0000-000045470000}"/>
    <cellStyle name="Normal 15 3 5 5 5" xfId="12655" xr:uid="{00000000-0005-0000-0000-000046470000}"/>
    <cellStyle name="Normal 15 3 5 5 6" xfId="12656" xr:uid="{00000000-0005-0000-0000-000047470000}"/>
    <cellStyle name="Normal 15 3 5 6" xfId="12657" xr:uid="{00000000-0005-0000-0000-000048470000}"/>
    <cellStyle name="Normal 15 3 5 6 2" xfId="51612" xr:uid="{00000000-0005-0000-0000-000049470000}"/>
    <cellStyle name="Normal 15 3 5 6 3" xfId="51613" xr:uid="{00000000-0005-0000-0000-00004A470000}"/>
    <cellStyle name="Normal 15 3 5 7" xfId="12658" xr:uid="{00000000-0005-0000-0000-00004B470000}"/>
    <cellStyle name="Normal 15 3 5 7 2" xfId="51614" xr:uid="{00000000-0005-0000-0000-00004C470000}"/>
    <cellStyle name="Normal 15 3 5 8" xfId="12659" xr:uid="{00000000-0005-0000-0000-00004D470000}"/>
    <cellStyle name="Normal 15 3 5 9" xfId="12660" xr:uid="{00000000-0005-0000-0000-00004E470000}"/>
    <cellStyle name="Normal 15 3 6" xfId="12661" xr:uid="{00000000-0005-0000-0000-00004F470000}"/>
    <cellStyle name="Normal 15 3 6 10" xfId="12662" xr:uid="{00000000-0005-0000-0000-000050470000}"/>
    <cellStyle name="Normal 15 3 6 11" xfId="12663" xr:uid="{00000000-0005-0000-0000-000051470000}"/>
    <cellStyle name="Normal 15 3 6 12" xfId="12664" xr:uid="{00000000-0005-0000-0000-000052470000}"/>
    <cellStyle name="Normal 15 3 6 13" xfId="12665" xr:uid="{00000000-0005-0000-0000-000053470000}"/>
    <cellStyle name="Normal 15 3 6 2" xfId="12666" xr:uid="{00000000-0005-0000-0000-000054470000}"/>
    <cellStyle name="Normal 15 3 6 2 2" xfId="12667" xr:uid="{00000000-0005-0000-0000-000055470000}"/>
    <cellStyle name="Normal 15 3 6 2 2 2" xfId="12668" xr:uid="{00000000-0005-0000-0000-000056470000}"/>
    <cellStyle name="Normal 15 3 6 2 2 2 2" xfId="12669" xr:uid="{00000000-0005-0000-0000-000057470000}"/>
    <cellStyle name="Normal 15 3 6 2 2 2 2 2" xfId="51615" xr:uid="{00000000-0005-0000-0000-000058470000}"/>
    <cellStyle name="Normal 15 3 6 2 2 2 2 3" xfId="51616" xr:uid="{00000000-0005-0000-0000-000059470000}"/>
    <cellStyle name="Normal 15 3 6 2 2 2 3" xfId="12670" xr:uid="{00000000-0005-0000-0000-00005A470000}"/>
    <cellStyle name="Normal 15 3 6 2 2 2 3 2" xfId="51617" xr:uid="{00000000-0005-0000-0000-00005B470000}"/>
    <cellStyle name="Normal 15 3 6 2 2 2 4" xfId="12671" xr:uid="{00000000-0005-0000-0000-00005C470000}"/>
    <cellStyle name="Normal 15 3 6 2 2 2 5" xfId="12672" xr:uid="{00000000-0005-0000-0000-00005D470000}"/>
    <cellStyle name="Normal 15 3 6 2 2 2 6" xfId="12673" xr:uid="{00000000-0005-0000-0000-00005E470000}"/>
    <cellStyle name="Normal 15 3 6 2 2 3" xfId="12674" xr:uid="{00000000-0005-0000-0000-00005F470000}"/>
    <cellStyle name="Normal 15 3 6 2 2 3 2" xfId="51618" xr:uid="{00000000-0005-0000-0000-000060470000}"/>
    <cellStyle name="Normal 15 3 6 2 2 3 3" xfId="51619" xr:uid="{00000000-0005-0000-0000-000061470000}"/>
    <cellStyle name="Normal 15 3 6 2 2 4" xfId="12675" xr:uid="{00000000-0005-0000-0000-000062470000}"/>
    <cellStyle name="Normal 15 3 6 2 2 4 2" xfId="51620" xr:uid="{00000000-0005-0000-0000-000063470000}"/>
    <cellStyle name="Normal 15 3 6 2 2 5" xfId="12676" xr:uid="{00000000-0005-0000-0000-000064470000}"/>
    <cellStyle name="Normal 15 3 6 2 2 6" xfId="12677" xr:uid="{00000000-0005-0000-0000-000065470000}"/>
    <cellStyle name="Normal 15 3 6 2 2 7" xfId="12678" xr:uid="{00000000-0005-0000-0000-000066470000}"/>
    <cellStyle name="Normal 15 3 6 2 3" xfId="12679" xr:uid="{00000000-0005-0000-0000-000067470000}"/>
    <cellStyle name="Normal 15 3 6 2 3 2" xfId="12680" xr:uid="{00000000-0005-0000-0000-000068470000}"/>
    <cellStyle name="Normal 15 3 6 2 3 2 2" xfId="51621" xr:uid="{00000000-0005-0000-0000-000069470000}"/>
    <cellStyle name="Normal 15 3 6 2 3 2 3" xfId="51622" xr:uid="{00000000-0005-0000-0000-00006A470000}"/>
    <cellStyle name="Normal 15 3 6 2 3 3" xfId="12681" xr:uid="{00000000-0005-0000-0000-00006B470000}"/>
    <cellStyle name="Normal 15 3 6 2 3 3 2" xfId="51623" xr:uid="{00000000-0005-0000-0000-00006C470000}"/>
    <cellStyle name="Normal 15 3 6 2 3 4" xfId="12682" xr:uid="{00000000-0005-0000-0000-00006D470000}"/>
    <cellStyle name="Normal 15 3 6 2 3 5" xfId="12683" xr:uid="{00000000-0005-0000-0000-00006E470000}"/>
    <cellStyle name="Normal 15 3 6 2 3 6" xfId="12684" xr:uid="{00000000-0005-0000-0000-00006F470000}"/>
    <cellStyle name="Normal 15 3 6 2 4" xfId="12685" xr:uid="{00000000-0005-0000-0000-000070470000}"/>
    <cellStyle name="Normal 15 3 6 2 4 2" xfId="51624" xr:uid="{00000000-0005-0000-0000-000071470000}"/>
    <cellStyle name="Normal 15 3 6 2 4 3" xfId="51625" xr:uid="{00000000-0005-0000-0000-000072470000}"/>
    <cellStyle name="Normal 15 3 6 2 5" xfId="12686" xr:uid="{00000000-0005-0000-0000-000073470000}"/>
    <cellStyle name="Normal 15 3 6 2 5 2" xfId="51626" xr:uid="{00000000-0005-0000-0000-000074470000}"/>
    <cellStyle name="Normal 15 3 6 2 6" xfId="12687" xr:uid="{00000000-0005-0000-0000-000075470000}"/>
    <cellStyle name="Normal 15 3 6 2 7" xfId="12688" xr:uid="{00000000-0005-0000-0000-000076470000}"/>
    <cellStyle name="Normal 15 3 6 2 8" xfId="12689" xr:uid="{00000000-0005-0000-0000-000077470000}"/>
    <cellStyle name="Normal 15 3 6 2 9" xfId="12690" xr:uid="{00000000-0005-0000-0000-000078470000}"/>
    <cellStyle name="Normal 15 3 6 3" xfId="12691" xr:uid="{00000000-0005-0000-0000-000079470000}"/>
    <cellStyle name="Normal 15 3 6 3 2" xfId="12692" xr:uid="{00000000-0005-0000-0000-00007A470000}"/>
    <cellStyle name="Normal 15 3 6 3 2 2" xfId="12693" xr:uid="{00000000-0005-0000-0000-00007B470000}"/>
    <cellStyle name="Normal 15 3 6 3 2 2 2" xfId="51627" xr:uid="{00000000-0005-0000-0000-00007C470000}"/>
    <cellStyle name="Normal 15 3 6 3 2 2 3" xfId="51628" xr:uid="{00000000-0005-0000-0000-00007D470000}"/>
    <cellStyle name="Normal 15 3 6 3 2 3" xfId="12694" xr:uid="{00000000-0005-0000-0000-00007E470000}"/>
    <cellStyle name="Normal 15 3 6 3 2 3 2" xfId="51629" xr:uid="{00000000-0005-0000-0000-00007F470000}"/>
    <cellStyle name="Normal 15 3 6 3 2 4" xfId="12695" xr:uid="{00000000-0005-0000-0000-000080470000}"/>
    <cellStyle name="Normal 15 3 6 3 2 5" xfId="12696" xr:uid="{00000000-0005-0000-0000-000081470000}"/>
    <cellStyle name="Normal 15 3 6 3 2 6" xfId="12697" xr:uid="{00000000-0005-0000-0000-000082470000}"/>
    <cellStyle name="Normal 15 3 6 3 3" xfId="12698" xr:uid="{00000000-0005-0000-0000-000083470000}"/>
    <cellStyle name="Normal 15 3 6 3 3 2" xfId="51630" xr:uid="{00000000-0005-0000-0000-000084470000}"/>
    <cellStyle name="Normal 15 3 6 3 3 3" xfId="51631" xr:uid="{00000000-0005-0000-0000-000085470000}"/>
    <cellStyle name="Normal 15 3 6 3 4" xfId="12699" xr:uid="{00000000-0005-0000-0000-000086470000}"/>
    <cellStyle name="Normal 15 3 6 3 4 2" xfId="51632" xr:uid="{00000000-0005-0000-0000-000087470000}"/>
    <cellStyle name="Normal 15 3 6 3 5" xfId="12700" xr:uid="{00000000-0005-0000-0000-000088470000}"/>
    <cellStyle name="Normal 15 3 6 3 6" xfId="12701" xr:uid="{00000000-0005-0000-0000-000089470000}"/>
    <cellStyle name="Normal 15 3 6 3 7" xfId="12702" xr:uid="{00000000-0005-0000-0000-00008A470000}"/>
    <cellStyle name="Normal 15 3 6 4" xfId="12703" xr:uid="{00000000-0005-0000-0000-00008B470000}"/>
    <cellStyle name="Normal 15 3 6 4 2" xfId="12704" xr:uid="{00000000-0005-0000-0000-00008C470000}"/>
    <cellStyle name="Normal 15 3 6 4 2 2" xfId="51633" xr:uid="{00000000-0005-0000-0000-00008D470000}"/>
    <cellStyle name="Normal 15 3 6 4 2 3" xfId="51634" xr:uid="{00000000-0005-0000-0000-00008E470000}"/>
    <cellStyle name="Normal 15 3 6 4 3" xfId="12705" xr:uid="{00000000-0005-0000-0000-00008F470000}"/>
    <cellStyle name="Normal 15 3 6 4 3 2" xfId="51635" xr:uid="{00000000-0005-0000-0000-000090470000}"/>
    <cellStyle name="Normal 15 3 6 4 4" xfId="12706" xr:uid="{00000000-0005-0000-0000-000091470000}"/>
    <cellStyle name="Normal 15 3 6 4 5" xfId="12707" xr:uid="{00000000-0005-0000-0000-000092470000}"/>
    <cellStyle name="Normal 15 3 6 4 6" xfId="12708" xr:uid="{00000000-0005-0000-0000-000093470000}"/>
    <cellStyle name="Normal 15 3 6 5" xfId="12709" xr:uid="{00000000-0005-0000-0000-000094470000}"/>
    <cellStyle name="Normal 15 3 6 5 2" xfId="51636" xr:uid="{00000000-0005-0000-0000-000095470000}"/>
    <cellStyle name="Normal 15 3 6 5 3" xfId="51637" xr:uid="{00000000-0005-0000-0000-000096470000}"/>
    <cellStyle name="Normal 15 3 6 6" xfId="12710" xr:uid="{00000000-0005-0000-0000-000097470000}"/>
    <cellStyle name="Normal 15 3 6 6 2" xfId="51638" xr:uid="{00000000-0005-0000-0000-000098470000}"/>
    <cellStyle name="Normal 15 3 6 7" xfId="12711" xr:uid="{00000000-0005-0000-0000-000099470000}"/>
    <cellStyle name="Normal 15 3 6 8" xfId="12712" xr:uid="{00000000-0005-0000-0000-00009A470000}"/>
    <cellStyle name="Normal 15 3 6 9" xfId="12713" xr:uid="{00000000-0005-0000-0000-00009B470000}"/>
    <cellStyle name="Normal 15 3 7" xfId="12714" xr:uid="{00000000-0005-0000-0000-00009C470000}"/>
    <cellStyle name="Normal 15 3 7 2" xfId="12715" xr:uid="{00000000-0005-0000-0000-00009D470000}"/>
    <cellStyle name="Normal 15 3 7 2 2" xfId="12716" xr:uid="{00000000-0005-0000-0000-00009E470000}"/>
    <cellStyle name="Normal 15 3 7 2 2 2" xfId="12717" xr:uid="{00000000-0005-0000-0000-00009F470000}"/>
    <cellStyle name="Normal 15 3 7 2 2 2 2" xfId="51639" xr:uid="{00000000-0005-0000-0000-0000A0470000}"/>
    <cellStyle name="Normal 15 3 7 2 2 2 3" xfId="51640" xr:uid="{00000000-0005-0000-0000-0000A1470000}"/>
    <cellStyle name="Normal 15 3 7 2 2 3" xfId="12718" xr:uid="{00000000-0005-0000-0000-0000A2470000}"/>
    <cellStyle name="Normal 15 3 7 2 2 3 2" xfId="51641" xr:uid="{00000000-0005-0000-0000-0000A3470000}"/>
    <cellStyle name="Normal 15 3 7 2 2 4" xfId="12719" xr:uid="{00000000-0005-0000-0000-0000A4470000}"/>
    <cellStyle name="Normal 15 3 7 2 2 5" xfId="12720" xr:uid="{00000000-0005-0000-0000-0000A5470000}"/>
    <cellStyle name="Normal 15 3 7 2 2 6" xfId="12721" xr:uid="{00000000-0005-0000-0000-0000A6470000}"/>
    <cellStyle name="Normal 15 3 7 2 3" xfId="12722" xr:uid="{00000000-0005-0000-0000-0000A7470000}"/>
    <cellStyle name="Normal 15 3 7 2 3 2" xfId="51642" xr:uid="{00000000-0005-0000-0000-0000A8470000}"/>
    <cellStyle name="Normal 15 3 7 2 3 3" xfId="51643" xr:uid="{00000000-0005-0000-0000-0000A9470000}"/>
    <cellStyle name="Normal 15 3 7 2 4" xfId="12723" xr:uid="{00000000-0005-0000-0000-0000AA470000}"/>
    <cellStyle name="Normal 15 3 7 2 4 2" xfId="51644" xr:uid="{00000000-0005-0000-0000-0000AB470000}"/>
    <cellStyle name="Normal 15 3 7 2 5" xfId="12724" xr:uid="{00000000-0005-0000-0000-0000AC470000}"/>
    <cellStyle name="Normal 15 3 7 2 6" xfId="12725" xr:uid="{00000000-0005-0000-0000-0000AD470000}"/>
    <cellStyle name="Normal 15 3 7 2 7" xfId="12726" xr:uid="{00000000-0005-0000-0000-0000AE470000}"/>
    <cellStyle name="Normal 15 3 7 3" xfId="12727" xr:uid="{00000000-0005-0000-0000-0000AF470000}"/>
    <cellStyle name="Normal 15 3 7 3 2" xfId="12728" xr:uid="{00000000-0005-0000-0000-0000B0470000}"/>
    <cellStyle name="Normal 15 3 7 3 2 2" xfId="51645" xr:uid="{00000000-0005-0000-0000-0000B1470000}"/>
    <cellStyle name="Normal 15 3 7 3 2 3" xfId="51646" xr:uid="{00000000-0005-0000-0000-0000B2470000}"/>
    <cellStyle name="Normal 15 3 7 3 3" xfId="12729" xr:uid="{00000000-0005-0000-0000-0000B3470000}"/>
    <cellStyle name="Normal 15 3 7 3 3 2" xfId="51647" xr:uid="{00000000-0005-0000-0000-0000B4470000}"/>
    <cellStyle name="Normal 15 3 7 3 4" xfId="12730" xr:uid="{00000000-0005-0000-0000-0000B5470000}"/>
    <cellStyle name="Normal 15 3 7 3 5" xfId="12731" xr:uid="{00000000-0005-0000-0000-0000B6470000}"/>
    <cellStyle name="Normal 15 3 7 3 6" xfId="12732" xr:uid="{00000000-0005-0000-0000-0000B7470000}"/>
    <cellStyle name="Normal 15 3 7 4" xfId="12733" xr:uid="{00000000-0005-0000-0000-0000B8470000}"/>
    <cellStyle name="Normal 15 3 7 4 2" xfId="51648" xr:uid="{00000000-0005-0000-0000-0000B9470000}"/>
    <cellStyle name="Normal 15 3 7 4 3" xfId="51649" xr:uid="{00000000-0005-0000-0000-0000BA470000}"/>
    <cellStyle name="Normal 15 3 7 5" xfId="12734" xr:uid="{00000000-0005-0000-0000-0000BB470000}"/>
    <cellStyle name="Normal 15 3 7 5 2" xfId="51650" xr:uid="{00000000-0005-0000-0000-0000BC470000}"/>
    <cellStyle name="Normal 15 3 7 6" xfId="12735" xr:uid="{00000000-0005-0000-0000-0000BD470000}"/>
    <cellStyle name="Normal 15 3 7 7" xfId="12736" xr:uid="{00000000-0005-0000-0000-0000BE470000}"/>
    <cellStyle name="Normal 15 3 7 8" xfId="12737" xr:uid="{00000000-0005-0000-0000-0000BF470000}"/>
    <cellStyle name="Normal 15 3 7 9" xfId="12738" xr:uid="{00000000-0005-0000-0000-0000C0470000}"/>
    <cellStyle name="Normal 15 3 8" xfId="12739" xr:uid="{00000000-0005-0000-0000-0000C1470000}"/>
    <cellStyle name="Normal 15 3 8 2" xfId="12740" xr:uid="{00000000-0005-0000-0000-0000C2470000}"/>
    <cellStyle name="Normal 15 3 8 2 2" xfId="12741" xr:uid="{00000000-0005-0000-0000-0000C3470000}"/>
    <cellStyle name="Normal 15 3 8 2 2 2" xfId="12742" xr:uid="{00000000-0005-0000-0000-0000C4470000}"/>
    <cellStyle name="Normal 15 3 8 2 2 2 2" xfId="51651" xr:uid="{00000000-0005-0000-0000-0000C5470000}"/>
    <cellStyle name="Normal 15 3 8 2 2 2 3" xfId="51652" xr:uid="{00000000-0005-0000-0000-0000C6470000}"/>
    <cellStyle name="Normal 15 3 8 2 2 3" xfId="12743" xr:uid="{00000000-0005-0000-0000-0000C7470000}"/>
    <cellStyle name="Normal 15 3 8 2 2 3 2" xfId="51653" xr:uid="{00000000-0005-0000-0000-0000C8470000}"/>
    <cellStyle name="Normal 15 3 8 2 2 4" xfId="12744" xr:uid="{00000000-0005-0000-0000-0000C9470000}"/>
    <cellStyle name="Normal 15 3 8 2 2 5" xfId="12745" xr:uid="{00000000-0005-0000-0000-0000CA470000}"/>
    <cellStyle name="Normal 15 3 8 2 2 6" xfId="12746" xr:uid="{00000000-0005-0000-0000-0000CB470000}"/>
    <cellStyle name="Normal 15 3 8 2 3" xfId="12747" xr:uid="{00000000-0005-0000-0000-0000CC470000}"/>
    <cellStyle name="Normal 15 3 8 2 3 2" xfId="51654" xr:uid="{00000000-0005-0000-0000-0000CD470000}"/>
    <cellStyle name="Normal 15 3 8 2 3 3" xfId="51655" xr:uid="{00000000-0005-0000-0000-0000CE470000}"/>
    <cellStyle name="Normal 15 3 8 2 4" xfId="12748" xr:uid="{00000000-0005-0000-0000-0000CF470000}"/>
    <cellStyle name="Normal 15 3 8 2 4 2" xfId="51656" xr:uid="{00000000-0005-0000-0000-0000D0470000}"/>
    <cellStyle name="Normal 15 3 8 2 5" xfId="12749" xr:uid="{00000000-0005-0000-0000-0000D1470000}"/>
    <cellStyle name="Normal 15 3 8 2 6" xfId="12750" xr:uid="{00000000-0005-0000-0000-0000D2470000}"/>
    <cellStyle name="Normal 15 3 8 2 7" xfId="12751" xr:uid="{00000000-0005-0000-0000-0000D3470000}"/>
    <cellStyle name="Normal 15 3 8 3" xfId="12752" xr:uid="{00000000-0005-0000-0000-0000D4470000}"/>
    <cellStyle name="Normal 15 3 8 3 2" xfId="12753" xr:uid="{00000000-0005-0000-0000-0000D5470000}"/>
    <cellStyle name="Normal 15 3 8 3 2 2" xfId="51657" xr:uid="{00000000-0005-0000-0000-0000D6470000}"/>
    <cellStyle name="Normal 15 3 8 3 2 3" xfId="51658" xr:uid="{00000000-0005-0000-0000-0000D7470000}"/>
    <cellStyle name="Normal 15 3 8 3 3" xfId="12754" xr:uid="{00000000-0005-0000-0000-0000D8470000}"/>
    <cellStyle name="Normal 15 3 8 3 3 2" xfId="51659" xr:uid="{00000000-0005-0000-0000-0000D9470000}"/>
    <cellStyle name="Normal 15 3 8 3 4" xfId="12755" xr:uid="{00000000-0005-0000-0000-0000DA470000}"/>
    <cellStyle name="Normal 15 3 8 3 5" xfId="12756" xr:uid="{00000000-0005-0000-0000-0000DB470000}"/>
    <cellStyle name="Normal 15 3 8 3 6" xfId="12757" xr:uid="{00000000-0005-0000-0000-0000DC470000}"/>
    <cellStyle name="Normal 15 3 8 4" xfId="12758" xr:uid="{00000000-0005-0000-0000-0000DD470000}"/>
    <cellStyle name="Normal 15 3 8 4 2" xfId="51660" xr:uid="{00000000-0005-0000-0000-0000DE470000}"/>
    <cellStyle name="Normal 15 3 8 4 3" xfId="51661" xr:uid="{00000000-0005-0000-0000-0000DF470000}"/>
    <cellStyle name="Normal 15 3 8 5" xfId="12759" xr:uid="{00000000-0005-0000-0000-0000E0470000}"/>
    <cellStyle name="Normal 15 3 8 5 2" xfId="51662" xr:uid="{00000000-0005-0000-0000-0000E1470000}"/>
    <cellStyle name="Normal 15 3 8 6" xfId="12760" xr:uid="{00000000-0005-0000-0000-0000E2470000}"/>
    <cellStyle name="Normal 15 3 8 7" xfId="12761" xr:uid="{00000000-0005-0000-0000-0000E3470000}"/>
    <cellStyle name="Normal 15 3 8 8" xfId="12762" xr:uid="{00000000-0005-0000-0000-0000E4470000}"/>
    <cellStyle name="Normal 15 3 9" xfId="12763" xr:uid="{00000000-0005-0000-0000-0000E5470000}"/>
    <cellStyle name="Normal 15 3 9 2" xfId="12764" xr:uid="{00000000-0005-0000-0000-0000E6470000}"/>
    <cellStyle name="Normal 15 3 9 2 2" xfId="12765" xr:uid="{00000000-0005-0000-0000-0000E7470000}"/>
    <cellStyle name="Normal 15 3 9 2 2 2" xfId="12766" xr:uid="{00000000-0005-0000-0000-0000E8470000}"/>
    <cellStyle name="Normal 15 3 9 2 2 2 2" xfId="51663" xr:uid="{00000000-0005-0000-0000-0000E9470000}"/>
    <cellStyle name="Normal 15 3 9 2 2 2 3" xfId="51664" xr:uid="{00000000-0005-0000-0000-0000EA470000}"/>
    <cellStyle name="Normal 15 3 9 2 2 3" xfId="12767" xr:uid="{00000000-0005-0000-0000-0000EB470000}"/>
    <cellStyle name="Normal 15 3 9 2 2 3 2" xfId="51665" xr:uid="{00000000-0005-0000-0000-0000EC470000}"/>
    <cellStyle name="Normal 15 3 9 2 2 4" xfId="12768" xr:uid="{00000000-0005-0000-0000-0000ED470000}"/>
    <cellStyle name="Normal 15 3 9 2 2 5" xfId="12769" xr:uid="{00000000-0005-0000-0000-0000EE470000}"/>
    <cellStyle name="Normal 15 3 9 2 2 6" xfId="12770" xr:uid="{00000000-0005-0000-0000-0000EF470000}"/>
    <cellStyle name="Normal 15 3 9 2 3" xfId="12771" xr:uid="{00000000-0005-0000-0000-0000F0470000}"/>
    <cellStyle name="Normal 15 3 9 2 3 2" xfId="51666" xr:uid="{00000000-0005-0000-0000-0000F1470000}"/>
    <cellStyle name="Normal 15 3 9 2 3 3" xfId="51667" xr:uid="{00000000-0005-0000-0000-0000F2470000}"/>
    <cellStyle name="Normal 15 3 9 2 4" xfId="12772" xr:uid="{00000000-0005-0000-0000-0000F3470000}"/>
    <cellStyle name="Normal 15 3 9 2 4 2" xfId="51668" xr:uid="{00000000-0005-0000-0000-0000F4470000}"/>
    <cellStyle name="Normal 15 3 9 2 5" xfId="12773" xr:uid="{00000000-0005-0000-0000-0000F5470000}"/>
    <cellStyle name="Normal 15 3 9 2 6" xfId="12774" xr:uid="{00000000-0005-0000-0000-0000F6470000}"/>
    <cellStyle name="Normal 15 3 9 2 7" xfId="12775" xr:uid="{00000000-0005-0000-0000-0000F7470000}"/>
    <cellStyle name="Normal 15 3 9 3" xfId="12776" xr:uid="{00000000-0005-0000-0000-0000F8470000}"/>
    <cellStyle name="Normal 15 3 9 3 2" xfId="12777" xr:uid="{00000000-0005-0000-0000-0000F9470000}"/>
    <cellStyle name="Normal 15 3 9 3 2 2" xfId="51669" xr:uid="{00000000-0005-0000-0000-0000FA470000}"/>
    <cellStyle name="Normal 15 3 9 3 2 3" xfId="51670" xr:uid="{00000000-0005-0000-0000-0000FB470000}"/>
    <cellStyle name="Normal 15 3 9 3 3" xfId="12778" xr:uid="{00000000-0005-0000-0000-0000FC470000}"/>
    <cellStyle name="Normal 15 3 9 3 3 2" xfId="51671" xr:uid="{00000000-0005-0000-0000-0000FD470000}"/>
    <cellStyle name="Normal 15 3 9 3 4" xfId="12779" xr:uid="{00000000-0005-0000-0000-0000FE470000}"/>
    <cellStyle name="Normal 15 3 9 3 5" xfId="12780" xr:uid="{00000000-0005-0000-0000-0000FF470000}"/>
    <cellStyle name="Normal 15 3 9 3 6" xfId="12781" xr:uid="{00000000-0005-0000-0000-000000480000}"/>
    <cellStyle name="Normal 15 3 9 4" xfId="12782" xr:uid="{00000000-0005-0000-0000-000001480000}"/>
    <cellStyle name="Normal 15 3 9 4 2" xfId="51672" xr:uid="{00000000-0005-0000-0000-000002480000}"/>
    <cellStyle name="Normal 15 3 9 4 3" xfId="51673" xr:uid="{00000000-0005-0000-0000-000003480000}"/>
    <cellStyle name="Normal 15 3 9 5" xfId="12783" xr:uid="{00000000-0005-0000-0000-000004480000}"/>
    <cellStyle name="Normal 15 3 9 5 2" xfId="51674" xr:uid="{00000000-0005-0000-0000-000005480000}"/>
    <cellStyle name="Normal 15 3 9 6" xfId="12784" xr:uid="{00000000-0005-0000-0000-000006480000}"/>
    <cellStyle name="Normal 15 3 9 7" xfId="12785" xr:uid="{00000000-0005-0000-0000-000007480000}"/>
    <cellStyle name="Normal 15 3 9 8" xfId="12786" xr:uid="{00000000-0005-0000-0000-000008480000}"/>
    <cellStyle name="Normal 15 4" xfId="12787" xr:uid="{00000000-0005-0000-0000-000009480000}"/>
    <cellStyle name="Normal 15 4 10" xfId="12788" xr:uid="{00000000-0005-0000-0000-00000A480000}"/>
    <cellStyle name="Normal 15 4 11" xfId="12789" xr:uid="{00000000-0005-0000-0000-00000B480000}"/>
    <cellStyle name="Normal 15 4 12" xfId="12790" xr:uid="{00000000-0005-0000-0000-00000C480000}"/>
    <cellStyle name="Normal 15 4 13" xfId="12791" xr:uid="{00000000-0005-0000-0000-00000D480000}"/>
    <cellStyle name="Normal 15 4 14" xfId="12792" xr:uid="{00000000-0005-0000-0000-00000E480000}"/>
    <cellStyle name="Normal 15 4 15" xfId="12793" xr:uid="{00000000-0005-0000-0000-00000F480000}"/>
    <cellStyle name="Normal 15 4 16" xfId="12794" xr:uid="{00000000-0005-0000-0000-000010480000}"/>
    <cellStyle name="Normal 15 4 2" xfId="12795" xr:uid="{00000000-0005-0000-0000-000011480000}"/>
    <cellStyle name="Normal 15 4 2 10" xfId="12796" xr:uid="{00000000-0005-0000-0000-000012480000}"/>
    <cellStyle name="Normal 15 4 2 11" xfId="12797" xr:uid="{00000000-0005-0000-0000-000013480000}"/>
    <cellStyle name="Normal 15 4 2 12" xfId="12798" xr:uid="{00000000-0005-0000-0000-000014480000}"/>
    <cellStyle name="Normal 15 4 2 13" xfId="12799" xr:uid="{00000000-0005-0000-0000-000015480000}"/>
    <cellStyle name="Normal 15 4 2 14" xfId="12800" xr:uid="{00000000-0005-0000-0000-000016480000}"/>
    <cellStyle name="Normal 15 4 2 2" xfId="12801" xr:uid="{00000000-0005-0000-0000-000017480000}"/>
    <cellStyle name="Normal 15 4 2 2 2" xfId="12802" xr:uid="{00000000-0005-0000-0000-000018480000}"/>
    <cellStyle name="Normal 15 4 2 2 2 2" xfId="12803" xr:uid="{00000000-0005-0000-0000-000019480000}"/>
    <cellStyle name="Normal 15 4 2 2 2 2 2" xfId="12804" xr:uid="{00000000-0005-0000-0000-00001A480000}"/>
    <cellStyle name="Normal 15 4 2 2 2 2 2 2" xfId="51675" xr:uid="{00000000-0005-0000-0000-00001B480000}"/>
    <cellStyle name="Normal 15 4 2 2 2 2 2 3" xfId="51676" xr:uid="{00000000-0005-0000-0000-00001C480000}"/>
    <cellStyle name="Normal 15 4 2 2 2 2 3" xfId="12805" xr:uid="{00000000-0005-0000-0000-00001D480000}"/>
    <cellStyle name="Normal 15 4 2 2 2 2 3 2" xfId="51677" xr:uid="{00000000-0005-0000-0000-00001E480000}"/>
    <cellStyle name="Normal 15 4 2 2 2 2 4" xfId="12806" xr:uid="{00000000-0005-0000-0000-00001F480000}"/>
    <cellStyle name="Normal 15 4 2 2 2 2 5" xfId="12807" xr:uid="{00000000-0005-0000-0000-000020480000}"/>
    <cellStyle name="Normal 15 4 2 2 2 2 6" xfId="12808" xr:uid="{00000000-0005-0000-0000-000021480000}"/>
    <cellStyle name="Normal 15 4 2 2 2 3" xfId="12809" xr:uid="{00000000-0005-0000-0000-000022480000}"/>
    <cellStyle name="Normal 15 4 2 2 2 3 2" xfId="51678" xr:uid="{00000000-0005-0000-0000-000023480000}"/>
    <cellStyle name="Normal 15 4 2 2 2 3 3" xfId="51679" xr:uid="{00000000-0005-0000-0000-000024480000}"/>
    <cellStyle name="Normal 15 4 2 2 2 4" xfId="12810" xr:uid="{00000000-0005-0000-0000-000025480000}"/>
    <cellStyle name="Normal 15 4 2 2 2 4 2" xfId="51680" xr:uid="{00000000-0005-0000-0000-000026480000}"/>
    <cellStyle name="Normal 15 4 2 2 2 5" xfId="12811" xr:uid="{00000000-0005-0000-0000-000027480000}"/>
    <cellStyle name="Normal 15 4 2 2 2 6" xfId="12812" xr:uid="{00000000-0005-0000-0000-000028480000}"/>
    <cellStyle name="Normal 15 4 2 2 2 7" xfId="12813" xr:uid="{00000000-0005-0000-0000-000029480000}"/>
    <cellStyle name="Normal 15 4 2 2 3" xfId="12814" xr:uid="{00000000-0005-0000-0000-00002A480000}"/>
    <cellStyle name="Normal 15 4 2 2 3 2" xfId="12815" xr:uid="{00000000-0005-0000-0000-00002B480000}"/>
    <cellStyle name="Normal 15 4 2 2 3 2 2" xfId="51681" xr:uid="{00000000-0005-0000-0000-00002C480000}"/>
    <cellStyle name="Normal 15 4 2 2 3 2 3" xfId="51682" xr:uid="{00000000-0005-0000-0000-00002D480000}"/>
    <cellStyle name="Normal 15 4 2 2 3 3" xfId="12816" xr:uid="{00000000-0005-0000-0000-00002E480000}"/>
    <cellStyle name="Normal 15 4 2 2 3 3 2" xfId="51683" xr:uid="{00000000-0005-0000-0000-00002F480000}"/>
    <cellStyle name="Normal 15 4 2 2 3 4" xfId="12817" xr:uid="{00000000-0005-0000-0000-000030480000}"/>
    <cellStyle name="Normal 15 4 2 2 3 5" xfId="12818" xr:uid="{00000000-0005-0000-0000-000031480000}"/>
    <cellStyle name="Normal 15 4 2 2 3 6" xfId="12819" xr:uid="{00000000-0005-0000-0000-000032480000}"/>
    <cellStyle name="Normal 15 4 2 2 4" xfId="12820" xr:uid="{00000000-0005-0000-0000-000033480000}"/>
    <cellStyle name="Normal 15 4 2 2 4 2" xfId="51684" xr:uid="{00000000-0005-0000-0000-000034480000}"/>
    <cellStyle name="Normal 15 4 2 2 4 3" xfId="51685" xr:uid="{00000000-0005-0000-0000-000035480000}"/>
    <cellStyle name="Normal 15 4 2 2 5" xfId="12821" xr:uid="{00000000-0005-0000-0000-000036480000}"/>
    <cellStyle name="Normal 15 4 2 2 5 2" xfId="51686" xr:uid="{00000000-0005-0000-0000-000037480000}"/>
    <cellStyle name="Normal 15 4 2 2 6" xfId="12822" xr:uid="{00000000-0005-0000-0000-000038480000}"/>
    <cellStyle name="Normal 15 4 2 2 7" xfId="12823" xr:uid="{00000000-0005-0000-0000-000039480000}"/>
    <cellStyle name="Normal 15 4 2 2 8" xfId="12824" xr:uid="{00000000-0005-0000-0000-00003A480000}"/>
    <cellStyle name="Normal 15 4 2 2 9" xfId="12825" xr:uid="{00000000-0005-0000-0000-00003B480000}"/>
    <cellStyle name="Normal 15 4 2 3" xfId="12826" xr:uid="{00000000-0005-0000-0000-00003C480000}"/>
    <cellStyle name="Normal 15 4 2 3 2" xfId="12827" xr:uid="{00000000-0005-0000-0000-00003D480000}"/>
    <cellStyle name="Normal 15 4 2 3 2 2" xfId="12828" xr:uid="{00000000-0005-0000-0000-00003E480000}"/>
    <cellStyle name="Normal 15 4 2 3 2 2 2" xfId="12829" xr:uid="{00000000-0005-0000-0000-00003F480000}"/>
    <cellStyle name="Normal 15 4 2 3 2 2 2 2" xfId="51687" xr:uid="{00000000-0005-0000-0000-000040480000}"/>
    <cellStyle name="Normal 15 4 2 3 2 2 2 3" xfId="51688" xr:uid="{00000000-0005-0000-0000-000041480000}"/>
    <cellStyle name="Normal 15 4 2 3 2 2 3" xfId="12830" xr:uid="{00000000-0005-0000-0000-000042480000}"/>
    <cellStyle name="Normal 15 4 2 3 2 2 3 2" xfId="51689" xr:uid="{00000000-0005-0000-0000-000043480000}"/>
    <cellStyle name="Normal 15 4 2 3 2 2 4" xfId="12831" xr:uid="{00000000-0005-0000-0000-000044480000}"/>
    <cellStyle name="Normal 15 4 2 3 2 2 5" xfId="12832" xr:uid="{00000000-0005-0000-0000-000045480000}"/>
    <cellStyle name="Normal 15 4 2 3 2 2 6" xfId="12833" xr:uid="{00000000-0005-0000-0000-000046480000}"/>
    <cellStyle name="Normal 15 4 2 3 2 3" xfId="12834" xr:uid="{00000000-0005-0000-0000-000047480000}"/>
    <cellStyle name="Normal 15 4 2 3 2 3 2" xfId="51690" xr:uid="{00000000-0005-0000-0000-000048480000}"/>
    <cellStyle name="Normal 15 4 2 3 2 3 3" xfId="51691" xr:uid="{00000000-0005-0000-0000-000049480000}"/>
    <cellStyle name="Normal 15 4 2 3 2 4" xfId="12835" xr:uid="{00000000-0005-0000-0000-00004A480000}"/>
    <cellStyle name="Normal 15 4 2 3 2 4 2" xfId="51692" xr:uid="{00000000-0005-0000-0000-00004B480000}"/>
    <cellStyle name="Normal 15 4 2 3 2 5" xfId="12836" xr:uid="{00000000-0005-0000-0000-00004C480000}"/>
    <cellStyle name="Normal 15 4 2 3 2 6" xfId="12837" xr:uid="{00000000-0005-0000-0000-00004D480000}"/>
    <cellStyle name="Normal 15 4 2 3 2 7" xfId="12838" xr:uid="{00000000-0005-0000-0000-00004E480000}"/>
    <cellStyle name="Normal 15 4 2 3 3" xfId="12839" xr:uid="{00000000-0005-0000-0000-00004F480000}"/>
    <cellStyle name="Normal 15 4 2 3 3 2" xfId="12840" xr:uid="{00000000-0005-0000-0000-000050480000}"/>
    <cellStyle name="Normal 15 4 2 3 3 2 2" xfId="51693" xr:uid="{00000000-0005-0000-0000-000051480000}"/>
    <cellStyle name="Normal 15 4 2 3 3 2 3" xfId="51694" xr:uid="{00000000-0005-0000-0000-000052480000}"/>
    <cellStyle name="Normal 15 4 2 3 3 3" xfId="12841" xr:uid="{00000000-0005-0000-0000-000053480000}"/>
    <cellStyle name="Normal 15 4 2 3 3 3 2" xfId="51695" xr:uid="{00000000-0005-0000-0000-000054480000}"/>
    <cellStyle name="Normal 15 4 2 3 3 4" xfId="12842" xr:uid="{00000000-0005-0000-0000-000055480000}"/>
    <cellStyle name="Normal 15 4 2 3 3 5" xfId="12843" xr:uid="{00000000-0005-0000-0000-000056480000}"/>
    <cellStyle name="Normal 15 4 2 3 3 6" xfId="12844" xr:uid="{00000000-0005-0000-0000-000057480000}"/>
    <cellStyle name="Normal 15 4 2 3 4" xfId="12845" xr:uid="{00000000-0005-0000-0000-000058480000}"/>
    <cellStyle name="Normal 15 4 2 3 4 2" xfId="51696" xr:uid="{00000000-0005-0000-0000-000059480000}"/>
    <cellStyle name="Normal 15 4 2 3 4 3" xfId="51697" xr:uid="{00000000-0005-0000-0000-00005A480000}"/>
    <cellStyle name="Normal 15 4 2 3 5" xfId="12846" xr:uid="{00000000-0005-0000-0000-00005B480000}"/>
    <cellStyle name="Normal 15 4 2 3 5 2" xfId="51698" xr:uid="{00000000-0005-0000-0000-00005C480000}"/>
    <cellStyle name="Normal 15 4 2 3 6" xfId="12847" xr:uid="{00000000-0005-0000-0000-00005D480000}"/>
    <cellStyle name="Normal 15 4 2 3 7" xfId="12848" xr:uid="{00000000-0005-0000-0000-00005E480000}"/>
    <cellStyle name="Normal 15 4 2 3 8" xfId="12849" xr:uid="{00000000-0005-0000-0000-00005F480000}"/>
    <cellStyle name="Normal 15 4 2 4" xfId="12850" xr:uid="{00000000-0005-0000-0000-000060480000}"/>
    <cellStyle name="Normal 15 4 2 4 2" xfId="12851" xr:uid="{00000000-0005-0000-0000-000061480000}"/>
    <cellStyle name="Normal 15 4 2 4 2 2" xfId="12852" xr:uid="{00000000-0005-0000-0000-000062480000}"/>
    <cellStyle name="Normal 15 4 2 4 2 2 2" xfId="51699" xr:uid="{00000000-0005-0000-0000-000063480000}"/>
    <cellStyle name="Normal 15 4 2 4 2 2 3" xfId="51700" xr:uid="{00000000-0005-0000-0000-000064480000}"/>
    <cellStyle name="Normal 15 4 2 4 2 3" xfId="12853" xr:uid="{00000000-0005-0000-0000-000065480000}"/>
    <cellStyle name="Normal 15 4 2 4 2 3 2" xfId="51701" xr:uid="{00000000-0005-0000-0000-000066480000}"/>
    <cellStyle name="Normal 15 4 2 4 2 4" xfId="12854" xr:uid="{00000000-0005-0000-0000-000067480000}"/>
    <cellStyle name="Normal 15 4 2 4 2 5" xfId="12855" xr:uid="{00000000-0005-0000-0000-000068480000}"/>
    <cellStyle name="Normal 15 4 2 4 2 6" xfId="12856" xr:uid="{00000000-0005-0000-0000-000069480000}"/>
    <cellStyle name="Normal 15 4 2 4 3" xfId="12857" xr:uid="{00000000-0005-0000-0000-00006A480000}"/>
    <cellStyle name="Normal 15 4 2 4 3 2" xfId="51702" xr:uid="{00000000-0005-0000-0000-00006B480000}"/>
    <cellStyle name="Normal 15 4 2 4 3 3" xfId="51703" xr:uid="{00000000-0005-0000-0000-00006C480000}"/>
    <cellStyle name="Normal 15 4 2 4 4" xfId="12858" xr:uid="{00000000-0005-0000-0000-00006D480000}"/>
    <cellStyle name="Normal 15 4 2 4 4 2" xfId="51704" xr:uid="{00000000-0005-0000-0000-00006E480000}"/>
    <cellStyle name="Normal 15 4 2 4 5" xfId="12859" xr:uid="{00000000-0005-0000-0000-00006F480000}"/>
    <cellStyle name="Normal 15 4 2 4 6" xfId="12860" xr:uid="{00000000-0005-0000-0000-000070480000}"/>
    <cellStyle name="Normal 15 4 2 4 7" xfId="12861" xr:uid="{00000000-0005-0000-0000-000071480000}"/>
    <cellStyle name="Normal 15 4 2 5" xfId="12862" xr:uid="{00000000-0005-0000-0000-000072480000}"/>
    <cellStyle name="Normal 15 4 2 5 2" xfId="12863" xr:uid="{00000000-0005-0000-0000-000073480000}"/>
    <cellStyle name="Normal 15 4 2 5 2 2" xfId="51705" xr:uid="{00000000-0005-0000-0000-000074480000}"/>
    <cellStyle name="Normal 15 4 2 5 2 3" xfId="51706" xr:uid="{00000000-0005-0000-0000-000075480000}"/>
    <cellStyle name="Normal 15 4 2 5 3" xfId="12864" xr:uid="{00000000-0005-0000-0000-000076480000}"/>
    <cellStyle name="Normal 15 4 2 5 3 2" xfId="51707" xr:uid="{00000000-0005-0000-0000-000077480000}"/>
    <cellStyle name="Normal 15 4 2 5 4" xfId="12865" xr:uid="{00000000-0005-0000-0000-000078480000}"/>
    <cellStyle name="Normal 15 4 2 5 5" xfId="12866" xr:uid="{00000000-0005-0000-0000-000079480000}"/>
    <cellStyle name="Normal 15 4 2 5 6" xfId="12867" xr:uid="{00000000-0005-0000-0000-00007A480000}"/>
    <cellStyle name="Normal 15 4 2 6" xfId="12868" xr:uid="{00000000-0005-0000-0000-00007B480000}"/>
    <cellStyle name="Normal 15 4 2 6 2" xfId="51708" xr:uid="{00000000-0005-0000-0000-00007C480000}"/>
    <cellStyle name="Normal 15 4 2 6 3" xfId="51709" xr:uid="{00000000-0005-0000-0000-00007D480000}"/>
    <cellStyle name="Normal 15 4 2 7" xfId="12869" xr:uid="{00000000-0005-0000-0000-00007E480000}"/>
    <cellStyle name="Normal 15 4 2 7 2" xfId="51710" xr:uid="{00000000-0005-0000-0000-00007F480000}"/>
    <cellStyle name="Normal 15 4 2 8" xfId="12870" xr:uid="{00000000-0005-0000-0000-000080480000}"/>
    <cellStyle name="Normal 15 4 2 8 2" xfId="51711" xr:uid="{00000000-0005-0000-0000-000081480000}"/>
    <cellStyle name="Normal 15 4 2 9" xfId="12871" xr:uid="{00000000-0005-0000-0000-000082480000}"/>
    <cellStyle name="Normal 15 4 3" xfId="12872" xr:uid="{00000000-0005-0000-0000-000083480000}"/>
    <cellStyle name="Normal 15 4 3 2" xfId="12873" xr:uid="{00000000-0005-0000-0000-000084480000}"/>
    <cellStyle name="Normal 15 4 3 2 2" xfId="12874" xr:uid="{00000000-0005-0000-0000-000085480000}"/>
    <cellStyle name="Normal 15 4 3 2 2 2" xfId="12875" xr:uid="{00000000-0005-0000-0000-000086480000}"/>
    <cellStyle name="Normal 15 4 3 2 2 2 2" xfId="51712" xr:uid="{00000000-0005-0000-0000-000087480000}"/>
    <cellStyle name="Normal 15 4 3 2 2 2 3" xfId="51713" xr:uid="{00000000-0005-0000-0000-000088480000}"/>
    <cellStyle name="Normal 15 4 3 2 2 3" xfId="12876" xr:uid="{00000000-0005-0000-0000-000089480000}"/>
    <cellStyle name="Normal 15 4 3 2 2 3 2" xfId="51714" xr:uid="{00000000-0005-0000-0000-00008A480000}"/>
    <cellStyle name="Normal 15 4 3 2 2 4" xfId="12877" xr:uid="{00000000-0005-0000-0000-00008B480000}"/>
    <cellStyle name="Normal 15 4 3 2 2 5" xfId="12878" xr:uid="{00000000-0005-0000-0000-00008C480000}"/>
    <cellStyle name="Normal 15 4 3 2 2 6" xfId="12879" xr:uid="{00000000-0005-0000-0000-00008D480000}"/>
    <cellStyle name="Normal 15 4 3 2 3" xfId="12880" xr:uid="{00000000-0005-0000-0000-00008E480000}"/>
    <cellStyle name="Normal 15 4 3 2 3 2" xfId="51715" xr:uid="{00000000-0005-0000-0000-00008F480000}"/>
    <cellStyle name="Normal 15 4 3 2 3 3" xfId="51716" xr:uid="{00000000-0005-0000-0000-000090480000}"/>
    <cellStyle name="Normal 15 4 3 2 4" xfId="12881" xr:uid="{00000000-0005-0000-0000-000091480000}"/>
    <cellStyle name="Normal 15 4 3 2 4 2" xfId="51717" xr:uid="{00000000-0005-0000-0000-000092480000}"/>
    <cellStyle name="Normal 15 4 3 2 5" xfId="12882" xr:uid="{00000000-0005-0000-0000-000093480000}"/>
    <cellStyle name="Normal 15 4 3 2 6" xfId="12883" xr:uid="{00000000-0005-0000-0000-000094480000}"/>
    <cellStyle name="Normal 15 4 3 2 7" xfId="12884" xr:uid="{00000000-0005-0000-0000-000095480000}"/>
    <cellStyle name="Normal 15 4 3 3" xfId="12885" xr:uid="{00000000-0005-0000-0000-000096480000}"/>
    <cellStyle name="Normal 15 4 3 3 2" xfId="12886" xr:uid="{00000000-0005-0000-0000-000097480000}"/>
    <cellStyle name="Normal 15 4 3 3 2 2" xfId="51718" xr:uid="{00000000-0005-0000-0000-000098480000}"/>
    <cellStyle name="Normal 15 4 3 3 2 3" xfId="51719" xr:uid="{00000000-0005-0000-0000-000099480000}"/>
    <cellStyle name="Normal 15 4 3 3 3" xfId="12887" xr:uid="{00000000-0005-0000-0000-00009A480000}"/>
    <cellStyle name="Normal 15 4 3 3 3 2" xfId="51720" xr:uid="{00000000-0005-0000-0000-00009B480000}"/>
    <cellStyle name="Normal 15 4 3 3 4" xfId="12888" xr:uid="{00000000-0005-0000-0000-00009C480000}"/>
    <cellStyle name="Normal 15 4 3 3 5" xfId="12889" xr:uid="{00000000-0005-0000-0000-00009D480000}"/>
    <cellStyle name="Normal 15 4 3 3 6" xfId="12890" xr:uid="{00000000-0005-0000-0000-00009E480000}"/>
    <cellStyle name="Normal 15 4 3 4" xfId="12891" xr:uid="{00000000-0005-0000-0000-00009F480000}"/>
    <cellStyle name="Normal 15 4 3 4 2" xfId="51721" xr:uid="{00000000-0005-0000-0000-0000A0480000}"/>
    <cellStyle name="Normal 15 4 3 4 3" xfId="51722" xr:uid="{00000000-0005-0000-0000-0000A1480000}"/>
    <cellStyle name="Normal 15 4 3 5" xfId="12892" xr:uid="{00000000-0005-0000-0000-0000A2480000}"/>
    <cellStyle name="Normal 15 4 3 5 2" xfId="51723" xr:uid="{00000000-0005-0000-0000-0000A3480000}"/>
    <cellStyle name="Normal 15 4 3 6" xfId="12893" xr:uid="{00000000-0005-0000-0000-0000A4480000}"/>
    <cellStyle name="Normal 15 4 3 7" xfId="12894" xr:uid="{00000000-0005-0000-0000-0000A5480000}"/>
    <cellStyle name="Normal 15 4 3 8" xfId="12895" xr:uid="{00000000-0005-0000-0000-0000A6480000}"/>
    <cellStyle name="Normal 15 4 3 9" xfId="12896" xr:uid="{00000000-0005-0000-0000-0000A7480000}"/>
    <cellStyle name="Normal 15 4 4" xfId="12897" xr:uid="{00000000-0005-0000-0000-0000A8480000}"/>
    <cellStyle name="Normal 15 4 4 2" xfId="12898" xr:uid="{00000000-0005-0000-0000-0000A9480000}"/>
    <cellStyle name="Normal 15 4 4 2 2" xfId="12899" xr:uid="{00000000-0005-0000-0000-0000AA480000}"/>
    <cellStyle name="Normal 15 4 4 2 2 2" xfId="12900" xr:uid="{00000000-0005-0000-0000-0000AB480000}"/>
    <cellStyle name="Normal 15 4 4 2 2 2 2" xfId="51724" xr:uid="{00000000-0005-0000-0000-0000AC480000}"/>
    <cellStyle name="Normal 15 4 4 2 2 2 3" xfId="51725" xr:uid="{00000000-0005-0000-0000-0000AD480000}"/>
    <cellStyle name="Normal 15 4 4 2 2 3" xfId="12901" xr:uid="{00000000-0005-0000-0000-0000AE480000}"/>
    <cellStyle name="Normal 15 4 4 2 2 3 2" xfId="51726" xr:uid="{00000000-0005-0000-0000-0000AF480000}"/>
    <cellStyle name="Normal 15 4 4 2 2 4" xfId="12902" xr:uid="{00000000-0005-0000-0000-0000B0480000}"/>
    <cellStyle name="Normal 15 4 4 2 2 5" xfId="12903" xr:uid="{00000000-0005-0000-0000-0000B1480000}"/>
    <cellStyle name="Normal 15 4 4 2 2 6" xfId="12904" xr:uid="{00000000-0005-0000-0000-0000B2480000}"/>
    <cellStyle name="Normal 15 4 4 2 3" xfId="12905" xr:uid="{00000000-0005-0000-0000-0000B3480000}"/>
    <cellStyle name="Normal 15 4 4 2 3 2" xfId="51727" xr:uid="{00000000-0005-0000-0000-0000B4480000}"/>
    <cellStyle name="Normal 15 4 4 2 3 3" xfId="51728" xr:uid="{00000000-0005-0000-0000-0000B5480000}"/>
    <cellStyle name="Normal 15 4 4 2 4" xfId="12906" xr:uid="{00000000-0005-0000-0000-0000B6480000}"/>
    <cellStyle name="Normal 15 4 4 2 4 2" xfId="51729" xr:uid="{00000000-0005-0000-0000-0000B7480000}"/>
    <cellStyle name="Normal 15 4 4 2 5" xfId="12907" xr:uid="{00000000-0005-0000-0000-0000B8480000}"/>
    <cellStyle name="Normal 15 4 4 2 6" xfId="12908" xr:uid="{00000000-0005-0000-0000-0000B9480000}"/>
    <cellStyle name="Normal 15 4 4 2 7" xfId="12909" xr:uid="{00000000-0005-0000-0000-0000BA480000}"/>
    <cellStyle name="Normal 15 4 4 3" xfId="12910" xr:uid="{00000000-0005-0000-0000-0000BB480000}"/>
    <cellStyle name="Normal 15 4 4 3 2" xfId="12911" xr:uid="{00000000-0005-0000-0000-0000BC480000}"/>
    <cellStyle name="Normal 15 4 4 3 2 2" xfId="51730" xr:uid="{00000000-0005-0000-0000-0000BD480000}"/>
    <cellStyle name="Normal 15 4 4 3 2 3" xfId="51731" xr:uid="{00000000-0005-0000-0000-0000BE480000}"/>
    <cellStyle name="Normal 15 4 4 3 3" xfId="12912" xr:uid="{00000000-0005-0000-0000-0000BF480000}"/>
    <cellStyle name="Normal 15 4 4 3 3 2" xfId="51732" xr:uid="{00000000-0005-0000-0000-0000C0480000}"/>
    <cellStyle name="Normal 15 4 4 3 4" xfId="12913" xr:uid="{00000000-0005-0000-0000-0000C1480000}"/>
    <cellStyle name="Normal 15 4 4 3 5" xfId="12914" xr:uid="{00000000-0005-0000-0000-0000C2480000}"/>
    <cellStyle name="Normal 15 4 4 3 6" xfId="12915" xr:uid="{00000000-0005-0000-0000-0000C3480000}"/>
    <cellStyle name="Normal 15 4 4 4" xfId="12916" xr:uid="{00000000-0005-0000-0000-0000C4480000}"/>
    <cellStyle name="Normal 15 4 4 4 2" xfId="51733" xr:uid="{00000000-0005-0000-0000-0000C5480000}"/>
    <cellStyle name="Normal 15 4 4 4 3" xfId="51734" xr:uid="{00000000-0005-0000-0000-0000C6480000}"/>
    <cellStyle name="Normal 15 4 4 5" xfId="12917" xr:uid="{00000000-0005-0000-0000-0000C7480000}"/>
    <cellStyle name="Normal 15 4 4 5 2" xfId="51735" xr:uid="{00000000-0005-0000-0000-0000C8480000}"/>
    <cellStyle name="Normal 15 4 4 6" xfId="12918" xr:uid="{00000000-0005-0000-0000-0000C9480000}"/>
    <cellStyle name="Normal 15 4 4 7" xfId="12919" xr:uid="{00000000-0005-0000-0000-0000CA480000}"/>
    <cellStyle name="Normal 15 4 4 8" xfId="12920" xr:uid="{00000000-0005-0000-0000-0000CB480000}"/>
    <cellStyle name="Normal 15 4 5" xfId="12921" xr:uid="{00000000-0005-0000-0000-0000CC480000}"/>
    <cellStyle name="Normal 15 4 5 2" xfId="12922" xr:uid="{00000000-0005-0000-0000-0000CD480000}"/>
    <cellStyle name="Normal 15 4 5 2 2" xfId="12923" xr:uid="{00000000-0005-0000-0000-0000CE480000}"/>
    <cellStyle name="Normal 15 4 5 2 2 2" xfId="51736" xr:uid="{00000000-0005-0000-0000-0000CF480000}"/>
    <cellStyle name="Normal 15 4 5 2 2 3" xfId="51737" xr:uid="{00000000-0005-0000-0000-0000D0480000}"/>
    <cellStyle name="Normal 15 4 5 2 3" xfId="12924" xr:uid="{00000000-0005-0000-0000-0000D1480000}"/>
    <cellStyle name="Normal 15 4 5 2 3 2" xfId="51738" xr:uid="{00000000-0005-0000-0000-0000D2480000}"/>
    <cellStyle name="Normal 15 4 5 2 4" xfId="12925" xr:uid="{00000000-0005-0000-0000-0000D3480000}"/>
    <cellStyle name="Normal 15 4 5 2 5" xfId="12926" xr:uid="{00000000-0005-0000-0000-0000D4480000}"/>
    <cellStyle name="Normal 15 4 5 2 6" xfId="12927" xr:uid="{00000000-0005-0000-0000-0000D5480000}"/>
    <cellStyle name="Normal 15 4 5 3" xfId="12928" xr:uid="{00000000-0005-0000-0000-0000D6480000}"/>
    <cellStyle name="Normal 15 4 5 3 2" xfId="51739" xr:uid="{00000000-0005-0000-0000-0000D7480000}"/>
    <cellStyle name="Normal 15 4 5 3 3" xfId="51740" xr:uid="{00000000-0005-0000-0000-0000D8480000}"/>
    <cellStyle name="Normal 15 4 5 4" xfId="12929" xr:uid="{00000000-0005-0000-0000-0000D9480000}"/>
    <cellStyle name="Normal 15 4 5 4 2" xfId="51741" xr:uid="{00000000-0005-0000-0000-0000DA480000}"/>
    <cellStyle name="Normal 15 4 5 5" xfId="12930" xr:uid="{00000000-0005-0000-0000-0000DB480000}"/>
    <cellStyle name="Normal 15 4 5 6" xfId="12931" xr:uid="{00000000-0005-0000-0000-0000DC480000}"/>
    <cellStyle name="Normal 15 4 5 7" xfId="12932" xr:uid="{00000000-0005-0000-0000-0000DD480000}"/>
    <cellStyle name="Normal 15 4 6" xfId="12933" xr:uid="{00000000-0005-0000-0000-0000DE480000}"/>
    <cellStyle name="Normal 15 4 6 2" xfId="12934" xr:uid="{00000000-0005-0000-0000-0000DF480000}"/>
    <cellStyle name="Normal 15 4 6 2 2" xfId="51742" xr:uid="{00000000-0005-0000-0000-0000E0480000}"/>
    <cellStyle name="Normal 15 4 6 2 3" xfId="51743" xr:uid="{00000000-0005-0000-0000-0000E1480000}"/>
    <cellStyle name="Normal 15 4 6 3" xfId="12935" xr:uid="{00000000-0005-0000-0000-0000E2480000}"/>
    <cellStyle name="Normal 15 4 6 3 2" xfId="51744" xr:uid="{00000000-0005-0000-0000-0000E3480000}"/>
    <cellStyle name="Normal 15 4 6 4" xfId="12936" xr:uid="{00000000-0005-0000-0000-0000E4480000}"/>
    <cellStyle name="Normal 15 4 6 5" xfId="12937" xr:uid="{00000000-0005-0000-0000-0000E5480000}"/>
    <cellStyle name="Normal 15 4 6 6" xfId="12938" xr:uid="{00000000-0005-0000-0000-0000E6480000}"/>
    <cellStyle name="Normal 15 4 7" xfId="12939" xr:uid="{00000000-0005-0000-0000-0000E7480000}"/>
    <cellStyle name="Normal 15 4 7 2" xfId="51745" xr:uid="{00000000-0005-0000-0000-0000E8480000}"/>
    <cellStyle name="Normal 15 4 7 3" xfId="51746" xr:uid="{00000000-0005-0000-0000-0000E9480000}"/>
    <cellStyle name="Normal 15 4 8" xfId="12940" xr:uid="{00000000-0005-0000-0000-0000EA480000}"/>
    <cellStyle name="Normal 15 4 8 2" xfId="51747" xr:uid="{00000000-0005-0000-0000-0000EB480000}"/>
    <cellStyle name="Normal 15 4 9" xfId="12941" xr:uid="{00000000-0005-0000-0000-0000EC480000}"/>
    <cellStyle name="Normal 15 4 9 2" xfId="51748" xr:uid="{00000000-0005-0000-0000-0000ED480000}"/>
    <cellStyle name="Normal 15 5" xfId="12942" xr:uid="{00000000-0005-0000-0000-0000EE480000}"/>
    <cellStyle name="Normal 15 5 10" xfId="12943" xr:uid="{00000000-0005-0000-0000-0000EF480000}"/>
    <cellStyle name="Normal 15 5 11" xfId="12944" xr:uid="{00000000-0005-0000-0000-0000F0480000}"/>
    <cellStyle name="Normal 15 5 12" xfId="12945" xr:uid="{00000000-0005-0000-0000-0000F1480000}"/>
    <cellStyle name="Normal 15 5 13" xfId="12946" xr:uid="{00000000-0005-0000-0000-0000F2480000}"/>
    <cellStyle name="Normal 15 5 14" xfId="12947" xr:uid="{00000000-0005-0000-0000-0000F3480000}"/>
    <cellStyle name="Normal 15 5 15" xfId="12948" xr:uid="{00000000-0005-0000-0000-0000F4480000}"/>
    <cellStyle name="Normal 15 5 16" xfId="12949" xr:uid="{00000000-0005-0000-0000-0000F5480000}"/>
    <cellStyle name="Normal 15 5 2" xfId="12950" xr:uid="{00000000-0005-0000-0000-0000F6480000}"/>
    <cellStyle name="Normal 15 5 2 10" xfId="12951" xr:uid="{00000000-0005-0000-0000-0000F7480000}"/>
    <cellStyle name="Normal 15 5 2 11" xfId="12952" xr:uid="{00000000-0005-0000-0000-0000F8480000}"/>
    <cellStyle name="Normal 15 5 2 12" xfId="12953" xr:uid="{00000000-0005-0000-0000-0000F9480000}"/>
    <cellStyle name="Normal 15 5 2 13" xfId="12954" xr:uid="{00000000-0005-0000-0000-0000FA480000}"/>
    <cellStyle name="Normal 15 5 2 14" xfId="12955" xr:uid="{00000000-0005-0000-0000-0000FB480000}"/>
    <cellStyle name="Normal 15 5 2 2" xfId="12956" xr:uid="{00000000-0005-0000-0000-0000FC480000}"/>
    <cellStyle name="Normal 15 5 2 2 2" xfId="12957" xr:uid="{00000000-0005-0000-0000-0000FD480000}"/>
    <cellStyle name="Normal 15 5 2 2 2 2" xfId="12958" xr:uid="{00000000-0005-0000-0000-0000FE480000}"/>
    <cellStyle name="Normal 15 5 2 2 2 2 2" xfId="12959" xr:uid="{00000000-0005-0000-0000-0000FF480000}"/>
    <cellStyle name="Normal 15 5 2 2 2 2 2 2" xfId="51749" xr:uid="{00000000-0005-0000-0000-000000490000}"/>
    <cellStyle name="Normal 15 5 2 2 2 2 2 3" xfId="51750" xr:uid="{00000000-0005-0000-0000-000001490000}"/>
    <cellStyle name="Normal 15 5 2 2 2 2 3" xfId="12960" xr:uid="{00000000-0005-0000-0000-000002490000}"/>
    <cellStyle name="Normal 15 5 2 2 2 2 3 2" xfId="51751" xr:uid="{00000000-0005-0000-0000-000003490000}"/>
    <cellStyle name="Normal 15 5 2 2 2 2 4" xfId="12961" xr:uid="{00000000-0005-0000-0000-000004490000}"/>
    <cellStyle name="Normal 15 5 2 2 2 2 5" xfId="12962" xr:uid="{00000000-0005-0000-0000-000005490000}"/>
    <cellStyle name="Normal 15 5 2 2 2 2 6" xfId="12963" xr:uid="{00000000-0005-0000-0000-000006490000}"/>
    <cellStyle name="Normal 15 5 2 2 2 3" xfId="12964" xr:uid="{00000000-0005-0000-0000-000007490000}"/>
    <cellStyle name="Normal 15 5 2 2 2 3 2" xfId="51752" xr:uid="{00000000-0005-0000-0000-000008490000}"/>
    <cellStyle name="Normal 15 5 2 2 2 3 3" xfId="51753" xr:uid="{00000000-0005-0000-0000-000009490000}"/>
    <cellStyle name="Normal 15 5 2 2 2 4" xfId="12965" xr:uid="{00000000-0005-0000-0000-00000A490000}"/>
    <cellStyle name="Normal 15 5 2 2 2 4 2" xfId="51754" xr:uid="{00000000-0005-0000-0000-00000B490000}"/>
    <cellStyle name="Normal 15 5 2 2 2 5" xfId="12966" xr:uid="{00000000-0005-0000-0000-00000C490000}"/>
    <cellStyle name="Normal 15 5 2 2 2 6" xfId="12967" xr:uid="{00000000-0005-0000-0000-00000D490000}"/>
    <cellStyle name="Normal 15 5 2 2 2 7" xfId="12968" xr:uid="{00000000-0005-0000-0000-00000E490000}"/>
    <cellStyle name="Normal 15 5 2 2 3" xfId="12969" xr:uid="{00000000-0005-0000-0000-00000F490000}"/>
    <cellStyle name="Normal 15 5 2 2 3 2" xfId="12970" xr:uid="{00000000-0005-0000-0000-000010490000}"/>
    <cellStyle name="Normal 15 5 2 2 3 2 2" xfId="51755" xr:uid="{00000000-0005-0000-0000-000011490000}"/>
    <cellStyle name="Normal 15 5 2 2 3 2 3" xfId="51756" xr:uid="{00000000-0005-0000-0000-000012490000}"/>
    <cellStyle name="Normal 15 5 2 2 3 3" xfId="12971" xr:uid="{00000000-0005-0000-0000-000013490000}"/>
    <cellStyle name="Normal 15 5 2 2 3 3 2" xfId="51757" xr:uid="{00000000-0005-0000-0000-000014490000}"/>
    <cellStyle name="Normal 15 5 2 2 3 4" xfId="12972" xr:uid="{00000000-0005-0000-0000-000015490000}"/>
    <cellStyle name="Normal 15 5 2 2 3 5" xfId="12973" xr:uid="{00000000-0005-0000-0000-000016490000}"/>
    <cellStyle name="Normal 15 5 2 2 3 6" xfId="12974" xr:uid="{00000000-0005-0000-0000-000017490000}"/>
    <cellStyle name="Normal 15 5 2 2 4" xfId="12975" xr:uid="{00000000-0005-0000-0000-000018490000}"/>
    <cellStyle name="Normal 15 5 2 2 4 2" xfId="51758" xr:uid="{00000000-0005-0000-0000-000019490000}"/>
    <cellStyle name="Normal 15 5 2 2 4 3" xfId="51759" xr:uid="{00000000-0005-0000-0000-00001A490000}"/>
    <cellStyle name="Normal 15 5 2 2 5" xfId="12976" xr:uid="{00000000-0005-0000-0000-00001B490000}"/>
    <cellStyle name="Normal 15 5 2 2 5 2" xfId="51760" xr:uid="{00000000-0005-0000-0000-00001C490000}"/>
    <cellStyle name="Normal 15 5 2 2 6" xfId="12977" xr:uid="{00000000-0005-0000-0000-00001D490000}"/>
    <cellStyle name="Normal 15 5 2 2 7" xfId="12978" xr:uid="{00000000-0005-0000-0000-00001E490000}"/>
    <cellStyle name="Normal 15 5 2 2 8" xfId="12979" xr:uid="{00000000-0005-0000-0000-00001F490000}"/>
    <cellStyle name="Normal 15 5 2 2 9" xfId="12980" xr:uid="{00000000-0005-0000-0000-000020490000}"/>
    <cellStyle name="Normal 15 5 2 3" xfId="12981" xr:uid="{00000000-0005-0000-0000-000021490000}"/>
    <cellStyle name="Normal 15 5 2 3 2" xfId="12982" xr:uid="{00000000-0005-0000-0000-000022490000}"/>
    <cellStyle name="Normal 15 5 2 3 2 2" xfId="12983" xr:uid="{00000000-0005-0000-0000-000023490000}"/>
    <cellStyle name="Normal 15 5 2 3 2 2 2" xfId="12984" xr:uid="{00000000-0005-0000-0000-000024490000}"/>
    <cellStyle name="Normal 15 5 2 3 2 2 2 2" xfId="51761" xr:uid="{00000000-0005-0000-0000-000025490000}"/>
    <cellStyle name="Normal 15 5 2 3 2 2 2 3" xfId="51762" xr:uid="{00000000-0005-0000-0000-000026490000}"/>
    <cellStyle name="Normal 15 5 2 3 2 2 3" xfId="12985" xr:uid="{00000000-0005-0000-0000-000027490000}"/>
    <cellStyle name="Normal 15 5 2 3 2 2 3 2" xfId="51763" xr:uid="{00000000-0005-0000-0000-000028490000}"/>
    <cellStyle name="Normal 15 5 2 3 2 2 4" xfId="12986" xr:uid="{00000000-0005-0000-0000-000029490000}"/>
    <cellStyle name="Normal 15 5 2 3 2 2 5" xfId="12987" xr:uid="{00000000-0005-0000-0000-00002A490000}"/>
    <cellStyle name="Normal 15 5 2 3 2 2 6" xfId="12988" xr:uid="{00000000-0005-0000-0000-00002B490000}"/>
    <cellStyle name="Normal 15 5 2 3 2 3" xfId="12989" xr:uid="{00000000-0005-0000-0000-00002C490000}"/>
    <cellStyle name="Normal 15 5 2 3 2 3 2" xfId="51764" xr:uid="{00000000-0005-0000-0000-00002D490000}"/>
    <cellStyle name="Normal 15 5 2 3 2 3 3" xfId="51765" xr:uid="{00000000-0005-0000-0000-00002E490000}"/>
    <cellStyle name="Normal 15 5 2 3 2 4" xfId="12990" xr:uid="{00000000-0005-0000-0000-00002F490000}"/>
    <cellStyle name="Normal 15 5 2 3 2 4 2" xfId="51766" xr:uid="{00000000-0005-0000-0000-000030490000}"/>
    <cellStyle name="Normal 15 5 2 3 2 5" xfId="12991" xr:uid="{00000000-0005-0000-0000-000031490000}"/>
    <cellStyle name="Normal 15 5 2 3 2 6" xfId="12992" xr:uid="{00000000-0005-0000-0000-000032490000}"/>
    <cellStyle name="Normal 15 5 2 3 2 7" xfId="12993" xr:uid="{00000000-0005-0000-0000-000033490000}"/>
    <cellStyle name="Normal 15 5 2 3 3" xfId="12994" xr:uid="{00000000-0005-0000-0000-000034490000}"/>
    <cellStyle name="Normal 15 5 2 3 3 2" xfId="12995" xr:uid="{00000000-0005-0000-0000-000035490000}"/>
    <cellStyle name="Normal 15 5 2 3 3 2 2" xfId="51767" xr:uid="{00000000-0005-0000-0000-000036490000}"/>
    <cellStyle name="Normal 15 5 2 3 3 2 3" xfId="51768" xr:uid="{00000000-0005-0000-0000-000037490000}"/>
    <cellStyle name="Normal 15 5 2 3 3 3" xfId="12996" xr:uid="{00000000-0005-0000-0000-000038490000}"/>
    <cellStyle name="Normal 15 5 2 3 3 3 2" xfId="51769" xr:uid="{00000000-0005-0000-0000-000039490000}"/>
    <cellStyle name="Normal 15 5 2 3 3 4" xfId="12997" xr:uid="{00000000-0005-0000-0000-00003A490000}"/>
    <cellStyle name="Normal 15 5 2 3 3 5" xfId="12998" xr:uid="{00000000-0005-0000-0000-00003B490000}"/>
    <cellStyle name="Normal 15 5 2 3 3 6" xfId="12999" xr:uid="{00000000-0005-0000-0000-00003C490000}"/>
    <cellStyle name="Normal 15 5 2 3 4" xfId="13000" xr:uid="{00000000-0005-0000-0000-00003D490000}"/>
    <cellStyle name="Normal 15 5 2 3 4 2" xfId="51770" xr:uid="{00000000-0005-0000-0000-00003E490000}"/>
    <cellStyle name="Normal 15 5 2 3 4 3" xfId="51771" xr:uid="{00000000-0005-0000-0000-00003F490000}"/>
    <cellStyle name="Normal 15 5 2 3 5" xfId="13001" xr:uid="{00000000-0005-0000-0000-000040490000}"/>
    <cellStyle name="Normal 15 5 2 3 5 2" xfId="51772" xr:uid="{00000000-0005-0000-0000-000041490000}"/>
    <cellStyle name="Normal 15 5 2 3 6" xfId="13002" xr:uid="{00000000-0005-0000-0000-000042490000}"/>
    <cellStyle name="Normal 15 5 2 3 7" xfId="13003" xr:uid="{00000000-0005-0000-0000-000043490000}"/>
    <cellStyle name="Normal 15 5 2 3 8" xfId="13004" xr:uid="{00000000-0005-0000-0000-000044490000}"/>
    <cellStyle name="Normal 15 5 2 4" xfId="13005" xr:uid="{00000000-0005-0000-0000-000045490000}"/>
    <cellStyle name="Normal 15 5 2 4 2" xfId="13006" xr:uid="{00000000-0005-0000-0000-000046490000}"/>
    <cellStyle name="Normal 15 5 2 4 2 2" xfId="13007" xr:uid="{00000000-0005-0000-0000-000047490000}"/>
    <cellStyle name="Normal 15 5 2 4 2 2 2" xfId="51773" xr:uid="{00000000-0005-0000-0000-000048490000}"/>
    <cellStyle name="Normal 15 5 2 4 2 2 3" xfId="51774" xr:uid="{00000000-0005-0000-0000-000049490000}"/>
    <cellStyle name="Normal 15 5 2 4 2 3" xfId="13008" xr:uid="{00000000-0005-0000-0000-00004A490000}"/>
    <cellStyle name="Normal 15 5 2 4 2 3 2" xfId="51775" xr:uid="{00000000-0005-0000-0000-00004B490000}"/>
    <cellStyle name="Normal 15 5 2 4 2 4" xfId="13009" xr:uid="{00000000-0005-0000-0000-00004C490000}"/>
    <cellStyle name="Normal 15 5 2 4 2 5" xfId="13010" xr:uid="{00000000-0005-0000-0000-00004D490000}"/>
    <cellStyle name="Normal 15 5 2 4 2 6" xfId="13011" xr:uid="{00000000-0005-0000-0000-00004E490000}"/>
    <cellStyle name="Normal 15 5 2 4 3" xfId="13012" xr:uid="{00000000-0005-0000-0000-00004F490000}"/>
    <cellStyle name="Normal 15 5 2 4 3 2" xfId="51776" xr:uid="{00000000-0005-0000-0000-000050490000}"/>
    <cellStyle name="Normal 15 5 2 4 3 3" xfId="51777" xr:uid="{00000000-0005-0000-0000-000051490000}"/>
    <cellStyle name="Normal 15 5 2 4 4" xfId="13013" xr:uid="{00000000-0005-0000-0000-000052490000}"/>
    <cellStyle name="Normal 15 5 2 4 4 2" xfId="51778" xr:uid="{00000000-0005-0000-0000-000053490000}"/>
    <cellStyle name="Normal 15 5 2 4 5" xfId="13014" xr:uid="{00000000-0005-0000-0000-000054490000}"/>
    <cellStyle name="Normal 15 5 2 4 6" xfId="13015" xr:uid="{00000000-0005-0000-0000-000055490000}"/>
    <cellStyle name="Normal 15 5 2 4 7" xfId="13016" xr:uid="{00000000-0005-0000-0000-000056490000}"/>
    <cellStyle name="Normal 15 5 2 5" xfId="13017" xr:uid="{00000000-0005-0000-0000-000057490000}"/>
    <cellStyle name="Normal 15 5 2 5 2" xfId="13018" xr:uid="{00000000-0005-0000-0000-000058490000}"/>
    <cellStyle name="Normal 15 5 2 5 2 2" xfId="51779" xr:uid="{00000000-0005-0000-0000-000059490000}"/>
    <cellStyle name="Normal 15 5 2 5 2 3" xfId="51780" xr:uid="{00000000-0005-0000-0000-00005A490000}"/>
    <cellStyle name="Normal 15 5 2 5 3" xfId="13019" xr:uid="{00000000-0005-0000-0000-00005B490000}"/>
    <cellStyle name="Normal 15 5 2 5 3 2" xfId="51781" xr:uid="{00000000-0005-0000-0000-00005C490000}"/>
    <cellStyle name="Normal 15 5 2 5 4" xfId="13020" xr:uid="{00000000-0005-0000-0000-00005D490000}"/>
    <cellStyle name="Normal 15 5 2 5 5" xfId="13021" xr:uid="{00000000-0005-0000-0000-00005E490000}"/>
    <cellStyle name="Normal 15 5 2 5 6" xfId="13022" xr:uid="{00000000-0005-0000-0000-00005F490000}"/>
    <cellStyle name="Normal 15 5 2 6" xfId="13023" xr:uid="{00000000-0005-0000-0000-000060490000}"/>
    <cellStyle name="Normal 15 5 2 6 2" xfId="51782" xr:uid="{00000000-0005-0000-0000-000061490000}"/>
    <cellStyle name="Normal 15 5 2 6 3" xfId="51783" xr:uid="{00000000-0005-0000-0000-000062490000}"/>
    <cellStyle name="Normal 15 5 2 7" xfId="13024" xr:uid="{00000000-0005-0000-0000-000063490000}"/>
    <cellStyle name="Normal 15 5 2 7 2" xfId="51784" xr:uid="{00000000-0005-0000-0000-000064490000}"/>
    <cellStyle name="Normal 15 5 2 8" xfId="13025" xr:uid="{00000000-0005-0000-0000-000065490000}"/>
    <cellStyle name="Normal 15 5 2 9" xfId="13026" xr:uid="{00000000-0005-0000-0000-000066490000}"/>
    <cellStyle name="Normal 15 5 3" xfId="13027" xr:uid="{00000000-0005-0000-0000-000067490000}"/>
    <cellStyle name="Normal 15 5 3 2" xfId="13028" xr:uid="{00000000-0005-0000-0000-000068490000}"/>
    <cellStyle name="Normal 15 5 3 2 2" xfId="13029" xr:uid="{00000000-0005-0000-0000-000069490000}"/>
    <cellStyle name="Normal 15 5 3 2 2 2" xfId="13030" xr:uid="{00000000-0005-0000-0000-00006A490000}"/>
    <cellStyle name="Normal 15 5 3 2 2 2 2" xfId="51785" xr:uid="{00000000-0005-0000-0000-00006B490000}"/>
    <cellStyle name="Normal 15 5 3 2 2 2 3" xfId="51786" xr:uid="{00000000-0005-0000-0000-00006C490000}"/>
    <cellStyle name="Normal 15 5 3 2 2 3" xfId="13031" xr:uid="{00000000-0005-0000-0000-00006D490000}"/>
    <cellStyle name="Normal 15 5 3 2 2 3 2" xfId="51787" xr:uid="{00000000-0005-0000-0000-00006E490000}"/>
    <cellStyle name="Normal 15 5 3 2 2 4" xfId="13032" xr:uid="{00000000-0005-0000-0000-00006F490000}"/>
    <cellStyle name="Normal 15 5 3 2 2 5" xfId="13033" xr:uid="{00000000-0005-0000-0000-000070490000}"/>
    <cellStyle name="Normal 15 5 3 2 2 6" xfId="13034" xr:uid="{00000000-0005-0000-0000-000071490000}"/>
    <cellStyle name="Normal 15 5 3 2 3" xfId="13035" xr:uid="{00000000-0005-0000-0000-000072490000}"/>
    <cellStyle name="Normal 15 5 3 2 3 2" xfId="51788" xr:uid="{00000000-0005-0000-0000-000073490000}"/>
    <cellStyle name="Normal 15 5 3 2 3 3" xfId="51789" xr:uid="{00000000-0005-0000-0000-000074490000}"/>
    <cellStyle name="Normal 15 5 3 2 4" xfId="13036" xr:uid="{00000000-0005-0000-0000-000075490000}"/>
    <cellStyle name="Normal 15 5 3 2 4 2" xfId="51790" xr:uid="{00000000-0005-0000-0000-000076490000}"/>
    <cellStyle name="Normal 15 5 3 2 5" xfId="13037" xr:uid="{00000000-0005-0000-0000-000077490000}"/>
    <cellStyle name="Normal 15 5 3 2 6" xfId="13038" xr:uid="{00000000-0005-0000-0000-000078490000}"/>
    <cellStyle name="Normal 15 5 3 2 7" xfId="13039" xr:uid="{00000000-0005-0000-0000-000079490000}"/>
    <cellStyle name="Normal 15 5 3 3" xfId="13040" xr:uid="{00000000-0005-0000-0000-00007A490000}"/>
    <cellStyle name="Normal 15 5 3 3 2" xfId="13041" xr:uid="{00000000-0005-0000-0000-00007B490000}"/>
    <cellStyle name="Normal 15 5 3 3 2 2" xfId="51791" xr:uid="{00000000-0005-0000-0000-00007C490000}"/>
    <cellStyle name="Normal 15 5 3 3 2 3" xfId="51792" xr:uid="{00000000-0005-0000-0000-00007D490000}"/>
    <cellStyle name="Normal 15 5 3 3 3" xfId="13042" xr:uid="{00000000-0005-0000-0000-00007E490000}"/>
    <cellStyle name="Normal 15 5 3 3 3 2" xfId="51793" xr:uid="{00000000-0005-0000-0000-00007F490000}"/>
    <cellStyle name="Normal 15 5 3 3 4" xfId="13043" xr:uid="{00000000-0005-0000-0000-000080490000}"/>
    <cellStyle name="Normal 15 5 3 3 5" xfId="13044" xr:uid="{00000000-0005-0000-0000-000081490000}"/>
    <cellStyle name="Normal 15 5 3 3 6" xfId="13045" xr:uid="{00000000-0005-0000-0000-000082490000}"/>
    <cellStyle name="Normal 15 5 3 4" xfId="13046" xr:uid="{00000000-0005-0000-0000-000083490000}"/>
    <cellStyle name="Normal 15 5 3 4 2" xfId="51794" xr:uid="{00000000-0005-0000-0000-000084490000}"/>
    <cellStyle name="Normal 15 5 3 4 3" xfId="51795" xr:uid="{00000000-0005-0000-0000-000085490000}"/>
    <cellStyle name="Normal 15 5 3 5" xfId="13047" xr:uid="{00000000-0005-0000-0000-000086490000}"/>
    <cellStyle name="Normal 15 5 3 5 2" xfId="51796" xr:uid="{00000000-0005-0000-0000-000087490000}"/>
    <cellStyle name="Normal 15 5 3 6" xfId="13048" xr:uid="{00000000-0005-0000-0000-000088490000}"/>
    <cellStyle name="Normal 15 5 3 7" xfId="13049" xr:uid="{00000000-0005-0000-0000-000089490000}"/>
    <cellStyle name="Normal 15 5 3 8" xfId="13050" xr:uid="{00000000-0005-0000-0000-00008A490000}"/>
    <cellStyle name="Normal 15 5 3 9" xfId="13051" xr:uid="{00000000-0005-0000-0000-00008B490000}"/>
    <cellStyle name="Normal 15 5 4" xfId="13052" xr:uid="{00000000-0005-0000-0000-00008C490000}"/>
    <cellStyle name="Normal 15 5 4 2" xfId="13053" xr:uid="{00000000-0005-0000-0000-00008D490000}"/>
    <cellStyle name="Normal 15 5 4 2 2" xfId="13054" xr:uid="{00000000-0005-0000-0000-00008E490000}"/>
    <cellStyle name="Normal 15 5 4 2 2 2" xfId="13055" xr:uid="{00000000-0005-0000-0000-00008F490000}"/>
    <cellStyle name="Normal 15 5 4 2 2 2 2" xfId="51797" xr:uid="{00000000-0005-0000-0000-000090490000}"/>
    <cellStyle name="Normal 15 5 4 2 2 2 3" xfId="51798" xr:uid="{00000000-0005-0000-0000-000091490000}"/>
    <cellStyle name="Normal 15 5 4 2 2 3" xfId="13056" xr:uid="{00000000-0005-0000-0000-000092490000}"/>
    <cellStyle name="Normal 15 5 4 2 2 3 2" xfId="51799" xr:uid="{00000000-0005-0000-0000-000093490000}"/>
    <cellStyle name="Normal 15 5 4 2 2 4" xfId="13057" xr:uid="{00000000-0005-0000-0000-000094490000}"/>
    <cellStyle name="Normal 15 5 4 2 2 5" xfId="13058" xr:uid="{00000000-0005-0000-0000-000095490000}"/>
    <cellStyle name="Normal 15 5 4 2 2 6" xfId="13059" xr:uid="{00000000-0005-0000-0000-000096490000}"/>
    <cellStyle name="Normal 15 5 4 2 3" xfId="13060" xr:uid="{00000000-0005-0000-0000-000097490000}"/>
    <cellStyle name="Normal 15 5 4 2 3 2" xfId="51800" xr:uid="{00000000-0005-0000-0000-000098490000}"/>
    <cellStyle name="Normal 15 5 4 2 3 3" xfId="51801" xr:uid="{00000000-0005-0000-0000-000099490000}"/>
    <cellStyle name="Normal 15 5 4 2 4" xfId="13061" xr:uid="{00000000-0005-0000-0000-00009A490000}"/>
    <cellStyle name="Normal 15 5 4 2 4 2" xfId="51802" xr:uid="{00000000-0005-0000-0000-00009B490000}"/>
    <cellStyle name="Normal 15 5 4 2 5" xfId="13062" xr:uid="{00000000-0005-0000-0000-00009C490000}"/>
    <cellStyle name="Normal 15 5 4 2 6" xfId="13063" xr:uid="{00000000-0005-0000-0000-00009D490000}"/>
    <cellStyle name="Normal 15 5 4 2 7" xfId="13064" xr:uid="{00000000-0005-0000-0000-00009E490000}"/>
    <cellStyle name="Normal 15 5 4 3" xfId="13065" xr:uid="{00000000-0005-0000-0000-00009F490000}"/>
    <cellStyle name="Normal 15 5 4 3 2" xfId="13066" xr:uid="{00000000-0005-0000-0000-0000A0490000}"/>
    <cellStyle name="Normal 15 5 4 3 2 2" xfId="51803" xr:uid="{00000000-0005-0000-0000-0000A1490000}"/>
    <cellStyle name="Normal 15 5 4 3 2 3" xfId="51804" xr:uid="{00000000-0005-0000-0000-0000A2490000}"/>
    <cellStyle name="Normal 15 5 4 3 3" xfId="13067" xr:uid="{00000000-0005-0000-0000-0000A3490000}"/>
    <cellStyle name="Normal 15 5 4 3 3 2" xfId="51805" xr:uid="{00000000-0005-0000-0000-0000A4490000}"/>
    <cellStyle name="Normal 15 5 4 3 4" xfId="13068" xr:uid="{00000000-0005-0000-0000-0000A5490000}"/>
    <cellStyle name="Normal 15 5 4 3 5" xfId="13069" xr:uid="{00000000-0005-0000-0000-0000A6490000}"/>
    <cellStyle name="Normal 15 5 4 3 6" xfId="13070" xr:uid="{00000000-0005-0000-0000-0000A7490000}"/>
    <cellStyle name="Normal 15 5 4 4" xfId="13071" xr:uid="{00000000-0005-0000-0000-0000A8490000}"/>
    <cellStyle name="Normal 15 5 4 4 2" xfId="51806" xr:uid="{00000000-0005-0000-0000-0000A9490000}"/>
    <cellStyle name="Normal 15 5 4 4 3" xfId="51807" xr:uid="{00000000-0005-0000-0000-0000AA490000}"/>
    <cellStyle name="Normal 15 5 4 5" xfId="13072" xr:uid="{00000000-0005-0000-0000-0000AB490000}"/>
    <cellStyle name="Normal 15 5 4 5 2" xfId="51808" xr:uid="{00000000-0005-0000-0000-0000AC490000}"/>
    <cellStyle name="Normal 15 5 4 6" xfId="13073" xr:uid="{00000000-0005-0000-0000-0000AD490000}"/>
    <cellStyle name="Normal 15 5 4 7" xfId="13074" xr:uid="{00000000-0005-0000-0000-0000AE490000}"/>
    <cellStyle name="Normal 15 5 4 8" xfId="13075" xr:uid="{00000000-0005-0000-0000-0000AF490000}"/>
    <cellStyle name="Normal 15 5 5" xfId="13076" xr:uid="{00000000-0005-0000-0000-0000B0490000}"/>
    <cellStyle name="Normal 15 5 5 2" xfId="13077" xr:uid="{00000000-0005-0000-0000-0000B1490000}"/>
    <cellStyle name="Normal 15 5 5 2 2" xfId="13078" xr:uid="{00000000-0005-0000-0000-0000B2490000}"/>
    <cellStyle name="Normal 15 5 5 2 2 2" xfId="51809" xr:uid="{00000000-0005-0000-0000-0000B3490000}"/>
    <cellStyle name="Normal 15 5 5 2 2 3" xfId="51810" xr:uid="{00000000-0005-0000-0000-0000B4490000}"/>
    <cellStyle name="Normal 15 5 5 2 3" xfId="13079" xr:uid="{00000000-0005-0000-0000-0000B5490000}"/>
    <cellStyle name="Normal 15 5 5 2 3 2" xfId="51811" xr:uid="{00000000-0005-0000-0000-0000B6490000}"/>
    <cellStyle name="Normal 15 5 5 2 4" xfId="13080" xr:uid="{00000000-0005-0000-0000-0000B7490000}"/>
    <cellStyle name="Normal 15 5 5 2 5" xfId="13081" xr:uid="{00000000-0005-0000-0000-0000B8490000}"/>
    <cellStyle name="Normal 15 5 5 2 6" xfId="13082" xr:uid="{00000000-0005-0000-0000-0000B9490000}"/>
    <cellStyle name="Normal 15 5 5 3" xfId="13083" xr:uid="{00000000-0005-0000-0000-0000BA490000}"/>
    <cellStyle name="Normal 15 5 5 3 2" xfId="51812" xr:uid="{00000000-0005-0000-0000-0000BB490000}"/>
    <cellStyle name="Normal 15 5 5 3 3" xfId="51813" xr:uid="{00000000-0005-0000-0000-0000BC490000}"/>
    <cellStyle name="Normal 15 5 5 4" xfId="13084" xr:uid="{00000000-0005-0000-0000-0000BD490000}"/>
    <cellStyle name="Normal 15 5 5 4 2" xfId="51814" xr:uid="{00000000-0005-0000-0000-0000BE490000}"/>
    <cellStyle name="Normal 15 5 5 5" xfId="13085" xr:uid="{00000000-0005-0000-0000-0000BF490000}"/>
    <cellStyle name="Normal 15 5 5 6" xfId="13086" xr:uid="{00000000-0005-0000-0000-0000C0490000}"/>
    <cellStyle name="Normal 15 5 5 7" xfId="13087" xr:uid="{00000000-0005-0000-0000-0000C1490000}"/>
    <cellStyle name="Normal 15 5 6" xfId="13088" xr:uid="{00000000-0005-0000-0000-0000C2490000}"/>
    <cellStyle name="Normal 15 5 6 2" xfId="13089" xr:uid="{00000000-0005-0000-0000-0000C3490000}"/>
    <cellStyle name="Normal 15 5 6 2 2" xfId="51815" xr:uid="{00000000-0005-0000-0000-0000C4490000}"/>
    <cellStyle name="Normal 15 5 6 2 3" xfId="51816" xr:uid="{00000000-0005-0000-0000-0000C5490000}"/>
    <cellStyle name="Normal 15 5 6 3" xfId="13090" xr:uid="{00000000-0005-0000-0000-0000C6490000}"/>
    <cellStyle name="Normal 15 5 6 3 2" xfId="51817" xr:uid="{00000000-0005-0000-0000-0000C7490000}"/>
    <cellStyle name="Normal 15 5 6 4" xfId="13091" xr:uid="{00000000-0005-0000-0000-0000C8490000}"/>
    <cellStyle name="Normal 15 5 6 5" xfId="13092" xr:uid="{00000000-0005-0000-0000-0000C9490000}"/>
    <cellStyle name="Normal 15 5 6 6" xfId="13093" xr:uid="{00000000-0005-0000-0000-0000CA490000}"/>
    <cellStyle name="Normal 15 5 7" xfId="13094" xr:uid="{00000000-0005-0000-0000-0000CB490000}"/>
    <cellStyle name="Normal 15 5 7 2" xfId="51818" xr:uid="{00000000-0005-0000-0000-0000CC490000}"/>
    <cellStyle name="Normal 15 5 7 3" xfId="51819" xr:uid="{00000000-0005-0000-0000-0000CD490000}"/>
    <cellStyle name="Normal 15 5 8" xfId="13095" xr:uid="{00000000-0005-0000-0000-0000CE490000}"/>
    <cellStyle name="Normal 15 5 8 2" xfId="51820" xr:uid="{00000000-0005-0000-0000-0000CF490000}"/>
    <cellStyle name="Normal 15 5 9" xfId="13096" xr:uid="{00000000-0005-0000-0000-0000D0490000}"/>
    <cellStyle name="Normal 15 5 9 2" xfId="51821" xr:uid="{00000000-0005-0000-0000-0000D1490000}"/>
    <cellStyle name="Normal 15 6" xfId="13097" xr:uid="{00000000-0005-0000-0000-0000D2490000}"/>
    <cellStyle name="Normal 15 6 10" xfId="13098" xr:uid="{00000000-0005-0000-0000-0000D3490000}"/>
    <cellStyle name="Normal 15 6 11" xfId="13099" xr:uid="{00000000-0005-0000-0000-0000D4490000}"/>
    <cellStyle name="Normal 15 6 12" xfId="13100" xr:uid="{00000000-0005-0000-0000-0000D5490000}"/>
    <cellStyle name="Normal 15 6 13" xfId="13101" xr:uid="{00000000-0005-0000-0000-0000D6490000}"/>
    <cellStyle name="Normal 15 6 14" xfId="13102" xr:uid="{00000000-0005-0000-0000-0000D7490000}"/>
    <cellStyle name="Normal 15 6 15" xfId="13103" xr:uid="{00000000-0005-0000-0000-0000D8490000}"/>
    <cellStyle name="Normal 15 6 2" xfId="13104" xr:uid="{00000000-0005-0000-0000-0000D9490000}"/>
    <cellStyle name="Normal 15 6 2 2" xfId="13105" xr:uid="{00000000-0005-0000-0000-0000DA490000}"/>
    <cellStyle name="Normal 15 6 2 2 2" xfId="13106" xr:uid="{00000000-0005-0000-0000-0000DB490000}"/>
    <cellStyle name="Normal 15 6 2 2 2 2" xfId="13107" xr:uid="{00000000-0005-0000-0000-0000DC490000}"/>
    <cellStyle name="Normal 15 6 2 2 2 2 2" xfId="51822" xr:uid="{00000000-0005-0000-0000-0000DD490000}"/>
    <cellStyle name="Normal 15 6 2 2 2 2 3" xfId="51823" xr:uid="{00000000-0005-0000-0000-0000DE490000}"/>
    <cellStyle name="Normal 15 6 2 2 2 3" xfId="13108" xr:uid="{00000000-0005-0000-0000-0000DF490000}"/>
    <cellStyle name="Normal 15 6 2 2 2 3 2" xfId="51824" xr:uid="{00000000-0005-0000-0000-0000E0490000}"/>
    <cellStyle name="Normal 15 6 2 2 2 4" xfId="13109" xr:uid="{00000000-0005-0000-0000-0000E1490000}"/>
    <cellStyle name="Normal 15 6 2 2 2 5" xfId="13110" xr:uid="{00000000-0005-0000-0000-0000E2490000}"/>
    <cellStyle name="Normal 15 6 2 2 2 6" xfId="13111" xr:uid="{00000000-0005-0000-0000-0000E3490000}"/>
    <cellStyle name="Normal 15 6 2 2 3" xfId="13112" xr:uid="{00000000-0005-0000-0000-0000E4490000}"/>
    <cellStyle name="Normal 15 6 2 2 3 2" xfId="51825" xr:uid="{00000000-0005-0000-0000-0000E5490000}"/>
    <cellStyle name="Normal 15 6 2 2 3 3" xfId="51826" xr:uid="{00000000-0005-0000-0000-0000E6490000}"/>
    <cellStyle name="Normal 15 6 2 2 4" xfId="13113" xr:uid="{00000000-0005-0000-0000-0000E7490000}"/>
    <cellStyle name="Normal 15 6 2 2 4 2" xfId="51827" xr:uid="{00000000-0005-0000-0000-0000E8490000}"/>
    <cellStyle name="Normal 15 6 2 2 5" xfId="13114" xr:uid="{00000000-0005-0000-0000-0000E9490000}"/>
    <cellStyle name="Normal 15 6 2 2 6" xfId="13115" xr:uid="{00000000-0005-0000-0000-0000EA490000}"/>
    <cellStyle name="Normal 15 6 2 2 7" xfId="13116" xr:uid="{00000000-0005-0000-0000-0000EB490000}"/>
    <cellStyle name="Normal 15 6 2 3" xfId="13117" xr:uid="{00000000-0005-0000-0000-0000EC490000}"/>
    <cellStyle name="Normal 15 6 2 3 2" xfId="13118" xr:uid="{00000000-0005-0000-0000-0000ED490000}"/>
    <cellStyle name="Normal 15 6 2 3 2 2" xfId="51828" xr:uid="{00000000-0005-0000-0000-0000EE490000}"/>
    <cellStyle name="Normal 15 6 2 3 2 3" xfId="51829" xr:uid="{00000000-0005-0000-0000-0000EF490000}"/>
    <cellStyle name="Normal 15 6 2 3 3" xfId="13119" xr:uid="{00000000-0005-0000-0000-0000F0490000}"/>
    <cellStyle name="Normal 15 6 2 3 3 2" xfId="51830" xr:uid="{00000000-0005-0000-0000-0000F1490000}"/>
    <cellStyle name="Normal 15 6 2 3 4" xfId="13120" xr:uid="{00000000-0005-0000-0000-0000F2490000}"/>
    <cellStyle name="Normal 15 6 2 3 5" xfId="13121" xr:uid="{00000000-0005-0000-0000-0000F3490000}"/>
    <cellStyle name="Normal 15 6 2 3 6" xfId="13122" xr:uid="{00000000-0005-0000-0000-0000F4490000}"/>
    <cellStyle name="Normal 15 6 2 4" xfId="13123" xr:uid="{00000000-0005-0000-0000-0000F5490000}"/>
    <cellStyle name="Normal 15 6 2 4 2" xfId="51831" xr:uid="{00000000-0005-0000-0000-0000F6490000}"/>
    <cellStyle name="Normal 15 6 2 4 3" xfId="51832" xr:uid="{00000000-0005-0000-0000-0000F7490000}"/>
    <cellStyle name="Normal 15 6 2 5" xfId="13124" xr:uid="{00000000-0005-0000-0000-0000F8490000}"/>
    <cellStyle name="Normal 15 6 2 5 2" xfId="51833" xr:uid="{00000000-0005-0000-0000-0000F9490000}"/>
    <cellStyle name="Normal 15 6 2 6" xfId="13125" xr:uid="{00000000-0005-0000-0000-0000FA490000}"/>
    <cellStyle name="Normal 15 6 2 7" xfId="13126" xr:uid="{00000000-0005-0000-0000-0000FB490000}"/>
    <cellStyle name="Normal 15 6 2 8" xfId="13127" xr:uid="{00000000-0005-0000-0000-0000FC490000}"/>
    <cellStyle name="Normal 15 6 2 9" xfId="13128" xr:uid="{00000000-0005-0000-0000-0000FD490000}"/>
    <cellStyle name="Normal 15 6 3" xfId="13129" xr:uid="{00000000-0005-0000-0000-0000FE490000}"/>
    <cellStyle name="Normal 15 6 3 2" xfId="13130" xr:uid="{00000000-0005-0000-0000-0000FF490000}"/>
    <cellStyle name="Normal 15 6 3 2 2" xfId="13131" xr:uid="{00000000-0005-0000-0000-0000004A0000}"/>
    <cellStyle name="Normal 15 6 3 2 2 2" xfId="13132" xr:uid="{00000000-0005-0000-0000-0000014A0000}"/>
    <cellStyle name="Normal 15 6 3 2 2 2 2" xfId="51834" xr:uid="{00000000-0005-0000-0000-0000024A0000}"/>
    <cellStyle name="Normal 15 6 3 2 2 2 3" xfId="51835" xr:uid="{00000000-0005-0000-0000-0000034A0000}"/>
    <cellStyle name="Normal 15 6 3 2 2 3" xfId="13133" xr:uid="{00000000-0005-0000-0000-0000044A0000}"/>
    <cellStyle name="Normal 15 6 3 2 2 3 2" xfId="51836" xr:uid="{00000000-0005-0000-0000-0000054A0000}"/>
    <cellStyle name="Normal 15 6 3 2 2 4" xfId="13134" xr:uid="{00000000-0005-0000-0000-0000064A0000}"/>
    <cellStyle name="Normal 15 6 3 2 2 5" xfId="13135" xr:uid="{00000000-0005-0000-0000-0000074A0000}"/>
    <cellStyle name="Normal 15 6 3 2 2 6" xfId="13136" xr:uid="{00000000-0005-0000-0000-0000084A0000}"/>
    <cellStyle name="Normal 15 6 3 2 3" xfId="13137" xr:uid="{00000000-0005-0000-0000-0000094A0000}"/>
    <cellStyle name="Normal 15 6 3 2 3 2" xfId="51837" xr:uid="{00000000-0005-0000-0000-00000A4A0000}"/>
    <cellStyle name="Normal 15 6 3 2 3 3" xfId="51838" xr:uid="{00000000-0005-0000-0000-00000B4A0000}"/>
    <cellStyle name="Normal 15 6 3 2 4" xfId="13138" xr:uid="{00000000-0005-0000-0000-00000C4A0000}"/>
    <cellStyle name="Normal 15 6 3 2 4 2" xfId="51839" xr:uid="{00000000-0005-0000-0000-00000D4A0000}"/>
    <cellStyle name="Normal 15 6 3 2 5" xfId="13139" xr:uid="{00000000-0005-0000-0000-00000E4A0000}"/>
    <cellStyle name="Normal 15 6 3 2 6" xfId="13140" xr:uid="{00000000-0005-0000-0000-00000F4A0000}"/>
    <cellStyle name="Normal 15 6 3 2 7" xfId="13141" xr:uid="{00000000-0005-0000-0000-0000104A0000}"/>
    <cellStyle name="Normal 15 6 3 3" xfId="13142" xr:uid="{00000000-0005-0000-0000-0000114A0000}"/>
    <cellStyle name="Normal 15 6 3 3 2" xfId="13143" xr:uid="{00000000-0005-0000-0000-0000124A0000}"/>
    <cellStyle name="Normal 15 6 3 3 2 2" xfId="51840" xr:uid="{00000000-0005-0000-0000-0000134A0000}"/>
    <cellStyle name="Normal 15 6 3 3 2 3" xfId="51841" xr:uid="{00000000-0005-0000-0000-0000144A0000}"/>
    <cellStyle name="Normal 15 6 3 3 3" xfId="13144" xr:uid="{00000000-0005-0000-0000-0000154A0000}"/>
    <cellStyle name="Normal 15 6 3 3 3 2" xfId="51842" xr:uid="{00000000-0005-0000-0000-0000164A0000}"/>
    <cellStyle name="Normal 15 6 3 3 4" xfId="13145" xr:uid="{00000000-0005-0000-0000-0000174A0000}"/>
    <cellStyle name="Normal 15 6 3 3 5" xfId="13146" xr:uid="{00000000-0005-0000-0000-0000184A0000}"/>
    <cellStyle name="Normal 15 6 3 3 6" xfId="13147" xr:uid="{00000000-0005-0000-0000-0000194A0000}"/>
    <cellStyle name="Normal 15 6 3 4" xfId="13148" xr:uid="{00000000-0005-0000-0000-00001A4A0000}"/>
    <cellStyle name="Normal 15 6 3 4 2" xfId="51843" xr:uid="{00000000-0005-0000-0000-00001B4A0000}"/>
    <cellStyle name="Normal 15 6 3 4 3" xfId="51844" xr:uid="{00000000-0005-0000-0000-00001C4A0000}"/>
    <cellStyle name="Normal 15 6 3 5" xfId="13149" xr:uid="{00000000-0005-0000-0000-00001D4A0000}"/>
    <cellStyle name="Normal 15 6 3 5 2" xfId="51845" xr:uid="{00000000-0005-0000-0000-00001E4A0000}"/>
    <cellStyle name="Normal 15 6 3 6" xfId="13150" xr:uid="{00000000-0005-0000-0000-00001F4A0000}"/>
    <cellStyle name="Normal 15 6 3 7" xfId="13151" xr:uid="{00000000-0005-0000-0000-0000204A0000}"/>
    <cellStyle name="Normal 15 6 3 8" xfId="13152" xr:uid="{00000000-0005-0000-0000-0000214A0000}"/>
    <cellStyle name="Normal 15 6 4" xfId="13153" xr:uid="{00000000-0005-0000-0000-0000224A0000}"/>
    <cellStyle name="Normal 15 6 4 2" xfId="13154" xr:uid="{00000000-0005-0000-0000-0000234A0000}"/>
    <cellStyle name="Normal 15 6 4 2 2" xfId="13155" xr:uid="{00000000-0005-0000-0000-0000244A0000}"/>
    <cellStyle name="Normal 15 6 4 2 2 2" xfId="51846" xr:uid="{00000000-0005-0000-0000-0000254A0000}"/>
    <cellStyle name="Normal 15 6 4 2 2 3" xfId="51847" xr:uid="{00000000-0005-0000-0000-0000264A0000}"/>
    <cellStyle name="Normal 15 6 4 2 3" xfId="13156" xr:uid="{00000000-0005-0000-0000-0000274A0000}"/>
    <cellStyle name="Normal 15 6 4 2 3 2" xfId="51848" xr:uid="{00000000-0005-0000-0000-0000284A0000}"/>
    <cellStyle name="Normal 15 6 4 2 4" xfId="13157" xr:uid="{00000000-0005-0000-0000-0000294A0000}"/>
    <cellStyle name="Normal 15 6 4 2 5" xfId="13158" xr:uid="{00000000-0005-0000-0000-00002A4A0000}"/>
    <cellStyle name="Normal 15 6 4 2 6" xfId="13159" xr:uid="{00000000-0005-0000-0000-00002B4A0000}"/>
    <cellStyle name="Normal 15 6 4 3" xfId="13160" xr:uid="{00000000-0005-0000-0000-00002C4A0000}"/>
    <cellStyle name="Normal 15 6 4 3 2" xfId="51849" xr:uid="{00000000-0005-0000-0000-00002D4A0000}"/>
    <cellStyle name="Normal 15 6 4 3 3" xfId="51850" xr:uid="{00000000-0005-0000-0000-00002E4A0000}"/>
    <cellStyle name="Normal 15 6 4 4" xfId="13161" xr:uid="{00000000-0005-0000-0000-00002F4A0000}"/>
    <cellStyle name="Normal 15 6 4 4 2" xfId="51851" xr:uid="{00000000-0005-0000-0000-0000304A0000}"/>
    <cellStyle name="Normal 15 6 4 5" xfId="13162" xr:uid="{00000000-0005-0000-0000-0000314A0000}"/>
    <cellStyle name="Normal 15 6 4 6" xfId="13163" xr:uid="{00000000-0005-0000-0000-0000324A0000}"/>
    <cellStyle name="Normal 15 6 4 7" xfId="13164" xr:uid="{00000000-0005-0000-0000-0000334A0000}"/>
    <cellStyle name="Normal 15 6 5" xfId="13165" xr:uid="{00000000-0005-0000-0000-0000344A0000}"/>
    <cellStyle name="Normal 15 6 5 2" xfId="13166" xr:uid="{00000000-0005-0000-0000-0000354A0000}"/>
    <cellStyle name="Normal 15 6 5 2 2" xfId="51852" xr:uid="{00000000-0005-0000-0000-0000364A0000}"/>
    <cellStyle name="Normal 15 6 5 2 3" xfId="51853" xr:uid="{00000000-0005-0000-0000-0000374A0000}"/>
    <cellStyle name="Normal 15 6 5 3" xfId="13167" xr:uid="{00000000-0005-0000-0000-0000384A0000}"/>
    <cellStyle name="Normal 15 6 5 3 2" xfId="51854" xr:uid="{00000000-0005-0000-0000-0000394A0000}"/>
    <cellStyle name="Normal 15 6 5 4" xfId="13168" xr:uid="{00000000-0005-0000-0000-00003A4A0000}"/>
    <cellStyle name="Normal 15 6 5 5" xfId="13169" xr:uid="{00000000-0005-0000-0000-00003B4A0000}"/>
    <cellStyle name="Normal 15 6 5 6" xfId="13170" xr:uid="{00000000-0005-0000-0000-00003C4A0000}"/>
    <cellStyle name="Normal 15 6 6" xfId="13171" xr:uid="{00000000-0005-0000-0000-00003D4A0000}"/>
    <cellStyle name="Normal 15 6 6 2" xfId="51855" xr:uid="{00000000-0005-0000-0000-00003E4A0000}"/>
    <cellStyle name="Normal 15 6 6 3" xfId="51856" xr:uid="{00000000-0005-0000-0000-00003F4A0000}"/>
    <cellStyle name="Normal 15 6 7" xfId="13172" xr:uid="{00000000-0005-0000-0000-0000404A0000}"/>
    <cellStyle name="Normal 15 6 7 2" xfId="51857" xr:uid="{00000000-0005-0000-0000-0000414A0000}"/>
    <cellStyle name="Normal 15 6 8" xfId="13173" xr:uid="{00000000-0005-0000-0000-0000424A0000}"/>
    <cellStyle name="Normal 15 6 9" xfId="13174" xr:uid="{00000000-0005-0000-0000-0000434A0000}"/>
    <cellStyle name="Normal 15 7" xfId="13175" xr:uid="{00000000-0005-0000-0000-0000444A0000}"/>
    <cellStyle name="Normal 15 7 10" xfId="13176" xr:uid="{00000000-0005-0000-0000-0000454A0000}"/>
    <cellStyle name="Normal 15 7 11" xfId="13177" xr:uid="{00000000-0005-0000-0000-0000464A0000}"/>
    <cellStyle name="Normal 15 7 12" xfId="13178" xr:uid="{00000000-0005-0000-0000-0000474A0000}"/>
    <cellStyle name="Normal 15 7 13" xfId="13179" xr:uid="{00000000-0005-0000-0000-0000484A0000}"/>
    <cellStyle name="Normal 15 7 14" xfId="13180" xr:uid="{00000000-0005-0000-0000-0000494A0000}"/>
    <cellStyle name="Normal 15 7 2" xfId="13181" xr:uid="{00000000-0005-0000-0000-00004A4A0000}"/>
    <cellStyle name="Normal 15 7 2 2" xfId="13182" xr:uid="{00000000-0005-0000-0000-00004B4A0000}"/>
    <cellStyle name="Normal 15 7 2 2 2" xfId="13183" xr:uid="{00000000-0005-0000-0000-00004C4A0000}"/>
    <cellStyle name="Normal 15 7 2 2 2 2" xfId="13184" xr:uid="{00000000-0005-0000-0000-00004D4A0000}"/>
    <cellStyle name="Normal 15 7 2 2 2 2 2" xfId="51858" xr:uid="{00000000-0005-0000-0000-00004E4A0000}"/>
    <cellStyle name="Normal 15 7 2 2 2 2 3" xfId="51859" xr:uid="{00000000-0005-0000-0000-00004F4A0000}"/>
    <cellStyle name="Normal 15 7 2 2 2 3" xfId="13185" xr:uid="{00000000-0005-0000-0000-0000504A0000}"/>
    <cellStyle name="Normal 15 7 2 2 2 3 2" xfId="51860" xr:uid="{00000000-0005-0000-0000-0000514A0000}"/>
    <cellStyle name="Normal 15 7 2 2 2 4" xfId="13186" xr:uid="{00000000-0005-0000-0000-0000524A0000}"/>
    <cellStyle name="Normal 15 7 2 2 2 5" xfId="13187" xr:uid="{00000000-0005-0000-0000-0000534A0000}"/>
    <cellStyle name="Normal 15 7 2 2 2 6" xfId="13188" xr:uid="{00000000-0005-0000-0000-0000544A0000}"/>
    <cellStyle name="Normal 15 7 2 2 3" xfId="13189" xr:uid="{00000000-0005-0000-0000-0000554A0000}"/>
    <cellStyle name="Normal 15 7 2 2 3 2" xfId="51861" xr:uid="{00000000-0005-0000-0000-0000564A0000}"/>
    <cellStyle name="Normal 15 7 2 2 3 3" xfId="51862" xr:uid="{00000000-0005-0000-0000-0000574A0000}"/>
    <cellStyle name="Normal 15 7 2 2 4" xfId="13190" xr:uid="{00000000-0005-0000-0000-0000584A0000}"/>
    <cellStyle name="Normal 15 7 2 2 4 2" xfId="51863" xr:uid="{00000000-0005-0000-0000-0000594A0000}"/>
    <cellStyle name="Normal 15 7 2 2 5" xfId="13191" xr:uid="{00000000-0005-0000-0000-00005A4A0000}"/>
    <cellStyle name="Normal 15 7 2 2 6" xfId="13192" xr:uid="{00000000-0005-0000-0000-00005B4A0000}"/>
    <cellStyle name="Normal 15 7 2 2 7" xfId="13193" xr:uid="{00000000-0005-0000-0000-00005C4A0000}"/>
    <cellStyle name="Normal 15 7 2 3" xfId="13194" xr:uid="{00000000-0005-0000-0000-00005D4A0000}"/>
    <cellStyle name="Normal 15 7 2 3 2" xfId="13195" xr:uid="{00000000-0005-0000-0000-00005E4A0000}"/>
    <cellStyle name="Normal 15 7 2 3 2 2" xfId="51864" xr:uid="{00000000-0005-0000-0000-00005F4A0000}"/>
    <cellStyle name="Normal 15 7 2 3 2 3" xfId="51865" xr:uid="{00000000-0005-0000-0000-0000604A0000}"/>
    <cellStyle name="Normal 15 7 2 3 3" xfId="13196" xr:uid="{00000000-0005-0000-0000-0000614A0000}"/>
    <cellStyle name="Normal 15 7 2 3 3 2" xfId="51866" xr:uid="{00000000-0005-0000-0000-0000624A0000}"/>
    <cellStyle name="Normal 15 7 2 3 4" xfId="13197" xr:uid="{00000000-0005-0000-0000-0000634A0000}"/>
    <cellStyle name="Normal 15 7 2 3 5" xfId="13198" xr:uid="{00000000-0005-0000-0000-0000644A0000}"/>
    <cellStyle name="Normal 15 7 2 3 6" xfId="13199" xr:uid="{00000000-0005-0000-0000-0000654A0000}"/>
    <cellStyle name="Normal 15 7 2 4" xfId="13200" xr:uid="{00000000-0005-0000-0000-0000664A0000}"/>
    <cellStyle name="Normal 15 7 2 4 2" xfId="51867" xr:uid="{00000000-0005-0000-0000-0000674A0000}"/>
    <cellStyle name="Normal 15 7 2 4 3" xfId="51868" xr:uid="{00000000-0005-0000-0000-0000684A0000}"/>
    <cellStyle name="Normal 15 7 2 5" xfId="13201" xr:uid="{00000000-0005-0000-0000-0000694A0000}"/>
    <cellStyle name="Normal 15 7 2 5 2" xfId="51869" xr:uid="{00000000-0005-0000-0000-00006A4A0000}"/>
    <cellStyle name="Normal 15 7 2 6" xfId="13202" xr:uid="{00000000-0005-0000-0000-00006B4A0000}"/>
    <cellStyle name="Normal 15 7 2 7" xfId="13203" xr:uid="{00000000-0005-0000-0000-00006C4A0000}"/>
    <cellStyle name="Normal 15 7 2 8" xfId="13204" xr:uid="{00000000-0005-0000-0000-00006D4A0000}"/>
    <cellStyle name="Normal 15 7 2 9" xfId="13205" xr:uid="{00000000-0005-0000-0000-00006E4A0000}"/>
    <cellStyle name="Normal 15 7 3" xfId="13206" xr:uid="{00000000-0005-0000-0000-00006F4A0000}"/>
    <cellStyle name="Normal 15 7 3 2" xfId="13207" xr:uid="{00000000-0005-0000-0000-0000704A0000}"/>
    <cellStyle name="Normal 15 7 3 2 2" xfId="13208" xr:uid="{00000000-0005-0000-0000-0000714A0000}"/>
    <cellStyle name="Normal 15 7 3 2 2 2" xfId="13209" xr:uid="{00000000-0005-0000-0000-0000724A0000}"/>
    <cellStyle name="Normal 15 7 3 2 2 2 2" xfId="51870" xr:uid="{00000000-0005-0000-0000-0000734A0000}"/>
    <cellStyle name="Normal 15 7 3 2 2 2 3" xfId="51871" xr:uid="{00000000-0005-0000-0000-0000744A0000}"/>
    <cellStyle name="Normal 15 7 3 2 2 3" xfId="13210" xr:uid="{00000000-0005-0000-0000-0000754A0000}"/>
    <cellStyle name="Normal 15 7 3 2 2 3 2" xfId="51872" xr:uid="{00000000-0005-0000-0000-0000764A0000}"/>
    <cellStyle name="Normal 15 7 3 2 2 4" xfId="13211" xr:uid="{00000000-0005-0000-0000-0000774A0000}"/>
    <cellStyle name="Normal 15 7 3 2 2 5" xfId="13212" xr:uid="{00000000-0005-0000-0000-0000784A0000}"/>
    <cellStyle name="Normal 15 7 3 2 2 6" xfId="13213" xr:uid="{00000000-0005-0000-0000-0000794A0000}"/>
    <cellStyle name="Normal 15 7 3 2 3" xfId="13214" xr:uid="{00000000-0005-0000-0000-00007A4A0000}"/>
    <cellStyle name="Normal 15 7 3 2 3 2" xfId="51873" xr:uid="{00000000-0005-0000-0000-00007B4A0000}"/>
    <cellStyle name="Normal 15 7 3 2 3 3" xfId="51874" xr:uid="{00000000-0005-0000-0000-00007C4A0000}"/>
    <cellStyle name="Normal 15 7 3 2 4" xfId="13215" xr:uid="{00000000-0005-0000-0000-00007D4A0000}"/>
    <cellStyle name="Normal 15 7 3 2 4 2" xfId="51875" xr:uid="{00000000-0005-0000-0000-00007E4A0000}"/>
    <cellStyle name="Normal 15 7 3 2 5" xfId="13216" xr:uid="{00000000-0005-0000-0000-00007F4A0000}"/>
    <cellStyle name="Normal 15 7 3 2 6" xfId="13217" xr:uid="{00000000-0005-0000-0000-0000804A0000}"/>
    <cellStyle name="Normal 15 7 3 2 7" xfId="13218" xr:uid="{00000000-0005-0000-0000-0000814A0000}"/>
    <cellStyle name="Normal 15 7 3 3" xfId="13219" xr:uid="{00000000-0005-0000-0000-0000824A0000}"/>
    <cellStyle name="Normal 15 7 3 3 2" xfId="13220" xr:uid="{00000000-0005-0000-0000-0000834A0000}"/>
    <cellStyle name="Normal 15 7 3 3 2 2" xfId="51876" xr:uid="{00000000-0005-0000-0000-0000844A0000}"/>
    <cellStyle name="Normal 15 7 3 3 2 3" xfId="51877" xr:uid="{00000000-0005-0000-0000-0000854A0000}"/>
    <cellStyle name="Normal 15 7 3 3 3" xfId="13221" xr:uid="{00000000-0005-0000-0000-0000864A0000}"/>
    <cellStyle name="Normal 15 7 3 3 3 2" xfId="51878" xr:uid="{00000000-0005-0000-0000-0000874A0000}"/>
    <cellStyle name="Normal 15 7 3 3 4" xfId="13222" xr:uid="{00000000-0005-0000-0000-0000884A0000}"/>
    <cellStyle name="Normal 15 7 3 3 5" xfId="13223" xr:uid="{00000000-0005-0000-0000-0000894A0000}"/>
    <cellStyle name="Normal 15 7 3 3 6" xfId="13224" xr:uid="{00000000-0005-0000-0000-00008A4A0000}"/>
    <cellStyle name="Normal 15 7 3 4" xfId="13225" xr:uid="{00000000-0005-0000-0000-00008B4A0000}"/>
    <cellStyle name="Normal 15 7 3 4 2" xfId="51879" xr:uid="{00000000-0005-0000-0000-00008C4A0000}"/>
    <cellStyle name="Normal 15 7 3 4 3" xfId="51880" xr:uid="{00000000-0005-0000-0000-00008D4A0000}"/>
    <cellStyle name="Normal 15 7 3 5" xfId="13226" xr:uid="{00000000-0005-0000-0000-00008E4A0000}"/>
    <cellStyle name="Normal 15 7 3 5 2" xfId="51881" xr:uid="{00000000-0005-0000-0000-00008F4A0000}"/>
    <cellStyle name="Normal 15 7 3 6" xfId="13227" xr:uid="{00000000-0005-0000-0000-0000904A0000}"/>
    <cellStyle name="Normal 15 7 3 7" xfId="13228" xr:uid="{00000000-0005-0000-0000-0000914A0000}"/>
    <cellStyle name="Normal 15 7 3 8" xfId="13229" xr:uid="{00000000-0005-0000-0000-0000924A0000}"/>
    <cellStyle name="Normal 15 7 4" xfId="13230" xr:uid="{00000000-0005-0000-0000-0000934A0000}"/>
    <cellStyle name="Normal 15 7 4 2" xfId="13231" xr:uid="{00000000-0005-0000-0000-0000944A0000}"/>
    <cellStyle name="Normal 15 7 4 2 2" xfId="13232" xr:uid="{00000000-0005-0000-0000-0000954A0000}"/>
    <cellStyle name="Normal 15 7 4 2 2 2" xfId="51882" xr:uid="{00000000-0005-0000-0000-0000964A0000}"/>
    <cellStyle name="Normal 15 7 4 2 2 3" xfId="51883" xr:uid="{00000000-0005-0000-0000-0000974A0000}"/>
    <cellStyle name="Normal 15 7 4 2 3" xfId="13233" xr:uid="{00000000-0005-0000-0000-0000984A0000}"/>
    <cellStyle name="Normal 15 7 4 2 3 2" xfId="51884" xr:uid="{00000000-0005-0000-0000-0000994A0000}"/>
    <cellStyle name="Normal 15 7 4 2 4" xfId="13234" xr:uid="{00000000-0005-0000-0000-00009A4A0000}"/>
    <cellStyle name="Normal 15 7 4 2 5" xfId="13235" xr:uid="{00000000-0005-0000-0000-00009B4A0000}"/>
    <cellStyle name="Normal 15 7 4 2 6" xfId="13236" xr:uid="{00000000-0005-0000-0000-00009C4A0000}"/>
    <cellStyle name="Normal 15 7 4 3" xfId="13237" xr:uid="{00000000-0005-0000-0000-00009D4A0000}"/>
    <cellStyle name="Normal 15 7 4 3 2" xfId="51885" xr:uid="{00000000-0005-0000-0000-00009E4A0000}"/>
    <cellStyle name="Normal 15 7 4 3 3" xfId="51886" xr:uid="{00000000-0005-0000-0000-00009F4A0000}"/>
    <cellStyle name="Normal 15 7 4 4" xfId="13238" xr:uid="{00000000-0005-0000-0000-0000A04A0000}"/>
    <cellStyle name="Normal 15 7 4 4 2" xfId="51887" xr:uid="{00000000-0005-0000-0000-0000A14A0000}"/>
    <cellStyle name="Normal 15 7 4 5" xfId="13239" xr:uid="{00000000-0005-0000-0000-0000A24A0000}"/>
    <cellStyle name="Normal 15 7 4 6" xfId="13240" xr:uid="{00000000-0005-0000-0000-0000A34A0000}"/>
    <cellStyle name="Normal 15 7 4 7" xfId="13241" xr:uid="{00000000-0005-0000-0000-0000A44A0000}"/>
    <cellStyle name="Normal 15 7 5" xfId="13242" xr:uid="{00000000-0005-0000-0000-0000A54A0000}"/>
    <cellStyle name="Normal 15 7 5 2" xfId="13243" xr:uid="{00000000-0005-0000-0000-0000A64A0000}"/>
    <cellStyle name="Normal 15 7 5 2 2" xfId="51888" xr:uid="{00000000-0005-0000-0000-0000A74A0000}"/>
    <cellStyle name="Normal 15 7 5 2 3" xfId="51889" xr:uid="{00000000-0005-0000-0000-0000A84A0000}"/>
    <cellStyle name="Normal 15 7 5 3" xfId="13244" xr:uid="{00000000-0005-0000-0000-0000A94A0000}"/>
    <cellStyle name="Normal 15 7 5 3 2" xfId="51890" xr:uid="{00000000-0005-0000-0000-0000AA4A0000}"/>
    <cellStyle name="Normal 15 7 5 4" xfId="13245" xr:uid="{00000000-0005-0000-0000-0000AB4A0000}"/>
    <cellStyle name="Normal 15 7 5 5" xfId="13246" xr:uid="{00000000-0005-0000-0000-0000AC4A0000}"/>
    <cellStyle name="Normal 15 7 5 6" xfId="13247" xr:uid="{00000000-0005-0000-0000-0000AD4A0000}"/>
    <cellStyle name="Normal 15 7 6" xfId="13248" xr:uid="{00000000-0005-0000-0000-0000AE4A0000}"/>
    <cellStyle name="Normal 15 7 6 2" xfId="51891" xr:uid="{00000000-0005-0000-0000-0000AF4A0000}"/>
    <cellStyle name="Normal 15 7 6 3" xfId="51892" xr:uid="{00000000-0005-0000-0000-0000B04A0000}"/>
    <cellStyle name="Normal 15 7 7" xfId="13249" xr:uid="{00000000-0005-0000-0000-0000B14A0000}"/>
    <cellStyle name="Normal 15 7 7 2" xfId="51893" xr:uid="{00000000-0005-0000-0000-0000B24A0000}"/>
    <cellStyle name="Normal 15 7 8" xfId="13250" xr:uid="{00000000-0005-0000-0000-0000B34A0000}"/>
    <cellStyle name="Normal 15 7 9" xfId="13251" xr:uid="{00000000-0005-0000-0000-0000B44A0000}"/>
    <cellStyle name="Normal 15 8" xfId="13252" xr:uid="{00000000-0005-0000-0000-0000B54A0000}"/>
    <cellStyle name="Normal 15 8 10" xfId="13253" xr:uid="{00000000-0005-0000-0000-0000B64A0000}"/>
    <cellStyle name="Normal 15 8 11" xfId="13254" xr:uid="{00000000-0005-0000-0000-0000B74A0000}"/>
    <cellStyle name="Normal 15 8 12" xfId="13255" xr:uid="{00000000-0005-0000-0000-0000B84A0000}"/>
    <cellStyle name="Normal 15 8 13" xfId="13256" xr:uid="{00000000-0005-0000-0000-0000B94A0000}"/>
    <cellStyle name="Normal 15 8 2" xfId="13257" xr:uid="{00000000-0005-0000-0000-0000BA4A0000}"/>
    <cellStyle name="Normal 15 8 2 2" xfId="13258" xr:uid="{00000000-0005-0000-0000-0000BB4A0000}"/>
    <cellStyle name="Normal 15 8 2 2 2" xfId="13259" xr:uid="{00000000-0005-0000-0000-0000BC4A0000}"/>
    <cellStyle name="Normal 15 8 2 2 2 2" xfId="13260" xr:uid="{00000000-0005-0000-0000-0000BD4A0000}"/>
    <cellStyle name="Normal 15 8 2 2 2 2 2" xfId="51894" xr:uid="{00000000-0005-0000-0000-0000BE4A0000}"/>
    <cellStyle name="Normal 15 8 2 2 2 2 3" xfId="51895" xr:uid="{00000000-0005-0000-0000-0000BF4A0000}"/>
    <cellStyle name="Normal 15 8 2 2 2 3" xfId="13261" xr:uid="{00000000-0005-0000-0000-0000C04A0000}"/>
    <cellStyle name="Normal 15 8 2 2 2 3 2" xfId="51896" xr:uid="{00000000-0005-0000-0000-0000C14A0000}"/>
    <cellStyle name="Normal 15 8 2 2 2 4" xfId="13262" xr:uid="{00000000-0005-0000-0000-0000C24A0000}"/>
    <cellStyle name="Normal 15 8 2 2 2 5" xfId="13263" xr:uid="{00000000-0005-0000-0000-0000C34A0000}"/>
    <cellStyle name="Normal 15 8 2 2 2 6" xfId="13264" xr:uid="{00000000-0005-0000-0000-0000C44A0000}"/>
    <cellStyle name="Normal 15 8 2 2 3" xfId="13265" xr:uid="{00000000-0005-0000-0000-0000C54A0000}"/>
    <cellStyle name="Normal 15 8 2 2 3 2" xfId="51897" xr:uid="{00000000-0005-0000-0000-0000C64A0000}"/>
    <cellStyle name="Normal 15 8 2 2 3 3" xfId="51898" xr:uid="{00000000-0005-0000-0000-0000C74A0000}"/>
    <cellStyle name="Normal 15 8 2 2 4" xfId="13266" xr:uid="{00000000-0005-0000-0000-0000C84A0000}"/>
    <cellStyle name="Normal 15 8 2 2 4 2" xfId="51899" xr:uid="{00000000-0005-0000-0000-0000C94A0000}"/>
    <cellStyle name="Normal 15 8 2 2 5" xfId="13267" xr:uid="{00000000-0005-0000-0000-0000CA4A0000}"/>
    <cellStyle name="Normal 15 8 2 2 6" xfId="13268" xr:uid="{00000000-0005-0000-0000-0000CB4A0000}"/>
    <cellStyle name="Normal 15 8 2 2 7" xfId="13269" xr:uid="{00000000-0005-0000-0000-0000CC4A0000}"/>
    <cellStyle name="Normal 15 8 2 3" xfId="13270" xr:uid="{00000000-0005-0000-0000-0000CD4A0000}"/>
    <cellStyle name="Normal 15 8 2 3 2" xfId="13271" xr:uid="{00000000-0005-0000-0000-0000CE4A0000}"/>
    <cellStyle name="Normal 15 8 2 3 2 2" xfId="51900" xr:uid="{00000000-0005-0000-0000-0000CF4A0000}"/>
    <cellStyle name="Normal 15 8 2 3 2 3" xfId="51901" xr:uid="{00000000-0005-0000-0000-0000D04A0000}"/>
    <cellStyle name="Normal 15 8 2 3 3" xfId="13272" xr:uid="{00000000-0005-0000-0000-0000D14A0000}"/>
    <cellStyle name="Normal 15 8 2 3 3 2" xfId="51902" xr:uid="{00000000-0005-0000-0000-0000D24A0000}"/>
    <cellStyle name="Normal 15 8 2 3 4" xfId="13273" xr:uid="{00000000-0005-0000-0000-0000D34A0000}"/>
    <cellStyle name="Normal 15 8 2 3 5" xfId="13274" xr:uid="{00000000-0005-0000-0000-0000D44A0000}"/>
    <cellStyle name="Normal 15 8 2 3 6" xfId="13275" xr:uid="{00000000-0005-0000-0000-0000D54A0000}"/>
    <cellStyle name="Normal 15 8 2 4" xfId="13276" xr:uid="{00000000-0005-0000-0000-0000D64A0000}"/>
    <cellStyle name="Normal 15 8 2 4 2" xfId="51903" xr:uid="{00000000-0005-0000-0000-0000D74A0000}"/>
    <cellStyle name="Normal 15 8 2 4 3" xfId="51904" xr:uid="{00000000-0005-0000-0000-0000D84A0000}"/>
    <cellStyle name="Normal 15 8 2 5" xfId="13277" xr:uid="{00000000-0005-0000-0000-0000D94A0000}"/>
    <cellStyle name="Normal 15 8 2 5 2" xfId="51905" xr:uid="{00000000-0005-0000-0000-0000DA4A0000}"/>
    <cellStyle name="Normal 15 8 2 6" xfId="13278" xr:uid="{00000000-0005-0000-0000-0000DB4A0000}"/>
    <cellStyle name="Normal 15 8 2 7" xfId="13279" xr:uid="{00000000-0005-0000-0000-0000DC4A0000}"/>
    <cellStyle name="Normal 15 8 2 8" xfId="13280" xr:uid="{00000000-0005-0000-0000-0000DD4A0000}"/>
    <cellStyle name="Normal 15 8 2 9" xfId="13281" xr:uid="{00000000-0005-0000-0000-0000DE4A0000}"/>
    <cellStyle name="Normal 15 8 3" xfId="13282" xr:uid="{00000000-0005-0000-0000-0000DF4A0000}"/>
    <cellStyle name="Normal 15 8 3 2" xfId="13283" xr:uid="{00000000-0005-0000-0000-0000E04A0000}"/>
    <cellStyle name="Normal 15 8 3 2 2" xfId="13284" xr:uid="{00000000-0005-0000-0000-0000E14A0000}"/>
    <cellStyle name="Normal 15 8 3 2 2 2" xfId="51906" xr:uid="{00000000-0005-0000-0000-0000E24A0000}"/>
    <cellStyle name="Normal 15 8 3 2 2 3" xfId="51907" xr:uid="{00000000-0005-0000-0000-0000E34A0000}"/>
    <cellStyle name="Normal 15 8 3 2 3" xfId="13285" xr:uid="{00000000-0005-0000-0000-0000E44A0000}"/>
    <cellStyle name="Normal 15 8 3 2 3 2" xfId="51908" xr:uid="{00000000-0005-0000-0000-0000E54A0000}"/>
    <cellStyle name="Normal 15 8 3 2 4" xfId="13286" xr:uid="{00000000-0005-0000-0000-0000E64A0000}"/>
    <cellStyle name="Normal 15 8 3 2 5" xfId="13287" xr:uid="{00000000-0005-0000-0000-0000E74A0000}"/>
    <cellStyle name="Normal 15 8 3 2 6" xfId="13288" xr:uid="{00000000-0005-0000-0000-0000E84A0000}"/>
    <cellStyle name="Normal 15 8 3 3" xfId="13289" xr:uid="{00000000-0005-0000-0000-0000E94A0000}"/>
    <cellStyle name="Normal 15 8 3 3 2" xfId="51909" xr:uid="{00000000-0005-0000-0000-0000EA4A0000}"/>
    <cellStyle name="Normal 15 8 3 3 3" xfId="51910" xr:uid="{00000000-0005-0000-0000-0000EB4A0000}"/>
    <cellStyle name="Normal 15 8 3 4" xfId="13290" xr:uid="{00000000-0005-0000-0000-0000EC4A0000}"/>
    <cellStyle name="Normal 15 8 3 4 2" xfId="51911" xr:uid="{00000000-0005-0000-0000-0000ED4A0000}"/>
    <cellStyle name="Normal 15 8 3 5" xfId="13291" xr:uid="{00000000-0005-0000-0000-0000EE4A0000}"/>
    <cellStyle name="Normal 15 8 3 6" xfId="13292" xr:uid="{00000000-0005-0000-0000-0000EF4A0000}"/>
    <cellStyle name="Normal 15 8 3 7" xfId="13293" xr:uid="{00000000-0005-0000-0000-0000F04A0000}"/>
    <cellStyle name="Normal 15 8 4" xfId="13294" xr:uid="{00000000-0005-0000-0000-0000F14A0000}"/>
    <cellStyle name="Normal 15 8 4 2" xfId="13295" xr:uid="{00000000-0005-0000-0000-0000F24A0000}"/>
    <cellStyle name="Normal 15 8 4 2 2" xfId="51912" xr:uid="{00000000-0005-0000-0000-0000F34A0000}"/>
    <cellStyle name="Normal 15 8 4 2 3" xfId="51913" xr:uid="{00000000-0005-0000-0000-0000F44A0000}"/>
    <cellStyle name="Normal 15 8 4 3" xfId="13296" xr:uid="{00000000-0005-0000-0000-0000F54A0000}"/>
    <cellStyle name="Normal 15 8 4 3 2" xfId="51914" xr:uid="{00000000-0005-0000-0000-0000F64A0000}"/>
    <cellStyle name="Normal 15 8 4 4" xfId="13297" xr:uid="{00000000-0005-0000-0000-0000F74A0000}"/>
    <cellStyle name="Normal 15 8 4 5" xfId="13298" xr:uid="{00000000-0005-0000-0000-0000F84A0000}"/>
    <cellStyle name="Normal 15 8 4 6" xfId="13299" xr:uid="{00000000-0005-0000-0000-0000F94A0000}"/>
    <cellStyle name="Normal 15 8 5" xfId="13300" xr:uid="{00000000-0005-0000-0000-0000FA4A0000}"/>
    <cellStyle name="Normal 15 8 5 2" xfId="51915" xr:uid="{00000000-0005-0000-0000-0000FB4A0000}"/>
    <cellStyle name="Normal 15 8 5 3" xfId="51916" xr:uid="{00000000-0005-0000-0000-0000FC4A0000}"/>
    <cellStyle name="Normal 15 8 6" xfId="13301" xr:uid="{00000000-0005-0000-0000-0000FD4A0000}"/>
    <cellStyle name="Normal 15 8 6 2" xfId="51917" xr:uid="{00000000-0005-0000-0000-0000FE4A0000}"/>
    <cellStyle name="Normal 15 8 7" xfId="13302" xr:uid="{00000000-0005-0000-0000-0000FF4A0000}"/>
    <cellStyle name="Normal 15 8 8" xfId="13303" xr:uid="{00000000-0005-0000-0000-0000004B0000}"/>
    <cellStyle name="Normal 15 8 9" xfId="13304" xr:uid="{00000000-0005-0000-0000-0000014B0000}"/>
    <cellStyle name="Normal 15 9" xfId="13305" xr:uid="{00000000-0005-0000-0000-0000024B0000}"/>
    <cellStyle name="Normal 15 9 2" xfId="13306" xr:uid="{00000000-0005-0000-0000-0000034B0000}"/>
    <cellStyle name="Normal 15 9 2 2" xfId="13307" xr:uid="{00000000-0005-0000-0000-0000044B0000}"/>
    <cellStyle name="Normal 15 9 2 2 2" xfId="13308" xr:uid="{00000000-0005-0000-0000-0000054B0000}"/>
    <cellStyle name="Normal 15 9 2 2 2 2" xfId="51918" xr:uid="{00000000-0005-0000-0000-0000064B0000}"/>
    <cellStyle name="Normal 15 9 2 2 2 3" xfId="51919" xr:uid="{00000000-0005-0000-0000-0000074B0000}"/>
    <cellStyle name="Normal 15 9 2 2 3" xfId="13309" xr:uid="{00000000-0005-0000-0000-0000084B0000}"/>
    <cellStyle name="Normal 15 9 2 2 3 2" xfId="51920" xr:uid="{00000000-0005-0000-0000-0000094B0000}"/>
    <cellStyle name="Normal 15 9 2 2 4" xfId="13310" xr:uid="{00000000-0005-0000-0000-00000A4B0000}"/>
    <cellStyle name="Normal 15 9 2 2 5" xfId="13311" xr:uid="{00000000-0005-0000-0000-00000B4B0000}"/>
    <cellStyle name="Normal 15 9 2 2 6" xfId="13312" xr:uid="{00000000-0005-0000-0000-00000C4B0000}"/>
    <cellStyle name="Normal 15 9 2 3" xfId="13313" xr:uid="{00000000-0005-0000-0000-00000D4B0000}"/>
    <cellStyle name="Normal 15 9 2 3 2" xfId="51921" xr:uid="{00000000-0005-0000-0000-00000E4B0000}"/>
    <cellStyle name="Normal 15 9 2 3 3" xfId="51922" xr:uid="{00000000-0005-0000-0000-00000F4B0000}"/>
    <cellStyle name="Normal 15 9 2 4" xfId="13314" xr:uid="{00000000-0005-0000-0000-0000104B0000}"/>
    <cellStyle name="Normal 15 9 2 4 2" xfId="51923" xr:uid="{00000000-0005-0000-0000-0000114B0000}"/>
    <cellStyle name="Normal 15 9 2 5" xfId="13315" xr:uid="{00000000-0005-0000-0000-0000124B0000}"/>
    <cellStyle name="Normal 15 9 2 6" xfId="13316" xr:uid="{00000000-0005-0000-0000-0000134B0000}"/>
    <cellStyle name="Normal 15 9 2 7" xfId="13317" xr:uid="{00000000-0005-0000-0000-0000144B0000}"/>
    <cellStyle name="Normal 15 9 3" xfId="13318" xr:uid="{00000000-0005-0000-0000-0000154B0000}"/>
    <cellStyle name="Normal 15 9 3 2" xfId="13319" xr:uid="{00000000-0005-0000-0000-0000164B0000}"/>
    <cellStyle name="Normal 15 9 3 2 2" xfId="51924" xr:uid="{00000000-0005-0000-0000-0000174B0000}"/>
    <cellStyle name="Normal 15 9 3 2 3" xfId="51925" xr:uid="{00000000-0005-0000-0000-0000184B0000}"/>
    <cellStyle name="Normal 15 9 3 3" xfId="13320" xr:uid="{00000000-0005-0000-0000-0000194B0000}"/>
    <cellStyle name="Normal 15 9 3 3 2" xfId="51926" xr:uid="{00000000-0005-0000-0000-00001A4B0000}"/>
    <cellStyle name="Normal 15 9 3 4" xfId="13321" xr:uid="{00000000-0005-0000-0000-00001B4B0000}"/>
    <cellStyle name="Normal 15 9 3 5" xfId="13322" xr:uid="{00000000-0005-0000-0000-00001C4B0000}"/>
    <cellStyle name="Normal 15 9 3 6" xfId="13323" xr:uid="{00000000-0005-0000-0000-00001D4B0000}"/>
    <cellStyle name="Normal 15 9 4" xfId="13324" xr:uid="{00000000-0005-0000-0000-00001E4B0000}"/>
    <cellStyle name="Normal 15 9 4 2" xfId="51927" xr:uid="{00000000-0005-0000-0000-00001F4B0000}"/>
    <cellStyle name="Normal 15 9 4 3" xfId="51928" xr:uid="{00000000-0005-0000-0000-0000204B0000}"/>
    <cellStyle name="Normal 15 9 5" xfId="13325" xr:uid="{00000000-0005-0000-0000-0000214B0000}"/>
    <cellStyle name="Normal 15 9 5 2" xfId="51929" xr:uid="{00000000-0005-0000-0000-0000224B0000}"/>
    <cellStyle name="Normal 15 9 6" xfId="13326" xr:uid="{00000000-0005-0000-0000-0000234B0000}"/>
    <cellStyle name="Normal 15 9 7" xfId="13327" xr:uid="{00000000-0005-0000-0000-0000244B0000}"/>
    <cellStyle name="Normal 15 9 8" xfId="13328" xr:uid="{00000000-0005-0000-0000-0000254B0000}"/>
    <cellStyle name="Normal 15 9 9" xfId="13329" xr:uid="{00000000-0005-0000-0000-0000264B0000}"/>
    <cellStyle name="Normal 16" xfId="13330" xr:uid="{00000000-0005-0000-0000-0000274B0000}"/>
    <cellStyle name="Normal 16 2" xfId="13331" xr:uid="{00000000-0005-0000-0000-0000284B0000}"/>
    <cellStyle name="Normal 16 2 2" xfId="13332" xr:uid="{00000000-0005-0000-0000-0000294B0000}"/>
    <cellStyle name="Normal 16 2 3" xfId="13333" xr:uid="{00000000-0005-0000-0000-00002A4B0000}"/>
    <cellStyle name="Normal 16 2 4" xfId="13334" xr:uid="{00000000-0005-0000-0000-00002B4B0000}"/>
    <cellStyle name="Normal 16 3" xfId="13335" xr:uid="{00000000-0005-0000-0000-00002C4B0000}"/>
    <cellStyle name="Normal 16 4" xfId="13336" xr:uid="{00000000-0005-0000-0000-00002D4B0000}"/>
    <cellStyle name="Normal 16 5" xfId="13337" xr:uid="{00000000-0005-0000-0000-00002E4B0000}"/>
    <cellStyle name="Normal 17" xfId="13338" xr:uid="{00000000-0005-0000-0000-00002F4B0000}"/>
    <cellStyle name="Normal 17 2" xfId="13339" xr:uid="{00000000-0005-0000-0000-0000304B0000}"/>
    <cellStyle name="Normal 17 2 2" xfId="13340" xr:uid="{00000000-0005-0000-0000-0000314B0000}"/>
    <cellStyle name="Normal 17 2 3" xfId="13341" xr:uid="{00000000-0005-0000-0000-0000324B0000}"/>
    <cellStyle name="Normal 17 2 4" xfId="13342" xr:uid="{00000000-0005-0000-0000-0000334B0000}"/>
    <cellStyle name="Normal 17 3" xfId="13343" xr:uid="{00000000-0005-0000-0000-0000344B0000}"/>
    <cellStyle name="Normal 17 4" xfId="13344" xr:uid="{00000000-0005-0000-0000-0000354B0000}"/>
    <cellStyle name="Normal 17 5" xfId="13345" xr:uid="{00000000-0005-0000-0000-0000364B0000}"/>
    <cellStyle name="Normal 18" xfId="13346" xr:uid="{00000000-0005-0000-0000-0000374B0000}"/>
    <cellStyle name="Normal 18 2" xfId="13347" xr:uid="{00000000-0005-0000-0000-0000384B0000}"/>
    <cellStyle name="Normal 18 2 2" xfId="13348" xr:uid="{00000000-0005-0000-0000-0000394B0000}"/>
    <cellStyle name="Normal 18 2 3" xfId="13349" xr:uid="{00000000-0005-0000-0000-00003A4B0000}"/>
    <cellStyle name="Normal 18 3" xfId="13350" xr:uid="{00000000-0005-0000-0000-00003B4B0000}"/>
    <cellStyle name="Normal 18 3 2" xfId="13351" xr:uid="{00000000-0005-0000-0000-00003C4B0000}"/>
    <cellStyle name="Normal 18 3 3" xfId="13352" xr:uid="{00000000-0005-0000-0000-00003D4B0000}"/>
    <cellStyle name="Normal 18 3 3 2" xfId="13353" xr:uid="{00000000-0005-0000-0000-00003E4B0000}"/>
    <cellStyle name="Normal 18 3 4" xfId="13354" xr:uid="{00000000-0005-0000-0000-00003F4B0000}"/>
    <cellStyle name="Normal 18 3 5" xfId="13355" xr:uid="{00000000-0005-0000-0000-0000404B0000}"/>
    <cellStyle name="Normal 18 4" xfId="13356" xr:uid="{00000000-0005-0000-0000-0000414B0000}"/>
    <cellStyle name="Normal 18 5" xfId="13357" xr:uid="{00000000-0005-0000-0000-0000424B0000}"/>
    <cellStyle name="Normal 19" xfId="13358" xr:uid="{00000000-0005-0000-0000-0000434B0000}"/>
    <cellStyle name="Normal 19 2" xfId="13359" xr:uid="{00000000-0005-0000-0000-0000444B0000}"/>
    <cellStyle name="Normal 19 2 2" xfId="13360" xr:uid="{00000000-0005-0000-0000-0000454B0000}"/>
    <cellStyle name="Normal 19 2 3" xfId="13361" xr:uid="{00000000-0005-0000-0000-0000464B0000}"/>
    <cellStyle name="Normal 19 2 4" xfId="13362" xr:uid="{00000000-0005-0000-0000-0000474B0000}"/>
    <cellStyle name="Normal 19 3" xfId="13363" xr:uid="{00000000-0005-0000-0000-0000484B0000}"/>
    <cellStyle name="Normal 19 3 2" xfId="13364" xr:uid="{00000000-0005-0000-0000-0000494B0000}"/>
    <cellStyle name="Normal 19 3 3" xfId="13365" xr:uid="{00000000-0005-0000-0000-00004A4B0000}"/>
    <cellStyle name="Normal 19 4" xfId="13366" xr:uid="{00000000-0005-0000-0000-00004B4B0000}"/>
    <cellStyle name="Normal 19 4 2" xfId="13367" xr:uid="{00000000-0005-0000-0000-00004C4B0000}"/>
    <cellStyle name="Normal 19 5" xfId="13368" xr:uid="{00000000-0005-0000-0000-00004D4B0000}"/>
    <cellStyle name="Normal 2" xfId="13369" xr:uid="{00000000-0005-0000-0000-00004E4B0000}"/>
    <cellStyle name="Normal 2 10" xfId="13370" xr:uid="{00000000-0005-0000-0000-00004F4B0000}"/>
    <cellStyle name="Normal 2 10 2" xfId="13371" xr:uid="{00000000-0005-0000-0000-0000504B0000}"/>
    <cellStyle name="Normal 2 10 3" xfId="13372" xr:uid="{00000000-0005-0000-0000-0000514B0000}"/>
    <cellStyle name="Normal 2 11" xfId="13373" xr:uid="{00000000-0005-0000-0000-0000524B0000}"/>
    <cellStyle name="Normal 2 11 2" xfId="13374" xr:uid="{00000000-0005-0000-0000-0000534B0000}"/>
    <cellStyle name="Normal 2 12" xfId="13375" xr:uid="{00000000-0005-0000-0000-0000544B0000}"/>
    <cellStyle name="Normal 2 13" xfId="13376" xr:uid="{00000000-0005-0000-0000-0000554B0000}"/>
    <cellStyle name="Normal 2 13 2" xfId="13377" xr:uid="{00000000-0005-0000-0000-0000564B0000}"/>
    <cellStyle name="Normal 2 14" xfId="13378" xr:uid="{00000000-0005-0000-0000-0000574B0000}"/>
    <cellStyle name="Normal 2 14 2" xfId="13379" xr:uid="{00000000-0005-0000-0000-0000584B0000}"/>
    <cellStyle name="Normal 2 14 3" xfId="13380" xr:uid="{00000000-0005-0000-0000-0000594B0000}"/>
    <cellStyle name="Normal 2 15" xfId="13381" xr:uid="{00000000-0005-0000-0000-00005A4B0000}"/>
    <cellStyle name="Normal 2 2" xfId="13382" xr:uid="{00000000-0005-0000-0000-00005B4B0000}"/>
    <cellStyle name="Normal 2 2 10" xfId="13383" xr:uid="{00000000-0005-0000-0000-00005C4B0000}"/>
    <cellStyle name="Normal 2 2 10 2" xfId="13384" xr:uid="{00000000-0005-0000-0000-00005D4B0000}"/>
    <cellStyle name="Normal 2 2 10 2 2" xfId="51930" xr:uid="{00000000-0005-0000-0000-00005E4B0000}"/>
    <cellStyle name="Normal 2 2 10 2 3" xfId="51931" xr:uid="{00000000-0005-0000-0000-00005F4B0000}"/>
    <cellStyle name="Normal 2 2 10 3" xfId="13385" xr:uid="{00000000-0005-0000-0000-0000604B0000}"/>
    <cellStyle name="Normal 2 2 10 3 2" xfId="51932" xr:uid="{00000000-0005-0000-0000-0000614B0000}"/>
    <cellStyle name="Normal 2 2 10 4" xfId="13386" xr:uid="{00000000-0005-0000-0000-0000624B0000}"/>
    <cellStyle name="Normal 2 2 10 5" xfId="13387" xr:uid="{00000000-0005-0000-0000-0000634B0000}"/>
    <cellStyle name="Normal 2 2 10 6" xfId="13388" xr:uid="{00000000-0005-0000-0000-0000644B0000}"/>
    <cellStyle name="Normal 2 2 10 7" xfId="13389" xr:uid="{00000000-0005-0000-0000-0000654B0000}"/>
    <cellStyle name="Normal 2 2 11" xfId="13390" xr:uid="{00000000-0005-0000-0000-0000664B0000}"/>
    <cellStyle name="Normal 2 2 11 2" xfId="51933" xr:uid="{00000000-0005-0000-0000-0000674B0000}"/>
    <cellStyle name="Normal 2 2 11 3" xfId="51934" xr:uid="{00000000-0005-0000-0000-0000684B0000}"/>
    <cellStyle name="Normal 2 2 12" xfId="13391" xr:uid="{00000000-0005-0000-0000-0000694B0000}"/>
    <cellStyle name="Normal 2 2 12 2" xfId="51935" xr:uid="{00000000-0005-0000-0000-00006A4B0000}"/>
    <cellStyle name="Normal 2 2 13" xfId="13392" xr:uid="{00000000-0005-0000-0000-00006B4B0000}"/>
    <cellStyle name="Normal 2 2 13 2" xfId="51936" xr:uid="{00000000-0005-0000-0000-00006C4B0000}"/>
    <cellStyle name="Normal 2 2 14" xfId="13393" xr:uid="{00000000-0005-0000-0000-00006D4B0000}"/>
    <cellStyle name="Normal 2 2 15" xfId="13394" xr:uid="{00000000-0005-0000-0000-00006E4B0000}"/>
    <cellStyle name="Normal 2 2 16" xfId="13395" xr:uid="{00000000-0005-0000-0000-00006F4B0000}"/>
    <cellStyle name="Normal 2 2 17" xfId="13396" xr:uid="{00000000-0005-0000-0000-0000704B0000}"/>
    <cellStyle name="Normal 2 2 18" xfId="13397" xr:uid="{00000000-0005-0000-0000-0000714B0000}"/>
    <cellStyle name="Normal 2 2 2" xfId="13398" xr:uid="{00000000-0005-0000-0000-0000724B0000}"/>
    <cellStyle name="Normal 2 2 2 2" xfId="13399" xr:uid="{00000000-0005-0000-0000-0000734B0000}"/>
    <cellStyle name="Normal 2 2 2 2 2" xfId="13400" xr:uid="{00000000-0005-0000-0000-0000744B0000}"/>
    <cellStyle name="Normal 2 2 2 2 2 2" xfId="13401" xr:uid="{00000000-0005-0000-0000-0000754B0000}"/>
    <cellStyle name="Normal 2 2 2 2 2 3" xfId="13402" xr:uid="{00000000-0005-0000-0000-0000764B0000}"/>
    <cellStyle name="Normal 2 2 2 2 3" xfId="13403" xr:uid="{00000000-0005-0000-0000-0000774B0000}"/>
    <cellStyle name="Normal 2 2 2 2 3 2" xfId="13404" xr:uid="{00000000-0005-0000-0000-0000784B0000}"/>
    <cellStyle name="Normal 2 2 2 2 4" xfId="13405" xr:uid="{00000000-0005-0000-0000-0000794B0000}"/>
    <cellStyle name="Normal 2 2 2 2 4 2" xfId="13406" xr:uid="{00000000-0005-0000-0000-00007A4B0000}"/>
    <cellStyle name="Normal 2 2 2 2 5" xfId="13407" xr:uid="{00000000-0005-0000-0000-00007B4B0000}"/>
    <cellStyle name="Normal 2 2 2 2 6" xfId="13408" xr:uid="{00000000-0005-0000-0000-00007C4B0000}"/>
    <cellStyle name="Normal 2 2 2 3" xfId="13409" xr:uid="{00000000-0005-0000-0000-00007D4B0000}"/>
    <cellStyle name="Normal 2 2 2 3 2" xfId="13410" xr:uid="{00000000-0005-0000-0000-00007E4B0000}"/>
    <cellStyle name="Normal 2 2 2 3 2 2" xfId="13411" xr:uid="{00000000-0005-0000-0000-00007F4B0000}"/>
    <cellStyle name="Normal 2 2 2 3 3" xfId="13412" xr:uid="{00000000-0005-0000-0000-0000804B0000}"/>
    <cellStyle name="Normal 2 2 2 3 3 2" xfId="13413" xr:uid="{00000000-0005-0000-0000-0000814B0000}"/>
    <cellStyle name="Normal 2 2 2 3 4" xfId="13414" xr:uid="{00000000-0005-0000-0000-0000824B0000}"/>
    <cellStyle name="Normal 2 2 2 3 4 2" xfId="13415" xr:uid="{00000000-0005-0000-0000-0000834B0000}"/>
    <cellStyle name="Normal 2 2 2 3 5" xfId="13416" xr:uid="{00000000-0005-0000-0000-0000844B0000}"/>
    <cellStyle name="Normal 2 2 2 3 6" xfId="13417" xr:uid="{00000000-0005-0000-0000-0000854B0000}"/>
    <cellStyle name="Normal 2 2 2 4" xfId="13418" xr:uid="{00000000-0005-0000-0000-0000864B0000}"/>
    <cellStyle name="Normal 2 2 2 4 2" xfId="13419" xr:uid="{00000000-0005-0000-0000-0000874B0000}"/>
    <cellStyle name="Normal 2 2 2 5" xfId="13420" xr:uid="{00000000-0005-0000-0000-0000884B0000}"/>
    <cellStyle name="Normal 2 2 2 5 2" xfId="13421" xr:uid="{00000000-0005-0000-0000-0000894B0000}"/>
    <cellStyle name="Normal 2 2 2 6" xfId="13422" xr:uid="{00000000-0005-0000-0000-00008A4B0000}"/>
    <cellStyle name="Normal 2 2 2 6 2" xfId="13423" xr:uid="{00000000-0005-0000-0000-00008B4B0000}"/>
    <cellStyle name="Normal 2 2 2 7" xfId="13424" xr:uid="{00000000-0005-0000-0000-00008C4B0000}"/>
    <cellStyle name="Normal 2 2 2 8" xfId="13425" xr:uid="{00000000-0005-0000-0000-00008D4B0000}"/>
    <cellStyle name="Normal 2 2 2_Sheet2" xfId="13426" xr:uid="{00000000-0005-0000-0000-00008E4B0000}"/>
    <cellStyle name="Normal 2 2 3" xfId="13427" xr:uid="{00000000-0005-0000-0000-00008F4B0000}"/>
    <cellStyle name="Normal 2 2 3 2" xfId="13428" xr:uid="{00000000-0005-0000-0000-0000904B0000}"/>
    <cellStyle name="Normal 2 2 3 2 2" xfId="13429" xr:uid="{00000000-0005-0000-0000-0000914B0000}"/>
    <cellStyle name="Normal 2 2 3 2 2 2" xfId="13430" xr:uid="{00000000-0005-0000-0000-0000924B0000}"/>
    <cellStyle name="Normal 2 2 3 2 2 2 2" xfId="51937" xr:uid="{00000000-0005-0000-0000-0000934B0000}"/>
    <cellStyle name="Normal 2 2 3 2 2 3" xfId="51938" xr:uid="{00000000-0005-0000-0000-0000944B0000}"/>
    <cellStyle name="Normal 2 2 3 2 3" xfId="13431" xr:uid="{00000000-0005-0000-0000-0000954B0000}"/>
    <cellStyle name="Normal 2 2 3 2 3 2" xfId="13432" xr:uid="{00000000-0005-0000-0000-0000964B0000}"/>
    <cellStyle name="Normal 2 2 3 2 3 2 2" xfId="51939" xr:uid="{00000000-0005-0000-0000-0000974B0000}"/>
    <cellStyle name="Normal 2 2 3 2 3 3" xfId="51940" xr:uid="{00000000-0005-0000-0000-0000984B0000}"/>
    <cellStyle name="Normal 2 2 3 2 4" xfId="13433" xr:uid="{00000000-0005-0000-0000-0000994B0000}"/>
    <cellStyle name="Normal 2 2 3 2 4 2" xfId="51941" xr:uid="{00000000-0005-0000-0000-00009A4B0000}"/>
    <cellStyle name="Normal 2 2 3 2 5" xfId="13434" xr:uid="{00000000-0005-0000-0000-00009B4B0000}"/>
    <cellStyle name="Normal 2 2 3 2 5 2" xfId="51942" xr:uid="{00000000-0005-0000-0000-00009C4B0000}"/>
    <cellStyle name="Normal 2 2 3 2 6" xfId="13435" xr:uid="{00000000-0005-0000-0000-00009D4B0000}"/>
    <cellStyle name="Normal 2 2 3 3" xfId="13436" xr:uid="{00000000-0005-0000-0000-00009E4B0000}"/>
    <cellStyle name="Normal 2 2 3 3 2" xfId="13437" xr:uid="{00000000-0005-0000-0000-00009F4B0000}"/>
    <cellStyle name="Normal 2 2 3 3 2 2" xfId="13438" xr:uid="{00000000-0005-0000-0000-0000A04B0000}"/>
    <cellStyle name="Normal 2 2 3 3 2 2 2" xfId="51943" xr:uid="{00000000-0005-0000-0000-0000A14B0000}"/>
    <cellStyle name="Normal 2 2 3 3 2 2 3" xfId="51944" xr:uid="{00000000-0005-0000-0000-0000A24B0000}"/>
    <cellStyle name="Normal 2 2 3 3 2 3" xfId="51945" xr:uid="{00000000-0005-0000-0000-0000A34B0000}"/>
    <cellStyle name="Normal 2 2 3 3 2 4" xfId="51946" xr:uid="{00000000-0005-0000-0000-0000A44B0000}"/>
    <cellStyle name="Normal 2 2 3 3 3" xfId="13439" xr:uid="{00000000-0005-0000-0000-0000A54B0000}"/>
    <cellStyle name="Normal 2 2 3 3 3 2" xfId="51947" xr:uid="{00000000-0005-0000-0000-0000A64B0000}"/>
    <cellStyle name="Normal 2 2 3 3 3 3" xfId="51948" xr:uid="{00000000-0005-0000-0000-0000A74B0000}"/>
    <cellStyle name="Normal 2 2 3 3 4" xfId="13440" xr:uid="{00000000-0005-0000-0000-0000A84B0000}"/>
    <cellStyle name="Normal 2 2 3 3 4 2" xfId="51949" xr:uid="{00000000-0005-0000-0000-0000A94B0000}"/>
    <cellStyle name="Normal 2 2 3 3 5" xfId="51950" xr:uid="{00000000-0005-0000-0000-0000AA4B0000}"/>
    <cellStyle name="Normal 2 2 3 3 6" xfId="51951" xr:uid="{00000000-0005-0000-0000-0000AB4B0000}"/>
    <cellStyle name="Normal 2 2 3 4" xfId="13441" xr:uid="{00000000-0005-0000-0000-0000AC4B0000}"/>
    <cellStyle name="Normal 2 2 3 4 2" xfId="13442" xr:uid="{00000000-0005-0000-0000-0000AD4B0000}"/>
    <cellStyle name="Normal 2 2 3 4 2 2" xfId="13443" xr:uid="{00000000-0005-0000-0000-0000AE4B0000}"/>
    <cellStyle name="Normal 2 2 3 4 2 2 2" xfId="51952" xr:uid="{00000000-0005-0000-0000-0000AF4B0000}"/>
    <cellStyle name="Normal 2 2 3 4 2 2 3" xfId="51953" xr:uid="{00000000-0005-0000-0000-0000B04B0000}"/>
    <cellStyle name="Normal 2 2 3 4 2 3" xfId="51954" xr:uid="{00000000-0005-0000-0000-0000B14B0000}"/>
    <cellStyle name="Normal 2 2 3 4 2 4" xfId="51955" xr:uid="{00000000-0005-0000-0000-0000B24B0000}"/>
    <cellStyle name="Normal 2 2 3 4 3" xfId="13444" xr:uid="{00000000-0005-0000-0000-0000B34B0000}"/>
    <cellStyle name="Normal 2 2 3 4 3 2" xfId="51956" xr:uid="{00000000-0005-0000-0000-0000B44B0000}"/>
    <cellStyle name="Normal 2 2 3 4 3 3" xfId="51957" xr:uid="{00000000-0005-0000-0000-0000B54B0000}"/>
    <cellStyle name="Normal 2 2 3 4 4" xfId="51958" xr:uid="{00000000-0005-0000-0000-0000B64B0000}"/>
    <cellStyle name="Normal 2 2 3 4 5" xfId="51959" xr:uid="{00000000-0005-0000-0000-0000B74B0000}"/>
    <cellStyle name="Normal 2 2 3 5" xfId="13445" xr:uid="{00000000-0005-0000-0000-0000B84B0000}"/>
    <cellStyle name="Normal 2 2 3 5 2" xfId="13446" xr:uid="{00000000-0005-0000-0000-0000B94B0000}"/>
    <cellStyle name="Normal 2 2 3 5 2 2" xfId="51960" xr:uid="{00000000-0005-0000-0000-0000BA4B0000}"/>
    <cellStyle name="Normal 2 2 3 5 2 3" xfId="51961" xr:uid="{00000000-0005-0000-0000-0000BB4B0000}"/>
    <cellStyle name="Normal 2 2 3 5 3" xfId="51962" xr:uid="{00000000-0005-0000-0000-0000BC4B0000}"/>
    <cellStyle name="Normal 2 2 3 5 4" xfId="51963" xr:uid="{00000000-0005-0000-0000-0000BD4B0000}"/>
    <cellStyle name="Normal 2 2 3 6" xfId="13447" xr:uid="{00000000-0005-0000-0000-0000BE4B0000}"/>
    <cellStyle name="Normal 2 2 3 6 2" xfId="51964" xr:uid="{00000000-0005-0000-0000-0000BF4B0000}"/>
    <cellStyle name="Normal 2 2 3 6 3" xfId="51965" xr:uid="{00000000-0005-0000-0000-0000C04B0000}"/>
    <cellStyle name="Normal 2 2 3 7" xfId="13448" xr:uid="{00000000-0005-0000-0000-0000C14B0000}"/>
    <cellStyle name="Normal 2 2 3 7 2" xfId="51966" xr:uid="{00000000-0005-0000-0000-0000C24B0000}"/>
    <cellStyle name="Normal 2 2 3 8" xfId="13449" xr:uid="{00000000-0005-0000-0000-0000C34B0000}"/>
    <cellStyle name="Normal 2 2 3 9" xfId="51967" xr:uid="{00000000-0005-0000-0000-0000C44B0000}"/>
    <cellStyle name="Normal 2 2 4" xfId="13450" xr:uid="{00000000-0005-0000-0000-0000C54B0000}"/>
    <cellStyle name="Normal 2 2 4 10" xfId="13451" xr:uid="{00000000-0005-0000-0000-0000C64B0000}"/>
    <cellStyle name="Normal 2 2 4 10 2" xfId="13452" xr:uid="{00000000-0005-0000-0000-0000C74B0000}"/>
    <cellStyle name="Normal 2 2 4 10 2 2" xfId="13453" xr:uid="{00000000-0005-0000-0000-0000C84B0000}"/>
    <cellStyle name="Normal 2 2 4 10 2 2 2" xfId="51968" xr:uid="{00000000-0005-0000-0000-0000C94B0000}"/>
    <cellStyle name="Normal 2 2 4 10 2 2 3" xfId="51969" xr:uid="{00000000-0005-0000-0000-0000CA4B0000}"/>
    <cellStyle name="Normal 2 2 4 10 2 3" xfId="13454" xr:uid="{00000000-0005-0000-0000-0000CB4B0000}"/>
    <cellStyle name="Normal 2 2 4 10 2 3 2" xfId="51970" xr:uid="{00000000-0005-0000-0000-0000CC4B0000}"/>
    <cellStyle name="Normal 2 2 4 10 2 4" xfId="13455" xr:uid="{00000000-0005-0000-0000-0000CD4B0000}"/>
    <cellStyle name="Normal 2 2 4 10 2 5" xfId="13456" xr:uid="{00000000-0005-0000-0000-0000CE4B0000}"/>
    <cellStyle name="Normal 2 2 4 10 2 6" xfId="13457" xr:uid="{00000000-0005-0000-0000-0000CF4B0000}"/>
    <cellStyle name="Normal 2 2 4 10 3" xfId="13458" xr:uid="{00000000-0005-0000-0000-0000D04B0000}"/>
    <cellStyle name="Normal 2 2 4 10 3 2" xfId="51971" xr:uid="{00000000-0005-0000-0000-0000D14B0000}"/>
    <cellStyle name="Normal 2 2 4 10 3 3" xfId="51972" xr:uid="{00000000-0005-0000-0000-0000D24B0000}"/>
    <cellStyle name="Normal 2 2 4 10 4" xfId="13459" xr:uid="{00000000-0005-0000-0000-0000D34B0000}"/>
    <cellStyle name="Normal 2 2 4 10 4 2" xfId="51973" xr:uid="{00000000-0005-0000-0000-0000D44B0000}"/>
    <cellStyle name="Normal 2 2 4 10 5" xfId="13460" xr:uid="{00000000-0005-0000-0000-0000D54B0000}"/>
    <cellStyle name="Normal 2 2 4 10 6" xfId="13461" xr:uid="{00000000-0005-0000-0000-0000D64B0000}"/>
    <cellStyle name="Normal 2 2 4 10 7" xfId="13462" xr:uid="{00000000-0005-0000-0000-0000D74B0000}"/>
    <cellStyle name="Normal 2 2 4 11" xfId="13463" xr:uid="{00000000-0005-0000-0000-0000D84B0000}"/>
    <cellStyle name="Normal 2 2 4 11 2" xfId="13464" xr:uid="{00000000-0005-0000-0000-0000D94B0000}"/>
    <cellStyle name="Normal 2 2 4 11 2 2" xfId="51974" xr:uid="{00000000-0005-0000-0000-0000DA4B0000}"/>
    <cellStyle name="Normal 2 2 4 11 2 3" xfId="51975" xr:uid="{00000000-0005-0000-0000-0000DB4B0000}"/>
    <cellStyle name="Normal 2 2 4 11 3" xfId="13465" xr:uid="{00000000-0005-0000-0000-0000DC4B0000}"/>
    <cellStyle name="Normal 2 2 4 11 3 2" xfId="51976" xr:uid="{00000000-0005-0000-0000-0000DD4B0000}"/>
    <cellStyle name="Normal 2 2 4 11 4" xfId="13466" xr:uid="{00000000-0005-0000-0000-0000DE4B0000}"/>
    <cellStyle name="Normal 2 2 4 11 5" xfId="13467" xr:uid="{00000000-0005-0000-0000-0000DF4B0000}"/>
    <cellStyle name="Normal 2 2 4 11 6" xfId="13468" xr:uid="{00000000-0005-0000-0000-0000E04B0000}"/>
    <cellStyle name="Normal 2 2 4 12" xfId="13469" xr:uid="{00000000-0005-0000-0000-0000E14B0000}"/>
    <cellStyle name="Normal 2 2 4 12 2" xfId="51977" xr:uid="{00000000-0005-0000-0000-0000E24B0000}"/>
    <cellStyle name="Normal 2 2 4 12 3" xfId="51978" xr:uid="{00000000-0005-0000-0000-0000E34B0000}"/>
    <cellStyle name="Normal 2 2 4 13" xfId="13470" xr:uid="{00000000-0005-0000-0000-0000E44B0000}"/>
    <cellStyle name="Normal 2 2 4 13 2" xfId="51979" xr:uid="{00000000-0005-0000-0000-0000E54B0000}"/>
    <cellStyle name="Normal 2 2 4 14" xfId="13471" xr:uid="{00000000-0005-0000-0000-0000E64B0000}"/>
    <cellStyle name="Normal 2 2 4 14 2" xfId="51980" xr:uid="{00000000-0005-0000-0000-0000E74B0000}"/>
    <cellStyle name="Normal 2 2 4 15" xfId="13472" xr:uid="{00000000-0005-0000-0000-0000E84B0000}"/>
    <cellStyle name="Normal 2 2 4 16" xfId="13473" xr:uid="{00000000-0005-0000-0000-0000E94B0000}"/>
    <cellStyle name="Normal 2 2 4 17" xfId="13474" xr:uid="{00000000-0005-0000-0000-0000EA4B0000}"/>
    <cellStyle name="Normal 2 2 4 18" xfId="13475" xr:uid="{00000000-0005-0000-0000-0000EB4B0000}"/>
    <cellStyle name="Normal 2 2 4 19" xfId="13476" xr:uid="{00000000-0005-0000-0000-0000EC4B0000}"/>
    <cellStyle name="Normal 2 2 4 2" xfId="13477" xr:uid="{00000000-0005-0000-0000-0000ED4B0000}"/>
    <cellStyle name="Normal 2 2 4 2 10" xfId="13478" xr:uid="{00000000-0005-0000-0000-0000EE4B0000}"/>
    <cellStyle name="Normal 2 2 4 2 11" xfId="13479" xr:uid="{00000000-0005-0000-0000-0000EF4B0000}"/>
    <cellStyle name="Normal 2 2 4 2 12" xfId="13480" xr:uid="{00000000-0005-0000-0000-0000F04B0000}"/>
    <cellStyle name="Normal 2 2 4 2 13" xfId="13481" xr:uid="{00000000-0005-0000-0000-0000F14B0000}"/>
    <cellStyle name="Normal 2 2 4 2 14" xfId="13482" xr:uid="{00000000-0005-0000-0000-0000F24B0000}"/>
    <cellStyle name="Normal 2 2 4 2 15" xfId="13483" xr:uid="{00000000-0005-0000-0000-0000F34B0000}"/>
    <cellStyle name="Normal 2 2 4 2 2" xfId="13484" xr:uid="{00000000-0005-0000-0000-0000F44B0000}"/>
    <cellStyle name="Normal 2 2 4 2 2 10" xfId="13485" xr:uid="{00000000-0005-0000-0000-0000F54B0000}"/>
    <cellStyle name="Normal 2 2 4 2 2 11" xfId="13486" xr:uid="{00000000-0005-0000-0000-0000F64B0000}"/>
    <cellStyle name="Normal 2 2 4 2 2 12" xfId="13487" xr:uid="{00000000-0005-0000-0000-0000F74B0000}"/>
    <cellStyle name="Normal 2 2 4 2 2 13" xfId="13488" xr:uid="{00000000-0005-0000-0000-0000F84B0000}"/>
    <cellStyle name="Normal 2 2 4 2 2 14" xfId="13489" xr:uid="{00000000-0005-0000-0000-0000F94B0000}"/>
    <cellStyle name="Normal 2 2 4 2 2 2" xfId="13490" xr:uid="{00000000-0005-0000-0000-0000FA4B0000}"/>
    <cellStyle name="Normal 2 2 4 2 2 2 2" xfId="13491" xr:uid="{00000000-0005-0000-0000-0000FB4B0000}"/>
    <cellStyle name="Normal 2 2 4 2 2 2 2 2" xfId="13492" xr:uid="{00000000-0005-0000-0000-0000FC4B0000}"/>
    <cellStyle name="Normal 2 2 4 2 2 2 2 2 2" xfId="13493" xr:uid="{00000000-0005-0000-0000-0000FD4B0000}"/>
    <cellStyle name="Normal 2 2 4 2 2 2 2 2 2 2" xfId="51981" xr:uid="{00000000-0005-0000-0000-0000FE4B0000}"/>
    <cellStyle name="Normal 2 2 4 2 2 2 2 2 2 3" xfId="51982" xr:uid="{00000000-0005-0000-0000-0000FF4B0000}"/>
    <cellStyle name="Normal 2 2 4 2 2 2 2 2 3" xfId="13494" xr:uid="{00000000-0005-0000-0000-0000004C0000}"/>
    <cellStyle name="Normal 2 2 4 2 2 2 2 2 3 2" xfId="51983" xr:uid="{00000000-0005-0000-0000-0000014C0000}"/>
    <cellStyle name="Normal 2 2 4 2 2 2 2 2 4" xfId="13495" xr:uid="{00000000-0005-0000-0000-0000024C0000}"/>
    <cellStyle name="Normal 2 2 4 2 2 2 2 2 5" xfId="13496" xr:uid="{00000000-0005-0000-0000-0000034C0000}"/>
    <cellStyle name="Normal 2 2 4 2 2 2 2 2 6" xfId="13497" xr:uid="{00000000-0005-0000-0000-0000044C0000}"/>
    <cellStyle name="Normal 2 2 4 2 2 2 2 3" xfId="13498" xr:uid="{00000000-0005-0000-0000-0000054C0000}"/>
    <cellStyle name="Normal 2 2 4 2 2 2 2 3 2" xfId="51984" xr:uid="{00000000-0005-0000-0000-0000064C0000}"/>
    <cellStyle name="Normal 2 2 4 2 2 2 2 3 3" xfId="51985" xr:uid="{00000000-0005-0000-0000-0000074C0000}"/>
    <cellStyle name="Normal 2 2 4 2 2 2 2 4" xfId="13499" xr:uid="{00000000-0005-0000-0000-0000084C0000}"/>
    <cellStyle name="Normal 2 2 4 2 2 2 2 4 2" xfId="51986" xr:uid="{00000000-0005-0000-0000-0000094C0000}"/>
    <cellStyle name="Normal 2 2 4 2 2 2 2 5" xfId="13500" xr:uid="{00000000-0005-0000-0000-00000A4C0000}"/>
    <cellStyle name="Normal 2 2 4 2 2 2 2 6" xfId="13501" xr:uid="{00000000-0005-0000-0000-00000B4C0000}"/>
    <cellStyle name="Normal 2 2 4 2 2 2 2 7" xfId="13502" xr:uid="{00000000-0005-0000-0000-00000C4C0000}"/>
    <cellStyle name="Normal 2 2 4 2 2 2 3" xfId="13503" xr:uid="{00000000-0005-0000-0000-00000D4C0000}"/>
    <cellStyle name="Normal 2 2 4 2 2 2 3 2" xfId="13504" xr:uid="{00000000-0005-0000-0000-00000E4C0000}"/>
    <cellStyle name="Normal 2 2 4 2 2 2 3 2 2" xfId="51987" xr:uid="{00000000-0005-0000-0000-00000F4C0000}"/>
    <cellStyle name="Normal 2 2 4 2 2 2 3 2 3" xfId="51988" xr:uid="{00000000-0005-0000-0000-0000104C0000}"/>
    <cellStyle name="Normal 2 2 4 2 2 2 3 3" xfId="13505" xr:uid="{00000000-0005-0000-0000-0000114C0000}"/>
    <cellStyle name="Normal 2 2 4 2 2 2 3 3 2" xfId="51989" xr:uid="{00000000-0005-0000-0000-0000124C0000}"/>
    <cellStyle name="Normal 2 2 4 2 2 2 3 4" xfId="13506" xr:uid="{00000000-0005-0000-0000-0000134C0000}"/>
    <cellStyle name="Normal 2 2 4 2 2 2 3 5" xfId="13507" xr:uid="{00000000-0005-0000-0000-0000144C0000}"/>
    <cellStyle name="Normal 2 2 4 2 2 2 3 6" xfId="13508" xr:uid="{00000000-0005-0000-0000-0000154C0000}"/>
    <cellStyle name="Normal 2 2 4 2 2 2 4" xfId="13509" xr:uid="{00000000-0005-0000-0000-0000164C0000}"/>
    <cellStyle name="Normal 2 2 4 2 2 2 4 2" xfId="51990" xr:uid="{00000000-0005-0000-0000-0000174C0000}"/>
    <cellStyle name="Normal 2 2 4 2 2 2 4 3" xfId="51991" xr:uid="{00000000-0005-0000-0000-0000184C0000}"/>
    <cellStyle name="Normal 2 2 4 2 2 2 5" xfId="13510" xr:uid="{00000000-0005-0000-0000-0000194C0000}"/>
    <cellStyle name="Normal 2 2 4 2 2 2 5 2" xfId="51992" xr:uid="{00000000-0005-0000-0000-00001A4C0000}"/>
    <cellStyle name="Normal 2 2 4 2 2 2 6" xfId="13511" xr:uid="{00000000-0005-0000-0000-00001B4C0000}"/>
    <cellStyle name="Normal 2 2 4 2 2 2 7" xfId="13512" xr:uid="{00000000-0005-0000-0000-00001C4C0000}"/>
    <cellStyle name="Normal 2 2 4 2 2 2 8" xfId="13513" xr:uid="{00000000-0005-0000-0000-00001D4C0000}"/>
    <cellStyle name="Normal 2 2 4 2 2 2 9" xfId="13514" xr:uid="{00000000-0005-0000-0000-00001E4C0000}"/>
    <cellStyle name="Normal 2 2 4 2 2 3" xfId="13515" xr:uid="{00000000-0005-0000-0000-00001F4C0000}"/>
    <cellStyle name="Normal 2 2 4 2 2 3 2" xfId="13516" xr:uid="{00000000-0005-0000-0000-0000204C0000}"/>
    <cellStyle name="Normal 2 2 4 2 2 3 2 2" xfId="13517" xr:uid="{00000000-0005-0000-0000-0000214C0000}"/>
    <cellStyle name="Normal 2 2 4 2 2 3 2 2 2" xfId="13518" xr:uid="{00000000-0005-0000-0000-0000224C0000}"/>
    <cellStyle name="Normal 2 2 4 2 2 3 2 2 2 2" xfId="51993" xr:uid="{00000000-0005-0000-0000-0000234C0000}"/>
    <cellStyle name="Normal 2 2 4 2 2 3 2 2 2 3" xfId="51994" xr:uid="{00000000-0005-0000-0000-0000244C0000}"/>
    <cellStyle name="Normal 2 2 4 2 2 3 2 2 3" xfId="13519" xr:uid="{00000000-0005-0000-0000-0000254C0000}"/>
    <cellStyle name="Normal 2 2 4 2 2 3 2 2 3 2" xfId="51995" xr:uid="{00000000-0005-0000-0000-0000264C0000}"/>
    <cellStyle name="Normal 2 2 4 2 2 3 2 2 4" xfId="13520" xr:uid="{00000000-0005-0000-0000-0000274C0000}"/>
    <cellStyle name="Normal 2 2 4 2 2 3 2 2 5" xfId="13521" xr:uid="{00000000-0005-0000-0000-0000284C0000}"/>
    <cellStyle name="Normal 2 2 4 2 2 3 2 2 6" xfId="13522" xr:uid="{00000000-0005-0000-0000-0000294C0000}"/>
    <cellStyle name="Normal 2 2 4 2 2 3 2 3" xfId="13523" xr:uid="{00000000-0005-0000-0000-00002A4C0000}"/>
    <cellStyle name="Normal 2 2 4 2 2 3 2 3 2" xfId="51996" xr:uid="{00000000-0005-0000-0000-00002B4C0000}"/>
    <cellStyle name="Normal 2 2 4 2 2 3 2 3 3" xfId="51997" xr:uid="{00000000-0005-0000-0000-00002C4C0000}"/>
    <cellStyle name="Normal 2 2 4 2 2 3 2 4" xfId="13524" xr:uid="{00000000-0005-0000-0000-00002D4C0000}"/>
    <cellStyle name="Normal 2 2 4 2 2 3 2 4 2" xfId="51998" xr:uid="{00000000-0005-0000-0000-00002E4C0000}"/>
    <cellStyle name="Normal 2 2 4 2 2 3 2 5" xfId="13525" xr:uid="{00000000-0005-0000-0000-00002F4C0000}"/>
    <cellStyle name="Normal 2 2 4 2 2 3 2 6" xfId="13526" xr:uid="{00000000-0005-0000-0000-0000304C0000}"/>
    <cellStyle name="Normal 2 2 4 2 2 3 2 7" xfId="13527" xr:uid="{00000000-0005-0000-0000-0000314C0000}"/>
    <cellStyle name="Normal 2 2 4 2 2 3 3" xfId="13528" xr:uid="{00000000-0005-0000-0000-0000324C0000}"/>
    <cellStyle name="Normal 2 2 4 2 2 3 3 2" xfId="13529" xr:uid="{00000000-0005-0000-0000-0000334C0000}"/>
    <cellStyle name="Normal 2 2 4 2 2 3 3 2 2" xfId="51999" xr:uid="{00000000-0005-0000-0000-0000344C0000}"/>
    <cellStyle name="Normal 2 2 4 2 2 3 3 2 3" xfId="52000" xr:uid="{00000000-0005-0000-0000-0000354C0000}"/>
    <cellStyle name="Normal 2 2 4 2 2 3 3 3" xfId="13530" xr:uid="{00000000-0005-0000-0000-0000364C0000}"/>
    <cellStyle name="Normal 2 2 4 2 2 3 3 3 2" xfId="52001" xr:uid="{00000000-0005-0000-0000-0000374C0000}"/>
    <cellStyle name="Normal 2 2 4 2 2 3 3 4" xfId="13531" xr:uid="{00000000-0005-0000-0000-0000384C0000}"/>
    <cellStyle name="Normal 2 2 4 2 2 3 3 5" xfId="13532" xr:uid="{00000000-0005-0000-0000-0000394C0000}"/>
    <cellStyle name="Normal 2 2 4 2 2 3 3 6" xfId="13533" xr:uid="{00000000-0005-0000-0000-00003A4C0000}"/>
    <cellStyle name="Normal 2 2 4 2 2 3 4" xfId="13534" xr:uid="{00000000-0005-0000-0000-00003B4C0000}"/>
    <cellStyle name="Normal 2 2 4 2 2 3 4 2" xfId="52002" xr:uid="{00000000-0005-0000-0000-00003C4C0000}"/>
    <cellStyle name="Normal 2 2 4 2 2 3 4 3" xfId="52003" xr:uid="{00000000-0005-0000-0000-00003D4C0000}"/>
    <cellStyle name="Normal 2 2 4 2 2 3 5" xfId="13535" xr:uid="{00000000-0005-0000-0000-00003E4C0000}"/>
    <cellStyle name="Normal 2 2 4 2 2 3 5 2" xfId="52004" xr:uid="{00000000-0005-0000-0000-00003F4C0000}"/>
    <cellStyle name="Normal 2 2 4 2 2 3 6" xfId="13536" xr:uid="{00000000-0005-0000-0000-0000404C0000}"/>
    <cellStyle name="Normal 2 2 4 2 2 3 7" xfId="13537" xr:uid="{00000000-0005-0000-0000-0000414C0000}"/>
    <cellStyle name="Normal 2 2 4 2 2 3 8" xfId="13538" xr:uid="{00000000-0005-0000-0000-0000424C0000}"/>
    <cellStyle name="Normal 2 2 4 2 2 4" xfId="13539" xr:uid="{00000000-0005-0000-0000-0000434C0000}"/>
    <cellStyle name="Normal 2 2 4 2 2 4 2" xfId="13540" xr:uid="{00000000-0005-0000-0000-0000444C0000}"/>
    <cellStyle name="Normal 2 2 4 2 2 4 2 2" xfId="13541" xr:uid="{00000000-0005-0000-0000-0000454C0000}"/>
    <cellStyle name="Normal 2 2 4 2 2 4 2 2 2" xfId="52005" xr:uid="{00000000-0005-0000-0000-0000464C0000}"/>
    <cellStyle name="Normal 2 2 4 2 2 4 2 2 3" xfId="52006" xr:uid="{00000000-0005-0000-0000-0000474C0000}"/>
    <cellStyle name="Normal 2 2 4 2 2 4 2 3" xfId="13542" xr:uid="{00000000-0005-0000-0000-0000484C0000}"/>
    <cellStyle name="Normal 2 2 4 2 2 4 2 3 2" xfId="52007" xr:uid="{00000000-0005-0000-0000-0000494C0000}"/>
    <cellStyle name="Normal 2 2 4 2 2 4 2 4" xfId="13543" xr:uid="{00000000-0005-0000-0000-00004A4C0000}"/>
    <cellStyle name="Normal 2 2 4 2 2 4 2 5" xfId="13544" xr:uid="{00000000-0005-0000-0000-00004B4C0000}"/>
    <cellStyle name="Normal 2 2 4 2 2 4 2 6" xfId="13545" xr:uid="{00000000-0005-0000-0000-00004C4C0000}"/>
    <cellStyle name="Normal 2 2 4 2 2 4 3" xfId="13546" xr:uid="{00000000-0005-0000-0000-00004D4C0000}"/>
    <cellStyle name="Normal 2 2 4 2 2 4 3 2" xfId="52008" xr:uid="{00000000-0005-0000-0000-00004E4C0000}"/>
    <cellStyle name="Normal 2 2 4 2 2 4 3 3" xfId="52009" xr:uid="{00000000-0005-0000-0000-00004F4C0000}"/>
    <cellStyle name="Normal 2 2 4 2 2 4 4" xfId="13547" xr:uid="{00000000-0005-0000-0000-0000504C0000}"/>
    <cellStyle name="Normal 2 2 4 2 2 4 4 2" xfId="52010" xr:uid="{00000000-0005-0000-0000-0000514C0000}"/>
    <cellStyle name="Normal 2 2 4 2 2 4 5" xfId="13548" xr:uid="{00000000-0005-0000-0000-0000524C0000}"/>
    <cellStyle name="Normal 2 2 4 2 2 4 6" xfId="13549" xr:uid="{00000000-0005-0000-0000-0000534C0000}"/>
    <cellStyle name="Normal 2 2 4 2 2 4 7" xfId="13550" xr:uid="{00000000-0005-0000-0000-0000544C0000}"/>
    <cellStyle name="Normal 2 2 4 2 2 5" xfId="13551" xr:uid="{00000000-0005-0000-0000-0000554C0000}"/>
    <cellStyle name="Normal 2 2 4 2 2 5 2" xfId="13552" xr:uid="{00000000-0005-0000-0000-0000564C0000}"/>
    <cellStyle name="Normal 2 2 4 2 2 5 2 2" xfId="52011" xr:uid="{00000000-0005-0000-0000-0000574C0000}"/>
    <cellStyle name="Normal 2 2 4 2 2 5 2 3" xfId="52012" xr:uid="{00000000-0005-0000-0000-0000584C0000}"/>
    <cellStyle name="Normal 2 2 4 2 2 5 3" xfId="13553" xr:uid="{00000000-0005-0000-0000-0000594C0000}"/>
    <cellStyle name="Normal 2 2 4 2 2 5 3 2" xfId="52013" xr:uid="{00000000-0005-0000-0000-00005A4C0000}"/>
    <cellStyle name="Normal 2 2 4 2 2 5 4" xfId="13554" xr:uid="{00000000-0005-0000-0000-00005B4C0000}"/>
    <cellStyle name="Normal 2 2 4 2 2 5 5" xfId="13555" xr:uid="{00000000-0005-0000-0000-00005C4C0000}"/>
    <cellStyle name="Normal 2 2 4 2 2 5 6" xfId="13556" xr:uid="{00000000-0005-0000-0000-00005D4C0000}"/>
    <cellStyle name="Normal 2 2 4 2 2 6" xfId="13557" xr:uid="{00000000-0005-0000-0000-00005E4C0000}"/>
    <cellStyle name="Normal 2 2 4 2 2 6 2" xfId="52014" xr:uid="{00000000-0005-0000-0000-00005F4C0000}"/>
    <cellStyle name="Normal 2 2 4 2 2 6 3" xfId="52015" xr:uid="{00000000-0005-0000-0000-0000604C0000}"/>
    <cellStyle name="Normal 2 2 4 2 2 7" xfId="13558" xr:uid="{00000000-0005-0000-0000-0000614C0000}"/>
    <cellStyle name="Normal 2 2 4 2 2 7 2" xfId="52016" xr:uid="{00000000-0005-0000-0000-0000624C0000}"/>
    <cellStyle name="Normal 2 2 4 2 2 8" xfId="13559" xr:uid="{00000000-0005-0000-0000-0000634C0000}"/>
    <cellStyle name="Normal 2 2 4 2 2 9" xfId="13560" xr:uid="{00000000-0005-0000-0000-0000644C0000}"/>
    <cellStyle name="Normal 2 2 4 2 3" xfId="13561" xr:uid="{00000000-0005-0000-0000-0000654C0000}"/>
    <cellStyle name="Normal 2 2 4 2 3 2" xfId="13562" xr:uid="{00000000-0005-0000-0000-0000664C0000}"/>
    <cellStyle name="Normal 2 2 4 2 3 2 2" xfId="13563" xr:uid="{00000000-0005-0000-0000-0000674C0000}"/>
    <cellStyle name="Normal 2 2 4 2 3 2 2 2" xfId="13564" xr:uid="{00000000-0005-0000-0000-0000684C0000}"/>
    <cellStyle name="Normal 2 2 4 2 3 2 2 2 2" xfId="52017" xr:uid="{00000000-0005-0000-0000-0000694C0000}"/>
    <cellStyle name="Normal 2 2 4 2 3 2 2 2 3" xfId="52018" xr:uid="{00000000-0005-0000-0000-00006A4C0000}"/>
    <cellStyle name="Normal 2 2 4 2 3 2 2 3" xfId="13565" xr:uid="{00000000-0005-0000-0000-00006B4C0000}"/>
    <cellStyle name="Normal 2 2 4 2 3 2 2 3 2" xfId="52019" xr:uid="{00000000-0005-0000-0000-00006C4C0000}"/>
    <cellStyle name="Normal 2 2 4 2 3 2 2 4" xfId="13566" xr:uid="{00000000-0005-0000-0000-00006D4C0000}"/>
    <cellStyle name="Normal 2 2 4 2 3 2 2 5" xfId="13567" xr:uid="{00000000-0005-0000-0000-00006E4C0000}"/>
    <cellStyle name="Normal 2 2 4 2 3 2 2 6" xfId="13568" xr:uid="{00000000-0005-0000-0000-00006F4C0000}"/>
    <cellStyle name="Normal 2 2 4 2 3 2 3" xfId="13569" xr:uid="{00000000-0005-0000-0000-0000704C0000}"/>
    <cellStyle name="Normal 2 2 4 2 3 2 3 2" xfId="52020" xr:uid="{00000000-0005-0000-0000-0000714C0000}"/>
    <cellStyle name="Normal 2 2 4 2 3 2 3 3" xfId="52021" xr:uid="{00000000-0005-0000-0000-0000724C0000}"/>
    <cellStyle name="Normal 2 2 4 2 3 2 4" xfId="13570" xr:uid="{00000000-0005-0000-0000-0000734C0000}"/>
    <cellStyle name="Normal 2 2 4 2 3 2 4 2" xfId="52022" xr:uid="{00000000-0005-0000-0000-0000744C0000}"/>
    <cellStyle name="Normal 2 2 4 2 3 2 5" xfId="13571" xr:uid="{00000000-0005-0000-0000-0000754C0000}"/>
    <cellStyle name="Normal 2 2 4 2 3 2 6" xfId="13572" xr:uid="{00000000-0005-0000-0000-0000764C0000}"/>
    <cellStyle name="Normal 2 2 4 2 3 2 7" xfId="13573" xr:uid="{00000000-0005-0000-0000-0000774C0000}"/>
    <cellStyle name="Normal 2 2 4 2 3 3" xfId="13574" xr:uid="{00000000-0005-0000-0000-0000784C0000}"/>
    <cellStyle name="Normal 2 2 4 2 3 3 2" xfId="13575" xr:uid="{00000000-0005-0000-0000-0000794C0000}"/>
    <cellStyle name="Normal 2 2 4 2 3 3 2 2" xfId="52023" xr:uid="{00000000-0005-0000-0000-00007A4C0000}"/>
    <cellStyle name="Normal 2 2 4 2 3 3 2 3" xfId="52024" xr:uid="{00000000-0005-0000-0000-00007B4C0000}"/>
    <cellStyle name="Normal 2 2 4 2 3 3 3" xfId="13576" xr:uid="{00000000-0005-0000-0000-00007C4C0000}"/>
    <cellStyle name="Normal 2 2 4 2 3 3 3 2" xfId="52025" xr:uid="{00000000-0005-0000-0000-00007D4C0000}"/>
    <cellStyle name="Normal 2 2 4 2 3 3 4" xfId="13577" xr:uid="{00000000-0005-0000-0000-00007E4C0000}"/>
    <cellStyle name="Normal 2 2 4 2 3 3 5" xfId="13578" xr:uid="{00000000-0005-0000-0000-00007F4C0000}"/>
    <cellStyle name="Normal 2 2 4 2 3 3 6" xfId="13579" xr:uid="{00000000-0005-0000-0000-0000804C0000}"/>
    <cellStyle name="Normal 2 2 4 2 3 4" xfId="13580" xr:uid="{00000000-0005-0000-0000-0000814C0000}"/>
    <cellStyle name="Normal 2 2 4 2 3 4 2" xfId="52026" xr:uid="{00000000-0005-0000-0000-0000824C0000}"/>
    <cellStyle name="Normal 2 2 4 2 3 4 3" xfId="52027" xr:uid="{00000000-0005-0000-0000-0000834C0000}"/>
    <cellStyle name="Normal 2 2 4 2 3 5" xfId="13581" xr:uid="{00000000-0005-0000-0000-0000844C0000}"/>
    <cellStyle name="Normal 2 2 4 2 3 5 2" xfId="52028" xr:uid="{00000000-0005-0000-0000-0000854C0000}"/>
    <cellStyle name="Normal 2 2 4 2 3 6" xfId="13582" xr:uid="{00000000-0005-0000-0000-0000864C0000}"/>
    <cellStyle name="Normal 2 2 4 2 3 7" xfId="13583" xr:uid="{00000000-0005-0000-0000-0000874C0000}"/>
    <cellStyle name="Normal 2 2 4 2 3 8" xfId="13584" xr:uid="{00000000-0005-0000-0000-0000884C0000}"/>
    <cellStyle name="Normal 2 2 4 2 3 9" xfId="13585" xr:uid="{00000000-0005-0000-0000-0000894C0000}"/>
    <cellStyle name="Normal 2 2 4 2 4" xfId="13586" xr:uid="{00000000-0005-0000-0000-00008A4C0000}"/>
    <cellStyle name="Normal 2 2 4 2 4 2" xfId="13587" xr:uid="{00000000-0005-0000-0000-00008B4C0000}"/>
    <cellStyle name="Normal 2 2 4 2 4 2 2" xfId="13588" xr:uid="{00000000-0005-0000-0000-00008C4C0000}"/>
    <cellStyle name="Normal 2 2 4 2 4 2 2 2" xfId="13589" xr:uid="{00000000-0005-0000-0000-00008D4C0000}"/>
    <cellStyle name="Normal 2 2 4 2 4 2 2 2 2" xfId="52029" xr:uid="{00000000-0005-0000-0000-00008E4C0000}"/>
    <cellStyle name="Normal 2 2 4 2 4 2 2 2 3" xfId="52030" xr:uid="{00000000-0005-0000-0000-00008F4C0000}"/>
    <cellStyle name="Normal 2 2 4 2 4 2 2 3" xfId="13590" xr:uid="{00000000-0005-0000-0000-0000904C0000}"/>
    <cellStyle name="Normal 2 2 4 2 4 2 2 3 2" xfId="52031" xr:uid="{00000000-0005-0000-0000-0000914C0000}"/>
    <cellStyle name="Normal 2 2 4 2 4 2 2 4" xfId="13591" xr:uid="{00000000-0005-0000-0000-0000924C0000}"/>
    <cellStyle name="Normal 2 2 4 2 4 2 2 5" xfId="13592" xr:uid="{00000000-0005-0000-0000-0000934C0000}"/>
    <cellStyle name="Normal 2 2 4 2 4 2 2 6" xfId="13593" xr:uid="{00000000-0005-0000-0000-0000944C0000}"/>
    <cellStyle name="Normal 2 2 4 2 4 2 3" xfId="13594" xr:uid="{00000000-0005-0000-0000-0000954C0000}"/>
    <cellStyle name="Normal 2 2 4 2 4 2 3 2" xfId="52032" xr:uid="{00000000-0005-0000-0000-0000964C0000}"/>
    <cellStyle name="Normal 2 2 4 2 4 2 3 3" xfId="52033" xr:uid="{00000000-0005-0000-0000-0000974C0000}"/>
    <cellStyle name="Normal 2 2 4 2 4 2 4" xfId="13595" xr:uid="{00000000-0005-0000-0000-0000984C0000}"/>
    <cellStyle name="Normal 2 2 4 2 4 2 4 2" xfId="52034" xr:uid="{00000000-0005-0000-0000-0000994C0000}"/>
    <cellStyle name="Normal 2 2 4 2 4 2 5" xfId="13596" xr:uid="{00000000-0005-0000-0000-00009A4C0000}"/>
    <cellStyle name="Normal 2 2 4 2 4 2 6" xfId="13597" xr:uid="{00000000-0005-0000-0000-00009B4C0000}"/>
    <cellStyle name="Normal 2 2 4 2 4 2 7" xfId="13598" xr:uid="{00000000-0005-0000-0000-00009C4C0000}"/>
    <cellStyle name="Normal 2 2 4 2 4 3" xfId="13599" xr:uid="{00000000-0005-0000-0000-00009D4C0000}"/>
    <cellStyle name="Normal 2 2 4 2 4 3 2" xfId="13600" xr:uid="{00000000-0005-0000-0000-00009E4C0000}"/>
    <cellStyle name="Normal 2 2 4 2 4 3 2 2" xfId="52035" xr:uid="{00000000-0005-0000-0000-00009F4C0000}"/>
    <cellStyle name="Normal 2 2 4 2 4 3 2 3" xfId="52036" xr:uid="{00000000-0005-0000-0000-0000A04C0000}"/>
    <cellStyle name="Normal 2 2 4 2 4 3 3" xfId="13601" xr:uid="{00000000-0005-0000-0000-0000A14C0000}"/>
    <cellStyle name="Normal 2 2 4 2 4 3 3 2" xfId="52037" xr:uid="{00000000-0005-0000-0000-0000A24C0000}"/>
    <cellStyle name="Normal 2 2 4 2 4 3 4" xfId="13602" xr:uid="{00000000-0005-0000-0000-0000A34C0000}"/>
    <cellStyle name="Normal 2 2 4 2 4 3 5" xfId="13603" xr:uid="{00000000-0005-0000-0000-0000A44C0000}"/>
    <cellStyle name="Normal 2 2 4 2 4 3 6" xfId="13604" xr:uid="{00000000-0005-0000-0000-0000A54C0000}"/>
    <cellStyle name="Normal 2 2 4 2 4 4" xfId="13605" xr:uid="{00000000-0005-0000-0000-0000A64C0000}"/>
    <cellStyle name="Normal 2 2 4 2 4 4 2" xfId="52038" xr:uid="{00000000-0005-0000-0000-0000A74C0000}"/>
    <cellStyle name="Normal 2 2 4 2 4 4 3" xfId="52039" xr:uid="{00000000-0005-0000-0000-0000A84C0000}"/>
    <cellStyle name="Normal 2 2 4 2 4 5" xfId="13606" xr:uid="{00000000-0005-0000-0000-0000A94C0000}"/>
    <cellStyle name="Normal 2 2 4 2 4 5 2" xfId="52040" xr:uid="{00000000-0005-0000-0000-0000AA4C0000}"/>
    <cellStyle name="Normal 2 2 4 2 4 6" xfId="13607" xr:uid="{00000000-0005-0000-0000-0000AB4C0000}"/>
    <cellStyle name="Normal 2 2 4 2 4 7" xfId="13608" xr:uid="{00000000-0005-0000-0000-0000AC4C0000}"/>
    <cellStyle name="Normal 2 2 4 2 4 8" xfId="13609" xr:uid="{00000000-0005-0000-0000-0000AD4C0000}"/>
    <cellStyle name="Normal 2 2 4 2 5" xfId="13610" xr:uid="{00000000-0005-0000-0000-0000AE4C0000}"/>
    <cellStyle name="Normal 2 2 4 2 5 2" xfId="13611" xr:uid="{00000000-0005-0000-0000-0000AF4C0000}"/>
    <cellStyle name="Normal 2 2 4 2 5 2 2" xfId="13612" xr:uid="{00000000-0005-0000-0000-0000B04C0000}"/>
    <cellStyle name="Normal 2 2 4 2 5 2 2 2" xfId="52041" xr:uid="{00000000-0005-0000-0000-0000B14C0000}"/>
    <cellStyle name="Normal 2 2 4 2 5 2 2 3" xfId="52042" xr:uid="{00000000-0005-0000-0000-0000B24C0000}"/>
    <cellStyle name="Normal 2 2 4 2 5 2 3" xfId="13613" xr:uid="{00000000-0005-0000-0000-0000B34C0000}"/>
    <cellStyle name="Normal 2 2 4 2 5 2 3 2" xfId="52043" xr:uid="{00000000-0005-0000-0000-0000B44C0000}"/>
    <cellStyle name="Normal 2 2 4 2 5 2 4" xfId="13614" xr:uid="{00000000-0005-0000-0000-0000B54C0000}"/>
    <cellStyle name="Normal 2 2 4 2 5 2 5" xfId="13615" xr:uid="{00000000-0005-0000-0000-0000B64C0000}"/>
    <cellStyle name="Normal 2 2 4 2 5 2 6" xfId="13616" xr:uid="{00000000-0005-0000-0000-0000B74C0000}"/>
    <cellStyle name="Normal 2 2 4 2 5 3" xfId="13617" xr:uid="{00000000-0005-0000-0000-0000B84C0000}"/>
    <cellStyle name="Normal 2 2 4 2 5 3 2" xfId="52044" xr:uid="{00000000-0005-0000-0000-0000B94C0000}"/>
    <cellStyle name="Normal 2 2 4 2 5 3 3" xfId="52045" xr:uid="{00000000-0005-0000-0000-0000BA4C0000}"/>
    <cellStyle name="Normal 2 2 4 2 5 4" xfId="13618" xr:uid="{00000000-0005-0000-0000-0000BB4C0000}"/>
    <cellStyle name="Normal 2 2 4 2 5 4 2" xfId="52046" xr:uid="{00000000-0005-0000-0000-0000BC4C0000}"/>
    <cellStyle name="Normal 2 2 4 2 5 5" xfId="13619" xr:uid="{00000000-0005-0000-0000-0000BD4C0000}"/>
    <cellStyle name="Normal 2 2 4 2 5 6" xfId="13620" xr:uid="{00000000-0005-0000-0000-0000BE4C0000}"/>
    <cellStyle name="Normal 2 2 4 2 5 7" xfId="13621" xr:uid="{00000000-0005-0000-0000-0000BF4C0000}"/>
    <cellStyle name="Normal 2 2 4 2 6" xfId="13622" xr:uid="{00000000-0005-0000-0000-0000C04C0000}"/>
    <cellStyle name="Normal 2 2 4 2 6 2" xfId="13623" xr:uid="{00000000-0005-0000-0000-0000C14C0000}"/>
    <cellStyle name="Normal 2 2 4 2 6 2 2" xfId="52047" xr:uid="{00000000-0005-0000-0000-0000C24C0000}"/>
    <cellStyle name="Normal 2 2 4 2 6 2 3" xfId="52048" xr:uid="{00000000-0005-0000-0000-0000C34C0000}"/>
    <cellStyle name="Normal 2 2 4 2 6 3" xfId="13624" xr:uid="{00000000-0005-0000-0000-0000C44C0000}"/>
    <cellStyle name="Normal 2 2 4 2 6 3 2" xfId="52049" xr:uid="{00000000-0005-0000-0000-0000C54C0000}"/>
    <cellStyle name="Normal 2 2 4 2 6 4" xfId="13625" xr:uid="{00000000-0005-0000-0000-0000C64C0000}"/>
    <cellStyle name="Normal 2 2 4 2 6 5" xfId="13626" xr:uid="{00000000-0005-0000-0000-0000C74C0000}"/>
    <cellStyle name="Normal 2 2 4 2 6 6" xfId="13627" xr:uid="{00000000-0005-0000-0000-0000C84C0000}"/>
    <cellStyle name="Normal 2 2 4 2 7" xfId="13628" xr:uid="{00000000-0005-0000-0000-0000C94C0000}"/>
    <cellStyle name="Normal 2 2 4 2 7 2" xfId="52050" xr:uid="{00000000-0005-0000-0000-0000CA4C0000}"/>
    <cellStyle name="Normal 2 2 4 2 7 3" xfId="52051" xr:uid="{00000000-0005-0000-0000-0000CB4C0000}"/>
    <cellStyle name="Normal 2 2 4 2 8" xfId="13629" xr:uid="{00000000-0005-0000-0000-0000CC4C0000}"/>
    <cellStyle name="Normal 2 2 4 2 8 2" xfId="52052" xr:uid="{00000000-0005-0000-0000-0000CD4C0000}"/>
    <cellStyle name="Normal 2 2 4 2 9" xfId="13630" xr:uid="{00000000-0005-0000-0000-0000CE4C0000}"/>
    <cellStyle name="Normal 2 2 4 2 9 2" xfId="52053" xr:uid="{00000000-0005-0000-0000-0000CF4C0000}"/>
    <cellStyle name="Normal 2 2 4 20" xfId="13631" xr:uid="{00000000-0005-0000-0000-0000D04C0000}"/>
    <cellStyle name="Normal 2 2 4 3" xfId="13632" xr:uid="{00000000-0005-0000-0000-0000D14C0000}"/>
    <cellStyle name="Normal 2 2 4 3 10" xfId="13633" xr:uid="{00000000-0005-0000-0000-0000D24C0000}"/>
    <cellStyle name="Normal 2 2 4 3 11" xfId="13634" xr:uid="{00000000-0005-0000-0000-0000D34C0000}"/>
    <cellStyle name="Normal 2 2 4 3 12" xfId="13635" xr:uid="{00000000-0005-0000-0000-0000D44C0000}"/>
    <cellStyle name="Normal 2 2 4 3 13" xfId="13636" xr:uid="{00000000-0005-0000-0000-0000D54C0000}"/>
    <cellStyle name="Normal 2 2 4 3 14" xfId="13637" xr:uid="{00000000-0005-0000-0000-0000D64C0000}"/>
    <cellStyle name="Normal 2 2 4 3 15" xfId="13638" xr:uid="{00000000-0005-0000-0000-0000D74C0000}"/>
    <cellStyle name="Normal 2 2 4 3 2" xfId="13639" xr:uid="{00000000-0005-0000-0000-0000D84C0000}"/>
    <cellStyle name="Normal 2 2 4 3 2 10" xfId="13640" xr:uid="{00000000-0005-0000-0000-0000D94C0000}"/>
    <cellStyle name="Normal 2 2 4 3 2 11" xfId="13641" xr:uid="{00000000-0005-0000-0000-0000DA4C0000}"/>
    <cellStyle name="Normal 2 2 4 3 2 12" xfId="13642" xr:uid="{00000000-0005-0000-0000-0000DB4C0000}"/>
    <cellStyle name="Normal 2 2 4 3 2 13" xfId="13643" xr:uid="{00000000-0005-0000-0000-0000DC4C0000}"/>
    <cellStyle name="Normal 2 2 4 3 2 14" xfId="13644" xr:uid="{00000000-0005-0000-0000-0000DD4C0000}"/>
    <cellStyle name="Normal 2 2 4 3 2 2" xfId="13645" xr:uid="{00000000-0005-0000-0000-0000DE4C0000}"/>
    <cellStyle name="Normal 2 2 4 3 2 2 2" xfId="13646" xr:uid="{00000000-0005-0000-0000-0000DF4C0000}"/>
    <cellStyle name="Normal 2 2 4 3 2 2 2 2" xfId="13647" xr:uid="{00000000-0005-0000-0000-0000E04C0000}"/>
    <cellStyle name="Normal 2 2 4 3 2 2 2 2 2" xfId="13648" xr:uid="{00000000-0005-0000-0000-0000E14C0000}"/>
    <cellStyle name="Normal 2 2 4 3 2 2 2 2 2 2" xfId="52054" xr:uid="{00000000-0005-0000-0000-0000E24C0000}"/>
    <cellStyle name="Normal 2 2 4 3 2 2 2 2 2 3" xfId="52055" xr:uid="{00000000-0005-0000-0000-0000E34C0000}"/>
    <cellStyle name="Normal 2 2 4 3 2 2 2 2 3" xfId="13649" xr:uid="{00000000-0005-0000-0000-0000E44C0000}"/>
    <cellStyle name="Normal 2 2 4 3 2 2 2 2 3 2" xfId="52056" xr:uid="{00000000-0005-0000-0000-0000E54C0000}"/>
    <cellStyle name="Normal 2 2 4 3 2 2 2 2 4" xfId="13650" xr:uid="{00000000-0005-0000-0000-0000E64C0000}"/>
    <cellStyle name="Normal 2 2 4 3 2 2 2 2 5" xfId="13651" xr:uid="{00000000-0005-0000-0000-0000E74C0000}"/>
    <cellStyle name="Normal 2 2 4 3 2 2 2 2 6" xfId="13652" xr:uid="{00000000-0005-0000-0000-0000E84C0000}"/>
    <cellStyle name="Normal 2 2 4 3 2 2 2 3" xfId="13653" xr:uid="{00000000-0005-0000-0000-0000E94C0000}"/>
    <cellStyle name="Normal 2 2 4 3 2 2 2 3 2" xfId="52057" xr:uid="{00000000-0005-0000-0000-0000EA4C0000}"/>
    <cellStyle name="Normal 2 2 4 3 2 2 2 3 3" xfId="52058" xr:uid="{00000000-0005-0000-0000-0000EB4C0000}"/>
    <cellStyle name="Normal 2 2 4 3 2 2 2 4" xfId="13654" xr:uid="{00000000-0005-0000-0000-0000EC4C0000}"/>
    <cellStyle name="Normal 2 2 4 3 2 2 2 4 2" xfId="52059" xr:uid="{00000000-0005-0000-0000-0000ED4C0000}"/>
    <cellStyle name="Normal 2 2 4 3 2 2 2 5" xfId="13655" xr:uid="{00000000-0005-0000-0000-0000EE4C0000}"/>
    <cellStyle name="Normal 2 2 4 3 2 2 2 6" xfId="13656" xr:uid="{00000000-0005-0000-0000-0000EF4C0000}"/>
    <cellStyle name="Normal 2 2 4 3 2 2 2 7" xfId="13657" xr:uid="{00000000-0005-0000-0000-0000F04C0000}"/>
    <cellStyle name="Normal 2 2 4 3 2 2 3" xfId="13658" xr:uid="{00000000-0005-0000-0000-0000F14C0000}"/>
    <cellStyle name="Normal 2 2 4 3 2 2 3 2" xfId="13659" xr:uid="{00000000-0005-0000-0000-0000F24C0000}"/>
    <cellStyle name="Normal 2 2 4 3 2 2 3 2 2" xfId="52060" xr:uid="{00000000-0005-0000-0000-0000F34C0000}"/>
    <cellStyle name="Normal 2 2 4 3 2 2 3 2 3" xfId="52061" xr:uid="{00000000-0005-0000-0000-0000F44C0000}"/>
    <cellStyle name="Normal 2 2 4 3 2 2 3 3" xfId="13660" xr:uid="{00000000-0005-0000-0000-0000F54C0000}"/>
    <cellStyle name="Normal 2 2 4 3 2 2 3 3 2" xfId="52062" xr:uid="{00000000-0005-0000-0000-0000F64C0000}"/>
    <cellStyle name="Normal 2 2 4 3 2 2 3 4" xfId="13661" xr:uid="{00000000-0005-0000-0000-0000F74C0000}"/>
    <cellStyle name="Normal 2 2 4 3 2 2 3 5" xfId="13662" xr:uid="{00000000-0005-0000-0000-0000F84C0000}"/>
    <cellStyle name="Normal 2 2 4 3 2 2 3 6" xfId="13663" xr:uid="{00000000-0005-0000-0000-0000F94C0000}"/>
    <cellStyle name="Normal 2 2 4 3 2 2 4" xfId="13664" xr:uid="{00000000-0005-0000-0000-0000FA4C0000}"/>
    <cellStyle name="Normal 2 2 4 3 2 2 4 2" xfId="52063" xr:uid="{00000000-0005-0000-0000-0000FB4C0000}"/>
    <cellStyle name="Normal 2 2 4 3 2 2 4 3" xfId="52064" xr:uid="{00000000-0005-0000-0000-0000FC4C0000}"/>
    <cellStyle name="Normal 2 2 4 3 2 2 5" xfId="13665" xr:uid="{00000000-0005-0000-0000-0000FD4C0000}"/>
    <cellStyle name="Normal 2 2 4 3 2 2 5 2" xfId="52065" xr:uid="{00000000-0005-0000-0000-0000FE4C0000}"/>
    <cellStyle name="Normal 2 2 4 3 2 2 6" xfId="13666" xr:uid="{00000000-0005-0000-0000-0000FF4C0000}"/>
    <cellStyle name="Normal 2 2 4 3 2 2 7" xfId="13667" xr:uid="{00000000-0005-0000-0000-0000004D0000}"/>
    <cellStyle name="Normal 2 2 4 3 2 2 8" xfId="13668" xr:uid="{00000000-0005-0000-0000-0000014D0000}"/>
    <cellStyle name="Normal 2 2 4 3 2 2 9" xfId="13669" xr:uid="{00000000-0005-0000-0000-0000024D0000}"/>
    <cellStyle name="Normal 2 2 4 3 2 3" xfId="13670" xr:uid="{00000000-0005-0000-0000-0000034D0000}"/>
    <cellStyle name="Normal 2 2 4 3 2 3 2" xfId="13671" xr:uid="{00000000-0005-0000-0000-0000044D0000}"/>
    <cellStyle name="Normal 2 2 4 3 2 3 2 2" xfId="13672" xr:uid="{00000000-0005-0000-0000-0000054D0000}"/>
    <cellStyle name="Normal 2 2 4 3 2 3 2 2 2" xfId="13673" xr:uid="{00000000-0005-0000-0000-0000064D0000}"/>
    <cellStyle name="Normal 2 2 4 3 2 3 2 2 2 2" xfId="52066" xr:uid="{00000000-0005-0000-0000-0000074D0000}"/>
    <cellStyle name="Normal 2 2 4 3 2 3 2 2 2 3" xfId="52067" xr:uid="{00000000-0005-0000-0000-0000084D0000}"/>
    <cellStyle name="Normal 2 2 4 3 2 3 2 2 3" xfId="13674" xr:uid="{00000000-0005-0000-0000-0000094D0000}"/>
    <cellStyle name="Normal 2 2 4 3 2 3 2 2 3 2" xfId="52068" xr:uid="{00000000-0005-0000-0000-00000A4D0000}"/>
    <cellStyle name="Normal 2 2 4 3 2 3 2 2 4" xfId="13675" xr:uid="{00000000-0005-0000-0000-00000B4D0000}"/>
    <cellStyle name="Normal 2 2 4 3 2 3 2 2 5" xfId="13676" xr:uid="{00000000-0005-0000-0000-00000C4D0000}"/>
    <cellStyle name="Normal 2 2 4 3 2 3 2 2 6" xfId="13677" xr:uid="{00000000-0005-0000-0000-00000D4D0000}"/>
    <cellStyle name="Normal 2 2 4 3 2 3 2 3" xfId="13678" xr:uid="{00000000-0005-0000-0000-00000E4D0000}"/>
    <cellStyle name="Normal 2 2 4 3 2 3 2 3 2" xfId="52069" xr:uid="{00000000-0005-0000-0000-00000F4D0000}"/>
    <cellStyle name="Normal 2 2 4 3 2 3 2 3 3" xfId="52070" xr:uid="{00000000-0005-0000-0000-0000104D0000}"/>
    <cellStyle name="Normal 2 2 4 3 2 3 2 4" xfId="13679" xr:uid="{00000000-0005-0000-0000-0000114D0000}"/>
    <cellStyle name="Normal 2 2 4 3 2 3 2 4 2" xfId="52071" xr:uid="{00000000-0005-0000-0000-0000124D0000}"/>
    <cellStyle name="Normal 2 2 4 3 2 3 2 5" xfId="13680" xr:uid="{00000000-0005-0000-0000-0000134D0000}"/>
    <cellStyle name="Normal 2 2 4 3 2 3 2 6" xfId="13681" xr:uid="{00000000-0005-0000-0000-0000144D0000}"/>
    <cellStyle name="Normal 2 2 4 3 2 3 2 7" xfId="13682" xr:uid="{00000000-0005-0000-0000-0000154D0000}"/>
    <cellStyle name="Normal 2 2 4 3 2 3 3" xfId="13683" xr:uid="{00000000-0005-0000-0000-0000164D0000}"/>
    <cellStyle name="Normal 2 2 4 3 2 3 3 2" xfId="13684" xr:uid="{00000000-0005-0000-0000-0000174D0000}"/>
    <cellStyle name="Normal 2 2 4 3 2 3 3 2 2" xfId="52072" xr:uid="{00000000-0005-0000-0000-0000184D0000}"/>
    <cellStyle name="Normal 2 2 4 3 2 3 3 2 3" xfId="52073" xr:uid="{00000000-0005-0000-0000-0000194D0000}"/>
    <cellStyle name="Normal 2 2 4 3 2 3 3 3" xfId="13685" xr:uid="{00000000-0005-0000-0000-00001A4D0000}"/>
    <cellStyle name="Normal 2 2 4 3 2 3 3 3 2" xfId="52074" xr:uid="{00000000-0005-0000-0000-00001B4D0000}"/>
    <cellStyle name="Normal 2 2 4 3 2 3 3 4" xfId="13686" xr:uid="{00000000-0005-0000-0000-00001C4D0000}"/>
    <cellStyle name="Normal 2 2 4 3 2 3 3 5" xfId="13687" xr:uid="{00000000-0005-0000-0000-00001D4D0000}"/>
    <cellStyle name="Normal 2 2 4 3 2 3 3 6" xfId="13688" xr:uid="{00000000-0005-0000-0000-00001E4D0000}"/>
    <cellStyle name="Normal 2 2 4 3 2 3 4" xfId="13689" xr:uid="{00000000-0005-0000-0000-00001F4D0000}"/>
    <cellStyle name="Normal 2 2 4 3 2 3 4 2" xfId="52075" xr:uid="{00000000-0005-0000-0000-0000204D0000}"/>
    <cellStyle name="Normal 2 2 4 3 2 3 4 3" xfId="52076" xr:uid="{00000000-0005-0000-0000-0000214D0000}"/>
    <cellStyle name="Normal 2 2 4 3 2 3 5" xfId="13690" xr:uid="{00000000-0005-0000-0000-0000224D0000}"/>
    <cellStyle name="Normal 2 2 4 3 2 3 5 2" xfId="52077" xr:uid="{00000000-0005-0000-0000-0000234D0000}"/>
    <cellStyle name="Normal 2 2 4 3 2 3 6" xfId="13691" xr:uid="{00000000-0005-0000-0000-0000244D0000}"/>
    <cellStyle name="Normal 2 2 4 3 2 3 7" xfId="13692" xr:uid="{00000000-0005-0000-0000-0000254D0000}"/>
    <cellStyle name="Normal 2 2 4 3 2 3 8" xfId="13693" xr:uid="{00000000-0005-0000-0000-0000264D0000}"/>
    <cellStyle name="Normal 2 2 4 3 2 4" xfId="13694" xr:uid="{00000000-0005-0000-0000-0000274D0000}"/>
    <cellStyle name="Normal 2 2 4 3 2 4 2" xfId="13695" xr:uid="{00000000-0005-0000-0000-0000284D0000}"/>
    <cellStyle name="Normal 2 2 4 3 2 4 2 2" xfId="13696" xr:uid="{00000000-0005-0000-0000-0000294D0000}"/>
    <cellStyle name="Normal 2 2 4 3 2 4 2 2 2" xfId="52078" xr:uid="{00000000-0005-0000-0000-00002A4D0000}"/>
    <cellStyle name="Normal 2 2 4 3 2 4 2 2 3" xfId="52079" xr:uid="{00000000-0005-0000-0000-00002B4D0000}"/>
    <cellStyle name="Normal 2 2 4 3 2 4 2 3" xfId="13697" xr:uid="{00000000-0005-0000-0000-00002C4D0000}"/>
    <cellStyle name="Normal 2 2 4 3 2 4 2 3 2" xfId="52080" xr:uid="{00000000-0005-0000-0000-00002D4D0000}"/>
    <cellStyle name="Normal 2 2 4 3 2 4 2 4" xfId="13698" xr:uid="{00000000-0005-0000-0000-00002E4D0000}"/>
    <cellStyle name="Normal 2 2 4 3 2 4 2 5" xfId="13699" xr:uid="{00000000-0005-0000-0000-00002F4D0000}"/>
    <cellStyle name="Normal 2 2 4 3 2 4 2 6" xfId="13700" xr:uid="{00000000-0005-0000-0000-0000304D0000}"/>
    <cellStyle name="Normal 2 2 4 3 2 4 3" xfId="13701" xr:uid="{00000000-0005-0000-0000-0000314D0000}"/>
    <cellStyle name="Normal 2 2 4 3 2 4 3 2" xfId="52081" xr:uid="{00000000-0005-0000-0000-0000324D0000}"/>
    <cellStyle name="Normal 2 2 4 3 2 4 3 3" xfId="52082" xr:uid="{00000000-0005-0000-0000-0000334D0000}"/>
    <cellStyle name="Normal 2 2 4 3 2 4 4" xfId="13702" xr:uid="{00000000-0005-0000-0000-0000344D0000}"/>
    <cellStyle name="Normal 2 2 4 3 2 4 4 2" xfId="52083" xr:uid="{00000000-0005-0000-0000-0000354D0000}"/>
    <cellStyle name="Normal 2 2 4 3 2 4 5" xfId="13703" xr:uid="{00000000-0005-0000-0000-0000364D0000}"/>
    <cellStyle name="Normal 2 2 4 3 2 4 6" xfId="13704" xr:uid="{00000000-0005-0000-0000-0000374D0000}"/>
    <cellStyle name="Normal 2 2 4 3 2 4 7" xfId="13705" xr:uid="{00000000-0005-0000-0000-0000384D0000}"/>
    <cellStyle name="Normal 2 2 4 3 2 5" xfId="13706" xr:uid="{00000000-0005-0000-0000-0000394D0000}"/>
    <cellStyle name="Normal 2 2 4 3 2 5 2" xfId="13707" xr:uid="{00000000-0005-0000-0000-00003A4D0000}"/>
    <cellStyle name="Normal 2 2 4 3 2 5 2 2" xfId="52084" xr:uid="{00000000-0005-0000-0000-00003B4D0000}"/>
    <cellStyle name="Normal 2 2 4 3 2 5 2 3" xfId="52085" xr:uid="{00000000-0005-0000-0000-00003C4D0000}"/>
    <cellStyle name="Normal 2 2 4 3 2 5 3" xfId="13708" xr:uid="{00000000-0005-0000-0000-00003D4D0000}"/>
    <cellStyle name="Normal 2 2 4 3 2 5 3 2" xfId="52086" xr:uid="{00000000-0005-0000-0000-00003E4D0000}"/>
    <cellStyle name="Normal 2 2 4 3 2 5 4" xfId="13709" xr:uid="{00000000-0005-0000-0000-00003F4D0000}"/>
    <cellStyle name="Normal 2 2 4 3 2 5 5" xfId="13710" xr:uid="{00000000-0005-0000-0000-0000404D0000}"/>
    <cellStyle name="Normal 2 2 4 3 2 5 6" xfId="13711" xr:uid="{00000000-0005-0000-0000-0000414D0000}"/>
    <cellStyle name="Normal 2 2 4 3 2 6" xfId="13712" xr:uid="{00000000-0005-0000-0000-0000424D0000}"/>
    <cellStyle name="Normal 2 2 4 3 2 6 2" xfId="52087" xr:uid="{00000000-0005-0000-0000-0000434D0000}"/>
    <cellStyle name="Normal 2 2 4 3 2 6 3" xfId="52088" xr:uid="{00000000-0005-0000-0000-0000444D0000}"/>
    <cellStyle name="Normal 2 2 4 3 2 7" xfId="13713" xr:uid="{00000000-0005-0000-0000-0000454D0000}"/>
    <cellStyle name="Normal 2 2 4 3 2 7 2" xfId="52089" xr:uid="{00000000-0005-0000-0000-0000464D0000}"/>
    <cellStyle name="Normal 2 2 4 3 2 8" xfId="13714" xr:uid="{00000000-0005-0000-0000-0000474D0000}"/>
    <cellStyle name="Normal 2 2 4 3 2 9" xfId="13715" xr:uid="{00000000-0005-0000-0000-0000484D0000}"/>
    <cellStyle name="Normal 2 2 4 3 3" xfId="13716" xr:uid="{00000000-0005-0000-0000-0000494D0000}"/>
    <cellStyle name="Normal 2 2 4 3 3 2" xfId="13717" xr:uid="{00000000-0005-0000-0000-00004A4D0000}"/>
    <cellStyle name="Normal 2 2 4 3 3 2 2" xfId="13718" xr:uid="{00000000-0005-0000-0000-00004B4D0000}"/>
    <cellStyle name="Normal 2 2 4 3 3 2 2 2" xfId="13719" xr:uid="{00000000-0005-0000-0000-00004C4D0000}"/>
    <cellStyle name="Normal 2 2 4 3 3 2 2 2 2" xfId="52090" xr:uid="{00000000-0005-0000-0000-00004D4D0000}"/>
    <cellStyle name="Normal 2 2 4 3 3 2 2 2 3" xfId="52091" xr:uid="{00000000-0005-0000-0000-00004E4D0000}"/>
    <cellStyle name="Normal 2 2 4 3 3 2 2 3" xfId="13720" xr:uid="{00000000-0005-0000-0000-00004F4D0000}"/>
    <cellStyle name="Normal 2 2 4 3 3 2 2 3 2" xfId="52092" xr:uid="{00000000-0005-0000-0000-0000504D0000}"/>
    <cellStyle name="Normal 2 2 4 3 3 2 2 4" xfId="13721" xr:uid="{00000000-0005-0000-0000-0000514D0000}"/>
    <cellStyle name="Normal 2 2 4 3 3 2 2 5" xfId="13722" xr:uid="{00000000-0005-0000-0000-0000524D0000}"/>
    <cellStyle name="Normal 2 2 4 3 3 2 2 6" xfId="13723" xr:uid="{00000000-0005-0000-0000-0000534D0000}"/>
    <cellStyle name="Normal 2 2 4 3 3 2 3" xfId="13724" xr:uid="{00000000-0005-0000-0000-0000544D0000}"/>
    <cellStyle name="Normal 2 2 4 3 3 2 3 2" xfId="52093" xr:uid="{00000000-0005-0000-0000-0000554D0000}"/>
    <cellStyle name="Normal 2 2 4 3 3 2 3 3" xfId="52094" xr:uid="{00000000-0005-0000-0000-0000564D0000}"/>
    <cellStyle name="Normal 2 2 4 3 3 2 4" xfId="13725" xr:uid="{00000000-0005-0000-0000-0000574D0000}"/>
    <cellStyle name="Normal 2 2 4 3 3 2 4 2" xfId="52095" xr:uid="{00000000-0005-0000-0000-0000584D0000}"/>
    <cellStyle name="Normal 2 2 4 3 3 2 5" xfId="13726" xr:uid="{00000000-0005-0000-0000-0000594D0000}"/>
    <cellStyle name="Normal 2 2 4 3 3 2 6" xfId="13727" xr:uid="{00000000-0005-0000-0000-00005A4D0000}"/>
    <cellStyle name="Normal 2 2 4 3 3 2 7" xfId="13728" xr:uid="{00000000-0005-0000-0000-00005B4D0000}"/>
    <cellStyle name="Normal 2 2 4 3 3 3" xfId="13729" xr:uid="{00000000-0005-0000-0000-00005C4D0000}"/>
    <cellStyle name="Normal 2 2 4 3 3 3 2" xfId="13730" xr:uid="{00000000-0005-0000-0000-00005D4D0000}"/>
    <cellStyle name="Normal 2 2 4 3 3 3 2 2" xfId="52096" xr:uid="{00000000-0005-0000-0000-00005E4D0000}"/>
    <cellStyle name="Normal 2 2 4 3 3 3 2 3" xfId="52097" xr:uid="{00000000-0005-0000-0000-00005F4D0000}"/>
    <cellStyle name="Normal 2 2 4 3 3 3 3" xfId="13731" xr:uid="{00000000-0005-0000-0000-0000604D0000}"/>
    <cellStyle name="Normal 2 2 4 3 3 3 3 2" xfId="52098" xr:uid="{00000000-0005-0000-0000-0000614D0000}"/>
    <cellStyle name="Normal 2 2 4 3 3 3 4" xfId="13732" xr:uid="{00000000-0005-0000-0000-0000624D0000}"/>
    <cellStyle name="Normal 2 2 4 3 3 3 5" xfId="13733" xr:uid="{00000000-0005-0000-0000-0000634D0000}"/>
    <cellStyle name="Normal 2 2 4 3 3 3 6" xfId="13734" xr:uid="{00000000-0005-0000-0000-0000644D0000}"/>
    <cellStyle name="Normal 2 2 4 3 3 4" xfId="13735" xr:uid="{00000000-0005-0000-0000-0000654D0000}"/>
    <cellStyle name="Normal 2 2 4 3 3 4 2" xfId="52099" xr:uid="{00000000-0005-0000-0000-0000664D0000}"/>
    <cellStyle name="Normal 2 2 4 3 3 4 3" xfId="52100" xr:uid="{00000000-0005-0000-0000-0000674D0000}"/>
    <cellStyle name="Normal 2 2 4 3 3 5" xfId="13736" xr:uid="{00000000-0005-0000-0000-0000684D0000}"/>
    <cellStyle name="Normal 2 2 4 3 3 5 2" xfId="52101" xr:uid="{00000000-0005-0000-0000-0000694D0000}"/>
    <cellStyle name="Normal 2 2 4 3 3 6" xfId="13737" xr:uid="{00000000-0005-0000-0000-00006A4D0000}"/>
    <cellStyle name="Normal 2 2 4 3 3 7" xfId="13738" xr:uid="{00000000-0005-0000-0000-00006B4D0000}"/>
    <cellStyle name="Normal 2 2 4 3 3 8" xfId="13739" xr:uid="{00000000-0005-0000-0000-00006C4D0000}"/>
    <cellStyle name="Normal 2 2 4 3 3 9" xfId="13740" xr:uid="{00000000-0005-0000-0000-00006D4D0000}"/>
    <cellStyle name="Normal 2 2 4 3 4" xfId="13741" xr:uid="{00000000-0005-0000-0000-00006E4D0000}"/>
    <cellStyle name="Normal 2 2 4 3 4 2" xfId="13742" xr:uid="{00000000-0005-0000-0000-00006F4D0000}"/>
    <cellStyle name="Normal 2 2 4 3 4 2 2" xfId="13743" xr:uid="{00000000-0005-0000-0000-0000704D0000}"/>
    <cellStyle name="Normal 2 2 4 3 4 2 2 2" xfId="13744" xr:uid="{00000000-0005-0000-0000-0000714D0000}"/>
    <cellStyle name="Normal 2 2 4 3 4 2 2 2 2" xfId="52102" xr:uid="{00000000-0005-0000-0000-0000724D0000}"/>
    <cellStyle name="Normal 2 2 4 3 4 2 2 2 3" xfId="52103" xr:uid="{00000000-0005-0000-0000-0000734D0000}"/>
    <cellStyle name="Normal 2 2 4 3 4 2 2 3" xfId="13745" xr:uid="{00000000-0005-0000-0000-0000744D0000}"/>
    <cellStyle name="Normal 2 2 4 3 4 2 2 3 2" xfId="52104" xr:uid="{00000000-0005-0000-0000-0000754D0000}"/>
    <cellStyle name="Normal 2 2 4 3 4 2 2 4" xfId="13746" xr:uid="{00000000-0005-0000-0000-0000764D0000}"/>
    <cellStyle name="Normal 2 2 4 3 4 2 2 5" xfId="13747" xr:uid="{00000000-0005-0000-0000-0000774D0000}"/>
    <cellStyle name="Normal 2 2 4 3 4 2 2 6" xfId="13748" xr:uid="{00000000-0005-0000-0000-0000784D0000}"/>
    <cellStyle name="Normal 2 2 4 3 4 2 3" xfId="13749" xr:uid="{00000000-0005-0000-0000-0000794D0000}"/>
    <cellStyle name="Normal 2 2 4 3 4 2 3 2" xfId="52105" xr:uid="{00000000-0005-0000-0000-00007A4D0000}"/>
    <cellStyle name="Normal 2 2 4 3 4 2 3 3" xfId="52106" xr:uid="{00000000-0005-0000-0000-00007B4D0000}"/>
    <cellStyle name="Normal 2 2 4 3 4 2 4" xfId="13750" xr:uid="{00000000-0005-0000-0000-00007C4D0000}"/>
    <cellStyle name="Normal 2 2 4 3 4 2 4 2" xfId="52107" xr:uid="{00000000-0005-0000-0000-00007D4D0000}"/>
    <cellStyle name="Normal 2 2 4 3 4 2 5" xfId="13751" xr:uid="{00000000-0005-0000-0000-00007E4D0000}"/>
    <cellStyle name="Normal 2 2 4 3 4 2 6" xfId="13752" xr:uid="{00000000-0005-0000-0000-00007F4D0000}"/>
    <cellStyle name="Normal 2 2 4 3 4 2 7" xfId="13753" xr:uid="{00000000-0005-0000-0000-0000804D0000}"/>
    <cellStyle name="Normal 2 2 4 3 4 3" xfId="13754" xr:uid="{00000000-0005-0000-0000-0000814D0000}"/>
    <cellStyle name="Normal 2 2 4 3 4 3 2" xfId="13755" xr:uid="{00000000-0005-0000-0000-0000824D0000}"/>
    <cellStyle name="Normal 2 2 4 3 4 3 2 2" xfId="52108" xr:uid="{00000000-0005-0000-0000-0000834D0000}"/>
    <cellStyle name="Normal 2 2 4 3 4 3 2 3" xfId="52109" xr:uid="{00000000-0005-0000-0000-0000844D0000}"/>
    <cellStyle name="Normal 2 2 4 3 4 3 3" xfId="13756" xr:uid="{00000000-0005-0000-0000-0000854D0000}"/>
    <cellStyle name="Normal 2 2 4 3 4 3 3 2" xfId="52110" xr:uid="{00000000-0005-0000-0000-0000864D0000}"/>
    <cellStyle name="Normal 2 2 4 3 4 3 4" xfId="13757" xr:uid="{00000000-0005-0000-0000-0000874D0000}"/>
    <cellStyle name="Normal 2 2 4 3 4 3 5" xfId="13758" xr:uid="{00000000-0005-0000-0000-0000884D0000}"/>
    <cellStyle name="Normal 2 2 4 3 4 3 6" xfId="13759" xr:uid="{00000000-0005-0000-0000-0000894D0000}"/>
    <cellStyle name="Normal 2 2 4 3 4 4" xfId="13760" xr:uid="{00000000-0005-0000-0000-00008A4D0000}"/>
    <cellStyle name="Normal 2 2 4 3 4 4 2" xfId="52111" xr:uid="{00000000-0005-0000-0000-00008B4D0000}"/>
    <cellStyle name="Normal 2 2 4 3 4 4 3" xfId="52112" xr:uid="{00000000-0005-0000-0000-00008C4D0000}"/>
    <cellStyle name="Normal 2 2 4 3 4 5" xfId="13761" xr:uid="{00000000-0005-0000-0000-00008D4D0000}"/>
    <cellStyle name="Normal 2 2 4 3 4 5 2" xfId="52113" xr:uid="{00000000-0005-0000-0000-00008E4D0000}"/>
    <cellStyle name="Normal 2 2 4 3 4 6" xfId="13762" xr:uid="{00000000-0005-0000-0000-00008F4D0000}"/>
    <cellStyle name="Normal 2 2 4 3 4 7" xfId="13763" xr:uid="{00000000-0005-0000-0000-0000904D0000}"/>
    <cellStyle name="Normal 2 2 4 3 4 8" xfId="13764" xr:uid="{00000000-0005-0000-0000-0000914D0000}"/>
    <cellStyle name="Normal 2 2 4 3 5" xfId="13765" xr:uid="{00000000-0005-0000-0000-0000924D0000}"/>
    <cellStyle name="Normal 2 2 4 3 5 2" xfId="13766" xr:uid="{00000000-0005-0000-0000-0000934D0000}"/>
    <cellStyle name="Normal 2 2 4 3 5 2 2" xfId="13767" xr:uid="{00000000-0005-0000-0000-0000944D0000}"/>
    <cellStyle name="Normal 2 2 4 3 5 2 2 2" xfId="52114" xr:uid="{00000000-0005-0000-0000-0000954D0000}"/>
    <cellStyle name="Normal 2 2 4 3 5 2 2 3" xfId="52115" xr:uid="{00000000-0005-0000-0000-0000964D0000}"/>
    <cellStyle name="Normal 2 2 4 3 5 2 3" xfId="13768" xr:uid="{00000000-0005-0000-0000-0000974D0000}"/>
    <cellStyle name="Normal 2 2 4 3 5 2 3 2" xfId="52116" xr:uid="{00000000-0005-0000-0000-0000984D0000}"/>
    <cellStyle name="Normal 2 2 4 3 5 2 4" xfId="13769" xr:uid="{00000000-0005-0000-0000-0000994D0000}"/>
    <cellStyle name="Normal 2 2 4 3 5 2 5" xfId="13770" xr:uid="{00000000-0005-0000-0000-00009A4D0000}"/>
    <cellStyle name="Normal 2 2 4 3 5 2 6" xfId="13771" xr:uid="{00000000-0005-0000-0000-00009B4D0000}"/>
    <cellStyle name="Normal 2 2 4 3 5 3" xfId="13772" xr:uid="{00000000-0005-0000-0000-00009C4D0000}"/>
    <cellStyle name="Normal 2 2 4 3 5 3 2" xfId="52117" xr:uid="{00000000-0005-0000-0000-00009D4D0000}"/>
    <cellStyle name="Normal 2 2 4 3 5 3 3" xfId="52118" xr:uid="{00000000-0005-0000-0000-00009E4D0000}"/>
    <cellStyle name="Normal 2 2 4 3 5 4" xfId="13773" xr:uid="{00000000-0005-0000-0000-00009F4D0000}"/>
    <cellStyle name="Normal 2 2 4 3 5 4 2" xfId="52119" xr:uid="{00000000-0005-0000-0000-0000A04D0000}"/>
    <cellStyle name="Normal 2 2 4 3 5 5" xfId="13774" xr:uid="{00000000-0005-0000-0000-0000A14D0000}"/>
    <cellStyle name="Normal 2 2 4 3 5 6" xfId="13775" xr:uid="{00000000-0005-0000-0000-0000A24D0000}"/>
    <cellStyle name="Normal 2 2 4 3 5 7" xfId="13776" xr:uid="{00000000-0005-0000-0000-0000A34D0000}"/>
    <cellStyle name="Normal 2 2 4 3 6" xfId="13777" xr:uid="{00000000-0005-0000-0000-0000A44D0000}"/>
    <cellStyle name="Normal 2 2 4 3 6 2" xfId="13778" xr:uid="{00000000-0005-0000-0000-0000A54D0000}"/>
    <cellStyle name="Normal 2 2 4 3 6 2 2" xfId="52120" xr:uid="{00000000-0005-0000-0000-0000A64D0000}"/>
    <cellStyle name="Normal 2 2 4 3 6 2 3" xfId="52121" xr:uid="{00000000-0005-0000-0000-0000A74D0000}"/>
    <cellStyle name="Normal 2 2 4 3 6 3" xfId="13779" xr:uid="{00000000-0005-0000-0000-0000A84D0000}"/>
    <cellStyle name="Normal 2 2 4 3 6 3 2" xfId="52122" xr:uid="{00000000-0005-0000-0000-0000A94D0000}"/>
    <cellStyle name="Normal 2 2 4 3 6 4" xfId="13780" xr:uid="{00000000-0005-0000-0000-0000AA4D0000}"/>
    <cellStyle name="Normal 2 2 4 3 6 5" xfId="13781" xr:uid="{00000000-0005-0000-0000-0000AB4D0000}"/>
    <cellStyle name="Normal 2 2 4 3 6 6" xfId="13782" xr:uid="{00000000-0005-0000-0000-0000AC4D0000}"/>
    <cellStyle name="Normal 2 2 4 3 7" xfId="13783" xr:uid="{00000000-0005-0000-0000-0000AD4D0000}"/>
    <cellStyle name="Normal 2 2 4 3 7 2" xfId="52123" xr:uid="{00000000-0005-0000-0000-0000AE4D0000}"/>
    <cellStyle name="Normal 2 2 4 3 7 3" xfId="52124" xr:uid="{00000000-0005-0000-0000-0000AF4D0000}"/>
    <cellStyle name="Normal 2 2 4 3 8" xfId="13784" xr:uid="{00000000-0005-0000-0000-0000B04D0000}"/>
    <cellStyle name="Normal 2 2 4 3 8 2" xfId="52125" xr:uid="{00000000-0005-0000-0000-0000B14D0000}"/>
    <cellStyle name="Normal 2 2 4 3 9" xfId="13785" xr:uid="{00000000-0005-0000-0000-0000B24D0000}"/>
    <cellStyle name="Normal 2 2 4 4" xfId="13786" xr:uid="{00000000-0005-0000-0000-0000B34D0000}"/>
    <cellStyle name="Normal 2 2 4 4 10" xfId="13787" xr:uid="{00000000-0005-0000-0000-0000B44D0000}"/>
    <cellStyle name="Normal 2 2 4 4 11" xfId="13788" xr:uid="{00000000-0005-0000-0000-0000B54D0000}"/>
    <cellStyle name="Normal 2 2 4 4 12" xfId="13789" xr:uid="{00000000-0005-0000-0000-0000B64D0000}"/>
    <cellStyle name="Normal 2 2 4 4 13" xfId="13790" xr:uid="{00000000-0005-0000-0000-0000B74D0000}"/>
    <cellStyle name="Normal 2 2 4 4 14" xfId="13791" xr:uid="{00000000-0005-0000-0000-0000B84D0000}"/>
    <cellStyle name="Normal 2 2 4 4 2" xfId="13792" xr:uid="{00000000-0005-0000-0000-0000B94D0000}"/>
    <cellStyle name="Normal 2 2 4 4 2 2" xfId="13793" xr:uid="{00000000-0005-0000-0000-0000BA4D0000}"/>
    <cellStyle name="Normal 2 2 4 4 2 2 2" xfId="13794" xr:uid="{00000000-0005-0000-0000-0000BB4D0000}"/>
    <cellStyle name="Normal 2 2 4 4 2 2 2 2" xfId="13795" xr:uid="{00000000-0005-0000-0000-0000BC4D0000}"/>
    <cellStyle name="Normal 2 2 4 4 2 2 2 2 2" xfId="52126" xr:uid="{00000000-0005-0000-0000-0000BD4D0000}"/>
    <cellStyle name="Normal 2 2 4 4 2 2 2 2 3" xfId="52127" xr:uid="{00000000-0005-0000-0000-0000BE4D0000}"/>
    <cellStyle name="Normal 2 2 4 4 2 2 2 3" xfId="13796" xr:uid="{00000000-0005-0000-0000-0000BF4D0000}"/>
    <cellStyle name="Normal 2 2 4 4 2 2 2 3 2" xfId="52128" xr:uid="{00000000-0005-0000-0000-0000C04D0000}"/>
    <cellStyle name="Normal 2 2 4 4 2 2 2 4" xfId="13797" xr:uid="{00000000-0005-0000-0000-0000C14D0000}"/>
    <cellStyle name="Normal 2 2 4 4 2 2 2 5" xfId="13798" xr:uid="{00000000-0005-0000-0000-0000C24D0000}"/>
    <cellStyle name="Normal 2 2 4 4 2 2 2 6" xfId="13799" xr:uid="{00000000-0005-0000-0000-0000C34D0000}"/>
    <cellStyle name="Normal 2 2 4 4 2 2 3" xfId="13800" xr:uid="{00000000-0005-0000-0000-0000C44D0000}"/>
    <cellStyle name="Normal 2 2 4 4 2 2 3 2" xfId="52129" xr:uid="{00000000-0005-0000-0000-0000C54D0000}"/>
    <cellStyle name="Normal 2 2 4 4 2 2 3 3" xfId="52130" xr:uid="{00000000-0005-0000-0000-0000C64D0000}"/>
    <cellStyle name="Normal 2 2 4 4 2 2 4" xfId="13801" xr:uid="{00000000-0005-0000-0000-0000C74D0000}"/>
    <cellStyle name="Normal 2 2 4 4 2 2 4 2" xfId="52131" xr:uid="{00000000-0005-0000-0000-0000C84D0000}"/>
    <cellStyle name="Normal 2 2 4 4 2 2 5" xfId="13802" xr:uid="{00000000-0005-0000-0000-0000C94D0000}"/>
    <cellStyle name="Normal 2 2 4 4 2 2 6" xfId="13803" xr:uid="{00000000-0005-0000-0000-0000CA4D0000}"/>
    <cellStyle name="Normal 2 2 4 4 2 2 7" xfId="13804" xr:uid="{00000000-0005-0000-0000-0000CB4D0000}"/>
    <cellStyle name="Normal 2 2 4 4 2 3" xfId="13805" xr:uid="{00000000-0005-0000-0000-0000CC4D0000}"/>
    <cellStyle name="Normal 2 2 4 4 2 3 2" xfId="13806" xr:uid="{00000000-0005-0000-0000-0000CD4D0000}"/>
    <cellStyle name="Normal 2 2 4 4 2 3 2 2" xfId="52132" xr:uid="{00000000-0005-0000-0000-0000CE4D0000}"/>
    <cellStyle name="Normal 2 2 4 4 2 3 2 3" xfId="52133" xr:uid="{00000000-0005-0000-0000-0000CF4D0000}"/>
    <cellStyle name="Normal 2 2 4 4 2 3 3" xfId="13807" xr:uid="{00000000-0005-0000-0000-0000D04D0000}"/>
    <cellStyle name="Normal 2 2 4 4 2 3 3 2" xfId="52134" xr:uid="{00000000-0005-0000-0000-0000D14D0000}"/>
    <cellStyle name="Normal 2 2 4 4 2 3 4" xfId="13808" xr:uid="{00000000-0005-0000-0000-0000D24D0000}"/>
    <cellStyle name="Normal 2 2 4 4 2 3 5" xfId="13809" xr:uid="{00000000-0005-0000-0000-0000D34D0000}"/>
    <cellStyle name="Normal 2 2 4 4 2 3 6" xfId="13810" xr:uid="{00000000-0005-0000-0000-0000D44D0000}"/>
    <cellStyle name="Normal 2 2 4 4 2 4" xfId="13811" xr:uid="{00000000-0005-0000-0000-0000D54D0000}"/>
    <cellStyle name="Normal 2 2 4 4 2 4 2" xfId="52135" xr:uid="{00000000-0005-0000-0000-0000D64D0000}"/>
    <cellStyle name="Normal 2 2 4 4 2 4 3" xfId="52136" xr:uid="{00000000-0005-0000-0000-0000D74D0000}"/>
    <cellStyle name="Normal 2 2 4 4 2 5" xfId="13812" xr:uid="{00000000-0005-0000-0000-0000D84D0000}"/>
    <cellStyle name="Normal 2 2 4 4 2 5 2" xfId="52137" xr:uid="{00000000-0005-0000-0000-0000D94D0000}"/>
    <cellStyle name="Normal 2 2 4 4 2 6" xfId="13813" xr:uid="{00000000-0005-0000-0000-0000DA4D0000}"/>
    <cellStyle name="Normal 2 2 4 4 2 7" xfId="13814" xr:uid="{00000000-0005-0000-0000-0000DB4D0000}"/>
    <cellStyle name="Normal 2 2 4 4 2 8" xfId="13815" xr:uid="{00000000-0005-0000-0000-0000DC4D0000}"/>
    <cellStyle name="Normal 2 2 4 4 2 9" xfId="13816" xr:uid="{00000000-0005-0000-0000-0000DD4D0000}"/>
    <cellStyle name="Normal 2 2 4 4 3" xfId="13817" xr:uid="{00000000-0005-0000-0000-0000DE4D0000}"/>
    <cellStyle name="Normal 2 2 4 4 3 2" xfId="13818" xr:uid="{00000000-0005-0000-0000-0000DF4D0000}"/>
    <cellStyle name="Normal 2 2 4 4 3 2 2" xfId="13819" xr:uid="{00000000-0005-0000-0000-0000E04D0000}"/>
    <cellStyle name="Normal 2 2 4 4 3 2 2 2" xfId="13820" xr:uid="{00000000-0005-0000-0000-0000E14D0000}"/>
    <cellStyle name="Normal 2 2 4 4 3 2 2 2 2" xfId="52138" xr:uid="{00000000-0005-0000-0000-0000E24D0000}"/>
    <cellStyle name="Normal 2 2 4 4 3 2 2 2 3" xfId="52139" xr:uid="{00000000-0005-0000-0000-0000E34D0000}"/>
    <cellStyle name="Normal 2 2 4 4 3 2 2 3" xfId="13821" xr:uid="{00000000-0005-0000-0000-0000E44D0000}"/>
    <cellStyle name="Normal 2 2 4 4 3 2 2 3 2" xfId="52140" xr:uid="{00000000-0005-0000-0000-0000E54D0000}"/>
    <cellStyle name="Normal 2 2 4 4 3 2 2 4" xfId="13822" xr:uid="{00000000-0005-0000-0000-0000E64D0000}"/>
    <cellStyle name="Normal 2 2 4 4 3 2 2 5" xfId="13823" xr:uid="{00000000-0005-0000-0000-0000E74D0000}"/>
    <cellStyle name="Normal 2 2 4 4 3 2 2 6" xfId="13824" xr:uid="{00000000-0005-0000-0000-0000E84D0000}"/>
    <cellStyle name="Normal 2 2 4 4 3 2 3" xfId="13825" xr:uid="{00000000-0005-0000-0000-0000E94D0000}"/>
    <cellStyle name="Normal 2 2 4 4 3 2 3 2" xfId="52141" xr:uid="{00000000-0005-0000-0000-0000EA4D0000}"/>
    <cellStyle name="Normal 2 2 4 4 3 2 3 3" xfId="52142" xr:uid="{00000000-0005-0000-0000-0000EB4D0000}"/>
    <cellStyle name="Normal 2 2 4 4 3 2 4" xfId="13826" xr:uid="{00000000-0005-0000-0000-0000EC4D0000}"/>
    <cellStyle name="Normal 2 2 4 4 3 2 4 2" xfId="52143" xr:uid="{00000000-0005-0000-0000-0000ED4D0000}"/>
    <cellStyle name="Normal 2 2 4 4 3 2 5" xfId="13827" xr:uid="{00000000-0005-0000-0000-0000EE4D0000}"/>
    <cellStyle name="Normal 2 2 4 4 3 2 6" xfId="13828" xr:uid="{00000000-0005-0000-0000-0000EF4D0000}"/>
    <cellStyle name="Normal 2 2 4 4 3 2 7" xfId="13829" xr:uid="{00000000-0005-0000-0000-0000F04D0000}"/>
    <cellStyle name="Normal 2 2 4 4 3 3" xfId="13830" xr:uid="{00000000-0005-0000-0000-0000F14D0000}"/>
    <cellStyle name="Normal 2 2 4 4 3 3 2" xfId="13831" xr:uid="{00000000-0005-0000-0000-0000F24D0000}"/>
    <cellStyle name="Normal 2 2 4 4 3 3 2 2" xfId="52144" xr:uid="{00000000-0005-0000-0000-0000F34D0000}"/>
    <cellStyle name="Normal 2 2 4 4 3 3 2 3" xfId="52145" xr:uid="{00000000-0005-0000-0000-0000F44D0000}"/>
    <cellStyle name="Normal 2 2 4 4 3 3 3" xfId="13832" xr:uid="{00000000-0005-0000-0000-0000F54D0000}"/>
    <cellStyle name="Normal 2 2 4 4 3 3 3 2" xfId="52146" xr:uid="{00000000-0005-0000-0000-0000F64D0000}"/>
    <cellStyle name="Normal 2 2 4 4 3 3 4" xfId="13833" xr:uid="{00000000-0005-0000-0000-0000F74D0000}"/>
    <cellStyle name="Normal 2 2 4 4 3 3 5" xfId="13834" xr:uid="{00000000-0005-0000-0000-0000F84D0000}"/>
    <cellStyle name="Normal 2 2 4 4 3 3 6" xfId="13835" xr:uid="{00000000-0005-0000-0000-0000F94D0000}"/>
    <cellStyle name="Normal 2 2 4 4 3 4" xfId="13836" xr:uid="{00000000-0005-0000-0000-0000FA4D0000}"/>
    <cellStyle name="Normal 2 2 4 4 3 4 2" xfId="52147" xr:uid="{00000000-0005-0000-0000-0000FB4D0000}"/>
    <cellStyle name="Normal 2 2 4 4 3 4 3" xfId="52148" xr:uid="{00000000-0005-0000-0000-0000FC4D0000}"/>
    <cellStyle name="Normal 2 2 4 4 3 5" xfId="13837" xr:uid="{00000000-0005-0000-0000-0000FD4D0000}"/>
    <cellStyle name="Normal 2 2 4 4 3 5 2" xfId="52149" xr:uid="{00000000-0005-0000-0000-0000FE4D0000}"/>
    <cellStyle name="Normal 2 2 4 4 3 6" xfId="13838" xr:uid="{00000000-0005-0000-0000-0000FF4D0000}"/>
    <cellStyle name="Normal 2 2 4 4 3 7" xfId="13839" xr:uid="{00000000-0005-0000-0000-0000004E0000}"/>
    <cellStyle name="Normal 2 2 4 4 3 8" xfId="13840" xr:uid="{00000000-0005-0000-0000-0000014E0000}"/>
    <cellStyle name="Normal 2 2 4 4 4" xfId="13841" xr:uid="{00000000-0005-0000-0000-0000024E0000}"/>
    <cellStyle name="Normal 2 2 4 4 4 2" xfId="13842" xr:uid="{00000000-0005-0000-0000-0000034E0000}"/>
    <cellStyle name="Normal 2 2 4 4 4 2 2" xfId="13843" xr:uid="{00000000-0005-0000-0000-0000044E0000}"/>
    <cellStyle name="Normal 2 2 4 4 4 2 2 2" xfId="52150" xr:uid="{00000000-0005-0000-0000-0000054E0000}"/>
    <cellStyle name="Normal 2 2 4 4 4 2 2 3" xfId="52151" xr:uid="{00000000-0005-0000-0000-0000064E0000}"/>
    <cellStyle name="Normal 2 2 4 4 4 2 3" xfId="13844" xr:uid="{00000000-0005-0000-0000-0000074E0000}"/>
    <cellStyle name="Normal 2 2 4 4 4 2 3 2" xfId="52152" xr:uid="{00000000-0005-0000-0000-0000084E0000}"/>
    <cellStyle name="Normal 2 2 4 4 4 2 4" xfId="13845" xr:uid="{00000000-0005-0000-0000-0000094E0000}"/>
    <cellStyle name="Normal 2 2 4 4 4 2 5" xfId="13846" xr:uid="{00000000-0005-0000-0000-00000A4E0000}"/>
    <cellStyle name="Normal 2 2 4 4 4 2 6" xfId="13847" xr:uid="{00000000-0005-0000-0000-00000B4E0000}"/>
    <cellStyle name="Normal 2 2 4 4 4 3" xfId="13848" xr:uid="{00000000-0005-0000-0000-00000C4E0000}"/>
    <cellStyle name="Normal 2 2 4 4 4 3 2" xfId="52153" xr:uid="{00000000-0005-0000-0000-00000D4E0000}"/>
    <cellStyle name="Normal 2 2 4 4 4 3 3" xfId="52154" xr:uid="{00000000-0005-0000-0000-00000E4E0000}"/>
    <cellStyle name="Normal 2 2 4 4 4 4" xfId="13849" xr:uid="{00000000-0005-0000-0000-00000F4E0000}"/>
    <cellStyle name="Normal 2 2 4 4 4 4 2" xfId="52155" xr:uid="{00000000-0005-0000-0000-0000104E0000}"/>
    <cellStyle name="Normal 2 2 4 4 4 5" xfId="13850" xr:uid="{00000000-0005-0000-0000-0000114E0000}"/>
    <cellStyle name="Normal 2 2 4 4 4 6" xfId="13851" xr:uid="{00000000-0005-0000-0000-0000124E0000}"/>
    <cellStyle name="Normal 2 2 4 4 4 7" xfId="13852" xr:uid="{00000000-0005-0000-0000-0000134E0000}"/>
    <cellStyle name="Normal 2 2 4 4 5" xfId="13853" xr:uid="{00000000-0005-0000-0000-0000144E0000}"/>
    <cellStyle name="Normal 2 2 4 4 5 2" xfId="13854" xr:uid="{00000000-0005-0000-0000-0000154E0000}"/>
    <cellStyle name="Normal 2 2 4 4 5 2 2" xfId="52156" xr:uid="{00000000-0005-0000-0000-0000164E0000}"/>
    <cellStyle name="Normal 2 2 4 4 5 2 3" xfId="52157" xr:uid="{00000000-0005-0000-0000-0000174E0000}"/>
    <cellStyle name="Normal 2 2 4 4 5 3" xfId="13855" xr:uid="{00000000-0005-0000-0000-0000184E0000}"/>
    <cellStyle name="Normal 2 2 4 4 5 3 2" xfId="52158" xr:uid="{00000000-0005-0000-0000-0000194E0000}"/>
    <cellStyle name="Normal 2 2 4 4 5 4" xfId="13856" xr:uid="{00000000-0005-0000-0000-00001A4E0000}"/>
    <cellStyle name="Normal 2 2 4 4 5 5" xfId="13857" xr:uid="{00000000-0005-0000-0000-00001B4E0000}"/>
    <cellStyle name="Normal 2 2 4 4 5 6" xfId="13858" xr:uid="{00000000-0005-0000-0000-00001C4E0000}"/>
    <cellStyle name="Normal 2 2 4 4 6" xfId="13859" xr:uid="{00000000-0005-0000-0000-00001D4E0000}"/>
    <cellStyle name="Normal 2 2 4 4 6 2" xfId="52159" xr:uid="{00000000-0005-0000-0000-00001E4E0000}"/>
    <cellStyle name="Normal 2 2 4 4 6 3" xfId="52160" xr:uid="{00000000-0005-0000-0000-00001F4E0000}"/>
    <cellStyle name="Normal 2 2 4 4 7" xfId="13860" xr:uid="{00000000-0005-0000-0000-0000204E0000}"/>
    <cellStyle name="Normal 2 2 4 4 7 2" xfId="52161" xr:uid="{00000000-0005-0000-0000-0000214E0000}"/>
    <cellStyle name="Normal 2 2 4 4 8" xfId="13861" xr:uid="{00000000-0005-0000-0000-0000224E0000}"/>
    <cellStyle name="Normal 2 2 4 4 9" xfId="13862" xr:uid="{00000000-0005-0000-0000-0000234E0000}"/>
    <cellStyle name="Normal 2 2 4 5" xfId="13863" xr:uid="{00000000-0005-0000-0000-0000244E0000}"/>
    <cellStyle name="Normal 2 2 4 5 10" xfId="13864" xr:uid="{00000000-0005-0000-0000-0000254E0000}"/>
    <cellStyle name="Normal 2 2 4 5 11" xfId="13865" xr:uid="{00000000-0005-0000-0000-0000264E0000}"/>
    <cellStyle name="Normal 2 2 4 5 12" xfId="13866" xr:uid="{00000000-0005-0000-0000-0000274E0000}"/>
    <cellStyle name="Normal 2 2 4 5 13" xfId="13867" xr:uid="{00000000-0005-0000-0000-0000284E0000}"/>
    <cellStyle name="Normal 2 2 4 5 14" xfId="13868" xr:uid="{00000000-0005-0000-0000-0000294E0000}"/>
    <cellStyle name="Normal 2 2 4 5 2" xfId="13869" xr:uid="{00000000-0005-0000-0000-00002A4E0000}"/>
    <cellStyle name="Normal 2 2 4 5 2 2" xfId="13870" xr:uid="{00000000-0005-0000-0000-00002B4E0000}"/>
    <cellStyle name="Normal 2 2 4 5 2 2 2" xfId="13871" xr:uid="{00000000-0005-0000-0000-00002C4E0000}"/>
    <cellStyle name="Normal 2 2 4 5 2 2 2 2" xfId="13872" xr:uid="{00000000-0005-0000-0000-00002D4E0000}"/>
    <cellStyle name="Normal 2 2 4 5 2 2 2 2 2" xfId="52162" xr:uid="{00000000-0005-0000-0000-00002E4E0000}"/>
    <cellStyle name="Normal 2 2 4 5 2 2 2 2 3" xfId="52163" xr:uid="{00000000-0005-0000-0000-00002F4E0000}"/>
    <cellStyle name="Normal 2 2 4 5 2 2 2 3" xfId="13873" xr:uid="{00000000-0005-0000-0000-0000304E0000}"/>
    <cellStyle name="Normal 2 2 4 5 2 2 2 3 2" xfId="52164" xr:uid="{00000000-0005-0000-0000-0000314E0000}"/>
    <cellStyle name="Normal 2 2 4 5 2 2 2 4" xfId="13874" xr:uid="{00000000-0005-0000-0000-0000324E0000}"/>
    <cellStyle name="Normal 2 2 4 5 2 2 2 5" xfId="13875" xr:uid="{00000000-0005-0000-0000-0000334E0000}"/>
    <cellStyle name="Normal 2 2 4 5 2 2 2 6" xfId="13876" xr:uid="{00000000-0005-0000-0000-0000344E0000}"/>
    <cellStyle name="Normal 2 2 4 5 2 2 3" xfId="13877" xr:uid="{00000000-0005-0000-0000-0000354E0000}"/>
    <cellStyle name="Normal 2 2 4 5 2 2 3 2" xfId="52165" xr:uid="{00000000-0005-0000-0000-0000364E0000}"/>
    <cellStyle name="Normal 2 2 4 5 2 2 3 3" xfId="52166" xr:uid="{00000000-0005-0000-0000-0000374E0000}"/>
    <cellStyle name="Normal 2 2 4 5 2 2 4" xfId="13878" xr:uid="{00000000-0005-0000-0000-0000384E0000}"/>
    <cellStyle name="Normal 2 2 4 5 2 2 4 2" xfId="52167" xr:uid="{00000000-0005-0000-0000-0000394E0000}"/>
    <cellStyle name="Normal 2 2 4 5 2 2 5" xfId="13879" xr:uid="{00000000-0005-0000-0000-00003A4E0000}"/>
    <cellStyle name="Normal 2 2 4 5 2 2 6" xfId="13880" xr:uid="{00000000-0005-0000-0000-00003B4E0000}"/>
    <cellStyle name="Normal 2 2 4 5 2 2 7" xfId="13881" xr:uid="{00000000-0005-0000-0000-00003C4E0000}"/>
    <cellStyle name="Normal 2 2 4 5 2 3" xfId="13882" xr:uid="{00000000-0005-0000-0000-00003D4E0000}"/>
    <cellStyle name="Normal 2 2 4 5 2 3 2" xfId="13883" xr:uid="{00000000-0005-0000-0000-00003E4E0000}"/>
    <cellStyle name="Normal 2 2 4 5 2 3 2 2" xfId="52168" xr:uid="{00000000-0005-0000-0000-00003F4E0000}"/>
    <cellStyle name="Normal 2 2 4 5 2 3 2 3" xfId="52169" xr:uid="{00000000-0005-0000-0000-0000404E0000}"/>
    <cellStyle name="Normal 2 2 4 5 2 3 3" xfId="13884" xr:uid="{00000000-0005-0000-0000-0000414E0000}"/>
    <cellStyle name="Normal 2 2 4 5 2 3 3 2" xfId="52170" xr:uid="{00000000-0005-0000-0000-0000424E0000}"/>
    <cellStyle name="Normal 2 2 4 5 2 3 4" xfId="13885" xr:uid="{00000000-0005-0000-0000-0000434E0000}"/>
    <cellStyle name="Normal 2 2 4 5 2 3 5" xfId="13886" xr:uid="{00000000-0005-0000-0000-0000444E0000}"/>
    <cellStyle name="Normal 2 2 4 5 2 3 6" xfId="13887" xr:uid="{00000000-0005-0000-0000-0000454E0000}"/>
    <cellStyle name="Normal 2 2 4 5 2 4" xfId="13888" xr:uid="{00000000-0005-0000-0000-0000464E0000}"/>
    <cellStyle name="Normal 2 2 4 5 2 4 2" xfId="52171" xr:uid="{00000000-0005-0000-0000-0000474E0000}"/>
    <cellStyle name="Normal 2 2 4 5 2 4 3" xfId="52172" xr:uid="{00000000-0005-0000-0000-0000484E0000}"/>
    <cellStyle name="Normal 2 2 4 5 2 5" xfId="13889" xr:uid="{00000000-0005-0000-0000-0000494E0000}"/>
    <cellStyle name="Normal 2 2 4 5 2 5 2" xfId="52173" xr:uid="{00000000-0005-0000-0000-00004A4E0000}"/>
    <cellStyle name="Normal 2 2 4 5 2 6" xfId="13890" xr:uid="{00000000-0005-0000-0000-00004B4E0000}"/>
    <cellStyle name="Normal 2 2 4 5 2 7" xfId="13891" xr:uid="{00000000-0005-0000-0000-00004C4E0000}"/>
    <cellStyle name="Normal 2 2 4 5 2 8" xfId="13892" xr:uid="{00000000-0005-0000-0000-00004D4E0000}"/>
    <cellStyle name="Normal 2 2 4 5 2 9" xfId="13893" xr:uid="{00000000-0005-0000-0000-00004E4E0000}"/>
    <cellStyle name="Normal 2 2 4 5 3" xfId="13894" xr:uid="{00000000-0005-0000-0000-00004F4E0000}"/>
    <cellStyle name="Normal 2 2 4 5 3 2" xfId="13895" xr:uid="{00000000-0005-0000-0000-0000504E0000}"/>
    <cellStyle name="Normal 2 2 4 5 3 2 2" xfId="13896" xr:uid="{00000000-0005-0000-0000-0000514E0000}"/>
    <cellStyle name="Normal 2 2 4 5 3 2 2 2" xfId="13897" xr:uid="{00000000-0005-0000-0000-0000524E0000}"/>
    <cellStyle name="Normal 2 2 4 5 3 2 2 2 2" xfId="52174" xr:uid="{00000000-0005-0000-0000-0000534E0000}"/>
    <cellStyle name="Normal 2 2 4 5 3 2 2 2 3" xfId="52175" xr:uid="{00000000-0005-0000-0000-0000544E0000}"/>
    <cellStyle name="Normal 2 2 4 5 3 2 2 3" xfId="13898" xr:uid="{00000000-0005-0000-0000-0000554E0000}"/>
    <cellStyle name="Normal 2 2 4 5 3 2 2 3 2" xfId="52176" xr:uid="{00000000-0005-0000-0000-0000564E0000}"/>
    <cellStyle name="Normal 2 2 4 5 3 2 2 4" xfId="13899" xr:uid="{00000000-0005-0000-0000-0000574E0000}"/>
    <cellStyle name="Normal 2 2 4 5 3 2 2 5" xfId="13900" xr:uid="{00000000-0005-0000-0000-0000584E0000}"/>
    <cellStyle name="Normal 2 2 4 5 3 2 2 6" xfId="13901" xr:uid="{00000000-0005-0000-0000-0000594E0000}"/>
    <cellStyle name="Normal 2 2 4 5 3 2 3" xfId="13902" xr:uid="{00000000-0005-0000-0000-00005A4E0000}"/>
    <cellStyle name="Normal 2 2 4 5 3 2 3 2" xfId="52177" xr:uid="{00000000-0005-0000-0000-00005B4E0000}"/>
    <cellStyle name="Normal 2 2 4 5 3 2 3 3" xfId="52178" xr:uid="{00000000-0005-0000-0000-00005C4E0000}"/>
    <cellStyle name="Normal 2 2 4 5 3 2 4" xfId="13903" xr:uid="{00000000-0005-0000-0000-00005D4E0000}"/>
    <cellStyle name="Normal 2 2 4 5 3 2 4 2" xfId="52179" xr:uid="{00000000-0005-0000-0000-00005E4E0000}"/>
    <cellStyle name="Normal 2 2 4 5 3 2 5" xfId="13904" xr:uid="{00000000-0005-0000-0000-00005F4E0000}"/>
    <cellStyle name="Normal 2 2 4 5 3 2 6" xfId="13905" xr:uid="{00000000-0005-0000-0000-0000604E0000}"/>
    <cellStyle name="Normal 2 2 4 5 3 2 7" xfId="13906" xr:uid="{00000000-0005-0000-0000-0000614E0000}"/>
    <cellStyle name="Normal 2 2 4 5 3 3" xfId="13907" xr:uid="{00000000-0005-0000-0000-0000624E0000}"/>
    <cellStyle name="Normal 2 2 4 5 3 3 2" xfId="13908" xr:uid="{00000000-0005-0000-0000-0000634E0000}"/>
    <cellStyle name="Normal 2 2 4 5 3 3 2 2" xfId="52180" xr:uid="{00000000-0005-0000-0000-0000644E0000}"/>
    <cellStyle name="Normal 2 2 4 5 3 3 2 3" xfId="52181" xr:uid="{00000000-0005-0000-0000-0000654E0000}"/>
    <cellStyle name="Normal 2 2 4 5 3 3 3" xfId="13909" xr:uid="{00000000-0005-0000-0000-0000664E0000}"/>
    <cellStyle name="Normal 2 2 4 5 3 3 3 2" xfId="52182" xr:uid="{00000000-0005-0000-0000-0000674E0000}"/>
    <cellStyle name="Normal 2 2 4 5 3 3 4" xfId="13910" xr:uid="{00000000-0005-0000-0000-0000684E0000}"/>
    <cellStyle name="Normal 2 2 4 5 3 3 5" xfId="13911" xr:uid="{00000000-0005-0000-0000-0000694E0000}"/>
    <cellStyle name="Normal 2 2 4 5 3 3 6" xfId="13912" xr:uid="{00000000-0005-0000-0000-00006A4E0000}"/>
    <cellStyle name="Normal 2 2 4 5 3 4" xfId="13913" xr:uid="{00000000-0005-0000-0000-00006B4E0000}"/>
    <cellStyle name="Normal 2 2 4 5 3 4 2" xfId="52183" xr:uid="{00000000-0005-0000-0000-00006C4E0000}"/>
    <cellStyle name="Normal 2 2 4 5 3 4 3" xfId="52184" xr:uid="{00000000-0005-0000-0000-00006D4E0000}"/>
    <cellStyle name="Normal 2 2 4 5 3 5" xfId="13914" xr:uid="{00000000-0005-0000-0000-00006E4E0000}"/>
    <cellStyle name="Normal 2 2 4 5 3 5 2" xfId="52185" xr:uid="{00000000-0005-0000-0000-00006F4E0000}"/>
    <cellStyle name="Normal 2 2 4 5 3 6" xfId="13915" xr:uid="{00000000-0005-0000-0000-0000704E0000}"/>
    <cellStyle name="Normal 2 2 4 5 3 7" xfId="13916" xr:uid="{00000000-0005-0000-0000-0000714E0000}"/>
    <cellStyle name="Normal 2 2 4 5 3 8" xfId="13917" xr:uid="{00000000-0005-0000-0000-0000724E0000}"/>
    <cellStyle name="Normal 2 2 4 5 4" xfId="13918" xr:uid="{00000000-0005-0000-0000-0000734E0000}"/>
    <cellStyle name="Normal 2 2 4 5 4 2" xfId="13919" xr:uid="{00000000-0005-0000-0000-0000744E0000}"/>
    <cellStyle name="Normal 2 2 4 5 4 2 2" xfId="13920" xr:uid="{00000000-0005-0000-0000-0000754E0000}"/>
    <cellStyle name="Normal 2 2 4 5 4 2 2 2" xfId="52186" xr:uid="{00000000-0005-0000-0000-0000764E0000}"/>
    <cellStyle name="Normal 2 2 4 5 4 2 2 3" xfId="52187" xr:uid="{00000000-0005-0000-0000-0000774E0000}"/>
    <cellStyle name="Normal 2 2 4 5 4 2 3" xfId="13921" xr:uid="{00000000-0005-0000-0000-0000784E0000}"/>
    <cellStyle name="Normal 2 2 4 5 4 2 3 2" xfId="52188" xr:uid="{00000000-0005-0000-0000-0000794E0000}"/>
    <cellStyle name="Normal 2 2 4 5 4 2 4" xfId="13922" xr:uid="{00000000-0005-0000-0000-00007A4E0000}"/>
    <cellStyle name="Normal 2 2 4 5 4 2 5" xfId="13923" xr:uid="{00000000-0005-0000-0000-00007B4E0000}"/>
    <cellStyle name="Normal 2 2 4 5 4 2 6" xfId="13924" xr:uid="{00000000-0005-0000-0000-00007C4E0000}"/>
    <cellStyle name="Normal 2 2 4 5 4 3" xfId="13925" xr:uid="{00000000-0005-0000-0000-00007D4E0000}"/>
    <cellStyle name="Normal 2 2 4 5 4 3 2" xfId="52189" xr:uid="{00000000-0005-0000-0000-00007E4E0000}"/>
    <cellStyle name="Normal 2 2 4 5 4 3 3" xfId="52190" xr:uid="{00000000-0005-0000-0000-00007F4E0000}"/>
    <cellStyle name="Normal 2 2 4 5 4 4" xfId="13926" xr:uid="{00000000-0005-0000-0000-0000804E0000}"/>
    <cellStyle name="Normal 2 2 4 5 4 4 2" xfId="52191" xr:uid="{00000000-0005-0000-0000-0000814E0000}"/>
    <cellStyle name="Normal 2 2 4 5 4 5" xfId="13927" xr:uid="{00000000-0005-0000-0000-0000824E0000}"/>
    <cellStyle name="Normal 2 2 4 5 4 6" xfId="13928" xr:uid="{00000000-0005-0000-0000-0000834E0000}"/>
    <cellStyle name="Normal 2 2 4 5 4 7" xfId="13929" xr:uid="{00000000-0005-0000-0000-0000844E0000}"/>
    <cellStyle name="Normal 2 2 4 5 5" xfId="13930" xr:uid="{00000000-0005-0000-0000-0000854E0000}"/>
    <cellStyle name="Normal 2 2 4 5 5 2" xfId="13931" xr:uid="{00000000-0005-0000-0000-0000864E0000}"/>
    <cellStyle name="Normal 2 2 4 5 5 2 2" xfId="52192" xr:uid="{00000000-0005-0000-0000-0000874E0000}"/>
    <cellStyle name="Normal 2 2 4 5 5 2 3" xfId="52193" xr:uid="{00000000-0005-0000-0000-0000884E0000}"/>
    <cellStyle name="Normal 2 2 4 5 5 3" xfId="13932" xr:uid="{00000000-0005-0000-0000-0000894E0000}"/>
    <cellStyle name="Normal 2 2 4 5 5 3 2" xfId="52194" xr:uid="{00000000-0005-0000-0000-00008A4E0000}"/>
    <cellStyle name="Normal 2 2 4 5 5 4" xfId="13933" xr:uid="{00000000-0005-0000-0000-00008B4E0000}"/>
    <cellStyle name="Normal 2 2 4 5 5 5" xfId="13934" xr:uid="{00000000-0005-0000-0000-00008C4E0000}"/>
    <cellStyle name="Normal 2 2 4 5 5 6" xfId="13935" xr:uid="{00000000-0005-0000-0000-00008D4E0000}"/>
    <cellStyle name="Normal 2 2 4 5 6" xfId="13936" xr:uid="{00000000-0005-0000-0000-00008E4E0000}"/>
    <cellStyle name="Normal 2 2 4 5 6 2" xfId="52195" xr:uid="{00000000-0005-0000-0000-00008F4E0000}"/>
    <cellStyle name="Normal 2 2 4 5 6 3" xfId="52196" xr:uid="{00000000-0005-0000-0000-0000904E0000}"/>
    <cellStyle name="Normal 2 2 4 5 7" xfId="13937" xr:uid="{00000000-0005-0000-0000-0000914E0000}"/>
    <cellStyle name="Normal 2 2 4 5 7 2" xfId="52197" xr:uid="{00000000-0005-0000-0000-0000924E0000}"/>
    <cellStyle name="Normal 2 2 4 5 8" xfId="13938" xr:uid="{00000000-0005-0000-0000-0000934E0000}"/>
    <cellStyle name="Normal 2 2 4 5 9" xfId="13939" xr:uid="{00000000-0005-0000-0000-0000944E0000}"/>
    <cellStyle name="Normal 2 2 4 6" xfId="13940" xr:uid="{00000000-0005-0000-0000-0000954E0000}"/>
    <cellStyle name="Normal 2 2 4 6 10" xfId="13941" xr:uid="{00000000-0005-0000-0000-0000964E0000}"/>
    <cellStyle name="Normal 2 2 4 6 11" xfId="13942" xr:uid="{00000000-0005-0000-0000-0000974E0000}"/>
    <cellStyle name="Normal 2 2 4 6 12" xfId="13943" xr:uid="{00000000-0005-0000-0000-0000984E0000}"/>
    <cellStyle name="Normal 2 2 4 6 13" xfId="13944" xr:uid="{00000000-0005-0000-0000-0000994E0000}"/>
    <cellStyle name="Normal 2 2 4 6 2" xfId="13945" xr:uid="{00000000-0005-0000-0000-00009A4E0000}"/>
    <cellStyle name="Normal 2 2 4 6 2 2" xfId="13946" xr:uid="{00000000-0005-0000-0000-00009B4E0000}"/>
    <cellStyle name="Normal 2 2 4 6 2 2 2" xfId="13947" xr:uid="{00000000-0005-0000-0000-00009C4E0000}"/>
    <cellStyle name="Normal 2 2 4 6 2 2 2 2" xfId="13948" xr:uid="{00000000-0005-0000-0000-00009D4E0000}"/>
    <cellStyle name="Normal 2 2 4 6 2 2 2 2 2" xfId="52198" xr:uid="{00000000-0005-0000-0000-00009E4E0000}"/>
    <cellStyle name="Normal 2 2 4 6 2 2 2 2 3" xfId="52199" xr:uid="{00000000-0005-0000-0000-00009F4E0000}"/>
    <cellStyle name="Normal 2 2 4 6 2 2 2 3" xfId="13949" xr:uid="{00000000-0005-0000-0000-0000A04E0000}"/>
    <cellStyle name="Normal 2 2 4 6 2 2 2 3 2" xfId="52200" xr:uid="{00000000-0005-0000-0000-0000A14E0000}"/>
    <cellStyle name="Normal 2 2 4 6 2 2 2 4" xfId="13950" xr:uid="{00000000-0005-0000-0000-0000A24E0000}"/>
    <cellStyle name="Normal 2 2 4 6 2 2 2 5" xfId="13951" xr:uid="{00000000-0005-0000-0000-0000A34E0000}"/>
    <cellStyle name="Normal 2 2 4 6 2 2 2 6" xfId="13952" xr:uid="{00000000-0005-0000-0000-0000A44E0000}"/>
    <cellStyle name="Normal 2 2 4 6 2 2 3" xfId="13953" xr:uid="{00000000-0005-0000-0000-0000A54E0000}"/>
    <cellStyle name="Normal 2 2 4 6 2 2 3 2" xfId="52201" xr:uid="{00000000-0005-0000-0000-0000A64E0000}"/>
    <cellStyle name="Normal 2 2 4 6 2 2 3 3" xfId="52202" xr:uid="{00000000-0005-0000-0000-0000A74E0000}"/>
    <cellStyle name="Normal 2 2 4 6 2 2 4" xfId="13954" xr:uid="{00000000-0005-0000-0000-0000A84E0000}"/>
    <cellStyle name="Normal 2 2 4 6 2 2 4 2" xfId="52203" xr:uid="{00000000-0005-0000-0000-0000A94E0000}"/>
    <cellStyle name="Normal 2 2 4 6 2 2 5" xfId="13955" xr:uid="{00000000-0005-0000-0000-0000AA4E0000}"/>
    <cellStyle name="Normal 2 2 4 6 2 2 6" xfId="13956" xr:uid="{00000000-0005-0000-0000-0000AB4E0000}"/>
    <cellStyle name="Normal 2 2 4 6 2 2 7" xfId="13957" xr:uid="{00000000-0005-0000-0000-0000AC4E0000}"/>
    <cellStyle name="Normal 2 2 4 6 2 3" xfId="13958" xr:uid="{00000000-0005-0000-0000-0000AD4E0000}"/>
    <cellStyle name="Normal 2 2 4 6 2 3 2" xfId="13959" xr:uid="{00000000-0005-0000-0000-0000AE4E0000}"/>
    <cellStyle name="Normal 2 2 4 6 2 3 2 2" xfId="52204" xr:uid="{00000000-0005-0000-0000-0000AF4E0000}"/>
    <cellStyle name="Normal 2 2 4 6 2 3 2 3" xfId="52205" xr:uid="{00000000-0005-0000-0000-0000B04E0000}"/>
    <cellStyle name="Normal 2 2 4 6 2 3 3" xfId="13960" xr:uid="{00000000-0005-0000-0000-0000B14E0000}"/>
    <cellStyle name="Normal 2 2 4 6 2 3 3 2" xfId="52206" xr:uid="{00000000-0005-0000-0000-0000B24E0000}"/>
    <cellStyle name="Normal 2 2 4 6 2 3 4" xfId="13961" xr:uid="{00000000-0005-0000-0000-0000B34E0000}"/>
    <cellStyle name="Normal 2 2 4 6 2 3 5" xfId="13962" xr:uid="{00000000-0005-0000-0000-0000B44E0000}"/>
    <cellStyle name="Normal 2 2 4 6 2 3 6" xfId="13963" xr:uid="{00000000-0005-0000-0000-0000B54E0000}"/>
    <cellStyle name="Normal 2 2 4 6 2 4" xfId="13964" xr:uid="{00000000-0005-0000-0000-0000B64E0000}"/>
    <cellStyle name="Normal 2 2 4 6 2 4 2" xfId="52207" xr:uid="{00000000-0005-0000-0000-0000B74E0000}"/>
    <cellStyle name="Normal 2 2 4 6 2 4 3" xfId="52208" xr:uid="{00000000-0005-0000-0000-0000B84E0000}"/>
    <cellStyle name="Normal 2 2 4 6 2 5" xfId="13965" xr:uid="{00000000-0005-0000-0000-0000B94E0000}"/>
    <cellStyle name="Normal 2 2 4 6 2 5 2" xfId="52209" xr:uid="{00000000-0005-0000-0000-0000BA4E0000}"/>
    <cellStyle name="Normal 2 2 4 6 2 6" xfId="13966" xr:uid="{00000000-0005-0000-0000-0000BB4E0000}"/>
    <cellStyle name="Normal 2 2 4 6 2 7" xfId="13967" xr:uid="{00000000-0005-0000-0000-0000BC4E0000}"/>
    <cellStyle name="Normal 2 2 4 6 2 8" xfId="13968" xr:uid="{00000000-0005-0000-0000-0000BD4E0000}"/>
    <cellStyle name="Normal 2 2 4 6 2 9" xfId="13969" xr:uid="{00000000-0005-0000-0000-0000BE4E0000}"/>
    <cellStyle name="Normal 2 2 4 6 3" xfId="13970" xr:uid="{00000000-0005-0000-0000-0000BF4E0000}"/>
    <cellStyle name="Normal 2 2 4 6 3 2" xfId="13971" xr:uid="{00000000-0005-0000-0000-0000C04E0000}"/>
    <cellStyle name="Normal 2 2 4 6 3 2 2" xfId="13972" xr:uid="{00000000-0005-0000-0000-0000C14E0000}"/>
    <cellStyle name="Normal 2 2 4 6 3 2 2 2" xfId="52210" xr:uid="{00000000-0005-0000-0000-0000C24E0000}"/>
    <cellStyle name="Normal 2 2 4 6 3 2 2 3" xfId="52211" xr:uid="{00000000-0005-0000-0000-0000C34E0000}"/>
    <cellStyle name="Normal 2 2 4 6 3 2 3" xfId="13973" xr:uid="{00000000-0005-0000-0000-0000C44E0000}"/>
    <cellStyle name="Normal 2 2 4 6 3 2 3 2" xfId="52212" xr:uid="{00000000-0005-0000-0000-0000C54E0000}"/>
    <cellStyle name="Normal 2 2 4 6 3 2 4" xfId="13974" xr:uid="{00000000-0005-0000-0000-0000C64E0000}"/>
    <cellStyle name="Normal 2 2 4 6 3 2 5" xfId="13975" xr:uid="{00000000-0005-0000-0000-0000C74E0000}"/>
    <cellStyle name="Normal 2 2 4 6 3 2 6" xfId="13976" xr:uid="{00000000-0005-0000-0000-0000C84E0000}"/>
    <cellStyle name="Normal 2 2 4 6 3 3" xfId="13977" xr:uid="{00000000-0005-0000-0000-0000C94E0000}"/>
    <cellStyle name="Normal 2 2 4 6 3 3 2" xfId="52213" xr:uid="{00000000-0005-0000-0000-0000CA4E0000}"/>
    <cellStyle name="Normal 2 2 4 6 3 3 3" xfId="52214" xr:uid="{00000000-0005-0000-0000-0000CB4E0000}"/>
    <cellStyle name="Normal 2 2 4 6 3 4" xfId="13978" xr:uid="{00000000-0005-0000-0000-0000CC4E0000}"/>
    <cellStyle name="Normal 2 2 4 6 3 4 2" xfId="52215" xr:uid="{00000000-0005-0000-0000-0000CD4E0000}"/>
    <cellStyle name="Normal 2 2 4 6 3 5" xfId="13979" xr:uid="{00000000-0005-0000-0000-0000CE4E0000}"/>
    <cellStyle name="Normal 2 2 4 6 3 6" xfId="13980" xr:uid="{00000000-0005-0000-0000-0000CF4E0000}"/>
    <cellStyle name="Normal 2 2 4 6 3 7" xfId="13981" xr:uid="{00000000-0005-0000-0000-0000D04E0000}"/>
    <cellStyle name="Normal 2 2 4 6 4" xfId="13982" xr:uid="{00000000-0005-0000-0000-0000D14E0000}"/>
    <cellStyle name="Normal 2 2 4 6 4 2" xfId="13983" xr:uid="{00000000-0005-0000-0000-0000D24E0000}"/>
    <cellStyle name="Normal 2 2 4 6 4 2 2" xfId="52216" xr:uid="{00000000-0005-0000-0000-0000D34E0000}"/>
    <cellStyle name="Normal 2 2 4 6 4 2 3" xfId="52217" xr:uid="{00000000-0005-0000-0000-0000D44E0000}"/>
    <cellStyle name="Normal 2 2 4 6 4 3" xfId="13984" xr:uid="{00000000-0005-0000-0000-0000D54E0000}"/>
    <cellStyle name="Normal 2 2 4 6 4 3 2" xfId="52218" xr:uid="{00000000-0005-0000-0000-0000D64E0000}"/>
    <cellStyle name="Normal 2 2 4 6 4 4" xfId="13985" xr:uid="{00000000-0005-0000-0000-0000D74E0000}"/>
    <cellStyle name="Normal 2 2 4 6 4 5" xfId="13986" xr:uid="{00000000-0005-0000-0000-0000D84E0000}"/>
    <cellStyle name="Normal 2 2 4 6 4 6" xfId="13987" xr:uid="{00000000-0005-0000-0000-0000D94E0000}"/>
    <cellStyle name="Normal 2 2 4 6 5" xfId="13988" xr:uid="{00000000-0005-0000-0000-0000DA4E0000}"/>
    <cellStyle name="Normal 2 2 4 6 5 2" xfId="52219" xr:uid="{00000000-0005-0000-0000-0000DB4E0000}"/>
    <cellStyle name="Normal 2 2 4 6 5 3" xfId="52220" xr:uid="{00000000-0005-0000-0000-0000DC4E0000}"/>
    <cellStyle name="Normal 2 2 4 6 6" xfId="13989" xr:uid="{00000000-0005-0000-0000-0000DD4E0000}"/>
    <cellStyle name="Normal 2 2 4 6 6 2" xfId="52221" xr:uid="{00000000-0005-0000-0000-0000DE4E0000}"/>
    <cellStyle name="Normal 2 2 4 6 7" xfId="13990" xr:uid="{00000000-0005-0000-0000-0000DF4E0000}"/>
    <cellStyle name="Normal 2 2 4 6 8" xfId="13991" xr:uid="{00000000-0005-0000-0000-0000E04E0000}"/>
    <cellStyle name="Normal 2 2 4 6 9" xfId="13992" xr:uid="{00000000-0005-0000-0000-0000E14E0000}"/>
    <cellStyle name="Normal 2 2 4 7" xfId="13993" xr:uid="{00000000-0005-0000-0000-0000E24E0000}"/>
    <cellStyle name="Normal 2 2 4 7 2" xfId="13994" xr:uid="{00000000-0005-0000-0000-0000E34E0000}"/>
    <cellStyle name="Normal 2 2 4 7 2 2" xfId="13995" xr:uid="{00000000-0005-0000-0000-0000E44E0000}"/>
    <cellStyle name="Normal 2 2 4 7 2 2 2" xfId="13996" xr:uid="{00000000-0005-0000-0000-0000E54E0000}"/>
    <cellStyle name="Normal 2 2 4 7 2 2 2 2" xfId="52222" xr:uid="{00000000-0005-0000-0000-0000E64E0000}"/>
    <cellStyle name="Normal 2 2 4 7 2 2 2 3" xfId="52223" xr:uid="{00000000-0005-0000-0000-0000E74E0000}"/>
    <cellStyle name="Normal 2 2 4 7 2 2 3" xfId="13997" xr:uid="{00000000-0005-0000-0000-0000E84E0000}"/>
    <cellStyle name="Normal 2 2 4 7 2 2 3 2" xfId="52224" xr:uid="{00000000-0005-0000-0000-0000E94E0000}"/>
    <cellStyle name="Normal 2 2 4 7 2 2 4" xfId="13998" xr:uid="{00000000-0005-0000-0000-0000EA4E0000}"/>
    <cellStyle name="Normal 2 2 4 7 2 2 5" xfId="13999" xr:uid="{00000000-0005-0000-0000-0000EB4E0000}"/>
    <cellStyle name="Normal 2 2 4 7 2 2 6" xfId="14000" xr:uid="{00000000-0005-0000-0000-0000EC4E0000}"/>
    <cellStyle name="Normal 2 2 4 7 2 3" xfId="14001" xr:uid="{00000000-0005-0000-0000-0000ED4E0000}"/>
    <cellStyle name="Normal 2 2 4 7 2 3 2" xfId="52225" xr:uid="{00000000-0005-0000-0000-0000EE4E0000}"/>
    <cellStyle name="Normal 2 2 4 7 2 3 3" xfId="52226" xr:uid="{00000000-0005-0000-0000-0000EF4E0000}"/>
    <cellStyle name="Normal 2 2 4 7 2 4" xfId="14002" xr:uid="{00000000-0005-0000-0000-0000F04E0000}"/>
    <cellStyle name="Normal 2 2 4 7 2 4 2" xfId="52227" xr:uid="{00000000-0005-0000-0000-0000F14E0000}"/>
    <cellStyle name="Normal 2 2 4 7 2 5" xfId="14003" xr:uid="{00000000-0005-0000-0000-0000F24E0000}"/>
    <cellStyle name="Normal 2 2 4 7 2 6" xfId="14004" xr:uid="{00000000-0005-0000-0000-0000F34E0000}"/>
    <cellStyle name="Normal 2 2 4 7 2 7" xfId="14005" xr:uid="{00000000-0005-0000-0000-0000F44E0000}"/>
    <cellStyle name="Normal 2 2 4 7 3" xfId="14006" xr:uid="{00000000-0005-0000-0000-0000F54E0000}"/>
    <cellStyle name="Normal 2 2 4 7 3 2" xfId="14007" xr:uid="{00000000-0005-0000-0000-0000F64E0000}"/>
    <cellStyle name="Normal 2 2 4 7 3 2 2" xfId="52228" xr:uid="{00000000-0005-0000-0000-0000F74E0000}"/>
    <cellStyle name="Normal 2 2 4 7 3 2 3" xfId="52229" xr:uid="{00000000-0005-0000-0000-0000F84E0000}"/>
    <cellStyle name="Normal 2 2 4 7 3 3" xfId="14008" xr:uid="{00000000-0005-0000-0000-0000F94E0000}"/>
    <cellStyle name="Normal 2 2 4 7 3 3 2" xfId="52230" xr:uid="{00000000-0005-0000-0000-0000FA4E0000}"/>
    <cellStyle name="Normal 2 2 4 7 3 4" xfId="14009" xr:uid="{00000000-0005-0000-0000-0000FB4E0000}"/>
    <cellStyle name="Normal 2 2 4 7 3 5" xfId="14010" xr:uid="{00000000-0005-0000-0000-0000FC4E0000}"/>
    <cellStyle name="Normal 2 2 4 7 3 6" xfId="14011" xr:uid="{00000000-0005-0000-0000-0000FD4E0000}"/>
    <cellStyle name="Normal 2 2 4 7 4" xfId="14012" xr:uid="{00000000-0005-0000-0000-0000FE4E0000}"/>
    <cellStyle name="Normal 2 2 4 7 4 2" xfId="52231" xr:uid="{00000000-0005-0000-0000-0000FF4E0000}"/>
    <cellStyle name="Normal 2 2 4 7 4 3" xfId="52232" xr:uid="{00000000-0005-0000-0000-0000004F0000}"/>
    <cellStyle name="Normal 2 2 4 7 5" xfId="14013" xr:uid="{00000000-0005-0000-0000-0000014F0000}"/>
    <cellStyle name="Normal 2 2 4 7 5 2" xfId="52233" xr:uid="{00000000-0005-0000-0000-0000024F0000}"/>
    <cellStyle name="Normal 2 2 4 7 6" xfId="14014" xr:uid="{00000000-0005-0000-0000-0000034F0000}"/>
    <cellStyle name="Normal 2 2 4 7 7" xfId="14015" xr:uid="{00000000-0005-0000-0000-0000044F0000}"/>
    <cellStyle name="Normal 2 2 4 7 8" xfId="14016" xr:uid="{00000000-0005-0000-0000-0000054F0000}"/>
    <cellStyle name="Normal 2 2 4 7 9" xfId="14017" xr:uid="{00000000-0005-0000-0000-0000064F0000}"/>
    <cellStyle name="Normal 2 2 4 8" xfId="14018" xr:uid="{00000000-0005-0000-0000-0000074F0000}"/>
    <cellStyle name="Normal 2 2 4 8 2" xfId="14019" xr:uid="{00000000-0005-0000-0000-0000084F0000}"/>
    <cellStyle name="Normal 2 2 4 8 2 2" xfId="14020" xr:uid="{00000000-0005-0000-0000-0000094F0000}"/>
    <cellStyle name="Normal 2 2 4 8 2 2 2" xfId="14021" xr:uid="{00000000-0005-0000-0000-00000A4F0000}"/>
    <cellStyle name="Normal 2 2 4 8 2 2 2 2" xfId="52234" xr:uid="{00000000-0005-0000-0000-00000B4F0000}"/>
    <cellStyle name="Normal 2 2 4 8 2 2 2 3" xfId="52235" xr:uid="{00000000-0005-0000-0000-00000C4F0000}"/>
    <cellStyle name="Normal 2 2 4 8 2 2 3" xfId="14022" xr:uid="{00000000-0005-0000-0000-00000D4F0000}"/>
    <cellStyle name="Normal 2 2 4 8 2 2 3 2" xfId="52236" xr:uid="{00000000-0005-0000-0000-00000E4F0000}"/>
    <cellStyle name="Normal 2 2 4 8 2 2 4" xfId="14023" xr:uid="{00000000-0005-0000-0000-00000F4F0000}"/>
    <cellStyle name="Normal 2 2 4 8 2 2 5" xfId="14024" xr:uid="{00000000-0005-0000-0000-0000104F0000}"/>
    <cellStyle name="Normal 2 2 4 8 2 2 6" xfId="14025" xr:uid="{00000000-0005-0000-0000-0000114F0000}"/>
    <cellStyle name="Normal 2 2 4 8 2 3" xfId="14026" xr:uid="{00000000-0005-0000-0000-0000124F0000}"/>
    <cellStyle name="Normal 2 2 4 8 2 3 2" xfId="52237" xr:uid="{00000000-0005-0000-0000-0000134F0000}"/>
    <cellStyle name="Normal 2 2 4 8 2 3 3" xfId="52238" xr:uid="{00000000-0005-0000-0000-0000144F0000}"/>
    <cellStyle name="Normal 2 2 4 8 2 4" xfId="14027" xr:uid="{00000000-0005-0000-0000-0000154F0000}"/>
    <cellStyle name="Normal 2 2 4 8 2 4 2" xfId="52239" xr:uid="{00000000-0005-0000-0000-0000164F0000}"/>
    <cellStyle name="Normal 2 2 4 8 2 5" xfId="14028" xr:uid="{00000000-0005-0000-0000-0000174F0000}"/>
    <cellStyle name="Normal 2 2 4 8 2 6" xfId="14029" xr:uid="{00000000-0005-0000-0000-0000184F0000}"/>
    <cellStyle name="Normal 2 2 4 8 2 7" xfId="14030" xr:uid="{00000000-0005-0000-0000-0000194F0000}"/>
    <cellStyle name="Normal 2 2 4 8 3" xfId="14031" xr:uid="{00000000-0005-0000-0000-00001A4F0000}"/>
    <cellStyle name="Normal 2 2 4 8 3 2" xfId="14032" xr:uid="{00000000-0005-0000-0000-00001B4F0000}"/>
    <cellStyle name="Normal 2 2 4 8 3 2 2" xfId="52240" xr:uid="{00000000-0005-0000-0000-00001C4F0000}"/>
    <cellStyle name="Normal 2 2 4 8 3 2 3" xfId="52241" xr:uid="{00000000-0005-0000-0000-00001D4F0000}"/>
    <cellStyle name="Normal 2 2 4 8 3 3" xfId="14033" xr:uid="{00000000-0005-0000-0000-00001E4F0000}"/>
    <cellStyle name="Normal 2 2 4 8 3 3 2" xfId="52242" xr:uid="{00000000-0005-0000-0000-00001F4F0000}"/>
    <cellStyle name="Normal 2 2 4 8 3 4" xfId="14034" xr:uid="{00000000-0005-0000-0000-0000204F0000}"/>
    <cellStyle name="Normal 2 2 4 8 3 5" xfId="14035" xr:uid="{00000000-0005-0000-0000-0000214F0000}"/>
    <cellStyle name="Normal 2 2 4 8 3 6" xfId="14036" xr:uid="{00000000-0005-0000-0000-0000224F0000}"/>
    <cellStyle name="Normal 2 2 4 8 4" xfId="14037" xr:uid="{00000000-0005-0000-0000-0000234F0000}"/>
    <cellStyle name="Normal 2 2 4 8 4 2" xfId="52243" xr:uid="{00000000-0005-0000-0000-0000244F0000}"/>
    <cellStyle name="Normal 2 2 4 8 4 3" xfId="52244" xr:uid="{00000000-0005-0000-0000-0000254F0000}"/>
    <cellStyle name="Normal 2 2 4 8 5" xfId="14038" xr:uid="{00000000-0005-0000-0000-0000264F0000}"/>
    <cellStyle name="Normal 2 2 4 8 5 2" xfId="52245" xr:uid="{00000000-0005-0000-0000-0000274F0000}"/>
    <cellStyle name="Normal 2 2 4 8 6" xfId="14039" xr:uid="{00000000-0005-0000-0000-0000284F0000}"/>
    <cellStyle name="Normal 2 2 4 8 7" xfId="14040" xr:uid="{00000000-0005-0000-0000-0000294F0000}"/>
    <cellStyle name="Normal 2 2 4 8 8" xfId="14041" xr:uid="{00000000-0005-0000-0000-00002A4F0000}"/>
    <cellStyle name="Normal 2 2 4 9" xfId="14042" xr:uid="{00000000-0005-0000-0000-00002B4F0000}"/>
    <cellStyle name="Normal 2 2 4 9 2" xfId="14043" xr:uid="{00000000-0005-0000-0000-00002C4F0000}"/>
    <cellStyle name="Normal 2 2 4 9 2 2" xfId="14044" xr:uid="{00000000-0005-0000-0000-00002D4F0000}"/>
    <cellStyle name="Normal 2 2 4 9 2 2 2" xfId="14045" xr:uid="{00000000-0005-0000-0000-00002E4F0000}"/>
    <cellStyle name="Normal 2 2 4 9 2 2 2 2" xfId="52246" xr:uid="{00000000-0005-0000-0000-00002F4F0000}"/>
    <cellStyle name="Normal 2 2 4 9 2 2 2 3" xfId="52247" xr:uid="{00000000-0005-0000-0000-0000304F0000}"/>
    <cellStyle name="Normal 2 2 4 9 2 2 3" xfId="14046" xr:uid="{00000000-0005-0000-0000-0000314F0000}"/>
    <cellStyle name="Normal 2 2 4 9 2 2 3 2" xfId="52248" xr:uid="{00000000-0005-0000-0000-0000324F0000}"/>
    <cellStyle name="Normal 2 2 4 9 2 2 4" xfId="14047" xr:uid="{00000000-0005-0000-0000-0000334F0000}"/>
    <cellStyle name="Normal 2 2 4 9 2 2 5" xfId="14048" xr:uid="{00000000-0005-0000-0000-0000344F0000}"/>
    <cellStyle name="Normal 2 2 4 9 2 2 6" xfId="14049" xr:uid="{00000000-0005-0000-0000-0000354F0000}"/>
    <cellStyle name="Normal 2 2 4 9 2 3" xfId="14050" xr:uid="{00000000-0005-0000-0000-0000364F0000}"/>
    <cellStyle name="Normal 2 2 4 9 2 3 2" xfId="52249" xr:uid="{00000000-0005-0000-0000-0000374F0000}"/>
    <cellStyle name="Normal 2 2 4 9 2 3 3" xfId="52250" xr:uid="{00000000-0005-0000-0000-0000384F0000}"/>
    <cellStyle name="Normal 2 2 4 9 2 4" xfId="14051" xr:uid="{00000000-0005-0000-0000-0000394F0000}"/>
    <cellStyle name="Normal 2 2 4 9 2 4 2" xfId="52251" xr:uid="{00000000-0005-0000-0000-00003A4F0000}"/>
    <cellStyle name="Normal 2 2 4 9 2 5" xfId="14052" xr:uid="{00000000-0005-0000-0000-00003B4F0000}"/>
    <cellStyle name="Normal 2 2 4 9 2 6" xfId="14053" xr:uid="{00000000-0005-0000-0000-00003C4F0000}"/>
    <cellStyle name="Normal 2 2 4 9 2 7" xfId="14054" xr:uid="{00000000-0005-0000-0000-00003D4F0000}"/>
    <cellStyle name="Normal 2 2 4 9 3" xfId="14055" xr:uid="{00000000-0005-0000-0000-00003E4F0000}"/>
    <cellStyle name="Normal 2 2 4 9 3 2" xfId="14056" xr:uid="{00000000-0005-0000-0000-00003F4F0000}"/>
    <cellStyle name="Normal 2 2 4 9 3 2 2" xfId="52252" xr:uid="{00000000-0005-0000-0000-0000404F0000}"/>
    <cellStyle name="Normal 2 2 4 9 3 2 3" xfId="52253" xr:uid="{00000000-0005-0000-0000-0000414F0000}"/>
    <cellStyle name="Normal 2 2 4 9 3 3" xfId="14057" xr:uid="{00000000-0005-0000-0000-0000424F0000}"/>
    <cellStyle name="Normal 2 2 4 9 3 3 2" xfId="52254" xr:uid="{00000000-0005-0000-0000-0000434F0000}"/>
    <cellStyle name="Normal 2 2 4 9 3 4" xfId="14058" xr:uid="{00000000-0005-0000-0000-0000444F0000}"/>
    <cellStyle name="Normal 2 2 4 9 3 5" xfId="14059" xr:uid="{00000000-0005-0000-0000-0000454F0000}"/>
    <cellStyle name="Normal 2 2 4 9 3 6" xfId="14060" xr:uid="{00000000-0005-0000-0000-0000464F0000}"/>
    <cellStyle name="Normal 2 2 4 9 4" xfId="14061" xr:uid="{00000000-0005-0000-0000-0000474F0000}"/>
    <cellStyle name="Normal 2 2 4 9 4 2" xfId="52255" xr:uid="{00000000-0005-0000-0000-0000484F0000}"/>
    <cellStyle name="Normal 2 2 4 9 4 3" xfId="52256" xr:uid="{00000000-0005-0000-0000-0000494F0000}"/>
    <cellStyle name="Normal 2 2 4 9 5" xfId="14062" xr:uid="{00000000-0005-0000-0000-00004A4F0000}"/>
    <cellStyle name="Normal 2 2 4 9 5 2" xfId="52257" xr:uid="{00000000-0005-0000-0000-00004B4F0000}"/>
    <cellStyle name="Normal 2 2 4 9 6" xfId="14063" xr:uid="{00000000-0005-0000-0000-00004C4F0000}"/>
    <cellStyle name="Normal 2 2 4 9 7" xfId="14064" xr:uid="{00000000-0005-0000-0000-00004D4F0000}"/>
    <cellStyle name="Normal 2 2 4 9 8" xfId="14065" xr:uid="{00000000-0005-0000-0000-00004E4F0000}"/>
    <cellStyle name="Normal 2 2 5" xfId="14066" xr:uid="{00000000-0005-0000-0000-00004F4F0000}"/>
    <cellStyle name="Normal 2 2 5 2" xfId="14067" xr:uid="{00000000-0005-0000-0000-0000504F0000}"/>
    <cellStyle name="Normal 2 2 5 2 2" xfId="14068" xr:uid="{00000000-0005-0000-0000-0000514F0000}"/>
    <cellStyle name="Normal 2 2 5 2 2 2" xfId="52258" xr:uid="{00000000-0005-0000-0000-0000524F0000}"/>
    <cellStyle name="Normal 2 2 5 2 3" xfId="14069" xr:uid="{00000000-0005-0000-0000-0000534F0000}"/>
    <cellStyle name="Normal 2 2 5 2 3 2" xfId="52259" xr:uid="{00000000-0005-0000-0000-0000544F0000}"/>
    <cellStyle name="Normal 2 2 5 2 4" xfId="14070" xr:uid="{00000000-0005-0000-0000-0000554F0000}"/>
    <cellStyle name="Normal 2 2 5 3" xfId="14071" xr:uid="{00000000-0005-0000-0000-0000564F0000}"/>
    <cellStyle name="Normal 2 2 5 3 2" xfId="14072" xr:uid="{00000000-0005-0000-0000-0000574F0000}"/>
    <cellStyle name="Normal 2 2 5 3 2 2" xfId="14073" xr:uid="{00000000-0005-0000-0000-0000584F0000}"/>
    <cellStyle name="Normal 2 2 5 3 2 2 2" xfId="52260" xr:uid="{00000000-0005-0000-0000-0000594F0000}"/>
    <cellStyle name="Normal 2 2 5 3 2 2 3" xfId="52261" xr:uid="{00000000-0005-0000-0000-00005A4F0000}"/>
    <cellStyle name="Normal 2 2 5 3 2 3" xfId="52262" xr:uid="{00000000-0005-0000-0000-00005B4F0000}"/>
    <cellStyle name="Normal 2 2 5 3 2 4" xfId="52263" xr:uid="{00000000-0005-0000-0000-00005C4F0000}"/>
    <cellStyle name="Normal 2 2 5 3 3" xfId="14074" xr:uid="{00000000-0005-0000-0000-00005D4F0000}"/>
    <cellStyle name="Normal 2 2 5 3 3 2" xfId="52264" xr:uid="{00000000-0005-0000-0000-00005E4F0000}"/>
    <cellStyle name="Normal 2 2 5 3 3 3" xfId="52265" xr:uid="{00000000-0005-0000-0000-00005F4F0000}"/>
    <cellStyle name="Normal 2 2 5 3 4" xfId="14075" xr:uid="{00000000-0005-0000-0000-0000604F0000}"/>
    <cellStyle name="Normal 2 2 5 3 4 2" xfId="52266" xr:uid="{00000000-0005-0000-0000-0000614F0000}"/>
    <cellStyle name="Normal 2 2 5 3 5" xfId="52267" xr:uid="{00000000-0005-0000-0000-0000624F0000}"/>
    <cellStyle name="Normal 2 2 5 3 6" xfId="52268" xr:uid="{00000000-0005-0000-0000-0000634F0000}"/>
    <cellStyle name="Normal 2 2 5 4" xfId="14076" xr:uid="{00000000-0005-0000-0000-0000644F0000}"/>
    <cellStyle name="Normal 2 2 5 4 2" xfId="14077" xr:uid="{00000000-0005-0000-0000-0000654F0000}"/>
    <cellStyle name="Normal 2 2 5 4 2 2" xfId="14078" xr:uid="{00000000-0005-0000-0000-0000664F0000}"/>
    <cellStyle name="Normal 2 2 5 4 2 2 2" xfId="52269" xr:uid="{00000000-0005-0000-0000-0000674F0000}"/>
    <cellStyle name="Normal 2 2 5 4 2 2 3" xfId="52270" xr:uid="{00000000-0005-0000-0000-0000684F0000}"/>
    <cellStyle name="Normal 2 2 5 4 2 3" xfId="52271" xr:uid="{00000000-0005-0000-0000-0000694F0000}"/>
    <cellStyle name="Normal 2 2 5 4 2 4" xfId="52272" xr:uid="{00000000-0005-0000-0000-00006A4F0000}"/>
    <cellStyle name="Normal 2 2 5 4 3" xfId="14079" xr:uid="{00000000-0005-0000-0000-00006B4F0000}"/>
    <cellStyle name="Normal 2 2 5 4 3 2" xfId="52273" xr:uid="{00000000-0005-0000-0000-00006C4F0000}"/>
    <cellStyle name="Normal 2 2 5 4 3 3" xfId="52274" xr:uid="{00000000-0005-0000-0000-00006D4F0000}"/>
    <cellStyle name="Normal 2 2 5 4 4" xfId="52275" xr:uid="{00000000-0005-0000-0000-00006E4F0000}"/>
    <cellStyle name="Normal 2 2 5 4 5" xfId="52276" xr:uid="{00000000-0005-0000-0000-00006F4F0000}"/>
    <cellStyle name="Normal 2 2 5 5" xfId="14080" xr:uid="{00000000-0005-0000-0000-0000704F0000}"/>
    <cellStyle name="Normal 2 2 5 5 2" xfId="14081" xr:uid="{00000000-0005-0000-0000-0000714F0000}"/>
    <cellStyle name="Normal 2 2 5 5 2 2" xfId="52277" xr:uid="{00000000-0005-0000-0000-0000724F0000}"/>
    <cellStyle name="Normal 2 2 5 5 2 3" xfId="52278" xr:uid="{00000000-0005-0000-0000-0000734F0000}"/>
    <cellStyle name="Normal 2 2 5 5 3" xfId="52279" xr:uid="{00000000-0005-0000-0000-0000744F0000}"/>
    <cellStyle name="Normal 2 2 5 5 4" xfId="52280" xr:uid="{00000000-0005-0000-0000-0000754F0000}"/>
    <cellStyle name="Normal 2 2 5 6" xfId="14082" xr:uid="{00000000-0005-0000-0000-0000764F0000}"/>
    <cellStyle name="Normal 2 2 5 6 2" xfId="52281" xr:uid="{00000000-0005-0000-0000-0000774F0000}"/>
    <cellStyle name="Normal 2 2 5 6 3" xfId="52282" xr:uid="{00000000-0005-0000-0000-0000784F0000}"/>
    <cellStyle name="Normal 2 2 5 7" xfId="14083" xr:uid="{00000000-0005-0000-0000-0000794F0000}"/>
    <cellStyle name="Normal 2 2 5 7 2" xfId="52283" xr:uid="{00000000-0005-0000-0000-00007A4F0000}"/>
    <cellStyle name="Normal 2 2 5 8" xfId="14084" xr:uid="{00000000-0005-0000-0000-00007B4F0000}"/>
    <cellStyle name="Normal 2 2 5 9" xfId="14085" xr:uid="{00000000-0005-0000-0000-00007C4F0000}"/>
    <cellStyle name="Normal 2 2 6" xfId="14086" xr:uid="{00000000-0005-0000-0000-00007D4F0000}"/>
    <cellStyle name="Normal 2 2 6 10" xfId="14087" xr:uid="{00000000-0005-0000-0000-00007E4F0000}"/>
    <cellStyle name="Normal 2 2 6 11" xfId="14088" xr:uid="{00000000-0005-0000-0000-00007F4F0000}"/>
    <cellStyle name="Normal 2 2 6 12" xfId="14089" xr:uid="{00000000-0005-0000-0000-0000804F0000}"/>
    <cellStyle name="Normal 2 2 6 13" xfId="14090" xr:uid="{00000000-0005-0000-0000-0000814F0000}"/>
    <cellStyle name="Normal 2 2 6 14" xfId="14091" xr:uid="{00000000-0005-0000-0000-0000824F0000}"/>
    <cellStyle name="Normal 2 2 6 15" xfId="14092" xr:uid="{00000000-0005-0000-0000-0000834F0000}"/>
    <cellStyle name="Normal 2 2 6 2" xfId="14093" xr:uid="{00000000-0005-0000-0000-0000844F0000}"/>
    <cellStyle name="Normal 2 2 6 2 10" xfId="14094" xr:uid="{00000000-0005-0000-0000-0000854F0000}"/>
    <cellStyle name="Normal 2 2 6 2 11" xfId="14095" xr:uid="{00000000-0005-0000-0000-0000864F0000}"/>
    <cellStyle name="Normal 2 2 6 2 12" xfId="14096" xr:uid="{00000000-0005-0000-0000-0000874F0000}"/>
    <cellStyle name="Normal 2 2 6 2 13" xfId="14097" xr:uid="{00000000-0005-0000-0000-0000884F0000}"/>
    <cellStyle name="Normal 2 2 6 2 14" xfId="14098" xr:uid="{00000000-0005-0000-0000-0000894F0000}"/>
    <cellStyle name="Normal 2 2 6 2 2" xfId="14099" xr:uid="{00000000-0005-0000-0000-00008A4F0000}"/>
    <cellStyle name="Normal 2 2 6 2 2 2" xfId="14100" xr:uid="{00000000-0005-0000-0000-00008B4F0000}"/>
    <cellStyle name="Normal 2 2 6 2 2 2 2" xfId="14101" xr:uid="{00000000-0005-0000-0000-00008C4F0000}"/>
    <cellStyle name="Normal 2 2 6 2 2 2 2 2" xfId="14102" xr:uid="{00000000-0005-0000-0000-00008D4F0000}"/>
    <cellStyle name="Normal 2 2 6 2 2 2 2 2 2" xfId="52284" xr:uid="{00000000-0005-0000-0000-00008E4F0000}"/>
    <cellStyle name="Normal 2 2 6 2 2 2 2 2 3" xfId="52285" xr:uid="{00000000-0005-0000-0000-00008F4F0000}"/>
    <cellStyle name="Normal 2 2 6 2 2 2 2 3" xfId="14103" xr:uid="{00000000-0005-0000-0000-0000904F0000}"/>
    <cellStyle name="Normal 2 2 6 2 2 2 2 3 2" xfId="52286" xr:uid="{00000000-0005-0000-0000-0000914F0000}"/>
    <cellStyle name="Normal 2 2 6 2 2 2 2 4" xfId="14104" xr:uid="{00000000-0005-0000-0000-0000924F0000}"/>
    <cellStyle name="Normal 2 2 6 2 2 2 2 5" xfId="14105" xr:uid="{00000000-0005-0000-0000-0000934F0000}"/>
    <cellStyle name="Normal 2 2 6 2 2 2 2 6" xfId="14106" xr:uid="{00000000-0005-0000-0000-0000944F0000}"/>
    <cellStyle name="Normal 2 2 6 2 2 2 3" xfId="14107" xr:uid="{00000000-0005-0000-0000-0000954F0000}"/>
    <cellStyle name="Normal 2 2 6 2 2 2 3 2" xfId="52287" xr:uid="{00000000-0005-0000-0000-0000964F0000}"/>
    <cellStyle name="Normal 2 2 6 2 2 2 3 3" xfId="52288" xr:uid="{00000000-0005-0000-0000-0000974F0000}"/>
    <cellStyle name="Normal 2 2 6 2 2 2 4" xfId="14108" xr:uid="{00000000-0005-0000-0000-0000984F0000}"/>
    <cellStyle name="Normal 2 2 6 2 2 2 4 2" xfId="52289" xr:uid="{00000000-0005-0000-0000-0000994F0000}"/>
    <cellStyle name="Normal 2 2 6 2 2 2 5" xfId="14109" xr:uid="{00000000-0005-0000-0000-00009A4F0000}"/>
    <cellStyle name="Normal 2 2 6 2 2 2 6" xfId="14110" xr:uid="{00000000-0005-0000-0000-00009B4F0000}"/>
    <cellStyle name="Normal 2 2 6 2 2 2 7" xfId="14111" xr:uid="{00000000-0005-0000-0000-00009C4F0000}"/>
    <cellStyle name="Normal 2 2 6 2 2 3" xfId="14112" xr:uid="{00000000-0005-0000-0000-00009D4F0000}"/>
    <cellStyle name="Normal 2 2 6 2 2 3 2" xfId="14113" xr:uid="{00000000-0005-0000-0000-00009E4F0000}"/>
    <cellStyle name="Normal 2 2 6 2 2 3 2 2" xfId="52290" xr:uid="{00000000-0005-0000-0000-00009F4F0000}"/>
    <cellStyle name="Normal 2 2 6 2 2 3 2 3" xfId="52291" xr:uid="{00000000-0005-0000-0000-0000A04F0000}"/>
    <cellStyle name="Normal 2 2 6 2 2 3 3" xfId="14114" xr:uid="{00000000-0005-0000-0000-0000A14F0000}"/>
    <cellStyle name="Normal 2 2 6 2 2 3 3 2" xfId="52292" xr:uid="{00000000-0005-0000-0000-0000A24F0000}"/>
    <cellStyle name="Normal 2 2 6 2 2 3 4" xfId="14115" xr:uid="{00000000-0005-0000-0000-0000A34F0000}"/>
    <cellStyle name="Normal 2 2 6 2 2 3 5" xfId="14116" xr:uid="{00000000-0005-0000-0000-0000A44F0000}"/>
    <cellStyle name="Normal 2 2 6 2 2 3 6" xfId="14117" xr:uid="{00000000-0005-0000-0000-0000A54F0000}"/>
    <cellStyle name="Normal 2 2 6 2 2 4" xfId="14118" xr:uid="{00000000-0005-0000-0000-0000A64F0000}"/>
    <cellStyle name="Normal 2 2 6 2 2 4 2" xfId="52293" xr:uid="{00000000-0005-0000-0000-0000A74F0000}"/>
    <cellStyle name="Normal 2 2 6 2 2 4 3" xfId="52294" xr:uid="{00000000-0005-0000-0000-0000A84F0000}"/>
    <cellStyle name="Normal 2 2 6 2 2 5" xfId="14119" xr:uid="{00000000-0005-0000-0000-0000A94F0000}"/>
    <cellStyle name="Normal 2 2 6 2 2 5 2" xfId="52295" xr:uid="{00000000-0005-0000-0000-0000AA4F0000}"/>
    <cellStyle name="Normal 2 2 6 2 2 6" xfId="14120" xr:uid="{00000000-0005-0000-0000-0000AB4F0000}"/>
    <cellStyle name="Normal 2 2 6 2 2 7" xfId="14121" xr:uid="{00000000-0005-0000-0000-0000AC4F0000}"/>
    <cellStyle name="Normal 2 2 6 2 2 8" xfId="14122" xr:uid="{00000000-0005-0000-0000-0000AD4F0000}"/>
    <cellStyle name="Normal 2 2 6 2 2 9" xfId="14123" xr:uid="{00000000-0005-0000-0000-0000AE4F0000}"/>
    <cellStyle name="Normal 2 2 6 2 3" xfId="14124" xr:uid="{00000000-0005-0000-0000-0000AF4F0000}"/>
    <cellStyle name="Normal 2 2 6 2 3 2" xfId="14125" xr:uid="{00000000-0005-0000-0000-0000B04F0000}"/>
    <cellStyle name="Normal 2 2 6 2 3 2 2" xfId="14126" xr:uid="{00000000-0005-0000-0000-0000B14F0000}"/>
    <cellStyle name="Normal 2 2 6 2 3 2 2 2" xfId="14127" xr:uid="{00000000-0005-0000-0000-0000B24F0000}"/>
    <cellStyle name="Normal 2 2 6 2 3 2 2 2 2" xfId="52296" xr:uid="{00000000-0005-0000-0000-0000B34F0000}"/>
    <cellStyle name="Normal 2 2 6 2 3 2 2 2 3" xfId="52297" xr:uid="{00000000-0005-0000-0000-0000B44F0000}"/>
    <cellStyle name="Normal 2 2 6 2 3 2 2 3" xfId="14128" xr:uid="{00000000-0005-0000-0000-0000B54F0000}"/>
    <cellStyle name="Normal 2 2 6 2 3 2 2 3 2" xfId="52298" xr:uid="{00000000-0005-0000-0000-0000B64F0000}"/>
    <cellStyle name="Normal 2 2 6 2 3 2 2 4" xfId="14129" xr:uid="{00000000-0005-0000-0000-0000B74F0000}"/>
    <cellStyle name="Normal 2 2 6 2 3 2 2 5" xfId="14130" xr:uid="{00000000-0005-0000-0000-0000B84F0000}"/>
    <cellStyle name="Normal 2 2 6 2 3 2 2 6" xfId="14131" xr:uid="{00000000-0005-0000-0000-0000B94F0000}"/>
    <cellStyle name="Normal 2 2 6 2 3 2 3" xfId="14132" xr:uid="{00000000-0005-0000-0000-0000BA4F0000}"/>
    <cellStyle name="Normal 2 2 6 2 3 2 3 2" xfId="52299" xr:uid="{00000000-0005-0000-0000-0000BB4F0000}"/>
    <cellStyle name="Normal 2 2 6 2 3 2 3 3" xfId="52300" xr:uid="{00000000-0005-0000-0000-0000BC4F0000}"/>
    <cellStyle name="Normal 2 2 6 2 3 2 4" xfId="14133" xr:uid="{00000000-0005-0000-0000-0000BD4F0000}"/>
    <cellStyle name="Normal 2 2 6 2 3 2 4 2" xfId="52301" xr:uid="{00000000-0005-0000-0000-0000BE4F0000}"/>
    <cellStyle name="Normal 2 2 6 2 3 2 5" xfId="14134" xr:uid="{00000000-0005-0000-0000-0000BF4F0000}"/>
    <cellStyle name="Normal 2 2 6 2 3 2 6" xfId="14135" xr:uid="{00000000-0005-0000-0000-0000C04F0000}"/>
    <cellStyle name="Normal 2 2 6 2 3 2 7" xfId="14136" xr:uid="{00000000-0005-0000-0000-0000C14F0000}"/>
    <cellStyle name="Normal 2 2 6 2 3 3" xfId="14137" xr:uid="{00000000-0005-0000-0000-0000C24F0000}"/>
    <cellStyle name="Normal 2 2 6 2 3 3 2" xfId="14138" xr:uid="{00000000-0005-0000-0000-0000C34F0000}"/>
    <cellStyle name="Normal 2 2 6 2 3 3 2 2" xfId="52302" xr:uid="{00000000-0005-0000-0000-0000C44F0000}"/>
    <cellStyle name="Normal 2 2 6 2 3 3 2 3" xfId="52303" xr:uid="{00000000-0005-0000-0000-0000C54F0000}"/>
    <cellStyle name="Normal 2 2 6 2 3 3 3" xfId="14139" xr:uid="{00000000-0005-0000-0000-0000C64F0000}"/>
    <cellStyle name="Normal 2 2 6 2 3 3 3 2" xfId="52304" xr:uid="{00000000-0005-0000-0000-0000C74F0000}"/>
    <cellStyle name="Normal 2 2 6 2 3 3 4" xfId="14140" xr:uid="{00000000-0005-0000-0000-0000C84F0000}"/>
    <cellStyle name="Normal 2 2 6 2 3 3 5" xfId="14141" xr:uid="{00000000-0005-0000-0000-0000C94F0000}"/>
    <cellStyle name="Normal 2 2 6 2 3 3 6" xfId="14142" xr:uid="{00000000-0005-0000-0000-0000CA4F0000}"/>
    <cellStyle name="Normal 2 2 6 2 3 4" xfId="14143" xr:uid="{00000000-0005-0000-0000-0000CB4F0000}"/>
    <cellStyle name="Normal 2 2 6 2 3 4 2" xfId="52305" xr:uid="{00000000-0005-0000-0000-0000CC4F0000}"/>
    <cellStyle name="Normal 2 2 6 2 3 4 3" xfId="52306" xr:uid="{00000000-0005-0000-0000-0000CD4F0000}"/>
    <cellStyle name="Normal 2 2 6 2 3 5" xfId="14144" xr:uid="{00000000-0005-0000-0000-0000CE4F0000}"/>
    <cellStyle name="Normal 2 2 6 2 3 5 2" xfId="52307" xr:uid="{00000000-0005-0000-0000-0000CF4F0000}"/>
    <cellStyle name="Normal 2 2 6 2 3 6" xfId="14145" xr:uid="{00000000-0005-0000-0000-0000D04F0000}"/>
    <cellStyle name="Normal 2 2 6 2 3 7" xfId="14146" xr:uid="{00000000-0005-0000-0000-0000D14F0000}"/>
    <cellStyle name="Normal 2 2 6 2 3 8" xfId="14147" xr:uid="{00000000-0005-0000-0000-0000D24F0000}"/>
    <cellStyle name="Normal 2 2 6 2 4" xfId="14148" xr:uid="{00000000-0005-0000-0000-0000D34F0000}"/>
    <cellStyle name="Normal 2 2 6 2 4 2" xfId="14149" xr:uid="{00000000-0005-0000-0000-0000D44F0000}"/>
    <cellStyle name="Normal 2 2 6 2 4 2 2" xfId="14150" xr:uid="{00000000-0005-0000-0000-0000D54F0000}"/>
    <cellStyle name="Normal 2 2 6 2 4 2 2 2" xfId="52308" xr:uid="{00000000-0005-0000-0000-0000D64F0000}"/>
    <cellStyle name="Normal 2 2 6 2 4 2 2 3" xfId="52309" xr:uid="{00000000-0005-0000-0000-0000D74F0000}"/>
    <cellStyle name="Normal 2 2 6 2 4 2 3" xfId="14151" xr:uid="{00000000-0005-0000-0000-0000D84F0000}"/>
    <cellStyle name="Normal 2 2 6 2 4 2 3 2" xfId="52310" xr:uid="{00000000-0005-0000-0000-0000D94F0000}"/>
    <cellStyle name="Normal 2 2 6 2 4 2 4" xfId="14152" xr:uid="{00000000-0005-0000-0000-0000DA4F0000}"/>
    <cellStyle name="Normal 2 2 6 2 4 2 5" xfId="14153" xr:uid="{00000000-0005-0000-0000-0000DB4F0000}"/>
    <cellStyle name="Normal 2 2 6 2 4 2 6" xfId="14154" xr:uid="{00000000-0005-0000-0000-0000DC4F0000}"/>
    <cellStyle name="Normal 2 2 6 2 4 3" xfId="14155" xr:uid="{00000000-0005-0000-0000-0000DD4F0000}"/>
    <cellStyle name="Normal 2 2 6 2 4 3 2" xfId="52311" xr:uid="{00000000-0005-0000-0000-0000DE4F0000}"/>
    <cellStyle name="Normal 2 2 6 2 4 3 3" xfId="52312" xr:uid="{00000000-0005-0000-0000-0000DF4F0000}"/>
    <cellStyle name="Normal 2 2 6 2 4 4" xfId="14156" xr:uid="{00000000-0005-0000-0000-0000E04F0000}"/>
    <cellStyle name="Normal 2 2 6 2 4 4 2" xfId="52313" xr:uid="{00000000-0005-0000-0000-0000E14F0000}"/>
    <cellStyle name="Normal 2 2 6 2 4 5" xfId="14157" xr:uid="{00000000-0005-0000-0000-0000E24F0000}"/>
    <cellStyle name="Normal 2 2 6 2 4 6" xfId="14158" xr:uid="{00000000-0005-0000-0000-0000E34F0000}"/>
    <cellStyle name="Normal 2 2 6 2 4 7" xfId="14159" xr:uid="{00000000-0005-0000-0000-0000E44F0000}"/>
    <cellStyle name="Normal 2 2 6 2 5" xfId="14160" xr:uid="{00000000-0005-0000-0000-0000E54F0000}"/>
    <cellStyle name="Normal 2 2 6 2 5 2" xfId="14161" xr:uid="{00000000-0005-0000-0000-0000E64F0000}"/>
    <cellStyle name="Normal 2 2 6 2 5 2 2" xfId="52314" xr:uid="{00000000-0005-0000-0000-0000E74F0000}"/>
    <cellStyle name="Normal 2 2 6 2 5 2 3" xfId="52315" xr:uid="{00000000-0005-0000-0000-0000E84F0000}"/>
    <cellStyle name="Normal 2 2 6 2 5 3" xfId="14162" xr:uid="{00000000-0005-0000-0000-0000E94F0000}"/>
    <cellStyle name="Normal 2 2 6 2 5 3 2" xfId="52316" xr:uid="{00000000-0005-0000-0000-0000EA4F0000}"/>
    <cellStyle name="Normal 2 2 6 2 5 4" xfId="14163" xr:uid="{00000000-0005-0000-0000-0000EB4F0000}"/>
    <cellStyle name="Normal 2 2 6 2 5 5" xfId="14164" xr:uid="{00000000-0005-0000-0000-0000EC4F0000}"/>
    <cellStyle name="Normal 2 2 6 2 5 6" xfId="14165" xr:uid="{00000000-0005-0000-0000-0000ED4F0000}"/>
    <cellStyle name="Normal 2 2 6 2 6" xfId="14166" xr:uid="{00000000-0005-0000-0000-0000EE4F0000}"/>
    <cellStyle name="Normal 2 2 6 2 6 2" xfId="52317" xr:uid="{00000000-0005-0000-0000-0000EF4F0000}"/>
    <cellStyle name="Normal 2 2 6 2 6 3" xfId="52318" xr:uid="{00000000-0005-0000-0000-0000F04F0000}"/>
    <cellStyle name="Normal 2 2 6 2 7" xfId="14167" xr:uid="{00000000-0005-0000-0000-0000F14F0000}"/>
    <cellStyle name="Normal 2 2 6 2 7 2" xfId="52319" xr:uid="{00000000-0005-0000-0000-0000F24F0000}"/>
    <cellStyle name="Normal 2 2 6 2 8" xfId="14168" xr:uid="{00000000-0005-0000-0000-0000F34F0000}"/>
    <cellStyle name="Normal 2 2 6 2 8 2" xfId="52320" xr:uid="{00000000-0005-0000-0000-0000F44F0000}"/>
    <cellStyle name="Normal 2 2 6 2 9" xfId="14169" xr:uid="{00000000-0005-0000-0000-0000F54F0000}"/>
    <cellStyle name="Normal 2 2 6 3" xfId="14170" xr:uid="{00000000-0005-0000-0000-0000F64F0000}"/>
    <cellStyle name="Normal 2 2 6 3 2" xfId="14171" xr:uid="{00000000-0005-0000-0000-0000F74F0000}"/>
    <cellStyle name="Normal 2 2 6 3 2 2" xfId="14172" xr:uid="{00000000-0005-0000-0000-0000F84F0000}"/>
    <cellStyle name="Normal 2 2 6 3 2 2 2" xfId="14173" xr:uid="{00000000-0005-0000-0000-0000F94F0000}"/>
    <cellStyle name="Normal 2 2 6 3 2 2 2 2" xfId="52321" xr:uid="{00000000-0005-0000-0000-0000FA4F0000}"/>
    <cellStyle name="Normal 2 2 6 3 2 2 2 3" xfId="52322" xr:uid="{00000000-0005-0000-0000-0000FB4F0000}"/>
    <cellStyle name="Normal 2 2 6 3 2 2 3" xfId="14174" xr:uid="{00000000-0005-0000-0000-0000FC4F0000}"/>
    <cellStyle name="Normal 2 2 6 3 2 2 3 2" xfId="52323" xr:uid="{00000000-0005-0000-0000-0000FD4F0000}"/>
    <cellStyle name="Normal 2 2 6 3 2 2 4" xfId="14175" xr:uid="{00000000-0005-0000-0000-0000FE4F0000}"/>
    <cellStyle name="Normal 2 2 6 3 2 2 5" xfId="14176" xr:uid="{00000000-0005-0000-0000-0000FF4F0000}"/>
    <cellStyle name="Normal 2 2 6 3 2 2 6" xfId="14177" xr:uid="{00000000-0005-0000-0000-000000500000}"/>
    <cellStyle name="Normal 2 2 6 3 2 3" xfId="14178" xr:uid="{00000000-0005-0000-0000-000001500000}"/>
    <cellStyle name="Normal 2 2 6 3 2 3 2" xfId="52324" xr:uid="{00000000-0005-0000-0000-000002500000}"/>
    <cellStyle name="Normal 2 2 6 3 2 3 3" xfId="52325" xr:uid="{00000000-0005-0000-0000-000003500000}"/>
    <cellStyle name="Normal 2 2 6 3 2 4" xfId="14179" xr:uid="{00000000-0005-0000-0000-000004500000}"/>
    <cellStyle name="Normal 2 2 6 3 2 4 2" xfId="52326" xr:uid="{00000000-0005-0000-0000-000005500000}"/>
    <cellStyle name="Normal 2 2 6 3 2 5" xfId="14180" xr:uid="{00000000-0005-0000-0000-000006500000}"/>
    <cellStyle name="Normal 2 2 6 3 2 6" xfId="14181" xr:uid="{00000000-0005-0000-0000-000007500000}"/>
    <cellStyle name="Normal 2 2 6 3 2 7" xfId="14182" xr:uid="{00000000-0005-0000-0000-000008500000}"/>
    <cellStyle name="Normal 2 2 6 3 3" xfId="14183" xr:uid="{00000000-0005-0000-0000-000009500000}"/>
    <cellStyle name="Normal 2 2 6 3 3 2" xfId="14184" xr:uid="{00000000-0005-0000-0000-00000A500000}"/>
    <cellStyle name="Normal 2 2 6 3 3 2 2" xfId="52327" xr:uid="{00000000-0005-0000-0000-00000B500000}"/>
    <cellStyle name="Normal 2 2 6 3 3 2 3" xfId="52328" xr:uid="{00000000-0005-0000-0000-00000C500000}"/>
    <cellStyle name="Normal 2 2 6 3 3 3" xfId="14185" xr:uid="{00000000-0005-0000-0000-00000D500000}"/>
    <cellStyle name="Normal 2 2 6 3 3 3 2" xfId="52329" xr:uid="{00000000-0005-0000-0000-00000E500000}"/>
    <cellStyle name="Normal 2 2 6 3 3 4" xfId="14186" xr:uid="{00000000-0005-0000-0000-00000F500000}"/>
    <cellStyle name="Normal 2 2 6 3 3 5" xfId="14187" xr:uid="{00000000-0005-0000-0000-000010500000}"/>
    <cellStyle name="Normal 2 2 6 3 3 6" xfId="14188" xr:uid="{00000000-0005-0000-0000-000011500000}"/>
    <cellStyle name="Normal 2 2 6 3 4" xfId="14189" xr:uid="{00000000-0005-0000-0000-000012500000}"/>
    <cellStyle name="Normal 2 2 6 3 4 2" xfId="52330" xr:uid="{00000000-0005-0000-0000-000013500000}"/>
    <cellStyle name="Normal 2 2 6 3 4 3" xfId="52331" xr:uid="{00000000-0005-0000-0000-000014500000}"/>
    <cellStyle name="Normal 2 2 6 3 5" xfId="14190" xr:uid="{00000000-0005-0000-0000-000015500000}"/>
    <cellStyle name="Normal 2 2 6 3 5 2" xfId="52332" xr:uid="{00000000-0005-0000-0000-000016500000}"/>
    <cellStyle name="Normal 2 2 6 3 6" xfId="14191" xr:uid="{00000000-0005-0000-0000-000017500000}"/>
    <cellStyle name="Normal 2 2 6 3 7" xfId="14192" xr:uid="{00000000-0005-0000-0000-000018500000}"/>
    <cellStyle name="Normal 2 2 6 3 8" xfId="14193" xr:uid="{00000000-0005-0000-0000-000019500000}"/>
    <cellStyle name="Normal 2 2 6 3 9" xfId="14194" xr:uid="{00000000-0005-0000-0000-00001A500000}"/>
    <cellStyle name="Normal 2 2 6 4" xfId="14195" xr:uid="{00000000-0005-0000-0000-00001B500000}"/>
    <cellStyle name="Normal 2 2 6 4 2" xfId="14196" xr:uid="{00000000-0005-0000-0000-00001C500000}"/>
    <cellStyle name="Normal 2 2 6 4 2 2" xfId="14197" xr:uid="{00000000-0005-0000-0000-00001D500000}"/>
    <cellStyle name="Normal 2 2 6 4 2 2 2" xfId="14198" xr:uid="{00000000-0005-0000-0000-00001E500000}"/>
    <cellStyle name="Normal 2 2 6 4 2 2 2 2" xfId="52333" xr:uid="{00000000-0005-0000-0000-00001F500000}"/>
    <cellStyle name="Normal 2 2 6 4 2 2 2 3" xfId="52334" xr:uid="{00000000-0005-0000-0000-000020500000}"/>
    <cellStyle name="Normal 2 2 6 4 2 2 3" xfId="14199" xr:uid="{00000000-0005-0000-0000-000021500000}"/>
    <cellStyle name="Normal 2 2 6 4 2 2 3 2" xfId="52335" xr:uid="{00000000-0005-0000-0000-000022500000}"/>
    <cellStyle name="Normal 2 2 6 4 2 2 4" xfId="14200" xr:uid="{00000000-0005-0000-0000-000023500000}"/>
    <cellStyle name="Normal 2 2 6 4 2 2 5" xfId="14201" xr:uid="{00000000-0005-0000-0000-000024500000}"/>
    <cellStyle name="Normal 2 2 6 4 2 2 6" xfId="14202" xr:uid="{00000000-0005-0000-0000-000025500000}"/>
    <cellStyle name="Normal 2 2 6 4 2 3" xfId="14203" xr:uid="{00000000-0005-0000-0000-000026500000}"/>
    <cellStyle name="Normal 2 2 6 4 2 3 2" xfId="52336" xr:uid="{00000000-0005-0000-0000-000027500000}"/>
    <cellStyle name="Normal 2 2 6 4 2 3 3" xfId="52337" xr:uid="{00000000-0005-0000-0000-000028500000}"/>
    <cellStyle name="Normal 2 2 6 4 2 4" xfId="14204" xr:uid="{00000000-0005-0000-0000-000029500000}"/>
    <cellStyle name="Normal 2 2 6 4 2 4 2" xfId="52338" xr:uid="{00000000-0005-0000-0000-00002A500000}"/>
    <cellStyle name="Normal 2 2 6 4 2 5" xfId="14205" xr:uid="{00000000-0005-0000-0000-00002B500000}"/>
    <cellStyle name="Normal 2 2 6 4 2 6" xfId="14206" xr:uid="{00000000-0005-0000-0000-00002C500000}"/>
    <cellStyle name="Normal 2 2 6 4 2 7" xfId="14207" xr:uid="{00000000-0005-0000-0000-00002D500000}"/>
    <cellStyle name="Normal 2 2 6 4 3" xfId="14208" xr:uid="{00000000-0005-0000-0000-00002E500000}"/>
    <cellStyle name="Normal 2 2 6 4 3 2" xfId="14209" xr:uid="{00000000-0005-0000-0000-00002F500000}"/>
    <cellStyle name="Normal 2 2 6 4 3 2 2" xfId="52339" xr:uid="{00000000-0005-0000-0000-000030500000}"/>
    <cellStyle name="Normal 2 2 6 4 3 2 3" xfId="52340" xr:uid="{00000000-0005-0000-0000-000031500000}"/>
    <cellStyle name="Normal 2 2 6 4 3 3" xfId="14210" xr:uid="{00000000-0005-0000-0000-000032500000}"/>
    <cellStyle name="Normal 2 2 6 4 3 3 2" xfId="52341" xr:uid="{00000000-0005-0000-0000-000033500000}"/>
    <cellStyle name="Normal 2 2 6 4 3 4" xfId="14211" xr:uid="{00000000-0005-0000-0000-000034500000}"/>
    <cellStyle name="Normal 2 2 6 4 3 5" xfId="14212" xr:uid="{00000000-0005-0000-0000-000035500000}"/>
    <cellStyle name="Normal 2 2 6 4 3 6" xfId="14213" xr:uid="{00000000-0005-0000-0000-000036500000}"/>
    <cellStyle name="Normal 2 2 6 4 4" xfId="14214" xr:uid="{00000000-0005-0000-0000-000037500000}"/>
    <cellStyle name="Normal 2 2 6 4 4 2" xfId="52342" xr:uid="{00000000-0005-0000-0000-000038500000}"/>
    <cellStyle name="Normal 2 2 6 4 4 3" xfId="52343" xr:uid="{00000000-0005-0000-0000-000039500000}"/>
    <cellStyle name="Normal 2 2 6 4 5" xfId="14215" xr:uid="{00000000-0005-0000-0000-00003A500000}"/>
    <cellStyle name="Normal 2 2 6 4 5 2" xfId="52344" xr:uid="{00000000-0005-0000-0000-00003B500000}"/>
    <cellStyle name="Normal 2 2 6 4 6" xfId="14216" xr:uid="{00000000-0005-0000-0000-00003C500000}"/>
    <cellStyle name="Normal 2 2 6 4 7" xfId="14217" xr:uid="{00000000-0005-0000-0000-00003D500000}"/>
    <cellStyle name="Normal 2 2 6 4 8" xfId="14218" xr:uid="{00000000-0005-0000-0000-00003E500000}"/>
    <cellStyle name="Normal 2 2 6 5" xfId="14219" xr:uid="{00000000-0005-0000-0000-00003F500000}"/>
    <cellStyle name="Normal 2 2 6 5 2" xfId="14220" xr:uid="{00000000-0005-0000-0000-000040500000}"/>
    <cellStyle name="Normal 2 2 6 5 2 2" xfId="14221" xr:uid="{00000000-0005-0000-0000-000041500000}"/>
    <cellStyle name="Normal 2 2 6 5 2 2 2" xfId="52345" xr:uid="{00000000-0005-0000-0000-000042500000}"/>
    <cellStyle name="Normal 2 2 6 5 2 2 3" xfId="52346" xr:uid="{00000000-0005-0000-0000-000043500000}"/>
    <cellStyle name="Normal 2 2 6 5 2 3" xfId="14222" xr:uid="{00000000-0005-0000-0000-000044500000}"/>
    <cellStyle name="Normal 2 2 6 5 2 3 2" xfId="52347" xr:uid="{00000000-0005-0000-0000-000045500000}"/>
    <cellStyle name="Normal 2 2 6 5 2 4" xfId="14223" xr:uid="{00000000-0005-0000-0000-000046500000}"/>
    <cellStyle name="Normal 2 2 6 5 2 5" xfId="14224" xr:uid="{00000000-0005-0000-0000-000047500000}"/>
    <cellStyle name="Normal 2 2 6 5 2 6" xfId="14225" xr:uid="{00000000-0005-0000-0000-000048500000}"/>
    <cellStyle name="Normal 2 2 6 5 3" xfId="14226" xr:uid="{00000000-0005-0000-0000-000049500000}"/>
    <cellStyle name="Normal 2 2 6 5 3 2" xfId="52348" xr:uid="{00000000-0005-0000-0000-00004A500000}"/>
    <cellStyle name="Normal 2 2 6 5 3 3" xfId="52349" xr:uid="{00000000-0005-0000-0000-00004B500000}"/>
    <cellStyle name="Normal 2 2 6 5 4" xfId="14227" xr:uid="{00000000-0005-0000-0000-00004C500000}"/>
    <cellStyle name="Normal 2 2 6 5 4 2" xfId="52350" xr:uid="{00000000-0005-0000-0000-00004D500000}"/>
    <cellStyle name="Normal 2 2 6 5 5" xfId="14228" xr:uid="{00000000-0005-0000-0000-00004E500000}"/>
    <cellStyle name="Normal 2 2 6 5 6" xfId="14229" xr:uid="{00000000-0005-0000-0000-00004F500000}"/>
    <cellStyle name="Normal 2 2 6 5 7" xfId="14230" xr:uid="{00000000-0005-0000-0000-000050500000}"/>
    <cellStyle name="Normal 2 2 6 6" xfId="14231" xr:uid="{00000000-0005-0000-0000-000051500000}"/>
    <cellStyle name="Normal 2 2 6 6 2" xfId="14232" xr:uid="{00000000-0005-0000-0000-000052500000}"/>
    <cellStyle name="Normal 2 2 6 6 2 2" xfId="52351" xr:uid="{00000000-0005-0000-0000-000053500000}"/>
    <cellStyle name="Normal 2 2 6 6 2 3" xfId="52352" xr:uid="{00000000-0005-0000-0000-000054500000}"/>
    <cellStyle name="Normal 2 2 6 6 3" xfId="14233" xr:uid="{00000000-0005-0000-0000-000055500000}"/>
    <cellStyle name="Normal 2 2 6 6 3 2" xfId="52353" xr:uid="{00000000-0005-0000-0000-000056500000}"/>
    <cellStyle name="Normal 2 2 6 6 4" xfId="14234" xr:uid="{00000000-0005-0000-0000-000057500000}"/>
    <cellStyle name="Normal 2 2 6 6 5" xfId="14235" xr:uid="{00000000-0005-0000-0000-000058500000}"/>
    <cellStyle name="Normal 2 2 6 6 6" xfId="14236" xr:uid="{00000000-0005-0000-0000-000059500000}"/>
    <cellStyle name="Normal 2 2 6 7" xfId="14237" xr:uid="{00000000-0005-0000-0000-00005A500000}"/>
    <cellStyle name="Normal 2 2 6 7 2" xfId="52354" xr:uid="{00000000-0005-0000-0000-00005B500000}"/>
    <cellStyle name="Normal 2 2 6 7 3" xfId="52355" xr:uid="{00000000-0005-0000-0000-00005C500000}"/>
    <cellStyle name="Normal 2 2 6 8" xfId="14238" xr:uid="{00000000-0005-0000-0000-00005D500000}"/>
    <cellStyle name="Normal 2 2 6 8 2" xfId="52356" xr:uid="{00000000-0005-0000-0000-00005E500000}"/>
    <cellStyle name="Normal 2 2 6 9" xfId="14239" xr:uid="{00000000-0005-0000-0000-00005F500000}"/>
    <cellStyle name="Normal 2 2 6 9 2" xfId="52357" xr:uid="{00000000-0005-0000-0000-000060500000}"/>
    <cellStyle name="Normal 2 2 7" xfId="14240" xr:uid="{00000000-0005-0000-0000-000061500000}"/>
    <cellStyle name="Normal 2 2 7 10" xfId="14241" xr:uid="{00000000-0005-0000-0000-000062500000}"/>
    <cellStyle name="Normal 2 2 7 11" xfId="14242" xr:uid="{00000000-0005-0000-0000-000063500000}"/>
    <cellStyle name="Normal 2 2 7 12" xfId="14243" xr:uid="{00000000-0005-0000-0000-000064500000}"/>
    <cellStyle name="Normal 2 2 7 13" xfId="14244" xr:uid="{00000000-0005-0000-0000-000065500000}"/>
    <cellStyle name="Normal 2 2 7 14" xfId="14245" xr:uid="{00000000-0005-0000-0000-000066500000}"/>
    <cellStyle name="Normal 2 2 7 15" xfId="14246" xr:uid="{00000000-0005-0000-0000-000067500000}"/>
    <cellStyle name="Normal 2 2 7 2" xfId="14247" xr:uid="{00000000-0005-0000-0000-000068500000}"/>
    <cellStyle name="Normal 2 2 7 2 2" xfId="14248" xr:uid="{00000000-0005-0000-0000-000069500000}"/>
    <cellStyle name="Normal 2 2 7 2 2 2" xfId="14249" xr:uid="{00000000-0005-0000-0000-00006A500000}"/>
    <cellStyle name="Normal 2 2 7 2 2 2 2" xfId="14250" xr:uid="{00000000-0005-0000-0000-00006B500000}"/>
    <cellStyle name="Normal 2 2 7 2 2 2 2 2" xfId="52358" xr:uid="{00000000-0005-0000-0000-00006C500000}"/>
    <cellStyle name="Normal 2 2 7 2 2 2 2 3" xfId="52359" xr:uid="{00000000-0005-0000-0000-00006D500000}"/>
    <cellStyle name="Normal 2 2 7 2 2 2 3" xfId="14251" xr:uid="{00000000-0005-0000-0000-00006E500000}"/>
    <cellStyle name="Normal 2 2 7 2 2 2 3 2" xfId="52360" xr:uid="{00000000-0005-0000-0000-00006F500000}"/>
    <cellStyle name="Normal 2 2 7 2 2 2 4" xfId="14252" xr:uid="{00000000-0005-0000-0000-000070500000}"/>
    <cellStyle name="Normal 2 2 7 2 2 2 5" xfId="14253" xr:uid="{00000000-0005-0000-0000-000071500000}"/>
    <cellStyle name="Normal 2 2 7 2 2 2 6" xfId="14254" xr:uid="{00000000-0005-0000-0000-000072500000}"/>
    <cellStyle name="Normal 2 2 7 2 2 3" xfId="14255" xr:uid="{00000000-0005-0000-0000-000073500000}"/>
    <cellStyle name="Normal 2 2 7 2 2 3 2" xfId="52361" xr:uid="{00000000-0005-0000-0000-000074500000}"/>
    <cellStyle name="Normal 2 2 7 2 2 3 3" xfId="52362" xr:uid="{00000000-0005-0000-0000-000075500000}"/>
    <cellStyle name="Normal 2 2 7 2 2 4" xfId="14256" xr:uid="{00000000-0005-0000-0000-000076500000}"/>
    <cellStyle name="Normal 2 2 7 2 2 4 2" xfId="52363" xr:uid="{00000000-0005-0000-0000-000077500000}"/>
    <cellStyle name="Normal 2 2 7 2 2 5" xfId="14257" xr:uid="{00000000-0005-0000-0000-000078500000}"/>
    <cellStyle name="Normal 2 2 7 2 2 6" xfId="14258" xr:uid="{00000000-0005-0000-0000-000079500000}"/>
    <cellStyle name="Normal 2 2 7 2 2 7" xfId="14259" xr:uid="{00000000-0005-0000-0000-00007A500000}"/>
    <cellStyle name="Normal 2 2 7 2 3" xfId="14260" xr:uid="{00000000-0005-0000-0000-00007B500000}"/>
    <cellStyle name="Normal 2 2 7 2 3 2" xfId="14261" xr:uid="{00000000-0005-0000-0000-00007C500000}"/>
    <cellStyle name="Normal 2 2 7 2 3 2 2" xfId="52364" xr:uid="{00000000-0005-0000-0000-00007D500000}"/>
    <cellStyle name="Normal 2 2 7 2 3 2 3" xfId="52365" xr:uid="{00000000-0005-0000-0000-00007E500000}"/>
    <cellStyle name="Normal 2 2 7 2 3 3" xfId="14262" xr:uid="{00000000-0005-0000-0000-00007F500000}"/>
    <cellStyle name="Normal 2 2 7 2 3 3 2" xfId="52366" xr:uid="{00000000-0005-0000-0000-000080500000}"/>
    <cellStyle name="Normal 2 2 7 2 3 4" xfId="14263" xr:uid="{00000000-0005-0000-0000-000081500000}"/>
    <cellStyle name="Normal 2 2 7 2 3 5" xfId="14264" xr:uid="{00000000-0005-0000-0000-000082500000}"/>
    <cellStyle name="Normal 2 2 7 2 3 6" xfId="14265" xr:uid="{00000000-0005-0000-0000-000083500000}"/>
    <cellStyle name="Normal 2 2 7 2 4" xfId="14266" xr:uid="{00000000-0005-0000-0000-000084500000}"/>
    <cellStyle name="Normal 2 2 7 2 4 2" xfId="52367" xr:uid="{00000000-0005-0000-0000-000085500000}"/>
    <cellStyle name="Normal 2 2 7 2 4 3" xfId="52368" xr:uid="{00000000-0005-0000-0000-000086500000}"/>
    <cellStyle name="Normal 2 2 7 2 5" xfId="14267" xr:uid="{00000000-0005-0000-0000-000087500000}"/>
    <cellStyle name="Normal 2 2 7 2 5 2" xfId="52369" xr:uid="{00000000-0005-0000-0000-000088500000}"/>
    <cellStyle name="Normal 2 2 7 2 6" xfId="14268" xr:uid="{00000000-0005-0000-0000-000089500000}"/>
    <cellStyle name="Normal 2 2 7 2 7" xfId="14269" xr:uid="{00000000-0005-0000-0000-00008A500000}"/>
    <cellStyle name="Normal 2 2 7 2 8" xfId="14270" xr:uid="{00000000-0005-0000-0000-00008B500000}"/>
    <cellStyle name="Normal 2 2 7 2 9" xfId="14271" xr:uid="{00000000-0005-0000-0000-00008C500000}"/>
    <cellStyle name="Normal 2 2 7 3" xfId="14272" xr:uid="{00000000-0005-0000-0000-00008D500000}"/>
    <cellStyle name="Normal 2 2 7 3 2" xfId="14273" xr:uid="{00000000-0005-0000-0000-00008E500000}"/>
    <cellStyle name="Normal 2 2 7 3 2 2" xfId="14274" xr:uid="{00000000-0005-0000-0000-00008F500000}"/>
    <cellStyle name="Normal 2 2 7 3 2 2 2" xfId="14275" xr:uid="{00000000-0005-0000-0000-000090500000}"/>
    <cellStyle name="Normal 2 2 7 3 2 2 2 2" xfId="52370" xr:uid="{00000000-0005-0000-0000-000091500000}"/>
    <cellStyle name="Normal 2 2 7 3 2 2 2 3" xfId="52371" xr:uid="{00000000-0005-0000-0000-000092500000}"/>
    <cellStyle name="Normal 2 2 7 3 2 2 3" xfId="14276" xr:uid="{00000000-0005-0000-0000-000093500000}"/>
    <cellStyle name="Normal 2 2 7 3 2 2 3 2" xfId="52372" xr:uid="{00000000-0005-0000-0000-000094500000}"/>
    <cellStyle name="Normal 2 2 7 3 2 2 4" xfId="14277" xr:uid="{00000000-0005-0000-0000-000095500000}"/>
    <cellStyle name="Normal 2 2 7 3 2 2 5" xfId="14278" xr:uid="{00000000-0005-0000-0000-000096500000}"/>
    <cellStyle name="Normal 2 2 7 3 2 2 6" xfId="14279" xr:uid="{00000000-0005-0000-0000-000097500000}"/>
    <cellStyle name="Normal 2 2 7 3 2 3" xfId="14280" xr:uid="{00000000-0005-0000-0000-000098500000}"/>
    <cellStyle name="Normal 2 2 7 3 2 3 2" xfId="52373" xr:uid="{00000000-0005-0000-0000-000099500000}"/>
    <cellStyle name="Normal 2 2 7 3 2 3 3" xfId="52374" xr:uid="{00000000-0005-0000-0000-00009A500000}"/>
    <cellStyle name="Normal 2 2 7 3 2 4" xfId="14281" xr:uid="{00000000-0005-0000-0000-00009B500000}"/>
    <cellStyle name="Normal 2 2 7 3 2 4 2" xfId="52375" xr:uid="{00000000-0005-0000-0000-00009C500000}"/>
    <cellStyle name="Normal 2 2 7 3 2 5" xfId="14282" xr:uid="{00000000-0005-0000-0000-00009D500000}"/>
    <cellStyle name="Normal 2 2 7 3 2 6" xfId="14283" xr:uid="{00000000-0005-0000-0000-00009E500000}"/>
    <cellStyle name="Normal 2 2 7 3 2 7" xfId="14284" xr:uid="{00000000-0005-0000-0000-00009F500000}"/>
    <cellStyle name="Normal 2 2 7 3 3" xfId="14285" xr:uid="{00000000-0005-0000-0000-0000A0500000}"/>
    <cellStyle name="Normal 2 2 7 3 3 2" xfId="14286" xr:uid="{00000000-0005-0000-0000-0000A1500000}"/>
    <cellStyle name="Normal 2 2 7 3 3 2 2" xfId="52376" xr:uid="{00000000-0005-0000-0000-0000A2500000}"/>
    <cellStyle name="Normal 2 2 7 3 3 2 3" xfId="52377" xr:uid="{00000000-0005-0000-0000-0000A3500000}"/>
    <cellStyle name="Normal 2 2 7 3 3 3" xfId="14287" xr:uid="{00000000-0005-0000-0000-0000A4500000}"/>
    <cellStyle name="Normal 2 2 7 3 3 3 2" xfId="52378" xr:uid="{00000000-0005-0000-0000-0000A5500000}"/>
    <cellStyle name="Normal 2 2 7 3 3 4" xfId="14288" xr:uid="{00000000-0005-0000-0000-0000A6500000}"/>
    <cellStyle name="Normal 2 2 7 3 3 5" xfId="14289" xr:uid="{00000000-0005-0000-0000-0000A7500000}"/>
    <cellStyle name="Normal 2 2 7 3 3 6" xfId="14290" xr:uid="{00000000-0005-0000-0000-0000A8500000}"/>
    <cellStyle name="Normal 2 2 7 3 4" xfId="14291" xr:uid="{00000000-0005-0000-0000-0000A9500000}"/>
    <cellStyle name="Normal 2 2 7 3 4 2" xfId="52379" xr:uid="{00000000-0005-0000-0000-0000AA500000}"/>
    <cellStyle name="Normal 2 2 7 3 4 3" xfId="52380" xr:uid="{00000000-0005-0000-0000-0000AB500000}"/>
    <cellStyle name="Normal 2 2 7 3 5" xfId="14292" xr:uid="{00000000-0005-0000-0000-0000AC500000}"/>
    <cellStyle name="Normal 2 2 7 3 5 2" xfId="52381" xr:uid="{00000000-0005-0000-0000-0000AD500000}"/>
    <cellStyle name="Normal 2 2 7 3 6" xfId="14293" xr:uid="{00000000-0005-0000-0000-0000AE500000}"/>
    <cellStyle name="Normal 2 2 7 3 7" xfId="14294" xr:uid="{00000000-0005-0000-0000-0000AF500000}"/>
    <cellStyle name="Normal 2 2 7 3 8" xfId="14295" xr:uid="{00000000-0005-0000-0000-0000B0500000}"/>
    <cellStyle name="Normal 2 2 7 4" xfId="14296" xr:uid="{00000000-0005-0000-0000-0000B1500000}"/>
    <cellStyle name="Normal 2 2 7 4 2" xfId="14297" xr:uid="{00000000-0005-0000-0000-0000B2500000}"/>
    <cellStyle name="Normal 2 2 7 4 2 2" xfId="14298" xr:uid="{00000000-0005-0000-0000-0000B3500000}"/>
    <cellStyle name="Normal 2 2 7 4 2 2 2" xfId="52382" xr:uid="{00000000-0005-0000-0000-0000B4500000}"/>
    <cellStyle name="Normal 2 2 7 4 2 2 3" xfId="52383" xr:uid="{00000000-0005-0000-0000-0000B5500000}"/>
    <cellStyle name="Normal 2 2 7 4 2 3" xfId="14299" xr:uid="{00000000-0005-0000-0000-0000B6500000}"/>
    <cellStyle name="Normal 2 2 7 4 2 3 2" xfId="52384" xr:uid="{00000000-0005-0000-0000-0000B7500000}"/>
    <cellStyle name="Normal 2 2 7 4 2 4" xfId="14300" xr:uid="{00000000-0005-0000-0000-0000B8500000}"/>
    <cellStyle name="Normal 2 2 7 4 2 5" xfId="14301" xr:uid="{00000000-0005-0000-0000-0000B9500000}"/>
    <cellStyle name="Normal 2 2 7 4 2 6" xfId="14302" xr:uid="{00000000-0005-0000-0000-0000BA500000}"/>
    <cellStyle name="Normal 2 2 7 4 3" xfId="14303" xr:uid="{00000000-0005-0000-0000-0000BB500000}"/>
    <cellStyle name="Normal 2 2 7 4 3 2" xfId="52385" xr:uid="{00000000-0005-0000-0000-0000BC500000}"/>
    <cellStyle name="Normal 2 2 7 4 3 3" xfId="52386" xr:uid="{00000000-0005-0000-0000-0000BD500000}"/>
    <cellStyle name="Normal 2 2 7 4 4" xfId="14304" xr:uid="{00000000-0005-0000-0000-0000BE500000}"/>
    <cellStyle name="Normal 2 2 7 4 4 2" xfId="52387" xr:uid="{00000000-0005-0000-0000-0000BF500000}"/>
    <cellStyle name="Normal 2 2 7 4 5" xfId="14305" xr:uid="{00000000-0005-0000-0000-0000C0500000}"/>
    <cellStyle name="Normal 2 2 7 4 6" xfId="14306" xr:uid="{00000000-0005-0000-0000-0000C1500000}"/>
    <cellStyle name="Normal 2 2 7 4 7" xfId="14307" xr:uid="{00000000-0005-0000-0000-0000C2500000}"/>
    <cellStyle name="Normal 2 2 7 5" xfId="14308" xr:uid="{00000000-0005-0000-0000-0000C3500000}"/>
    <cellStyle name="Normal 2 2 7 5 2" xfId="14309" xr:uid="{00000000-0005-0000-0000-0000C4500000}"/>
    <cellStyle name="Normal 2 2 7 5 2 2" xfId="52388" xr:uid="{00000000-0005-0000-0000-0000C5500000}"/>
    <cellStyle name="Normal 2 2 7 5 2 3" xfId="52389" xr:uid="{00000000-0005-0000-0000-0000C6500000}"/>
    <cellStyle name="Normal 2 2 7 5 3" xfId="14310" xr:uid="{00000000-0005-0000-0000-0000C7500000}"/>
    <cellStyle name="Normal 2 2 7 5 3 2" xfId="52390" xr:uid="{00000000-0005-0000-0000-0000C8500000}"/>
    <cellStyle name="Normal 2 2 7 5 4" xfId="14311" xr:uid="{00000000-0005-0000-0000-0000C9500000}"/>
    <cellStyle name="Normal 2 2 7 5 5" xfId="14312" xr:uid="{00000000-0005-0000-0000-0000CA500000}"/>
    <cellStyle name="Normal 2 2 7 5 6" xfId="14313" xr:uid="{00000000-0005-0000-0000-0000CB500000}"/>
    <cellStyle name="Normal 2 2 7 6" xfId="14314" xr:uid="{00000000-0005-0000-0000-0000CC500000}"/>
    <cellStyle name="Normal 2 2 7 6 2" xfId="52391" xr:uid="{00000000-0005-0000-0000-0000CD500000}"/>
    <cellStyle name="Normal 2 2 7 7" xfId="14315" xr:uid="{00000000-0005-0000-0000-0000CE500000}"/>
    <cellStyle name="Normal 2 2 7 8" xfId="14316" xr:uid="{00000000-0005-0000-0000-0000CF500000}"/>
    <cellStyle name="Normal 2 2 7 9" xfId="14317" xr:uid="{00000000-0005-0000-0000-0000D0500000}"/>
    <cellStyle name="Normal 2 2 8" xfId="14318" xr:uid="{00000000-0005-0000-0000-0000D1500000}"/>
    <cellStyle name="Normal 2 2 8 10" xfId="14319" xr:uid="{00000000-0005-0000-0000-0000D2500000}"/>
    <cellStyle name="Normal 2 2 8 11" xfId="14320" xr:uid="{00000000-0005-0000-0000-0000D3500000}"/>
    <cellStyle name="Normal 2 2 8 12" xfId="14321" xr:uid="{00000000-0005-0000-0000-0000D4500000}"/>
    <cellStyle name="Normal 2 2 8 13" xfId="14322" xr:uid="{00000000-0005-0000-0000-0000D5500000}"/>
    <cellStyle name="Normal 2 2 8 2" xfId="14323" xr:uid="{00000000-0005-0000-0000-0000D6500000}"/>
    <cellStyle name="Normal 2 2 8 2 2" xfId="14324" xr:uid="{00000000-0005-0000-0000-0000D7500000}"/>
    <cellStyle name="Normal 2 2 8 2 2 2" xfId="14325" xr:uid="{00000000-0005-0000-0000-0000D8500000}"/>
    <cellStyle name="Normal 2 2 8 2 2 2 2" xfId="14326" xr:uid="{00000000-0005-0000-0000-0000D9500000}"/>
    <cellStyle name="Normal 2 2 8 2 2 2 2 2" xfId="52392" xr:uid="{00000000-0005-0000-0000-0000DA500000}"/>
    <cellStyle name="Normal 2 2 8 2 2 2 2 3" xfId="52393" xr:uid="{00000000-0005-0000-0000-0000DB500000}"/>
    <cellStyle name="Normal 2 2 8 2 2 2 3" xfId="14327" xr:uid="{00000000-0005-0000-0000-0000DC500000}"/>
    <cellStyle name="Normal 2 2 8 2 2 2 3 2" xfId="52394" xr:uid="{00000000-0005-0000-0000-0000DD500000}"/>
    <cellStyle name="Normal 2 2 8 2 2 2 4" xfId="14328" xr:uid="{00000000-0005-0000-0000-0000DE500000}"/>
    <cellStyle name="Normal 2 2 8 2 2 2 5" xfId="14329" xr:uid="{00000000-0005-0000-0000-0000DF500000}"/>
    <cellStyle name="Normal 2 2 8 2 2 2 6" xfId="14330" xr:uid="{00000000-0005-0000-0000-0000E0500000}"/>
    <cellStyle name="Normal 2 2 8 2 2 3" xfId="14331" xr:uid="{00000000-0005-0000-0000-0000E1500000}"/>
    <cellStyle name="Normal 2 2 8 2 2 3 2" xfId="52395" xr:uid="{00000000-0005-0000-0000-0000E2500000}"/>
    <cellStyle name="Normal 2 2 8 2 2 3 3" xfId="52396" xr:uid="{00000000-0005-0000-0000-0000E3500000}"/>
    <cellStyle name="Normal 2 2 8 2 2 4" xfId="14332" xr:uid="{00000000-0005-0000-0000-0000E4500000}"/>
    <cellStyle name="Normal 2 2 8 2 2 4 2" xfId="52397" xr:uid="{00000000-0005-0000-0000-0000E5500000}"/>
    <cellStyle name="Normal 2 2 8 2 2 5" xfId="14333" xr:uid="{00000000-0005-0000-0000-0000E6500000}"/>
    <cellStyle name="Normal 2 2 8 2 2 6" xfId="14334" xr:uid="{00000000-0005-0000-0000-0000E7500000}"/>
    <cellStyle name="Normal 2 2 8 2 2 7" xfId="14335" xr:uid="{00000000-0005-0000-0000-0000E8500000}"/>
    <cellStyle name="Normal 2 2 8 2 3" xfId="14336" xr:uid="{00000000-0005-0000-0000-0000E9500000}"/>
    <cellStyle name="Normal 2 2 8 2 3 2" xfId="14337" xr:uid="{00000000-0005-0000-0000-0000EA500000}"/>
    <cellStyle name="Normal 2 2 8 2 3 2 2" xfId="52398" xr:uid="{00000000-0005-0000-0000-0000EB500000}"/>
    <cellStyle name="Normal 2 2 8 2 3 2 3" xfId="52399" xr:uid="{00000000-0005-0000-0000-0000EC500000}"/>
    <cellStyle name="Normal 2 2 8 2 3 3" xfId="14338" xr:uid="{00000000-0005-0000-0000-0000ED500000}"/>
    <cellStyle name="Normal 2 2 8 2 3 3 2" xfId="52400" xr:uid="{00000000-0005-0000-0000-0000EE500000}"/>
    <cellStyle name="Normal 2 2 8 2 3 4" xfId="14339" xr:uid="{00000000-0005-0000-0000-0000EF500000}"/>
    <cellStyle name="Normal 2 2 8 2 3 5" xfId="14340" xr:uid="{00000000-0005-0000-0000-0000F0500000}"/>
    <cellStyle name="Normal 2 2 8 2 3 6" xfId="14341" xr:uid="{00000000-0005-0000-0000-0000F1500000}"/>
    <cellStyle name="Normal 2 2 8 2 4" xfId="14342" xr:uid="{00000000-0005-0000-0000-0000F2500000}"/>
    <cellStyle name="Normal 2 2 8 2 4 2" xfId="52401" xr:uid="{00000000-0005-0000-0000-0000F3500000}"/>
    <cellStyle name="Normal 2 2 8 2 4 3" xfId="52402" xr:uid="{00000000-0005-0000-0000-0000F4500000}"/>
    <cellStyle name="Normal 2 2 8 2 5" xfId="14343" xr:uid="{00000000-0005-0000-0000-0000F5500000}"/>
    <cellStyle name="Normal 2 2 8 2 5 2" xfId="52403" xr:uid="{00000000-0005-0000-0000-0000F6500000}"/>
    <cellStyle name="Normal 2 2 8 2 6" xfId="14344" xr:uid="{00000000-0005-0000-0000-0000F7500000}"/>
    <cellStyle name="Normal 2 2 8 2 7" xfId="14345" xr:uid="{00000000-0005-0000-0000-0000F8500000}"/>
    <cellStyle name="Normal 2 2 8 2 8" xfId="14346" xr:uid="{00000000-0005-0000-0000-0000F9500000}"/>
    <cellStyle name="Normal 2 2 8 2 9" xfId="14347" xr:uid="{00000000-0005-0000-0000-0000FA500000}"/>
    <cellStyle name="Normal 2 2 8 3" xfId="14348" xr:uid="{00000000-0005-0000-0000-0000FB500000}"/>
    <cellStyle name="Normal 2 2 8 3 2" xfId="14349" xr:uid="{00000000-0005-0000-0000-0000FC500000}"/>
    <cellStyle name="Normal 2 2 8 3 2 2" xfId="14350" xr:uid="{00000000-0005-0000-0000-0000FD500000}"/>
    <cellStyle name="Normal 2 2 8 3 2 2 2" xfId="52404" xr:uid="{00000000-0005-0000-0000-0000FE500000}"/>
    <cellStyle name="Normal 2 2 8 3 2 2 3" xfId="52405" xr:uid="{00000000-0005-0000-0000-0000FF500000}"/>
    <cellStyle name="Normal 2 2 8 3 2 3" xfId="14351" xr:uid="{00000000-0005-0000-0000-000000510000}"/>
    <cellStyle name="Normal 2 2 8 3 2 3 2" xfId="52406" xr:uid="{00000000-0005-0000-0000-000001510000}"/>
    <cellStyle name="Normal 2 2 8 3 2 4" xfId="14352" xr:uid="{00000000-0005-0000-0000-000002510000}"/>
    <cellStyle name="Normal 2 2 8 3 2 5" xfId="14353" xr:uid="{00000000-0005-0000-0000-000003510000}"/>
    <cellStyle name="Normal 2 2 8 3 2 6" xfId="14354" xr:uid="{00000000-0005-0000-0000-000004510000}"/>
    <cellStyle name="Normal 2 2 8 3 3" xfId="14355" xr:uid="{00000000-0005-0000-0000-000005510000}"/>
    <cellStyle name="Normal 2 2 8 3 3 2" xfId="52407" xr:uid="{00000000-0005-0000-0000-000006510000}"/>
    <cellStyle name="Normal 2 2 8 3 3 3" xfId="52408" xr:uid="{00000000-0005-0000-0000-000007510000}"/>
    <cellStyle name="Normal 2 2 8 3 4" xfId="14356" xr:uid="{00000000-0005-0000-0000-000008510000}"/>
    <cellStyle name="Normal 2 2 8 3 4 2" xfId="52409" xr:uid="{00000000-0005-0000-0000-000009510000}"/>
    <cellStyle name="Normal 2 2 8 3 5" xfId="14357" xr:uid="{00000000-0005-0000-0000-00000A510000}"/>
    <cellStyle name="Normal 2 2 8 3 6" xfId="14358" xr:uid="{00000000-0005-0000-0000-00000B510000}"/>
    <cellStyle name="Normal 2 2 8 3 7" xfId="14359" xr:uid="{00000000-0005-0000-0000-00000C510000}"/>
    <cellStyle name="Normal 2 2 8 4" xfId="14360" xr:uid="{00000000-0005-0000-0000-00000D510000}"/>
    <cellStyle name="Normal 2 2 8 4 2" xfId="14361" xr:uid="{00000000-0005-0000-0000-00000E510000}"/>
    <cellStyle name="Normal 2 2 8 4 2 2" xfId="52410" xr:uid="{00000000-0005-0000-0000-00000F510000}"/>
    <cellStyle name="Normal 2 2 8 4 2 3" xfId="52411" xr:uid="{00000000-0005-0000-0000-000010510000}"/>
    <cellStyle name="Normal 2 2 8 4 3" xfId="14362" xr:uid="{00000000-0005-0000-0000-000011510000}"/>
    <cellStyle name="Normal 2 2 8 4 3 2" xfId="52412" xr:uid="{00000000-0005-0000-0000-000012510000}"/>
    <cellStyle name="Normal 2 2 8 4 4" xfId="14363" xr:uid="{00000000-0005-0000-0000-000013510000}"/>
    <cellStyle name="Normal 2 2 8 4 5" xfId="14364" xr:uid="{00000000-0005-0000-0000-000014510000}"/>
    <cellStyle name="Normal 2 2 8 4 6" xfId="14365" xr:uid="{00000000-0005-0000-0000-000015510000}"/>
    <cellStyle name="Normal 2 2 8 5" xfId="14366" xr:uid="{00000000-0005-0000-0000-000016510000}"/>
    <cellStyle name="Normal 2 2 8 5 2" xfId="52413" xr:uid="{00000000-0005-0000-0000-000017510000}"/>
    <cellStyle name="Normal 2 2 8 5 3" xfId="52414" xr:uid="{00000000-0005-0000-0000-000018510000}"/>
    <cellStyle name="Normal 2 2 8 6" xfId="14367" xr:uid="{00000000-0005-0000-0000-000019510000}"/>
    <cellStyle name="Normal 2 2 8 6 2" xfId="52415" xr:uid="{00000000-0005-0000-0000-00001A510000}"/>
    <cellStyle name="Normal 2 2 8 7" xfId="14368" xr:uid="{00000000-0005-0000-0000-00001B510000}"/>
    <cellStyle name="Normal 2 2 8 7 2" xfId="52416" xr:uid="{00000000-0005-0000-0000-00001C510000}"/>
    <cellStyle name="Normal 2 2 8 8" xfId="14369" xr:uid="{00000000-0005-0000-0000-00001D510000}"/>
    <cellStyle name="Normal 2 2 8 9" xfId="14370" xr:uid="{00000000-0005-0000-0000-00001E510000}"/>
    <cellStyle name="Normal 2 2 9" xfId="14371" xr:uid="{00000000-0005-0000-0000-00001F510000}"/>
    <cellStyle name="Normal 2 2 9 2" xfId="14372" xr:uid="{00000000-0005-0000-0000-000020510000}"/>
    <cellStyle name="Normal 2 2 9 2 2" xfId="14373" xr:uid="{00000000-0005-0000-0000-000021510000}"/>
    <cellStyle name="Normal 2 2 9 2 2 2" xfId="14374" xr:uid="{00000000-0005-0000-0000-000022510000}"/>
    <cellStyle name="Normal 2 2 9 2 2 2 2" xfId="52417" xr:uid="{00000000-0005-0000-0000-000023510000}"/>
    <cellStyle name="Normal 2 2 9 2 2 2 3" xfId="52418" xr:uid="{00000000-0005-0000-0000-000024510000}"/>
    <cellStyle name="Normal 2 2 9 2 2 3" xfId="14375" xr:uid="{00000000-0005-0000-0000-000025510000}"/>
    <cellStyle name="Normal 2 2 9 2 2 3 2" xfId="52419" xr:uid="{00000000-0005-0000-0000-000026510000}"/>
    <cellStyle name="Normal 2 2 9 2 2 4" xfId="14376" xr:uid="{00000000-0005-0000-0000-000027510000}"/>
    <cellStyle name="Normal 2 2 9 2 2 5" xfId="14377" xr:uid="{00000000-0005-0000-0000-000028510000}"/>
    <cellStyle name="Normal 2 2 9 2 2 6" xfId="14378" xr:uid="{00000000-0005-0000-0000-000029510000}"/>
    <cellStyle name="Normal 2 2 9 2 3" xfId="14379" xr:uid="{00000000-0005-0000-0000-00002A510000}"/>
    <cellStyle name="Normal 2 2 9 2 3 2" xfId="52420" xr:uid="{00000000-0005-0000-0000-00002B510000}"/>
    <cellStyle name="Normal 2 2 9 2 3 3" xfId="52421" xr:uid="{00000000-0005-0000-0000-00002C510000}"/>
    <cellStyle name="Normal 2 2 9 2 4" xfId="14380" xr:uid="{00000000-0005-0000-0000-00002D510000}"/>
    <cellStyle name="Normal 2 2 9 2 4 2" xfId="52422" xr:uid="{00000000-0005-0000-0000-00002E510000}"/>
    <cellStyle name="Normal 2 2 9 2 5" xfId="14381" xr:uid="{00000000-0005-0000-0000-00002F510000}"/>
    <cellStyle name="Normal 2 2 9 2 6" xfId="14382" xr:uid="{00000000-0005-0000-0000-000030510000}"/>
    <cellStyle name="Normal 2 2 9 2 7" xfId="14383" xr:uid="{00000000-0005-0000-0000-000031510000}"/>
    <cellStyle name="Normal 2 2 9 3" xfId="14384" xr:uid="{00000000-0005-0000-0000-000032510000}"/>
    <cellStyle name="Normal 2 2 9 3 2" xfId="14385" xr:uid="{00000000-0005-0000-0000-000033510000}"/>
    <cellStyle name="Normal 2 2 9 3 2 2" xfId="52423" xr:uid="{00000000-0005-0000-0000-000034510000}"/>
    <cellStyle name="Normal 2 2 9 3 2 3" xfId="52424" xr:uid="{00000000-0005-0000-0000-000035510000}"/>
    <cellStyle name="Normal 2 2 9 3 3" xfId="14386" xr:uid="{00000000-0005-0000-0000-000036510000}"/>
    <cellStyle name="Normal 2 2 9 3 3 2" xfId="52425" xr:uid="{00000000-0005-0000-0000-000037510000}"/>
    <cellStyle name="Normal 2 2 9 3 4" xfId="14387" xr:uid="{00000000-0005-0000-0000-000038510000}"/>
    <cellStyle name="Normal 2 2 9 3 5" xfId="14388" xr:uid="{00000000-0005-0000-0000-000039510000}"/>
    <cellStyle name="Normal 2 2 9 3 6" xfId="14389" xr:uid="{00000000-0005-0000-0000-00003A510000}"/>
    <cellStyle name="Normal 2 2 9 4" xfId="14390" xr:uid="{00000000-0005-0000-0000-00003B510000}"/>
    <cellStyle name="Normal 2 2 9 4 2" xfId="52426" xr:uid="{00000000-0005-0000-0000-00003C510000}"/>
    <cellStyle name="Normal 2 2 9 4 3" xfId="52427" xr:uid="{00000000-0005-0000-0000-00003D510000}"/>
    <cellStyle name="Normal 2 2 9 5" xfId="14391" xr:uid="{00000000-0005-0000-0000-00003E510000}"/>
    <cellStyle name="Normal 2 2 9 5 2" xfId="52428" xr:uid="{00000000-0005-0000-0000-00003F510000}"/>
    <cellStyle name="Normal 2 2 9 6" xfId="14392" xr:uid="{00000000-0005-0000-0000-000040510000}"/>
    <cellStyle name="Normal 2 2 9 7" xfId="14393" xr:uid="{00000000-0005-0000-0000-000041510000}"/>
    <cellStyle name="Normal 2 2 9 8" xfId="14394" xr:uid="{00000000-0005-0000-0000-000042510000}"/>
    <cellStyle name="Normal 2 2_Sheet2" xfId="14395" xr:uid="{00000000-0005-0000-0000-000043510000}"/>
    <cellStyle name="Normal 2 3" xfId="14396" xr:uid="{00000000-0005-0000-0000-000044510000}"/>
    <cellStyle name="Normal 2 3 2" xfId="14397" xr:uid="{00000000-0005-0000-0000-000045510000}"/>
    <cellStyle name="Normal 2 3 2 2" xfId="14398" xr:uid="{00000000-0005-0000-0000-000046510000}"/>
    <cellStyle name="Normal 2 3 2 2 2" xfId="14399" xr:uid="{00000000-0005-0000-0000-000047510000}"/>
    <cellStyle name="Normal 2 3 2 2 3" xfId="14400" xr:uid="{00000000-0005-0000-0000-000048510000}"/>
    <cellStyle name="Normal 2 3 2 3" xfId="14401" xr:uid="{00000000-0005-0000-0000-000049510000}"/>
    <cellStyle name="Normal 2 3 2 3 2" xfId="14402" xr:uid="{00000000-0005-0000-0000-00004A510000}"/>
    <cellStyle name="Normal 2 3 2 3 3" xfId="14403" xr:uid="{00000000-0005-0000-0000-00004B510000}"/>
    <cellStyle name="Normal 2 3 2 4" xfId="14404" xr:uid="{00000000-0005-0000-0000-00004C510000}"/>
    <cellStyle name="Normal 2 3 2 4 2" xfId="14405" xr:uid="{00000000-0005-0000-0000-00004D510000}"/>
    <cellStyle name="Normal 2 3 2 5" xfId="14406" xr:uid="{00000000-0005-0000-0000-00004E510000}"/>
    <cellStyle name="Normal 2 3 2 6" xfId="14407" xr:uid="{00000000-0005-0000-0000-00004F510000}"/>
    <cellStyle name="Normal 2 3 2 7" xfId="14408" xr:uid="{00000000-0005-0000-0000-000050510000}"/>
    <cellStyle name="Normal 2 3 3" xfId="14409" xr:uid="{00000000-0005-0000-0000-000051510000}"/>
    <cellStyle name="Normal 2 3 3 2" xfId="14410" xr:uid="{00000000-0005-0000-0000-000052510000}"/>
    <cellStyle name="Normal 2 3 3 2 2" xfId="14411" xr:uid="{00000000-0005-0000-0000-000053510000}"/>
    <cellStyle name="Normal 2 3 3 3" xfId="14412" xr:uid="{00000000-0005-0000-0000-000054510000}"/>
    <cellStyle name="Normal 2 3 3 3 2" xfId="14413" xr:uid="{00000000-0005-0000-0000-000055510000}"/>
    <cellStyle name="Normal 2 3 3 4" xfId="14414" xr:uid="{00000000-0005-0000-0000-000056510000}"/>
    <cellStyle name="Normal 2 3 3 4 2" xfId="14415" xr:uid="{00000000-0005-0000-0000-000057510000}"/>
    <cellStyle name="Normal 2 3 3 5" xfId="14416" xr:uid="{00000000-0005-0000-0000-000058510000}"/>
    <cellStyle name="Normal 2 3 3 6" xfId="14417" xr:uid="{00000000-0005-0000-0000-000059510000}"/>
    <cellStyle name="Normal 2 3 4" xfId="14418" xr:uid="{00000000-0005-0000-0000-00005A510000}"/>
    <cellStyle name="Normal 2 3 4 2" xfId="14419" xr:uid="{00000000-0005-0000-0000-00005B510000}"/>
    <cellStyle name="Normal 2 3 4 3" xfId="14420" xr:uid="{00000000-0005-0000-0000-00005C510000}"/>
    <cellStyle name="Normal 2 3 5" xfId="14421" xr:uid="{00000000-0005-0000-0000-00005D510000}"/>
    <cellStyle name="Normal 2 3 5 2" xfId="14422" xr:uid="{00000000-0005-0000-0000-00005E510000}"/>
    <cellStyle name="Normal 2 3 6" xfId="14423" xr:uid="{00000000-0005-0000-0000-00005F510000}"/>
    <cellStyle name="Normal 2 3 6 2" xfId="14424" xr:uid="{00000000-0005-0000-0000-000060510000}"/>
    <cellStyle name="Normal 2 3 7" xfId="14425" xr:uid="{00000000-0005-0000-0000-000061510000}"/>
    <cellStyle name="Normal 2 3 8" xfId="14426" xr:uid="{00000000-0005-0000-0000-000062510000}"/>
    <cellStyle name="Normal 2 3_Sheet2" xfId="14427" xr:uid="{00000000-0005-0000-0000-000063510000}"/>
    <cellStyle name="Normal 2 4" xfId="14428" xr:uid="{00000000-0005-0000-0000-000064510000}"/>
    <cellStyle name="Normal 2 4 2" xfId="14429" xr:uid="{00000000-0005-0000-0000-000065510000}"/>
    <cellStyle name="Normal 2 4 2 2" xfId="14430" xr:uid="{00000000-0005-0000-0000-000066510000}"/>
    <cellStyle name="Normal 2 4 2 2 2" xfId="14431" xr:uid="{00000000-0005-0000-0000-000067510000}"/>
    <cellStyle name="Normal 2 4 2 2 2 2" xfId="14432" xr:uid="{00000000-0005-0000-0000-000068510000}"/>
    <cellStyle name="Normal 2 4 2 2 2 2 2" xfId="14433" xr:uid="{00000000-0005-0000-0000-000069510000}"/>
    <cellStyle name="Normal 2 4 2 2 2 2 2 2" xfId="14434" xr:uid="{00000000-0005-0000-0000-00006A510000}"/>
    <cellStyle name="Normal 2 4 2 2 2 2 2 2 2" xfId="52429" xr:uid="{00000000-0005-0000-0000-00006B510000}"/>
    <cellStyle name="Normal 2 4 2 2 2 2 2 2 3" xfId="52430" xr:uid="{00000000-0005-0000-0000-00006C510000}"/>
    <cellStyle name="Normal 2 4 2 2 2 2 2 3" xfId="52431" xr:uid="{00000000-0005-0000-0000-00006D510000}"/>
    <cellStyle name="Normal 2 4 2 2 2 2 2 4" xfId="52432" xr:uid="{00000000-0005-0000-0000-00006E510000}"/>
    <cellStyle name="Normal 2 4 2 2 2 2 3" xfId="14435" xr:uid="{00000000-0005-0000-0000-00006F510000}"/>
    <cellStyle name="Normal 2 4 2 2 2 2 3 2" xfId="52433" xr:uid="{00000000-0005-0000-0000-000070510000}"/>
    <cellStyle name="Normal 2 4 2 2 2 2 3 3" xfId="52434" xr:uid="{00000000-0005-0000-0000-000071510000}"/>
    <cellStyle name="Normal 2 4 2 2 2 2 4" xfId="14436" xr:uid="{00000000-0005-0000-0000-000072510000}"/>
    <cellStyle name="Normal 2 4 2 2 2 2 4 2" xfId="52435" xr:uid="{00000000-0005-0000-0000-000073510000}"/>
    <cellStyle name="Normal 2 4 2 2 2 2 5" xfId="52436" xr:uid="{00000000-0005-0000-0000-000074510000}"/>
    <cellStyle name="Normal 2 4 2 2 2 2 6" xfId="52437" xr:uid="{00000000-0005-0000-0000-000075510000}"/>
    <cellStyle name="Normal 2 4 2 2 2 3" xfId="14437" xr:uid="{00000000-0005-0000-0000-000076510000}"/>
    <cellStyle name="Normal 2 4 2 2 2 3 2" xfId="14438" xr:uid="{00000000-0005-0000-0000-000077510000}"/>
    <cellStyle name="Normal 2 4 2 2 2 3 2 2" xfId="52438" xr:uid="{00000000-0005-0000-0000-000078510000}"/>
    <cellStyle name="Normal 2 4 2 2 2 3 2 3" xfId="52439" xr:uid="{00000000-0005-0000-0000-000079510000}"/>
    <cellStyle name="Normal 2 4 2 2 2 3 3" xfId="52440" xr:uid="{00000000-0005-0000-0000-00007A510000}"/>
    <cellStyle name="Normal 2 4 2 2 2 3 4" xfId="52441" xr:uid="{00000000-0005-0000-0000-00007B510000}"/>
    <cellStyle name="Normal 2 4 2 2 2 4" xfId="14439" xr:uid="{00000000-0005-0000-0000-00007C510000}"/>
    <cellStyle name="Normal 2 4 2 2 2 4 2" xfId="52442" xr:uid="{00000000-0005-0000-0000-00007D510000}"/>
    <cellStyle name="Normal 2 4 2 2 2 4 3" xfId="52443" xr:uid="{00000000-0005-0000-0000-00007E510000}"/>
    <cellStyle name="Normal 2 4 2 2 2 5" xfId="14440" xr:uid="{00000000-0005-0000-0000-00007F510000}"/>
    <cellStyle name="Normal 2 4 2 2 2 5 2" xfId="52444" xr:uid="{00000000-0005-0000-0000-000080510000}"/>
    <cellStyle name="Normal 2 4 2 2 2 6" xfId="52445" xr:uid="{00000000-0005-0000-0000-000081510000}"/>
    <cellStyle name="Normal 2 4 2 2 2 7" xfId="52446" xr:uid="{00000000-0005-0000-0000-000082510000}"/>
    <cellStyle name="Normal 2 4 2 2 3" xfId="14441" xr:uid="{00000000-0005-0000-0000-000083510000}"/>
    <cellStyle name="Normal 2 4 2 2 3 2" xfId="14442" xr:uid="{00000000-0005-0000-0000-000084510000}"/>
    <cellStyle name="Normal 2 4 2 2 3 2 2" xfId="14443" xr:uid="{00000000-0005-0000-0000-000085510000}"/>
    <cellStyle name="Normal 2 4 2 2 3 2 2 2" xfId="52447" xr:uid="{00000000-0005-0000-0000-000086510000}"/>
    <cellStyle name="Normal 2 4 2 2 3 2 2 3" xfId="52448" xr:uid="{00000000-0005-0000-0000-000087510000}"/>
    <cellStyle name="Normal 2 4 2 2 3 2 3" xfId="52449" xr:uid="{00000000-0005-0000-0000-000088510000}"/>
    <cellStyle name="Normal 2 4 2 2 3 2 4" xfId="52450" xr:uid="{00000000-0005-0000-0000-000089510000}"/>
    <cellStyle name="Normal 2 4 2 2 3 3" xfId="14444" xr:uid="{00000000-0005-0000-0000-00008A510000}"/>
    <cellStyle name="Normal 2 4 2 2 3 3 2" xfId="52451" xr:uid="{00000000-0005-0000-0000-00008B510000}"/>
    <cellStyle name="Normal 2 4 2 2 3 3 3" xfId="52452" xr:uid="{00000000-0005-0000-0000-00008C510000}"/>
    <cellStyle name="Normal 2 4 2 2 3 4" xfId="52453" xr:uid="{00000000-0005-0000-0000-00008D510000}"/>
    <cellStyle name="Normal 2 4 2 2 3 5" xfId="52454" xr:uid="{00000000-0005-0000-0000-00008E510000}"/>
    <cellStyle name="Normal 2 4 2 2 3 6" xfId="52455" xr:uid="{00000000-0005-0000-0000-00008F510000}"/>
    <cellStyle name="Normal 2 4 2 2 4" xfId="14445" xr:uid="{00000000-0005-0000-0000-000090510000}"/>
    <cellStyle name="Normal 2 4 2 2 4 2" xfId="14446" xr:uid="{00000000-0005-0000-0000-000091510000}"/>
    <cellStyle name="Normal 2 4 2 2 4 2 2" xfId="52456" xr:uid="{00000000-0005-0000-0000-000092510000}"/>
    <cellStyle name="Normal 2 4 2 2 4 2 3" xfId="52457" xr:uid="{00000000-0005-0000-0000-000093510000}"/>
    <cellStyle name="Normal 2 4 2 2 4 3" xfId="52458" xr:uid="{00000000-0005-0000-0000-000094510000}"/>
    <cellStyle name="Normal 2 4 2 2 4 4" xfId="52459" xr:uid="{00000000-0005-0000-0000-000095510000}"/>
    <cellStyle name="Normal 2 4 2 2 5" xfId="14447" xr:uid="{00000000-0005-0000-0000-000096510000}"/>
    <cellStyle name="Normal 2 4 2 2 5 2" xfId="14448" xr:uid="{00000000-0005-0000-0000-000097510000}"/>
    <cellStyle name="Normal 2 4 2 2 5 3" xfId="52460" xr:uid="{00000000-0005-0000-0000-000098510000}"/>
    <cellStyle name="Normal 2 4 2 2 6" xfId="14449" xr:uid="{00000000-0005-0000-0000-000099510000}"/>
    <cellStyle name="Normal 2 4 2 2 6 2" xfId="14450" xr:uid="{00000000-0005-0000-0000-00009A510000}"/>
    <cellStyle name="Normal 2 4 2 2 7" xfId="14451" xr:uid="{00000000-0005-0000-0000-00009B510000}"/>
    <cellStyle name="Normal 2 4 2 2 7 2" xfId="14452" xr:uid="{00000000-0005-0000-0000-00009C510000}"/>
    <cellStyle name="Normal 2 4 2 2 7 2 2" xfId="52461" xr:uid="{00000000-0005-0000-0000-00009D510000}"/>
    <cellStyle name="Normal 2 4 2 2 7 3" xfId="52462" xr:uid="{00000000-0005-0000-0000-00009E510000}"/>
    <cellStyle name="Normal 2 4 2 2 7 4" xfId="52463" xr:uid="{00000000-0005-0000-0000-00009F510000}"/>
    <cellStyle name="Normal 2 4 2 2 8" xfId="52464" xr:uid="{00000000-0005-0000-0000-0000A0510000}"/>
    <cellStyle name="Normal 2 4 2 2 9" xfId="52465" xr:uid="{00000000-0005-0000-0000-0000A1510000}"/>
    <cellStyle name="Normal 2 4 2 3" xfId="14453" xr:uid="{00000000-0005-0000-0000-0000A2510000}"/>
    <cellStyle name="Normal 2 4 2 3 2" xfId="14454" xr:uid="{00000000-0005-0000-0000-0000A3510000}"/>
    <cellStyle name="Normal 2 4 2 3 2 2" xfId="14455" xr:uid="{00000000-0005-0000-0000-0000A4510000}"/>
    <cellStyle name="Normal 2 4 2 3 2 2 2" xfId="52466" xr:uid="{00000000-0005-0000-0000-0000A5510000}"/>
    <cellStyle name="Normal 2 4 2 3 2 2 3" xfId="52467" xr:uid="{00000000-0005-0000-0000-0000A6510000}"/>
    <cellStyle name="Normal 2 4 2 3 2 3" xfId="52468" xr:uid="{00000000-0005-0000-0000-0000A7510000}"/>
    <cellStyle name="Normal 2 4 2 3 2 4" xfId="52469" xr:uid="{00000000-0005-0000-0000-0000A8510000}"/>
    <cellStyle name="Normal 2 4 2 3 3" xfId="14456" xr:uid="{00000000-0005-0000-0000-0000A9510000}"/>
    <cellStyle name="Normal 2 4 2 3 3 2" xfId="52470" xr:uid="{00000000-0005-0000-0000-0000AA510000}"/>
    <cellStyle name="Normal 2 4 2 3 3 3" xfId="52471" xr:uid="{00000000-0005-0000-0000-0000AB510000}"/>
    <cellStyle name="Normal 2 4 2 3 4" xfId="14457" xr:uid="{00000000-0005-0000-0000-0000AC510000}"/>
    <cellStyle name="Normal 2 4 2 3 4 2" xfId="52472" xr:uid="{00000000-0005-0000-0000-0000AD510000}"/>
    <cellStyle name="Normal 2 4 2 3 5" xfId="14458" xr:uid="{00000000-0005-0000-0000-0000AE510000}"/>
    <cellStyle name="Normal 2 4 2 3 6" xfId="52473" xr:uid="{00000000-0005-0000-0000-0000AF510000}"/>
    <cellStyle name="Normal 2 4 2 4" xfId="14459" xr:uid="{00000000-0005-0000-0000-0000B0510000}"/>
    <cellStyle name="Normal 2 4 2 5" xfId="14460" xr:uid="{00000000-0005-0000-0000-0000B1510000}"/>
    <cellStyle name="Normal 2 4 2 5 2" xfId="14461" xr:uid="{00000000-0005-0000-0000-0000B2510000}"/>
    <cellStyle name="Normal 2 4 2 5 2 2" xfId="52474" xr:uid="{00000000-0005-0000-0000-0000B3510000}"/>
    <cellStyle name="Normal 2 4 2 5 2 3" xfId="52475" xr:uid="{00000000-0005-0000-0000-0000B4510000}"/>
    <cellStyle name="Normal 2 4 2 5 3" xfId="52476" xr:uid="{00000000-0005-0000-0000-0000B5510000}"/>
    <cellStyle name="Normal 2 4 2 5 4" xfId="52477" xr:uid="{00000000-0005-0000-0000-0000B6510000}"/>
    <cellStyle name="Normal 2 4 2 6" xfId="14462" xr:uid="{00000000-0005-0000-0000-0000B7510000}"/>
    <cellStyle name="Normal 2 4 2 6 2" xfId="52478" xr:uid="{00000000-0005-0000-0000-0000B8510000}"/>
    <cellStyle name="Normal 2 4 2 6 3" xfId="52479" xr:uid="{00000000-0005-0000-0000-0000B9510000}"/>
    <cellStyle name="Normal 2 4 2 7" xfId="52480" xr:uid="{00000000-0005-0000-0000-0000BA510000}"/>
    <cellStyle name="Normal 2 4 2 8" xfId="52481" xr:uid="{00000000-0005-0000-0000-0000BB510000}"/>
    <cellStyle name="Normal 2 4 3" xfId="14463" xr:uid="{00000000-0005-0000-0000-0000BC510000}"/>
    <cellStyle name="Normal 2 4 3 2" xfId="14464" xr:uid="{00000000-0005-0000-0000-0000BD510000}"/>
    <cellStyle name="Normal 2 4 3 2 2" xfId="14465" xr:uid="{00000000-0005-0000-0000-0000BE510000}"/>
    <cellStyle name="Normal 2 4 3 2 2 2" xfId="14466" xr:uid="{00000000-0005-0000-0000-0000BF510000}"/>
    <cellStyle name="Normal 2 4 3 2 2 2 2" xfId="52482" xr:uid="{00000000-0005-0000-0000-0000C0510000}"/>
    <cellStyle name="Normal 2 4 3 2 2 2 3" xfId="52483" xr:uid="{00000000-0005-0000-0000-0000C1510000}"/>
    <cellStyle name="Normal 2 4 3 2 2 3" xfId="52484" xr:uid="{00000000-0005-0000-0000-0000C2510000}"/>
    <cellStyle name="Normal 2 4 3 2 2 4" xfId="52485" xr:uid="{00000000-0005-0000-0000-0000C3510000}"/>
    <cellStyle name="Normal 2 4 3 2 3" xfId="14467" xr:uid="{00000000-0005-0000-0000-0000C4510000}"/>
    <cellStyle name="Normal 2 4 3 2 3 2" xfId="52486" xr:uid="{00000000-0005-0000-0000-0000C5510000}"/>
    <cellStyle name="Normal 2 4 3 2 3 3" xfId="52487" xr:uid="{00000000-0005-0000-0000-0000C6510000}"/>
    <cellStyle name="Normal 2 4 3 2 4" xfId="14468" xr:uid="{00000000-0005-0000-0000-0000C7510000}"/>
    <cellStyle name="Normal 2 4 3 2 4 2" xfId="52488" xr:uid="{00000000-0005-0000-0000-0000C8510000}"/>
    <cellStyle name="Normal 2 4 3 2 5" xfId="52489" xr:uid="{00000000-0005-0000-0000-0000C9510000}"/>
    <cellStyle name="Normal 2 4 3 2 6" xfId="52490" xr:uid="{00000000-0005-0000-0000-0000CA510000}"/>
    <cellStyle name="Normal 2 4 3 3" xfId="14469" xr:uid="{00000000-0005-0000-0000-0000CB510000}"/>
    <cellStyle name="Normal 2 4 3 3 2" xfId="14470" xr:uid="{00000000-0005-0000-0000-0000CC510000}"/>
    <cellStyle name="Normal 2 4 3 3 2 2" xfId="52491" xr:uid="{00000000-0005-0000-0000-0000CD510000}"/>
    <cellStyle name="Normal 2 4 3 3 2 3" xfId="52492" xr:uid="{00000000-0005-0000-0000-0000CE510000}"/>
    <cellStyle name="Normal 2 4 3 3 3" xfId="52493" xr:uid="{00000000-0005-0000-0000-0000CF510000}"/>
    <cellStyle name="Normal 2 4 3 3 4" xfId="52494" xr:uid="{00000000-0005-0000-0000-0000D0510000}"/>
    <cellStyle name="Normal 2 4 3 4" xfId="14471" xr:uid="{00000000-0005-0000-0000-0000D1510000}"/>
    <cellStyle name="Normal 2 4 3 4 2" xfId="52495" xr:uid="{00000000-0005-0000-0000-0000D2510000}"/>
    <cellStyle name="Normal 2 4 3 4 3" xfId="52496" xr:uid="{00000000-0005-0000-0000-0000D3510000}"/>
    <cellStyle name="Normal 2 4 3 5" xfId="14472" xr:uid="{00000000-0005-0000-0000-0000D4510000}"/>
    <cellStyle name="Normal 2 4 3 5 2" xfId="52497" xr:uid="{00000000-0005-0000-0000-0000D5510000}"/>
    <cellStyle name="Normal 2 4 3 6" xfId="52498" xr:uid="{00000000-0005-0000-0000-0000D6510000}"/>
    <cellStyle name="Normal 2 4 3 7" xfId="52499" xr:uid="{00000000-0005-0000-0000-0000D7510000}"/>
    <cellStyle name="Normal 2 4 4" xfId="14473" xr:uid="{00000000-0005-0000-0000-0000D8510000}"/>
    <cellStyle name="Normal 2 4 4 2" xfId="14474" xr:uid="{00000000-0005-0000-0000-0000D9510000}"/>
    <cellStyle name="Normal 2 4 4 2 2" xfId="14475" xr:uid="{00000000-0005-0000-0000-0000DA510000}"/>
    <cellStyle name="Normal 2 4 4 2 2 2" xfId="52500" xr:uid="{00000000-0005-0000-0000-0000DB510000}"/>
    <cellStyle name="Normal 2 4 4 2 2 3" xfId="52501" xr:uid="{00000000-0005-0000-0000-0000DC510000}"/>
    <cellStyle name="Normal 2 4 4 2 3" xfId="52502" xr:uid="{00000000-0005-0000-0000-0000DD510000}"/>
    <cellStyle name="Normal 2 4 4 2 4" xfId="52503" xr:uid="{00000000-0005-0000-0000-0000DE510000}"/>
    <cellStyle name="Normal 2 4 4 3" xfId="14476" xr:uid="{00000000-0005-0000-0000-0000DF510000}"/>
    <cellStyle name="Normal 2 4 4 3 2" xfId="52504" xr:uid="{00000000-0005-0000-0000-0000E0510000}"/>
    <cellStyle name="Normal 2 4 4 3 3" xfId="52505" xr:uid="{00000000-0005-0000-0000-0000E1510000}"/>
    <cellStyle name="Normal 2 4 4 4" xfId="14477" xr:uid="{00000000-0005-0000-0000-0000E2510000}"/>
    <cellStyle name="Normal 2 4 4 4 2" xfId="52506" xr:uid="{00000000-0005-0000-0000-0000E3510000}"/>
    <cellStyle name="Normal 2 4 4 5" xfId="52507" xr:uid="{00000000-0005-0000-0000-0000E4510000}"/>
    <cellStyle name="Normal 2 4 4 6" xfId="52508" xr:uid="{00000000-0005-0000-0000-0000E5510000}"/>
    <cellStyle name="Normal 2 4 5" xfId="14478" xr:uid="{00000000-0005-0000-0000-0000E6510000}"/>
    <cellStyle name="Normal 2 4 6" xfId="14479" xr:uid="{00000000-0005-0000-0000-0000E7510000}"/>
    <cellStyle name="Normal 2 4 6 2" xfId="14480" xr:uid="{00000000-0005-0000-0000-0000E8510000}"/>
    <cellStyle name="Normal 2 4 6 2 2" xfId="52509" xr:uid="{00000000-0005-0000-0000-0000E9510000}"/>
    <cellStyle name="Normal 2 4 6 2 3" xfId="52510" xr:uid="{00000000-0005-0000-0000-0000EA510000}"/>
    <cellStyle name="Normal 2 4 6 3" xfId="14481" xr:uid="{00000000-0005-0000-0000-0000EB510000}"/>
    <cellStyle name="Normal 2 4 6 4" xfId="52511" xr:uid="{00000000-0005-0000-0000-0000EC510000}"/>
    <cellStyle name="Normal 2 4 7" xfId="14482" xr:uid="{00000000-0005-0000-0000-0000ED510000}"/>
    <cellStyle name="Normal 2 4 7 2" xfId="52512" xr:uid="{00000000-0005-0000-0000-0000EE510000}"/>
    <cellStyle name="Normal 2 4 7 3" xfId="52513" xr:uid="{00000000-0005-0000-0000-0000EF510000}"/>
    <cellStyle name="Normal 2 4 8" xfId="14483" xr:uid="{00000000-0005-0000-0000-0000F0510000}"/>
    <cellStyle name="Normal 2 4 9" xfId="52514" xr:uid="{00000000-0005-0000-0000-0000F1510000}"/>
    <cellStyle name="Normal 2 5" xfId="14484" xr:uid="{00000000-0005-0000-0000-0000F2510000}"/>
    <cellStyle name="Normal 2 5 2" xfId="14485" xr:uid="{00000000-0005-0000-0000-0000F3510000}"/>
    <cellStyle name="Normal 2 5 2 2" xfId="14486" xr:uid="{00000000-0005-0000-0000-0000F4510000}"/>
    <cellStyle name="Normal 2 5 2 3" xfId="14487" xr:uid="{00000000-0005-0000-0000-0000F5510000}"/>
    <cellStyle name="Normal 2 5 2 3 2" xfId="14488" xr:uid="{00000000-0005-0000-0000-0000F6510000}"/>
    <cellStyle name="Normal 2 5 2 3 2 2" xfId="52515" xr:uid="{00000000-0005-0000-0000-0000F7510000}"/>
    <cellStyle name="Normal 2 5 2 3 2 3" xfId="52516" xr:uid="{00000000-0005-0000-0000-0000F8510000}"/>
    <cellStyle name="Normal 2 5 2 3 3" xfId="52517" xr:uid="{00000000-0005-0000-0000-0000F9510000}"/>
    <cellStyle name="Normal 2 5 2 3 4" xfId="52518" xr:uid="{00000000-0005-0000-0000-0000FA510000}"/>
    <cellStyle name="Normal 2 5 2 4" xfId="14489" xr:uid="{00000000-0005-0000-0000-0000FB510000}"/>
    <cellStyle name="Normal 2 5 2 4 2" xfId="52519" xr:uid="{00000000-0005-0000-0000-0000FC510000}"/>
    <cellStyle name="Normal 2 5 2 4 3" xfId="52520" xr:uid="{00000000-0005-0000-0000-0000FD510000}"/>
    <cellStyle name="Normal 2 5 2 5" xfId="14490" xr:uid="{00000000-0005-0000-0000-0000FE510000}"/>
    <cellStyle name="Normal 2 5 2 5 2" xfId="52521" xr:uid="{00000000-0005-0000-0000-0000FF510000}"/>
    <cellStyle name="Normal 2 5 2 6" xfId="52522" xr:uid="{00000000-0005-0000-0000-000000520000}"/>
    <cellStyle name="Normal 2 5 2 7" xfId="52523" xr:uid="{00000000-0005-0000-0000-000001520000}"/>
    <cellStyle name="Normal 2 5 3" xfId="14491" xr:uid="{00000000-0005-0000-0000-000002520000}"/>
    <cellStyle name="Normal 2 5 3 2" xfId="14492" xr:uid="{00000000-0005-0000-0000-000003520000}"/>
    <cellStyle name="Normal 2 5 4" xfId="14493" xr:uid="{00000000-0005-0000-0000-000004520000}"/>
    <cellStyle name="Normal 2 5 4 2" xfId="14494" xr:uid="{00000000-0005-0000-0000-000005520000}"/>
    <cellStyle name="Normal 2 5 4 2 2" xfId="52524" xr:uid="{00000000-0005-0000-0000-000006520000}"/>
    <cellStyle name="Normal 2 5 4 2 3" xfId="52525" xr:uid="{00000000-0005-0000-0000-000007520000}"/>
    <cellStyle name="Normal 2 5 4 3" xfId="52526" xr:uid="{00000000-0005-0000-0000-000008520000}"/>
    <cellStyle name="Normal 2 5 4 4" xfId="52527" xr:uid="{00000000-0005-0000-0000-000009520000}"/>
    <cellStyle name="Normal 2 5 5" xfId="14495" xr:uid="{00000000-0005-0000-0000-00000A520000}"/>
    <cellStyle name="Normal 2 5 5 2" xfId="52528" xr:uid="{00000000-0005-0000-0000-00000B520000}"/>
    <cellStyle name="Normal 2 5 5 3" xfId="52529" xr:uid="{00000000-0005-0000-0000-00000C520000}"/>
    <cellStyle name="Normal 2 5 6" xfId="14496" xr:uid="{00000000-0005-0000-0000-00000D520000}"/>
    <cellStyle name="Normal 2 5 6 2" xfId="14497" xr:uid="{00000000-0005-0000-0000-00000E520000}"/>
    <cellStyle name="Normal 2 5 7" xfId="52530" xr:uid="{00000000-0005-0000-0000-00000F520000}"/>
    <cellStyle name="Normal 2 5 8" xfId="52531" xr:uid="{00000000-0005-0000-0000-000010520000}"/>
    <cellStyle name="Normal 2 6" xfId="14498" xr:uid="{00000000-0005-0000-0000-000011520000}"/>
    <cellStyle name="Normal 2 6 2" xfId="14499" xr:uid="{00000000-0005-0000-0000-000012520000}"/>
    <cellStyle name="Normal 2 6 2 2" xfId="14500" xr:uid="{00000000-0005-0000-0000-000013520000}"/>
    <cellStyle name="Normal 2 7" xfId="14501" xr:uid="{00000000-0005-0000-0000-000014520000}"/>
    <cellStyle name="Normal 2 7 2" xfId="14502" xr:uid="{00000000-0005-0000-0000-000015520000}"/>
    <cellStyle name="Normal 2 7 3" xfId="14503" xr:uid="{00000000-0005-0000-0000-000016520000}"/>
    <cellStyle name="Normal 2 8" xfId="14504" xr:uid="{00000000-0005-0000-0000-000017520000}"/>
    <cellStyle name="Normal 2 8 2" xfId="14505" xr:uid="{00000000-0005-0000-0000-000018520000}"/>
    <cellStyle name="Normal 2 8 2 2" xfId="14506" xr:uid="{00000000-0005-0000-0000-000019520000}"/>
    <cellStyle name="Normal 2 8 3" xfId="14507" xr:uid="{00000000-0005-0000-0000-00001A520000}"/>
    <cellStyle name="Normal 2 8 4" xfId="14508" xr:uid="{00000000-0005-0000-0000-00001B520000}"/>
    <cellStyle name="Normal 2 9" xfId="14509" xr:uid="{00000000-0005-0000-0000-00001C520000}"/>
    <cellStyle name="Normal 2 9 2" xfId="14510" xr:uid="{00000000-0005-0000-0000-00001D520000}"/>
    <cellStyle name="Normal 2 9 3" xfId="14511" xr:uid="{00000000-0005-0000-0000-00001E520000}"/>
    <cellStyle name="Normal 2_Sheet2" xfId="14512" xr:uid="{00000000-0005-0000-0000-00001F520000}"/>
    <cellStyle name="Normal 20" xfId="14513" xr:uid="{00000000-0005-0000-0000-000020520000}"/>
    <cellStyle name="Normal 20 2" xfId="14514" xr:uid="{00000000-0005-0000-0000-000021520000}"/>
    <cellStyle name="Normal 20 2 2" xfId="14515" xr:uid="{00000000-0005-0000-0000-000022520000}"/>
    <cellStyle name="Normal 20 2 2 2" xfId="14516" xr:uid="{00000000-0005-0000-0000-000023520000}"/>
    <cellStyle name="Normal 20 2 2 2 2" xfId="14517" xr:uid="{00000000-0005-0000-0000-000024520000}"/>
    <cellStyle name="Normal 20 2 2 2 2 2" xfId="52532" xr:uid="{00000000-0005-0000-0000-000025520000}"/>
    <cellStyle name="Normal 20 2 2 2 3" xfId="52533" xr:uid="{00000000-0005-0000-0000-000026520000}"/>
    <cellStyle name="Normal 20 2 2 3" xfId="14518" xr:uid="{00000000-0005-0000-0000-000027520000}"/>
    <cellStyle name="Normal 20 2 2 3 2" xfId="14519" xr:uid="{00000000-0005-0000-0000-000028520000}"/>
    <cellStyle name="Normal 20 2 2 3 2 2" xfId="52534" xr:uid="{00000000-0005-0000-0000-000029520000}"/>
    <cellStyle name="Normal 20 2 2 3 3" xfId="52535" xr:uid="{00000000-0005-0000-0000-00002A520000}"/>
    <cellStyle name="Normal 20 2 2 4" xfId="14520" xr:uid="{00000000-0005-0000-0000-00002B520000}"/>
    <cellStyle name="Normal 20 2 2 4 2" xfId="52536" xr:uid="{00000000-0005-0000-0000-00002C520000}"/>
    <cellStyle name="Normal 20 2 2 5" xfId="14521" xr:uid="{00000000-0005-0000-0000-00002D520000}"/>
    <cellStyle name="Normal 20 2 2 5 2" xfId="52537" xr:uid="{00000000-0005-0000-0000-00002E520000}"/>
    <cellStyle name="Normal 20 2 3" xfId="14522" xr:uid="{00000000-0005-0000-0000-00002F520000}"/>
    <cellStyle name="Normal 20 2 3 2" xfId="14523" xr:uid="{00000000-0005-0000-0000-000030520000}"/>
    <cellStyle name="Normal 20 2 3 2 2" xfId="52538" xr:uid="{00000000-0005-0000-0000-000031520000}"/>
    <cellStyle name="Normal 20 2 3 3" xfId="52539" xr:uid="{00000000-0005-0000-0000-000032520000}"/>
    <cellStyle name="Normal 20 2 4" xfId="14524" xr:uid="{00000000-0005-0000-0000-000033520000}"/>
    <cellStyle name="Normal 20 2 4 2" xfId="14525" xr:uid="{00000000-0005-0000-0000-000034520000}"/>
    <cellStyle name="Normal 20 2 4 2 2" xfId="52540" xr:uid="{00000000-0005-0000-0000-000035520000}"/>
    <cellStyle name="Normal 20 2 4 3" xfId="52541" xr:uid="{00000000-0005-0000-0000-000036520000}"/>
    <cellStyle name="Normal 20 2 5" xfId="14526" xr:uid="{00000000-0005-0000-0000-000037520000}"/>
    <cellStyle name="Normal 20 2 5 2" xfId="52542" xr:uid="{00000000-0005-0000-0000-000038520000}"/>
    <cellStyle name="Normal 20 2 6" xfId="14527" xr:uid="{00000000-0005-0000-0000-000039520000}"/>
    <cellStyle name="Normal 20 2 6 2" xfId="52543" xr:uid="{00000000-0005-0000-0000-00003A520000}"/>
    <cellStyle name="Normal 20 2 7" xfId="14528" xr:uid="{00000000-0005-0000-0000-00003B520000}"/>
    <cellStyle name="Normal 20 3" xfId="14529" xr:uid="{00000000-0005-0000-0000-00003C520000}"/>
    <cellStyle name="Normal 20 3 2" xfId="14530" xr:uid="{00000000-0005-0000-0000-00003D520000}"/>
    <cellStyle name="Normal 20 3 2 2" xfId="14531" xr:uid="{00000000-0005-0000-0000-00003E520000}"/>
    <cellStyle name="Normal 20 3 2 2 2" xfId="52544" xr:uid="{00000000-0005-0000-0000-00003F520000}"/>
    <cellStyle name="Normal 20 3 2 3" xfId="14532" xr:uid="{00000000-0005-0000-0000-000040520000}"/>
    <cellStyle name="Normal 20 3 2 3 2" xfId="52545" xr:uid="{00000000-0005-0000-0000-000041520000}"/>
    <cellStyle name="Normal 20 3 3" xfId="14533" xr:uid="{00000000-0005-0000-0000-000042520000}"/>
    <cellStyle name="Normal 20 3 3 2" xfId="14534" xr:uid="{00000000-0005-0000-0000-000043520000}"/>
    <cellStyle name="Normal 20 3 3 2 2" xfId="52546" xr:uid="{00000000-0005-0000-0000-000044520000}"/>
    <cellStyle name="Normal 20 3 3 3" xfId="52547" xr:uid="{00000000-0005-0000-0000-000045520000}"/>
    <cellStyle name="Normal 20 3 4" xfId="14535" xr:uid="{00000000-0005-0000-0000-000046520000}"/>
    <cellStyle name="Normal 20 3 4 2" xfId="52548" xr:uid="{00000000-0005-0000-0000-000047520000}"/>
    <cellStyle name="Normal 20 3 5" xfId="14536" xr:uid="{00000000-0005-0000-0000-000048520000}"/>
    <cellStyle name="Normal 20 3 5 2" xfId="52549" xr:uid="{00000000-0005-0000-0000-000049520000}"/>
    <cellStyle name="Normal 20 3 6" xfId="14537" xr:uid="{00000000-0005-0000-0000-00004A520000}"/>
    <cellStyle name="Normal 20 4" xfId="14538" xr:uid="{00000000-0005-0000-0000-00004B520000}"/>
    <cellStyle name="Normal 20 4 2" xfId="14539" xr:uid="{00000000-0005-0000-0000-00004C520000}"/>
    <cellStyle name="Normal 20 4 2 2" xfId="14540" xr:uid="{00000000-0005-0000-0000-00004D520000}"/>
    <cellStyle name="Normal 20 4 2 2 2" xfId="52550" xr:uid="{00000000-0005-0000-0000-00004E520000}"/>
    <cellStyle name="Normal 20 4 2 3" xfId="14541" xr:uid="{00000000-0005-0000-0000-00004F520000}"/>
    <cellStyle name="Normal 20 4 2 3 2" xfId="52551" xr:uid="{00000000-0005-0000-0000-000050520000}"/>
    <cellStyle name="Normal 20 4 3" xfId="14542" xr:uid="{00000000-0005-0000-0000-000051520000}"/>
    <cellStyle name="Normal 20 4 3 2" xfId="52552" xr:uid="{00000000-0005-0000-0000-000052520000}"/>
    <cellStyle name="Normal 20 4 4" xfId="14543" xr:uid="{00000000-0005-0000-0000-000053520000}"/>
    <cellStyle name="Normal 20 4 4 2" xfId="52553" xr:uid="{00000000-0005-0000-0000-000054520000}"/>
    <cellStyle name="Normal 20 4 5" xfId="14544" xr:uid="{00000000-0005-0000-0000-000055520000}"/>
    <cellStyle name="Normal 20 5" xfId="14545" xr:uid="{00000000-0005-0000-0000-000056520000}"/>
    <cellStyle name="Normal 20 5 2" xfId="14546" xr:uid="{00000000-0005-0000-0000-000057520000}"/>
    <cellStyle name="Normal 20 5 2 2" xfId="52554" xr:uid="{00000000-0005-0000-0000-000058520000}"/>
    <cellStyle name="Normal 20 5 3" xfId="14547" xr:uid="{00000000-0005-0000-0000-000059520000}"/>
    <cellStyle name="Normal 20 5 3 2" xfId="52555" xr:uid="{00000000-0005-0000-0000-00005A520000}"/>
    <cellStyle name="Normal 20_Sheet1" xfId="14548" xr:uid="{00000000-0005-0000-0000-00005B520000}"/>
    <cellStyle name="Normal 21" xfId="14549" xr:uid="{00000000-0005-0000-0000-00005C520000}"/>
    <cellStyle name="Normal 21 2" xfId="14550" xr:uid="{00000000-0005-0000-0000-00005D520000}"/>
    <cellStyle name="Normal 21 2 2" xfId="14551" xr:uid="{00000000-0005-0000-0000-00005E520000}"/>
    <cellStyle name="Normal 21 2 2 2" xfId="14552" xr:uid="{00000000-0005-0000-0000-00005F520000}"/>
    <cellStyle name="Normal 21 2 2 2 2" xfId="52556" xr:uid="{00000000-0005-0000-0000-000060520000}"/>
    <cellStyle name="Normal 21 2 2 3" xfId="14553" xr:uid="{00000000-0005-0000-0000-000061520000}"/>
    <cellStyle name="Normal 21 2 2 3 2" xfId="52557" xr:uid="{00000000-0005-0000-0000-000062520000}"/>
    <cellStyle name="Normal 21 2 3" xfId="14554" xr:uid="{00000000-0005-0000-0000-000063520000}"/>
    <cellStyle name="Normal 21 2 3 2" xfId="14555" xr:uid="{00000000-0005-0000-0000-000064520000}"/>
    <cellStyle name="Normal 21 2 3 2 2" xfId="52558" xr:uid="{00000000-0005-0000-0000-000065520000}"/>
    <cellStyle name="Normal 21 2 3 3" xfId="52559" xr:uid="{00000000-0005-0000-0000-000066520000}"/>
    <cellStyle name="Normal 21 2 4" xfId="14556" xr:uid="{00000000-0005-0000-0000-000067520000}"/>
    <cellStyle name="Normal 21 2 4 2" xfId="14557" xr:uid="{00000000-0005-0000-0000-000068520000}"/>
    <cellStyle name="Normal 21 2 4 2 2" xfId="52560" xr:uid="{00000000-0005-0000-0000-000069520000}"/>
    <cellStyle name="Normal 21 2 4 3" xfId="52561" xr:uid="{00000000-0005-0000-0000-00006A520000}"/>
    <cellStyle name="Normal 21 2 5" xfId="14558" xr:uid="{00000000-0005-0000-0000-00006B520000}"/>
    <cellStyle name="Normal 21 2 5 2" xfId="52562" xr:uid="{00000000-0005-0000-0000-00006C520000}"/>
    <cellStyle name="Normal 21 2 6" xfId="14559" xr:uid="{00000000-0005-0000-0000-00006D520000}"/>
    <cellStyle name="Normal 21 2 6 2" xfId="52563" xr:uid="{00000000-0005-0000-0000-00006E520000}"/>
    <cellStyle name="Normal 21 2 7" xfId="14560" xr:uid="{00000000-0005-0000-0000-00006F520000}"/>
    <cellStyle name="Normal 21 3" xfId="14561" xr:uid="{00000000-0005-0000-0000-000070520000}"/>
    <cellStyle name="Normal 21 3 2" xfId="14562" xr:uid="{00000000-0005-0000-0000-000071520000}"/>
    <cellStyle name="Normal 21 3 2 2" xfId="14563" xr:uid="{00000000-0005-0000-0000-000072520000}"/>
    <cellStyle name="Normal 21 3 2 2 2" xfId="52564" xr:uid="{00000000-0005-0000-0000-000073520000}"/>
    <cellStyle name="Normal 21 3 3" xfId="14564" xr:uid="{00000000-0005-0000-0000-000074520000}"/>
    <cellStyle name="Normal 21 3 3 2" xfId="52565" xr:uid="{00000000-0005-0000-0000-000075520000}"/>
    <cellStyle name="Normal 21 3 4" xfId="14565" xr:uid="{00000000-0005-0000-0000-000076520000}"/>
    <cellStyle name="Normal 21 4" xfId="14566" xr:uid="{00000000-0005-0000-0000-000077520000}"/>
    <cellStyle name="Normal 21 4 2" xfId="14567" xr:uid="{00000000-0005-0000-0000-000078520000}"/>
    <cellStyle name="Normal 21 4 3" xfId="14568" xr:uid="{00000000-0005-0000-0000-000079520000}"/>
    <cellStyle name="Normal 21 5" xfId="14569" xr:uid="{00000000-0005-0000-0000-00007A520000}"/>
    <cellStyle name="Normal 21_Sheet1" xfId="14570" xr:uid="{00000000-0005-0000-0000-00007B520000}"/>
    <cellStyle name="Normal 22" xfId="14571" xr:uid="{00000000-0005-0000-0000-00007C520000}"/>
    <cellStyle name="Normal 22 10" xfId="52566" xr:uid="{00000000-0005-0000-0000-00007D520000}"/>
    <cellStyle name="Normal 22 2" xfId="14572" xr:uid="{00000000-0005-0000-0000-00007E520000}"/>
    <cellStyle name="Normal 22 2 2" xfId="14573" xr:uid="{00000000-0005-0000-0000-00007F520000}"/>
    <cellStyle name="Normal 22 2 2 2" xfId="14574" xr:uid="{00000000-0005-0000-0000-000080520000}"/>
    <cellStyle name="Normal 22 2 2 2 2" xfId="52567" xr:uid="{00000000-0005-0000-0000-000081520000}"/>
    <cellStyle name="Normal 22 2 2 3" xfId="14575" xr:uid="{00000000-0005-0000-0000-000082520000}"/>
    <cellStyle name="Normal 22 2 2 3 2" xfId="52568" xr:uid="{00000000-0005-0000-0000-000083520000}"/>
    <cellStyle name="Normal 22 2 3" xfId="14576" xr:uid="{00000000-0005-0000-0000-000084520000}"/>
    <cellStyle name="Normal 22 2 3 2" xfId="14577" xr:uid="{00000000-0005-0000-0000-000085520000}"/>
    <cellStyle name="Normal 22 2 3 2 2" xfId="52569" xr:uid="{00000000-0005-0000-0000-000086520000}"/>
    <cellStyle name="Normal 22 2 3 3" xfId="52570" xr:uid="{00000000-0005-0000-0000-000087520000}"/>
    <cellStyle name="Normal 22 2 4" xfId="14578" xr:uid="{00000000-0005-0000-0000-000088520000}"/>
    <cellStyle name="Normal 22 2 4 2" xfId="52571" xr:uid="{00000000-0005-0000-0000-000089520000}"/>
    <cellStyle name="Normal 22 2 5" xfId="14579" xr:uid="{00000000-0005-0000-0000-00008A520000}"/>
    <cellStyle name="Normal 22 2 5 2" xfId="52572" xr:uid="{00000000-0005-0000-0000-00008B520000}"/>
    <cellStyle name="Normal 22 2 6" xfId="14580" xr:uid="{00000000-0005-0000-0000-00008C520000}"/>
    <cellStyle name="Normal 22 3" xfId="14581" xr:uid="{00000000-0005-0000-0000-00008D520000}"/>
    <cellStyle name="Normal 22 3 2" xfId="14582" xr:uid="{00000000-0005-0000-0000-00008E520000}"/>
    <cellStyle name="Normal 22 3 2 2" xfId="14583" xr:uid="{00000000-0005-0000-0000-00008F520000}"/>
    <cellStyle name="Normal 22 3 2 2 2" xfId="52573" xr:uid="{00000000-0005-0000-0000-000090520000}"/>
    <cellStyle name="Normal 22 3 3" xfId="14584" xr:uid="{00000000-0005-0000-0000-000091520000}"/>
    <cellStyle name="Normal 22 3 4" xfId="14585" xr:uid="{00000000-0005-0000-0000-000092520000}"/>
    <cellStyle name="Normal 22 3 4 2" xfId="14586" xr:uid="{00000000-0005-0000-0000-000093520000}"/>
    <cellStyle name="Normal 22 3 4 2 2" xfId="52574" xr:uid="{00000000-0005-0000-0000-000094520000}"/>
    <cellStyle name="Normal 22 3 4 2 3" xfId="52575" xr:uid="{00000000-0005-0000-0000-000095520000}"/>
    <cellStyle name="Normal 22 3 4 3" xfId="52576" xr:uid="{00000000-0005-0000-0000-000096520000}"/>
    <cellStyle name="Normal 22 3 4 4" xfId="52577" xr:uid="{00000000-0005-0000-0000-000097520000}"/>
    <cellStyle name="Normal 22 3 5" xfId="14587" xr:uid="{00000000-0005-0000-0000-000098520000}"/>
    <cellStyle name="Normal 22 3 5 2" xfId="52578" xr:uid="{00000000-0005-0000-0000-000099520000}"/>
    <cellStyle name="Normal 22 3 5 3" xfId="52579" xr:uid="{00000000-0005-0000-0000-00009A520000}"/>
    <cellStyle name="Normal 22 3 6" xfId="14588" xr:uid="{00000000-0005-0000-0000-00009B520000}"/>
    <cellStyle name="Normal 22 3 6 2" xfId="52580" xr:uid="{00000000-0005-0000-0000-00009C520000}"/>
    <cellStyle name="Normal 22 3 7" xfId="14589" xr:uid="{00000000-0005-0000-0000-00009D520000}"/>
    <cellStyle name="Normal 22 3 8" xfId="52581" xr:uid="{00000000-0005-0000-0000-00009E520000}"/>
    <cellStyle name="Normal 22 4" xfId="14590" xr:uid="{00000000-0005-0000-0000-00009F520000}"/>
    <cellStyle name="Normal 22 4 2" xfId="14591" xr:uid="{00000000-0005-0000-0000-0000A0520000}"/>
    <cellStyle name="Normal 22 4 2 2" xfId="14592" xr:uid="{00000000-0005-0000-0000-0000A1520000}"/>
    <cellStyle name="Normal 22 4 2 2 2" xfId="52582" xr:uid="{00000000-0005-0000-0000-0000A2520000}"/>
    <cellStyle name="Normal 22 4 3" xfId="14593" xr:uid="{00000000-0005-0000-0000-0000A3520000}"/>
    <cellStyle name="Normal 22 4 3 2" xfId="52583" xr:uid="{00000000-0005-0000-0000-0000A4520000}"/>
    <cellStyle name="Normal 22 4 4" xfId="14594" xr:uid="{00000000-0005-0000-0000-0000A5520000}"/>
    <cellStyle name="Normal 22 5" xfId="14595" xr:uid="{00000000-0005-0000-0000-0000A6520000}"/>
    <cellStyle name="Normal 22 5 2" xfId="14596" xr:uid="{00000000-0005-0000-0000-0000A7520000}"/>
    <cellStyle name="Normal 22 5 2 2" xfId="52584" xr:uid="{00000000-0005-0000-0000-0000A8520000}"/>
    <cellStyle name="Normal 22 6" xfId="14597" xr:uid="{00000000-0005-0000-0000-0000A9520000}"/>
    <cellStyle name="Normal 22 6 2" xfId="14598" xr:uid="{00000000-0005-0000-0000-0000AA520000}"/>
    <cellStyle name="Normal 22 6 2 2" xfId="52585" xr:uid="{00000000-0005-0000-0000-0000AB520000}"/>
    <cellStyle name="Normal 22 6 2 3" xfId="52586" xr:uid="{00000000-0005-0000-0000-0000AC520000}"/>
    <cellStyle name="Normal 22 6 3" xfId="52587" xr:uid="{00000000-0005-0000-0000-0000AD520000}"/>
    <cellStyle name="Normal 22 6 4" xfId="52588" xr:uid="{00000000-0005-0000-0000-0000AE520000}"/>
    <cellStyle name="Normal 22 7" xfId="14599" xr:uid="{00000000-0005-0000-0000-0000AF520000}"/>
    <cellStyle name="Normal 22 7 2" xfId="52589" xr:uid="{00000000-0005-0000-0000-0000B0520000}"/>
    <cellStyle name="Normal 22 7 3" xfId="52590" xr:uid="{00000000-0005-0000-0000-0000B1520000}"/>
    <cellStyle name="Normal 22 8" xfId="14600" xr:uid="{00000000-0005-0000-0000-0000B2520000}"/>
    <cellStyle name="Normal 22 8 2" xfId="52591" xr:uid="{00000000-0005-0000-0000-0000B3520000}"/>
    <cellStyle name="Normal 22 9" xfId="14601" xr:uid="{00000000-0005-0000-0000-0000B4520000}"/>
    <cellStyle name="Normal 23" xfId="14602" xr:uid="{00000000-0005-0000-0000-0000B5520000}"/>
    <cellStyle name="Normal 23 10" xfId="14603" xr:uid="{00000000-0005-0000-0000-0000B6520000}"/>
    <cellStyle name="Normal 23 10 2" xfId="14604" xr:uid="{00000000-0005-0000-0000-0000B7520000}"/>
    <cellStyle name="Normal 23 10 2 2" xfId="14605" xr:uid="{00000000-0005-0000-0000-0000B8520000}"/>
    <cellStyle name="Normal 23 10 2 2 2" xfId="52592" xr:uid="{00000000-0005-0000-0000-0000B9520000}"/>
    <cellStyle name="Normal 23 10 2 2 3" xfId="52593" xr:uid="{00000000-0005-0000-0000-0000BA520000}"/>
    <cellStyle name="Normal 23 10 2 3" xfId="14606" xr:uid="{00000000-0005-0000-0000-0000BB520000}"/>
    <cellStyle name="Normal 23 10 2 3 2" xfId="52594" xr:uid="{00000000-0005-0000-0000-0000BC520000}"/>
    <cellStyle name="Normal 23 10 2 4" xfId="14607" xr:uid="{00000000-0005-0000-0000-0000BD520000}"/>
    <cellStyle name="Normal 23 10 2 5" xfId="14608" xr:uid="{00000000-0005-0000-0000-0000BE520000}"/>
    <cellStyle name="Normal 23 10 2 6" xfId="14609" xr:uid="{00000000-0005-0000-0000-0000BF520000}"/>
    <cellStyle name="Normal 23 10 3" xfId="14610" xr:uid="{00000000-0005-0000-0000-0000C0520000}"/>
    <cellStyle name="Normal 23 10 3 2" xfId="52595" xr:uid="{00000000-0005-0000-0000-0000C1520000}"/>
    <cellStyle name="Normal 23 10 3 3" xfId="52596" xr:uid="{00000000-0005-0000-0000-0000C2520000}"/>
    <cellStyle name="Normal 23 10 4" xfId="14611" xr:uid="{00000000-0005-0000-0000-0000C3520000}"/>
    <cellStyle name="Normal 23 10 4 2" xfId="52597" xr:uid="{00000000-0005-0000-0000-0000C4520000}"/>
    <cellStyle name="Normal 23 10 5" xfId="14612" xr:uid="{00000000-0005-0000-0000-0000C5520000}"/>
    <cellStyle name="Normal 23 10 6" xfId="14613" xr:uid="{00000000-0005-0000-0000-0000C6520000}"/>
    <cellStyle name="Normal 23 10 7" xfId="14614" xr:uid="{00000000-0005-0000-0000-0000C7520000}"/>
    <cellStyle name="Normal 23 11" xfId="14615" xr:uid="{00000000-0005-0000-0000-0000C8520000}"/>
    <cellStyle name="Normal 23 11 2" xfId="14616" xr:uid="{00000000-0005-0000-0000-0000C9520000}"/>
    <cellStyle name="Normal 23 11 2 2" xfId="52598" xr:uid="{00000000-0005-0000-0000-0000CA520000}"/>
    <cellStyle name="Normal 23 11 2 3" xfId="52599" xr:uid="{00000000-0005-0000-0000-0000CB520000}"/>
    <cellStyle name="Normal 23 11 3" xfId="14617" xr:uid="{00000000-0005-0000-0000-0000CC520000}"/>
    <cellStyle name="Normal 23 11 3 2" xfId="52600" xr:uid="{00000000-0005-0000-0000-0000CD520000}"/>
    <cellStyle name="Normal 23 11 4" xfId="14618" xr:uid="{00000000-0005-0000-0000-0000CE520000}"/>
    <cellStyle name="Normal 23 11 5" xfId="14619" xr:uid="{00000000-0005-0000-0000-0000CF520000}"/>
    <cellStyle name="Normal 23 11 6" xfId="14620" xr:uid="{00000000-0005-0000-0000-0000D0520000}"/>
    <cellStyle name="Normal 23 12" xfId="14621" xr:uid="{00000000-0005-0000-0000-0000D1520000}"/>
    <cellStyle name="Normal 23 12 2" xfId="52601" xr:uid="{00000000-0005-0000-0000-0000D2520000}"/>
    <cellStyle name="Normal 23 12 3" xfId="52602" xr:uid="{00000000-0005-0000-0000-0000D3520000}"/>
    <cellStyle name="Normal 23 13" xfId="14622" xr:uid="{00000000-0005-0000-0000-0000D4520000}"/>
    <cellStyle name="Normal 23 13 2" xfId="52603" xr:uid="{00000000-0005-0000-0000-0000D5520000}"/>
    <cellStyle name="Normal 23 14" xfId="14623" xr:uid="{00000000-0005-0000-0000-0000D6520000}"/>
    <cellStyle name="Normal 23 14 2" xfId="52604" xr:uid="{00000000-0005-0000-0000-0000D7520000}"/>
    <cellStyle name="Normal 23 15" xfId="14624" xr:uid="{00000000-0005-0000-0000-0000D8520000}"/>
    <cellStyle name="Normal 23 16" xfId="14625" xr:uid="{00000000-0005-0000-0000-0000D9520000}"/>
    <cellStyle name="Normal 23 17" xfId="14626" xr:uid="{00000000-0005-0000-0000-0000DA520000}"/>
    <cellStyle name="Normal 23 18" xfId="14627" xr:uid="{00000000-0005-0000-0000-0000DB520000}"/>
    <cellStyle name="Normal 23 19" xfId="14628" xr:uid="{00000000-0005-0000-0000-0000DC520000}"/>
    <cellStyle name="Normal 23 2" xfId="14629" xr:uid="{00000000-0005-0000-0000-0000DD520000}"/>
    <cellStyle name="Normal 23 2 10" xfId="14630" xr:uid="{00000000-0005-0000-0000-0000DE520000}"/>
    <cellStyle name="Normal 23 2 11" xfId="14631" xr:uid="{00000000-0005-0000-0000-0000DF520000}"/>
    <cellStyle name="Normal 23 2 12" xfId="14632" xr:uid="{00000000-0005-0000-0000-0000E0520000}"/>
    <cellStyle name="Normal 23 2 13" xfId="14633" xr:uid="{00000000-0005-0000-0000-0000E1520000}"/>
    <cellStyle name="Normal 23 2 14" xfId="14634" xr:uid="{00000000-0005-0000-0000-0000E2520000}"/>
    <cellStyle name="Normal 23 2 15" xfId="14635" xr:uid="{00000000-0005-0000-0000-0000E3520000}"/>
    <cellStyle name="Normal 23 2 16" xfId="14636" xr:uid="{00000000-0005-0000-0000-0000E4520000}"/>
    <cellStyle name="Normal 23 2 2" xfId="14637" xr:uid="{00000000-0005-0000-0000-0000E5520000}"/>
    <cellStyle name="Normal 23 2 2 10" xfId="14638" xr:uid="{00000000-0005-0000-0000-0000E6520000}"/>
    <cellStyle name="Normal 23 2 2 11" xfId="14639" xr:uid="{00000000-0005-0000-0000-0000E7520000}"/>
    <cellStyle name="Normal 23 2 2 12" xfId="14640" xr:uid="{00000000-0005-0000-0000-0000E8520000}"/>
    <cellStyle name="Normal 23 2 2 13" xfId="14641" xr:uid="{00000000-0005-0000-0000-0000E9520000}"/>
    <cellStyle name="Normal 23 2 2 14" xfId="14642" xr:uid="{00000000-0005-0000-0000-0000EA520000}"/>
    <cellStyle name="Normal 23 2 2 15" xfId="14643" xr:uid="{00000000-0005-0000-0000-0000EB520000}"/>
    <cellStyle name="Normal 23 2 2 2" xfId="14644" xr:uid="{00000000-0005-0000-0000-0000EC520000}"/>
    <cellStyle name="Normal 23 2 2 2 2" xfId="14645" xr:uid="{00000000-0005-0000-0000-0000ED520000}"/>
    <cellStyle name="Normal 23 2 2 2 2 2" xfId="14646" xr:uid="{00000000-0005-0000-0000-0000EE520000}"/>
    <cellStyle name="Normal 23 2 2 2 2 2 2" xfId="14647" xr:uid="{00000000-0005-0000-0000-0000EF520000}"/>
    <cellStyle name="Normal 23 2 2 2 2 2 2 2" xfId="52605" xr:uid="{00000000-0005-0000-0000-0000F0520000}"/>
    <cellStyle name="Normal 23 2 2 2 2 2 2 3" xfId="52606" xr:uid="{00000000-0005-0000-0000-0000F1520000}"/>
    <cellStyle name="Normal 23 2 2 2 2 2 3" xfId="14648" xr:uid="{00000000-0005-0000-0000-0000F2520000}"/>
    <cellStyle name="Normal 23 2 2 2 2 2 3 2" xfId="52607" xr:uid="{00000000-0005-0000-0000-0000F3520000}"/>
    <cellStyle name="Normal 23 2 2 2 2 2 4" xfId="14649" xr:uid="{00000000-0005-0000-0000-0000F4520000}"/>
    <cellStyle name="Normal 23 2 2 2 2 2 5" xfId="14650" xr:uid="{00000000-0005-0000-0000-0000F5520000}"/>
    <cellStyle name="Normal 23 2 2 2 2 2 6" xfId="14651" xr:uid="{00000000-0005-0000-0000-0000F6520000}"/>
    <cellStyle name="Normal 23 2 2 2 2 3" xfId="14652" xr:uid="{00000000-0005-0000-0000-0000F7520000}"/>
    <cellStyle name="Normal 23 2 2 2 2 3 2" xfId="52608" xr:uid="{00000000-0005-0000-0000-0000F8520000}"/>
    <cellStyle name="Normal 23 2 2 2 2 3 3" xfId="52609" xr:uid="{00000000-0005-0000-0000-0000F9520000}"/>
    <cellStyle name="Normal 23 2 2 2 2 4" xfId="14653" xr:uid="{00000000-0005-0000-0000-0000FA520000}"/>
    <cellStyle name="Normal 23 2 2 2 2 4 2" xfId="52610" xr:uid="{00000000-0005-0000-0000-0000FB520000}"/>
    <cellStyle name="Normal 23 2 2 2 2 5" xfId="14654" xr:uid="{00000000-0005-0000-0000-0000FC520000}"/>
    <cellStyle name="Normal 23 2 2 2 2 6" xfId="14655" xr:uid="{00000000-0005-0000-0000-0000FD520000}"/>
    <cellStyle name="Normal 23 2 2 2 2 7" xfId="14656" xr:uid="{00000000-0005-0000-0000-0000FE520000}"/>
    <cellStyle name="Normal 23 2 2 2 3" xfId="14657" xr:uid="{00000000-0005-0000-0000-0000FF520000}"/>
    <cellStyle name="Normal 23 2 2 2 3 2" xfId="14658" xr:uid="{00000000-0005-0000-0000-000000530000}"/>
    <cellStyle name="Normal 23 2 2 2 3 2 2" xfId="52611" xr:uid="{00000000-0005-0000-0000-000001530000}"/>
    <cellStyle name="Normal 23 2 2 2 3 2 3" xfId="52612" xr:uid="{00000000-0005-0000-0000-000002530000}"/>
    <cellStyle name="Normal 23 2 2 2 3 3" xfId="14659" xr:uid="{00000000-0005-0000-0000-000003530000}"/>
    <cellStyle name="Normal 23 2 2 2 3 3 2" xfId="52613" xr:uid="{00000000-0005-0000-0000-000004530000}"/>
    <cellStyle name="Normal 23 2 2 2 3 4" xfId="14660" xr:uid="{00000000-0005-0000-0000-000005530000}"/>
    <cellStyle name="Normal 23 2 2 2 3 5" xfId="14661" xr:uid="{00000000-0005-0000-0000-000006530000}"/>
    <cellStyle name="Normal 23 2 2 2 3 6" xfId="14662" xr:uid="{00000000-0005-0000-0000-000007530000}"/>
    <cellStyle name="Normal 23 2 2 2 4" xfId="14663" xr:uid="{00000000-0005-0000-0000-000008530000}"/>
    <cellStyle name="Normal 23 2 2 2 4 2" xfId="52614" xr:uid="{00000000-0005-0000-0000-000009530000}"/>
    <cellStyle name="Normal 23 2 2 2 4 3" xfId="52615" xr:uid="{00000000-0005-0000-0000-00000A530000}"/>
    <cellStyle name="Normal 23 2 2 2 5" xfId="14664" xr:uid="{00000000-0005-0000-0000-00000B530000}"/>
    <cellStyle name="Normal 23 2 2 2 5 2" xfId="52616" xr:uid="{00000000-0005-0000-0000-00000C530000}"/>
    <cellStyle name="Normal 23 2 2 2 6" xfId="14665" xr:uid="{00000000-0005-0000-0000-00000D530000}"/>
    <cellStyle name="Normal 23 2 2 2 7" xfId="14666" xr:uid="{00000000-0005-0000-0000-00000E530000}"/>
    <cellStyle name="Normal 23 2 2 2 8" xfId="14667" xr:uid="{00000000-0005-0000-0000-00000F530000}"/>
    <cellStyle name="Normal 23 2 2 2 9" xfId="14668" xr:uid="{00000000-0005-0000-0000-000010530000}"/>
    <cellStyle name="Normal 23 2 2 3" xfId="14669" xr:uid="{00000000-0005-0000-0000-000011530000}"/>
    <cellStyle name="Normal 23 2 2 3 2" xfId="14670" xr:uid="{00000000-0005-0000-0000-000012530000}"/>
    <cellStyle name="Normal 23 2 2 3 2 2" xfId="14671" xr:uid="{00000000-0005-0000-0000-000013530000}"/>
    <cellStyle name="Normal 23 2 2 3 2 2 2" xfId="14672" xr:uid="{00000000-0005-0000-0000-000014530000}"/>
    <cellStyle name="Normal 23 2 2 3 2 2 2 2" xfId="52617" xr:uid="{00000000-0005-0000-0000-000015530000}"/>
    <cellStyle name="Normal 23 2 2 3 2 2 2 3" xfId="52618" xr:uid="{00000000-0005-0000-0000-000016530000}"/>
    <cellStyle name="Normal 23 2 2 3 2 2 3" xfId="14673" xr:uid="{00000000-0005-0000-0000-000017530000}"/>
    <cellStyle name="Normal 23 2 2 3 2 2 3 2" xfId="52619" xr:uid="{00000000-0005-0000-0000-000018530000}"/>
    <cellStyle name="Normal 23 2 2 3 2 2 4" xfId="14674" xr:uid="{00000000-0005-0000-0000-000019530000}"/>
    <cellStyle name="Normal 23 2 2 3 2 2 5" xfId="14675" xr:uid="{00000000-0005-0000-0000-00001A530000}"/>
    <cellStyle name="Normal 23 2 2 3 2 2 6" xfId="14676" xr:uid="{00000000-0005-0000-0000-00001B530000}"/>
    <cellStyle name="Normal 23 2 2 3 2 3" xfId="14677" xr:uid="{00000000-0005-0000-0000-00001C530000}"/>
    <cellStyle name="Normal 23 2 2 3 2 3 2" xfId="52620" xr:uid="{00000000-0005-0000-0000-00001D530000}"/>
    <cellStyle name="Normal 23 2 2 3 2 3 3" xfId="52621" xr:uid="{00000000-0005-0000-0000-00001E530000}"/>
    <cellStyle name="Normal 23 2 2 3 2 4" xfId="14678" xr:uid="{00000000-0005-0000-0000-00001F530000}"/>
    <cellStyle name="Normal 23 2 2 3 2 4 2" xfId="52622" xr:uid="{00000000-0005-0000-0000-000020530000}"/>
    <cellStyle name="Normal 23 2 2 3 2 5" xfId="14679" xr:uid="{00000000-0005-0000-0000-000021530000}"/>
    <cellStyle name="Normal 23 2 2 3 2 6" xfId="14680" xr:uid="{00000000-0005-0000-0000-000022530000}"/>
    <cellStyle name="Normal 23 2 2 3 2 7" xfId="14681" xr:uid="{00000000-0005-0000-0000-000023530000}"/>
    <cellStyle name="Normal 23 2 2 3 3" xfId="14682" xr:uid="{00000000-0005-0000-0000-000024530000}"/>
    <cellStyle name="Normal 23 2 2 3 3 2" xfId="14683" xr:uid="{00000000-0005-0000-0000-000025530000}"/>
    <cellStyle name="Normal 23 2 2 3 3 2 2" xfId="52623" xr:uid="{00000000-0005-0000-0000-000026530000}"/>
    <cellStyle name="Normal 23 2 2 3 3 2 3" xfId="52624" xr:uid="{00000000-0005-0000-0000-000027530000}"/>
    <cellStyle name="Normal 23 2 2 3 3 3" xfId="14684" xr:uid="{00000000-0005-0000-0000-000028530000}"/>
    <cellStyle name="Normal 23 2 2 3 3 3 2" xfId="52625" xr:uid="{00000000-0005-0000-0000-000029530000}"/>
    <cellStyle name="Normal 23 2 2 3 3 4" xfId="14685" xr:uid="{00000000-0005-0000-0000-00002A530000}"/>
    <cellStyle name="Normal 23 2 2 3 3 5" xfId="14686" xr:uid="{00000000-0005-0000-0000-00002B530000}"/>
    <cellStyle name="Normal 23 2 2 3 3 6" xfId="14687" xr:uid="{00000000-0005-0000-0000-00002C530000}"/>
    <cellStyle name="Normal 23 2 2 3 4" xfId="14688" xr:uid="{00000000-0005-0000-0000-00002D530000}"/>
    <cellStyle name="Normal 23 2 2 3 4 2" xfId="52626" xr:uid="{00000000-0005-0000-0000-00002E530000}"/>
    <cellStyle name="Normal 23 2 2 3 4 3" xfId="52627" xr:uid="{00000000-0005-0000-0000-00002F530000}"/>
    <cellStyle name="Normal 23 2 2 3 5" xfId="14689" xr:uid="{00000000-0005-0000-0000-000030530000}"/>
    <cellStyle name="Normal 23 2 2 3 5 2" xfId="52628" xr:uid="{00000000-0005-0000-0000-000031530000}"/>
    <cellStyle name="Normal 23 2 2 3 6" xfId="14690" xr:uid="{00000000-0005-0000-0000-000032530000}"/>
    <cellStyle name="Normal 23 2 2 3 7" xfId="14691" xr:uid="{00000000-0005-0000-0000-000033530000}"/>
    <cellStyle name="Normal 23 2 2 3 8" xfId="14692" xr:uid="{00000000-0005-0000-0000-000034530000}"/>
    <cellStyle name="Normal 23 2 2 4" xfId="14693" xr:uid="{00000000-0005-0000-0000-000035530000}"/>
    <cellStyle name="Normal 23 2 2 4 2" xfId="14694" xr:uid="{00000000-0005-0000-0000-000036530000}"/>
    <cellStyle name="Normal 23 2 2 4 2 2" xfId="14695" xr:uid="{00000000-0005-0000-0000-000037530000}"/>
    <cellStyle name="Normal 23 2 2 4 2 2 2" xfId="52629" xr:uid="{00000000-0005-0000-0000-000038530000}"/>
    <cellStyle name="Normal 23 2 2 4 2 2 3" xfId="52630" xr:uid="{00000000-0005-0000-0000-000039530000}"/>
    <cellStyle name="Normal 23 2 2 4 2 3" xfId="14696" xr:uid="{00000000-0005-0000-0000-00003A530000}"/>
    <cellStyle name="Normal 23 2 2 4 2 3 2" xfId="52631" xr:uid="{00000000-0005-0000-0000-00003B530000}"/>
    <cellStyle name="Normal 23 2 2 4 2 4" xfId="14697" xr:uid="{00000000-0005-0000-0000-00003C530000}"/>
    <cellStyle name="Normal 23 2 2 4 2 5" xfId="14698" xr:uid="{00000000-0005-0000-0000-00003D530000}"/>
    <cellStyle name="Normal 23 2 2 4 2 6" xfId="14699" xr:uid="{00000000-0005-0000-0000-00003E530000}"/>
    <cellStyle name="Normal 23 2 2 4 3" xfId="14700" xr:uid="{00000000-0005-0000-0000-00003F530000}"/>
    <cellStyle name="Normal 23 2 2 4 3 2" xfId="52632" xr:uid="{00000000-0005-0000-0000-000040530000}"/>
    <cellStyle name="Normal 23 2 2 4 3 3" xfId="52633" xr:uid="{00000000-0005-0000-0000-000041530000}"/>
    <cellStyle name="Normal 23 2 2 4 4" xfId="14701" xr:uid="{00000000-0005-0000-0000-000042530000}"/>
    <cellStyle name="Normal 23 2 2 4 4 2" xfId="52634" xr:uid="{00000000-0005-0000-0000-000043530000}"/>
    <cellStyle name="Normal 23 2 2 4 5" xfId="14702" xr:uid="{00000000-0005-0000-0000-000044530000}"/>
    <cellStyle name="Normal 23 2 2 4 6" xfId="14703" xr:uid="{00000000-0005-0000-0000-000045530000}"/>
    <cellStyle name="Normal 23 2 2 4 7" xfId="14704" xr:uid="{00000000-0005-0000-0000-000046530000}"/>
    <cellStyle name="Normal 23 2 2 5" xfId="14705" xr:uid="{00000000-0005-0000-0000-000047530000}"/>
    <cellStyle name="Normal 23 2 2 5 2" xfId="14706" xr:uid="{00000000-0005-0000-0000-000048530000}"/>
    <cellStyle name="Normal 23 2 2 5 2 2" xfId="52635" xr:uid="{00000000-0005-0000-0000-000049530000}"/>
    <cellStyle name="Normal 23 2 2 5 2 3" xfId="52636" xr:uid="{00000000-0005-0000-0000-00004A530000}"/>
    <cellStyle name="Normal 23 2 2 5 3" xfId="14707" xr:uid="{00000000-0005-0000-0000-00004B530000}"/>
    <cellStyle name="Normal 23 2 2 5 3 2" xfId="52637" xr:uid="{00000000-0005-0000-0000-00004C530000}"/>
    <cellStyle name="Normal 23 2 2 5 4" xfId="14708" xr:uid="{00000000-0005-0000-0000-00004D530000}"/>
    <cellStyle name="Normal 23 2 2 5 5" xfId="14709" xr:uid="{00000000-0005-0000-0000-00004E530000}"/>
    <cellStyle name="Normal 23 2 2 5 6" xfId="14710" xr:uid="{00000000-0005-0000-0000-00004F530000}"/>
    <cellStyle name="Normal 23 2 2 6" xfId="14711" xr:uid="{00000000-0005-0000-0000-000050530000}"/>
    <cellStyle name="Normal 23 2 2 6 2" xfId="52638" xr:uid="{00000000-0005-0000-0000-000051530000}"/>
    <cellStyle name="Normal 23 2 2 7" xfId="14712" xr:uid="{00000000-0005-0000-0000-000052530000}"/>
    <cellStyle name="Normal 23 2 2 8" xfId="14713" xr:uid="{00000000-0005-0000-0000-000053530000}"/>
    <cellStyle name="Normal 23 2 2 9" xfId="14714" xr:uid="{00000000-0005-0000-0000-000054530000}"/>
    <cellStyle name="Normal 23 2 3" xfId="14715" xr:uid="{00000000-0005-0000-0000-000055530000}"/>
    <cellStyle name="Normal 23 2 3 10" xfId="14716" xr:uid="{00000000-0005-0000-0000-000056530000}"/>
    <cellStyle name="Normal 23 2 3 2" xfId="14717" xr:uid="{00000000-0005-0000-0000-000057530000}"/>
    <cellStyle name="Normal 23 2 3 2 2" xfId="14718" xr:uid="{00000000-0005-0000-0000-000058530000}"/>
    <cellStyle name="Normal 23 2 3 2 2 2" xfId="14719" xr:uid="{00000000-0005-0000-0000-000059530000}"/>
    <cellStyle name="Normal 23 2 3 2 2 2 2" xfId="52639" xr:uid="{00000000-0005-0000-0000-00005A530000}"/>
    <cellStyle name="Normal 23 2 3 2 2 2 3" xfId="52640" xr:uid="{00000000-0005-0000-0000-00005B530000}"/>
    <cellStyle name="Normal 23 2 3 2 2 3" xfId="14720" xr:uid="{00000000-0005-0000-0000-00005C530000}"/>
    <cellStyle name="Normal 23 2 3 2 2 3 2" xfId="52641" xr:uid="{00000000-0005-0000-0000-00005D530000}"/>
    <cellStyle name="Normal 23 2 3 2 2 4" xfId="14721" xr:uid="{00000000-0005-0000-0000-00005E530000}"/>
    <cellStyle name="Normal 23 2 3 2 2 5" xfId="14722" xr:uid="{00000000-0005-0000-0000-00005F530000}"/>
    <cellStyle name="Normal 23 2 3 2 2 6" xfId="14723" xr:uid="{00000000-0005-0000-0000-000060530000}"/>
    <cellStyle name="Normal 23 2 3 2 3" xfId="14724" xr:uid="{00000000-0005-0000-0000-000061530000}"/>
    <cellStyle name="Normal 23 2 3 2 3 2" xfId="52642" xr:uid="{00000000-0005-0000-0000-000062530000}"/>
    <cellStyle name="Normal 23 2 3 2 3 3" xfId="52643" xr:uid="{00000000-0005-0000-0000-000063530000}"/>
    <cellStyle name="Normal 23 2 3 2 4" xfId="14725" xr:uid="{00000000-0005-0000-0000-000064530000}"/>
    <cellStyle name="Normal 23 2 3 2 4 2" xfId="52644" xr:uid="{00000000-0005-0000-0000-000065530000}"/>
    <cellStyle name="Normal 23 2 3 2 5" xfId="14726" xr:uid="{00000000-0005-0000-0000-000066530000}"/>
    <cellStyle name="Normal 23 2 3 2 6" xfId="14727" xr:uid="{00000000-0005-0000-0000-000067530000}"/>
    <cellStyle name="Normal 23 2 3 2 7" xfId="14728" xr:uid="{00000000-0005-0000-0000-000068530000}"/>
    <cellStyle name="Normal 23 2 3 3" xfId="14729" xr:uid="{00000000-0005-0000-0000-000069530000}"/>
    <cellStyle name="Normal 23 2 3 3 2" xfId="14730" xr:uid="{00000000-0005-0000-0000-00006A530000}"/>
    <cellStyle name="Normal 23 2 3 3 2 2" xfId="52645" xr:uid="{00000000-0005-0000-0000-00006B530000}"/>
    <cellStyle name="Normal 23 2 3 3 2 3" xfId="52646" xr:uid="{00000000-0005-0000-0000-00006C530000}"/>
    <cellStyle name="Normal 23 2 3 3 3" xfId="14731" xr:uid="{00000000-0005-0000-0000-00006D530000}"/>
    <cellStyle name="Normal 23 2 3 3 3 2" xfId="52647" xr:uid="{00000000-0005-0000-0000-00006E530000}"/>
    <cellStyle name="Normal 23 2 3 3 4" xfId="14732" xr:uid="{00000000-0005-0000-0000-00006F530000}"/>
    <cellStyle name="Normal 23 2 3 3 5" xfId="14733" xr:uid="{00000000-0005-0000-0000-000070530000}"/>
    <cellStyle name="Normal 23 2 3 3 6" xfId="14734" xr:uid="{00000000-0005-0000-0000-000071530000}"/>
    <cellStyle name="Normal 23 2 3 4" xfId="14735" xr:uid="{00000000-0005-0000-0000-000072530000}"/>
    <cellStyle name="Normal 23 2 3 4 2" xfId="52648" xr:uid="{00000000-0005-0000-0000-000073530000}"/>
    <cellStyle name="Normal 23 2 3 5" xfId="14736" xr:uid="{00000000-0005-0000-0000-000074530000}"/>
    <cellStyle name="Normal 23 2 3 6" xfId="14737" xr:uid="{00000000-0005-0000-0000-000075530000}"/>
    <cellStyle name="Normal 23 2 3 7" xfId="14738" xr:uid="{00000000-0005-0000-0000-000076530000}"/>
    <cellStyle name="Normal 23 2 3 8" xfId="14739" xr:uid="{00000000-0005-0000-0000-000077530000}"/>
    <cellStyle name="Normal 23 2 3 9" xfId="14740" xr:uid="{00000000-0005-0000-0000-000078530000}"/>
    <cellStyle name="Normal 23 2 4" xfId="14741" xr:uid="{00000000-0005-0000-0000-000079530000}"/>
    <cellStyle name="Normal 23 2 4 2" xfId="14742" xr:uid="{00000000-0005-0000-0000-00007A530000}"/>
    <cellStyle name="Normal 23 2 4 2 2" xfId="14743" xr:uid="{00000000-0005-0000-0000-00007B530000}"/>
    <cellStyle name="Normal 23 2 4 2 2 2" xfId="14744" xr:uid="{00000000-0005-0000-0000-00007C530000}"/>
    <cellStyle name="Normal 23 2 4 2 2 2 2" xfId="52649" xr:uid="{00000000-0005-0000-0000-00007D530000}"/>
    <cellStyle name="Normal 23 2 4 2 2 2 3" xfId="52650" xr:uid="{00000000-0005-0000-0000-00007E530000}"/>
    <cellStyle name="Normal 23 2 4 2 2 3" xfId="14745" xr:uid="{00000000-0005-0000-0000-00007F530000}"/>
    <cellStyle name="Normal 23 2 4 2 2 3 2" xfId="52651" xr:uid="{00000000-0005-0000-0000-000080530000}"/>
    <cellStyle name="Normal 23 2 4 2 2 4" xfId="14746" xr:uid="{00000000-0005-0000-0000-000081530000}"/>
    <cellStyle name="Normal 23 2 4 2 2 5" xfId="14747" xr:uid="{00000000-0005-0000-0000-000082530000}"/>
    <cellStyle name="Normal 23 2 4 2 2 6" xfId="14748" xr:uid="{00000000-0005-0000-0000-000083530000}"/>
    <cellStyle name="Normal 23 2 4 2 3" xfId="14749" xr:uid="{00000000-0005-0000-0000-000084530000}"/>
    <cellStyle name="Normal 23 2 4 2 3 2" xfId="52652" xr:uid="{00000000-0005-0000-0000-000085530000}"/>
    <cellStyle name="Normal 23 2 4 2 3 3" xfId="52653" xr:uid="{00000000-0005-0000-0000-000086530000}"/>
    <cellStyle name="Normal 23 2 4 2 4" xfId="14750" xr:uid="{00000000-0005-0000-0000-000087530000}"/>
    <cellStyle name="Normal 23 2 4 2 4 2" xfId="52654" xr:uid="{00000000-0005-0000-0000-000088530000}"/>
    <cellStyle name="Normal 23 2 4 2 5" xfId="14751" xr:uid="{00000000-0005-0000-0000-000089530000}"/>
    <cellStyle name="Normal 23 2 4 2 6" xfId="14752" xr:uid="{00000000-0005-0000-0000-00008A530000}"/>
    <cellStyle name="Normal 23 2 4 2 7" xfId="14753" xr:uid="{00000000-0005-0000-0000-00008B530000}"/>
    <cellStyle name="Normal 23 2 4 3" xfId="14754" xr:uid="{00000000-0005-0000-0000-00008C530000}"/>
    <cellStyle name="Normal 23 2 4 3 2" xfId="14755" xr:uid="{00000000-0005-0000-0000-00008D530000}"/>
    <cellStyle name="Normal 23 2 4 3 2 2" xfId="52655" xr:uid="{00000000-0005-0000-0000-00008E530000}"/>
    <cellStyle name="Normal 23 2 4 3 2 3" xfId="52656" xr:uid="{00000000-0005-0000-0000-00008F530000}"/>
    <cellStyle name="Normal 23 2 4 3 3" xfId="14756" xr:uid="{00000000-0005-0000-0000-000090530000}"/>
    <cellStyle name="Normal 23 2 4 3 3 2" xfId="52657" xr:uid="{00000000-0005-0000-0000-000091530000}"/>
    <cellStyle name="Normal 23 2 4 3 4" xfId="14757" xr:uid="{00000000-0005-0000-0000-000092530000}"/>
    <cellStyle name="Normal 23 2 4 3 5" xfId="14758" xr:uid="{00000000-0005-0000-0000-000093530000}"/>
    <cellStyle name="Normal 23 2 4 3 6" xfId="14759" xr:uid="{00000000-0005-0000-0000-000094530000}"/>
    <cellStyle name="Normal 23 2 4 4" xfId="14760" xr:uid="{00000000-0005-0000-0000-000095530000}"/>
    <cellStyle name="Normal 23 2 4 4 2" xfId="52658" xr:uid="{00000000-0005-0000-0000-000096530000}"/>
    <cellStyle name="Normal 23 2 4 4 3" xfId="52659" xr:uid="{00000000-0005-0000-0000-000097530000}"/>
    <cellStyle name="Normal 23 2 4 5" xfId="14761" xr:uid="{00000000-0005-0000-0000-000098530000}"/>
    <cellStyle name="Normal 23 2 4 5 2" xfId="52660" xr:uid="{00000000-0005-0000-0000-000099530000}"/>
    <cellStyle name="Normal 23 2 4 6" xfId="14762" xr:uid="{00000000-0005-0000-0000-00009A530000}"/>
    <cellStyle name="Normal 23 2 4 7" xfId="14763" xr:uid="{00000000-0005-0000-0000-00009B530000}"/>
    <cellStyle name="Normal 23 2 4 8" xfId="14764" xr:uid="{00000000-0005-0000-0000-00009C530000}"/>
    <cellStyle name="Normal 23 2 5" xfId="14765" xr:uid="{00000000-0005-0000-0000-00009D530000}"/>
    <cellStyle name="Normal 23 2 5 2" xfId="14766" xr:uid="{00000000-0005-0000-0000-00009E530000}"/>
    <cellStyle name="Normal 23 2 5 2 2" xfId="14767" xr:uid="{00000000-0005-0000-0000-00009F530000}"/>
    <cellStyle name="Normal 23 2 5 2 2 2" xfId="52661" xr:uid="{00000000-0005-0000-0000-0000A0530000}"/>
    <cellStyle name="Normal 23 2 5 2 2 3" xfId="52662" xr:uid="{00000000-0005-0000-0000-0000A1530000}"/>
    <cellStyle name="Normal 23 2 5 2 3" xfId="14768" xr:uid="{00000000-0005-0000-0000-0000A2530000}"/>
    <cellStyle name="Normal 23 2 5 2 3 2" xfId="52663" xr:uid="{00000000-0005-0000-0000-0000A3530000}"/>
    <cellStyle name="Normal 23 2 5 2 4" xfId="14769" xr:uid="{00000000-0005-0000-0000-0000A4530000}"/>
    <cellStyle name="Normal 23 2 5 2 5" xfId="14770" xr:uid="{00000000-0005-0000-0000-0000A5530000}"/>
    <cellStyle name="Normal 23 2 5 2 6" xfId="14771" xr:uid="{00000000-0005-0000-0000-0000A6530000}"/>
    <cellStyle name="Normal 23 2 5 3" xfId="14772" xr:uid="{00000000-0005-0000-0000-0000A7530000}"/>
    <cellStyle name="Normal 23 2 5 3 2" xfId="52664" xr:uid="{00000000-0005-0000-0000-0000A8530000}"/>
    <cellStyle name="Normal 23 2 5 3 3" xfId="52665" xr:uid="{00000000-0005-0000-0000-0000A9530000}"/>
    <cellStyle name="Normal 23 2 5 4" xfId="14773" xr:uid="{00000000-0005-0000-0000-0000AA530000}"/>
    <cellStyle name="Normal 23 2 5 4 2" xfId="52666" xr:uid="{00000000-0005-0000-0000-0000AB530000}"/>
    <cellStyle name="Normal 23 2 5 5" xfId="14774" xr:uid="{00000000-0005-0000-0000-0000AC530000}"/>
    <cellStyle name="Normal 23 2 5 6" xfId="14775" xr:uid="{00000000-0005-0000-0000-0000AD530000}"/>
    <cellStyle name="Normal 23 2 5 7" xfId="14776" xr:uid="{00000000-0005-0000-0000-0000AE530000}"/>
    <cellStyle name="Normal 23 2 6" xfId="14777" xr:uid="{00000000-0005-0000-0000-0000AF530000}"/>
    <cellStyle name="Normal 23 2 6 2" xfId="14778" xr:uid="{00000000-0005-0000-0000-0000B0530000}"/>
    <cellStyle name="Normal 23 2 6 2 2" xfId="52667" xr:uid="{00000000-0005-0000-0000-0000B1530000}"/>
    <cellStyle name="Normal 23 2 6 2 3" xfId="52668" xr:uid="{00000000-0005-0000-0000-0000B2530000}"/>
    <cellStyle name="Normal 23 2 6 3" xfId="14779" xr:uid="{00000000-0005-0000-0000-0000B3530000}"/>
    <cellStyle name="Normal 23 2 6 3 2" xfId="52669" xr:uid="{00000000-0005-0000-0000-0000B4530000}"/>
    <cellStyle name="Normal 23 2 6 4" xfId="14780" xr:uid="{00000000-0005-0000-0000-0000B5530000}"/>
    <cellStyle name="Normal 23 2 6 5" xfId="14781" xr:uid="{00000000-0005-0000-0000-0000B6530000}"/>
    <cellStyle name="Normal 23 2 6 6" xfId="14782" xr:uid="{00000000-0005-0000-0000-0000B7530000}"/>
    <cellStyle name="Normal 23 2 7" xfId="14783" xr:uid="{00000000-0005-0000-0000-0000B8530000}"/>
    <cellStyle name="Normal 23 2 7 2" xfId="52670" xr:uid="{00000000-0005-0000-0000-0000B9530000}"/>
    <cellStyle name="Normal 23 2 7 3" xfId="52671" xr:uid="{00000000-0005-0000-0000-0000BA530000}"/>
    <cellStyle name="Normal 23 2 8" xfId="14784" xr:uid="{00000000-0005-0000-0000-0000BB530000}"/>
    <cellStyle name="Normal 23 2 8 2" xfId="52672" xr:uid="{00000000-0005-0000-0000-0000BC530000}"/>
    <cellStyle name="Normal 23 2 9" xfId="14785" xr:uid="{00000000-0005-0000-0000-0000BD530000}"/>
    <cellStyle name="Normal 23 2 9 2" xfId="52673" xr:uid="{00000000-0005-0000-0000-0000BE530000}"/>
    <cellStyle name="Normal 23 20" xfId="14786" xr:uid="{00000000-0005-0000-0000-0000BF530000}"/>
    <cellStyle name="Normal 23 21" xfId="14787" xr:uid="{00000000-0005-0000-0000-0000C0530000}"/>
    <cellStyle name="Normal 23 3" xfId="14788" xr:uid="{00000000-0005-0000-0000-0000C1530000}"/>
    <cellStyle name="Normal 23 3 10" xfId="14789" xr:uid="{00000000-0005-0000-0000-0000C2530000}"/>
    <cellStyle name="Normal 23 3 11" xfId="14790" xr:uid="{00000000-0005-0000-0000-0000C3530000}"/>
    <cellStyle name="Normal 23 3 12" xfId="14791" xr:uid="{00000000-0005-0000-0000-0000C4530000}"/>
    <cellStyle name="Normal 23 3 13" xfId="14792" xr:uid="{00000000-0005-0000-0000-0000C5530000}"/>
    <cellStyle name="Normal 23 3 14" xfId="14793" xr:uid="{00000000-0005-0000-0000-0000C6530000}"/>
    <cellStyle name="Normal 23 3 15" xfId="14794" xr:uid="{00000000-0005-0000-0000-0000C7530000}"/>
    <cellStyle name="Normal 23 3 16" xfId="14795" xr:uid="{00000000-0005-0000-0000-0000C8530000}"/>
    <cellStyle name="Normal 23 3 17" xfId="14796" xr:uid="{00000000-0005-0000-0000-0000C9530000}"/>
    <cellStyle name="Normal 23 3 2" xfId="14797" xr:uid="{00000000-0005-0000-0000-0000CA530000}"/>
    <cellStyle name="Normal 23 3 2 10" xfId="14798" xr:uid="{00000000-0005-0000-0000-0000CB530000}"/>
    <cellStyle name="Normal 23 3 2 11" xfId="14799" xr:uid="{00000000-0005-0000-0000-0000CC530000}"/>
    <cellStyle name="Normal 23 3 2 12" xfId="14800" xr:uid="{00000000-0005-0000-0000-0000CD530000}"/>
    <cellStyle name="Normal 23 3 2 13" xfId="14801" xr:uid="{00000000-0005-0000-0000-0000CE530000}"/>
    <cellStyle name="Normal 23 3 2 14" xfId="14802" xr:uid="{00000000-0005-0000-0000-0000CF530000}"/>
    <cellStyle name="Normal 23 3 2 15" xfId="14803" xr:uid="{00000000-0005-0000-0000-0000D0530000}"/>
    <cellStyle name="Normal 23 3 2 2" xfId="14804" xr:uid="{00000000-0005-0000-0000-0000D1530000}"/>
    <cellStyle name="Normal 23 3 2 2 2" xfId="14805" xr:uid="{00000000-0005-0000-0000-0000D2530000}"/>
    <cellStyle name="Normal 23 3 2 2 2 2" xfId="14806" xr:uid="{00000000-0005-0000-0000-0000D3530000}"/>
    <cellStyle name="Normal 23 3 2 2 2 2 2" xfId="14807" xr:uid="{00000000-0005-0000-0000-0000D4530000}"/>
    <cellStyle name="Normal 23 3 2 2 2 2 2 2" xfId="52674" xr:uid="{00000000-0005-0000-0000-0000D5530000}"/>
    <cellStyle name="Normal 23 3 2 2 2 2 2 3" xfId="52675" xr:uid="{00000000-0005-0000-0000-0000D6530000}"/>
    <cellStyle name="Normal 23 3 2 2 2 2 3" xfId="14808" xr:uid="{00000000-0005-0000-0000-0000D7530000}"/>
    <cellStyle name="Normal 23 3 2 2 2 2 3 2" xfId="52676" xr:uid="{00000000-0005-0000-0000-0000D8530000}"/>
    <cellStyle name="Normal 23 3 2 2 2 2 4" xfId="14809" xr:uid="{00000000-0005-0000-0000-0000D9530000}"/>
    <cellStyle name="Normal 23 3 2 2 2 2 5" xfId="14810" xr:uid="{00000000-0005-0000-0000-0000DA530000}"/>
    <cellStyle name="Normal 23 3 2 2 2 2 6" xfId="14811" xr:uid="{00000000-0005-0000-0000-0000DB530000}"/>
    <cellStyle name="Normal 23 3 2 2 2 3" xfId="14812" xr:uid="{00000000-0005-0000-0000-0000DC530000}"/>
    <cellStyle name="Normal 23 3 2 2 2 3 2" xfId="52677" xr:uid="{00000000-0005-0000-0000-0000DD530000}"/>
    <cellStyle name="Normal 23 3 2 2 2 3 3" xfId="52678" xr:uid="{00000000-0005-0000-0000-0000DE530000}"/>
    <cellStyle name="Normal 23 3 2 2 2 4" xfId="14813" xr:uid="{00000000-0005-0000-0000-0000DF530000}"/>
    <cellStyle name="Normal 23 3 2 2 2 4 2" xfId="52679" xr:uid="{00000000-0005-0000-0000-0000E0530000}"/>
    <cellStyle name="Normal 23 3 2 2 2 5" xfId="14814" xr:uid="{00000000-0005-0000-0000-0000E1530000}"/>
    <cellStyle name="Normal 23 3 2 2 2 6" xfId="14815" xr:uid="{00000000-0005-0000-0000-0000E2530000}"/>
    <cellStyle name="Normal 23 3 2 2 2 7" xfId="14816" xr:uid="{00000000-0005-0000-0000-0000E3530000}"/>
    <cellStyle name="Normal 23 3 2 2 3" xfId="14817" xr:uid="{00000000-0005-0000-0000-0000E4530000}"/>
    <cellStyle name="Normal 23 3 2 2 3 2" xfId="14818" xr:uid="{00000000-0005-0000-0000-0000E5530000}"/>
    <cellStyle name="Normal 23 3 2 2 3 2 2" xfId="52680" xr:uid="{00000000-0005-0000-0000-0000E6530000}"/>
    <cellStyle name="Normal 23 3 2 2 3 2 3" xfId="52681" xr:uid="{00000000-0005-0000-0000-0000E7530000}"/>
    <cellStyle name="Normal 23 3 2 2 3 3" xfId="14819" xr:uid="{00000000-0005-0000-0000-0000E8530000}"/>
    <cellStyle name="Normal 23 3 2 2 3 3 2" xfId="52682" xr:uid="{00000000-0005-0000-0000-0000E9530000}"/>
    <cellStyle name="Normal 23 3 2 2 3 4" xfId="14820" xr:uid="{00000000-0005-0000-0000-0000EA530000}"/>
    <cellStyle name="Normal 23 3 2 2 3 5" xfId="14821" xr:uid="{00000000-0005-0000-0000-0000EB530000}"/>
    <cellStyle name="Normal 23 3 2 2 3 6" xfId="14822" xr:uid="{00000000-0005-0000-0000-0000EC530000}"/>
    <cellStyle name="Normal 23 3 2 2 4" xfId="14823" xr:uid="{00000000-0005-0000-0000-0000ED530000}"/>
    <cellStyle name="Normal 23 3 2 2 4 2" xfId="52683" xr:uid="{00000000-0005-0000-0000-0000EE530000}"/>
    <cellStyle name="Normal 23 3 2 2 4 3" xfId="52684" xr:uid="{00000000-0005-0000-0000-0000EF530000}"/>
    <cellStyle name="Normal 23 3 2 2 5" xfId="14824" xr:uid="{00000000-0005-0000-0000-0000F0530000}"/>
    <cellStyle name="Normal 23 3 2 2 5 2" xfId="52685" xr:uid="{00000000-0005-0000-0000-0000F1530000}"/>
    <cellStyle name="Normal 23 3 2 2 6" xfId="14825" xr:uid="{00000000-0005-0000-0000-0000F2530000}"/>
    <cellStyle name="Normal 23 3 2 2 7" xfId="14826" xr:uid="{00000000-0005-0000-0000-0000F3530000}"/>
    <cellStyle name="Normal 23 3 2 2 8" xfId="14827" xr:uid="{00000000-0005-0000-0000-0000F4530000}"/>
    <cellStyle name="Normal 23 3 2 2 9" xfId="14828" xr:uid="{00000000-0005-0000-0000-0000F5530000}"/>
    <cellStyle name="Normal 23 3 2 3" xfId="14829" xr:uid="{00000000-0005-0000-0000-0000F6530000}"/>
    <cellStyle name="Normal 23 3 2 3 2" xfId="14830" xr:uid="{00000000-0005-0000-0000-0000F7530000}"/>
    <cellStyle name="Normal 23 3 2 3 2 2" xfId="14831" xr:uid="{00000000-0005-0000-0000-0000F8530000}"/>
    <cellStyle name="Normal 23 3 2 3 2 2 2" xfId="14832" xr:uid="{00000000-0005-0000-0000-0000F9530000}"/>
    <cellStyle name="Normal 23 3 2 3 2 2 2 2" xfId="52686" xr:uid="{00000000-0005-0000-0000-0000FA530000}"/>
    <cellStyle name="Normal 23 3 2 3 2 2 2 3" xfId="52687" xr:uid="{00000000-0005-0000-0000-0000FB530000}"/>
    <cellStyle name="Normal 23 3 2 3 2 2 3" xfId="14833" xr:uid="{00000000-0005-0000-0000-0000FC530000}"/>
    <cellStyle name="Normal 23 3 2 3 2 2 3 2" xfId="52688" xr:uid="{00000000-0005-0000-0000-0000FD530000}"/>
    <cellStyle name="Normal 23 3 2 3 2 2 4" xfId="14834" xr:uid="{00000000-0005-0000-0000-0000FE530000}"/>
    <cellStyle name="Normal 23 3 2 3 2 2 5" xfId="14835" xr:uid="{00000000-0005-0000-0000-0000FF530000}"/>
    <cellStyle name="Normal 23 3 2 3 2 2 6" xfId="14836" xr:uid="{00000000-0005-0000-0000-000000540000}"/>
    <cellStyle name="Normal 23 3 2 3 2 3" xfId="14837" xr:uid="{00000000-0005-0000-0000-000001540000}"/>
    <cellStyle name="Normal 23 3 2 3 2 3 2" xfId="52689" xr:uid="{00000000-0005-0000-0000-000002540000}"/>
    <cellStyle name="Normal 23 3 2 3 2 3 3" xfId="52690" xr:uid="{00000000-0005-0000-0000-000003540000}"/>
    <cellStyle name="Normal 23 3 2 3 2 4" xfId="14838" xr:uid="{00000000-0005-0000-0000-000004540000}"/>
    <cellStyle name="Normal 23 3 2 3 2 4 2" xfId="52691" xr:uid="{00000000-0005-0000-0000-000005540000}"/>
    <cellStyle name="Normal 23 3 2 3 2 5" xfId="14839" xr:uid="{00000000-0005-0000-0000-000006540000}"/>
    <cellStyle name="Normal 23 3 2 3 2 6" xfId="14840" xr:uid="{00000000-0005-0000-0000-000007540000}"/>
    <cellStyle name="Normal 23 3 2 3 2 7" xfId="14841" xr:uid="{00000000-0005-0000-0000-000008540000}"/>
    <cellStyle name="Normal 23 3 2 3 3" xfId="14842" xr:uid="{00000000-0005-0000-0000-000009540000}"/>
    <cellStyle name="Normal 23 3 2 3 3 2" xfId="14843" xr:uid="{00000000-0005-0000-0000-00000A540000}"/>
    <cellStyle name="Normal 23 3 2 3 3 2 2" xfId="52692" xr:uid="{00000000-0005-0000-0000-00000B540000}"/>
    <cellStyle name="Normal 23 3 2 3 3 2 3" xfId="52693" xr:uid="{00000000-0005-0000-0000-00000C540000}"/>
    <cellStyle name="Normal 23 3 2 3 3 3" xfId="14844" xr:uid="{00000000-0005-0000-0000-00000D540000}"/>
    <cellStyle name="Normal 23 3 2 3 3 3 2" xfId="52694" xr:uid="{00000000-0005-0000-0000-00000E540000}"/>
    <cellStyle name="Normal 23 3 2 3 3 4" xfId="14845" xr:uid="{00000000-0005-0000-0000-00000F540000}"/>
    <cellStyle name="Normal 23 3 2 3 3 5" xfId="14846" xr:uid="{00000000-0005-0000-0000-000010540000}"/>
    <cellStyle name="Normal 23 3 2 3 3 6" xfId="14847" xr:uid="{00000000-0005-0000-0000-000011540000}"/>
    <cellStyle name="Normal 23 3 2 3 4" xfId="14848" xr:uid="{00000000-0005-0000-0000-000012540000}"/>
    <cellStyle name="Normal 23 3 2 3 4 2" xfId="52695" xr:uid="{00000000-0005-0000-0000-000013540000}"/>
    <cellStyle name="Normal 23 3 2 3 4 3" xfId="52696" xr:uid="{00000000-0005-0000-0000-000014540000}"/>
    <cellStyle name="Normal 23 3 2 3 5" xfId="14849" xr:uid="{00000000-0005-0000-0000-000015540000}"/>
    <cellStyle name="Normal 23 3 2 3 5 2" xfId="52697" xr:uid="{00000000-0005-0000-0000-000016540000}"/>
    <cellStyle name="Normal 23 3 2 3 6" xfId="14850" xr:uid="{00000000-0005-0000-0000-000017540000}"/>
    <cellStyle name="Normal 23 3 2 3 7" xfId="14851" xr:uid="{00000000-0005-0000-0000-000018540000}"/>
    <cellStyle name="Normal 23 3 2 3 8" xfId="14852" xr:uid="{00000000-0005-0000-0000-000019540000}"/>
    <cellStyle name="Normal 23 3 2 4" xfId="14853" xr:uid="{00000000-0005-0000-0000-00001A540000}"/>
    <cellStyle name="Normal 23 3 2 4 2" xfId="14854" xr:uid="{00000000-0005-0000-0000-00001B540000}"/>
    <cellStyle name="Normal 23 3 2 4 2 2" xfId="14855" xr:uid="{00000000-0005-0000-0000-00001C540000}"/>
    <cellStyle name="Normal 23 3 2 4 2 2 2" xfId="52698" xr:uid="{00000000-0005-0000-0000-00001D540000}"/>
    <cellStyle name="Normal 23 3 2 4 2 2 3" xfId="52699" xr:uid="{00000000-0005-0000-0000-00001E540000}"/>
    <cellStyle name="Normal 23 3 2 4 2 3" xfId="14856" xr:uid="{00000000-0005-0000-0000-00001F540000}"/>
    <cellStyle name="Normal 23 3 2 4 2 3 2" xfId="52700" xr:uid="{00000000-0005-0000-0000-000020540000}"/>
    <cellStyle name="Normal 23 3 2 4 2 4" xfId="14857" xr:uid="{00000000-0005-0000-0000-000021540000}"/>
    <cellStyle name="Normal 23 3 2 4 2 5" xfId="14858" xr:uid="{00000000-0005-0000-0000-000022540000}"/>
    <cellStyle name="Normal 23 3 2 4 2 6" xfId="14859" xr:uid="{00000000-0005-0000-0000-000023540000}"/>
    <cellStyle name="Normal 23 3 2 4 3" xfId="14860" xr:uid="{00000000-0005-0000-0000-000024540000}"/>
    <cellStyle name="Normal 23 3 2 4 3 2" xfId="52701" xr:uid="{00000000-0005-0000-0000-000025540000}"/>
    <cellStyle name="Normal 23 3 2 4 3 3" xfId="52702" xr:uid="{00000000-0005-0000-0000-000026540000}"/>
    <cellStyle name="Normal 23 3 2 4 4" xfId="14861" xr:uid="{00000000-0005-0000-0000-000027540000}"/>
    <cellStyle name="Normal 23 3 2 4 4 2" xfId="52703" xr:uid="{00000000-0005-0000-0000-000028540000}"/>
    <cellStyle name="Normal 23 3 2 4 5" xfId="14862" xr:uid="{00000000-0005-0000-0000-000029540000}"/>
    <cellStyle name="Normal 23 3 2 4 6" xfId="14863" xr:uid="{00000000-0005-0000-0000-00002A540000}"/>
    <cellStyle name="Normal 23 3 2 4 7" xfId="14864" xr:uid="{00000000-0005-0000-0000-00002B540000}"/>
    <cellStyle name="Normal 23 3 2 5" xfId="14865" xr:uid="{00000000-0005-0000-0000-00002C540000}"/>
    <cellStyle name="Normal 23 3 2 5 2" xfId="14866" xr:uid="{00000000-0005-0000-0000-00002D540000}"/>
    <cellStyle name="Normal 23 3 2 5 2 2" xfId="52704" xr:uid="{00000000-0005-0000-0000-00002E540000}"/>
    <cellStyle name="Normal 23 3 2 5 2 3" xfId="52705" xr:uid="{00000000-0005-0000-0000-00002F540000}"/>
    <cellStyle name="Normal 23 3 2 5 3" xfId="14867" xr:uid="{00000000-0005-0000-0000-000030540000}"/>
    <cellStyle name="Normal 23 3 2 5 3 2" xfId="52706" xr:uid="{00000000-0005-0000-0000-000031540000}"/>
    <cellStyle name="Normal 23 3 2 5 4" xfId="14868" xr:uid="{00000000-0005-0000-0000-000032540000}"/>
    <cellStyle name="Normal 23 3 2 5 5" xfId="14869" xr:uid="{00000000-0005-0000-0000-000033540000}"/>
    <cellStyle name="Normal 23 3 2 5 6" xfId="14870" xr:uid="{00000000-0005-0000-0000-000034540000}"/>
    <cellStyle name="Normal 23 3 2 6" xfId="14871" xr:uid="{00000000-0005-0000-0000-000035540000}"/>
    <cellStyle name="Normal 23 3 2 6 2" xfId="52707" xr:uid="{00000000-0005-0000-0000-000036540000}"/>
    <cellStyle name="Normal 23 3 2 7" xfId="14872" xr:uid="{00000000-0005-0000-0000-000037540000}"/>
    <cellStyle name="Normal 23 3 2 8" xfId="14873" xr:uid="{00000000-0005-0000-0000-000038540000}"/>
    <cellStyle name="Normal 23 3 2 9" xfId="14874" xr:uid="{00000000-0005-0000-0000-000039540000}"/>
    <cellStyle name="Normal 23 3 3" xfId="14875" xr:uid="{00000000-0005-0000-0000-00003A540000}"/>
    <cellStyle name="Normal 23 3 3 2" xfId="14876" xr:uid="{00000000-0005-0000-0000-00003B540000}"/>
    <cellStyle name="Normal 23 3 3 2 2" xfId="14877" xr:uid="{00000000-0005-0000-0000-00003C540000}"/>
    <cellStyle name="Normal 23 3 3 2 2 2" xfId="14878" xr:uid="{00000000-0005-0000-0000-00003D540000}"/>
    <cellStyle name="Normal 23 3 3 2 2 2 2" xfId="52708" xr:uid="{00000000-0005-0000-0000-00003E540000}"/>
    <cellStyle name="Normal 23 3 3 2 2 2 3" xfId="52709" xr:uid="{00000000-0005-0000-0000-00003F540000}"/>
    <cellStyle name="Normal 23 3 3 2 2 3" xfId="14879" xr:uid="{00000000-0005-0000-0000-000040540000}"/>
    <cellStyle name="Normal 23 3 3 2 2 3 2" xfId="52710" xr:uid="{00000000-0005-0000-0000-000041540000}"/>
    <cellStyle name="Normal 23 3 3 2 2 4" xfId="14880" xr:uid="{00000000-0005-0000-0000-000042540000}"/>
    <cellStyle name="Normal 23 3 3 2 2 5" xfId="14881" xr:uid="{00000000-0005-0000-0000-000043540000}"/>
    <cellStyle name="Normal 23 3 3 2 2 6" xfId="14882" xr:uid="{00000000-0005-0000-0000-000044540000}"/>
    <cellStyle name="Normal 23 3 3 2 3" xfId="14883" xr:uid="{00000000-0005-0000-0000-000045540000}"/>
    <cellStyle name="Normal 23 3 3 2 3 2" xfId="52711" xr:uid="{00000000-0005-0000-0000-000046540000}"/>
    <cellStyle name="Normal 23 3 3 2 3 3" xfId="52712" xr:uid="{00000000-0005-0000-0000-000047540000}"/>
    <cellStyle name="Normal 23 3 3 2 4" xfId="14884" xr:uid="{00000000-0005-0000-0000-000048540000}"/>
    <cellStyle name="Normal 23 3 3 2 4 2" xfId="52713" xr:uid="{00000000-0005-0000-0000-000049540000}"/>
    <cellStyle name="Normal 23 3 3 2 5" xfId="14885" xr:uid="{00000000-0005-0000-0000-00004A540000}"/>
    <cellStyle name="Normal 23 3 3 2 6" xfId="14886" xr:uid="{00000000-0005-0000-0000-00004B540000}"/>
    <cellStyle name="Normal 23 3 3 2 7" xfId="14887" xr:uid="{00000000-0005-0000-0000-00004C540000}"/>
    <cellStyle name="Normal 23 3 3 3" xfId="14888" xr:uid="{00000000-0005-0000-0000-00004D540000}"/>
    <cellStyle name="Normal 23 3 3 3 2" xfId="14889" xr:uid="{00000000-0005-0000-0000-00004E540000}"/>
    <cellStyle name="Normal 23 3 3 3 2 2" xfId="52714" xr:uid="{00000000-0005-0000-0000-00004F540000}"/>
    <cellStyle name="Normal 23 3 3 3 2 3" xfId="52715" xr:uid="{00000000-0005-0000-0000-000050540000}"/>
    <cellStyle name="Normal 23 3 3 3 3" xfId="14890" xr:uid="{00000000-0005-0000-0000-000051540000}"/>
    <cellStyle name="Normal 23 3 3 3 3 2" xfId="52716" xr:uid="{00000000-0005-0000-0000-000052540000}"/>
    <cellStyle name="Normal 23 3 3 3 4" xfId="14891" xr:uid="{00000000-0005-0000-0000-000053540000}"/>
    <cellStyle name="Normal 23 3 3 3 5" xfId="14892" xr:uid="{00000000-0005-0000-0000-000054540000}"/>
    <cellStyle name="Normal 23 3 3 3 6" xfId="14893" xr:uid="{00000000-0005-0000-0000-000055540000}"/>
    <cellStyle name="Normal 23 3 3 4" xfId="14894" xr:uid="{00000000-0005-0000-0000-000056540000}"/>
    <cellStyle name="Normal 23 3 3 4 2" xfId="52717" xr:uid="{00000000-0005-0000-0000-000057540000}"/>
    <cellStyle name="Normal 23 3 3 4 3" xfId="52718" xr:uid="{00000000-0005-0000-0000-000058540000}"/>
    <cellStyle name="Normal 23 3 3 5" xfId="14895" xr:uid="{00000000-0005-0000-0000-000059540000}"/>
    <cellStyle name="Normal 23 3 3 5 2" xfId="52719" xr:uid="{00000000-0005-0000-0000-00005A540000}"/>
    <cellStyle name="Normal 23 3 3 6" xfId="14896" xr:uid="{00000000-0005-0000-0000-00005B540000}"/>
    <cellStyle name="Normal 23 3 3 7" xfId="14897" xr:uid="{00000000-0005-0000-0000-00005C540000}"/>
    <cellStyle name="Normal 23 3 3 8" xfId="14898" xr:uid="{00000000-0005-0000-0000-00005D540000}"/>
    <cellStyle name="Normal 23 3 3 9" xfId="14899" xr:uid="{00000000-0005-0000-0000-00005E540000}"/>
    <cellStyle name="Normal 23 3 4" xfId="14900" xr:uid="{00000000-0005-0000-0000-00005F540000}"/>
    <cellStyle name="Normal 23 3 4 2" xfId="14901" xr:uid="{00000000-0005-0000-0000-000060540000}"/>
    <cellStyle name="Normal 23 3 4 2 2" xfId="14902" xr:uid="{00000000-0005-0000-0000-000061540000}"/>
    <cellStyle name="Normal 23 3 4 2 2 2" xfId="14903" xr:uid="{00000000-0005-0000-0000-000062540000}"/>
    <cellStyle name="Normal 23 3 4 2 2 2 2" xfId="52720" xr:uid="{00000000-0005-0000-0000-000063540000}"/>
    <cellStyle name="Normal 23 3 4 2 2 2 3" xfId="52721" xr:uid="{00000000-0005-0000-0000-000064540000}"/>
    <cellStyle name="Normal 23 3 4 2 2 3" xfId="14904" xr:uid="{00000000-0005-0000-0000-000065540000}"/>
    <cellStyle name="Normal 23 3 4 2 2 3 2" xfId="52722" xr:uid="{00000000-0005-0000-0000-000066540000}"/>
    <cellStyle name="Normal 23 3 4 2 2 4" xfId="14905" xr:uid="{00000000-0005-0000-0000-000067540000}"/>
    <cellStyle name="Normal 23 3 4 2 2 5" xfId="14906" xr:uid="{00000000-0005-0000-0000-000068540000}"/>
    <cellStyle name="Normal 23 3 4 2 2 6" xfId="14907" xr:uid="{00000000-0005-0000-0000-000069540000}"/>
    <cellStyle name="Normal 23 3 4 2 3" xfId="14908" xr:uid="{00000000-0005-0000-0000-00006A540000}"/>
    <cellStyle name="Normal 23 3 4 2 3 2" xfId="52723" xr:uid="{00000000-0005-0000-0000-00006B540000}"/>
    <cellStyle name="Normal 23 3 4 2 3 3" xfId="52724" xr:uid="{00000000-0005-0000-0000-00006C540000}"/>
    <cellStyle name="Normal 23 3 4 2 4" xfId="14909" xr:uid="{00000000-0005-0000-0000-00006D540000}"/>
    <cellStyle name="Normal 23 3 4 2 4 2" xfId="52725" xr:uid="{00000000-0005-0000-0000-00006E540000}"/>
    <cellStyle name="Normal 23 3 4 2 5" xfId="14910" xr:uid="{00000000-0005-0000-0000-00006F540000}"/>
    <cellStyle name="Normal 23 3 4 2 6" xfId="14911" xr:uid="{00000000-0005-0000-0000-000070540000}"/>
    <cellStyle name="Normal 23 3 4 2 7" xfId="14912" xr:uid="{00000000-0005-0000-0000-000071540000}"/>
    <cellStyle name="Normal 23 3 4 3" xfId="14913" xr:uid="{00000000-0005-0000-0000-000072540000}"/>
    <cellStyle name="Normal 23 3 4 3 2" xfId="14914" xr:uid="{00000000-0005-0000-0000-000073540000}"/>
    <cellStyle name="Normal 23 3 4 3 2 2" xfId="52726" xr:uid="{00000000-0005-0000-0000-000074540000}"/>
    <cellStyle name="Normal 23 3 4 3 2 3" xfId="52727" xr:uid="{00000000-0005-0000-0000-000075540000}"/>
    <cellStyle name="Normal 23 3 4 3 3" xfId="14915" xr:uid="{00000000-0005-0000-0000-000076540000}"/>
    <cellStyle name="Normal 23 3 4 3 3 2" xfId="52728" xr:uid="{00000000-0005-0000-0000-000077540000}"/>
    <cellStyle name="Normal 23 3 4 3 4" xfId="14916" xr:uid="{00000000-0005-0000-0000-000078540000}"/>
    <cellStyle name="Normal 23 3 4 3 5" xfId="14917" xr:uid="{00000000-0005-0000-0000-000079540000}"/>
    <cellStyle name="Normal 23 3 4 3 6" xfId="14918" xr:uid="{00000000-0005-0000-0000-00007A540000}"/>
    <cellStyle name="Normal 23 3 4 4" xfId="14919" xr:uid="{00000000-0005-0000-0000-00007B540000}"/>
    <cellStyle name="Normal 23 3 4 4 2" xfId="52729" xr:uid="{00000000-0005-0000-0000-00007C540000}"/>
    <cellStyle name="Normal 23 3 4 4 3" xfId="52730" xr:uid="{00000000-0005-0000-0000-00007D540000}"/>
    <cellStyle name="Normal 23 3 4 5" xfId="14920" xr:uid="{00000000-0005-0000-0000-00007E540000}"/>
    <cellStyle name="Normal 23 3 4 5 2" xfId="52731" xr:uid="{00000000-0005-0000-0000-00007F540000}"/>
    <cellStyle name="Normal 23 3 4 6" xfId="14921" xr:uid="{00000000-0005-0000-0000-000080540000}"/>
    <cellStyle name="Normal 23 3 4 7" xfId="14922" xr:uid="{00000000-0005-0000-0000-000081540000}"/>
    <cellStyle name="Normal 23 3 4 8" xfId="14923" xr:uid="{00000000-0005-0000-0000-000082540000}"/>
    <cellStyle name="Normal 23 3 5" xfId="14924" xr:uid="{00000000-0005-0000-0000-000083540000}"/>
    <cellStyle name="Normal 23 3 5 2" xfId="14925" xr:uid="{00000000-0005-0000-0000-000084540000}"/>
    <cellStyle name="Normal 23 3 5 2 2" xfId="14926" xr:uid="{00000000-0005-0000-0000-000085540000}"/>
    <cellStyle name="Normal 23 3 5 2 2 2" xfId="52732" xr:uid="{00000000-0005-0000-0000-000086540000}"/>
    <cellStyle name="Normal 23 3 5 2 2 3" xfId="52733" xr:uid="{00000000-0005-0000-0000-000087540000}"/>
    <cellStyle name="Normal 23 3 5 2 3" xfId="14927" xr:uid="{00000000-0005-0000-0000-000088540000}"/>
    <cellStyle name="Normal 23 3 5 2 3 2" xfId="52734" xr:uid="{00000000-0005-0000-0000-000089540000}"/>
    <cellStyle name="Normal 23 3 5 2 4" xfId="14928" xr:uid="{00000000-0005-0000-0000-00008A540000}"/>
    <cellStyle name="Normal 23 3 5 2 5" xfId="14929" xr:uid="{00000000-0005-0000-0000-00008B540000}"/>
    <cellStyle name="Normal 23 3 5 2 6" xfId="14930" xr:uid="{00000000-0005-0000-0000-00008C540000}"/>
    <cellStyle name="Normal 23 3 5 3" xfId="14931" xr:uid="{00000000-0005-0000-0000-00008D540000}"/>
    <cellStyle name="Normal 23 3 5 3 2" xfId="52735" xr:uid="{00000000-0005-0000-0000-00008E540000}"/>
    <cellStyle name="Normal 23 3 5 3 3" xfId="52736" xr:uid="{00000000-0005-0000-0000-00008F540000}"/>
    <cellStyle name="Normal 23 3 5 4" xfId="14932" xr:uid="{00000000-0005-0000-0000-000090540000}"/>
    <cellStyle name="Normal 23 3 5 4 2" xfId="52737" xr:uid="{00000000-0005-0000-0000-000091540000}"/>
    <cellStyle name="Normal 23 3 5 5" xfId="14933" xr:uid="{00000000-0005-0000-0000-000092540000}"/>
    <cellStyle name="Normal 23 3 5 6" xfId="14934" xr:uid="{00000000-0005-0000-0000-000093540000}"/>
    <cellStyle name="Normal 23 3 5 7" xfId="14935" xr:uid="{00000000-0005-0000-0000-000094540000}"/>
    <cellStyle name="Normal 23 3 6" xfId="14936" xr:uid="{00000000-0005-0000-0000-000095540000}"/>
    <cellStyle name="Normal 23 3 6 2" xfId="14937" xr:uid="{00000000-0005-0000-0000-000096540000}"/>
    <cellStyle name="Normal 23 3 6 2 2" xfId="52738" xr:uid="{00000000-0005-0000-0000-000097540000}"/>
    <cellStyle name="Normal 23 3 6 2 3" xfId="52739" xr:uid="{00000000-0005-0000-0000-000098540000}"/>
    <cellStyle name="Normal 23 3 6 3" xfId="14938" xr:uid="{00000000-0005-0000-0000-000099540000}"/>
    <cellStyle name="Normal 23 3 6 3 2" xfId="52740" xr:uid="{00000000-0005-0000-0000-00009A540000}"/>
    <cellStyle name="Normal 23 3 6 4" xfId="14939" xr:uid="{00000000-0005-0000-0000-00009B540000}"/>
    <cellStyle name="Normal 23 3 6 5" xfId="14940" xr:uid="{00000000-0005-0000-0000-00009C540000}"/>
    <cellStyle name="Normal 23 3 6 6" xfId="14941" xr:uid="{00000000-0005-0000-0000-00009D540000}"/>
    <cellStyle name="Normal 23 3 7" xfId="14942" xr:uid="{00000000-0005-0000-0000-00009E540000}"/>
    <cellStyle name="Normal 23 3 7 2" xfId="52741" xr:uid="{00000000-0005-0000-0000-00009F540000}"/>
    <cellStyle name="Normal 23 3 8" xfId="14943" xr:uid="{00000000-0005-0000-0000-0000A0540000}"/>
    <cellStyle name="Normal 23 3 9" xfId="14944" xr:uid="{00000000-0005-0000-0000-0000A1540000}"/>
    <cellStyle name="Normal 23 4" xfId="14945" xr:uid="{00000000-0005-0000-0000-0000A2540000}"/>
    <cellStyle name="Normal 23 4 10" xfId="14946" xr:uid="{00000000-0005-0000-0000-0000A3540000}"/>
    <cellStyle name="Normal 23 4 11" xfId="14947" xr:uid="{00000000-0005-0000-0000-0000A4540000}"/>
    <cellStyle name="Normal 23 4 12" xfId="14948" xr:uid="{00000000-0005-0000-0000-0000A5540000}"/>
    <cellStyle name="Normal 23 4 13" xfId="14949" xr:uid="{00000000-0005-0000-0000-0000A6540000}"/>
    <cellStyle name="Normal 23 4 14" xfId="14950" xr:uid="{00000000-0005-0000-0000-0000A7540000}"/>
    <cellStyle name="Normal 23 4 15" xfId="14951" xr:uid="{00000000-0005-0000-0000-0000A8540000}"/>
    <cellStyle name="Normal 23 4 16" xfId="14952" xr:uid="{00000000-0005-0000-0000-0000A9540000}"/>
    <cellStyle name="Normal 23 4 2" xfId="14953" xr:uid="{00000000-0005-0000-0000-0000AA540000}"/>
    <cellStyle name="Normal 23 4 2 10" xfId="14954" xr:uid="{00000000-0005-0000-0000-0000AB540000}"/>
    <cellStyle name="Normal 23 4 2 2" xfId="14955" xr:uid="{00000000-0005-0000-0000-0000AC540000}"/>
    <cellStyle name="Normal 23 4 2 2 2" xfId="14956" xr:uid="{00000000-0005-0000-0000-0000AD540000}"/>
    <cellStyle name="Normal 23 4 2 2 2 2" xfId="14957" xr:uid="{00000000-0005-0000-0000-0000AE540000}"/>
    <cellStyle name="Normal 23 4 2 2 2 2 2" xfId="52742" xr:uid="{00000000-0005-0000-0000-0000AF540000}"/>
    <cellStyle name="Normal 23 4 2 2 2 2 3" xfId="52743" xr:uid="{00000000-0005-0000-0000-0000B0540000}"/>
    <cellStyle name="Normal 23 4 2 2 2 3" xfId="14958" xr:uid="{00000000-0005-0000-0000-0000B1540000}"/>
    <cellStyle name="Normal 23 4 2 2 2 3 2" xfId="52744" xr:uid="{00000000-0005-0000-0000-0000B2540000}"/>
    <cellStyle name="Normal 23 4 2 2 2 4" xfId="14959" xr:uid="{00000000-0005-0000-0000-0000B3540000}"/>
    <cellStyle name="Normal 23 4 2 2 2 5" xfId="14960" xr:uid="{00000000-0005-0000-0000-0000B4540000}"/>
    <cellStyle name="Normal 23 4 2 2 2 6" xfId="14961" xr:uid="{00000000-0005-0000-0000-0000B5540000}"/>
    <cellStyle name="Normal 23 4 2 2 3" xfId="14962" xr:uid="{00000000-0005-0000-0000-0000B6540000}"/>
    <cellStyle name="Normal 23 4 2 2 3 2" xfId="52745" xr:uid="{00000000-0005-0000-0000-0000B7540000}"/>
    <cellStyle name="Normal 23 4 2 2 3 3" xfId="52746" xr:uid="{00000000-0005-0000-0000-0000B8540000}"/>
    <cellStyle name="Normal 23 4 2 2 4" xfId="14963" xr:uid="{00000000-0005-0000-0000-0000B9540000}"/>
    <cellStyle name="Normal 23 4 2 2 4 2" xfId="52747" xr:uid="{00000000-0005-0000-0000-0000BA540000}"/>
    <cellStyle name="Normal 23 4 2 2 5" xfId="14964" xr:uid="{00000000-0005-0000-0000-0000BB540000}"/>
    <cellStyle name="Normal 23 4 2 2 6" xfId="14965" xr:uid="{00000000-0005-0000-0000-0000BC540000}"/>
    <cellStyle name="Normal 23 4 2 2 7" xfId="14966" xr:uid="{00000000-0005-0000-0000-0000BD540000}"/>
    <cellStyle name="Normal 23 4 2 3" xfId="14967" xr:uid="{00000000-0005-0000-0000-0000BE540000}"/>
    <cellStyle name="Normal 23 4 2 3 2" xfId="14968" xr:uid="{00000000-0005-0000-0000-0000BF540000}"/>
    <cellStyle name="Normal 23 4 2 3 2 2" xfId="52748" xr:uid="{00000000-0005-0000-0000-0000C0540000}"/>
    <cellStyle name="Normal 23 4 2 3 2 3" xfId="52749" xr:uid="{00000000-0005-0000-0000-0000C1540000}"/>
    <cellStyle name="Normal 23 4 2 3 3" xfId="14969" xr:uid="{00000000-0005-0000-0000-0000C2540000}"/>
    <cellStyle name="Normal 23 4 2 3 3 2" xfId="52750" xr:uid="{00000000-0005-0000-0000-0000C3540000}"/>
    <cellStyle name="Normal 23 4 2 3 4" xfId="14970" xr:uid="{00000000-0005-0000-0000-0000C4540000}"/>
    <cellStyle name="Normal 23 4 2 3 5" xfId="14971" xr:uid="{00000000-0005-0000-0000-0000C5540000}"/>
    <cellStyle name="Normal 23 4 2 3 6" xfId="14972" xr:uid="{00000000-0005-0000-0000-0000C6540000}"/>
    <cellStyle name="Normal 23 4 2 4" xfId="14973" xr:uid="{00000000-0005-0000-0000-0000C7540000}"/>
    <cellStyle name="Normal 23 4 2 4 2" xfId="52751" xr:uid="{00000000-0005-0000-0000-0000C8540000}"/>
    <cellStyle name="Normal 23 4 2 5" xfId="14974" xr:uid="{00000000-0005-0000-0000-0000C9540000}"/>
    <cellStyle name="Normal 23 4 2 6" xfId="14975" xr:uid="{00000000-0005-0000-0000-0000CA540000}"/>
    <cellStyle name="Normal 23 4 2 7" xfId="14976" xr:uid="{00000000-0005-0000-0000-0000CB540000}"/>
    <cellStyle name="Normal 23 4 2 8" xfId="14977" xr:uid="{00000000-0005-0000-0000-0000CC540000}"/>
    <cellStyle name="Normal 23 4 2 9" xfId="14978" xr:uid="{00000000-0005-0000-0000-0000CD540000}"/>
    <cellStyle name="Normal 23 4 3" xfId="14979" xr:uid="{00000000-0005-0000-0000-0000CE540000}"/>
    <cellStyle name="Normal 23 4 3 2" xfId="14980" xr:uid="{00000000-0005-0000-0000-0000CF540000}"/>
    <cellStyle name="Normal 23 4 3 2 2" xfId="14981" xr:uid="{00000000-0005-0000-0000-0000D0540000}"/>
    <cellStyle name="Normal 23 4 3 2 2 2" xfId="14982" xr:uid="{00000000-0005-0000-0000-0000D1540000}"/>
    <cellStyle name="Normal 23 4 3 2 2 2 2" xfId="52752" xr:uid="{00000000-0005-0000-0000-0000D2540000}"/>
    <cellStyle name="Normal 23 4 3 2 2 2 3" xfId="52753" xr:uid="{00000000-0005-0000-0000-0000D3540000}"/>
    <cellStyle name="Normal 23 4 3 2 2 3" xfId="14983" xr:uid="{00000000-0005-0000-0000-0000D4540000}"/>
    <cellStyle name="Normal 23 4 3 2 2 3 2" xfId="52754" xr:uid="{00000000-0005-0000-0000-0000D5540000}"/>
    <cellStyle name="Normal 23 4 3 2 2 4" xfId="14984" xr:uid="{00000000-0005-0000-0000-0000D6540000}"/>
    <cellStyle name="Normal 23 4 3 2 2 5" xfId="14985" xr:uid="{00000000-0005-0000-0000-0000D7540000}"/>
    <cellStyle name="Normal 23 4 3 2 2 6" xfId="14986" xr:uid="{00000000-0005-0000-0000-0000D8540000}"/>
    <cellStyle name="Normal 23 4 3 2 3" xfId="14987" xr:uid="{00000000-0005-0000-0000-0000D9540000}"/>
    <cellStyle name="Normal 23 4 3 2 3 2" xfId="52755" xr:uid="{00000000-0005-0000-0000-0000DA540000}"/>
    <cellStyle name="Normal 23 4 3 2 3 3" xfId="52756" xr:uid="{00000000-0005-0000-0000-0000DB540000}"/>
    <cellStyle name="Normal 23 4 3 2 4" xfId="14988" xr:uid="{00000000-0005-0000-0000-0000DC540000}"/>
    <cellStyle name="Normal 23 4 3 2 4 2" xfId="52757" xr:uid="{00000000-0005-0000-0000-0000DD540000}"/>
    <cellStyle name="Normal 23 4 3 2 5" xfId="14989" xr:uid="{00000000-0005-0000-0000-0000DE540000}"/>
    <cellStyle name="Normal 23 4 3 2 6" xfId="14990" xr:uid="{00000000-0005-0000-0000-0000DF540000}"/>
    <cellStyle name="Normal 23 4 3 2 7" xfId="14991" xr:uid="{00000000-0005-0000-0000-0000E0540000}"/>
    <cellStyle name="Normal 23 4 3 3" xfId="14992" xr:uid="{00000000-0005-0000-0000-0000E1540000}"/>
    <cellStyle name="Normal 23 4 3 3 2" xfId="14993" xr:uid="{00000000-0005-0000-0000-0000E2540000}"/>
    <cellStyle name="Normal 23 4 3 3 2 2" xfId="52758" xr:uid="{00000000-0005-0000-0000-0000E3540000}"/>
    <cellStyle name="Normal 23 4 3 3 2 3" xfId="52759" xr:uid="{00000000-0005-0000-0000-0000E4540000}"/>
    <cellStyle name="Normal 23 4 3 3 3" xfId="14994" xr:uid="{00000000-0005-0000-0000-0000E5540000}"/>
    <cellStyle name="Normal 23 4 3 3 3 2" xfId="52760" xr:uid="{00000000-0005-0000-0000-0000E6540000}"/>
    <cellStyle name="Normal 23 4 3 3 4" xfId="14995" xr:uid="{00000000-0005-0000-0000-0000E7540000}"/>
    <cellStyle name="Normal 23 4 3 3 5" xfId="14996" xr:uid="{00000000-0005-0000-0000-0000E8540000}"/>
    <cellStyle name="Normal 23 4 3 3 6" xfId="14997" xr:uid="{00000000-0005-0000-0000-0000E9540000}"/>
    <cellStyle name="Normal 23 4 3 4" xfId="14998" xr:uid="{00000000-0005-0000-0000-0000EA540000}"/>
    <cellStyle name="Normal 23 4 3 4 2" xfId="52761" xr:uid="{00000000-0005-0000-0000-0000EB540000}"/>
    <cellStyle name="Normal 23 4 3 4 3" xfId="52762" xr:uid="{00000000-0005-0000-0000-0000EC540000}"/>
    <cellStyle name="Normal 23 4 3 5" xfId="14999" xr:uid="{00000000-0005-0000-0000-0000ED540000}"/>
    <cellStyle name="Normal 23 4 3 5 2" xfId="52763" xr:uid="{00000000-0005-0000-0000-0000EE540000}"/>
    <cellStyle name="Normal 23 4 3 6" xfId="15000" xr:uid="{00000000-0005-0000-0000-0000EF540000}"/>
    <cellStyle name="Normal 23 4 3 7" xfId="15001" xr:uid="{00000000-0005-0000-0000-0000F0540000}"/>
    <cellStyle name="Normal 23 4 3 8" xfId="15002" xr:uid="{00000000-0005-0000-0000-0000F1540000}"/>
    <cellStyle name="Normal 23 4 4" xfId="15003" xr:uid="{00000000-0005-0000-0000-0000F2540000}"/>
    <cellStyle name="Normal 23 4 4 2" xfId="15004" xr:uid="{00000000-0005-0000-0000-0000F3540000}"/>
    <cellStyle name="Normal 23 4 4 2 2" xfId="15005" xr:uid="{00000000-0005-0000-0000-0000F4540000}"/>
    <cellStyle name="Normal 23 4 4 2 2 2" xfId="52764" xr:uid="{00000000-0005-0000-0000-0000F5540000}"/>
    <cellStyle name="Normal 23 4 4 2 2 3" xfId="52765" xr:uid="{00000000-0005-0000-0000-0000F6540000}"/>
    <cellStyle name="Normal 23 4 4 2 3" xfId="15006" xr:uid="{00000000-0005-0000-0000-0000F7540000}"/>
    <cellStyle name="Normal 23 4 4 2 3 2" xfId="52766" xr:uid="{00000000-0005-0000-0000-0000F8540000}"/>
    <cellStyle name="Normal 23 4 4 2 4" xfId="15007" xr:uid="{00000000-0005-0000-0000-0000F9540000}"/>
    <cellStyle name="Normal 23 4 4 2 5" xfId="15008" xr:uid="{00000000-0005-0000-0000-0000FA540000}"/>
    <cellStyle name="Normal 23 4 4 2 6" xfId="15009" xr:uid="{00000000-0005-0000-0000-0000FB540000}"/>
    <cellStyle name="Normal 23 4 4 3" xfId="15010" xr:uid="{00000000-0005-0000-0000-0000FC540000}"/>
    <cellStyle name="Normal 23 4 4 3 2" xfId="52767" xr:uid="{00000000-0005-0000-0000-0000FD540000}"/>
    <cellStyle name="Normal 23 4 4 3 3" xfId="52768" xr:uid="{00000000-0005-0000-0000-0000FE540000}"/>
    <cellStyle name="Normal 23 4 4 4" xfId="15011" xr:uid="{00000000-0005-0000-0000-0000FF540000}"/>
    <cellStyle name="Normal 23 4 4 4 2" xfId="52769" xr:uid="{00000000-0005-0000-0000-000000550000}"/>
    <cellStyle name="Normal 23 4 4 5" xfId="15012" xr:uid="{00000000-0005-0000-0000-000001550000}"/>
    <cellStyle name="Normal 23 4 4 6" xfId="15013" xr:uid="{00000000-0005-0000-0000-000002550000}"/>
    <cellStyle name="Normal 23 4 4 7" xfId="15014" xr:uid="{00000000-0005-0000-0000-000003550000}"/>
    <cellStyle name="Normal 23 4 5" xfId="15015" xr:uid="{00000000-0005-0000-0000-000004550000}"/>
    <cellStyle name="Normal 23 4 5 2" xfId="15016" xr:uid="{00000000-0005-0000-0000-000005550000}"/>
    <cellStyle name="Normal 23 4 5 2 2" xfId="52770" xr:uid="{00000000-0005-0000-0000-000006550000}"/>
    <cellStyle name="Normal 23 4 5 2 3" xfId="52771" xr:uid="{00000000-0005-0000-0000-000007550000}"/>
    <cellStyle name="Normal 23 4 5 3" xfId="15017" xr:uid="{00000000-0005-0000-0000-000008550000}"/>
    <cellStyle name="Normal 23 4 5 3 2" xfId="52772" xr:uid="{00000000-0005-0000-0000-000009550000}"/>
    <cellStyle name="Normal 23 4 5 4" xfId="15018" xr:uid="{00000000-0005-0000-0000-00000A550000}"/>
    <cellStyle name="Normal 23 4 5 5" xfId="15019" xr:uid="{00000000-0005-0000-0000-00000B550000}"/>
    <cellStyle name="Normal 23 4 5 6" xfId="15020" xr:uid="{00000000-0005-0000-0000-00000C550000}"/>
    <cellStyle name="Normal 23 4 6" xfId="15021" xr:uid="{00000000-0005-0000-0000-00000D550000}"/>
    <cellStyle name="Normal 23 4 6 2" xfId="52773" xr:uid="{00000000-0005-0000-0000-00000E550000}"/>
    <cellStyle name="Normal 23 4 7" xfId="15022" xr:uid="{00000000-0005-0000-0000-00000F550000}"/>
    <cellStyle name="Normal 23 4 8" xfId="15023" xr:uid="{00000000-0005-0000-0000-000010550000}"/>
    <cellStyle name="Normal 23 4 9" xfId="15024" xr:uid="{00000000-0005-0000-0000-000011550000}"/>
    <cellStyle name="Normal 23 5" xfId="15025" xr:uid="{00000000-0005-0000-0000-000012550000}"/>
    <cellStyle name="Normal 23 5 10" xfId="15026" xr:uid="{00000000-0005-0000-0000-000013550000}"/>
    <cellStyle name="Normal 23 5 11" xfId="15027" xr:uid="{00000000-0005-0000-0000-000014550000}"/>
    <cellStyle name="Normal 23 5 12" xfId="15028" xr:uid="{00000000-0005-0000-0000-000015550000}"/>
    <cellStyle name="Normal 23 5 13" xfId="15029" xr:uid="{00000000-0005-0000-0000-000016550000}"/>
    <cellStyle name="Normal 23 5 14" xfId="15030" xr:uid="{00000000-0005-0000-0000-000017550000}"/>
    <cellStyle name="Normal 23 5 15" xfId="15031" xr:uid="{00000000-0005-0000-0000-000018550000}"/>
    <cellStyle name="Normal 23 5 16" xfId="15032" xr:uid="{00000000-0005-0000-0000-000019550000}"/>
    <cellStyle name="Normal 23 5 2" xfId="15033" xr:uid="{00000000-0005-0000-0000-00001A550000}"/>
    <cellStyle name="Normal 23 5 2 2" xfId="15034" xr:uid="{00000000-0005-0000-0000-00001B550000}"/>
    <cellStyle name="Normal 23 5 2 2 2" xfId="15035" xr:uid="{00000000-0005-0000-0000-00001C550000}"/>
    <cellStyle name="Normal 23 5 2 2 2 2" xfId="15036" xr:uid="{00000000-0005-0000-0000-00001D550000}"/>
    <cellStyle name="Normal 23 5 2 2 2 2 2" xfId="52774" xr:uid="{00000000-0005-0000-0000-00001E550000}"/>
    <cellStyle name="Normal 23 5 2 2 2 2 3" xfId="52775" xr:uid="{00000000-0005-0000-0000-00001F550000}"/>
    <cellStyle name="Normal 23 5 2 2 2 3" xfId="15037" xr:uid="{00000000-0005-0000-0000-000020550000}"/>
    <cellStyle name="Normal 23 5 2 2 2 3 2" xfId="52776" xr:uid="{00000000-0005-0000-0000-000021550000}"/>
    <cellStyle name="Normal 23 5 2 2 2 4" xfId="15038" xr:uid="{00000000-0005-0000-0000-000022550000}"/>
    <cellStyle name="Normal 23 5 2 2 2 5" xfId="15039" xr:uid="{00000000-0005-0000-0000-000023550000}"/>
    <cellStyle name="Normal 23 5 2 2 2 6" xfId="15040" xr:uid="{00000000-0005-0000-0000-000024550000}"/>
    <cellStyle name="Normal 23 5 2 2 3" xfId="15041" xr:uid="{00000000-0005-0000-0000-000025550000}"/>
    <cellStyle name="Normal 23 5 2 2 3 2" xfId="52777" xr:uid="{00000000-0005-0000-0000-000026550000}"/>
    <cellStyle name="Normal 23 5 2 2 3 3" xfId="52778" xr:uid="{00000000-0005-0000-0000-000027550000}"/>
    <cellStyle name="Normal 23 5 2 2 4" xfId="15042" xr:uid="{00000000-0005-0000-0000-000028550000}"/>
    <cellStyle name="Normal 23 5 2 2 4 2" xfId="52779" xr:uid="{00000000-0005-0000-0000-000029550000}"/>
    <cellStyle name="Normal 23 5 2 2 5" xfId="15043" xr:uid="{00000000-0005-0000-0000-00002A550000}"/>
    <cellStyle name="Normal 23 5 2 2 6" xfId="15044" xr:uid="{00000000-0005-0000-0000-00002B550000}"/>
    <cellStyle name="Normal 23 5 2 2 7" xfId="15045" xr:uid="{00000000-0005-0000-0000-00002C550000}"/>
    <cellStyle name="Normal 23 5 2 3" xfId="15046" xr:uid="{00000000-0005-0000-0000-00002D550000}"/>
    <cellStyle name="Normal 23 5 2 3 2" xfId="15047" xr:uid="{00000000-0005-0000-0000-00002E550000}"/>
    <cellStyle name="Normal 23 5 2 3 2 2" xfId="52780" xr:uid="{00000000-0005-0000-0000-00002F550000}"/>
    <cellStyle name="Normal 23 5 2 3 2 3" xfId="52781" xr:uid="{00000000-0005-0000-0000-000030550000}"/>
    <cellStyle name="Normal 23 5 2 3 3" xfId="15048" xr:uid="{00000000-0005-0000-0000-000031550000}"/>
    <cellStyle name="Normal 23 5 2 3 3 2" xfId="52782" xr:uid="{00000000-0005-0000-0000-000032550000}"/>
    <cellStyle name="Normal 23 5 2 3 4" xfId="15049" xr:uid="{00000000-0005-0000-0000-000033550000}"/>
    <cellStyle name="Normal 23 5 2 3 5" xfId="15050" xr:uid="{00000000-0005-0000-0000-000034550000}"/>
    <cellStyle name="Normal 23 5 2 3 6" xfId="15051" xr:uid="{00000000-0005-0000-0000-000035550000}"/>
    <cellStyle name="Normal 23 5 2 4" xfId="15052" xr:uid="{00000000-0005-0000-0000-000036550000}"/>
    <cellStyle name="Normal 23 5 2 4 2" xfId="52783" xr:uid="{00000000-0005-0000-0000-000037550000}"/>
    <cellStyle name="Normal 23 5 2 4 3" xfId="52784" xr:uid="{00000000-0005-0000-0000-000038550000}"/>
    <cellStyle name="Normal 23 5 2 5" xfId="15053" xr:uid="{00000000-0005-0000-0000-000039550000}"/>
    <cellStyle name="Normal 23 5 2 5 2" xfId="52785" xr:uid="{00000000-0005-0000-0000-00003A550000}"/>
    <cellStyle name="Normal 23 5 2 6" xfId="15054" xr:uid="{00000000-0005-0000-0000-00003B550000}"/>
    <cellStyle name="Normal 23 5 2 7" xfId="15055" xr:uid="{00000000-0005-0000-0000-00003C550000}"/>
    <cellStyle name="Normal 23 5 2 8" xfId="15056" xr:uid="{00000000-0005-0000-0000-00003D550000}"/>
    <cellStyle name="Normal 23 5 2 9" xfId="15057" xr:uid="{00000000-0005-0000-0000-00003E550000}"/>
    <cellStyle name="Normal 23 5 3" xfId="15058" xr:uid="{00000000-0005-0000-0000-00003F550000}"/>
    <cellStyle name="Normal 23 5 3 2" xfId="15059" xr:uid="{00000000-0005-0000-0000-000040550000}"/>
    <cellStyle name="Normal 23 5 3 2 2" xfId="15060" xr:uid="{00000000-0005-0000-0000-000041550000}"/>
    <cellStyle name="Normal 23 5 3 2 2 2" xfId="15061" xr:uid="{00000000-0005-0000-0000-000042550000}"/>
    <cellStyle name="Normal 23 5 3 2 2 2 2" xfId="52786" xr:uid="{00000000-0005-0000-0000-000043550000}"/>
    <cellStyle name="Normal 23 5 3 2 2 2 3" xfId="52787" xr:uid="{00000000-0005-0000-0000-000044550000}"/>
    <cellStyle name="Normal 23 5 3 2 2 3" xfId="15062" xr:uid="{00000000-0005-0000-0000-000045550000}"/>
    <cellStyle name="Normal 23 5 3 2 2 3 2" xfId="52788" xr:uid="{00000000-0005-0000-0000-000046550000}"/>
    <cellStyle name="Normal 23 5 3 2 2 4" xfId="15063" xr:uid="{00000000-0005-0000-0000-000047550000}"/>
    <cellStyle name="Normal 23 5 3 2 2 5" xfId="15064" xr:uid="{00000000-0005-0000-0000-000048550000}"/>
    <cellStyle name="Normal 23 5 3 2 2 6" xfId="15065" xr:uid="{00000000-0005-0000-0000-000049550000}"/>
    <cellStyle name="Normal 23 5 3 2 3" xfId="15066" xr:uid="{00000000-0005-0000-0000-00004A550000}"/>
    <cellStyle name="Normal 23 5 3 2 3 2" xfId="52789" xr:uid="{00000000-0005-0000-0000-00004B550000}"/>
    <cellStyle name="Normal 23 5 3 2 3 3" xfId="52790" xr:uid="{00000000-0005-0000-0000-00004C550000}"/>
    <cellStyle name="Normal 23 5 3 2 4" xfId="15067" xr:uid="{00000000-0005-0000-0000-00004D550000}"/>
    <cellStyle name="Normal 23 5 3 2 4 2" xfId="52791" xr:uid="{00000000-0005-0000-0000-00004E550000}"/>
    <cellStyle name="Normal 23 5 3 2 5" xfId="15068" xr:uid="{00000000-0005-0000-0000-00004F550000}"/>
    <cellStyle name="Normal 23 5 3 2 6" xfId="15069" xr:uid="{00000000-0005-0000-0000-000050550000}"/>
    <cellStyle name="Normal 23 5 3 2 7" xfId="15070" xr:uid="{00000000-0005-0000-0000-000051550000}"/>
    <cellStyle name="Normal 23 5 3 3" xfId="15071" xr:uid="{00000000-0005-0000-0000-000052550000}"/>
    <cellStyle name="Normal 23 5 3 3 2" xfId="15072" xr:uid="{00000000-0005-0000-0000-000053550000}"/>
    <cellStyle name="Normal 23 5 3 3 2 2" xfId="52792" xr:uid="{00000000-0005-0000-0000-000054550000}"/>
    <cellStyle name="Normal 23 5 3 3 2 3" xfId="52793" xr:uid="{00000000-0005-0000-0000-000055550000}"/>
    <cellStyle name="Normal 23 5 3 3 3" xfId="15073" xr:uid="{00000000-0005-0000-0000-000056550000}"/>
    <cellStyle name="Normal 23 5 3 3 3 2" xfId="52794" xr:uid="{00000000-0005-0000-0000-000057550000}"/>
    <cellStyle name="Normal 23 5 3 3 4" xfId="15074" xr:uid="{00000000-0005-0000-0000-000058550000}"/>
    <cellStyle name="Normal 23 5 3 3 5" xfId="15075" xr:uid="{00000000-0005-0000-0000-000059550000}"/>
    <cellStyle name="Normal 23 5 3 3 6" xfId="15076" xr:uid="{00000000-0005-0000-0000-00005A550000}"/>
    <cellStyle name="Normal 23 5 3 4" xfId="15077" xr:uid="{00000000-0005-0000-0000-00005B550000}"/>
    <cellStyle name="Normal 23 5 3 4 2" xfId="52795" xr:uid="{00000000-0005-0000-0000-00005C550000}"/>
    <cellStyle name="Normal 23 5 3 4 3" xfId="52796" xr:uid="{00000000-0005-0000-0000-00005D550000}"/>
    <cellStyle name="Normal 23 5 3 5" xfId="15078" xr:uid="{00000000-0005-0000-0000-00005E550000}"/>
    <cellStyle name="Normal 23 5 3 5 2" xfId="52797" xr:uid="{00000000-0005-0000-0000-00005F550000}"/>
    <cellStyle name="Normal 23 5 3 6" xfId="15079" xr:uid="{00000000-0005-0000-0000-000060550000}"/>
    <cellStyle name="Normal 23 5 3 7" xfId="15080" xr:uid="{00000000-0005-0000-0000-000061550000}"/>
    <cellStyle name="Normal 23 5 3 8" xfId="15081" xr:uid="{00000000-0005-0000-0000-000062550000}"/>
    <cellStyle name="Normal 23 5 4" xfId="15082" xr:uid="{00000000-0005-0000-0000-000063550000}"/>
    <cellStyle name="Normal 23 5 4 2" xfId="15083" xr:uid="{00000000-0005-0000-0000-000064550000}"/>
    <cellStyle name="Normal 23 5 4 2 2" xfId="15084" xr:uid="{00000000-0005-0000-0000-000065550000}"/>
    <cellStyle name="Normal 23 5 4 2 2 2" xfId="52798" xr:uid="{00000000-0005-0000-0000-000066550000}"/>
    <cellStyle name="Normal 23 5 4 2 2 3" xfId="52799" xr:uid="{00000000-0005-0000-0000-000067550000}"/>
    <cellStyle name="Normal 23 5 4 2 3" xfId="15085" xr:uid="{00000000-0005-0000-0000-000068550000}"/>
    <cellStyle name="Normal 23 5 4 2 3 2" xfId="52800" xr:uid="{00000000-0005-0000-0000-000069550000}"/>
    <cellStyle name="Normal 23 5 4 2 4" xfId="15086" xr:uid="{00000000-0005-0000-0000-00006A550000}"/>
    <cellStyle name="Normal 23 5 4 2 5" xfId="15087" xr:uid="{00000000-0005-0000-0000-00006B550000}"/>
    <cellStyle name="Normal 23 5 4 2 6" xfId="15088" xr:uid="{00000000-0005-0000-0000-00006C550000}"/>
    <cellStyle name="Normal 23 5 4 3" xfId="15089" xr:uid="{00000000-0005-0000-0000-00006D550000}"/>
    <cellStyle name="Normal 23 5 4 3 2" xfId="52801" xr:uid="{00000000-0005-0000-0000-00006E550000}"/>
    <cellStyle name="Normal 23 5 4 3 3" xfId="52802" xr:uid="{00000000-0005-0000-0000-00006F550000}"/>
    <cellStyle name="Normal 23 5 4 4" xfId="15090" xr:uid="{00000000-0005-0000-0000-000070550000}"/>
    <cellStyle name="Normal 23 5 4 4 2" xfId="52803" xr:uid="{00000000-0005-0000-0000-000071550000}"/>
    <cellStyle name="Normal 23 5 4 5" xfId="15091" xr:uid="{00000000-0005-0000-0000-000072550000}"/>
    <cellStyle name="Normal 23 5 4 6" xfId="15092" xr:uid="{00000000-0005-0000-0000-000073550000}"/>
    <cellStyle name="Normal 23 5 4 7" xfId="15093" xr:uid="{00000000-0005-0000-0000-000074550000}"/>
    <cellStyle name="Normal 23 5 5" xfId="15094" xr:uid="{00000000-0005-0000-0000-000075550000}"/>
    <cellStyle name="Normal 23 5 5 2" xfId="15095" xr:uid="{00000000-0005-0000-0000-000076550000}"/>
    <cellStyle name="Normal 23 5 5 2 2" xfId="52804" xr:uid="{00000000-0005-0000-0000-000077550000}"/>
    <cellStyle name="Normal 23 5 5 2 3" xfId="52805" xr:uid="{00000000-0005-0000-0000-000078550000}"/>
    <cellStyle name="Normal 23 5 5 3" xfId="15096" xr:uid="{00000000-0005-0000-0000-000079550000}"/>
    <cellStyle name="Normal 23 5 5 3 2" xfId="52806" xr:uid="{00000000-0005-0000-0000-00007A550000}"/>
    <cellStyle name="Normal 23 5 5 4" xfId="15097" xr:uid="{00000000-0005-0000-0000-00007B550000}"/>
    <cellStyle name="Normal 23 5 5 5" xfId="15098" xr:uid="{00000000-0005-0000-0000-00007C550000}"/>
    <cellStyle name="Normal 23 5 5 6" xfId="15099" xr:uid="{00000000-0005-0000-0000-00007D550000}"/>
    <cellStyle name="Normal 23 5 6" xfId="15100" xr:uid="{00000000-0005-0000-0000-00007E550000}"/>
    <cellStyle name="Normal 23 5 6 2" xfId="52807" xr:uid="{00000000-0005-0000-0000-00007F550000}"/>
    <cellStyle name="Normal 23 5 7" xfId="15101" xr:uid="{00000000-0005-0000-0000-000080550000}"/>
    <cellStyle name="Normal 23 5 8" xfId="15102" xr:uid="{00000000-0005-0000-0000-000081550000}"/>
    <cellStyle name="Normal 23 5 9" xfId="15103" xr:uid="{00000000-0005-0000-0000-000082550000}"/>
    <cellStyle name="Normal 23 6" xfId="15104" xr:uid="{00000000-0005-0000-0000-000083550000}"/>
    <cellStyle name="Normal 23 6 10" xfId="15105" xr:uid="{00000000-0005-0000-0000-000084550000}"/>
    <cellStyle name="Normal 23 6 11" xfId="15106" xr:uid="{00000000-0005-0000-0000-000085550000}"/>
    <cellStyle name="Normal 23 6 12" xfId="15107" xr:uid="{00000000-0005-0000-0000-000086550000}"/>
    <cellStyle name="Normal 23 6 13" xfId="15108" xr:uid="{00000000-0005-0000-0000-000087550000}"/>
    <cellStyle name="Normal 23 6 14" xfId="15109" xr:uid="{00000000-0005-0000-0000-000088550000}"/>
    <cellStyle name="Normal 23 6 2" xfId="15110" xr:uid="{00000000-0005-0000-0000-000089550000}"/>
    <cellStyle name="Normal 23 6 2 2" xfId="15111" xr:uid="{00000000-0005-0000-0000-00008A550000}"/>
    <cellStyle name="Normal 23 6 2 2 2" xfId="15112" xr:uid="{00000000-0005-0000-0000-00008B550000}"/>
    <cellStyle name="Normal 23 6 2 2 2 2" xfId="15113" xr:uid="{00000000-0005-0000-0000-00008C550000}"/>
    <cellStyle name="Normal 23 6 2 2 2 2 2" xfId="52808" xr:uid="{00000000-0005-0000-0000-00008D550000}"/>
    <cellStyle name="Normal 23 6 2 2 2 2 3" xfId="52809" xr:uid="{00000000-0005-0000-0000-00008E550000}"/>
    <cellStyle name="Normal 23 6 2 2 2 3" xfId="15114" xr:uid="{00000000-0005-0000-0000-00008F550000}"/>
    <cellStyle name="Normal 23 6 2 2 2 3 2" xfId="52810" xr:uid="{00000000-0005-0000-0000-000090550000}"/>
    <cellStyle name="Normal 23 6 2 2 2 4" xfId="15115" xr:uid="{00000000-0005-0000-0000-000091550000}"/>
    <cellStyle name="Normal 23 6 2 2 2 5" xfId="15116" xr:uid="{00000000-0005-0000-0000-000092550000}"/>
    <cellStyle name="Normal 23 6 2 2 2 6" xfId="15117" xr:uid="{00000000-0005-0000-0000-000093550000}"/>
    <cellStyle name="Normal 23 6 2 2 3" xfId="15118" xr:uid="{00000000-0005-0000-0000-000094550000}"/>
    <cellStyle name="Normal 23 6 2 2 3 2" xfId="52811" xr:uid="{00000000-0005-0000-0000-000095550000}"/>
    <cellStyle name="Normal 23 6 2 2 3 3" xfId="52812" xr:uid="{00000000-0005-0000-0000-000096550000}"/>
    <cellStyle name="Normal 23 6 2 2 4" xfId="15119" xr:uid="{00000000-0005-0000-0000-000097550000}"/>
    <cellStyle name="Normal 23 6 2 2 4 2" xfId="52813" xr:uid="{00000000-0005-0000-0000-000098550000}"/>
    <cellStyle name="Normal 23 6 2 2 5" xfId="15120" xr:uid="{00000000-0005-0000-0000-000099550000}"/>
    <cellStyle name="Normal 23 6 2 2 6" xfId="15121" xr:uid="{00000000-0005-0000-0000-00009A550000}"/>
    <cellStyle name="Normal 23 6 2 2 7" xfId="15122" xr:uid="{00000000-0005-0000-0000-00009B550000}"/>
    <cellStyle name="Normal 23 6 2 3" xfId="15123" xr:uid="{00000000-0005-0000-0000-00009C550000}"/>
    <cellStyle name="Normal 23 6 2 3 2" xfId="15124" xr:uid="{00000000-0005-0000-0000-00009D550000}"/>
    <cellStyle name="Normal 23 6 2 3 2 2" xfId="52814" xr:uid="{00000000-0005-0000-0000-00009E550000}"/>
    <cellStyle name="Normal 23 6 2 3 2 3" xfId="52815" xr:uid="{00000000-0005-0000-0000-00009F550000}"/>
    <cellStyle name="Normal 23 6 2 3 3" xfId="15125" xr:uid="{00000000-0005-0000-0000-0000A0550000}"/>
    <cellStyle name="Normal 23 6 2 3 3 2" xfId="52816" xr:uid="{00000000-0005-0000-0000-0000A1550000}"/>
    <cellStyle name="Normal 23 6 2 3 4" xfId="15126" xr:uid="{00000000-0005-0000-0000-0000A2550000}"/>
    <cellStyle name="Normal 23 6 2 3 5" xfId="15127" xr:uid="{00000000-0005-0000-0000-0000A3550000}"/>
    <cellStyle name="Normal 23 6 2 3 6" xfId="15128" xr:uid="{00000000-0005-0000-0000-0000A4550000}"/>
    <cellStyle name="Normal 23 6 2 4" xfId="15129" xr:uid="{00000000-0005-0000-0000-0000A5550000}"/>
    <cellStyle name="Normal 23 6 2 4 2" xfId="52817" xr:uid="{00000000-0005-0000-0000-0000A6550000}"/>
    <cellStyle name="Normal 23 6 2 4 3" xfId="52818" xr:uid="{00000000-0005-0000-0000-0000A7550000}"/>
    <cellStyle name="Normal 23 6 2 5" xfId="15130" xr:uid="{00000000-0005-0000-0000-0000A8550000}"/>
    <cellStyle name="Normal 23 6 2 5 2" xfId="52819" xr:uid="{00000000-0005-0000-0000-0000A9550000}"/>
    <cellStyle name="Normal 23 6 2 6" xfId="15131" xr:uid="{00000000-0005-0000-0000-0000AA550000}"/>
    <cellStyle name="Normal 23 6 2 7" xfId="15132" xr:uid="{00000000-0005-0000-0000-0000AB550000}"/>
    <cellStyle name="Normal 23 6 2 8" xfId="15133" xr:uid="{00000000-0005-0000-0000-0000AC550000}"/>
    <cellStyle name="Normal 23 6 2 9" xfId="15134" xr:uid="{00000000-0005-0000-0000-0000AD550000}"/>
    <cellStyle name="Normal 23 6 3" xfId="15135" xr:uid="{00000000-0005-0000-0000-0000AE550000}"/>
    <cellStyle name="Normal 23 6 3 2" xfId="15136" xr:uid="{00000000-0005-0000-0000-0000AF550000}"/>
    <cellStyle name="Normal 23 6 3 2 2" xfId="15137" xr:uid="{00000000-0005-0000-0000-0000B0550000}"/>
    <cellStyle name="Normal 23 6 3 2 2 2" xfId="52820" xr:uid="{00000000-0005-0000-0000-0000B1550000}"/>
    <cellStyle name="Normal 23 6 3 2 2 3" xfId="52821" xr:uid="{00000000-0005-0000-0000-0000B2550000}"/>
    <cellStyle name="Normal 23 6 3 2 3" xfId="15138" xr:uid="{00000000-0005-0000-0000-0000B3550000}"/>
    <cellStyle name="Normal 23 6 3 2 3 2" xfId="52822" xr:uid="{00000000-0005-0000-0000-0000B4550000}"/>
    <cellStyle name="Normal 23 6 3 2 4" xfId="15139" xr:uid="{00000000-0005-0000-0000-0000B5550000}"/>
    <cellStyle name="Normal 23 6 3 2 5" xfId="15140" xr:uid="{00000000-0005-0000-0000-0000B6550000}"/>
    <cellStyle name="Normal 23 6 3 2 6" xfId="15141" xr:uid="{00000000-0005-0000-0000-0000B7550000}"/>
    <cellStyle name="Normal 23 6 3 3" xfId="15142" xr:uid="{00000000-0005-0000-0000-0000B8550000}"/>
    <cellStyle name="Normal 23 6 3 3 2" xfId="52823" xr:uid="{00000000-0005-0000-0000-0000B9550000}"/>
    <cellStyle name="Normal 23 6 3 3 3" xfId="52824" xr:uid="{00000000-0005-0000-0000-0000BA550000}"/>
    <cellStyle name="Normal 23 6 3 4" xfId="15143" xr:uid="{00000000-0005-0000-0000-0000BB550000}"/>
    <cellStyle name="Normal 23 6 3 4 2" xfId="52825" xr:uid="{00000000-0005-0000-0000-0000BC550000}"/>
    <cellStyle name="Normal 23 6 3 5" xfId="15144" xr:uid="{00000000-0005-0000-0000-0000BD550000}"/>
    <cellStyle name="Normal 23 6 3 6" xfId="15145" xr:uid="{00000000-0005-0000-0000-0000BE550000}"/>
    <cellStyle name="Normal 23 6 3 7" xfId="15146" xr:uid="{00000000-0005-0000-0000-0000BF550000}"/>
    <cellStyle name="Normal 23 6 4" xfId="15147" xr:uid="{00000000-0005-0000-0000-0000C0550000}"/>
    <cellStyle name="Normal 23 6 4 2" xfId="15148" xr:uid="{00000000-0005-0000-0000-0000C1550000}"/>
    <cellStyle name="Normal 23 6 4 2 2" xfId="52826" xr:uid="{00000000-0005-0000-0000-0000C2550000}"/>
    <cellStyle name="Normal 23 6 4 2 3" xfId="52827" xr:uid="{00000000-0005-0000-0000-0000C3550000}"/>
    <cellStyle name="Normal 23 6 4 3" xfId="15149" xr:uid="{00000000-0005-0000-0000-0000C4550000}"/>
    <cellStyle name="Normal 23 6 4 3 2" xfId="52828" xr:uid="{00000000-0005-0000-0000-0000C5550000}"/>
    <cellStyle name="Normal 23 6 4 4" xfId="15150" xr:uid="{00000000-0005-0000-0000-0000C6550000}"/>
    <cellStyle name="Normal 23 6 4 5" xfId="15151" xr:uid="{00000000-0005-0000-0000-0000C7550000}"/>
    <cellStyle name="Normal 23 6 4 6" xfId="15152" xr:uid="{00000000-0005-0000-0000-0000C8550000}"/>
    <cellStyle name="Normal 23 6 5" xfId="15153" xr:uid="{00000000-0005-0000-0000-0000C9550000}"/>
    <cellStyle name="Normal 23 6 5 2" xfId="52829" xr:uid="{00000000-0005-0000-0000-0000CA550000}"/>
    <cellStyle name="Normal 23 6 6" xfId="15154" xr:uid="{00000000-0005-0000-0000-0000CB550000}"/>
    <cellStyle name="Normal 23 6 7" xfId="15155" xr:uid="{00000000-0005-0000-0000-0000CC550000}"/>
    <cellStyle name="Normal 23 6 8" xfId="15156" xr:uid="{00000000-0005-0000-0000-0000CD550000}"/>
    <cellStyle name="Normal 23 6 9" xfId="15157" xr:uid="{00000000-0005-0000-0000-0000CE550000}"/>
    <cellStyle name="Normal 23 7" xfId="15158" xr:uid="{00000000-0005-0000-0000-0000CF550000}"/>
    <cellStyle name="Normal 23 7 10" xfId="15159" xr:uid="{00000000-0005-0000-0000-0000D0550000}"/>
    <cellStyle name="Normal 23 7 2" xfId="15160" xr:uid="{00000000-0005-0000-0000-0000D1550000}"/>
    <cellStyle name="Normal 23 7 2 2" xfId="15161" xr:uid="{00000000-0005-0000-0000-0000D2550000}"/>
    <cellStyle name="Normal 23 7 2 2 2" xfId="15162" xr:uid="{00000000-0005-0000-0000-0000D3550000}"/>
    <cellStyle name="Normal 23 7 2 2 2 2" xfId="52830" xr:uid="{00000000-0005-0000-0000-0000D4550000}"/>
    <cellStyle name="Normal 23 7 2 2 2 3" xfId="52831" xr:uid="{00000000-0005-0000-0000-0000D5550000}"/>
    <cellStyle name="Normal 23 7 2 2 3" xfId="15163" xr:uid="{00000000-0005-0000-0000-0000D6550000}"/>
    <cellStyle name="Normal 23 7 2 2 3 2" xfId="52832" xr:uid="{00000000-0005-0000-0000-0000D7550000}"/>
    <cellStyle name="Normal 23 7 2 2 4" xfId="15164" xr:uid="{00000000-0005-0000-0000-0000D8550000}"/>
    <cellStyle name="Normal 23 7 2 2 5" xfId="15165" xr:uid="{00000000-0005-0000-0000-0000D9550000}"/>
    <cellStyle name="Normal 23 7 2 2 6" xfId="15166" xr:uid="{00000000-0005-0000-0000-0000DA550000}"/>
    <cellStyle name="Normal 23 7 2 3" xfId="15167" xr:uid="{00000000-0005-0000-0000-0000DB550000}"/>
    <cellStyle name="Normal 23 7 2 3 2" xfId="52833" xr:uid="{00000000-0005-0000-0000-0000DC550000}"/>
    <cellStyle name="Normal 23 7 2 3 3" xfId="52834" xr:uid="{00000000-0005-0000-0000-0000DD550000}"/>
    <cellStyle name="Normal 23 7 2 4" xfId="15168" xr:uid="{00000000-0005-0000-0000-0000DE550000}"/>
    <cellStyle name="Normal 23 7 2 4 2" xfId="52835" xr:uid="{00000000-0005-0000-0000-0000DF550000}"/>
    <cellStyle name="Normal 23 7 2 5" xfId="15169" xr:uid="{00000000-0005-0000-0000-0000E0550000}"/>
    <cellStyle name="Normal 23 7 2 6" xfId="15170" xr:uid="{00000000-0005-0000-0000-0000E1550000}"/>
    <cellStyle name="Normal 23 7 2 7" xfId="15171" xr:uid="{00000000-0005-0000-0000-0000E2550000}"/>
    <cellStyle name="Normal 23 7 3" xfId="15172" xr:uid="{00000000-0005-0000-0000-0000E3550000}"/>
    <cellStyle name="Normal 23 7 3 2" xfId="15173" xr:uid="{00000000-0005-0000-0000-0000E4550000}"/>
    <cellStyle name="Normal 23 7 3 2 2" xfId="52836" xr:uid="{00000000-0005-0000-0000-0000E5550000}"/>
    <cellStyle name="Normal 23 7 3 2 3" xfId="52837" xr:uid="{00000000-0005-0000-0000-0000E6550000}"/>
    <cellStyle name="Normal 23 7 3 3" xfId="15174" xr:uid="{00000000-0005-0000-0000-0000E7550000}"/>
    <cellStyle name="Normal 23 7 3 3 2" xfId="52838" xr:uid="{00000000-0005-0000-0000-0000E8550000}"/>
    <cellStyle name="Normal 23 7 3 4" xfId="15175" xr:uid="{00000000-0005-0000-0000-0000E9550000}"/>
    <cellStyle name="Normal 23 7 3 5" xfId="15176" xr:uid="{00000000-0005-0000-0000-0000EA550000}"/>
    <cellStyle name="Normal 23 7 3 6" xfId="15177" xr:uid="{00000000-0005-0000-0000-0000EB550000}"/>
    <cellStyle name="Normal 23 7 4" xfId="15178" xr:uid="{00000000-0005-0000-0000-0000EC550000}"/>
    <cellStyle name="Normal 23 7 4 2" xfId="52839" xr:uid="{00000000-0005-0000-0000-0000ED550000}"/>
    <cellStyle name="Normal 23 7 5" xfId="15179" xr:uid="{00000000-0005-0000-0000-0000EE550000}"/>
    <cellStyle name="Normal 23 7 6" xfId="15180" xr:uid="{00000000-0005-0000-0000-0000EF550000}"/>
    <cellStyle name="Normal 23 7 7" xfId="15181" xr:uid="{00000000-0005-0000-0000-0000F0550000}"/>
    <cellStyle name="Normal 23 7 8" xfId="15182" xr:uid="{00000000-0005-0000-0000-0000F1550000}"/>
    <cellStyle name="Normal 23 7 9" xfId="15183" xr:uid="{00000000-0005-0000-0000-0000F2550000}"/>
    <cellStyle name="Normal 23 8" xfId="15184" xr:uid="{00000000-0005-0000-0000-0000F3550000}"/>
    <cellStyle name="Normal 23 8 2" xfId="15185" xr:uid="{00000000-0005-0000-0000-0000F4550000}"/>
    <cellStyle name="Normal 23 8 2 2" xfId="15186" xr:uid="{00000000-0005-0000-0000-0000F5550000}"/>
    <cellStyle name="Normal 23 8 2 2 2" xfId="15187" xr:uid="{00000000-0005-0000-0000-0000F6550000}"/>
    <cellStyle name="Normal 23 8 2 2 2 2" xfId="52840" xr:uid="{00000000-0005-0000-0000-0000F7550000}"/>
    <cellStyle name="Normal 23 8 2 2 2 3" xfId="52841" xr:uid="{00000000-0005-0000-0000-0000F8550000}"/>
    <cellStyle name="Normal 23 8 2 2 3" xfId="15188" xr:uid="{00000000-0005-0000-0000-0000F9550000}"/>
    <cellStyle name="Normal 23 8 2 2 3 2" xfId="52842" xr:uid="{00000000-0005-0000-0000-0000FA550000}"/>
    <cellStyle name="Normal 23 8 2 2 4" xfId="15189" xr:uid="{00000000-0005-0000-0000-0000FB550000}"/>
    <cellStyle name="Normal 23 8 2 2 5" xfId="15190" xr:uid="{00000000-0005-0000-0000-0000FC550000}"/>
    <cellStyle name="Normal 23 8 2 2 6" xfId="15191" xr:uid="{00000000-0005-0000-0000-0000FD550000}"/>
    <cellStyle name="Normal 23 8 2 3" xfId="15192" xr:uid="{00000000-0005-0000-0000-0000FE550000}"/>
    <cellStyle name="Normal 23 8 2 3 2" xfId="52843" xr:uid="{00000000-0005-0000-0000-0000FF550000}"/>
    <cellStyle name="Normal 23 8 2 3 3" xfId="52844" xr:uid="{00000000-0005-0000-0000-000000560000}"/>
    <cellStyle name="Normal 23 8 2 4" xfId="15193" xr:uid="{00000000-0005-0000-0000-000001560000}"/>
    <cellStyle name="Normal 23 8 2 4 2" xfId="52845" xr:uid="{00000000-0005-0000-0000-000002560000}"/>
    <cellStyle name="Normal 23 8 2 5" xfId="15194" xr:uid="{00000000-0005-0000-0000-000003560000}"/>
    <cellStyle name="Normal 23 8 2 6" xfId="15195" xr:uid="{00000000-0005-0000-0000-000004560000}"/>
    <cellStyle name="Normal 23 8 2 7" xfId="15196" xr:uid="{00000000-0005-0000-0000-000005560000}"/>
    <cellStyle name="Normal 23 8 3" xfId="15197" xr:uid="{00000000-0005-0000-0000-000006560000}"/>
    <cellStyle name="Normal 23 8 3 2" xfId="15198" xr:uid="{00000000-0005-0000-0000-000007560000}"/>
    <cellStyle name="Normal 23 8 3 2 2" xfId="52846" xr:uid="{00000000-0005-0000-0000-000008560000}"/>
    <cellStyle name="Normal 23 8 3 2 3" xfId="52847" xr:uid="{00000000-0005-0000-0000-000009560000}"/>
    <cellStyle name="Normal 23 8 3 3" xfId="15199" xr:uid="{00000000-0005-0000-0000-00000A560000}"/>
    <cellStyle name="Normal 23 8 3 3 2" xfId="52848" xr:uid="{00000000-0005-0000-0000-00000B560000}"/>
    <cellStyle name="Normal 23 8 3 4" xfId="15200" xr:uid="{00000000-0005-0000-0000-00000C560000}"/>
    <cellStyle name="Normal 23 8 3 5" xfId="15201" xr:uid="{00000000-0005-0000-0000-00000D560000}"/>
    <cellStyle name="Normal 23 8 3 6" xfId="15202" xr:uid="{00000000-0005-0000-0000-00000E560000}"/>
    <cellStyle name="Normal 23 8 4" xfId="15203" xr:uid="{00000000-0005-0000-0000-00000F560000}"/>
    <cellStyle name="Normal 23 8 4 2" xfId="52849" xr:uid="{00000000-0005-0000-0000-000010560000}"/>
    <cellStyle name="Normal 23 8 4 3" xfId="52850" xr:uid="{00000000-0005-0000-0000-000011560000}"/>
    <cellStyle name="Normal 23 8 5" xfId="15204" xr:uid="{00000000-0005-0000-0000-000012560000}"/>
    <cellStyle name="Normal 23 8 5 2" xfId="52851" xr:uid="{00000000-0005-0000-0000-000013560000}"/>
    <cellStyle name="Normal 23 8 6" xfId="15205" xr:uid="{00000000-0005-0000-0000-000014560000}"/>
    <cellStyle name="Normal 23 8 7" xfId="15206" xr:uid="{00000000-0005-0000-0000-000015560000}"/>
    <cellStyle name="Normal 23 8 8" xfId="15207" xr:uid="{00000000-0005-0000-0000-000016560000}"/>
    <cellStyle name="Normal 23 9" xfId="15208" xr:uid="{00000000-0005-0000-0000-000017560000}"/>
    <cellStyle name="Normal 23 9 2" xfId="15209" xr:uid="{00000000-0005-0000-0000-000018560000}"/>
    <cellStyle name="Normal 23 9 2 2" xfId="15210" xr:uid="{00000000-0005-0000-0000-000019560000}"/>
    <cellStyle name="Normal 23 9 2 2 2" xfId="15211" xr:uid="{00000000-0005-0000-0000-00001A560000}"/>
    <cellStyle name="Normal 23 9 2 2 2 2" xfId="52852" xr:uid="{00000000-0005-0000-0000-00001B560000}"/>
    <cellStyle name="Normal 23 9 2 2 2 3" xfId="52853" xr:uid="{00000000-0005-0000-0000-00001C560000}"/>
    <cellStyle name="Normal 23 9 2 2 3" xfId="15212" xr:uid="{00000000-0005-0000-0000-00001D560000}"/>
    <cellStyle name="Normal 23 9 2 2 3 2" xfId="52854" xr:uid="{00000000-0005-0000-0000-00001E560000}"/>
    <cellStyle name="Normal 23 9 2 2 4" xfId="15213" xr:uid="{00000000-0005-0000-0000-00001F560000}"/>
    <cellStyle name="Normal 23 9 2 2 5" xfId="15214" xr:uid="{00000000-0005-0000-0000-000020560000}"/>
    <cellStyle name="Normal 23 9 2 2 6" xfId="15215" xr:uid="{00000000-0005-0000-0000-000021560000}"/>
    <cellStyle name="Normal 23 9 2 3" xfId="15216" xr:uid="{00000000-0005-0000-0000-000022560000}"/>
    <cellStyle name="Normal 23 9 2 3 2" xfId="52855" xr:uid="{00000000-0005-0000-0000-000023560000}"/>
    <cellStyle name="Normal 23 9 2 3 3" xfId="52856" xr:uid="{00000000-0005-0000-0000-000024560000}"/>
    <cellStyle name="Normal 23 9 2 4" xfId="15217" xr:uid="{00000000-0005-0000-0000-000025560000}"/>
    <cellStyle name="Normal 23 9 2 4 2" xfId="52857" xr:uid="{00000000-0005-0000-0000-000026560000}"/>
    <cellStyle name="Normal 23 9 2 5" xfId="15218" xr:uid="{00000000-0005-0000-0000-000027560000}"/>
    <cellStyle name="Normal 23 9 2 6" xfId="15219" xr:uid="{00000000-0005-0000-0000-000028560000}"/>
    <cellStyle name="Normal 23 9 2 7" xfId="15220" xr:uid="{00000000-0005-0000-0000-000029560000}"/>
    <cellStyle name="Normal 23 9 3" xfId="15221" xr:uid="{00000000-0005-0000-0000-00002A560000}"/>
    <cellStyle name="Normal 23 9 3 2" xfId="15222" xr:uid="{00000000-0005-0000-0000-00002B560000}"/>
    <cellStyle name="Normal 23 9 3 2 2" xfId="52858" xr:uid="{00000000-0005-0000-0000-00002C560000}"/>
    <cellStyle name="Normal 23 9 3 2 3" xfId="52859" xr:uid="{00000000-0005-0000-0000-00002D560000}"/>
    <cellStyle name="Normal 23 9 3 3" xfId="15223" xr:uid="{00000000-0005-0000-0000-00002E560000}"/>
    <cellStyle name="Normal 23 9 3 3 2" xfId="52860" xr:uid="{00000000-0005-0000-0000-00002F560000}"/>
    <cellStyle name="Normal 23 9 3 4" xfId="15224" xr:uid="{00000000-0005-0000-0000-000030560000}"/>
    <cellStyle name="Normal 23 9 3 5" xfId="15225" xr:uid="{00000000-0005-0000-0000-000031560000}"/>
    <cellStyle name="Normal 23 9 3 6" xfId="15226" xr:uid="{00000000-0005-0000-0000-000032560000}"/>
    <cellStyle name="Normal 23 9 4" xfId="15227" xr:uid="{00000000-0005-0000-0000-000033560000}"/>
    <cellStyle name="Normal 23 9 4 2" xfId="52861" xr:uid="{00000000-0005-0000-0000-000034560000}"/>
    <cellStyle name="Normal 23 9 4 3" xfId="52862" xr:uid="{00000000-0005-0000-0000-000035560000}"/>
    <cellStyle name="Normal 23 9 5" xfId="15228" xr:uid="{00000000-0005-0000-0000-000036560000}"/>
    <cellStyle name="Normal 23 9 5 2" xfId="52863" xr:uid="{00000000-0005-0000-0000-000037560000}"/>
    <cellStyle name="Normal 23 9 6" xfId="15229" xr:uid="{00000000-0005-0000-0000-000038560000}"/>
    <cellStyle name="Normal 23 9 7" xfId="15230" xr:uid="{00000000-0005-0000-0000-000039560000}"/>
    <cellStyle name="Normal 23 9 8" xfId="15231" xr:uid="{00000000-0005-0000-0000-00003A560000}"/>
    <cellStyle name="Normal 24" xfId="15232" xr:uid="{00000000-0005-0000-0000-00003B560000}"/>
    <cellStyle name="Normal 24 10" xfId="15233" xr:uid="{00000000-0005-0000-0000-00003C560000}"/>
    <cellStyle name="Normal 24 10 2" xfId="15234" xr:uid="{00000000-0005-0000-0000-00003D560000}"/>
    <cellStyle name="Normal 24 10 2 2" xfId="15235" xr:uid="{00000000-0005-0000-0000-00003E560000}"/>
    <cellStyle name="Normal 24 10 2 2 2" xfId="52864" xr:uid="{00000000-0005-0000-0000-00003F560000}"/>
    <cellStyle name="Normal 24 10 2 2 3" xfId="52865" xr:uid="{00000000-0005-0000-0000-000040560000}"/>
    <cellStyle name="Normal 24 10 2 3" xfId="15236" xr:uid="{00000000-0005-0000-0000-000041560000}"/>
    <cellStyle name="Normal 24 10 2 3 2" xfId="52866" xr:uid="{00000000-0005-0000-0000-000042560000}"/>
    <cellStyle name="Normal 24 10 2 4" xfId="15237" xr:uid="{00000000-0005-0000-0000-000043560000}"/>
    <cellStyle name="Normal 24 10 2 5" xfId="15238" xr:uid="{00000000-0005-0000-0000-000044560000}"/>
    <cellStyle name="Normal 24 10 2 6" xfId="15239" xr:uid="{00000000-0005-0000-0000-000045560000}"/>
    <cellStyle name="Normal 24 10 3" xfId="15240" xr:uid="{00000000-0005-0000-0000-000046560000}"/>
    <cellStyle name="Normal 24 10 3 2" xfId="52867" xr:uid="{00000000-0005-0000-0000-000047560000}"/>
    <cellStyle name="Normal 24 10 3 3" xfId="52868" xr:uid="{00000000-0005-0000-0000-000048560000}"/>
    <cellStyle name="Normal 24 10 4" xfId="15241" xr:uid="{00000000-0005-0000-0000-000049560000}"/>
    <cellStyle name="Normal 24 10 4 2" xfId="52869" xr:uid="{00000000-0005-0000-0000-00004A560000}"/>
    <cellStyle name="Normal 24 10 5" xfId="15242" xr:uid="{00000000-0005-0000-0000-00004B560000}"/>
    <cellStyle name="Normal 24 10 6" xfId="15243" xr:uid="{00000000-0005-0000-0000-00004C560000}"/>
    <cellStyle name="Normal 24 10 7" xfId="15244" xr:uid="{00000000-0005-0000-0000-00004D560000}"/>
    <cellStyle name="Normal 24 11" xfId="15245" xr:uid="{00000000-0005-0000-0000-00004E560000}"/>
    <cellStyle name="Normal 24 11 2" xfId="15246" xr:uid="{00000000-0005-0000-0000-00004F560000}"/>
    <cellStyle name="Normal 24 11 2 2" xfId="52870" xr:uid="{00000000-0005-0000-0000-000050560000}"/>
    <cellStyle name="Normal 24 11 2 3" xfId="52871" xr:uid="{00000000-0005-0000-0000-000051560000}"/>
    <cellStyle name="Normal 24 11 3" xfId="15247" xr:uid="{00000000-0005-0000-0000-000052560000}"/>
    <cellStyle name="Normal 24 11 3 2" xfId="52872" xr:uid="{00000000-0005-0000-0000-000053560000}"/>
    <cellStyle name="Normal 24 11 4" xfId="15248" xr:uid="{00000000-0005-0000-0000-000054560000}"/>
    <cellStyle name="Normal 24 11 5" xfId="15249" xr:uid="{00000000-0005-0000-0000-000055560000}"/>
    <cellStyle name="Normal 24 11 6" xfId="15250" xr:uid="{00000000-0005-0000-0000-000056560000}"/>
    <cellStyle name="Normal 24 12" xfId="15251" xr:uid="{00000000-0005-0000-0000-000057560000}"/>
    <cellStyle name="Normal 24 12 2" xfId="15252" xr:uid="{00000000-0005-0000-0000-000058560000}"/>
    <cellStyle name="Normal 24 12 2 2" xfId="15253" xr:uid="{00000000-0005-0000-0000-000059560000}"/>
    <cellStyle name="Normal 24 12 2 2 2" xfId="15254" xr:uid="{00000000-0005-0000-0000-00005A560000}"/>
    <cellStyle name="Normal 24 12 2 3" xfId="15255" xr:uid="{00000000-0005-0000-0000-00005B560000}"/>
    <cellStyle name="Normal 24 12 2 3 2" xfId="15256" xr:uid="{00000000-0005-0000-0000-00005C560000}"/>
    <cellStyle name="Normal 24 12 2 4" xfId="15257" xr:uid="{00000000-0005-0000-0000-00005D560000}"/>
    <cellStyle name="Normal 24 12 3" xfId="15258" xr:uid="{00000000-0005-0000-0000-00005E560000}"/>
    <cellStyle name="Normal 24 12 3 2" xfId="15259" xr:uid="{00000000-0005-0000-0000-00005F560000}"/>
    <cellStyle name="Normal 24 12 3 2 2" xfId="15260" xr:uid="{00000000-0005-0000-0000-000060560000}"/>
    <cellStyle name="Normal 24 12 3 3" xfId="15261" xr:uid="{00000000-0005-0000-0000-000061560000}"/>
    <cellStyle name="Normal 24 12 3 3 2" xfId="15262" xr:uid="{00000000-0005-0000-0000-000062560000}"/>
    <cellStyle name="Normal 24 12 3 4" xfId="15263" xr:uid="{00000000-0005-0000-0000-000063560000}"/>
    <cellStyle name="Normal 24 12 4" xfId="15264" xr:uid="{00000000-0005-0000-0000-000064560000}"/>
    <cellStyle name="Normal 24 12 4 2" xfId="15265" xr:uid="{00000000-0005-0000-0000-000065560000}"/>
    <cellStyle name="Normal 24 12 5" xfId="15266" xr:uid="{00000000-0005-0000-0000-000066560000}"/>
    <cellStyle name="Normal 24 12 5 2" xfId="15267" xr:uid="{00000000-0005-0000-0000-000067560000}"/>
    <cellStyle name="Normal 24 12 6" xfId="15268" xr:uid="{00000000-0005-0000-0000-000068560000}"/>
    <cellStyle name="Normal 24 12 7" xfId="15269" xr:uid="{00000000-0005-0000-0000-000069560000}"/>
    <cellStyle name="Normal 24 13" xfId="15270" xr:uid="{00000000-0005-0000-0000-00006A560000}"/>
    <cellStyle name="Normal 24 13 2" xfId="15271" xr:uid="{00000000-0005-0000-0000-00006B560000}"/>
    <cellStyle name="Normal 24 13 2 2" xfId="15272" xr:uid="{00000000-0005-0000-0000-00006C560000}"/>
    <cellStyle name="Normal 24 13 3" xfId="15273" xr:uid="{00000000-0005-0000-0000-00006D560000}"/>
    <cellStyle name="Normal 24 13 3 2" xfId="15274" xr:uid="{00000000-0005-0000-0000-00006E560000}"/>
    <cellStyle name="Normal 24 13 4" xfId="15275" xr:uid="{00000000-0005-0000-0000-00006F560000}"/>
    <cellStyle name="Normal 24 13 5" xfId="15276" xr:uid="{00000000-0005-0000-0000-000070560000}"/>
    <cellStyle name="Normal 24 14" xfId="15277" xr:uid="{00000000-0005-0000-0000-000071560000}"/>
    <cellStyle name="Normal 24 14 2" xfId="15278" xr:uid="{00000000-0005-0000-0000-000072560000}"/>
    <cellStyle name="Normal 24 14 2 2" xfId="15279" xr:uid="{00000000-0005-0000-0000-000073560000}"/>
    <cellStyle name="Normal 24 14 3" xfId="15280" xr:uid="{00000000-0005-0000-0000-000074560000}"/>
    <cellStyle name="Normal 24 14 3 2" xfId="15281" xr:uid="{00000000-0005-0000-0000-000075560000}"/>
    <cellStyle name="Normal 24 14 4" xfId="15282" xr:uid="{00000000-0005-0000-0000-000076560000}"/>
    <cellStyle name="Normal 24 14 5" xfId="15283" xr:uid="{00000000-0005-0000-0000-000077560000}"/>
    <cellStyle name="Normal 24 15" xfId="15284" xr:uid="{00000000-0005-0000-0000-000078560000}"/>
    <cellStyle name="Normal 24 15 2" xfId="15285" xr:uid="{00000000-0005-0000-0000-000079560000}"/>
    <cellStyle name="Normal 24 15 2 2" xfId="15286" xr:uid="{00000000-0005-0000-0000-00007A560000}"/>
    <cellStyle name="Normal 24 15 3" xfId="15287" xr:uid="{00000000-0005-0000-0000-00007B560000}"/>
    <cellStyle name="Normal 24 15 3 2" xfId="15288" xr:uid="{00000000-0005-0000-0000-00007C560000}"/>
    <cellStyle name="Normal 24 15 4" xfId="15289" xr:uid="{00000000-0005-0000-0000-00007D560000}"/>
    <cellStyle name="Normal 24 15 5" xfId="15290" xr:uid="{00000000-0005-0000-0000-00007E560000}"/>
    <cellStyle name="Normal 24 16" xfId="15291" xr:uid="{00000000-0005-0000-0000-00007F560000}"/>
    <cellStyle name="Normal 24 16 2" xfId="15292" xr:uid="{00000000-0005-0000-0000-000080560000}"/>
    <cellStyle name="Normal 24 16 2 2" xfId="15293" xr:uid="{00000000-0005-0000-0000-000081560000}"/>
    <cellStyle name="Normal 24 16 3" xfId="15294" xr:uid="{00000000-0005-0000-0000-000082560000}"/>
    <cellStyle name="Normal 24 16 3 2" xfId="15295" xr:uid="{00000000-0005-0000-0000-000083560000}"/>
    <cellStyle name="Normal 24 16 4" xfId="15296" xr:uid="{00000000-0005-0000-0000-000084560000}"/>
    <cellStyle name="Normal 24 16 5" xfId="15297" xr:uid="{00000000-0005-0000-0000-000085560000}"/>
    <cellStyle name="Normal 24 17" xfId="15298" xr:uid="{00000000-0005-0000-0000-000086560000}"/>
    <cellStyle name="Normal 24 17 2" xfId="15299" xr:uid="{00000000-0005-0000-0000-000087560000}"/>
    <cellStyle name="Normal 24 17 2 2" xfId="15300" xr:uid="{00000000-0005-0000-0000-000088560000}"/>
    <cellStyle name="Normal 24 17 3" xfId="15301" xr:uid="{00000000-0005-0000-0000-000089560000}"/>
    <cellStyle name="Normal 24 17 3 2" xfId="15302" xr:uid="{00000000-0005-0000-0000-00008A560000}"/>
    <cellStyle name="Normal 24 17 4" xfId="15303" xr:uid="{00000000-0005-0000-0000-00008B560000}"/>
    <cellStyle name="Normal 24 17 5" xfId="15304" xr:uid="{00000000-0005-0000-0000-00008C560000}"/>
    <cellStyle name="Normal 24 18" xfId="15305" xr:uid="{00000000-0005-0000-0000-00008D560000}"/>
    <cellStyle name="Normal 24 18 2" xfId="15306" xr:uid="{00000000-0005-0000-0000-00008E560000}"/>
    <cellStyle name="Normal 24 18 2 2" xfId="15307" xr:uid="{00000000-0005-0000-0000-00008F560000}"/>
    <cellStyle name="Normal 24 18 3" xfId="15308" xr:uid="{00000000-0005-0000-0000-000090560000}"/>
    <cellStyle name="Normal 24 18 4" xfId="15309" xr:uid="{00000000-0005-0000-0000-000091560000}"/>
    <cellStyle name="Normal 24 19" xfId="15310" xr:uid="{00000000-0005-0000-0000-000092560000}"/>
    <cellStyle name="Normal 24 19 2" xfId="15311" xr:uid="{00000000-0005-0000-0000-000093560000}"/>
    <cellStyle name="Normal 24 19 3" xfId="15312" xr:uid="{00000000-0005-0000-0000-000094560000}"/>
    <cellStyle name="Normal 24 2" xfId="15313" xr:uid="{00000000-0005-0000-0000-000095560000}"/>
    <cellStyle name="Normal 24 2 10" xfId="15314" xr:uid="{00000000-0005-0000-0000-000096560000}"/>
    <cellStyle name="Normal 24 2 11" xfId="15315" xr:uid="{00000000-0005-0000-0000-000097560000}"/>
    <cellStyle name="Normal 24 2 12" xfId="15316" xr:uid="{00000000-0005-0000-0000-000098560000}"/>
    <cellStyle name="Normal 24 2 13" xfId="15317" xr:uid="{00000000-0005-0000-0000-000099560000}"/>
    <cellStyle name="Normal 24 2 14" xfId="15318" xr:uid="{00000000-0005-0000-0000-00009A560000}"/>
    <cellStyle name="Normal 24 2 15" xfId="15319" xr:uid="{00000000-0005-0000-0000-00009B560000}"/>
    <cellStyle name="Normal 24 2 16" xfId="15320" xr:uid="{00000000-0005-0000-0000-00009C560000}"/>
    <cellStyle name="Normal 24 2 2" xfId="15321" xr:uid="{00000000-0005-0000-0000-00009D560000}"/>
    <cellStyle name="Normal 24 2 2 10" xfId="15322" xr:uid="{00000000-0005-0000-0000-00009E560000}"/>
    <cellStyle name="Normal 24 2 2 11" xfId="15323" xr:uid="{00000000-0005-0000-0000-00009F560000}"/>
    <cellStyle name="Normal 24 2 2 12" xfId="15324" xr:uid="{00000000-0005-0000-0000-0000A0560000}"/>
    <cellStyle name="Normal 24 2 2 13" xfId="15325" xr:uid="{00000000-0005-0000-0000-0000A1560000}"/>
    <cellStyle name="Normal 24 2 2 14" xfId="15326" xr:uid="{00000000-0005-0000-0000-0000A2560000}"/>
    <cellStyle name="Normal 24 2 2 2" xfId="15327" xr:uid="{00000000-0005-0000-0000-0000A3560000}"/>
    <cellStyle name="Normal 24 2 2 2 2" xfId="15328" xr:uid="{00000000-0005-0000-0000-0000A4560000}"/>
    <cellStyle name="Normal 24 2 2 2 2 2" xfId="15329" xr:uid="{00000000-0005-0000-0000-0000A5560000}"/>
    <cellStyle name="Normal 24 2 2 2 2 2 2" xfId="15330" xr:uid="{00000000-0005-0000-0000-0000A6560000}"/>
    <cellStyle name="Normal 24 2 2 2 2 2 2 2" xfId="52873" xr:uid="{00000000-0005-0000-0000-0000A7560000}"/>
    <cellStyle name="Normal 24 2 2 2 2 2 2 3" xfId="52874" xr:uid="{00000000-0005-0000-0000-0000A8560000}"/>
    <cellStyle name="Normal 24 2 2 2 2 2 3" xfId="15331" xr:uid="{00000000-0005-0000-0000-0000A9560000}"/>
    <cellStyle name="Normal 24 2 2 2 2 2 3 2" xfId="52875" xr:uid="{00000000-0005-0000-0000-0000AA560000}"/>
    <cellStyle name="Normal 24 2 2 2 2 2 4" xfId="15332" xr:uid="{00000000-0005-0000-0000-0000AB560000}"/>
    <cellStyle name="Normal 24 2 2 2 2 2 5" xfId="15333" xr:uid="{00000000-0005-0000-0000-0000AC560000}"/>
    <cellStyle name="Normal 24 2 2 2 2 2 6" xfId="15334" xr:uid="{00000000-0005-0000-0000-0000AD560000}"/>
    <cellStyle name="Normal 24 2 2 2 2 3" xfId="15335" xr:uid="{00000000-0005-0000-0000-0000AE560000}"/>
    <cellStyle name="Normal 24 2 2 2 2 3 2" xfId="52876" xr:uid="{00000000-0005-0000-0000-0000AF560000}"/>
    <cellStyle name="Normal 24 2 2 2 2 3 3" xfId="52877" xr:uid="{00000000-0005-0000-0000-0000B0560000}"/>
    <cellStyle name="Normal 24 2 2 2 2 4" xfId="15336" xr:uid="{00000000-0005-0000-0000-0000B1560000}"/>
    <cellStyle name="Normal 24 2 2 2 2 4 2" xfId="52878" xr:uid="{00000000-0005-0000-0000-0000B2560000}"/>
    <cellStyle name="Normal 24 2 2 2 2 5" xfId="15337" xr:uid="{00000000-0005-0000-0000-0000B3560000}"/>
    <cellStyle name="Normal 24 2 2 2 2 6" xfId="15338" xr:uid="{00000000-0005-0000-0000-0000B4560000}"/>
    <cellStyle name="Normal 24 2 2 2 2 7" xfId="15339" xr:uid="{00000000-0005-0000-0000-0000B5560000}"/>
    <cellStyle name="Normal 24 2 2 2 3" xfId="15340" xr:uid="{00000000-0005-0000-0000-0000B6560000}"/>
    <cellStyle name="Normal 24 2 2 2 3 2" xfId="15341" xr:uid="{00000000-0005-0000-0000-0000B7560000}"/>
    <cellStyle name="Normal 24 2 2 2 3 2 2" xfId="52879" xr:uid="{00000000-0005-0000-0000-0000B8560000}"/>
    <cellStyle name="Normal 24 2 2 2 3 2 3" xfId="52880" xr:uid="{00000000-0005-0000-0000-0000B9560000}"/>
    <cellStyle name="Normal 24 2 2 2 3 3" xfId="15342" xr:uid="{00000000-0005-0000-0000-0000BA560000}"/>
    <cellStyle name="Normal 24 2 2 2 3 3 2" xfId="52881" xr:uid="{00000000-0005-0000-0000-0000BB560000}"/>
    <cellStyle name="Normal 24 2 2 2 3 4" xfId="15343" xr:uid="{00000000-0005-0000-0000-0000BC560000}"/>
    <cellStyle name="Normal 24 2 2 2 3 5" xfId="15344" xr:uid="{00000000-0005-0000-0000-0000BD560000}"/>
    <cellStyle name="Normal 24 2 2 2 3 6" xfId="15345" xr:uid="{00000000-0005-0000-0000-0000BE560000}"/>
    <cellStyle name="Normal 24 2 2 2 4" xfId="15346" xr:uid="{00000000-0005-0000-0000-0000BF560000}"/>
    <cellStyle name="Normal 24 2 2 2 4 2" xfId="52882" xr:uid="{00000000-0005-0000-0000-0000C0560000}"/>
    <cellStyle name="Normal 24 2 2 2 4 3" xfId="52883" xr:uid="{00000000-0005-0000-0000-0000C1560000}"/>
    <cellStyle name="Normal 24 2 2 2 5" xfId="15347" xr:uid="{00000000-0005-0000-0000-0000C2560000}"/>
    <cellStyle name="Normal 24 2 2 2 5 2" xfId="52884" xr:uid="{00000000-0005-0000-0000-0000C3560000}"/>
    <cellStyle name="Normal 24 2 2 2 6" xfId="15348" xr:uid="{00000000-0005-0000-0000-0000C4560000}"/>
    <cellStyle name="Normal 24 2 2 2 7" xfId="15349" xr:uid="{00000000-0005-0000-0000-0000C5560000}"/>
    <cellStyle name="Normal 24 2 2 2 8" xfId="15350" xr:uid="{00000000-0005-0000-0000-0000C6560000}"/>
    <cellStyle name="Normal 24 2 2 2 9" xfId="15351" xr:uid="{00000000-0005-0000-0000-0000C7560000}"/>
    <cellStyle name="Normal 24 2 2 3" xfId="15352" xr:uid="{00000000-0005-0000-0000-0000C8560000}"/>
    <cellStyle name="Normal 24 2 2 3 2" xfId="15353" xr:uid="{00000000-0005-0000-0000-0000C9560000}"/>
    <cellStyle name="Normal 24 2 2 3 2 2" xfId="15354" xr:uid="{00000000-0005-0000-0000-0000CA560000}"/>
    <cellStyle name="Normal 24 2 2 3 2 2 2" xfId="15355" xr:uid="{00000000-0005-0000-0000-0000CB560000}"/>
    <cellStyle name="Normal 24 2 2 3 2 2 2 2" xfId="52885" xr:uid="{00000000-0005-0000-0000-0000CC560000}"/>
    <cellStyle name="Normal 24 2 2 3 2 2 2 3" xfId="52886" xr:uid="{00000000-0005-0000-0000-0000CD560000}"/>
    <cellStyle name="Normal 24 2 2 3 2 2 3" xfId="15356" xr:uid="{00000000-0005-0000-0000-0000CE560000}"/>
    <cellStyle name="Normal 24 2 2 3 2 2 3 2" xfId="52887" xr:uid="{00000000-0005-0000-0000-0000CF560000}"/>
    <cellStyle name="Normal 24 2 2 3 2 2 4" xfId="15357" xr:uid="{00000000-0005-0000-0000-0000D0560000}"/>
    <cellStyle name="Normal 24 2 2 3 2 2 5" xfId="15358" xr:uid="{00000000-0005-0000-0000-0000D1560000}"/>
    <cellStyle name="Normal 24 2 2 3 2 2 6" xfId="15359" xr:uid="{00000000-0005-0000-0000-0000D2560000}"/>
    <cellStyle name="Normal 24 2 2 3 2 3" xfId="15360" xr:uid="{00000000-0005-0000-0000-0000D3560000}"/>
    <cellStyle name="Normal 24 2 2 3 2 3 2" xfId="52888" xr:uid="{00000000-0005-0000-0000-0000D4560000}"/>
    <cellStyle name="Normal 24 2 2 3 2 3 3" xfId="52889" xr:uid="{00000000-0005-0000-0000-0000D5560000}"/>
    <cellStyle name="Normal 24 2 2 3 2 4" xfId="15361" xr:uid="{00000000-0005-0000-0000-0000D6560000}"/>
    <cellStyle name="Normal 24 2 2 3 2 4 2" xfId="52890" xr:uid="{00000000-0005-0000-0000-0000D7560000}"/>
    <cellStyle name="Normal 24 2 2 3 2 5" xfId="15362" xr:uid="{00000000-0005-0000-0000-0000D8560000}"/>
    <cellStyle name="Normal 24 2 2 3 2 6" xfId="15363" xr:uid="{00000000-0005-0000-0000-0000D9560000}"/>
    <cellStyle name="Normal 24 2 2 3 2 7" xfId="15364" xr:uid="{00000000-0005-0000-0000-0000DA560000}"/>
    <cellStyle name="Normal 24 2 2 3 3" xfId="15365" xr:uid="{00000000-0005-0000-0000-0000DB560000}"/>
    <cellStyle name="Normal 24 2 2 3 3 2" xfId="15366" xr:uid="{00000000-0005-0000-0000-0000DC560000}"/>
    <cellStyle name="Normal 24 2 2 3 3 2 2" xfId="52891" xr:uid="{00000000-0005-0000-0000-0000DD560000}"/>
    <cellStyle name="Normal 24 2 2 3 3 2 3" xfId="52892" xr:uid="{00000000-0005-0000-0000-0000DE560000}"/>
    <cellStyle name="Normal 24 2 2 3 3 3" xfId="15367" xr:uid="{00000000-0005-0000-0000-0000DF560000}"/>
    <cellStyle name="Normal 24 2 2 3 3 3 2" xfId="52893" xr:uid="{00000000-0005-0000-0000-0000E0560000}"/>
    <cellStyle name="Normal 24 2 2 3 3 4" xfId="15368" xr:uid="{00000000-0005-0000-0000-0000E1560000}"/>
    <cellStyle name="Normal 24 2 2 3 3 5" xfId="15369" xr:uid="{00000000-0005-0000-0000-0000E2560000}"/>
    <cellStyle name="Normal 24 2 2 3 3 6" xfId="15370" xr:uid="{00000000-0005-0000-0000-0000E3560000}"/>
    <cellStyle name="Normal 24 2 2 3 4" xfId="15371" xr:uid="{00000000-0005-0000-0000-0000E4560000}"/>
    <cellStyle name="Normal 24 2 2 3 4 2" xfId="52894" xr:uid="{00000000-0005-0000-0000-0000E5560000}"/>
    <cellStyle name="Normal 24 2 2 3 4 3" xfId="52895" xr:uid="{00000000-0005-0000-0000-0000E6560000}"/>
    <cellStyle name="Normal 24 2 2 3 5" xfId="15372" xr:uid="{00000000-0005-0000-0000-0000E7560000}"/>
    <cellStyle name="Normal 24 2 2 3 5 2" xfId="52896" xr:uid="{00000000-0005-0000-0000-0000E8560000}"/>
    <cellStyle name="Normal 24 2 2 3 6" xfId="15373" xr:uid="{00000000-0005-0000-0000-0000E9560000}"/>
    <cellStyle name="Normal 24 2 2 3 7" xfId="15374" xr:uid="{00000000-0005-0000-0000-0000EA560000}"/>
    <cellStyle name="Normal 24 2 2 3 8" xfId="15375" xr:uid="{00000000-0005-0000-0000-0000EB560000}"/>
    <cellStyle name="Normal 24 2 2 4" xfId="15376" xr:uid="{00000000-0005-0000-0000-0000EC560000}"/>
    <cellStyle name="Normal 24 2 2 4 2" xfId="15377" xr:uid="{00000000-0005-0000-0000-0000ED560000}"/>
    <cellStyle name="Normal 24 2 2 4 2 2" xfId="15378" xr:uid="{00000000-0005-0000-0000-0000EE560000}"/>
    <cellStyle name="Normal 24 2 2 4 2 2 2" xfId="52897" xr:uid="{00000000-0005-0000-0000-0000EF560000}"/>
    <cellStyle name="Normal 24 2 2 4 2 2 3" xfId="52898" xr:uid="{00000000-0005-0000-0000-0000F0560000}"/>
    <cellStyle name="Normal 24 2 2 4 2 3" xfId="15379" xr:uid="{00000000-0005-0000-0000-0000F1560000}"/>
    <cellStyle name="Normal 24 2 2 4 2 3 2" xfId="52899" xr:uid="{00000000-0005-0000-0000-0000F2560000}"/>
    <cellStyle name="Normal 24 2 2 4 2 4" xfId="15380" xr:uid="{00000000-0005-0000-0000-0000F3560000}"/>
    <cellStyle name="Normal 24 2 2 4 2 5" xfId="15381" xr:uid="{00000000-0005-0000-0000-0000F4560000}"/>
    <cellStyle name="Normal 24 2 2 4 2 6" xfId="15382" xr:uid="{00000000-0005-0000-0000-0000F5560000}"/>
    <cellStyle name="Normal 24 2 2 4 3" xfId="15383" xr:uid="{00000000-0005-0000-0000-0000F6560000}"/>
    <cellStyle name="Normal 24 2 2 4 3 2" xfId="52900" xr:uid="{00000000-0005-0000-0000-0000F7560000}"/>
    <cellStyle name="Normal 24 2 2 4 3 3" xfId="52901" xr:uid="{00000000-0005-0000-0000-0000F8560000}"/>
    <cellStyle name="Normal 24 2 2 4 4" xfId="15384" xr:uid="{00000000-0005-0000-0000-0000F9560000}"/>
    <cellStyle name="Normal 24 2 2 4 4 2" xfId="52902" xr:uid="{00000000-0005-0000-0000-0000FA560000}"/>
    <cellStyle name="Normal 24 2 2 4 5" xfId="15385" xr:uid="{00000000-0005-0000-0000-0000FB560000}"/>
    <cellStyle name="Normal 24 2 2 4 6" xfId="15386" xr:uid="{00000000-0005-0000-0000-0000FC560000}"/>
    <cellStyle name="Normal 24 2 2 4 7" xfId="15387" xr:uid="{00000000-0005-0000-0000-0000FD560000}"/>
    <cellStyle name="Normal 24 2 2 5" xfId="15388" xr:uid="{00000000-0005-0000-0000-0000FE560000}"/>
    <cellStyle name="Normal 24 2 2 5 2" xfId="15389" xr:uid="{00000000-0005-0000-0000-0000FF560000}"/>
    <cellStyle name="Normal 24 2 2 5 2 2" xfId="52903" xr:uid="{00000000-0005-0000-0000-000000570000}"/>
    <cellStyle name="Normal 24 2 2 5 2 3" xfId="52904" xr:uid="{00000000-0005-0000-0000-000001570000}"/>
    <cellStyle name="Normal 24 2 2 5 3" xfId="15390" xr:uid="{00000000-0005-0000-0000-000002570000}"/>
    <cellStyle name="Normal 24 2 2 5 3 2" xfId="52905" xr:uid="{00000000-0005-0000-0000-000003570000}"/>
    <cellStyle name="Normal 24 2 2 5 4" xfId="15391" xr:uid="{00000000-0005-0000-0000-000004570000}"/>
    <cellStyle name="Normal 24 2 2 5 5" xfId="15392" xr:uid="{00000000-0005-0000-0000-000005570000}"/>
    <cellStyle name="Normal 24 2 2 5 6" xfId="15393" xr:uid="{00000000-0005-0000-0000-000006570000}"/>
    <cellStyle name="Normal 24 2 2 6" xfId="15394" xr:uid="{00000000-0005-0000-0000-000007570000}"/>
    <cellStyle name="Normal 24 2 2 6 2" xfId="52906" xr:uid="{00000000-0005-0000-0000-000008570000}"/>
    <cellStyle name="Normal 24 2 2 6 3" xfId="52907" xr:uid="{00000000-0005-0000-0000-000009570000}"/>
    <cellStyle name="Normal 24 2 2 7" xfId="15395" xr:uid="{00000000-0005-0000-0000-00000A570000}"/>
    <cellStyle name="Normal 24 2 2 7 2" xfId="52908" xr:uid="{00000000-0005-0000-0000-00000B570000}"/>
    <cellStyle name="Normal 24 2 2 8" xfId="15396" xr:uid="{00000000-0005-0000-0000-00000C570000}"/>
    <cellStyle name="Normal 24 2 2 8 2" xfId="52909" xr:uid="{00000000-0005-0000-0000-00000D570000}"/>
    <cellStyle name="Normal 24 2 2 9" xfId="15397" xr:uid="{00000000-0005-0000-0000-00000E570000}"/>
    <cellStyle name="Normal 24 2 3" xfId="15398" xr:uid="{00000000-0005-0000-0000-00000F570000}"/>
    <cellStyle name="Normal 24 2 3 10" xfId="15399" xr:uid="{00000000-0005-0000-0000-000010570000}"/>
    <cellStyle name="Normal 24 2 3 2" xfId="15400" xr:uid="{00000000-0005-0000-0000-000011570000}"/>
    <cellStyle name="Normal 24 2 3 2 2" xfId="15401" xr:uid="{00000000-0005-0000-0000-000012570000}"/>
    <cellStyle name="Normal 24 2 3 2 2 2" xfId="15402" xr:uid="{00000000-0005-0000-0000-000013570000}"/>
    <cellStyle name="Normal 24 2 3 2 2 2 2" xfId="52910" xr:uid="{00000000-0005-0000-0000-000014570000}"/>
    <cellStyle name="Normal 24 2 3 2 2 2 3" xfId="52911" xr:uid="{00000000-0005-0000-0000-000015570000}"/>
    <cellStyle name="Normal 24 2 3 2 2 3" xfId="15403" xr:uid="{00000000-0005-0000-0000-000016570000}"/>
    <cellStyle name="Normal 24 2 3 2 2 3 2" xfId="52912" xr:uid="{00000000-0005-0000-0000-000017570000}"/>
    <cellStyle name="Normal 24 2 3 2 2 4" xfId="15404" xr:uid="{00000000-0005-0000-0000-000018570000}"/>
    <cellStyle name="Normal 24 2 3 2 2 5" xfId="15405" xr:uid="{00000000-0005-0000-0000-000019570000}"/>
    <cellStyle name="Normal 24 2 3 2 2 6" xfId="15406" xr:uid="{00000000-0005-0000-0000-00001A570000}"/>
    <cellStyle name="Normal 24 2 3 2 3" xfId="15407" xr:uid="{00000000-0005-0000-0000-00001B570000}"/>
    <cellStyle name="Normal 24 2 3 2 3 2" xfId="52913" xr:uid="{00000000-0005-0000-0000-00001C570000}"/>
    <cellStyle name="Normal 24 2 3 2 3 3" xfId="52914" xr:uid="{00000000-0005-0000-0000-00001D570000}"/>
    <cellStyle name="Normal 24 2 3 2 4" xfId="15408" xr:uid="{00000000-0005-0000-0000-00001E570000}"/>
    <cellStyle name="Normal 24 2 3 2 4 2" xfId="52915" xr:uid="{00000000-0005-0000-0000-00001F570000}"/>
    <cellStyle name="Normal 24 2 3 2 5" xfId="15409" xr:uid="{00000000-0005-0000-0000-000020570000}"/>
    <cellStyle name="Normal 24 2 3 2 6" xfId="15410" xr:uid="{00000000-0005-0000-0000-000021570000}"/>
    <cellStyle name="Normal 24 2 3 2 7" xfId="15411" xr:uid="{00000000-0005-0000-0000-000022570000}"/>
    <cellStyle name="Normal 24 2 3 3" xfId="15412" xr:uid="{00000000-0005-0000-0000-000023570000}"/>
    <cellStyle name="Normal 24 2 3 3 2" xfId="15413" xr:uid="{00000000-0005-0000-0000-000024570000}"/>
    <cellStyle name="Normal 24 2 3 3 2 2" xfId="52916" xr:uid="{00000000-0005-0000-0000-000025570000}"/>
    <cellStyle name="Normal 24 2 3 3 2 3" xfId="52917" xr:uid="{00000000-0005-0000-0000-000026570000}"/>
    <cellStyle name="Normal 24 2 3 3 3" xfId="15414" xr:uid="{00000000-0005-0000-0000-000027570000}"/>
    <cellStyle name="Normal 24 2 3 3 3 2" xfId="52918" xr:uid="{00000000-0005-0000-0000-000028570000}"/>
    <cellStyle name="Normal 24 2 3 3 4" xfId="15415" xr:uid="{00000000-0005-0000-0000-000029570000}"/>
    <cellStyle name="Normal 24 2 3 3 5" xfId="15416" xr:uid="{00000000-0005-0000-0000-00002A570000}"/>
    <cellStyle name="Normal 24 2 3 3 6" xfId="15417" xr:uid="{00000000-0005-0000-0000-00002B570000}"/>
    <cellStyle name="Normal 24 2 3 4" xfId="15418" xr:uid="{00000000-0005-0000-0000-00002C570000}"/>
    <cellStyle name="Normal 24 2 3 4 2" xfId="52919" xr:uid="{00000000-0005-0000-0000-00002D570000}"/>
    <cellStyle name="Normal 24 2 3 5" xfId="15419" xr:uid="{00000000-0005-0000-0000-00002E570000}"/>
    <cellStyle name="Normal 24 2 3 6" xfId="15420" xr:uid="{00000000-0005-0000-0000-00002F570000}"/>
    <cellStyle name="Normal 24 2 3 7" xfId="15421" xr:uid="{00000000-0005-0000-0000-000030570000}"/>
    <cellStyle name="Normal 24 2 3 8" xfId="15422" xr:uid="{00000000-0005-0000-0000-000031570000}"/>
    <cellStyle name="Normal 24 2 3 9" xfId="15423" xr:uid="{00000000-0005-0000-0000-000032570000}"/>
    <cellStyle name="Normal 24 2 4" xfId="15424" xr:uid="{00000000-0005-0000-0000-000033570000}"/>
    <cellStyle name="Normal 24 2 4 2" xfId="15425" xr:uid="{00000000-0005-0000-0000-000034570000}"/>
    <cellStyle name="Normal 24 2 4 2 2" xfId="15426" xr:uid="{00000000-0005-0000-0000-000035570000}"/>
    <cellStyle name="Normal 24 2 4 2 2 2" xfId="15427" xr:uid="{00000000-0005-0000-0000-000036570000}"/>
    <cellStyle name="Normal 24 2 4 2 2 2 2" xfId="52920" xr:uid="{00000000-0005-0000-0000-000037570000}"/>
    <cellStyle name="Normal 24 2 4 2 2 2 3" xfId="52921" xr:uid="{00000000-0005-0000-0000-000038570000}"/>
    <cellStyle name="Normal 24 2 4 2 2 3" xfId="15428" xr:uid="{00000000-0005-0000-0000-000039570000}"/>
    <cellStyle name="Normal 24 2 4 2 2 3 2" xfId="52922" xr:uid="{00000000-0005-0000-0000-00003A570000}"/>
    <cellStyle name="Normal 24 2 4 2 2 4" xfId="15429" xr:uid="{00000000-0005-0000-0000-00003B570000}"/>
    <cellStyle name="Normal 24 2 4 2 2 5" xfId="15430" xr:uid="{00000000-0005-0000-0000-00003C570000}"/>
    <cellStyle name="Normal 24 2 4 2 2 6" xfId="15431" xr:uid="{00000000-0005-0000-0000-00003D570000}"/>
    <cellStyle name="Normal 24 2 4 2 3" xfId="15432" xr:uid="{00000000-0005-0000-0000-00003E570000}"/>
    <cellStyle name="Normal 24 2 4 2 3 2" xfId="52923" xr:uid="{00000000-0005-0000-0000-00003F570000}"/>
    <cellStyle name="Normal 24 2 4 2 3 3" xfId="52924" xr:uid="{00000000-0005-0000-0000-000040570000}"/>
    <cellStyle name="Normal 24 2 4 2 4" xfId="15433" xr:uid="{00000000-0005-0000-0000-000041570000}"/>
    <cellStyle name="Normal 24 2 4 2 4 2" xfId="52925" xr:uid="{00000000-0005-0000-0000-000042570000}"/>
    <cellStyle name="Normal 24 2 4 2 5" xfId="15434" xr:uid="{00000000-0005-0000-0000-000043570000}"/>
    <cellStyle name="Normal 24 2 4 2 6" xfId="15435" xr:uid="{00000000-0005-0000-0000-000044570000}"/>
    <cellStyle name="Normal 24 2 4 2 7" xfId="15436" xr:uid="{00000000-0005-0000-0000-000045570000}"/>
    <cellStyle name="Normal 24 2 4 3" xfId="15437" xr:uid="{00000000-0005-0000-0000-000046570000}"/>
    <cellStyle name="Normal 24 2 4 3 2" xfId="15438" xr:uid="{00000000-0005-0000-0000-000047570000}"/>
    <cellStyle name="Normal 24 2 4 3 2 2" xfId="52926" xr:uid="{00000000-0005-0000-0000-000048570000}"/>
    <cellStyle name="Normal 24 2 4 3 2 3" xfId="52927" xr:uid="{00000000-0005-0000-0000-000049570000}"/>
    <cellStyle name="Normal 24 2 4 3 3" xfId="15439" xr:uid="{00000000-0005-0000-0000-00004A570000}"/>
    <cellStyle name="Normal 24 2 4 3 3 2" xfId="52928" xr:uid="{00000000-0005-0000-0000-00004B570000}"/>
    <cellStyle name="Normal 24 2 4 3 4" xfId="15440" xr:uid="{00000000-0005-0000-0000-00004C570000}"/>
    <cellStyle name="Normal 24 2 4 3 5" xfId="15441" xr:uid="{00000000-0005-0000-0000-00004D570000}"/>
    <cellStyle name="Normal 24 2 4 3 6" xfId="15442" xr:uid="{00000000-0005-0000-0000-00004E570000}"/>
    <cellStyle name="Normal 24 2 4 4" xfId="15443" xr:uid="{00000000-0005-0000-0000-00004F570000}"/>
    <cellStyle name="Normal 24 2 4 4 2" xfId="52929" xr:uid="{00000000-0005-0000-0000-000050570000}"/>
    <cellStyle name="Normal 24 2 4 4 3" xfId="52930" xr:uid="{00000000-0005-0000-0000-000051570000}"/>
    <cellStyle name="Normal 24 2 4 5" xfId="15444" xr:uid="{00000000-0005-0000-0000-000052570000}"/>
    <cellStyle name="Normal 24 2 4 5 2" xfId="52931" xr:uid="{00000000-0005-0000-0000-000053570000}"/>
    <cellStyle name="Normal 24 2 4 6" xfId="15445" xr:uid="{00000000-0005-0000-0000-000054570000}"/>
    <cellStyle name="Normal 24 2 4 7" xfId="15446" xr:uid="{00000000-0005-0000-0000-000055570000}"/>
    <cellStyle name="Normal 24 2 4 8" xfId="15447" xr:uid="{00000000-0005-0000-0000-000056570000}"/>
    <cellStyle name="Normal 24 2 5" xfId="15448" xr:uid="{00000000-0005-0000-0000-000057570000}"/>
    <cellStyle name="Normal 24 2 5 2" xfId="15449" xr:uid="{00000000-0005-0000-0000-000058570000}"/>
    <cellStyle name="Normal 24 2 5 2 2" xfId="15450" xr:uid="{00000000-0005-0000-0000-000059570000}"/>
    <cellStyle name="Normal 24 2 5 2 2 2" xfId="52932" xr:uid="{00000000-0005-0000-0000-00005A570000}"/>
    <cellStyle name="Normal 24 2 5 2 2 3" xfId="52933" xr:uid="{00000000-0005-0000-0000-00005B570000}"/>
    <cellStyle name="Normal 24 2 5 2 3" xfId="15451" xr:uid="{00000000-0005-0000-0000-00005C570000}"/>
    <cellStyle name="Normal 24 2 5 2 3 2" xfId="52934" xr:uid="{00000000-0005-0000-0000-00005D570000}"/>
    <cellStyle name="Normal 24 2 5 2 4" xfId="15452" xr:uid="{00000000-0005-0000-0000-00005E570000}"/>
    <cellStyle name="Normal 24 2 5 2 5" xfId="15453" xr:uid="{00000000-0005-0000-0000-00005F570000}"/>
    <cellStyle name="Normal 24 2 5 2 6" xfId="15454" xr:uid="{00000000-0005-0000-0000-000060570000}"/>
    <cellStyle name="Normal 24 2 5 3" xfId="15455" xr:uid="{00000000-0005-0000-0000-000061570000}"/>
    <cellStyle name="Normal 24 2 5 3 2" xfId="52935" xr:uid="{00000000-0005-0000-0000-000062570000}"/>
    <cellStyle name="Normal 24 2 5 3 3" xfId="52936" xr:uid="{00000000-0005-0000-0000-000063570000}"/>
    <cellStyle name="Normal 24 2 5 4" xfId="15456" xr:uid="{00000000-0005-0000-0000-000064570000}"/>
    <cellStyle name="Normal 24 2 5 4 2" xfId="52937" xr:uid="{00000000-0005-0000-0000-000065570000}"/>
    <cellStyle name="Normal 24 2 5 5" xfId="15457" xr:uid="{00000000-0005-0000-0000-000066570000}"/>
    <cellStyle name="Normal 24 2 5 6" xfId="15458" xr:uid="{00000000-0005-0000-0000-000067570000}"/>
    <cellStyle name="Normal 24 2 5 7" xfId="15459" xr:uid="{00000000-0005-0000-0000-000068570000}"/>
    <cellStyle name="Normal 24 2 6" xfId="15460" xr:uid="{00000000-0005-0000-0000-000069570000}"/>
    <cellStyle name="Normal 24 2 6 2" xfId="15461" xr:uid="{00000000-0005-0000-0000-00006A570000}"/>
    <cellStyle name="Normal 24 2 6 2 2" xfId="52938" xr:uid="{00000000-0005-0000-0000-00006B570000}"/>
    <cellStyle name="Normal 24 2 6 2 3" xfId="52939" xr:uid="{00000000-0005-0000-0000-00006C570000}"/>
    <cellStyle name="Normal 24 2 6 3" xfId="15462" xr:uid="{00000000-0005-0000-0000-00006D570000}"/>
    <cellStyle name="Normal 24 2 6 3 2" xfId="52940" xr:uid="{00000000-0005-0000-0000-00006E570000}"/>
    <cellStyle name="Normal 24 2 6 4" xfId="15463" xr:uid="{00000000-0005-0000-0000-00006F570000}"/>
    <cellStyle name="Normal 24 2 6 5" xfId="15464" xr:uid="{00000000-0005-0000-0000-000070570000}"/>
    <cellStyle name="Normal 24 2 6 6" xfId="15465" xr:uid="{00000000-0005-0000-0000-000071570000}"/>
    <cellStyle name="Normal 24 2 7" xfId="15466" xr:uid="{00000000-0005-0000-0000-000072570000}"/>
    <cellStyle name="Normal 24 2 7 2" xfId="52941" xr:uid="{00000000-0005-0000-0000-000073570000}"/>
    <cellStyle name="Normal 24 2 7 3" xfId="52942" xr:uid="{00000000-0005-0000-0000-000074570000}"/>
    <cellStyle name="Normal 24 2 8" xfId="15467" xr:uid="{00000000-0005-0000-0000-000075570000}"/>
    <cellStyle name="Normal 24 2 8 2" xfId="52943" xr:uid="{00000000-0005-0000-0000-000076570000}"/>
    <cellStyle name="Normal 24 2 9" xfId="15468" xr:uid="{00000000-0005-0000-0000-000077570000}"/>
    <cellStyle name="Normal 24 2 9 2" xfId="52944" xr:uid="{00000000-0005-0000-0000-000078570000}"/>
    <cellStyle name="Normal 24 20" xfId="15469" xr:uid="{00000000-0005-0000-0000-000079570000}"/>
    <cellStyle name="Normal 24 20 2" xfId="15470" xr:uid="{00000000-0005-0000-0000-00007A570000}"/>
    <cellStyle name="Normal 24 20 3" xfId="15471" xr:uid="{00000000-0005-0000-0000-00007B570000}"/>
    <cellStyle name="Normal 24 21" xfId="15472" xr:uid="{00000000-0005-0000-0000-00007C570000}"/>
    <cellStyle name="Normal 24 22" xfId="15473" xr:uid="{00000000-0005-0000-0000-00007D570000}"/>
    <cellStyle name="Normal 24 23" xfId="15474" xr:uid="{00000000-0005-0000-0000-00007E570000}"/>
    <cellStyle name="Normal 24 23 2" xfId="52945" xr:uid="{00000000-0005-0000-0000-00007F570000}"/>
    <cellStyle name="Normal 24 24" xfId="15475" xr:uid="{00000000-0005-0000-0000-000080570000}"/>
    <cellStyle name="Normal 24 3" xfId="15476" xr:uid="{00000000-0005-0000-0000-000081570000}"/>
    <cellStyle name="Normal 24 3 10" xfId="15477" xr:uid="{00000000-0005-0000-0000-000082570000}"/>
    <cellStyle name="Normal 24 3 10 2" xfId="15478" xr:uid="{00000000-0005-0000-0000-000083570000}"/>
    <cellStyle name="Normal 24 3 10 2 2" xfId="15479" xr:uid="{00000000-0005-0000-0000-000084570000}"/>
    <cellStyle name="Normal 24 3 10 3" xfId="15480" xr:uid="{00000000-0005-0000-0000-000085570000}"/>
    <cellStyle name="Normal 24 3 10 3 2" xfId="15481" xr:uid="{00000000-0005-0000-0000-000086570000}"/>
    <cellStyle name="Normal 24 3 10 4" xfId="15482" xr:uid="{00000000-0005-0000-0000-000087570000}"/>
    <cellStyle name="Normal 24 3 10 5" xfId="15483" xr:uid="{00000000-0005-0000-0000-000088570000}"/>
    <cellStyle name="Normal 24 3 11" xfId="15484" xr:uid="{00000000-0005-0000-0000-000089570000}"/>
    <cellStyle name="Normal 24 3 11 2" xfId="15485" xr:uid="{00000000-0005-0000-0000-00008A570000}"/>
    <cellStyle name="Normal 24 3 11 2 2" xfId="15486" xr:uid="{00000000-0005-0000-0000-00008B570000}"/>
    <cellStyle name="Normal 24 3 11 3" xfId="15487" xr:uid="{00000000-0005-0000-0000-00008C570000}"/>
    <cellStyle name="Normal 24 3 11 3 2" xfId="15488" xr:uid="{00000000-0005-0000-0000-00008D570000}"/>
    <cellStyle name="Normal 24 3 11 4" xfId="15489" xr:uid="{00000000-0005-0000-0000-00008E570000}"/>
    <cellStyle name="Normal 24 3 11 5" xfId="15490" xr:uid="{00000000-0005-0000-0000-00008F570000}"/>
    <cellStyle name="Normal 24 3 12" xfId="15491" xr:uid="{00000000-0005-0000-0000-000090570000}"/>
    <cellStyle name="Normal 24 3 12 2" xfId="15492" xr:uid="{00000000-0005-0000-0000-000091570000}"/>
    <cellStyle name="Normal 24 3 12 2 2" xfId="15493" xr:uid="{00000000-0005-0000-0000-000092570000}"/>
    <cellStyle name="Normal 24 3 12 3" xfId="15494" xr:uid="{00000000-0005-0000-0000-000093570000}"/>
    <cellStyle name="Normal 24 3 12 3 2" xfId="15495" xr:uid="{00000000-0005-0000-0000-000094570000}"/>
    <cellStyle name="Normal 24 3 12 4" xfId="15496" xr:uid="{00000000-0005-0000-0000-000095570000}"/>
    <cellStyle name="Normal 24 3 12 5" xfId="15497" xr:uid="{00000000-0005-0000-0000-000096570000}"/>
    <cellStyle name="Normal 24 3 13" xfId="15498" xr:uid="{00000000-0005-0000-0000-000097570000}"/>
    <cellStyle name="Normal 24 3 13 2" xfId="15499" xr:uid="{00000000-0005-0000-0000-000098570000}"/>
    <cellStyle name="Normal 24 3 13 2 2" xfId="15500" xr:uid="{00000000-0005-0000-0000-000099570000}"/>
    <cellStyle name="Normal 24 3 13 3" xfId="15501" xr:uid="{00000000-0005-0000-0000-00009A570000}"/>
    <cellStyle name="Normal 24 3 13 4" xfId="15502" xr:uid="{00000000-0005-0000-0000-00009B570000}"/>
    <cellStyle name="Normal 24 3 14" xfId="15503" xr:uid="{00000000-0005-0000-0000-00009C570000}"/>
    <cellStyle name="Normal 24 3 14 2" xfId="15504" xr:uid="{00000000-0005-0000-0000-00009D570000}"/>
    <cellStyle name="Normal 24 3 14 3" xfId="15505" xr:uid="{00000000-0005-0000-0000-00009E570000}"/>
    <cellStyle name="Normal 24 3 15" xfId="15506" xr:uid="{00000000-0005-0000-0000-00009F570000}"/>
    <cellStyle name="Normal 24 3 15 2" xfId="15507" xr:uid="{00000000-0005-0000-0000-0000A0570000}"/>
    <cellStyle name="Normal 24 3 15 3" xfId="15508" xr:uid="{00000000-0005-0000-0000-0000A1570000}"/>
    <cellStyle name="Normal 24 3 16" xfId="15509" xr:uid="{00000000-0005-0000-0000-0000A2570000}"/>
    <cellStyle name="Normal 24 3 17" xfId="15510" xr:uid="{00000000-0005-0000-0000-0000A3570000}"/>
    <cellStyle name="Normal 24 3 17 2" xfId="52946" xr:uid="{00000000-0005-0000-0000-0000A4570000}"/>
    <cellStyle name="Normal 24 3 18" xfId="15511" xr:uid="{00000000-0005-0000-0000-0000A5570000}"/>
    <cellStyle name="Normal 24 3 2" xfId="15512" xr:uid="{00000000-0005-0000-0000-0000A6570000}"/>
    <cellStyle name="Normal 24 3 2 10" xfId="15513" xr:uid="{00000000-0005-0000-0000-0000A7570000}"/>
    <cellStyle name="Normal 24 3 2 10 2" xfId="15514" xr:uid="{00000000-0005-0000-0000-0000A8570000}"/>
    <cellStyle name="Normal 24 3 2 10 2 2" xfId="15515" xr:uid="{00000000-0005-0000-0000-0000A9570000}"/>
    <cellStyle name="Normal 24 3 2 10 3" xfId="15516" xr:uid="{00000000-0005-0000-0000-0000AA570000}"/>
    <cellStyle name="Normal 24 3 2 10 3 2" xfId="15517" xr:uid="{00000000-0005-0000-0000-0000AB570000}"/>
    <cellStyle name="Normal 24 3 2 10 4" xfId="15518" xr:uid="{00000000-0005-0000-0000-0000AC570000}"/>
    <cellStyle name="Normal 24 3 2 10 5" xfId="15519" xr:uid="{00000000-0005-0000-0000-0000AD570000}"/>
    <cellStyle name="Normal 24 3 2 11" xfId="15520" xr:uid="{00000000-0005-0000-0000-0000AE570000}"/>
    <cellStyle name="Normal 24 3 2 11 2" xfId="15521" xr:uid="{00000000-0005-0000-0000-0000AF570000}"/>
    <cellStyle name="Normal 24 3 2 11 2 2" xfId="15522" xr:uid="{00000000-0005-0000-0000-0000B0570000}"/>
    <cellStyle name="Normal 24 3 2 11 3" xfId="15523" xr:uid="{00000000-0005-0000-0000-0000B1570000}"/>
    <cellStyle name="Normal 24 3 2 11 3 2" xfId="15524" xr:uid="{00000000-0005-0000-0000-0000B2570000}"/>
    <cellStyle name="Normal 24 3 2 11 4" xfId="15525" xr:uid="{00000000-0005-0000-0000-0000B3570000}"/>
    <cellStyle name="Normal 24 3 2 11 5" xfId="15526" xr:uid="{00000000-0005-0000-0000-0000B4570000}"/>
    <cellStyle name="Normal 24 3 2 12" xfId="15527" xr:uid="{00000000-0005-0000-0000-0000B5570000}"/>
    <cellStyle name="Normal 24 3 2 12 2" xfId="15528" xr:uid="{00000000-0005-0000-0000-0000B6570000}"/>
    <cellStyle name="Normal 24 3 2 12 2 2" xfId="15529" xr:uid="{00000000-0005-0000-0000-0000B7570000}"/>
    <cellStyle name="Normal 24 3 2 12 3" xfId="15530" xr:uid="{00000000-0005-0000-0000-0000B8570000}"/>
    <cellStyle name="Normal 24 3 2 12 4" xfId="15531" xr:uid="{00000000-0005-0000-0000-0000B9570000}"/>
    <cellStyle name="Normal 24 3 2 13" xfId="15532" xr:uid="{00000000-0005-0000-0000-0000BA570000}"/>
    <cellStyle name="Normal 24 3 2 13 2" xfId="15533" xr:uid="{00000000-0005-0000-0000-0000BB570000}"/>
    <cellStyle name="Normal 24 3 2 13 3" xfId="15534" xr:uid="{00000000-0005-0000-0000-0000BC570000}"/>
    <cellStyle name="Normal 24 3 2 14" xfId="15535" xr:uid="{00000000-0005-0000-0000-0000BD570000}"/>
    <cellStyle name="Normal 24 3 2 14 2" xfId="15536" xr:uid="{00000000-0005-0000-0000-0000BE570000}"/>
    <cellStyle name="Normal 24 3 2 14 3" xfId="15537" xr:uid="{00000000-0005-0000-0000-0000BF570000}"/>
    <cellStyle name="Normal 24 3 2 15" xfId="15538" xr:uid="{00000000-0005-0000-0000-0000C0570000}"/>
    <cellStyle name="Normal 24 3 2 16" xfId="15539" xr:uid="{00000000-0005-0000-0000-0000C1570000}"/>
    <cellStyle name="Normal 24 3 2 16 2" xfId="52947" xr:uid="{00000000-0005-0000-0000-0000C2570000}"/>
    <cellStyle name="Normal 24 3 2 17" xfId="52948" xr:uid="{00000000-0005-0000-0000-0000C3570000}"/>
    <cellStyle name="Normal 24 3 2 2" xfId="15540" xr:uid="{00000000-0005-0000-0000-0000C4570000}"/>
    <cellStyle name="Normal 24 3 2 2 2" xfId="15541" xr:uid="{00000000-0005-0000-0000-0000C5570000}"/>
    <cellStyle name="Normal 24 3 2 2 2 2" xfId="15542" xr:uid="{00000000-0005-0000-0000-0000C6570000}"/>
    <cellStyle name="Normal 24 3 2 2 2 2 2" xfId="15543" xr:uid="{00000000-0005-0000-0000-0000C7570000}"/>
    <cellStyle name="Normal 24 3 2 2 2 2 2 2" xfId="52949" xr:uid="{00000000-0005-0000-0000-0000C8570000}"/>
    <cellStyle name="Normal 24 3 2 2 2 2 2 3" xfId="52950" xr:uid="{00000000-0005-0000-0000-0000C9570000}"/>
    <cellStyle name="Normal 24 3 2 2 2 2 3" xfId="15544" xr:uid="{00000000-0005-0000-0000-0000CA570000}"/>
    <cellStyle name="Normal 24 3 2 2 2 2 3 2" xfId="52951" xr:uid="{00000000-0005-0000-0000-0000CB570000}"/>
    <cellStyle name="Normal 24 3 2 2 2 2 4" xfId="15545" xr:uid="{00000000-0005-0000-0000-0000CC570000}"/>
    <cellStyle name="Normal 24 3 2 2 2 2 5" xfId="15546" xr:uid="{00000000-0005-0000-0000-0000CD570000}"/>
    <cellStyle name="Normal 24 3 2 2 2 2 6" xfId="15547" xr:uid="{00000000-0005-0000-0000-0000CE570000}"/>
    <cellStyle name="Normal 24 3 2 2 2 3" xfId="15548" xr:uid="{00000000-0005-0000-0000-0000CF570000}"/>
    <cellStyle name="Normal 24 3 2 2 2 3 2" xfId="52952" xr:uid="{00000000-0005-0000-0000-0000D0570000}"/>
    <cellStyle name="Normal 24 3 2 2 2 3 3" xfId="52953" xr:uid="{00000000-0005-0000-0000-0000D1570000}"/>
    <cellStyle name="Normal 24 3 2 2 2 4" xfId="15549" xr:uid="{00000000-0005-0000-0000-0000D2570000}"/>
    <cellStyle name="Normal 24 3 2 2 2 4 2" xfId="52954" xr:uid="{00000000-0005-0000-0000-0000D3570000}"/>
    <cellStyle name="Normal 24 3 2 2 2 5" xfId="15550" xr:uid="{00000000-0005-0000-0000-0000D4570000}"/>
    <cellStyle name="Normal 24 3 2 2 2 6" xfId="15551" xr:uid="{00000000-0005-0000-0000-0000D5570000}"/>
    <cellStyle name="Normal 24 3 2 2 2 7" xfId="15552" xr:uid="{00000000-0005-0000-0000-0000D6570000}"/>
    <cellStyle name="Normal 24 3 2 2 3" xfId="15553" xr:uid="{00000000-0005-0000-0000-0000D7570000}"/>
    <cellStyle name="Normal 24 3 2 2 3 2" xfId="15554" xr:uid="{00000000-0005-0000-0000-0000D8570000}"/>
    <cellStyle name="Normal 24 3 2 2 3 2 2" xfId="52955" xr:uid="{00000000-0005-0000-0000-0000D9570000}"/>
    <cellStyle name="Normal 24 3 2 2 3 2 3" xfId="52956" xr:uid="{00000000-0005-0000-0000-0000DA570000}"/>
    <cellStyle name="Normal 24 3 2 2 3 3" xfId="15555" xr:uid="{00000000-0005-0000-0000-0000DB570000}"/>
    <cellStyle name="Normal 24 3 2 2 3 3 2" xfId="52957" xr:uid="{00000000-0005-0000-0000-0000DC570000}"/>
    <cellStyle name="Normal 24 3 2 2 3 4" xfId="15556" xr:uid="{00000000-0005-0000-0000-0000DD570000}"/>
    <cellStyle name="Normal 24 3 2 2 3 5" xfId="15557" xr:uid="{00000000-0005-0000-0000-0000DE570000}"/>
    <cellStyle name="Normal 24 3 2 2 3 6" xfId="15558" xr:uid="{00000000-0005-0000-0000-0000DF570000}"/>
    <cellStyle name="Normal 24 3 2 2 4" xfId="15559" xr:uid="{00000000-0005-0000-0000-0000E0570000}"/>
    <cellStyle name="Normal 24 3 2 2 4 2" xfId="52958" xr:uid="{00000000-0005-0000-0000-0000E1570000}"/>
    <cellStyle name="Normal 24 3 2 2 4 3" xfId="52959" xr:uid="{00000000-0005-0000-0000-0000E2570000}"/>
    <cellStyle name="Normal 24 3 2 2 5" xfId="15560" xr:uid="{00000000-0005-0000-0000-0000E3570000}"/>
    <cellStyle name="Normal 24 3 2 2 5 2" xfId="52960" xr:uid="{00000000-0005-0000-0000-0000E4570000}"/>
    <cellStyle name="Normal 24 3 2 2 6" xfId="15561" xr:uid="{00000000-0005-0000-0000-0000E5570000}"/>
    <cellStyle name="Normal 24 3 2 2 7" xfId="15562" xr:uid="{00000000-0005-0000-0000-0000E6570000}"/>
    <cellStyle name="Normal 24 3 2 2 8" xfId="15563" xr:uid="{00000000-0005-0000-0000-0000E7570000}"/>
    <cellStyle name="Normal 24 3 2 2 9" xfId="15564" xr:uid="{00000000-0005-0000-0000-0000E8570000}"/>
    <cellStyle name="Normal 24 3 2 3" xfId="15565" xr:uid="{00000000-0005-0000-0000-0000E9570000}"/>
    <cellStyle name="Normal 24 3 2 3 2" xfId="15566" xr:uid="{00000000-0005-0000-0000-0000EA570000}"/>
    <cellStyle name="Normal 24 3 2 3 2 2" xfId="15567" xr:uid="{00000000-0005-0000-0000-0000EB570000}"/>
    <cellStyle name="Normal 24 3 2 3 2 2 2" xfId="15568" xr:uid="{00000000-0005-0000-0000-0000EC570000}"/>
    <cellStyle name="Normal 24 3 2 3 2 2 2 2" xfId="52961" xr:uid="{00000000-0005-0000-0000-0000ED570000}"/>
    <cellStyle name="Normal 24 3 2 3 2 2 2 3" xfId="52962" xr:uid="{00000000-0005-0000-0000-0000EE570000}"/>
    <cellStyle name="Normal 24 3 2 3 2 2 3" xfId="15569" xr:uid="{00000000-0005-0000-0000-0000EF570000}"/>
    <cellStyle name="Normal 24 3 2 3 2 2 3 2" xfId="52963" xr:uid="{00000000-0005-0000-0000-0000F0570000}"/>
    <cellStyle name="Normal 24 3 2 3 2 2 4" xfId="15570" xr:uid="{00000000-0005-0000-0000-0000F1570000}"/>
    <cellStyle name="Normal 24 3 2 3 2 2 5" xfId="15571" xr:uid="{00000000-0005-0000-0000-0000F2570000}"/>
    <cellStyle name="Normal 24 3 2 3 2 2 6" xfId="15572" xr:uid="{00000000-0005-0000-0000-0000F3570000}"/>
    <cellStyle name="Normal 24 3 2 3 2 3" xfId="15573" xr:uid="{00000000-0005-0000-0000-0000F4570000}"/>
    <cellStyle name="Normal 24 3 2 3 2 3 2" xfId="52964" xr:uid="{00000000-0005-0000-0000-0000F5570000}"/>
    <cellStyle name="Normal 24 3 2 3 2 3 3" xfId="52965" xr:uid="{00000000-0005-0000-0000-0000F6570000}"/>
    <cellStyle name="Normal 24 3 2 3 2 4" xfId="15574" xr:uid="{00000000-0005-0000-0000-0000F7570000}"/>
    <cellStyle name="Normal 24 3 2 3 2 4 2" xfId="52966" xr:uid="{00000000-0005-0000-0000-0000F8570000}"/>
    <cellStyle name="Normal 24 3 2 3 2 5" xfId="15575" xr:uid="{00000000-0005-0000-0000-0000F9570000}"/>
    <cellStyle name="Normal 24 3 2 3 2 6" xfId="15576" xr:uid="{00000000-0005-0000-0000-0000FA570000}"/>
    <cellStyle name="Normal 24 3 2 3 2 7" xfId="15577" xr:uid="{00000000-0005-0000-0000-0000FB570000}"/>
    <cellStyle name="Normal 24 3 2 3 3" xfId="15578" xr:uid="{00000000-0005-0000-0000-0000FC570000}"/>
    <cellStyle name="Normal 24 3 2 3 3 2" xfId="15579" xr:uid="{00000000-0005-0000-0000-0000FD570000}"/>
    <cellStyle name="Normal 24 3 2 3 3 2 2" xfId="52967" xr:uid="{00000000-0005-0000-0000-0000FE570000}"/>
    <cellStyle name="Normal 24 3 2 3 3 2 3" xfId="52968" xr:uid="{00000000-0005-0000-0000-0000FF570000}"/>
    <cellStyle name="Normal 24 3 2 3 3 3" xfId="15580" xr:uid="{00000000-0005-0000-0000-000000580000}"/>
    <cellStyle name="Normal 24 3 2 3 3 3 2" xfId="52969" xr:uid="{00000000-0005-0000-0000-000001580000}"/>
    <cellStyle name="Normal 24 3 2 3 3 4" xfId="15581" xr:uid="{00000000-0005-0000-0000-000002580000}"/>
    <cellStyle name="Normal 24 3 2 3 3 5" xfId="15582" xr:uid="{00000000-0005-0000-0000-000003580000}"/>
    <cellStyle name="Normal 24 3 2 3 3 6" xfId="15583" xr:uid="{00000000-0005-0000-0000-000004580000}"/>
    <cellStyle name="Normal 24 3 2 3 4" xfId="15584" xr:uid="{00000000-0005-0000-0000-000005580000}"/>
    <cellStyle name="Normal 24 3 2 3 4 2" xfId="52970" xr:uid="{00000000-0005-0000-0000-000006580000}"/>
    <cellStyle name="Normal 24 3 2 3 4 3" xfId="52971" xr:uid="{00000000-0005-0000-0000-000007580000}"/>
    <cellStyle name="Normal 24 3 2 3 5" xfId="15585" xr:uid="{00000000-0005-0000-0000-000008580000}"/>
    <cellStyle name="Normal 24 3 2 3 5 2" xfId="52972" xr:uid="{00000000-0005-0000-0000-000009580000}"/>
    <cellStyle name="Normal 24 3 2 3 6" xfId="15586" xr:uid="{00000000-0005-0000-0000-00000A580000}"/>
    <cellStyle name="Normal 24 3 2 3 7" xfId="15587" xr:uid="{00000000-0005-0000-0000-00000B580000}"/>
    <cellStyle name="Normal 24 3 2 3 8" xfId="15588" xr:uid="{00000000-0005-0000-0000-00000C580000}"/>
    <cellStyle name="Normal 24 3 2 4" xfId="15589" xr:uid="{00000000-0005-0000-0000-00000D580000}"/>
    <cellStyle name="Normal 24 3 2 4 2" xfId="15590" xr:uid="{00000000-0005-0000-0000-00000E580000}"/>
    <cellStyle name="Normal 24 3 2 4 2 2" xfId="15591" xr:uid="{00000000-0005-0000-0000-00000F580000}"/>
    <cellStyle name="Normal 24 3 2 4 2 2 2" xfId="52973" xr:uid="{00000000-0005-0000-0000-000010580000}"/>
    <cellStyle name="Normal 24 3 2 4 2 2 3" xfId="52974" xr:uid="{00000000-0005-0000-0000-000011580000}"/>
    <cellStyle name="Normal 24 3 2 4 2 3" xfId="15592" xr:uid="{00000000-0005-0000-0000-000012580000}"/>
    <cellStyle name="Normal 24 3 2 4 2 3 2" xfId="52975" xr:uid="{00000000-0005-0000-0000-000013580000}"/>
    <cellStyle name="Normal 24 3 2 4 2 4" xfId="15593" xr:uid="{00000000-0005-0000-0000-000014580000}"/>
    <cellStyle name="Normal 24 3 2 4 2 5" xfId="15594" xr:uid="{00000000-0005-0000-0000-000015580000}"/>
    <cellStyle name="Normal 24 3 2 4 2 6" xfId="15595" xr:uid="{00000000-0005-0000-0000-000016580000}"/>
    <cellStyle name="Normal 24 3 2 4 3" xfId="15596" xr:uid="{00000000-0005-0000-0000-000017580000}"/>
    <cellStyle name="Normal 24 3 2 4 3 2" xfId="52976" xr:uid="{00000000-0005-0000-0000-000018580000}"/>
    <cellStyle name="Normal 24 3 2 4 3 3" xfId="52977" xr:uid="{00000000-0005-0000-0000-000019580000}"/>
    <cellStyle name="Normal 24 3 2 4 4" xfId="15597" xr:uid="{00000000-0005-0000-0000-00001A580000}"/>
    <cellStyle name="Normal 24 3 2 4 4 2" xfId="52978" xr:uid="{00000000-0005-0000-0000-00001B580000}"/>
    <cellStyle name="Normal 24 3 2 4 5" xfId="15598" xr:uid="{00000000-0005-0000-0000-00001C580000}"/>
    <cellStyle name="Normal 24 3 2 4 6" xfId="15599" xr:uid="{00000000-0005-0000-0000-00001D580000}"/>
    <cellStyle name="Normal 24 3 2 4 7" xfId="15600" xr:uid="{00000000-0005-0000-0000-00001E580000}"/>
    <cellStyle name="Normal 24 3 2 5" xfId="15601" xr:uid="{00000000-0005-0000-0000-00001F580000}"/>
    <cellStyle name="Normal 24 3 2 5 2" xfId="15602" xr:uid="{00000000-0005-0000-0000-000020580000}"/>
    <cellStyle name="Normal 24 3 2 5 2 2" xfId="52979" xr:uid="{00000000-0005-0000-0000-000021580000}"/>
    <cellStyle name="Normal 24 3 2 5 2 3" xfId="52980" xr:uid="{00000000-0005-0000-0000-000022580000}"/>
    <cellStyle name="Normal 24 3 2 5 3" xfId="15603" xr:uid="{00000000-0005-0000-0000-000023580000}"/>
    <cellStyle name="Normal 24 3 2 5 3 2" xfId="52981" xr:uid="{00000000-0005-0000-0000-000024580000}"/>
    <cellStyle name="Normal 24 3 2 5 4" xfId="15604" xr:uid="{00000000-0005-0000-0000-000025580000}"/>
    <cellStyle name="Normal 24 3 2 5 5" xfId="15605" xr:uid="{00000000-0005-0000-0000-000026580000}"/>
    <cellStyle name="Normal 24 3 2 5 6" xfId="15606" xr:uid="{00000000-0005-0000-0000-000027580000}"/>
    <cellStyle name="Normal 24 3 2 6" xfId="15607" xr:uid="{00000000-0005-0000-0000-000028580000}"/>
    <cellStyle name="Normal 24 3 2 6 2" xfId="15608" xr:uid="{00000000-0005-0000-0000-000029580000}"/>
    <cellStyle name="Normal 24 3 2 6 2 2" xfId="15609" xr:uid="{00000000-0005-0000-0000-00002A580000}"/>
    <cellStyle name="Normal 24 3 2 6 2 2 2" xfId="15610" xr:uid="{00000000-0005-0000-0000-00002B580000}"/>
    <cellStyle name="Normal 24 3 2 6 2 3" xfId="15611" xr:uid="{00000000-0005-0000-0000-00002C580000}"/>
    <cellStyle name="Normal 24 3 2 6 2 3 2" xfId="15612" xr:uid="{00000000-0005-0000-0000-00002D580000}"/>
    <cellStyle name="Normal 24 3 2 6 2 4" xfId="15613" xr:uid="{00000000-0005-0000-0000-00002E580000}"/>
    <cellStyle name="Normal 24 3 2 6 3" xfId="15614" xr:uid="{00000000-0005-0000-0000-00002F580000}"/>
    <cellStyle name="Normal 24 3 2 6 3 2" xfId="15615" xr:uid="{00000000-0005-0000-0000-000030580000}"/>
    <cellStyle name="Normal 24 3 2 6 3 2 2" xfId="15616" xr:uid="{00000000-0005-0000-0000-000031580000}"/>
    <cellStyle name="Normal 24 3 2 6 3 3" xfId="15617" xr:uid="{00000000-0005-0000-0000-000032580000}"/>
    <cellStyle name="Normal 24 3 2 6 3 3 2" xfId="15618" xr:uid="{00000000-0005-0000-0000-000033580000}"/>
    <cellStyle name="Normal 24 3 2 6 3 4" xfId="15619" xr:uid="{00000000-0005-0000-0000-000034580000}"/>
    <cellStyle name="Normal 24 3 2 6 4" xfId="15620" xr:uid="{00000000-0005-0000-0000-000035580000}"/>
    <cellStyle name="Normal 24 3 2 6 4 2" xfId="15621" xr:uid="{00000000-0005-0000-0000-000036580000}"/>
    <cellStyle name="Normal 24 3 2 6 5" xfId="15622" xr:uid="{00000000-0005-0000-0000-000037580000}"/>
    <cellStyle name="Normal 24 3 2 6 5 2" xfId="15623" xr:uid="{00000000-0005-0000-0000-000038580000}"/>
    <cellStyle name="Normal 24 3 2 6 6" xfId="15624" xr:uid="{00000000-0005-0000-0000-000039580000}"/>
    <cellStyle name="Normal 24 3 2 6 7" xfId="15625" xr:uid="{00000000-0005-0000-0000-00003A580000}"/>
    <cellStyle name="Normal 24 3 2 7" xfId="15626" xr:uid="{00000000-0005-0000-0000-00003B580000}"/>
    <cellStyle name="Normal 24 3 2 7 2" xfId="15627" xr:uid="{00000000-0005-0000-0000-00003C580000}"/>
    <cellStyle name="Normal 24 3 2 7 2 2" xfId="15628" xr:uid="{00000000-0005-0000-0000-00003D580000}"/>
    <cellStyle name="Normal 24 3 2 7 3" xfId="15629" xr:uid="{00000000-0005-0000-0000-00003E580000}"/>
    <cellStyle name="Normal 24 3 2 7 3 2" xfId="15630" xr:uid="{00000000-0005-0000-0000-00003F580000}"/>
    <cellStyle name="Normal 24 3 2 7 4" xfId="15631" xr:uid="{00000000-0005-0000-0000-000040580000}"/>
    <cellStyle name="Normal 24 3 2 7 5" xfId="15632" xr:uid="{00000000-0005-0000-0000-000041580000}"/>
    <cellStyle name="Normal 24 3 2 8" xfId="15633" xr:uid="{00000000-0005-0000-0000-000042580000}"/>
    <cellStyle name="Normal 24 3 2 8 2" xfId="15634" xr:uid="{00000000-0005-0000-0000-000043580000}"/>
    <cellStyle name="Normal 24 3 2 8 2 2" xfId="15635" xr:uid="{00000000-0005-0000-0000-000044580000}"/>
    <cellStyle name="Normal 24 3 2 8 3" xfId="15636" xr:uid="{00000000-0005-0000-0000-000045580000}"/>
    <cellStyle name="Normal 24 3 2 8 3 2" xfId="15637" xr:uid="{00000000-0005-0000-0000-000046580000}"/>
    <cellStyle name="Normal 24 3 2 8 4" xfId="15638" xr:uid="{00000000-0005-0000-0000-000047580000}"/>
    <cellStyle name="Normal 24 3 2 8 5" xfId="15639" xr:uid="{00000000-0005-0000-0000-000048580000}"/>
    <cellStyle name="Normal 24 3 2 9" xfId="15640" xr:uid="{00000000-0005-0000-0000-000049580000}"/>
    <cellStyle name="Normal 24 3 2 9 2" xfId="15641" xr:uid="{00000000-0005-0000-0000-00004A580000}"/>
    <cellStyle name="Normal 24 3 2 9 2 2" xfId="15642" xr:uid="{00000000-0005-0000-0000-00004B580000}"/>
    <cellStyle name="Normal 24 3 2 9 3" xfId="15643" xr:uid="{00000000-0005-0000-0000-00004C580000}"/>
    <cellStyle name="Normal 24 3 2 9 3 2" xfId="15644" xr:uid="{00000000-0005-0000-0000-00004D580000}"/>
    <cellStyle name="Normal 24 3 2 9 4" xfId="15645" xr:uid="{00000000-0005-0000-0000-00004E580000}"/>
    <cellStyle name="Normal 24 3 2 9 5" xfId="15646" xr:uid="{00000000-0005-0000-0000-00004F580000}"/>
    <cellStyle name="Normal 24 3 3" xfId="15647" xr:uid="{00000000-0005-0000-0000-000050580000}"/>
    <cellStyle name="Normal 24 3 3 2" xfId="15648" xr:uid="{00000000-0005-0000-0000-000051580000}"/>
    <cellStyle name="Normal 24 3 3 2 2" xfId="15649" xr:uid="{00000000-0005-0000-0000-000052580000}"/>
    <cellStyle name="Normal 24 3 3 2 2 2" xfId="15650" xr:uid="{00000000-0005-0000-0000-000053580000}"/>
    <cellStyle name="Normal 24 3 3 2 2 2 2" xfId="52982" xr:uid="{00000000-0005-0000-0000-000054580000}"/>
    <cellStyle name="Normal 24 3 3 2 2 2 3" xfId="52983" xr:uid="{00000000-0005-0000-0000-000055580000}"/>
    <cellStyle name="Normal 24 3 3 2 2 3" xfId="15651" xr:uid="{00000000-0005-0000-0000-000056580000}"/>
    <cellStyle name="Normal 24 3 3 2 2 3 2" xfId="52984" xr:uid="{00000000-0005-0000-0000-000057580000}"/>
    <cellStyle name="Normal 24 3 3 2 2 4" xfId="15652" xr:uid="{00000000-0005-0000-0000-000058580000}"/>
    <cellStyle name="Normal 24 3 3 2 2 5" xfId="15653" xr:uid="{00000000-0005-0000-0000-000059580000}"/>
    <cellStyle name="Normal 24 3 3 2 2 6" xfId="15654" xr:uid="{00000000-0005-0000-0000-00005A580000}"/>
    <cellStyle name="Normal 24 3 3 2 3" xfId="15655" xr:uid="{00000000-0005-0000-0000-00005B580000}"/>
    <cellStyle name="Normal 24 3 3 2 3 2" xfId="52985" xr:uid="{00000000-0005-0000-0000-00005C580000}"/>
    <cellStyle name="Normal 24 3 3 2 3 3" xfId="52986" xr:uid="{00000000-0005-0000-0000-00005D580000}"/>
    <cellStyle name="Normal 24 3 3 2 4" xfId="15656" xr:uid="{00000000-0005-0000-0000-00005E580000}"/>
    <cellStyle name="Normal 24 3 3 2 4 2" xfId="52987" xr:uid="{00000000-0005-0000-0000-00005F580000}"/>
    <cellStyle name="Normal 24 3 3 2 5" xfId="15657" xr:uid="{00000000-0005-0000-0000-000060580000}"/>
    <cellStyle name="Normal 24 3 3 2 6" xfId="15658" xr:uid="{00000000-0005-0000-0000-000061580000}"/>
    <cellStyle name="Normal 24 3 3 2 7" xfId="15659" xr:uid="{00000000-0005-0000-0000-000062580000}"/>
    <cellStyle name="Normal 24 3 3 3" xfId="15660" xr:uid="{00000000-0005-0000-0000-000063580000}"/>
    <cellStyle name="Normal 24 3 3 3 2" xfId="15661" xr:uid="{00000000-0005-0000-0000-000064580000}"/>
    <cellStyle name="Normal 24 3 3 3 2 2" xfId="52988" xr:uid="{00000000-0005-0000-0000-000065580000}"/>
    <cellStyle name="Normal 24 3 3 3 2 3" xfId="52989" xr:uid="{00000000-0005-0000-0000-000066580000}"/>
    <cellStyle name="Normal 24 3 3 3 3" xfId="15662" xr:uid="{00000000-0005-0000-0000-000067580000}"/>
    <cellStyle name="Normal 24 3 3 3 3 2" xfId="52990" xr:uid="{00000000-0005-0000-0000-000068580000}"/>
    <cellStyle name="Normal 24 3 3 3 4" xfId="15663" xr:uid="{00000000-0005-0000-0000-000069580000}"/>
    <cellStyle name="Normal 24 3 3 3 5" xfId="15664" xr:uid="{00000000-0005-0000-0000-00006A580000}"/>
    <cellStyle name="Normal 24 3 3 3 6" xfId="15665" xr:uid="{00000000-0005-0000-0000-00006B580000}"/>
    <cellStyle name="Normal 24 3 3 4" xfId="15666" xr:uid="{00000000-0005-0000-0000-00006C580000}"/>
    <cellStyle name="Normal 24 3 3 4 2" xfId="52991" xr:uid="{00000000-0005-0000-0000-00006D580000}"/>
    <cellStyle name="Normal 24 3 3 4 3" xfId="52992" xr:uid="{00000000-0005-0000-0000-00006E580000}"/>
    <cellStyle name="Normal 24 3 3 5" xfId="15667" xr:uid="{00000000-0005-0000-0000-00006F580000}"/>
    <cellStyle name="Normal 24 3 3 5 2" xfId="52993" xr:uid="{00000000-0005-0000-0000-000070580000}"/>
    <cellStyle name="Normal 24 3 3 6" xfId="15668" xr:uid="{00000000-0005-0000-0000-000071580000}"/>
    <cellStyle name="Normal 24 3 3 7" xfId="15669" xr:uid="{00000000-0005-0000-0000-000072580000}"/>
    <cellStyle name="Normal 24 3 3 8" xfId="15670" xr:uid="{00000000-0005-0000-0000-000073580000}"/>
    <cellStyle name="Normal 24 3 3 9" xfId="15671" xr:uid="{00000000-0005-0000-0000-000074580000}"/>
    <cellStyle name="Normal 24 3 4" xfId="15672" xr:uid="{00000000-0005-0000-0000-000075580000}"/>
    <cellStyle name="Normal 24 3 4 2" xfId="15673" xr:uid="{00000000-0005-0000-0000-000076580000}"/>
    <cellStyle name="Normal 24 3 4 2 2" xfId="15674" xr:uid="{00000000-0005-0000-0000-000077580000}"/>
    <cellStyle name="Normal 24 3 4 2 2 2" xfId="15675" xr:uid="{00000000-0005-0000-0000-000078580000}"/>
    <cellStyle name="Normal 24 3 4 2 2 2 2" xfId="52994" xr:uid="{00000000-0005-0000-0000-000079580000}"/>
    <cellStyle name="Normal 24 3 4 2 2 2 3" xfId="52995" xr:uid="{00000000-0005-0000-0000-00007A580000}"/>
    <cellStyle name="Normal 24 3 4 2 2 3" xfId="15676" xr:uid="{00000000-0005-0000-0000-00007B580000}"/>
    <cellStyle name="Normal 24 3 4 2 2 3 2" xfId="52996" xr:uid="{00000000-0005-0000-0000-00007C580000}"/>
    <cellStyle name="Normal 24 3 4 2 2 4" xfId="15677" xr:uid="{00000000-0005-0000-0000-00007D580000}"/>
    <cellStyle name="Normal 24 3 4 2 2 5" xfId="15678" xr:uid="{00000000-0005-0000-0000-00007E580000}"/>
    <cellStyle name="Normal 24 3 4 2 2 6" xfId="15679" xr:uid="{00000000-0005-0000-0000-00007F580000}"/>
    <cellStyle name="Normal 24 3 4 2 3" xfId="15680" xr:uid="{00000000-0005-0000-0000-000080580000}"/>
    <cellStyle name="Normal 24 3 4 2 3 2" xfId="52997" xr:uid="{00000000-0005-0000-0000-000081580000}"/>
    <cellStyle name="Normal 24 3 4 2 3 3" xfId="52998" xr:uid="{00000000-0005-0000-0000-000082580000}"/>
    <cellStyle name="Normal 24 3 4 2 4" xfId="15681" xr:uid="{00000000-0005-0000-0000-000083580000}"/>
    <cellStyle name="Normal 24 3 4 2 4 2" xfId="52999" xr:uid="{00000000-0005-0000-0000-000084580000}"/>
    <cellStyle name="Normal 24 3 4 2 5" xfId="15682" xr:uid="{00000000-0005-0000-0000-000085580000}"/>
    <cellStyle name="Normal 24 3 4 2 6" xfId="15683" xr:uid="{00000000-0005-0000-0000-000086580000}"/>
    <cellStyle name="Normal 24 3 4 2 7" xfId="15684" xr:uid="{00000000-0005-0000-0000-000087580000}"/>
    <cellStyle name="Normal 24 3 4 3" xfId="15685" xr:uid="{00000000-0005-0000-0000-000088580000}"/>
    <cellStyle name="Normal 24 3 4 3 2" xfId="15686" xr:uid="{00000000-0005-0000-0000-000089580000}"/>
    <cellStyle name="Normal 24 3 4 3 2 2" xfId="53000" xr:uid="{00000000-0005-0000-0000-00008A580000}"/>
    <cellStyle name="Normal 24 3 4 3 2 3" xfId="53001" xr:uid="{00000000-0005-0000-0000-00008B580000}"/>
    <cellStyle name="Normal 24 3 4 3 3" xfId="15687" xr:uid="{00000000-0005-0000-0000-00008C580000}"/>
    <cellStyle name="Normal 24 3 4 3 3 2" xfId="53002" xr:uid="{00000000-0005-0000-0000-00008D580000}"/>
    <cellStyle name="Normal 24 3 4 3 4" xfId="15688" xr:uid="{00000000-0005-0000-0000-00008E580000}"/>
    <cellStyle name="Normal 24 3 4 3 5" xfId="15689" xr:uid="{00000000-0005-0000-0000-00008F580000}"/>
    <cellStyle name="Normal 24 3 4 3 6" xfId="15690" xr:uid="{00000000-0005-0000-0000-000090580000}"/>
    <cellStyle name="Normal 24 3 4 4" xfId="15691" xr:uid="{00000000-0005-0000-0000-000091580000}"/>
    <cellStyle name="Normal 24 3 4 4 2" xfId="53003" xr:uid="{00000000-0005-0000-0000-000092580000}"/>
    <cellStyle name="Normal 24 3 4 4 3" xfId="53004" xr:uid="{00000000-0005-0000-0000-000093580000}"/>
    <cellStyle name="Normal 24 3 4 5" xfId="15692" xr:uid="{00000000-0005-0000-0000-000094580000}"/>
    <cellStyle name="Normal 24 3 4 5 2" xfId="53005" xr:uid="{00000000-0005-0000-0000-000095580000}"/>
    <cellStyle name="Normal 24 3 4 6" xfId="15693" xr:uid="{00000000-0005-0000-0000-000096580000}"/>
    <cellStyle name="Normal 24 3 4 7" xfId="15694" xr:uid="{00000000-0005-0000-0000-000097580000}"/>
    <cellStyle name="Normal 24 3 4 8" xfId="15695" xr:uid="{00000000-0005-0000-0000-000098580000}"/>
    <cellStyle name="Normal 24 3 5" xfId="15696" xr:uid="{00000000-0005-0000-0000-000099580000}"/>
    <cellStyle name="Normal 24 3 5 2" xfId="15697" xr:uid="{00000000-0005-0000-0000-00009A580000}"/>
    <cellStyle name="Normal 24 3 5 2 2" xfId="15698" xr:uid="{00000000-0005-0000-0000-00009B580000}"/>
    <cellStyle name="Normal 24 3 5 2 2 2" xfId="53006" xr:uid="{00000000-0005-0000-0000-00009C580000}"/>
    <cellStyle name="Normal 24 3 5 2 2 3" xfId="53007" xr:uid="{00000000-0005-0000-0000-00009D580000}"/>
    <cellStyle name="Normal 24 3 5 2 3" xfId="15699" xr:uid="{00000000-0005-0000-0000-00009E580000}"/>
    <cellStyle name="Normal 24 3 5 2 3 2" xfId="53008" xr:uid="{00000000-0005-0000-0000-00009F580000}"/>
    <cellStyle name="Normal 24 3 5 2 4" xfId="15700" xr:uid="{00000000-0005-0000-0000-0000A0580000}"/>
    <cellStyle name="Normal 24 3 5 2 5" xfId="15701" xr:uid="{00000000-0005-0000-0000-0000A1580000}"/>
    <cellStyle name="Normal 24 3 5 2 6" xfId="15702" xr:uid="{00000000-0005-0000-0000-0000A2580000}"/>
    <cellStyle name="Normal 24 3 5 3" xfId="15703" xr:uid="{00000000-0005-0000-0000-0000A3580000}"/>
    <cellStyle name="Normal 24 3 5 3 2" xfId="53009" xr:uid="{00000000-0005-0000-0000-0000A4580000}"/>
    <cellStyle name="Normal 24 3 5 3 3" xfId="53010" xr:uid="{00000000-0005-0000-0000-0000A5580000}"/>
    <cellStyle name="Normal 24 3 5 4" xfId="15704" xr:uid="{00000000-0005-0000-0000-0000A6580000}"/>
    <cellStyle name="Normal 24 3 5 4 2" xfId="53011" xr:uid="{00000000-0005-0000-0000-0000A7580000}"/>
    <cellStyle name="Normal 24 3 5 5" xfId="15705" xr:uid="{00000000-0005-0000-0000-0000A8580000}"/>
    <cellStyle name="Normal 24 3 5 6" xfId="15706" xr:uid="{00000000-0005-0000-0000-0000A9580000}"/>
    <cellStyle name="Normal 24 3 5 7" xfId="15707" xr:uid="{00000000-0005-0000-0000-0000AA580000}"/>
    <cellStyle name="Normal 24 3 6" xfId="15708" xr:uid="{00000000-0005-0000-0000-0000AB580000}"/>
    <cellStyle name="Normal 24 3 6 2" xfId="15709" xr:uid="{00000000-0005-0000-0000-0000AC580000}"/>
    <cellStyle name="Normal 24 3 6 2 2" xfId="53012" xr:uid="{00000000-0005-0000-0000-0000AD580000}"/>
    <cellStyle name="Normal 24 3 6 2 3" xfId="53013" xr:uid="{00000000-0005-0000-0000-0000AE580000}"/>
    <cellStyle name="Normal 24 3 6 3" xfId="15710" xr:uid="{00000000-0005-0000-0000-0000AF580000}"/>
    <cellStyle name="Normal 24 3 6 3 2" xfId="53014" xr:uid="{00000000-0005-0000-0000-0000B0580000}"/>
    <cellStyle name="Normal 24 3 6 4" xfId="15711" xr:uid="{00000000-0005-0000-0000-0000B1580000}"/>
    <cellStyle name="Normal 24 3 6 5" xfId="15712" xr:uid="{00000000-0005-0000-0000-0000B2580000}"/>
    <cellStyle name="Normal 24 3 6 6" xfId="15713" xr:uid="{00000000-0005-0000-0000-0000B3580000}"/>
    <cellStyle name="Normal 24 3 7" xfId="15714" xr:uid="{00000000-0005-0000-0000-0000B4580000}"/>
    <cellStyle name="Normal 24 3 7 2" xfId="15715" xr:uid="{00000000-0005-0000-0000-0000B5580000}"/>
    <cellStyle name="Normal 24 3 7 2 2" xfId="15716" xr:uid="{00000000-0005-0000-0000-0000B6580000}"/>
    <cellStyle name="Normal 24 3 7 2 2 2" xfId="15717" xr:uid="{00000000-0005-0000-0000-0000B7580000}"/>
    <cellStyle name="Normal 24 3 7 2 3" xfId="15718" xr:uid="{00000000-0005-0000-0000-0000B8580000}"/>
    <cellStyle name="Normal 24 3 7 2 3 2" xfId="15719" xr:uid="{00000000-0005-0000-0000-0000B9580000}"/>
    <cellStyle name="Normal 24 3 7 2 4" xfId="15720" xr:uid="{00000000-0005-0000-0000-0000BA580000}"/>
    <cellStyle name="Normal 24 3 7 3" xfId="15721" xr:uid="{00000000-0005-0000-0000-0000BB580000}"/>
    <cellStyle name="Normal 24 3 7 3 2" xfId="15722" xr:uid="{00000000-0005-0000-0000-0000BC580000}"/>
    <cellStyle name="Normal 24 3 7 3 2 2" xfId="15723" xr:uid="{00000000-0005-0000-0000-0000BD580000}"/>
    <cellStyle name="Normal 24 3 7 3 3" xfId="15724" xr:uid="{00000000-0005-0000-0000-0000BE580000}"/>
    <cellStyle name="Normal 24 3 7 3 3 2" xfId="15725" xr:uid="{00000000-0005-0000-0000-0000BF580000}"/>
    <cellStyle name="Normal 24 3 7 3 4" xfId="15726" xr:uid="{00000000-0005-0000-0000-0000C0580000}"/>
    <cellStyle name="Normal 24 3 7 4" xfId="15727" xr:uid="{00000000-0005-0000-0000-0000C1580000}"/>
    <cellStyle name="Normal 24 3 7 4 2" xfId="15728" xr:uid="{00000000-0005-0000-0000-0000C2580000}"/>
    <cellStyle name="Normal 24 3 7 5" xfId="15729" xr:uid="{00000000-0005-0000-0000-0000C3580000}"/>
    <cellStyle name="Normal 24 3 7 5 2" xfId="15730" xr:uid="{00000000-0005-0000-0000-0000C4580000}"/>
    <cellStyle name="Normal 24 3 7 6" xfId="15731" xr:uid="{00000000-0005-0000-0000-0000C5580000}"/>
    <cellStyle name="Normal 24 3 7 7" xfId="15732" xr:uid="{00000000-0005-0000-0000-0000C6580000}"/>
    <cellStyle name="Normal 24 3 8" xfId="15733" xr:uid="{00000000-0005-0000-0000-0000C7580000}"/>
    <cellStyle name="Normal 24 3 8 2" xfId="15734" xr:uid="{00000000-0005-0000-0000-0000C8580000}"/>
    <cellStyle name="Normal 24 3 8 2 2" xfId="15735" xr:uid="{00000000-0005-0000-0000-0000C9580000}"/>
    <cellStyle name="Normal 24 3 8 3" xfId="15736" xr:uid="{00000000-0005-0000-0000-0000CA580000}"/>
    <cellStyle name="Normal 24 3 8 3 2" xfId="15737" xr:uid="{00000000-0005-0000-0000-0000CB580000}"/>
    <cellStyle name="Normal 24 3 8 4" xfId="15738" xr:uid="{00000000-0005-0000-0000-0000CC580000}"/>
    <cellStyle name="Normal 24 3 8 5" xfId="15739" xr:uid="{00000000-0005-0000-0000-0000CD580000}"/>
    <cellStyle name="Normal 24 3 9" xfId="15740" xr:uid="{00000000-0005-0000-0000-0000CE580000}"/>
    <cellStyle name="Normal 24 3 9 2" xfId="15741" xr:uid="{00000000-0005-0000-0000-0000CF580000}"/>
    <cellStyle name="Normal 24 3 9 2 2" xfId="15742" xr:uid="{00000000-0005-0000-0000-0000D0580000}"/>
    <cellStyle name="Normal 24 3 9 3" xfId="15743" xr:uid="{00000000-0005-0000-0000-0000D1580000}"/>
    <cellStyle name="Normal 24 3 9 3 2" xfId="15744" xr:uid="{00000000-0005-0000-0000-0000D2580000}"/>
    <cellStyle name="Normal 24 3 9 4" xfId="15745" xr:uid="{00000000-0005-0000-0000-0000D3580000}"/>
    <cellStyle name="Normal 24 3 9 5" xfId="15746" xr:uid="{00000000-0005-0000-0000-0000D4580000}"/>
    <cellStyle name="Normal 24 4" xfId="15747" xr:uid="{00000000-0005-0000-0000-0000D5580000}"/>
    <cellStyle name="Normal 24 4 10" xfId="15748" xr:uid="{00000000-0005-0000-0000-0000D6580000}"/>
    <cellStyle name="Normal 24 4 10 2" xfId="15749" xr:uid="{00000000-0005-0000-0000-0000D7580000}"/>
    <cellStyle name="Normal 24 4 10 2 2" xfId="15750" xr:uid="{00000000-0005-0000-0000-0000D8580000}"/>
    <cellStyle name="Normal 24 4 10 3" xfId="15751" xr:uid="{00000000-0005-0000-0000-0000D9580000}"/>
    <cellStyle name="Normal 24 4 10 3 2" xfId="15752" xr:uid="{00000000-0005-0000-0000-0000DA580000}"/>
    <cellStyle name="Normal 24 4 10 4" xfId="15753" xr:uid="{00000000-0005-0000-0000-0000DB580000}"/>
    <cellStyle name="Normal 24 4 10 5" xfId="15754" xr:uid="{00000000-0005-0000-0000-0000DC580000}"/>
    <cellStyle name="Normal 24 4 11" xfId="15755" xr:uid="{00000000-0005-0000-0000-0000DD580000}"/>
    <cellStyle name="Normal 24 4 11 2" xfId="15756" xr:uid="{00000000-0005-0000-0000-0000DE580000}"/>
    <cellStyle name="Normal 24 4 11 2 2" xfId="15757" xr:uid="{00000000-0005-0000-0000-0000DF580000}"/>
    <cellStyle name="Normal 24 4 11 3" xfId="15758" xr:uid="{00000000-0005-0000-0000-0000E0580000}"/>
    <cellStyle name="Normal 24 4 11 3 2" xfId="15759" xr:uid="{00000000-0005-0000-0000-0000E1580000}"/>
    <cellStyle name="Normal 24 4 11 4" xfId="15760" xr:uid="{00000000-0005-0000-0000-0000E2580000}"/>
    <cellStyle name="Normal 24 4 11 5" xfId="15761" xr:uid="{00000000-0005-0000-0000-0000E3580000}"/>
    <cellStyle name="Normal 24 4 12" xfId="15762" xr:uid="{00000000-0005-0000-0000-0000E4580000}"/>
    <cellStyle name="Normal 24 4 12 2" xfId="15763" xr:uid="{00000000-0005-0000-0000-0000E5580000}"/>
    <cellStyle name="Normal 24 4 12 2 2" xfId="15764" xr:uid="{00000000-0005-0000-0000-0000E6580000}"/>
    <cellStyle name="Normal 24 4 12 3" xfId="15765" xr:uid="{00000000-0005-0000-0000-0000E7580000}"/>
    <cellStyle name="Normal 24 4 12 4" xfId="15766" xr:uid="{00000000-0005-0000-0000-0000E8580000}"/>
    <cellStyle name="Normal 24 4 13" xfId="15767" xr:uid="{00000000-0005-0000-0000-0000E9580000}"/>
    <cellStyle name="Normal 24 4 13 2" xfId="15768" xr:uid="{00000000-0005-0000-0000-0000EA580000}"/>
    <cellStyle name="Normal 24 4 13 3" xfId="15769" xr:uid="{00000000-0005-0000-0000-0000EB580000}"/>
    <cellStyle name="Normal 24 4 14" xfId="15770" xr:uid="{00000000-0005-0000-0000-0000EC580000}"/>
    <cellStyle name="Normal 24 4 14 2" xfId="15771" xr:uid="{00000000-0005-0000-0000-0000ED580000}"/>
    <cellStyle name="Normal 24 4 14 3" xfId="15772" xr:uid="{00000000-0005-0000-0000-0000EE580000}"/>
    <cellStyle name="Normal 24 4 15" xfId="15773" xr:uid="{00000000-0005-0000-0000-0000EF580000}"/>
    <cellStyle name="Normal 24 4 16" xfId="15774" xr:uid="{00000000-0005-0000-0000-0000F0580000}"/>
    <cellStyle name="Normal 24 4 16 2" xfId="53015" xr:uid="{00000000-0005-0000-0000-0000F1580000}"/>
    <cellStyle name="Normal 24 4 17" xfId="53016" xr:uid="{00000000-0005-0000-0000-0000F2580000}"/>
    <cellStyle name="Normal 24 4 2" xfId="15775" xr:uid="{00000000-0005-0000-0000-0000F3580000}"/>
    <cellStyle name="Normal 24 4 2 10" xfId="15776" xr:uid="{00000000-0005-0000-0000-0000F4580000}"/>
    <cellStyle name="Normal 24 4 2 10 2" xfId="15777" xr:uid="{00000000-0005-0000-0000-0000F5580000}"/>
    <cellStyle name="Normal 24 4 2 10 2 2" xfId="15778" xr:uid="{00000000-0005-0000-0000-0000F6580000}"/>
    <cellStyle name="Normal 24 4 2 10 3" xfId="15779" xr:uid="{00000000-0005-0000-0000-0000F7580000}"/>
    <cellStyle name="Normal 24 4 2 11" xfId="15780" xr:uid="{00000000-0005-0000-0000-0000F8580000}"/>
    <cellStyle name="Normal 24 4 2 11 2" xfId="15781" xr:uid="{00000000-0005-0000-0000-0000F9580000}"/>
    <cellStyle name="Normal 24 4 2 12" xfId="15782" xr:uid="{00000000-0005-0000-0000-0000FA580000}"/>
    <cellStyle name="Normal 24 4 2 12 2" xfId="15783" xr:uid="{00000000-0005-0000-0000-0000FB580000}"/>
    <cellStyle name="Normal 24 4 2 13" xfId="15784" xr:uid="{00000000-0005-0000-0000-0000FC580000}"/>
    <cellStyle name="Normal 24 4 2 14" xfId="15785" xr:uid="{00000000-0005-0000-0000-0000FD580000}"/>
    <cellStyle name="Normal 24 4 2 14 2" xfId="53017" xr:uid="{00000000-0005-0000-0000-0000FE580000}"/>
    <cellStyle name="Normal 24 4 2 15" xfId="53018" xr:uid="{00000000-0005-0000-0000-0000FF580000}"/>
    <cellStyle name="Normal 24 4 2 2" xfId="15786" xr:uid="{00000000-0005-0000-0000-000000590000}"/>
    <cellStyle name="Normal 24 4 2 2 2" xfId="15787" xr:uid="{00000000-0005-0000-0000-000001590000}"/>
    <cellStyle name="Normal 24 4 2 2 2 2" xfId="15788" xr:uid="{00000000-0005-0000-0000-000002590000}"/>
    <cellStyle name="Normal 24 4 2 2 2 2 2" xfId="53019" xr:uid="{00000000-0005-0000-0000-000003590000}"/>
    <cellStyle name="Normal 24 4 2 2 2 2 3" xfId="53020" xr:uid="{00000000-0005-0000-0000-000004590000}"/>
    <cellStyle name="Normal 24 4 2 2 2 3" xfId="15789" xr:uid="{00000000-0005-0000-0000-000005590000}"/>
    <cellStyle name="Normal 24 4 2 2 2 3 2" xfId="53021" xr:uid="{00000000-0005-0000-0000-000006590000}"/>
    <cellStyle name="Normal 24 4 2 2 2 4" xfId="15790" xr:uid="{00000000-0005-0000-0000-000007590000}"/>
    <cellStyle name="Normal 24 4 2 2 2 5" xfId="15791" xr:uid="{00000000-0005-0000-0000-000008590000}"/>
    <cellStyle name="Normal 24 4 2 2 2 6" xfId="15792" xr:uid="{00000000-0005-0000-0000-000009590000}"/>
    <cellStyle name="Normal 24 4 2 2 3" xfId="15793" xr:uid="{00000000-0005-0000-0000-00000A590000}"/>
    <cellStyle name="Normal 24 4 2 2 3 2" xfId="53022" xr:uid="{00000000-0005-0000-0000-00000B590000}"/>
    <cellStyle name="Normal 24 4 2 2 3 3" xfId="53023" xr:uid="{00000000-0005-0000-0000-00000C590000}"/>
    <cellStyle name="Normal 24 4 2 2 4" xfId="15794" xr:uid="{00000000-0005-0000-0000-00000D590000}"/>
    <cellStyle name="Normal 24 4 2 2 4 2" xfId="53024" xr:uid="{00000000-0005-0000-0000-00000E590000}"/>
    <cellStyle name="Normal 24 4 2 2 5" xfId="15795" xr:uid="{00000000-0005-0000-0000-00000F590000}"/>
    <cellStyle name="Normal 24 4 2 2 6" xfId="15796" xr:uid="{00000000-0005-0000-0000-000010590000}"/>
    <cellStyle name="Normal 24 4 2 2 7" xfId="15797" xr:uid="{00000000-0005-0000-0000-000011590000}"/>
    <cellStyle name="Normal 24 4 2 3" xfId="15798" xr:uid="{00000000-0005-0000-0000-000012590000}"/>
    <cellStyle name="Normal 24 4 2 3 2" xfId="15799" xr:uid="{00000000-0005-0000-0000-000013590000}"/>
    <cellStyle name="Normal 24 4 2 3 2 2" xfId="53025" xr:uid="{00000000-0005-0000-0000-000014590000}"/>
    <cellStyle name="Normal 24 4 2 3 2 3" xfId="53026" xr:uid="{00000000-0005-0000-0000-000015590000}"/>
    <cellStyle name="Normal 24 4 2 3 3" xfId="15800" xr:uid="{00000000-0005-0000-0000-000016590000}"/>
    <cellStyle name="Normal 24 4 2 3 3 2" xfId="53027" xr:uid="{00000000-0005-0000-0000-000017590000}"/>
    <cellStyle name="Normal 24 4 2 3 4" xfId="15801" xr:uid="{00000000-0005-0000-0000-000018590000}"/>
    <cellStyle name="Normal 24 4 2 3 5" xfId="15802" xr:uid="{00000000-0005-0000-0000-000019590000}"/>
    <cellStyle name="Normal 24 4 2 3 6" xfId="15803" xr:uid="{00000000-0005-0000-0000-00001A590000}"/>
    <cellStyle name="Normal 24 4 2 4" xfId="15804" xr:uid="{00000000-0005-0000-0000-00001B590000}"/>
    <cellStyle name="Normal 24 4 2 4 2" xfId="15805" xr:uid="{00000000-0005-0000-0000-00001C590000}"/>
    <cellStyle name="Normal 24 4 2 4 2 2" xfId="15806" xr:uid="{00000000-0005-0000-0000-00001D590000}"/>
    <cellStyle name="Normal 24 4 2 4 2 2 2" xfId="15807" xr:uid="{00000000-0005-0000-0000-00001E590000}"/>
    <cellStyle name="Normal 24 4 2 4 2 3" xfId="15808" xr:uid="{00000000-0005-0000-0000-00001F590000}"/>
    <cellStyle name="Normal 24 4 2 4 2 3 2" xfId="15809" xr:uid="{00000000-0005-0000-0000-000020590000}"/>
    <cellStyle name="Normal 24 4 2 4 2 4" xfId="15810" xr:uid="{00000000-0005-0000-0000-000021590000}"/>
    <cellStyle name="Normal 24 4 2 4 3" xfId="15811" xr:uid="{00000000-0005-0000-0000-000022590000}"/>
    <cellStyle name="Normal 24 4 2 4 3 2" xfId="15812" xr:uid="{00000000-0005-0000-0000-000023590000}"/>
    <cellStyle name="Normal 24 4 2 4 3 2 2" xfId="15813" xr:uid="{00000000-0005-0000-0000-000024590000}"/>
    <cellStyle name="Normal 24 4 2 4 3 3" xfId="15814" xr:uid="{00000000-0005-0000-0000-000025590000}"/>
    <cellStyle name="Normal 24 4 2 4 3 3 2" xfId="15815" xr:uid="{00000000-0005-0000-0000-000026590000}"/>
    <cellStyle name="Normal 24 4 2 4 3 4" xfId="15816" xr:uid="{00000000-0005-0000-0000-000027590000}"/>
    <cellStyle name="Normal 24 4 2 4 4" xfId="15817" xr:uid="{00000000-0005-0000-0000-000028590000}"/>
    <cellStyle name="Normal 24 4 2 4 4 2" xfId="15818" xr:uid="{00000000-0005-0000-0000-000029590000}"/>
    <cellStyle name="Normal 24 4 2 4 5" xfId="15819" xr:uid="{00000000-0005-0000-0000-00002A590000}"/>
    <cellStyle name="Normal 24 4 2 4 5 2" xfId="15820" xr:uid="{00000000-0005-0000-0000-00002B590000}"/>
    <cellStyle name="Normal 24 4 2 4 6" xfId="15821" xr:uid="{00000000-0005-0000-0000-00002C590000}"/>
    <cellStyle name="Normal 24 4 2 4 7" xfId="15822" xr:uid="{00000000-0005-0000-0000-00002D590000}"/>
    <cellStyle name="Normal 24 4 2 5" xfId="15823" xr:uid="{00000000-0005-0000-0000-00002E590000}"/>
    <cellStyle name="Normal 24 4 2 5 2" xfId="15824" xr:uid="{00000000-0005-0000-0000-00002F590000}"/>
    <cellStyle name="Normal 24 4 2 5 2 2" xfId="15825" xr:uid="{00000000-0005-0000-0000-000030590000}"/>
    <cellStyle name="Normal 24 4 2 5 3" xfId="15826" xr:uid="{00000000-0005-0000-0000-000031590000}"/>
    <cellStyle name="Normal 24 4 2 5 3 2" xfId="15827" xr:uid="{00000000-0005-0000-0000-000032590000}"/>
    <cellStyle name="Normal 24 4 2 5 4" xfId="15828" xr:uid="{00000000-0005-0000-0000-000033590000}"/>
    <cellStyle name="Normal 24 4 2 5 5" xfId="15829" xr:uid="{00000000-0005-0000-0000-000034590000}"/>
    <cellStyle name="Normal 24 4 2 6" xfId="15830" xr:uid="{00000000-0005-0000-0000-000035590000}"/>
    <cellStyle name="Normal 24 4 2 6 2" xfId="15831" xr:uid="{00000000-0005-0000-0000-000036590000}"/>
    <cellStyle name="Normal 24 4 2 6 2 2" xfId="15832" xr:uid="{00000000-0005-0000-0000-000037590000}"/>
    <cellStyle name="Normal 24 4 2 6 3" xfId="15833" xr:uid="{00000000-0005-0000-0000-000038590000}"/>
    <cellStyle name="Normal 24 4 2 6 3 2" xfId="15834" xr:uid="{00000000-0005-0000-0000-000039590000}"/>
    <cellStyle name="Normal 24 4 2 6 4" xfId="15835" xr:uid="{00000000-0005-0000-0000-00003A590000}"/>
    <cellStyle name="Normal 24 4 2 6 5" xfId="15836" xr:uid="{00000000-0005-0000-0000-00003B590000}"/>
    <cellStyle name="Normal 24 4 2 7" xfId="15837" xr:uid="{00000000-0005-0000-0000-00003C590000}"/>
    <cellStyle name="Normal 24 4 2 7 2" xfId="15838" xr:uid="{00000000-0005-0000-0000-00003D590000}"/>
    <cellStyle name="Normal 24 4 2 7 2 2" xfId="15839" xr:uid="{00000000-0005-0000-0000-00003E590000}"/>
    <cellStyle name="Normal 24 4 2 7 3" xfId="15840" xr:uid="{00000000-0005-0000-0000-00003F590000}"/>
    <cellStyle name="Normal 24 4 2 7 3 2" xfId="15841" xr:uid="{00000000-0005-0000-0000-000040590000}"/>
    <cellStyle name="Normal 24 4 2 7 4" xfId="15842" xr:uid="{00000000-0005-0000-0000-000041590000}"/>
    <cellStyle name="Normal 24 4 2 7 5" xfId="15843" xr:uid="{00000000-0005-0000-0000-000042590000}"/>
    <cellStyle name="Normal 24 4 2 8" xfId="15844" xr:uid="{00000000-0005-0000-0000-000043590000}"/>
    <cellStyle name="Normal 24 4 2 8 2" xfId="15845" xr:uid="{00000000-0005-0000-0000-000044590000}"/>
    <cellStyle name="Normal 24 4 2 8 2 2" xfId="15846" xr:uid="{00000000-0005-0000-0000-000045590000}"/>
    <cellStyle name="Normal 24 4 2 8 3" xfId="15847" xr:uid="{00000000-0005-0000-0000-000046590000}"/>
    <cellStyle name="Normal 24 4 2 8 3 2" xfId="15848" xr:uid="{00000000-0005-0000-0000-000047590000}"/>
    <cellStyle name="Normal 24 4 2 8 4" xfId="15849" xr:uid="{00000000-0005-0000-0000-000048590000}"/>
    <cellStyle name="Normal 24 4 2 8 5" xfId="15850" xr:uid="{00000000-0005-0000-0000-000049590000}"/>
    <cellStyle name="Normal 24 4 2 9" xfId="15851" xr:uid="{00000000-0005-0000-0000-00004A590000}"/>
    <cellStyle name="Normal 24 4 2 9 2" xfId="15852" xr:uid="{00000000-0005-0000-0000-00004B590000}"/>
    <cellStyle name="Normal 24 4 2 9 2 2" xfId="15853" xr:uid="{00000000-0005-0000-0000-00004C590000}"/>
    <cellStyle name="Normal 24 4 2 9 3" xfId="15854" xr:uid="{00000000-0005-0000-0000-00004D590000}"/>
    <cellStyle name="Normal 24 4 2 9 3 2" xfId="15855" xr:uid="{00000000-0005-0000-0000-00004E590000}"/>
    <cellStyle name="Normal 24 4 2 9 4" xfId="15856" xr:uid="{00000000-0005-0000-0000-00004F590000}"/>
    <cellStyle name="Normal 24 4 2 9 5" xfId="15857" xr:uid="{00000000-0005-0000-0000-000050590000}"/>
    <cellStyle name="Normal 24 4 3" xfId="15858" xr:uid="{00000000-0005-0000-0000-000051590000}"/>
    <cellStyle name="Normal 24 4 3 2" xfId="15859" xr:uid="{00000000-0005-0000-0000-000052590000}"/>
    <cellStyle name="Normal 24 4 3 2 2" xfId="15860" xr:uid="{00000000-0005-0000-0000-000053590000}"/>
    <cellStyle name="Normal 24 4 3 2 2 2" xfId="15861" xr:uid="{00000000-0005-0000-0000-000054590000}"/>
    <cellStyle name="Normal 24 4 3 2 2 2 2" xfId="53028" xr:uid="{00000000-0005-0000-0000-000055590000}"/>
    <cellStyle name="Normal 24 4 3 2 2 2 3" xfId="53029" xr:uid="{00000000-0005-0000-0000-000056590000}"/>
    <cellStyle name="Normal 24 4 3 2 2 3" xfId="15862" xr:uid="{00000000-0005-0000-0000-000057590000}"/>
    <cellStyle name="Normal 24 4 3 2 2 3 2" xfId="53030" xr:uid="{00000000-0005-0000-0000-000058590000}"/>
    <cellStyle name="Normal 24 4 3 2 2 4" xfId="15863" xr:uid="{00000000-0005-0000-0000-000059590000}"/>
    <cellStyle name="Normal 24 4 3 2 2 5" xfId="15864" xr:uid="{00000000-0005-0000-0000-00005A590000}"/>
    <cellStyle name="Normal 24 4 3 2 2 6" xfId="15865" xr:uid="{00000000-0005-0000-0000-00005B590000}"/>
    <cellStyle name="Normal 24 4 3 2 3" xfId="15866" xr:uid="{00000000-0005-0000-0000-00005C590000}"/>
    <cellStyle name="Normal 24 4 3 2 3 2" xfId="53031" xr:uid="{00000000-0005-0000-0000-00005D590000}"/>
    <cellStyle name="Normal 24 4 3 2 3 3" xfId="53032" xr:uid="{00000000-0005-0000-0000-00005E590000}"/>
    <cellStyle name="Normal 24 4 3 2 4" xfId="15867" xr:uid="{00000000-0005-0000-0000-00005F590000}"/>
    <cellStyle name="Normal 24 4 3 2 4 2" xfId="53033" xr:uid="{00000000-0005-0000-0000-000060590000}"/>
    <cellStyle name="Normal 24 4 3 2 5" xfId="15868" xr:uid="{00000000-0005-0000-0000-000061590000}"/>
    <cellStyle name="Normal 24 4 3 2 6" xfId="15869" xr:uid="{00000000-0005-0000-0000-000062590000}"/>
    <cellStyle name="Normal 24 4 3 2 7" xfId="15870" xr:uid="{00000000-0005-0000-0000-000063590000}"/>
    <cellStyle name="Normal 24 4 3 3" xfId="15871" xr:uid="{00000000-0005-0000-0000-000064590000}"/>
    <cellStyle name="Normal 24 4 3 3 2" xfId="15872" xr:uid="{00000000-0005-0000-0000-000065590000}"/>
    <cellStyle name="Normal 24 4 3 3 2 2" xfId="53034" xr:uid="{00000000-0005-0000-0000-000066590000}"/>
    <cellStyle name="Normal 24 4 3 3 2 3" xfId="53035" xr:uid="{00000000-0005-0000-0000-000067590000}"/>
    <cellStyle name="Normal 24 4 3 3 3" xfId="15873" xr:uid="{00000000-0005-0000-0000-000068590000}"/>
    <cellStyle name="Normal 24 4 3 3 3 2" xfId="53036" xr:uid="{00000000-0005-0000-0000-000069590000}"/>
    <cellStyle name="Normal 24 4 3 3 4" xfId="15874" xr:uid="{00000000-0005-0000-0000-00006A590000}"/>
    <cellStyle name="Normal 24 4 3 3 5" xfId="15875" xr:uid="{00000000-0005-0000-0000-00006B590000}"/>
    <cellStyle name="Normal 24 4 3 3 6" xfId="15876" xr:uid="{00000000-0005-0000-0000-00006C590000}"/>
    <cellStyle name="Normal 24 4 3 4" xfId="15877" xr:uid="{00000000-0005-0000-0000-00006D590000}"/>
    <cellStyle name="Normal 24 4 3 4 2" xfId="53037" xr:uid="{00000000-0005-0000-0000-00006E590000}"/>
    <cellStyle name="Normal 24 4 3 4 3" xfId="53038" xr:uid="{00000000-0005-0000-0000-00006F590000}"/>
    <cellStyle name="Normal 24 4 3 5" xfId="15878" xr:uid="{00000000-0005-0000-0000-000070590000}"/>
    <cellStyle name="Normal 24 4 3 5 2" xfId="53039" xr:uid="{00000000-0005-0000-0000-000071590000}"/>
    <cellStyle name="Normal 24 4 3 6" xfId="15879" xr:uid="{00000000-0005-0000-0000-000072590000}"/>
    <cellStyle name="Normal 24 4 3 7" xfId="15880" xr:uid="{00000000-0005-0000-0000-000073590000}"/>
    <cellStyle name="Normal 24 4 3 8" xfId="15881" xr:uid="{00000000-0005-0000-0000-000074590000}"/>
    <cellStyle name="Normal 24 4 4" xfId="15882" xr:uid="{00000000-0005-0000-0000-000075590000}"/>
    <cellStyle name="Normal 24 4 4 2" xfId="15883" xr:uid="{00000000-0005-0000-0000-000076590000}"/>
    <cellStyle name="Normal 24 4 4 2 2" xfId="15884" xr:uid="{00000000-0005-0000-0000-000077590000}"/>
    <cellStyle name="Normal 24 4 4 2 2 2" xfId="53040" xr:uid="{00000000-0005-0000-0000-000078590000}"/>
    <cellStyle name="Normal 24 4 4 2 2 3" xfId="53041" xr:uid="{00000000-0005-0000-0000-000079590000}"/>
    <cellStyle name="Normal 24 4 4 2 3" xfId="15885" xr:uid="{00000000-0005-0000-0000-00007A590000}"/>
    <cellStyle name="Normal 24 4 4 2 3 2" xfId="53042" xr:uid="{00000000-0005-0000-0000-00007B590000}"/>
    <cellStyle name="Normal 24 4 4 2 4" xfId="15886" xr:uid="{00000000-0005-0000-0000-00007C590000}"/>
    <cellStyle name="Normal 24 4 4 2 5" xfId="15887" xr:uid="{00000000-0005-0000-0000-00007D590000}"/>
    <cellStyle name="Normal 24 4 4 2 6" xfId="15888" xr:uid="{00000000-0005-0000-0000-00007E590000}"/>
    <cellStyle name="Normal 24 4 4 3" xfId="15889" xr:uid="{00000000-0005-0000-0000-00007F590000}"/>
    <cellStyle name="Normal 24 4 4 3 2" xfId="53043" xr:uid="{00000000-0005-0000-0000-000080590000}"/>
    <cellStyle name="Normal 24 4 4 3 3" xfId="53044" xr:uid="{00000000-0005-0000-0000-000081590000}"/>
    <cellStyle name="Normal 24 4 4 4" xfId="15890" xr:uid="{00000000-0005-0000-0000-000082590000}"/>
    <cellStyle name="Normal 24 4 4 4 2" xfId="53045" xr:uid="{00000000-0005-0000-0000-000083590000}"/>
    <cellStyle name="Normal 24 4 4 5" xfId="15891" xr:uid="{00000000-0005-0000-0000-000084590000}"/>
    <cellStyle name="Normal 24 4 4 6" xfId="15892" xr:uid="{00000000-0005-0000-0000-000085590000}"/>
    <cellStyle name="Normal 24 4 4 7" xfId="15893" xr:uid="{00000000-0005-0000-0000-000086590000}"/>
    <cellStyle name="Normal 24 4 5" xfId="15894" xr:uid="{00000000-0005-0000-0000-000087590000}"/>
    <cellStyle name="Normal 24 4 5 2" xfId="15895" xr:uid="{00000000-0005-0000-0000-000088590000}"/>
    <cellStyle name="Normal 24 4 5 2 2" xfId="53046" xr:uid="{00000000-0005-0000-0000-000089590000}"/>
    <cellStyle name="Normal 24 4 5 2 3" xfId="53047" xr:uid="{00000000-0005-0000-0000-00008A590000}"/>
    <cellStyle name="Normal 24 4 5 3" xfId="15896" xr:uid="{00000000-0005-0000-0000-00008B590000}"/>
    <cellStyle name="Normal 24 4 5 3 2" xfId="53048" xr:uid="{00000000-0005-0000-0000-00008C590000}"/>
    <cellStyle name="Normal 24 4 5 4" xfId="15897" xr:uid="{00000000-0005-0000-0000-00008D590000}"/>
    <cellStyle name="Normal 24 4 5 5" xfId="15898" xr:uid="{00000000-0005-0000-0000-00008E590000}"/>
    <cellStyle name="Normal 24 4 5 6" xfId="15899" xr:uid="{00000000-0005-0000-0000-00008F590000}"/>
    <cellStyle name="Normal 24 4 6" xfId="15900" xr:uid="{00000000-0005-0000-0000-000090590000}"/>
    <cellStyle name="Normal 24 4 6 2" xfId="15901" xr:uid="{00000000-0005-0000-0000-000091590000}"/>
    <cellStyle name="Normal 24 4 6 2 2" xfId="15902" xr:uid="{00000000-0005-0000-0000-000092590000}"/>
    <cellStyle name="Normal 24 4 6 2 2 2" xfId="15903" xr:uid="{00000000-0005-0000-0000-000093590000}"/>
    <cellStyle name="Normal 24 4 6 2 3" xfId="15904" xr:uid="{00000000-0005-0000-0000-000094590000}"/>
    <cellStyle name="Normal 24 4 6 2 3 2" xfId="15905" xr:uid="{00000000-0005-0000-0000-000095590000}"/>
    <cellStyle name="Normal 24 4 6 2 4" xfId="15906" xr:uid="{00000000-0005-0000-0000-000096590000}"/>
    <cellStyle name="Normal 24 4 6 3" xfId="15907" xr:uid="{00000000-0005-0000-0000-000097590000}"/>
    <cellStyle name="Normal 24 4 6 3 2" xfId="15908" xr:uid="{00000000-0005-0000-0000-000098590000}"/>
    <cellStyle name="Normal 24 4 6 3 2 2" xfId="15909" xr:uid="{00000000-0005-0000-0000-000099590000}"/>
    <cellStyle name="Normal 24 4 6 3 3" xfId="15910" xr:uid="{00000000-0005-0000-0000-00009A590000}"/>
    <cellStyle name="Normal 24 4 6 3 3 2" xfId="15911" xr:uid="{00000000-0005-0000-0000-00009B590000}"/>
    <cellStyle name="Normal 24 4 6 3 4" xfId="15912" xr:uid="{00000000-0005-0000-0000-00009C590000}"/>
    <cellStyle name="Normal 24 4 6 4" xfId="15913" xr:uid="{00000000-0005-0000-0000-00009D590000}"/>
    <cellStyle name="Normal 24 4 6 4 2" xfId="15914" xr:uid="{00000000-0005-0000-0000-00009E590000}"/>
    <cellStyle name="Normal 24 4 6 5" xfId="15915" xr:uid="{00000000-0005-0000-0000-00009F590000}"/>
    <cellStyle name="Normal 24 4 6 5 2" xfId="15916" xr:uid="{00000000-0005-0000-0000-0000A0590000}"/>
    <cellStyle name="Normal 24 4 6 6" xfId="15917" xr:uid="{00000000-0005-0000-0000-0000A1590000}"/>
    <cellStyle name="Normal 24 4 6 7" xfId="15918" xr:uid="{00000000-0005-0000-0000-0000A2590000}"/>
    <cellStyle name="Normal 24 4 7" xfId="15919" xr:uid="{00000000-0005-0000-0000-0000A3590000}"/>
    <cellStyle name="Normal 24 4 7 2" xfId="15920" xr:uid="{00000000-0005-0000-0000-0000A4590000}"/>
    <cellStyle name="Normal 24 4 7 2 2" xfId="15921" xr:uid="{00000000-0005-0000-0000-0000A5590000}"/>
    <cellStyle name="Normal 24 4 7 3" xfId="15922" xr:uid="{00000000-0005-0000-0000-0000A6590000}"/>
    <cellStyle name="Normal 24 4 7 3 2" xfId="15923" xr:uid="{00000000-0005-0000-0000-0000A7590000}"/>
    <cellStyle name="Normal 24 4 7 4" xfId="15924" xr:uid="{00000000-0005-0000-0000-0000A8590000}"/>
    <cellStyle name="Normal 24 4 7 5" xfId="15925" xr:uid="{00000000-0005-0000-0000-0000A9590000}"/>
    <cellStyle name="Normal 24 4 8" xfId="15926" xr:uid="{00000000-0005-0000-0000-0000AA590000}"/>
    <cellStyle name="Normal 24 4 8 2" xfId="15927" xr:uid="{00000000-0005-0000-0000-0000AB590000}"/>
    <cellStyle name="Normal 24 4 8 2 2" xfId="15928" xr:uid="{00000000-0005-0000-0000-0000AC590000}"/>
    <cellStyle name="Normal 24 4 8 3" xfId="15929" xr:uid="{00000000-0005-0000-0000-0000AD590000}"/>
    <cellStyle name="Normal 24 4 8 3 2" xfId="15930" xr:uid="{00000000-0005-0000-0000-0000AE590000}"/>
    <cellStyle name="Normal 24 4 8 4" xfId="15931" xr:uid="{00000000-0005-0000-0000-0000AF590000}"/>
    <cellStyle name="Normal 24 4 8 5" xfId="15932" xr:uid="{00000000-0005-0000-0000-0000B0590000}"/>
    <cellStyle name="Normal 24 4 9" xfId="15933" xr:uid="{00000000-0005-0000-0000-0000B1590000}"/>
    <cellStyle name="Normal 24 4 9 2" xfId="15934" xr:uid="{00000000-0005-0000-0000-0000B2590000}"/>
    <cellStyle name="Normal 24 4 9 2 2" xfId="15935" xr:uid="{00000000-0005-0000-0000-0000B3590000}"/>
    <cellStyle name="Normal 24 4 9 3" xfId="15936" xr:uid="{00000000-0005-0000-0000-0000B4590000}"/>
    <cellStyle name="Normal 24 4 9 3 2" xfId="15937" xr:uid="{00000000-0005-0000-0000-0000B5590000}"/>
    <cellStyle name="Normal 24 4 9 4" xfId="15938" xr:uid="{00000000-0005-0000-0000-0000B6590000}"/>
    <cellStyle name="Normal 24 4 9 5" xfId="15939" xr:uid="{00000000-0005-0000-0000-0000B7590000}"/>
    <cellStyle name="Normal 24 5" xfId="15940" xr:uid="{00000000-0005-0000-0000-0000B8590000}"/>
    <cellStyle name="Normal 24 5 10" xfId="15941" xr:uid="{00000000-0005-0000-0000-0000B9590000}"/>
    <cellStyle name="Normal 24 5 10 2" xfId="15942" xr:uid="{00000000-0005-0000-0000-0000BA590000}"/>
    <cellStyle name="Normal 24 5 10 2 2" xfId="15943" xr:uid="{00000000-0005-0000-0000-0000BB590000}"/>
    <cellStyle name="Normal 24 5 10 3" xfId="15944" xr:uid="{00000000-0005-0000-0000-0000BC590000}"/>
    <cellStyle name="Normal 24 5 10 3 2" xfId="15945" xr:uid="{00000000-0005-0000-0000-0000BD590000}"/>
    <cellStyle name="Normal 24 5 10 4" xfId="15946" xr:uid="{00000000-0005-0000-0000-0000BE590000}"/>
    <cellStyle name="Normal 24 5 10 5" xfId="15947" xr:uid="{00000000-0005-0000-0000-0000BF590000}"/>
    <cellStyle name="Normal 24 5 11" xfId="15948" xr:uid="{00000000-0005-0000-0000-0000C0590000}"/>
    <cellStyle name="Normal 24 5 11 2" xfId="15949" xr:uid="{00000000-0005-0000-0000-0000C1590000}"/>
    <cellStyle name="Normal 24 5 11 2 2" xfId="15950" xr:uid="{00000000-0005-0000-0000-0000C2590000}"/>
    <cellStyle name="Normal 24 5 11 3" xfId="15951" xr:uid="{00000000-0005-0000-0000-0000C3590000}"/>
    <cellStyle name="Normal 24 5 11 3 2" xfId="15952" xr:uid="{00000000-0005-0000-0000-0000C4590000}"/>
    <cellStyle name="Normal 24 5 11 4" xfId="15953" xr:uid="{00000000-0005-0000-0000-0000C5590000}"/>
    <cellStyle name="Normal 24 5 11 5" xfId="15954" xr:uid="{00000000-0005-0000-0000-0000C6590000}"/>
    <cellStyle name="Normal 24 5 12" xfId="15955" xr:uid="{00000000-0005-0000-0000-0000C7590000}"/>
    <cellStyle name="Normal 24 5 12 2" xfId="15956" xr:uid="{00000000-0005-0000-0000-0000C8590000}"/>
    <cellStyle name="Normal 24 5 12 2 2" xfId="15957" xr:uid="{00000000-0005-0000-0000-0000C9590000}"/>
    <cellStyle name="Normal 24 5 12 3" xfId="15958" xr:uid="{00000000-0005-0000-0000-0000CA590000}"/>
    <cellStyle name="Normal 24 5 12 4" xfId="15959" xr:uid="{00000000-0005-0000-0000-0000CB590000}"/>
    <cellStyle name="Normal 24 5 13" xfId="15960" xr:uid="{00000000-0005-0000-0000-0000CC590000}"/>
    <cellStyle name="Normal 24 5 13 2" xfId="15961" xr:uid="{00000000-0005-0000-0000-0000CD590000}"/>
    <cellStyle name="Normal 24 5 13 3" xfId="15962" xr:uid="{00000000-0005-0000-0000-0000CE590000}"/>
    <cellStyle name="Normal 24 5 14" xfId="15963" xr:uid="{00000000-0005-0000-0000-0000CF590000}"/>
    <cellStyle name="Normal 24 5 14 2" xfId="15964" xr:uid="{00000000-0005-0000-0000-0000D0590000}"/>
    <cellStyle name="Normal 24 5 14 3" xfId="15965" xr:uid="{00000000-0005-0000-0000-0000D1590000}"/>
    <cellStyle name="Normal 24 5 15" xfId="15966" xr:uid="{00000000-0005-0000-0000-0000D2590000}"/>
    <cellStyle name="Normal 24 5 16" xfId="15967" xr:uid="{00000000-0005-0000-0000-0000D3590000}"/>
    <cellStyle name="Normal 24 5 16 2" xfId="53049" xr:uid="{00000000-0005-0000-0000-0000D4590000}"/>
    <cellStyle name="Normal 24 5 17" xfId="53050" xr:uid="{00000000-0005-0000-0000-0000D5590000}"/>
    <cellStyle name="Normal 24 5 2" xfId="15968" xr:uid="{00000000-0005-0000-0000-0000D6590000}"/>
    <cellStyle name="Normal 24 5 2 10" xfId="15969" xr:uid="{00000000-0005-0000-0000-0000D7590000}"/>
    <cellStyle name="Normal 24 5 2 10 2" xfId="15970" xr:uid="{00000000-0005-0000-0000-0000D8590000}"/>
    <cellStyle name="Normal 24 5 2 10 2 2" xfId="15971" xr:uid="{00000000-0005-0000-0000-0000D9590000}"/>
    <cellStyle name="Normal 24 5 2 10 3" xfId="15972" xr:uid="{00000000-0005-0000-0000-0000DA590000}"/>
    <cellStyle name="Normal 24 5 2 11" xfId="15973" xr:uid="{00000000-0005-0000-0000-0000DB590000}"/>
    <cellStyle name="Normal 24 5 2 11 2" xfId="15974" xr:uid="{00000000-0005-0000-0000-0000DC590000}"/>
    <cellStyle name="Normal 24 5 2 12" xfId="15975" xr:uid="{00000000-0005-0000-0000-0000DD590000}"/>
    <cellStyle name="Normal 24 5 2 12 2" xfId="15976" xr:uid="{00000000-0005-0000-0000-0000DE590000}"/>
    <cellStyle name="Normal 24 5 2 13" xfId="15977" xr:uid="{00000000-0005-0000-0000-0000DF590000}"/>
    <cellStyle name="Normal 24 5 2 14" xfId="15978" xr:uid="{00000000-0005-0000-0000-0000E0590000}"/>
    <cellStyle name="Normal 24 5 2 14 2" xfId="53051" xr:uid="{00000000-0005-0000-0000-0000E1590000}"/>
    <cellStyle name="Normal 24 5 2 15" xfId="53052" xr:uid="{00000000-0005-0000-0000-0000E2590000}"/>
    <cellStyle name="Normal 24 5 2 2" xfId="15979" xr:uid="{00000000-0005-0000-0000-0000E3590000}"/>
    <cellStyle name="Normal 24 5 2 2 2" xfId="15980" xr:uid="{00000000-0005-0000-0000-0000E4590000}"/>
    <cellStyle name="Normal 24 5 2 2 2 2" xfId="15981" xr:uid="{00000000-0005-0000-0000-0000E5590000}"/>
    <cellStyle name="Normal 24 5 2 2 2 2 2" xfId="53053" xr:uid="{00000000-0005-0000-0000-0000E6590000}"/>
    <cellStyle name="Normal 24 5 2 2 2 2 3" xfId="53054" xr:uid="{00000000-0005-0000-0000-0000E7590000}"/>
    <cellStyle name="Normal 24 5 2 2 2 3" xfId="15982" xr:uid="{00000000-0005-0000-0000-0000E8590000}"/>
    <cellStyle name="Normal 24 5 2 2 2 3 2" xfId="53055" xr:uid="{00000000-0005-0000-0000-0000E9590000}"/>
    <cellStyle name="Normal 24 5 2 2 2 4" xfId="15983" xr:uid="{00000000-0005-0000-0000-0000EA590000}"/>
    <cellStyle name="Normal 24 5 2 2 2 5" xfId="15984" xr:uid="{00000000-0005-0000-0000-0000EB590000}"/>
    <cellStyle name="Normal 24 5 2 2 2 6" xfId="15985" xr:uid="{00000000-0005-0000-0000-0000EC590000}"/>
    <cellStyle name="Normal 24 5 2 2 3" xfId="15986" xr:uid="{00000000-0005-0000-0000-0000ED590000}"/>
    <cellStyle name="Normal 24 5 2 2 3 2" xfId="53056" xr:uid="{00000000-0005-0000-0000-0000EE590000}"/>
    <cellStyle name="Normal 24 5 2 2 3 3" xfId="53057" xr:uid="{00000000-0005-0000-0000-0000EF590000}"/>
    <cellStyle name="Normal 24 5 2 2 4" xfId="15987" xr:uid="{00000000-0005-0000-0000-0000F0590000}"/>
    <cellStyle name="Normal 24 5 2 2 4 2" xfId="53058" xr:uid="{00000000-0005-0000-0000-0000F1590000}"/>
    <cellStyle name="Normal 24 5 2 2 5" xfId="15988" xr:uid="{00000000-0005-0000-0000-0000F2590000}"/>
    <cellStyle name="Normal 24 5 2 2 6" xfId="15989" xr:uid="{00000000-0005-0000-0000-0000F3590000}"/>
    <cellStyle name="Normal 24 5 2 2 7" xfId="15990" xr:uid="{00000000-0005-0000-0000-0000F4590000}"/>
    <cellStyle name="Normal 24 5 2 3" xfId="15991" xr:uid="{00000000-0005-0000-0000-0000F5590000}"/>
    <cellStyle name="Normal 24 5 2 3 2" xfId="15992" xr:uid="{00000000-0005-0000-0000-0000F6590000}"/>
    <cellStyle name="Normal 24 5 2 3 2 2" xfId="53059" xr:uid="{00000000-0005-0000-0000-0000F7590000}"/>
    <cellStyle name="Normal 24 5 2 3 2 3" xfId="53060" xr:uid="{00000000-0005-0000-0000-0000F8590000}"/>
    <cellStyle name="Normal 24 5 2 3 3" xfId="15993" xr:uid="{00000000-0005-0000-0000-0000F9590000}"/>
    <cellStyle name="Normal 24 5 2 3 3 2" xfId="53061" xr:uid="{00000000-0005-0000-0000-0000FA590000}"/>
    <cellStyle name="Normal 24 5 2 3 4" xfId="15994" xr:uid="{00000000-0005-0000-0000-0000FB590000}"/>
    <cellStyle name="Normal 24 5 2 3 5" xfId="15995" xr:uid="{00000000-0005-0000-0000-0000FC590000}"/>
    <cellStyle name="Normal 24 5 2 3 6" xfId="15996" xr:uid="{00000000-0005-0000-0000-0000FD590000}"/>
    <cellStyle name="Normal 24 5 2 4" xfId="15997" xr:uid="{00000000-0005-0000-0000-0000FE590000}"/>
    <cellStyle name="Normal 24 5 2 4 2" xfId="15998" xr:uid="{00000000-0005-0000-0000-0000FF590000}"/>
    <cellStyle name="Normal 24 5 2 4 2 2" xfId="15999" xr:uid="{00000000-0005-0000-0000-0000005A0000}"/>
    <cellStyle name="Normal 24 5 2 4 2 2 2" xfId="16000" xr:uid="{00000000-0005-0000-0000-0000015A0000}"/>
    <cellStyle name="Normal 24 5 2 4 2 3" xfId="16001" xr:uid="{00000000-0005-0000-0000-0000025A0000}"/>
    <cellStyle name="Normal 24 5 2 4 2 3 2" xfId="16002" xr:uid="{00000000-0005-0000-0000-0000035A0000}"/>
    <cellStyle name="Normal 24 5 2 4 2 4" xfId="16003" xr:uid="{00000000-0005-0000-0000-0000045A0000}"/>
    <cellStyle name="Normal 24 5 2 4 3" xfId="16004" xr:uid="{00000000-0005-0000-0000-0000055A0000}"/>
    <cellStyle name="Normal 24 5 2 4 3 2" xfId="16005" xr:uid="{00000000-0005-0000-0000-0000065A0000}"/>
    <cellStyle name="Normal 24 5 2 4 3 2 2" xfId="16006" xr:uid="{00000000-0005-0000-0000-0000075A0000}"/>
    <cellStyle name="Normal 24 5 2 4 3 3" xfId="16007" xr:uid="{00000000-0005-0000-0000-0000085A0000}"/>
    <cellStyle name="Normal 24 5 2 4 3 3 2" xfId="16008" xr:uid="{00000000-0005-0000-0000-0000095A0000}"/>
    <cellStyle name="Normal 24 5 2 4 3 4" xfId="16009" xr:uid="{00000000-0005-0000-0000-00000A5A0000}"/>
    <cellStyle name="Normal 24 5 2 4 4" xfId="16010" xr:uid="{00000000-0005-0000-0000-00000B5A0000}"/>
    <cellStyle name="Normal 24 5 2 4 4 2" xfId="16011" xr:uid="{00000000-0005-0000-0000-00000C5A0000}"/>
    <cellStyle name="Normal 24 5 2 4 5" xfId="16012" xr:uid="{00000000-0005-0000-0000-00000D5A0000}"/>
    <cellStyle name="Normal 24 5 2 4 5 2" xfId="16013" xr:uid="{00000000-0005-0000-0000-00000E5A0000}"/>
    <cellStyle name="Normal 24 5 2 4 6" xfId="16014" xr:uid="{00000000-0005-0000-0000-00000F5A0000}"/>
    <cellStyle name="Normal 24 5 2 4 7" xfId="16015" xr:uid="{00000000-0005-0000-0000-0000105A0000}"/>
    <cellStyle name="Normal 24 5 2 5" xfId="16016" xr:uid="{00000000-0005-0000-0000-0000115A0000}"/>
    <cellStyle name="Normal 24 5 2 5 2" xfId="16017" xr:uid="{00000000-0005-0000-0000-0000125A0000}"/>
    <cellStyle name="Normal 24 5 2 5 2 2" xfId="16018" xr:uid="{00000000-0005-0000-0000-0000135A0000}"/>
    <cellStyle name="Normal 24 5 2 5 3" xfId="16019" xr:uid="{00000000-0005-0000-0000-0000145A0000}"/>
    <cellStyle name="Normal 24 5 2 5 3 2" xfId="16020" xr:uid="{00000000-0005-0000-0000-0000155A0000}"/>
    <cellStyle name="Normal 24 5 2 5 4" xfId="16021" xr:uid="{00000000-0005-0000-0000-0000165A0000}"/>
    <cellStyle name="Normal 24 5 2 5 5" xfId="16022" xr:uid="{00000000-0005-0000-0000-0000175A0000}"/>
    <cellStyle name="Normal 24 5 2 6" xfId="16023" xr:uid="{00000000-0005-0000-0000-0000185A0000}"/>
    <cellStyle name="Normal 24 5 2 6 2" xfId="16024" xr:uid="{00000000-0005-0000-0000-0000195A0000}"/>
    <cellStyle name="Normal 24 5 2 6 2 2" xfId="16025" xr:uid="{00000000-0005-0000-0000-00001A5A0000}"/>
    <cellStyle name="Normal 24 5 2 6 3" xfId="16026" xr:uid="{00000000-0005-0000-0000-00001B5A0000}"/>
    <cellStyle name="Normal 24 5 2 6 3 2" xfId="16027" xr:uid="{00000000-0005-0000-0000-00001C5A0000}"/>
    <cellStyle name="Normal 24 5 2 6 4" xfId="16028" xr:uid="{00000000-0005-0000-0000-00001D5A0000}"/>
    <cellStyle name="Normal 24 5 2 6 5" xfId="16029" xr:uid="{00000000-0005-0000-0000-00001E5A0000}"/>
    <cellStyle name="Normal 24 5 2 7" xfId="16030" xr:uid="{00000000-0005-0000-0000-00001F5A0000}"/>
    <cellStyle name="Normal 24 5 2 7 2" xfId="16031" xr:uid="{00000000-0005-0000-0000-0000205A0000}"/>
    <cellStyle name="Normal 24 5 2 7 2 2" xfId="16032" xr:uid="{00000000-0005-0000-0000-0000215A0000}"/>
    <cellStyle name="Normal 24 5 2 7 3" xfId="16033" xr:uid="{00000000-0005-0000-0000-0000225A0000}"/>
    <cellStyle name="Normal 24 5 2 7 3 2" xfId="16034" xr:uid="{00000000-0005-0000-0000-0000235A0000}"/>
    <cellStyle name="Normal 24 5 2 7 4" xfId="16035" xr:uid="{00000000-0005-0000-0000-0000245A0000}"/>
    <cellStyle name="Normal 24 5 2 7 5" xfId="16036" xr:uid="{00000000-0005-0000-0000-0000255A0000}"/>
    <cellStyle name="Normal 24 5 2 8" xfId="16037" xr:uid="{00000000-0005-0000-0000-0000265A0000}"/>
    <cellStyle name="Normal 24 5 2 8 2" xfId="16038" xr:uid="{00000000-0005-0000-0000-0000275A0000}"/>
    <cellStyle name="Normal 24 5 2 8 2 2" xfId="16039" xr:uid="{00000000-0005-0000-0000-0000285A0000}"/>
    <cellStyle name="Normal 24 5 2 8 3" xfId="16040" xr:uid="{00000000-0005-0000-0000-0000295A0000}"/>
    <cellStyle name="Normal 24 5 2 8 3 2" xfId="16041" xr:uid="{00000000-0005-0000-0000-00002A5A0000}"/>
    <cellStyle name="Normal 24 5 2 8 4" xfId="16042" xr:uid="{00000000-0005-0000-0000-00002B5A0000}"/>
    <cellStyle name="Normal 24 5 2 8 5" xfId="16043" xr:uid="{00000000-0005-0000-0000-00002C5A0000}"/>
    <cellStyle name="Normal 24 5 2 9" xfId="16044" xr:uid="{00000000-0005-0000-0000-00002D5A0000}"/>
    <cellStyle name="Normal 24 5 2 9 2" xfId="16045" xr:uid="{00000000-0005-0000-0000-00002E5A0000}"/>
    <cellStyle name="Normal 24 5 2 9 2 2" xfId="16046" xr:uid="{00000000-0005-0000-0000-00002F5A0000}"/>
    <cellStyle name="Normal 24 5 2 9 3" xfId="16047" xr:uid="{00000000-0005-0000-0000-0000305A0000}"/>
    <cellStyle name="Normal 24 5 2 9 3 2" xfId="16048" xr:uid="{00000000-0005-0000-0000-0000315A0000}"/>
    <cellStyle name="Normal 24 5 2 9 4" xfId="16049" xr:uid="{00000000-0005-0000-0000-0000325A0000}"/>
    <cellStyle name="Normal 24 5 2 9 5" xfId="16050" xr:uid="{00000000-0005-0000-0000-0000335A0000}"/>
    <cellStyle name="Normal 24 5 3" xfId="16051" xr:uid="{00000000-0005-0000-0000-0000345A0000}"/>
    <cellStyle name="Normal 24 5 3 2" xfId="16052" xr:uid="{00000000-0005-0000-0000-0000355A0000}"/>
    <cellStyle name="Normal 24 5 3 2 2" xfId="16053" xr:uid="{00000000-0005-0000-0000-0000365A0000}"/>
    <cellStyle name="Normal 24 5 3 2 2 2" xfId="16054" xr:uid="{00000000-0005-0000-0000-0000375A0000}"/>
    <cellStyle name="Normal 24 5 3 2 2 2 2" xfId="53062" xr:uid="{00000000-0005-0000-0000-0000385A0000}"/>
    <cellStyle name="Normal 24 5 3 2 2 2 3" xfId="53063" xr:uid="{00000000-0005-0000-0000-0000395A0000}"/>
    <cellStyle name="Normal 24 5 3 2 2 3" xfId="16055" xr:uid="{00000000-0005-0000-0000-00003A5A0000}"/>
    <cellStyle name="Normal 24 5 3 2 2 3 2" xfId="53064" xr:uid="{00000000-0005-0000-0000-00003B5A0000}"/>
    <cellStyle name="Normal 24 5 3 2 2 4" xfId="16056" xr:uid="{00000000-0005-0000-0000-00003C5A0000}"/>
    <cellStyle name="Normal 24 5 3 2 2 5" xfId="16057" xr:uid="{00000000-0005-0000-0000-00003D5A0000}"/>
    <cellStyle name="Normal 24 5 3 2 2 6" xfId="16058" xr:uid="{00000000-0005-0000-0000-00003E5A0000}"/>
    <cellStyle name="Normal 24 5 3 2 3" xfId="16059" xr:uid="{00000000-0005-0000-0000-00003F5A0000}"/>
    <cellStyle name="Normal 24 5 3 2 3 2" xfId="53065" xr:uid="{00000000-0005-0000-0000-0000405A0000}"/>
    <cellStyle name="Normal 24 5 3 2 3 3" xfId="53066" xr:uid="{00000000-0005-0000-0000-0000415A0000}"/>
    <cellStyle name="Normal 24 5 3 2 4" xfId="16060" xr:uid="{00000000-0005-0000-0000-0000425A0000}"/>
    <cellStyle name="Normal 24 5 3 2 4 2" xfId="53067" xr:uid="{00000000-0005-0000-0000-0000435A0000}"/>
    <cellStyle name="Normal 24 5 3 2 5" xfId="16061" xr:uid="{00000000-0005-0000-0000-0000445A0000}"/>
    <cellStyle name="Normal 24 5 3 2 6" xfId="16062" xr:uid="{00000000-0005-0000-0000-0000455A0000}"/>
    <cellStyle name="Normal 24 5 3 2 7" xfId="16063" xr:uid="{00000000-0005-0000-0000-0000465A0000}"/>
    <cellStyle name="Normal 24 5 3 3" xfId="16064" xr:uid="{00000000-0005-0000-0000-0000475A0000}"/>
    <cellStyle name="Normal 24 5 3 3 2" xfId="16065" xr:uid="{00000000-0005-0000-0000-0000485A0000}"/>
    <cellStyle name="Normal 24 5 3 3 2 2" xfId="53068" xr:uid="{00000000-0005-0000-0000-0000495A0000}"/>
    <cellStyle name="Normal 24 5 3 3 2 3" xfId="53069" xr:uid="{00000000-0005-0000-0000-00004A5A0000}"/>
    <cellStyle name="Normal 24 5 3 3 3" xfId="16066" xr:uid="{00000000-0005-0000-0000-00004B5A0000}"/>
    <cellStyle name="Normal 24 5 3 3 3 2" xfId="53070" xr:uid="{00000000-0005-0000-0000-00004C5A0000}"/>
    <cellStyle name="Normal 24 5 3 3 4" xfId="16067" xr:uid="{00000000-0005-0000-0000-00004D5A0000}"/>
    <cellStyle name="Normal 24 5 3 3 5" xfId="16068" xr:uid="{00000000-0005-0000-0000-00004E5A0000}"/>
    <cellStyle name="Normal 24 5 3 3 6" xfId="16069" xr:uid="{00000000-0005-0000-0000-00004F5A0000}"/>
    <cellStyle name="Normal 24 5 3 4" xfId="16070" xr:uid="{00000000-0005-0000-0000-0000505A0000}"/>
    <cellStyle name="Normal 24 5 3 4 2" xfId="53071" xr:uid="{00000000-0005-0000-0000-0000515A0000}"/>
    <cellStyle name="Normal 24 5 3 4 3" xfId="53072" xr:uid="{00000000-0005-0000-0000-0000525A0000}"/>
    <cellStyle name="Normal 24 5 3 5" xfId="16071" xr:uid="{00000000-0005-0000-0000-0000535A0000}"/>
    <cellStyle name="Normal 24 5 3 5 2" xfId="53073" xr:uid="{00000000-0005-0000-0000-0000545A0000}"/>
    <cellStyle name="Normal 24 5 3 6" xfId="16072" xr:uid="{00000000-0005-0000-0000-0000555A0000}"/>
    <cellStyle name="Normal 24 5 3 7" xfId="16073" xr:uid="{00000000-0005-0000-0000-0000565A0000}"/>
    <cellStyle name="Normal 24 5 3 8" xfId="16074" xr:uid="{00000000-0005-0000-0000-0000575A0000}"/>
    <cellStyle name="Normal 24 5 4" xfId="16075" xr:uid="{00000000-0005-0000-0000-0000585A0000}"/>
    <cellStyle name="Normal 24 5 4 2" xfId="16076" xr:uid="{00000000-0005-0000-0000-0000595A0000}"/>
    <cellStyle name="Normal 24 5 4 2 2" xfId="16077" xr:uid="{00000000-0005-0000-0000-00005A5A0000}"/>
    <cellStyle name="Normal 24 5 4 2 2 2" xfId="53074" xr:uid="{00000000-0005-0000-0000-00005B5A0000}"/>
    <cellStyle name="Normal 24 5 4 2 2 3" xfId="53075" xr:uid="{00000000-0005-0000-0000-00005C5A0000}"/>
    <cellStyle name="Normal 24 5 4 2 3" xfId="16078" xr:uid="{00000000-0005-0000-0000-00005D5A0000}"/>
    <cellStyle name="Normal 24 5 4 2 3 2" xfId="53076" xr:uid="{00000000-0005-0000-0000-00005E5A0000}"/>
    <cellStyle name="Normal 24 5 4 2 4" xfId="16079" xr:uid="{00000000-0005-0000-0000-00005F5A0000}"/>
    <cellStyle name="Normal 24 5 4 2 5" xfId="16080" xr:uid="{00000000-0005-0000-0000-0000605A0000}"/>
    <cellStyle name="Normal 24 5 4 2 6" xfId="16081" xr:uid="{00000000-0005-0000-0000-0000615A0000}"/>
    <cellStyle name="Normal 24 5 4 3" xfId="16082" xr:uid="{00000000-0005-0000-0000-0000625A0000}"/>
    <cellStyle name="Normal 24 5 4 3 2" xfId="53077" xr:uid="{00000000-0005-0000-0000-0000635A0000}"/>
    <cellStyle name="Normal 24 5 4 3 3" xfId="53078" xr:uid="{00000000-0005-0000-0000-0000645A0000}"/>
    <cellStyle name="Normal 24 5 4 4" xfId="16083" xr:uid="{00000000-0005-0000-0000-0000655A0000}"/>
    <cellStyle name="Normal 24 5 4 4 2" xfId="53079" xr:uid="{00000000-0005-0000-0000-0000665A0000}"/>
    <cellStyle name="Normal 24 5 4 5" xfId="16084" xr:uid="{00000000-0005-0000-0000-0000675A0000}"/>
    <cellStyle name="Normal 24 5 4 6" xfId="16085" xr:uid="{00000000-0005-0000-0000-0000685A0000}"/>
    <cellStyle name="Normal 24 5 4 7" xfId="16086" xr:uid="{00000000-0005-0000-0000-0000695A0000}"/>
    <cellStyle name="Normal 24 5 5" xfId="16087" xr:uid="{00000000-0005-0000-0000-00006A5A0000}"/>
    <cellStyle name="Normal 24 5 5 2" xfId="16088" xr:uid="{00000000-0005-0000-0000-00006B5A0000}"/>
    <cellStyle name="Normal 24 5 5 2 2" xfId="53080" xr:uid="{00000000-0005-0000-0000-00006C5A0000}"/>
    <cellStyle name="Normal 24 5 5 2 3" xfId="53081" xr:uid="{00000000-0005-0000-0000-00006D5A0000}"/>
    <cellStyle name="Normal 24 5 5 3" xfId="16089" xr:uid="{00000000-0005-0000-0000-00006E5A0000}"/>
    <cellStyle name="Normal 24 5 5 3 2" xfId="53082" xr:uid="{00000000-0005-0000-0000-00006F5A0000}"/>
    <cellStyle name="Normal 24 5 5 4" xfId="16090" xr:uid="{00000000-0005-0000-0000-0000705A0000}"/>
    <cellStyle name="Normal 24 5 5 5" xfId="16091" xr:uid="{00000000-0005-0000-0000-0000715A0000}"/>
    <cellStyle name="Normal 24 5 5 6" xfId="16092" xr:uid="{00000000-0005-0000-0000-0000725A0000}"/>
    <cellStyle name="Normal 24 5 6" xfId="16093" xr:uid="{00000000-0005-0000-0000-0000735A0000}"/>
    <cellStyle name="Normal 24 5 6 2" xfId="16094" xr:uid="{00000000-0005-0000-0000-0000745A0000}"/>
    <cellStyle name="Normal 24 5 6 2 2" xfId="16095" xr:uid="{00000000-0005-0000-0000-0000755A0000}"/>
    <cellStyle name="Normal 24 5 6 2 2 2" xfId="16096" xr:uid="{00000000-0005-0000-0000-0000765A0000}"/>
    <cellStyle name="Normal 24 5 6 2 3" xfId="16097" xr:uid="{00000000-0005-0000-0000-0000775A0000}"/>
    <cellStyle name="Normal 24 5 6 2 3 2" xfId="16098" xr:uid="{00000000-0005-0000-0000-0000785A0000}"/>
    <cellStyle name="Normal 24 5 6 2 4" xfId="16099" xr:uid="{00000000-0005-0000-0000-0000795A0000}"/>
    <cellStyle name="Normal 24 5 6 3" xfId="16100" xr:uid="{00000000-0005-0000-0000-00007A5A0000}"/>
    <cellStyle name="Normal 24 5 6 3 2" xfId="16101" xr:uid="{00000000-0005-0000-0000-00007B5A0000}"/>
    <cellStyle name="Normal 24 5 6 3 2 2" xfId="16102" xr:uid="{00000000-0005-0000-0000-00007C5A0000}"/>
    <cellStyle name="Normal 24 5 6 3 3" xfId="16103" xr:uid="{00000000-0005-0000-0000-00007D5A0000}"/>
    <cellStyle name="Normal 24 5 6 3 3 2" xfId="16104" xr:uid="{00000000-0005-0000-0000-00007E5A0000}"/>
    <cellStyle name="Normal 24 5 6 3 4" xfId="16105" xr:uid="{00000000-0005-0000-0000-00007F5A0000}"/>
    <cellStyle name="Normal 24 5 6 4" xfId="16106" xr:uid="{00000000-0005-0000-0000-0000805A0000}"/>
    <cellStyle name="Normal 24 5 6 4 2" xfId="16107" xr:uid="{00000000-0005-0000-0000-0000815A0000}"/>
    <cellStyle name="Normal 24 5 6 5" xfId="16108" xr:uid="{00000000-0005-0000-0000-0000825A0000}"/>
    <cellStyle name="Normal 24 5 6 5 2" xfId="16109" xr:uid="{00000000-0005-0000-0000-0000835A0000}"/>
    <cellStyle name="Normal 24 5 6 6" xfId="16110" xr:uid="{00000000-0005-0000-0000-0000845A0000}"/>
    <cellStyle name="Normal 24 5 6 7" xfId="16111" xr:uid="{00000000-0005-0000-0000-0000855A0000}"/>
    <cellStyle name="Normal 24 5 7" xfId="16112" xr:uid="{00000000-0005-0000-0000-0000865A0000}"/>
    <cellStyle name="Normal 24 5 7 2" xfId="16113" xr:uid="{00000000-0005-0000-0000-0000875A0000}"/>
    <cellStyle name="Normal 24 5 7 2 2" xfId="16114" xr:uid="{00000000-0005-0000-0000-0000885A0000}"/>
    <cellStyle name="Normal 24 5 7 3" xfId="16115" xr:uid="{00000000-0005-0000-0000-0000895A0000}"/>
    <cellStyle name="Normal 24 5 7 3 2" xfId="16116" xr:uid="{00000000-0005-0000-0000-00008A5A0000}"/>
    <cellStyle name="Normal 24 5 7 4" xfId="16117" xr:uid="{00000000-0005-0000-0000-00008B5A0000}"/>
    <cellStyle name="Normal 24 5 7 5" xfId="16118" xr:uid="{00000000-0005-0000-0000-00008C5A0000}"/>
    <cellStyle name="Normal 24 5 8" xfId="16119" xr:uid="{00000000-0005-0000-0000-00008D5A0000}"/>
    <cellStyle name="Normal 24 5 8 2" xfId="16120" xr:uid="{00000000-0005-0000-0000-00008E5A0000}"/>
    <cellStyle name="Normal 24 5 8 2 2" xfId="16121" xr:uid="{00000000-0005-0000-0000-00008F5A0000}"/>
    <cellStyle name="Normal 24 5 8 3" xfId="16122" xr:uid="{00000000-0005-0000-0000-0000905A0000}"/>
    <cellStyle name="Normal 24 5 8 3 2" xfId="16123" xr:uid="{00000000-0005-0000-0000-0000915A0000}"/>
    <cellStyle name="Normal 24 5 8 4" xfId="16124" xr:uid="{00000000-0005-0000-0000-0000925A0000}"/>
    <cellStyle name="Normal 24 5 8 5" xfId="16125" xr:uid="{00000000-0005-0000-0000-0000935A0000}"/>
    <cellStyle name="Normal 24 5 9" xfId="16126" xr:uid="{00000000-0005-0000-0000-0000945A0000}"/>
    <cellStyle name="Normal 24 5 9 2" xfId="16127" xr:uid="{00000000-0005-0000-0000-0000955A0000}"/>
    <cellStyle name="Normal 24 5 9 2 2" xfId="16128" xr:uid="{00000000-0005-0000-0000-0000965A0000}"/>
    <cellStyle name="Normal 24 5 9 3" xfId="16129" xr:uid="{00000000-0005-0000-0000-0000975A0000}"/>
    <cellStyle name="Normal 24 5 9 3 2" xfId="16130" xr:uid="{00000000-0005-0000-0000-0000985A0000}"/>
    <cellStyle name="Normal 24 5 9 4" xfId="16131" xr:uid="{00000000-0005-0000-0000-0000995A0000}"/>
    <cellStyle name="Normal 24 5 9 5" xfId="16132" xr:uid="{00000000-0005-0000-0000-00009A5A0000}"/>
    <cellStyle name="Normal 24 6" xfId="16133" xr:uid="{00000000-0005-0000-0000-00009B5A0000}"/>
    <cellStyle name="Normal 24 6 10" xfId="16134" xr:uid="{00000000-0005-0000-0000-00009C5A0000}"/>
    <cellStyle name="Normal 24 6 10 2" xfId="16135" xr:uid="{00000000-0005-0000-0000-00009D5A0000}"/>
    <cellStyle name="Normal 24 6 10 2 2" xfId="16136" xr:uid="{00000000-0005-0000-0000-00009E5A0000}"/>
    <cellStyle name="Normal 24 6 10 3" xfId="16137" xr:uid="{00000000-0005-0000-0000-00009F5A0000}"/>
    <cellStyle name="Normal 24 6 10 3 2" xfId="16138" xr:uid="{00000000-0005-0000-0000-0000A05A0000}"/>
    <cellStyle name="Normal 24 6 10 4" xfId="16139" xr:uid="{00000000-0005-0000-0000-0000A15A0000}"/>
    <cellStyle name="Normal 24 6 10 5" xfId="16140" xr:uid="{00000000-0005-0000-0000-0000A25A0000}"/>
    <cellStyle name="Normal 24 6 11" xfId="16141" xr:uid="{00000000-0005-0000-0000-0000A35A0000}"/>
    <cellStyle name="Normal 24 6 11 2" xfId="16142" xr:uid="{00000000-0005-0000-0000-0000A45A0000}"/>
    <cellStyle name="Normal 24 6 11 2 2" xfId="16143" xr:uid="{00000000-0005-0000-0000-0000A55A0000}"/>
    <cellStyle name="Normal 24 6 11 3" xfId="16144" xr:uid="{00000000-0005-0000-0000-0000A65A0000}"/>
    <cellStyle name="Normal 24 6 11 4" xfId="16145" xr:uid="{00000000-0005-0000-0000-0000A75A0000}"/>
    <cellStyle name="Normal 24 6 12" xfId="16146" xr:uid="{00000000-0005-0000-0000-0000A85A0000}"/>
    <cellStyle name="Normal 24 6 12 2" xfId="16147" xr:uid="{00000000-0005-0000-0000-0000A95A0000}"/>
    <cellStyle name="Normal 24 6 12 3" xfId="16148" xr:uid="{00000000-0005-0000-0000-0000AA5A0000}"/>
    <cellStyle name="Normal 24 6 13" xfId="16149" xr:uid="{00000000-0005-0000-0000-0000AB5A0000}"/>
    <cellStyle name="Normal 24 6 13 2" xfId="16150" xr:uid="{00000000-0005-0000-0000-0000AC5A0000}"/>
    <cellStyle name="Normal 24 6 13 3" xfId="16151" xr:uid="{00000000-0005-0000-0000-0000AD5A0000}"/>
    <cellStyle name="Normal 24 6 14" xfId="16152" xr:uid="{00000000-0005-0000-0000-0000AE5A0000}"/>
    <cellStyle name="Normal 24 6 15" xfId="16153" xr:uid="{00000000-0005-0000-0000-0000AF5A0000}"/>
    <cellStyle name="Normal 24 6 15 2" xfId="53083" xr:uid="{00000000-0005-0000-0000-0000B05A0000}"/>
    <cellStyle name="Normal 24 6 16" xfId="53084" xr:uid="{00000000-0005-0000-0000-0000B15A0000}"/>
    <cellStyle name="Normal 24 6 2" xfId="16154" xr:uid="{00000000-0005-0000-0000-0000B25A0000}"/>
    <cellStyle name="Normal 24 6 2 2" xfId="16155" xr:uid="{00000000-0005-0000-0000-0000B35A0000}"/>
    <cellStyle name="Normal 24 6 2 2 2" xfId="16156" xr:uid="{00000000-0005-0000-0000-0000B45A0000}"/>
    <cellStyle name="Normal 24 6 2 2 2 2" xfId="16157" xr:uid="{00000000-0005-0000-0000-0000B55A0000}"/>
    <cellStyle name="Normal 24 6 2 2 2 2 2" xfId="53085" xr:uid="{00000000-0005-0000-0000-0000B65A0000}"/>
    <cellStyle name="Normal 24 6 2 2 2 2 3" xfId="53086" xr:uid="{00000000-0005-0000-0000-0000B75A0000}"/>
    <cellStyle name="Normal 24 6 2 2 2 3" xfId="16158" xr:uid="{00000000-0005-0000-0000-0000B85A0000}"/>
    <cellStyle name="Normal 24 6 2 2 2 3 2" xfId="53087" xr:uid="{00000000-0005-0000-0000-0000B95A0000}"/>
    <cellStyle name="Normal 24 6 2 2 2 4" xfId="16159" xr:uid="{00000000-0005-0000-0000-0000BA5A0000}"/>
    <cellStyle name="Normal 24 6 2 2 2 5" xfId="16160" xr:uid="{00000000-0005-0000-0000-0000BB5A0000}"/>
    <cellStyle name="Normal 24 6 2 2 2 6" xfId="16161" xr:uid="{00000000-0005-0000-0000-0000BC5A0000}"/>
    <cellStyle name="Normal 24 6 2 2 3" xfId="16162" xr:uid="{00000000-0005-0000-0000-0000BD5A0000}"/>
    <cellStyle name="Normal 24 6 2 2 3 2" xfId="53088" xr:uid="{00000000-0005-0000-0000-0000BE5A0000}"/>
    <cellStyle name="Normal 24 6 2 2 3 3" xfId="53089" xr:uid="{00000000-0005-0000-0000-0000BF5A0000}"/>
    <cellStyle name="Normal 24 6 2 2 4" xfId="16163" xr:uid="{00000000-0005-0000-0000-0000C05A0000}"/>
    <cellStyle name="Normal 24 6 2 2 4 2" xfId="53090" xr:uid="{00000000-0005-0000-0000-0000C15A0000}"/>
    <cellStyle name="Normal 24 6 2 2 5" xfId="16164" xr:uid="{00000000-0005-0000-0000-0000C25A0000}"/>
    <cellStyle name="Normal 24 6 2 2 6" xfId="16165" xr:uid="{00000000-0005-0000-0000-0000C35A0000}"/>
    <cellStyle name="Normal 24 6 2 2 7" xfId="16166" xr:uid="{00000000-0005-0000-0000-0000C45A0000}"/>
    <cellStyle name="Normal 24 6 2 3" xfId="16167" xr:uid="{00000000-0005-0000-0000-0000C55A0000}"/>
    <cellStyle name="Normal 24 6 2 3 2" xfId="16168" xr:uid="{00000000-0005-0000-0000-0000C65A0000}"/>
    <cellStyle name="Normal 24 6 2 3 2 2" xfId="53091" xr:uid="{00000000-0005-0000-0000-0000C75A0000}"/>
    <cellStyle name="Normal 24 6 2 3 2 3" xfId="53092" xr:uid="{00000000-0005-0000-0000-0000C85A0000}"/>
    <cellStyle name="Normal 24 6 2 3 3" xfId="16169" xr:uid="{00000000-0005-0000-0000-0000C95A0000}"/>
    <cellStyle name="Normal 24 6 2 3 3 2" xfId="53093" xr:uid="{00000000-0005-0000-0000-0000CA5A0000}"/>
    <cellStyle name="Normal 24 6 2 3 4" xfId="16170" xr:uid="{00000000-0005-0000-0000-0000CB5A0000}"/>
    <cellStyle name="Normal 24 6 2 3 5" xfId="16171" xr:uid="{00000000-0005-0000-0000-0000CC5A0000}"/>
    <cellStyle name="Normal 24 6 2 3 6" xfId="16172" xr:uid="{00000000-0005-0000-0000-0000CD5A0000}"/>
    <cellStyle name="Normal 24 6 2 4" xfId="16173" xr:uid="{00000000-0005-0000-0000-0000CE5A0000}"/>
    <cellStyle name="Normal 24 6 2 4 2" xfId="53094" xr:uid="{00000000-0005-0000-0000-0000CF5A0000}"/>
    <cellStyle name="Normal 24 6 2 4 3" xfId="53095" xr:uid="{00000000-0005-0000-0000-0000D05A0000}"/>
    <cellStyle name="Normal 24 6 2 5" xfId="16174" xr:uid="{00000000-0005-0000-0000-0000D15A0000}"/>
    <cellStyle name="Normal 24 6 2 5 2" xfId="53096" xr:uid="{00000000-0005-0000-0000-0000D25A0000}"/>
    <cellStyle name="Normal 24 6 2 6" xfId="16175" xr:uid="{00000000-0005-0000-0000-0000D35A0000}"/>
    <cellStyle name="Normal 24 6 2 7" xfId="16176" xr:uid="{00000000-0005-0000-0000-0000D45A0000}"/>
    <cellStyle name="Normal 24 6 2 8" xfId="16177" xr:uid="{00000000-0005-0000-0000-0000D55A0000}"/>
    <cellStyle name="Normal 24 6 2 9" xfId="16178" xr:uid="{00000000-0005-0000-0000-0000D65A0000}"/>
    <cellStyle name="Normal 24 6 3" xfId="16179" xr:uid="{00000000-0005-0000-0000-0000D75A0000}"/>
    <cellStyle name="Normal 24 6 3 2" xfId="16180" xr:uid="{00000000-0005-0000-0000-0000D85A0000}"/>
    <cellStyle name="Normal 24 6 3 2 2" xfId="16181" xr:uid="{00000000-0005-0000-0000-0000D95A0000}"/>
    <cellStyle name="Normal 24 6 3 2 2 2" xfId="53097" xr:uid="{00000000-0005-0000-0000-0000DA5A0000}"/>
    <cellStyle name="Normal 24 6 3 2 2 3" xfId="53098" xr:uid="{00000000-0005-0000-0000-0000DB5A0000}"/>
    <cellStyle name="Normal 24 6 3 2 3" xfId="16182" xr:uid="{00000000-0005-0000-0000-0000DC5A0000}"/>
    <cellStyle name="Normal 24 6 3 2 3 2" xfId="53099" xr:uid="{00000000-0005-0000-0000-0000DD5A0000}"/>
    <cellStyle name="Normal 24 6 3 2 4" xfId="16183" xr:uid="{00000000-0005-0000-0000-0000DE5A0000}"/>
    <cellStyle name="Normal 24 6 3 2 5" xfId="16184" xr:uid="{00000000-0005-0000-0000-0000DF5A0000}"/>
    <cellStyle name="Normal 24 6 3 2 6" xfId="16185" xr:uid="{00000000-0005-0000-0000-0000E05A0000}"/>
    <cellStyle name="Normal 24 6 3 3" xfId="16186" xr:uid="{00000000-0005-0000-0000-0000E15A0000}"/>
    <cellStyle name="Normal 24 6 3 3 2" xfId="53100" xr:uid="{00000000-0005-0000-0000-0000E25A0000}"/>
    <cellStyle name="Normal 24 6 3 3 3" xfId="53101" xr:uid="{00000000-0005-0000-0000-0000E35A0000}"/>
    <cellStyle name="Normal 24 6 3 4" xfId="16187" xr:uid="{00000000-0005-0000-0000-0000E45A0000}"/>
    <cellStyle name="Normal 24 6 3 4 2" xfId="53102" xr:uid="{00000000-0005-0000-0000-0000E55A0000}"/>
    <cellStyle name="Normal 24 6 3 5" xfId="16188" xr:uid="{00000000-0005-0000-0000-0000E65A0000}"/>
    <cellStyle name="Normal 24 6 3 6" xfId="16189" xr:uid="{00000000-0005-0000-0000-0000E75A0000}"/>
    <cellStyle name="Normal 24 6 3 7" xfId="16190" xr:uid="{00000000-0005-0000-0000-0000E85A0000}"/>
    <cellStyle name="Normal 24 6 4" xfId="16191" xr:uid="{00000000-0005-0000-0000-0000E95A0000}"/>
    <cellStyle name="Normal 24 6 4 2" xfId="16192" xr:uid="{00000000-0005-0000-0000-0000EA5A0000}"/>
    <cellStyle name="Normal 24 6 4 2 2" xfId="53103" xr:uid="{00000000-0005-0000-0000-0000EB5A0000}"/>
    <cellStyle name="Normal 24 6 4 2 3" xfId="53104" xr:uid="{00000000-0005-0000-0000-0000EC5A0000}"/>
    <cellStyle name="Normal 24 6 4 3" xfId="16193" xr:uid="{00000000-0005-0000-0000-0000ED5A0000}"/>
    <cellStyle name="Normal 24 6 4 3 2" xfId="53105" xr:uid="{00000000-0005-0000-0000-0000EE5A0000}"/>
    <cellStyle name="Normal 24 6 4 4" xfId="16194" xr:uid="{00000000-0005-0000-0000-0000EF5A0000}"/>
    <cellStyle name="Normal 24 6 4 5" xfId="16195" xr:uid="{00000000-0005-0000-0000-0000F05A0000}"/>
    <cellStyle name="Normal 24 6 4 6" xfId="16196" xr:uid="{00000000-0005-0000-0000-0000F15A0000}"/>
    <cellStyle name="Normal 24 6 5" xfId="16197" xr:uid="{00000000-0005-0000-0000-0000F25A0000}"/>
    <cellStyle name="Normal 24 6 5 2" xfId="16198" xr:uid="{00000000-0005-0000-0000-0000F35A0000}"/>
    <cellStyle name="Normal 24 6 5 2 2" xfId="16199" xr:uid="{00000000-0005-0000-0000-0000F45A0000}"/>
    <cellStyle name="Normal 24 6 5 2 2 2" xfId="16200" xr:uid="{00000000-0005-0000-0000-0000F55A0000}"/>
    <cellStyle name="Normal 24 6 5 2 3" xfId="16201" xr:uid="{00000000-0005-0000-0000-0000F65A0000}"/>
    <cellStyle name="Normal 24 6 5 2 3 2" xfId="16202" xr:uid="{00000000-0005-0000-0000-0000F75A0000}"/>
    <cellStyle name="Normal 24 6 5 2 4" xfId="16203" xr:uid="{00000000-0005-0000-0000-0000F85A0000}"/>
    <cellStyle name="Normal 24 6 5 3" xfId="16204" xr:uid="{00000000-0005-0000-0000-0000F95A0000}"/>
    <cellStyle name="Normal 24 6 5 3 2" xfId="16205" xr:uid="{00000000-0005-0000-0000-0000FA5A0000}"/>
    <cellStyle name="Normal 24 6 5 3 2 2" xfId="16206" xr:uid="{00000000-0005-0000-0000-0000FB5A0000}"/>
    <cellStyle name="Normal 24 6 5 3 3" xfId="16207" xr:uid="{00000000-0005-0000-0000-0000FC5A0000}"/>
    <cellStyle name="Normal 24 6 5 3 3 2" xfId="16208" xr:uid="{00000000-0005-0000-0000-0000FD5A0000}"/>
    <cellStyle name="Normal 24 6 5 3 4" xfId="16209" xr:uid="{00000000-0005-0000-0000-0000FE5A0000}"/>
    <cellStyle name="Normal 24 6 5 4" xfId="16210" xr:uid="{00000000-0005-0000-0000-0000FF5A0000}"/>
    <cellStyle name="Normal 24 6 5 4 2" xfId="16211" xr:uid="{00000000-0005-0000-0000-0000005B0000}"/>
    <cellStyle name="Normal 24 6 5 5" xfId="16212" xr:uid="{00000000-0005-0000-0000-0000015B0000}"/>
    <cellStyle name="Normal 24 6 5 5 2" xfId="16213" xr:uid="{00000000-0005-0000-0000-0000025B0000}"/>
    <cellStyle name="Normal 24 6 5 6" xfId="16214" xr:uid="{00000000-0005-0000-0000-0000035B0000}"/>
    <cellStyle name="Normal 24 6 5 7" xfId="16215" xr:uid="{00000000-0005-0000-0000-0000045B0000}"/>
    <cellStyle name="Normal 24 6 6" xfId="16216" xr:uid="{00000000-0005-0000-0000-0000055B0000}"/>
    <cellStyle name="Normal 24 6 6 2" xfId="16217" xr:uid="{00000000-0005-0000-0000-0000065B0000}"/>
    <cellStyle name="Normal 24 6 6 2 2" xfId="16218" xr:uid="{00000000-0005-0000-0000-0000075B0000}"/>
    <cellStyle name="Normal 24 6 6 3" xfId="16219" xr:uid="{00000000-0005-0000-0000-0000085B0000}"/>
    <cellStyle name="Normal 24 6 6 3 2" xfId="16220" xr:uid="{00000000-0005-0000-0000-0000095B0000}"/>
    <cellStyle name="Normal 24 6 6 4" xfId="16221" xr:uid="{00000000-0005-0000-0000-00000A5B0000}"/>
    <cellStyle name="Normal 24 6 6 5" xfId="16222" xr:uid="{00000000-0005-0000-0000-00000B5B0000}"/>
    <cellStyle name="Normal 24 6 7" xfId="16223" xr:uid="{00000000-0005-0000-0000-00000C5B0000}"/>
    <cellStyle name="Normal 24 6 7 2" xfId="16224" xr:uid="{00000000-0005-0000-0000-00000D5B0000}"/>
    <cellStyle name="Normal 24 6 7 2 2" xfId="16225" xr:uid="{00000000-0005-0000-0000-00000E5B0000}"/>
    <cellStyle name="Normal 24 6 7 3" xfId="16226" xr:uid="{00000000-0005-0000-0000-00000F5B0000}"/>
    <cellStyle name="Normal 24 6 7 3 2" xfId="16227" xr:uid="{00000000-0005-0000-0000-0000105B0000}"/>
    <cellStyle name="Normal 24 6 7 4" xfId="16228" xr:uid="{00000000-0005-0000-0000-0000115B0000}"/>
    <cellStyle name="Normal 24 6 7 5" xfId="16229" xr:uid="{00000000-0005-0000-0000-0000125B0000}"/>
    <cellStyle name="Normal 24 6 8" xfId="16230" xr:uid="{00000000-0005-0000-0000-0000135B0000}"/>
    <cellStyle name="Normal 24 6 8 2" xfId="16231" xr:uid="{00000000-0005-0000-0000-0000145B0000}"/>
    <cellStyle name="Normal 24 6 8 2 2" xfId="16232" xr:uid="{00000000-0005-0000-0000-0000155B0000}"/>
    <cellStyle name="Normal 24 6 8 3" xfId="16233" xr:uid="{00000000-0005-0000-0000-0000165B0000}"/>
    <cellStyle name="Normal 24 6 8 3 2" xfId="16234" xr:uid="{00000000-0005-0000-0000-0000175B0000}"/>
    <cellStyle name="Normal 24 6 8 4" xfId="16235" xr:uid="{00000000-0005-0000-0000-0000185B0000}"/>
    <cellStyle name="Normal 24 6 8 5" xfId="16236" xr:uid="{00000000-0005-0000-0000-0000195B0000}"/>
    <cellStyle name="Normal 24 6 9" xfId="16237" xr:uid="{00000000-0005-0000-0000-00001A5B0000}"/>
    <cellStyle name="Normal 24 6 9 2" xfId="16238" xr:uid="{00000000-0005-0000-0000-00001B5B0000}"/>
    <cellStyle name="Normal 24 6 9 2 2" xfId="16239" xr:uid="{00000000-0005-0000-0000-00001C5B0000}"/>
    <cellStyle name="Normal 24 6 9 3" xfId="16240" xr:uid="{00000000-0005-0000-0000-00001D5B0000}"/>
    <cellStyle name="Normal 24 6 9 3 2" xfId="16241" xr:uid="{00000000-0005-0000-0000-00001E5B0000}"/>
    <cellStyle name="Normal 24 6 9 4" xfId="16242" xr:uid="{00000000-0005-0000-0000-00001F5B0000}"/>
    <cellStyle name="Normal 24 6 9 5" xfId="16243" xr:uid="{00000000-0005-0000-0000-0000205B0000}"/>
    <cellStyle name="Normal 24 7" xfId="16244" xr:uid="{00000000-0005-0000-0000-0000215B0000}"/>
    <cellStyle name="Normal 24 7 10" xfId="16245" xr:uid="{00000000-0005-0000-0000-0000225B0000}"/>
    <cellStyle name="Normal 24 7 2" xfId="16246" xr:uid="{00000000-0005-0000-0000-0000235B0000}"/>
    <cellStyle name="Normal 24 7 2 2" xfId="16247" xr:uid="{00000000-0005-0000-0000-0000245B0000}"/>
    <cellStyle name="Normal 24 7 2 2 2" xfId="16248" xr:uid="{00000000-0005-0000-0000-0000255B0000}"/>
    <cellStyle name="Normal 24 7 2 2 2 2" xfId="53106" xr:uid="{00000000-0005-0000-0000-0000265B0000}"/>
    <cellStyle name="Normal 24 7 2 2 2 3" xfId="53107" xr:uid="{00000000-0005-0000-0000-0000275B0000}"/>
    <cellStyle name="Normal 24 7 2 2 3" xfId="16249" xr:uid="{00000000-0005-0000-0000-0000285B0000}"/>
    <cellStyle name="Normal 24 7 2 2 3 2" xfId="53108" xr:uid="{00000000-0005-0000-0000-0000295B0000}"/>
    <cellStyle name="Normal 24 7 2 2 4" xfId="16250" xr:uid="{00000000-0005-0000-0000-00002A5B0000}"/>
    <cellStyle name="Normal 24 7 2 2 5" xfId="16251" xr:uid="{00000000-0005-0000-0000-00002B5B0000}"/>
    <cellStyle name="Normal 24 7 2 2 6" xfId="16252" xr:uid="{00000000-0005-0000-0000-00002C5B0000}"/>
    <cellStyle name="Normal 24 7 2 3" xfId="16253" xr:uid="{00000000-0005-0000-0000-00002D5B0000}"/>
    <cellStyle name="Normal 24 7 2 3 2" xfId="53109" xr:uid="{00000000-0005-0000-0000-00002E5B0000}"/>
    <cellStyle name="Normal 24 7 2 3 3" xfId="53110" xr:uid="{00000000-0005-0000-0000-00002F5B0000}"/>
    <cellStyle name="Normal 24 7 2 4" xfId="16254" xr:uid="{00000000-0005-0000-0000-0000305B0000}"/>
    <cellStyle name="Normal 24 7 2 4 2" xfId="53111" xr:uid="{00000000-0005-0000-0000-0000315B0000}"/>
    <cellStyle name="Normal 24 7 2 5" xfId="16255" xr:uid="{00000000-0005-0000-0000-0000325B0000}"/>
    <cellStyle name="Normal 24 7 2 6" xfId="16256" xr:uid="{00000000-0005-0000-0000-0000335B0000}"/>
    <cellStyle name="Normal 24 7 2 7" xfId="16257" xr:uid="{00000000-0005-0000-0000-0000345B0000}"/>
    <cellStyle name="Normal 24 7 3" xfId="16258" xr:uid="{00000000-0005-0000-0000-0000355B0000}"/>
    <cellStyle name="Normal 24 7 3 2" xfId="16259" xr:uid="{00000000-0005-0000-0000-0000365B0000}"/>
    <cellStyle name="Normal 24 7 3 2 2" xfId="53112" xr:uid="{00000000-0005-0000-0000-0000375B0000}"/>
    <cellStyle name="Normal 24 7 3 2 3" xfId="53113" xr:uid="{00000000-0005-0000-0000-0000385B0000}"/>
    <cellStyle name="Normal 24 7 3 3" xfId="16260" xr:uid="{00000000-0005-0000-0000-0000395B0000}"/>
    <cellStyle name="Normal 24 7 3 3 2" xfId="53114" xr:uid="{00000000-0005-0000-0000-00003A5B0000}"/>
    <cellStyle name="Normal 24 7 3 4" xfId="16261" xr:uid="{00000000-0005-0000-0000-00003B5B0000}"/>
    <cellStyle name="Normal 24 7 3 5" xfId="16262" xr:uid="{00000000-0005-0000-0000-00003C5B0000}"/>
    <cellStyle name="Normal 24 7 3 6" xfId="16263" xr:uid="{00000000-0005-0000-0000-00003D5B0000}"/>
    <cellStyle name="Normal 24 7 4" xfId="16264" xr:uid="{00000000-0005-0000-0000-00003E5B0000}"/>
    <cellStyle name="Normal 24 7 4 2" xfId="53115" xr:uid="{00000000-0005-0000-0000-00003F5B0000}"/>
    <cellStyle name="Normal 24 7 5" xfId="16265" xr:uid="{00000000-0005-0000-0000-0000405B0000}"/>
    <cellStyle name="Normal 24 7 6" xfId="16266" xr:uid="{00000000-0005-0000-0000-0000415B0000}"/>
    <cellStyle name="Normal 24 7 7" xfId="16267" xr:uid="{00000000-0005-0000-0000-0000425B0000}"/>
    <cellStyle name="Normal 24 7 8" xfId="16268" xr:uid="{00000000-0005-0000-0000-0000435B0000}"/>
    <cellStyle name="Normal 24 7 9" xfId="16269" xr:uid="{00000000-0005-0000-0000-0000445B0000}"/>
    <cellStyle name="Normal 24 8" xfId="16270" xr:uid="{00000000-0005-0000-0000-0000455B0000}"/>
    <cellStyle name="Normal 24 8 2" xfId="16271" xr:uid="{00000000-0005-0000-0000-0000465B0000}"/>
    <cellStyle name="Normal 24 8 2 2" xfId="16272" xr:uid="{00000000-0005-0000-0000-0000475B0000}"/>
    <cellStyle name="Normal 24 8 2 2 2" xfId="16273" xr:uid="{00000000-0005-0000-0000-0000485B0000}"/>
    <cellStyle name="Normal 24 8 2 2 2 2" xfId="53116" xr:uid="{00000000-0005-0000-0000-0000495B0000}"/>
    <cellStyle name="Normal 24 8 2 2 2 3" xfId="53117" xr:uid="{00000000-0005-0000-0000-00004A5B0000}"/>
    <cellStyle name="Normal 24 8 2 2 3" xfId="16274" xr:uid="{00000000-0005-0000-0000-00004B5B0000}"/>
    <cellStyle name="Normal 24 8 2 2 3 2" xfId="53118" xr:uid="{00000000-0005-0000-0000-00004C5B0000}"/>
    <cellStyle name="Normal 24 8 2 2 4" xfId="16275" xr:uid="{00000000-0005-0000-0000-00004D5B0000}"/>
    <cellStyle name="Normal 24 8 2 2 5" xfId="16276" xr:uid="{00000000-0005-0000-0000-00004E5B0000}"/>
    <cellStyle name="Normal 24 8 2 2 6" xfId="16277" xr:uid="{00000000-0005-0000-0000-00004F5B0000}"/>
    <cellStyle name="Normal 24 8 2 3" xfId="16278" xr:uid="{00000000-0005-0000-0000-0000505B0000}"/>
    <cellStyle name="Normal 24 8 2 3 2" xfId="53119" xr:uid="{00000000-0005-0000-0000-0000515B0000}"/>
    <cellStyle name="Normal 24 8 2 3 3" xfId="53120" xr:uid="{00000000-0005-0000-0000-0000525B0000}"/>
    <cellStyle name="Normal 24 8 2 4" xfId="16279" xr:uid="{00000000-0005-0000-0000-0000535B0000}"/>
    <cellStyle name="Normal 24 8 2 4 2" xfId="53121" xr:uid="{00000000-0005-0000-0000-0000545B0000}"/>
    <cellStyle name="Normal 24 8 2 5" xfId="16280" xr:uid="{00000000-0005-0000-0000-0000555B0000}"/>
    <cellStyle name="Normal 24 8 2 6" xfId="16281" xr:uid="{00000000-0005-0000-0000-0000565B0000}"/>
    <cellStyle name="Normal 24 8 2 7" xfId="16282" xr:uid="{00000000-0005-0000-0000-0000575B0000}"/>
    <cellStyle name="Normal 24 8 3" xfId="16283" xr:uid="{00000000-0005-0000-0000-0000585B0000}"/>
    <cellStyle name="Normal 24 8 3 2" xfId="16284" xr:uid="{00000000-0005-0000-0000-0000595B0000}"/>
    <cellStyle name="Normal 24 8 3 2 2" xfId="53122" xr:uid="{00000000-0005-0000-0000-00005A5B0000}"/>
    <cellStyle name="Normal 24 8 3 2 3" xfId="53123" xr:uid="{00000000-0005-0000-0000-00005B5B0000}"/>
    <cellStyle name="Normal 24 8 3 3" xfId="16285" xr:uid="{00000000-0005-0000-0000-00005C5B0000}"/>
    <cellStyle name="Normal 24 8 3 3 2" xfId="53124" xr:uid="{00000000-0005-0000-0000-00005D5B0000}"/>
    <cellStyle name="Normal 24 8 3 4" xfId="16286" xr:uid="{00000000-0005-0000-0000-00005E5B0000}"/>
    <cellStyle name="Normal 24 8 3 5" xfId="16287" xr:uid="{00000000-0005-0000-0000-00005F5B0000}"/>
    <cellStyle name="Normal 24 8 3 6" xfId="16288" xr:uid="{00000000-0005-0000-0000-0000605B0000}"/>
    <cellStyle name="Normal 24 8 4" xfId="16289" xr:uid="{00000000-0005-0000-0000-0000615B0000}"/>
    <cellStyle name="Normal 24 8 4 2" xfId="53125" xr:uid="{00000000-0005-0000-0000-0000625B0000}"/>
    <cellStyle name="Normal 24 8 4 3" xfId="53126" xr:uid="{00000000-0005-0000-0000-0000635B0000}"/>
    <cellStyle name="Normal 24 8 5" xfId="16290" xr:uid="{00000000-0005-0000-0000-0000645B0000}"/>
    <cellStyle name="Normal 24 8 5 2" xfId="53127" xr:uid="{00000000-0005-0000-0000-0000655B0000}"/>
    <cellStyle name="Normal 24 8 6" xfId="16291" xr:uid="{00000000-0005-0000-0000-0000665B0000}"/>
    <cellStyle name="Normal 24 8 7" xfId="16292" xr:uid="{00000000-0005-0000-0000-0000675B0000}"/>
    <cellStyle name="Normal 24 8 8" xfId="16293" xr:uid="{00000000-0005-0000-0000-0000685B0000}"/>
    <cellStyle name="Normal 24 9" xfId="16294" xr:uid="{00000000-0005-0000-0000-0000695B0000}"/>
    <cellStyle name="Normal 24 9 2" xfId="16295" xr:uid="{00000000-0005-0000-0000-00006A5B0000}"/>
    <cellStyle name="Normal 24 9 2 2" xfId="16296" xr:uid="{00000000-0005-0000-0000-00006B5B0000}"/>
    <cellStyle name="Normal 24 9 2 2 2" xfId="16297" xr:uid="{00000000-0005-0000-0000-00006C5B0000}"/>
    <cellStyle name="Normal 24 9 2 2 2 2" xfId="53128" xr:uid="{00000000-0005-0000-0000-00006D5B0000}"/>
    <cellStyle name="Normal 24 9 2 2 2 3" xfId="53129" xr:uid="{00000000-0005-0000-0000-00006E5B0000}"/>
    <cellStyle name="Normal 24 9 2 2 3" xfId="16298" xr:uid="{00000000-0005-0000-0000-00006F5B0000}"/>
    <cellStyle name="Normal 24 9 2 2 3 2" xfId="53130" xr:uid="{00000000-0005-0000-0000-0000705B0000}"/>
    <cellStyle name="Normal 24 9 2 2 4" xfId="16299" xr:uid="{00000000-0005-0000-0000-0000715B0000}"/>
    <cellStyle name="Normal 24 9 2 2 5" xfId="16300" xr:uid="{00000000-0005-0000-0000-0000725B0000}"/>
    <cellStyle name="Normal 24 9 2 2 6" xfId="16301" xr:uid="{00000000-0005-0000-0000-0000735B0000}"/>
    <cellStyle name="Normal 24 9 2 3" xfId="16302" xr:uid="{00000000-0005-0000-0000-0000745B0000}"/>
    <cellStyle name="Normal 24 9 2 3 2" xfId="53131" xr:uid="{00000000-0005-0000-0000-0000755B0000}"/>
    <cellStyle name="Normal 24 9 2 3 3" xfId="53132" xr:uid="{00000000-0005-0000-0000-0000765B0000}"/>
    <cellStyle name="Normal 24 9 2 4" xfId="16303" xr:uid="{00000000-0005-0000-0000-0000775B0000}"/>
    <cellStyle name="Normal 24 9 2 4 2" xfId="53133" xr:uid="{00000000-0005-0000-0000-0000785B0000}"/>
    <cellStyle name="Normal 24 9 2 5" xfId="16304" xr:uid="{00000000-0005-0000-0000-0000795B0000}"/>
    <cellStyle name="Normal 24 9 2 6" xfId="16305" xr:uid="{00000000-0005-0000-0000-00007A5B0000}"/>
    <cellStyle name="Normal 24 9 2 7" xfId="16306" xr:uid="{00000000-0005-0000-0000-00007B5B0000}"/>
    <cellStyle name="Normal 24 9 3" xfId="16307" xr:uid="{00000000-0005-0000-0000-00007C5B0000}"/>
    <cellStyle name="Normal 24 9 3 2" xfId="16308" xr:uid="{00000000-0005-0000-0000-00007D5B0000}"/>
    <cellStyle name="Normal 24 9 3 2 2" xfId="53134" xr:uid="{00000000-0005-0000-0000-00007E5B0000}"/>
    <cellStyle name="Normal 24 9 3 2 3" xfId="53135" xr:uid="{00000000-0005-0000-0000-00007F5B0000}"/>
    <cellStyle name="Normal 24 9 3 3" xfId="16309" xr:uid="{00000000-0005-0000-0000-0000805B0000}"/>
    <cellStyle name="Normal 24 9 3 3 2" xfId="53136" xr:uid="{00000000-0005-0000-0000-0000815B0000}"/>
    <cellStyle name="Normal 24 9 3 4" xfId="16310" xr:uid="{00000000-0005-0000-0000-0000825B0000}"/>
    <cellStyle name="Normal 24 9 3 5" xfId="16311" xr:uid="{00000000-0005-0000-0000-0000835B0000}"/>
    <cellStyle name="Normal 24 9 3 6" xfId="16312" xr:uid="{00000000-0005-0000-0000-0000845B0000}"/>
    <cellStyle name="Normal 24 9 4" xfId="16313" xr:uid="{00000000-0005-0000-0000-0000855B0000}"/>
    <cellStyle name="Normal 24 9 4 2" xfId="53137" xr:uid="{00000000-0005-0000-0000-0000865B0000}"/>
    <cellStyle name="Normal 24 9 4 3" xfId="53138" xr:uid="{00000000-0005-0000-0000-0000875B0000}"/>
    <cellStyle name="Normal 24 9 5" xfId="16314" xr:uid="{00000000-0005-0000-0000-0000885B0000}"/>
    <cellStyle name="Normal 24 9 5 2" xfId="53139" xr:uid="{00000000-0005-0000-0000-0000895B0000}"/>
    <cellStyle name="Normal 24 9 6" xfId="16315" xr:uid="{00000000-0005-0000-0000-00008A5B0000}"/>
    <cellStyle name="Normal 24 9 7" xfId="16316" xr:uid="{00000000-0005-0000-0000-00008B5B0000}"/>
    <cellStyle name="Normal 24 9 8" xfId="16317" xr:uid="{00000000-0005-0000-0000-00008C5B0000}"/>
    <cellStyle name="Normal 25" xfId="16318" xr:uid="{00000000-0005-0000-0000-00008D5B0000}"/>
    <cellStyle name="Normal 25 10" xfId="16319" xr:uid="{00000000-0005-0000-0000-00008E5B0000}"/>
    <cellStyle name="Normal 25 10 2" xfId="16320" xr:uid="{00000000-0005-0000-0000-00008F5B0000}"/>
    <cellStyle name="Normal 25 10 2 2" xfId="16321" xr:uid="{00000000-0005-0000-0000-0000905B0000}"/>
    <cellStyle name="Normal 25 10 2 2 2" xfId="53140" xr:uid="{00000000-0005-0000-0000-0000915B0000}"/>
    <cellStyle name="Normal 25 10 2 2 3" xfId="53141" xr:uid="{00000000-0005-0000-0000-0000925B0000}"/>
    <cellStyle name="Normal 25 10 2 3" xfId="16322" xr:uid="{00000000-0005-0000-0000-0000935B0000}"/>
    <cellStyle name="Normal 25 10 2 3 2" xfId="53142" xr:uid="{00000000-0005-0000-0000-0000945B0000}"/>
    <cellStyle name="Normal 25 10 2 4" xfId="16323" xr:uid="{00000000-0005-0000-0000-0000955B0000}"/>
    <cellStyle name="Normal 25 10 2 5" xfId="16324" xr:uid="{00000000-0005-0000-0000-0000965B0000}"/>
    <cellStyle name="Normal 25 10 2 6" xfId="16325" xr:uid="{00000000-0005-0000-0000-0000975B0000}"/>
    <cellStyle name="Normal 25 10 3" xfId="16326" xr:uid="{00000000-0005-0000-0000-0000985B0000}"/>
    <cellStyle name="Normal 25 10 3 2" xfId="53143" xr:uid="{00000000-0005-0000-0000-0000995B0000}"/>
    <cellStyle name="Normal 25 10 3 3" xfId="53144" xr:uid="{00000000-0005-0000-0000-00009A5B0000}"/>
    <cellStyle name="Normal 25 10 4" xfId="16327" xr:uid="{00000000-0005-0000-0000-00009B5B0000}"/>
    <cellStyle name="Normal 25 10 4 2" xfId="53145" xr:uid="{00000000-0005-0000-0000-00009C5B0000}"/>
    <cellStyle name="Normal 25 10 5" xfId="16328" xr:uid="{00000000-0005-0000-0000-00009D5B0000}"/>
    <cellStyle name="Normal 25 10 6" xfId="16329" xr:uid="{00000000-0005-0000-0000-00009E5B0000}"/>
    <cellStyle name="Normal 25 10 7" xfId="16330" xr:uid="{00000000-0005-0000-0000-00009F5B0000}"/>
    <cellStyle name="Normal 25 11" xfId="16331" xr:uid="{00000000-0005-0000-0000-0000A05B0000}"/>
    <cellStyle name="Normal 25 11 2" xfId="16332" xr:uid="{00000000-0005-0000-0000-0000A15B0000}"/>
    <cellStyle name="Normal 25 11 2 2" xfId="53146" xr:uid="{00000000-0005-0000-0000-0000A25B0000}"/>
    <cellStyle name="Normal 25 11 2 3" xfId="53147" xr:uid="{00000000-0005-0000-0000-0000A35B0000}"/>
    <cellStyle name="Normal 25 11 3" xfId="16333" xr:uid="{00000000-0005-0000-0000-0000A45B0000}"/>
    <cellStyle name="Normal 25 11 3 2" xfId="53148" xr:uid="{00000000-0005-0000-0000-0000A55B0000}"/>
    <cellStyle name="Normal 25 11 4" xfId="16334" xr:uid="{00000000-0005-0000-0000-0000A65B0000}"/>
    <cellStyle name="Normal 25 11 5" xfId="16335" xr:uid="{00000000-0005-0000-0000-0000A75B0000}"/>
    <cellStyle name="Normal 25 11 6" xfId="16336" xr:uid="{00000000-0005-0000-0000-0000A85B0000}"/>
    <cellStyle name="Normal 25 12" xfId="16337" xr:uid="{00000000-0005-0000-0000-0000A95B0000}"/>
    <cellStyle name="Normal 25 12 2" xfId="53149" xr:uid="{00000000-0005-0000-0000-0000AA5B0000}"/>
    <cellStyle name="Normal 25 12 3" xfId="53150" xr:uid="{00000000-0005-0000-0000-0000AB5B0000}"/>
    <cellStyle name="Normal 25 13" xfId="16338" xr:uid="{00000000-0005-0000-0000-0000AC5B0000}"/>
    <cellStyle name="Normal 25 13 2" xfId="53151" xr:uid="{00000000-0005-0000-0000-0000AD5B0000}"/>
    <cellStyle name="Normal 25 14" xfId="16339" xr:uid="{00000000-0005-0000-0000-0000AE5B0000}"/>
    <cellStyle name="Normal 25 14 2" xfId="53152" xr:uid="{00000000-0005-0000-0000-0000AF5B0000}"/>
    <cellStyle name="Normal 25 15" xfId="16340" xr:uid="{00000000-0005-0000-0000-0000B05B0000}"/>
    <cellStyle name="Normal 25 16" xfId="16341" xr:uid="{00000000-0005-0000-0000-0000B15B0000}"/>
    <cellStyle name="Normal 25 17" xfId="16342" xr:uid="{00000000-0005-0000-0000-0000B25B0000}"/>
    <cellStyle name="Normal 25 18" xfId="16343" xr:uid="{00000000-0005-0000-0000-0000B35B0000}"/>
    <cellStyle name="Normal 25 19" xfId="16344" xr:uid="{00000000-0005-0000-0000-0000B45B0000}"/>
    <cellStyle name="Normal 25 2" xfId="16345" xr:uid="{00000000-0005-0000-0000-0000B55B0000}"/>
    <cellStyle name="Normal 25 2 10" xfId="16346" xr:uid="{00000000-0005-0000-0000-0000B65B0000}"/>
    <cellStyle name="Normal 25 2 11" xfId="16347" xr:uid="{00000000-0005-0000-0000-0000B75B0000}"/>
    <cellStyle name="Normal 25 2 12" xfId="16348" xr:uid="{00000000-0005-0000-0000-0000B85B0000}"/>
    <cellStyle name="Normal 25 2 13" xfId="16349" xr:uid="{00000000-0005-0000-0000-0000B95B0000}"/>
    <cellStyle name="Normal 25 2 14" xfId="16350" xr:uid="{00000000-0005-0000-0000-0000BA5B0000}"/>
    <cellStyle name="Normal 25 2 15" xfId="16351" xr:uid="{00000000-0005-0000-0000-0000BB5B0000}"/>
    <cellStyle name="Normal 25 2 16" xfId="16352" xr:uid="{00000000-0005-0000-0000-0000BC5B0000}"/>
    <cellStyle name="Normal 25 2 2" xfId="16353" xr:uid="{00000000-0005-0000-0000-0000BD5B0000}"/>
    <cellStyle name="Normal 25 2 2 10" xfId="16354" xr:uid="{00000000-0005-0000-0000-0000BE5B0000}"/>
    <cellStyle name="Normal 25 2 2 11" xfId="16355" xr:uid="{00000000-0005-0000-0000-0000BF5B0000}"/>
    <cellStyle name="Normal 25 2 2 12" xfId="16356" xr:uid="{00000000-0005-0000-0000-0000C05B0000}"/>
    <cellStyle name="Normal 25 2 2 13" xfId="16357" xr:uid="{00000000-0005-0000-0000-0000C15B0000}"/>
    <cellStyle name="Normal 25 2 2 14" xfId="16358" xr:uid="{00000000-0005-0000-0000-0000C25B0000}"/>
    <cellStyle name="Normal 25 2 2 15" xfId="16359" xr:uid="{00000000-0005-0000-0000-0000C35B0000}"/>
    <cellStyle name="Normal 25 2 2 2" xfId="16360" xr:uid="{00000000-0005-0000-0000-0000C45B0000}"/>
    <cellStyle name="Normal 25 2 2 2 2" xfId="16361" xr:uid="{00000000-0005-0000-0000-0000C55B0000}"/>
    <cellStyle name="Normal 25 2 2 2 2 2" xfId="16362" xr:uid="{00000000-0005-0000-0000-0000C65B0000}"/>
    <cellStyle name="Normal 25 2 2 2 2 2 2" xfId="16363" xr:uid="{00000000-0005-0000-0000-0000C75B0000}"/>
    <cellStyle name="Normal 25 2 2 2 2 2 2 2" xfId="53153" xr:uid="{00000000-0005-0000-0000-0000C85B0000}"/>
    <cellStyle name="Normal 25 2 2 2 2 2 2 3" xfId="53154" xr:uid="{00000000-0005-0000-0000-0000C95B0000}"/>
    <cellStyle name="Normal 25 2 2 2 2 2 3" xfId="16364" xr:uid="{00000000-0005-0000-0000-0000CA5B0000}"/>
    <cellStyle name="Normal 25 2 2 2 2 2 3 2" xfId="53155" xr:uid="{00000000-0005-0000-0000-0000CB5B0000}"/>
    <cellStyle name="Normal 25 2 2 2 2 2 4" xfId="16365" xr:uid="{00000000-0005-0000-0000-0000CC5B0000}"/>
    <cellStyle name="Normal 25 2 2 2 2 2 5" xfId="16366" xr:uid="{00000000-0005-0000-0000-0000CD5B0000}"/>
    <cellStyle name="Normal 25 2 2 2 2 2 6" xfId="16367" xr:uid="{00000000-0005-0000-0000-0000CE5B0000}"/>
    <cellStyle name="Normal 25 2 2 2 2 3" xfId="16368" xr:uid="{00000000-0005-0000-0000-0000CF5B0000}"/>
    <cellStyle name="Normal 25 2 2 2 2 3 2" xfId="53156" xr:uid="{00000000-0005-0000-0000-0000D05B0000}"/>
    <cellStyle name="Normal 25 2 2 2 2 3 3" xfId="53157" xr:uid="{00000000-0005-0000-0000-0000D15B0000}"/>
    <cellStyle name="Normal 25 2 2 2 2 4" xfId="16369" xr:uid="{00000000-0005-0000-0000-0000D25B0000}"/>
    <cellStyle name="Normal 25 2 2 2 2 4 2" xfId="53158" xr:uid="{00000000-0005-0000-0000-0000D35B0000}"/>
    <cellStyle name="Normal 25 2 2 2 2 5" xfId="16370" xr:uid="{00000000-0005-0000-0000-0000D45B0000}"/>
    <cellStyle name="Normal 25 2 2 2 2 6" xfId="16371" xr:uid="{00000000-0005-0000-0000-0000D55B0000}"/>
    <cellStyle name="Normal 25 2 2 2 2 7" xfId="16372" xr:uid="{00000000-0005-0000-0000-0000D65B0000}"/>
    <cellStyle name="Normal 25 2 2 2 3" xfId="16373" xr:uid="{00000000-0005-0000-0000-0000D75B0000}"/>
    <cellStyle name="Normal 25 2 2 2 3 2" xfId="16374" xr:uid="{00000000-0005-0000-0000-0000D85B0000}"/>
    <cellStyle name="Normal 25 2 2 2 3 2 2" xfId="53159" xr:uid="{00000000-0005-0000-0000-0000D95B0000}"/>
    <cellStyle name="Normal 25 2 2 2 3 2 3" xfId="53160" xr:uid="{00000000-0005-0000-0000-0000DA5B0000}"/>
    <cellStyle name="Normal 25 2 2 2 3 3" xfId="16375" xr:uid="{00000000-0005-0000-0000-0000DB5B0000}"/>
    <cellStyle name="Normal 25 2 2 2 3 3 2" xfId="53161" xr:uid="{00000000-0005-0000-0000-0000DC5B0000}"/>
    <cellStyle name="Normal 25 2 2 2 3 4" xfId="16376" xr:uid="{00000000-0005-0000-0000-0000DD5B0000}"/>
    <cellStyle name="Normal 25 2 2 2 3 5" xfId="16377" xr:uid="{00000000-0005-0000-0000-0000DE5B0000}"/>
    <cellStyle name="Normal 25 2 2 2 3 6" xfId="16378" xr:uid="{00000000-0005-0000-0000-0000DF5B0000}"/>
    <cellStyle name="Normal 25 2 2 2 4" xfId="16379" xr:uid="{00000000-0005-0000-0000-0000E05B0000}"/>
    <cellStyle name="Normal 25 2 2 2 4 2" xfId="53162" xr:uid="{00000000-0005-0000-0000-0000E15B0000}"/>
    <cellStyle name="Normal 25 2 2 2 4 3" xfId="53163" xr:uid="{00000000-0005-0000-0000-0000E25B0000}"/>
    <cellStyle name="Normal 25 2 2 2 5" xfId="16380" xr:uid="{00000000-0005-0000-0000-0000E35B0000}"/>
    <cellStyle name="Normal 25 2 2 2 5 2" xfId="53164" xr:uid="{00000000-0005-0000-0000-0000E45B0000}"/>
    <cellStyle name="Normal 25 2 2 2 6" xfId="16381" xr:uid="{00000000-0005-0000-0000-0000E55B0000}"/>
    <cellStyle name="Normal 25 2 2 2 7" xfId="16382" xr:uid="{00000000-0005-0000-0000-0000E65B0000}"/>
    <cellStyle name="Normal 25 2 2 2 8" xfId="16383" xr:uid="{00000000-0005-0000-0000-0000E75B0000}"/>
    <cellStyle name="Normal 25 2 2 2 9" xfId="16384" xr:uid="{00000000-0005-0000-0000-0000E85B0000}"/>
    <cellStyle name="Normal 25 2 2 3" xfId="16385" xr:uid="{00000000-0005-0000-0000-0000E95B0000}"/>
    <cellStyle name="Normal 25 2 2 3 2" xfId="16386" xr:uid="{00000000-0005-0000-0000-0000EA5B0000}"/>
    <cellStyle name="Normal 25 2 2 3 2 2" xfId="16387" xr:uid="{00000000-0005-0000-0000-0000EB5B0000}"/>
    <cellStyle name="Normal 25 2 2 3 2 2 2" xfId="16388" xr:uid="{00000000-0005-0000-0000-0000EC5B0000}"/>
    <cellStyle name="Normal 25 2 2 3 2 2 2 2" xfId="53165" xr:uid="{00000000-0005-0000-0000-0000ED5B0000}"/>
    <cellStyle name="Normal 25 2 2 3 2 2 2 3" xfId="53166" xr:uid="{00000000-0005-0000-0000-0000EE5B0000}"/>
    <cellStyle name="Normal 25 2 2 3 2 2 3" xfId="16389" xr:uid="{00000000-0005-0000-0000-0000EF5B0000}"/>
    <cellStyle name="Normal 25 2 2 3 2 2 3 2" xfId="53167" xr:uid="{00000000-0005-0000-0000-0000F05B0000}"/>
    <cellStyle name="Normal 25 2 2 3 2 2 4" xfId="16390" xr:uid="{00000000-0005-0000-0000-0000F15B0000}"/>
    <cellStyle name="Normal 25 2 2 3 2 2 5" xfId="16391" xr:uid="{00000000-0005-0000-0000-0000F25B0000}"/>
    <cellStyle name="Normal 25 2 2 3 2 2 6" xfId="16392" xr:uid="{00000000-0005-0000-0000-0000F35B0000}"/>
    <cellStyle name="Normal 25 2 2 3 2 3" xfId="16393" xr:uid="{00000000-0005-0000-0000-0000F45B0000}"/>
    <cellStyle name="Normal 25 2 2 3 2 3 2" xfId="53168" xr:uid="{00000000-0005-0000-0000-0000F55B0000}"/>
    <cellStyle name="Normal 25 2 2 3 2 3 3" xfId="53169" xr:uid="{00000000-0005-0000-0000-0000F65B0000}"/>
    <cellStyle name="Normal 25 2 2 3 2 4" xfId="16394" xr:uid="{00000000-0005-0000-0000-0000F75B0000}"/>
    <cellStyle name="Normal 25 2 2 3 2 4 2" xfId="53170" xr:uid="{00000000-0005-0000-0000-0000F85B0000}"/>
    <cellStyle name="Normal 25 2 2 3 2 5" xfId="16395" xr:uid="{00000000-0005-0000-0000-0000F95B0000}"/>
    <cellStyle name="Normal 25 2 2 3 2 6" xfId="16396" xr:uid="{00000000-0005-0000-0000-0000FA5B0000}"/>
    <cellStyle name="Normal 25 2 2 3 2 7" xfId="16397" xr:uid="{00000000-0005-0000-0000-0000FB5B0000}"/>
    <cellStyle name="Normal 25 2 2 3 3" xfId="16398" xr:uid="{00000000-0005-0000-0000-0000FC5B0000}"/>
    <cellStyle name="Normal 25 2 2 3 3 2" xfId="16399" xr:uid="{00000000-0005-0000-0000-0000FD5B0000}"/>
    <cellStyle name="Normal 25 2 2 3 3 2 2" xfId="53171" xr:uid="{00000000-0005-0000-0000-0000FE5B0000}"/>
    <cellStyle name="Normal 25 2 2 3 3 2 3" xfId="53172" xr:uid="{00000000-0005-0000-0000-0000FF5B0000}"/>
    <cellStyle name="Normal 25 2 2 3 3 3" xfId="16400" xr:uid="{00000000-0005-0000-0000-0000005C0000}"/>
    <cellStyle name="Normal 25 2 2 3 3 3 2" xfId="53173" xr:uid="{00000000-0005-0000-0000-0000015C0000}"/>
    <cellStyle name="Normal 25 2 2 3 3 4" xfId="16401" xr:uid="{00000000-0005-0000-0000-0000025C0000}"/>
    <cellStyle name="Normal 25 2 2 3 3 5" xfId="16402" xr:uid="{00000000-0005-0000-0000-0000035C0000}"/>
    <cellStyle name="Normal 25 2 2 3 3 6" xfId="16403" xr:uid="{00000000-0005-0000-0000-0000045C0000}"/>
    <cellStyle name="Normal 25 2 2 3 4" xfId="16404" xr:uid="{00000000-0005-0000-0000-0000055C0000}"/>
    <cellStyle name="Normal 25 2 2 3 4 2" xfId="53174" xr:uid="{00000000-0005-0000-0000-0000065C0000}"/>
    <cellStyle name="Normal 25 2 2 3 4 3" xfId="53175" xr:uid="{00000000-0005-0000-0000-0000075C0000}"/>
    <cellStyle name="Normal 25 2 2 3 5" xfId="16405" xr:uid="{00000000-0005-0000-0000-0000085C0000}"/>
    <cellStyle name="Normal 25 2 2 3 5 2" xfId="53176" xr:uid="{00000000-0005-0000-0000-0000095C0000}"/>
    <cellStyle name="Normal 25 2 2 3 6" xfId="16406" xr:uid="{00000000-0005-0000-0000-00000A5C0000}"/>
    <cellStyle name="Normal 25 2 2 3 7" xfId="16407" xr:uid="{00000000-0005-0000-0000-00000B5C0000}"/>
    <cellStyle name="Normal 25 2 2 3 8" xfId="16408" xr:uid="{00000000-0005-0000-0000-00000C5C0000}"/>
    <cellStyle name="Normal 25 2 2 4" xfId="16409" xr:uid="{00000000-0005-0000-0000-00000D5C0000}"/>
    <cellStyle name="Normal 25 2 2 4 2" xfId="16410" xr:uid="{00000000-0005-0000-0000-00000E5C0000}"/>
    <cellStyle name="Normal 25 2 2 4 2 2" xfId="16411" xr:uid="{00000000-0005-0000-0000-00000F5C0000}"/>
    <cellStyle name="Normal 25 2 2 4 2 2 2" xfId="53177" xr:uid="{00000000-0005-0000-0000-0000105C0000}"/>
    <cellStyle name="Normal 25 2 2 4 2 2 3" xfId="53178" xr:uid="{00000000-0005-0000-0000-0000115C0000}"/>
    <cellStyle name="Normal 25 2 2 4 2 3" xfId="16412" xr:uid="{00000000-0005-0000-0000-0000125C0000}"/>
    <cellStyle name="Normal 25 2 2 4 2 3 2" xfId="53179" xr:uid="{00000000-0005-0000-0000-0000135C0000}"/>
    <cellStyle name="Normal 25 2 2 4 2 4" xfId="16413" xr:uid="{00000000-0005-0000-0000-0000145C0000}"/>
    <cellStyle name="Normal 25 2 2 4 2 5" xfId="16414" xr:uid="{00000000-0005-0000-0000-0000155C0000}"/>
    <cellStyle name="Normal 25 2 2 4 2 6" xfId="16415" xr:uid="{00000000-0005-0000-0000-0000165C0000}"/>
    <cellStyle name="Normal 25 2 2 4 3" xfId="16416" xr:uid="{00000000-0005-0000-0000-0000175C0000}"/>
    <cellStyle name="Normal 25 2 2 4 3 2" xfId="53180" xr:uid="{00000000-0005-0000-0000-0000185C0000}"/>
    <cellStyle name="Normal 25 2 2 4 3 3" xfId="53181" xr:uid="{00000000-0005-0000-0000-0000195C0000}"/>
    <cellStyle name="Normal 25 2 2 4 4" xfId="16417" xr:uid="{00000000-0005-0000-0000-00001A5C0000}"/>
    <cellStyle name="Normal 25 2 2 4 4 2" xfId="53182" xr:uid="{00000000-0005-0000-0000-00001B5C0000}"/>
    <cellStyle name="Normal 25 2 2 4 5" xfId="16418" xr:uid="{00000000-0005-0000-0000-00001C5C0000}"/>
    <cellStyle name="Normal 25 2 2 4 6" xfId="16419" xr:uid="{00000000-0005-0000-0000-00001D5C0000}"/>
    <cellStyle name="Normal 25 2 2 4 7" xfId="16420" xr:uid="{00000000-0005-0000-0000-00001E5C0000}"/>
    <cellStyle name="Normal 25 2 2 5" xfId="16421" xr:uid="{00000000-0005-0000-0000-00001F5C0000}"/>
    <cellStyle name="Normal 25 2 2 5 2" xfId="16422" xr:uid="{00000000-0005-0000-0000-0000205C0000}"/>
    <cellStyle name="Normal 25 2 2 5 2 2" xfId="53183" xr:uid="{00000000-0005-0000-0000-0000215C0000}"/>
    <cellStyle name="Normal 25 2 2 5 2 3" xfId="53184" xr:uid="{00000000-0005-0000-0000-0000225C0000}"/>
    <cellStyle name="Normal 25 2 2 5 3" xfId="16423" xr:uid="{00000000-0005-0000-0000-0000235C0000}"/>
    <cellStyle name="Normal 25 2 2 5 3 2" xfId="53185" xr:uid="{00000000-0005-0000-0000-0000245C0000}"/>
    <cellStyle name="Normal 25 2 2 5 4" xfId="16424" xr:uid="{00000000-0005-0000-0000-0000255C0000}"/>
    <cellStyle name="Normal 25 2 2 5 5" xfId="16425" xr:uid="{00000000-0005-0000-0000-0000265C0000}"/>
    <cellStyle name="Normal 25 2 2 5 6" xfId="16426" xr:uid="{00000000-0005-0000-0000-0000275C0000}"/>
    <cellStyle name="Normal 25 2 2 6" xfId="16427" xr:uid="{00000000-0005-0000-0000-0000285C0000}"/>
    <cellStyle name="Normal 25 2 2 6 2" xfId="53186" xr:uid="{00000000-0005-0000-0000-0000295C0000}"/>
    <cellStyle name="Normal 25 2 2 7" xfId="16428" xr:uid="{00000000-0005-0000-0000-00002A5C0000}"/>
    <cellStyle name="Normal 25 2 2 8" xfId="16429" xr:uid="{00000000-0005-0000-0000-00002B5C0000}"/>
    <cellStyle name="Normal 25 2 2 9" xfId="16430" xr:uid="{00000000-0005-0000-0000-00002C5C0000}"/>
    <cellStyle name="Normal 25 2 3" xfId="16431" xr:uid="{00000000-0005-0000-0000-00002D5C0000}"/>
    <cellStyle name="Normal 25 2 3 2" xfId="16432" xr:uid="{00000000-0005-0000-0000-00002E5C0000}"/>
    <cellStyle name="Normal 25 2 3 2 2" xfId="16433" xr:uid="{00000000-0005-0000-0000-00002F5C0000}"/>
    <cellStyle name="Normal 25 2 3 2 2 2" xfId="16434" xr:uid="{00000000-0005-0000-0000-0000305C0000}"/>
    <cellStyle name="Normal 25 2 3 2 2 2 2" xfId="53187" xr:uid="{00000000-0005-0000-0000-0000315C0000}"/>
    <cellStyle name="Normal 25 2 3 2 2 2 3" xfId="53188" xr:uid="{00000000-0005-0000-0000-0000325C0000}"/>
    <cellStyle name="Normal 25 2 3 2 2 3" xfId="16435" xr:uid="{00000000-0005-0000-0000-0000335C0000}"/>
    <cellStyle name="Normal 25 2 3 2 2 3 2" xfId="53189" xr:uid="{00000000-0005-0000-0000-0000345C0000}"/>
    <cellStyle name="Normal 25 2 3 2 2 4" xfId="16436" xr:uid="{00000000-0005-0000-0000-0000355C0000}"/>
    <cellStyle name="Normal 25 2 3 2 2 5" xfId="16437" xr:uid="{00000000-0005-0000-0000-0000365C0000}"/>
    <cellStyle name="Normal 25 2 3 2 2 6" xfId="16438" xr:uid="{00000000-0005-0000-0000-0000375C0000}"/>
    <cellStyle name="Normal 25 2 3 2 3" xfId="16439" xr:uid="{00000000-0005-0000-0000-0000385C0000}"/>
    <cellStyle name="Normal 25 2 3 2 3 2" xfId="53190" xr:uid="{00000000-0005-0000-0000-0000395C0000}"/>
    <cellStyle name="Normal 25 2 3 2 3 3" xfId="53191" xr:uid="{00000000-0005-0000-0000-00003A5C0000}"/>
    <cellStyle name="Normal 25 2 3 2 4" xfId="16440" xr:uid="{00000000-0005-0000-0000-00003B5C0000}"/>
    <cellStyle name="Normal 25 2 3 2 4 2" xfId="53192" xr:uid="{00000000-0005-0000-0000-00003C5C0000}"/>
    <cellStyle name="Normal 25 2 3 2 5" xfId="16441" xr:uid="{00000000-0005-0000-0000-00003D5C0000}"/>
    <cellStyle name="Normal 25 2 3 2 6" xfId="16442" xr:uid="{00000000-0005-0000-0000-00003E5C0000}"/>
    <cellStyle name="Normal 25 2 3 2 7" xfId="16443" xr:uid="{00000000-0005-0000-0000-00003F5C0000}"/>
    <cellStyle name="Normal 25 2 3 3" xfId="16444" xr:uid="{00000000-0005-0000-0000-0000405C0000}"/>
    <cellStyle name="Normal 25 2 3 3 2" xfId="16445" xr:uid="{00000000-0005-0000-0000-0000415C0000}"/>
    <cellStyle name="Normal 25 2 3 3 2 2" xfId="53193" xr:uid="{00000000-0005-0000-0000-0000425C0000}"/>
    <cellStyle name="Normal 25 2 3 3 2 3" xfId="53194" xr:uid="{00000000-0005-0000-0000-0000435C0000}"/>
    <cellStyle name="Normal 25 2 3 3 3" xfId="16446" xr:uid="{00000000-0005-0000-0000-0000445C0000}"/>
    <cellStyle name="Normal 25 2 3 3 3 2" xfId="53195" xr:uid="{00000000-0005-0000-0000-0000455C0000}"/>
    <cellStyle name="Normal 25 2 3 3 4" xfId="16447" xr:uid="{00000000-0005-0000-0000-0000465C0000}"/>
    <cellStyle name="Normal 25 2 3 3 5" xfId="16448" xr:uid="{00000000-0005-0000-0000-0000475C0000}"/>
    <cellStyle name="Normal 25 2 3 3 6" xfId="16449" xr:uid="{00000000-0005-0000-0000-0000485C0000}"/>
    <cellStyle name="Normal 25 2 3 4" xfId="16450" xr:uid="{00000000-0005-0000-0000-0000495C0000}"/>
    <cellStyle name="Normal 25 2 3 4 2" xfId="53196" xr:uid="{00000000-0005-0000-0000-00004A5C0000}"/>
    <cellStyle name="Normal 25 2 3 4 3" xfId="53197" xr:uid="{00000000-0005-0000-0000-00004B5C0000}"/>
    <cellStyle name="Normal 25 2 3 5" xfId="16451" xr:uid="{00000000-0005-0000-0000-00004C5C0000}"/>
    <cellStyle name="Normal 25 2 3 5 2" xfId="53198" xr:uid="{00000000-0005-0000-0000-00004D5C0000}"/>
    <cellStyle name="Normal 25 2 3 6" xfId="16452" xr:uid="{00000000-0005-0000-0000-00004E5C0000}"/>
    <cellStyle name="Normal 25 2 3 7" xfId="16453" xr:uid="{00000000-0005-0000-0000-00004F5C0000}"/>
    <cellStyle name="Normal 25 2 3 8" xfId="16454" xr:uid="{00000000-0005-0000-0000-0000505C0000}"/>
    <cellStyle name="Normal 25 2 3 9" xfId="16455" xr:uid="{00000000-0005-0000-0000-0000515C0000}"/>
    <cellStyle name="Normal 25 2 4" xfId="16456" xr:uid="{00000000-0005-0000-0000-0000525C0000}"/>
    <cellStyle name="Normal 25 2 4 2" xfId="16457" xr:uid="{00000000-0005-0000-0000-0000535C0000}"/>
    <cellStyle name="Normal 25 2 4 2 2" xfId="16458" xr:uid="{00000000-0005-0000-0000-0000545C0000}"/>
    <cellStyle name="Normal 25 2 4 2 2 2" xfId="16459" xr:uid="{00000000-0005-0000-0000-0000555C0000}"/>
    <cellStyle name="Normal 25 2 4 2 2 2 2" xfId="53199" xr:uid="{00000000-0005-0000-0000-0000565C0000}"/>
    <cellStyle name="Normal 25 2 4 2 2 2 3" xfId="53200" xr:uid="{00000000-0005-0000-0000-0000575C0000}"/>
    <cellStyle name="Normal 25 2 4 2 2 3" xfId="16460" xr:uid="{00000000-0005-0000-0000-0000585C0000}"/>
    <cellStyle name="Normal 25 2 4 2 2 3 2" xfId="53201" xr:uid="{00000000-0005-0000-0000-0000595C0000}"/>
    <cellStyle name="Normal 25 2 4 2 2 4" xfId="16461" xr:uid="{00000000-0005-0000-0000-00005A5C0000}"/>
    <cellStyle name="Normal 25 2 4 2 2 5" xfId="16462" xr:uid="{00000000-0005-0000-0000-00005B5C0000}"/>
    <cellStyle name="Normal 25 2 4 2 2 6" xfId="16463" xr:uid="{00000000-0005-0000-0000-00005C5C0000}"/>
    <cellStyle name="Normal 25 2 4 2 3" xfId="16464" xr:uid="{00000000-0005-0000-0000-00005D5C0000}"/>
    <cellStyle name="Normal 25 2 4 2 3 2" xfId="53202" xr:uid="{00000000-0005-0000-0000-00005E5C0000}"/>
    <cellStyle name="Normal 25 2 4 2 3 3" xfId="53203" xr:uid="{00000000-0005-0000-0000-00005F5C0000}"/>
    <cellStyle name="Normal 25 2 4 2 4" xfId="16465" xr:uid="{00000000-0005-0000-0000-0000605C0000}"/>
    <cellStyle name="Normal 25 2 4 2 4 2" xfId="53204" xr:uid="{00000000-0005-0000-0000-0000615C0000}"/>
    <cellStyle name="Normal 25 2 4 2 5" xfId="16466" xr:uid="{00000000-0005-0000-0000-0000625C0000}"/>
    <cellStyle name="Normal 25 2 4 2 6" xfId="16467" xr:uid="{00000000-0005-0000-0000-0000635C0000}"/>
    <cellStyle name="Normal 25 2 4 2 7" xfId="16468" xr:uid="{00000000-0005-0000-0000-0000645C0000}"/>
    <cellStyle name="Normal 25 2 4 3" xfId="16469" xr:uid="{00000000-0005-0000-0000-0000655C0000}"/>
    <cellStyle name="Normal 25 2 4 3 2" xfId="16470" xr:uid="{00000000-0005-0000-0000-0000665C0000}"/>
    <cellStyle name="Normal 25 2 4 3 2 2" xfId="53205" xr:uid="{00000000-0005-0000-0000-0000675C0000}"/>
    <cellStyle name="Normal 25 2 4 3 2 3" xfId="53206" xr:uid="{00000000-0005-0000-0000-0000685C0000}"/>
    <cellStyle name="Normal 25 2 4 3 3" xfId="16471" xr:uid="{00000000-0005-0000-0000-0000695C0000}"/>
    <cellStyle name="Normal 25 2 4 3 3 2" xfId="53207" xr:uid="{00000000-0005-0000-0000-00006A5C0000}"/>
    <cellStyle name="Normal 25 2 4 3 4" xfId="16472" xr:uid="{00000000-0005-0000-0000-00006B5C0000}"/>
    <cellStyle name="Normal 25 2 4 3 5" xfId="16473" xr:uid="{00000000-0005-0000-0000-00006C5C0000}"/>
    <cellStyle name="Normal 25 2 4 3 6" xfId="16474" xr:uid="{00000000-0005-0000-0000-00006D5C0000}"/>
    <cellStyle name="Normal 25 2 4 4" xfId="16475" xr:uid="{00000000-0005-0000-0000-00006E5C0000}"/>
    <cellStyle name="Normal 25 2 4 4 2" xfId="53208" xr:uid="{00000000-0005-0000-0000-00006F5C0000}"/>
    <cellStyle name="Normal 25 2 4 4 3" xfId="53209" xr:uid="{00000000-0005-0000-0000-0000705C0000}"/>
    <cellStyle name="Normal 25 2 4 5" xfId="16476" xr:uid="{00000000-0005-0000-0000-0000715C0000}"/>
    <cellStyle name="Normal 25 2 4 5 2" xfId="53210" xr:uid="{00000000-0005-0000-0000-0000725C0000}"/>
    <cellStyle name="Normal 25 2 4 6" xfId="16477" xr:uid="{00000000-0005-0000-0000-0000735C0000}"/>
    <cellStyle name="Normal 25 2 4 7" xfId="16478" xr:uid="{00000000-0005-0000-0000-0000745C0000}"/>
    <cellStyle name="Normal 25 2 4 8" xfId="16479" xr:uid="{00000000-0005-0000-0000-0000755C0000}"/>
    <cellStyle name="Normal 25 2 5" xfId="16480" xr:uid="{00000000-0005-0000-0000-0000765C0000}"/>
    <cellStyle name="Normal 25 2 5 2" xfId="16481" xr:uid="{00000000-0005-0000-0000-0000775C0000}"/>
    <cellStyle name="Normal 25 2 5 2 2" xfId="16482" xr:uid="{00000000-0005-0000-0000-0000785C0000}"/>
    <cellStyle name="Normal 25 2 5 2 2 2" xfId="53211" xr:uid="{00000000-0005-0000-0000-0000795C0000}"/>
    <cellStyle name="Normal 25 2 5 2 2 3" xfId="53212" xr:uid="{00000000-0005-0000-0000-00007A5C0000}"/>
    <cellStyle name="Normal 25 2 5 2 3" xfId="16483" xr:uid="{00000000-0005-0000-0000-00007B5C0000}"/>
    <cellStyle name="Normal 25 2 5 2 3 2" xfId="53213" xr:uid="{00000000-0005-0000-0000-00007C5C0000}"/>
    <cellStyle name="Normal 25 2 5 2 4" xfId="16484" xr:uid="{00000000-0005-0000-0000-00007D5C0000}"/>
    <cellStyle name="Normal 25 2 5 2 5" xfId="16485" xr:uid="{00000000-0005-0000-0000-00007E5C0000}"/>
    <cellStyle name="Normal 25 2 5 2 6" xfId="16486" xr:uid="{00000000-0005-0000-0000-00007F5C0000}"/>
    <cellStyle name="Normal 25 2 5 3" xfId="16487" xr:uid="{00000000-0005-0000-0000-0000805C0000}"/>
    <cellStyle name="Normal 25 2 5 3 2" xfId="53214" xr:uid="{00000000-0005-0000-0000-0000815C0000}"/>
    <cellStyle name="Normal 25 2 5 3 3" xfId="53215" xr:uid="{00000000-0005-0000-0000-0000825C0000}"/>
    <cellStyle name="Normal 25 2 5 4" xfId="16488" xr:uid="{00000000-0005-0000-0000-0000835C0000}"/>
    <cellStyle name="Normal 25 2 5 4 2" xfId="53216" xr:uid="{00000000-0005-0000-0000-0000845C0000}"/>
    <cellStyle name="Normal 25 2 5 5" xfId="16489" xr:uid="{00000000-0005-0000-0000-0000855C0000}"/>
    <cellStyle name="Normal 25 2 5 6" xfId="16490" xr:uid="{00000000-0005-0000-0000-0000865C0000}"/>
    <cellStyle name="Normal 25 2 5 7" xfId="16491" xr:uid="{00000000-0005-0000-0000-0000875C0000}"/>
    <cellStyle name="Normal 25 2 6" xfId="16492" xr:uid="{00000000-0005-0000-0000-0000885C0000}"/>
    <cellStyle name="Normal 25 2 6 2" xfId="16493" xr:uid="{00000000-0005-0000-0000-0000895C0000}"/>
    <cellStyle name="Normal 25 2 6 2 2" xfId="53217" xr:uid="{00000000-0005-0000-0000-00008A5C0000}"/>
    <cellStyle name="Normal 25 2 6 2 3" xfId="53218" xr:uid="{00000000-0005-0000-0000-00008B5C0000}"/>
    <cellStyle name="Normal 25 2 6 3" xfId="16494" xr:uid="{00000000-0005-0000-0000-00008C5C0000}"/>
    <cellStyle name="Normal 25 2 6 3 2" xfId="53219" xr:uid="{00000000-0005-0000-0000-00008D5C0000}"/>
    <cellStyle name="Normal 25 2 6 4" xfId="16495" xr:uid="{00000000-0005-0000-0000-00008E5C0000}"/>
    <cellStyle name="Normal 25 2 6 5" xfId="16496" xr:uid="{00000000-0005-0000-0000-00008F5C0000}"/>
    <cellStyle name="Normal 25 2 6 6" xfId="16497" xr:uid="{00000000-0005-0000-0000-0000905C0000}"/>
    <cellStyle name="Normal 25 2 7" xfId="16498" xr:uid="{00000000-0005-0000-0000-0000915C0000}"/>
    <cellStyle name="Normal 25 2 7 2" xfId="53220" xr:uid="{00000000-0005-0000-0000-0000925C0000}"/>
    <cellStyle name="Normal 25 2 7 3" xfId="53221" xr:uid="{00000000-0005-0000-0000-0000935C0000}"/>
    <cellStyle name="Normal 25 2 8" xfId="16499" xr:uid="{00000000-0005-0000-0000-0000945C0000}"/>
    <cellStyle name="Normal 25 2 8 2" xfId="53222" xr:uid="{00000000-0005-0000-0000-0000955C0000}"/>
    <cellStyle name="Normal 25 2 9" xfId="16500" xr:uid="{00000000-0005-0000-0000-0000965C0000}"/>
    <cellStyle name="Normal 25 2 9 2" xfId="53223" xr:uid="{00000000-0005-0000-0000-0000975C0000}"/>
    <cellStyle name="Normal 25 20" xfId="16501" xr:uid="{00000000-0005-0000-0000-0000985C0000}"/>
    <cellStyle name="Normal 25 21" xfId="16502" xr:uid="{00000000-0005-0000-0000-0000995C0000}"/>
    <cellStyle name="Normal 25 3" xfId="16503" xr:uid="{00000000-0005-0000-0000-00009A5C0000}"/>
    <cellStyle name="Normal 25 3 10" xfId="16504" xr:uid="{00000000-0005-0000-0000-00009B5C0000}"/>
    <cellStyle name="Normal 25 3 11" xfId="16505" xr:uid="{00000000-0005-0000-0000-00009C5C0000}"/>
    <cellStyle name="Normal 25 3 12" xfId="16506" xr:uid="{00000000-0005-0000-0000-00009D5C0000}"/>
    <cellStyle name="Normal 25 3 13" xfId="16507" xr:uid="{00000000-0005-0000-0000-00009E5C0000}"/>
    <cellStyle name="Normal 25 3 14" xfId="16508" xr:uid="{00000000-0005-0000-0000-00009F5C0000}"/>
    <cellStyle name="Normal 25 3 15" xfId="16509" xr:uid="{00000000-0005-0000-0000-0000A05C0000}"/>
    <cellStyle name="Normal 25 3 16" xfId="16510" xr:uid="{00000000-0005-0000-0000-0000A15C0000}"/>
    <cellStyle name="Normal 25 3 17" xfId="16511" xr:uid="{00000000-0005-0000-0000-0000A25C0000}"/>
    <cellStyle name="Normal 25 3 2" xfId="16512" xr:uid="{00000000-0005-0000-0000-0000A35C0000}"/>
    <cellStyle name="Normal 25 3 2 10" xfId="16513" xr:uid="{00000000-0005-0000-0000-0000A45C0000}"/>
    <cellStyle name="Normal 25 3 2 11" xfId="16514" xr:uid="{00000000-0005-0000-0000-0000A55C0000}"/>
    <cellStyle name="Normal 25 3 2 12" xfId="16515" xr:uid="{00000000-0005-0000-0000-0000A65C0000}"/>
    <cellStyle name="Normal 25 3 2 13" xfId="16516" xr:uid="{00000000-0005-0000-0000-0000A75C0000}"/>
    <cellStyle name="Normal 25 3 2 14" xfId="16517" xr:uid="{00000000-0005-0000-0000-0000A85C0000}"/>
    <cellStyle name="Normal 25 3 2 2" xfId="16518" xr:uid="{00000000-0005-0000-0000-0000A95C0000}"/>
    <cellStyle name="Normal 25 3 2 2 2" xfId="16519" xr:uid="{00000000-0005-0000-0000-0000AA5C0000}"/>
    <cellStyle name="Normal 25 3 2 2 2 2" xfId="16520" xr:uid="{00000000-0005-0000-0000-0000AB5C0000}"/>
    <cellStyle name="Normal 25 3 2 2 2 2 2" xfId="16521" xr:uid="{00000000-0005-0000-0000-0000AC5C0000}"/>
    <cellStyle name="Normal 25 3 2 2 2 2 2 2" xfId="53224" xr:uid="{00000000-0005-0000-0000-0000AD5C0000}"/>
    <cellStyle name="Normal 25 3 2 2 2 2 2 3" xfId="53225" xr:uid="{00000000-0005-0000-0000-0000AE5C0000}"/>
    <cellStyle name="Normal 25 3 2 2 2 2 3" xfId="16522" xr:uid="{00000000-0005-0000-0000-0000AF5C0000}"/>
    <cellStyle name="Normal 25 3 2 2 2 2 3 2" xfId="53226" xr:uid="{00000000-0005-0000-0000-0000B05C0000}"/>
    <cellStyle name="Normal 25 3 2 2 2 2 4" xfId="16523" xr:uid="{00000000-0005-0000-0000-0000B15C0000}"/>
    <cellStyle name="Normal 25 3 2 2 2 2 5" xfId="16524" xr:uid="{00000000-0005-0000-0000-0000B25C0000}"/>
    <cellStyle name="Normal 25 3 2 2 2 2 6" xfId="16525" xr:uid="{00000000-0005-0000-0000-0000B35C0000}"/>
    <cellStyle name="Normal 25 3 2 2 2 3" xfId="16526" xr:uid="{00000000-0005-0000-0000-0000B45C0000}"/>
    <cellStyle name="Normal 25 3 2 2 2 3 2" xfId="53227" xr:uid="{00000000-0005-0000-0000-0000B55C0000}"/>
    <cellStyle name="Normal 25 3 2 2 2 3 3" xfId="53228" xr:uid="{00000000-0005-0000-0000-0000B65C0000}"/>
    <cellStyle name="Normal 25 3 2 2 2 4" xfId="16527" xr:uid="{00000000-0005-0000-0000-0000B75C0000}"/>
    <cellStyle name="Normal 25 3 2 2 2 4 2" xfId="53229" xr:uid="{00000000-0005-0000-0000-0000B85C0000}"/>
    <cellStyle name="Normal 25 3 2 2 2 5" xfId="16528" xr:uid="{00000000-0005-0000-0000-0000B95C0000}"/>
    <cellStyle name="Normal 25 3 2 2 2 6" xfId="16529" xr:uid="{00000000-0005-0000-0000-0000BA5C0000}"/>
    <cellStyle name="Normal 25 3 2 2 2 7" xfId="16530" xr:uid="{00000000-0005-0000-0000-0000BB5C0000}"/>
    <cellStyle name="Normal 25 3 2 2 3" xfId="16531" xr:uid="{00000000-0005-0000-0000-0000BC5C0000}"/>
    <cellStyle name="Normal 25 3 2 2 3 2" xfId="16532" xr:uid="{00000000-0005-0000-0000-0000BD5C0000}"/>
    <cellStyle name="Normal 25 3 2 2 3 2 2" xfId="53230" xr:uid="{00000000-0005-0000-0000-0000BE5C0000}"/>
    <cellStyle name="Normal 25 3 2 2 3 2 3" xfId="53231" xr:uid="{00000000-0005-0000-0000-0000BF5C0000}"/>
    <cellStyle name="Normal 25 3 2 2 3 3" xfId="16533" xr:uid="{00000000-0005-0000-0000-0000C05C0000}"/>
    <cellStyle name="Normal 25 3 2 2 3 3 2" xfId="53232" xr:uid="{00000000-0005-0000-0000-0000C15C0000}"/>
    <cellStyle name="Normal 25 3 2 2 3 4" xfId="16534" xr:uid="{00000000-0005-0000-0000-0000C25C0000}"/>
    <cellStyle name="Normal 25 3 2 2 3 5" xfId="16535" xr:uid="{00000000-0005-0000-0000-0000C35C0000}"/>
    <cellStyle name="Normal 25 3 2 2 3 6" xfId="16536" xr:uid="{00000000-0005-0000-0000-0000C45C0000}"/>
    <cellStyle name="Normal 25 3 2 2 4" xfId="16537" xr:uid="{00000000-0005-0000-0000-0000C55C0000}"/>
    <cellStyle name="Normal 25 3 2 2 4 2" xfId="53233" xr:uid="{00000000-0005-0000-0000-0000C65C0000}"/>
    <cellStyle name="Normal 25 3 2 2 4 3" xfId="53234" xr:uid="{00000000-0005-0000-0000-0000C75C0000}"/>
    <cellStyle name="Normal 25 3 2 2 5" xfId="16538" xr:uid="{00000000-0005-0000-0000-0000C85C0000}"/>
    <cellStyle name="Normal 25 3 2 2 5 2" xfId="53235" xr:uid="{00000000-0005-0000-0000-0000C95C0000}"/>
    <cellStyle name="Normal 25 3 2 2 6" xfId="16539" xr:uid="{00000000-0005-0000-0000-0000CA5C0000}"/>
    <cellStyle name="Normal 25 3 2 2 7" xfId="16540" xr:uid="{00000000-0005-0000-0000-0000CB5C0000}"/>
    <cellStyle name="Normal 25 3 2 2 8" xfId="16541" xr:uid="{00000000-0005-0000-0000-0000CC5C0000}"/>
    <cellStyle name="Normal 25 3 2 2 9" xfId="16542" xr:uid="{00000000-0005-0000-0000-0000CD5C0000}"/>
    <cellStyle name="Normal 25 3 2 3" xfId="16543" xr:uid="{00000000-0005-0000-0000-0000CE5C0000}"/>
    <cellStyle name="Normal 25 3 2 3 2" xfId="16544" xr:uid="{00000000-0005-0000-0000-0000CF5C0000}"/>
    <cellStyle name="Normal 25 3 2 3 2 2" xfId="16545" xr:uid="{00000000-0005-0000-0000-0000D05C0000}"/>
    <cellStyle name="Normal 25 3 2 3 2 2 2" xfId="16546" xr:uid="{00000000-0005-0000-0000-0000D15C0000}"/>
    <cellStyle name="Normal 25 3 2 3 2 2 2 2" xfId="53236" xr:uid="{00000000-0005-0000-0000-0000D25C0000}"/>
    <cellStyle name="Normal 25 3 2 3 2 2 2 3" xfId="53237" xr:uid="{00000000-0005-0000-0000-0000D35C0000}"/>
    <cellStyle name="Normal 25 3 2 3 2 2 3" xfId="16547" xr:uid="{00000000-0005-0000-0000-0000D45C0000}"/>
    <cellStyle name="Normal 25 3 2 3 2 2 3 2" xfId="53238" xr:uid="{00000000-0005-0000-0000-0000D55C0000}"/>
    <cellStyle name="Normal 25 3 2 3 2 2 4" xfId="16548" xr:uid="{00000000-0005-0000-0000-0000D65C0000}"/>
    <cellStyle name="Normal 25 3 2 3 2 2 5" xfId="16549" xr:uid="{00000000-0005-0000-0000-0000D75C0000}"/>
    <cellStyle name="Normal 25 3 2 3 2 2 6" xfId="16550" xr:uid="{00000000-0005-0000-0000-0000D85C0000}"/>
    <cellStyle name="Normal 25 3 2 3 2 3" xfId="16551" xr:uid="{00000000-0005-0000-0000-0000D95C0000}"/>
    <cellStyle name="Normal 25 3 2 3 2 3 2" xfId="53239" xr:uid="{00000000-0005-0000-0000-0000DA5C0000}"/>
    <cellStyle name="Normal 25 3 2 3 2 3 3" xfId="53240" xr:uid="{00000000-0005-0000-0000-0000DB5C0000}"/>
    <cellStyle name="Normal 25 3 2 3 2 4" xfId="16552" xr:uid="{00000000-0005-0000-0000-0000DC5C0000}"/>
    <cellStyle name="Normal 25 3 2 3 2 4 2" xfId="53241" xr:uid="{00000000-0005-0000-0000-0000DD5C0000}"/>
    <cellStyle name="Normal 25 3 2 3 2 5" xfId="16553" xr:uid="{00000000-0005-0000-0000-0000DE5C0000}"/>
    <cellStyle name="Normal 25 3 2 3 2 6" xfId="16554" xr:uid="{00000000-0005-0000-0000-0000DF5C0000}"/>
    <cellStyle name="Normal 25 3 2 3 2 7" xfId="16555" xr:uid="{00000000-0005-0000-0000-0000E05C0000}"/>
    <cellStyle name="Normal 25 3 2 3 3" xfId="16556" xr:uid="{00000000-0005-0000-0000-0000E15C0000}"/>
    <cellStyle name="Normal 25 3 2 3 3 2" xfId="16557" xr:uid="{00000000-0005-0000-0000-0000E25C0000}"/>
    <cellStyle name="Normal 25 3 2 3 3 2 2" xfId="53242" xr:uid="{00000000-0005-0000-0000-0000E35C0000}"/>
    <cellStyle name="Normal 25 3 2 3 3 2 3" xfId="53243" xr:uid="{00000000-0005-0000-0000-0000E45C0000}"/>
    <cellStyle name="Normal 25 3 2 3 3 3" xfId="16558" xr:uid="{00000000-0005-0000-0000-0000E55C0000}"/>
    <cellStyle name="Normal 25 3 2 3 3 3 2" xfId="53244" xr:uid="{00000000-0005-0000-0000-0000E65C0000}"/>
    <cellStyle name="Normal 25 3 2 3 3 4" xfId="16559" xr:uid="{00000000-0005-0000-0000-0000E75C0000}"/>
    <cellStyle name="Normal 25 3 2 3 3 5" xfId="16560" xr:uid="{00000000-0005-0000-0000-0000E85C0000}"/>
    <cellStyle name="Normal 25 3 2 3 3 6" xfId="16561" xr:uid="{00000000-0005-0000-0000-0000E95C0000}"/>
    <cellStyle name="Normal 25 3 2 3 4" xfId="16562" xr:uid="{00000000-0005-0000-0000-0000EA5C0000}"/>
    <cellStyle name="Normal 25 3 2 3 4 2" xfId="53245" xr:uid="{00000000-0005-0000-0000-0000EB5C0000}"/>
    <cellStyle name="Normal 25 3 2 3 4 3" xfId="53246" xr:uid="{00000000-0005-0000-0000-0000EC5C0000}"/>
    <cellStyle name="Normal 25 3 2 3 5" xfId="16563" xr:uid="{00000000-0005-0000-0000-0000ED5C0000}"/>
    <cellStyle name="Normal 25 3 2 3 5 2" xfId="53247" xr:uid="{00000000-0005-0000-0000-0000EE5C0000}"/>
    <cellStyle name="Normal 25 3 2 3 6" xfId="16564" xr:uid="{00000000-0005-0000-0000-0000EF5C0000}"/>
    <cellStyle name="Normal 25 3 2 3 7" xfId="16565" xr:uid="{00000000-0005-0000-0000-0000F05C0000}"/>
    <cellStyle name="Normal 25 3 2 3 8" xfId="16566" xr:uid="{00000000-0005-0000-0000-0000F15C0000}"/>
    <cellStyle name="Normal 25 3 2 4" xfId="16567" xr:uid="{00000000-0005-0000-0000-0000F25C0000}"/>
    <cellStyle name="Normal 25 3 2 4 2" xfId="16568" xr:uid="{00000000-0005-0000-0000-0000F35C0000}"/>
    <cellStyle name="Normal 25 3 2 4 2 2" xfId="16569" xr:uid="{00000000-0005-0000-0000-0000F45C0000}"/>
    <cellStyle name="Normal 25 3 2 4 2 2 2" xfId="53248" xr:uid="{00000000-0005-0000-0000-0000F55C0000}"/>
    <cellStyle name="Normal 25 3 2 4 2 2 3" xfId="53249" xr:uid="{00000000-0005-0000-0000-0000F65C0000}"/>
    <cellStyle name="Normal 25 3 2 4 2 3" xfId="16570" xr:uid="{00000000-0005-0000-0000-0000F75C0000}"/>
    <cellStyle name="Normal 25 3 2 4 2 3 2" xfId="53250" xr:uid="{00000000-0005-0000-0000-0000F85C0000}"/>
    <cellStyle name="Normal 25 3 2 4 2 4" xfId="16571" xr:uid="{00000000-0005-0000-0000-0000F95C0000}"/>
    <cellStyle name="Normal 25 3 2 4 2 5" xfId="16572" xr:uid="{00000000-0005-0000-0000-0000FA5C0000}"/>
    <cellStyle name="Normal 25 3 2 4 2 6" xfId="16573" xr:uid="{00000000-0005-0000-0000-0000FB5C0000}"/>
    <cellStyle name="Normal 25 3 2 4 3" xfId="16574" xr:uid="{00000000-0005-0000-0000-0000FC5C0000}"/>
    <cellStyle name="Normal 25 3 2 4 3 2" xfId="53251" xr:uid="{00000000-0005-0000-0000-0000FD5C0000}"/>
    <cellStyle name="Normal 25 3 2 4 3 3" xfId="53252" xr:uid="{00000000-0005-0000-0000-0000FE5C0000}"/>
    <cellStyle name="Normal 25 3 2 4 4" xfId="16575" xr:uid="{00000000-0005-0000-0000-0000FF5C0000}"/>
    <cellStyle name="Normal 25 3 2 4 4 2" xfId="53253" xr:uid="{00000000-0005-0000-0000-0000005D0000}"/>
    <cellStyle name="Normal 25 3 2 4 5" xfId="16576" xr:uid="{00000000-0005-0000-0000-0000015D0000}"/>
    <cellStyle name="Normal 25 3 2 4 6" xfId="16577" xr:uid="{00000000-0005-0000-0000-0000025D0000}"/>
    <cellStyle name="Normal 25 3 2 4 7" xfId="16578" xr:uid="{00000000-0005-0000-0000-0000035D0000}"/>
    <cellStyle name="Normal 25 3 2 5" xfId="16579" xr:uid="{00000000-0005-0000-0000-0000045D0000}"/>
    <cellStyle name="Normal 25 3 2 5 2" xfId="16580" xr:uid="{00000000-0005-0000-0000-0000055D0000}"/>
    <cellStyle name="Normal 25 3 2 5 2 2" xfId="53254" xr:uid="{00000000-0005-0000-0000-0000065D0000}"/>
    <cellStyle name="Normal 25 3 2 5 2 3" xfId="53255" xr:uid="{00000000-0005-0000-0000-0000075D0000}"/>
    <cellStyle name="Normal 25 3 2 5 3" xfId="16581" xr:uid="{00000000-0005-0000-0000-0000085D0000}"/>
    <cellStyle name="Normal 25 3 2 5 3 2" xfId="53256" xr:uid="{00000000-0005-0000-0000-0000095D0000}"/>
    <cellStyle name="Normal 25 3 2 5 4" xfId="16582" xr:uid="{00000000-0005-0000-0000-00000A5D0000}"/>
    <cellStyle name="Normal 25 3 2 5 5" xfId="16583" xr:uid="{00000000-0005-0000-0000-00000B5D0000}"/>
    <cellStyle name="Normal 25 3 2 5 6" xfId="16584" xr:uid="{00000000-0005-0000-0000-00000C5D0000}"/>
    <cellStyle name="Normal 25 3 2 6" xfId="16585" xr:uid="{00000000-0005-0000-0000-00000D5D0000}"/>
    <cellStyle name="Normal 25 3 2 6 2" xfId="53257" xr:uid="{00000000-0005-0000-0000-00000E5D0000}"/>
    <cellStyle name="Normal 25 3 2 6 3" xfId="53258" xr:uid="{00000000-0005-0000-0000-00000F5D0000}"/>
    <cellStyle name="Normal 25 3 2 7" xfId="16586" xr:uid="{00000000-0005-0000-0000-0000105D0000}"/>
    <cellStyle name="Normal 25 3 2 7 2" xfId="53259" xr:uid="{00000000-0005-0000-0000-0000115D0000}"/>
    <cellStyle name="Normal 25 3 2 8" xfId="16587" xr:uid="{00000000-0005-0000-0000-0000125D0000}"/>
    <cellStyle name="Normal 25 3 2 9" xfId="16588" xr:uid="{00000000-0005-0000-0000-0000135D0000}"/>
    <cellStyle name="Normal 25 3 3" xfId="16589" xr:uid="{00000000-0005-0000-0000-0000145D0000}"/>
    <cellStyle name="Normal 25 3 3 2" xfId="16590" xr:uid="{00000000-0005-0000-0000-0000155D0000}"/>
    <cellStyle name="Normal 25 3 3 2 2" xfId="16591" xr:uid="{00000000-0005-0000-0000-0000165D0000}"/>
    <cellStyle name="Normal 25 3 3 2 2 2" xfId="16592" xr:uid="{00000000-0005-0000-0000-0000175D0000}"/>
    <cellStyle name="Normal 25 3 3 2 2 2 2" xfId="53260" xr:uid="{00000000-0005-0000-0000-0000185D0000}"/>
    <cellStyle name="Normal 25 3 3 2 2 2 3" xfId="53261" xr:uid="{00000000-0005-0000-0000-0000195D0000}"/>
    <cellStyle name="Normal 25 3 3 2 2 3" xfId="16593" xr:uid="{00000000-0005-0000-0000-00001A5D0000}"/>
    <cellStyle name="Normal 25 3 3 2 2 3 2" xfId="53262" xr:uid="{00000000-0005-0000-0000-00001B5D0000}"/>
    <cellStyle name="Normal 25 3 3 2 2 4" xfId="16594" xr:uid="{00000000-0005-0000-0000-00001C5D0000}"/>
    <cellStyle name="Normal 25 3 3 2 2 5" xfId="16595" xr:uid="{00000000-0005-0000-0000-00001D5D0000}"/>
    <cellStyle name="Normal 25 3 3 2 2 6" xfId="16596" xr:uid="{00000000-0005-0000-0000-00001E5D0000}"/>
    <cellStyle name="Normal 25 3 3 2 3" xfId="16597" xr:uid="{00000000-0005-0000-0000-00001F5D0000}"/>
    <cellStyle name="Normal 25 3 3 2 3 2" xfId="53263" xr:uid="{00000000-0005-0000-0000-0000205D0000}"/>
    <cellStyle name="Normal 25 3 3 2 3 3" xfId="53264" xr:uid="{00000000-0005-0000-0000-0000215D0000}"/>
    <cellStyle name="Normal 25 3 3 2 4" xfId="16598" xr:uid="{00000000-0005-0000-0000-0000225D0000}"/>
    <cellStyle name="Normal 25 3 3 2 4 2" xfId="53265" xr:uid="{00000000-0005-0000-0000-0000235D0000}"/>
    <cellStyle name="Normal 25 3 3 2 5" xfId="16599" xr:uid="{00000000-0005-0000-0000-0000245D0000}"/>
    <cellStyle name="Normal 25 3 3 2 6" xfId="16600" xr:uid="{00000000-0005-0000-0000-0000255D0000}"/>
    <cellStyle name="Normal 25 3 3 2 7" xfId="16601" xr:uid="{00000000-0005-0000-0000-0000265D0000}"/>
    <cellStyle name="Normal 25 3 3 3" xfId="16602" xr:uid="{00000000-0005-0000-0000-0000275D0000}"/>
    <cellStyle name="Normal 25 3 3 3 2" xfId="16603" xr:uid="{00000000-0005-0000-0000-0000285D0000}"/>
    <cellStyle name="Normal 25 3 3 3 2 2" xfId="53266" xr:uid="{00000000-0005-0000-0000-0000295D0000}"/>
    <cellStyle name="Normal 25 3 3 3 2 3" xfId="53267" xr:uid="{00000000-0005-0000-0000-00002A5D0000}"/>
    <cellStyle name="Normal 25 3 3 3 3" xfId="16604" xr:uid="{00000000-0005-0000-0000-00002B5D0000}"/>
    <cellStyle name="Normal 25 3 3 3 3 2" xfId="53268" xr:uid="{00000000-0005-0000-0000-00002C5D0000}"/>
    <cellStyle name="Normal 25 3 3 3 4" xfId="16605" xr:uid="{00000000-0005-0000-0000-00002D5D0000}"/>
    <cellStyle name="Normal 25 3 3 3 5" xfId="16606" xr:uid="{00000000-0005-0000-0000-00002E5D0000}"/>
    <cellStyle name="Normal 25 3 3 3 6" xfId="16607" xr:uid="{00000000-0005-0000-0000-00002F5D0000}"/>
    <cellStyle name="Normal 25 3 3 4" xfId="16608" xr:uid="{00000000-0005-0000-0000-0000305D0000}"/>
    <cellStyle name="Normal 25 3 3 4 2" xfId="53269" xr:uid="{00000000-0005-0000-0000-0000315D0000}"/>
    <cellStyle name="Normal 25 3 3 4 3" xfId="53270" xr:uid="{00000000-0005-0000-0000-0000325D0000}"/>
    <cellStyle name="Normal 25 3 3 5" xfId="16609" xr:uid="{00000000-0005-0000-0000-0000335D0000}"/>
    <cellStyle name="Normal 25 3 3 5 2" xfId="53271" xr:uid="{00000000-0005-0000-0000-0000345D0000}"/>
    <cellStyle name="Normal 25 3 3 6" xfId="16610" xr:uid="{00000000-0005-0000-0000-0000355D0000}"/>
    <cellStyle name="Normal 25 3 3 7" xfId="16611" xr:uid="{00000000-0005-0000-0000-0000365D0000}"/>
    <cellStyle name="Normal 25 3 3 8" xfId="16612" xr:uid="{00000000-0005-0000-0000-0000375D0000}"/>
    <cellStyle name="Normal 25 3 3 9" xfId="16613" xr:uid="{00000000-0005-0000-0000-0000385D0000}"/>
    <cellStyle name="Normal 25 3 4" xfId="16614" xr:uid="{00000000-0005-0000-0000-0000395D0000}"/>
    <cellStyle name="Normal 25 3 4 2" xfId="16615" xr:uid="{00000000-0005-0000-0000-00003A5D0000}"/>
    <cellStyle name="Normal 25 3 4 2 2" xfId="16616" xr:uid="{00000000-0005-0000-0000-00003B5D0000}"/>
    <cellStyle name="Normal 25 3 4 2 2 2" xfId="16617" xr:uid="{00000000-0005-0000-0000-00003C5D0000}"/>
    <cellStyle name="Normal 25 3 4 2 2 2 2" xfId="53272" xr:uid="{00000000-0005-0000-0000-00003D5D0000}"/>
    <cellStyle name="Normal 25 3 4 2 2 2 3" xfId="53273" xr:uid="{00000000-0005-0000-0000-00003E5D0000}"/>
    <cellStyle name="Normal 25 3 4 2 2 3" xfId="16618" xr:uid="{00000000-0005-0000-0000-00003F5D0000}"/>
    <cellStyle name="Normal 25 3 4 2 2 3 2" xfId="53274" xr:uid="{00000000-0005-0000-0000-0000405D0000}"/>
    <cellStyle name="Normal 25 3 4 2 2 4" xfId="16619" xr:uid="{00000000-0005-0000-0000-0000415D0000}"/>
    <cellStyle name="Normal 25 3 4 2 2 5" xfId="16620" xr:uid="{00000000-0005-0000-0000-0000425D0000}"/>
    <cellStyle name="Normal 25 3 4 2 2 6" xfId="16621" xr:uid="{00000000-0005-0000-0000-0000435D0000}"/>
    <cellStyle name="Normal 25 3 4 2 3" xfId="16622" xr:uid="{00000000-0005-0000-0000-0000445D0000}"/>
    <cellStyle name="Normal 25 3 4 2 3 2" xfId="53275" xr:uid="{00000000-0005-0000-0000-0000455D0000}"/>
    <cellStyle name="Normal 25 3 4 2 3 3" xfId="53276" xr:uid="{00000000-0005-0000-0000-0000465D0000}"/>
    <cellStyle name="Normal 25 3 4 2 4" xfId="16623" xr:uid="{00000000-0005-0000-0000-0000475D0000}"/>
    <cellStyle name="Normal 25 3 4 2 4 2" xfId="53277" xr:uid="{00000000-0005-0000-0000-0000485D0000}"/>
    <cellStyle name="Normal 25 3 4 2 5" xfId="16624" xr:uid="{00000000-0005-0000-0000-0000495D0000}"/>
    <cellStyle name="Normal 25 3 4 2 6" xfId="16625" xr:uid="{00000000-0005-0000-0000-00004A5D0000}"/>
    <cellStyle name="Normal 25 3 4 2 7" xfId="16626" xr:uid="{00000000-0005-0000-0000-00004B5D0000}"/>
    <cellStyle name="Normal 25 3 4 3" xfId="16627" xr:uid="{00000000-0005-0000-0000-00004C5D0000}"/>
    <cellStyle name="Normal 25 3 4 3 2" xfId="16628" xr:uid="{00000000-0005-0000-0000-00004D5D0000}"/>
    <cellStyle name="Normal 25 3 4 3 2 2" xfId="53278" xr:uid="{00000000-0005-0000-0000-00004E5D0000}"/>
    <cellStyle name="Normal 25 3 4 3 2 3" xfId="53279" xr:uid="{00000000-0005-0000-0000-00004F5D0000}"/>
    <cellStyle name="Normal 25 3 4 3 3" xfId="16629" xr:uid="{00000000-0005-0000-0000-0000505D0000}"/>
    <cellStyle name="Normal 25 3 4 3 3 2" xfId="53280" xr:uid="{00000000-0005-0000-0000-0000515D0000}"/>
    <cellStyle name="Normal 25 3 4 3 4" xfId="16630" xr:uid="{00000000-0005-0000-0000-0000525D0000}"/>
    <cellStyle name="Normal 25 3 4 3 5" xfId="16631" xr:uid="{00000000-0005-0000-0000-0000535D0000}"/>
    <cellStyle name="Normal 25 3 4 3 6" xfId="16632" xr:uid="{00000000-0005-0000-0000-0000545D0000}"/>
    <cellStyle name="Normal 25 3 4 4" xfId="16633" xr:uid="{00000000-0005-0000-0000-0000555D0000}"/>
    <cellStyle name="Normal 25 3 4 4 2" xfId="53281" xr:uid="{00000000-0005-0000-0000-0000565D0000}"/>
    <cellStyle name="Normal 25 3 4 4 3" xfId="53282" xr:uid="{00000000-0005-0000-0000-0000575D0000}"/>
    <cellStyle name="Normal 25 3 4 5" xfId="16634" xr:uid="{00000000-0005-0000-0000-0000585D0000}"/>
    <cellStyle name="Normal 25 3 4 5 2" xfId="53283" xr:uid="{00000000-0005-0000-0000-0000595D0000}"/>
    <cellStyle name="Normal 25 3 4 6" xfId="16635" xr:uid="{00000000-0005-0000-0000-00005A5D0000}"/>
    <cellStyle name="Normal 25 3 4 7" xfId="16636" xr:uid="{00000000-0005-0000-0000-00005B5D0000}"/>
    <cellStyle name="Normal 25 3 4 8" xfId="16637" xr:uid="{00000000-0005-0000-0000-00005C5D0000}"/>
    <cellStyle name="Normal 25 3 5" xfId="16638" xr:uid="{00000000-0005-0000-0000-00005D5D0000}"/>
    <cellStyle name="Normal 25 3 5 2" xfId="16639" xr:uid="{00000000-0005-0000-0000-00005E5D0000}"/>
    <cellStyle name="Normal 25 3 5 2 2" xfId="16640" xr:uid="{00000000-0005-0000-0000-00005F5D0000}"/>
    <cellStyle name="Normal 25 3 5 2 2 2" xfId="53284" xr:uid="{00000000-0005-0000-0000-0000605D0000}"/>
    <cellStyle name="Normal 25 3 5 2 2 3" xfId="53285" xr:uid="{00000000-0005-0000-0000-0000615D0000}"/>
    <cellStyle name="Normal 25 3 5 2 3" xfId="16641" xr:uid="{00000000-0005-0000-0000-0000625D0000}"/>
    <cellStyle name="Normal 25 3 5 2 3 2" xfId="53286" xr:uid="{00000000-0005-0000-0000-0000635D0000}"/>
    <cellStyle name="Normal 25 3 5 2 4" xfId="16642" xr:uid="{00000000-0005-0000-0000-0000645D0000}"/>
    <cellStyle name="Normal 25 3 5 2 5" xfId="16643" xr:uid="{00000000-0005-0000-0000-0000655D0000}"/>
    <cellStyle name="Normal 25 3 5 2 6" xfId="16644" xr:uid="{00000000-0005-0000-0000-0000665D0000}"/>
    <cellStyle name="Normal 25 3 5 3" xfId="16645" xr:uid="{00000000-0005-0000-0000-0000675D0000}"/>
    <cellStyle name="Normal 25 3 5 3 2" xfId="53287" xr:uid="{00000000-0005-0000-0000-0000685D0000}"/>
    <cellStyle name="Normal 25 3 5 3 3" xfId="53288" xr:uid="{00000000-0005-0000-0000-0000695D0000}"/>
    <cellStyle name="Normal 25 3 5 4" xfId="16646" xr:uid="{00000000-0005-0000-0000-00006A5D0000}"/>
    <cellStyle name="Normal 25 3 5 4 2" xfId="53289" xr:uid="{00000000-0005-0000-0000-00006B5D0000}"/>
    <cellStyle name="Normal 25 3 5 5" xfId="16647" xr:uid="{00000000-0005-0000-0000-00006C5D0000}"/>
    <cellStyle name="Normal 25 3 5 6" xfId="16648" xr:uid="{00000000-0005-0000-0000-00006D5D0000}"/>
    <cellStyle name="Normal 25 3 5 7" xfId="16649" xr:uid="{00000000-0005-0000-0000-00006E5D0000}"/>
    <cellStyle name="Normal 25 3 6" xfId="16650" xr:uid="{00000000-0005-0000-0000-00006F5D0000}"/>
    <cellStyle name="Normal 25 3 6 2" xfId="16651" xr:uid="{00000000-0005-0000-0000-0000705D0000}"/>
    <cellStyle name="Normal 25 3 6 2 2" xfId="53290" xr:uid="{00000000-0005-0000-0000-0000715D0000}"/>
    <cellStyle name="Normal 25 3 6 2 3" xfId="53291" xr:uid="{00000000-0005-0000-0000-0000725D0000}"/>
    <cellStyle name="Normal 25 3 6 3" xfId="16652" xr:uid="{00000000-0005-0000-0000-0000735D0000}"/>
    <cellStyle name="Normal 25 3 6 3 2" xfId="53292" xr:uid="{00000000-0005-0000-0000-0000745D0000}"/>
    <cellStyle name="Normal 25 3 6 4" xfId="16653" xr:uid="{00000000-0005-0000-0000-0000755D0000}"/>
    <cellStyle name="Normal 25 3 6 5" xfId="16654" xr:uid="{00000000-0005-0000-0000-0000765D0000}"/>
    <cellStyle name="Normal 25 3 6 6" xfId="16655" xr:uid="{00000000-0005-0000-0000-0000775D0000}"/>
    <cellStyle name="Normal 25 3 7" xfId="16656" xr:uid="{00000000-0005-0000-0000-0000785D0000}"/>
    <cellStyle name="Normal 25 3 7 2" xfId="53293" xr:uid="{00000000-0005-0000-0000-0000795D0000}"/>
    <cellStyle name="Normal 25 3 8" xfId="16657" xr:uid="{00000000-0005-0000-0000-00007A5D0000}"/>
    <cellStyle name="Normal 25 3 9" xfId="16658" xr:uid="{00000000-0005-0000-0000-00007B5D0000}"/>
    <cellStyle name="Normal 25 4" xfId="16659" xr:uid="{00000000-0005-0000-0000-00007C5D0000}"/>
    <cellStyle name="Normal 25 4 10" xfId="16660" xr:uid="{00000000-0005-0000-0000-00007D5D0000}"/>
    <cellStyle name="Normal 25 4 11" xfId="16661" xr:uid="{00000000-0005-0000-0000-00007E5D0000}"/>
    <cellStyle name="Normal 25 4 12" xfId="16662" xr:uid="{00000000-0005-0000-0000-00007F5D0000}"/>
    <cellStyle name="Normal 25 4 13" xfId="16663" xr:uid="{00000000-0005-0000-0000-0000805D0000}"/>
    <cellStyle name="Normal 25 4 14" xfId="16664" xr:uid="{00000000-0005-0000-0000-0000815D0000}"/>
    <cellStyle name="Normal 25 4 2" xfId="16665" xr:uid="{00000000-0005-0000-0000-0000825D0000}"/>
    <cellStyle name="Normal 25 4 2 2" xfId="16666" xr:uid="{00000000-0005-0000-0000-0000835D0000}"/>
    <cellStyle name="Normal 25 4 2 2 2" xfId="16667" xr:uid="{00000000-0005-0000-0000-0000845D0000}"/>
    <cellStyle name="Normal 25 4 2 2 2 2" xfId="16668" xr:uid="{00000000-0005-0000-0000-0000855D0000}"/>
    <cellStyle name="Normal 25 4 2 2 2 2 2" xfId="53294" xr:uid="{00000000-0005-0000-0000-0000865D0000}"/>
    <cellStyle name="Normal 25 4 2 2 2 2 3" xfId="53295" xr:uid="{00000000-0005-0000-0000-0000875D0000}"/>
    <cellStyle name="Normal 25 4 2 2 2 3" xfId="16669" xr:uid="{00000000-0005-0000-0000-0000885D0000}"/>
    <cellStyle name="Normal 25 4 2 2 2 3 2" xfId="53296" xr:uid="{00000000-0005-0000-0000-0000895D0000}"/>
    <cellStyle name="Normal 25 4 2 2 2 4" xfId="16670" xr:uid="{00000000-0005-0000-0000-00008A5D0000}"/>
    <cellStyle name="Normal 25 4 2 2 2 5" xfId="16671" xr:uid="{00000000-0005-0000-0000-00008B5D0000}"/>
    <cellStyle name="Normal 25 4 2 2 2 6" xfId="16672" xr:uid="{00000000-0005-0000-0000-00008C5D0000}"/>
    <cellStyle name="Normal 25 4 2 2 3" xfId="16673" xr:uid="{00000000-0005-0000-0000-00008D5D0000}"/>
    <cellStyle name="Normal 25 4 2 2 3 2" xfId="53297" xr:uid="{00000000-0005-0000-0000-00008E5D0000}"/>
    <cellStyle name="Normal 25 4 2 2 3 3" xfId="53298" xr:uid="{00000000-0005-0000-0000-00008F5D0000}"/>
    <cellStyle name="Normal 25 4 2 2 4" xfId="16674" xr:uid="{00000000-0005-0000-0000-0000905D0000}"/>
    <cellStyle name="Normal 25 4 2 2 4 2" xfId="53299" xr:uid="{00000000-0005-0000-0000-0000915D0000}"/>
    <cellStyle name="Normal 25 4 2 2 5" xfId="16675" xr:uid="{00000000-0005-0000-0000-0000925D0000}"/>
    <cellStyle name="Normal 25 4 2 2 6" xfId="16676" xr:uid="{00000000-0005-0000-0000-0000935D0000}"/>
    <cellStyle name="Normal 25 4 2 2 7" xfId="16677" xr:uid="{00000000-0005-0000-0000-0000945D0000}"/>
    <cellStyle name="Normal 25 4 2 3" xfId="16678" xr:uid="{00000000-0005-0000-0000-0000955D0000}"/>
    <cellStyle name="Normal 25 4 2 3 2" xfId="16679" xr:uid="{00000000-0005-0000-0000-0000965D0000}"/>
    <cellStyle name="Normal 25 4 2 3 2 2" xfId="53300" xr:uid="{00000000-0005-0000-0000-0000975D0000}"/>
    <cellStyle name="Normal 25 4 2 3 2 3" xfId="53301" xr:uid="{00000000-0005-0000-0000-0000985D0000}"/>
    <cellStyle name="Normal 25 4 2 3 3" xfId="16680" xr:uid="{00000000-0005-0000-0000-0000995D0000}"/>
    <cellStyle name="Normal 25 4 2 3 3 2" xfId="53302" xr:uid="{00000000-0005-0000-0000-00009A5D0000}"/>
    <cellStyle name="Normal 25 4 2 3 4" xfId="16681" xr:uid="{00000000-0005-0000-0000-00009B5D0000}"/>
    <cellStyle name="Normal 25 4 2 3 5" xfId="16682" xr:uid="{00000000-0005-0000-0000-00009C5D0000}"/>
    <cellStyle name="Normal 25 4 2 3 6" xfId="16683" xr:uid="{00000000-0005-0000-0000-00009D5D0000}"/>
    <cellStyle name="Normal 25 4 2 4" xfId="16684" xr:uid="{00000000-0005-0000-0000-00009E5D0000}"/>
    <cellStyle name="Normal 25 4 2 4 2" xfId="53303" xr:uid="{00000000-0005-0000-0000-00009F5D0000}"/>
    <cellStyle name="Normal 25 4 2 4 3" xfId="53304" xr:uid="{00000000-0005-0000-0000-0000A05D0000}"/>
    <cellStyle name="Normal 25 4 2 5" xfId="16685" xr:uid="{00000000-0005-0000-0000-0000A15D0000}"/>
    <cellStyle name="Normal 25 4 2 5 2" xfId="53305" xr:uid="{00000000-0005-0000-0000-0000A25D0000}"/>
    <cellStyle name="Normal 25 4 2 6" xfId="16686" xr:uid="{00000000-0005-0000-0000-0000A35D0000}"/>
    <cellStyle name="Normal 25 4 2 7" xfId="16687" xr:uid="{00000000-0005-0000-0000-0000A45D0000}"/>
    <cellStyle name="Normal 25 4 2 8" xfId="16688" xr:uid="{00000000-0005-0000-0000-0000A55D0000}"/>
    <cellStyle name="Normal 25 4 2 9" xfId="16689" xr:uid="{00000000-0005-0000-0000-0000A65D0000}"/>
    <cellStyle name="Normal 25 4 3" xfId="16690" xr:uid="{00000000-0005-0000-0000-0000A75D0000}"/>
    <cellStyle name="Normal 25 4 3 2" xfId="16691" xr:uid="{00000000-0005-0000-0000-0000A85D0000}"/>
    <cellStyle name="Normal 25 4 3 2 2" xfId="16692" xr:uid="{00000000-0005-0000-0000-0000A95D0000}"/>
    <cellStyle name="Normal 25 4 3 2 2 2" xfId="16693" xr:uid="{00000000-0005-0000-0000-0000AA5D0000}"/>
    <cellStyle name="Normal 25 4 3 2 2 2 2" xfId="53306" xr:uid="{00000000-0005-0000-0000-0000AB5D0000}"/>
    <cellStyle name="Normal 25 4 3 2 2 2 3" xfId="53307" xr:uid="{00000000-0005-0000-0000-0000AC5D0000}"/>
    <cellStyle name="Normal 25 4 3 2 2 3" xfId="16694" xr:uid="{00000000-0005-0000-0000-0000AD5D0000}"/>
    <cellStyle name="Normal 25 4 3 2 2 3 2" xfId="53308" xr:uid="{00000000-0005-0000-0000-0000AE5D0000}"/>
    <cellStyle name="Normal 25 4 3 2 2 4" xfId="16695" xr:uid="{00000000-0005-0000-0000-0000AF5D0000}"/>
    <cellStyle name="Normal 25 4 3 2 2 5" xfId="16696" xr:uid="{00000000-0005-0000-0000-0000B05D0000}"/>
    <cellStyle name="Normal 25 4 3 2 2 6" xfId="16697" xr:uid="{00000000-0005-0000-0000-0000B15D0000}"/>
    <cellStyle name="Normal 25 4 3 2 3" xfId="16698" xr:uid="{00000000-0005-0000-0000-0000B25D0000}"/>
    <cellStyle name="Normal 25 4 3 2 3 2" xfId="53309" xr:uid="{00000000-0005-0000-0000-0000B35D0000}"/>
    <cellStyle name="Normal 25 4 3 2 3 3" xfId="53310" xr:uid="{00000000-0005-0000-0000-0000B45D0000}"/>
    <cellStyle name="Normal 25 4 3 2 4" xfId="16699" xr:uid="{00000000-0005-0000-0000-0000B55D0000}"/>
    <cellStyle name="Normal 25 4 3 2 4 2" xfId="53311" xr:uid="{00000000-0005-0000-0000-0000B65D0000}"/>
    <cellStyle name="Normal 25 4 3 2 5" xfId="16700" xr:uid="{00000000-0005-0000-0000-0000B75D0000}"/>
    <cellStyle name="Normal 25 4 3 2 6" xfId="16701" xr:uid="{00000000-0005-0000-0000-0000B85D0000}"/>
    <cellStyle name="Normal 25 4 3 2 7" xfId="16702" xr:uid="{00000000-0005-0000-0000-0000B95D0000}"/>
    <cellStyle name="Normal 25 4 3 3" xfId="16703" xr:uid="{00000000-0005-0000-0000-0000BA5D0000}"/>
    <cellStyle name="Normal 25 4 3 3 2" xfId="16704" xr:uid="{00000000-0005-0000-0000-0000BB5D0000}"/>
    <cellStyle name="Normal 25 4 3 3 2 2" xfId="53312" xr:uid="{00000000-0005-0000-0000-0000BC5D0000}"/>
    <cellStyle name="Normal 25 4 3 3 2 3" xfId="53313" xr:uid="{00000000-0005-0000-0000-0000BD5D0000}"/>
    <cellStyle name="Normal 25 4 3 3 3" xfId="16705" xr:uid="{00000000-0005-0000-0000-0000BE5D0000}"/>
    <cellStyle name="Normal 25 4 3 3 3 2" xfId="53314" xr:uid="{00000000-0005-0000-0000-0000BF5D0000}"/>
    <cellStyle name="Normal 25 4 3 3 4" xfId="16706" xr:uid="{00000000-0005-0000-0000-0000C05D0000}"/>
    <cellStyle name="Normal 25 4 3 3 5" xfId="16707" xr:uid="{00000000-0005-0000-0000-0000C15D0000}"/>
    <cellStyle name="Normal 25 4 3 3 6" xfId="16708" xr:uid="{00000000-0005-0000-0000-0000C25D0000}"/>
    <cellStyle name="Normal 25 4 3 4" xfId="16709" xr:uid="{00000000-0005-0000-0000-0000C35D0000}"/>
    <cellStyle name="Normal 25 4 3 4 2" xfId="53315" xr:uid="{00000000-0005-0000-0000-0000C45D0000}"/>
    <cellStyle name="Normal 25 4 3 4 3" xfId="53316" xr:uid="{00000000-0005-0000-0000-0000C55D0000}"/>
    <cellStyle name="Normal 25 4 3 5" xfId="16710" xr:uid="{00000000-0005-0000-0000-0000C65D0000}"/>
    <cellStyle name="Normal 25 4 3 5 2" xfId="53317" xr:uid="{00000000-0005-0000-0000-0000C75D0000}"/>
    <cellStyle name="Normal 25 4 3 6" xfId="16711" xr:uid="{00000000-0005-0000-0000-0000C85D0000}"/>
    <cellStyle name="Normal 25 4 3 7" xfId="16712" xr:uid="{00000000-0005-0000-0000-0000C95D0000}"/>
    <cellStyle name="Normal 25 4 3 8" xfId="16713" xr:uid="{00000000-0005-0000-0000-0000CA5D0000}"/>
    <cellStyle name="Normal 25 4 4" xfId="16714" xr:uid="{00000000-0005-0000-0000-0000CB5D0000}"/>
    <cellStyle name="Normal 25 4 4 2" xfId="16715" xr:uid="{00000000-0005-0000-0000-0000CC5D0000}"/>
    <cellStyle name="Normal 25 4 4 2 2" xfId="16716" xr:uid="{00000000-0005-0000-0000-0000CD5D0000}"/>
    <cellStyle name="Normal 25 4 4 2 2 2" xfId="53318" xr:uid="{00000000-0005-0000-0000-0000CE5D0000}"/>
    <cellStyle name="Normal 25 4 4 2 2 3" xfId="53319" xr:uid="{00000000-0005-0000-0000-0000CF5D0000}"/>
    <cellStyle name="Normal 25 4 4 2 3" xfId="16717" xr:uid="{00000000-0005-0000-0000-0000D05D0000}"/>
    <cellStyle name="Normal 25 4 4 2 3 2" xfId="53320" xr:uid="{00000000-0005-0000-0000-0000D15D0000}"/>
    <cellStyle name="Normal 25 4 4 2 4" xfId="16718" xr:uid="{00000000-0005-0000-0000-0000D25D0000}"/>
    <cellStyle name="Normal 25 4 4 2 5" xfId="16719" xr:uid="{00000000-0005-0000-0000-0000D35D0000}"/>
    <cellStyle name="Normal 25 4 4 2 6" xfId="16720" xr:uid="{00000000-0005-0000-0000-0000D45D0000}"/>
    <cellStyle name="Normal 25 4 4 3" xfId="16721" xr:uid="{00000000-0005-0000-0000-0000D55D0000}"/>
    <cellStyle name="Normal 25 4 4 3 2" xfId="53321" xr:uid="{00000000-0005-0000-0000-0000D65D0000}"/>
    <cellStyle name="Normal 25 4 4 3 3" xfId="53322" xr:uid="{00000000-0005-0000-0000-0000D75D0000}"/>
    <cellStyle name="Normal 25 4 4 4" xfId="16722" xr:uid="{00000000-0005-0000-0000-0000D85D0000}"/>
    <cellStyle name="Normal 25 4 4 4 2" xfId="53323" xr:uid="{00000000-0005-0000-0000-0000D95D0000}"/>
    <cellStyle name="Normal 25 4 4 5" xfId="16723" xr:uid="{00000000-0005-0000-0000-0000DA5D0000}"/>
    <cellStyle name="Normal 25 4 4 6" xfId="16724" xr:uid="{00000000-0005-0000-0000-0000DB5D0000}"/>
    <cellStyle name="Normal 25 4 4 7" xfId="16725" xr:uid="{00000000-0005-0000-0000-0000DC5D0000}"/>
    <cellStyle name="Normal 25 4 5" xfId="16726" xr:uid="{00000000-0005-0000-0000-0000DD5D0000}"/>
    <cellStyle name="Normal 25 4 5 2" xfId="16727" xr:uid="{00000000-0005-0000-0000-0000DE5D0000}"/>
    <cellStyle name="Normal 25 4 5 2 2" xfId="53324" xr:uid="{00000000-0005-0000-0000-0000DF5D0000}"/>
    <cellStyle name="Normal 25 4 5 2 3" xfId="53325" xr:uid="{00000000-0005-0000-0000-0000E05D0000}"/>
    <cellStyle name="Normal 25 4 5 3" xfId="16728" xr:uid="{00000000-0005-0000-0000-0000E15D0000}"/>
    <cellStyle name="Normal 25 4 5 3 2" xfId="53326" xr:uid="{00000000-0005-0000-0000-0000E25D0000}"/>
    <cellStyle name="Normal 25 4 5 4" xfId="16729" xr:uid="{00000000-0005-0000-0000-0000E35D0000}"/>
    <cellStyle name="Normal 25 4 5 5" xfId="16730" xr:uid="{00000000-0005-0000-0000-0000E45D0000}"/>
    <cellStyle name="Normal 25 4 5 6" xfId="16731" xr:uid="{00000000-0005-0000-0000-0000E55D0000}"/>
    <cellStyle name="Normal 25 4 6" xfId="16732" xr:uid="{00000000-0005-0000-0000-0000E65D0000}"/>
    <cellStyle name="Normal 25 4 6 2" xfId="53327" xr:uid="{00000000-0005-0000-0000-0000E75D0000}"/>
    <cellStyle name="Normal 25 4 6 3" xfId="53328" xr:uid="{00000000-0005-0000-0000-0000E85D0000}"/>
    <cellStyle name="Normal 25 4 7" xfId="16733" xr:uid="{00000000-0005-0000-0000-0000E95D0000}"/>
    <cellStyle name="Normal 25 4 7 2" xfId="53329" xr:uid="{00000000-0005-0000-0000-0000EA5D0000}"/>
    <cellStyle name="Normal 25 4 8" xfId="16734" xr:uid="{00000000-0005-0000-0000-0000EB5D0000}"/>
    <cellStyle name="Normal 25 4 9" xfId="16735" xr:uid="{00000000-0005-0000-0000-0000EC5D0000}"/>
    <cellStyle name="Normal 25 5" xfId="16736" xr:uid="{00000000-0005-0000-0000-0000ED5D0000}"/>
    <cellStyle name="Normal 25 5 10" xfId="16737" xr:uid="{00000000-0005-0000-0000-0000EE5D0000}"/>
    <cellStyle name="Normal 25 5 11" xfId="16738" xr:uid="{00000000-0005-0000-0000-0000EF5D0000}"/>
    <cellStyle name="Normal 25 5 12" xfId="16739" xr:uid="{00000000-0005-0000-0000-0000F05D0000}"/>
    <cellStyle name="Normal 25 5 13" xfId="16740" xr:uid="{00000000-0005-0000-0000-0000F15D0000}"/>
    <cellStyle name="Normal 25 5 14" xfId="16741" xr:uid="{00000000-0005-0000-0000-0000F25D0000}"/>
    <cellStyle name="Normal 25 5 2" xfId="16742" xr:uid="{00000000-0005-0000-0000-0000F35D0000}"/>
    <cellStyle name="Normal 25 5 2 2" xfId="16743" xr:uid="{00000000-0005-0000-0000-0000F45D0000}"/>
    <cellStyle name="Normal 25 5 2 2 2" xfId="16744" xr:uid="{00000000-0005-0000-0000-0000F55D0000}"/>
    <cellStyle name="Normal 25 5 2 2 2 2" xfId="16745" xr:uid="{00000000-0005-0000-0000-0000F65D0000}"/>
    <cellStyle name="Normal 25 5 2 2 2 2 2" xfId="53330" xr:uid="{00000000-0005-0000-0000-0000F75D0000}"/>
    <cellStyle name="Normal 25 5 2 2 2 2 3" xfId="53331" xr:uid="{00000000-0005-0000-0000-0000F85D0000}"/>
    <cellStyle name="Normal 25 5 2 2 2 3" xfId="16746" xr:uid="{00000000-0005-0000-0000-0000F95D0000}"/>
    <cellStyle name="Normal 25 5 2 2 2 3 2" xfId="53332" xr:uid="{00000000-0005-0000-0000-0000FA5D0000}"/>
    <cellStyle name="Normal 25 5 2 2 2 4" xfId="16747" xr:uid="{00000000-0005-0000-0000-0000FB5D0000}"/>
    <cellStyle name="Normal 25 5 2 2 2 5" xfId="16748" xr:uid="{00000000-0005-0000-0000-0000FC5D0000}"/>
    <cellStyle name="Normal 25 5 2 2 2 6" xfId="16749" xr:uid="{00000000-0005-0000-0000-0000FD5D0000}"/>
    <cellStyle name="Normal 25 5 2 2 3" xfId="16750" xr:uid="{00000000-0005-0000-0000-0000FE5D0000}"/>
    <cellStyle name="Normal 25 5 2 2 3 2" xfId="53333" xr:uid="{00000000-0005-0000-0000-0000FF5D0000}"/>
    <cellStyle name="Normal 25 5 2 2 3 3" xfId="53334" xr:uid="{00000000-0005-0000-0000-0000005E0000}"/>
    <cellStyle name="Normal 25 5 2 2 4" xfId="16751" xr:uid="{00000000-0005-0000-0000-0000015E0000}"/>
    <cellStyle name="Normal 25 5 2 2 4 2" xfId="53335" xr:uid="{00000000-0005-0000-0000-0000025E0000}"/>
    <cellStyle name="Normal 25 5 2 2 5" xfId="16752" xr:uid="{00000000-0005-0000-0000-0000035E0000}"/>
    <cellStyle name="Normal 25 5 2 2 6" xfId="16753" xr:uid="{00000000-0005-0000-0000-0000045E0000}"/>
    <cellStyle name="Normal 25 5 2 2 7" xfId="16754" xr:uid="{00000000-0005-0000-0000-0000055E0000}"/>
    <cellStyle name="Normal 25 5 2 3" xfId="16755" xr:uid="{00000000-0005-0000-0000-0000065E0000}"/>
    <cellStyle name="Normal 25 5 2 3 2" xfId="16756" xr:uid="{00000000-0005-0000-0000-0000075E0000}"/>
    <cellStyle name="Normal 25 5 2 3 2 2" xfId="53336" xr:uid="{00000000-0005-0000-0000-0000085E0000}"/>
    <cellStyle name="Normal 25 5 2 3 2 3" xfId="53337" xr:uid="{00000000-0005-0000-0000-0000095E0000}"/>
    <cellStyle name="Normal 25 5 2 3 3" xfId="16757" xr:uid="{00000000-0005-0000-0000-00000A5E0000}"/>
    <cellStyle name="Normal 25 5 2 3 3 2" xfId="53338" xr:uid="{00000000-0005-0000-0000-00000B5E0000}"/>
    <cellStyle name="Normal 25 5 2 3 4" xfId="16758" xr:uid="{00000000-0005-0000-0000-00000C5E0000}"/>
    <cellStyle name="Normal 25 5 2 3 5" xfId="16759" xr:uid="{00000000-0005-0000-0000-00000D5E0000}"/>
    <cellStyle name="Normal 25 5 2 3 6" xfId="16760" xr:uid="{00000000-0005-0000-0000-00000E5E0000}"/>
    <cellStyle name="Normal 25 5 2 4" xfId="16761" xr:uid="{00000000-0005-0000-0000-00000F5E0000}"/>
    <cellStyle name="Normal 25 5 2 4 2" xfId="53339" xr:uid="{00000000-0005-0000-0000-0000105E0000}"/>
    <cellStyle name="Normal 25 5 2 4 3" xfId="53340" xr:uid="{00000000-0005-0000-0000-0000115E0000}"/>
    <cellStyle name="Normal 25 5 2 5" xfId="16762" xr:uid="{00000000-0005-0000-0000-0000125E0000}"/>
    <cellStyle name="Normal 25 5 2 5 2" xfId="53341" xr:uid="{00000000-0005-0000-0000-0000135E0000}"/>
    <cellStyle name="Normal 25 5 2 6" xfId="16763" xr:uid="{00000000-0005-0000-0000-0000145E0000}"/>
    <cellStyle name="Normal 25 5 2 7" xfId="16764" xr:uid="{00000000-0005-0000-0000-0000155E0000}"/>
    <cellStyle name="Normal 25 5 2 8" xfId="16765" xr:uid="{00000000-0005-0000-0000-0000165E0000}"/>
    <cellStyle name="Normal 25 5 2 9" xfId="16766" xr:uid="{00000000-0005-0000-0000-0000175E0000}"/>
    <cellStyle name="Normal 25 5 3" xfId="16767" xr:uid="{00000000-0005-0000-0000-0000185E0000}"/>
    <cellStyle name="Normal 25 5 3 2" xfId="16768" xr:uid="{00000000-0005-0000-0000-0000195E0000}"/>
    <cellStyle name="Normal 25 5 3 2 2" xfId="16769" xr:uid="{00000000-0005-0000-0000-00001A5E0000}"/>
    <cellStyle name="Normal 25 5 3 2 2 2" xfId="16770" xr:uid="{00000000-0005-0000-0000-00001B5E0000}"/>
    <cellStyle name="Normal 25 5 3 2 2 2 2" xfId="53342" xr:uid="{00000000-0005-0000-0000-00001C5E0000}"/>
    <cellStyle name="Normal 25 5 3 2 2 2 3" xfId="53343" xr:uid="{00000000-0005-0000-0000-00001D5E0000}"/>
    <cellStyle name="Normal 25 5 3 2 2 3" xfId="16771" xr:uid="{00000000-0005-0000-0000-00001E5E0000}"/>
    <cellStyle name="Normal 25 5 3 2 2 3 2" xfId="53344" xr:uid="{00000000-0005-0000-0000-00001F5E0000}"/>
    <cellStyle name="Normal 25 5 3 2 2 4" xfId="16772" xr:uid="{00000000-0005-0000-0000-0000205E0000}"/>
    <cellStyle name="Normal 25 5 3 2 2 5" xfId="16773" xr:uid="{00000000-0005-0000-0000-0000215E0000}"/>
    <cellStyle name="Normal 25 5 3 2 2 6" xfId="16774" xr:uid="{00000000-0005-0000-0000-0000225E0000}"/>
    <cellStyle name="Normal 25 5 3 2 3" xfId="16775" xr:uid="{00000000-0005-0000-0000-0000235E0000}"/>
    <cellStyle name="Normal 25 5 3 2 3 2" xfId="53345" xr:uid="{00000000-0005-0000-0000-0000245E0000}"/>
    <cellStyle name="Normal 25 5 3 2 3 3" xfId="53346" xr:uid="{00000000-0005-0000-0000-0000255E0000}"/>
    <cellStyle name="Normal 25 5 3 2 4" xfId="16776" xr:uid="{00000000-0005-0000-0000-0000265E0000}"/>
    <cellStyle name="Normal 25 5 3 2 4 2" xfId="53347" xr:uid="{00000000-0005-0000-0000-0000275E0000}"/>
    <cellStyle name="Normal 25 5 3 2 5" xfId="16777" xr:uid="{00000000-0005-0000-0000-0000285E0000}"/>
    <cellStyle name="Normal 25 5 3 2 6" xfId="16778" xr:uid="{00000000-0005-0000-0000-0000295E0000}"/>
    <cellStyle name="Normal 25 5 3 2 7" xfId="16779" xr:uid="{00000000-0005-0000-0000-00002A5E0000}"/>
    <cellStyle name="Normal 25 5 3 3" xfId="16780" xr:uid="{00000000-0005-0000-0000-00002B5E0000}"/>
    <cellStyle name="Normal 25 5 3 3 2" xfId="16781" xr:uid="{00000000-0005-0000-0000-00002C5E0000}"/>
    <cellStyle name="Normal 25 5 3 3 2 2" xfId="53348" xr:uid="{00000000-0005-0000-0000-00002D5E0000}"/>
    <cellStyle name="Normal 25 5 3 3 2 3" xfId="53349" xr:uid="{00000000-0005-0000-0000-00002E5E0000}"/>
    <cellStyle name="Normal 25 5 3 3 3" xfId="16782" xr:uid="{00000000-0005-0000-0000-00002F5E0000}"/>
    <cellStyle name="Normal 25 5 3 3 3 2" xfId="53350" xr:uid="{00000000-0005-0000-0000-0000305E0000}"/>
    <cellStyle name="Normal 25 5 3 3 4" xfId="16783" xr:uid="{00000000-0005-0000-0000-0000315E0000}"/>
    <cellStyle name="Normal 25 5 3 3 5" xfId="16784" xr:uid="{00000000-0005-0000-0000-0000325E0000}"/>
    <cellStyle name="Normal 25 5 3 3 6" xfId="16785" xr:uid="{00000000-0005-0000-0000-0000335E0000}"/>
    <cellStyle name="Normal 25 5 3 4" xfId="16786" xr:uid="{00000000-0005-0000-0000-0000345E0000}"/>
    <cellStyle name="Normal 25 5 3 4 2" xfId="53351" xr:uid="{00000000-0005-0000-0000-0000355E0000}"/>
    <cellStyle name="Normal 25 5 3 4 3" xfId="53352" xr:uid="{00000000-0005-0000-0000-0000365E0000}"/>
    <cellStyle name="Normal 25 5 3 5" xfId="16787" xr:uid="{00000000-0005-0000-0000-0000375E0000}"/>
    <cellStyle name="Normal 25 5 3 5 2" xfId="53353" xr:uid="{00000000-0005-0000-0000-0000385E0000}"/>
    <cellStyle name="Normal 25 5 3 6" xfId="16788" xr:uid="{00000000-0005-0000-0000-0000395E0000}"/>
    <cellStyle name="Normal 25 5 3 7" xfId="16789" xr:uid="{00000000-0005-0000-0000-00003A5E0000}"/>
    <cellStyle name="Normal 25 5 3 8" xfId="16790" xr:uid="{00000000-0005-0000-0000-00003B5E0000}"/>
    <cellStyle name="Normal 25 5 4" xfId="16791" xr:uid="{00000000-0005-0000-0000-00003C5E0000}"/>
    <cellStyle name="Normal 25 5 4 2" xfId="16792" xr:uid="{00000000-0005-0000-0000-00003D5E0000}"/>
    <cellStyle name="Normal 25 5 4 2 2" xfId="16793" xr:uid="{00000000-0005-0000-0000-00003E5E0000}"/>
    <cellStyle name="Normal 25 5 4 2 2 2" xfId="53354" xr:uid="{00000000-0005-0000-0000-00003F5E0000}"/>
    <cellStyle name="Normal 25 5 4 2 2 3" xfId="53355" xr:uid="{00000000-0005-0000-0000-0000405E0000}"/>
    <cellStyle name="Normal 25 5 4 2 3" xfId="16794" xr:uid="{00000000-0005-0000-0000-0000415E0000}"/>
    <cellStyle name="Normal 25 5 4 2 3 2" xfId="53356" xr:uid="{00000000-0005-0000-0000-0000425E0000}"/>
    <cellStyle name="Normal 25 5 4 2 4" xfId="16795" xr:uid="{00000000-0005-0000-0000-0000435E0000}"/>
    <cellStyle name="Normal 25 5 4 2 5" xfId="16796" xr:uid="{00000000-0005-0000-0000-0000445E0000}"/>
    <cellStyle name="Normal 25 5 4 2 6" xfId="16797" xr:uid="{00000000-0005-0000-0000-0000455E0000}"/>
    <cellStyle name="Normal 25 5 4 3" xfId="16798" xr:uid="{00000000-0005-0000-0000-0000465E0000}"/>
    <cellStyle name="Normal 25 5 4 3 2" xfId="53357" xr:uid="{00000000-0005-0000-0000-0000475E0000}"/>
    <cellStyle name="Normal 25 5 4 3 3" xfId="53358" xr:uid="{00000000-0005-0000-0000-0000485E0000}"/>
    <cellStyle name="Normal 25 5 4 4" xfId="16799" xr:uid="{00000000-0005-0000-0000-0000495E0000}"/>
    <cellStyle name="Normal 25 5 4 4 2" xfId="53359" xr:uid="{00000000-0005-0000-0000-00004A5E0000}"/>
    <cellStyle name="Normal 25 5 4 5" xfId="16800" xr:uid="{00000000-0005-0000-0000-00004B5E0000}"/>
    <cellStyle name="Normal 25 5 4 6" xfId="16801" xr:uid="{00000000-0005-0000-0000-00004C5E0000}"/>
    <cellStyle name="Normal 25 5 4 7" xfId="16802" xr:uid="{00000000-0005-0000-0000-00004D5E0000}"/>
    <cellStyle name="Normal 25 5 5" xfId="16803" xr:uid="{00000000-0005-0000-0000-00004E5E0000}"/>
    <cellStyle name="Normal 25 5 5 2" xfId="16804" xr:uid="{00000000-0005-0000-0000-00004F5E0000}"/>
    <cellStyle name="Normal 25 5 5 2 2" xfId="53360" xr:uid="{00000000-0005-0000-0000-0000505E0000}"/>
    <cellStyle name="Normal 25 5 5 2 3" xfId="53361" xr:uid="{00000000-0005-0000-0000-0000515E0000}"/>
    <cellStyle name="Normal 25 5 5 3" xfId="16805" xr:uid="{00000000-0005-0000-0000-0000525E0000}"/>
    <cellStyle name="Normal 25 5 5 3 2" xfId="53362" xr:uid="{00000000-0005-0000-0000-0000535E0000}"/>
    <cellStyle name="Normal 25 5 5 4" xfId="16806" xr:uid="{00000000-0005-0000-0000-0000545E0000}"/>
    <cellStyle name="Normal 25 5 5 5" xfId="16807" xr:uid="{00000000-0005-0000-0000-0000555E0000}"/>
    <cellStyle name="Normal 25 5 5 6" xfId="16808" xr:uid="{00000000-0005-0000-0000-0000565E0000}"/>
    <cellStyle name="Normal 25 5 6" xfId="16809" xr:uid="{00000000-0005-0000-0000-0000575E0000}"/>
    <cellStyle name="Normal 25 5 6 2" xfId="53363" xr:uid="{00000000-0005-0000-0000-0000585E0000}"/>
    <cellStyle name="Normal 25 5 6 3" xfId="53364" xr:uid="{00000000-0005-0000-0000-0000595E0000}"/>
    <cellStyle name="Normal 25 5 7" xfId="16810" xr:uid="{00000000-0005-0000-0000-00005A5E0000}"/>
    <cellStyle name="Normal 25 5 7 2" xfId="53365" xr:uid="{00000000-0005-0000-0000-00005B5E0000}"/>
    <cellStyle name="Normal 25 5 8" xfId="16811" xr:uid="{00000000-0005-0000-0000-00005C5E0000}"/>
    <cellStyle name="Normal 25 5 9" xfId="16812" xr:uid="{00000000-0005-0000-0000-00005D5E0000}"/>
    <cellStyle name="Normal 25 6" xfId="16813" xr:uid="{00000000-0005-0000-0000-00005E5E0000}"/>
    <cellStyle name="Normal 25 6 10" xfId="16814" xr:uid="{00000000-0005-0000-0000-00005F5E0000}"/>
    <cellStyle name="Normal 25 6 11" xfId="16815" xr:uid="{00000000-0005-0000-0000-0000605E0000}"/>
    <cellStyle name="Normal 25 6 12" xfId="16816" xr:uid="{00000000-0005-0000-0000-0000615E0000}"/>
    <cellStyle name="Normal 25 6 13" xfId="16817" xr:uid="{00000000-0005-0000-0000-0000625E0000}"/>
    <cellStyle name="Normal 25 6 2" xfId="16818" xr:uid="{00000000-0005-0000-0000-0000635E0000}"/>
    <cellStyle name="Normal 25 6 2 2" xfId="16819" xr:uid="{00000000-0005-0000-0000-0000645E0000}"/>
    <cellStyle name="Normal 25 6 2 2 2" xfId="16820" xr:uid="{00000000-0005-0000-0000-0000655E0000}"/>
    <cellStyle name="Normal 25 6 2 2 2 2" xfId="16821" xr:uid="{00000000-0005-0000-0000-0000665E0000}"/>
    <cellStyle name="Normal 25 6 2 2 2 2 2" xfId="53366" xr:uid="{00000000-0005-0000-0000-0000675E0000}"/>
    <cellStyle name="Normal 25 6 2 2 2 2 3" xfId="53367" xr:uid="{00000000-0005-0000-0000-0000685E0000}"/>
    <cellStyle name="Normal 25 6 2 2 2 3" xfId="16822" xr:uid="{00000000-0005-0000-0000-0000695E0000}"/>
    <cellStyle name="Normal 25 6 2 2 2 3 2" xfId="53368" xr:uid="{00000000-0005-0000-0000-00006A5E0000}"/>
    <cellStyle name="Normal 25 6 2 2 2 4" xfId="16823" xr:uid="{00000000-0005-0000-0000-00006B5E0000}"/>
    <cellStyle name="Normal 25 6 2 2 2 5" xfId="16824" xr:uid="{00000000-0005-0000-0000-00006C5E0000}"/>
    <cellStyle name="Normal 25 6 2 2 2 6" xfId="16825" xr:uid="{00000000-0005-0000-0000-00006D5E0000}"/>
    <cellStyle name="Normal 25 6 2 2 3" xfId="16826" xr:uid="{00000000-0005-0000-0000-00006E5E0000}"/>
    <cellStyle name="Normal 25 6 2 2 3 2" xfId="53369" xr:uid="{00000000-0005-0000-0000-00006F5E0000}"/>
    <cellStyle name="Normal 25 6 2 2 3 3" xfId="53370" xr:uid="{00000000-0005-0000-0000-0000705E0000}"/>
    <cellStyle name="Normal 25 6 2 2 4" xfId="16827" xr:uid="{00000000-0005-0000-0000-0000715E0000}"/>
    <cellStyle name="Normal 25 6 2 2 4 2" xfId="53371" xr:uid="{00000000-0005-0000-0000-0000725E0000}"/>
    <cellStyle name="Normal 25 6 2 2 5" xfId="16828" xr:uid="{00000000-0005-0000-0000-0000735E0000}"/>
    <cellStyle name="Normal 25 6 2 2 6" xfId="16829" xr:uid="{00000000-0005-0000-0000-0000745E0000}"/>
    <cellStyle name="Normal 25 6 2 2 7" xfId="16830" xr:uid="{00000000-0005-0000-0000-0000755E0000}"/>
    <cellStyle name="Normal 25 6 2 3" xfId="16831" xr:uid="{00000000-0005-0000-0000-0000765E0000}"/>
    <cellStyle name="Normal 25 6 2 3 2" xfId="16832" xr:uid="{00000000-0005-0000-0000-0000775E0000}"/>
    <cellStyle name="Normal 25 6 2 3 2 2" xfId="53372" xr:uid="{00000000-0005-0000-0000-0000785E0000}"/>
    <cellStyle name="Normal 25 6 2 3 2 3" xfId="53373" xr:uid="{00000000-0005-0000-0000-0000795E0000}"/>
    <cellStyle name="Normal 25 6 2 3 3" xfId="16833" xr:uid="{00000000-0005-0000-0000-00007A5E0000}"/>
    <cellStyle name="Normal 25 6 2 3 3 2" xfId="53374" xr:uid="{00000000-0005-0000-0000-00007B5E0000}"/>
    <cellStyle name="Normal 25 6 2 3 4" xfId="16834" xr:uid="{00000000-0005-0000-0000-00007C5E0000}"/>
    <cellStyle name="Normal 25 6 2 3 5" xfId="16835" xr:uid="{00000000-0005-0000-0000-00007D5E0000}"/>
    <cellStyle name="Normal 25 6 2 3 6" xfId="16836" xr:uid="{00000000-0005-0000-0000-00007E5E0000}"/>
    <cellStyle name="Normal 25 6 2 4" xfId="16837" xr:uid="{00000000-0005-0000-0000-00007F5E0000}"/>
    <cellStyle name="Normal 25 6 2 4 2" xfId="53375" xr:uid="{00000000-0005-0000-0000-0000805E0000}"/>
    <cellStyle name="Normal 25 6 2 4 3" xfId="53376" xr:uid="{00000000-0005-0000-0000-0000815E0000}"/>
    <cellStyle name="Normal 25 6 2 5" xfId="16838" xr:uid="{00000000-0005-0000-0000-0000825E0000}"/>
    <cellStyle name="Normal 25 6 2 5 2" xfId="53377" xr:uid="{00000000-0005-0000-0000-0000835E0000}"/>
    <cellStyle name="Normal 25 6 2 6" xfId="16839" xr:uid="{00000000-0005-0000-0000-0000845E0000}"/>
    <cellStyle name="Normal 25 6 2 7" xfId="16840" xr:uid="{00000000-0005-0000-0000-0000855E0000}"/>
    <cellStyle name="Normal 25 6 2 8" xfId="16841" xr:uid="{00000000-0005-0000-0000-0000865E0000}"/>
    <cellStyle name="Normal 25 6 2 9" xfId="16842" xr:uid="{00000000-0005-0000-0000-0000875E0000}"/>
    <cellStyle name="Normal 25 6 3" xfId="16843" xr:uid="{00000000-0005-0000-0000-0000885E0000}"/>
    <cellStyle name="Normal 25 6 3 2" xfId="16844" xr:uid="{00000000-0005-0000-0000-0000895E0000}"/>
    <cellStyle name="Normal 25 6 3 2 2" xfId="16845" xr:uid="{00000000-0005-0000-0000-00008A5E0000}"/>
    <cellStyle name="Normal 25 6 3 2 2 2" xfId="53378" xr:uid="{00000000-0005-0000-0000-00008B5E0000}"/>
    <cellStyle name="Normal 25 6 3 2 2 3" xfId="53379" xr:uid="{00000000-0005-0000-0000-00008C5E0000}"/>
    <cellStyle name="Normal 25 6 3 2 3" xfId="16846" xr:uid="{00000000-0005-0000-0000-00008D5E0000}"/>
    <cellStyle name="Normal 25 6 3 2 3 2" xfId="53380" xr:uid="{00000000-0005-0000-0000-00008E5E0000}"/>
    <cellStyle name="Normal 25 6 3 2 4" xfId="16847" xr:uid="{00000000-0005-0000-0000-00008F5E0000}"/>
    <cellStyle name="Normal 25 6 3 2 5" xfId="16848" xr:uid="{00000000-0005-0000-0000-0000905E0000}"/>
    <cellStyle name="Normal 25 6 3 2 6" xfId="16849" xr:uid="{00000000-0005-0000-0000-0000915E0000}"/>
    <cellStyle name="Normal 25 6 3 3" xfId="16850" xr:uid="{00000000-0005-0000-0000-0000925E0000}"/>
    <cellStyle name="Normal 25 6 3 3 2" xfId="53381" xr:uid="{00000000-0005-0000-0000-0000935E0000}"/>
    <cellStyle name="Normal 25 6 3 3 3" xfId="53382" xr:uid="{00000000-0005-0000-0000-0000945E0000}"/>
    <cellStyle name="Normal 25 6 3 4" xfId="16851" xr:uid="{00000000-0005-0000-0000-0000955E0000}"/>
    <cellStyle name="Normal 25 6 3 4 2" xfId="53383" xr:uid="{00000000-0005-0000-0000-0000965E0000}"/>
    <cellStyle name="Normal 25 6 3 5" xfId="16852" xr:uid="{00000000-0005-0000-0000-0000975E0000}"/>
    <cellStyle name="Normal 25 6 3 6" xfId="16853" xr:uid="{00000000-0005-0000-0000-0000985E0000}"/>
    <cellStyle name="Normal 25 6 3 7" xfId="16854" xr:uid="{00000000-0005-0000-0000-0000995E0000}"/>
    <cellStyle name="Normal 25 6 4" xfId="16855" xr:uid="{00000000-0005-0000-0000-00009A5E0000}"/>
    <cellStyle name="Normal 25 6 4 2" xfId="16856" xr:uid="{00000000-0005-0000-0000-00009B5E0000}"/>
    <cellStyle name="Normal 25 6 4 2 2" xfId="53384" xr:uid="{00000000-0005-0000-0000-00009C5E0000}"/>
    <cellStyle name="Normal 25 6 4 2 3" xfId="53385" xr:uid="{00000000-0005-0000-0000-00009D5E0000}"/>
    <cellStyle name="Normal 25 6 4 3" xfId="16857" xr:uid="{00000000-0005-0000-0000-00009E5E0000}"/>
    <cellStyle name="Normal 25 6 4 3 2" xfId="53386" xr:uid="{00000000-0005-0000-0000-00009F5E0000}"/>
    <cellStyle name="Normal 25 6 4 4" xfId="16858" xr:uid="{00000000-0005-0000-0000-0000A05E0000}"/>
    <cellStyle name="Normal 25 6 4 5" xfId="16859" xr:uid="{00000000-0005-0000-0000-0000A15E0000}"/>
    <cellStyle name="Normal 25 6 4 6" xfId="16860" xr:uid="{00000000-0005-0000-0000-0000A25E0000}"/>
    <cellStyle name="Normal 25 6 5" xfId="16861" xr:uid="{00000000-0005-0000-0000-0000A35E0000}"/>
    <cellStyle name="Normal 25 6 5 2" xfId="53387" xr:uid="{00000000-0005-0000-0000-0000A45E0000}"/>
    <cellStyle name="Normal 25 6 5 3" xfId="53388" xr:uid="{00000000-0005-0000-0000-0000A55E0000}"/>
    <cellStyle name="Normal 25 6 6" xfId="16862" xr:uid="{00000000-0005-0000-0000-0000A65E0000}"/>
    <cellStyle name="Normal 25 6 6 2" xfId="53389" xr:uid="{00000000-0005-0000-0000-0000A75E0000}"/>
    <cellStyle name="Normal 25 6 7" xfId="16863" xr:uid="{00000000-0005-0000-0000-0000A85E0000}"/>
    <cellStyle name="Normal 25 6 8" xfId="16864" xr:uid="{00000000-0005-0000-0000-0000A95E0000}"/>
    <cellStyle name="Normal 25 6 9" xfId="16865" xr:uid="{00000000-0005-0000-0000-0000AA5E0000}"/>
    <cellStyle name="Normal 25 7" xfId="16866" xr:uid="{00000000-0005-0000-0000-0000AB5E0000}"/>
    <cellStyle name="Normal 25 7 2" xfId="16867" xr:uid="{00000000-0005-0000-0000-0000AC5E0000}"/>
    <cellStyle name="Normal 25 7 2 2" xfId="16868" xr:uid="{00000000-0005-0000-0000-0000AD5E0000}"/>
    <cellStyle name="Normal 25 7 2 2 2" xfId="16869" xr:uid="{00000000-0005-0000-0000-0000AE5E0000}"/>
    <cellStyle name="Normal 25 7 2 2 2 2" xfId="53390" xr:uid="{00000000-0005-0000-0000-0000AF5E0000}"/>
    <cellStyle name="Normal 25 7 2 2 2 3" xfId="53391" xr:uid="{00000000-0005-0000-0000-0000B05E0000}"/>
    <cellStyle name="Normal 25 7 2 2 3" xfId="16870" xr:uid="{00000000-0005-0000-0000-0000B15E0000}"/>
    <cellStyle name="Normal 25 7 2 2 3 2" xfId="53392" xr:uid="{00000000-0005-0000-0000-0000B25E0000}"/>
    <cellStyle name="Normal 25 7 2 2 4" xfId="16871" xr:uid="{00000000-0005-0000-0000-0000B35E0000}"/>
    <cellStyle name="Normal 25 7 2 2 5" xfId="16872" xr:uid="{00000000-0005-0000-0000-0000B45E0000}"/>
    <cellStyle name="Normal 25 7 2 2 6" xfId="16873" xr:uid="{00000000-0005-0000-0000-0000B55E0000}"/>
    <cellStyle name="Normal 25 7 2 3" xfId="16874" xr:uid="{00000000-0005-0000-0000-0000B65E0000}"/>
    <cellStyle name="Normal 25 7 2 3 2" xfId="53393" xr:uid="{00000000-0005-0000-0000-0000B75E0000}"/>
    <cellStyle name="Normal 25 7 2 3 3" xfId="53394" xr:uid="{00000000-0005-0000-0000-0000B85E0000}"/>
    <cellStyle name="Normal 25 7 2 4" xfId="16875" xr:uid="{00000000-0005-0000-0000-0000B95E0000}"/>
    <cellStyle name="Normal 25 7 2 4 2" xfId="53395" xr:uid="{00000000-0005-0000-0000-0000BA5E0000}"/>
    <cellStyle name="Normal 25 7 2 5" xfId="16876" xr:uid="{00000000-0005-0000-0000-0000BB5E0000}"/>
    <cellStyle name="Normal 25 7 2 6" xfId="16877" xr:uid="{00000000-0005-0000-0000-0000BC5E0000}"/>
    <cellStyle name="Normal 25 7 2 7" xfId="16878" xr:uid="{00000000-0005-0000-0000-0000BD5E0000}"/>
    <cellStyle name="Normal 25 7 3" xfId="16879" xr:uid="{00000000-0005-0000-0000-0000BE5E0000}"/>
    <cellStyle name="Normal 25 7 3 2" xfId="16880" xr:uid="{00000000-0005-0000-0000-0000BF5E0000}"/>
    <cellStyle name="Normal 25 7 3 2 2" xfId="53396" xr:uid="{00000000-0005-0000-0000-0000C05E0000}"/>
    <cellStyle name="Normal 25 7 3 2 3" xfId="53397" xr:uid="{00000000-0005-0000-0000-0000C15E0000}"/>
    <cellStyle name="Normal 25 7 3 3" xfId="16881" xr:uid="{00000000-0005-0000-0000-0000C25E0000}"/>
    <cellStyle name="Normal 25 7 3 3 2" xfId="53398" xr:uid="{00000000-0005-0000-0000-0000C35E0000}"/>
    <cellStyle name="Normal 25 7 3 4" xfId="16882" xr:uid="{00000000-0005-0000-0000-0000C45E0000}"/>
    <cellStyle name="Normal 25 7 3 5" xfId="16883" xr:uid="{00000000-0005-0000-0000-0000C55E0000}"/>
    <cellStyle name="Normal 25 7 3 6" xfId="16884" xr:uid="{00000000-0005-0000-0000-0000C65E0000}"/>
    <cellStyle name="Normal 25 7 4" xfId="16885" xr:uid="{00000000-0005-0000-0000-0000C75E0000}"/>
    <cellStyle name="Normal 25 7 4 2" xfId="53399" xr:uid="{00000000-0005-0000-0000-0000C85E0000}"/>
    <cellStyle name="Normal 25 7 4 3" xfId="53400" xr:uid="{00000000-0005-0000-0000-0000C95E0000}"/>
    <cellStyle name="Normal 25 7 5" xfId="16886" xr:uid="{00000000-0005-0000-0000-0000CA5E0000}"/>
    <cellStyle name="Normal 25 7 5 2" xfId="53401" xr:uid="{00000000-0005-0000-0000-0000CB5E0000}"/>
    <cellStyle name="Normal 25 7 6" xfId="16887" xr:uid="{00000000-0005-0000-0000-0000CC5E0000}"/>
    <cellStyle name="Normal 25 7 7" xfId="16888" xr:uid="{00000000-0005-0000-0000-0000CD5E0000}"/>
    <cellStyle name="Normal 25 7 8" xfId="16889" xr:uid="{00000000-0005-0000-0000-0000CE5E0000}"/>
    <cellStyle name="Normal 25 7 9" xfId="16890" xr:uid="{00000000-0005-0000-0000-0000CF5E0000}"/>
    <cellStyle name="Normal 25 8" xfId="16891" xr:uid="{00000000-0005-0000-0000-0000D05E0000}"/>
    <cellStyle name="Normal 25 8 2" xfId="16892" xr:uid="{00000000-0005-0000-0000-0000D15E0000}"/>
    <cellStyle name="Normal 25 8 2 2" xfId="16893" xr:uid="{00000000-0005-0000-0000-0000D25E0000}"/>
    <cellStyle name="Normal 25 8 2 2 2" xfId="16894" xr:uid="{00000000-0005-0000-0000-0000D35E0000}"/>
    <cellStyle name="Normal 25 8 2 2 2 2" xfId="53402" xr:uid="{00000000-0005-0000-0000-0000D45E0000}"/>
    <cellStyle name="Normal 25 8 2 2 2 3" xfId="53403" xr:uid="{00000000-0005-0000-0000-0000D55E0000}"/>
    <cellStyle name="Normal 25 8 2 2 3" xfId="16895" xr:uid="{00000000-0005-0000-0000-0000D65E0000}"/>
    <cellStyle name="Normal 25 8 2 2 3 2" xfId="53404" xr:uid="{00000000-0005-0000-0000-0000D75E0000}"/>
    <cellStyle name="Normal 25 8 2 2 4" xfId="16896" xr:uid="{00000000-0005-0000-0000-0000D85E0000}"/>
    <cellStyle name="Normal 25 8 2 2 5" xfId="16897" xr:uid="{00000000-0005-0000-0000-0000D95E0000}"/>
    <cellStyle name="Normal 25 8 2 2 6" xfId="16898" xr:uid="{00000000-0005-0000-0000-0000DA5E0000}"/>
    <cellStyle name="Normal 25 8 2 3" xfId="16899" xr:uid="{00000000-0005-0000-0000-0000DB5E0000}"/>
    <cellStyle name="Normal 25 8 2 3 2" xfId="53405" xr:uid="{00000000-0005-0000-0000-0000DC5E0000}"/>
    <cellStyle name="Normal 25 8 2 3 3" xfId="53406" xr:uid="{00000000-0005-0000-0000-0000DD5E0000}"/>
    <cellStyle name="Normal 25 8 2 4" xfId="16900" xr:uid="{00000000-0005-0000-0000-0000DE5E0000}"/>
    <cellStyle name="Normal 25 8 2 4 2" xfId="53407" xr:uid="{00000000-0005-0000-0000-0000DF5E0000}"/>
    <cellStyle name="Normal 25 8 2 5" xfId="16901" xr:uid="{00000000-0005-0000-0000-0000E05E0000}"/>
    <cellStyle name="Normal 25 8 2 6" xfId="16902" xr:uid="{00000000-0005-0000-0000-0000E15E0000}"/>
    <cellStyle name="Normal 25 8 2 7" xfId="16903" xr:uid="{00000000-0005-0000-0000-0000E25E0000}"/>
    <cellStyle name="Normal 25 8 3" xfId="16904" xr:uid="{00000000-0005-0000-0000-0000E35E0000}"/>
    <cellStyle name="Normal 25 8 3 2" xfId="16905" xr:uid="{00000000-0005-0000-0000-0000E45E0000}"/>
    <cellStyle name="Normal 25 8 3 2 2" xfId="53408" xr:uid="{00000000-0005-0000-0000-0000E55E0000}"/>
    <cellStyle name="Normal 25 8 3 2 3" xfId="53409" xr:uid="{00000000-0005-0000-0000-0000E65E0000}"/>
    <cellStyle name="Normal 25 8 3 3" xfId="16906" xr:uid="{00000000-0005-0000-0000-0000E75E0000}"/>
    <cellStyle name="Normal 25 8 3 3 2" xfId="53410" xr:uid="{00000000-0005-0000-0000-0000E85E0000}"/>
    <cellStyle name="Normal 25 8 3 4" xfId="16907" xr:uid="{00000000-0005-0000-0000-0000E95E0000}"/>
    <cellStyle name="Normal 25 8 3 5" xfId="16908" xr:uid="{00000000-0005-0000-0000-0000EA5E0000}"/>
    <cellStyle name="Normal 25 8 3 6" xfId="16909" xr:uid="{00000000-0005-0000-0000-0000EB5E0000}"/>
    <cellStyle name="Normal 25 8 4" xfId="16910" xr:uid="{00000000-0005-0000-0000-0000EC5E0000}"/>
    <cellStyle name="Normal 25 8 4 2" xfId="53411" xr:uid="{00000000-0005-0000-0000-0000ED5E0000}"/>
    <cellStyle name="Normal 25 8 4 3" xfId="53412" xr:uid="{00000000-0005-0000-0000-0000EE5E0000}"/>
    <cellStyle name="Normal 25 8 5" xfId="16911" xr:uid="{00000000-0005-0000-0000-0000EF5E0000}"/>
    <cellStyle name="Normal 25 8 5 2" xfId="53413" xr:uid="{00000000-0005-0000-0000-0000F05E0000}"/>
    <cellStyle name="Normal 25 8 6" xfId="16912" xr:uid="{00000000-0005-0000-0000-0000F15E0000}"/>
    <cellStyle name="Normal 25 8 7" xfId="16913" xr:uid="{00000000-0005-0000-0000-0000F25E0000}"/>
    <cellStyle name="Normal 25 8 8" xfId="16914" xr:uid="{00000000-0005-0000-0000-0000F35E0000}"/>
    <cellStyle name="Normal 25 9" xfId="16915" xr:uid="{00000000-0005-0000-0000-0000F45E0000}"/>
    <cellStyle name="Normal 25 9 2" xfId="16916" xr:uid="{00000000-0005-0000-0000-0000F55E0000}"/>
    <cellStyle name="Normal 25 9 2 2" xfId="16917" xr:uid="{00000000-0005-0000-0000-0000F65E0000}"/>
    <cellStyle name="Normal 25 9 2 2 2" xfId="16918" xr:uid="{00000000-0005-0000-0000-0000F75E0000}"/>
    <cellStyle name="Normal 25 9 2 2 2 2" xfId="53414" xr:uid="{00000000-0005-0000-0000-0000F85E0000}"/>
    <cellStyle name="Normal 25 9 2 2 2 3" xfId="53415" xr:uid="{00000000-0005-0000-0000-0000F95E0000}"/>
    <cellStyle name="Normal 25 9 2 2 3" xfId="16919" xr:uid="{00000000-0005-0000-0000-0000FA5E0000}"/>
    <cellStyle name="Normal 25 9 2 2 3 2" xfId="53416" xr:uid="{00000000-0005-0000-0000-0000FB5E0000}"/>
    <cellStyle name="Normal 25 9 2 2 4" xfId="16920" xr:uid="{00000000-0005-0000-0000-0000FC5E0000}"/>
    <cellStyle name="Normal 25 9 2 2 5" xfId="16921" xr:uid="{00000000-0005-0000-0000-0000FD5E0000}"/>
    <cellStyle name="Normal 25 9 2 2 6" xfId="16922" xr:uid="{00000000-0005-0000-0000-0000FE5E0000}"/>
    <cellStyle name="Normal 25 9 2 3" xfId="16923" xr:uid="{00000000-0005-0000-0000-0000FF5E0000}"/>
    <cellStyle name="Normal 25 9 2 3 2" xfId="53417" xr:uid="{00000000-0005-0000-0000-0000005F0000}"/>
    <cellStyle name="Normal 25 9 2 3 3" xfId="53418" xr:uid="{00000000-0005-0000-0000-0000015F0000}"/>
    <cellStyle name="Normal 25 9 2 4" xfId="16924" xr:uid="{00000000-0005-0000-0000-0000025F0000}"/>
    <cellStyle name="Normal 25 9 2 4 2" xfId="53419" xr:uid="{00000000-0005-0000-0000-0000035F0000}"/>
    <cellStyle name="Normal 25 9 2 5" xfId="16925" xr:uid="{00000000-0005-0000-0000-0000045F0000}"/>
    <cellStyle name="Normal 25 9 2 6" xfId="16926" xr:uid="{00000000-0005-0000-0000-0000055F0000}"/>
    <cellStyle name="Normal 25 9 2 7" xfId="16927" xr:uid="{00000000-0005-0000-0000-0000065F0000}"/>
    <cellStyle name="Normal 25 9 3" xfId="16928" xr:uid="{00000000-0005-0000-0000-0000075F0000}"/>
    <cellStyle name="Normal 25 9 3 2" xfId="16929" xr:uid="{00000000-0005-0000-0000-0000085F0000}"/>
    <cellStyle name="Normal 25 9 3 2 2" xfId="53420" xr:uid="{00000000-0005-0000-0000-0000095F0000}"/>
    <cellStyle name="Normal 25 9 3 2 3" xfId="53421" xr:uid="{00000000-0005-0000-0000-00000A5F0000}"/>
    <cellStyle name="Normal 25 9 3 3" xfId="16930" xr:uid="{00000000-0005-0000-0000-00000B5F0000}"/>
    <cellStyle name="Normal 25 9 3 3 2" xfId="53422" xr:uid="{00000000-0005-0000-0000-00000C5F0000}"/>
    <cellStyle name="Normal 25 9 3 4" xfId="16931" xr:uid="{00000000-0005-0000-0000-00000D5F0000}"/>
    <cellStyle name="Normal 25 9 3 5" xfId="16932" xr:uid="{00000000-0005-0000-0000-00000E5F0000}"/>
    <cellStyle name="Normal 25 9 3 6" xfId="16933" xr:uid="{00000000-0005-0000-0000-00000F5F0000}"/>
    <cellStyle name="Normal 25 9 4" xfId="16934" xr:uid="{00000000-0005-0000-0000-0000105F0000}"/>
    <cellStyle name="Normal 25 9 4 2" xfId="53423" xr:uid="{00000000-0005-0000-0000-0000115F0000}"/>
    <cellStyle name="Normal 25 9 4 3" xfId="53424" xr:uid="{00000000-0005-0000-0000-0000125F0000}"/>
    <cellStyle name="Normal 25 9 5" xfId="16935" xr:uid="{00000000-0005-0000-0000-0000135F0000}"/>
    <cellStyle name="Normal 25 9 5 2" xfId="53425" xr:uid="{00000000-0005-0000-0000-0000145F0000}"/>
    <cellStyle name="Normal 25 9 6" xfId="16936" xr:uid="{00000000-0005-0000-0000-0000155F0000}"/>
    <cellStyle name="Normal 25 9 7" xfId="16937" xr:uid="{00000000-0005-0000-0000-0000165F0000}"/>
    <cellStyle name="Normal 25 9 8" xfId="16938" xr:uid="{00000000-0005-0000-0000-0000175F0000}"/>
    <cellStyle name="Normal 26" xfId="16939" xr:uid="{00000000-0005-0000-0000-0000185F0000}"/>
    <cellStyle name="Normal 26 2" xfId="16940" xr:uid="{00000000-0005-0000-0000-0000195F0000}"/>
    <cellStyle name="Normal 26 2 2" xfId="16941" xr:uid="{00000000-0005-0000-0000-00001A5F0000}"/>
    <cellStyle name="Normal 26 2 3" xfId="16942" xr:uid="{00000000-0005-0000-0000-00001B5F0000}"/>
    <cellStyle name="Normal 26 2 3 2" xfId="53426" xr:uid="{00000000-0005-0000-0000-00001C5F0000}"/>
    <cellStyle name="Normal 26 2 4" xfId="16943" xr:uid="{00000000-0005-0000-0000-00001D5F0000}"/>
    <cellStyle name="Normal 26 3" xfId="16944" xr:uid="{00000000-0005-0000-0000-00001E5F0000}"/>
    <cellStyle name="Normal 26 3 2" xfId="16945" xr:uid="{00000000-0005-0000-0000-00001F5F0000}"/>
    <cellStyle name="Normal 26 4" xfId="16946" xr:uid="{00000000-0005-0000-0000-0000205F0000}"/>
    <cellStyle name="Normal 26 4 2" xfId="16947" xr:uid="{00000000-0005-0000-0000-0000215F0000}"/>
    <cellStyle name="Normal 26 5" xfId="16948" xr:uid="{00000000-0005-0000-0000-0000225F0000}"/>
    <cellStyle name="Normal 26 5 2" xfId="53427" xr:uid="{00000000-0005-0000-0000-0000235F0000}"/>
    <cellStyle name="Normal 26 6" xfId="16949" xr:uid="{00000000-0005-0000-0000-0000245F0000}"/>
    <cellStyle name="Normal 27" xfId="16950" xr:uid="{00000000-0005-0000-0000-0000255F0000}"/>
    <cellStyle name="Normal 27 2" xfId="16951" xr:uid="{00000000-0005-0000-0000-0000265F0000}"/>
    <cellStyle name="Normal 27 2 2" xfId="16952" xr:uid="{00000000-0005-0000-0000-0000275F0000}"/>
    <cellStyle name="Normal 27 2 3" xfId="16953" xr:uid="{00000000-0005-0000-0000-0000285F0000}"/>
    <cellStyle name="Normal 27 2 3 2" xfId="53428" xr:uid="{00000000-0005-0000-0000-0000295F0000}"/>
    <cellStyle name="Normal 27 2 4" xfId="16954" xr:uid="{00000000-0005-0000-0000-00002A5F0000}"/>
    <cellStyle name="Normal 27 3" xfId="16955" xr:uid="{00000000-0005-0000-0000-00002B5F0000}"/>
    <cellStyle name="Normal 27 3 2" xfId="16956" xr:uid="{00000000-0005-0000-0000-00002C5F0000}"/>
    <cellStyle name="Normal 27 4" xfId="16957" xr:uid="{00000000-0005-0000-0000-00002D5F0000}"/>
    <cellStyle name="Normal 27 5" xfId="16958" xr:uid="{00000000-0005-0000-0000-00002E5F0000}"/>
    <cellStyle name="Normal 27 6" xfId="16959" xr:uid="{00000000-0005-0000-0000-00002F5F0000}"/>
    <cellStyle name="Normal 27 6 2" xfId="53429" xr:uid="{00000000-0005-0000-0000-0000305F0000}"/>
    <cellStyle name="Normal 27 7" xfId="16960" xr:uid="{00000000-0005-0000-0000-0000315F0000}"/>
    <cellStyle name="Normal 28" xfId="16961" xr:uid="{00000000-0005-0000-0000-0000325F0000}"/>
    <cellStyle name="Normal 28 2" xfId="16962" xr:uid="{00000000-0005-0000-0000-0000335F0000}"/>
    <cellStyle name="Normal 28 2 10" xfId="16963" xr:uid="{00000000-0005-0000-0000-0000345F0000}"/>
    <cellStyle name="Normal 28 2 10 2" xfId="53430" xr:uid="{00000000-0005-0000-0000-0000355F0000}"/>
    <cellStyle name="Normal 28 2 10 3" xfId="53431" xr:uid="{00000000-0005-0000-0000-0000365F0000}"/>
    <cellStyle name="Normal 28 2 11" xfId="16964" xr:uid="{00000000-0005-0000-0000-0000375F0000}"/>
    <cellStyle name="Normal 28 2 11 2" xfId="53432" xr:uid="{00000000-0005-0000-0000-0000385F0000}"/>
    <cellStyle name="Normal 28 2 12" xfId="16965" xr:uid="{00000000-0005-0000-0000-0000395F0000}"/>
    <cellStyle name="Normal 28 2 13" xfId="16966" xr:uid="{00000000-0005-0000-0000-00003A5F0000}"/>
    <cellStyle name="Normal 28 2 14" xfId="16967" xr:uid="{00000000-0005-0000-0000-00003B5F0000}"/>
    <cellStyle name="Normal 28 2 15" xfId="16968" xr:uid="{00000000-0005-0000-0000-00003C5F0000}"/>
    <cellStyle name="Normal 28 2 16" xfId="16969" xr:uid="{00000000-0005-0000-0000-00003D5F0000}"/>
    <cellStyle name="Normal 28 2 17" xfId="16970" xr:uid="{00000000-0005-0000-0000-00003E5F0000}"/>
    <cellStyle name="Normal 28 2 18" xfId="16971" xr:uid="{00000000-0005-0000-0000-00003F5F0000}"/>
    <cellStyle name="Normal 28 2 19" xfId="16972" xr:uid="{00000000-0005-0000-0000-0000405F0000}"/>
    <cellStyle name="Normal 28 2 2" xfId="16973" xr:uid="{00000000-0005-0000-0000-0000415F0000}"/>
    <cellStyle name="Normal 28 2 2 10" xfId="16974" xr:uid="{00000000-0005-0000-0000-0000425F0000}"/>
    <cellStyle name="Normal 28 2 2 11" xfId="16975" xr:uid="{00000000-0005-0000-0000-0000435F0000}"/>
    <cellStyle name="Normal 28 2 2 12" xfId="16976" xr:uid="{00000000-0005-0000-0000-0000445F0000}"/>
    <cellStyle name="Normal 28 2 2 13" xfId="16977" xr:uid="{00000000-0005-0000-0000-0000455F0000}"/>
    <cellStyle name="Normal 28 2 2 14" xfId="16978" xr:uid="{00000000-0005-0000-0000-0000465F0000}"/>
    <cellStyle name="Normal 28 2 2 2" xfId="16979" xr:uid="{00000000-0005-0000-0000-0000475F0000}"/>
    <cellStyle name="Normal 28 2 2 2 2" xfId="16980" xr:uid="{00000000-0005-0000-0000-0000485F0000}"/>
    <cellStyle name="Normal 28 2 2 2 2 2" xfId="16981" xr:uid="{00000000-0005-0000-0000-0000495F0000}"/>
    <cellStyle name="Normal 28 2 2 2 2 2 2" xfId="16982" xr:uid="{00000000-0005-0000-0000-00004A5F0000}"/>
    <cellStyle name="Normal 28 2 2 2 2 2 2 2" xfId="53433" xr:uid="{00000000-0005-0000-0000-00004B5F0000}"/>
    <cellStyle name="Normal 28 2 2 2 2 2 2 3" xfId="53434" xr:uid="{00000000-0005-0000-0000-00004C5F0000}"/>
    <cellStyle name="Normal 28 2 2 2 2 2 3" xfId="16983" xr:uid="{00000000-0005-0000-0000-00004D5F0000}"/>
    <cellStyle name="Normal 28 2 2 2 2 2 3 2" xfId="53435" xr:uid="{00000000-0005-0000-0000-00004E5F0000}"/>
    <cellStyle name="Normal 28 2 2 2 2 2 4" xfId="16984" xr:uid="{00000000-0005-0000-0000-00004F5F0000}"/>
    <cellStyle name="Normal 28 2 2 2 2 2 5" xfId="16985" xr:uid="{00000000-0005-0000-0000-0000505F0000}"/>
    <cellStyle name="Normal 28 2 2 2 2 2 6" xfId="16986" xr:uid="{00000000-0005-0000-0000-0000515F0000}"/>
    <cellStyle name="Normal 28 2 2 2 2 3" xfId="16987" xr:uid="{00000000-0005-0000-0000-0000525F0000}"/>
    <cellStyle name="Normal 28 2 2 2 2 3 2" xfId="53436" xr:uid="{00000000-0005-0000-0000-0000535F0000}"/>
    <cellStyle name="Normal 28 2 2 2 2 3 3" xfId="53437" xr:uid="{00000000-0005-0000-0000-0000545F0000}"/>
    <cellStyle name="Normal 28 2 2 2 2 4" xfId="16988" xr:uid="{00000000-0005-0000-0000-0000555F0000}"/>
    <cellStyle name="Normal 28 2 2 2 2 4 2" xfId="53438" xr:uid="{00000000-0005-0000-0000-0000565F0000}"/>
    <cellStyle name="Normal 28 2 2 2 2 5" xfId="16989" xr:uid="{00000000-0005-0000-0000-0000575F0000}"/>
    <cellStyle name="Normal 28 2 2 2 2 6" xfId="16990" xr:uid="{00000000-0005-0000-0000-0000585F0000}"/>
    <cellStyle name="Normal 28 2 2 2 2 7" xfId="16991" xr:uid="{00000000-0005-0000-0000-0000595F0000}"/>
    <cellStyle name="Normal 28 2 2 2 3" xfId="16992" xr:uid="{00000000-0005-0000-0000-00005A5F0000}"/>
    <cellStyle name="Normal 28 2 2 2 3 2" xfId="16993" xr:uid="{00000000-0005-0000-0000-00005B5F0000}"/>
    <cellStyle name="Normal 28 2 2 2 3 2 2" xfId="53439" xr:uid="{00000000-0005-0000-0000-00005C5F0000}"/>
    <cellStyle name="Normal 28 2 2 2 3 2 3" xfId="53440" xr:uid="{00000000-0005-0000-0000-00005D5F0000}"/>
    <cellStyle name="Normal 28 2 2 2 3 3" xfId="16994" xr:uid="{00000000-0005-0000-0000-00005E5F0000}"/>
    <cellStyle name="Normal 28 2 2 2 3 3 2" xfId="53441" xr:uid="{00000000-0005-0000-0000-00005F5F0000}"/>
    <cellStyle name="Normal 28 2 2 2 3 4" xfId="16995" xr:uid="{00000000-0005-0000-0000-0000605F0000}"/>
    <cellStyle name="Normal 28 2 2 2 3 5" xfId="16996" xr:uid="{00000000-0005-0000-0000-0000615F0000}"/>
    <cellStyle name="Normal 28 2 2 2 3 6" xfId="16997" xr:uid="{00000000-0005-0000-0000-0000625F0000}"/>
    <cellStyle name="Normal 28 2 2 2 4" xfId="16998" xr:uid="{00000000-0005-0000-0000-0000635F0000}"/>
    <cellStyle name="Normal 28 2 2 2 4 2" xfId="53442" xr:uid="{00000000-0005-0000-0000-0000645F0000}"/>
    <cellStyle name="Normal 28 2 2 2 4 3" xfId="53443" xr:uid="{00000000-0005-0000-0000-0000655F0000}"/>
    <cellStyle name="Normal 28 2 2 2 5" xfId="16999" xr:uid="{00000000-0005-0000-0000-0000665F0000}"/>
    <cellStyle name="Normal 28 2 2 2 5 2" xfId="53444" xr:uid="{00000000-0005-0000-0000-0000675F0000}"/>
    <cellStyle name="Normal 28 2 2 2 6" xfId="17000" xr:uid="{00000000-0005-0000-0000-0000685F0000}"/>
    <cellStyle name="Normal 28 2 2 2 7" xfId="17001" xr:uid="{00000000-0005-0000-0000-0000695F0000}"/>
    <cellStyle name="Normal 28 2 2 2 8" xfId="17002" xr:uid="{00000000-0005-0000-0000-00006A5F0000}"/>
    <cellStyle name="Normal 28 2 2 2 9" xfId="17003" xr:uid="{00000000-0005-0000-0000-00006B5F0000}"/>
    <cellStyle name="Normal 28 2 2 3" xfId="17004" xr:uid="{00000000-0005-0000-0000-00006C5F0000}"/>
    <cellStyle name="Normal 28 2 2 3 2" xfId="17005" xr:uid="{00000000-0005-0000-0000-00006D5F0000}"/>
    <cellStyle name="Normal 28 2 2 3 2 2" xfId="17006" xr:uid="{00000000-0005-0000-0000-00006E5F0000}"/>
    <cellStyle name="Normal 28 2 2 3 2 2 2" xfId="17007" xr:uid="{00000000-0005-0000-0000-00006F5F0000}"/>
    <cellStyle name="Normal 28 2 2 3 2 2 2 2" xfId="53445" xr:uid="{00000000-0005-0000-0000-0000705F0000}"/>
    <cellStyle name="Normal 28 2 2 3 2 2 2 3" xfId="53446" xr:uid="{00000000-0005-0000-0000-0000715F0000}"/>
    <cellStyle name="Normal 28 2 2 3 2 2 3" xfId="17008" xr:uid="{00000000-0005-0000-0000-0000725F0000}"/>
    <cellStyle name="Normal 28 2 2 3 2 2 3 2" xfId="53447" xr:uid="{00000000-0005-0000-0000-0000735F0000}"/>
    <cellStyle name="Normal 28 2 2 3 2 2 4" xfId="17009" xr:uid="{00000000-0005-0000-0000-0000745F0000}"/>
    <cellStyle name="Normal 28 2 2 3 2 2 5" xfId="17010" xr:uid="{00000000-0005-0000-0000-0000755F0000}"/>
    <cellStyle name="Normal 28 2 2 3 2 2 6" xfId="17011" xr:uid="{00000000-0005-0000-0000-0000765F0000}"/>
    <cellStyle name="Normal 28 2 2 3 2 3" xfId="17012" xr:uid="{00000000-0005-0000-0000-0000775F0000}"/>
    <cellStyle name="Normal 28 2 2 3 2 3 2" xfId="53448" xr:uid="{00000000-0005-0000-0000-0000785F0000}"/>
    <cellStyle name="Normal 28 2 2 3 2 3 3" xfId="53449" xr:uid="{00000000-0005-0000-0000-0000795F0000}"/>
    <cellStyle name="Normal 28 2 2 3 2 4" xfId="17013" xr:uid="{00000000-0005-0000-0000-00007A5F0000}"/>
    <cellStyle name="Normal 28 2 2 3 2 4 2" xfId="53450" xr:uid="{00000000-0005-0000-0000-00007B5F0000}"/>
    <cellStyle name="Normal 28 2 2 3 2 5" xfId="17014" xr:uid="{00000000-0005-0000-0000-00007C5F0000}"/>
    <cellStyle name="Normal 28 2 2 3 2 6" xfId="17015" xr:uid="{00000000-0005-0000-0000-00007D5F0000}"/>
    <cellStyle name="Normal 28 2 2 3 2 7" xfId="17016" xr:uid="{00000000-0005-0000-0000-00007E5F0000}"/>
    <cellStyle name="Normal 28 2 2 3 3" xfId="17017" xr:uid="{00000000-0005-0000-0000-00007F5F0000}"/>
    <cellStyle name="Normal 28 2 2 3 3 2" xfId="17018" xr:uid="{00000000-0005-0000-0000-0000805F0000}"/>
    <cellStyle name="Normal 28 2 2 3 3 2 2" xfId="53451" xr:uid="{00000000-0005-0000-0000-0000815F0000}"/>
    <cellStyle name="Normal 28 2 2 3 3 2 3" xfId="53452" xr:uid="{00000000-0005-0000-0000-0000825F0000}"/>
    <cellStyle name="Normal 28 2 2 3 3 3" xfId="17019" xr:uid="{00000000-0005-0000-0000-0000835F0000}"/>
    <cellStyle name="Normal 28 2 2 3 3 3 2" xfId="53453" xr:uid="{00000000-0005-0000-0000-0000845F0000}"/>
    <cellStyle name="Normal 28 2 2 3 3 4" xfId="17020" xr:uid="{00000000-0005-0000-0000-0000855F0000}"/>
    <cellStyle name="Normal 28 2 2 3 3 5" xfId="17021" xr:uid="{00000000-0005-0000-0000-0000865F0000}"/>
    <cellStyle name="Normal 28 2 2 3 3 6" xfId="17022" xr:uid="{00000000-0005-0000-0000-0000875F0000}"/>
    <cellStyle name="Normal 28 2 2 3 4" xfId="17023" xr:uid="{00000000-0005-0000-0000-0000885F0000}"/>
    <cellStyle name="Normal 28 2 2 3 4 2" xfId="53454" xr:uid="{00000000-0005-0000-0000-0000895F0000}"/>
    <cellStyle name="Normal 28 2 2 3 4 3" xfId="53455" xr:uid="{00000000-0005-0000-0000-00008A5F0000}"/>
    <cellStyle name="Normal 28 2 2 3 5" xfId="17024" xr:uid="{00000000-0005-0000-0000-00008B5F0000}"/>
    <cellStyle name="Normal 28 2 2 3 5 2" xfId="53456" xr:uid="{00000000-0005-0000-0000-00008C5F0000}"/>
    <cellStyle name="Normal 28 2 2 3 6" xfId="17025" xr:uid="{00000000-0005-0000-0000-00008D5F0000}"/>
    <cellStyle name="Normal 28 2 2 3 7" xfId="17026" xr:uid="{00000000-0005-0000-0000-00008E5F0000}"/>
    <cellStyle name="Normal 28 2 2 3 8" xfId="17027" xr:uid="{00000000-0005-0000-0000-00008F5F0000}"/>
    <cellStyle name="Normal 28 2 2 4" xfId="17028" xr:uid="{00000000-0005-0000-0000-0000905F0000}"/>
    <cellStyle name="Normal 28 2 2 4 2" xfId="17029" xr:uid="{00000000-0005-0000-0000-0000915F0000}"/>
    <cellStyle name="Normal 28 2 2 4 2 2" xfId="17030" xr:uid="{00000000-0005-0000-0000-0000925F0000}"/>
    <cellStyle name="Normal 28 2 2 4 2 2 2" xfId="53457" xr:uid="{00000000-0005-0000-0000-0000935F0000}"/>
    <cellStyle name="Normal 28 2 2 4 2 2 3" xfId="53458" xr:uid="{00000000-0005-0000-0000-0000945F0000}"/>
    <cellStyle name="Normal 28 2 2 4 2 3" xfId="17031" xr:uid="{00000000-0005-0000-0000-0000955F0000}"/>
    <cellStyle name="Normal 28 2 2 4 2 3 2" xfId="53459" xr:uid="{00000000-0005-0000-0000-0000965F0000}"/>
    <cellStyle name="Normal 28 2 2 4 2 4" xfId="17032" xr:uid="{00000000-0005-0000-0000-0000975F0000}"/>
    <cellStyle name="Normal 28 2 2 4 2 5" xfId="17033" xr:uid="{00000000-0005-0000-0000-0000985F0000}"/>
    <cellStyle name="Normal 28 2 2 4 2 6" xfId="17034" xr:uid="{00000000-0005-0000-0000-0000995F0000}"/>
    <cellStyle name="Normal 28 2 2 4 3" xfId="17035" xr:uid="{00000000-0005-0000-0000-00009A5F0000}"/>
    <cellStyle name="Normal 28 2 2 4 3 2" xfId="53460" xr:uid="{00000000-0005-0000-0000-00009B5F0000}"/>
    <cellStyle name="Normal 28 2 2 4 3 3" xfId="53461" xr:uid="{00000000-0005-0000-0000-00009C5F0000}"/>
    <cellStyle name="Normal 28 2 2 4 4" xfId="17036" xr:uid="{00000000-0005-0000-0000-00009D5F0000}"/>
    <cellStyle name="Normal 28 2 2 4 4 2" xfId="53462" xr:uid="{00000000-0005-0000-0000-00009E5F0000}"/>
    <cellStyle name="Normal 28 2 2 4 5" xfId="17037" xr:uid="{00000000-0005-0000-0000-00009F5F0000}"/>
    <cellStyle name="Normal 28 2 2 4 6" xfId="17038" xr:uid="{00000000-0005-0000-0000-0000A05F0000}"/>
    <cellStyle name="Normal 28 2 2 4 7" xfId="17039" xr:uid="{00000000-0005-0000-0000-0000A15F0000}"/>
    <cellStyle name="Normal 28 2 2 5" xfId="17040" xr:uid="{00000000-0005-0000-0000-0000A25F0000}"/>
    <cellStyle name="Normal 28 2 2 5 2" xfId="17041" xr:uid="{00000000-0005-0000-0000-0000A35F0000}"/>
    <cellStyle name="Normal 28 2 2 5 2 2" xfId="53463" xr:uid="{00000000-0005-0000-0000-0000A45F0000}"/>
    <cellStyle name="Normal 28 2 2 5 2 3" xfId="53464" xr:uid="{00000000-0005-0000-0000-0000A55F0000}"/>
    <cellStyle name="Normal 28 2 2 5 3" xfId="17042" xr:uid="{00000000-0005-0000-0000-0000A65F0000}"/>
    <cellStyle name="Normal 28 2 2 5 3 2" xfId="53465" xr:uid="{00000000-0005-0000-0000-0000A75F0000}"/>
    <cellStyle name="Normal 28 2 2 5 4" xfId="17043" xr:uid="{00000000-0005-0000-0000-0000A85F0000}"/>
    <cellStyle name="Normal 28 2 2 5 5" xfId="17044" xr:uid="{00000000-0005-0000-0000-0000A95F0000}"/>
    <cellStyle name="Normal 28 2 2 5 6" xfId="17045" xr:uid="{00000000-0005-0000-0000-0000AA5F0000}"/>
    <cellStyle name="Normal 28 2 2 6" xfId="17046" xr:uid="{00000000-0005-0000-0000-0000AB5F0000}"/>
    <cellStyle name="Normal 28 2 2 6 2" xfId="53466" xr:uid="{00000000-0005-0000-0000-0000AC5F0000}"/>
    <cellStyle name="Normal 28 2 2 6 3" xfId="53467" xr:uid="{00000000-0005-0000-0000-0000AD5F0000}"/>
    <cellStyle name="Normal 28 2 2 7" xfId="17047" xr:uid="{00000000-0005-0000-0000-0000AE5F0000}"/>
    <cellStyle name="Normal 28 2 2 7 2" xfId="53468" xr:uid="{00000000-0005-0000-0000-0000AF5F0000}"/>
    <cellStyle name="Normal 28 2 2 8" xfId="17048" xr:uid="{00000000-0005-0000-0000-0000B05F0000}"/>
    <cellStyle name="Normal 28 2 2 9" xfId="17049" xr:uid="{00000000-0005-0000-0000-0000B15F0000}"/>
    <cellStyle name="Normal 28 2 3" xfId="17050" xr:uid="{00000000-0005-0000-0000-0000B25F0000}"/>
    <cellStyle name="Normal 28 2 3 10" xfId="17051" xr:uid="{00000000-0005-0000-0000-0000B35F0000}"/>
    <cellStyle name="Normal 28 2 3 11" xfId="17052" xr:uid="{00000000-0005-0000-0000-0000B45F0000}"/>
    <cellStyle name="Normal 28 2 3 12" xfId="17053" xr:uid="{00000000-0005-0000-0000-0000B55F0000}"/>
    <cellStyle name="Normal 28 2 3 13" xfId="17054" xr:uid="{00000000-0005-0000-0000-0000B65F0000}"/>
    <cellStyle name="Normal 28 2 3 14" xfId="17055" xr:uid="{00000000-0005-0000-0000-0000B75F0000}"/>
    <cellStyle name="Normal 28 2 3 2" xfId="17056" xr:uid="{00000000-0005-0000-0000-0000B85F0000}"/>
    <cellStyle name="Normal 28 2 3 2 2" xfId="17057" xr:uid="{00000000-0005-0000-0000-0000B95F0000}"/>
    <cellStyle name="Normal 28 2 3 2 2 2" xfId="17058" xr:uid="{00000000-0005-0000-0000-0000BA5F0000}"/>
    <cellStyle name="Normal 28 2 3 2 2 2 2" xfId="17059" xr:uid="{00000000-0005-0000-0000-0000BB5F0000}"/>
    <cellStyle name="Normal 28 2 3 2 2 2 2 2" xfId="53469" xr:uid="{00000000-0005-0000-0000-0000BC5F0000}"/>
    <cellStyle name="Normal 28 2 3 2 2 2 2 3" xfId="53470" xr:uid="{00000000-0005-0000-0000-0000BD5F0000}"/>
    <cellStyle name="Normal 28 2 3 2 2 2 3" xfId="17060" xr:uid="{00000000-0005-0000-0000-0000BE5F0000}"/>
    <cellStyle name="Normal 28 2 3 2 2 2 3 2" xfId="53471" xr:uid="{00000000-0005-0000-0000-0000BF5F0000}"/>
    <cellStyle name="Normal 28 2 3 2 2 2 4" xfId="17061" xr:uid="{00000000-0005-0000-0000-0000C05F0000}"/>
    <cellStyle name="Normal 28 2 3 2 2 2 5" xfId="17062" xr:uid="{00000000-0005-0000-0000-0000C15F0000}"/>
    <cellStyle name="Normal 28 2 3 2 2 2 6" xfId="17063" xr:uid="{00000000-0005-0000-0000-0000C25F0000}"/>
    <cellStyle name="Normal 28 2 3 2 2 3" xfId="17064" xr:uid="{00000000-0005-0000-0000-0000C35F0000}"/>
    <cellStyle name="Normal 28 2 3 2 2 3 2" xfId="53472" xr:uid="{00000000-0005-0000-0000-0000C45F0000}"/>
    <cellStyle name="Normal 28 2 3 2 2 3 3" xfId="53473" xr:uid="{00000000-0005-0000-0000-0000C55F0000}"/>
    <cellStyle name="Normal 28 2 3 2 2 4" xfId="17065" xr:uid="{00000000-0005-0000-0000-0000C65F0000}"/>
    <cellStyle name="Normal 28 2 3 2 2 4 2" xfId="53474" xr:uid="{00000000-0005-0000-0000-0000C75F0000}"/>
    <cellStyle name="Normal 28 2 3 2 2 5" xfId="17066" xr:uid="{00000000-0005-0000-0000-0000C85F0000}"/>
    <cellStyle name="Normal 28 2 3 2 2 6" xfId="17067" xr:uid="{00000000-0005-0000-0000-0000C95F0000}"/>
    <cellStyle name="Normal 28 2 3 2 2 7" xfId="17068" xr:uid="{00000000-0005-0000-0000-0000CA5F0000}"/>
    <cellStyle name="Normal 28 2 3 2 3" xfId="17069" xr:uid="{00000000-0005-0000-0000-0000CB5F0000}"/>
    <cellStyle name="Normal 28 2 3 2 3 2" xfId="17070" xr:uid="{00000000-0005-0000-0000-0000CC5F0000}"/>
    <cellStyle name="Normal 28 2 3 2 3 2 2" xfId="53475" xr:uid="{00000000-0005-0000-0000-0000CD5F0000}"/>
    <cellStyle name="Normal 28 2 3 2 3 2 3" xfId="53476" xr:uid="{00000000-0005-0000-0000-0000CE5F0000}"/>
    <cellStyle name="Normal 28 2 3 2 3 3" xfId="17071" xr:uid="{00000000-0005-0000-0000-0000CF5F0000}"/>
    <cellStyle name="Normal 28 2 3 2 3 3 2" xfId="53477" xr:uid="{00000000-0005-0000-0000-0000D05F0000}"/>
    <cellStyle name="Normal 28 2 3 2 3 4" xfId="17072" xr:uid="{00000000-0005-0000-0000-0000D15F0000}"/>
    <cellStyle name="Normal 28 2 3 2 3 5" xfId="17073" xr:uid="{00000000-0005-0000-0000-0000D25F0000}"/>
    <cellStyle name="Normal 28 2 3 2 3 6" xfId="17074" xr:uid="{00000000-0005-0000-0000-0000D35F0000}"/>
    <cellStyle name="Normal 28 2 3 2 4" xfId="17075" xr:uid="{00000000-0005-0000-0000-0000D45F0000}"/>
    <cellStyle name="Normal 28 2 3 2 4 2" xfId="53478" xr:uid="{00000000-0005-0000-0000-0000D55F0000}"/>
    <cellStyle name="Normal 28 2 3 2 4 3" xfId="53479" xr:uid="{00000000-0005-0000-0000-0000D65F0000}"/>
    <cellStyle name="Normal 28 2 3 2 5" xfId="17076" xr:uid="{00000000-0005-0000-0000-0000D75F0000}"/>
    <cellStyle name="Normal 28 2 3 2 5 2" xfId="53480" xr:uid="{00000000-0005-0000-0000-0000D85F0000}"/>
    <cellStyle name="Normal 28 2 3 2 6" xfId="17077" xr:uid="{00000000-0005-0000-0000-0000D95F0000}"/>
    <cellStyle name="Normal 28 2 3 2 7" xfId="17078" xr:uid="{00000000-0005-0000-0000-0000DA5F0000}"/>
    <cellStyle name="Normal 28 2 3 2 8" xfId="17079" xr:uid="{00000000-0005-0000-0000-0000DB5F0000}"/>
    <cellStyle name="Normal 28 2 3 2 9" xfId="17080" xr:uid="{00000000-0005-0000-0000-0000DC5F0000}"/>
    <cellStyle name="Normal 28 2 3 3" xfId="17081" xr:uid="{00000000-0005-0000-0000-0000DD5F0000}"/>
    <cellStyle name="Normal 28 2 3 3 2" xfId="17082" xr:uid="{00000000-0005-0000-0000-0000DE5F0000}"/>
    <cellStyle name="Normal 28 2 3 3 2 2" xfId="17083" xr:uid="{00000000-0005-0000-0000-0000DF5F0000}"/>
    <cellStyle name="Normal 28 2 3 3 2 2 2" xfId="17084" xr:uid="{00000000-0005-0000-0000-0000E05F0000}"/>
    <cellStyle name="Normal 28 2 3 3 2 2 2 2" xfId="53481" xr:uid="{00000000-0005-0000-0000-0000E15F0000}"/>
    <cellStyle name="Normal 28 2 3 3 2 2 2 3" xfId="53482" xr:uid="{00000000-0005-0000-0000-0000E25F0000}"/>
    <cellStyle name="Normal 28 2 3 3 2 2 3" xfId="17085" xr:uid="{00000000-0005-0000-0000-0000E35F0000}"/>
    <cellStyle name="Normal 28 2 3 3 2 2 3 2" xfId="53483" xr:uid="{00000000-0005-0000-0000-0000E45F0000}"/>
    <cellStyle name="Normal 28 2 3 3 2 2 4" xfId="17086" xr:uid="{00000000-0005-0000-0000-0000E55F0000}"/>
    <cellStyle name="Normal 28 2 3 3 2 2 5" xfId="17087" xr:uid="{00000000-0005-0000-0000-0000E65F0000}"/>
    <cellStyle name="Normal 28 2 3 3 2 2 6" xfId="17088" xr:uid="{00000000-0005-0000-0000-0000E75F0000}"/>
    <cellStyle name="Normal 28 2 3 3 2 3" xfId="17089" xr:uid="{00000000-0005-0000-0000-0000E85F0000}"/>
    <cellStyle name="Normal 28 2 3 3 2 3 2" xfId="53484" xr:uid="{00000000-0005-0000-0000-0000E95F0000}"/>
    <cellStyle name="Normal 28 2 3 3 2 3 3" xfId="53485" xr:uid="{00000000-0005-0000-0000-0000EA5F0000}"/>
    <cellStyle name="Normal 28 2 3 3 2 4" xfId="17090" xr:uid="{00000000-0005-0000-0000-0000EB5F0000}"/>
    <cellStyle name="Normal 28 2 3 3 2 4 2" xfId="53486" xr:uid="{00000000-0005-0000-0000-0000EC5F0000}"/>
    <cellStyle name="Normal 28 2 3 3 2 5" xfId="17091" xr:uid="{00000000-0005-0000-0000-0000ED5F0000}"/>
    <cellStyle name="Normal 28 2 3 3 2 6" xfId="17092" xr:uid="{00000000-0005-0000-0000-0000EE5F0000}"/>
    <cellStyle name="Normal 28 2 3 3 2 7" xfId="17093" xr:uid="{00000000-0005-0000-0000-0000EF5F0000}"/>
    <cellStyle name="Normal 28 2 3 3 3" xfId="17094" xr:uid="{00000000-0005-0000-0000-0000F05F0000}"/>
    <cellStyle name="Normal 28 2 3 3 3 2" xfId="17095" xr:uid="{00000000-0005-0000-0000-0000F15F0000}"/>
    <cellStyle name="Normal 28 2 3 3 3 2 2" xfId="53487" xr:uid="{00000000-0005-0000-0000-0000F25F0000}"/>
    <cellStyle name="Normal 28 2 3 3 3 2 3" xfId="53488" xr:uid="{00000000-0005-0000-0000-0000F35F0000}"/>
    <cellStyle name="Normal 28 2 3 3 3 3" xfId="17096" xr:uid="{00000000-0005-0000-0000-0000F45F0000}"/>
    <cellStyle name="Normal 28 2 3 3 3 3 2" xfId="53489" xr:uid="{00000000-0005-0000-0000-0000F55F0000}"/>
    <cellStyle name="Normal 28 2 3 3 3 4" xfId="17097" xr:uid="{00000000-0005-0000-0000-0000F65F0000}"/>
    <cellStyle name="Normal 28 2 3 3 3 5" xfId="17098" xr:uid="{00000000-0005-0000-0000-0000F75F0000}"/>
    <cellStyle name="Normal 28 2 3 3 3 6" xfId="17099" xr:uid="{00000000-0005-0000-0000-0000F85F0000}"/>
    <cellStyle name="Normal 28 2 3 3 4" xfId="17100" xr:uid="{00000000-0005-0000-0000-0000F95F0000}"/>
    <cellStyle name="Normal 28 2 3 3 4 2" xfId="53490" xr:uid="{00000000-0005-0000-0000-0000FA5F0000}"/>
    <cellStyle name="Normal 28 2 3 3 4 3" xfId="53491" xr:uid="{00000000-0005-0000-0000-0000FB5F0000}"/>
    <cellStyle name="Normal 28 2 3 3 5" xfId="17101" xr:uid="{00000000-0005-0000-0000-0000FC5F0000}"/>
    <cellStyle name="Normal 28 2 3 3 5 2" xfId="53492" xr:uid="{00000000-0005-0000-0000-0000FD5F0000}"/>
    <cellStyle name="Normal 28 2 3 3 6" xfId="17102" xr:uid="{00000000-0005-0000-0000-0000FE5F0000}"/>
    <cellStyle name="Normal 28 2 3 3 7" xfId="17103" xr:uid="{00000000-0005-0000-0000-0000FF5F0000}"/>
    <cellStyle name="Normal 28 2 3 3 8" xfId="17104" xr:uid="{00000000-0005-0000-0000-000000600000}"/>
    <cellStyle name="Normal 28 2 3 4" xfId="17105" xr:uid="{00000000-0005-0000-0000-000001600000}"/>
    <cellStyle name="Normal 28 2 3 4 2" xfId="17106" xr:uid="{00000000-0005-0000-0000-000002600000}"/>
    <cellStyle name="Normal 28 2 3 4 2 2" xfId="17107" xr:uid="{00000000-0005-0000-0000-000003600000}"/>
    <cellStyle name="Normal 28 2 3 4 2 2 2" xfId="53493" xr:uid="{00000000-0005-0000-0000-000004600000}"/>
    <cellStyle name="Normal 28 2 3 4 2 2 3" xfId="53494" xr:uid="{00000000-0005-0000-0000-000005600000}"/>
    <cellStyle name="Normal 28 2 3 4 2 3" xfId="17108" xr:uid="{00000000-0005-0000-0000-000006600000}"/>
    <cellStyle name="Normal 28 2 3 4 2 3 2" xfId="53495" xr:uid="{00000000-0005-0000-0000-000007600000}"/>
    <cellStyle name="Normal 28 2 3 4 2 4" xfId="17109" xr:uid="{00000000-0005-0000-0000-000008600000}"/>
    <cellStyle name="Normal 28 2 3 4 2 5" xfId="17110" xr:uid="{00000000-0005-0000-0000-000009600000}"/>
    <cellStyle name="Normal 28 2 3 4 2 6" xfId="17111" xr:uid="{00000000-0005-0000-0000-00000A600000}"/>
    <cellStyle name="Normal 28 2 3 4 3" xfId="17112" xr:uid="{00000000-0005-0000-0000-00000B600000}"/>
    <cellStyle name="Normal 28 2 3 4 3 2" xfId="53496" xr:uid="{00000000-0005-0000-0000-00000C600000}"/>
    <cellStyle name="Normal 28 2 3 4 3 3" xfId="53497" xr:uid="{00000000-0005-0000-0000-00000D600000}"/>
    <cellStyle name="Normal 28 2 3 4 4" xfId="17113" xr:uid="{00000000-0005-0000-0000-00000E600000}"/>
    <cellStyle name="Normal 28 2 3 4 4 2" xfId="53498" xr:uid="{00000000-0005-0000-0000-00000F600000}"/>
    <cellStyle name="Normal 28 2 3 4 5" xfId="17114" xr:uid="{00000000-0005-0000-0000-000010600000}"/>
    <cellStyle name="Normal 28 2 3 4 6" xfId="17115" xr:uid="{00000000-0005-0000-0000-000011600000}"/>
    <cellStyle name="Normal 28 2 3 4 7" xfId="17116" xr:uid="{00000000-0005-0000-0000-000012600000}"/>
    <cellStyle name="Normal 28 2 3 5" xfId="17117" xr:uid="{00000000-0005-0000-0000-000013600000}"/>
    <cellStyle name="Normal 28 2 3 5 2" xfId="17118" xr:uid="{00000000-0005-0000-0000-000014600000}"/>
    <cellStyle name="Normal 28 2 3 5 2 2" xfId="53499" xr:uid="{00000000-0005-0000-0000-000015600000}"/>
    <cellStyle name="Normal 28 2 3 5 2 3" xfId="53500" xr:uid="{00000000-0005-0000-0000-000016600000}"/>
    <cellStyle name="Normal 28 2 3 5 3" xfId="17119" xr:uid="{00000000-0005-0000-0000-000017600000}"/>
    <cellStyle name="Normal 28 2 3 5 3 2" xfId="53501" xr:uid="{00000000-0005-0000-0000-000018600000}"/>
    <cellStyle name="Normal 28 2 3 5 4" xfId="17120" xr:uid="{00000000-0005-0000-0000-000019600000}"/>
    <cellStyle name="Normal 28 2 3 5 5" xfId="17121" xr:uid="{00000000-0005-0000-0000-00001A600000}"/>
    <cellStyle name="Normal 28 2 3 5 6" xfId="17122" xr:uid="{00000000-0005-0000-0000-00001B600000}"/>
    <cellStyle name="Normal 28 2 3 6" xfId="17123" xr:uid="{00000000-0005-0000-0000-00001C600000}"/>
    <cellStyle name="Normal 28 2 3 6 2" xfId="53502" xr:uid="{00000000-0005-0000-0000-00001D600000}"/>
    <cellStyle name="Normal 28 2 3 6 3" xfId="53503" xr:uid="{00000000-0005-0000-0000-00001E600000}"/>
    <cellStyle name="Normal 28 2 3 7" xfId="17124" xr:uid="{00000000-0005-0000-0000-00001F600000}"/>
    <cellStyle name="Normal 28 2 3 7 2" xfId="53504" xr:uid="{00000000-0005-0000-0000-000020600000}"/>
    <cellStyle name="Normal 28 2 3 8" xfId="17125" xr:uid="{00000000-0005-0000-0000-000021600000}"/>
    <cellStyle name="Normal 28 2 3 9" xfId="17126" xr:uid="{00000000-0005-0000-0000-000022600000}"/>
    <cellStyle name="Normal 28 2 4" xfId="17127" xr:uid="{00000000-0005-0000-0000-000023600000}"/>
    <cellStyle name="Normal 28 2 4 10" xfId="17128" xr:uid="{00000000-0005-0000-0000-000024600000}"/>
    <cellStyle name="Normal 28 2 4 11" xfId="17129" xr:uid="{00000000-0005-0000-0000-000025600000}"/>
    <cellStyle name="Normal 28 2 4 12" xfId="17130" xr:uid="{00000000-0005-0000-0000-000026600000}"/>
    <cellStyle name="Normal 28 2 4 13" xfId="17131" xr:uid="{00000000-0005-0000-0000-000027600000}"/>
    <cellStyle name="Normal 28 2 4 2" xfId="17132" xr:uid="{00000000-0005-0000-0000-000028600000}"/>
    <cellStyle name="Normal 28 2 4 2 2" xfId="17133" xr:uid="{00000000-0005-0000-0000-000029600000}"/>
    <cellStyle name="Normal 28 2 4 2 2 2" xfId="17134" xr:uid="{00000000-0005-0000-0000-00002A600000}"/>
    <cellStyle name="Normal 28 2 4 2 2 2 2" xfId="17135" xr:uid="{00000000-0005-0000-0000-00002B600000}"/>
    <cellStyle name="Normal 28 2 4 2 2 2 2 2" xfId="53505" xr:uid="{00000000-0005-0000-0000-00002C600000}"/>
    <cellStyle name="Normal 28 2 4 2 2 2 2 3" xfId="53506" xr:uid="{00000000-0005-0000-0000-00002D600000}"/>
    <cellStyle name="Normal 28 2 4 2 2 2 3" xfId="17136" xr:uid="{00000000-0005-0000-0000-00002E600000}"/>
    <cellStyle name="Normal 28 2 4 2 2 2 3 2" xfId="53507" xr:uid="{00000000-0005-0000-0000-00002F600000}"/>
    <cellStyle name="Normal 28 2 4 2 2 2 4" xfId="17137" xr:uid="{00000000-0005-0000-0000-000030600000}"/>
    <cellStyle name="Normal 28 2 4 2 2 2 5" xfId="17138" xr:uid="{00000000-0005-0000-0000-000031600000}"/>
    <cellStyle name="Normal 28 2 4 2 2 2 6" xfId="17139" xr:uid="{00000000-0005-0000-0000-000032600000}"/>
    <cellStyle name="Normal 28 2 4 2 2 3" xfId="17140" xr:uid="{00000000-0005-0000-0000-000033600000}"/>
    <cellStyle name="Normal 28 2 4 2 2 3 2" xfId="53508" xr:uid="{00000000-0005-0000-0000-000034600000}"/>
    <cellStyle name="Normal 28 2 4 2 2 3 3" xfId="53509" xr:uid="{00000000-0005-0000-0000-000035600000}"/>
    <cellStyle name="Normal 28 2 4 2 2 4" xfId="17141" xr:uid="{00000000-0005-0000-0000-000036600000}"/>
    <cellStyle name="Normal 28 2 4 2 2 4 2" xfId="53510" xr:uid="{00000000-0005-0000-0000-000037600000}"/>
    <cellStyle name="Normal 28 2 4 2 2 5" xfId="17142" xr:uid="{00000000-0005-0000-0000-000038600000}"/>
    <cellStyle name="Normal 28 2 4 2 2 6" xfId="17143" xr:uid="{00000000-0005-0000-0000-000039600000}"/>
    <cellStyle name="Normal 28 2 4 2 2 7" xfId="17144" xr:uid="{00000000-0005-0000-0000-00003A600000}"/>
    <cellStyle name="Normal 28 2 4 2 3" xfId="17145" xr:uid="{00000000-0005-0000-0000-00003B600000}"/>
    <cellStyle name="Normal 28 2 4 2 3 2" xfId="17146" xr:uid="{00000000-0005-0000-0000-00003C600000}"/>
    <cellStyle name="Normal 28 2 4 2 3 2 2" xfId="53511" xr:uid="{00000000-0005-0000-0000-00003D600000}"/>
    <cellStyle name="Normal 28 2 4 2 3 2 3" xfId="53512" xr:uid="{00000000-0005-0000-0000-00003E600000}"/>
    <cellStyle name="Normal 28 2 4 2 3 3" xfId="17147" xr:uid="{00000000-0005-0000-0000-00003F600000}"/>
    <cellStyle name="Normal 28 2 4 2 3 3 2" xfId="53513" xr:uid="{00000000-0005-0000-0000-000040600000}"/>
    <cellStyle name="Normal 28 2 4 2 3 4" xfId="17148" xr:uid="{00000000-0005-0000-0000-000041600000}"/>
    <cellStyle name="Normal 28 2 4 2 3 5" xfId="17149" xr:uid="{00000000-0005-0000-0000-000042600000}"/>
    <cellStyle name="Normal 28 2 4 2 3 6" xfId="17150" xr:uid="{00000000-0005-0000-0000-000043600000}"/>
    <cellStyle name="Normal 28 2 4 2 4" xfId="17151" xr:uid="{00000000-0005-0000-0000-000044600000}"/>
    <cellStyle name="Normal 28 2 4 2 4 2" xfId="53514" xr:uid="{00000000-0005-0000-0000-000045600000}"/>
    <cellStyle name="Normal 28 2 4 2 4 3" xfId="53515" xr:uid="{00000000-0005-0000-0000-000046600000}"/>
    <cellStyle name="Normal 28 2 4 2 5" xfId="17152" xr:uid="{00000000-0005-0000-0000-000047600000}"/>
    <cellStyle name="Normal 28 2 4 2 5 2" xfId="53516" xr:uid="{00000000-0005-0000-0000-000048600000}"/>
    <cellStyle name="Normal 28 2 4 2 6" xfId="17153" xr:uid="{00000000-0005-0000-0000-000049600000}"/>
    <cellStyle name="Normal 28 2 4 2 7" xfId="17154" xr:uid="{00000000-0005-0000-0000-00004A600000}"/>
    <cellStyle name="Normal 28 2 4 2 8" xfId="17155" xr:uid="{00000000-0005-0000-0000-00004B600000}"/>
    <cellStyle name="Normal 28 2 4 2 9" xfId="17156" xr:uid="{00000000-0005-0000-0000-00004C600000}"/>
    <cellStyle name="Normal 28 2 4 3" xfId="17157" xr:uid="{00000000-0005-0000-0000-00004D600000}"/>
    <cellStyle name="Normal 28 2 4 3 2" xfId="17158" xr:uid="{00000000-0005-0000-0000-00004E600000}"/>
    <cellStyle name="Normal 28 2 4 3 2 2" xfId="17159" xr:uid="{00000000-0005-0000-0000-00004F600000}"/>
    <cellStyle name="Normal 28 2 4 3 2 2 2" xfId="53517" xr:uid="{00000000-0005-0000-0000-000050600000}"/>
    <cellStyle name="Normal 28 2 4 3 2 2 3" xfId="53518" xr:uid="{00000000-0005-0000-0000-000051600000}"/>
    <cellStyle name="Normal 28 2 4 3 2 3" xfId="17160" xr:uid="{00000000-0005-0000-0000-000052600000}"/>
    <cellStyle name="Normal 28 2 4 3 2 3 2" xfId="53519" xr:uid="{00000000-0005-0000-0000-000053600000}"/>
    <cellStyle name="Normal 28 2 4 3 2 4" xfId="17161" xr:uid="{00000000-0005-0000-0000-000054600000}"/>
    <cellStyle name="Normal 28 2 4 3 2 5" xfId="17162" xr:uid="{00000000-0005-0000-0000-000055600000}"/>
    <cellStyle name="Normal 28 2 4 3 2 6" xfId="17163" xr:uid="{00000000-0005-0000-0000-000056600000}"/>
    <cellStyle name="Normal 28 2 4 3 3" xfId="17164" xr:uid="{00000000-0005-0000-0000-000057600000}"/>
    <cellStyle name="Normal 28 2 4 3 3 2" xfId="53520" xr:uid="{00000000-0005-0000-0000-000058600000}"/>
    <cellStyle name="Normal 28 2 4 3 3 3" xfId="53521" xr:uid="{00000000-0005-0000-0000-000059600000}"/>
    <cellStyle name="Normal 28 2 4 3 4" xfId="17165" xr:uid="{00000000-0005-0000-0000-00005A600000}"/>
    <cellStyle name="Normal 28 2 4 3 4 2" xfId="53522" xr:uid="{00000000-0005-0000-0000-00005B600000}"/>
    <cellStyle name="Normal 28 2 4 3 5" xfId="17166" xr:uid="{00000000-0005-0000-0000-00005C600000}"/>
    <cellStyle name="Normal 28 2 4 3 6" xfId="17167" xr:uid="{00000000-0005-0000-0000-00005D600000}"/>
    <cellStyle name="Normal 28 2 4 3 7" xfId="17168" xr:uid="{00000000-0005-0000-0000-00005E600000}"/>
    <cellStyle name="Normal 28 2 4 4" xfId="17169" xr:uid="{00000000-0005-0000-0000-00005F600000}"/>
    <cellStyle name="Normal 28 2 4 4 2" xfId="17170" xr:uid="{00000000-0005-0000-0000-000060600000}"/>
    <cellStyle name="Normal 28 2 4 4 2 2" xfId="53523" xr:uid="{00000000-0005-0000-0000-000061600000}"/>
    <cellStyle name="Normal 28 2 4 4 2 3" xfId="53524" xr:uid="{00000000-0005-0000-0000-000062600000}"/>
    <cellStyle name="Normal 28 2 4 4 3" xfId="17171" xr:uid="{00000000-0005-0000-0000-000063600000}"/>
    <cellStyle name="Normal 28 2 4 4 3 2" xfId="53525" xr:uid="{00000000-0005-0000-0000-000064600000}"/>
    <cellStyle name="Normal 28 2 4 4 4" xfId="17172" xr:uid="{00000000-0005-0000-0000-000065600000}"/>
    <cellStyle name="Normal 28 2 4 4 5" xfId="17173" xr:uid="{00000000-0005-0000-0000-000066600000}"/>
    <cellStyle name="Normal 28 2 4 4 6" xfId="17174" xr:uid="{00000000-0005-0000-0000-000067600000}"/>
    <cellStyle name="Normal 28 2 4 5" xfId="17175" xr:uid="{00000000-0005-0000-0000-000068600000}"/>
    <cellStyle name="Normal 28 2 4 5 2" xfId="53526" xr:uid="{00000000-0005-0000-0000-000069600000}"/>
    <cellStyle name="Normal 28 2 4 5 3" xfId="53527" xr:uid="{00000000-0005-0000-0000-00006A600000}"/>
    <cellStyle name="Normal 28 2 4 6" xfId="17176" xr:uid="{00000000-0005-0000-0000-00006B600000}"/>
    <cellStyle name="Normal 28 2 4 6 2" xfId="53528" xr:uid="{00000000-0005-0000-0000-00006C600000}"/>
    <cellStyle name="Normal 28 2 4 7" xfId="17177" xr:uid="{00000000-0005-0000-0000-00006D600000}"/>
    <cellStyle name="Normal 28 2 4 8" xfId="17178" xr:uid="{00000000-0005-0000-0000-00006E600000}"/>
    <cellStyle name="Normal 28 2 4 9" xfId="17179" xr:uid="{00000000-0005-0000-0000-00006F600000}"/>
    <cellStyle name="Normal 28 2 5" xfId="17180" xr:uid="{00000000-0005-0000-0000-000070600000}"/>
    <cellStyle name="Normal 28 2 5 2" xfId="17181" xr:uid="{00000000-0005-0000-0000-000071600000}"/>
    <cellStyle name="Normal 28 2 5 2 2" xfId="17182" xr:uid="{00000000-0005-0000-0000-000072600000}"/>
    <cellStyle name="Normal 28 2 5 2 2 2" xfId="17183" xr:uid="{00000000-0005-0000-0000-000073600000}"/>
    <cellStyle name="Normal 28 2 5 2 2 2 2" xfId="53529" xr:uid="{00000000-0005-0000-0000-000074600000}"/>
    <cellStyle name="Normal 28 2 5 2 2 2 3" xfId="53530" xr:uid="{00000000-0005-0000-0000-000075600000}"/>
    <cellStyle name="Normal 28 2 5 2 2 3" xfId="17184" xr:uid="{00000000-0005-0000-0000-000076600000}"/>
    <cellStyle name="Normal 28 2 5 2 2 3 2" xfId="53531" xr:uid="{00000000-0005-0000-0000-000077600000}"/>
    <cellStyle name="Normal 28 2 5 2 2 4" xfId="17185" xr:uid="{00000000-0005-0000-0000-000078600000}"/>
    <cellStyle name="Normal 28 2 5 2 2 5" xfId="17186" xr:uid="{00000000-0005-0000-0000-000079600000}"/>
    <cellStyle name="Normal 28 2 5 2 2 6" xfId="17187" xr:uid="{00000000-0005-0000-0000-00007A600000}"/>
    <cellStyle name="Normal 28 2 5 2 3" xfId="17188" xr:uid="{00000000-0005-0000-0000-00007B600000}"/>
    <cellStyle name="Normal 28 2 5 2 3 2" xfId="53532" xr:uid="{00000000-0005-0000-0000-00007C600000}"/>
    <cellStyle name="Normal 28 2 5 2 3 3" xfId="53533" xr:uid="{00000000-0005-0000-0000-00007D600000}"/>
    <cellStyle name="Normal 28 2 5 2 4" xfId="17189" xr:uid="{00000000-0005-0000-0000-00007E600000}"/>
    <cellStyle name="Normal 28 2 5 2 4 2" xfId="53534" xr:uid="{00000000-0005-0000-0000-00007F600000}"/>
    <cellStyle name="Normal 28 2 5 2 5" xfId="17190" xr:uid="{00000000-0005-0000-0000-000080600000}"/>
    <cellStyle name="Normal 28 2 5 2 6" xfId="17191" xr:uid="{00000000-0005-0000-0000-000081600000}"/>
    <cellStyle name="Normal 28 2 5 2 7" xfId="17192" xr:uid="{00000000-0005-0000-0000-000082600000}"/>
    <cellStyle name="Normal 28 2 5 3" xfId="17193" xr:uid="{00000000-0005-0000-0000-000083600000}"/>
    <cellStyle name="Normal 28 2 5 3 2" xfId="17194" xr:uid="{00000000-0005-0000-0000-000084600000}"/>
    <cellStyle name="Normal 28 2 5 3 2 2" xfId="53535" xr:uid="{00000000-0005-0000-0000-000085600000}"/>
    <cellStyle name="Normal 28 2 5 3 2 3" xfId="53536" xr:uid="{00000000-0005-0000-0000-000086600000}"/>
    <cellStyle name="Normal 28 2 5 3 3" xfId="17195" xr:uid="{00000000-0005-0000-0000-000087600000}"/>
    <cellStyle name="Normal 28 2 5 3 3 2" xfId="53537" xr:uid="{00000000-0005-0000-0000-000088600000}"/>
    <cellStyle name="Normal 28 2 5 3 4" xfId="17196" xr:uid="{00000000-0005-0000-0000-000089600000}"/>
    <cellStyle name="Normal 28 2 5 3 5" xfId="17197" xr:uid="{00000000-0005-0000-0000-00008A600000}"/>
    <cellStyle name="Normal 28 2 5 3 6" xfId="17198" xr:uid="{00000000-0005-0000-0000-00008B600000}"/>
    <cellStyle name="Normal 28 2 5 4" xfId="17199" xr:uid="{00000000-0005-0000-0000-00008C600000}"/>
    <cellStyle name="Normal 28 2 5 4 2" xfId="53538" xr:uid="{00000000-0005-0000-0000-00008D600000}"/>
    <cellStyle name="Normal 28 2 5 4 3" xfId="53539" xr:uid="{00000000-0005-0000-0000-00008E600000}"/>
    <cellStyle name="Normal 28 2 5 5" xfId="17200" xr:uid="{00000000-0005-0000-0000-00008F600000}"/>
    <cellStyle name="Normal 28 2 5 5 2" xfId="53540" xr:uid="{00000000-0005-0000-0000-000090600000}"/>
    <cellStyle name="Normal 28 2 5 6" xfId="17201" xr:uid="{00000000-0005-0000-0000-000091600000}"/>
    <cellStyle name="Normal 28 2 5 7" xfId="17202" xr:uid="{00000000-0005-0000-0000-000092600000}"/>
    <cellStyle name="Normal 28 2 5 8" xfId="17203" xr:uid="{00000000-0005-0000-0000-000093600000}"/>
    <cellStyle name="Normal 28 2 5 9" xfId="17204" xr:uid="{00000000-0005-0000-0000-000094600000}"/>
    <cellStyle name="Normal 28 2 6" xfId="17205" xr:uid="{00000000-0005-0000-0000-000095600000}"/>
    <cellStyle name="Normal 28 2 6 2" xfId="17206" xr:uid="{00000000-0005-0000-0000-000096600000}"/>
    <cellStyle name="Normal 28 2 6 2 2" xfId="17207" xr:uid="{00000000-0005-0000-0000-000097600000}"/>
    <cellStyle name="Normal 28 2 6 2 2 2" xfId="17208" xr:uid="{00000000-0005-0000-0000-000098600000}"/>
    <cellStyle name="Normal 28 2 6 2 2 2 2" xfId="53541" xr:uid="{00000000-0005-0000-0000-000099600000}"/>
    <cellStyle name="Normal 28 2 6 2 2 2 3" xfId="53542" xr:uid="{00000000-0005-0000-0000-00009A600000}"/>
    <cellStyle name="Normal 28 2 6 2 2 3" xfId="17209" xr:uid="{00000000-0005-0000-0000-00009B600000}"/>
    <cellStyle name="Normal 28 2 6 2 2 3 2" xfId="53543" xr:uid="{00000000-0005-0000-0000-00009C600000}"/>
    <cellStyle name="Normal 28 2 6 2 2 4" xfId="17210" xr:uid="{00000000-0005-0000-0000-00009D600000}"/>
    <cellStyle name="Normal 28 2 6 2 2 5" xfId="17211" xr:uid="{00000000-0005-0000-0000-00009E600000}"/>
    <cellStyle name="Normal 28 2 6 2 2 6" xfId="17212" xr:uid="{00000000-0005-0000-0000-00009F600000}"/>
    <cellStyle name="Normal 28 2 6 2 3" xfId="17213" xr:uid="{00000000-0005-0000-0000-0000A0600000}"/>
    <cellStyle name="Normal 28 2 6 2 3 2" xfId="53544" xr:uid="{00000000-0005-0000-0000-0000A1600000}"/>
    <cellStyle name="Normal 28 2 6 2 3 3" xfId="53545" xr:uid="{00000000-0005-0000-0000-0000A2600000}"/>
    <cellStyle name="Normal 28 2 6 2 4" xfId="17214" xr:uid="{00000000-0005-0000-0000-0000A3600000}"/>
    <cellStyle name="Normal 28 2 6 2 4 2" xfId="53546" xr:uid="{00000000-0005-0000-0000-0000A4600000}"/>
    <cellStyle name="Normal 28 2 6 2 5" xfId="17215" xr:uid="{00000000-0005-0000-0000-0000A5600000}"/>
    <cellStyle name="Normal 28 2 6 2 6" xfId="17216" xr:uid="{00000000-0005-0000-0000-0000A6600000}"/>
    <cellStyle name="Normal 28 2 6 2 7" xfId="17217" xr:uid="{00000000-0005-0000-0000-0000A7600000}"/>
    <cellStyle name="Normal 28 2 6 3" xfId="17218" xr:uid="{00000000-0005-0000-0000-0000A8600000}"/>
    <cellStyle name="Normal 28 2 6 3 2" xfId="17219" xr:uid="{00000000-0005-0000-0000-0000A9600000}"/>
    <cellStyle name="Normal 28 2 6 3 2 2" xfId="53547" xr:uid="{00000000-0005-0000-0000-0000AA600000}"/>
    <cellStyle name="Normal 28 2 6 3 2 3" xfId="53548" xr:uid="{00000000-0005-0000-0000-0000AB600000}"/>
    <cellStyle name="Normal 28 2 6 3 3" xfId="17220" xr:uid="{00000000-0005-0000-0000-0000AC600000}"/>
    <cellStyle name="Normal 28 2 6 3 3 2" xfId="53549" xr:uid="{00000000-0005-0000-0000-0000AD600000}"/>
    <cellStyle name="Normal 28 2 6 3 4" xfId="17221" xr:uid="{00000000-0005-0000-0000-0000AE600000}"/>
    <cellStyle name="Normal 28 2 6 3 5" xfId="17222" xr:uid="{00000000-0005-0000-0000-0000AF600000}"/>
    <cellStyle name="Normal 28 2 6 3 6" xfId="17223" xr:uid="{00000000-0005-0000-0000-0000B0600000}"/>
    <cellStyle name="Normal 28 2 6 4" xfId="17224" xr:uid="{00000000-0005-0000-0000-0000B1600000}"/>
    <cellStyle name="Normal 28 2 6 4 2" xfId="53550" xr:uid="{00000000-0005-0000-0000-0000B2600000}"/>
    <cellStyle name="Normal 28 2 6 4 3" xfId="53551" xr:uid="{00000000-0005-0000-0000-0000B3600000}"/>
    <cellStyle name="Normal 28 2 6 5" xfId="17225" xr:uid="{00000000-0005-0000-0000-0000B4600000}"/>
    <cellStyle name="Normal 28 2 6 5 2" xfId="53552" xr:uid="{00000000-0005-0000-0000-0000B5600000}"/>
    <cellStyle name="Normal 28 2 6 6" xfId="17226" xr:uid="{00000000-0005-0000-0000-0000B6600000}"/>
    <cellStyle name="Normal 28 2 6 7" xfId="17227" xr:uid="{00000000-0005-0000-0000-0000B7600000}"/>
    <cellStyle name="Normal 28 2 6 8" xfId="17228" xr:uid="{00000000-0005-0000-0000-0000B8600000}"/>
    <cellStyle name="Normal 28 2 7" xfId="17229" xr:uid="{00000000-0005-0000-0000-0000B9600000}"/>
    <cellStyle name="Normal 28 2 7 2" xfId="17230" xr:uid="{00000000-0005-0000-0000-0000BA600000}"/>
    <cellStyle name="Normal 28 2 7 2 2" xfId="17231" xr:uid="{00000000-0005-0000-0000-0000BB600000}"/>
    <cellStyle name="Normal 28 2 7 2 2 2" xfId="17232" xr:uid="{00000000-0005-0000-0000-0000BC600000}"/>
    <cellStyle name="Normal 28 2 7 2 2 2 2" xfId="53553" xr:uid="{00000000-0005-0000-0000-0000BD600000}"/>
    <cellStyle name="Normal 28 2 7 2 2 2 3" xfId="53554" xr:uid="{00000000-0005-0000-0000-0000BE600000}"/>
    <cellStyle name="Normal 28 2 7 2 2 3" xfId="17233" xr:uid="{00000000-0005-0000-0000-0000BF600000}"/>
    <cellStyle name="Normal 28 2 7 2 2 3 2" xfId="53555" xr:uid="{00000000-0005-0000-0000-0000C0600000}"/>
    <cellStyle name="Normal 28 2 7 2 2 4" xfId="17234" xr:uid="{00000000-0005-0000-0000-0000C1600000}"/>
    <cellStyle name="Normal 28 2 7 2 2 5" xfId="17235" xr:uid="{00000000-0005-0000-0000-0000C2600000}"/>
    <cellStyle name="Normal 28 2 7 2 2 6" xfId="17236" xr:uid="{00000000-0005-0000-0000-0000C3600000}"/>
    <cellStyle name="Normal 28 2 7 2 3" xfId="17237" xr:uid="{00000000-0005-0000-0000-0000C4600000}"/>
    <cellStyle name="Normal 28 2 7 2 3 2" xfId="53556" xr:uid="{00000000-0005-0000-0000-0000C5600000}"/>
    <cellStyle name="Normal 28 2 7 2 3 3" xfId="53557" xr:uid="{00000000-0005-0000-0000-0000C6600000}"/>
    <cellStyle name="Normal 28 2 7 2 4" xfId="17238" xr:uid="{00000000-0005-0000-0000-0000C7600000}"/>
    <cellStyle name="Normal 28 2 7 2 4 2" xfId="53558" xr:uid="{00000000-0005-0000-0000-0000C8600000}"/>
    <cellStyle name="Normal 28 2 7 2 5" xfId="17239" xr:uid="{00000000-0005-0000-0000-0000C9600000}"/>
    <cellStyle name="Normal 28 2 7 2 6" xfId="17240" xr:uid="{00000000-0005-0000-0000-0000CA600000}"/>
    <cellStyle name="Normal 28 2 7 2 7" xfId="17241" xr:uid="{00000000-0005-0000-0000-0000CB600000}"/>
    <cellStyle name="Normal 28 2 7 3" xfId="17242" xr:uid="{00000000-0005-0000-0000-0000CC600000}"/>
    <cellStyle name="Normal 28 2 7 3 2" xfId="17243" xr:uid="{00000000-0005-0000-0000-0000CD600000}"/>
    <cellStyle name="Normal 28 2 7 3 2 2" xfId="53559" xr:uid="{00000000-0005-0000-0000-0000CE600000}"/>
    <cellStyle name="Normal 28 2 7 3 2 3" xfId="53560" xr:uid="{00000000-0005-0000-0000-0000CF600000}"/>
    <cellStyle name="Normal 28 2 7 3 3" xfId="17244" xr:uid="{00000000-0005-0000-0000-0000D0600000}"/>
    <cellStyle name="Normal 28 2 7 3 3 2" xfId="53561" xr:uid="{00000000-0005-0000-0000-0000D1600000}"/>
    <cellStyle name="Normal 28 2 7 3 4" xfId="17245" xr:uid="{00000000-0005-0000-0000-0000D2600000}"/>
    <cellStyle name="Normal 28 2 7 3 5" xfId="17246" xr:uid="{00000000-0005-0000-0000-0000D3600000}"/>
    <cellStyle name="Normal 28 2 7 3 6" xfId="17247" xr:uid="{00000000-0005-0000-0000-0000D4600000}"/>
    <cellStyle name="Normal 28 2 7 4" xfId="17248" xr:uid="{00000000-0005-0000-0000-0000D5600000}"/>
    <cellStyle name="Normal 28 2 7 4 2" xfId="53562" xr:uid="{00000000-0005-0000-0000-0000D6600000}"/>
    <cellStyle name="Normal 28 2 7 4 3" xfId="53563" xr:uid="{00000000-0005-0000-0000-0000D7600000}"/>
    <cellStyle name="Normal 28 2 7 5" xfId="17249" xr:uid="{00000000-0005-0000-0000-0000D8600000}"/>
    <cellStyle name="Normal 28 2 7 5 2" xfId="53564" xr:uid="{00000000-0005-0000-0000-0000D9600000}"/>
    <cellStyle name="Normal 28 2 7 6" xfId="17250" xr:uid="{00000000-0005-0000-0000-0000DA600000}"/>
    <cellStyle name="Normal 28 2 7 7" xfId="17251" xr:uid="{00000000-0005-0000-0000-0000DB600000}"/>
    <cellStyle name="Normal 28 2 7 8" xfId="17252" xr:uid="{00000000-0005-0000-0000-0000DC600000}"/>
    <cellStyle name="Normal 28 2 8" xfId="17253" xr:uid="{00000000-0005-0000-0000-0000DD600000}"/>
    <cellStyle name="Normal 28 2 8 2" xfId="17254" xr:uid="{00000000-0005-0000-0000-0000DE600000}"/>
    <cellStyle name="Normal 28 2 8 2 2" xfId="17255" xr:uid="{00000000-0005-0000-0000-0000DF600000}"/>
    <cellStyle name="Normal 28 2 8 2 2 2" xfId="53565" xr:uid="{00000000-0005-0000-0000-0000E0600000}"/>
    <cellStyle name="Normal 28 2 8 2 2 3" xfId="53566" xr:uid="{00000000-0005-0000-0000-0000E1600000}"/>
    <cellStyle name="Normal 28 2 8 2 3" xfId="17256" xr:uid="{00000000-0005-0000-0000-0000E2600000}"/>
    <cellStyle name="Normal 28 2 8 2 3 2" xfId="53567" xr:uid="{00000000-0005-0000-0000-0000E3600000}"/>
    <cellStyle name="Normal 28 2 8 2 4" xfId="17257" xr:uid="{00000000-0005-0000-0000-0000E4600000}"/>
    <cellStyle name="Normal 28 2 8 2 5" xfId="17258" xr:uid="{00000000-0005-0000-0000-0000E5600000}"/>
    <cellStyle name="Normal 28 2 8 2 6" xfId="17259" xr:uid="{00000000-0005-0000-0000-0000E6600000}"/>
    <cellStyle name="Normal 28 2 8 3" xfId="17260" xr:uid="{00000000-0005-0000-0000-0000E7600000}"/>
    <cellStyle name="Normal 28 2 8 3 2" xfId="53568" xr:uid="{00000000-0005-0000-0000-0000E8600000}"/>
    <cellStyle name="Normal 28 2 8 3 3" xfId="53569" xr:uid="{00000000-0005-0000-0000-0000E9600000}"/>
    <cellStyle name="Normal 28 2 8 4" xfId="17261" xr:uid="{00000000-0005-0000-0000-0000EA600000}"/>
    <cellStyle name="Normal 28 2 8 4 2" xfId="53570" xr:uid="{00000000-0005-0000-0000-0000EB600000}"/>
    <cellStyle name="Normal 28 2 8 5" xfId="17262" xr:uid="{00000000-0005-0000-0000-0000EC600000}"/>
    <cellStyle name="Normal 28 2 8 6" xfId="17263" xr:uid="{00000000-0005-0000-0000-0000ED600000}"/>
    <cellStyle name="Normal 28 2 8 7" xfId="17264" xr:uid="{00000000-0005-0000-0000-0000EE600000}"/>
    <cellStyle name="Normal 28 2 9" xfId="17265" xr:uid="{00000000-0005-0000-0000-0000EF600000}"/>
    <cellStyle name="Normal 28 2 9 2" xfId="17266" xr:uid="{00000000-0005-0000-0000-0000F0600000}"/>
    <cellStyle name="Normal 28 2 9 2 2" xfId="53571" xr:uid="{00000000-0005-0000-0000-0000F1600000}"/>
    <cellStyle name="Normal 28 2 9 2 3" xfId="53572" xr:uid="{00000000-0005-0000-0000-0000F2600000}"/>
    <cellStyle name="Normal 28 2 9 3" xfId="17267" xr:uid="{00000000-0005-0000-0000-0000F3600000}"/>
    <cellStyle name="Normal 28 2 9 3 2" xfId="53573" xr:uid="{00000000-0005-0000-0000-0000F4600000}"/>
    <cellStyle name="Normal 28 2 9 4" xfId="17268" xr:uid="{00000000-0005-0000-0000-0000F5600000}"/>
    <cellStyle name="Normal 28 2 9 5" xfId="17269" xr:uid="{00000000-0005-0000-0000-0000F6600000}"/>
    <cellStyle name="Normal 28 2 9 6" xfId="17270" xr:uid="{00000000-0005-0000-0000-0000F7600000}"/>
    <cellStyle name="Normal 28 3" xfId="17271" xr:uid="{00000000-0005-0000-0000-0000F8600000}"/>
    <cellStyle name="Normal 28 3 2" xfId="17272" xr:uid="{00000000-0005-0000-0000-0000F9600000}"/>
    <cellStyle name="Normal 28 4" xfId="17273" xr:uid="{00000000-0005-0000-0000-0000FA600000}"/>
    <cellStyle name="Normal 28 4 10" xfId="17274" xr:uid="{00000000-0005-0000-0000-0000FB600000}"/>
    <cellStyle name="Normal 28 4 11" xfId="17275" xr:uid="{00000000-0005-0000-0000-0000FC600000}"/>
    <cellStyle name="Normal 28 4 12" xfId="17276" xr:uid="{00000000-0005-0000-0000-0000FD600000}"/>
    <cellStyle name="Normal 28 4 13" xfId="17277" xr:uid="{00000000-0005-0000-0000-0000FE600000}"/>
    <cellStyle name="Normal 28 4 14" xfId="17278" xr:uid="{00000000-0005-0000-0000-0000FF600000}"/>
    <cellStyle name="Normal 28 4 2" xfId="17279" xr:uid="{00000000-0005-0000-0000-000000610000}"/>
    <cellStyle name="Normal 28 4 2 2" xfId="17280" xr:uid="{00000000-0005-0000-0000-000001610000}"/>
    <cellStyle name="Normal 28 4 2 2 2" xfId="17281" xr:uid="{00000000-0005-0000-0000-000002610000}"/>
    <cellStyle name="Normal 28 4 2 2 2 2" xfId="17282" xr:uid="{00000000-0005-0000-0000-000003610000}"/>
    <cellStyle name="Normal 28 4 2 2 2 2 2" xfId="53574" xr:uid="{00000000-0005-0000-0000-000004610000}"/>
    <cellStyle name="Normal 28 4 2 2 2 2 3" xfId="53575" xr:uid="{00000000-0005-0000-0000-000005610000}"/>
    <cellStyle name="Normal 28 4 2 2 2 3" xfId="17283" xr:uid="{00000000-0005-0000-0000-000006610000}"/>
    <cellStyle name="Normal 28 4 2 2 2 3 2" xfId="53576" xr:uid="{00000000-0005-0000-0000-000007610000}"/>
    <cellStyle name="Normal 28 4 2 2 2 4" xfId="17284" xr:uid="{00000000-0005-0000-0000-000008610000}"/>
    <cellStyle name="Normal 28 4 2 2 2 5" xfId="17285" xr:uid="{00000000-0005-0000-0000-000009610000}"/>
    <cellStyle name="Normal 28 4 2 2 2 6" xfId="17286" xr:uid="{00000000-0005-0000-0000-00000A610000}"/>
    <cellStyle name="Normal 28 4 2 2 3" xfId="17287" xr:uid="{00000000-0005-0000-0000-00000B610000}"/>
    <cellStyle name="Normal 28 4 2 2 3 2" xfId="53577" xr:uid="{00000000-0005-0000-0000-00000C610000}"/>
    <cellStyle name="Normal 28 4 2 2 3 3" xfId="53578" xr:uid="{00000000-0005-0000-0000-00000D610000}"/>
    <cellStyle name="Normal 28 4 2 2 4" xfId="17288" xr:uid="{00000000-0005-0000-0000-00000E610000}"/>
    <cellStyle name="Normal 28 4 2 2 4 2" xfId="53579" xr:uid="{00000000-0005-0000-0000-00000F610000}"/>
    <cellStyle name="Normal 28 4 2 2 5" xfId="17289" xr:uid="{00000000-0005-0000-0000-000010610000}"/>
    <cellStyle name="Normal 28 4 2 2 6" xfId="17290" xr:uid="{00000000-0005-0000-0000-000011610000}"/>
    <cellStyle name="Normal 28 4 2 2 7" xfId="17291" xr:uid="{00000000-0005-0000-0000-000012610000}"/>
    <cellStyle name="Normal 28 4 2 3" xfId="17292" xr:uid="{00000000-0005-0000-0000-000013610000}"/>
    <cellStyle name="Normal 28 4 2 3 2" xfId="17293" xr:uid="{00000000-0005-0000-0000-000014610000}"/>
    <cellStyle name="Normal 28 4 2 3 2 2" xfId="53580" xr:uid="{00000000-0005-0000-0000-000015610000}"/>
    <cellStyle name="Normal 28 4 2 3 2 3" xfId="53581" xr:uid="{00000000-0005-0000-0000-000016610000}"/>
    <cellStyle name="Normal 28 4 2 3 3" xfId="17294" xr:uid="{00000000-0005-0000-0000-000017610000}"/>
    <cellStyle name="Normal 28 4 2 3 3 2" xfId="53582" xr:uid="{00000000-0005-0000-0000-000018610000}"/>
    <cellStyle name="Normal 28 4 2 3 4" xfId="17295" xr:uid="{00000000-0005-0000-0000-000019610000}"/>
    <cellStyle name="Normal 28 4 2 3 5" xfId="17296" xr:uid="{00000000-0005-0000-0000-00001A610000}"/>
    <cellStyle name="Normal 28 4 2 3 6" xfId="17297" xr:uid="{00000000-0005-0000-0000-00001B610000}"/>
    <cellStyle name="Normal 28 4 2 4" xfId="17298" xr:uid="{00000000-0005-0000-0000-00001C610000}"/>
    <cellStyle name="Normal 28 4 2 4 2" xfId="53583" xr:uid="{00000000-0005-0000-0000-00001D610000}"/>
    <cellStyle name="Normal 28 4 2 4 3" xfId="53584" xr:uid="{00000000-0005-0000-0000-00001E610000}"/>
    <cellStyle name="Normal 28 4 2 5" xfId="17299" xr:uid="{00000000-0005-0000-0000-00001F610000}"/>
    <cellStyle name="Normal 28 4 2 5 2" xfId="53585" xr:uid="{00000000-0005-0000-0000-000020610000}"/>
    <cellStyle name="Normal 28 4 2 6" xfId="17300" xr:uid="{00000000-0005-0000-0000-000021610000}"/>
    <cellStyle name="Normal 28 4 2 7" xfId="17301" xr:uid="{00000000-0005-0000-0000-000022610000}"/>
    <cellStyle name="Normal 28 4 2 8" xfId="17302" xr:uid="{00000000-0005-0000-0000-000023610000}"/>
    <cellStyle name="Normal 28 4 2 9" xfId="17303" xr:uid="{00000000-0005-0000-0000-000024610000}"/>
    <cellStyle name="Normal 28 4 3" xfId="17304" xr:uid="{00000000-0005-0000-0000-000025610000}"/>
    <cellStyle name="Normal 28 4 3 2" xfId="17305" xr:uid="{00000000-0005-0000-0000-000026610000}"/>
    <cellStyle name="Normal 28 4 3 2 2" xfId="17306" xr:uid="{00000000-0005-0000-0000-000027610000}"/>
    <cellStyle name="Normal 28 4 3 2 2 2" xfId="17307" xr:uid="{00000000-0005-0000-0000-000028610000}"/>
    <cellStyle name="Normal 28 4 3 2 2 2 2" xfId="53586" xr:uid="{00000000-0005-0000-0000-000029610000}"/>
    <cellStyle name="Normal 28 4 3 2 2 2 3" xfId="53587" xr:uid="{00000000-0005-0000-0000-00002A610000}"/>
    <cellStyle name="Normal 28 4 3 2 2 3" xfId="17308" xr:uid="{00000000-0005-0000-0000-00002B610000}"/>
    <cellStyle name="Normal 28 4 3 2 2 3 2" xfId="53588" xr:uid="{00000000-0005-0000-0000-00002C610000}"/>
    <cellStyle name="Normal 28 4 3 2 2 4" xfId="17309" xr:uid="{00000000-0005-0000-0000-00002D610000}"/>
    <cellStyle name="Normal 28 4 3 2 2 5" xfId="17310" xr:uid="{00000000-0005-0000-0000-00002E610000}"/>
    <cellStyle name="Normal 28 4 3 2 2 6" xfId="17311" xr:uid="{00000000-0005-0000-0000-00002F610000}"/>
    <cellStyle name="Normal 28 4 3 2 3" xfId="17312" xr:uid="{00000000-0005-0000-0000-000030610000}"/>
    <cellStyle name="Normal 28 4 3 2 3 2" xfId="53589" xr:uid="{00000000-0005-0000-0000-000031610000}"/>
    <cellStyle name="Normal 28 4 3 2 3 3" xfId="53590" xr:uid="{00000000-0005-0000-0000-000032610000}"/>
    <cellStyle name="Normal 28 4 3 2 4" xfId="17313" xr:uid="{00000000-0005-0000-0000-000033610000}"/>
    <cellStyle name="Normal 28 4 3 2 4 2" xfId="53591" xr:uid="{00000000-0005-0000-0000-000034610000}"/>
    <cellStyle name="Normal 28 4 3 2 5" xfId="17314" xr:uid="{00000000-0005-0000-0000-000035610000}"/>
    <cellStyle name="Normal 28 4 3 2 6" xfId="17315" xr:uid="{00000000-0005-0000-0000-000036610000}"/>
    <cellStyle name="Normal 28 4 3 2 7" xfId="17316" xr:uid="{00000000-0005-0000-0000-000037610000}"/>
    <cellStyle name="Normal 28 4 3 3" xfId="17317" xr:uid="{00000000-0005-0000-0000-000038610000}"/>
    <cellStyle name="Normal 28 4 3 3 2" xfId="17318" xr:uid="{00000000-0005-0000-0000-000039610000}"/>
    <cellStyle name="Normal 28 4 3 3 2 2" xfId="53592" xr:uid="{00000000-0005-0000-0000-00003A610000}"/>
    <cellStyle name="Normal 28 4 3 3 2 3" xfId="53593" xr:uid="{00000000-0005-0000-0000-00003B610000}"/>
    <cellStyle name="Normal 28 4 3 3 3" xfId="17319" xr:uid="{00000000-0005-0000-0000-00003C610000}"/>
    <cellStyle name="Normal 28 4 3 3 3 2" xfId="53594" xr:uid="{00000000-0005-0000-0000-00003D610000}"/>
    <cellStyle name="Normal 28 4 3 3 4" xfId="17320" xr:uid="{00000000-0005-0000-0000-00003E610000}"/>
    <cellStyle name="Normal 28 4 3 3 5" xfId="17321" xr:uid="{00000000-0005-0000-0000-00003F610000}"/>
    <cellStyle name="Normal 28 4 3 3 6" xfId="17322" xr:uid="{00000000-0005-0000-0000-000040610000}"/>
    <cellStyle name="Normal 28 4 3 4" xfId="17323" xr:uid="{00000000-0005-0000-0000-000041610000}"/>
    <cellStyle name="Normal 28 4 3 4 2" xfId="53595" xr:uid="{00000000-0005-0000-0000-000042610000}"/>
    <cellStyle name="Normal 28 4 3 4 3" xfId="53596" xr:uid="{00000000-0005-0000-0000-000043610000}"/>
    <cellStyle name="Normal 28 4 3 5" xfId="17324" xr:uid="{00000000-0005-0000-0000-000044610000}"/>
    <cellStyle name="Normal 28 4 3 5 2" xfId="53597" xr:uid="{00000000-0005-0000-0000-000045610000}"/>
    <cellStyle name="Normal 28 4 3 6" xfId="17325" xr:uid="{00000000-0005-0000-0000-000046610000}"/>
    <cellStyle name="Normal 28 4 3 7" xfId="17326" xr:uid="{00000000-0005-0000-0000-000047610000}"/>
    <cellStyle name="Normal 28 4 3 8" xfId="17327" xr:uid="{00000000-0005-0000-0000-000048610000}"/>
    <cellStyle name="Normal 28 4 4" xfId="17328" xr:uid="{00000000-0005-0000-0000-000049610000}"/>
    <cellStyle name="Normal 28 4 4 2" xfId="17329" xr:uid="{00000000-0005-0000-0000-00004A610000}"/>
    <cellStyle name="Normal 28 4 4 2 2" xfId="17330" xr:uid="{00000000-0005-0000-0000-00004B610000}"/>
    <cellStyle name="Normal 28 4 4 2 2 2" xfId="53598" xr:uid="{00000000-0005-0000-0000-00004C610000}"/>
    <cellStyle name="Normal 28 4 4 2 2 3" xfId="53599" xr:uid="{00000000-0005-0000-0000-00004D610000}"/>
    <cellStyle name="Normal 28 4 4 2 3" xfId="17331" xr:uid="{00000000-0005-0000-0000-00004E610000}"/>
    <cellStyle name="Normal 28 4 4 2 3 2" xfId="53600" xr:uid="{00000000-0005-0000-0000-00004F610000}"/>
    <cellStyle name="Normal 28 4 4 2 4" xfId="17332" xr:uid="{00000000-0005-0000-0000-000050610000}"/>
    <cellStyle name="Normal 28 4 4 2 5" xfId="17333" xr:uid="{00000000-0005-0000-0000-000051610000}"/>
    <cellStyle name="Normal 28 4 4 2 6" xfId="17334" xr:uid="{00000000-0005-0000-0000-000052610000}"/>
    <cellStyle name="Normal 28 4 4 3" xfId="17335" xr:uid="{00000000-0005-0000-0000-000053610000}"/>
    <cellStyle name="Normal 28 4 4 3 2" xfId="53601" xr:uid="{00000000-0005-0000-0000-000054610000}"/>
    <cellStyle name="Normal 28 4 4 3 3" xfId="53602" xr:uid="{00000000-0005-0000-0000-000055610000}"/>
    <cellStyle name="Normal 28 4 4 4" xfId="17336" xr:uid="{00000000-0005-0000-0000-000056610000}"/>
    <cellStyle name="Normal 28 4 4 4 2" xfId="53603" xr:uid="{00000000-0005-0000-0000-000057610000}"/>
    <cellStyle name="Normal 28 4 4 5" xfId="17337" xr:uid="{00000000-0005-0000-0000-000058610000}"/>
    <cellStyle name="Normal 28 4 4 6" xfId="17338" xr:uid="{00000000-0005-0000-0000-000059610000}"/>
    <cellStyle name="Normal 28 4 4 7" xfId="17339" xr:uid="{00000000-0005-0000-0000-00005A610000}"/>
    <cellStyle name="Normal 28 4 5" xfId="17340" xr:uid="{00000000-0005-0000-0000-00005B610000}"/>
    <cellStyle name="Normal 28 4 5 2" xfId="17341" xr:uid="{00000000-0005-0000-0000-00005C610000}"/>
    <cellStyle name="Normal 28 4 5 2 2" xfId="53604" xr:uid="{00000000-0005-0000-0000-00005D610000}"/>
    <cellStyle name="Normal 28 4 5 2 3" xfId="53605" xr:uid="{00000000-0005-0000-0000-00005E610000}"/>
    <cellStyle name="Normal 28 4 5 3" xfId="17342" xr:uid="{00000000-0005-0000-0000-00005F610000}"/>
    <cellStyle name="Normal 28 4 5 3 2" xfId="53606" xr:uid="{00000000-0005-0000-0000-000060610000}"/>
    <cellStyle name="Normal 28 4 5 4" xfId="17343" xr:uid="{00000000-0005-0000-0000-000061610000}"/>
    <cellStyle name="Normal 28 4 5 5" xfId="17344" xr:uid="{00000000-0005-0000-0000-000062610000}"/>
    <cellStyle name="Normal 28 4 5 6" xfId="17345" xr:uid="{00000000-0005-0000-0000-000063610000}"/>
    <cellStyle name="Normal 28 4 6" xfId="17346" xr:uid="{00000000-0005-0000-0000-000064610000}"/>
    <cellStyle name="Normal 28 4 6 2" xfId="53607" xr:uid="{00000000-0005-0000-0000-000065610000}"/>
    <cellStyle name="Normal 28 4 6 3" xfId="53608" xr:uid="{00000000-0005-0000-0000-000066610000}"/>
    <cellStyle name="Normal 28 4 7" xfId="17347" xr:uid="{00000000-0005-0000-0000-000067610000}"/>
    <cellStyle name="Normal 28 4 7 2" xfId="53609" xr:uid="{00000000-0005-0000-0000-000068610000}"/>
    <cellStyle name="Normal 28 4 8" xfId="17348" xr:uid="{00000000-0005-0000-0000-000069610000}"/>
    <cellStyle name="Normal 28 4 9" xfId="17349" xr:uid="{00000000-0005-0000-0000-00006A610000}"/>
    <cellStyle name="Normal 28 5" xfId="17350" xr:uid="{00000000-0005-0000-0000-00006B610000}"/>
    <cellStyle name="Normal 28 5 10" xfId="17351" xr:uid="{00000000-0005-0000-0000-00006C610000}"/>
    <cellStyle name="Normal 28 5 11" xfId="17352" xr:uid="{00000000-0005-0000-0000-00006D610000}"/>
    <cellStyle name="Normal 28 5 12" xfId="17353" xr:uid="{00000000-0005-0000-0000-00006E610000}"/>
    <cellStyle name="Normal 28 5 13" xfId="17354" xr:uid="{00000000-0005-0000-0000-00006F610000}"/>
    <cellStyle name="Normal 28 5 14" xfId="17355" xr:uid="{00000000-0005-0000-0000-000070610000}"/>
    <cellStyle name="Normal 28 5 2" xfId="17356" xr:uid="{00000000-0005-0000-0000-000071610000}"/>
    <cellStyle name="Normal 28 5 2 2" xfId="17357" xr:uid="{00000000-0005-0000-0000-000072610000}"/>
    <cellStyle name="Normal 28 5 2 2 2" xfId="17358" xr:uid="{00000000-0005-0000-0000-000073610000}"/>
    <cellStyle name="Normal 28 5 2 2 2 2" xfId="17359" xr:uid="{00000000-0005-0000-0000-000074610000}"/>
    <cellStyle name="Normal 28 5 2 2 2 2 2" xfId="53610" xr:uid="{00000000-0005-0000-0000-000075610000}"/>
    <cellStyle name="Normal 28 5 2 2 2 2 3" xfId="53611" xr:uid="{00000000-0005-0000-0000-000076610000}"/>
    <cellStyle name="Normal 28 5 2 2 2 3" xfId="17360" xr:uid="{00000000-0005-0000-0000-000077610000}"/>
    <cellStyle name="Normal 28 5 2 2 2 3 2" xfId="53612" xr:uid="{00000000-0005-0000-0000-000078610000}"/>
    <cellStyle name="Normal 28 5 2 2 2 4" xfId="17361" xr:uid="{00000000-0005-0000-0000-000079610000}"/>
    <cellStyle name="Normal 28 5 2 2 2 5" xfId="17362" xr:uid="{00000000-0005-0000-0000-00007A610000}"/>
    <cellStyle name="Normal 28 5 2 2 2 6" xfId="17363" xr:uid="{00000000-0005-0000-0000-00007B610000}"/>
    <cellStyle name="Normal 28 5 2 2 3" xfId="17364" xr:uid="{00000000-0005-0000-0000-00007C610000}"/>
    <cellStyle name="Normal 28 5 2 2 3 2" xfId="53613" xr:uid="{00000000-0005-0000-0000-00007D610000}"/>
    <cellStyle name="Normal 28 5 2 2 3 3" xfId="53614" xr:uid="{00000000-0005-0000-0000-00007E610000}"/>
    <cellStyle name="Normal 28 5 2 2 4" xfId="17365" xr:uid="{00000000-0005-0000-0000-00007F610000}"/>
    <cellStyle name="Normal 28 5 2 2 4 2" xfId="53615" xr:uid="{00000000-0005-0000-0000-000080610000}"/>
    <cellStyle name="Normal 28 5 2 2 5" xfId="17366" xr:uid="{00000000-0005-0000-0000-000081610000}"/>
    <cellStyle name="Normal 28 5 2 2 6" xfId="17367" xr:uid="{00000000-0005-0000-0000-000082610000}"/>
    <cellStyle name="Normal 28 5 2 2 7" xfId="17368" xr:uid="{00000000-0005-0000-0000-000083610000}"/>
    <cellStyle name="Normal 28 5 2 3" xfId="17369" xr:uid="{00000000-0005-0000-0000-000084610000}"/>
    <cellStyle name="Normal 28 5 2 3 2" xfId="17370" xr:uid="{00000000-0005-0000-0000-000085610000}"/>
    <cellStyle name="Normal 28 5 2 3 2 2" xfId="53616" xr:uid="{00000000-0005-0000-0000-000086610000}"/>
    <cellStyle name="Normal 28 5 2 3 2 3" xfId="53617" xr:uid="{00000000-0005-0000-0000-000087610000}"/>
    <cellStyle name="Normal 28 5 2 3 3" xfId="17371" xr:uid="{00000000-0005-0000-0000-000088610000}"/>
    <cellStyle name="Normal 28 5 2 3 3 2" xfId="53618" xr:uid="{00000000-0005-0000-0000-000089610000}"/>
    <cellStyle name="Normal 28 5 2 3 4" xfId="17372" xr:uid="{00000000-0005-0000-0000-00008A610000}"/>
    <cellStyle name="Normal 28 5 2 3 5" xfId="17373" xr:uid="{00000000-0005-0000-0000-00008B610000}"/>
    <cellStyle name="Normal 28 5 2 3 6" xfId="17374" xr:uid="{00000000-0005-0000-0000-00008C610000}"/>
    <cellStyle name="Normal 28 5 2 4" xfId="17375" xr:uid="{00000000-0005-0000-0000-00008D610000}"/>
    <cellStyle name="Normal 28 5 2 4 2" xfId="53619" xr:uid="{00000000-0005-0000-0000-00008E610000}"/>
    <cellStyle name="Normal 28 5 2 4 3" xfId="53620" xr:uid="{00000000-0005-0000-0000-00008F610000}"/>
    <cellStyle name="Normal 28 5 2 5" xfId="17376" xr:uid="{00000000-0005-0000-0000-000090610000}"/>
    <cellStyle name="Normal 28 5 2 5 2" xfId="53621" xr:uid="{00000000-0005-0000-0000-000091610000}"/>
    <cellStyle name="Normal 28 5 2 6" xfId="17377" xr:uid="{00000000-0005-0000-0000-000092610000}"/>
    <cellStyle name="Normal 28 5 2 7" xfId="17378" xr:uid="{00000000-0005-0000-0000-000093610000}"/>
    <cellStyle name="Normal 28 5 2 8" xfId="17379" xr:uid="{00000000-0005-0000-0000-000094610000}"/>
    <cellStyle name="Normal 28 5 2 9" xfId="17380" xr:uid="{00000000-0005-0000-0000-000095610000}"/>
    <cellStyle name="Normal 28 5 3" xfId="17381" xr:uid="{00000000-0005-0000-0000-000096610000}"/>
    <cellStyle name="Normal 28 5 3 2" xfId="17382" xr:uid="{00000000-0005-0000-0000-000097610000}"/>
    <cellStyle name="Normal 28 5 3 2 2" xfId="17383" xr:uid="{00000000-0005-0000-0000-000098610000}"/>
    <cellStyle name="Normal 28 5 3 2 2 2" xfId="53622" xr:uid="{00000000-0005-0000-0000-000099610000}"/>
    <cellStyle name="Normal 28 5 3 2 2 3" xfId="53623" xr:uid="{00000000-0005-0000-0000-00009A610000}"/>
    <cellStyle name="Normal 28 5 3 2 3" xfId="17384" xr:uid="{00000000-0005-0000-0000-00009B610000}"/>
    <cellStyle name="Normal 28 5 3 2 3 2" xfId="53624" xr:uid="{00000000-0005-0000-0000-00009C610000}"/>
    <cellStyle name="Normal 28 5 3 2 4" xfId="17385" xr:uid="{00000000-0005-0000-0000-00009D610000}"/>
    <cellStyle name="Normal 28 5 3 2 5" xfId="17386" xr:uid="{00000000-0005-0000-0000-00009E610000}"/>
    <cellStyle name="Normal 28 5 3 2 6" xfId="17387" xr:uid="{00000000-0005-0000-0000-00009F610000}"/>
    <cellStyle name="Normal 28 5 3 3" xfId="17388" xr:uid="{00000000-0005-0000-0000-0000A0610000}"/>
    <cellStyle name="Normal 28 5 3 3 2" xfId="53625" xr:uid="{00000000-0005-0000-0000-0000A1610000}"/>
    <cellStyle name="Normal 28 5 3 3 3" xfId="53626" xr:uid="{00000000-0005-0000-0000-0000A2610000}"/>
    <cellStyle name="Normal 28 5 3 4" xfId="17389" xr:uid="{00000000-0005-0000-0000-0000A3610000}"/>
    <cellStyle name="Normal 28 5 3 4 2" xfId="53627" xr:uid="{00000000-0005-0000-0000-0000A4610000}"/>
    <cellStyle name="Normal 28 5 3 5" xfId="17390" xr:uid="{00000000-0005-0000-0000-0000A5610000}"/>
    <cellStyle name="Normal 28 5 3 6" xfId="17391" xr:uid="{00000000-0005-0000-0000-0000A6610000}"/>
    <cellStyle name="Normal 28 5 3 7" xfId="17392" xr:uid="{00000000-0005-0000-0000-0000A7610000}"/>
    <cellStyle name="Normal 28 5 4" xfId="17393" xr:uid="{00000000-0005-0000-0000-0000A8610000}"/>
    <cellStyle name="Normal 28 5 4 2" xfId="17394" xr:uid="{00000000-0005-0000-0000-0000A9610000}"/>
    <cellStyle name="Normal 28 5 4 2 2" xfId="53628" xr:uid="{00000000-0005-0000-0000-0000AA610000}"/>
    <cellStyle name="Normal 28 5 4 2 3" xfId="53629" xr:uid="{00000000-0005-0000-0000-0000AB610000}"/>
    <cellStyle name="Normal 28 5 4 3" xfId="17395" xr:uid="{00000000-0005-0000-0000-0000AC610000}"/>
    <cellStyle name="Normal 28 5 4 3 2" xfId="53630" xr:uid="{00000000-0005-0000-0000-0000AD610000}"/>
    <cellStyle name="Normal 28 5 4 4" xfId="17396" xr:uid="{00000000-0005-0000-0000-0000AE610000}"/>
    <cellStyle name="Normal 28 5 4 5" xfId="17397" xr:uid="{00000000-0005-0000-0000-0000AF610000}"/>
    <cellStyle name="Normal 28 5 4 6" xfId="17398" xr:uid="{00000000-0005-0000-0000-0000B0610000}"/>
    <cellStyle name="Normal 28 5 5" xfId="17399" xr:uid="{00000000-0005-0000-0000-0000B1610000}"/>
    <cellStyle name="Normal 28 5 5 2" xfId="53631" xr:uid="{00000000-0005-0000-0000-0000B2610000}"/>
    <cellStyle name="Normal 28 5 6" xfId="17400" xr:uid="{00000000-0005-0000-0000-0000B3610000}"/>
    <cellStyle name="Normal 28 5 7" xfId="17401" xr:uid="{00000000-0005-0000-0000-0000B4610000}"/>
    <cellStyle name="Normal 28 5 8" xfId="17402" xr:uid="{00000000-0005-0000-0000-0000B5610000}"/>
    <cellStyle name="Normal 28 5 9" xfId="17403" xr:uid="{00000000-0005-0000-0000-0000B6610000}"/>
    <cellStyle name="Normal 28 6" xfId="17404" xr:uid="{00000000-0005-0000-0000-0000B7610000}"/>
    <cellStyle name="Normal 28 6 2" xfId="17405" xr:uid="{00000000-0005-0000-0000-0000B8610000}"/>
    <cellStyle name="Normal 28 6 2 2" xfId="17406" xr:uid="{00000000-0005-0000-0000-0000B9610000}"/>
    <cellStyle name="Normal 28 6 2 2 2" xfId="17407" xr:uid="{00000000-0005-0000-0000-0000BA610000}"/>
    <cellStyle name="Normal 28 6 2 2 2 2" xfId="53632" xr:uid="{00000000-0005-0000-0000-0000BB610000}"/>
    <cellStyle name="Normal 28 6 2 2 2 3" xfId="53633" xr:uid="{00000000-0005-0000-0000-0000BC610000}"/>
    <cellStyle name="Normal 28 6 2 2 3" xfId="17408" xr:uid="{00000000-0005-0000-0000-0000BD610000}"/>
    <cellStyle name="Normal 28 6 2 2 3 2" xfId="53634" xr:uid="{00000000-0005-0000-0000-0000BE610000}"/>
    <cellStyle name="Normal 28 6 2 2 4" xfId="17409" xr:uid="{00000000-0005-0000-0000-0000BF610000}"/>
    <cellStyle name="Normal 28 6 2 2 5" xfId="17410" xr:uid="{00000000-0005-0000-0000-0000C0610000}"/>
    <cellStyle name="Normal 28 6 2 2 6" xfId="17411" xr:uid="{00000000-0005-0000-0000-0000C1610000}"/>
    <cellStyle name="Normal 28 6 2 3" xfId="17412" xr:uid="{00000000-0005-0000-0000-0000C2610000}"/>
    <cellStyle name="Normal 28 6 2 3 2" xfId="53635" xr:uid="{00000000-0005-0000-0000-0000C3610000}"/>
    <cellStyle name="Normal 28 6 2 3 3" xfId="53636" xr:uid="{00000000-0005-0000-0000-0000C4610000}"/>
    <cellStyle name="Normal 28 6 2 4" xfId="17413" xr:uid="{00000000-0005-0000-0000-0000C5610000}"/>
    <cellStyle name="Normal 28 6 2 4 2" xfId="53637" xr:uid="{00000000-0005-0000-0000-0000C6610000}"/>
    <cellStyle name="Normal 28 6 2 5" xfId="17414" xr:uid="{00000000-0005-0000-0000-0000C7610000}"/>
    <cellStyle name="Normal 28 6 2 6" xfId="17415" xr:uid="{00000000-0005-0000-0000-0000C8610000}"/>
    <cellStyle name="Normal 28 6 2 7" xfId="17416" xr:uid="{00000000-0005-0000-0000-0000C9610000}"/>
    <cellStyle name="Normal 28 6 3" xfId="17417" xr:uid="{00000000-0005-0000-0000-0000CA610000}"/>
    <cellStyle name="Normal 28 6 3 2" xfId="17418" xr:uid="{00000000-0005-0000-0000-0000CB610000}"/>
    <cellStyle name="Normal 28 6 3 2 2" xfId="53638" xr:uid="{00000000-0005-0000-0000-0000CC610000}"/>
    <cellStyle name="Normal 28 6 3 2 3" xfId="53639" xr:uid="{00000000-0005-0000-0000-0000CD610000}"/>
    <cellStyle name="Normal 28 6 3 3" xfId="17419" xr:uid="{00000000-0005-0000-0000-0000CE610000}"/>
    <cellStyle name="Normal 28 6 3 3 2" xfId="53640" xr:uid="{00000000-0005-0000-0000-0000CF610000}"/>
    <cellStyle name="Normal 28 6 3 4" xfId="17420" xr:uid="{00000000-0005-0000-0000-0000D0610000}"/>
    <cellStyle name="Normal 28 6 3 5" xfId="17421" xr:uid="{00000000-0005-0000-0000-0000D1610000}"/>
    <cellStyle name="Normal 28 6 3 6" xfId="17422" xr:uid="{00000000-0005-0000-0000-0000D2610000}"/>
    <cellStyle name="Normal 28 6 4" xfId="17423" xr:uid="{00000000-0005-0000-0000-0000D3610000}"/>
    <cellStyle name="Normal 28 6 4 2" xfId="53641" xr:uid="{00000000-0005-0000-0000-0000D4610000}"/>
    <cellStyle name="Normal 28 6 4 3" xfId="53642" xr:uid="{00000000-0005-0000-0000-0000D5610000}"/>
    <cellStyle name="Normal 28 6 5" xfId="17424" xr:uid="{00000000-0005-0000-0000-0000D6610000}"/>
    <cellStyle name="Normal 28 6 5 2" xfId="53643" xr:uid="{00000000-0005-0000-0000-0000D7610000}"/>
    <cellStyle name="Normal 28 6 6" xfId="17425" xr:uid="{00000000-0005-0000-0000-0000D8610000}"/>
    <cellStyle name="Normal 28 6 7" xfId="17426" xr:uid="{00000000-0005-0000-0000-0000D9610000}"/>
    <cellStyle name="Normal 28 6 8" xfId="17427" xr:uid="{00000000-0005-0000-0000-0000DA610000}"/>
    <cellStyle name="Normal 28 7" xfId="17428" xr:uid="{00000000-0005-0000-0000-0000DB610000}"/>
    <cellStyle name="Normal 28 7 2" xfId="17429" xr:uid="{00000000-0005-0000-0000-0000DC610000}"/>
    <cellStyle name="Normal 28 7 2 2" xfId="53644" xr:uid="{00000000-0005-0000-0000-0000DD610000}"/>
    <cellStyle name="Normal 28 7 2 3" xfId="53645" xr:uid="{00000000-0005-0000-0000-0000DE610000}"/>
    <cellStyle name="Normal 28 7 3" xfId="17430" xr:uid="{00000000-0005-0000-0000-0000DF610000}"/>
    <cellStyle name="Normal 28 7 3 2" xfId="53646" xr:uid="{00000000-0005-0000-0000-0000E0610000}"/>
    <cellStyle name="Normal 28 7 4" xfId="17431" xr:uid="{00000000-0005-0000-0000-0000E1610000}"/>
    <cellStyle name="Normal 28 7 5" xfId="17432" xr:uid="{00000000-0005-0000-0000-0000E2610000}"/>
    <cellStyle name="Normal 28 7 6" xfId="17433" xr:uid="{00000000-0005-0000-0000-0000E3610000}"/>
    <cellStyle name="Normal 28 8" xfId="17434" xr:uid="{00000000-0005-0000-0000-0000E4610000}"/>
    <cellStyle name="Normal 28 8 2" xfId="17435" xr:uid="{00000000-0005-0000-0000-0000E5610000}"/>
    <cellStyle name="Normal 28 8 3" xfId="17436" xr:uid="{00000000-0005-0000-0000-0000E6610000}"/>
    <cellStyle name="Normal 28 8 4" xfId="17437" xr:uid="{00000000-0005-0000-0000-0000E7610000}"/>
    <cellStyle name="Normal 28 8 5" xfId="17438" xr:uid="{00000000-0005-0000-0000-0000E8610000}"/>
    <cellStyle name="Normal 28 9" xfId="17439" xr:uid="{00000000-0005-0000-0000-0000E9610000}"/>
    <cellStyle name="Normal 29" xfId="17440" xr:uid="{00000000-0005-0000-0000-0000EA610000}"/>
    <cellStyle name="Normal 29 2" xfId="17441" xr:uid="{00000000-0005-0000-0000-0000EB610000}"/>
    <cellStyle name="Normal 29 2 2" xfId="17442" xr:uid="{00000000-0005-0000-0000-0000EC610000}"/>
    <cellStyle name="Normal 29 3" xfId="17443" xr:uid="{00000000-0005-0000-0000-0000ED610000}"/>
    <cellStyle name="Normal 29 3 2" xfId="17444" xr:uid="{00000000-0005-0000-0000-0000EE610000}"/>
    <cellStyle name="Normal 29 4" xfId="17445" xr:uid="{00000000-0005-0000-0000-0000EF610000}"/>
    <cellStyle name="Normal 29 5" xfId="17446" xr:uid="{00000000-0005-0000-0000-0000F0610000}"/>
    <cellStyle name="Normal 29 5 2" xfId="17447" xr:uid="{00000000-0005-0000-0000-0000F1610000}"/>
    <cellStyle name="Normal 29 6" xfId="17448" xr:uid="{00000000-0005-0000-0000-0000F2610000}"/>
    <cellStyle name="Normal 29 6 2" xfId="53647" xr:uid="{00000000-0005-0000-0000-0000F3610000}"/>
    <cellStyle name="Normal 29 7" xfId="17449" xr:uid="{00000000-0005-0000-0000-0000F4610000}"/>
    <cellStyle name="Normal 3" xfId="17450" xr:uid="{00000000-0005-0000-0000-0000F5610000}"/>
    <cellStyle name="Normal 3 10" xfId="17451" xr:uid="{00000000-0005-0000-0000-0000F6610000}"/>
    <cellStyle name="Normal 3 2" xfId="17452" xr:uid="{00000000-0005-0000-0000-0000F7610000}"/>
    <cellStyle name="Normal 3 2 2" xfId="17453" xr:uid="{00000000-0005-0000-0000-0000F8610000}"/>
    <cellStyle name="Normal 3 2 2 2" xfId="17454" xr:uid="{00000000-0005-0000-0000-0000F9610000}"/>
    <cellStyle name="Normal 3 2 2 3" xfId="17455" xr:uid="{00000000-0005-0000-0000-0000FA610000}"/>
    <cellStyle name="Normal 3 2 2 4" xfId="17456" xr:uid="{00000000-0005-0000-0000-0000FB610000}"/>
    <cellStyle name="Normal 3 2 2 5" xfId="17457" xr:uid="{00000000-0005-0000-0000-0000FC610000}"/>
    <cellStyle name="Normal 3 2 3" xfId="17458" xr:uid="{00000000-0005-0000-0000-0000FD610000}"/>
    <cellStyle name="Normal 3 2 3 2" xfId="17459" xr:uid="{00000000-0005-0000-0000-0000FE610000}"/>
    <cellStyle name="Normal 3 2 3 3" xfId="17460" xr:uid="{00000000-0005-0000-0000-0000FF610000}"/>
    <cellStyle name="Normal 3 2 4" xfId="17461" xr:uid="{00000000-0005-0000-0000-000000620000}"/>
    <cellStyle name="Normal 3 2 4 2" xfId="17462" xr:uid="{00000000-0005-0000-0000-000001620000}"/>
    <cellStyle name="Normal 3 2 5" xfId="17463" xr:uid="{00000000-0005-0000-0000-000002620000}"/>
    <cellStyle name="Normal 3 2 5 2" xfId="17464" xr:uid="{00000000-0005-0000-0000-000003620000}"/>
    <cellStyle name="Normal 3 2 5 2 2" xfId="53648" xr:uid="{00000000-0005-0000-0000-000004620000}"/>
    <cellStyle name="Normal 3 2 5 2 3" xfId="53649" xr:uid="{00000000-0005-0000-0000-000005620000}"/>
    <cellStyle name="Normal 3 2 5 3" xfId="17465" xr:uid="{00000000-0005-0000-0000-000006620000}"/>
    <cellStyle name="Normal 3 2 5 4" xfId="53650" xr:uid="{00000000-0005-0000-0000-000007620000}"/>
    <cellStyle name="Normal 3 2 6" xfId="17466" xr:uid="{00000000-0005-0000-0000-000008620000}"/>
    <cellStyle name="Normal 3 2 6 2" xfId="53651" xr:uid="{00000000-0005-0000-0000-000009620000}"/>
    <cellStyle name="Normal 3 2 6 3" xfId="53652" xr:uid="{00000000-0005-0000-0000-00000A620000}"/>
    <cellStyle name="Normal 3 2 7" xfId="17467" xr:uid="{00000000-0005-0000-0000-00000B620000}"/>
    <cellStyle name="Normal 3 2 7 2" xfId="17468" xr:uid="{00000000-0005-0000-0000-00000C620000}"/>
    <cellStyle name="Normal 3 2 8" xfId="53653" xr:uid="{00000000-0005-0000-0000-00000D620000}"/>
    <cellStyle name="Normal 3 2_Sheet2" xfId="17469" xr:uid="{00000000-0005-0000-0000-00000E620000}"/>
    <cellStyle name="Normal 3 3" xfId="17470" xr:uid="{00000000-0005-0000-0000-00000F620000}"/>
    <cellStyle name="Normal 3 3 2" xfId="17471" xr:uid="{00000000-0005-0000-0000-000010620000}"/>
    <cellStyle name="Normal 3 3 2 2" xfId="17472" xr:uid="{00000000-0005-0000-0000-000011620000}"/>
    <cellStyle name="Normal 3 3 2 2 2" xfId="17473" xr:uid="{00000000-0005-0000-0000-000012620000}"/>
    <cellStyle name="Normal 3 3 2 2 2 2" xfId="17474" xr:uid="{00000000-0005-0000-0000-000013620000}"/>
    <cellStyle name="Normal 3 3 2 2 2 2 2" xfId="53654" xr:uid="{00000000-0005-0000-0000-000014620000}"/>
    <cellStyle name="Normal 3 3 2 2 2 2 3" xfId="53655" xr:uid="{00000000-0005-0000-0000-000015620000}"/>
    <cellStyle name="Normal 3 3 2 2 2 3" xfId="53656" xr:uid="{00000000-0005-0000-0000-000016620000}"/>
    <cellStyle name="Normal 3 3 2 2 2 4" xfId="53657" xr:uid="{00000000-0005-0000-0000-000017620000}"/>
    <cellStyle name="Normal 3 3 2 2 3" xfId="17475" xr:uid="{00000000-0005-0000-0000-000018620000}"/>
    <cellStyle name="Normal 3 3 2 2 3 2" xfId="53658" xr:uid="{00000000-0005-0000-0000-000019620000}"/>
    <cellStyle name="Normal 3 3 2 2 3 3" xfId="53659" xr:uid="{00000000-0005-0000-0000-00001A620000}"/>
    <cellStyle name="Normal 3 3 2 2 4" xfId="17476" xr:uid="{00000000-0005-0000-0000-00001B620000}"/>
    <cellStyle name="Normal 3 3 2 2 4 2" xfId="53660" xr:uid="{00000000-0005-0000-0000-00001C620000}"/>
    <cellStyle name="Normal 3 3 2 2 5" xfId="17477" xr:uid="{00000000-0005-0000-0000-00001D620000}"/>
    <cellStyle name="Normal 3 3 2 2 6" xfId="53661" xr:uid="{00000000-0005-0000-0000-00001E620000}"/>
    <cellStyle name="Normal 3 3 2 3" xfId="17478" xr:uid="{00000000-0005-0000-0000-00001F620000}"/>
    <cellStyle name="Normal 3 3 2 3 2" xfId="17479" xr:uid="{00000000-0005-0000-0000-000020620000}"/>
    <cellStyle name="Normal 3 3 2 3 2 2" xfId="53662" xr:uid="{00000000-0005-0000-0000-000021620000}"/>
    <cellStyle name="Normal 3 3 2 3 2 3" xfId="53663" xr:uid="{00000000-0005-0000-0000-000022620000}"/>
    <cellStyle name="Normal 3 3 2 3 3" xfId="53664" xr:uid="{00000000-0005-0000-0000-000023620000}"/>
    <cellStyle name="Normal 3 3 2 3 4" xfId="53665" xr:uid="{00000000-0005-0000-0000-000024620000}"/>
    <cellStyle name="Normal 3 3 2 4" xfId="17480" xr:uid="{00000000-0005-0000-0000-000025620000}"/>
    <cellStyle name="Normal 3 3 2 4 2" xfId="17481" xr:uid="{00000000-0005-0000-0000-000026620000}"/>
    <cellStyle name="Normal 3 3 2 4 3" xfId="53666" xr:uid="{00000000-0005-0000-0000-000027620000}"/>
    <cellStyle name="Normal 3 3 2 5" xfId="17482" xr:uid="{00000000-0005-0000-0000-000028620000}"/>
    <cellStyle name="Normal 3 3 2 5 2" xfId="17483" xr:uid="{00000000-0005-0000-0000-000029620000}"/>
    <cellStyle name="Normal 3 3 2 6" xfId="17484" xr:uid="{00000000-0005-0000-0000-00002A620000}"/>
    <cellStyle name="Normal 3 3 2 7" xfId="17485" xr:uid="{00000000-0005-0000-0000-00002B620000}"/>
    <cellStyle name="Normal 3 3 3" xfId="17486" xr:uid="{00000000-0005-0000-0000-00002C620000}"/>
    <cellStyle name="Normal 3 3 3 2" xfId="17487" xr:uid="{00000000-0005-0000-0000-00002D620000}"/>
    <cellStyle name="Normal 3 3 3 3" xfId="17488" xr:uid="{00000000-0005-0000-0000-00002E620000}"/>
    <cellStyle name="Normal 3 3 3 4" xfId="17489" xr:uid="{00000000-0005-0000-0000-00002F620000}"/>
    <cellStyle name="Normal 3 3 4" xfId="17490" xr:uid="{00000000-0005-0000-0000-000030620000}"/>
    <cellStyle name="Normal 3 3 4 2" xfId="17491" xr:uid="{00000000-0005-0000-0000-000031620000}"/>
    <cellStyle name="Normal 3 3 4 2 2" xfId="17492" xr:uid="{00000000-0005-0000-0000-000032620000}"/>
    <cellStyle name="Normal 3 3 4 2 2 2" xfId="17493" xr:uid="{00000000-0005-0000-0000-000033620000}"/>
    <cellStyle name="Normal 3 3 4 2 2 2 2" xfId="53667" xr:uid="{00000000-0005-0000-0000-000034620000}"/>
    <cellStyle name="Normal 3 3 4 2 2 2 3" xfId="53668" xr:uid="{00000000-0005-0000-0000-000035620000}"/>
    <cellStyle name="Normal 3 3 4 2 2 3" xfId="53669" xr:uid="{00000000-0005-0000-0000-000036620000}"/>
    <cellStyle name="Normal 3 3 4 2 2 4" xfId="53670" xr:uid="{00000000-0005-0000-0000-000037620000}"/>
    <cellStyle name="Normal 3 3 4 2 3" xfId="17494" xr:uid="{00000000-0005-0000-0000-000038620000}"/>
    <cellStyle name="Normal 3 3 4 2 3 2" xfId="53671" xr:uid="{00000000-0005-0000-0000-000039620000}"/>
    <cellStyle name="Normal 3 3 4 2 3 3" xfId="53672" xr:uid="{00000000-0005-0000-0000-00003A620000}"/>
    <cellStyle name="Normal 3 3 4 2 4" xfId="17495" xr:uid="{00000000-0005-0000-0000-00003B620000}"/>
    <cellStyle name="Normal 3 3 4 2 4 2" xfId="53673" xr:uid="{00000000-0005-0000-0000-00003C620000}"/>
    <cellStyle name="Normal 3 3 4 2 5" xfId="53674" xr:uid="{00000000-0005-0000-0000-00003D620000}"/>
    <cellStyle name="Normal 3 3 4 2 6" xfId="53675" xr:uid="{00000000-0005-0000-0000-00003E620000}"/>
    <cellStyle name="Normal 3 3 4 3" xfId="17496" xr:uid="{00000000-0005-0000-0000-00003F620000}"/>
    <cellStyle name="Normal 3 3 4 3 2" xfId="17497" xr:uid="{00000000-0005-0000-0000-000040620000}"/>
    <cellStyle name="Normal 3 3 4 3 2 2" xfId="53676" xr:uid="{00000000-0005-0000-0000-000041620000}"/>
    <cellStyle name="Normal 3 3 4 3 2 3" xfId="53677" xr:uid="{00000000-0005-0000-0000-000042620000}"/>
    <cellStyle name="Normal 3 3 4 3 3" xfId="53678" xr:uid="{00000000-0005-0000-0000-000043620000}"/>
    <cellStyle name="Normal 3 3 4 3 4" xfId="53679" xr:uid="{00000000-0005-0000-0000-000044620000}"/>
    <cellStyle name="Normal 3 3 4 4" xfId="17498" xr:uid="{00000000-0005-0000-0000-000045620000}"/>
    <cellStyle name="Normal 3 3 4 4 2" xfId="53680" xr:uid="{00000000-0005-0000-0000-000046620000}"/>
    <cellStyle name="Normal 3 3 4 4 3" xfId="53681" xr:uid="{00000000-0005-0000-0000-000047620000}"/>
    <cellStyle name="Normal 3 3 4 5" xfId="17499" xr:uid="{00000000-0005-0000-0000-000048620000}"/>
    <cellStyle name="Normal 3 3 4 5 2" xfId="53682" xr:uid="{00000000-0005-0000-0000-000049620000}"/>
    <cellStyle name="Normal 3 3 4 6" xfId="53683" xr:uid="{00000000-0005-0000-0000-00004A620000}"/>
    <cellStyle name="Normal 3 3 4 7" xfId="53684" xr:uid="{00000000-0005-0000-0000-00004B620000}"/>
    <cellStyle name="Normal 3 3 5" xfId="17500" xr:uid="{00000000-0005-0000-0000-00004C620000}"/>
    <cellStyle name="Normal 3 3 5 2" xfId="17501" xr:uid="{00000000-0005-0000-0000-00004D620000}"/>
    <cellStyle name="Normal 3 3 5 2 2" xfId="17502" xr:uid="{00000000-0005-0000-0000-00004E620000}"/>
    <cellStyle name="Normal 3 3 5 2 2 2" xfId="53685" xr:uid="{00000000-0005-0000-0000-00004F620000}"/>
    <cellStyle name="Normal 3 3 5 2 2 3" xfId="53686" xr:uid="{00000000-0005-0000-0000-000050620000}"/>
    <cellStyle name="Normal 3 3 5 2 3" xfId="53687" xr:uid="{00000000-0005-0000-0000-000051620000}"/>
    <cellStyle name="Normal 3 3 5 2 4" xfId="53688" xr:uid="{00000000-0005-0000-0000-000052620000}"/>
    <cellStyle name="Normal 3 3 5 3" xfId="17503" xr:uid="{00000000-0005-0000-0000-000053620000}"/>
    <cellStyle name="Normal 3 3 5 3 2" xfId="53689" xr:uid="{00000000-0005-0000-0000-000054620000}"/>
    <cellStyle name="Normal 3 3 5 3 3" xfId="53690" xr:uid="{00000000-0005-0000-0000-000055620000}"/>
    <cellStyle name="Normal 3 3 5 4" xfId="53691" xr:uid="{00000000-0005-0000-0000-000056620000}"/>
    <cellStyle name="Normal 3 3 5 5" xfId="53692" xr:uid="{00000000-0005-0000-0000-000057620000}"/>
    <cellStyle name="Normal 3 3 6" xfId="17504" xr:uid="{00000000-0005-0000-0000-000058620000}"/>
    <cellStyle name="Normal 3 3 7" xfId="17505" xr:uid="{00000000-0005-0000-0000-000059620000}"/>
    <cellStyle name="Normal 3 4" xfId="17506" xr:uid="{00000000-0005-0000-0000-00005A620000}"/>
    <cellStyle name="Normal 3 4 2" xfId="17507" xr:uid="{00000000-0005-0000-0000-00005B620000}"/>
    <cellStyle name="Normal 3 4 2 2" xfId="17508" xr:uid="{00000000-0005-0000-0000-00005C620000}"/>
    <cellStyle name="Normal 3 4 2 2 2" xfId="17509" xr:uid="{00000000-0005-0000-0000-00005D620000}"/>
    <cellStyle name="Normal 3 4 2 2 2 2" xfId="53693" xr:uid="{00000000-0005-0000-0000-00005E620000}"/>
    <cellStyle name="Normal 3 4 2 2 2 3" xfId="53694" xr:uid="{00000000-0005-0000-0000-00005F620000}"/>
    <cellStyle name="Normal 3 4 2 2 3" xfId="53695" xr:uid="{00000000-0005-0000-0000-000060620000}"/>
    <cellStyle name="Normal 3 4 2 2 4" xfId="53696" xr:uid="{00000000-0005-0000-0000-000061620000}"/>
    <cellStyle name="Normal 3 4 2 3" xfId="17510" xr:uid="{00000000-0005-0000-0000-000062620000}"/>
    <cellStyle name="Normal 3 4 2 3 2" xfId="17511" xr:uid="{00000000-0005-0000-0000-000063620000}"/>
    <cellStyle name="Normal 3 4 2 3 2 2" xfId="53697" xr:uid="{00000000-0005-0000-0000-000064620000}"/>
    <cellStyle name="Normal 3 4 2 3 3" xfId="53698" xr:uid="{00000000-0005-0000-0000-000065620000}"/>
    <cellStyle name="Normal 3 4 2 3 4" xfId="53699" xr:uid="{00000000-0005-0000-0000-000066620000}"/>
    <cellStyle name="Normal 3 4 2 4" xfId="17512" xr:uid="{00000000-0005-0000-0000-000067620000}"/>
    <cellStyle name="Normal 3 4 2 4 2" xfId="53700" xr:uid="{00000000-0005-0000-0000-000068620000}"/>
    <cellStyle name="Normal 3 4 2 5" xfId="17513" xr:uid="{00000000-0005-0000-0000-000069620000}"/>
    <cellStyle name="Normal 3 4 2 6" xfId="53701" xr:uid="{00000000-0005-0000-0000-00006A620000}"/>
    <cellStyle name="Normal 3 4 3" xfId="17514" xr:uid="{00000000-0005-0000-0000-00006B620000}"/>
    <cellStyle name="Normal 3 4 3 2" xfId="17515" xr:uid="{00000000-0005-0000-0000-00006C620000}"/>
    <cellStyle name="Normal 3 4 3 2 2" xfId="17516" xr:uid="{00000000-0005-0000-0000-00006D620000}"/>
    <cellStyle name="Normal 3 4 3 2 2 2" xfId="53702" xr:uid="{00000000-0005-0000-0000-00006E620000}"/>
    <cellStyle name="Normal 3 4 3 2 2 3" xfId="53703" xr:uid="{00000000-0005-0000-0000-00006F620000}"/>
    <cellStyle name="Normal 3 4 3 2 3" xfId="53704" xr:uid="{00000000-0005-0000-0000-000070620000}"/>
    <cellStyle name="Normal 3 4 3 2 4" xfId="53705" xr:uid="{00000000-0005-0000-0000-000071620000}"/>
    <cellStyle name="Normal 3 4 3 3" xfId="17517" xr:uid="{00000000-0005-0000-0000-000072620000}"/>
    <cellStyle name="Normal 3 4 3 3 2" xfId="53706" xr:uid="{00000000-0005-0000-0000-000073620000}"/>
    <cellStyle name="Normal 3 4 3 3 3" xfId="53707" xr:uid="{00000000-0005-0000-0000-000074620000}"/>
    <cellStyle name="Normal 3 4 3 4" xfId="53708" xr:uid="{00000000-0005-0000-0000-000075620000}"/>
    <cellStyle name="Normal 3 4 3 5" xfId="53709" xr:uid="{00000000-0005-0000-0000-000076620000}"/>
    <cellStyle name="Normal 3 4 4" xfId="17518" xr:uid="{00000000-0005-0000-0000-000077620000}"/>
    <cellStyle name="Normal 3 4 4 2" xfId="17519" xr:uid="{00000000-0005-0000-0000-000078620000}"/>
    <cellStyle name="Normal 3 4 4 2 2" xfId="53710" xr:uid="{00000000-0005-0000-0000-000079620000}"/>
    <cellStyle name="Normal 3 4 4 2 3" xfId="53711" xr:uid="{00000000-0005-0000-0000-00007A620000}"/>
    <cellStyle name="Normal 3 4 4 3" xfId="53712" xr:uid="{00000000-0005-0000-0000-00007B620000}"/>
    <cellStyle name="Normal 3 4 4 4" xfId="53713" xr:uid="{00000000-0005-0000-0000-00007C620000}"/>
    <cellStyle name="Normal 3 4 5" xfId="17520" xr:uid="{00000000-0005-0000-0000-00007D620000}"/>
    <cellStyle name="Normal 3 4 5 2" xfId="53714" xr:uid="{00000000-0005-0000-0000-00007E620000}"/>
    <cellStyle name="Normal 3 4 5 3" xfId="53715" xr:uid="{00000000-0005-0000-0000-00007F620000}"/>
    <cellStyle name="Normal 3 4 6" xfId="17521" xr:uid="{00000000-0005-0000-0000-000080620000}"/>
    <cellStyle name="Normal 3 4 6 2" xfId="53716" xr:uid="{00000000-0005-0000-0000-000081620000}"/>
    <cellStyle name="Normal 3 4 7" xfId="53717" xr:uid="{00000000-0005-0000-0000-000082620000}"/>
    <cellStyle name="Normal 3 4 8" xfId="53718" xr:uid="{00000000-0005-0000-0000-000083620000}"/>
    <cellStyle name="Normal 3 5" xfId="17522" xr:uid="{00000000-0005-0000-0000-000084620000}"/>
    <cellStyle name="Normal 3 5 2" xfId="17523" xr:uid="{00000000-0005-0000-0000-000085620000}"/>
    <cellStyle name="Normal 3 5 2 2" xfId="17524" xr:uid="{00000000-0005-0000-0000-000086620000}"/>
    <cellStyle name="Normal 3 5 2 2 2" xfId="17525" xr:uid="{00000000-0005-0000-0000-000087620000}"/>
    <cellStyle name="Normal 3 5 2 2 2 2" xfId="53719" xr:uid="{00000000-0005-0000-0000-000088620000}"/>
    <cellStyle name="Normal 3 5 2 2 2 3" xfId="53720" xr:uid="{00000000-0005-0000-0000-000089620000}"/>
    <cellStyle name="Normal 3 5 2 2 3" xfId="53721" xr:uid="{00000000-0005-0000-0000-00008A620000}"/>
    <cellStyle name="Normal 3 5 2 2 4" xfId="53722" xr:uid="{00000000-0005-0000-0000-00008B620000}"/>
    <cellStyle name="Normal 3 5 2 3" xfId="17526" xr:uid="{00000000-0005-0000-0000-00008C620000}"/>
    <cellStyle name="Normal 3 5 2 3 2" xfId="53723" xr:uid="{00000000-0005-0000-0000-00008D620000}"/>
    <cellStyle name="Normal 3 5 2 3 3" xfId="53724" xr:uid="{00000000-0005-0000-0000-00008E620000}"/>
    <cellStyle name="Normal 3 5 2 4" xfId="17527" xr:uid="{00000000-0005-0000-0000-00008F620000}"/>
    <cellStyle name="Normal 3 5 2 5" xfId="53725" xr:uid="{00000000-0005-0000-0000-000090620000}"/>
    <cellStyle name="Normal 3 5 3" xfId="17528" xr:uid="{00000000-0005-0000-0000-000091620000}"/>
    <cellStyle name="Normal 3 5 3 2" xfId="17529" xr:uid="{00000000-0005-0000-0000-000092620000}"/>
    <cellStyle name="Normal 3 5 3 2 2" xfId="53726" xr:uid="{00000000-0005-0000-0000-000093620000}"/>
    <cellStyle name="Normal 3 5 3 2 3" xfId="53727" xr:uid="{00000000-0005-0000-0000-000094620000}"/>
    <cellStyle name="Normal 3 5 3 3" xfId="53728" xr:uid="{00000000-0005-0000-0000-000095620000}"/>
    <cellStyle name="Normal 3 5 3 4" xfId="53729" xr:uid="{00000000-0005-0000-0000-000096620000}"/>
    <cellStyle name="Normal 3 5 4" xfId="17530" xr:uid="{00000000-0005-0000-0000-000097620000}"/>
    <cellStyle name="Normal 3 5 4 2" xfId="53730" xr:uid="{00000000-0005-0000-0000-000098620000}"/>
    <cellStyle name="Normal 3 5 4 3" xfId="53731" xr:uid="{00000000-0005-0000-0000-000099620000}"/>
    <cellStyle name="Normal 3 5 5" xfId="17531" xr:uid="{00000000-0005-0000-0000-00009A620000}"/>
    <cellStyle name="Normal 3 5 5 2" xfId="53732" xr:uid="{00000000-0005-0000-0000-00009B620000}"/>
    <cellStyle name="Normal 3 5 6" xfId="53733" xr:uid="{00000000-0005-0000-0000-00009C620000}"/>
    <cellStyle name="Normal 3 5 7" xfId="53734" xr:uid="{00000000-0005-0000-0000-00009D620000}"/>
    <cellStyle name="Normal 3 6" xfId="17532" xr:uid="{00000000-0005-0000-0000-00009E620000}"/>
    <cellStyle name="Normal 3 6 2" xfId="17533" xr:uid="{00000000-0005-0000-0000-00009F620000}"/>
    <cellStyle name="Normal 3 6 2 2" xfId="53735" xr:uid="{00000000-0005-0000-0000-0000A0620000}"/>
    <cellStyle name="Normal 3 6 2 3" xfId="53736" xr:uid="{00000000-0005-0000-0000-0000A1620000}"/>
    <cellStyle name="Normal 3 6 3" xfId="17534" xr:uid="{00000000-0005-0000-0000-0000A2620000}"/>
    <cellStyle name="Normal 3 6 4" xfId="17535" xr:uid="{00000000-0005-0000-0000-0000A3620000}"/>
    <cellStyle name="Normal 3 6 5" xfId="53737" xr:uid="{00000000-0005-0000-0000-0000A4620000}"/>
    <cellStyle name="Normal 3 7" xfId="17536" xr:uid="{00000000-0005-0000-0000-0000A5620000}"/>
    <cellStyle name="Normal 3 7 2" xfId="53738" xr:uid="{00000000-0005-0000-0000-0000A6620000}"/>
    <cellStyle name="Normal 3 7 3" xfId="53739" xr:uid="{00000000-0005-0000-0000-0000A7620000}"/>
    <cellStyle name="Normal 3 8" xfId="17537" xr:uid="{00000000-0005-0000-0000-0000A8620000}"/>
    <cellStyle name="Normal 3 8 2" xfId="53740" xr:uid="{00000000-0005-0000-0000-0000A9620000}"/>
    <cellStyle name="Normal 3 9" xfId="17538" xr:uid="{00000000-0005-0000-0000-0000AA620000}"/>
    <cellStyle name="Normal 3_Sheet2" xfId="17539" xr:uid="{00000000-0005-0000-0000-0000AB620000}"/>
    <cellStyle name="Normal 30" xfId="17540" xr:uid="{00000000-0005-0000-0000-0000AC620000}"/>
    <cellStyle name="Normal 30 2" xfId="17541" xr:uid="{00000000-0005-0000-0000-0000AD620000}"/>
    <cellStyle name="Normal 30 2 2" xfId="17542" xr:uid="{00000000-0005-0000-0000-0000AE620000}"/>
    <cellStyle name="Normal 30 3" xfId="17543" xr:uid="{00000000-0005-0000-0000-0000AF620000}"/>
    <cellStyle name="Normal 30 3 2" xfId="17544" xr:uid="{00000000-0005-0000-0000-0000B0620000}"/>
    <cellStyle name="Normal 30 3 2 2" xfId="53741" xr:uid="{00000000-0005-0000-0000-0000B1620000}"/>
    <cellStyle name="Normal 30 3 2 3" xfId="53742" xr:uid="{00000000-0005-0000-0000-0000B2620000}"/>
    <cellStyle name="Normal 30 3 3" xfId="53743" xr:uid="{00000000-0005-0000-0000-0000B3620000}"/>
    <cellStyle name="Normal 30 3 4" xfId="53744" xr:uid="{00000000-0005-0000-0000-0000B4620000}"/>
    <cellStyle name="Normal 30 4" xfId="17545" xr:uid="{00000000-0005-0000-0000-0000B5620000}"/>
    <cellStyle name="Normal 30 4 2" xfId="53745" xr:uid="{00000000-0005-0000-0000-0000B6620000}"/>
    <cellStyle name="Normal 30 4 3" xfId="53746" xr:uid="{00000000-0005-0000-0000-0000B7620000}"/>
    <cellStyle name="Normal 30 5" xfId="17546" xr:uid="{00000000-0005-0000-0000-0000B8620000}"/>
    <cellStyle name="Normal 30 5 2" xfId="53747" xr:uid="{00000000-0005-0000-0000-0000B9620000}"/>
    <cellStyle name="Normal 30 6" xfId="17547" xr:uid="{00000000-0005-0000-0000-0000BA620000}"/>
    <cellStyle name="Normal 30 7" xfId="17548" xr:uid="{00000000-0005-0000-0000-0000BB620000}"/>
    <cellStyle name="Normal 31" xfId="17549" xr:uid="{00000000-0005-0000-0000-0000BC620000}"/>
    <cellStyle name="Normal 31 10" xfId="17550" xr:uid="{00000000-0005-0000-0000-0000BD620000}"/>
    <cellStyle name="Normal 31 10 2" xfId="17551" xr:uid="{00000000-0005-0000-0000-0000BE620000}"/>
    <cellStyle name="Normal 31 10 2 2" xfId="17552" xr:uid="{00000000-0005-0000-0000-0000BF620000}"/>
    <cellStyle name="Normal 31 10 3" xfId="17553" xr:uid="{00000000-0005-0000-0000-0000C0620000}"/>
    <cellStyle name="Normal 31 11" xfId="17554" xr:uid="{00000000-0005-0000-0000-0000C1620000}"/>
    <cellStyle name="Normal 31 11 2" xfId="17555" xr:uid="{00000000-0005-0000-0000-0000C2620000}"/>
    <cellStyle name="Normal 31 12" xfId="17556" xr:uid="{00000000-0005-0000-0000-0000C3620000}"/>
    <cellStyle name="Normal 31 12 2" xfId="17557" xr:uid="{00000000-0005-0000-0000-0000C4620000}"/>
    <cellStyle name="Normal 31 13" xfId="17558" xr:uid="{00000000-0005-0000-0000-0000C5620000}"/>
    <cellStyle name="Normal 31 14" xfId="17559" xr:uid="{00000000-0005-0000-0000-0000C6620000}"/>
    <cellStyle name="Normal 31 15" xfId="17560" xr:uid="{00000000-0005-0000-0000-0000C7620000}"/>
    <cellStyle name="Normal 31 16" xfId="17561" xr:uid="{00000000-0005-0000-0000-0000C8620000}"/>
    <cellStyle name="Normal 31 2" xfId="17562" xr:uid="{00000000-0005-0000-0000-0000C9620000}"/>
    <cellStyle name="Normal 31 2 2" xfId="17563" xr:uid="{00000000-0005-0000-0000-0000CA620000}"/>
    <cellStyle name="Normal 31 3" xfId="17564" xr:uid="{00000000-0005-0000-0000-0000CB620000}"/>
    <cellStyle name="Normal 31 3 10" xfId="17565" xr:uid="{00000000-0005-0000-0000-0000CC620000}"/>
    <cellStyle name="Normal 31 3 10 2" xfId="17566" xr:uid="{00000000-0005-0000-0000-0000CD620000}"/>
    <cellStyle name="Normal 31 3 11" xfId="17567" xr:uid="{00000000-0005-0000-0000-0000CE620000}"/>
    <cellStyle name="Normal 31 3 2" xfId="17568" xr:uid="{00000000-0005-0000-0000-0000CF620000}"/>
    <cellStyle name="Normal 31 3 2 2" xfId="17569" xr:uid="{00000000-0005-0000-0000-0000D0620000}"/>
    <cellStyle name="Normal 31 3 2 2 2" xfId="17570" xr:uid="{00000000-0005-0000-0000-0000D1620000}"/>
    <cellStyle name="Normal 31 3 2 2 2 2" xfId="17571" xr:uid="{00000000-0005-0000-0000-0000D2620000}"/>
    <cellStyle name="Normal 31 3 2 2 3" xfId="17572" xr:uid="{00000000-0005-0000-0000-0000D3620000}"/>
    <cellStyle name="Normal 31 3 2 2 3 2" xfId="17573" xr:uid="{00000000-0005-0000-0000-0000D4620000}"/>
    <cellStyle name="Normal 31 3 2 2 4" xfId="17574" xr:uid="{00000000-0005-0000-0000-0000D5620000}"/>
    <cellStyle name="Normal 31 3 2 3" xfId="17575" xr:uid="{00000000-0005-0000-0000-0000D6620000}"/>
    <cellStyle name="Normal 31 3 2 3 2" xfId="17576" xr:uid="{00000000-0005-0000-0000-0000D7620000}"/>
    <cellStyle name="Normal 31 3 2 3 2 2" xfId="17577" xr:uid="{00000000-0005-0000-0000-0000D8620000}"/>
    <cellStyle name="Normal 31 3 2 3 3" xfId="17578" xr:uid="{00000000-0005-0000-0000-0000D9620000}"/>
    <cellStyle name="Normal 31 3 2 3 3 2" xfId="17579" xr:uid="{00000000-0005-0000-0000-0000DA620000}"/>
    <cellStyle name="Normal 31 3 2 3 4" xfId="17580" xr:uid="{00000000-0005-0000-0000-0000DB620000}"/>
    <cellStyle name="Normal 31 3 2 4" xfId="17581" xr:uid="{00000000-0005-0000-0000-0000DC620000}"/>
    <cellStyle name="Normal 31 3 2 4 2" xfId="17582" xr:uid="{00000000-0005-0000-0000-0000DD620000}"/>
    <cellStyle name="Normal 31 3 2 5" xfId="17583" xr:uid="{00000000-0005-0000-0000-0000DE620000}"/>
    <cellStyle name="Normal 31 3 2 5 2" xfId="17584" xr:uid="{00000000-0005-0000-0000-0000DF620000}"/>
    <cellStyle name="Normal 31 3 2 6" xfId="17585" xr:uid="{00000000-0005-0000-0000-0000E0620000}"/>
    <cellStyle name="Normal 31 3 3" xfId="17586" xr:uid="{00000000-0005-0000-0000-0000E1620000}"/>
    <cellStyle name="Normal 31 3 3 2" xfId="17587" xr:uid="{00000000-0005-0000-0000-0000E2620000}"/>
    <cellStyle name="Normal 31 3 3 2 2" xfId="17588" xr:uid="{00000000-0005-0000-0000-0000E3620000}"/>
    <cellStyle name="Normal 31 3 3 3" xfId="17589" xr:uid="{00000000-0005-0000-0000-0000E4620000}"/>
    <cellStyle name="Normal 31 3 3 3 2" xfId="17590" xr:uid="{00000000-0005-0000-0000-0000E5620000}"/>
    <cellStyle name="Normal 31 3 3 4" xfId="17591" xr:uid="{00000000-0005-0000-0000-0000E6620000}"/>
    <cellStyle name="Normal 31 3 4" xfId="17592" xr:uid="{00000000-0005-0000-0000-0000E7620000}"/>
    <cellStyle name="Normal 31 3 4 2" xfId="17593" xr:uid="{00000000-0005-0000-0000-0000E8620000}"/>
    <cellStyle name="Normal 31 3 4 2 2" xfId="17594" xr:uid="{00000000-0005-0000-0000-0000E9620000}"/>
    <cellStyle name="Normal 31 3 4 3" xfId="17595" xr:uid="{00000000-0005-0000-0000-0000EA620000}"/>
    <cellStyle name="Normal 31 3 4 3 2" xfId="17596" xr:uid="{00000000-0005-0000-0000-0000EB620000}"/>
    <cellStyle name="Normal 31 3 4 4" xfId="17597" xr:uid="{00000000-0005-0000-0000-0000EC620000}"/>
    <cellStyle name="Normal 31 3 5" xfId="17598" xr:uid="{00000000-0005-0000-0000-0000ED620000}"/>
    <cellStyle name="Normal 31 3 5 2" xfId="17599" xr:uid="{00000000-0005-0000-0000-0000EE620000}"/>
    <cellStyle name="Normal 31 3 5 2 2" xfId="17600" xr:uid="{00000000-0005-0000-0000-0000EF620000}"/>
    <cellStyle name="Normal 31 3 5 3" xfId="17601" xr:uid="{00000000-0005-0000-0000-0000F0620000}"/>
    <cellStyle name="Normal 31 3 5 3 2" xfId="17602" xr:uid="{00000000-0005-0000-0000-0000F1620000}"/>
    <cellStyle name="Normal 31 3 5 4" xfId="17603" xr:uid="{00000000-0005-0000-0000-0000F2620000}"/>
    <cellStyle name="Normal 31 3 6" xfId="17604" xr:uid="{00000000-0005-0000-0000-0000F3620000}"/>
    <cellStyle name="Normal 31 3 6 2" xfId="17605" xr:uid="{00000000-0005-0000-0000-0000F4620000}"/>
    <cellStyle name="Normal 31 3 6 2 2" xfId="17606" xr:uid="{00000000-0005-0000-0000-0000F5620000}"/>
    <cellStyle name="Normal 31 3 6 3" xfId="17607" xr:uid="{00000000-0005-0000-0000-0000F6620000}"/>
    <cellStyle name="Normal 31 3 6 3 2" xfId="17608" xr:uid="{00000000-0005-0000-0000-0000F7620000}"/>
    <cellStyle name="Normal 31 3 6 4" xfId="17609" xr:uid="{00000000-0005-0000-0000-0000F8620000}"/>
    <cellStyle name="Normal 31 3 7" xfId="17610" xr:uid="{00000000-0005-0000-0000-0000F9620000}"/>
    <cellStyle name="Normal 31 3 7 2" xfId="17611" xr:uid="{00000000-0005-0000-0000-0000FA620000}"/>
    <cellStyle name="Normal 31 3 7 2 2" xfId="17612" xr:uid="{00000000-0005-0000-0000-0000FB620000}"/>
    <cellStyle name="Normal 31 3 7 3" xfId="17613" xr:uid="{00000000-0005-0000-0000-0000FC620000}"/>
    <cellStyle name="Normal 31 3 7 3 2" xfId="17614" xr:uid="{00000000-0005-0000-0000-0000FD620000}"/>
    <cellStyle name="Normal 31 3 7 4" xfId="17615" xr:uid="{00000000-0005-0000-0000-0000FE620000}"/>
    <cellStyle name="Normal 31 3 8" xfId="17616" xr:uid="{00000000-0005-0000-0000-0000FF620000}"/>
    <cellStyle name="Normal 31 3 8 2" xfId="17617" xr:uid="{00000000-0005-0000-0000-000000630000}"/>
    <cellStyle name="Normal 31 3 8 2 2" xfId="17618" xr:uid="{00000000-0005-0000-0000-000001630000}"/>
    <cellStyle name="Normal 31 3 8 3" xfId="17619" xr:uid="{00000000-0005-0000-0000-000002630000}"/>
    <cellStyle name="Normal 31 3 9" xfId="17620" xr:uid="{00000000-0005-0000-0000-000003630000}"/>
    <cellStyle name="Normal 31 3 9 2" xfId="17621" xr:uid="{00000000-0005-0000-0000-000004630000}"/>
    <cellStyle name="Normal 31 4" xfId="17622" xr:uid="{00000000-0005-0000-0000-000005630000}"/>
    <cellStyle name="Normal 31 4 2" xfId="17623" xr:uid="{00000000-0005-0000-0000-000006630000}"/>
    <cellStyle name="Normal 31 4 2 2" xfId="17624" xr:uid="{00000000-0005-0000-0000-000007630000}"/>
    <cellStyle name="Normal 31 4 2 2 2" xfId="17625" xr:uid="{00000000-0005-0000-0000-000008630000}"/>
    <cellStyle name="Normal 31 4 2 3" xfId="17626" xr:uid="{00000000-0005-0000-0000-000009630000}"/>
    <cellStyle name="Normal 31 4 2 3 2" xfId="17627" xr:uid="{00000000-0005-0000-0000-00000A630000}"/>
    <cellStyle name="Normal 31 4 2 4" xfId="17628" xr:uid="{00000000-0005-0000-0000-00000B630000}"/>
    <cellStyle name="Normal 31 4 3" xfId="17629" xr:uid="{00000000-0005-0000-0000-00000C630000}"/>
    <cellStyle name="Normal 31 4 3 2" xfId="17630" xr:uid="{00000000-0005-0000-0000-00000D630000}"/>
    <cellStyle name="Normal 31 4 3 2 2" xfId="17631" xr:uid="{00000000-0005-0000-0000-00000E630000}"/>
    <cellStyle name="Normal 31 4 3 3" xfId="17632" xr:uid="{00000000-0005-0000-0000-00000F630000}"/>
    <cellStyle name="Normal 31 4 3 3 2" xfId="17633" xr:uid="{00000000-0005-0000-0000-000010630000}"/>
    <cellStyle name="Normal 31 4 3 4" xfId="17634" xr:uid="{00000000-0005-0000-0000-000011630000}"/>
    <cellStyle name="Normal 31 4 4" xfId="17635" xr:uid="{00000000-0005-0000-0000-000012630000}"/>
    <cellStyle name="Normal 31 4 4 2" xfId="17636" xr:uid="{00000000-0005-0000-0000-000013630000}"/>
    <cellStyle name="Normal 31 4 5" xfId="17637" xr:uid="{00000000-0005-0000-0000-000014630000}"/>
    <cellStyle name="Normal 31 4 5 2" xfId="17638" xr:uid="{00000000-0005-0000-0000-000015630000}"/>
    <cellStyle name="Normal 31 4 6" xfId="17639" xr:uid="{00000000-0005-0000-0000-000016630000}"/>
    <cellStyle name="Normal 31 5" xfId="17640" xr:uid="{00000000-0005-0000-0000-000017630000}"/>
    <cellStyle name="Normal 31 5 2" xfId="17641" xr:uid="{00000000-0005-0000-0000-000018630000}"/>
    <cellStyle name="Normal 31 5 2 2" xfId="17642" xr:uid="{00000000-0005-0000-0000-000019630000}"/>
    <cellStyle name="Normal 31 5 3" xfId="17643" xr:uid="{00000000-0005-0000-0000-00001A630000}"/>
    <cellStyle name="Normal 31 5 3 2" xfId="17644" xr:uid="{00000000-0005-0000-0000-00001B630000}"/>
    <cellStyle name="Normal 31 5 4" xfId="17645" xr:uid="{00000000-0005-0000-0000-00001C630000}"/>
    <cellStyle name="Normal 31 6" xfId="17646" xr:uid="{00000000-0005-0000-0000-00001D630000}"/>
    <cellStyle name="Normal 31 6 2" xfId="17647" xr:uid="{00000000-0005-0000-0000-00001E630000}"/>
    <cellStyle name="Normal 31 6 2 2" xfId="17648" xr:uid="{00000000-0005-0000-0000-00001F630000}"/>
    <cellStyle name="Normal 31 6 3" xfId="17649" xr:uid="{00000000-0005-0000-0000-000020630000}"/>
    <cellStyle name="Normal 31 6 3 2" xfId="17650" xr:uid="{00000000-0005-0000-0000-000021630000}"/>
    <cellStyle name="Normal 31 6 4" xfId="17651" xr:uid="{00000000-0005-0000-0000-000022630000}"/>
    <cellStyle name="Normal 31 7" xfId="17652" xr:uid="{00000000-0005-0000-0000-000023630000}"/>
    <cellStyle name="Normal 31 7 2" xfId="17653" xr:uid="{00000000-0005-0000-0000-000024630000}"/>
    <cellStyle name="Normal 31 7 2 2" xfId="17654" xr:uid="{00000000-0005-0000-0000-000025630000}"/>
    <cellStyle name="Normal 31 7 3" xfId="17655" xr:uid="{00000000-0005-0000-0000-000026630000}"/>
    <cellStyle name="Normal 31 7 3 2" xfId="17656" xr:uid="{00000000-0005-0000-0000-000027630000}"/>
    <cellStyle name="Normal 31 7 4" xfId="17657" xr:uid="{00000000-0005-0000-0000-000028630000}"/>
    <cellStyle name="Normal 31 8" xfId="17658" xr:uid="{00000000-0005-0000-0000-000029630000}"/>
    <cellStyle name="Normal 31 8 2" xfId="17659" xr:uid="{00000000-0005-0000-0000-00002A630000}"/>
    <cellStyle name="Normal 31 8 2 2" xfId="17660" xr:uid="{00000000-0005-0000-0000-00002B630000}"/>
    <cellStyle name="Normal 31 8 3" xfId="17661" xr:uid="{00000000-0005-0000-0000-00002C630000}"/>
    <cellStyle name="Normal 31 8 3 2" xfId="17662" xr:uid="{00000000-0005-0000-0000-00002D630000}"/>
    <cellStyle name="Normal 31 8 4" xfId="17663" xr:uid="{00000000-0005-0000-0000-00002E630000}"/>
    <cellStyle name="Normal 31 9" xfId="17664" xr:uid="{00000000-0005-0000-0000-00002F630000}"/>
    <cellStyle name="Normal 31 9 2" xfId="17665" xr:uid="{00000000-0005-0000-0000-000030630000}"/>
    <cellStyle name="Normal 31 9 2 2" xfId="17666" xr:uid="{00000000-0005-0000-0000-000031630000}"/>
    <cellStyle name="Normal 31 9 3" xfId="17667" xr:uid="{00000000-0005-0000-0000-000032630000}"/>
    <cellStyle name="Normal 31 9 3 2" xfId="17668" xr:uid="{00000000-0005-0000-0000-000033630000}"/>
    <cellStyle name="Normal 31 9 4" xfId="17669" xr:uid="{00000000-0005-0000-0000-000034630000}"/>
    <cellStyle name="Normal 32" xfId="17670" xr:uid="{00000000-0005-0000-0000-000035630000}"/>
    <cellStyle name="Normal 32 10" xfId="17671" xr:uid="{00000000-0005-0000-0000-000036630000}"/>
    <cellStyle name="Normal 32 10 2" xfId="17672" xr:uid="{00000000-0005-0000-0000-000037630000}"/>
    <cellStyle name="Normal 32 10 2 2" xfId="17673" xr:uid="{00000000-0005-0000-0000-000038630000}"/>
    <cellStyle name="Normal 32 10 3" xfId="17674" xr:uid="{00000000-0005-0000-0000-000039630000}"/>
    <cellStyle name="Normal 32 11" xfId="17675" xr:uid="{00000000-0005-0000-0000-00003A630000}"/>
    <cellStyle name="Normal 32 11 2" xfId="17676" xr:uid="{00000000-0005-0000-0000-00003B630000}"/>
    <cellStyle name="Normal 32 12" xfId="17677" xr:uid="{00000000-0005-0000-0000-00003C630000}"/>
    <cellStyle name="Normal 32 12 2" xfId="17678" xr:uid="{00000000-0005-0000-0000-00003D630000}"/>
    <cellStyle name="Normal 32 13" xfId="17679" xr:uid="{00000000-0005-0000-0000-00003E630000}"/>
    <cellStyle name="Normal 32 14" xfId="17680" xr:uid="{00000000-0005-0000-0000-00003F630000}"/>
    <cellStyle name="Normal 32 15" xfId="17681" xr:uid="{00000000-0005-0000-0000-000040630000}"/>
    <cellStyle name="Normal 32 2" xfId="17682" xr:uid="{00000000-0005-0000-0000-000041630000}"/>
    <cellStyle name="Normal 32 2 2" xfId="17683" xr:uid="{00000000-0005-0000-0000-000042630000}"/>
    <cellStyle name="Normal 32 3" xfId="17684" xr:uid="{00000000-0005-0000-0000-000043630000}"/>
    <cellStyle name="Normal 32 3 10" xfId="17685" xr:uid="{00000000-0005-0000-0000-000044630000}"/>
    <cellStyle name="Normal 32 3 10 2" xfId="17686" xr:uid="{00000000-0005-0000-0000-000045630000}"/>
    <cellStyle name="Normal 32 3 11" xfId="17687" xr:uid="{00000000-0005-0000-0000-000046630000}"/>
    <cellStyle name="Normal 32 3 2" xfId="17688" xr:uid="{00000000-0005-0000-0000-000047630000}"/>
    <cellStyle name="Normal 32 3 2 2" xfId="17689" xr:uid="{00000000-0005-0000-0000-000048630000}"/>
    <cellStyle name="Normal 32 3 2 2 2" xfId="17690" xr:uid="{00000000-0005-0000-0000-000049630000}"/>
    <cellStyle name="Normal 32 3 2 2 2 2" xfId="17691" xr:uid="{00000000-0005-0000-0000-00004A630000}"/>
    <cellStyle name="Normal 32 3 2 2 3" xfId="17692" xr:uid="{00000000-0005-0000-0000-00004B630000}"/>
    <cellStyle name="Normal 32 3 2 2 3 2" xfId="17693" xr:uid="{00000000-0005-0000-0000-00004C630000}"/>
    <cellStyle name="Normal 32 3 2 2 4" xfId="17694" xr:uid="{00000000-0005-0000-0000-00004D630000}"/>
    <cellStyle name="Normal 32 3 2 3" xfId="17695" xr:uid="{00000000-0005-0000-0000-00004E630000}"/>
    <cellStyle name="Normal 32 3 2 3 2" xfId="17696" xr:uid="{00000000-0005-0000-0000-00004F630000}"/>
    <cellStyle name="Normal 32 3 2 3 2 2" xfId="17697" xr:uid="{00000000-0005-0000-0000-000050630000}"/>
    <cellStyle name="Normal 32 3 2 3 3" xfId="17698" xr:uid="{00000000-0005-0000-0000-000051630000}"/>
    <cellStyle name="Normal 32 3 2 3 3 2" xfId="17699" xr:uid="{00000000-0005-0000-0000-000052630000}"/>
    <cellStyle name="Normal 32 3 2 3 4" xfId="17700" xr:uid="{00000000-0005-0000-0000-000053630000}"/>
    <cellStyle name="Normal 32 3 2 4" xfId="17701" xr:uid="{00000000-0005-0000-0000-000054630000}"/>
    <cellStyle name="Normal 32 3 2 4 2" xfId="17702" xr:uid="{00000000-0005-0000-0000-000055630000}"/>
    <cellStyle name="Normal 32 3 2 5" xfId="17703" xr:uid="{00000000-0005-0000-0000-000056630000}"/>
    <cellStyle name="Normal 32 3 2 5 2" xfId="17704" xr:uid="{00000000-0005-0000-0000-000057630000}"/>
    <cellStyle name="Normal 32 3 2 6" xfId="17705" xr:uid="{00000000-0005-0000-0000-000058630000}"/>
    <cellStyle name="Normal 32 3 3" xfId="17706" xr:uid="{00000000-0005-0000-0000-000059630000}"/>
    <cellStyle name="Normal 32 3 3 2" xfId="17707" xr:uid="{00000000-0005-0000-0000-00005A630000}"/>
    <cellStyle name="Normal 32 3 3 2 2" xfId="17708" xr:uid="{00000000-0005-0000-0000-00005B630000}"/>
    <cellStyle name="Normal 32 3 3 3" xfId="17709" xr:uid="{00000000-0005-0000-0000-00005C630000}"/>
    <cellStyle name="Normal 32 3 3 3 2" xfId="17710" xr:uid="{00000000-0005-0000-0000-00005D630000}"/>
    <cellStyle name="Normal 32 3 3 4" xfId="17711" xr:uid="{00000000-0005-0000-0000-00005E630000}"/>
    <cellStyle name="Normal 32 3 4" xfId="17712" xr:uid="{00000000-0005-0000-0000-00005F630000}"/>
    <cellStyle name="Normal 32 3 4 2" xfId="17713" xr:uid="{00000000-0005-0000-0000-000060630000}"/>
    <cellStyle name="Normal 32 3 4 2 2" xfId="17714" xr:uid="{00000000-0005-0000-0000-000061630000}"/>
    <cellStyle name="Normal 32 3 4 3" xfId="17715" xr:uid="{00000000-0005-0000-0000-000062630000}"/>
    <cellStyle name="Normal 32 3 4 3 2" xfId="17716" xr:uid="{00000000-0005-0000-0000-000063630000}"/>
    <cellStyle name="Normal 32 3 4 4" xfId="17717" xr:uid="{00000000-0005-0000-0000-000064630000}"/>
    <cellStyle name="Normal 32 3 5" xfId="17718" xr:uid="{00000000-0005-0000-0000-000065630000}"/>
    <cellStyle name="Normal 32 3 5 2" xfId="17719" xr:uid="{00000000-0005-0000-0000-000066630000}"/>
    <cellStyle name="Normal 32 3 5 2 2" xfId="17720" xr:uid="{00000000-0005-0000-0000-000067630000}"/>
    <cellStyle name="Normal 32 3 5 3" xfId="17721" xr:uid="{00000000-0005-0000-0000-000068630000}"/>
    <cellStyle name="Normal 32 3 5 3 2" xfId="17722" xr:uid="{00000000-0005-0000-0000-000069630000}"/>
    <cellStyle name="Normal 32 3 5 4" xfId="17723" xr:uid="{00000000-0005-0000-0000-00006A630000}"/>
    <cellStyle name="Normal 32 3 6" xfId="17724" xr:uid="{00000000-0005-0000-0000-00006B630000}"/>
    <cellStyle name="Normal 32 3 6 2" xfId="17725" xr:uid="{00000000-0005-0000-0000-00006C630000}"/>
    <cellStyle name="Normal 32 3 6 2 2" xfId="17726" xr:uid="{00000000-0005-0000-0000-00006D630000}"/>
    <cellStyle name="Normal 32 3 6 3" xfId="17727" xr:uid="{00000000-0005-0000-0000-00006E630000}"/>
    <cellStyle name="Normal 32 3 6 3 2" xfId="17728" xr:uid="{00000000-0005-0000-0000-00006F630000}"/>
    <cellStyle name="Normal 32 3 6 4" xfId="17729" xr:uid="{00000000-0005-0000-0000-000070630000}"/>
    <cellStyle name="Normal 32 3 7" xfId="17730" xr:uid="{00000000-0005-0000-0000-000071630000}"/>
    <cellStyle name="Normal 32 3 7 2" xfId="17731" xr:uid="{00000000-0005-0000-0000-000072630000}"/>
    <cellStyle name="Normal 32 3 7 2 2" xfId="17732" xr:uid="{00000000-0005-0000-0000-000073630000}"/>
    <cellStyle name="Normal 32 3 7 3" xfId="17733" xr:uid="{00000000-0005-0000-0000-000074630000}"/>
    <cellStyle name="Normal 32 3 7 3 2" xfId="17734" xr:uid="{00000000-0005-0000-0000-000075630000}"/>
    <cellStyle name="Normal 32 3 7 4" xfId="17735" xr:uid="{00000000-0005-0000-0000-000076630000}"/>
    <cellStyle name="Normal 32 3 8" xfId="17736" xr:uid="{00000000-0005-0000-0000-000077630000}"/>
    <cellStyle name="Normal 32 3 8 2" xfId="17737" xr:uid="{00000000-0005-0000-0000-000078630000}"/>
    <cellStyle name="Normal 32 3 8 2 2" xfId="17738" xr:uid="{00000000-0005-0000-0000-000079630000}"/>
    <cellStyle name="Normal 32 3 8 3" xfId="17739" xr:uid="{00000000-0005-0000-0000-00007A630000}"/>
    <cellStyle name="Normal 32 3 9" xfId="17740" xr:uid="{00000000-0005-0000-0000-00007B630000}"/>
    <cellStyle name="Normal 32 3 9 2" xfId="17741" xr:uid="{00000000-0005-0000-0000-00007C630000}"/>
    <cellStyle name="Normal 32 4" xfId="17742" xr:uid="{00000000-0005-0000-0000-00007D630000}"/>
    <cellStyle name="Normal 32 4 2" xfId="17743" xr:uid="{00000000-0005-0000-0000-00007E630000}"/>
    <cellStyle name="Normal 32 4 2 2" xfId="17744" xr:uid="{00000000-0005-0000-0000-00007F630000}"/>
    <cellStyle name="Normal 32 4 2 2 2" xfId="17745" xr:uid="{00000000-0005-0000-0000-000080630000}"/>
    <cellStyle name="Normal 32 4 2 3" xfId="17746" xr:uid="{00000000-0005-0000-0000-000081630000}"/>
    <cellStyle name="Normal 32 4 2 3 2" xfId="17747" xr:uid="{00000000-0005-0000-0000-000082630000}"/>
    <cellStyle name="Normal 32 4 2 4" xfId="17748" xr:uid="{00000000-0005-0000-0000-000083630000}"/>
    <cellStyle name="Normal 32 4 3" xfId="17749" xr:uid="{00000000-0005-0000-0000-000084630000}"/>
    <cellStyle name="Normal 32 4 3 2" xfId="17750" xr:uid="{00000000-0005-0000-0000-000085630000}"/>
    <cellStyle name="Normal 32 4 3 2 2" xfId="17751" xr:uid="{00000000-0005-0000-0000-000086630000}"/>
    <cellStyle name="Normal 32 4 3 3" xfId="17752" xr:uid="{00000000-0005-0000-0000-000087630000}"/>
    <cellStyle name="Normal 32 4 3 3 2" xfId="17753" xr:uid="{00000000-0005-0000-0000-000088630000}"/>
    <cellStyle name="Normal 32 4 3 4" xfId="17754" xr:uid="{00000000-0005-0000-0000-000089630000}"/>
    <cellStyle name="Normal 32 4 4" xfId="17755" xr:uid="{00000000-0005-0000-0000-00008A630000}"/>
    <cellStyle name="Normal 32 4 4 2" xfId="17756" xr:uid="{00000000-0005-0000-0000-00008B630000}"/>
    <cellStyle name="Normal 32 4 5" xfId="17757" xr:uid="{00000000-0005-0000-0000-00008C630000}"/>
    <cellStyle name="Normal 32 4 5 2" xfId="17758" xr:uid="{00000000-0005-0000-0000-00008D630000}"/>
    <cellStyle name="Normal 32 4 6" xfId="17759" xr:uid="{00000000-0005-0000-0000-00008E630000}"/>
    <cellStyle name="Normal 32 5" xfId="17760" xr:uid="{00000000-0005-0000-0000-00008F630000}"/>
    <cellStyle name="Normal 32 5 2" xfId="17761" xr:uid="{00000000-0005-0000-0000-000090630000}"/>
    <cellStyle name="Normal 32 5 2 2" xfId="17762" xr:uid="{00000000-0005-0000-0000-000091630000}"/>
    <cellStyle name="Normal 32 5 3" xfId="17763" xr:uid="{00000000-0005-0000-0000-000092630000}"/>
    <cellStyle name="Normal 32 5 3 2" xfId="17764" xr:uid="{00000000-0005-0000-0000-000093630000}"/>
    <cellStyle name="Normal 32 5 4" xfId="17765" xr:uid="{00000000-0005-0000-0000-000094630000}"/>
    <cellStyle name="Normal 32 6" xfId="17766" xr:uid="{00000000-0005-0000-0000-000095630000}"/>
    <cellStyle name="Normal 32 6 2" xfId="17767" xr:uid="{00000000-0005-0000-0000-000096630000}"/>
    <cellStyle name="Normal 32 6 2 2" xfId="17768" xr:uid="{00000000-0005-0000-0000-000097630000}"/>
    <cellStyle name="Normal 32 6 3" xfId="17769" xr:uid="{00000000-0005-0000-0000-000098630000}"/>
    <cellStyle name="Normal 32 6 3 2" xfId="17770" xr:uid="{00000000-0005-0000-0000-000099630000}"/>
    <cellStyle name="Normal 32 6 4" xfId="17771" xr:uid="{00000000-0005-0000-0000-00009A630000}"/>
    <cellStyle name="Normal 32 7" xfId="17772" xr:uid="{00000000-0005-0000-0000-00009B630000}"/>
    <cellStyle name="Normal 32 7 2" xfId="17773" xr:uid="{00000000-0005-0000-0000-00009C630000}"/>
    <cellStyle name="Normal 32 7 2 2" xfId="17774" xr:uid="{00000000-0005-0000-0000-00009D630000}"/>
    <cellStyle name="Normal 32 7 3" xfId="17775" xr:uid="{00000000-0005-0000-0000-00009E630000}"/>
    <cellStyle name="Normal 32 7 3 2" xfId="17776" xr:uid="{00000000-0005-0000-0000-00009F630000}"/>
    <cellStyle name="Normal 32 7 4" xfId="17777" xr:uid="{00000000-0005-0000-0000-0000A0630000}"/>
    <cellStyle name="Normal 32 8" xfId="17778" xr:uid="{00000000-0005-0000-0000-0000A1630000}"/>
    <cellStyle name="Normal 32 8 2" xfId="17779" xr:uid="{00000000-0005-0000-0000-0000A2630000}"/>
    <cellStyle name="Normal 32 8 2 2" xfId="17780" xr:uid="{00000000-0005-0000-0000-0000A3630000}"/>
    <cellStyle name="Normal 32 8 3" xfId="17781" xr:uid="{00000000-0005-0000-0000-0000A4630000}"/>
    <cellStyle name="Normal 32 8 3 2" xfId="17782" xr:uid="{00000000-0005-0000-0000-0000A5630000}"/>
    <cellStyle name="Normal 32 8 4" xfId="17783" xr:uid="{00000000-0005-0000-0000-0000A6630000}"/>
    <cellStyle name="Normal 32 9" xfId="17784" xr:uid="{00000000-0005-0000-0000-0000A7630000}"/>
    <cellStyle name="Normal 32 9 2" xfId="17785" xr:uid="{00000000-0005-0000-0000-0000A8630000}"/>
    <cellStyle name="Normal 32 9 2 2" xfId="17786" xr:uid="{00000000-0005-0000-0000-0000A9630000}"/>
    <cellStyle name="Normal 32 9 3" xfId="17787" xr:uid="{00000000-0005-0000-0000-0000AA630000}"/>
    <cellStyle name="Normal 32 9 3 2" xfId="17788" xr:uid="{00000000-0005-0000-0000-0000AB630000}"/>
    <cellStyle name="Normal 32 9 4" xfId="17789" xr:uid="{00000000-0005-0000-0000-0000AC630000}"/>
    <cellStyle name="Normal 33" xfId="17790" xr:uid="{00000000-0005-0000-0000-0000AD630000}"/>
    <cellStyle name="Normal 33 10" xfId="17791" xr:uid="{00000000-0005-0000-0000-0000AE630000}"/>
    <cellStyle name="Normal 33 10 2" xfId="17792" xr:uid="{00000000-0005-0000-0000-0000AF630000}"/>
    <cellStyle name="Normal 33 10 2 2" xfId="17793" xr:uid="{00000000-0005-0000-0000-0000B0630000}"/>
    <cellStyle name="Normal 33 10 3" xfId="17794" xr:uid="{00000000-0005-0000-0000-0000B1630000}"/>
    <cellStyle name="Normal 33 11" xfId="17795" xr:uid="{00000000-0005-0000-0000-0000B2630000}"/>
    <cellStyle name="Normal 33 11 2" xfId="17796" xr:uid="{00000000-0005-0000-0000-0000B3630000}"/>
    <cellStyle name="Normal 33 12" xfId="17797" xr:uid="{00000000-0005-0000-0000-0000B4630000}"/>
    <cellStyle name="Normal 33 12 2" xfId="17798" xr:uid="{00000000-0005-0000-0000-0000B5630000}"/>
    <cellStyle name="Normal 33 13" xfId="17799" xr:uid="{00000000-0005-0000-0000-0000B6630000}"/>
    <cellStyle name="Normal 33 14" xfId="17800" xr:uid="{00000000-0005-0000-0000-0000B7630000}"/>
    <cellStyle name="Normal 33 15" xfId="17801" xr:uid="{00000000-0005-0000-0000-0000B8630000}"/>
    <cellStyle name="Normal 33 2" xfId="17802" xr:uid="{00000000-0005-0000-0000-0000B9630000}"/>
    <cellStyle name="Normal 33 2 2" xfId="17803" xr:uid="{00000000-0005-0000-0000-0000BA630000}"/>
    <cellStyle name="Normal 33 3" xfId="17804" xr:uid="{00000000-0005-0000-0000-0000BB630000}"/>
    <cellStyle name="Normal 33 3 10" xfId="17805" xr:uid="{00000000-0005-0000-0000-0000BC630000}"/>
    <cellStyle name="Normal 33 3 10 2" xfId="17806" xr:uid="{00000000-0005-0000-0000-0000BD630000}"/>
    <cellStyle name="Normal 33 3 11" xfId="17807" xr:uid="{00000000-0005-0000-0000-0000BE630000}"/>
    <cellStyle name="Normal 33 3 2" xfId="17808" xr:uid="{00000000-0005-0000-0000-0000BF630000}"/>
    <cellStyle name="Normal 33 3 2 2" xfId="17809" xr:uid="{00000000-0005-0000-0000-0000C0630000}"/>
    <cellStyle name="Normal 33 3 2 2 2" xfId="17810" xr:uid="{00000000-0005-0000-0000-0000C1630000}"/>
    <cellStyle name="Normal 33 3 2 2 2 2" xfId="17811" xr:uid="{00000000-0005-0000-0000-0000C2630000}"/>
    <cellStyle name="Normal 33 3 2 2 3" xfId="17812" xr:uid="{00000000-0005-0000-0000-0000C3630000}"/>
    <cellStyle name="Normal 33 3 2 2 3 2" xfId="17813" xr:uid="{00000000-0005-0000-0000-0000C4630000}"/>
    <cellStyle name="Normal 33 3 2 2 4" xfId="17814" xr:uid="{00000000-0005-0000-0000-0000C5630000}"/>
    <cellStyle name="Normal 33 3 2 3" xfId="17815" xr:uid="{00000000-0005-0000-0000-0000C6630000}"/>
    <cellStyle name="Normal 33 3 2 3 2" xfId="17816" xr:uid="{00000000-0005-0000-0000-0000C7630000}"/>
    <cellStyle name="Normal 33 3 2 3 2 2" xfId="17817" xr:uid="{00000000-0005-0000-0000-0000C8630000}"/>
    <cellStyle name="Normal 33 3 2 3 3" xfId="17818" xr:uid="{00000000-0005-0000-0000-0000C9630000}"/>
    <cellStyle name="Normal 33 3 2 3 3 2" xfId="17819" xr:uid="{00000000-0005-0000-0000-0000CA630000}"/>
    <cellStyle name="Normal 33 3 2 3 4" xfId="17820" xr:uid="{00000000-0005-0000-0000-0000CB630000}"/>
    <cellStyle name="Normal 33 3 2 4" xfId="17821" xr:uid="{00000000-0005-0000-0000-0000CC630000}"/>
    <cellStyle name="Normal 33 3 2 4 2" xfId="17822" xr:uid="{00000000-0005-0000-0000-0000CD630000}"/>
    <cellStyle name="Normal 33 3 2 5" xfId="17823" xr:uid="{00000000-0005-0000-0000-0000CE630000}"/>
    <cellStyle name="Normal 33 3 2 5 2" xfId="17824" xr:uid="{00000000-0005-0000-0000-0000CF630000}"/>
    <cellStyle name="Normal 33 3 2 6" xfId="17825" xr:uid="{00000000-0005-0000-0000-0000D0630000}"/>
    <cellStyle name="Normal 33 3 3" xfId="17826" xr:uid="{00000000-0005-0000-0000-0000D1630000}"/>
    <cellStyle name="Normal 33 3 3 2" xfId="17827" xr:uid="{00000000-0005-0000-0000-0000D2630000}"/>
    <cellStyle name="Normal 33 3 3 2 2" xfId="17828" xr:uid="{00000000-0005-0000-0000-0000D3630000}"/>
    <cellStyle name="Normal 33 3 3 3" xfId="17829" xr:uid="{00000000-0005-0000-0000-0000D4630000}"/>
    <cellStyle name="Normal 33 3 3 3 2" xfId="17830" xr:uid="{00000000-0005-0000-0000-0000D5630000}"/>
    <cellStyle name="Normal 33 3 3 4" xfId="17831" xr:uid="{00000000-0005-0000-0000-0000D6630000}"/>
    <cellStyle name="Normal 33 3 4" xfId="17832" xr:uid="{00000000-0005-0000-0000-0000D7630000}"/>
    <cellStyle name="Normal 33 3 4 2" xfId="17833" xr:uid="{00000000-0005-0000-0000-0000D8630000}"/>
    <cellStyle name="Normal 33 3 4 2 2" xfId="17834" xr:uid="{00000000-0005-0000-0000-0000D9630000}"/>
    <cellStyle name="Normal 33 3 4 3" xfId="17835" xr:uid="{00000000-0005-0000-0000-0000DA630000}"/>
    <cellStyle name="Normal 33 3 4 3 2" xfId="17836" xr:uid="{00000000-0005-0000-0000-0000DB630000}"/>
    <cellStyle name="Normal 33 3 4 4" xfId="17837" xr:uid="{00000000-0005-0000-0000-0000DC630000}"/>
    <cellStyle name="Normal 33 3 5" xfId="17838" xr:uid="{00000000-0005-0000-0000-0000DD630000}"/>
    <cellStyle name="Normal 33 3 5 2" xfId="17839" xr:uid="{00000000-0005-0000-0000-0000DE630000}"/>
    <cellStyle name="Normal 33 3 5 2 2" xfId="17840" xr:uid="{00000000-0005-0000-0000-0000DF630000}"/>
    <cellStyle name="Normal 33 3 5 3" xfId="17841" xr:uid="{00000000-0005-0000-0000-0000E0630000}"/>
    <cellStyle name="Normal 33 3 5 3 2" xfId="17842" xr:uid="{00000000-0005-0000-0000-0000E1630000}"/>
    <cellStyle name="Normal 33 3 5 4" xfId="17843" xr:uid="{00000000-0005-0000-0000-0000E2630000}"/>
    <cellStyle name="Normal 33 3 6" xfId="17844" xr:uid="{00000000-0005-0000-0000-0000E3630000}"/>
    <cellStyle name="Normal 33 3 6 2" xfId="17845" xr:uid="{00000000-0005-0000-0000-0000E4630000}"/>
    <cellStyle name="Normal 33 3 6 2 2" xfId="17846" xr:uid="{00000000-0005-0000-0000-0000E5630000}"/>
    <cellStyle name="Normal 33 3 6 3" xfId="17847" xr:uid="{00000000-0005-0000-0000-0000E6630000}"/>
    <cellStyle name="Normal 33 3 6 3 2" xfId="17848" xr:uid="{00000000-0005-0000-0000-0000E7630000}"/>
    <cellStyle name="Normal 33 3 6 4" xfId="17849" xr:uid="{00000000-0005-0000-0000-0000E8630000}"/>
    <cellStyle name="Normal 33 3 7" xfId="17850" xr:uid="{00000000-0005-0000-0000-0000E9630000}"/>
    <cellStyle name="Normal 33 3 7 2" xfId="17851" xr:uid="{00000000-0005-0000-0000-0000EA630000}"/>
    <cellStyle name="Normal 33 3 7 2 2" xfId="17852" xr:uid="{00000000-0005-0000-0000-0000EB630000}"/>
    <cellStyle name="Normal 33 3 7 3" xfId="17853" xr:uid="{00000000-0005-0000-0000-0000EC630000}"/>
    <cellStyle name="Normal 33 3 7 3 2" xfId="17854" xr:uid="{00000000-0005-0000-0000-0000ED630000}"/>
    <cellStyle name="Normal 33 3 7 4" xfId="17855" xr:uid="{00000000-0005-0000-0000-0000EE630000}"/>
    <cellStyle name="Normal 33 3 8" xfId="17856" xr:uid="{00000000-0005-0000-0000-0000EF630000}"/>
    <cellStyle name="Normal 33 3 8 2" xfId="17857" xr:uid="{00000000-0005-0000-0000-0000F0630000}"/>
    <cellStyle name="Normal 33 3 8 2 2" xfId="17858" xr:uid="{00000000-0005-0000-0000-0000F1630000}"/>
    <cellStyle name="Normal 33 3 8 3" xfId="17859" xr:uid="{00000000-0005-0000-0000-0000F2630000}"/>
    <cellStyle name="Normal 33 3 9" xfId="17860" xr:uid="{00000000-0005-0000-0000-0000F3630000}"/>
    <cellStyle name="Normal 33 3 9 2" xfId="17861" xr:uid="{00000000-0005-0000-0000-0000F4630000}"/>
    <cellStyle name="Normal 33 4" xfId="17862" xr:uid="{00000000-0005-0000-0000-0000F5630000}"/>
    <cellStyle name="Normal 33 4 2" xfId="17863" xr:uid="{00000000-0005-0000-0000-0000F6630000}"/>
    <cellStyle name="Normal 33 4 2 2" xfId="17864" xr:uid="{00000000-0005-0000-0000-0000F7630000}"/>
    <cellStyle name="Normal 33 4 2 2 2" xfId="17865" xr:uid="{00000000-0005-0000-0000-0000F8630000}"/>
    <cellStyle name="Normal 33 4 2 3" xfId="17866" xr:uid="{00000000-0005-0000-0000-0000F9630000}"/>
    <cellStyle name="Normal 33 4 2 3 2" xfId="17867" xr:uid="{00000000-0005-0000-0000-0000FA630000}"/>
    <cellStyle name="Normal 33 4 2 4" xfId="17868" xr:uid="{00000000-0005-0000-0000-0000FB630000}"/>
    <cellStyle name="Normal 33 4 3" xfId="17869" xr:uid="{00000000-0005-0000-0000-0000FC630000}"/>
    <cellStyle name="Normal 33 4 3 2" xfId="17870" xr:uid="{00000000-0005-0000-0000-0000FD630000}"/>
    <cellStyle name="Normal 33 4 3 2 2" xfId="17871" xr:uid="{00000000-0005-0000-0000-0000FE630000}"/>
    <cellStyle name="Normal 33 4 3 3" xfId="17872" xr:uid="{00000000-0005-0000-0000-0000FF630000}"/>
    <cellStyle name="Normal 33 4 3 3 2" xfId="17873" xr:uid="{00000000-0005-0000-0000-000000640000}"/>
    <cellStyle name="Normal 33 4 3 4" xfId="17874" xr:uid="{00000000-0005-0000-0000-000001640000}"/>
    <cellStyle name="Normal 33 4 4" xfId="17875" xr:uid="{00000000-0005-0000-0000-000002640000}"/>
    <cellStyle name="Normal 33 4 4 2" xfId="17876" xr:uid="{00000000-0005-0000-0000-000003640000}"/>
    <cellStyle name="Normal 33 4 5" xfId="17877" xr:uid="{00000000-0005-0000-0000-000004640000}"/>
    <cellStyle name="Normal 33 4 5 2" xfId="17878" xr:uid="{00000000-0005-0000-0000-000005640000}"/>
    <cellStyle name="Normal 33 4 6" xfId="17879" xr:uid="{00000000-0005-0000-0000-000006640000}"/>
    <cellStyle name="Normal 33 5" xfId="17880" xr:uid="{00000000-0005-0000-0000-000007640000}"/>
    <cellStyle name="Normal 33 5 2" xfId="17881" xr:uid="{00000000-0005-0000-0000-000008640000}"/>
    <cellStyle name="Normal 33 5 2 2" xfId="17882" xr:uid="{00000000-0005-0000-0000-000009640000}"/>
    <cellStyle name="Normal 33 5 3" xfId="17883" xr:uid="{00000000-0005-0000-0000-00000A640000}"/>
    <cellStyle name="Normal 33 5 3 2" xfId="17884" xr:uid="{00000000-0005-0000-0000-00000B640000}"/>
    <cellStyle name="Normal 33 5 4" xfId="17885" xr:uid="{00000000-0005-0000-0000-00000C640000}"/>
    <cellStyle name="Normal 33 6" xfId="17886" xr:uid="{00000000-0005-0000-0000-00000D640000}"/>
    <cellStyle name="Normal 33 6 2" xfId="17887" xr:uid="{00000000-0005-0000-0000-00000E640000}"/>
    <cellStyle name="Normal 33 6 2 2" xfId="17888" xr:uid="{00000000-0005-0000-0000-00000F640000}"/>
    <cellStyle name="Normal 33 6 3" xfId="17889" xr:uid="{00000000-0005-0000-0000-000010640000}"/>
    <cellStyle name="Normal 33 6 3 2" xfId="17890" xr:uid="{00000000-0005-0000-0000-000011640000}"/>
    <cellStyle name="Normal 33 6 4" xfId="17891" xr:uid="{00000000-0005-0000-0000-000012640000}"/>
    <cellStyle name="Normal 33 7" xfId="17892" xr:uid="{00000000-0005-0000-0000-000013640000}"/>
    <cellStyle name="Normal 33 7 2" xfId="17893" xr:uid="{00000000-0005-0000-0000-000014640000}"/>
    <cellStyle name="Normal 33 7 2 2" xfId="17894" xr:uid="{00000000-0005-0000-0000-000015640000}"/>
    <cellStyle name="Normal 33 7 3" xfId="17895" xr:uid="{00000000-0005-0000-0000-000016640000}"/>
    <cellStyle name="Normal 33 7 3 2" xfId="17896" xr:uid="{00000000-0005-0000-0000-000017640000}"/>
    <cellStyle name="Normal 33 7 4" xfId="17897" xr:uid="{00000000-0005-0000-0000-000018640000}"/>
    <cellStyle name="Normal 33 8" xfId="17898" xr:uid="{00000000-0005-0000-0000-000019640000}"/>
    <cellStyle name="Normal 33 8 2" xfId="17899" xr:uid="{00000000-0005-0000-0000-00001A640000}"/>
    <cellStyle name="Normal 33 8 2 2" xfId="17900" xr:uid="{00000000-0005-0000-0000-00001B640000}"/>
    <cellStyle name="Normal 33 8 3" xfId="17901" xr:uid="{00000000-0005-0000-0000-00001C640000}"/>
    <cellStyle name="Normal 33 8 3 2" xfId="17902" xr:uid="{00000000-0005-0000-0000-00001D640000}"/>
    <cellStyle name="Normal 33 8 4" xfId="17903" xr:uid="{00000000-0005-0000-0000-00001E640000}"/>
    <cellStyle name="Normal 33 9" xfId="17904" xr:uid="{00000000-0005-0000-0000-00001F640000}"/>
    <cellStyle name="Normal 33 9 2" xfId="17905" xr:uid="{00000000-0005-0000-0000-000020640000}"/>
    <cellStyle name="Normal 33 9 2 2" xfId="17906" xr:uid="{00000000-0005-0000-0000-000021640000}"/>
    <cellStyle name="Normal 33 9 3" xfId="17907" xr:uid="{00000000-0005-0000-0000-000022640000}"/>
    <cellStyle name="Normal 33 9 3 2" xfId="17908" xr:uid="{00000000-0005-0000-0000-000023640000}"/>
    <cellStyle name="Normal 33 9 4" xfId="17909" xr:uid="{00000000-0005-0000-0000-000024640000}"/>
    <cellStyle name="Normal 34" xfId="17910" xr:uid="{00000000-0005-0000-0000-000025640000}"/>
    <cellStyle name="Normal 34 10" xfId="17911" xr:uid="{00000000-0005-0000-0000-000026640000}"/>
    <cellStyle name="Normal 34 10 2" xfId="17912" xr:uid="{00000000-0005-0000-0000-000027640000}"/>
    <cellStyle name="Normal 34 10 2 2" xfId="17913" xr:uid="{00000000-0005-0000-0000-000028640000}"/>
    <cellStyle name="Normal 34 10 3" xfId="17914" xr:uid="{00000000-0005-0000-0000-000029640000}"/>
    <cellStyle name="Normal 34 11" xfId="17915" xr:uid="{00000000-0005-0000-0000-00002A640000}"/>
    <cellStyle name="Normal 34 11 2" xfId="17916" xr:uid="{00000000-0005-0000-0000-00002B640000}"/>
    <cellStyle name="Normal 34 12" xfId="17917" xr:uid="{00000000-0005-0000-0000-00002C640000}"/>
    <cellStyle name="Normal 34 12 2" xfId="17918" xr:uid="{00000000-0005-0000-0000-00002D640000}"/>
    <cellStyle name="Normal 34 13" xfId="17919" xr:uid="{00000000-0005-0000-0000-00002E640000}"/>
    <cellStyle name="Normal 34 14" xfId="17920" xr:uid="{00000000-0005-0000-0000-00002F640000}"/>
    <cellStyle name="Normal 34 15" xfId="17921" xr:uid="{00000000-0005-0000-0000-000030640000}"/>
    <cellStyle name="Normal 34 2" xfId="17922" xr:uid="{00000000-0005-0000-0000-000031640000}"/>
    <cellStyle name="Normal 34 2 2" xfId="17923" xr:uid="{00000000-0005-0000-0000-000032640000}"/>
    <cellStyle name="Normal 34 3" xfId="17924" xr:uid="{00000000-0005-0000-0000-000033640000}"/>
    <cellStyle name="Normal 34 3 10" xfId="17925" xr:uid="{00000000-0005-0000-0000-000034640000}"/>
    <cellStyle name="Normal 34 3 10 2" xfId="17926" xr:uid="{00000000-0005-0000-0000-000035640000}"/>
    <cellStyle name="Normal 34 3 11" xfId="17927" xr:uid="{00000000-0005-0000-0000-000036640000}"/>
    <cellStyle name="Normal 34 3 2" xfId="17928" xr:uid="{00000000-0005-0000-0000-000037640000}"/>
    <cellStyle name="Normal 34 3 2 2" xfId="17929" xr:uid="{00000000-0005-0000-0000-000038640000}"/>
    <cellStyle name="Normal 34 3 2 2 2" xfId="17930" xr:uid="{00000000-0005-0000-0000-000039640000}"/>
    <cellStyle name="Normal 34 3 2 2 2 2" xfId="17931" xr:uid="{00000000-0005-0000-0000-00003A640000}"/>
    <cellStyle name="Normal 34 3 2 2 3" xfId="17932" xr:uid="{00000000-0005-0000-0000-00003B640000}"/>
    <cellStyle name="Normal 34 3 2 2 3 2" xfId="17933" xr:uid="{00000000-0005-0000-0000-00003C640000}"/>
    <cellStyle name="Normal 34 3 2 2 4" xfId="17934" xr:uid="{00000000-0005-0000-0000-00003D640000}"/>
    <cellStyle name="Normal 34 3 2 3" xfId="17935" xr:uid="{00000000-0005-0000-0000-00003E640000}"/>
    <cellStyle name="Normal 34 3 2 3 2" xfId="17936" xr:uid="{00000000-0005-0000-0000-00003F640000}"/>
    <cellStyle name="Normal 34 3 2 3 2 2" xfId="17937" xr:uid="{00000000-0005-0000-0000-000040640000}"/>
    <cellStyle name="Normal 34 3 2 3 3" xfId="17938" xr:uid="{00000000-0005-0000-0000-000041640000}"/>
    <cellStyle name="Normal 34 3 2 3 3 2" xfId="17939" xr:uid="{00000000-0005-0000-0000-000042640000}"/>
    <cellStyle name="Normal 34 3 2 3 4" xfId="17940" xr:uid="{00000000-0005-0000-0000-000043640000}"/>
    <cellStyle name="Normal 34 3 2 4" xfId="17941" xr:uid="{00000000-0005-0000-0000-000044640000}"/>
    <cellStyle name="Normal 34 3 2 4 2" xfId="17942" xr:uid="{00000000-0005-0000-0000-000045640000}"/>
    <cellStyle name="Normal 34 3 2 5" xfId="17943" xr:uid="{00000000-0005-0000-0000-000046640000}"/>
    <cellStyle name="Normal 34 3 2 5 2" xfId="17944" xr:uid="{00000000-0005-0000-0000-000047640000}"/>
    <cellStyle name="Normal 34 3 2 6" xfId="17945" xr:uid="{00000000-0005-0000-0000-000048640000}"/>
    <cellStyle name="Normal 34 3 3" xfId="17946" xr:uid="{00000000-0005-0000-0000-000049640000}"/>
    <cellStyle name="Normal 34 3 3 2" xfId="17947" xr:uid="{00000000-0005-0000-0000-00004A640000}"/>
    <cellStyle name="Normal 34 3 3 2 2" xfId="17948" xr:uid="{00000000-0005-0000-0000-00004B640000}"/>
    <cellStyle name="Normal 34 3 3 3" xfId="17949" xr:uid="{00000000-0005-0000-0000-00004C640000}"/>
    <cellStyle name="Normal 34 3 3 3 2" xfId="17950" xr:uid="{00000000-0005-0000-0000-00004D640000}"/>
    <cellStyle name="Normal 34 3 3 4" xfId="17951" xr:uid="{00000000-0005-0000-0000-00004E640000}"/>
    <cellStyle name="Normal 34 3 4" xfId="17952" xr:uid="{00000000-0005-0000-0000-00004F640000}"/>
    <cellStyle name="Normal 34 3 4 2" xfId="17953" xr:uid="{00000000-0005-0000-0000-000050640000}"/>
    <cellStyle name="Normal 34 3 4 2 2" xfId="17954" xr:uid="{00000000-0005-0000-0000-000051640000}"/>
    <cellStyle name="Normal 34 3 4 3" xfId="17955" xr:uid="{00000000-0005-0000-0000-000052640000}"/>
    <cellStyle name="Normal 34 3 4 3 2" xfId="17956" xr:uid="{00000000-0005-0000-0000-000053640000}"/>
    <cellStyle name="Normal 34 3 4 4" xfId="17957" xr:uid="{00000000-0005-0000-0000-000054640000}"/>
    <cellStyle name="Normal 34 3 5" xfId="17958" xr:uid="{00000000-0005-0000-0000-000055640000}"/>
    <cellStyle name="Normal 34 3 5 2" xfId="17959" xr:uid="{00000000-0005-0000-0000-000056640000}"/>
    <cellStyle name="Normal 34 3 5 2 2" xfId="17960" xr:uid="{00000000-0005-0000-0000-000057640000}"/>
    <cellStyle name="Normal 34 3 5 3" xfId="17961" xr:uid="{00000000-0005-0000-0000-000058640000}"/>
    <cellStyle name="Normal 34 3 5 3 2" xfId="17962" xr:uid="{00000000-0005-0000-0000-000059640000}"/>
    <cellStyle name="Normal 34 3 5 4" xfId="17963" xr:uid="{00000000-0005-0000-0000-00005A640000}"/>
    <cellStyle name="Normal 34 3 6" xfId="17964" xr:uid="{00000000-0005-0000-0000-00005B640000}"/>
    <cellStyle name="Normal 34 3 6 2" xfId="17965" xr:uid="{00000000-0005-0000-0000-00005C640000}"/>
    <cellStyle name="Normal 34 3 6 2 2" xfId="17966" xr:uid="{00000000-0005-0000-0000-00005D640000}"/>
    <cellStyle name="Normal 34 3 6 3" xfId="17967" xr:uid="{00000000-0005-0000-0000-00005E640000}"/>
    <cellStyle name="Normal 34 3 6 3 2" xfId="17968" xr:uid="{00000000-0005-0000-0000-00005F640000}"/>
    <cellStyle name="Normal 34 3 6 4" xfId="17969" xr:uid="{00000000-0005-0000-0000-000060640000}"/>
    <cellStyle name="Normal 34 3 7" xfId="17970" xr:uid="{00000000-0005-0000-0000-000061640000}"/>
    <cellStyle name="Normal 34 3 7 2" xfId="17971" xr:uid="{00000000-0005-0000-0000-000062640000}"/>
    <cellStyle name="Normal 34 3 7 2 2" xfId="17972" xr:uid="{00000000-0005-0000-0000-000063640000}"/>
    <cellStyle name="Normal 34 3 7 3" xfId="17973" xr:uid="{00000000-0005-0000-0000-000064640000}"/>
    <cellStyle name="Normal 34 3 7 3 2" xfId="17974" xr:uid="{00000000-0005-0000-0000-000065640000}"/>
    <cellStyle name="Normal 34 3 7 4" xfId="17975" xr:uid="{00000000-0005-0000-0000-000066640000}"/>
    <cellStyle name="Normal 34 3 8" xfId="17976" xr:uid="{00000000-0005-0000-0000-000067640000}"/>
    <cellStyle name="Normal 34 3 8 2" xfId="17977" xr:uid="{00000000-0005-0000-0000-000068640000}"/>
    <cellStyle name="Normal 34 3 8 2 2" xfId="17978" xr:uid="{00000000-0005-0000-0000-000069640000}"/>
    <cellStyle name="Normal 34 3 8 3" xfId="17979" xr:uid="{00000000-0005-0000-0000-00006A640000}"/>
    <cellStyle name="Normal 34 3 9" xfId="17980" xr:uid="{00000000-0005-0000-0000-00006B640000}"/>
    <cellStyle name="Normal 34 3 9 2" xfId="17981" xr:uid="{00000000-0005-0000-0000-00006C640000}"/>
    <cellStyle name="Normal 34 4" xfId="17982" xr:uid="{00000000-0005-0000-0000-00006D640000}"/>
    <cellStyle name="Normal 34 4 2" xfId="17983" xr:uid="{00000000-0005-0000-0000-00006E640000}"/>
    <cellStyle name="Normal 34 4 2 2" xfId="17984" xr:uid="{00000000-0005-0000-0000-00006F640000}"/>
    <cellStyle name="Normal 34 4 2 2 2" xfId="17985" xr:uid="{00000000-0005-0000-0000-000070640000}"/>
    <cellStyle name="Normal 34 4 2 3" xfId="17986" xr:uid="{00000000-0005-0000-0000-000071640000}"/>
    <cellStyle name="Normal 34 4 2 3 2" xfId="17987" xr:uid="{00000000-0005-0000-0000-000072640000}"/>
    <cellStyle name="Normal 34 4 2 4" xfId="17988" xr:uid="{00000000-0005-0000-0000-000073640000}"/>
    <cellStyle name="Normal 34 4 3" xfId="17989" xr:uid="{00000000-0005-0000-0000-000074640000}"/>
    <cellStyle name="Normal 34 4 3 2" xfId="17990" xr:uid="{00000000-0005-0000-0000-000075640000}"/>
    <cellStyle name="Normal 34 4 3 2 2" xfId="17991" xr:uid="{00000000-0005-0000-0000-000076640000}"/>
    <cellStyle name="Normal 34 4 3 3" xfId="17992" xr:uid="{00000000-0005-0000-0000-000077640000}"/>
    <cellStyle name="Normal 34 4 3 3 2" xfId="17993" xr:uid="{00000000-0005-0000-0000-000078640000}"/>
    <cellStyle name="Normal 34 4 3 4" xfId="17994" xr:uid="{00000000-0005-0000-0000-000079640000}"/>
    <cellStyle name="Normal 34 4 4" xfId="17995" xr:uid="{00000000-0005-0000-0000-00007A640000}"/>
    <cellStyle name="Normal 34 4 4 2" xfId="17996" xr:uid="{00000000-0005-0000-0000-00007B640000}"/>
    <cellStyle name="Normal 34 4 5" xfId="17997" xr:uid="{00000000-0005-0000-0000-00007C640000}"/>
    <cellStyle name="Normal 34 4 5 2" xfId="17998" xr:uid="{00000000-0005-0000-0000-00007D640000}"/>
    <cellStyle name="Normal 34 4 6" xfId="17999" xr:uid="{00000000-0005-0000-0000-00007E640000}"/>
    <cellStyle name="Normal 34 5" xfId="18000" xr:uid="{00000000-0005-0000-0000-00007F640000}"/>
    <cellStyle name="Normal 34 5 2" xfId="18001" xr:uid="{00000000-0005-0000-0000-000080640000}"/>
    <cellStyle name="Normal 34 5 2 2" xfId="18002" xr:uid="{00000000-0005-0000-0000-000081640000}"/>
    <cellStyle name="Normal 34 5 3" xfId="18003" xr:uid="{00000000-0005-0000-0000-000082640000}"/>
    <cellStyle name="Normal 34 5 3 2" xfId="18004" xr:uid="{00000000-0005-0000-0000-000083640000}"/>
    <cellStyle name="Normal 34 5 4" xfId="18005" xr:uid="{00000000-0005-0000-0000-000084640000}"/>
    <cellStyle name="Normal 34 6" xfId="18006" xr:uid="{00000000-0005-0000-0000-000085640000}"/>
    <cellStyle name="Normal 34 6 2" xfId="18007" xr:uid="{00000000-0005-0000-0000-000086640000}"/>
    <cellStyle name="Normal 34 6 2 2" xfId="18008" xr:uid="{00000000-0005-0000-0000-000087640000}"/>
    <cellStyle name="Normal 34 6 3" xfId="18009" xr:uid="{00000000-0005-0000-0000-000088640000}"/>
    <cellStyle name="Normal 34 6 3 2" xfId="18010" xr:uid="{00000000-0005-0000-0000-000089640000}"/>
    <cellStyle name="Normal 34 6 4" xfId="18011" xr:uid="{00000000-0005-0000-0000-00008A640000}"/>
    <cellStyle name="Normal 34 7" xfId="18012" xr:uid="{00000000-0005-0000-0000-00008B640000}"/>
    <cellStyle name="Normal 34 7 2" xfId="18013" xr:uid="{00000000-0005-0000-0000-00008C640000}"/>
    <cellStyle name="Normal 34 7 2 2" xfId="18014" xr:uid="{00000000-0005-0000-0000-00008D640000}"/>
    <cellStyle name="Normal 34 7 3" xfId="18015" xr:uid="{00000000-0005-0000-0000-00008E640000}"/>
    <cellStyle name="Normal 34 7 3 2" xfId="18016" xr:uid="{00000000-0005-0000-0000-00008F640000}"/>
    <cellStyle name="Normal 34 7 4" xfId="18017" xr:uid="{00000000-0005-0000-0000-000090640000}"/>
    <cellStyle name="Normal 34 8" xfId="18018" xr:uid="{00000000-0005-0000-0000-000091640000}"/>
    <cellStyle name="Normal 34 8 2" xfId="18019" xr:uid="{00000000-0005-0000-0000-000092640000}"/>
    <cellStyle name="Normal 34 8 2 2" xfId="18020" xr:uid="{00000000-0005-0000-0000-000093640000}"/>
    <cellStyle name="Normal 34 8 3" xfId="18021" xr:uid="{00000000-0005-0000-0000-000094640000}"/>
    <cellStyle name="Normal 34 8 3 2" xfId="18022" xr:uid="{00000000-0005-0000-0000-000095640000}"/>
    <cellStyle name="Normal 34 8 4" xfId="18023" xr:uid="{00000000-0005-0000-0000-000096640000}"/>
    <cellStyle name="Normal 34 9" xfId="18024" xr:uid="{00000000-0005-0000-0000-000097640000}"/>
    <cellStyle name="Normal 34 9 2" xfId="18025" xr:uid="{00000000-0005-0000-0000-000098640000}"/>
    <cellStyle name="Normal 34 9 2 2" xfId="18026" xr:uid="{00000000-0005-0000-0000-000099640000}"/>
    <cellStyle name="Normal 34 9 3" xfId="18027" xr:uid="{00000000-0005-0000-0000-00009A640000}"/>
    <cellStyle name="Normal 34 9 3 2" xfId="18028" xr:uid="{00000000-0005-0000-0000-00009B640000}"/>
    <cellStyle name="Normal 34 9 4" xfId="18029" xr:uid="{00000000-0005-0000-0000-00009C640000}"/>
    <cellStyle name="Normal 35" xfId="18030" xr:uid="{00000000-0005-0000-0000-00009D640000}"/>
    <cellStyle name="Normal 35 10" xfId="18031" xr:uid="{00000000-0005-0000-0000-00009E640000}"/>
    <cellStyle name="Normal 35 10 2" xfId="18032" xr:uid="{00000000-0005-0000-0000-00009F640000}"/>
    <cellStyle name="Normal 35 10 2 2" xfId="18033" xr:uid="{00000000-0005-0000-0000-0000A0640000}"/>
    <cellStyle name="Normal 35 10 3" xfId="18034" xr:uid="{00000000-0005-0000-0000-0000A1640000}"/>
    <cellStyle name="Normal 35 11" xfId="18035" xr:uid="{00000000-0005-0000-0000-0000A2640000}"/>
    <cellStyle name="Normal 35 11 2" xfId="18036" xr:uid="{00000000-0005-0000-0000-0000A3640000}"/>
    <cellStyle name="Normal 35 12" xfId="18037" xr:uid="{00000000-0005-0000-0000-0000A4640000}"/>
    <cellStyle name="Normal 35 12 2" xfId="18038" xr:uid="{00000000-0005-0000-0000-0000A5640000}"/>
    <cellStyle name="Normal 35 13" xfId="18039" xr:uid="{00000000-0005-0000-0000-0000A6640000}"/>
    <cellStyle name="Normal 35 14" xfId="18040" xr:uid="{00000000-0005-0000-0000-0000A7640000}"/>
    <cellStyle name="Normal 35 15" xfId="18041" xr:uid="{00000000-0005-0000-0000-0000A8640000}"/>
    <cellStyle name="Normal 35 2" xfId="18042" xr:uid="{00000000-0005-0000-0000-0000A9640000}"/>
    <cellStyle name="Normal 35 2 2" xfId="18043" xr:uid="{00000000-0005-0000-0000-0000AA640000}"/>
    <cellStyle name="Normal 35 3" xfId="18044" xr:uid="{00000000-0005-0000-0000-0000AB640000}"/>
    <cellStyle name="Normal 35 3 10" xfId="18045" xr:uid="{00000000-0005-0000-0000-0000AC640000}"/>
    <cellStyle name="Normal 35 3 10 2" xfId="18046" xr:uid="{00000000-0005-0000-0000-0000AD640000}"/>
    <cellStyle name="Normal 35 3 11" xfId="18047" xr:uid="{00000000-0005-0000-0000-0000AE640000}"/>
    <cellStyle name="Normal 35 3 2" xfId="18048" xr:uid="{00000000-0005-0000-0000-0000AF640000}"/>
    <cellStyle name="Normal 35 3 2 2" xfId="18049" xr:uid="{00000000-0005-0000-0000-0000B0640000}"/>
    <cellStyle name="Normal 35 3 2 2 2" xfId="18050" xr:uid="{00000000-0005-0000-0000-0000B1640000}"/>
    <cellStyle name="Normal 35 3 2 2 2 2" xfId="18051" xr:uid="{00000000-0005-0000-0000-0000B2640000}"/>
    <cellStyle name="Normal 35 3 2 2 3" xfId="18052" xr:uid="{00000000-0005-0000-0000-0000B3640000}"/>
    <cellStyle name="Normal 35 3 2 2 3 2" xfId="18053" xr:uid="{00000000-0005-0000-0000-0000B4640000}"/>
    <cellStyle name="Normal 35 3 2 2 4" xfId="18054" xr:uid="{00000000-0005-0000-0000-0000B5640000}"/>
    <cellStyle name="Normal 35 3 2 3" xfId="18055" xr:uid="{00000000-0005-0000-0000-0000B6640000}"/>
    <cellStyle name="Normal 35 3 2 3 2" xfId="18056" xr:uid="{00000000-0005-0000-0000-0000B7640000}"/>
    <cellStyle name="Normal 35 3 2 3 2 2" xfId="18057" xr:uid="{00000000-0005-0000-0000-0000B8640000}"/>
    <cellStyle name="Normal 35 3 2 3 3" xfId="18058" xr:uid="{00000000-0005-0000-0000-0000B9640000}"/>
    <cellStyle name="Normal 35 3 2 3 3 2" xfId="18059" xr:uid="{00000000-0005-0000-0000-0000BA640000}"/>
    <cellStyle name="Normal 35 3 2 3 4" xfId="18060" xr:uid="{00000000-0005-0000-0000-0000BB640000}"/>
    <cellStyle name="Normal 35 3 2 4" xfId="18061" xr:uid="{00000000-0005-0000-0000-0000BC640000}"/>
    <cellStyle name="Normal 35 3 2 4 2" xfId="18062" xr:uid="{00000000-0005-0000-0000-0000BD640000}"/>
    <cellStyle name="Normal 35 3 2 5" xfId="18063" xr:uid="{00000000-0005-0000-0000-0000BE640000}"/>
    <cellStyle name="Normal 35 3 2 5 2" xfId="18064" xr:uid="{00000000-0005-0000-0000-0000BF640000}"/>
    <cellStyle name="Normal 35 3 2 6" xfId="18065" xr:uid="{00000000-0005-0000-0000-0000C0640000}"/>
    <cellStyle name="Normal 35 3 3" xfId="18066" xr:uid="{00000000-0005-0000-0000-0000C1640000}"/>
    <cellStyle name="Normal 35 3 3 2" xfId="18067" xr:uid="{00000000-0005-0000-0000-0000C2640000}"/>
    <cellStyle name="Normal 35 3 3 2 2" xfId="18068" xr:uid="{00000000-0005-0000-0000-0000C3640000}"/>
    <cellStyle name="Normal 35 3 3 3" xfId="18069" xr:uid="{00000000-0005-0000-0000-0000C4640000}"/>
    <cellStyle name="Normal 35 3 3 3 2" xfId="18070" xr:uid="{00000000-0005-0000-0000-0000C5640000}"/>
    <cellStyle name="Normal 35 3 3 4" xfId="18071" xr:uid="{00000000-0005-0000-0000-0000C6640000}"/>
    <cellStyle name="Normal 35 3 4" xfId="18072" xr:uid="{00000000-0005-0000-0000-0000C7640000}"/>
    <cellStyle name="Normal 35 3 4 2" xfId="18073" xr:uid="{00000000-0005-0000-0000-0000C8640000}"/>
    <cellStyle name="Normal 35 3 4 2 2" xfId="18074" xr:uid="{00000000-0005-0000-0000-0000C9640000}"/>
    <cellStyle name="Normal 35 3 4 3" xfId="18075" xr:uid="{00000000-0005-0000-0000-0000CA640000}"/>
    <cellStyle name="Normal 35 3 4 3 2" xfId="18076" xr:uid="{00000000-0005-0000-0000-0000CB640000}"/>
    <cellStyle name="Normal 35 3 4 4" xfId="18077" xr:uid="{00000000-0005-0000-0000-0000CC640000}"/>
    <cellStyle name="Normal 35 3 5" xfId="18078" xr:uid="{00000000-0005-0000-0000-0000CD640000}"/>
    <cellStyle name="Normal 35 3 5 2" xfId="18079" xr:uid="{00000000-0005-0000-0000-0000CE640000}"/>
    <cellStyle name="Normal 35 3 5 2 2" xfId="18080" xr:uid="{00000000-0005-0000-0000-0000CF640000}"/>
    <cellStyle name="Normal 35 3 5 3" xfId="18081" xr:uid="{00000000-0005-0000-0000-0000D0640000}"/>
    <cellStyle name="Normal 35 3 5 3 2" xfId="18082" xr:uid="{00000000-0005-0000-0000-0000D1640000}"/>
    <cellStyle name="Normal 35 3 5 4" xfId="18083" xr:uid="{00000000-0005-0000-0000-0000D2640000}"/>
    <cellStyle name="Normal 35 3 6" xfId="18084" xr:uid="{00000000-0005-0000-0000-0000D3640000}"/>
    <cellStyle name="Normal 35 3 6 2" xfId="18085" xr:uid="{00000000-0005-0000-0000-0000D4640000}"/>
    <cellStyle name="Normal 35 3 6 2 2" xfId="18086" xr:uid="{00000000-0005-0000-0000-0000D5640000}"/>
    <cellStyle name="Normal 35 3 6 3" xfId="18087" xr:uid="{00000000-0005-0000-0000-0000D6640000}"/>
    <cellStyle name="Normal 35 3 6 3 2" xfId="18088" xr:uid="{00000000-0005-0000-0000-0000D7640000}"/>
    <cellStyle name="Normal 35 3 6 4" xfId="18089" xr:uid="{00000000-0005-0000-0000-0000D8640000}"/>
    <cellStyle name="Normal 35 3 7" xfId="18090" xr:uid="{00000000-0005-0000-0000-0000D9640000}"/>
    <cellStyle name="Normal 35 3 7 2" xfId="18091" xr:uid="{00000000-0005-0000-0000-0000DA640000}"/>
    <cellStyle name="Normal 35 3 7 2 2" xfId="18092" xr:uid="{00000000-0005-0000-0000-0000DB640000}"/>
    <cellStyle name="Normal 35 3 7 3" xfId="18093" xr:uid="{00000000-0005-0000-0000-0000DC640000}"/>
    <cellStyle name="Normal 35 3 7 3 2" xfId="18094" xr:uid="{00000000-0005-0000-0000-0000DD640000}"/>
    <cellStyle name="Normal 35 3 7 4" xfId="18095" xr:uid="{00000000-0005-0000-0000-0000DE640000}"/>
    <cellStyle name="Normal 35 3 8" xfId="18096" xr:uid="{00000000-0005-0000-0000-0000DF640000}"/>
    <cellStyle name="Normal 35 3 8 2" xfId="18097" xr:uid="{00000000-0005-0000-0000-0000E0640000}"/>
    <cellStyle name="Normal 35 3 8 2 2" xfId="18098" xr:uid="{00000000-0005-0000-0000-0000E1640000}"/>
    <cellStyle name="Normal 35 3 8 3" xfId="18099" xr:uid="{00000000-0005-0000-0000-0000E2640000}"/>
    <cellStyle name="Normal 35 3 9" xfId="18100" xr:uid="{00000000-0005-0000-0000-0000E3640000}"/>
    <cellStyle name="Normal 35 3 9 2" xfId="18101" xr:uid="{00000000-0005-0000-0000-0000E4640000}"/>
    <cellStyle name="Normal 35 4" xfId="18102" xr:uid="{00000000-0005-0000-0000-0000E5640000}"/>
    <cellStyle name="Normal 35 4 2" xfId="18103" xr:uid="{00000000-0005-0000-0000-0000E6640000}"/>
    <cellStyle name="Normal 35 4 2 2" xfId="18104" xr:uid="{00000000-0005-0000-0000-0000E7640000}"/>
    <cellStyle name="Normal 35 4 2 2 2" xfId="18105" xr:uid="{00000000-0005-0000-0000-0000E8640000}"/>
    <cellStyle name="Normal 35 4 2 3" xfId="18106" xr:uid="{00000000-0005-0000-0000-0000E9640000}"/>
    <cellStyle name="Normal 35 4 2 3 2" xfId="18107" xr:uid="{00000000-0005-0000-0000-0000EA640000}"/>
    <cellStyle name="Normal 35 4 2 4" xfId="18108" xr:uid="{00000000-0005-0000-0000-0000EB640000}"/>
    <cellStyle name="Normal 35 4 3" xfId="18109" xr:uid="{00000000-0005-0000-0000-0000EC640000}"/>
    <cellStyle name="Normal 35 4 3 2" xfId="18110" xr:uid="{00000000-0005-0000-0000-0000ED640000}"/>
    <cellStyle name="Normal 35 4 3 2 2" xfId="18111" xr:uid="{00000000-0005-0000-0000-0000EE640000}"/>
    <cellStyle name="Normal 35 4 3 3" xfId="18112" xr:uid="{00000000-0005-0000-0000-0000EF640000}"/>
    <cellStyle name="Normal 35 4 3 3 2" xfId="18113" xr:uid="{00000000-0005-0000-0000-0000F0640000}"/>
    <cellStyle name="Normal 35 4 3 4" xfId="18114" xr:uid="{00000000-0005-0000-0000-0000F1640000}"/>
    <cellStyle name="Normal 35 4 4" xfId="18115" xr:uid="{00000000-0005-0000-0000-0000F2640000}"/>
    <cellStyle name="Normal 35 4 4 2" xfId="18116" xr:uid="{00000000-0005-0000-0000-0000F3640000}"/>
    <cellStyle name="Normal 35 4 5" xfId="18117" xr:uid="{00000000-0005-0000-0000-0000F4640000}"/>
    <cellStyle name="Normal 35 4 5 2" xfId="18118" xr:uid="{00000000-0005-0000-0000-0000F5640000}"/>
    <cellStyle name="Normal 35 4 6" xfId="18119" xr:uid="{00000000-0005-0000-0000-0000F6640000}"/>
    <cellStyle name="Normal 35 5" xfId="18120" xr:uid="{00000000-0005-0000-0000-0000F7640000}"/>
    <cellStyle name="Normal 35 5 2" xfId="18121" xr:uid="{00000000-0005-0000-0000-0000F8640000}"/>
    <cellStyle name="Normal 35 5 2 2" xfId="18122" xr:uid="{00000000-0005-0000-0000-0000F9640000}"/>
    <cellStyle name="Normal 35 5 3" xfId="18123" xr:uid="{00000000-0005-0000-0000-0000FA640000}"/>
    <cellStyle name="Normal 35 5 3 2" xfId="18124" xr:uid="{00000000-0005-0000-0000-0000FB640000}"/>
    <cellStyle name="Normal 35 5 4" xfId="18125" xr:uid="{00000000-0005-0000-0000-0000FC640000}"/>
    <cellStyle name="Normal 35 6" xfId="18126" xr:uid="{00000000-0005-0000-0000-0000FD640000}"/>
    <cellStyle name="Normal 35 6 2" xfId="18127" xr:uid="{00000000-0005-0000-0000-0000FE640000}"/>
    <cellStyle name="Normal 35 6 2 2" xfId="18128" xr:uid="{00000000-0005-0000-0000-0000FF640000}"/>
    <cellStyle name="Normal 35 6 3" xfId="18129" xr:uid="{00000000-0005-0000-0000-000000650000}"/>
    <cellStyle name="Normal 35 6 3 2" xfId="18130" xr:uid="{00000000-0005-0000-0000-000001650000}"/>
    <cellStyle name="Normal 35 6 4" xfId="18131" xr:uid="{00000000-0005-0000-0000-000002650000}"/>
    <cellStyle name="Normal 35 7" xfId="18132" xr:uid="{00000000-0005-0000-0000-000003650000}"/>
    <cellStyle name="Normal 35 7 2" xfId="18133" xr:uid="{00000000-0005-0000-0000-000004650000}"/>
    <cellStyle name="Normal 35 7 2 2" xfId="18134" xr:uid="{00000000-0005-0000-0000-000005650000}"/>
    <cellStyle name="Normal 35 7 3" xfId="18135" xr:uid="{00000000-0005-0000-0000-000006650000}"/>
    <cellStyle name="Normal 35 7 3 2" xfId="18136" xr:uid="{00000000-0005-0000-0000-000007650000}"/>
    <cellStyle name="Normal 35 7 4" xfId="18137" xr:uid="{00000000-0005-0000-0000-000008650000}"/>
    <cellStyle name="Normal 35 8" xfId="18138" xr:uid="{00000000-0005-0000-0000-000009650000}"/>
    <cellStyle name="Normal 35 8 2" xfId="18139" xr:uid="{00000000-0005-0000-0000-00000A650000}"/>
    <cellStyle name="Normal 35 8 2 2" xfId="18140" xr:uid="{00000000-0005-0000-0000-00000B650000}"/>
    <cellStyle name="Normal 35 8 3" xfId="18141" xr:uid="{00000000-0005-0000-0000-00000C650000}"/>
    <cellStyle name="Normal 35 8 3 2" xfId="18142" xr:uid="{00000000-0005-0000-0000-00000D650000}"/>
    <cellStyle name="Normal 35 8 4" xfId="18143" xr:uid="{00000000-0005-0000-0000-00000E650000}"/>
    <cellStyle name="Normal 35 9" xfId="18144" xr:uid="{00000000-0005-0000-0000-00000F650000}"/>
    <cellStyle name="Normal 35 9 2" xfId="18145" xr:uid="{00000000-0005-0000-0000-000010650000}"/>
    <cellStyle name="Normal 35 9 2 2" xfId="18146" xr:uid="{00000000-0005-0000-0000-000011650000}"/>
    <cellStyle name="Normal 35 9 3" xfId="18147" xr:uid="{00000000-0005-0000-0000-000012650000}"/>
    <cellStyle name="Normal 35 9 3 2" xfId="18148" xr:uid="{00000000-0005-0000-0000-000013650000}"/>
    <cellStyle name="Normal 35 9 4" xfId="18149" xr:uid="{00000000-0005-0000-0000-000014650000}"/>
    <cellStyle name="Normal 36" xfId="18150" xr:uid="{00000000-0005-0000-0000-000015650000}"/>
    <cellStyle name="Normal 36 2" xfId="18151" xr:uid="{00000000-0005-0000-0000-000016650000}"/>
    <cellStyle name="Normal 36 3" xfId="18152" xr:uid="{00000000-0005-0000-0000-000017650000}"/>
    <cellStyle name="Normal 37" xfId="18153" xr:uid="{00000000-0005-0000-0000-000018650000}"/>
    <cellStyle name="Normal 37 2" xfId="18154" xr:uid="{00000000-0005-0000-0000-000019650000}"/>
    <cellStyle name="Normal 37 2 2" xfId="18155" xr:uid="{00000000-0005-0000-0000-00001A650000}"/>
    <cellStyle name="Normal 37 3" xfId="18156" xr:uid="{00000000-0005-0000-0000-00001B650000}"/>
    <cellStyle name="Normal 37 4" xfId="18157" xr:uid="{00000000-0005-0000-0000-00001C650000}"/>
    <cellStyle name="Normal 38" xfId="18158" xr:uid="{00000000-0005-0000-0000-00001D650000}"/>
    <cellStyle name="Normal 38 2" xfId="18159" xr:uid="{00000000-0005-0000-0000-00001E650000}"/>
    <cellStyle name="Normal 39" xfId="18160" xr:uid="{00000000-0005-0000-0000-00001F650000}"/>
    <cellStyle name="Normal 39 2" xfId="18161" xr:uid="{00000000-0005-0000-0000-000020650000}"/>
    <cellStyle name="Normal 39 3" xfId="18162" xr:uid="{00000000-0005-0000-0000-000021650000}"/>
    <cellStyle name="Normal 4" xfId="18163" xr:uid="{00000000-0005-0000-0000-000022650000}"/>
    <cellStyle name="Normal 4 10" xfId="18164" xr:uid="{00000000-0005-0000-0000-000023650000}"/>
    <cellStyle name="Normal 4 10 10" xfId="18165" xr:uid="{00000000-0005-0000-0000-000024650000}"/>
    <cellStyle name="Normal 4 10 11" xfId="18166" xr:uid="{00000000-0005-0000-0000-000025650000}"/>
    <cellStyle name="Normal 4 10 12" xfId="18167" xr:uid="{00000000-0005-0000-0000-000026650000}"/>
    <cellStyle name="Normal 4 10 13" xfId="18168" xr:uid="{00000000-0005-0000-0000-000027650000}"/>
    <cellStyle name="Normal 4 10 14" xfId="18169" xr:uid="{00000000-0005-0000-0000-000028650000}"/>
    <cellStyle name="Normal 4 10 15" xfId="18170" xr:uid="{00000000-0005-0000-0000-000029650000}"/>
    <cellStyle name="Normal 4 10 2" xfId="18171" xr:uid="{00000000-0005-0000-0000-00002A650000}"/>
    <cellStyle name="Normal 4 10 2 10" xfId="18172" xr:uid="{00000000-0005-0000-0000-00002B650000}"/>
    <cellStyle name="Normal 4 10 2 11" xfId="18173" xr:uid="{00000000-0005-0000-0000-00002C650000}"/>
    <cellStyle name="Normal 4 10 2 12" xfId="18174" xr:uid="{00000000-0005-0000-0000-00002D650000}"/>
    <cellStyle name="Normal 4 10 2 13" xfId="18175" xr:uid="{00000000-0005-0000-0000-00002E650000}"/>
    <cellStyle name="Normal 4 10 2 14" xfId="18176" xr:uid="{00000000-0005-0000-0000-00002F650000}"/>
    <cellStyle name="Normal 4 10 2 2" xfId="18177" xr:uid="{00000000-0005-0000-0000-000030650000}"/>
    <cellStyle name="Normal 4 10 2 2 2" xfId="18178" xr:uid="{00000000-0005-0000-0000-000031650000}"/>
    <cellStyle name="Normal 4 10 2 2 2 2" xfId="18179" xr:uid="{00000000-0005-0000-0000-000032650000}"/>
    <cellStyle name="Normal 4 10 2 2 2 2 2" xfId="18180" xr:uid="{00000000-0005-0000-0000-000033650000}"/>
    <cellStyle name="Normal 4 10 2 2 2 2 2 2" xfId="53748" xr:uid="{00000000-0005-0000-0000-000034650000}"/>
    <cellStyle name="Normal 4 10 2 2 2 2 2 3" xfId="53749" xr:uid="{00000000-0005-0000-0000-000035650000}"/>
    <cellStyle name="Normal 4 10 2 2 2 2 3" xfId="18181" xr:uid="{00000000-0005-0000-0000-000036650000}"/>
    <cellStyle name="Normal 4 10 2 2 2 2 3 2" xfId="53750" xr:uid="{00000000-0005-0000-0000-000037650000}"/>
    <cellStyle name="Normal 4 10 2 2 2 2 4" xfId="18182" xr:uid="{00000000-0005-0000-0000-000038650000}"/>
    <cellStyle name="Normal 4 10 2 2 2 2 5" xfId="18183" xr:uid="{00000000-0005-0000-0000-000039650000}"/>
    <cellStyle name="Normal 4 10 2 2 2 2 6" xfId="18184" xr:uid="{00000000-0005-0000-0000-00003A650000}"/>
    <cellStyle name="Normal 4 10 2 2 2 3" xfId="18185" xr:uid="{00000000-0005-0000-0000-00003B650000}"/>
    <cellStyle name="Normal 4 10 2 2 2 3 2" xfId="53751" xr:uid="{00000000-0005-0000-0000-00003C650000}"/>
    <cellStyle name="Normal 4 10 2 2 2 3 3" xfId="53752" xr:uid="{00000000-0005-0000-0000-00003D650000}"/>
    <cellStyle name="Normal 4 10 2 2 2 4" xfId="18186" xr:uid="{00000000-0005-0000-0000-00003E650000}"/>
    <cellStyle name="Normal 4 10 2 2 2 4 2" xfId="53753" xr:uid="{00000000-0005-0000-0000-00003F650000}"/>
    <cellStyle name="Normal 4 10 2 2 2 5" xfId="18187" xr:uid="{00000000-0005-0000-0000-000040650000}"/>
    <cellStyle name="Normal 4 10 2 2 2 6" xfId="18188" xr:uid="{00000000-0005-0000-0000-000041650000}"/>
    <cellStyle name="Normal 4 10 2 2 2 7" xfId="18189" xr:uid="{00000000-0005-0000-0000-000042650000}"/>
    <cellStyle name="Normal 4 10 2 2 3" xfId="18190" xr:uid="{00000000-0005-0000-0000-000043650000}"/>
    <cellStyle name="Normal 4 10 2 2 3 2" xfId="18191" xr:uid="{00000000-0005-0000-0000-000044650000}"/>
    <cellStyle name="Normal 4 10 2 2 3 2 2" xfId="53754" xr:uid="{00000000-0005-0000-0000-000045650000}"/>
    <cellStyle name="Normal 4 10 2 2 3 2 3" xfId="53755" xr:uid="{00000000-0005-0000-0000-000046650000}"/>
    <cellStyle name="Normal 4 10 2 2 3 3" xfId="18192" xr:uid="{00000000-0005-0000-0000-000047650000}"/>
    <cellStyle name="Normal 4 10 2 2 3 3 2" xfId="53756" xr:uid="{00000000-0005-0000-0000-000048650000}"/>
    <cellStyle name="Normal 4 10 2 2 3 4" xfId="18193" xr:uid="{00000000-0005-0000-0000-000049650000}"/>
    <cellStyle name="Normal 4 10 2 2 3 5" xfId="18194" xr:uid="{00000000-0005-0000-0000-00004A650000}"/>
    <cellStyle name="Normal 4 10 2 2 3 6" xfId="18195" xr:uid="{00000000-0005-0000-0000-00004B650000}"/>
    <cellStyle name="Normal 4 10 2 2 4" xfId="18196" xr:uid="{00000000-0005-0000-0000-00004C650000}"/>
    <cellStyle name="Normal 4 10 2 2 4 2" xfId="53757" xr:uid="{00000000-0005-0000-0000-00004D650000}"/>
    <cellStyle name="Normal 4 10 2 2 4 3" xfId="53758" xr:uid="{00000000-0005-0000-0000-00004E650000}"/>
    <cellStyle name="Normal 4 10 2 2 5" xfId="18197" xr:uid="{00000000-0005-0000-0000-00004F650000}"/>
    <cellStyle name="Normal 4 10 2 2 5 2" xfId="53759" xr:uid="{00000000-0005-0000-0000-000050650000}"/>
    <cellStyle name="Normal 4 10 2 2 6" xfId="18198" xr:uid="{00000000-0005-0000-0000-000051650000}"/>
    <cellStyle name="Normal 4 10 2 2 7" xfId="18199" xr:uid="{00000000-0005-0000-0000-000052650000}"/>
    <cellStyle name="Normal 4 10 2 2 8" xfId="18200" xr:uid="{00000000-0005-0000-0000-000053650000}"/>
    <cellStyle name="Normal 4 10 2 2 9" xfId="18201" xr:uid="{00000000-0005-0000-0000-000054650000}"/>
    <cellStyle name="Normal 4 10 2 3" xfId="18202" xr:uid="{00000000-0005-0000-0000-000055650000}"/>
    <cellStyle name="Normal 4 10 2 3 2" xfId="18203" xr:uid="{00000000-0005-0000-0000-000056650000}"/>
    <cellStyle name="Normal 4 10 2 3 2 2" xfId="18204" xr:uid="{00000000-0005-0000-0000-000057650000}"/>
    <cellStyle name="Normal 4 10 2 3 2 2 2" xfId="18205" xr:uid="{00000000-0005-0000-0000-000058650000}"/>
    <cellStyle name="Normal 4 10 2 3 2 2 2 2" xfId="53760" xr:uid="{00000000-0005-0000-0000-000059650000}"/>
    <cellStyle name="Normal 4 10 2 3 2 2 2 3" xfId="53761" xr:uid="{00000000-0005-0000-0000-00005A650000}"/>
    <cellStyle name="Normal 4 10 2 3 2 2 3" xfId="18206" xr:uid="{00000000-0005-0000-0000-00005B650000}"/>
    <cellStyle name="Normal 4 10 2 3 2 2 3 2" xfId="53762" xr:uid="{00000000-0005-0000-0000-00005C650000}"/>
    <cellStyle name="Normal 4 10 2 3 2 2 4" xfId="18207" xr:uid="{00000000-0005-0000-0000-00005D650000}"/>
    <cellStyle name="Normal 4 10 2 3 2 2 5" xfId="18208" xr:uid="{00000000-0005-0000-0000-00005E650000}"/>
    <cellStyle name="Normal 4 10 2 3 2 2 6" xfId="18209" xr:uid="{00000000-0005-0000-0000-00005F650000}"/>
    <cellStyle name="Normal 4 10 2 3 2 3" xfId="18210" xr:uid="{00000000-0005-0000-0000-000060650000}"/>
    <cellStyle name="Normal 4 10 2 3 2 3 2" xfId="53763" xr:uid="{00000000-0005-0000-0000-000061650000}"/>
    <cellStyle name="Normal 4 10 2 3 2 3 3" xfId="53764" xr:uid="{00000000-0005-0000-0000-000062650000}"/>
    <cellStyle name="Normal 4 10 2 3 2 4" xfId="18211" xr:uid="{00000000-0005-0000-0000-000063650000}"/>
    <cellStyle name="Normal 4 10 2 3 2 4 2" xfId="53765" xr:uid="{00000000-0005-0000-0000-000064650000}"/>
    <cellStyle name="Normal 4 10 2 3 2 5" xfId="18212" xr:uid="{00000000-0005-0000-0000-000065650000}"/>
    <cellStyle name="Normal 4 10 2 3 2 6" xfId="18213" xr:uid="{00000000-0005-0000-0000-000066650000}"/>
    <cellStyle name="Normal 4 10 2 3 2 7" xfId="18214" xr:uid="{00000000-0005-0000-0000-000067650000}"/>
    <cellStyle name="Normal 4 10 2 3 3" xfId="18215" xr:uid="{00000000-0005-0000-0000-000068650000}"/>
    <cellStyle name="Normal 4 10 2 3 3 2" xfId="18216" xr:uid="{00000000-0005-0000-0000-000069650000}"/>
    <cellStyle name="Normal 4 10 2 3 3 2 2" xfId="53766" xr:uid="{00000000-0005-0000-0000-00006A650000}"/>
    <cellStyle name="Normal 4 10 2 3 3 2 3" xfId="53767" xr:uid="{00000000-0005-0000-0000-00006B650000}"/>
    <cellStyle name="Normal 4 10 2 3 3 3" xfId="18217" xr:uid="{00000000-0005-0000-0000-00006C650000}"/>
    <cellStyle name="Normal 4 10 2 3 3 3 2" xfId="53768" xr:uid="{00000000-0005-0000-0000-00006D650000}"/>
    <cellStyle name="Normal 4 10 2 3 3 4" xfId="18218" xr:uid="{00000000-0005-0000-0000-00006E650000}"/>
    <cellStyle name="Normal 4 10 2 3 3 5" xfId="18219" xr:uid="{00000000-0005-0000-0000-00006F650000}"/>
    <cellStyle name="Normal 4 10 2 3 3 6" xfId="18220" xr:uid="{00000000-0005-0000-0000-000070650000}"/>
    <cellStyle name="Normal 4 10 2 3 4" xfId="18221" xr:uid="{00000000-0005-0000-0000-000071650000}"/>
    <cellStyle name="Normal 4 10 2 3 4 2" xfId="53769" xr:uid="{00000000-0005-0000-0000-000072650000}"/>
    <cellStyle name="Normal 4 10 2 3 4 3" xfId="53770" xr:uid="{00000000-0005-0000-0000-000073650000}"/>
    <cellStyle name="Normal 4 10 2 3 5" xfId="18222" xr:uid="{00000000-0005-0000-0000-000074650000}"/>
    <cellStyle name="Normal 4 10 2 3 5 2" xfId="53771" xr:uid="{00000000-0005-0000-0000-000075650000}"/>
    <cellStyle name="Normal 4 10 2 3 6" xfId="18223" xr:uid="{00000000-0005-0000-0000-000076650000}"/>
    <cellStyle name="Normal 4 10 2 3 7" xfId="18224" xr:uid="{00000000-0005-0000-0000-000077650000}"/>
    <cellStyle name="Normal 4 10 2 3 8" xfId="18225" xr:uid="{00000000-0005-0000-0000-000078650000}"/>
    <cellStyle name="Normal 4 10 2 4" xfId="18226" xr:uid="{00000000-0005-0000-0000-000079650000}"/>
    <cellStyle name="Normal 4 10 2 4 2" xfId="18227" xr:uid="{00000000-0005-0000-0000-00007A650000}"/>
    <cellStyle name="Normal 4 10 2 4 2 2" xfId="18228" xr:uid="{00000000-0005-0000-0000-00007B650000}"/>
    <cellStyle name="Normal 4 10 2 4 2 2 2" xfId="53772" xr:uid="{00000000-0005-0000-0000-00007C650000}"/>
    <cellStyle name="Normal 4 10 2 4 2 2 3" xfId="53773" xr:uid="{00000000-0005-0000-0000-00007D650000}"/>
    <cellStyle name="Normal 4 10 2 4 2 3" xfId="18229" xr:uid="{00000000-0005-0000-0000-00007E650000}"/>
    <cellStyle name="Normal 4 10 2 4 2 3 2" xfId="53774" xr:uid="{00000000-0005-0000-0000-00007F650000}"/>
    <cellStyle name="Normal 4 10 2 4 2 4" xfId="18230" xr:uid="{00000000-0005-0000-0000-000080650000}"/>
    <cellStyle name="Normal 4 10 2 4 2 5" xfId="18231" xr:uid="{00000000-0005-0000-0000-000081650000}"/>
    <cellStyle name="Normal 4 10 2 4 2 6" xfId="18232" xr:uid="{00000000-0005-0000-0000-000082650000}"/>
    <cellStyle name="Normal 4 10 2 4 3" xfId="18233" xr:uid="{00000000-0005-0000-0000-000083650000}"/>
    <cellStyle name="Normal 4 10 2 4 3 2" xfId="53775" xr:uid="{00000000-0005-0000-0000-000084650000}"/>
    <cellStyle name="Normal 4 10 2 4 3 3" xfId="53776" xr:uid="{00000000-0005-0000-0000-000085650000}"/>
    <cellStyle name="Normal 4 10 2 4 4" xfId="18234" xr:uid="{00000000-0005-0000-0000-000086650000}"/>
    <cellStyle name="Normal 4 10 2 4 4 2" xfId="53777" xr:uid="{00000000-0005-0000-0000-000087650000}"/>
    <cellStyle name="Normal 4 10 2 4 5" xfId="18235" xr:uid="{00000000-0005-0000-0000-000088650000}"/>
    <cellStyle name="Normal 4 10 2 4 6" xfId="18236" xr:uid="{00000000-0005-0000-0000-000089650000}"/>
    <cellStyle name="Normal 4 10 2 4 7" xfId="18237" xr:uid="{00000000-0005-0000-0000-00008A650000}"/>
    <cellStyle name="Normal 4 10 2 5" xfId="18238" xr:uid="{00000000-0005-0000-0000-00008B650000}"/>
    <cellStyle name="Normal 4 10 2 5 2" xfId="18239" xr:uid="{00000000-0005-0000-0000-00008C650000}"/>
    <cellStyle name="Normal 4 10 2 5 2 2" xfId="53778" xr:uid="{00000000-0005-0000-0000-00008D650000}"/>
    <cellStyle name="Normal 4 10 2 5 2 3" xfId="53779" xr:uid="{00000000-0005-0000-0000-00008E650000}"/>
    <cellStyle name="Normal 4 10 2 5 3" xfId="18240" xr:uid="{00000000-0005-0000-0000-00008F650000}"/>
    <cellStyle name="Normal 4 10 2 5 3 2" xfId="53780" xr:uid="{00000000-0005-0000-0000-000090650000}"/>
    <cellStyle name="Normal 4 10 2 5 4" xfId="18241" xr:uid="{00000000-0005-0000-0000-000091650000}"/>
    <cellStyle name="Normal 4 10 2 5 5" xfId="18242" xr:uid="{00000000-0005-0000-0000-000092650000}"/>
    <cellStyle name="Normal 4 10 2 5 6" xfId="18243" xr:uid="{00000000-0005-0000-0000-000093650000}"/>
    <cellStyle name="Normal 4 10 2 6" xfId="18244" xr:uid="{00000000-0005-0000-0000-000094650000}"/>
    <cellStyle name="Normal 4 10 2 6 2" xfId="53781" xr:uid="{00000000-0005-0000-0000-000095650000}"/>
    <cellStyle name="Normal 4 10 2 6 3" xfId="53782" xr:uid="{00000000-0005-0000-0000-000096650000}"/>
    <cellStyle name="Normal 4 10 2 7" xfId="18245" xr:uid="{00000000-0005-0000-0000-000097650000}"/>
    <cellStyle name="Normal 4 10 2 7 2" xfId="53783" xr:uid="{00000000-0005-0000-0000-000098650000}"/>
    <cellStyle name="Normal 4 10 2 8" xfId="18246" xr:uid="{00000000-0005-0000-0000-000099650000}"/>
    <cellStyle name="Normal 4 10 2 8 2" xfId="53784" xr:uid="{00000000-0005-0000-0000-00009A650000}"/>
    <cellStyle name="Normal 4 10 2 9" xfId="18247" xr:uid="{00000000-0005-0000-0000-00009B650000}"/>
    <cellStyle name="Normal 4 10 3" xfId="18248" xr:uid="{00000000-0005-0000-0000-00009C650000}"/>
    <cellStyle name="Normal 4 10 3 2" xfId="18249" xr:uid="{00000000-0005-0000-0000-00009D650000}"/>
    <cellStyle name="Normal 4 10 3 2 2" xfId="18250" xr:uid="{00000000-0005-0000-0000-00009E650000}"/>
    <cellStyle name="Normal 4 10 3 2 2 2" xfId="18251" xr:uid="{00000000-0005-0000-0000-00009F650000}"/>
    <cellStyle name="Normal 4 10 3 2 2 2 2" xfId="53785" xr:uid="{00000000-0005-0000-0000-0000A0650000}"/>
    <cellStyle name="Normal 4 10 3 2 2 2 3" xfId="53786" xr:uid="{00000000-0005-0000-0000-0000A1650000}"/>
    <cellStyle name="Normal 4 10 3 2 2 3" xfId="18252" xr:uid="{00000000-0005-0000-0000-0000A2650000}"/>
    <cellStyle name="Normal 4 10 3 2 2 3 2" xfId="53787" xr:uid="{00000000-0005-0000-0000-0000A3650000}"/>
    <cellStyle name="Normal 4 10 3 2 2 4" xfId="18253" xr:uid="{00000000-0005-0000-0000-0000A4650000}"/>
    <cellStyle name="Normal 4 10 3 2 2 5" xfId="18254" xr:uid="{00000000-0005-0000-0000-0000A5650000}"/>
    <cellStyle name="Normal 4 10 3 2 2 6" xfId="18255" xr:uid="{00000000-0005-0000-0000-0000A6650000}"/>
    <cellStyle name="Normal 4 10 3 2 3" xfId="18256" xr:uid="{00000000-0005-0000-0000-0000A7650000}"/>
    <cellStyle name="Normal 4 10 3 2 3 2" xfId="53788" xr:uid="{00000000-0005-0000-0000-0000A8650000}"/>
    <cellStyle name="Normal 4 10 3 2 3 3" xfId="53789" xr:uid="{00000000-0005-0000-0000-0000A9650000}"/>
    <cellStyle name="Normal 4 10 3 2 4" xfId="18257" xr:uid="{00000000-0005-0000-0000-0000AA650000}"/>
    <cellStyle name="Normal 4 10 3 2 4 2" xfId="53790" xr:uid="{00000000-0005-0000-0000-0000AB650000}"/>
    <cellStyle name="Normal 4 10 3 2 5" xfId="18258" xr:uid="{00000000-0005-0000-0000-0000AC650000}"/>
    <cellStyle name="Normal 4 10 3 2 6" xfId="18259" xr:uid="{00000000-0005-0000-0000-0000AD650000}"/>
    <cellStyle name="Normal 4 10 3 2 7" xfId="18260" xr:uid="{00000000-0005-0000-0000-0000AE650000}"/>
    <cellStyle name="Normal 4 10 3 3" xfId="18261" xr:uid="{00000000-0005-0000-0000-0000AF650000}"/>
    <cellStyle name="Normal 4 10 3 3 2" xfId="18262" xr:uid="{00000000-0005-0000-0000-0000B0650000}"/>
    <cellStyle name="Normal 4 10 3 3 2 2" xfId="53791" xr:uid="{00000000-0005-0000-0000-0000B1650000}"/>
    <cellStyle name="Normal 4 10 3 3 2 3" xfId="53792" xr:uid="{00000000-0005-0000-0000-0000B2650000}"/>
    <cellStyle name="Normal 4 10 3 3 3" xfId="18263" xr:uid="{00000000-0005-0000-0000-0000B3650000}"/>
    <cellStyle name="Normal 4 10 3 3 3 2" xfId="53793" xr:uid="{00000000-0005-0000-0000-0000B4650000}"/>
    <cellStyle name="Normal 4 10 3 3 4" xfId="18264" xr:uid="{00000000-0005-0000-0000-0000B5650000}"/>
    <cellStyle name="Normal 4 10 3 3 5" xfId="18265" xr:uid="{00000000-0005-0000-0000-0000B6650000}"/>
    <cellStyle name="Normal 4 10 3 3 6" xfId="18266" xr:uid="{00000000-0005-0000-0000-0000B7650000}"/>
    <cellStyle name="Normal 4 10 3 4" xfId="18267" xr:uid="{00000000-0005-0000-0000-0000B8650000}"/>
    <cellStyle name="Normal 4 10 3 4 2" xfId="53794" xr:uid="{00000000-0005-0000-0000-0000B9650000}"/>
    <cellStyle name="Normal 4 10 3 4 3" xfId="53795" xr:uid="{00000000-0005-0000-0000-0000BA650000}"/>
    <cellStyle name="Normal 4 10 3 5" xfId="18268" xr:uid="{00000000-0005-0000-0000-0000BB650000}"/>
    <cellStyle name="Normal 4 10 3 5 2" xfId="53796" xr:uid="{00000000-0005-0000-0000-0000BC650000}"/>
    <cellStyle name="Normal 4 10 3 6" xfId="18269" xr:uid="{00000000-0005-0000-0000-0000BD650000}"/>
    <cellStyle name="Normal 4 10 3 7" xfId="18270" xr:uid="{00000000-0005-0000-0000-0000BE650000}"/>
    <cellStyle name="Normal 4 10 3 8" xfId="18271" xr:uid="{00000000-0005-0000-0000-0000BF650000}"/>
    <cellStyle name="Normal 4 10 3 9" xfId="18272" xr:uid="{00000000-0005-0000-0000-0000C0650000}"/>
    <cellStyle name="Normal 4 10 4" xfId="18273" xr:uid="{00000000-0005-0000-0000-0000C1650000}"/>
    <cellStyle name="Normal 4 10 4 2" xfId="18274" xr:uid="{00000000-0005-0000-0000-0000C2650000}"/>
    <cellStyle name="Normal 4 10 4 2 2" xfId="18275" xr:uid="{00000000-0005-0000-0000-0000C3650000}"/>
    <cellStyle name="Normal 4 10 4 2 2 2" xfId="18276" xr:uid="{00000000-0005-0000-0000-0000C4650000}"/>
    <cellStyle name="Normal 4 10 4 2 2 2 2" xfId="53797" xr:uid="{00000000-0005-0000-0000-0000C5650000}"/>
    <cellStyle name="Normal 4 10 4 2 2 2 3" xfId="53798" xr:uid="{00000000-0005-0000-0000-0000C6650000}"/>
    <cellStyle name="Normal 4 10 4 2 2 3" xfId="18277" xr:uid="{00000000-0005-0000-0000-0000C7650000}"/>
    <cellStyle name="Normal 4 10 4 2 2 3 2" xfId="53799" xr:uid="{00000000-0005-0000-0000-0000C8650000}"/>
    <cellStyle name="Normal 4 10 4 2 2 4" xfId="18278" xr:uid="{00000000-0005-0000-0000-0000C9650000}"/>
    <cellStyle name="Normal 4 10 4 2 2 5" xfId="18279" xr:uid="{00000000-0005-0000-0000-0000CA650000}"/>
    <cellStyle name="Normal 4 10 4 2 2 6" xfId="18280" xr:uid="{00000000-0005-0000-0000-0000CB650000}"/>
    <cellStyle name="Normal 4 10 4 2 3" xfId="18281" xr:uid="{00000000-0005-0000-0000-0000CC650000}"/>
    <cellStyle name="Normal 4 10 4 2 3 2" xfId="53800" xr:uid="{00000000-0005-0000-0000-0000CD650000}"/>
    <cellStyle name="Normal 4 10 4 2 3 3" xfId="53801" xr:uid="{00000000-0005-0000-0000-0000CE650000}"/>
    <cellStyle name="Normal 4 10 4 2 4" xfId="18282" xr:uid="{00000000-0005-0000-0000-0000CF650000}"/>
    <cellStyle name="Normal 4 10 4 2 4 2" xfId="53802" xr:uid="{00000000-0005-0000-0000-0000D0650000}"/>
    <cellStyle name="Normal 4 10 4 2 5" xfId="18283" xr:uid="{00000000-0005-0000-0000-0000D1650000}"/>
    <cellStyle name="Normal 4 10 4 2 6" xfId="18284" xr:uid="{00000000-0005-0000-0000-0000D2650000}"/>
    <cellStyle name="Normal 4 10 4 2 7" xfId="18285" xr:uid="{00000000-0005-0000-0000-0000D3650000}"/>
    <cellStyle name="Normal 4 10 4 3" xfId="18286" xr:uid="{00000000-0005-0000-0000-0000D4650000}"/>
    <cellStyle name="Normal 4 10 4 3 2" xfId="18287" xr:uid="{00000000-0005-0000-0000-0000D5650000}"/>
    <cellStyle name="Normal 4 10 4 3 2 2" xfId="53803" xr:uid="{00000000-0005-0000-0000-0000D6650000}"/>
    <cellStyle name="Normal 4 10 4 3 2 3" xfId="53804" xr:uid="{00000000-0005-0000-0000-0000D7650000}"/>
    <cellStyle name="Normal 4 10 4 3 3" xfId="18288" xr:uid="{00000000-0005-0000-0000-0000D8650000}"/>
    <cellStyle name="Normal 4 10 4 3 3 2" xfId="53805" xr:uid="{00000000-0005-0000-0000-0000D9650000}"/>
    <cellStyle name="Normal 4 10 4 3 4" xfId="18289" xr:uid="{00000000-0005-0000-0000-0000DA650000}"/>
    <cellStyle name="Normal 4 10 4 3 5" xfId="18290" xr:uid="{00000000-0005-0000-0000-0000DB650000}"/>
    <cellStyle name="Normal 4 10 4 3 6" xfId="18291" xr:uid="{00000000-0005-0000-0000-0000DC650000}"/>
    <cellStyle name="Normal 4 10 4 4" xfId="18292" xr:uid="{00000000-0005-0000-0000-0000DD650000}"/>
    <cellStyle name="Normal 4 10 4 4 2" xfId="53806" xr:uid="{00000000-0005-0000-0000-0000DE650000}"/>
    <cellStyle name="Normal 4 10 4 4 3" xfId="53807" xr:uid="{00000000-0005-0000-0000-0000DF650000}"/>
    <cellStyle name="Normal 4 10 4 5" xfId="18293" xr:uid="{00000000-0005-0000-0000-0000E0650000}"/>
    <cellStyle name="Normal 4 10 4 5 2" xfId="53808" xr:uid="{00000000-0005-0000-0000-0000E1650000}"/>
    <cellStyle name="Normal 4 10 4 6" xfId="18294" xr:uid="{00000000-0005-0000-0000-0000E2650000}"/>
    <cellStyle name="Normal 4 10 4 7" xfId="18295" xr:uid="{00000000-0005-0000-0000-0000E3650000}"/>
    <cellStyle name="Normal 4 10 4 8" xfId="18296" xr:uid="{00000000-0005-0000-0000-0000E4650000}"/>
    <cellStyle name="Normal 4 10 5" xfId="18297" xr:uid="{00000000-0005-0000-0000-0000E5650000}"/>
    <cellStyle name="Normal 4 10 5 2" xfId="18298" xr:uid="{00000000-0005-0000-0000-0000E6650000}"/>
    <cellStyle name="Normal 4 10 5 2 2" xfId="18299" xr:uid="{00000000-0005-0000-0000-0000E7650000}"/>
    <cellStyle name="Normal 4 10 5 2 2 2" xfId="53809" xr:uid="{00000000-0005-0000-0000-0000E8650000}"/>
    <cellStyle name="Normal 4 10 5 2 2 3" xfId="53810" xr:uid="{00000000-0005-0000-0000-0000E9650000}"/>
    <cellStyle name="Normal 4 10 5 2 3" xfId="18300" xr:uid="{00000000-0005-0000-0000-0000EA650000}"/>
    <cellStyle name="Normal 4 10 5 2 3 2" xfId="53811" xr:uid="{00000000-0005-0000-0000-0000EB650000}"/>
    <cellStyle name="Normal 4 10 5 2 4" xfId="18301" xr:uid="{00000000-0005-0000-0000-0000EC650000}"/>
    <cellStyle name="Normal 4 10 5 2 5" xfId="18302" xr:uid="{00000000-0005-0000-0000-0000ED650000}"/>
    <cellStyle name="Normal 4 10 5 2 6" xfId="18303" xr:uid="{00000000-0005-0000-0000-0000EE650000}"/>
    <cellStyle name="Normal 4 10 5 3" xfId="18304" xr:uid="{00000000-0005-0000-0000-0000EF650000}"/>
    <cellStyle name="Normal 4 10 5 3 2" xfId="53812" xr:uid="{00000000-0005-0000-0000-0000F0650000}"/>
    <cellStyle name="Normal 4 10 5 3 3" xfId="53813" xr:uid="{00000000-0005-0000-0000-0000F1650000}"/>
    <cellStyle name="Normal 4 10 5 4" xfId="18305" xr:uid="{00000000-0005-0000-0000-0000F2650000}"/>
    <cellStyle name="Normal 4 10 5 4 2" xfId="53814" xr:uid="{00000000-0005-0000-0000-0000F3650000}"/>
    <cellStyle name="Normal 4 10 5 5" xfId="18306" xr:uid="{00000000-0005-0000-0000-0000F4650000}"/>
    <cellStyle name="Normal 4 10 5 6" xfId="18307" xr:uid="{00000000-0005-0000-0000-0000F5650000}"/>
    <cellStyle name="Normal 4 10 5 7" xfId="18308" xr:uid="{00000000-0005-0000-0000-0000F6650000}"/>
    <cellStyle name="Normal 4 10 6" xfId="18309" xr:uid="{00000000-0005-0000-0000-0000F7650000}"/>
    <cellStyle name="Normal 4 10 6 2" xfId="18310" xr:uid="{00000000-0005-0000-0000-0000F8650000}"/>
    <cellStyle name="Normal 4 10 6 2 2" xfId="53815" xr:uid="{00000000-0005-0000-0000-0000F9650000}"/>
    <cellStyle name="Normal 4 10 6 2 3" xfId="53816" xr:uid="{00000000-0005-0000-0000-0000FA650000}"/>
    <cellStyle name="Normal 4 10 6 3" xfId="18311" xr:uid="{00000000-0005-0000-0000-0000FB650000}"/>
    <cellStyle name="Normal 4 10 6 3 2" xfId="53817" xr:uid="{00000000-0005-0000-0000-0000FC650000}"/>
    <cellStyle name="Normal 4 10 6 4" xfId="18312" xr:uid="{00000000-0005-0000-0000-0000FD650000}"/>
    <cellStyle name="Normal 4 10 6 5" xfId="18313" xr:uid="{00000000-0005-0000-0000-0000FE650000}"/>
    <cellStyle name="Normal 4 10 6 6" xfId="18314" xr:uid="{00000000-0005-0000-0000-0000FF650000}"/>
    <cellStyle name="Normal 4 10 7" xfId="18315" xr:uid="{00000000-0005-0000-0000-000000660000}"/>
    <cellStyle name="Normal 4 10 7 2" xfId="53818" xr:uid="{00000000-0005-0000-0000-000001660000}"/>
    <cellStyle name="Normal 4 10 7 3" xfId="53819" xr:uid="{00000000-0005-0000-0000-000002660000}"/>
    <cellStyle name="Normal 4 10 8" xfId="18316" xr:uid="{00000000-0005-0000-0000-000003660000}"/>
    <cellStyle name="Normal 4 10 8 2" xfId="53820" xr:uid="{00000000-0005-0000-0000-000004660000}"/>
    <cellStyle name="Normal 4 10 9" xfId="18317" xr:uid="{00000000-0005-0000-0000-000005660000}"/>
    <cellStyle name="Normal 4 10 9 2" xfId="53821" xr:uid="{00000000-0005-0000-0000-000006660000}"/>
    <cellStyle name="Normal 4 11" xfId="18318" xr:uid="{00000000-0005-0000-0000-000007660000}"/>
    <cellStyle name="Normal 4 11 10" xfId="18319" xr:uid="{00000000-0005-0000-0000-000008660000}"/>
    <cellStyle name="Normal 4 11 11" xfId="18320" xr:uid="{00000000-0005-0000-0000-000009660000}"/>
    <cellStyle name="Normal 4 11 12" xfId="18321" xr:uid="{00000000-0005-0000-0000-00000A660000}"/>
    <cellStyle name="Normal 4 11 13" xfId="18322" xr:uid="{00000000-0005-0000-0000-00000B660000}"/>
    <cellStyle name="Normal 4 11 14" xfId="18323" xr:uid="{00000000-0005-0000-0000-00000C660000}"/>
    <cellStyle name="Normal 4 11 15" xfId="18324" xr:uid="{00000000-0005-0000-0000-00000D660000}"/>
    <cellStyle name="Normal 4 11 2" xfId="18325" xr:uid="{00000000-0005-0000-0000-00000E660000}"/>
    <cellStyle name="Normal 4 11 2 10" xfId="18326" xr:uid="{00000000-0005-0000-0000-00000F660000}"/>
    <cellStyle name="Normal 4 11 2 11" xfId="18327" xr:uid="{00000000-0005-0000-0000-000010660000}"/>
    <cellStyle name="Normal 4 11 2 12" xfId="18328" xr:uid="{00000000-0005-0000-0000-000011660000}"/>
    <cellStyle name="Normal 4 11 2 13" xfId="18329" xr:uid="{00000000-0005-0000-0000-000012660000}"/>
    <cellStyle name="Normal 4 11 2 14" xfId="18330" xr:uid="{00000000-0005-0000-0000-000013660000}"/>
    <cellStyle name="Normal 4 11 2 2" xfId="18331" xr:uid="{00000000-0005-0000-0000-000014660000}"/>
    <cellStyle name="Normal 4 11 2 2 2" xfId="18332" xr:uid="{00000000-0005-0000-0000-000015660000}"/>
    <cellStyle name="Normal 4 11 2 2 2 2" xfId="18333" xr:uid="{00000000-0005-0000-0000-000016660000}"/>
    <cellStyle name="Normal 4 11 2 2 2 2 2" xfId="18334" xr:uid="{00000000-0005-0000-0000-000017660000}"/>
    <cellStyle name="Normal 4 11 2 2 2 2 2 2" xfId="53822" xr:uid="{00000000-0005-0000-0000-000018660000}"/>
    <cellStyle name="Normal 4 11 2 2 2 2 2 3" xfId="53823" xr:uid="{00000000-0005-0000-0000-000019660000}"/>
    <cellStyle name="Normal 4 11 2 2 2 2 3" xfId="18335" xr:uid="{00000000-0005-0000-0000-00001A660000}"/>
    <cellStyle name="Normal 4 11 2 2 2 2 3 2" xfId="53824" xr:uid="{00000000-0005-0000-0000-00001B660000}"/>
    <cellStyle name="Normal 4 11 2 2 2 2 4" xfId="18336" xr:uid="{00000000-0005-0000-0000-00001C660000}"/>
    <cellStyle name="Normal 4 11 2 2 2 2 5" xfId="18337" xr:uid="{00000000-0005-0000-0000-00001D660000}"/>
    <cellStyle name="Normal 4 11 2 2 2 2 6" xfId="18338" xr:uid="{00000000-0005-0000-0000-00001E660000}"/>
    <cellStyle name="Normal 4 11 2 2 2 3" xfId="18339" xr:uid="{00000000-0005-0000-0000-00001F660000}"/>
    <cellStyle name="Normal 4 11 2 2 2 3 2" xfId="53825" xr:uid="{00000000-0005-0000-0000-000020660000}"/>
    <cellStyle name="Normal 4 11 2 2 2 3 3" xfId="53826" xr:uid="{00000000-0005-0000-0000-000021660000}"/>
    <cellStyle name="Normal 4 11 2 2 2 4" xfId="18340" xr:uid="{00000000-0005-0000-0000-000022660000}"/>
    <cellStyle name="Normal 4 11 2 2 2 4 2" xfId="53827" xr:uid="{00000000-0005-0000-0000-000023660000}"/>
    <cellStyle name="Normal 4 11 2 2 2 5" xfId="18341" xr:uid="{00000000-0005-0000-0000-000024660000}"/>
    <cellStyle name="Normal 4 11 2 2 2 6" xfId="18342" xr:uid="{00000000-0005-0000-0000-000025660000}"/>
    <cellStyle name="Normal 4 11 2 2 2 7" xfId="18343" xr:uid="{00000000-0005-0000-0000-000026660000}"/>
    <cellStyle name="Normal 4 11 2 2 3" xfId="18344" xr:uid="{00000000-0005-0000-0000-000027660000}"/>
    <cellStyle name="Normal 4 11 2 2 3 2" xfId="18345" xr:uid="{00000000-0005-0000-0000-000028660000}"/>
    <cellStyle name="Normal 4 11 2 2 3 2 2" xfId="53828" xr:uid="{00000000-0005-0000-0000-000029660000}"/>
    <cellStyle name="Normal 4 11 2 2 3 2 3" xfId="53829" xr:uid="{00000000-0005-0000-0000-00002A660000}"/>
    <cellStyle name="Normal 4 11 2 2 3 3" xfId="18346" xr:uid="{00000000-0005-0000-0000-00002B660000}"/>
    <cellStyle name="Normal 4 11 2 2 3 3 2" xfId="53830" xr:uid="{00000000-0005-0000-0000-00002C660000}"/>
    <cellStyle name="Normal 4 11 2 2 3 4" xfId="18347" xr:uid="{00000000-0005-0000-0000-00002D660000}"/>
    <cellStyle name="Normal 4 11 2 2 3 5" xfId="18348" xr:uid="{00000000-0005-0000-0000-00002E660000}"/>
    <cellStyle name="Normal 4 11 2 2 3 6" xfId="18349" xr:uid="{00000000-0005-0000-0000-00002F660000}"/>
    <cellStyle name="Normal 4 11 2 2 4" xfId="18350" xr:uid="{00000000-0005-0000-0000-000030660000}"/>
    <cellStyle name="Normal 4 11 2 2 4 2" xfId="53831" xr:uid="{00000000-0005-0000-0000-000031660000}"/>
    <cellStyle name="Normal 4 11 2 2 4 3" xfId="53832" xr:uid="{00000000-0005-0000-0000-000032660000}"/>
    <cellStyle name="Normal 4 11 2 2 5" xfId="18351" xr:uid="{00000000-0005-0000-0000-000033660000}"/>
    <cellStyle name="Normal 4 11 2 2 5 2" xfId="53833" xr:uid="{00000000-0005-0000-0000-000034660000}"/>
    <cellStyle name="Normal 4 11 2 2 6" xfId="18352" xr:uid="{00000000-0005-0000-0000-000035660000}"/>
    <cellStyle name="Normal 4 11 2 2 7" xfId="18353" xr:uid="{00000000-0005-0000-0000-000036660000}"/>
    <cellStyle name="Normal 4 11 2 2 8" xfId="18354" xr:uid="{00000000-0005-0000-0000-000037660000}"/>
    <cellStyle name="Normal 4 11 2 2 9" xfId="18355" xr:uid="{00000000-0005-0000-0000-000038660000}"/>
    <cellStyle name="Normal 4 11 2 3" xfId="18356" xr:uid="{00000000-0005-0000-0000-000039660000}"/>
    <cellStyle name="Normal 4 11 2 3 2" xfId="18357" xr:uid="{00000000-0005-0000-0000-00003A660000}"/>
    <cellStyle name="Normal 4 11 2 3 2 2" xfId="18358" xr:uid="{00000000-0005-0000-0000-00003B660000}"/>
    <cellStyle name="Normal 4 11 2 3 2 2 2" xfId="18359" xr:uid="{00000000-0005-0000-0000-00003C660000}"/>
    <cellStyle name="Normal 4 11 2 3 2 2 2 2" xfId="53834" xr:uid="{00000000-0005-0000-0000-00003D660000}"/>
    <cellStyle name="Normal 4 11 2 3 2 2 2 3" xfId="53835" xr:uid="{00000000-0005-0000-0000-00003E660000}"/>
    <cellStyle name="Normal 4 11 2 3 2 2 3" xfId="18360" xr:uid="{00000000-0005-0000-0000-00003F660000}"/>
    <cellStyle name="Normal 4 11 2 3 2 2 3 2" xfId="53836" xr:uid="{00000000-0005-0000-0000-000040660000}"/>
    <cellStyle name="Normal 4 11 2 3 2 2 4" xfId="18361" xr:uid="{00000000-0005-0000-0000-000041660000}"/>
    <cellStyle name="Normal 4 11 2 3 2 2 5" xfId="18362" xr:uid="{00000000-0005-0000-0000-000042660000}"/>
    <cellStyle name="Normal 4 11 2 3 2 2 6" xfId="18363" xr:uid="{00000000-0005-0000-0000-000043660000}"/>
    <cellStyle name="Normal 4 11 2 3 2 3" xfId="18364" xr:uid="{00000000-0005-0000-0000-000044660000}"/>
    <cellStyle name="Normal 4 11 2 3 2 3 2" xfId="53837" xr:uid="{00000000-0005-0000-0000-000045660000}"/>
    <cellStyle name="Normal 4 11 2 3 2 3 3" xfId="53838" xr:uid="{00000000-0005-0000-0000-000046660000}"/>
    <cellStyle name="Normal 4 11 2 3 2 4" xfId="18365" xr:uid="{00000000-0005-0000-0000-000047660000}"/>
    <cellStyle name="Normal 4 11 2 3 2 4 2" xfId="53839" xr:uid="{00000000-0005-0000-0000-000048660000}"/>
    <cellStyle name="Normal 4 11 2 3 2 5" xfId="18366" xr:uid="{00000000-0005-0000-0000-000049660000}"/>
    <cellStyle name="Normal 4 11 2 3 2 6" xfId="18367" xr:uid="{00000000-0005-0000-0000-00004A660000}"/>
    <cellStyle name="Normal 4 11 2 3 2 7" xfId="18368" xr:uid="{00000000-0005-0000-0000-00004B660000}"/>
    <cellStyle name="Normal 4 11 2 3 3" xfId="18369" xr:uid="{00000000-0005-0000-0000-00004C660000}"/>
    <cellStyle name="Normal 4 11 2 3 3 2" xfId="18370" xr:uid="{00000000-0005-0000-0000-00004D660000}"/>
    <cellStyle name="Normal 4 11 2 3 3 2 2" xfId="53840" xr:uid="{00000000-0005-0000-0000-00004E660000}"/>
    <cellStyle name="Normal 4 11 2 3 3 2 3" xfId="53841" xr:uid="{00000000-0005-0000-0000-00004F660000}"/>
    <cellStyle name="Normal 4 11 2 3 3 3" xfId="18371" xr:uid="{00000000-0005-0000-0000-000050660000}"/>
    <cellStyle name="Normal 4 11 2 3 3 3 2" xfId="53842" xr:uid="{00000000-0005-0000-0000-000051660000}"/>
    <cellStyle name="Normal 4 11 2 3 3 4" xfId="18372" xr:uid="{00000000-0005-0000-0000-000052660000}"/>
    <cellStyle name="Normal 4 11 2 3 3 5" xfId="18373" xr:uid="{00000000-0005-0000-0000-000053660000}"/>
    <cellStyle name="Normal 4 11 2 3 3 6" xfId="18374" xr:uid="{00000000-0005-0000-0000-000054660000}"/>
    <cellStyle name="Normal 4 11 2 3 4" xfId="18375" xr:uid="{00000000-0005-0000-0000-000055660000}"/>
    <cellStyle name="Normal 4 11 2 3 4 2" xfId="53843" xr:uid="{00000000-0005-0000-0000-000056660000}"/>
    <cellStyle name="Normal 4 11 2 3 4 3" xfId="53844" xr:uid="{00000000-0005-0000-0000-000057660000}"/>
    <cellStyle name="Normal 4 11 2 3 5" xfId="18376" xr:uid="{00000000-0005-0000-0000-000058660000}"/>
    <cellStyle name="Normal 4 11 2 3 5 2" xfId="53845" xr:uid="{00000000-0005-0000-0000-000059660000}"/>
    <cellStyle name="Normal 4 11 2 3 6" xfId="18377" xr:uid="{00000000-0005-0000-0000-00005A660000}"/>
    <cellStyle name="Normal 4 11 2 3 7" xfId="18378" xr:uid="{00000000-0005-0000-0000-00005B660000}"/>
    <cellStyle name="Normal 4 11 2 3 8" xfId="18379" xr:uid="{00000000-0005-0000-0000-00005C660000}"/>
    <cellStyle name="Normal 4 11 2 4" xfId="18380" xr:uid="{00000000-0005-0000-0000-00005D660000}"/>
    <cellStyle name="Normal 4 11 2 4 2" xfId="18381" xr:uid="{00000000-0005-0000-0000-00005E660000}"/>
    <cellStyle name="Normal 4 11 2 4 2 2" xfId="18382" xr:uid="{00000000-0005-0000-0000-00005F660000}"/>
    <cellStyle name="Normal 4 11 2 4 2 2 2" xfId="53846" xr:uid="{00000000-0005-0000-0000-000060660000}"/>
    <cellStyle name="Normal 4 11 2 4 2 2 3" xfId="53847" xr:uid="{00000000-0005-0000-0000-000061660000}"/>
    <cellStyle name="Normal 4 11 2 4 2 3" xfId="18383" xr:uid="{00000000-0005-0000-0000-000062660000}"/>
    <cellStyle name="Normal 4 11 2 4 2 3 2" xfId="53848" xr:uid="{00000000-0005-0000-0000-000063660000}"/>
    <cellStyle name="Normal 4 11 2 4 2 4" xfId="18384" xr:uid="{00000000-0005-0000-0000-000064660000}"/>
    <cellStyle name="Normal 4 11 2 4 2 5" xfId="18385" xr:uid="{00000000-0005-0000-0000-000065660000}"/>
    <cellStyle name="Normal 4 11 2 4 2 6" xfId="18386" xr:uid="{00000000-0005-0000-0000-000066660000}"/>
    <cellStyle name="Normal 4 11 2 4 3" xfId="18387" xr:uid="{00000000-0005-0000-0000-000067660000}"/>
    <cellStyle name="Normal 4 11 2 4 3 2" xfId="53849" xr:uid="{00000000-0005-0000-0000-000068660000}"/>
    <cellStyle name="Normal 4 11 2 4 3 3" xfId="53850" xr:uid="{00000000-0005-0000-0000-000069660000}"/>
    <cellStyle name="Normal 4 11 2 4 4" xfId="18388" xr:uid="{00000000-0005-0000-0000-00006A660000}"/>
    <cellStyle name="Normal 4 11 2 4 4 2" xfId="53851" xr:uid="{00000000-0005-0000-0000-00006B660000}"/>
    <cellStyle name="Normal 4 11 2 4 5" xfId="18389" xr:uid="{00000000-0005-0000-0000-00006C660000}"/>
    <cellStyle name="Normal 4 11 2 4 6" xfId="18390" xr:uid="{00000000-0005-0000-0000-00006D660000}"/>
    <cellStyle name="Normal 4 11 2 4 7" xfId="18391" xr:uid="{00000000-0005-0000-0000-00006E660000}"/>
    <cellStyle name="Normal 4 11 2 5" xfId="18392" xr:uid="{00000000-0005-0000-0000-00006F660000}"/>
    <cellStyle name="Normal 4 11 2 5 2" xfId="18393" xr:uid="{00000000-0005-0000-0000-000070660000}"/>
    <cellStyle name="Normal 4 11 2 5 2 2" xfId="53852" xr:uid="{00000000-0005-0000-0000-000071660000}"/>
    <cellStyle name="Normal 4 11 2 5 2 3" xfId="53853" xr:uid="{00000000-0005-0000-0000-000072660000}"/>
    <cellStyle name="Normal 4 11 2 5 3" xfId="18394" xr:uid="{00000000-0005-0000-0000-000073660000}"/>
    <cellStyle name="Normal 4 11 2 5 3 2" xfId="53854" xr:uid="{00000000-0005-0000-0000-000074660000}"/>
    <cellStyle name="Normal 4 11 2 5 4" xfId="18395" xr:uid="{00000000-0005-0000-0000-000075660000}"/>
    <cellStyle name="Normal 4 11 2 5 5" xfId="18396" xr:uid="{00000000-0005-0000-0000-000076660000}"/>
    <cellStyle name="Normal 4 11 2 5 6" xfId="18397" xr:uid="{00000000-0005-0000-0000-000077660000}"/>
    <cellStyle name="Normal 4 11 2 6" xfId="18398" xr:uid="{00000000-0005-0000-0000-000078660000}"/>
    <cellStyle name="Normal 4 11 2 6 2" xfId="53855" xr:uid="{00000000-0005-0000-0000-000079660000}"/>
    <cellStyle name="Normal 4 11 2 6 3" xfId="53856" xr:uid="{00000000-0005-0000-0000-00007A660000}"/>
    <cellStyle name="Normal 4 11 2 7" xfId="18399" xr:uid="{00000000-0005-0000-0000-00007B660000}"/>
    <cellStyle name="Normal 4 11 2 7 2" xfId="53857" xr:uid="{00000000-0005-0000-0000-00007C660000}"/>
    <cellStyle name="Normal 4 11 2 8" xfId="18400" xr:uid="{00000000-0005-0000-0000-00007D660000}"/>
    <cellStyle name="Normal 4 11 2 9" xfId="18401" xr:uid="{00000000-0005-0000-0000-00007E660000}"/>
    <cellStyle name="Normal 4 11 3" xfId="18402" xr:uid="{00000000-0005-0000-0000-00007F660000}"/>
    <cellStyle name="Normal 4 11 3 2" xfId="18403" xr:uid="{00000000-0005-0000-0000-000080660000}"/>
    <cellStyle name="Normal 4 11 3 2 2" xfId="18404" xr:uid="{00000000-0005-0000-0000-000081660000}"/>
    <cellStyle name="Normal 4 11 3 2 2 2" xfId="18405" xr:uid="{00000000-0005-0000-0000-000082660000}"/>
    <cellStyle name="Normal 4 11 3 2 2 2 2" xfId="53858" xr:uid="{00000000-0005-0000-0000-000083660000}"/>
    <cellStyle name="Normal 4 11 3 2 2 2 3" xfId="53859" xr:uid="{00000000-0005-0000-0000-000084660000}"/>
    <cellStyle name="Normal 4 11 3 2 2 3" xfId="18406" xr:uid="{00000000-0005-0000-0000-000085660000}"/>
    <cellStyle name="Normal 4 11 3 2 2 3 2" xfId="53860" xr:uid="{00000000-0005-0000-0000-000086660000}"/>
    <cellStyle name="Normal 4 11 3 2 2 4" xfId="18407" xr:uid="{00000000-0005-0000-0000-000087660000}"/>
    <cellStyle name="Normal 4 11 3 2 2 5" xfId="18408" xr:uid="{00000000-0005-0000-0000-000088660000}"/>
    <cellStyle name="Normal 4 11 3 2 2 6" xfId="18409" xr:uid="{00000000-0005-0000-0000-000089660000}"/>
    <cellStyle name="Normal 4 11 3 2 3" xfId="18410" xr:uid="{00000000-0005-0000-0000-00008A660000}"/>
    <cellStyle name="Normal 4 11 3 2 3 2" xfId="53861" xr:uid="{00000000-0005-0000-0000-00008B660000}"/>
    <cellStyle name="Normal 4 11 3 2 3 3" xfId="53862" xr:uid="{00000000-0005-0000-0000-00008C660000}"/>
    <cellStyle name="Normal 4 11 3 2 4" xfId="18411" xr:uid="{00000000-0005-0000-0000-00008D660000}"/>
    <cellStyle name="Normal 4 11 3 2 4 2" xfId="53863" xr:uid="{00000000-0005-0000-0000-00008E660000}"/>
    <cellStyle name="Normal 4 11 3 2 5" xfId="18412" xr:uid="{00000000-0005-0000-0000-00008F660000}"/>
    <cellStyle name="Normal 4 11 3 2 6" xfId="18413" xr:uid="{00000000-0005-0000-0000-000090660000}"/>
    <cellStyle name="Normal 4 11 3 2 7" xfId="18414" xr:uid="{00000000-0005-0000-0000-000091660000}"/>
    <cellStyle name="Normal 4 11 3 3" xfId="18415" xr:uid="{00000000-0005-0000-0000-000092660000}"/>
    <cellStyle name="Normal 4 11 3 3 2" xfId="18416" xr:uid="{00000000-0005-0000-0000-000093660000}"/>
    <cellStyle name="Normal 4 11 3 3 2 2" xfId="53864" xr:uid="{00000000-0005-0000-0000-000094660000}"/>
    <cellStyle name="Normal 4 11 3 3 2 3" xfId="53865" xr:uid="{00000000-0005-0000-0000-000095660000}"/>
    <cellStyle name="Normal 4 11 3 3 3" xfId="18417" xr:uid="{00000000-0005-0000-0000-000096660000}"/>
    <cellStyle name="Normal 4 11 3 3 3 2" xfId="53866" xr:uid="{00000000-0005-0000-0000-000097660000}"/>
    <cellStyle name="Normal 4 11 3 3 4" xfId="18418" xr:uid="{00000000-0005-0000-0000-000098660000}"/>
    <cellStyle name="Normal 4 11 3 3 5" xfId="18419" xr:uid="{00000000-0005-0000-0000-000099660000}"/>
    <cellStyle name="Normal 4 11 3 3 6" xfId="18420" xr:uid="{00000000-0005-0000-0000-00009A660000}"/>
    <cellStyle name="Normal 4 11 3 4" xfId="18421" xr:uid="{00000000-0005-0000-0000-00009B660000}"/>
    <cellStyle name="Normal 4 11 3 4 2" xfId="53867" xr:uid="{00000000-0005-0000-0000-00009C660000}"/>
    <cellStyle name="Normal 4 11 3 4 3" xfId="53868" xr:uid="{00000000-0005-0000-0000-00009D660000}"/>
    <cellStyle name="Normal 4 11 3 5" xfId="18422" xr:uid="{00000000-0005-0000-0000-00009E660000}"/>
    <cellStyle name="Normal 4 11 3 5 2" xfId="53869" xr:uid="{00000000-0005-0000-0000-00009F660000}"/>
    <cellStyle name="Normal 4 11 3 6" xfId="18423" xr:uid="{00000000-0005-0000-0000-0000A0660000}"/>
    <cellStyle name="Normal 4 11 3 7" xfId="18424" xr:uid="{00000000-0005-0000-0000-0000A1660000}"/>
    <cellStyle name="Normal 4 11 3 8" xfId="18425" xr:uid="{00000000-0005-0000-0000-0000A2660000}"/>
    <cellStyle name="Normal 4 11 3 9" xfId="18426" xr:uid="{00000000-0005-0000-0000-0000A3660000}"/>
    <cellStyle name="Normal 4 11 4" xfId="18427" xr:uid="{00000000-0005-0000-0000-0000A4660000}"/>
    <cellStyle name="Normal 4 11 4 2" xfId="18428" xr:uid="{00000000-0005-0000-0000-0000A5660000}"/>
    <cellStyle name="Normal 4 11 4 2 2" xfId="18429" xr:uid="{00000000-0005-0000-0000-0000A6660000}"/>
    <cellStyle name="Normal 4 11 4 2 2 2" xfId="18430" xr:uid="{00000000-0005-0000-0000-0000A7660000}"/>
    <cellStyle name="Normal 4 11 4 2 2 2 2" xfId="53870" xr:uid="{00000000-0005-0000-0000-0000A8660000}"/>
    <cellStyle name="Normal 4 11 4 2 2 2 3" xfId="53871" xr:uid="{00000000-0005-0000-0000-0000A9660000}"/>
    <cellStyle name="Normal 4 11 4 2 2 3" xfId="18431" xr:uid="{00000000-0005-0000-0000-0000AA660000}"/>
    <cellStyle name="Normal 4 11 4 2 2 3 2" xfId="53872" xr:uid="{00000000-0005-0000-0000-0000AB660000}"/>
    <cellStyle name="Normal 4 11 4 2 2 4" xfId="18432" xr:uid="{00000000-0005-0000-0000-0000AC660000}"/>
    <cellStyle name="Normal 4 11 4 2 2 5" xfId="18433" xr:uid="{00000000-0005-0000-0000-0000AD660000}"/>
    <cellStyle name="Normal 4 11 4 2 2 6" xfId="18434" xr:uid="{00000000-0005-0000-0000-0000AE660000}"/>
    <cellStyle name="Normal 4 11 4 2 3" xfId="18435" xr:uid="{00000000-0005-0000-0000-0000AF660000}"/>
    <cellStyle name="Normal 4 11 4 2 3 2" xfId="53873" xr:uid="{00000000-0005-0000-0000-0000B0660000}"/>
    <cellStyle name="Normal 4 11 4 2 3 3" xfId="53874" xr:uid="{00000000-0005-0000-0000-0000B1660000}"/>
    <cellStyle name="Normal 4 11 4 2 4" xfId="18436" xr:uid="{00000000-0005-0000-0000-0000B2660000}"/>
    <cellStyle name="Normal 4 11 4 2 4 2" xfId="53875" xr:uid="{00000000-0005-0000-0000-0000B3660000}"/>
    <cellStyle name="Normal 4 11 4 2 5" xfId="18437" xr:uid="{00000000-0005-0000-0000-0000B4660000}"/>
    <cellStyle name="Normal 4 11 4 2 6" xfId="18438" xr:uid="{00000000-0005-0000-0000-0000B5660000}"/>
    <cellStyle name="Normal 4 11 4 2 7" xfId="18439" xr:uid="{00000000-0005-0000-0000-0000B6660000}"/>
    <cellStyle name="Normal 4 11 4 3" xfId="18440" xr:uid="{00000000-0005-0000-0000-0000B7660000}"/>
    <cellStyle name="Normal 4 11 4 3 2" xfId="18441" xr:uid="{00000000-0005-0000-0000-0000B8660000}"/>
    <cellStyle name="Normal 4 11 4 3 2 2" xfId="53876" xr:uid="{00000000-0005-0000-0000-0000B9660000}"/>
    <cellStyle name="Normal 4 11 4 3 2 3" xfId="53877" xr:uid="{00000000-0005-0000-0000-0000BA660000}"/>
    <cellStyle name="Normal 4 11 4 3 3" xfId="18442" xr:uid="{00000000-0005-0000-0000-0000BB660000}"/>
    <cellStyle name="Normal 4 11 4 3 3 2" xfId="53878" xr:uid="{00000000-0005-0000-0000-0000BC660000}"/>
    <cellStyle name="Normal 4 11 4 3 4" xfId="18443" xr:uid="{00000000-0005-0000-0000-0000BD660000}"/>
    <cellStyle name="Normal 4 11 4 3 5" xfId="18444" xr:uid="{00000000-0005-0000-0000-0000BE660000}"/>
    <cellStyle name="Normal 4 11 4 3 6" xfId="18445" xr:uid="{00000000-0005-0000-0000-0000BF660000}"/>
    <cellStyle name="Normal 4 11 4 4" xfId="18446" xr:uid="{00000000-0005-0000-0000-0000C0660000}"/>
    <cellStyle name="Normal 4 11 4 4 2" xfId="53879" xr:uid="{00000000-0005-0000-0000-0000C1660000}"/>
    <cellStyle name="Normal 4 11 4 4 3" xfId="53880" xr:uid="{00000000-0005-0000-0000-0000C2660000}"/>
    <cellStyle name="Normal 4 11 4 5" xfId="18447" xr:uid="{00000000-0005-0000-0000-0000C3660000}"/>
    <cellStyle name="Normal 4 11 4 5 2" xfId="53881" xr:uid="{00000000-0005-0000-0000-0000C4660000}"/>
    <cellStyle name="Normal 4 11 4 6" xfId="18448" xr:uid="{00000000-0005-0000-0000-0000C5660000}"/>
    <cellStyle name="Normal 4 11 4 7" xfId="18449" xr:uid="{00000000-0005-0000-0000-0000C6660000}"/>
    <cellStyle name="Normal 4 11 4 8" xfId="18450" xr:uid="{00000000-0005-0000-0000-0000C7660000}"/>
    <cellStyle name="Normal 4 11 5" xfId="18451" xr:uid="{00000000-0005-0000-0000-0000C8660000}"/>
    <cellStyle name="Normal 4 11 5 2" xfId="18452" xr:uid="{00000000-0005-0000-0000-0000C9660000}"/>
    <cellStyle name="Normal 4 11 5 2 2" xfId="18453" xr:uid="{00000000-0005-0000-0000-0000CA660000}"/>
    <cellStyle name="Normal 4 11 5 2 2 2" xfId="53882" xr:uid="{00000000-0005-0000-0000-0000CB660000}"/>
    <cellStyle name="Normal 4 11 5 2 2 3" xfId="53883" xr:uid="{00000000-0005-0000-0000-0000CC660000}"/>
    <cellStyle name="Normal 4 11 5 2 3" xfId="18454" xr:uid="{00000000-0005-0000-0000-0000CD660000}"/>
    <cellStyle name="Normal 4 11 5 2 3 2" xfId="53884" xr:uid="{00000000-0005-0000-0000-0000CE660000}"/>
    <cellStyle name="Normal 4 11 5 2 4" xfId="18455" xr:uid="{00000000-0005-0000-0000-0000CF660000}"/>
    <cellStyle name="Normal 4 11 5 2 5" xfId="18456" xr:uid="{00000000-0005-0000-0000-0000D0660000}"/>
    <cellStyle name="Normal 4 11 5 2 6" xfId="18457" xr:uid="{00000000-0005-0000-0000-0000D1660000}"/>
    <cellStyle name="Normal 4 11 5 3" xfId="18458" xr:uid="{00000000-0005-0000-0000-0000D2660000}"/>
    <cellStyle name="Normal 4 11 5 3 2" xfId="53885" xr:uid="{00000000-0005-0000-0000-0000D3660000}"/>
    <cellStyle name="Normal 4 11 5 3 3" xfId="53886" xr:uid="{00000000-0005-0000-0000-0000D4660000}"/>
    <cellStyle name="Normal 4 11 5 4" xfId="18459" xr:uid="{00000000-0005-0000-0000-0000D5660000}"/>
    <cellStyle name="Normal 4 11 5 4 2" xfId="53887" xr:uid="{00000000-0005-0000-0000-0000D6660000}"/>
    <cellStyle name="Normal 4 11 5 5" xfId="18460" xr:uid="{00000000-0005-0000-0000-0000D7660000}"/>
    <cellStyle name="Normal 4 11 5 6" xfId="18461" xr:uid="{00000000-0005-0000-0000-0000D8660000}"/>
    <cellStyle name="Normal 4 11 5 7" xfId="18462" xr:uid="{00000000-0005-0000-0000-0000D9660000}"/>
    <cellStyle name="Normal 4 11 6" xfId="18463" xr:uid="{00000000-0005-0000-0000-0000DA660000}"/>
    <cellStyle name="Normal 4 11 6 2" xfId="18464" xr:uid="{00000000-0005-0000-0000-0000DB660000}"/>
    <cellStyle name="Normal 4 11 6 2 2" xfId="53888" xr:uid="{00000000-0005-0000-0000-0000DC660000}"/>
    <cellStyle name="Normal 4 11 6 2 3" xfId="53889" xr:uid="{00000000-0005-0000-0000-0000DD660000}"/>
    <cellStyle name="Normal 4 11 6 3" xfId="18465" xr:uid="{00000000-0005-0000-0000-0000DE660000}"/>
    <cellStyle name="Normal 4 11 6 3 2" xfId="53890" xr:uid="{00000000-0005-0000-0000-0000DF660000}"/>
    <cellStyle name="Normal 4 11 6 4" xfId="18466" xr:uid="{00000000-0005-0000-0000-0000E0660000}"/>
    <cellStyle name="Normal 4 11 6 5" xfId="18467" xr:uid="{00000000-0005-0000-0000-0000E1660000}"/>
    <cellStyle name="Normal 4 11 6 6" xfId="18468" xr:uid="{00000000-0005-0000-0000-0000E2660000}"/>
    <cellStyle name="Normal 4 11 7" xfId="18469" xr:uid="{00000000-0005-0000-0000-0000E3660000}"/>
    <cellStyle name="Normal 4 11 7 2" xfId="53891" xr:uid="{00000000-0005-0000-0000-0000E4660000}"/>
    <cellStyle name="Normal 4 11 7 3" xfId="53892" xr:uid="{00000000-0005-0000-0000-0000E5660000}"/>
    <cellStyle name="Normal 4 11 8" xfId="18470" xr:uid="{00000000-0005-0000-0000-0000E6660000}"/>
    <cellStyle name="Normal 4 11 8 2" xfId="53893" xr:uid="{00000000-0005-0000-0000-0000E7660000}"/>
    <cellStyle name="Normal 4 11 9" xfId="18471" xr:uid="{00000000-0005-0000-0000-0000E8660000}"/>
    <cellStyle name="Normal 4 11 9 2" xfId="53894" xr:uid="{00000000-0005-0000-0000-0000E9660000}"/>
    <cellStyle name="Normal 4 12" xfId="18472" xr:uid="{00000000-0005-0000-0000-0000EA660000}"/>
    <cellStyle name="Normal 4 12 10" xfId="18473" xr:uid="{00000000-0005-0000-0000-0000EB660000}"/>
    <cellStyle name="Normal 4 12 11" xfId="18474" xr:uid="{00000000-0005-0000-0000-0000EC660000}"/>
    <cellStyle name="Normal 4 12 12" xfId="18475" xr:uid="{00000000-0005-0000-0000-0000ED660000}"/>
    <cellStyle name="Normal 4 12 13" xfId="18476" xr:uid="{00000000-0005-0000-0000-0000EE660000}"/>
    <cellStyle name="Normal 4 12 14" xfId="18477" xr:uid="{00000000-0005-0000-0000-0000EF660000}"/>
    <cellStyle name="Normal 4 12 2" xfId="18478" xr:uid="{00000000-0005-0000-0000-0000F0660000}"/>
    <cellStyle name="Normal 4 12 2 2" xfId="18479" xr:uid="{00000000-0005-0000-0000-0000F1660000}"/>
    <cellStyle name="Normal 4 12 2 2 2" xfId="18480" xr:uid="{00000000-0005-0000-0000-0000F2660000}"/>
    <cellStyle name="Normal 4 12 2 2 2 2" xfId="18481" xr:uid="{00000000-0005-0000-0000-0000F3660000}"/>
    <cellStyle name="Normal 4 12 2 2 2 2 2" xfId="53895" xr:uid="{00000000-0005-0000-0000-0000F4660000}"/>
    <cellStyle name="Normal 4 12 2 2 2 2 3" xfId="53896" xr:uid="{00000000-0005-0000-0000-0000F5660000}"/>
    <cellStyle name="Normal 4 12 2 2 2 3" xfId="18482" xr:uid="{00000000-0005-0000-0000-0000F6660000}"/>
    <cellStyle name="Normal 4 12 2 2 2 3 2" xfId="53897" xr:uid="{00000000-0005-0000-0000-0000F7660000}"/>
    <cellStyle name="Normal 4 12 2 2 2 4" xfId="18483" xr:uid="{00000000-0005-0000-0000-0000F8660000}"/>
    <cellStyle name="Normal 4 12 2 2 2 5" xfId="18484" xr:uid="{00000000-0005-0000-0000-0000F9660000}"/>
    <cellStyle name="Normal 4 12 2 2 2 6" xfId="18485" xr:uid="{00000000-0005-0000-0000-0000FA660000}"/>
    <cellStyle name="Normal 4 12 2 2 3" xfId="18486" xr:uid="{00000000-0005-0000-0000-0000FB660000}"/>
    <cellStyle name="Normal 4 12 2 2 3 2" xfId="53898" xr:uid="{00000000-0005-0000-0000-0000FC660000}"/>
    <cellStyle name="Normal 4 12 2 2 3 3" xfId="53899" xr:uid="{00000000-0005-0000-0000-0000FD660000}"/>
    <cellStyle name="Normal 4 12 2 2 4" xfId="18487" xr:uid="{00000000-0005-0000-0000-0000FE660000}"/>
    <cellStyle name="Normal 4 12 2 2 4 2" xfId="53900" xr:uid="{00000000-0005-0000-0000-0000FF660000}"/>
    <cellStyle name="Normal 4 12 2 2 5" xfId="18488" xr:uid="{00000000-0005-0000-0000-000000670000}"/>
    <cellStyle name="Normal 4 12 2 2 6" xfId="18489" xr:uid="{00000000-0005-0000-0000-000001670000}"/>
    <cellStyle name="Normal 4 12 2 2 7" xfId="18490" xr:uid="{00000000-0005-0000-0000-000002670000}"/>
    <cellStyle name="Normal 4 12 2 3" xfId="18491" xr:uid="{00000000-0005-0000-0000-000003670000}"/>
    <cellStyle name="Normal 4 12 2 3 2" xfId="18492" xr:uid="{00000000-0005-0000-0000-000004670000}"/>
    <cellStyle name="Normal 4 12 2 3 2 2" xfId="53901" xr:uid="{00000000-0005-0000-0000-000005670000}"/>
    <cellStyle name="Normal 4 12 2 3 2 3" xfId="53902" xr:uid="{00000000-0005-0000-0000-000006670000}"/>
    <cellStyle name="Normal 4 12 2 3 3" xfId="18493" xr:uid="{00000000-0005-0000-0000-000007670000}"/>
    <cellStyle name="Normal 4 12 2 3 3 2" xfId="53903" xr:uid="{00000000-0005-0000-0000-000008670000}"/>
    <cellStyle name="Normal 4 12 2 3 4" xfId="18494" xr:uid="{00000000-0005-0000-0000-000009670000}"/>
    <cellStyle name="Normal 4 12 2 3 5" xfId="18495" xr:uid="{00000000-0005-0000-0000-00000A670000}"/>
    <cellStyle name="Normal 4 12 2 3 6" xfId="18496" xr:uid="{00000000-0005-0000-0000-00000B670000}"/>
    <cellStyle name="Normal 4 12 2 4" xfId="18497" xr:uid="{00000000-0005-0000-0000-00000C670000}"/>
    <cellStyle name="Normal 4 12 2 4 2" xfId="53904" xr:uid="{00000000-0005-0000-0000-00000D670000}"/>
    <cellStyle name="Normal 4 12 2 4 3" xfId="53905" xr:uid="{00000000-0005-0000-0000-00000E670000}"/>
    <cellStyle name="Normal 4 12 2 5" xfId="18498" xr:uid="{00000000-0005-0000-0000-00000F670000}"/>
    <cellStyle name="Normal 4 12 2 5 2" xfId="53906" xr:uid="{00000000-0005-0000-0000-000010670000}"/>
    <cellStyle name="Normal 4 12 2 6" xfId="18499" xr:uid="{00000000-0005-0000-0000-000011670000}"/>
    <cellStyle name="Normal 4 12 2 7" xfId="18500" xr:uid="{00000000-0005-0000-0000-000012670000}"/>
    <cellStyle name="Normal 4 12 2 8" xfId="18501" xr:uid="{00000000-0005-0000-0000-000013670000}"/>
    <cellStyle name="Normal 4 12 2 9" xfId="18502" xr:uid="{00000000-0005-0000-0000-000014670000}"/>
    <cellStyle name="Normal 4 12 3" xfId="18503" xr:uid="{00000000-0005-0000-0000-000015670000}"/>
    <cellStyle name="Normal 4 12 3 2" xfId="18504" xr:uid="{00000000-0005-0000-0000-000016670000}"/>
    <cellStyle name="Normal 4 12 3 2 2" xfId="18505" xr:uid="{00000000-0005-0000-0000-000017670000}"/>
    <cellStyle name="Normal 4 12 3 2 2 2" xfId="18506" xr:uid="{00000000-0005-0000-0000-000018670000}"/>
    <cellStyle name="Normal 4 12 3 2 2 2 2" xfId="53907" xr:uid="{00000000-0005-0000-0000-000019670000}"/>
    <cellStyle name="Normal 4 12 3 2 2 2 3" xfId="53908" xr:uid="{00000000-0005-0000-0000-00001A670000}"/>
    <cellStyle name="Normal 4 12 3 2 2 3" xfId="18507" xr:uid="{00000000-0005-0000-0000-00001B670000}"/>
    <cellStyle name="Normal 4 12 3 2 2 3 2" xfId="53909" xr:uid="{00000000-0005-0000-0000-00001C670000}"/>
    <cellStyle name="Normal 4 12 3 2 2 4" xfId="18508" xr:uid="{00000000-0005-0000-0000-00001D670000}"/>
    <cellStyle name="Normal 4 12 3 2 2 5" xfId="18509" xr:uid="{00000000-0005-0000-0000-00001E670000}"/>
    <cellStyle name="Normal 4 12 3 2 2 6" xfId="18510" xr:uid="{00000000-0005-0000-0000-00001F670000}"/>
    <cellStyle name="Normal 4 12 3 2 3" xfId="18511" xr:uid="{00000000-0005-0000-0000-000020670000}"/>
    <cellStyle name="Normal 4 12 3 2 3 2" xfId="53910" xr:uid="{00000000-0005-0000-0000-000021670000}"/>
    <cellStyle name="Normal 4 12 3 2 3 3" xfId="53911" xr:uid="{00000000-0005-0000-0000-000022670000}"/>
    <cellStyle name="Normal 4 12 3 2 4" xfId="18512" xr:uid="{00000000-0005-0000-0000-000023670000}"/>
    <cellStyle name="Normal 4 12 3 2 4 2" xfId="53912" xr:uid="{00000000-0005-0000-0000-000024670000}"/>
    <cellStyle name="Normal 4 12 3 2 5" xfId="18513" xr:uid="{00000000-0005-0000-0000-000025670000}"/>
    <cellStyle name="Normal 4 12 3 2 6" xfId="18514" xr:uid="{00000000-0005-0000-0000-000026670000}"/>
    <cellStyle name="Normal 4 12 3 2 7" xfId="18515" xr:uid="{00000000-0005-0000-0000-000027670000}"/>
    <cellStyle name="Normal 4 12 3 3" xfId="18516" xr:uid="{00000000-0005-0000-0000-000028670000}"/>
    <cellStyle name="Normal 4 12 3 3 2" xfId="18517" xr:uid="{00000000-0005-0000-0000-000029670000}"/>
    <cellStyle name="Normal 4 12 3 3 2 2" xfId="53913" xr:uid="{00000000-0005-0000-0000-00002A670000}"/>
    <cellStyle name="Normal 4 12 3 3 2 3" xfId="53914" xr:uid="{00000000-0005-0000-0000-00002B670000}"/>
    <cellStyle name="Normal 4 12 3 3 3" xfId="18518" xr:uid="{00000000-0005-0000-0000-00002C670000}"/>
    <cellStyle name="Normal 4 12 3 3 3 2" xfId="53915" xr:uid="{00000000-0005-0000-0000-00002D670000}"/>
    <cellStyle name="Normal 4 12 3 3 4" xfId="18519" xr:uid="{00000000-0005-0000-0000-00002E670000}"/>
    <cellStyle name="Normal 4 12 3 3 5" xfId="18520" xr:uid="{00000000-0005-0000-0000-00002F670000}"/>
    <cellStyle name="Normal 4 12 3 3 6" xfId="18521" xr:uid="{00000000-0005-0000-0000-000030670000}"/>
    <cellStyle name="Normal 4 12 3 4" xfId="18522" xr:uid="{00000000-0005-0000-0000-000031670000}"/>
    <cellStyle name="Normal 4 12 3 4 2" xfId="53916" xr:uid="{00000000-0005-0000-0000-000032670000}"/>
    <cellStyle name="Normal 4 12 3 4 3" xfId="53917" xr:uid="{00000000-0005-0000-0000-000033670000}"/>
    <cellStyle name="Normal 4 12 3 5" xfId="18523" xr:uid="{00000000-0005-0000-0000-000034670000}"/>
    <cellStyle name="Normal 4 12 3 5 2" xfId="53918" xr:uid="{00000000-0005-0000-0000-000035670000}"/>
    <cellStyle name="Normal 4 12 3 6" xfId="18524" xr:uid="{00000000-0005-0000-0000-000036670000}"/>
    <cellStyle name="Normal 4 12 3 7" xfId="18525" xr:uid="{00000000-0005-0000-0000-000037670000}"/>
    <cellStyle name="Normal 4 12 3 8" xfId="18526" xr:uid="{00000000-0005-0000-0000-000038670000}"/>
    <cellStyle name="Normal 4 12 4" xfId="18527" xr:uid="{00000000-0005-0000-0000-000039670000}"/>
    <cellStyle name="Normal 4 12 4 2" xfId="18528" xr:uid="{00000000-0005-0000-0000-00003A670000}"/>
    <cellStyle name="Normal 4 12 4 2 2" xfId="18529" xr:uid="{00000000-0005-0000-0000-00003B670000}"/>
    <cellStyle name="Normal 4 12 4 2 2 2" xfId="53919" xr:uid="{00000000-0005-0000-0000-00003C670000}"/>
    <cellStyle name="Normal 4 12 4 2 2 3" xfId="53920" xr:uid="{00000000-0005-0000-0000-00003D670000}"/>
    <cellStyle name="Normal 4 12 4 2 3" xfId="18530" xr:uid="{00000000-0005-0000-0000-00003E670000}"/>
    <cellStyle name="Normal 4 12 4 2 3 2" xfId="53921" xr:uid="{00000000-0005-0000-0000-00003F670000}"/>
    <cellStyle name="Normal 4 12 4 2 4" xfId="18531" xr:uid="{00000000-0005-0000-0000-000040670000}"/>
    <cellStyle name="Normal 4 12 4 2 5" xfId="18532" xr:uid="{00000000-0005-0000-0000-000041670000}"/>
    <cellStyle name="Normal 4 12 4 2 6" xfId="18533" xr:uid="{00000000-0005-0000-0000-000042670000}"/>
    <cellStyle name="Normal 4 12 4 3" xfId="18534" xr:uid="{00000000-0005-0000-0000-000043670000}"/>
    <cellStyle name="Normal 4 12 4 3 2" xfId="53922" xr:uid="{00000000-0005-0000-0000-000044670000}"/>
    <cellStyle name="Normal 4 12 4 3 3" xfId="53923" xr:uid="{00000000-0005-0000-0000-000045670000}"/>
    <cellStyle name="Normal 4 12 4 4" xfId="18535" xr:uid="{00000000-0005-0000-0000-000046670000}"/>
    <cellStyle name="Normal 4 12 4 4 2" xfId="53924" xr:uid="{00000000-0005-0000-0000-000047670000}"/>
    <cellStyle name="Normal 4 12 4 5" xfId="18536" xr:uid="{00000000-0005-0000-0000-000048670000}"/>
    <cellStyle name="Normal 4 12 4 6" xfId="18537" xr:uid="{00000000-0005-0000-0000-000049670000}"/>
    <cellStyle name="Normal 4 12 4 7" xfId="18538" xr:uid="{00000000-0005-0000-0000-00004A670000}"/>
    <cellStyle name="Normal 4 12 5" xfId="18539" xr:uid="{00000000-0005-0000-0000-00004B670000}"/>
    <cellStyle name="Normal 4 12 5 2" xfId="18540" xr:uid="{00000000-0005-0000-0000-00004C670000}"/>
    <cellStyle name="Normal 4 12 5 2 2" xfId="53925" xr:uid="{00000000-0005-0000-0000-00004D670000}"/>
    <cellStyle name="Normal 4 12 5 2 3" xfId="53926" xr:uid="{00000000-0005-0000-0000-00004E670000}"/>
    <cellStyle name="Normal 4 12 5 3" xfId="18541" xr:uid="{00000000-0005-0000-0000-00004F670000}"/>
    <cellStyle name="Normal 4 12 5 3 2" xfId="53927" xr:uid="{00000000-0005-0000-0000-000050670000}"/>
    <cellStyle name="Normal 4 12 5 4" xfId="18542" xr:uid="{00000000-0005-0000-0000-000051670000}"/>
    <cellStyle name="Normal 4 12 5 5" xfId="18543" xr:uid="{00000000-0005-0000-0000-000052670000}"/>
    <cellStyle name="Normal 4 12 5 6" xfId="18544" xr:uid="{00000000-0005-0000-0000-000053670000}"/>
    <cellStyle name="Normal 4 12 6" xfId="18545" xr:uid="{00000000-0005-0000-0000-000054670000}"/>
    <cellStyle name="Normal 4 12 6 2" xfId="53928" xr:uid="{00000000-0005-0000-0000-000055670000}"/>
    <cellStyle name="Normal 4 12 6 3" xfId="53929" xr:uid="{00000000-0005-0000-0000-000056670000}"/>
    <cellStyle name="Normal 4 12 7" xfId="18546" xr:uid="{00000000-0005-0000-0000-000057670000}"/>
    <cellStyle name="Normal 4 12 7 2" xfId="53930" xr:uid="{00000000-0005-0000-0000-000058670000}"/>
    <cellStyle name="Normal 4 12 8" xfId="18547" xr:uid="{00000000-0005-0000-0000-000059670000}"/>
    <cellStyle name="Normal 4 12 9" xfId="18548" xr:uid="{00000000-0005-0000-0000-00005A670000}"/>
    <cellStyle name="Normal 4 13" xfId="18549" xr:uid="{00000000-0005-0000-0000-00005B670000}"/>
    <cellStyle name="Normal 4 13 10" xfId="18550" xr:uid="{00000000-0005-0000-0000-00005C670000}"/>
    <cellStyle name="Normal 4 13 11" xfId="18551" xr:uid="{00000000-0005-0000-0000-00005D670000}"/>
    <cellStyle name="Normal 4 13 12" xfId="18552" xr:uid="{00000000-0005-0000-0000-00005E670000}"/>
    <cellStyle name="Normal 4 13 13" xfId="18553" xr:uid="{00000000-0005-0000-0000-00005F670000}"/>
    <cellStyle name="Normal 4 13 14" xfId="18554" xr:uid="{00000000-0005-0000-0000-000060670000}"/>
    <cellStyle name="Normal 4 13 2" xfId="18555" xr:uid="{00000000-0005-0000-0000-000061670000}"/>
    <cellStyle name="Normal 4 13 2 2" xfId="18556" xr:uid="{00000000-0005-0000-0000-000062670000}"/>
    <cellStyle name="Normal 4 13 2 2 2" xfId="18557" xr:uid="{00000000-0005-0000-0000-000063670000}"/>
    <cellStyle name="Normal 4 13 2 2 2 2" xfId="18558" xr:uid="{00000000-0005-0000-0000-000064670000}"/>
    <cellStyle name="Normal 4 13 2 2 2 2 2" xfId="53931" xr:uid="{00000000-0005-0000-0000-000065670000}"/>
    <cellStyle name="Normal 4 13 2 2 2 2 3" xfId="53932" xr:uid="{00000000-0005-0000-0000-000066670000}"/>
    <cellStyle name="Normal 4 13 2 2 2 3" xfId="18559" xr:uid="{00000000-0005-0000-0000-000067670000}"/>
    <cellStyle name="Normal 4 13 2 2 2 3 2" xfId="53933" xr:uid="{00000000-0005-0000-0000-000068670000}"/>
    <cellStyle name="Normal 4 13 2 2 2 4" xfId="18560" xr:uid="{00000000-0005-0000-0000-000069670000}"/>
    <cellStyle name="Normal 4 13 2 2 2 5" xfId="18561" xr:uid="{00000000-0005-0000-0000-00006A670000}"/>
    <cellStyle name="Normal 4 13 2 2 2 6" xfId="18562" xr:uid="{00000000-0005-0000-0000-00006B670000}"/>
    <cellStyle name="Normal 4 13 2 2 3" xfId="18563" xr:uid="{00000000-0005-0000-0000-00006C670000}"/>
    <cellStyle name="Normal 4 13 2 2 3 2" xfId="53934" xr:uid="{00000000-0005-0000-0000-00006D670000}"/>
    <cellStyle name="Normal 4 13 2 2 3 3" xfId="53935" xr:uid="{00000000-0005-0000-0000-00006E670000}"/>
    <cellStyle name="Normal 4 13 2 2 4" xfId="18564" xr:uid="{00000000-0005-0000-0000-00006F670000}"/>
    <cellStyle name="Normal 4 13 2 2 4 2" xfId="53936" xr:uid="{00000000-0005-0000-0000-000070670000}"/>
    <cellStyle name="Normal 4 13 2 2 5" xfId="18565" xr:uid="{00000000-0005-0000-0000-000071670000}"/>
    <cellStyle name="Normal 4 13 2 2 6" xfId="18566" xr:uid="{00000000-0005-0000-0000-000072670000}"/>
    <cellStyle name="Normal 4 13 2 2 7" xfId="18567" xr:uid="{00000000-0005-0000-0000-000073670000}"/>
    <cellStyle name="Normal 4 13 2 3" xfId="18568" xr:uid="{00000000-0005-0000-0000-000074670000}"/>
    <cellStyle name="Normal 4 13 2 3 2" xfId="18569" xr:uid="{00000000-0005-0000-0000-000075670000}"/>
    <cellStyle name="Normal 4 13 2 3 2 2" xfId="53937" xr:uid="{00000000-0005-0000-0000-000076670000}"/>
    <cellStyle name="Normal 4 13 2 3 2 3" xfId="53938" xr:uid="{00000000-0005-0000-0000-000077670000}"/>
    <cellStyle name="Normal 4 13 2 3 3" xfId="18570" xr:uid="{00000000-0005-0000-0000-000078670000}"/>
    <cellStyle name="Normal 4 13 2 3 3 2" xfId="53939" xr:uid="{00000000-0005-0000-0000-000079670000}"/>
    <cellStyle name="Normal 4 13 2 3 4" xfId="18571" xr:uid="{00000000-0005-0000-0000-00007A670000}"/>
    <cellStyle name="Normal 4 13 2 3 5" xfId="18572" xr:uid="{00000000-0005-0000-0000-00007B670000}"/>
    <cellStyle name="Normal 4 13 2 3 6" xfId="18573" xr:uid="{00000000-0005-0000-0000-00007C670000}"/>
    <cellStyle name="Normal 4 13 2 4" xfId="18574" xr:uid="{00000000-0005-0000-0000-00007D670000}"/>
    <cellStyle name="Normal 4 13 2 4 2" xfId="53940" xr:uid="{00000000-0005-0000-0000-00007E670000}"/>
    <cellStyle name="Normal 4 13 2 4 3" xfId="53941" xr:uid="{00000000-0005-0000-0000-00007F670000}"/>
    <cellStyle name="Normal 4 13 2 5" xfId="18575" xr:uid="{00000000-0005-0000-0000-000080670000}"/>
    <cellStyle name="Normal 4 13 2 5 2" xfId="53942" xr:uid="{00000000-0005-0000-0000-000081670000}"/>
    <cellStyle name="Normal 4 13 2 6" xfId="18576" xr:uid="{00000000-0005-0000-0000-000082670000}"/>
    <cellStyle name="Normal 4 13 2 7" xfId="18577" xr:uid="{00000000-0005-0000-0000-000083670000}"/>
    <cellStyle name="Normal 4 13 2 8" xfId="18578" xr:uid="{00000000-0005-0000-0000-000084670000}"/>
    <cellStyle name="Normal 4 13 2 9" xfId="18579" xr:uid="{00000000-0005-0000-0000-000085670000}"/>
    <cellStyle name="Normal 4 13 3" xfId="18580" xr:uid="{00000000-0005-0000-0000-000086670000}"/>
    <cellStyle name="Normal 4 13 3 2" xfId="18581" xr:uid="{00000000-0005-0000-0000-000087670000}"/>
    <cellStyle name="Normal 4 13 3 2 2" xfId="18582" xr:uid="{00000000-0005-0000-0000-000088670000}"/>
    <cellStyle name="Normal 4 13 3 2 2 2" xfId="18583" xr:uid="{00000000-0005-0000-0000-000089670000}"/>
    <cellStyle name="Normal 4 13 3 2 2 2 2" xfId="53943" xr:uid="{00000000-0005-0000-0000-00008A670000}"/>
    <cellStyle name="Normal 4 13 3 2 2 2 3" xfId="53944" xr:uid="{00000000-0005-0000-0000-00008B670000}"/>
    <cellStyle name="Normal 4 13 3 2 2 3" xfId="18584" xr:uid="{00000000-0005-0000-0000-00008C670000}"/>
    <cellStyle name="Normal 4 13 3 2 2 3 2" xfId="53945" xr:uid="{00000000-0005-0000-0000-00008D670000}"/>
    <cellStyle name="Normal 4 13 3 2 2 4" xfId="18585" xr:uid="{00000000-0005-0000-0000-00008E670000}"/>
    <cellStyle name="Normal 4 13 3 2 2 5" xfId="18586" xr:uid="{00000000-0005-0000-0000-00008F670000}"/>
    <cellStyle name="Normal 4 13 3 2 2 6" xfId="18587" xr:uid="{00000000-0005-0000-0000-000090670000}"/>
    <cellStyle name="Normal 4 13 3 2 3" xfId="18588" xr:uid="{00000000-0005-0000-0000-000091670000}"/>
    <cellStyle name="Normal 4 13 3 2 3 2" xfId="53946" xr:uid="{00000000-0005-0000-0000-000092670000}"/>
    <cellStyle name="Normal 4 13 3 2 3 3" xfId="53947" xr:uid="{00000000-0005-0000-0000-000093670000}"/>
    <cellStyle name="Normal 4 13 3 2 4" xfId="18589" xr:uid="{00000000-0005-0000-0000-000094670000}"/>
    <cellStyle name="Normal 4 13 3 2 4 2" xfId="53948" xr:uid="{00000000-0005-0000-0000-000095670000}"/>
    <cellStyle name="Normal 4 13 3 2 5" xfId="18590" xr:uid="{00000000-0005-0000-0000-000096670000}"/>
    <cellStyle name="Normal 4 13 3 2 6" xfId="18591" xr:uid="{00000000-0005-0000-0000-000097670000}"/>
    <cellStyle name="Normal 4 13 3 2 7" xfId="18592" xr:uid="{00000000-0005-0000-0000-000098670000}"/>
    <cellStyle name="Normal 4 13 3 3" xfId="18593" xr:uid="{00000000-0005-0000-0000-000099670000}"/>
    <cellStyle name="Normal 4 13 3 3 2" xfId="18594" xr:uid="{00000000-0005-0000-0000-00009A670000}"/>
    <cellStyle name="Normal 4 13 3 3 2 2" xfId="53949" xr:uid="{00000000-0005-0000-0000-00009B670000}"/>
    <cellStyle name="Normal 4 13 3 3 2 3" xfId="53950" xr:uid="{00000000-0005-0000-0000-00009C670000}"/>
    <cellStyle name="Normal 4 13 3 3 3" xfId="18595" xr:uid="{00000000-0005-0000-0000-00009D670000}"/>
    <cellStyle name="Normal 4 13 3 3 3 2" xfId="53951" xr:uid="{00000000-0005-0000-0000-00009E670000}"/>
    <cellStyle name="Normal 4 13 3 3 4" xfId="18596" xr:uid="{00000000-0005-0000-0000-00009F670000}"/>
    <cellStyle name="Normal 4 13 3 3 5" xfId="18597" xr:uid="{00000000-0005-0000-0000-0000A0670000}"/>
    <cellStyle name="Normal 4 13 3 3 6" xfId="18598" xr:uid="{00000000-0005-0000-0000-0000A1670000}"/>
    <cellStyle name="Normal 4 13 3 4" xfId="18599" xr:uid="{00000000-0005-0000-0000-0000A2670000}"/>
    <cellStyle name="Normal 4 13 3 4 2" xfId="53952" xr:uid="{00000000-0005-0000-0000-0000A3670000}"/>
    <cellStyle name="Normal 4 13 3 4 3" xfId="53953" xr:uid="{00000000-0005-0000-0000-0000A4670000}"/>
    <cellStyle name="Normal 4 13 3 5" xfId="18600" xr:uid="{00000000-0005-0000-0000-0000A5670000}"/>
    <cellStyle name="Normal 4 13 3 5 2" xfId="53954" xr:uid="{00000000-0005-0000-0000-0000A6670000}"/>
    <cellStyle name="Normal 4 13 3 6" xfId="18601" xr:uid="{00000000-0005-0000-0000-0000A7670000}"/>
    <cellStyle name="Normal 4 13 3 7" xfId="18602" xr:uid="{00000000-0005-0000-0000-0000A8670000}"/>
    <cellStyle name="Normal 4 13 3 8" xfId="18603" xr:uid="{00000000-0005-0000-0000-0000A9670000}"/>
    <cellStyle name="Normal 4 13 4" xfId="18604" xr:uid="{00000000-0005-0000-0000-0000AA670000}"/>
    <cellStyle name="Normal 4 13 4 2" xfId="18605" xr:uid="{00000000-0005-0000-0000-0000AB670000}"/>
    <cellStyle name="Normal 4 13 4 2 2" xfId="18606" xr:uid="{00000000-0005-0000-0000-0000AC670000}"/>
    <cellStyle name="Normal 4 13 4 2 2 2" xfId="53955" xr:uid="{00000000-0005-0000-0000-0000AD670000}"/>
    <cellStyle name="Normal 4 13 4 2 2 3" xfId="53956" xr:uid="{00000000-0005-0000-0000-0000AE670000}"/>
    <cellStyle name="Normal 4 13 4 2 3" xfId="18607" xr:uid="{00000000-0005-0000-0000-0000AF670000}"/>
    <cellStyle name="Normal 4 13 4 2 3 2" xfId="53957" xr:uid="{00000000-0005-0000-0000-0000B0670000}"/>
    <cellStyle name="Normal 4 13 4 2 4" xfId="18608" xr:uid="{00000000-0005-0000-0000-0000B1670000}"/>
    <cellStyle name="Normal 4 13 4 2 5" xfId="18609" xr:uid="{00000000-0005-0000-0000-0000B2670000}"/>
    <cellStyle name="Normal 4 13 4 2 6" xfId="18610" xr:uid="{00000000-0005-0000-0000-0000B3670000}"/>
    <cellStyle name="Normal 4 13 4 3" xfId="18611" xr:uid="{00000000-0005-0000-0000-0000B4670000}"/>
    <cellStyle name="Normal 4 13 4 3 2" xfId="53958" xr:uid="{00000000-0005-0000-0000-0000B5670000}"/>
    <cellStyle name="Normal 4 13 4 3 3" xfId="53959" xr:uid="{00000000-0005-0000-0000-0000B6670000}"/>
    <cellStyle name="Normal 4 13 4 4" xfId="18612" xr:uid="{00000000-0005-0000-0000-0000B7670000}"/>
    <cellStyle name="Normal 4 13 4 4 2" xfId="53960" xr:uid="{00000000-0005-0000-0000-0000B8670000}"/>
    <cellStyle name="Normal 4 13 4 5" xfId="18613" xr:uid="{00000000-0005-0000-0000-0000B9670000}"/>
    <cellStyle name="Normal 4 13 4 6" xfId="18614" xr:uid="{00000000-0005-0000-0000-0000BA670000}"/>
    <cellStyle name="Normal 4 13 4 7" xfId="18615" xr:uid="{00000000-0005-0000-0000-0000BB670000}"/>
    <cellStyle name="Normal 4 13 5" xfId="18616" xr:uid="{00000000-0005-0000-0000-0000BC670000}"/>
    <cellStyle name="Normal 4 13 5 2" xfId="18617" xr:uid="{00000000-0005-0000-0000-0000BD670000}"/>
    <cellStyle name="Normal 4 13 5 2 2" xfId="53961" xr:uid="{00000000-0005-0000-0000-0000BE670000}"/>
    <cellStyle name="Normal 4 13 5 2 3" xfId="53962" xr:uid="{00000000-0005-0000-0000-0000BF670000}"/>
    <cellStyle name="Normal 4 13 5 3" xfId="18618" xr:uid="{00000000-0005-0000-0000-0000C0670000}"/>
    <cellStyle name="Normal 4 13 5 3 2" xfId="53963" xr:uid="{00000000-0005-0000-0000-0000C1670000}"/>
    <cellStyle name="Normal 4 13 5 4" xfId="18619" xr:uid="{00000000-0005-0000-0000-0000C2670000}"/>
    <cellStyle name="Normal 4 13 5 5" xfId="18620" xr:uid="{00000000-0005-0000-0000-0000C3670000}"/>
    <cellStyle name="Normal 4 13 5 6" xfId="18621" xr:uid="{00000000-0005-0000-0000-0000C4670000}"/>
    <cellStyle name="Normal 4 13 6" xfId="18622" xr:uid="{00000000-0005-0000-0000-0000C5670000}"/>
    <cellStyle name="Normal 4 13 6 2" xfId="53964" xr:uid="{00000000-0005-0000-0000-0000C6670000}"/>
    <cellStyle name="Normal 4 13 6 3" xfId="53965" xr:uid="{00000000-0005-0000-0000-0000C7670000}"/>
    <cellStyle name="Normal 4 13 7" xfId="18623" xr:uid="{00000000-0005-0000-0000-0000C8670000}"/>
    <cellStyle name="Normal 4 13 7 2" xfId="53966" xr:uid="{00000000-0005-0000-0000-0000C9670000}"/>
    <cellStyle name="Normal 4 13 8" xfId="18624" xr:uid="{00000000-0005-0000-0000-0000CA670000}"/>
    <cellStyle name="Normal 4 13 9" xfId="18625" xr:uid="{00000000-0005-0000-0000-0000CB670000}"/>
    <cellStyle name="Normal 4 14" xfId="18626" xr:uid="{00000000-0005-0000-0000-0000CC670000}"/>
    <cellStyle name="Normal 4 14 10" xfId="18627" xr:uid="{00000000-0005-0000-0000-0000CD670000}"/>
    <cellStyle name="Normal 4 14 11" xfId="18628" xr:uid="{00000000-0005-0000-0000-0000CE670000}"/>
    <cellStyle name="Normal 4 14 12" xfId="18629" xr:uid="{00000000-0005-0000-0000-0000CF670000}"/>
    <cellStyle name="Normal 4 14 13" xfId="18630" xr:uid="{00000000-0005-0000-0000-0000D0670000}"/>
    <cellStyle name="Normal 4 14 2" xfId="18631" xr:uid="{00000000-0005-0000-0000-0000D1670000}"/>
    <cellStyle name="Normal 4 14 2 2" xfId="18632" xr:uid="{00000000-0005-0000-0000-0000D2670000}"/>
    <cellStyle name="Normal 4 14 2 2 2" xfId="18633" xr:uid="{00000000-0005-0000-0000-0000D3670000}"/>
    <cellStyle name="Normal 4 14 2 2 2 2" xfId="18634" xr:uid="{00000000-0005-0000-0000-0000D4670000}"/>
    <cellStyle name="Normal 4 14 2 2 2 2 2" xfId="53967" xr:uid="{00000000-0005-0000-0000-0000D5670000}"/>
    <cellStyle name="Normal 4 14 2 2 2 2 3" xfId="53968" xr:uid="{00000000-0005-0000-0000-0000D6670000}"/>
    <cellStyle name="Normal 4 14 2 2 2 3" xfId="18635" xr:uid="{00000000-0005-0000-0000-0000D7670000}"/>
    <cellStyle name="Normal 4 14 2 2 2 3 2" xfId="53969" xr:uid="{00000000-0005-0000-0000-0000D8670000}"/>
    <cellStyle name="Normal 4 14 2 2 2 4" xfId="18636" xr:uid="{00000000-0005-0000-0000-0000D9670000}"/>
    <cellStyle name="Normal 4 14 2 2 2 5" xfId="18637" xr:uid="{00000000-0005-0000-0000-0000DA670000}"/>
    <cellStyle name="Normal 4 14 2 2 2 6" xfId="18638" xr:uid="{00000000-0005-0000-0000-0000DB670000}"/>
    <cellStyle name="Normal 4 14 2 2 3" xfId="18639" xr:uid="{00000000-0005-0000-0000-0000DC670000}"/>
    <cellStyle name="Normal 4 14 2 2 3 2" xfId="53970" xr:uid="{00000000-0005-0000-0000-0000DD670000}"/>
    <cellStyle name="Normal 4 14 2 2 3 3" xfId="53971" xr:uid="{00000000-0005-0000-0000-0000DE670000}"/>
    <cellStyle name="Normal 4 14 2 2 4" xfId="18640" xr:uid="{00000000-0005-0000-0000-0000DF670000}"/>
    <cellStyle name="Normal 4 14 2 2 4 2" xfId="53972" xr:uid="{00000000-0005-0000-0000-0000E0670000}"/>
    <cellStyle name="Normal 4 14 2 2 5" xfId="18641" xr:uid="{00000000-0005-0000-0000-0000E1670000}"/>
    <cellStyle name="Normal 4 14 2 2 6" xfId="18642" xr:uid="{00000000-0005-0000-0000-0000E2670000}"/>
    <cellStyle name="Normal 4 14 2 2 7" xfId="18643" xr:uid="{00000000-0005-0000-0000-0000E3670000}"/>
    <cellStyle name="Normal 4 14 2 3" xfId="18644" xr:uid="{00000000-0005-0000-0000-0000E4670000}"/>
    <cellStyle name="Normal 4 14 2 3 2" xfId="18645" xr:uid="{00000000-0005-0000-0000-0000E5670000}"/>
    <cellStyle name="Normal 4 14 2 3 2 2" xfId="53973" xr:uid="{00000000-0005-0000-0000-0000E6670000}"/>
    <cellStyle name="Normal 4 14 2 3 2 3" xfId="53974" xr:uid="{00000000-0005-0000-0000-0000E7670000}"/>
    <cellStyle name="Normal 4 14 2 3 3" xfId="18646" xr:uid="{00000000-0005-0000-0000-0000E8670000}"/>
    <cellStyle name="Normal 4 14 2 3 3 2" xfId="53975" xr:uid="{00000000-0005-0000-0000-0000E9670000}"/>
    <cellStyle name="Normal 4 14 2 3 4" xfId="18647" xr:uid="{00000000-0005-0000-0000-0000EA670000}"/>
    <cellStyle name="Normal 4 14 2 3 5" xfId="18648" xr:uid="{00000000-0005-0000-0000-0000EB670000}"/>
    <cellStyle name="Normal 4 14 2 3 6" xfId="18649" xr:uid="{00000000-0005-0000-0000-0000EC670000}"/>
    <cellStyle name="Normal 4 14 2 4" xfId="18650" xr:uid="{00000000-0005-0000-0000-0000ED670000}"/>
    <cellStyle name="Normal 4 14 2 4 2" xfId="53976" xr:uid="{00000000-0005-0000-0000-0000EE670000}"/>
    <cellStyle name="Normal 4 14 2 4 3" xfId="53977" xr:uid="{00000000-0005-0000-0000-0000EF670000}"/>
    <cellStyle name="Normal 4 14 2 5" xfId="18651" xr:uid="{00000000-0005-0000-0000-0000F0670000}"/>
    <cellStyle name="Normal 4 14 2 5 2" xfId="53978" xr:uid="{00000000-0005-0000-0000-0000F1670000}"/>
    <cellStyle name="Normal 4 14 2 6" xfId="18652" xr:uid="{00000000-0005-0000-0000-0000F2670000}"/>
    <cellStyle name="Normal 4 14 2 7" xfId="18653" xr:uid="{00000000-0005-0000-0000-0000F3670000}"/>
    <cellStyle name="Normal 4 14 2 8" xfId="18654" xr:uid="{00000000-0005-0000-0000-0000F4670000}"/>
    <cellStyle name="Normal 4 14 2 9" xfId="18655" xr:uid="{00000000-0005-0000-0000-0000F5670000}"/>
    <cellStyle name="Normal 4 14 3" xfId="18656" xr:uid="{00000000-0005-0000-0000-0000F6670000}"/>
    <cellStyle name="Normal 4 14 3 2" xfId="18657" xr:uid="{00000000-0005-0000-0000-0000F7670000}"/>
    <cellStyle name="Normal 4 14 3 2 2" xfId="18658" xr:uid="{00000000-0005-0000-0000-0000F8670000}"/>
    <cellStyle name="Normal 4 14 3 2 2 2" xfId="53979" xr:uid="{00000000-0005-0000-0000-0000F9670000}"/>
    <cellStyle name="Normal 4 14 3 2 2 3" xfId="53980" xr:uid="{00000000-0005-0000-0000-0000FA670000}"/>
    <cellStyle name="Normal 4 14 3 2 3" xfId="18659" xr:uid="{00000000-0005-0000-0000-0000FB670000}"/>
    <cellStyle name="Normal 4 14 3 2 3 2" xfId="53981" xr:uid="{00000000-0005-0000-0000-0000FC670000}"/>
    <cellStyle name="Normal 4 14 3 2 4" xfId="18660" xr:uid="{00000000-0005-0000-0000-0000FD670000}"/>
    <cellStyle name="Normal 4 14 3 2 5" xfId="18661" xr:uid="{00000000-0005-0000-0000-0000FE670000}"/>
    <cellStyle name="Normal 4 14 3 2 6" xfId="18662" xr:uid="{00000000-0005-0000-0000-0000FF670000}"/>
    <cellStyle name="Normal 4 14 3 3" xfId="18663" xr:uid="{00000000-0005-0000-0000-000000680000}"/>
    <cellStyle name="Normal 4 14 3 3 2" xfId="53982" xr:uid="{00000000-0005-0000-0000-000001680000}"/>
    <cellStyle name="Normal 4 14 3 3 3" xfId="53983" xr:uid="{00000000-0005-0000-0000-000002680000}"/>
    <cellStyle name="Normal 4 14 3 4" xfId="18664" xr:uid="{00000000-0005-0000-0000-000003680000}"/>
    <cellStyle name="Normal 4 14 3 4 2" xfId="53984" xr:uid="{00000000-0005-0000-0000-000004680000}"/>
    <cellStyle name="Normal 4 14 3 5" xfId="18665" xr:uid="{00000000-0005-0000-0000-000005680000}"/>
    <cellStyle name="Normal 4 14 3 6" xfId="18666" xr:uid="{00000000-0005-0000-0000-000006680000}"/>
    <cellStyle name="Normal 4 14 3 7" xfId="18667" xr:uid="{00000000-0005-0000-0000-000007680000}"/>
    <cellStyle name="Normal 4 14 4" xfId="18668" xr:uid="{00000000-0005-0000-0000-000008680000}"/>
    <cellStyle name="Normal 4 14 4 2" xfId="18669" xr:uid="{00000000-0005-0000-0000-000009680000}"/>
    <cellStyle name="Normal 4 14 4 2 2" xfId="53985" xr:uid="{00000000-0005-0000-0000-00000A680000}"/>
    <cellStyle name="Normal 4 14 4 2 3" xfId="53986" xr:uid="{00000000-0005-0000-0000-00000B680000}"/>
    <cellStyle name="Normal 4 14 4 3" xfId="18670" xr:uid="{00000000-0005-0000-0000-00000C680000}"/>
    <cellStyle name="Normal 4 14 4 3 2" xfId="53987" xr:uid="{00000000-0005-0000-0000-00000D680000}"/>
    <cellStyle name="Normal 4 14 4 4" xfId="18671" xr:uid="{00000000-0005-0000-0000-00000E680000}"/>
    <cellStyle name="Normal 4 14 4 5" xfId="18672" xr:uid="{00000000-0005-0000-0000-00000F680000}"/>
    <cellStyle name="Normal 4 14 4 6" xfId="18673" xr:uid="{00000000-0005-0000-0000-000010680000}"/>
    <cellStyle name="Normal 4 14 5" xfId="18674" xr:uid="{00000000-0005-0000-0000-000011680000}"/>
    <cellStyle name="Normal 4 14 5 2" xfId="53988" xr:uid="{00000000-0005-0000-0000-000012680000}"/>
    <cellStyle name="Normal 4 14 5 3" xfId="53989" xr:uid="{00000000-0005-0000-0000-000013680000}"/>
    <cellStyle name="Normal 4 14 6" xfId="18675" xr:uid="{00000000-0005-0000-0000-000014680000}"/>
    <cellStyle name="Normal 4 14 6 2" xfId="53990" xr:uid="{00000000-0005-0000-0000-000015680000}"/>
    <cellStyle name="Normal 4 14 7" xfId="18676" xr:uid="{00000000-0005-0000-0000-000016680000}"/>
    <cellStyle name="Normal 4 14 8" xfId="18677" xr:uid="{00000000-0005-0000-0000-000017680000}"/>
    <cellStyle name="Normal 4 14 9" xfId="18678" xr:uid="{00000000-0005-0000-0000-000018680000}"/>
    <cellStyle name="Normal 4 15" xfId="18679" xr:uid="{00000000-0005-0000-0000-000019680000}"/>
    <cellStyle name="Normal 4 15 2" xfId="18680" xr:uid="{00000000-0005-0000-0000-00001A680000}"/>
    <cellStyle name="Normal 4 15 2 2" xfId="18681" xr:uid="{00000000-0005-0000-0000-00001B680000}"/>
    <cellStyle name="Normal 4 15 2 2 2" xfId="18682" xr:uid="{00000000-0005-0000-0000-00001C680000}"/>
    <cellStyle name="Normal 4 15 2 2 2 2" xfId="53991" xr:uid="{00000000-0005-0000-0000-00001D680000}"/>
    <cellStyle name="Normal 4 15 2 2 2 3" xfId="53992" xr:uid="{00000000-0005-0000-0000-00001E680000}"/>
    <cellStyle name="Normal 4 15 2 2 3" xfId="18683" xr:uid="{00000000-0005-0000-0000-00001F680000}"/>
    <cellStyle name="Normal 4 15 2 2 3 2" xfId="53993" xr:uid="{00000000-0005-0000-0000-000020680000}"/>
    <cellStyle name="Normal 4 15 2 2 4" xfId="18684" xr:uid="{00000000-0005-0000-0000-000021680000}"/>
    <cellStyle name="Normal 4 15 2 2 5" xfId="18685" xr:uid="{00000000-0005-0000-0000-000022680000}"/>
    <cellStyle name="Normal 4 15 2 2 6" xfId="18686" xr:uid="{00000000-0005-0000-0000-000023680000}"/>
    <cellStyle name="Normal 4 15 2 3" xfId="18687" xr:uid="{00000000-0005-0000-0000-000024680000}"/>
    <cellStyle name="Normal 4 15 2 3 2" xfId="53994" xr:uid="{00000000-0005-0000-0000-000025680000}"/>
    <cellStyle name="Normal 4 15 2 3 3" xfId="53995" xr:uid="{00000000-0005-0000-0000-000026680000}"/>
    <cellStyle name="Normal 4 15 2 4" xfId="18688" xr:uid="{00000000-0005-0000-0000-000027680000}"/>
    <cellStyle name="Normal 4 15 2 4 2" xfId="53996" xr:uid="{00000000-0005-0000-0000-000028680000}"/>
    <cellStyle name="Normal 4 15 2 5" xfId="18689" xr:uid="{00000000-0005-0000-0000-000029680000}"/>
    <cellStyle name="Normal 4 15 2 6" xfId="18690" xr:uid="{00000000-0005-0000-0000-00002A680000}"/>
    <cellStyle name="Normal 4 15 2 7" xfId="18691" xr:uid="{00000000-0005-0000-0000-00002B680000}"/>
    <cellStyle name="Normal 4 15 3" xfId="18692" xr:uid="{00000000-0005-0000-0000-00002C680000}"/>
    <cellStyle name="Normal 4 15 3 2" xfId="18693" xr:uid="{00000000-0005-0000-0000-00002D680000}"/>
    <cellStyle name="Normal 4 15 3 2 2" xfId="53997" xr:uid="{00000000-0005-0000-0000-00002E680000}"/>
    <cellStyle name="Normal 4 15 3 2 3" xfId="53998" xr:uid="{00000000-0005-0000-0000-00002F680000}"/>
    <cellStyle name="Normal 4 15 3 3" xfId="18694" xr:uid="{00000000-0005-0000-0000-000030680000}"/>
    <cellStyle name="Normal 4 15 3 3 2" xfId="53999" xr:uid="{00000000-0005-0000-0000-000031680000}"/>
    <cellStyle name="Normal 4 15 3 4" xfId="18695" xr:uid="{00000000-0005-0000-0000-000032680000}"/>
    <cellStyle name="Normal 4 15 3 5" xfId="18696" xr:uid="{00000000-0005-0000-0000-000033680000}"/>
    <cellStyle name="Normal 4 15 3 6" xfId="18697" xr:uid="{00000000-0005-0000-0000-000034680000}"/>
    <cellStyle name="Normal 4 15 4" xfId="18698" xr:uid="{00000000-0005-0000-0000-000035680000}"/>
    <cellStyle name="Normal 4 15 4 2" xfId="54000" xr:uid="{00000000-0005-0000-0000-000036680000}"/>
    <cellStyle name="Normal 4 15 4 3" xfId="54001" xr:uid="{00000000-0005-0000-0000-000037680000}"/>
    <cellStyle name="Normal 4 15 5" xfId="18699" xr:uid="{00000000-0005-0000-0000-000038680000}"/>
    <cellStyle name="Normal 4 15 5 2" xfId="54002" xr:uid="{00000000-0005-0000-0000-000039680000}"/>
    <cellStyle name="Normal 4 15 6" xfId="18700" xr:uid="{00000000-0005-0000-0000-00003A680000}"/>
    <cellStyle name="Normal 4 15 7" xfId="18701" xr:uid="{00000000-0005-0000-0000-00003B680000}"/>
    <cellStyle name="Normal 4 15 8" xfId="18702" xr:uid="{00000000-0005-0000-0000-00003C680000}"/>
    <cellStyle name="Normal 4 15 9" xfId="18703" xr:uid="{00000000-0005-0000-0000-00003D680000}"/>
    <cellStyle name="Normal 4 16" xfId="18704" xr:uid="{00000000-0005-0000-0000-00003E680000}"/>
    <cellStyle name="Normal 4 16 2" xfId="18705" xr:uid="{00000000-0005-0000-0000-00003F680000}"/>
    <cellStyle name="Normal 4 16 2 2" xfId="18706" xr:uid="{00000000-0005-0000-0000-000040680000}"/>
    <cellStyle name="Normal 4 16 2 2 2" xfId="18707" xr:uid="{00000000-0005-0000-0000-000041680000}"/>
    <cellStyle name="Normal 4 16 2 2 2 2" xfId="54003" xr:uid="{00000000-0005-0000-0000-000042680000}"/>
    <cellStyle name="Normal 4 16 2 2 2 3" xfId="54004" xr:uid="{00000000-0005-0000-0000-000043680000}"/>
    <cellStyle name="Normal 4 16 2 2 3" xfId="18708" xr:uid="{00000000-0005-0000-0000-000044680000}"/>
    <cellStyle name="Normal 4 16 2 2 3 2" xfId="54005" xr:uid="{00000000-0005-0000-0000-000045680000}"/>
    <cellStyle name="Normal 4 16 2 2 4" xfId="18709" xr:uid="{00000000-0005-0000-0000-000046680000}"/>
    <cellStyle name="Normal 4 16 2 2 5" xfId="18710" xr:uid="{00000000-0005-0000-0000-000047680000}"/>
    <cellStyle name="Normal 4 16 2 2 6" xfId="18711" xr:uid="{00000000-0005-0000-0000-000048680000}"/>
    <cellStyle name="Normal 4 16 2 3" xfId="18712" xr:uid="{00000000-0005-0000-0000-000049680000}"/>
    <cellStyle name="Normal 4 16 2 3 2" xfId="54006" xr:uid="{00000000-0005-0000-0000-00004A680000}"/>
    <cellStyle name="Normal 4 16 2 3 3" xfId="54007" xr:uid="{00000000-0005-0000-0000-00004B680000}"/>
    <cellStyle name="Normal 4 16 2 4" xfId="18713" xr:uid="{00000000-0005-0000-0000-00004C680000}"/>
    <cellStyle name="Normal 4 16 2 4 2" xfId="54008" xr:uid="{00000000-0005-0000-0000-00004D680000}"/>
    <cellStyle name="Normal 4 16 2 5" xfId="18714" xr:uid="{00000000-0005-0000-0000-00004E680000}"/>
    <cellStyle name="Normal 4 16 2 6" xfId="18715" xr:uid="{00000000-0005-0000-0000-00004F680000}"/>
    <cellStyle name="Normal 4 16 2 7" xfId="18716" xr:uid="{00000000-0005-0000-0000-000050680000}"/>
    <cellStyle name="Normal 4 16 3" xfId="18717" xr:uid="{00000000-0005-0000-0000-000051680000}"/>
    <cellStyle name="Normal 4 16 3 2" xfId="18718" xr:uid="{00000000-0005-0000-0000-000052680000}"/>
    <cellStyle name="Normal 4 16 3 2 2" xfId="54009" xr:uid="{00000000-0005-0000-0000-000053680000}"/>
    <cellStyle name="Normal 4 16 3 2 3" xfId="54010" xr:uid="{00000000-0005-0000-0000-000054680000}"/>
    <cellStyle name="Normal 4 16 3 3" xfId="18719" xr:uid="{00000000-0005-0000-0000-000055680000}"/>
    <cellStyle name="Normal 4 16 3 3 2" xfId="54011" xr:uid="{00000000-0005-0000-0000-000056680000}"/>
    <cellStyle name="Normal 4 16 3 4" xfId="18720" xr:uid="{00000000-0005-0000-0000-000057680000}"/>
    <cellStyle name="Normal 4 16 3 5" xfId="18721" xr:uid="{00000000-0005-0000-0000-000058680000}"/>
    <cellStyle name="Normal 4 16 3 6" xfId="18722" xr:uid="{00000000-0005-0000-0000-000059680000}"/>
    <cellStyle name="Normal 4 16 4" xfId="18723" xr:uid="{00000000-0005-0000-0000-00005A680000}"/>
    <cellStyle name="Normal 4 16 4 2" xfId="54012" xr:uid="{00000000-0005-0000-0000-00005B680000}"/>
    <cellStyle name="Normal 4 16 4 3" xfId="54013" xr:uid="{00000000-0005-0000-0000-00005C680000}"/>
    <cellStyle name="Normal 4 16 5" xfId="18724" xr:uid="{00000000-0005-0000-0000-00005D680000}"/>
    <cellStyle name="Normal 4 16 5 2" xfId="54014" xr:uid="{00000000-0005-0000-0000-00005E680000}"/>
    <cellStyle name="Normal 4 16 6" xfId="18725" xr:uid="{00000000-0005-0000-0000-00005F680000}"/>
    <cellStyle name="Normal 4 16 7" xfId="18726" xr:uid="{00000000-0005-0000-0000-000060680000}"/>
    <cellStyle name="Normal 4 16 8" xfId="18727" xr:uid="{00000000-0005-0000-0000-000061680000}"/>
    <cellStyle name="Normal 4 17" xfId="18728" xr:uid="{00000000-0005-0000-0000-000062680000}"/>
    <cellStyle name="Normal 4 17 2" xfId="18729" xr:uid="{00000000-0005-0000-0000-000063680000}"/>
    <cellStyle name="Normal 4 17 2 2" xfId="18730" xr:uid="{00000000-0005-0000-0000-000064680000}"/>
    <cellStyle name="Normal 4 17 2 2 2" xfId="18731" xr:uid="{00000000-0005-0000-0000-000065680000}"/>
    <cellStyle name="Normal 4 17 2 2 2 2" xfId="54015" xr:uid="{00000000-0005-0000-0000-000066680000}"/>
    <cellStyle name="Normal 4 17 2 2 2 3" xfId="54016" xr:uid="{00000000-0005-0000-0000-000067680000}"/>
    <cellStyle name="Normal 4 17 2 2 3" xfId="18732" xr:uid="{00000000-0005-0000-0000-000068680000}"/>
    <cellStyle name="Normal 4 17 2 2 3 2" xfId="54017" xr:uid="{00000000-0005-0000-0000-000069680000}"/>
    <cellStyle name="Normal 4 17 2 2 4" xfId="18733" xr:uid="{00000000-0005-0000-0000-00006A680000}"/>
    <cellStyle name="Normal 4 17 2 2 5" xfId="18734" xr:uid="{00000000-0005-0000-0000-00006B680000}"/>
    <cellStyle name="Normal 4 17 2 2 6" xfId="18735" xr:uid="{00000000-0005-0000-0000-00006C680000}"/>
    <cellStyle name="Normal 4 17 2 3" xfId="18736" xr:uid="{00000000-0005-0000-0000-00006D680000}"/>
    <cellStyle name="Normal 4 17 2 3 2" xfId="54018" xr:uid="{00000000-0005-0000-0000-00006E680000}"/>
    <cellStyle name="Normal 4 17 2 3 3" xfId="54019" xr:uid="{00000000-0005-0000-0000-00006F680000}"/>
    <cellStyle name="Normal 4 17 2 4" xfId="18737" xr:uid="{00000000-0005-0000-0000-000070680000}"/>
    <cellStyle name="Normal 4 17 2 4 2" xfId="54020" xr:uid="{00000000-0005-0000-0000-000071680000}"/>
    <cellStyle name="Normal 4 17 2 5" xfId="18738" xr:uid="{00000000-0005-0000-0000-000072680000}"/>
    <cellStyle name="Normal 4 17 2 6" xfId="18739" xr:uid="{00000000-0005-0000-0000-000073680000}"/>
    <cellStyle name="Normal 4 17 2 7" xfId="18740" xr:uid="{00000000-0005-0000-0000-000074680000}"/>
    <cellStyle name="Normal 4 17 3" xfId="18741" xr:uid="{00000000-0005-0000-0000-000075680000}"/>
    <cellStyle name="Normal 4 17 3 2" xfId="18742" xr:uid="{00000000-0005-0000-0000-000076680000}"/>
    <cellStyle name="Normal 4 17 3 2 2" xfId="54021" xr:uid="{00000000-0005-0000-0000-000077680000}"/>
    <cellStyle name="Normal 4 17 3 2 3" xfId="54022" xr:uid="{00000000-0005-0000-0000-000078680000}"/>
    <cellStyle name="Normal 4 17 3 3" xfId="18743" xr:uid="{00000000-0005-0000-0000-000079680000}"/>
    <cellStyle name="Normal 4 17 3 3 2" xfId="54023" xr:uid="{00000000-0005-0000-0000-00007A680000}"/>
    <cellStyle name="Normal 4 17 3 4" xfId="18744" xr:uid="{00000000-0005-0000-0000-00007B680000}"/>
    <cellStyle name="Normal 4 17 3 5" xfId="18745" xr:uid="{00000000-0005-0000-0000-00007C680000}"/>
    <cellStyle name="Normal 4 17 3 6" xfId="18746" xr:uid="{00000000-0005-0000-0000-00007D680000}"/>
    <cellStyle name="Normal 4 17 4" xfId="18747" xr:uid="{00000000-0005-0000-0000-00007E680000}"/>
    <cellStyle name="Normal 4 17 4 2" xfId="54024" xr:uid="{00000000-0005-0000-0000-00007F680000}"/>
    <cellStyle name="Normal 4 17 4 3" xfId="54025" xr:uid="{00000000-0005-0000-0000-000080680000}"/>
    <cellStyle name="Normal 4 17 5" xfId="18748" xr:uid="{00000000-0005-0000-0000-000081680000}"/>
    <cellStyle name="Normal 4 17 5 2" xfId="54026" xr:uid="{00000000-0005-0000-0000-000082680000}"/>
    <cellStyle name="Normal 4 17 6" xfId="18749" xr:uid="{00000000-0005-0000-0000-000083680000}"/>
    <cellStyle name="Normal 4 17 7" xfId="18750" xr:uid="{00000000-0005-0000-0000-000084680000}"/>
    <cellStyle name="Normal 4 17 8" xfId="18751" xr:uid="{00000000-0005-0000-0000-000085680000}"/>
    <cellStyle name="Normal 4 18" xfId="18752" xr:uid="{00000000-0005-0000-0000-000086680000}"/>
    <cellStyle name="Normal 4 18 2" xfId="18753" xr:uid="{00000000-0005-0000-0000-000087680000}"/>
    <cellStyle name="Normal 4 18 2 2" xfId="18754" xr:uid="{00000000-0005-0000-0000-000088680000}"/>
    <cellStyle name="Normal 4 18 2 2 2" xfId="54027" xr:uid="{00000000-0005-0000-0000-000089680000}"/>
    <cellStyle name="Normal 4 18 2 2 3" xfId="54028" xr:uid="{00000000-0005-0000-0000-00008A680000}"/>
    <cellStyle name="Normal 4 18 2 3" xfId="18755" xr:uid="{00000000-0005-0000-0000-00008B680000}"/>
    <cellStyle name="Normal 4 18 2 3 2" xfId="54029" xr:uid="{00000000-0005-0000-0000-00008C680000}"/>
    <cellStyle name="Normal 4 18 2 4" xfId="18756" xr:uid="{00000000-0005-0000-0000-00008D680000}"/>
    <cellStyle name="Normal 4 18 2 5" xfId="18757" xr:uid="{00000000-0005-0000-0000-00008E680000}"/>
    <cellStyle name="Normal 4 18 2 6" xfId="18758" xr:uid="{00000000-0005-0000-0000-00008F680000}"/>
    <cellStyle name="Normal 4 18 3" xfId="18759" xr:uid="{00000000-0005-0000-0000-000090680000}"/>
    <cellStyle name="Normal 4 18 3 2" xfId="54030" xr:uid="{00000000-0005-0000-0000-000091680000}"/>
    <cellStyle name="Normal 4 18 3 3" xfId="54031" xr:uid="{00000000-0005-0000-0000-000092680000}"/>
    <cellStyle name="Normal 4 18 4" xfId="18760" xr:uid="{00000000-0005-0000-0000-000093680000}"/>
    <cellStyle name="Normal 4 18 4 2" xfId="54032" xr:uid="{00000000-0005-0000-0000-000094680000}"/>
    <cellStyle name="Normal 4 18 5" xfId="18761" xr:uid="{00000000-0005-0000-0000-000095680000}"/>
    <cellStyle name="Normal 4 18 6" xfId="18762" xr:uid="{00000000-0005-0000-0000-000096680000}"/>
    <cellStyle name="Normal 4 18 7" xfId="18763" xr:uid="{00000000-0005-0000-0000-000097680000}"/>
    <cellStyle name="Normal 4 19" xfId="18764" xr:uid="{00000000-0005-0000-0000-000098680000}"/>
    <cellStyle name="Normal 4 19 2" xfId="18765" xr:uid="{00000000-0005-0000-0000-000099680000}"/>
    <cellStyle name="Normal 4 19 2 2" xfId="54033" xr:uid="{00000000-0005-0000-0000-00009A680000}"/>
    <cellStyle name="Normal 4 19 2 3" xfId="54034" xr:uid="{00000000-0005-0000-0000-00009B680000}"/>
    <cellStyle name="Normal 4 19 3" xfId="18766" xr:uid="{00000000-0005-0000-0000-00009C680000}"/>
    <cellStyle name="Normal 4 19 3 2" xfId="54035" xr:uid="{00000000-0005-0000-0000-00009D680000}"/>
    <cellStyle name="Normal 4 19 4" xfId="18767" xr:uid="{00000000-0005-0000-0000-00009E680000}"/>
    <cellStyle name="Normal 4 19 5" xfId="18768" xr:uid="{00000000-0005-0000-0000-00009F680000}"/>
    <cellStyle name="Normal 4 19 6" xfId="18769" xr:uid="{00000000-0005-0000-0000-0000A0680000}"/>
    <cellStyle name="Normal 4 2" xfId="18770" xr:uid="{00000000-0005-0000-0000-0000A1680000}"/>
    <cellStyle name="Normal 4 2 10" xfId="18771" xr:uid="{00000000-0005-0000-0000-0000A2680000}"/>
    <cellStyle name="Normal 4 2 10 10" xfId="18772" xr:uid="{00000000-0005-0000-0000-0000A3680000}"/>
    <cellStyle name="Normal 4 2 10 11" xfId="18773" xr:uid="{00000000-0005-0000-0000-0000A4680000}"/>
    <cellStyle name="Normal 4 2 10 12" xfId="18774" xr:uid="{00000000-0005-0000-0000-0000A5680000}"/>
    <cellStyle name="Normal 4 2 10 13" xfId="18775" xr:uid="{00000000-0005-0000-0000-0000A6680000}"/>
    <cellStyle name="Normal 4 2 10 14" xfId="18776" xr:uid="{00000000-0005-0000-0000-0000A7680000}"/>
    <cellStyle name="Normal 4 2 10 15" xfId="18777" xr:uid="{00000000-0005-0000-0000-0000A8680000}"/>
    <cellStyle name="Normal 4 2 10 2" xfId="18778" xr:uid="{00000000-0005-0000-0000-0000A9680000}"/>
    <cellStyle name="Normal 4 2 10 2 2" xfId="18779" xr:uid="{00000000-0005-0000-0000-0000AA680000}"/>
    <cellStyle name="Normal 4 2 10 2 2 2" xfId="18780" xr:uid="{00000000-0005-0000-0000-0000AB680000}"/>
    <cellStyle name="Normal 4 2 10 2 2 2 2" xfId="18781" xr:uid="{00000000-0005-0000-0000-0000AC680000}"/>
    <cellStyle name="Normal 4 2 10 2 2 2 2 2" xfId="54036" xr:uid="{00000000-0005-0000-0000-0000AD680000}"/>
    <cellStyle name="Normal 4 2 10 2 2 2 2 3" xfId="54037" xr:uid="{00000000-0005-0000-0000-0000AE680000}"/>
    <cellStyle name="Normal 4 2 10 2 2 2 3" xfId="18782" xr:uid="{00000000-0005-0000-0000-0000AF680000}"/>
    <cellStyle name="Normal 4 2 10 2 2 2 3 2" xfId="54038" xr:uid="{00000000-0005-0000-0000-0000B0680000}"/>
    <cellStyle name="Normal 4 2 10 2 2 2 4" xfId="18783" xr:uid="{00000000-0005-0000-0000-0000B1680000}"/>
    <cellStyle name="Normal 4 2 10 2 2 2 5" xfId="18784" xr:uid="{00000000-0005-0000-0000-0000B2680000}"/>
    <cellStyle name="Normal 4 2 10 2 2 2 6" xfId="18785" xr:uid="{00000000-0005-0000-0000-0000B3680000}"/>
    <cellStyle name="Normal 4 2 10 2 2 3" xfId="18786" xr:uid="{00000000-0005-0000-0000-0000B4680000}"/>
    <cellStyle name="Normal 4 2 10 2 2 3 2" xfId="54039" xr:uid="{00000000-0005-0000-0000-0000B5680000}"/>
    <cellStyle name="Normal 4 2 10 2 2 3 3" xfId="54040" xr:uid="{00000000-0005-0000-0000-0000B6680000}"/>
    <cellStyle name="Normal 4 2 10 2 2 4" xfId="18787" xr:uid="{00000000-0005-0000-0000-0000B7680000}"/>
    <cellStyle name="Normal 4 2 10 2 2 4 2" xfId="54041" xr:uid="{00000000-0005-0000-0000-0000B8680000}"/>
    <cellStyle name="Normal 4 2 10 2 2 5" xfId="18788" xr:uid="{00000000-0005-0000-0000-0000B9680000}"/>
    <cellStyle name="Normal 4 2 10 2 2 6" xfId="18789" xr:uid="{00000000-0005-0000-0000-0000BA680000}"/>
    <cellStyle name="Normal 4 2 10 2 2 7" xfId="18790" xr:uid="{00000000-0005-0000-0000-0000BB680000}"/>
    <cellStyle name="Normal 4 2 10 2 3" xfId="18791" xr:uid="{00000000-0005-0000-0000-0000BC680000}"/>
    <cellStyle name="Normal 4 2 10 2 3 2" xfId="18792" xr:uid="{00000000-0005-0000-0000-0000BD680000}"/>
    <cellStyle name="Normal 4 2 10 2 3 2 2" xfId="54042" xr:uid="{00000000-0005-0000-0000-0000BE680000}"/>
    <cellStyle name="Normal 4 2 10 2 3 2 3" xfId="54043" xr:uid="{00000000-0005-0000-0000-0000BF680000}"/>
    <cellStyle name="Normal 4 2 10 2 3 3" xfId="18793" xr:uid="{00000000-0005-0000-0000-0000C0680000}"/>
    <cellStyle name="Normal 4 2 10 2 3 3 2" xfId="54044" xr:uid="{00000000-0005-0000-0000-0000C1680000}"/>
    <cellStyle name="Normal 4 2 10 2 3 4" xfId="18794" xr:uid="{00000000-0005-0000-0000-0000C2680000}"/>
    <cellStyle name="Normal 4 2 10 2 3 5" xfId="18795" xr:uid="{00000000-0005-0000-0000-0000C3680000}"/>
    <cellStyle name="Normal 4 2 10 2 3 6" xfId="18796" xr:uid="{00000000-0005-0000-0000-0000C4680000}"/>
    <cellStyle name="Normal 4 2 10 2 4" xfId="18797" xr:uid="{00000000-0005-0000-0000-0000C5680000}"/>
    <cellStyle name="Normal 4 2 10 2 4 2" xfId="54045" xr:uid="{00000000-0005-0000-0000-0000C6680000}"/>
    <cellStyle name="Normal 4 2 10 2 4 3" xfId="54046" xr:uid="{00000000-0005-0000-0000-0000C7680000}"/>
    <cellStyle name="Normal 4 2 10 2 5" xfId="18798" xr:uid="{00000000-0005-0000-0000-0000C8680000}"/>
    <cellStyle name="Normal 4 2 10 2 5 2" xfId="54047" xr:uid="{00000000-0005-0000-0000-0000C9680000}"/>
    <cellStyle name="Normal 4 2 10 2 6" xfId="18799" xr:uid="{00000000-0005-0000-0000-0000CA680000}"/>
    <cellStyle name="Normal 4 2 10 2 7" xfId="18800" xr:uid="{00000000-0005-0000-0000-0000CB680000}"/>
    <cellStyle name="Normal 4 2 10 2 8" xfId="18801" xr:uid="{00000000-0005-0000-0000-0000CC680000}"/>
    <cellStyle name="Normal 4 2 10 2 9" xfId="18802" xr:uid="{00000000-0005-0000-0000-0000CD680000}"/>
    <cellStyle name="Normal 4 2 10 3" xfId="18803" xr:uid="{00000000-0005-0000-0000-0000CE680000}"/>
    <cellStyle name="Normal 4 2 10 3 2" xfId="18804" xr:uid="{00000000-0005-0000-0000-0000CF680000}"/>
    <cellStyle name="Normal 4 2 10 3 2 2" xfId="18805" xr:uid="{00000000-0005-0000-0000-0000D0680000}"/>
    <cellStyle name="Normal 4 2 10 3 2 2 2" xfId="18806" xr:uid="{00000000-0005-0000-0000-0000D1680000}"/>
    <cellStyle name="Normal 4 2 10 3 2 2 2 2" xfId="54048" xr:uid="{00000000-0005-0000-0000-0000D2680000}"/>
    <cellStyle name="Normal 4 2 10 3 2 2 2 3" xfId="54049" xr:uid="{00000000-0005-0000-0000-0000D3680000}"/>
    <cellStyle name="Normal 4 2 10 3 2 2 3" xfId="18807" xr:uid="{00000000-0005-0000-0000-0000D4680000}"/>
    <cellStyle name="Normal 4 2 10 3 2 2 3 2" xfId="54050" xr:uid="{00000000-0005-0000-0000-0000D5680000}"/>
    <cellStyle name="Normal 4 2 10 3 2 2 4" xfId="18808" xr:uid="{00000000-0005-0000-0000-0000D6680000}"/>
    <cellStyle name="Normal 4 2 10 3 2 2 5" xfId="18809" xr:uid="{00000000-0005-0000-0000-0000D7680000}"/>
    <cellStyle name="Normal 4 2 10 3 2 2 6" xfId="18810" xr:uid="{00000000-0005-0000-0000-0000D8680000}"/>
    <cellStyle name="Normal 4 2 10 3 2 3" xfId="18811" xr:uid="{00000000-0005-0000-0000-0000D9680000}"/>
    <cellStyle name="Normal 4 2 10 3 2 3 2" xfId="54051" xr:uid="{00000000-0005-0000-0000-0000DA680000}"/>
    <cellStyle name="Normal 4 2 10 3 2 3 3" xfId="54052" xr:uid="{00000000-0005-0000-0000-0000DB680000}"/>
    <cellStyle name="Normal 4 2 10 3 2 4" xfId="18812" xr:uid="{00000000-0005-0000-0000-0000DC680000}"/>
    <cellStyle name="Normal 4 2 10 3 2 4 2" xfId="54053" xr:uid="{00000000-0005-0000-0000-0000DD680000}"/>
    <cellStyle name="Normal 4 2 10 3 2 5" xfId="18813" xr:uid="{00000000-0005-0000-0000-0000DE680000}"/>
    <cellStyle name="Normal 4 2 10 3 2 6" xfId="18814" xr:uid="{00000000-0005-0000-0000-0000DF680000}"/>
    <cellStyle name="Normal 4 2 10 3 2 7" xfId="18815" xr:uid="{00000000-0005-0000-0000-0000E0680000}"/>
    <cellStyle name="Normal 4 2 10 3 3" xfId="18816" xr:uid="{00000000-0005-0000-0000-0000E1680000}"/>
    <cellStyle name="Normal 4 2 10 3 3 2" xfId="18817" xr:uid="{00000000-0005-0000-0000-0000E2680000}"/>
    <cellStyle name="Normal 4 2 10 3 3 2 2" xfId="54054" xr:uid="{00000000-0005-0000-0000-0000E3680000}"/>
    <cellStyle name="Normal 4 2 10 3 3 2 3" xfId="54055" xr:uid="{00000000-0005-0000-0000-0000E4680000}"/>
    <cellStyle name="Normal 4 2 10 3 3 3" xfId="18818" xr:uid="{00000000-0005-0000-0000-0000E5680000}"/>
    <cellStyle name="Normal 4 2 10 3 3 3 2" xfId="54056" xr:uid="{00000000-0005-0000-0000-0000E6680000}"/>
    <cellStyle name="Normal 4 2 10 3 3 4" xfId="18819" xr:uid="{00000000-0005-0000-0000-0000E7680000}"/>
    <cellStyle name="Normal 4 2 10 3 3 5" xfId="18820" xr:uid="{00000000-0005-0000-0000-0000E8680000}"/>
    <cellStyle name="Normal 4 2 10 3 3 6" xfId="18821" xr:uid="{00000000-0005-0000-0000-0000E9680000}"/>
    <cellStyle name="Normal 4 2 10 3 4" xfId="18822" xr:uid="{00000000-0005-0000-0000-0000EA680000}"/>
    <cellStyle name="Normal 4 2 10 3 4 2" xfId="54057" xr:uid="{00000000-0005-0000-0000-0000EB680000}"/>
    <cellStyle name="Normal 4 2 10 3 4 3" xfId="54058" xr:uid="{00000000-0005-0000-0000-0000EC680000}"/>
    <cellStyle name="Normal 4 2 10 3 5" xfId="18823" xr:uid="{00000000-0005-0000-0000-0000ED680000}"/>
    <cellStyle name="Normal 4 2 10 3 5 2" xfId="54059" xr:uid="{00000000-0005-0000-0000-0000EE680000}"/>
    <cellStyle name="Normal 4 2 10 3 6" xfId="18824" xr:uid="{00000000-0005-0000-0000-0000EF680000}"/>
    <cellStyle name="Normal 4 2 10 3 7" xfId="18825" xr:uid="{00000000-0005-0000-0000-0000F0680000}"/>
    <cellStyle name="Normal 4 2 10 3 8" xfId="18826" xr:uid="{00000000-0005-0000-0000-0000F1680000}"/>
    <cellStyle name="Normal 4 2 10 4" xfId="18827" xr:uid="{00000000-0005-0000-0000-0000F2680000}"/>
    <cellStyle name="Normal 4 2 10 4 2" xfId="18828" xr:uid="{00000000-0005-0000-0000-0000F3680000}"/>
    <cellStyle name="Normal 4 2 10 4 2 2" xfId="18829" xr:uid="{00000000-0005-0000-0000-0000F4680000}"/>
    <cellStyle name="Normal 4 2 10 4 2 2 2" xfId="54060" xr:uid="{00000000-0005-0000-0000-0000F5680000}"/>
    <cellStyle name="Normal 4 2 10 4 2 2 3" xfId="54061" xr:uid="{00000000-0005-0000-0000-0000F6680000}"/>
    <cellStyle name="Normal 4 2 10 4 2 3" xfId="18830" xr:uid="{00000000-0005-0000-0000-0000F7680000}"/>
    <cellStyle name="Normal 4 2 10 4 2 3 2" xfId="54062" xr:uid="{00000000-0005-0000-0000-0000F8680000}"/>
    <cellStyle name="Normal 4 2 10 4 2 4" xfId="18831" xr:uid="{00000000-0005-0000-0000-0000F9680000}"/>
    <cellStyle name="Normal 4 2 10 4 2 5" xfId="18832" xr:uid="{00000000-0005-0000-0000-0000FA680000}"/>
    <cellStyle name="Normal 4 2 10 4 2 6" xfId="18833" xr:uid="{00000000-0005-0000-0000-0000FB680000}"/>
    <cellStyle name="Normal 4 2 10 4 3" xfId="18834" xr:uid="{00000000-0005-0000-0000-0000FC680000}"/>
    <cellStyle name="Normal 4 2 10 4 3 2" xfId="54063" xr:uid="{00000000-0005-0000-0000-0000FD680000}"/>
    <cellStyle name="Normal 4 2 10 4 3 3" xfId="54064" xr:uid="{00000000-0005-0000-0000-0000FE680000}"/>
    <cellStyle name="Normal 4 2 10 4 4" xfId="18835" xr:uid="{00000000-0005-0000-0000-0000FF680000}"/>
    <cellStyle name="Normal 4 2 10 4 4 2" xfId="54065" xr:uid="{00000000-0005-0000-0000-000000690000}"/>
    <cellStyle name="Normal 4 2 10 4 5" xfId="18836" xr:uid="{00000000-0005-0000-0000-000001690000}"/>
    <cellStyle name="Normal 4 2 10 4 6" xfId="18837" xr:uid="{00000000-0005-0000-0000-000002690000}"/>
    <cellStyle name="Normal 4 2 10 4 7" xfId="18838" xr:uid="{00000000-0005-0000-0000-000003690000}"/>
    <cellStyle name="Normal 4 2 10 5" xfId="18839" xr:uid="{00000000-0005-0000-0000-000004690000}"/>
    <cellStyle name="Normal 4 2 10 5 2" xfId="18840" xr:uid="{00000000-0005-0000-0000-000005690000}"/>
    <cellStyle name="Normal 4 2 10 5 2 2" xfId="54066" xr:uid="{00000000-0005-0000-0000-000006690000}"/>
    <cellStyle name="Normal 4 2 10 5 2 3" xfId="54067" xr:uid="{00000000-0005-0000-0000-000007690000}"/>
    <cellStyle name="Normal 4 2 10 5 3" xfId="18841" xr:uid="{00000000-0005-0000-0000-000008690000}"/>
    <cellStyle name="Normal 4 2 10 5 3 2" xfId="54068" xr:uid="{00000000-0005-0000-0000-000009690000}"/>
    <cellStyle name="Normal 4 2 10 5 4" xfId="18842" xr:uid="{00000000-0005-0000-0000-00000A690000}"/>
    <cellStyle name="Normal 4 2 10 5 5" xfId="18843" xr:uid="{00000000-0005-0000-0000-00000B690000}"/>
    <cellStyle name="Normal 4 2 10 5 6" xfId="18844" xr:uid="{00000000-0005-0000-0000-00000C690000}"/>
    <cellStyle name="Normal 4 2 10 6" xfId="18845" xr:uid="{00000000-0005-0000-0000-00000D690000}"/>
    <cellStyle name="Normal 4 2 10 6 2" xfId="54069" xr:uid="{00000000-0005-0000-0000-00000E690000}"/>
    <cellStyle name="Normal 4 2 10 7" xfId="18846" xr:uid="{00000000-0005-0000-0000-00000F690000}"/>
    <cellStyle name="Normal 4 2 10 8" xfId="18847" xr:uid="{00000000-0005-0000-0000-000010690000}"/>
    <cellStyle name="Normal 4 2 10 9" xfId="18848" xr:uid="{00000000-0005-0000-0000-000011690000}"/>
    <cellStyle name="Normal 4 2 11" xfId="18849" xr:uid="{00000000-0005-0000-0000-000012690000}"/>
    <cellStyle name="Normal 4 2 11 2" xfId="18850" xr:uid="{00000000-0005-0000-0000-000013690000}"/>
    <cellStyle name="Normal 4 2 11 2 2" xfId="18851" xr:uid="{00000000-0005-0000-0000-000014690000}"/>
    <cellStyle name="Normal 4 2 11 2 2 2" xfId="18852" xr:uid="{00000000-0005-0000-0000-000015690000}"/>
    <cellStyle name="Normal 4 2 11 2 2 2 2" xfId="54070" xr:uid="{00000000-0005-0000-0000-000016690000}"/>
    <cellStyle name="Normal 4 2 11 2 2 2 3" xfId="54071" xr:uid="{00000000-0005-0000-0000-000017690000}"/>
    <cellStyle name="Normal 4 2 11 2 2 3" xfId="18853" xr:uid="{00000000-0005-0000-0000-000018690000}"/>
    <cellStyle name="Normal 4 2 11 2 2 3 2" xfId="54072" xr:uid="{00000000-0005-0000-0000-000019690000}"/>
    <cellStyle name="Normal 4 2 11 2 2 4" xfId="18854" xr:uid="{00000000-0005-0000-0000-00001A690000}"/>
    <cellStyle name="Normal 4 2 11 2 2 5" xfId="18855" xr:uid="{00000000-0005-0000-0000-00001B690000}"/>
    <cellStyle name="Normal 4 2 11 2 2 6" xfId="18856" xr:uid="{00000000-0005-0000-0000-00001C690000}"/>
    <cellStyle name="Normal 4 2 11 2 3" xfId="18857" xr:uid="{00000000-0005-0000-0000-00001D690000}"/>
    <cellStyle name="Normal 4 2 11 2 3 2" xfId="54073" xr:uid="{00000000-0005-0000-0000-00001E690000}"/>
    <cellStyle name="Normal 4 2 11 2 3 3" xfId="54074" xr:uid="{00000000-0005-0000-0000-00001F690000}"/>
    <cellStyle name="Normal 4 2 11 2 4" xfId="18858" xr:uid="{00000000-0005-0000-0000-000020690000}"/>
    <cellStyle name="Normal 4 2 11 2 4 2" xfId="54075" xr:uid="{00000000-0005-0000-0000-000021690000}"/>
    <cellStyle name="Normal 4 2 11 2 5" xfId="18859" xr:uid="{00000000-0005-0000-0000-000022690000}"/>
    <cellStyle name="Normal 4 2 11 2 6" xfId="18860" xr:uid="{00000000-0005-0000-0000-000023690000}"/>
    <cellStyle name="Normal 4 2 11 2 7" xfId="18861" xr:uid="{00000000-0005-0000-0000-000024690000}"/>
    <cellStyle name="Normal 4 2 11 3" xfId="18862" xr:uid="{00000000-0005-0000-0000-000025690000}"/>
    <cellStyle name="Normal 4 2 11 3 2" xfId="18863" xr:uid="{00000000-0005-0000-0000-000026690000}"/>
    <cellStyle name="Normal 4 2 11 3 2 2" xfId="54076" xr:uid="{00000000-0005-0000-0000-000027690000}"/>
    <cellStyle name="Normal 4 2 11 3 2 3" xfId="54077" xr:uid="{00000000-0005-0000-0000-000028690000}"/>
    <cellStyle name="Normal 4 2 11 3 3" xfId="18864" xr:uid="{00000000-0005-0000-0000-000029690000}"/>
    <cellStyle name="Normal 4 2 11 3 3 2" xfId="54078" xr:uid="{00000000-0005-0000-0000-00002A690000}"/>
    <cellStyle name="Normal 4 2 11 3 4" xfId="18865" xr:uid="{00000000-0005-0000-0000-00002B690000}"/>
    <cellStyle name="Normal 4 2 11 3 5" xfId="18866" xr:uid="{00000000-0005-0000-0000-00002C690000}"/>
    <cellStyle name="Normal 4 2 11 3 6" xfId="18867" xr:uid="{00000000-0005-0000-0000-00002D690000}"/>
    <cellStyle name="Normal 4 2 11 4" xfId="18868" xr:uid="{00000000-0005-0000-0000-00002E690000}"/>
    <cellStyle name="Normal 4 2 11 4 2" xfId="54079" xr:uid="{00000000-0005-0000-0000-00002F690000}"/>
    <cellStyle name="Normal 4 2 11 4 3" xfId="54080" xr:uid="{00000000-0005-0000-0000-000030690000}"/>
    <cellStyle name="Normal 4 2 11 5" xfId="18869" xr:uid="{00000000-0005-0000-0000-000031690000}"/>
    <cellStyle name="Normal 4 2 11 5 2" xfId="54081" xr:uid="{00000000-0005-0000-0000-000032690000}"/>
    <cellStyle name="Normal 4 2 11 6" xfId="18870" xr:uid="{00000000-0005-0000-0000-000033690000}"/>
    <cellStyle name="Normal 4 2 11 7" xfId="18871" xr:uid="{00000000-0005-0000-0000-000034690000}"/>
    <cellStyle name="Normal 4 2 11 8" xfId="18872" xr:uid="{00000000-0005-0000-0000-000035690000}"/>
    <cellStyle name="Normal 4 2 11 9" xfId="18873" xr:uid="{00000000-0005-0000-0000-000036690000}"/>
    <cellStyle name="Normal 4 2 12" xfId="18874" xr:uid="{00000000-0005-0000-0000-000037690000}"/>
    <cellStyle name="Normal 4 2 12 2" xfId="18875" xr:uid="{00000000-0005-0000-0000-000038690000}"/>
    <cellStyle name="Normal 4 2 12 2 2" xfId="18876" xr:uid="{00000000-0005-0000-0000-000039690000}"/>
    <cellStyle name="Normal 4 2 12 2 2 2" xfId="18877" xr:uid="{00000000-0005-0000-0000-00003A690000}"/>
    <cellStyle name="Normal 4 2 12 2 2 2 2" xfId="54082" xr:uid="{00000000-0005-0000-0000-00003B690000}"/>
    <cellStyle name="Normal 4 2 12 2 2 2 3" xfId="54083" xr:uid="{00000000-0005-0000-0000-00003C690000}"/>
    <cellStyle name="Normal 4 2 12 2 2 3" xfId="18878" xr:uid="{00000000-0005-0000-0000-00003D690000}"/>
    <cellStyle name="Normal 4 2 12 2 2 3 2" xfId="54084" xr:uid="{00000000-0005-0000-0000-00003E690000}"/>
    <cellStyle name="Normal 4 2 12 2 2 4" xfId="18879" xr:uid="{00000000-0005-0000-0000-00003F690000}"/>
    <cellStyle name="Normal 4 2 12 2 2 5" xfId="18880" xr:uid="{00000000-0005-0000-0000-000040690000}"/>
    <cellStyle name="Normal 4 2 12 2 2 6" xfId="18881" xr:uid="{00000000-0005-0000-0000-000041690000}"/>
    <cellStyle name="Normal 4 2 12 2 3" xfId="18882" xr:uid="{00000000-0005-0000-0000-000042690000}"/>
    <cellStyle name="Normal 4 2 12 2 3 2" xfId="54085" xr:uid="{00000000-0005-0000-0000-000043690000}"/>
    <cellStyle name="Normal 4 2 12 2 3 3" xfId="54086" xr:uid="{00000000-0005-0000-0000-000044690000}"/>
    <cellStyle name="Normal 4 2 12 2 4" xfId="18883" xr:uid="{00000000-0005-0000-0000-000045690000}"/>
    <cellStyle name="Normal 4 2 12 2 4 2" xfId="54087" xr:uid="{00000000-0005-0000-0000-000046690000}"/>
    <cellStyle name="Normal 4 2 12 2 5" xfId="18884" xr:uid="{00000000-0005-0000-0000-000047690000}"/>
    <cellStyle name="Normal 4 2 12 2 6" xfId="18885" xr:uid="{00000000-0005-0000-0000-000048690000}"/>
    <cellStyle name="Normal 4 2 12 2 7" xfId="18886" xr:uid="{00000000-0005-0000-0000-000049690000}"/>
    <cellStyle name="Normal 4 2 12 3" xfId="18887" xr:uid="{00000000-0005-0000-0000-00004A690000}"/>
    <cellStyle name="Normal 4 2 12 3 2" xfId="18888" xr:uid="{00000000-0005-0000-0000-00004B690000}"/>
    <cellStyle name="Normal 4 2 12 3 2 2" xfId="54088" xr:uid="{00000000-0005-0000-0000-00004C690000}"/>
    <cellStyle name="Normal 4 2 12 3 2 3" xfId="54089" xr:uid="{00000000-0005-0000-0000-00004D690000}"/>
    <cellStyle name="Normal 4 2 12 3 3" xfId="18889" xr:uid="{00000000-0005-0000-0000-00004E690000}"/>
    <cellStyle name="Normal 4 2 12 3 3 2" xfId="54090" xr:uid="{00000000-0005-0000-0000-00004F690000}"/>
    <cellStyle name="Normal 4 2 12 3 4" xfId="18890" xr:uid="{00000000-0005-0000-0000-000050690000}"/>
    <cellStyle name="Normal 4 2 12 3 5" xfId="18891" xr:uid="{00000000-0005-0000-0000-000051690000}"/>
    <cellStyle name="Normal 4 2 12 3 6" xfId="18892" xr:uid="{00000000-0005-0000-0000-000052690000}"/>
    <cellStyle name="Normal 4 2 12 4" xfId="18893" xr:uid="{00000000-0005-0000-0000-000053690000}"/>
    <cellStyle name="Normal 4 2 12 4 2" xfId="54091" xr:uid="{00000000-0005-0000-0000-000054690000}"/>
    <cellStyle name="Normal 4 2 12 4 3" xfId="54092" xr:uid="{00000000-0005-0000-0000-000055690000}"/>
    <cellStyle name="Normal 4 2 12 5" xfId="18894" xr:uid="{00000000-0005-0000-0000-000056690000}"/>
    <cellStyle name="Normal 4 2 12 5 2" xfId="54093" xr:uid="{00000000-0005-0000-0000-000057690000}"/>
    <cellStyle name="Normal 4 2 12 6" xfId="18895" xr:uid="{00000000-0005-0000-0000-000058690000}"/>
    <cellStyle name="Normal 4 2 12 7" xfId="18896" xr:uid="{00000000-0005-0000-0000-000059690000}"/>
    <cellStyle name="Normal 4 2 12 8" xfId="18897" xr:uid="{00000000-0005-0000-0000-00005A690000}"/>
    <cellStyle name="Normal 4 2 13" xfId="18898" xr:uid="{00000000-0005-0000-0000-00005B690000}"/>
    <cellStyle name="Normal 4 2 13 2" xfId="18899" xr:uid="{00000000-0005-0000-0000-00005C690000}"/>
    <cellStyle name="Normal 4 2 13 2 2" xfId="18900" xr:uid="{00000000-0005-0000-0000-00005D690000}"/>
    <cellStyle name="Normal 4 2 13 2 2 2" xfId="54094" xr:uid="{00000000-0005-0000-0000-00005E690000}"/>
    <cellStyle name="Normal 4 2 13 2 2 3" xfId="54095" xr:uid="{00000000-0005-0000-0000-00005F690000}"/>
    <cellStyle name="Normal 4 2 13 2 3" xfId="18901" xr:uid="{00000000-0005-0000-0000-000060690000}"/>
    <cellStyle name="Normal 4 2 13 2 3 2" xfId="54096" xr:uid="{00000000-0005-0000-0000-000061690000}"/>
    <cellStyle name="Normal 4 2 13 2 4" xfId="18902" xr:uid="{00000000-0005-0000-0000-000062690000}"/>
    <cellStyle name="Normal 4 2 13 2 5" xfId="18903" xr:uid="{00000000-0005-0000-0000-000063690000}"/>
    <cellStyle name="Normal 4 2 13 2 6" xfId="18904" xr:uid="{00000000-0005-0000-0000-000064690000}"/>
    <cellStyle name="Normal 4 2 13 3" xfId="18905" xr:uid="{00000000-0005-0000-0000-000065690000}"/>
    <cellStyle name="Normal 4 2 13 3 2" xfId="54097" xr:uid="{00000000-0005-0000-0000-000066690000}"/>
    <cellStyle name="Normal 4 2 13 3 3" xfId="54098" xr:uid="{00000000-0005-0000-0000-000067690000}"/>
    <cellStyle name="Normal 4 2 13 4" xfId="18906" xr:uid="{00000000-0005-0000-0000-000068690000}"/>
    <cellStyle name="Normal 4 2 13 4 2" xfId="54099" xr:uid="{00000000-0005-0000-0000-000069690000}"/>
    <cellStyle name="Normal 4 2 13 5" xfId="18907" xr:uid="{00000000-0005-0000-0000-00006A690000}"/>
    <cellStyle name="Normal 4 2 13 6" xfId="18908" xr:uid="{00000000-0005-0000-0000-00006B690000}"/>
    <cellStyle name="Normal 4 2 13 7" xfId="18909" xr:uid="{00000000-0005-0000-0000-00006C690000}"/>
    <cellStyle name="Normal 4 2 14" xfId="18910" xr:uid="{00000000-0005-0000-0000-00006D690000}"/>
    <cellStyle name="Normal 4 2 14 2" xfId="18911" xr:uid="{00000000-0005-0000-0000-00006E690000}"/>
    <cellStyle name="Normal 4 2 14 2 2" xfId="54100" xr:uid="{00000000-0005-0000-0000-00006F690000}"/>
    <cellStyle name="Normal 4 2 14 2 3" xfId="54101" xr:uid="{00000000-0005-0000-0000-000070690000}"/>
    <cellStyle name="Normal 4 2 14 3" xfId="18912" xr:uid="{00000000-0005-0000-0000-000071690000}"/>
    <cellStyle name="Normal 4 2 14 3 2" xfId="54102" xr:uid="{00000000-0005-0000-0000-000072690000}"/>
    <cellStyle name="Normal 4 2 14 4" xfId="18913" xr:uid="{00000000-0005-0000-0000-000073690000}"/>
    <cellStyle name="Normal 4 2 14 5" xfId="18914" xr:uid="{00000000-0005-0000-0000-000074690000}"/>
    <cellStyle name="Normal 4 2 14 6" xfId="18915" xr:uid="{00000000-0005-0000-0000-000075690000}"/>
    <cellStyle name="Normal 4 2 15" xfId="18916" xr:uid="{00000000-0005-0000-0000-000076690000}"/>
    <cellStyle name="Normal 4 2 16" xfId="18917" xr:uid="{00000000-0005-0000-0000-000077690000}"/>
    <cellStyle name="Normal 4 2 17" xfId="18918" xr:uid="{00000000-0005-0000-0000-000078690000}"/>
    <cellStyle name="Normal 4 2 18" xfId="18919" xr:uid="{00000000-0005-0000-0000-000079690000}"/>
    <cellStyle name="Normal 4 2 2" xfId="18920" xr:uid="{00000000-0005-0000-0000-00007A690000}"/>
    <cellStyle name="Normal 4 2 2 2" xfId="18921" xr:uid="{00000000-0005-0000-0000-00007B690000}"/>
    <cellStyle name="Normal 4 2 2 2 2" xfId="18922" xr:uid="{00000000-0005-0000-0000-00007C690000}"/>
    <cellStyle name="Normal 4 2 2 2 3" xfId="18923" xr:uid="{00000000-0005-0000-0000-00007D690000}"/>
    <cellStyle name="Normal 4 2 2 3" xfId="18924" xr:uid="{00000000-0005-0000-0000-00007E690000}"/>
    <cellStyle name="Normal 4 2 2 3 2" xfId="18925" xr:uid="{00000000-0005-0000-0000-00007F690000}"/>
    <cellStyle name="Normal 4 2 2 4" xfId="18926" xr:uid="{00000000-0005-0000-0000-000080690000}"/>
    <cellStyle name="Normal 4 2 2 4 2" xfId="18927" xr:uid="{00000000-0005-0000-0000-000081690000}"/>
    <cellStyle name="Normal 4 2 2 5" xfId="18928" xr:uid="{00000000-0005-0000-0000-000082690000}"/>
    <cellStyle name="Normal 4 2 2_Sheet1" xfId="18929" xr:uid="{00000000-0005-0000-0000-000083690000}"/>
    <cellStyle name="Normal 4 2 3" xfId="18930" xr:uid="{00000000-0005-0000-0000-000084690000}"/>
    <cellStyle name="Normal 4 2 3 2" xfId="18931" xr:uid="{00000000-0005-0000-0000-000085690000}"/>
    <cellStyle name="Normal 4 2 3 3" xfId="18932" xr:uid="{00000000-0005-0000-0000-000086690000}"/>
    <cellStyle name="Normal 4 2 4" xfId="18933" xr:uid="{00000000-0005-0000-0000-000087690000}"/>
    <cellStyle name="Normal 4 2 4 10" xfId="18934" xr:uid="{00000000-0005-0000-0000-000088690000}"/>
    <cellStyle name="Normal 4 2 4 10 2" xfId="54103" xr:uid="{00000000-0005-0000-0000-000089690000}"/>
    <cellStyle name="Normal 4 2 4 10 3" xfId="54104" xr:uid="{00000000-0005-0000-0000-00008A690000}"/>
    <cellStyle name="Normal 4 2 4 11" xfId="18935" xr:uid="{00000000-0005-0000-0000-00008B690000}"/>
    <cellStyle name="Normal 4 2 4 11 2" xfId="54105" xr:uid="{00000000-0005-0000-0000-00008C690000}"/>
    <cellStyle name="Normal 4 2 4 12" xfId="18936" xr:uid="{00000000-0005-0000-0000-00008D690000}"/>
    <cellStyle name="Normal 4 2 4 12 2" xfId="54106" xr:uid="{00000000-0005-0000-0000-00008E690000}"/>
    <cellStyle name="Normal 4 2 4 13" xfId="18937" xr:uid="{00000000-0005-0000-0000-00008F690000}"/>
    <cellStyle name="Normal 4 2 4 14" xfId="18938" xr:uid="{00000000-0005-0000-0000-000090690000}"/>
    <cellStyle name="Normal 4 2 4 15" xfId="18939" xr:uid="{00000000-0005-0000-0000-000091690000}"/>
    <cellStyle name="Normal 4 2 4 16" xfId="18940" xr:uid="{00000000-0005-0000-0000-000092690000}"/>
    <cellStyle name="Normal 4 2 4 17" xfId="18941" xr:uid="{00000000-0005-0000-0000-000093690000}"/>
    <cellStyle name="Normal 4 2 4 18" xfId="18942" xr:uid="{00000000-0005-0000-0000-000094690000}"/>
    <cellStyle name="Normal 4 2 4 2" xfId="18943" xr:uid="{00000000-0005-0000-0000-000095690000}"/>
    <cellStyle name="Normal 4 2 4 2 10" xfId="18944" xr:uid="{00000000-0005-0000-0000-000096690000}"/>
    <cellStyle name="Normal 4 2 4 2 11" xfId="18945" xr:uid="{00000000-0005-0000-0000-000097690000}"/>
    <cellStyle name="Normal 4 2 4 2 12" xfId="18946" xr:uid="{00000000-0005-0000-0000-000098690000}"/>
    <cellStyle name="Normal 4 2 4 2 13" xfId="18947" xr:uid="{00000000-0005-0000-0000-000099690000}"/>
    <cellStyle name="Normal 4 2 4 2 14" xfId="18948" xr:uid="{00000000-0005-0000-0000-00009A690000}"/>
    <cellStyle name="Normal 4 2 4 2 2" xfId="18949" xr:uid="{00000000-0005-0000-0000-00009B690000}"/>
    <cellStyle name="Normal 4 2 4 2 2 10" xfId="18950" xr:uid="{00000000-0005-0000-0000-00009C690000}"/>
    <cellStyle name="Normal 4 2 4 2 2 2" xfId="18951" xr:uid="{00000000-0005-0000-0000-00009D690000}"/>
    <cellStyle name="Normal 4 2 4 2 2 2 2" xfId="18952" xr:uid="{00000000-0005-0000-0000-00009E690000}"/>
    <cellStyle name="Normal 4 2 4 2 2 2 2 2" xfId="18953" xr:uid="{00000000-0005-0000-0000-00009F690000}"/>
    <cellStyle name="Normal 4 2 4 2 2 2 2 2 2" xfId="54107" xr:uid="{00000000-0005-0000-0000-0000A0690000}"/>
    <cellStyle name="Normal 4 2 4 2 2 2 2 2 3" xfId="54108" xr:uid="{00000000-0005-0000-0000-0000A1690000}"/>
    <cellStyle name="Normal 4 2 4 2 2 2 2 3" xfId="18954" xr:uid="{00000000-0005-0000-0000-0000A2690000}"/>
    <cellStyle name="Normal 4 2 4 2 2 2 2 3 2" xfId="54109" xr:uid="{00000000-0005-0000-0000-0000A3690000}"/>
    <cellStyle name="Normal 4 2 4 2 2 2 2 4" xfId="18955" xr:uid="{00000000-0005-0000-0000-0000A4690000}"/>
    <cellStyle name="Normal 4 2 4 2 2 2 2 5" xfId="18956" xr:uid="{00000000-0005-0000-0000-0000A5690000}"/>
    <cellStyle name="Normal 4 2 4 2 2 2 2 6" xfId="18957" xr:uid="{00000000-0005-0000-0000-0000A6690000}"/>
    <cellStyle name="Normal 4 2 4 2 2 2 3" xfId="18958" xr:uid="{00000000-0005-0000-0000-0000A7690000}"/>
    <cellStyle name="Normal 4 2 4 2 2 2 3 2" xfId="54110" xr:uid="{00000000-0005-0000-0000-0000A8690000}"/>
    <cellStyle name="Normal 4 2 4 2 2 2 3 3" xfId="54111" xr:uid="{00000000-0005-0000-0000-0000A9690000}"/>
    <cellStyle name="Normal 4 2 4 2 2 2 4" xfId="18959" xr:uid="{00000000-0005-0000-0000-0000AA690000}"/>
    <cellStyle name="Normal 4 2 4 2 2 2 4 2" xfId="54112" xr:uid="{00000000-0005-0000-0000-0000AB690000}"/>
    <cellStyle name="Normal 4 2 4 2 2 2 5" xfId="18960" xr:uid="{00000000-0005-0000-0000-0000AC690000}"/>
    <cellStyle name="Normal 4 2 4 2 2 2 6" xfId="18961" xr:uid="{00000000-0005-0000-0000-0000AD690000}"/>
    <cellStyle name="Normal 4 2 4 2 2 2 7" xfId="18962" xr:uid="{00000000-0005-0000-0000-0000AE690000}"/>
    <cellStyle name="Normal 4 2 4 2 2 3" xfId="18963" xr:uid="{00000000-0005-0000-0000-0000AF690000}"/>
    <cellStyle name="Normal 4 2 4 2 2 3 2" xfId="18964" xr:uid="{00000000-0005-0000-0000-0000B0690000}"/>
    <cellStyle name="Normal 4 2 4 2 2 3 2 2" xfId="54113" xr:uid="{00000000-0005-0000-0000-0000B1690000}"/>
    <cellStyle name="Normal 4 2 4 2 2 3 2 3" xfId="54114" xr:uid="{00000000-0005-0000-0000-0000B2690000}"/>
    <cellStyle name="Normal 4 2 4 2 2 3 3" xfId="18965" xr:uid="{00000000-0005-0000-0000-0000B3690000}"/>
    <cellStyle name="Normal 4 2 4 2 2 3 3 2" xfId="54115" xr:uid="{00000000-0005-0000-0000-0000B4690000}"/>
    <cellStyle name="Normal 4 2 4 2 2 3 4" xfId="18966" xr:uid="{00000000-0005-0000-0000-0000B5690000}"/>
    <cellStyle name="Normal 4 2 4 2 2 3 5" xfId="18967" xr:uid="{00000000-0005-0000-0000-0000B6690000}"/>
    <cellStyle name="Normal 4 2 4 2 2 3 6" xfId="18968" xr:uid="{00000000-0005-0000-0000-0000B7690000}"/>
    <cellStyle name="Normal 4 2 4 2 2 4" xfId="18969" xr:uid="{00000000-0005-0000-0000-0000B8690000}"/>
    <cellStyle name="Normal 4 2 4 2 2 4 2" xfId="54116" xr:uid="{00000000-0005-0000-0000-0000B9690000}"/>
    <cellStyle name="Normal 4 2 4 2 2 5" xfId="18970" xr:uid="{00000000-0005-0000-0000-0000BA690000}"/>
    <cellStyle name="Normal 4 2 4 2 2 6" xfId="18971" xr:uid="{00000000-0005-0000-0000-0000BB690000}"/>
    <cellStyle name="Normal 4 2 4 2 2 7" xfId="18972" xr:uid="{00000000-0005-0000-0000-0000BC690000}"/>
    <cellStyle name="Normal 4 2 4 2 2 8" xfId="18973" xr:uid="{00000000-0005-0000-0000-0000BD690000}"/>
    <cellStyle name="Normal 4 2 4 2 2 9" xfId="18974" xr:uid="{00000000-0005-0000-0000-0000BE690000}"/>
    <cellStyle name="Normal 4 2 4 2 3" xfId="18975" xr:uid="{00000000-0005-0000-0000-0000BF690000}"/>
    <cellStyle name="Normal 4 2 4 2 3 2" xfId="18976" xr:uid="{00000000-0005-0000-0000-0000C0690000}"/>
    <cellStyle name="Normal 4 2 4 2 3 2 2" xfId="18977" xr:uid="{00000000-0005-0000-0000-0000C1690000}"/>
    <cellStyle name="Normal 4 2 4 2 3 2 2 2" xfId="18978" xr:uid="{00000000-0005-0000-0000-0000C2690000}"/>
    <cellStyle name="Normal 4 2 4 2 3 2 2 2 2" xfId="54117" xr:uid="{00000000-0005-0000-0000-0000C3690000}"/>
    <cellStyle name="Normal 4 2 4 2 3 2 2 2 3" xfId="54118" xr:uid="{00000000-0005-0000-0000-0000C4690000}"/>
    <cellStyle name="Normal 4 2 4 2 3 2 2 3" xfId="18979" xr:uid="{00000000-0005-0000-0000-0000C5690000}"/>
    <cellStyle name="Normal 4 2 4 2 3 2 2 3 2" xfId="54119" xr:uid="{00000000-0005-0000-0000-0000C6690000}"/>
    <cellStyle name="Normal 4 2 4 2 3 2 2 4" xfId="18980" xr:uid="{00000000-0005-0000-0000-0000C7690000}"/>
    <cellStyle name="Normal 4 2 4 2 3 2 2 5" xfId="18981" xr:uid="{00000000-0005-0000-0000-0000C8690000}"/>
    <cellStyle name="Normal 4 2 4 2 3 2 2 6" xfId="18982" xr:uid="{00000000-0005-0000-0000-0000C9690000}"/>
    <cellStyle name="Normal 4 2 4 2 3 2 3" xfId="18983" xr:uid="{00000000-0005-0000-0000-0000CA690000}"/>
    <cellStyle name="Normal 4 2 4 2 3 2 3 2" xfId="54120" xr:uid="{00000000-0005-0000-0000-0000CB690000}"/>
    <cellStyle name="Normal 4 2 4 2 3 2 3 3" xfId="54121" xr:uid="{00000000-0005-0000-0000-0000CC690000}"/>
    <cellStyle name="Normal 4 2 4 2 3 2 4" xfId="18984" xr:uid="{00000000-0005-0000-0000-0000CD690000}"/>
    <cellStyle name="Normal 4 2 4 2 3 2 4 2" xfId="54122" xr:uid="{00000000-0005-0000-0000-0000CE690000}"/>
    <cellStyle name="Normal 4 2 4 2 3 2 5" xfId="18985" xr:uid="{00000000-0005-0000-0000-0000CF690000}"/>
    <cellStyle name="Normal 4 2 4 2 3 2 6" xfId="18986" xr:uid="{00000000-0005-0000-0000-0000D0690000}"/>
    <cellStyle name="Normal 4 2 4 2 3 2 7" xfId="18987" xr:uid="{00000000-0005-0000-0000-0000D1690000}"/>
    <cellStyle name="Normal 4 2 4 2 3 3" xfId="18988" xr:uid="{00000000-0005-0000-0000-0000D2690000}"/>
    <cellStyle name="Normal 4 2 4 2 3 3 2" xfId="18989" xr:uid="{00000000-0005-0000-0000-0000D3690000}"/>
    <cellStyle name="Normal 4 2 4 2 3 3 2 2" xfId="54123" xr:uid="{00000000-0005-0000-0000-0000D4690000}"/>
    <cellStyle name="Normal 4 2 4 2 3 3 2 3" xfId="54124" xr:uid="{00000000-0005-0000-0000-0000D5690000}"/>
    <cellStyle name="Normal 4 2 4 2 3 3 3" xfId="18990" xr:uid="{00000000-0005-0000-0000-0000D6690000}"/>
    <cellStyle name="Normal 4 2 4 2 3 3 3 2" xfId="54125" xr:uid="{00000000-0005-0000-0000-0000D7690000}"/>
    <cellStyle name="Normal 4 2 4 2 3 3 4" xfId="18991" xr:uid="{00000000-0005-0000-0000-0000D8690000}"/>
    <cellStyle name="Normal 4 2 4 2 3 3 5" xfId="18992" xr:uid="{00000000-0005-0000-0000-0000D9690000}"/>
    <cellStyle name="Normal 4 2 4 2 3 3 6" xfId="18993" xr:uid="{00000000-0005-0000-0000-0000DA690000}"/>
    <cellStyle name="Normal 4 2 4 2 3 4" xfId="18994" xr:uid="{00000000-0005-0000-0000-0000DB690000}"/>
    <cellStyle name="Normal 4 2 4 2 3 4 2" xfId="54126" xr:uid="{00000000-0005-0000-0000-0000DC690000}"/>
    <cellStyle name="Normal 4 2 4 2 3 4 3" xfId="54127" xr:uid="{00000000-0005-0000-0000-0000DD690000}"/>
    <cellStyle name="Normal 4 2 4 2 3 5" xfId="18995" xr:uid="{00000000-0005-0000-0000-0000DE690000}"/>
    <cellStyle name="Normal 4 2 4 2 3 5 2" xfId="54128" xr:uid="{00000000-0005-0000-0000-0000DF690000}"/>
    <cellStyle name="Normal 4 2 4 2 3 6" xfId="18996" xr:uid="{00000000-0005-0000-0000-0000E0690000}"/>
    <cellStyle name="Normal 4 2 4 2 3 7" xfId="18997" xr:uid="{00000000-0005-0000-0000-0000E1690000}"/>
    <cellStyle name="Normal 4 2 4 2 3 8" xfId="18998" xr:uid="{00000000-0005-0000-0000-0000E2690000}"/>
    <cellStyle name="Normal 4 2 4 2 4" xfId="18999" xr:uid="{00000000-0005-0000-0000-0000E3690000}"/>
    <cellStyle name="Normal 4 2 4 2 4 2" xfId="19000" xr:uid="{00000000-0005-0000-0000-0000E4690000}"/>
    <cellStyle name="Normal 4 2 4 2 4 2 2" xfId="19001" xr:uid="{00000000-0005-0000-0000-0000E5690000}"/>
    <cellStyle name="Normal 4 2 4 2 4 2 2 2" xfId="54129" xr:uid="{00000000-0005-0000-0000-0000E6690000}"/>
    <cellStyle name="Normal 4 2 4 2 4 2 2 3" xfId="54130" xr:uid="{00000000-0005-0000-0000-0000E7690000}"/>
    <cellStyle name="Normal 4 2 4 2 4 2 3" xfId="19002" xr:uid="{00000000-0005-0000-0000-0000E8690000}"/>
    <cellStyle name="Normal 4 2 4 2 4 2 3 2" xfId="54131" xr:uid="{00000000-0005-0000-0000-0000E9690000}"/>
    <cellStyle name="Normal 4 2 4 2 4 2 4" xfId="19003" xr:uid="{00000000-0005-0000-0000-0000EA690000}"/>
    <cellStyle name="Normal 4 2 4 2 4 2 5" xfId="19004" xr:uid="{00000000-0005-0000-0000-0000EB690000}"/>
    <cellStyle name="Normal 4 2 4 2 4 2 6" xfId="19005" xr:uid="{00000000-0005-0000-0000-0000EC690000}"/>
    <cellStyle name="Normal 4 2 4 2 4 3" xfId="19006" xr:uid="{00000000-0005-0000-0000-0000ED690000}"/>
    <cellStyle name="Normal 4 2 4 2 4 3 2" xfId="54132" xr:uid="{00000000-0005-0000-0000-0000EE690000}"/>
    <cellStyle name="Normal 4 2 4 2 4 3 3" xfId="54133" xr:uid="{00000000-0005-0000-0000-0000EF690000}"/>
    <cellStyle name="Normal 4 2 4 2 4 4" xfId="19007" xr:uid="{00000000-0005-0000-0000-0000F0690000}"/>
    <cellStyle name="Normal 4 2 4 2 4 4 2" xfId="54134" xr:uid="{00000000-0005-0000-0000-0000F1690000}"/>
    <cellStyle name="Normal 4 2 4 2 4 5" xfId="19008" xr:uid="{00000000-0005-0000-0000-0000F2690000}"/>
    <cellStyle name="Normal 4 2 4 2 4 6" xfId="19009" xr:uid="{00000000-0005-0000-0000-0000F3690000}"/>
    <cellStyle name="Normal 4 2 4 2 4 7" xfId="19010" xr:uid="{00000000-0005-0000-0000-0000F4690000}"/>
    <cellStyle name="Normal 4 2 4 2 5" xfId="19011" xr:uid="{00000000-0005-0000-0000-0000F5690000}"/>
    <cellStyle name="Normal 4 2 4 2 5 2" xfId="19012" xr:uid="{00000000-0005-0000-0000-0000F6690000}"/>
    <cellStyle name="Normal 4 2 4 2 5 2 2" xfId="54135" xr:uid="{00000000-0005-0000-0000-0000F7690000}"/>
    <cellStyle name="Normal 4 2 4 2 5 2 3" xfId="54136" xr:uid="{00000000-0005-0000-0000-0000F8690000}"/>
    <cellStyle name="Normal 4 2 4 2 5 3" xfId="19013" xr:uid="{00000000-0005-0000-0000-0000F9690000}"/>
    <cellStyle name="Normal 4 2 4 2 5 3 2" xfId="54137" xr:uid="{00000000-0005-0000-0000-0000FA690000}"/>
    <cellStyle name="Normal 4 2 4 2 5 4" xfId="19014" xr:uid="{00000000-0005-0000-0000-0000FB690000}"/>
    <cellStyle name="Normal 4 2 4 2 5 5" xfId="19015" xr:uid="{00000000-0005-0000-0000-0000FC690000}"/>
    <cellStyle name="Normal 4 2 4 2 5 6" xfId="19016" xr:uid="{00000000-0005-0000-0000-0000FD690000}"/>
    <cellStyle name="Normal 4 2 4 2 6" xfId="19017" xr:uid="{00000000-0005-0000-0000-0000FE690000}"/>
    <cellStyle name="Normal 4 2 4 2 6 2" xfId="54138" xr:uid="{00000000-0005-0000-0000-0000FF690000}"/>
    <cellStyle name="Normal 4 2 4 2 6 3" xfId="54139" xr:uid="{00000000-0005-0000-0000-0000006A0000}"/>
    <cellStyle name="Normal 4 2 4 2 7" xfId="19018" xr:uid="{00000000-0005-0000-0000-0000016A0000}"/>
    <cellStyle name="Normal 4 2 4 2 7 2" xfId="54140" xr:uid="{00000000-0005-0000-0000-0000026A0000}"/>
    <cellStyle name="Normal 4 2 4 2 8" xfId="19019" xr:uid="{00000000-0005-0000-0000-0000036A0000}"/>
    <cellStyle name="Normal 4 2 4 2 8 2" xfId="54141" xr:uid="{00000000-0005-0000-0000-0000046A0000}"/>
    <cellStyle name="Normal 4 2 4 2 9" xfId="19020" xr:uid="{00000000-0005-0000-0000-0000056A0000}"/>
    <cellStyle name="Normal 4 2 4 3" xfId="19021" xr:uid="{00000000-0005-0000-0000-0000066A0000}"/>
    <cellStyle name="Normal 4 2 4 3 10" xfId="19022" xr:uid="{00000000-0005-0000-0000-0000076A0000}"/>
    <cellStyle name="Normal 4 2 4 3 11" xfId="19023" xr:uid="{00000000-0005-0000-0000-0000086A0000}"/>
    <cellStyle name="Normal 4 2 4 3 12" xfId="19024" xr:uid="{00000000-0005-0000-0000-0000096A0000}"/>
    <cellStyle name="Normal 4 2 4 3 13" xfId="19025" xr:uid="{00000000-0005-0000-0000-00000A6A0000}"/>
    <cellStyle name="Normal 4 2 4 3 14" xfId="19026" xr:uid="{00000000-0005-0000-0000-00000B6A0000}"/>
    <cellStyle name="Normal 4 2 4 3 15" xfId="19027" xr:uid="{00000000-0005-0000-0000-00000C6A0000}"/>
    <cellStyle name="Normal 4 2 4 3 2" xfId="19028" xr:uid="{00000000-0005-0000-0000-00000D6A0000}"/>
    <cellStyle name="Normal 4 2 4 3 2 2" xfId="19029" xr:uid="{00000000-0005-0000-0000-00000E6A0000}"/>
    <cellStyle name="Normal 4 2 4 3 2 2 2" xfId="19030" xr:uid="{00000000-0005-0000-0000-00000F6A0000}"/>
    <cellStyle name="Normal 4 2 4 3 2 2 2 2" xfId="19031" xr:uid="{00000000-0005-0000-0000-0000106A0000}"/>
    <cellStyle name="Normal 4 2 4 3 2 2 2 2 2" xfId="54142" xr:uid="{00000000-0005-0000-0000-0000116A0000}"/>
    <cellStyle name="Normal 4 2 4 3 2 2 2 2 3" xfId="54143" xr:uid="{00000000-0005-0000-0000-0000126A0000}"/>
    <cellStyle name="Normal 4 2 4 3 2 2 2 3" xfId="19032" xr:uid="{00000000-0005-0000-0000-0000136A0000}"/>
    <cellStyle name="Normal 4 2 4 3 2 2 2 3 2" xfId="54144" xr:uid="{00000000-0005-0000-0000-0000146A0000}"/>
    <cellStyle name="Normal 4 2 4 3 2 2 2 4" xfId="19033" xr:uid="{00000000-0005-0000-0000-0000156A0000}"/>
    <cellStyle name="Normal 4 2 4 3 2 2 2 5" xfId="19034" xr:uid="{00000000-0005-0000-0000-0000166A0000}"/>
    <cellStyle name="Normal 4 2 4 3 2 2 2 6" xfId="19035" xr:uid="{00000000-0005-0000-0000-0000176A0000}"/>
    <cellStyle name="Normal 4 2 4 3 2 2 3" xfId="19036" xr:uid="{00000000-0005-0000-0000-0000186A0000}"/>
    <cellStyle name="Normal 4 2 4 3 2 2 3 2" xfId="54145" xr:uid="{00000000-0005-0000-0000-0000196A0000}"/>
    <cellStyle name="Normal 4 2 4 3 2 2 3 3" xfId="54146" xr:uid="{00000000-0005-0000-0000-00001A6A0000}"/>
    <cellStyle name="Normal 4 2 4 3 2 2 4" xfId="19037" xr:uid="{00000000-0005-0000-0000-00001B6A0000}"/>
    <cellStyle name="Normal 4 2 4 3 2 2 4 2" xfId="54147" xr:uid="{00000000-0005-0000-0000-00001C6A0000}"/>
    <cellStyle name="Normal 4 2 4 3 2 2 5" xfId="19038" xr:uid="{00000000-0005-0000-0000-00001D6A0000}"/>
    <cellStyle name="Normal 4 2 4 3 2 2 6" xfId="19039" xr:uid="{00000000-0005-0000-0000-00001E6A0000}"/>
    <cellStyle name="Normal 4 2 4 3 2 2 7" xfId="19040" xr:uid="{00000000-0005-0000-0000-00001F6A0000}"/>
    <cellStyle name="Normal 4 2 4 3 2 3" xfId="19041" xr:uid="{00000000-0005-0000-0000-0000206A0000}"/>
    <cellStyle name="Normal 4 2 4 3 2 3 2" xfId="19042" xr:uid="{00000000-0005-0000-0000-0000216A0000}"/>
    <cellStyle name="Normal 4 2 4 3 2 3 2 2" xfId="54148" xr:uid="{00000000-0005-0000-0000-0000226A0000}"/>
    <cellStyle name="Normal 4 2 4 3 2 3 2 3" xfId="54149" xr:uid="{00000000-0005-0000-0000-0000236A0000}"/>
    <cellStyle name="Normal 4 2 4 3 2 3 3" xfId="19043" xr:uid="{00000000-0005-0000-0000-0000246A0000}"/>
    <cellStyle name="Normal 4 2 4 3 2 3 3 2" xfId="54150" xr:uid="{00000000-0005-0000-0000-0000256A0000}"/>
    <cellStyle name="Normal 4 2 4 3 2 3 4" xfId="19044" xr:uid="{00000000-0005-0000-0000-0000266A0000}"/>
    <cellStyle name="Normal 4 2 4 3 2 3 5" xfId="19045" xr:uid="{00000000-0005-0000-0000-0000276A0000}"/>
    <cellStyle name="Normal 4 2 4 3 2 3 6" xfId="19046" xr:uid="{00000000-0005-0000-0000-0000286A0000}"/>
    <cellStyle name="Normal 4 2 4 3 2 4" xfId="19047" xr:uid="{00000000-0005-0000-0000-0000296A0000}"/>
    <cellStyle name="Normal 4 2 4 3 2 4 2" xfId="54151" xr:uid="{00000000-0005-0000-0000-00002A6A0000}"/>
    <cellStyle name="Normal 4 2 4 3 2 4 3" xfId="54152" xr:uid="{00000000-0005-0000-0000-00002B6A0000}"/>
    <cellStyle name="Normal 4 2 4 3 2 5" xfId="19048" xr:uid="{00000000-0005-0000-0000-00002C6A0000}"/>
    <cellStyle name="Normal 4 2 4 3 2 5 2" xfId="54153" xr:uid="{00000000-0005-0000-0000-00002D6A0000}"/>
    <cellStyle name="Normal 4 2 4 3 2 6" xfId="19049" xr:uid="{00000000-0005-0000-0000-00002E6A0000}"/>
    <cellStyle name="Normal 4 2 4 3 2 7" xfId="19050" xr:uid="{00000000-0005-0000-0000-00002F6A0000}"/>
    <cellStyle name="Normal 4 2 4 3 2 8" xfId="19051" xr:uid="{00000000-0005-0000-0000-0000306A0000}"/>
    <cellStyle name="Normal 4 2 4 3 2 9" xfId="19052" xr:uid="{00000000-0005-0000-0000-0000316A0000}"/>
    <cellStyle name="Normal 4 2 4 3 3" xfId="19053" xr:uid="{00000000-0005-0000-0000-0000326A0000}"/>
    <cellStyle name="Normal 4 2 4 3 3 2" xfId="19054" xr:uid="{00000000-0005-0000-0000-0000336A0000}"/>
    <cellStyle name="Normal 4 2 4 3 3 2 2" xfId="19055" xr:uid="{00000000-0005-0000-0000-0000346A0000}"/>
    <cellStyle name="Normal 4 2 4 3 3 2 2 2" xfId="19056" xr:uid="{00000000-0005-0000-0000-0000356A0000}"/>
    <cellStyle name="Normal 4 2 4 3 3 2 2 2 2" xfId="54154" xr:uid="{00000000-0005-0000-0000-0000366A0000}"/>
    <cellStyle name="Normal 4 2 4 3 3 2 2 2 3" xfId="54155" xr:uid="{00000000-0005-0000-0000-0000376A0000}"/>
    <cellStyle name="Normal 4 2 4 3 3 2 2 3" xfId="19057" xr:uid="{00000000-0005-0000-0000-0000386A0000}"/>
    <cellStyle name="Normal 4 2 4 3 3 2 2 3 2" xfId="54156" xr:uid="{00000000-0005-0000-0000-0000396A0000}"/>
    <cellStyle name="Normal 4 2 4 3 3 2 2 4" xfId="19058" xr:uid="{00000000-0005-0000-0000-00003A6A0000}"/>
    <cellStyle name="Normal 4 2 4 3 3 2 2 5" xfId="19059" xr:uid="{00000000-0005-0000-0000-00003B6A0000}"/>
    <cellStyle name="Normal 4 2 4 3 3 2 2 6" xfId="19060" xr:uid="{00000000-0005-0000-0000-00003C6A0000}"/>
    <cellStyle name="Normal 4 2 4 3 3 2 3" xfId="19061" xr:uid="{00000000-0005-0000-0000-00003D6A0000}"/>
    <cellStyle name="Normal 4 2 4 3 3 2 3 2" xfId="54157" xr:uid="{00000000-0005-0000-0000-00003E6A0000}"/>
    <cellStyle name="Normal 4 2 4 3 3 2 3 3" xfId="54158" xr:uid="{00000000-0005-0000-0000-00003F6A0000}"/>
    <cellStyle name="Normal 4 2 4 3 3 2 4" xfId="19062" xr:uid="{00000000-0005-0000-0000-0000406A0000}"/>
    <cellStyle name="Normal 4 2 4 3 3 2 4 2" xfId="54159" xr:uid="{00000000-0005-0000-0000-0000416A0000}"/>
    <cellStyle name="Normal 4 2 4 3 3 2 5" xfId="19063" xr:uid="{00000000-0005-0000-0000-0000426A0000}"/>
    <cellStyle name="Normal 4 2 4 3 3 2 6" xfId="19064" xr:uid="{00000000-0005-0000-0000-0000436A0000}"/>
    <cellStyle name="Normal 4 2 4 3 3 2 7" xfId="19065" xr:uid="{00000000-0005-0000-0000-0000446A0000}"/>
    <cellStyle name="Normal 4 2 4 3 3 3" xfId="19066" xr:uid="{00000000-0005-0000-0000-0000456A0000}"/>
    <cellStyle name="Normal 4 2 4 3 3 3 2" xfId="19067" xr:uid="{00000000-0005-0000-0000-0000466A0000}"/>
    <cellStyle name="Normal 4 2 4 3 3 3 2 2" xfId="54160" xr:uid="{00000000-0005-0000-0000-0000476A0000}"/>
    <cellStyle name="Normal 4 2 4 3 3 3 2 3" xfId="54161" xr:uid="{00000000-0005-0000-0000-0000486A0000}"/>
    <cellStyle name="Normal 4 2 4 3 3 3 3" xfId="19068" xr:uid="{00000000-0005-0000-0000-0000496A0000}"/>
    <cellStyle name="Normal 4 2 4 3 3 3 3 2" xfId="54162" xr:uid="{00000000-0005-0000-0000-00004A6A0000}"/>
    <cellStyle name="Normal 4 2 4 3 3 3 4" xfId="19069" xr:uid="{00000000-0005-0000-0000-00004B6A0000}"/>
    <cellStyle name="Normal 4 2 4 3 3 3 5" xfId="19070" xr:uid="{00000000-0005-0000-0000-00004C6A0000}"/>
    <cellStyle name="Normal 4 2 4 3 3 3 6" xfId="19071" xr:uid="{00000000-0005-0000-0000-00004D6A0000}"/>
    <cellStyle name="Normal 4 2 4 3 3 4" xfId="19072" xr:uid="{00000000-0005-0000-0000-00004E6A0000}"/>
    <cellStyle name="Normal 4 2 4 3 3 4 2" xfId="54163" xr:uid="{00000000-0005-0000-0000-00004F6A0000}"/>
    <cellStyle name="Normal 4 2 4 3 3 4 3" xfId="54164" xr:uid="{00000000-0005-0000-0000-0000506A0000}"/>
    <cellStyle name="Normal 4 2 4 3 3 5" xfId="19073" xr:uid="{00000000-0005-0000-0000-0000516A0000}"/>
    <cellStyle name="Normal 4 2 4 3 3 5 2" xfId="54165" xr:uid="{00000000-0005-0000-0000-0000526A0000}"/>
    <cellStyle name="Normal 4 2 4 3 3 6" xfId="19074" xr:uid="{00000000-0005-0000-0000-0000536A0000}"/>
    <cellStyle name="Normal 4 2 4 3 3 7" xfId="19075" xr:uid="{00000000-0005-0000-0000-0000546A0000}"/>
    <cellStyle name="Normal 4 2 4 3 3 8" xfId="19076" xr:uid="{00000000-0005-0000-0000-0000556A0000}"/>
    <cellStyle name="Normal 4 2 4 3 4" xfId="19077" xr:uid="{00000000-0005-0000-0000-0000566A0000}"/>
    <cellStyle name="Normal 4 2 4 3 4 2" xfId="19078" xr:uid="{00000000-0005-0000-0000-0000576A0000}"/>
    <cellStyle name="Normal 4 2 4 3 4 2 2" xfId="19079" xr:uid="{00000000-0005-0000-0000-0000586A0000}"/>
    <cellStyle name="Normal 4 2 4 3 4 2 2 2" xfId="54166" xr:uid="{00000000-0005-0000-0000-0000596A0000}"/>
    <cellStyle name="Normal 4 2 4 3 4 2 2 3" xfId="54167" xr:uid="{00000000-0005-0000-0000-00005A6A0000}"/>
    <cellStyle name="Normal 4 2 4 3 4 2 3" xfId="19080" xr:uid="{00000000-0005-0000-0000-00005B6A0000}"/>
    <cellStyle name="Normal 4 2 4 3 4 2 3 2" xfId="54168" xr:uid="{00000000-0005-0000-0000-00005C6A0000}"/>
    <cellStyle name="Normal 4 2 4 3 4 2 4" xfId="19081" xr:uid="{00000000-0005-0000-0000-00005D6A0000}"/>
    <cellStyle name="Normal 4 2 4 3 4 2 5" xfId="19082" xr:uid="{00000000-0005-0000-0000-00005E6A0000}"/>
    <cellStyle name="Normal 4 2 4 3 4 2 6" xfId="19083" xr:uid="{00000000-0005-0000-0000-00005F6A0000}"/>
    <cellStyle name="Normal 4 2 4 3 4 3" xfId="19084" xr:uid="{00000000-0005-0000-0000-0000606A0000}"/>
    <cellStyle name="Normal 4 2 4 3 4 3 2" xfId="54169" xr:uid="{00000000-0005-0000-0000-0000616A0000}"/>
    <cellStyle name="Normal 4 2 4 3 4 3 3" xfId="54170" xr:uid="{00000000-0005-0000-0000-0000626A0000}"/>
    <cellStyle name="Normal 4 2 4 3 4 4" xfId="19085" xr:uid="{00000000-0005-0000-0000-0000636A0000}"/>
    <cellStyle name="Normal 4 2 4 3 4 4 2" xfId="54171" xr:uid="{00000000-0005-0000-0000-0000646A0000}"/>
    <cellStyle name="Normal 4 2 4 3 4 5" xfId="19086" xr:uid="{00000000-0005-0000-0000-0000656A0000}"/>
    <cellStyle name="Normal 4 2 4 3 4 6" xfId="19087" xr:uid="{00000000-0005-0000-0000-0000666A0000}"/>
    <cellStyle name="Normal 4 2 4 3 4 7" xfId="19088" xr:uid="{00000000-0005-0000-0000-0000676A0000}"/>
    <cellStyle name="Normal 4 2 4 3 5" xfId="19089" xr:uid="{00000000-0005-0000-0000-0000686A0000}"/>
    <cellStyle name="Normal 4 2 4 3 5 2" xfId="19090" xr:uid="{00000000-0005-0000-0000-0000696A0000}"/>
    <cellStyle name="Normal 4 2 4 3 5 2 2" xfId="54172" xr:uid="{00000000-0005-0000-0000-00006A6A0000}"/>
    <cellStyle name="Normal 4 2 4 3 5 2 3" xfId="54173" xr:uid="{00000000-0005-0000-0000-00006B6A0000}"/>
    <cellStyle name="Normal 4 2 4 3 5 3" xfId="19091" xr:uid="{00000000-0005-0000-0000-00006C6A0000}"/>
    <cellStyle name="Normal 4 2 4 3 5 3 2" xfId="54174" xr:uid="{00000000-0005-0000-0000-00006D6A0000}"/>
    <cellStyle name="Normal 4 2 4 3 5 4" xfId="19092" xr:uid="{00000000-0005-0000-0000-00006E6A0000}"/>
    <cellStyle name="Normal 4 2 4 3 5 5" xfId="19093" xr:uid="{00000000-0005-0000-0000-00006F6A0000}"/>
    <cellStyle name="Normal 4 2 4 3 5 6" xfId="19094" xr:uid="{00000000-0005-0000-0000-0000706A0000}"/>
    <cellStyle name="Normal 4 2 4 3 6" xfId="19095" xr:uid="{00000000-0005-0000-0000-0000716A0000}"/>
    <cellStyle name="Normal 4 2 4 3 6 2" xfId="54175" xr:uid="{00000000-0005-0000-0000-0000726A0000}"/>
    <cellStyle name="Normal 4 2 4 3 7" xfId="19096" xr:uid="{00000000-0005-0000-0000-0000736A0000}"/>
    <cellStyle name="Normal 4 2 4 3 8" xfId="19097" xr:uid="{00000000-0005-0000-0000-0000746A0000}"/>
    <cellStyle name="Normal 4 2 4 3 9" xfId="19098" xr:uid="{00000000-0005-0000-0000-0000756A0000}"/>
    <cellStyle name="Normal 4 2 4 4" xfId="19099" xr:uid="{00000000-0005-0000-0000-0000766A0000}"/>
    <cellStyle name="Normal 4 2 4 4 10" xfId="19100" xr:uid="{00000000-0005-0000-0000-0000776A0000}"/>
    <cellStyle name="Normal 4 2 4 4 11" xfId="19101" xr:uid="{00000000-0005-0000-0000-0000786A0000}"/>
    <cellStyle name="Normal 4 2 4 4 12" xfId="19102" xr:uid="{00000000-0005-0000-0000-0000796A0000}"/>
    <cellStyle name="Normal 4 2 4 4 13" xfId="19103" xr:uid="{00000000-0005-0000-0000-00007A6A0000}"/>
    <cellStyle name="Normal 4 2 4 4 2" xfId="19104" xr:uid="{00000000-0005-0000-0000-00007B6A0000}"/>
    <cellStyle name="Normal 4 2 4 4 2 2" xfId="19105" xr:uid="{00000000-0005-0000-0000-00007C6A0000}"/>
    <cellStyle name="Normal 4 2 4 4 2 2 2" xfId="19106" xr:uid="{00000000-0005-0000-0000-00007D6A0000}"/>
    <cellStyle name="Normal 4 2 4 4 2 2 2 2" xfId="19107" xr:uid="{00000000-0005-0000-0000-00007E6A0000}"/>
    <cellStyle name="Normal 4 2 4 4 2 2 2 2 2" xfId="54176" xr:uid="{00000000-0005-0000-0000-00007F6A0000}"/>
    <cellStyle name="Normal 4 2 4 4 2 2 2 2 3" xfId="54177" xr:uid="{00000000-0005-0000-0000-0000806A0000}"/>
    <cellStyle name="Normal 4 2 4 4 2 2 2 3" xfId="19108" xr:uid="{00000000-0005-0000-0000-0000816A0000}"/>
    <cellStyle name="Normal 4 2 4 4 2 2 2 3 2" xfId="54178" xr:uid="{00000000-0005-0000-0000-0000826A0000}"/>
    <cellStyle name="Normal 4 2 4 4 2 2 2 4" xfId="19109" xr:uid="{00000000-0005-0000-0000-0000836A0000}"/>
    <cellStyle name="Normal 4 2 4 4 2 2 2 5" xfId="19110" xr:uid="{00000000-0005-0000-0000-0000846A0000}"/>
    <cellStyle name="Normal 4 2 4 4 2 2 2 6" xfId="19111" xr:uid="{00000000-0005-0000-0000-0000856A0000}"/>
    <cellStyle name="Normal 4 2 4 4 2 2 3" xfId="19112" xr:uid="{00000000-0005-0000-0000-0000866A0000}"/>
    <cellStyle name="Normal 4 2 4 4 2 2 3 2" xfId="54179" xr:uid="{00000000-0005-0000-0000-0000876A0000}"/>
    <cellStyle name="Normal 4 2 4 4 2 2 3 3" xfId="54180" xr:uid="{00000000-0005-0000-0000-0000886A0000}"/>
    <cellStyle name="Normal 4 2 4 4 2 2 4" xfId="19113" xr:uid="{00000000-0005-0000-0000-0000896A0000}"/>
    <cellStyle name="Normal 4 2 4 4 2 2 4 2" xfId="54181" xr:uid="{00000000-0005-0000-0000-00008A6A0000}"/>
    <cellStyle name="Normal 4 2 4 4 2 2 5" xfId="19114" xr:uid="{00000000-0005-0000-0000-00008B6A0000}"/>
    <cellStyle name="Normal 4 2 4 4 2 2 6" xfId="19115" xr:uid="{00000000-0005-0000-0000-00008C6A0000}"/>
    <cellStyle name="Normal 4 2 4 4 2 2 7" xfId="19116" xr:uid="{00000000-0005-0000-0000-00008D6A0000}"/>
    <cellStyle name="Normal 4 2 4 4 2 3" xfId="19117" xr:uid="{00000000-0005-0000-0000-00008E6A0000}"/>
    <cellStyle name="Normal 4 2 4 4 2 3 2" xfId="19118" xr:uid="{00000000-0005-0000-0000-00008F6A0000}"/>
    <cellStyle name="Normal 4 2 4 4 2 3 2 2" xfId="54182" xr:uid="{00000000-0005-0000-0000-0000906A0000}"/>
    <cellStyle name="Normal 4 2 4 4 2 3 2 3" xfId="54183" xr:uid="{00000000-0005-0000-0000-0000916A0000}"/>
    <cellStyle name="Normal 4 2 4 4 2 3 3" xfId="19119" xr:uid="{00000000-0005-0000-0000-0000926A0000}"/>
    <cellStyle name="Normal 4 2 4 4 2 3 3 2" xfId="54184" xr:uid="{00000000-0005-0000-0000-0000936A0000}"/>
    <cellStyle name="Normal 4 2 4 4 2 3 4" xfId="19120" xr:uid="{00000000-0005-0000-0000-0000946A0000}"/>
    <cellStyle name="Normal 4 2 4 4 2 3 5" xfId="19121" xr:uid="{00000000-0005-0000-0000-0000956A0000}"/>
    <cellStyle name="Normal 4 2 4 4 2 3 6" xfId="19122" xr:uid="{00000000-0005-0000-0000-0000966A0000}"/>
    <cellStyle name="Normal 4 2 4 4 2 4" xfId="19123" xr:uid="{00000000-0005-0000-0000-0000976A0000}"/>
    <cellStyle name="Normal 4 2 4 4 2 4 2" xfId="54185" xr:uid="{00000000-0005-0000-0000-0000986A0000}"/>
    <cellStyle name="Normal 4 2 4 4 2 4 3" xfId="54186" xr:uid="{00000000-0005-0000-0000-0000996A0000}"/>
    <cellStyle name="Normal 4 2 4 4 2 5" xfId="19124" xr:uid="{00000000-0005-0000-0000-00009A6A0000}"/>
    <cellStyle name="Normal 4 2 4 4 2 5 2" xfId="54187" xr:uid="{00000000-0005-0000-0000-00009B6A0000}"/>
    <cellStyle name="Normal 4 2 4 4 2 6" xfId="19125" xr:uid="{00000000-0005-0000-0000-00009C6A0000}"/>
    <cellStyle name="Normal 4 2 4 4 2 7" xfId="19126" xr:uid="{00000000-0005-0000-0000-00009D6A0000}"/>
    <cellStyle name="Normal 4 2 4 4 2 8" xfId="19127" xr:uid="{00000000-0005-0000-0000-00009E6A0000}"/>
    <cellStyle name="Normal 4 2 4 4 2 9" xfId="19128" xr:uid="{00000000-0005-0000-0000-00009F6A0000}"/>
    <cellStyle name="Normal 4 2 4 4 3" xfId="19129" xr:uid="{00000000-0005-0000-0000-0000A06A0000}"/>
    <cellStyle name="Normal 4 2 4 4 3 2" xfId="19130" xr:uid="{00000000-0005-0000-0000-0000A16A0000}"/>
    <cellStyle name="Normal 4 2 4 4 3 2 2" xfId="19131" xr:uid="{00000000-0005-0000-0000-0000A26A0000}"/>
    <cellStyle name="Normal 4 2 4 4 3 2 2 2" xfId="54188" xr:uid="{00000000-0005-0000-0000-0000A36A0000}"/>
    <cellStyle name="Normal 4 2 4 4 3 2 2 3" xfId="54189" xr:uid="{00000000-0005-0000-0000-0000A46A0000}"/>
    <cellStyle name="Normal 4 2 4 4 3 2 3" xfId="19132" xr:uid="{00000000-0005-0000-0000-0000A56A0000}"/>
    <cellStyle name="Normal 4 2 4 4 3 2 3 2" xfId="54190" xr:uid="{00000000-0005-0000-0000-0000A66A0000}"/>
    <cellStyle name="Normal 4 2 4 4 3 2 4" xfId="19133" xr:uid="{00000000-0005-0000-0000-0000A76A0000}"/>
    <cellStyle name="Normal 4 2 4 4 3 2 5" xfId="19134" xr:uid="{00000000-0005-0000-0000-0000A86A0000}"/>
    <cellStyle name="Normal 4 2 4 4 3 2 6" xfId="19135" xr:uid="{00000000-0005-0000-0000-0000A96A0000}"/>
    <cellStyle name="Normal 4 2 4 4 3 3" xfId="19136" xr:uid="{00000000-0005-0000-0000-0000AA6A0000}"/>
    <cellStyle name="Normal 4 2 4 4 3 3 2" xfId="54191" xr:uid="{00000000-0005-0000-0000-0000AB6A0000}"/>
    <cellStyle name="Normal 4 2 4 4 3 3 3" xfId="54192" xr:uid="{00000000-0005-0000-0000-0000AC6A0000}"/>
    <cellStyle name="Normal 4 2 4 4 3 4" xfId="19137" xr:uid="{00000000-0005-0000-0000-0000AD6A0000}"/>
    <cellStyle name="Normal 4 2 4 4 3 4 2" xfId="54193" xr:uid="{00000000-0005-0000-0000-0000AE6A0000}"/>
    <cellStyle name="Normal 4 2 4 4 3 5" xfId="19138" xr:uid="{00000000-0005-0000-0000-0000AF6A0000}"/>
    <cellStyle name="Normal 4 2 4 4 3 6" xfId="19139" xr:uid="{00000000-0005-0000-0000-0000B06A0000}"/>
    <cellStyle name="Normal 4 2 4 4 3 7" xfId="19140" xr:uid="{00000000-0005-0000-0000-0000B16A0000}"/>
    <cellStyle name="Normal 4 2 4 4 4" xfId="19141" xr:uid="{00000000-0005-0000-0000-0000B26A0000}"/>
    <cellStyle name="Normal 4 2 4 4 4 2" xfId="19142" xr:uid="{00000000-0005-0000-0000-0000B36A0000}"/>
    <cellStyle name="Normal 4 2 4 4 4 2 2" xfId="54194" xr:uid="{00000000-0005-0000-0000-0000B46A0000}"/>
    <cellStyle name="Normal 4 2 4 4 4 2 3" xfId="54195" xr:uid="{00000000-0005-0000-0000-0000B56A0000}"/>
    <cellStyle name="Normal 4 2 4 4 4 3" xfId="19143" xr:uid="{00000000-0005-0000-0000-0000B66A0000}"/>
    <cellStyle name="Normal 4 2 4 4 4 3 2" xfId="54196" xr:uid="{00000000-0005-0000-0000-0000B76A0000}"/>
    <cellStyle name="Normal 4 2 4 4 4 4" xfId="19144" xr:uid="{00000000-0005-0000-0000-0000B86A0000}"/>
    <cellStyle name="Normal 4 2 4 4 4 5" xfId="19145" xr:uid="{00000000-0005-0000-0000-0000B96A0000}"/>
    <cellStyle name="Normal 4 2 4 4 4 6" xfId="19146" xr:uid="{00000000-0005-0000-0000-0000BA6A0000}"/>
    <cellStyle name="Normal 4 2 4 4 5" xfId="19147" xr:uid="{00000000-0005-0000-0000-0000BB6A0000}"/>
    <cellStyle name="Normal 4 2 4 4 5 2" xfId="54197" xr:uid="{00000000-0005-0000-0000-0000BC6A0000}"/>
    <cellStyle name="Normal 4 2 4 4 5 3" xfId="54198" xr:uid="{00000000-0005-0000-0000-0000BD6A0000}"/>
    <cellStyle name="Normal 4 2 4 4 6" xfId="19148" xr:uid="{00000000-0005-0000-0000-0000BE6A0000}"/>
    <cellStyle name="Normal 4 2 4 4 6 2" xfId="54199" xr:uid="{00000000-0005-0000-0000-0000BF6A0000}"/>
    <cellStyle name="Normal 4 2 4 4 7" xfId="19149" xr:uid="{00000000-0005-0000-0000-0000C06A0000}"/>
    <cellStyle name="Normal 4 2 4 4 8" xfId="19150" xr:uid="{00000000-0005-0000-0000-0000C16A0000}"/>
    <cellStyle name="Normal 4 2 4 4 9" xfId="19151" xr:uid="{00000000-0005-0000-0000-0000C26A0000}"/>
    <cellStyle name="Normal 4 2 4 5" xfId="19152" xr:uid="{00000000-0005-0000-0000-0000C36A0000}"/>
    <cellStyle name="Normal 4 2 4 5 2" xfId="19153" xr:uid="{00000000-0005-0000-0000-0000C46A0000}"/>
    <cellStyle name="Normal 4 2 4 5 2 2" xfId="19154" xr:uid="{00000000-0005-0000-0000-0000C56A0000}"/>
    <cellStyle name="Normal 4 2 4 5 2 2 2" xfId="19155" xr:uid="{00000000-0005-0000-0000-0000C66A0000}"/>
    <cellStyle name="Normal 4 2 4 5 2 2 2 2" xfId="54200" xr:uid="{00000000-0005-0000-0000-0000C76A0000}"/>
    <cellStyle name="Normal 4 2 4 5 2 2 2 3" xfId="54201" xr:uid="{00000000-0005-0000-0000-0000C86A0000}"/>
    <cellStyle name="Normal 4 2 4 5 2 2 3" xfId="19156" xr:uid="{00000000-0005-0000-0000-0000C96A0000}"/>
    <cellStyle name="Normal 4 2 4 5 2 2 3 2" xfId="54202" xr:uid="{00000000-0005-0000-0000-0000CA6A0000}"/>
    <cellStyle name="Normal 4 2 4 5 2 2 4" xfId="19157" xr:uid="{00000000-0005-0000-0000-0000CB6A0000}"/>
    <cellStyle name="Normal 4 2 4 5 2 2 5" xfId="19158" xr:uid="{00000000-0005-0000-0000-0000CC6A0000}"/>
    <cellStyle name="Normal 4 2 4 5 2 2 6" xfId="19159" xr:uid="{00000000-0005-0000-0000-0000CD6A0000}"/>
    <cellStyle name="Normal 4 2 4 5 2 3" xfId="19160" xr:uid="{00000000-0005-0000-0000-0000CE6A0000}"/>
    <cellStyle name="Normal 4 2 4 5 2 3 2" xfId="54203" xr:uid="{00000000-0005-0000-0000-0000CF6A0000}"/>
    <cellStyle name="Normal 4 2 4 5 2 3 3" xfId="54204" xr:uid="{00000000-0005-0000-0000-0000D06A0000}"/>
    <cellStyle name="Normal 4 2 4 5 2 4" xfId="19161" xr:uid="{00000000-0005-0000-0000-0000D16A0000}"/>
    <cellStyle name="Normal 4 2 4 5 2 4 2" xfId="54205" xr:uid="{00000000-0005-0000-0000-0000D26A0000}"/>
    <cellStyle name="Normal 4 2 4 5 2 5" xfId="19162" xr:uid="{00000000-0005-0000-0000-0000D36A0000}"/>
    <cellStyle name="Normal 4 2 4 5 2 6" xfId="19163" xr:uid="{00000000-0005-0000-0000-0000D46A0000}"/>
    <cellStyle name="Normal 4 2 4 5 2 7" xfId="19164" xr:uid="{00000000-0005-0000-0000-0000D56A0000}"/>
    <cellStyle name="Normal 4 2 4 5 3" xfId="19165" xr:uid="{00000000-0005-0000-0000-0000D66A0000}"/>
    <cellStyle name="Normal 4 2 4 5 3 2" xfId="19166" xr:uid="{00000000-0005-0000-0000-0000D76A0000}"/>
    <cellStyle name="Normal 4 2 4 5 3 2 2" xfId="54206" xr:uid="{00000000-0005-0000-0000-0000D86A0000}"/>
    <cellStyle name="Normal 4 2 4 5 3 2 3" xfId="54207" xr:uid="{00000000-0005-0000-0000-0000D96A0000}"/>
    <cellStyle name="Normal 4 2 4 5 3 3" xfId="19167" xr:uid="{00000000-0005-0000-0000-0000DA6A0000}"/>
    <cellStyle name="Normal 4 2 4 5 3 3 2" xfId="54208" xr:uid="{00000000-0005-0000-0000-0000DB6A0000}"/>
    <cellStyle name="Normal 4 2 4 5 3 4" xfId="19168" xr:uid="{00000000-0005-0000-0000-0000DC6A0000}"/>
    <cellStyle name="Normal 4 2 4 5 3 5" xfId="19169" xr:uid="{00000000-0005-0000-0000-0000DD6A0000}"/>
    <cellStyle name="Normal 4 2 4 5 3 6" xfId="19170" xr:uid="{00000000-0005-0000-0000-0000DE6A0000}"/>
    <cellStyle name="Normal 4 2 4 5 4" xfId="19171" xr:uid="{00000000-0005-0000-0000-0000DF6A0000}"/>
    <cellStyle name="Normal 4 2 4 5 4 2" xfId="54209" xr:uid="{00000000-0005-0000-0000-0000E06A0000}"/>
    <cellStyle name="Normal 4 2 4 5 4 3" xfId="54210" xr:uid="{00000000-0005-0000-0000-0000E16A0000}"/>
    <cellStyle name="Normal 4 2 4 5 5" xfId="19172" xr:uid="{00000000-0005-0000-0000-0000E26A0000}"/>
    <cellStyle name="Normal 4 2 4 5 5 2" xfId="54211" xr:uid="{00000000-0005-0000-0000-0000E36A0000}"/>
    <cellStyle name="Normal 4 2 4 5 6" xfId="19173" xr:uid="{00000000-0005-0000-0000-0000E46A0000}"/>
    <cellStyle name="Normal 4 2 4 5 7" xfId="19174" xr:uid="{00000000-0005-0000-0000-0000E56A0000}"/>
    <cellStyle name="Normal 4 2 4 5 8" xfId="19175" xr:uid="{00000000-0005-0000-0000-0000E66A0000}"/>
    <cellStyle name="Normal 4 2 4 5 9" xfId="19176" xr:uid="{00000000-0005-0000-0000-0000E76A0000}"/>
    <cellStyle name="Normal 4 2 4 6" xfId="19177" xr:uid="{00000000-0005-0000-0000-0000E86A0000}"/>
    <cellStyle name="Normal 4 2 4 6 2" xfId="19178" xr:uid="{00000000-0005-0000-0000-0000E96A0000}"/>
    <cellStyle name="Normal 4 2 4 6 2 2" xfId="19179" xr:uid="{00000000-0005-0000-0000-0000EA6A0000}"/>
    <cellStyle name="Normal 4 2 4 6 2 2 2" xfId="19180" xr:uid="{00000000-0005-0000-0000-0000EB6A0000}"/>
    <cellStyle name="Normal 4 2 4 6 2 2 2 2" xfId="54212" xr:uid="{00000000-0005-0000-0000-0000EC6A0000}"/>
    <cellStyle name="Normal 4 2 4 6 2 2 2 3" xfId="54213" xr:uid="{00000000-0005-0000-0000-0000ED6A0000}"/>
    <cellStyle name="Normal 4 2 4 6 2 2 3" xfId="19181" xr:uid="{00000000-0005-0000-0000-0000EE6A0000}"/>
    <cellStyle name="Normal 4 2 4 6 2 2 3 2" xfId="54214" xr:uid="{00000000-0005-0000-0000-0000EF6A0000}"/>
    <cellStyle name="Normal 4 2 4 6 2 2 4" xfId="19182" xr:uid="{00000000-0005-0000-0000-0000F06A0000}"/>
    <cellStyle name="Normal 4 2 4 6 2 2 5" xfId="19183" xr:uid="{00000000-0005-0000-0000-0000F16A0000}"/>
    <cellStyle name="Normal 4 2 4 6 2 2 6" xfId="19184" xr:uid="{00000000-0005-0000-0000-0000F26A0000}"/>
    <cellStyle name="Normal 4 2 4 6 2 3" xfId="19185" xr:uid="{00000000-0005-0000-0000-0000F36A0000}"/>
    <cellStyle name="Normal 4 2 4 6 2 3 2" xfId="54215" xr:uid="{00000000-0005-0000-0000-0000F46A0000}"/>
    <cellStyle name="Normal 4 2 4 6 2 3 3" xfId="54216" xr:uid="{00000000-0005-0000-0000-0000F56A0000}"/>
    <cellStyle name="Normal 4 2 4 6 2 4" xfId="19186" xr:uid="{00000000-0005-0000-0000-0000F66A0000}"/>
    <cellStyle name="Normal 4 2 4 6 2 4 2" xfId="54217" xr:uid="{00000000-0005-0000-0000-0000F76A0000}"/>
    <cellStyle name="Normal 4 2 4 6 2 5" xfId="19187" xr:uid="{00000000-0005-0000-0000-0000F86A0000}"/>
    <cellStyle name="Normal 4 2 4 6 2 6" xfId="19188" xr:uid="{00000000-0005-0000-0000-0000F96A0000}"/>
    <cellStyle name="Normal 4 2 4 6 2 7" xfId="19189" xr:uid="{00000000-0005-0000-0000-0000FA6A0000}"/>
    <cellStyle name="Normal 4 2 4 6 3" xfId="19190" xr:uid="{00000000-0005-0000-0000-0000FB6A0000}"/>
    <cellStyle name="Normal 4 2 4 6 3 2" xfId="19191" xr:uid="{00000000-0005-0000-0000-0000FC6A0000}"/>
    <cellStyle name="Normal 4 2 4 6 3 2 2" xfId="54218" xr:uid="{00000000-0005-0000-0000-0000FD6A0000}"/>
    <cellStyle name="Normal 4 2 4 6 3 2 3" xfId="54219" xr:uid="{00000000-0005-0000-0000-0000FE6A0000}"/>
    <cellStyle name="Normal 4 2 4 6 3 3" xfId="19192" xr:uid="{00000000-0005-0000-0000-0000FF6A0000}"/>
    <cellStyle name="Normal 4 2 4 6 3 3 2" xfId="54220" xr:uid="{00000000-0005-0000-0000-0000006B0000}"/>
    <cellStyle name="Normal 4 2 4 6 3 4" xfId="19193" xr:uid="{00000000-0005-0000-0000-0000016B0000}"/>
    <cellStyle name="Normal 4 2 4 6 3 5" xfId="19194" xr:uid="{00000000-0005-0000-0000-0000026B0000}"/>
    <cellStyle name="Normal 4 2 4 6 3 6" xfId="19195" xr:uid="{00000000-0005-0000-0000-0000036B0000}"/>
    <cellStyle name="Normal 4 2 4 6 4" xfId="19196" xr:uid="{00000000-0005-0000-0000-0000046B0000}"/>
    <cellStyle name="Normal 4 2 4 6 4 2" xfId="54221" xr:uid="{00000000-0005-0000-0000-0000056B0000}"/>
    <cellStyle name="Normal 4 2 4 6 4 3" xfId="54222" xr:uid="{00000000-0005-0000-0000-0000066B0000}"/>
    <cellStyle name="Normal 4 2 4 6 5" xfId="19197" xr:uid="{00000000-0005-0000-0000-0000076B0000}"/>
    <cellStyle name="Normal 4 2 4 6 5 2" xfId="54223" xr:uid="{00000000-0005-0000-0000-0000086B0000}"/>
    <cellStyle name="Normal 4 2 4 6 6" xfId="19198" xr:uid="{00000000-0005-0000-0000-0000096B0000}"/>
    <cellStyle name="Normal 4 2 4 6 7" xfId="19199" xr:uid="{00000000-0005-0000-0000-00000A6B0000}"/>
    <cellStyle name="Normal 4 2 4 6 8" xfId="19200" xr:uid="{00000000-0005-0000-0000-00000B6B0000}"/>
    <cellStyle name="Normal 4 2 4 7" xfId="19201" xr:uid="{00000000-0005-0000-0000-00000C6B0000}"/>
    <cellStyle name="Normal 4 2 4 7 2" xfId="19202" xr:uid="{00000000-0005-0000-0000-00000D6B0000}"/>
    <cellStyle name="Normal 4 2 4 7 2 2" xfId="19203" xr:uid="{00000000-0005-0000-0000-00000E6B0000}"/>
    <cellStyle name="Normal 4 2 4 7 2 2 2" xfId="19204" xr:uid="{00000000-0005-0000-0000-00000F6B0000}"/>
    <cellStyle name="Normal 4 2 4 7 2 2 2 2" xfId="54224" xr:uid="{00000000-0005-0000-0000-0000106B0000}"/>
    <cellStyle name="Normal 4 2 4 7 2 2 2 3" xfId="54225" xr:uid="{00000000-0005-0000-0000-0000116B0000}"/>
    <cellStyle name="Normal 4 2 4 7 2 2 3" xfId="19205" xr:uid="{00000000-0005-0000-0000-0000126B0000}"/>
    <cellStyle name="Normal 4 2 4 7 2 2 3 2" xfId="54226" xr:uid="{00000000-0005-0000-0000-0000136B0000}"/>
    <cellStyle name="Normal 4 2 4 7 2 2 4" xfId="19206" xr:uid="{00000000-0005-0000-0000-0000146B0000}"/>
    <cellStyle name="Normal 4 2 4 7 2 2 5" xfId="19207" xr:uid="{00000000-0005-0000-0000-0000156B0000}"/>
    <cellStyle name="Normal 4 2 4 7 2 2 6" xfId="19208" xr:uid="{00000000-0005-0000-0000-0000166B0000}"/>
    <cellStyle name="Normal 4 2 4 7 2 3" xfId="19209" xr:uid="{00000000-0005-0000-0000-0000176B0000}"/>
    <cellStyle name="Normal 4 2 4 7 2 3 2" xfId="54227" xr:uid="{00000000-0005-0000-0000-0000186B0000}"/>
    <cellStyle name="Normal 4 2 4 7 2 3 3" xfId="54228" xr:uid="{00000000-0005-0000-0000-0000196B0000}"/>
    <cellStyle name="Normal 4 2 4 7 2 4" xfId="19210" xr:uid="{00000000-0005-0000-0000-00001A6B0000}"/>
    <cellStyle name="Normal 4 2 4 7 2 4 2" xfId="54229" xr:uid="{00000000-0005-0000-0000-00001B6B0000}"/>
    <cellStyle name="Normal 4 2 4 7 2 5" xfId="19211" xr:uid="{00000000-0005-0000-0000-00001C6B0000}"/>
    <cellStyle name="Normal 4 2 4 7 2 6" xfId="19212" xr:uid="{00000000-0005-0000-0000-00001D6B0000}"/>
    <cellStyle name="Normal 4 2 4 7 2 7" xfId="19213" xr:uid="{00000000-0005-0000-0000-00001E6B0000}"/>
    <cellStyle name="Normal 4 2 4 7 3" xfId="19214" xr:uid="{00000000-0005-0000-0000-00001F6B0000}"/>
    <cellStyle name="Normal 4 2 4 7 3 2" xfId="19215" xr:uid="{00000000-0005-0000-0000-0000206B0000}"/>
    <cellStyle name="Normal 4 2 4 7 3 2 2" xfId="54230" xr:uid="{00000000-0005-0000-0000-0000216B0000}"/>
    <cellStyle name="Normal 4 2 4 7 3 2 3" xfId="54231" xr:uid="{00000000-0005-0000-0000-0000226B0000}"/>
    <cellStyle name="Normal 4 2 4 7 3 3" xfId="19216" xr:uid="{00000000-0005-0000-0000-0000236B0000}"/>
    <cellStyle name="Normal 4 2 4 7 3 3 2" xfId="54232" xr:uid="{00000000-0005-0000-0000-0000246B0000}"/>
    <cellStyle name="Normal 4 2 4 7 3 4" xfId="19217" xr:uid="{00000000-0005-0000-0000-0000256B0000}"/>
    <cellStyle name="Normal 4 2 4 7 3 5" xfId="19218" xr:uid="{00000000-0005-0000-0000-0000266B0000}"/>
    <cellStyle name="Normal 4 2 4 7 3 6" xfId="19219" xr:uid="{00000000-0005-0000-0000-0000276B0000}"/>
    <cellStyle name="Normal 4 2 4 7 4" xfId="19220" xr:uid="{00000000-0005-0000-0000-0000286B0000}"/>
    <cellStyle name="Normal 4 2 4 7 4 2" xfId="54233" xr:uid="{00000000-0005-0000-0000-0000296B0000}"/>
    <cellStyle name="Normal 4 2 4 7 4 3" xfId="54234" xr:uid="{00000000-0005-0000-0000-00002A6B0000}"/>
    <cellStyle name="Normal 4 2 4 7 5" xfId="19221" xr:uid="{00000000-0005-0000-0000-00002B6B0000}"/>
    <cellStyle name="Normal 4 2 4 7 5 2" xfId="54235" xr:uid="{00000000-0005-0000-0000-00002C6B0000}"/>
    <cellStyle name="Normal 4 2 4 7 6" xfId="19222" xr:uid="{00000000-0005-0000-0000-00002D6B0000}"/>
    <cellStyle name="Normal 4 2 4 7 7" xfId="19223" xr:uid="{00000000-0005-0000-0000-00002E6B0000}"/>
    <cellStyle name="Normal 4 2 4 7 8" xfId="19224" xr:uid="{00000000-0005-0000-0000-00002F6B0000}"/>
    <cellStyle name="Normal 4 2 4 8" xfId="19225" xr:uid="{00000000-0005-0000-0000-0000306B0000}"/>
    <cellStyle name="Normal 4 2 4 8 2" xfId="19226" xr:uid="{00000000-0005-0000-0000-0000316B0000}"/>
    <cellStyle name="Normal 4 2 4 8 2 2" xfId="19227" xr:uid="{00000000-0005-0000-0000-0000326B0000}"/>
    <cellStyle name="Normal 4 2 4 8 2 2 2" xfId="54236" xr:uid="{00000000-0005-0000-0000-0000336B0000}"/>
    <cellStyle name="Normal 4 2 4 8 2 2 3" xfId="54237" xr:uid="{00000000-0005-0000-0000-0000346B0000}"/>
    <cellStyle name="Normal 4 2 4 8 2 3" xfId="19228" xr:uid="{00000000-0005-0000-0000-0000356B0000}"/>
    <cellStyle name="Normal 4 2 4 8 2 3 2" xfId="54238" xr:uid="{00000000-0005-0000-0000-0000366B0000}"/>
    <cellStyle name="Normal 4 2 4 8 2 4" xfId="19229" xr:uid="{00000000-0005-0000-0000-0000376B0000}"/>
    <cellStyle name="Normal 4 2 4 8 2 5" xfId="19230" xr:uid="{00000000-0005-0000-0000-0000386B0000}"/>
    <cellStyle name="Normal 4 2 4 8 2 6" xfId="19231" xr:uid="{00000000-0005-0000-0000-0000396B0000}"/>
    <cellStyle name="Normal 4 2 4 8 3" xfId="19232" xr:uid="{00000000-0005-0000-0000-00003A6B0000}"/>
    <cellStyle name="Normal 4 2 4 8 3 2" xfId="54239" xr:uid="{00000000-0005-0000-0000-00003B6B0000}"/>
    <cellStyle name="Normal 4 2 4 8 3 3" xfId="54240" xr:uid="{00000000-0005-0000-0000-00003C6B0000}"/>
    <cellStyle name="Normal 4 2 4 8 4" xfId="19233" xr:uid="{00000000-0005-0000-0000-00003D6B0000}"/>
    <cellStyle name="Normal 4 2 4 8 4 2" xfId="54241" xr:uid="{00000000-0005-0000-0000-00003E6B0000}"/>
    <cellStyle name="Normal 4 2 4 8 5" xfId="19234" xr:uid="{00000000-0005-0000-0000-00003F6B0000}"/>
    <cellStyle name="Normal 4 2 4 8 6" xfId="19235" xr:uid="{00000000-0005-0000-0000-0000406B0000}"/>
    <cellStyle name="Normal 4 2 4 8 7" xfId="19236" xr:uid="{00000000-0005-0000-0000-0000416B0000}"/>
    <cellStyle name="Normal 4 2 4 9" xfId="19237" xr:uid="{00000000-0005-0000-0000-0000426B0000}"/>
    <cellStyle name="Normal 4 2 4 9 2" xfId="19238" xr:uid="{00000000-0005-0000-0000-0000436B0000}"/>
    <cellStyle name="Normal 4 2 4 9 2 2" xfId="54242" xr:uid="{00000000-0005-0000-0000-0000446B0000}"/>
    <cellStyle name="Normal 4 2 4 9 2 3" xfId="54243" xr:uid="{00000000-0005-0000-0000-0000456B0000}"/>
    <cellStyle name="Normal 4 2 4 9 3" xfId="19239" xr:uid="{00000000-0005-0000-0000-0000466B0000}"/>
    <cellStyle name="Normal 4 2 4 9 3 2" xfId="54244" xr:uid="{00000000-0005-0000-0000-0000476B0000}"/>
    <cellStyle name="Normal 4 2 4 9 4" xfId="19240" xr:uid="{00000000-0005-0000-0000-0000486B0000}"/>
    <cellStyle name="Normal 4 2 4 9 5" xfId="19241" xr:uid="{00000000-0005-0000-0000-0000496B0000}"/>
    <cellStyle name="Normal 4 2 4 9 6" xfId="19242" xr:uid="{00000000-0005-0000-0000-00004A6B0000}"/>
    <cellStyle name="Normal 4 2 5" xfId="19243" xr:uid="{00000000-0005-0000-0000-00004B6B0000}"/>
    <cellStyle name="Normal 4 2 5 10" xfId="19244" xr:uid="{00000000-0005-0000-0000-00004C6B0000}"/>
    <cellStyle name="Normal 4 2 5 10 2" xfId="54245" xr:uid="{00000000-0005-0000-0000-00004D6B0000}"/>
    <cellStyle name="Normal 4 2 5 10 3" xfId="54246" xr:uid="{00000000-0005-0000-0000-00004E6B0000}"/>
    <cellStyle name="Normal 4 2 5 11" xfId="19245" xr:uid="{00000000-0005-0000-0000-00004F6B0000}"/>
    <cellStyle name="Normal 4 2 5 11 2" xfId="54247" xr:uid="{00000000-0005-0000-0000-0000506B0000}"/>
    <cellStyle name="Normal 4 2 5 12" xfId="19246" xr:uid="{00000000-0005-0000-0000-0000516B0000}"/>
    <cellStyle name="Normal 4 2 5 12 2" xfId="54248" xr:uid="{00000000-0005-0000-0000-0000526B0000}"/>
    <cellStyle name="Normal 4 2 5 13" xfId="19247" xr:uid="{00000000-0005-0000-0000-0000536B0000}"/>
    <cellStyle name="Normal 4 2 5 14" xfId="19248" xr:uid="{00000000-0005-0000-0000-0000546B0000}"/>
    <cellStyle name="Normal 4 2 5 15" xfId="19249" xr:uid="{00000000-0005-0000-0000-0000556B0000}"/>
    <cellStyle name="Normal 4 2 5 16" xfId="19250" xr:uid="{00000000-0005-0000-0000-0000566B0000}"/>
    <cellStyle name="Normal 4 2 5 17" xfId="19251" xr:uid="{00000000-0005-0000-0000-0000576B0000}"/>
    <cellStyle name="Normal 4 2 5 18" xfId="19252" xr:uid="{00000000-0005-0000-0000-0000586B0000}"/>
    <cellStyle name="Normal 4 2 5 19" xfId="19253" xr:uid="{00000000-0005-0000-0000-0000596B0000}"/>
    <cellStyle name="Normal 4 2 5 2" xfId="19254" xr:uid="{00000000-0005-0000-0000-00005A6B0000}"/>
    <cellStyle name="Normal 4 2 5 2 10" xfId="19255" xr:uid="{00000000-0005-0000-0000-00005B6B0000}"/>
    <cellStyle name="Normal 4 2 5 2 11" xfId="19256" xr:uid="{00000000-0005-0000-0000-00005C6B0000}"/>
    <cellStyle name="Normal 4 2 5 2 12" xfId="19257" xr:uid="{00000000-0005-0000-0000-00005D6B0000}"/>
    <cellStyle name="Normal 4 2 5 2 13" xfId="19258" xr:uid="{00000000-0005-0000-0000-00005E6B0000}"/>
    <cellStyle name="Normal 4 2 5 2 14" xfId="19259" xr:uid="{00000000-0005-0000-0000-00005F6B0000}"/>
    <cellStyle name="Normal 4 2 5 2 2" xfId="19260" xr:uid="{00000000-0005-0000-0000-0000606B0000}"/>
    <cellStyle name="Normal 4 2 5 2 2 10" xfId="19261" xr:uid="{00000000-0005-0000-0000-0000616B0000}"/>
    <cellStyle name="Normal 4 2 5 2 2 2" xfId="19262" xr:uid="{00000000-0005-0000-0000-0000626B0000}"/>
    <cellStyle name="Normal 4 2 5 2 2 2 2" xfId="19263" xr:uid="{00000000-0005-0000-0000-0000636B0000}"/>
    <cellStyle name="Normal 4 2 5 2 2 2 2 2" xfId="19264" xr:uid="{00000000-0005-0000-0000-0000646B0000}"/>
    <cellStyle name="Normal 4 2 5 2 2 2 2 2 2" xfId="54249" xr:uid="{00000000-0005-0000-0000-0000656B0000}"/>
    <cellStyle name="Normal 4 2 5 2 2 2 2 2 3" xfId="54250" xr:uid="{00000000-0005-0000-0000-0000666B0000}"/>
    <cellStyle name="Normal 4 2 5 2 2 2 2 3" xfId="19265" xr:uid="{00000000-0005-0000-0000-0000676B0000}"/>
    <cellStyle name="Normal 4 2 5 2 2 2 2 3 2" xfId="54251" xr:uid="{00000000-0005-0000-0000-0000686B0000}"/>
    <cellStyle name="Normal 4 2 5 2 2 2 2 4" xfId="19266" xr:uid="{00000000-0005-0000-0000-0000696B0000}"/>
    <cellStyle name="Normal 4 2 5 2 2 2 2 5" xfId="19267" xr:uid="{00000000-0005-0000-0000-00006A6B0000}"/>
    <cellStyle name="Normal 4 2 5 2 2 2 2 6" xfId="19268" xr:uid="{00000000-0005-0000-0000-00006B6B0000}"/>
    <cellStyle name="Normal 4 2 5 2 2 2 3" xfId="19269" xr:uid="{00000000-0005-0000-0000-00006C6B0000}"/>
    <cellStyle name="Normal 4 2 5 2 2 2 3 2" xfId="54252" xr:uid="{00000000-0005-0000-0000-00006D6B0000}"/>
    <cellStyle name="Normal 4 2 5 2 2 2 3 3" xfId="54253" xr:uid="{00000000-0005-0000-0000-00006E6B0000}"/>
    <cellStyle name="Normal 4 2 5 2 2 2 4" xfId="19270" xr:uid="{00000000-0005-0000-0000-00006F6B0000}"/>
    <cellStyle name="Normal 4 2 5 2 2 2 4 2" xfId="54254" xr:uid="{00000000-0005-0000-0000-0000706B0000}"/>
    <cellStyle name="Normal 4 2 5 2 2 2 5" xfId="19271" xr:uid="{00000000-0005-0000-0000-0000716B0000}"/>
    <cellStyle name="Normal 4 2 5 2 2 2 6" xfId="19272" xr:uid="{00000000-0005-0000-0000-0000726B0000}"/>
    <cellStyle name="Normal 4 2 5 2 2 2 7" xfId="19273" xr:uid="{00000000-0005-0000-0000-0000736B0000}"/>
    <cellStyle name="Normal 4 2 5 2 2 3" xfId="19274" xr:uid="{00000000-0005-0000-0000-0000746B0000}"/>
    <cellStyle name="Normal 4 2 5 2 2 3 2" xfId="19275" xr:uid="{00000000-0005-0000-0000-0000756B0000}"/>
    <cellStyle name="Normal 4 2 5 2 2 3 2 2" xfId="54255" xr:uid="{00000000-0005-0000-0000-0000766B0000}"/>
    <cellStyle name="Normal 4 2 5 2 2 3 2 3" xfId="54256" xr:uid="{00000000-0005-0000-0000-0000776B0000}"/>
    <cellStyle name="Normal 4 2 5 2 2 3 3" xfId="19276" xr:uid="{00000000-0005-0000-0000-0000786B0000}"/>
    <cellStyle name="Normal 4 2 5 2 2 3 3 2" xfId="54257" xr:uid="{00000000-0005-0000-0000-0000796B0000}"/>
    <cellStyle name="Normal 4 2 5 2 2 3 4" xfId="19277" xr:uid="{00000000-0005-0000-0000-00007A6B0000}"/>
    <cellStyle name="Normal 4 2 5 2 2 3 5" xfId="19278" xr:uid="{00000000-0005-0000-0000-00007B6B0000}"/>
    <cellStyle name="Normal 4 2 5 2 2 3 6" xfId="19279" xr:uid="{00000000-0005-0000-0000-00007C6B0000}"/>
    <cellStyle name="Normal 4 2 5 2 2 4" xfId="19280" xr:uid="{00000000-0005-0000-0000-00007D6B0000}"/>
    <cellStyle name="Normal 4 2 5 2 2 4 2" xfId="54258" xr:uid="{00000000-0005-0000-0000-00007E6B0000}"/>
    <cellStyle name="Normal 4 2 5 2 2 5" xfId="19281" xr:uid="{00000000-0005-0000-0000-00007F6B0000}"/>
    <cellStyle name="Normal 4 2 5 2 2 6" xfId="19282" xr:uid="{00000000-0005-0000-0000-0000806B0000}"/>
    <cellStyle name="Normal 4 2 5 2 2 7" xfId="19283" xr:uid="{00000000-0005-0000-0000-0000816B0000}"/>
    <cellStyle name="Normal 4 2 5 2 2 8" xfId="19284" xr:uid="{00000000-0005-0000-0000-0000826B0000}"/>
    <cellStyle name="Normal 4 2 5 2 2 9" xfId="19285" xr:uid="{00000000-0005-0000-0000-0000836B0000}"/>
    <cellStyle name="Normal 4 2 5 2 3" xfId="19286" xr:uid="{00000000-0005-0000-0000-0000846B0000}"/>
    <cellStyle name="Normal 4 2 5 2 3 2" xfId="19287" xr:uid="{00000000-0005-0000-0000-0000856B0000}"/>
    <cellStyle name="Normal 4 2 5 2 3 2 2" xfId="19288" xr:uid="{00000000-0005-0000-0000-0000866B0000}"/>
    <cellStyle name="Normal 4 2 5 2 3 2 2 2" xfId="19289" xr:uid="{00000000-0005-0000-0000-0000876B0000}"/>
    <cellStyle name="Normal 4 2 5 2 3 2 2 2 2" xfId="54259" xr:uid="{00000000-0005-0000-0000-0000886B0000}"/>
    <cellStyle name="Normal 4 2 5 2 3 2 2 2 3" xfId="54260" xr:uid="{00000000-0005-0000-0000-0000896B0000}"/>
    <cellStyle name="Normal 4 2 5 2 3 2 2 3" xfId="19290" xr:uid="{00000000-0005-0000-0000-00008A6B0000}"/>
    <cellStyle name="Normal 4 2 5 2 3 2 2 3 2" xfId="54261" xr:uid="{00000000-0005-0000-0000-00008B6B0000}"/>
    <cellStyle name="Normal 4 2 5 2 3 2 2 4" xfId="19291" xr:uid="{00000000-0005-0000-0000-00008C6B0000}"/>
    <cellStyle name="Normal 4 2 5 2 3 2 2 5" xfId="19292" xr:uid="{00000000-0005-0000-0000-00008D6B0000}"/>
    <cellStyle name="Normal 4 2 5 2 3 2 2 6" xfId="19293" xr:uid="{00000000-0005-0000-0000-00008E6B0000}"/>
    <cellStyle name="Normal 4 2 5 2 3 2 3" xfId="19294" xr:uid="{00000000-0005-0000-0000-00008F6B0000}"/>
    <cellStyle name="Normal 4 2 5 2 3 2 3 2" xfId="54262" xr:uid="{00000000-0005-0000-0000-0000906B0000}"/>
    <cellStyle name="Normal 4 2 5 2 3 2 3 3" xfId="54263" xr:uid="{00000000-0005-0000-0000-0000916B0000}"/>
    <cellStyle name="Normal 4 2 5 2 3 2 4" xfId="19295" xr:uid="{00000000-0005-0000-0000-0000926B0000}"/>
    <cellStyle name="Normal 4 2 5 2 3 2 4 2" xfId="54264" xr:uid="{00000000-0005-0000-0000-0000936B0000}"/>
    <cellStyle name="Normal 4 2 5 2 3 2 5" xfId="19296" xr:uid="{00000000-0005-0000-0000-0000946B0000}"/>
    <cellStyle name="Normal 4 2 5 2 3 2 6" xfId="19297" xr:uid="{00000000-0005-0000-0000-0000956B0000}"/>
    <cellStyle name="Normal 4 2 5 2 3 2 7" xfId="19298" xr:uid="{00000000-0005-0000-0000-0000966B0000}"/>
    <cellStyle name="Normal 4 2 5 2 3 3" xfId="19299" xr:uid="{00000000-0005-0000-0000-0000976B0000}"/>
    <cellStyle name="Normal 4 2 5 2 3 3 2" xfId="19300" xr:uid="{00000000-0005-0000-0000-0000986B0000}"/>
    <cellStyle name="Normal 4 2 5 2 3 3 2 2" xfId="54265" xr:uid="{00000000-0005-0000-0000-0000996B0000}"/>
    <cellStyle name="Normal 4 2 5 2 3 3 2 3" xfId="54266" xr:uid="{00000000-0005-0000-0000-00009A6B0000}"/>
    <cellStyle name="Normal 4 2 5 2 3 3 3" xfId="19301" xr:uid="{00000000-0005-0000-0000-00009B6B0000}"/>
    <cellStyle name="Normal 4 2 5 2 3 3 3 2" xfId="54267" xr:uid="{00000000-0005-0000-0000-00009C6B0000}"/>
    <cellStyle name="Normal 4 2 5 2 3 3 4" xfId="19302" xr:uid="{00000000-0005-0000-0000-00009D6B0000}"/>
    <cellStyle name="Normal 4 2 5 2 3 3 5" xfId="19303" xr:uid="{00000000-0005-0000-0000-00009E6B0000}"/>
    <cellStyle name="Normal 4 2 5 2 3 3 6" xfId="19304" xr:uid="{00000000-0005-0000-0000-00009F6B0000}"/>
    <cellStyle name="Normal 4 2 5 2 3 4" xfId="19305" xr:uid="{00000000-0005-0000-0000-0000A06B0000}"/>
    <cellStyle name="Normal 4 2 5 2 3 4 2" xfId="54268" xr:uid="{00000000-0005-0000-0000-0000A16B0000}"/>
    <cellStyle name="Normal 4 2 5 2 3 4 3" xfId="54269" xr:uid="{00000000-0005-0000-0000-0000A26B0000}"/>
    <cellStyle name="Normal 4 2 5 2 3 5" xfId="19306" xr:uid="{00000000-0005-0000-0000-0000A36B0000}"/>
    <cellStyle name="Normal 4 2 5 2 3 5 2" xfId="54270" xr:uid="{00000000-0005-0000-0000-0000A46B0000}"/>
    <cellStyle name="Normal 4 2 5 2 3 6" xfId="19307" xr:uid="{00000000-0005-0000-0000-0000A56B0000}"/>
    <cellStyle name="Normal 4 2 5 2 3 7" xfId="19308" xr:uid="{00000000-0005-0000-0000-0000A66B0000}"/>
    <cellStyle name="Normal 4 2 5 2 3 8" xfId="19309" xr:uid="{00000000-0005-0000-0000-0000A76B0000}"/>
    <cellStyle name="Normal 4 2 5 2 4" xfId="19310" xr:uid="{00000000-0005-0000-0000-0000A86B0000}"/>
    <cellStyle name="Normal 4 2 5 2 4 2" xfId="19311" xr:uid="{00000000-0005-0000-0000-0000A96B0000}"/>
    <cellStyle name="Normal 4 2 5 2 4 2 2" xfId="19312" xr:uid="{00000000-0005-0000-0000-0000AA6B0000}"/>
    <cellStyle name="Normal 4 2 5 2 4 2 2 2" xfId="54271" xr:uid="{00000000-0005-0000-0000-0000AB6B0000}"/>
    <cellStyle name="Normal 4 2 5 2 4 2 2 3" xfId="54272" xr:uid="{00000000-0005-0000-0000-0000AC6B0000}"/>
    <cellStyle name="Normal 4 2 5 2 4 2 3" xfId="19313" xr:uid="{00000000-0005-0000-0000-0000AD6B0000}"/>
    <cellStyle name="Normal 4 2 5 2 4 2 3 2" xfId="54273" xr:uid="{00000000-0005-0000-0000-0000AE6B0000}"/>
    <cellStyle name="Normal 4 2 5 2 4 2 4" xfId="19314" xr:uid="{00000000-0005-0000-0000-0000AF6B0000}"/>
    <cellStyle name="Normal 4 2 5 2 4 2 5" xfId="19315" xr:uid="{00000000-0005-0000-0000-0000B06B0000}"/>
    <cellStyle name="Normal 4 2 5 2 4 2 6" xfId="19316" xr:uid="{00000000-0005-0000-0000-0000B16B0000}"/>
    <cellStyle name="Normal 4 2 5 2 4 3" xfId="19317" xr:uid="{00000000-0005-0000-0000-0000B26B0000}"/>
    <cellStyle name="Normal 4 2 5 2 4 3 2" xfId="54274" xr:uid="{00000000-0005-0000-0000-0000B36B0000}"/>
    <cellStyle name="Normal 4 2 5 2 4 3 3" xfId="54275" xr:uid="{00000000-0005-0000-0000-0000B46B0000}"/>
    <cellStyle name="Normal 4 2 5 2 4 4" xfId="19318" xr:uid="{00000000-0005-0000-0000-0000B56B0000}"/>
    <cellStyle name="Normal 4 2 5 2 4 4 2" xfId="54276" xr:uid="{00000000-0005-0000-0000-0000B66B0000}"/>
    <cellStyle name="Normal 4 2 5 2 4 5" xfId="19319" xr:uid="{00000000-0005-0000-0000-0000B76B0000}"/>
    <cellStyle name="Normal 4 2 5 2 4 6" xfId="19320" xr:uid="{00000000-0005-0000-0000-0000B86B0000}"/>
    <cellStyle name="Normal 4 2 5 2 4 7" xfId="19321" xr:uid="{00000000-0005-0000-0000-0000B96B0000}"/>
    <cellStyle name="Normal 4 2 5 2 5" xfId="19322" xr:uid="{00000000-0005-0000-0000-0000BA6B0000}"/>
    <cellStyle name="Normal 4 2 5 2 5 2" xfId="19323" xr:uid="{00000000-0005-0000-0000-0000BB6B0000}"/>
    <cellStyle name="Normal 4 2 5 2 5 2 2" xfId="54277" xr:uid="{00000000-0005-0000-0000-0000BC6B0000}"/>
    <cellStyle name="Normal 4 2 5 2 5 2 3" xfId="54278" xr:uid="{00000000-0005-0000-0000-0000BD6B0000}"/>
    <cellStyle name="Normal 4 2 5 2 5 3" xfId="19324" xr:uid="{00000000-0005-0000-0000-0000BE6B0000}"/>
    <cellStyle name="Normal 4 2 5 2 5 3 2" xfId="54279" xr:uid="{00000000-0005-0000-0000-0000BF6B0000}"/>
    <cellStyle name="Normal 4 2 5 2 5 4" xfId="19325" xr:uid="{00000000-0005-0000-0000-0000C06B0000}"/>
    <cellStyle name="Normal 4 2 5 2 5 5" xfId="19326" xr:uid="{00000000-0005-0000-0000-0000C16B0000}"/>
    <cellStyle name="Normal 4 2 5 2 5 6" xfId="19327" xr:uid="{00000000-0005-0000-0000-0000C26B0000}"/>
    <cellStyle name="Normal 4 2 5 2 6" xfId="19328" xr:uid="{00000000-0005-0000-0000-0000C36B0000}"/>
    <cellStyle name="Normal 4 2 5 2 6 2" xfId="54280" xr:uid="{00000000-0005-0000-0000-0000C46B0000}"/>
    <cellStyle name="Normal 4 2 5 2 6 3" xfId="54281" xr:uid="{00000000-0005-0000-0000-0000C56B0000}"/>
    <cellStyle name="Normal 4 2 5 2 7" xfId="19329" xr:uid="{00000000-0005-0000-0000-0000C66B0000}"/>
    <cellStyle name="Normal 4 2 5 2 7 2" xfId="54282" xr:uid="{00000000-0005-0000-0000-0000C76B0000}"/>
    <cellStyle name="Normal 4 2 5 2 8" xfId="19330" xr:uid="{00000000-0005-0000-0000-0000C86B0000}"/>
    <cellStyle name="Normal 4 2 5 2 8 2" xfId="54283" xr:uid="{00000000-0005-0000-0000-0000C96B0000}"/>
    <cellStyle name="Normal 4 2 5 2 9" xfId="19331" xr:uid="{00000000-0005-0000-0000-0000CA6B0000}"/>
    <cellStyle name="Normal 4 2 5 3" xfId="19332" xr:uid="{00000000-0005-0000-0000-0000CB6B0000}"/>
    <cellStyle name="Normal 4 2 5 3 10" xfId="19333" xr:uid="{00000000-0005-0000-0000-0000CC6B0000}"/>
    <cellStyle name="Normal 4 2 5 3 11" xfId="19334" xr:uid="{00000000-0005-0000-0000-0000CD6B0000}"/>
    <cellStyle name="Normal 4 2 5 3 12" xfId="19335" xr:uid="{00000000-0005-0000-0000-0000CE6B0000}"/>
    <cellStyle name="Normal 4 2 5 3 13" xfId="19336" xr:uid="{00000000-0005-0000-0000-0000CF6B0000}"/>
    <cellStyle name="Normal 4 2 5 3 14" xfId="19337" xr:uid="{00000000-0005-0000-0000-0000D06B0000}"/>
    <cellStyle name="Normal 4 2 5 3 15" xfId="19338" xr:uid="{00000000-0005-0000-0000-0000D16B0000}"/>
    <cellStyle name="Normal 4 2 5 3 2" xfId="19339" xr:uid="{00000000-0005-0000-0000-0000D26B0000}"/>
    <cellStyle name="Normal 4 2 5 3 2 2" xfId="19340" xr:uid="{00000000-0005-0000-0000-0000D36B0000}"/>
    <cellStyle name="Normal 4 2 5 3 2 2 2" xfId="19341" xr:uid="{00000000-0005-0000-0000-0000D46B0000}"/>
    <cellStyle name="Normal 4 2 5 3 2 2 2 2" xfId="19342" xr:uid="{00000000-0005-0000-0000-0000D56B0000}"/>
    <cellStyle name="Normal 4 2 5 3 2 2 2 2 2" xfId="54284" xr:uid="{00000000-0005-0000-0000-0000D66B0000}"/>
    <cellStyle name="Normal 4 2 5 3 2 2 2 2 3" xfId="54285" xr:uid="{00000000-0005-0000-0000-0000D76B0000}"/>
    <cellStyle name="Normal 4 2 5 3 2 2 2 3" xfId="19343" xr:uid="{00000000-0005-0000-0000-0000D86B0000}"/>
    <cellStyle name="Normal 4 2 5 3 2 2 2 3 2" xfId="54286" xr:uid="{00000000-0005-0000-0000-0000D96B0000}"/>
    <cellStyle name="Normal 4 2 5 3 2 2 2 4" xfId="19344" xr:uid="{00000000-0005-0000-0000-0000DA6B0000}"/>
    <cellStyle name="Normal 4 2 5 3 2 2 2 5" xfId="19345" xr:uid="{00000000-0005-0000-0000-0000DB6B0000}"/>
    <cellStyle name="Normal 4 2 5 3 2 2 2 6" xfId="19346" xr:uid="{00000000-0005-0000-0000-0000DC6B0000}"/>
    <cellStyle name="Normal 4 2 5 3 2 2 3" xfId="19347" xr:uid="{00000000-0005-0000-0000-0000DD6B0000}"/>
    <cellStyle name="Normal 4 2 5 3 2 2 3 2" xfId="54287" xr:uid="{00000000-0005-0000-0000-0000DE6B0000}"/>
    <cellStyle name="Normal 4 2 5 3 2 2 3 3" xfId="54288" xr:uid="{00000000-0005-0000-0000-0000DF6B0000}"/>
    <cellStyle name="Normal 4 2 5 3 2 2 4" xfId="19348" xr:uid="{00000000-0005-0000-0000-0000E06B0000}"/>
    <cellStyle name="Normal 4 2 5 3 2 2 4 2" xfId="54289" xr:uid="{00000000-0005-0000-0000-0000E16B0000}"/>
    <cellStyle name="Normal 4 2 5 3 2 2 5" xfId="19349" xr:uid="{00000000-0005-0000-0000-0000E26B0000}"/>
    <cellStyle name="Normal 4 2 5 3 2 2 6" xfId="19350" xr:uid="{00000000-0005-0000-0000-0000E36B0000}"/>
    <cellStyle name="Normal 4 2 5 3 2 2 7" xfId="19351" xr:uid="{00000000-0005-0000-0000-0000E46B0000}"/>
    <cellStyle name="Normal 4 2 5 3 2 3" xfId="19352" xr:uid="{00000000-0005-0000-0000-0000E56B0000}"/>
    <cellStyle name="Normal 4 2 5 3 2 3 2" xfId="19353" xr:uid="{00000000-0005-0000-0000-0000E66B0000}"/>
    <cellStyle name="Normal 4 2 5 3 2 3 2 2" xfId="54290" xr:uid="{00000000-0005-0000-0000-0000E76B0000}"/>
    <cellStyle name="Normal 4 2 5 3 2 3 2 3" xfId="54291" xr:uid="{00000000-0005-0000-0000-0000E86B0000}"/>
    <cellStyle name="Normal 4 2 5 3 2 3 3" xfId="19354" xr:uid="{00000000-0005-0000-0000-0000E96B0000}"/>
    <cellStyle name="Normal 4 2 5 3 2 3 3 2" xfId="54292" xr:uid="{00000000-0005-0000-0000-0000EA6B0000}"/>
    <cellStyle name="Normal 4 2 5 3 2 3 4" xfId="19355" xr:uid="{00000000-0005-0000-0000-0000EB6B0000}"/>
    <cellStyle name="Normal 4 2 5 3 2 3 5" xfId="19356" xr:uid="{00000000-0005-0000-0000-0000EC6B0000}"/>
    <cellStyle name="Normal 4 2 5 3 2 3 6" xfId="19357" xr:uid="{00000000-0005-0000-0000-0000ED6B0000}"/>
    <cellStyle name="Normal 4 2 5 3 2 4" xfId="19358" xr:uid="{00000000-0005-0000-0000-0000EE6B0000}"/>
    <cellStyle name="Normal 4 2 5 3 2 4 2" xfId="54293" xr:uid="{00000000-0005-0000-0000-0000EF6B0000}"/>
    <cellStyle name="Normal 4 2 5 3 2 4 3" xfId="54294" xr:uid="{00000000-0005-0000-0000-0000F06B0000}"/>
    <cellStyle name="Normal 4 2 5 3 2 5" xfId="19359" xr:uid="{00000000-0005-0000-0000-0000F16B0000}"/>
    <cellStyle name="Normal 4 2 5 3 2 5 2" xfId="54295" xr:uid="{00000000-0005-0000-0000-0000F26B0000}"/>
    <cellStyle name="Normal 4 2 5 3 2 6" xfId="19360" xr:uid="{00000000-0005-0000-0000-0000F36B0000}"/>
    <cellStyle name="Normal 4 2 5 3 2 7" xfId="19361" xr:uid="{00000000-0005-0000-0000-0000F46B0000}"/>
    <cellStyle name="Normal 4 2 5 3 2 8" xfId="19362" xr:uid="{00000000-0005-0000-0000-0000F56B0000}"/>
    <cellStyle name="Normal 4 2 5 3 2 9" xfId="19363" xr:uid="{00000000-0005-0000-0000-0000F66B0000}"/>
    <cellStyle name="Normal 4 2 5 3 3" xfId="19364" xr:uid="{00000000-0005-0000-0000-0000F76B0000}"/>
    <cellStyle name="Normal 4 2 5 3 3 2" xfId="19365" xr:uid="{00000000-0005-0000-0000-0000F86B0000}"/>
    <cellStyle name="Normal 4 2 5 3 3 2 2" xfId="19366" xr:uid="{00000000-0005-0000-0000-0000F96B0000}"/>
    <cellStyle name="Normal 4 2 5 3 3 2 2 2" xfId="19367" xr:uid="{00000000-0005-0000-0000-0000FA6B0000}"/>
    <cellStyle name="Normal 4 2 5 3 3 2 2 2 2" xfId="54296" xr:uid="{00000000-0005-0000-0000-0000FB6B0000}"/>
    <cellStyle name="Normal 4 2 5 3 3 2 2 2 3" xfId="54297" xr:uid="{00000000-0005-0000-0000-0000FC6B0000}"/>
    <cellStyle name="Normal 4 2 5 3 3 2 2 3" xfId="19368" xr:uid="{00000000-0005-0000-0000-0000FD6B0000}"/>
    <cellStyle name="Normal 4 2 5 3 3 2 2 3 2" xfId="54298" xr:uid="{00000000-0005-0000-0000-0000FE6B0000}"/>
    <cellStyle name="Normal 4 2 5 3 3 2 2 4" xfId="19369" xr:uid="{00000000-0005-0000-0000-0000FF6B0000}"/>
    <cellStyle name="Normal 4 2 5 3 3 2 2 5" xfId="19370" xr:uid="{00000000-0005-0000-0000-0000006C0000}"/>
    <cellStyle name="Normal 4 2 5 3 3 2 2 6" xfId="19371" xr:uid="{00000000-0005-0000-0000-0000016C0000}"/>
    <cellStyle name="Normal 4 2 5 3 3 2 3" xfId="19372" xr:uid="{00000000-0005-0000-0000-0000026C0000}"/>
    <cellStyle name="Normal 4 2 5 3 3 2 3 2" xfId="54299" xr:uid="{00000000-0005-0000-0000-0000036C0000}"/>
    <cellStyle name="Normal 4 2 5 3 3 2 3 3" xfId="54300" xr:uid="{00000000-0005-0000-0000-0000046C0000}"/>
    <cellStyle name="Normal 4 2 5 3 3 2 4" xfId="19373" xr:uid="{00000000-0005-0000-0000-0000056C0000}"/>
    <cellStyle name="Normal 4 2 5 3 3 2 4 2" xfId="54301" xr:uid="{00000000-0005-0000-0000-0000066C0000}"/>
    <cellStyle name="Normal 4 2 5 3 3 2 5" xfId="19374" xr:uid="{00000000-0005-0000-0000-0000076C0000}"/>
    <cellStyle name="Normal 4 2 5 3 3 2 6" xfId="19375" xr:uid="{00000000-0005-0000-0000-0000086C0000}"/>
    <cellStyle name="Normal 4 2 5 3 3 2 7" xfId="19376" xr:uid="{00000000-0005-0000-0000-0000096C0000}"/>
    <cellStyle name="Normal 4 2 5 3 3 3" xfId="19377" xr:uid="{00000000-0005-0000-0000-00000A6C0000}"/>
    <cellStyle name="Normal 4 2 5 3 3 3 2" xfId="19378" xr:uid="{00000000-0005-0000-0000-00000B6C0000}"/>
    <cellStyle name="Normal 4 2 5 3 3 3 2 2" xfId="54302" xr:uid="{00000000-0005-0000-0000-00000C6C0000}"/>
    <cellStyle name="Normal 4 2 5 3 3 3 2 3" xfId="54303" xr:uid="{00000000-0005-0000-0000-00000D6C0000}"/>
    <cellStyle name="Normal 4 2 5 3 3 3 3" xfId="19379" xr:uid="{00000000-0005-0000-0000-00000E6C0000}"/>
    <cellStyle name="Normal 4 2 5 3 3 3 3 2" xfId="54304" xr:uid="{00000000-0005-0000-0000-00000F6C0000}"/>
    <cellStyle name="Normal 4 2 5 3 3 3 4" xfId="19380" xr:uid="{00000000-0005-0000-0000-0000106C0000}"/>
    <cellStyle name="Normal 4 2 5 3 3 3 5" xfId="19381" xr:uid="{00000000-0005-0000-0000-0000116C0000}"/>
    <cellStyle name="Normal 4 2 5 3 3 3 6" xfId="19382" xr:uid="{00000000-0005-0000-0000-0000126C0000}"/>
    <cellStyle name="Normal 4 2 5 3 3 4" xfId="19383" xr:uid="{00000000-0005-0000-0000-0000136C0000}"/>
    <cellStyle name="Normal 4 2 5 3 3 4 2" xfId="54305" xr:uid="{00000000-0005-0000-0000-0000146C0000}"/>
    <cellStyle name="Normal 4 2 5 3 3 4 3" xfId="54306" xr:uid="{00000000-0005-0000-0000-0000156C0000}"/>
    <cellStyle name="Normal 4 2 5 3 3 5" xfId="19384" xr:uid="{00000000-0005-0000-0000-0000166C0000}"/>
    <cellStyle name="Normal 4 2 5 3 3 5 2" xfId="54307" xr:uid="{00000000-0005-0000-0000-0000176C0000}"/>
    <cellStyle name="Normal 4 2 5 3 3 6" xfId="19385" xr:uid="{00000000-0005-0000-0000-0000186C0000}"/>
    <cellStyle name="Normal 4 2 5 3 3 7" xfId="19386" xr:uid="{00000000-0005-0000-0000-0000196C0000}"/>
    <cellStyle name="Normal 4 2 5 3 3 8" xfId="19387" xr:uid="{00000000-0005-0000-0000-00001A6C0000}"/>
    <cellStyle name="Normal 4 2 5 3 4" xfId="19388" xr:uid="{00000000-0005-0000-0000-00001B6C0000}"/>
    <cellStyle name="Normal 4 2 5 3 4 2" xfId="19389" xr:uid="{00000000-0005-0000-0000-00001C6C0000}"/>
    <cellStyle name="Normal 4 2 5 3 4 2 2" xfId="19390" xr:uid="{00000000-0005-0000-0000-00001D6C0000}"/>
    <cellStyle name="Normal 4 2 5 3 4 2 2 2" xfId="54308" xr:uid="{00000000-0005-0000-0000-00001E6C0000}"/>
    <cellStyle name="Normal 4 2 5 3 4 2 2 3" xfId="54309" xr:uid="{00000000-0005-0000-0000-00001F6C0000}"/>
    <cellStyle name="Normal 4 2 5 3 4 2 3" xfId="19391" xr:uid="{00000000-0005-0000-0000-0000206C0000}"/>
    <cellStyle name="Normal 4 2 5 3 4 2 3 2" xfId="54310" xr:uid="{00000000-0005-0000-0000-0000216C0000}"/>
    <cellStyle name="Normal 4 2 5 3 4 2 4" xfId="19392" xr:uid="{00000000-0005-0000-0000-0000226C0000}"/>
    <cellStyle name="Normal 4 2 5 3 4 2 5" xfId="19393" xr:uid="{00000000-0005-0000-0000-0000236C0000}"/>
    <cellStyle name="Normal 4 2 5 3 4 2 6" xfId="19394" xr:uid="{00000000-0005-0000-0000-0000246C0000}"/>
    <cellStyle name="Normal 4 2 5 3 4 3" xfId="19395" xr:uid="{00000000-0005-0000-0000-0000256C0000}"/>
    <cellStyle name="Normal 4 2 5 3 4 3 2" xfId="54311" xr:uid="{00000000-0005-0000-0000-0000266C0000}"/>
    <cellStyle name="Normal 4 2 5 3 4 3 3" xfId="54312" xr:uid="{00000000-0005-0000-0000-0000276C0000}"/>
    <cellStyle name="Normal 4 2 5 3 4 4" xfId="19396" xr:uid="{00000000-0005-0000-0000-0000286C0000}"/>
    <cellStyle name="Normal 4 2 5 3 4 4 2" xfId="54313" xr:uid="{00000000-0005-0000-0000-0000296C0000}"/>
    <cellStyle name="Normal 4 2 5 3 4 5" xfId="19397" xr:uid="{00000000-0005-0000-0000-00002A6C0000}"/>
    <cellStyle name="Normal 4 2 5 3 4 6" xfId="19398" xr:uid="{00000000-0005-0000-0000-00002B6C0000}"/>
    <cellStyle name="Normal 4 2 5 3 4 7" xfId="19399" xr:uid="{00000000-0005-0000-0000-00002C6C0000}"/>
    <cellStyle name="Normal 4 2 5 3 5" xfId="19400" xr:uid="{00000000-0005-0000-0000-00002D6C0000}"/>
    <cellStyle name="Normal 4 2 5 3 5 2" xfId="19401" xr:uid="{00000000-0005-0000-0000-00002E6C0000}"/>
    <cellStyle name="Normal 4 2 5 3 5 2 2" xfId="54314" xr:uid="{00000000-0005-0000-0000-00002F6C0000}"/>
    <cellStyle name="Normal 4 2 5 3 5 2 3" xfId="54315" xr:uid="{00000000-0005-0000-0000-0000306C0000}"/>
    <cellStyle name="Normal 4 2 5 3 5 3" xfId="19402" xr:uid="{00000000-0005-0000-0000-0000316C0000}"/>
    <cellStyle name="Normal 4 2 5 3 5 3 2" xfId="54316" xr:uid="{00000000-0005-0000-0000-0000326C0000}"/>
    <cellStyle name="Normal 4 2 5 3 5 4" xfId="19403" xr:uid="{00000000-0005-0000-0000-0000336C0000}"/>
    <cellStyle name="Normal 4 2 5 3 5 5" xfId="19404" xr:uid="{00000000-0005-0000-0000-0000346C0000}"/>
    <cellStyle name="Normal 4 2 5 3 5 6" xfId="19405" xr:uid="{00000000-0005-0000-0000-0000356C0000}"/>
    <cellStyle name="Normal 4 2 5 3 6" xfId="19406" xr:uid="{00000000-0005-0000-0000-0000366C0000}"/>
    <cellStyle name="Normal 4 2 5 3 6 2" xfId="54317" xr:uid="{00000000-0005-0000-0000-0000376C0000}"/>
    <cellStyle name="Normal 4 2 5 3 7" xfId="19407" xr:uid="{00000000-0005-0000-0000-0000386C0000}"/>
    <cellStyle name="Normal 4 2 5 3 8" xfId="19408" xr:uid="{00000000-0005-0000-0000-0000396C0000}"/>
    <cellStyle name="Normal 4 2 5 3 9" xfId="19409" xr:uid="{00000000-0005-0000-0000-00003A6C0000}"/>
    <cellStyle name="Normal 4 2 5 4" xfId="19410" xr:uid="{00000000-0005-0000-0000-00003B6C0000}"/>
    <cellStyle name="Normal 4 2 5 4 10" xfId="19411" xr:uid="{00000000-0005-0000-0000-00003C6C0000}"/>
    <cellStyle name="Normal 4 2 5 4 11" xfId="19412" xr:uid="{00000000-0005-0000-0000-00003D6C0000}"/>
    <cellStyle name="Normal 4 2 5 4 12" xfId="19413" xr:uid="{00000000-0005-0000-0000-00003E6C0000}"/>
    <cellStyle name="Normal 4 2 5 4 13" xfId="19414" xr:uid="{00000000-0005-0000-0000-00003F6C0000}"/>
    <cellStyle name="Normal 4 2 5 4 2" xfId="19415" xr:uid="{00000000-0005-0000-0000-0000406C0000}"/>
    <cellStyle name="Normal 4 2 5 4 2 2" xfId="19416" xr:uid="{00000000-0005-0000-0000-0000416C0000}"/>
    <cellStyle name="Normal 4 2 5 4 2 2 2" xfId="19417" xr:uid="{00000000-0005-0000-0000-0000426C0000}"/>
    <cellStyle name="Normal 4 2 5 4 2 2 2 2" xfId="19418" xr:uid="{00000000-0005-0000-0000-0000436C0000}"/>
    <cellStyle name="Normal 4 2 5 4 2 2 2 2 2" xfId="54318" xr:uid="{00000000-0005-0000-0000-0000446C0000}"/>
    <cellStyle name="Normal 4 2 5 4 2 2 2 2 3" xfId="54319" xr:uid="{00000000-0005-0000-0000-0000456C0000}"/>
    <cellStyle name="Normal 4 2 5 4 2 2 2 3" xfId="19419" xr:uid="{00000000-0005-0000-0000-0000466C0000}"/>
    <cellStyle name="Normal 4 2 5 4 2 2 2 3 2" xfId="54320" xr:uid="{00000000-0005-0000-0000-0000476C0000}"/>
    <cellStyle name="Normal 4 2 5 4 2 2 2 4" xfId="19420" xr:uid="{00000000-0005-0000-0000-0000486C0000}"/>
    <cellStyle name="Normal 4 2 5 4 2 2 2 5" xfId="19421" xr:uid="{00000000-0005-0000-0000-0000496C0000}"/>
    <cellStyle name="Normal 4 2 5 4 2 2 2 6" xfId="19422" xr:uid="{00000000-0005-0000-0000-00004A6C0000}"/>
    <cellStyle name="Normal 4 2 5 4 2 2 3" xfId="19423" xr:uid="{00000000-0005-0000-0000-00004B6C0000}"/>
    <cellStyle name="Normal 4 2 5 4 2 2 3 2" xfId="54321" xr:uid="{00000000-0005-0000-0000-00004C6C0000}"/>
    <cellStyle name="Normal 4 2 5 4 2 2 3 3" xfId="54322" xr:uid="{00000000-0005-0000-0000-00004D6C0000}"/>
    <cellStyle name="Normal 4 2 5 4 2 2 4" xfId="19424" xr:uid="{00000000-0005-0000-0000-00004E6C0000}"/>
    <cellStyle name="Normal 4 2 5 4 2 2 4 2" xfId="54323" xr:uid="{00000000-0005-0000-0000-00004F6C0000}"/>
    <cellStyle name="Normal 4 2 5 4 2 2 5" xfId="19425" xr:uid="{00000000-0005-0000-0000-0000506C0000}"/>
    <cellStyle name="Normal 4 2 5 4 2 2 6" xfId="19426" xr:uid="{00000000-0005-0000-0000-0000516C0000}"/>
    <cellStyle name="Normal 4 2 5 4 2 2 7" xfId="19427" xr:uid="{00000000-0005-0000-0000-0000526C0000}"/>
    <cellStyle name="Normal 4 2 5 4 2 3" xfId="19428" xr:uid="{00000000-0005-0000-0000-0000536C0000}"/>
    <cellStyle name="Normal 4 2 5 4 2 3 2" xfId="19429" xr:uid="{00000000-0005-0000-0000-0000546C0000}"/>
    <cellStyle name="Normal 4 2 5 4 2 3 2 2" xfId="54324" xr:uid="{00000000-0005-0000-0000-0000556C0000}"/>
    <cellStyle name="Normal 4 2 5 4 2 3 2 3" xfId="54325" xr:uid="{00000000-0005-0000-0000-0000566C0000}"/>
    <cellStyle name="Normal 4 2 5 4 2 3 3" xfId="19430" xr:uid="{00000000-0005-0000-0000-0000576C0000}"/>
    <cellStyle name="Normal 4 2 5 4 2 3 3 2" xfId="54326" xr:uid="{00000000-0005-0000-0000-0000586C0000}"/>
    <cellStyle name="Normal 4 2 5 4 2 3 4" xfId="19431" xr:uid="{00000000-0005-0000-0000-0000596C0000}"/>
    <cellStyle name="Normal 4 2 5 4 2 3 5" xfId="19432" xr:uid="{00000000-0005-0000-0000-00005A6C0000}"/>
    <cellStyle name="Normal 4 2 5 4 2 3 6" xfId="19433" xr:uid="{00000000-0005-0000-0000-00005B6C0000}"/>
    <cellStyle name="Normal 4 2 5 4 2 4" xfId="19434" xr:uid="{00000000-0005-0000-0000-00005C6C0000}"/>
    <cellStyle name="Normal 4 2 5 4 2 4 2" xfId="54327" xr:uid="{00000000-0005-0000-0000-00005D6C0000}"/>
    <cellStyle name="Normal 4 2 5 4 2 4 3" xfId="54328" xr:uid="{00000000-0005-0000-0000-00005E6C0000}"/>
    <cellStyle name="Normal 4 2 5 4 2 5" xfId="19435" xr:uid="{00000000-0005-0000-0000-00005F6C0000}"/>
    <cellStyle name="Normal 4 2 5 4 2 5 2" xfId="54329" xr:uid="{00000000-0005-0000-0000-0000606C0000}"/>
    <cellStyle name="Normal 4 2 5 4 2 6" xfId="19436" xr:uid="{00000000-0005-0000-0000-0000616C0000}"/>
    <cellStyle name="Normal 4 2 5 4 2 7" xfId="19437" xr:uid="{00000000-0005-0000-0000-0000626C0000}"/>
    <cellStyle name="Normal 4 2 5 4 2 8" xfId="19438" xr:uid="{00000000-0005-0000-0000-0000636C0000}"/>
    <cellStyle name="Normal 4 2 5 4 2 9" xfId="19439" xr:uid="{00000000-0005-0000-0000-0000646C0000}"/>
    <cellStyle name="Normal 4 2 5 4 3" xfId="19440" xr:uid="{00000000-0005-0000-0000-0000656C0000}"/>
    <cellStyle name="Normal 4 2 5 4 3 2" xfId="19441" xr:uid="{00000000-0005-0000-0000-0000666C0000}"/>
    <cellStyle name="Normal 4 2 5 4 3 2 2" xfId="19442" xr:uid="{00000000-0005-0000-0000-0000676C0000}"/>
    <cellStyle name="Normal 4 2 5 4 3 2 2 2" xfId="54330" xr:uid="{00000000-0005-0000-0000-0000686C0000}"/>
    <cellStyle name="Normal 4 2 5 4 3 2 2 3" xfId="54331" xr:uid="{00000000-0005-0000-0000-0000696C0000}"/>
    <cellStyle name="Normal 4 2 5 4 3 2 3" xfId="19443" xr:uid="{00000000-0005-0000-0000-00006A6C0000}"/>
    <cellStyle name="Normal 4 2 5 4 3 2 3 2" xfId="54332" xr:uid="{00000000-0005-0000-0000-00006B6C0000}"/>
    <cellStyle name="Normal 4 2 5 4 3 2 4" xfId="19444" xr:uid="{00000000-0005-0000-0000-00006C6C0000}"/>
    <cellStyle name="Normal 4 2 5 4 3 2 5" xfId="19445" xr:uid="{00000000-0005-0000-0000-00006D6C0000}"/>
    <cellStyle name="Normal 4 2 5 4 3 2 6" xfId="19446" xr:uid="{00000000-0005-0000-0000-00006E6C0000}"/>
    <cellStyle name="Normal 4 2 5 4 3 3" xfId="19447" xr:uid="{00000000-0005-0000-0000-00006F6C0000}"/>
    <cellStyle name="Normal 4 2 5 4 3 3 2" xfId="54333" xr:uid="{00000000-0005-0000-0000-0000706C0000}"/>
    <cellStyle name="Normal 4 2 5 4 3 3 3" xfId="54334" xr:uid="{00000000-0005-0000-0000-0000716C0000}"/>
    <cellStyle name="Normal 4 2 5 4 3 4" xfId="19448" xr:uid="{00000000-0005-0000-0000-0000726C0000}"/>
    <cellStyle name="Normal 4 2 5 4 3 4 2" xfId="54335" xr:uid="{00000000-0005-0000-0000-0000736C0000}"/>
    <cellStyle name="Normal 4 2 5 4 3 5" xfId="19449" xr:uid="{00000000-0005-0000-0000-0000746C0000}"/>
    <cellStyle name="Normal 4 2 5 4 3 6" xfId="19450" xr:uid="{00000000-0005-0000-0000-0000756C0000}"/>
    <cellStyle name="Normal 4 2 5 4 3 7" xfId="19451" xr:uid="{00000000-0005-0000-0000-0000766C0000}"/>
    <cellStyle name="Normal 4 2 5 4 4" xfId="19452" xr:uid="{00000000-0005-0000-0000-0000776C0000}"/>
    <cellStyle name="Normal 4 2 5 4 4 2" xfId="19453" xr:uid="{00000000-0005-0000-0000-0000786C0000}"/>
    <cellStyle name="Normal 4 2 5 4 4 2 2" xfId="54336" xr:uid="{00000000-0005-0000-0000-0000796C0000}"/>
    <cellStyle name="Normal 4 2 5 4 4 2 3" xfId="54337" xr:uid="{00000000-0005-0000-0000-00007A6C0000}"/>
    <cellStyle name="Normal 4 2 5 4 4 3" xfId="19454" xr:uid="{00000000-0005-0000-0000-00007B6C0000}"/>
    <cellStyle name="Normal 4 2 5 4 4 3 2" xfId="54338" xr:uid="{00000000-0005-0000-0000-00007C6C0000}"/>
    <cellStyle name="Normal 4 2 5 4 4 4" xfId="19455" xr:uid="{00000000-0005-0000-0000-00007D6C0000}"/>
    <cellStyle name="Normal 4 2 5 4 4 5" xfId="19456" xr:uid="{00000000-0005-0000-0000-00007E6C0000}"/>
    <cellStyle name="Normal 4 2 5 4 4 6" xfId="19457" xr:uid="{00000000-0005-0000-0000-00007F6C0000}"/>
    <cellStyle name="Normal 4 2 5 4 5" xfId="19458" xr:uid="{00000000-0005-0000-0000-0000806C0000}"/>
    <cellStyle name="Normal 4 2 5 4 5 2" xfId="54339" xr:uid="{00000000-0005-0000-0000-0000816C0000}"/>
    <cellStyle name="Normal 4 2 5 4 5 3" xfId="54340" xr:uid="{00000000-0005-0000-0000-0000826C0000}"/>
    <cellStyle name="Normal 4 2 5 4 6" xfId="19459" xr:uid="{00000000-0005-0000-0000-0000836C0000}"/>
    <cellStyle name="Normal 4 2 5 4 6 2" xfId="54341" xr:uid="{00000000-0005-0000-0000-0000846C0000}"/>
    <cellStyle name="Normal 4 2 5 4 7" xfId="19460" xr:uid="{00000000-0005-0000-0000-0000856C0000}"/>
    <cellStyle name="Normal 4 2 5 4 8" xfId="19461" xr:uid="{00000000-0005-0000-0000-0000866C0000}"/>
    <cellStyle name="Normal 4 2 5 4 9" xfId="19462" xr:uid="{00000000-0005-0000-0000-0000876C0000}"/>
    <cellStyle name="Normal 4 2 5 5" xfId="19463" xr:uid="{00000000-0005-0000-0000-0000886C0000}"/>
    <cellStyle name="Normal 4 2 5 5 2" xfId="19464" xr:uid="{00000000-0005-0000-0000-0000896C0000}"/>
    <cellStyle name="Normal 4 2 5 5 2 2" xfId="19465" xr:uid="{00000000-0005-0000-0000-00008A6C0000}"/>
    <cellStyle name="Normal 4 2 5 5 2 2 2" xfId="19466" xr:uid="{00000000-0005-0000-0000-00008B6C0000}"/>
    <cellStyle name="Normal 4 2 5 5 2 2 2 2" xfId="54342" xr:uid="{00000000-0005-0000-0000-00008C6C0000}"/>
    <cellStyle name="Normal 4 2 5 5 2 2 2 3" xfId="54343" xr:uid="{00000000-0005-0000-0000-00008D6C0000}"/>
    <cellStyle name="Normal 4 2 5 5 2 2 3" xfId="19467" xr:uid="{00000000-0005-0000-0000-00008E6C0000}"/>
    <cellStyle name="Normal 4 2 5 5 2 2 3 2" xfId="54344" xr:uid="{00000000-0005-0000-0000-00008F6C0000}"/>
    <cellStyle name="Normal 4 2 5 5 2 2 4" xfId="19468" xr:uid="{00000000-0005-0000-0000-0000906C0000}"/>
    <cellStyle name="Normal 4 2 5 5 2 2 5" xfId="19469" xr:uid="{00000000-0005-0000-0000-0000916C0000}"/>
    <cellStyle name="Normal 4 2 5 5 2 2 6" xfId="19470" xr:uid="{00000000-0005-0000-0000-0000926C0000}"/>
    <cellStyle name="Normal 4 2 5 5 2 3" xfId="19471" xr:uid="{00000000-0005-0000-0000-0000936C0000}"/>
    <cellStyle name="Normal 4 2 5 5 2 3 2" xfId="54345" xr:uid="{00000000-0005-0000-0000-0000946C0000}"/>
    <cellStyle name="Normal 4 2 5 5 2 3 3" xfId="54346" xr:uid="{00000000-0005-0000-0000-0000956C0000}"/>
    <cellStyle name="Normal 4 2 5 5 2 4" xfId="19472" xr:uid="{00000000-0005-0000-0000-0000966C0000}"/>
    <cellStyle name="Normal 4 2 5 5 2 4 2" xfId="54347" xr:uid="{00000000-0005-0000-0000-0000976C0000}"/>
    <cellStyle name="Normal 4 2 5 5 2 5" xfId="19473" xr:uid="{00000000-0005-0000-0000-0000986C0000}"/>
    <cellStyle name="Normal 4 2 5 5 2 6" xfId="19474" xr:uid="{00000000-0005-0000-0000-0000996C0000}"/>
    <cellStyle name="Normal 4 2 5 5 2 7" xfId="19475" xr:uid="{00000000-0005-0000-0000-00009A6C0000}"/>
    <cellStyle name="Normal 4 2 5 5 3" xfId="19476" xr:uid="{00000000-0005-0000-0000-00009B6C0000}"/>
    <cellStyle name="Normal 4 2 5 5 3 2" xfId="19477" xr:uid="{00000000-0005-0000-0000-00009C6C0000}"/>
    <cellStyle name="Normal 4 2 5 5 3 2 2" xfId="54348" xr:uid="{00000000-0005-0000-0000-00009D6C0000}"/>
    <cellStyle name="Normal 4 2 5 5 3 2 3" xfId="54349" xr:uid="{00000000-0005-0000-0000-00009E6C0000}"/>
    <cellStyle name="Normal 4 2 5 5 3 3" xfId="19478" xr:uid="{00000000-0005-0000-0000-00009F6C0000}"/>
    <cellStyle name="Normal 4 2 5 5 3 3 2" xfId="54350" xr:uid="{00000000-0005-0000-0000-0000A06C0000}"/>
    <cellStyle name="Normal 4 2 5 5 3 4" xfId="19479" xr:uid="{00000000-0005-0000-0000-0000A16C0000}"/>
    <cellStyle name="Normal 4 2 5 5 3 5" xfId="19480" xr:uid="{00000000-0005-0000-0000-0000A26C0000}"/>
    <cellStyle name="Normal 4 2 5 5 3 6" xfId="19481" xr:uid="{00000000-0005-0000-0000-0000A36C0000}"/>
    <cellStyle name="Normal 4 2 5 5 4" xfId="19482" xr:uid="{00000000-0005-0000-0000-0000A46C0000}"/>
    <cellStyle name="Normal 4 2 5 5 4 2" xfId="54351" xr:uid="{00000000-0005-0000-0000-0000A56C0000}"/>
    <cellStyle name="Normal 4 2 5 5 4 3" xfId="54352" xr:uid="{00000000-0005-0000-0000-0000A66C0000}"/>
    <cellStyle name="Normal 4 2 5 5 5" xfId="19483" xr:uid="{00000000-0005-0000-0000-0000A76C0000}"/>
    <cellStyle name="Normal 4 2 5 5 5 2" xfId="54353" xr:uid="{00000000-0005-0000-0000-0000A86C0000}"/>
    <cellStyle name="Normal 4 2 5 5 6" xfId="19484" xr:uid="{00000000-0005-0000-0000-0000A96C0000}"/>
    <cellStyle name="Normal 4 2 5 5 7" xfId="19485" xr:uid="{00000000-0005-0000-0000-0000AA6C0000}"/>
    <cellStyle name="Normal 4 2 5 5 8" xfId="19486" xr:uid="{00000000-0005-0000-0000-0000AB6C0000}"/>
    <cellStyle name="Normal 4 2 5 5 9" xfId="19487" xr:uid="{00000000-0005-0000-0000-0000AC6C0000}"/>
    <cellStyle name="Normal 4 2 5 6" xfId="19488" xr:uid="{00000000-0005-0000-0000-0000AD6C0000}"/>
    <cellStyle name="Normal 4 2 5 6 2" xfId="19489" xr:uid="{00000000-0005-0000-0000-0000AE6C0000}"/>
    <cellStyle name="Normal 4 2 5 6 2 2" xfId="19490" xr:uid="{00000000-0005-0000-0000-0000AF6C0000}"/>
    <cellStyle name="Normal 4 2 5 6 2 2 2" xfId="19491" xr:uid="{00000000-0005-0000-0000-0000B06C0000}"/>
    <cellStyle name="Normal 4 2 5 6 2 2 2 2" xfId="54354" xr:uid="{00000000-0005-0000-0000-0000B16C0000}"/>
    <cellStyle name="Normal 4 2 5 6 2 2 2 3" xfId="54355" xr:uid="{00000000-0005-0000-0000-0000B26C0000}"/>
    <cellStyle name="Normal 4 2 5 6 2 2 3" xfId="19492" xr:uid="{00000000-0005-0000-0000-0000B36C0000}"/>
    <cellStyle name="Normal 4 2 5 6 2 2 3 2" xfId="54356" xr:uid="{00000000-0005-0000-0000-0000B46C0000}"/>
    <cellStyle name="Normal 4 2 5 6 2 2 4" xfId="19493" xr:uid="{00000000-0005-0000-0000-0000B56C0000}"/>
    <cellStyle name="Normal 4 2 5 6 2 2 5" xfId="19494" xr:uid="{00000000-0005-0000-0000-0000B66C0000}"/>
    <cellStyle name="Normal 4 2 5 6 2 2 6" xfId="19495" xr:uid="{00000000-0005-0000-0000-0000B76C0000}"/>
    <cellStyle name="Normal 4 2 5 6 2 3" xfId="19496" xr:uid="{00000000-0005-0000-0000-0000B86C0000}"/>
    <cellStyle name="Normal 4 2 5 6 2 3 2" xfId="54357" xr:uid="{00000000-0005-0000-0000-0000B96C0000}"/>
    <cellStyle name="Normal 4 2 5 6 2 3 3" xfId="54358" xr:uid="{00000000-0005-0000-0000-0000BA6C0000}"/>
    <cellStyle name="Normal 4 2 5 6 2 4" xfId="19497" xr:uid="{00000000-0005-0000-0000-0000BB6C0000}"/>
    <cellStyle name="Normal 4 2 5 6 2 4 2" xfId="54359" xr:uid="{00000000-0005-0000-0000-0000BC6C0000}"/>
    <cellStyle name="Normal 4 2 5 6 2 5" xfId="19498" xr:uid="{00000000-0005-0000-0000-0000BD6C0000}"/>
    <cellStyle name="Normal 4 2 5 6 2 6" xfId="19499" xr:uid="{00000000-0005-0000-0000-0000BE6C0000}"/>
    <cellStyle name="Normal 4 2 5 6 2 7" xfId="19500" xr:uid="{00000000-0005-0000-0000-0000BF6C0000}"/>
    <cellStyle name="Normal 4 2 5 6 3" xfId="19501" xr:uid="{00000000-0005-0000-0000-0000C06C0000}"/>
    <cellStyle name="Normal 4 2 5 6 3 2" xfId="19502" xr:uid="{00000000-0005-0000-0000-0000C16C0000}"/>
    <cellStyle name="Normal 4 2 5 6 3 2 2" xfId="54360" xr:uid="{00000000-0005-0000-0000-0000C26C0000}"/>
    <cellStyle name="Normal 4 2 5 6 3 2 3" xfId="54361" xr:uid="{00000000-0005-0000-0000-0000C36C0000}"/>
    <cellStyle name="Normal 4 2 5 6 3 3" xfId="19503" xr:uid="{00000000-0005-0000-0000-0000C46C0000}"/>
    <cellStyle name="Normal 4 2 5 6 3 3 2" xfId="54362" xr:uid="{00000000-0005-0000-0000-0000C56C0000}"/>
    <cellStyle name="Normal 4 2 5 6 3 4" xfId="19504" xr:uid="{00000000-0005-0000-0000-0000C66C0000}"/>
    <cellStyle name="Normal 4 2 5 6 3 5" xfId="19505" xr:uid="{00000000-0005-0000-0000-0000C76C0000}"/>
    <cellStyle name="Normal 4 2 5 6 3 6" xfId="19506" xr:uid="{00000000-0005-0000-0000-0000C86C0000}"/>
    <cellStyle name="Normal 4 2 5 6 4" xfId="19507" xr:uid="{00000000-0005-0000-0000-0000C96C0000}"/>
    <cellStyle name="Normal 4 2 5 6 4 2" xfId="54363" xr:uid="{00000000-0005-0000-0000-0000CA6C0000}"/>
    <cellStyle name="Normal 4 2 5 6 4 3" xfId="54364" xr:uid="{00000000-0005-0000-0000-0000CB6C0000}"/>
    <cellStyle name="Normal 4 2 5 6 5" xfId="19508" xr:uid="{00000000-0005-0000-0000-0000CC6C0000}"/>
    <cellStyle name="Normal 4 2 5 6 5 2" xfId="54365" xr:uid="{00000000-0005-0000-0000-0000CD6C0000}"/>
    <cellStyle name="Normal 4 2 5 6 6" xfId="19509" xr:uid="{00000000-0005-0000-0000-0000CE6C0000}"/>
    <cellStyle name="Normal 4 2 5 6 7" xfId="19510" xr:uid="{00000000-0005-0000-0000-0000CF6C0000}"/>
    <cellStyle name="Normal 4 2 5 6 8" xfId="19511" xr:uid="{00000000-0005-0000-0000-0000D06C0000}"/>
    <cellStyle name="Normal 4 2 5 7" xfId="19512" xr:uid="{00000000-0005-0000-0000-0000D16C0000}"/>
    <cellStyle name="Normal 4 2 5 7 2" xfId="19513" xr:uid="{00000000-0005-0000-0000-0000D26C0000}"/>
    <cellStyle name="Normal 4 2 5 7 2 2" xfId="19514" xr:uid="{00000000-0005-0000-0000-0000D36C0000}"/>
    <cellStyle name="Normal 4 2 5 7 2 2 2" xfId="19515" xr:uid="{00000000-0005-0000-0000-0000D46C0000}"/>
    <cellStyle name="Normal 4 2 5 7 2 2 2 2" xfId="54366" xr:uid="{00000000-0005-0000-0000-0000D56C0000}"/>
    <cellStyle name="Normal 4 2 5 7 2 2 2 3" xfId="54367" xr:uid="{00000000-0005-0000-0000-0000D66C0000}"/>
    <cellStyle name="Normal 4 2 5 7 2 2 3" xfId="19516" xr:uid="{00000000-0005-0000-0000-0000D76C0000}"/>
    <cellStyle name="Normal 4 2 5 7 2 2 3 2" xfId="54368" xr:uid="{00000000-0005-0000-0000-0000D86C0000}"/>
    <cellStyle name="Normal 4 2 5 7 2 2 4" xfId="19517" xr:uid="{00000000-0005-0000-0000-0000D96C0000}"/>
    <cellStyle name="Normal 4 2 5 7 2 2 5" xfId="19518" xr:uid="{00000000-0005-0000-0000-0000DA6C0000}"/>
    <cellStyle name="Normal 4 2 5 7 2 2 6" xfId="19519" xr:uid="{00000000-0005-0000-0000-0000DB6C0000}"/>
    <cellStyle name="Normal 4 2 5 7 2 3" xfId="19520" xr:uid="{00000000-0005-0000-0000-0000DC6C0000}"/>
    <cellStyle name="Normal 4 2 5 7 2 3 2" xfId="54369" xr:uid="{00000000-0005-0000-0000-0000DD6C0000}"/>
    <cellStyle name="Normal 4 2 5 7 2 3 3" xfId="54370" xr:uid="{00000000-0005-0000-0000-0000DE6C0000}"/>
    <cellStyle name="Normal 4 2 5 7 2 4" xfId="19521" xr:uid="{00000000-0005-0000-0000-0000DF6C0000}"/>
    <cellStyle name="Normal 4 2 5 7 2 4 2" xfId="54371" xr:uid="{00000000-0005-0000-0000-0000E06C0000}"/>
    <cellStyle name="Normal 4 2 5 7 2 5" xfId="19522" xr:uid="{00000000-0005-0000-0000-0000E16C0000}"/>
    <cellStyle name="Normal 4 2 5 7 2 6" xfId="19523" xr:uid="{00000000-0005-0000-0000-0000E26C0000}"/>
    <cellStyle name="Normal 4 2 5 7 2 7" xfId="19524" xr:uid="{00000000-0005-0000-0000-0000E36C0000}"/>
    <cellStyle name="Normal 4 2 5 7 3" xfId="19525" xr:uid="{00000000-0005-0000-0000-0000E46C0000}"/>
    <cellStyle name="Normal 4 2 5 7 3 2" xfId="19526" xr:uid="{00000000-0005-0000-0000-0000E56C0000}"/>
    <cellStyle name="Normal 4 2 5 7 3 2 2" xfId="54372" xr:uid="{00000000-0005-0000-0000-0000E66C0000}"/>
    <cellStyle name="Normal 4 2 5 7 3 2 3" xfId="54373" xr:uid="{00000000-0005-0000-0000-0000E76C0000}"/>
    <cellStyle name="Normal 4 2 5 7 3 3" xfId="19527" xr:uid="{00000000-0005-0000-0000-0000E86C0000}"/>
    <cellStyle name="Normal 4 2 5 7 3 3 2" xfId="54374" xr:uid="{00000000-0005-0000-0000-0000E96C0000}"/>
    <cellStyle name="Normal 4 2 5 7 3 4" xfId="19528" xr:uid="{00000000-0005-0000-0000-0000EA6C0000}"/>
    <cellStyle name="Normal 4 2 5 7 3 5" xfId="19529" xr:uid="{00000000-0005-0000-0000-0000EB6C0000}"/>
    <cellStyle name="Normal 4 2 5 7 3 6" xfId="19530" xr:uid="{00000000-0005-0000-0000-0000EC6C0000}"/>
    <cellStyle name="Normal 4 2 5 7 4" xfId="19531" xr:uid="{00000000-0005-0000-0000-0000ED6C0000}"/>
    <cellStyle name="Normal 4 2 5 7 4 2" xfId="54375" xr:uid="{00000000-0005-0000-0000-0000EE6C0000}"/>
    <cellStyle name="Normal 4 2 5 7 4 3" xfId="54376" xr:uid="{00000000-0005-0000-0000-0000EF6C0000}"/>
    <cellStyle name="Normal 4 2 5 7 5" xfId="19532" xr:uid="{00000000-0005-0000-0000-0000F06C0000}"/>
    <cellStyle name="Normal 4 2 5 7 5 2" xfId="54377" xr:uid="{00000000-0005-0000-0000-0000F16C0000}"/>
    <cellStyle name="Normal 4 2 5 7 6" xfId="19533" xr:uid="{00000000-0005-0000-0000-0000F26C0000}"/>
    <cellStyle name="Normal 4 2 5 7 7" xfId="19534" xr:uid="{00000000-0005-0000-0000-0000F36C0000}"/>
    <cellStyle name="Normal 4 2 5 7 8" xfId="19535" xr:uid="{00000000-0005-0000-0000-0000F46C0000}"/>
    <cellStyle name="Normal 4 2 5 8" xfId="19536" xr:uid="{00000000-0005-0000-0000-0000F56C0000}"/>
    <cellStyle name="Normal 4 2 5 8 2" xfId="19537" xr:uid="{00000000-0005-0000-0000-0000F66C0000}"/>
    <cellStyle name="Normal 4 2 5 8 2 2" xfId="19538" xr:uid="{00000000-0005-0000-0000-0000F76C0000}"/>
    <cellStyle name="Normal 4 2 5 8 2 2 2" xfId="54378" xr:uid="{00000000-0005-0000-0000-0000F86C0000}"/>
    <cellStyle name="Normal 4 2 5 8 2 2 3" xfId="54379" xr:uid="{00000000-0005-0000-0000-0000F96C0000}"/>
    <cellStyle name="Normal 4 2 5 8 2 3" xfId="19539" xr:uid="{00000000-0005-0000-0000-0000FA6C0000}"/>
    <cellStyle name="Normal 4 2 5 8 2 3 2" xfId="54380" xr:uid="{00000000-0005-0000-0000-0000FB6C0000}"/>
    <cellStyle name="Normal 4 2 5 8 2 4" xfId="19540" xr:uid="{00000000-0005-0000-0000-0000FC6C0000}"/>
    <cellStyle name="Normal 4 2 5 8 2 5" xfId="19541" xr:uid="{00000000-0005-0000-0000-0000FD6C0000}"/>
    <cellStyle name="Normal 4 2 5 8 2 6" xfId="19542" xr:uid="{00000000-0005-0000-0000-0000FE6C0000}"/>
    <cellStyle name="Normal 4 2 5 8 3" xfId="19543" xr:uid="{00000000-0005-0000-0000-0000FF6C0000}"/>
    <cellStyle name="Normal 4 2 5 8 3 2" xfId="54381" xr:uid="{00000000-0005-0000-0000-0000006D0000}"/>
    <cellStyle name="Normal 4 2 5 8 3 3" xfId="54382" xr:uid="{00000000-0005-0000-0000-0000016D0000}"/>
    <cellStyle name="Normal 4 2 5 8 4" xfId="19544" xr:uid="{00000000-0005-0000-0000-0000026D0000}"/>
    <cellStyle name="Normal 4 2 5 8 4 2" xfId="54383" xr:uid="{00000000-0005-0000-0000-0000036D0000}"/>
    <cellStyle name="Normal 4 2 5 8 5" xfId="19545" xr:uid="{00000000-0005-0000-0000-0000046D0000}"/>
    <cellStyle name="Normal 4 2 5 8 6" xfId="19546" xr:uid="{00000000-0005-0000-0000-0000056D0000}"/>
    <cellStyle name="Normal 4 2 5 8 7" xfId="19547" xr:uid="{00000000-0005-0000-0000-0000066D0000}"/>
    <cellStyle name="Normal 4 2 5 9" xfId="19548" xr:uid="{00000000-0005-0000-0000-0000076D0000}"/>
    <cellStyle name="Normal 4 2 5 9 2" xfId="19549" xr:uid="{00000000-0005-0000-0000-0000086D0000}"/>
    <cellStyle name="Normal 4 2 5 9 2 2" xfId="54384" xr:uid="{00000000-0005-0000-0000-0000096D0000}"/>
    <cellStyle name="Normal 4 2 5 9 2 3" xfId="54385" xr:uid="{00000000-0005-0000-0000-00000A6D0000}"/>
    <cellStyle name="Normal 4 2 5 9 3" xfId="19550" xr:uid="{00000000-0005-0000-0000-00000B6D0000}"/>
    <cellStyle name="Normal 4 2 5 9 3 2" xfId="54386" xr:uid="{00000000-0005-0000-0000-00000C6D0000}"/>
    <cellStyle name="Normal 4 2 5 9 4" xfId="19551" xr:uid="{00000000-0005-0000-0000-00000D6D0000}"/>
    <cellStyle name="Normal 4 2 5 9 5" xfId="19552" xr:uid="{00000000-0005-0000-0000-00000E6D0000}"/>
    <cellStyle name="Normal 4 2 5 9 6" xfId="19553" xr:uid="{00000000-0005-0000-0000-00000F6D0000}"/>
    <cellStyle name="Normal 4 2 6" xfId="19554" xr:uid="{00000000-0005-0000-0000-0000106D0000}"/>
    <cellStyle name="Normal 4 2 6 10" xfId="19555" xr:uid="{00000000-0005-0000-0000-0000116D0000}"/>
    <cellStyle name="Normal 4 2 6 11" xfId="19556" xr:uid="{00000000-0005-0000-0000-0000126D0000}"/>
    <cellStyle name="Normal 4 2 6 12" xfId="19557" xr:uid="{00000000-0005-0000-0000-0000136D0000}"/>
    <cellStyle name="Normal 4 2 6 13" xfId="19558" xr:uid="{00000000-0005-0000-0000-0000146D0000}"/>
    <cellStyle name="Normal 4 2 6 14" xfId="19559" xr:uid="{00000000-0005-0000-0000-0000156D0000}"/>
    <cellStyle name="Normal 4 2 6 15" xfId="19560" xr:uid="{00000000-0005-0000-0000-0000166D0000}"/>
    <cellStyle name="Normal 4 2 6 16" xfId="19561" xr:uid="{00000000-0005-0000-0000-0000176D0000}"/>
    <cellStyle name="Normal 4 2 6 2" xfId="19562" xr:uid="{00000000-0005-0000-0000-0000186D0000}"/>
    <cellStyle name="Normal 4 2 6 2 10" xfId="19563" xr:uid="{00000000-0005-0000-0000-0000196D0000}"/>
    <cellStyle name="Normal 4 2 6 2 11" xfId="19564" xr:uid="{00000000-0005-0000-0000-00001A6D0000}"/>
    <cellStyle name="Normal 4 2 6 2 12" xfId="19565" xr:uid="{00000000-0005-0000-0000-00001B6D0000}"/>
    <cellStyle name="Normal 4 2 6 2 13" xfId="19566" xr:uid="{00000000-0005-0000-0000-00001C6D0000}"/>
    <cellStyle name="Normal 4 2 6 2 14" xfId="19567" xr:uid="{00000000-0005-0000-0000-00001D6D0000}"/>
    <cellStyle name="Normal 4 2 6 2 15" xfId="19568" xr:uid="{00000000-0005-0000-0000-00001E6D0000}"/>
    <cellStyle name="Normal 4 2 6 2 2" xfId="19569" xr:uid="{00000000-0005-0000-0000-00001F6D0000}"/>
    <cellStyle name="Normal 4 2 6 2 2 2" xfId="19570" xr:uid="{00000000-0005-0000-0000-0000206D0000}"/>
    <cellStyle name="Normal 4 2 6 2 2 2 2" xfId="19571" xr:uid="{00000000-0005-0000-0000-0000216D0000}"/>
    <cellStyle name="Normal 4 2 6 2 2 2 2 2" xfId="19572" xr:uid="{00000000-0005-0000-0000-0000226D0000}"/>
    <cellStyle name="Normal 4 2 6 2 2 2 2 2 2" xfId="54387" xr:uid="{00000000-0005-0000-0000-0000236D0000}"/>
    <cellStyle name="Normal 4 2 6 2 2 2 2 2 3" xfId="54388" xr:uid="{00000000-0005-0000-0000-0000246D0000}"/>
    <cellStyle name="Normal 4 2 6 2 2 2 2 3" xfId="19573" xr:uid="{00000000-0005-0000-0000-0000256D0000}"/>
    <cellStyle name="Normal 4 2 6 2 2 2 2 3 2" xfId="54389" xr:uid="{00000000-0005-0000-0000-0000266D0000}"/>
    <cellStyle name="Normal 4 2 6 2 2 2 2 4" xfId="19574" xr:uid="{00000000-0005-0000-0000-0000276D0000}"/>
    <cellStyle name="Normal 4 2 6 2 2 2 2 5" xfId="19575" xr:uid="{00000000-0005-0000-0000-0000286D0000}"/>
    <cellStyle name="Normal 4 2 6 2 2 2 2 6" xfId="19576" xr:uid="{00000000-0005-0000-0000-0000296D0000}"/>
    <cellStyle name="Normal 4 2 6 2 2 2 3" xfId="19577" xr:uid="{00000000-0005-0000-0000-00002A6D0000}"/>
    <cellStyle name="Normal 4 2 6 2 2 2 3 2" xfId="54390" xr:uid="{00000000-0005-0000-0000-00002B6D0000}"/>
    <cellStyle name="Normal 4 2 6 2 2 2 3 3" xfId="54391" xr:uid="{00000000-0005-0000-0000-00002C6D0000}"/>
    <cellStyle name="Normal 4 2 6 2 2 2 4" xfId="19578" xr:uid="{00000000-0005-0000-0000-00002D6D0000}"/>
    <cellStyle name="Normal 4 2 6 2 2 2 4 2" xfId="54392" xr:uid="{00000000-0005-0000-0000-00002E6D0000}"/>
    <cellStyle name="Normal 4 2 6 2 2 2 5" xfId="19579" xr:uid="{00000000-0005-0000-0000-00002F6D0000}"/>
    <cellStyle name="Normal 4 2 6 2 2 2 6" xfId="19580" xr:uid="{00000000-0005-0000-0000-0000306D0000}"/>
    <cellStyle name="Normal 4 2 6 2 2 2 7" xfId="19581" xr:uid="{00000000-0005-0000-0000-0000316D0000}"/>
    <cellStyle name="Normal 4 2 6 2 2 3" xfId="19582" xr:uid="{00000000-0005-0000-0000-0000326D0000}"/>
    <cellStyle name="Normal 4 2 6 2 2 3 2" xfId="19583" xr:uid="{00000000-0005-0000-0000-0000336D0000}"/>
    <cellStyle name="Normal 4 2 6 2 2 3 2 2" xfId="54393" xr:uid="{00000000-0005-0000-0000-0000346D0000}"/>
    <cellStyle name="Normal 4 2 6 2 2 3 2 3" xfId="54394" xr:uid="{00000000-0005-0000-0000-0000356D0000}"/>
    <cellStyle name="Normal 4 2 6 2 2 3 3" xfId="19584" xr:uid="{00000000-0005-0000-0000-0000366D0000}"/>
    <cellStyle name="Normal 4 2 6 2 2 3 3 2" xfId="54395" xr:uid="{00000000-0005-0000-0000-0000376D0000}"/>
    <cellStyle name="Normal 4 2 6 2 2 3 4" xfId="19585" xr:uid="{00000000-0005-0000-0000-0000386D0000}"/>
    <cellStyle name="Normal 4 2 6 2 2 3 5" xfId="19586" xr:uid="{00000000-0005-0000-0000-0000396D0000}"/>
    <cellStyle name="Normal 4 2 6 2 2 3 6" xfId="19587" xr:uid="{00000000-0005-0000-0000-00003A6D0000}"/>
    <cellStyle name="Normal 4 2 6 2 2 4" xfId="19588" xr:uid="{00000000-0005-0000-0000-00003B6D0000}"/>
    <cellStyle name="Normal 4 2 6 2 2 4 2" xfId="54396" xr:uid="{00000000-0005-0000-0000-00003C6D0000}"/>
    <cellStyle name="Normal 4 2 6 2 2 4 3" xfId="54397" xr:uid="{00000000-0005-0000-0000-00003D6D0000}"/>
    <cellStyle name="Normal 4 2 6 2 2 5" xfId="19589" xr:uid="{00000000-0005-0000-0000-00003E6D0000}"/>
    <cellStyle name="Normal 4 2 6 2 2 5 2" xfId="54398" xr:uid="{00000000-0005-0000-0000-00003F6D0000}"/>
    <cellStyle name="Normal 4 2 6 2 2 6" xfId="19590" xr:uid="{00000000-0005-0000-0000-0000406D0000}"/>
    <cellStyle name="Normal 4 2 6 2 2 7" xfId="19591" xr:uid="{00000000-0005-0000-0000-0000416D0000}"/>
    <cellStyle name="Normal 4 2 6 2 2 8" xfId="19592" xr:uid="{00000000-0005-0000-0000-0000426D0000}"/>
    <cellStyle name="Normal 4 2 6 2 2 9" xfId="19593" xr:uid="{00000000-0005-0000-0000-0000436D0000}"/>
    <cellStyle name="Normal 4 2 6 2 3" xfId="19594" xr:uid="{00000000-0005-0000-0000-0000446D0000}"/>
    <cellStyle name="Normal 4 2 6 2 3 2" xfId="19595" xr:uid="{00000000-0005-0000-0000-0000456D0000}"/>
    <cellStyle name="Normal 4 2 6 2 3 2 2" xfId="19596" xr:uid="{00000000-0005-0000-0000-0000466D0000}"/>
    <cellStyle name="Normal 4 2 6 2 3 2 2 2" xfId="19597" xr:uid="{00000000-0005-0000-0000-0000476D0000}"/>
    <cellStyle name="Normal 4 2 6 2 3 2 2 2 2" xfId="54399" xr:uid="{00000000-0005-0000-0000-0000486D0000}"/>
    <cellStyle name="Normal 4 2 6 2 3 2 2 2 3" xfId="54400" xr:uid="{00000000-0005-0000-0000-0000496D0000}"/>
    <cellStyle name="Normal 4 2 6 2 3 2 2 3" xfId="19598" xr:uid="{00000000-0005-0000-0000-00004A6D0000}"/>
    <cellStyle name="Normal 4 2 6 2 3 2 2 3 2" xfId="54401" xr:uid="{00000000-0005-0000-0000-00004B6D0000}"/>
    <cellStyle name="Normal 4 2 6 2 3 2 2 4" xfId="19599" xr:uid="{00000000-0005-0000-0000-00004C6D0000}"/>
    <cellStyle name="Normal 4 2 6 2 3 2 2 5" xfId="19600" xr:uid="{00000000-0005-0000-0000-00004D6D0000}"/>
    <cellStyle name="Normal 4 2 6 2 3 2 2 6" xfId="19601" xr:uid="{00000000-0005-0000-0000-00004E6D0000}"/>
    <cellStyle name="Normal 4 2 6 2 3 2 3" xfId="19602" xr:uid="{00000000-0005-0000-0000-00004F6D0000}"/>
    <cellStyle name="Normal 4 2 6 2 3 2 3 2" xfId="54402" xr:uid="{00000000-0005-0000-0000-0000506D0000}"/>
    <cellStyle name="Normal 4 2 6 2 3 2 3 3" xfId="54403" xr:uid="{00000000-0005-0000-0000-0000516D0000}"/>
    <cellStyle name="Normal 4 2 6 2 3 2 4" xfId="19603" xr:uid="{00000000-0005-0000-0000-0000526D0000}"/>
    <cellStyle name="Normal 4 2 6 2 3 2 4 2" xfId="54404" xr:uid="{00000000-0005-0000-0000-0000536D0000}"/>
    <cellStyle name="Normal 4 2 6 2 3 2 5" xfId="19604" xr:uid="{00000000-0005-0000-0000-0000546D0000}"/>
    <cellStyle name="Normal 4 2 6 2 3 2 6" xfId="19605" xr:uid="{00000000-0005-0000-0000-0000556D0000}"/>
    <cellStyle name="Normal 4 2 6 2 3 2 7" xfId="19606" xr:uid="{00000000-0005-0000-0000-0000566D0000}"/>
    <cellStyle name="Normal 4 2 6 2 3 3" xfId="19607" xr:uid="{00000000-0005-0000-0000-0000576D0000}"/>
    <cellStyle name="Normal 4 2 6 2 3 3 2" xfId="19608" xr:uid="{00000000-0005-0000-0000-0000586D0000}"/>
    <cellStyle name="Normal 4 2 6 2 3 3 2 2" xfId="54405" xr:uid="{00000000-0005-0000-0000-0000596D0000}"/>
    <cellStyle name="Normal 4 2 6 2 3 3 2 3" xfId="54406" xr:uid="{00000000-0005-0000-0000-00005A6D0000}"/>
    <cellStyle name="Normal 4 2 6 2 3 3 3" xfId="19609" xr:uid="{00000000-0005-0000-0000-00005B6D0000}"/>
    <cellStyle name="Normal 4 2 6 2 3 3 3 2" xfId="54407" xr:uid="{00000000-0005-0000-0000-00005C6D0000}"/>
    <cellStyle name="Normal 4 2 6 2 3 3 4" xfId="19610" xr:uid="{00000000-0005-0000-0000-00005D6D0000}"/>
    <cellStyle name="Normal 4 2 6 2 3 3 5" xfId="19611" xr:uid="{00000000-0005-0000-0000-00005E6D0000}"/>
    <cellStyle name="Normal 4 2 6 2 3 3 6" xfId="19612" xr:uid="{00000000-0005-0000-0000-00005F6D0000}"/>
    <cellStyle name="Normal 4 2 6 2 3 4" xfId="19613" xr:uid="{00000000-0005-0000-0000-0000606D0000}"/>
    <cellStyle name="Normal 4 2 6 2 3 4 2" xfId="54408" xr:uid="{00000000-0005-0000-0000-0000616D0000}"/>
    <cellStyle name="Normal 4 2 6 2 3 4 3" xfId="54409" xr:uid="{00000000-0005-0000-0000-0000626D0000}"/>
    <cellStyle name="Normal 4 2 6 2 3 5" xfId="19614" xr:uid="{00000000-0005-0000-0000-0000636D0000}"/>
    <cellStyle name="Normal 4 2 6 2 3 5 2" xfId="54410" xr:uid="{00000000-0005-0000-0000-0000646D0000}"/>
    <cellStyle name="Normal 4 2 6 2 3 6" xfId="19615" xr:uid="{00000000-0005-0000-0000-0000656D0000}"/>
    <cellStyle name="Normal 4 2 6 2 3 7" xfId="19616" xr:uid="{00000000-0005-0000-0000-0000666D0000}"/>
    <cellStyle name="Normal 4 2 6 2 3 8" xfId="19617" xr:uid="{00000000-0005-0000-0000-0000676D0000}"/>
    <cellStyle name="Normal 4 2 6 2 4" xfId="19618" xr:uid="{00000000-0005-0000-0000-0000686D0000}"/>
    <cellStyle name="Normal 4 2 6 2 4 2" xfId="19619" xr:uid="{00000000-0005-0000-0000-0000696D0000}"/>
    <cellStyle name="Normal 4 2 6 2 4 2 2" xfId="19620" xr:uid="{00000000-0005-0000-0000-00006A6D0000}"/>
    <cellStyle name="Normal 4 2 6 2 4 2 2 2" xfId="54411" xr:uid="{00000000-0005-0000-0000-00006B6D0000}"/>
    <cellStyle name="Normal 4 2 6 2 4 2 2 3" xfId="54412" xr:uid="{00000000-0005-0000-0000-00006C6D0000}"/>
    <cellStyle name="Normal 4 2 6 2 4 2 3" xfId="19621" xr:uid="{00000000-0005-0000-0000-00006D6D0000}"/>
    <cellStyle name="Normal 4 2 6 2 4 2 3 2" xfId="54413" xr:uid="{00000000-0005-0000-0000-00006E6D0000}"/>
    <cellStyle name="Normal 4 2 6 2 4 2 4" xfId="19622" xr:uid="{00000000-0005-0000-0000-00006F6D0000}"/>
    <cellStyle name="Normal 4 2 6 2 4 2 5" xfId="19623" xr:uid="{00000000-0005-0000-0000-0000706D0000}"/>
    <cellStyle name="Normal 4 2 6 2 4 2 6" xfId="19624" xr:uid="{00000000-0005-0000-0000-0000716D0000}"/>
    <cellStyle name="Normal 4 2 6 2 4 3" xfId="19625" xr:uid="{00000000-0005-0000-0000-0000726D0000}"/>
    <cellStyle name="Normal 4 2 6 2 4 3 2" xfId="54414" xr:uid="{00000000-0005-0000-0000-0000736D0000}"/>
    <cellStyle name="Normal 4 2 6 2 4 3 3" xfId="54415" xr:uid="{00000000-0005-0000-0000-0000746D0000}"/>
    <cellStyle name="Normal 4 2 6 2 4 4" xfId="19626" xr:uid="{00000000-0005-0000-0000-0000756D0000}"/>
    <cellStyle name="Normal 4 2 6 2 4 4 2" xfId="54416" xr:uid="{00000000-0005-0000-0000-0000766D0000}"/>
    <cellStyle name="Normal 4 2 6 2 4 5" xfId="19627" xr:uid="{00000000-0005-0000-0000-0000776D0000}"/>
    <cellStyle name="Normal 4 2 6 2 4 6" xfId="19628" xr:uid="{00000000-0005-0000-0000-0000786D0000}"/>
    <cellStyle name="Normal 4 2 6 2 4 7" xfId="19629" xr:uid="{00000000-0005-0000-0000-0000796D0000}"/>
    <cellStyle name="Normal 4 2 6 2 5" xfId="19630" xr:uid="{00000000-0005-0000-0000-00007A6D0000}"/>
    <cellStyle name="Normal 4 2 6 2 5 2" xfId="19631" xr:uid="{00000000-0005-0000-0000-00007B6D0000}"/>
    <cellStyle name="Normal 4 2 6 2 5 2 2" xfId="54417" xr:uid="{00000000-0005-0000-0000-00007C6D0000}"/>
    <cellStyle name="Normal 4 2 6 2 5 2 3" xfId="54418" xr:uid="{00000000-0005-0000-0000-00007D6D0000}"/>
    <cellStyle name="Normal 4 2 6 2 5 3" xfId="19632" xr:uid="{00000000-0005-0000-0000-00007E6D0000}"/>
    <cellStyle name="Normal 4 2 6 2 5 3 2" xfId="54419" xr:uid="{00000000-0005-0000-0000-00007F6D0000}"/>
    <cellStyle name="Normal 4 2 6 2 5 4" xfId="19633" xr:uid="{00000000-0005-0000-0000-0000806D0000}"/>
    <cellStyle name="Normal 4 2 6 2 5 5" xfId="19634" xr:uid="{00000000-0005-0000-0000-0000816D0000}"/>
    <cellStyle name="Normal 4 2 6 2 5 6" xfId="19635" xr:uid="{00000000-0005-0000-0000-0000826D0000}"/>
    <cellStyle name="Normal 4 2 6 2 6" xfId="19636" xr:uid="{00000000-0005-0000-0000-0000836D0000}"/>
    <cellStyle name="Normal 4 2 6 2 6 2" xfId="54420" xr:uid="{00000000-0005-0000-0000-0000846D0000}"/>
    <cellStyle name="Normal 4 2 6 2 7" xfId="19637" xr:uid="{00000000-0005-0000-0000-0000856D0000}"/>
    <cellStyle name="Normal 4 2 6 2 8" xfId="19638" xr:uid="{00000000-0005-0000-0000-0000866D0000}"/>
    <cellStyle name="Normal 4 2 6 2 9" xfId="19639" xr:uid="{00000000-0005-0000-0000-0000876D0000}"/>
    <cellStyle name="Normal 4 2 6 3" xfId="19640" xr:uid="{00000000-0005-0000-0000-0000886D0000}"/>
    <cellStyle name="Normal 4 2 6 3 2" xfId="19641" xr:uid="{00000000-0005-0000-0000-0000896D0000}"/>
    <cellStyle name="Normal 4 2 6 3 2 2" xfId="19642" xr:uid="{00000000-0005-0000-0000-00008A6D0000}"/>
    <cellStyle name="Normal 4 2 6 3 2 2 2" xfId="19643" xr:uid="{00000000-0005-0000-0000-00008B6D0000}"/>
    <cellStyle name="Normal 4 2 6 3 2 2 2 2" xfId="54421" xr:uid="{00000000-0005-0000-0000-00008C6D0000}"/>
    <cellStyle name="Normal 4 2 6 3 2 2 2 3" xfId="54422" xr:uid="{00000000-0005-0000-0000-00008D6D0000}"/>
    <cellStyle name="Normal 4 2 6 3 2 2 3" xfId="19644" xr:uid="{00000000-0005-0000-0000-00008E6D0000}"/>
    <cellStyle name="Normal 4 2 6 3 2 2 3 2" xfId="54423" xr:uid="{00000000-0005-0000-0000-00008F6D0000}"/>
    <cellStyle name="Normal 4 2 6 3 2 2 4" xfId="19645" xr:uid="{00000000-0005-0000-0000-0000906D0000}"/>
    <cellStyle name="Normal 4 2 6 3 2 2 5" xfId="19646" xr:uid="{00000000-0005-0000-0000-0000916D0000}"/>
    <cellStyle name="Normal 4 2 6 3 2 2 6" xfId="19647" xr:uid="{00000000-0005-0000-0000-0000926D0000}"/>
    <cellStyle name="Normal 4 2 6 3 2 3" xfId="19648" xr:uid="{00000000-0005-0000-0000-0000936D0000}"/>
    <cellStyle name="Normal 4 2 6 3 2 3 2" xfId="54424" xr:uid="{00000000-0005-0000-0000-0000946D0000}"/>
    <cellStyle name="Normal 4 2 6 3 2 3 3" xfId="54425" xr:uid="{00000000-0005-0000-0000-0000956D0000}"/>
    <cellStyle name="Normal 4 2 6 3 2 4" xfId="19649" xr:uid="{00000000-0005-0000-0000-0000966D0000}"/>
    <cellStyle name="Normal 4 2 6 3 2 4 2" xfId="54426" xr:uid="{00000000-0005-0000-0000-0000976D0000}"/>
    <cellStyle name="Normal 4 2 6 3 2 5" xfId="19650" xr:uid="{00000000-0005-0000-0000-0000986D0000}"/>
    <cellStyle name="Normal 4 2 6 3 2 6" xfId="19651" xr:uid="{00000000-0005-0000-0000-0000996D0000}"/>
    <cellStyle name="Normal 4 2 6 3 2 7" xfId="19652" xr:uid="{00000000-0005-0000-0000-00009A6D0000}"/>
    <cellStyle name="Normal 4 2 6 3 3" xfId="19653" xr:uid="{00000000-0005-0000-0000-00009B6D0000}"/>
    <cellStyle name="Normal 4 2 6 3 3 2" xfId="19654" xr:uid="{00000000-0005-0000-0000-00009C6D0000}"/>
    <cellStyle name="Normal 4 2 6 3 3 2 2" xfId="54427" xr:uid="{00000000-0005-0000-0000-00009D6D0000}"/>
    <cellStyle name="Normal 4 2 6 3 3 2 3" xfId="54428" xr:uid="{00000000-0005-0000-0000-00009E6D0000}"/>
    <cellStyle name="Normal 4 2 6 3 3 3" xfId="19655" xr:uid="{00000000-0005-0000-0000-00009F6D0000}"/>
    <cellStyle name="Normal 4 2 6 3 3 3 2" xfId="54429" xr:uid="{00000000-0005-0000-0000-0000A06D0000}"/>
    <cellStyle name="Normal 4 2 6 3 3 4" xfId="19656" xr:uid="{00000000-0005-0000-0000-0000A16D0000}"/>
    <cellStyle name="Normal 4 2 6 3 3 5" xfId="19657" xr:uid="{00000000-0005-0000-0000-0000A26D0000}"/>
    <cellStyle name="Normal 4 2 6 3 3 6" xfId="19658" xr:uid="{00000000-0005-0000-0000-0000A36D0000}"/>
    <cellStyle name="Normal 4 2 6 3 4" xfId="19659" xr:uid="{00000000-0005-0000-0000-0000A46D0000}"/>
    <cellStyle name="Normal 4 2 6 3 4 2" xfId="54430" xr:uid="{00000000-0005-0000-0000-0000A56D0000}"/>
    <cellStyle name="Normal 4 2 6 3 4 3" xfId="54431" xr:uid="{00000000-0005-0000-0000-0000A66D0000}"/>
    <cellStyle name="Normal 4 2 6 3 5" xfId="19660" xr:uid="{00000000-0005-0000-0000-0000A76D0000}"/>
    <cellStyle name="Normal 4 2 6 3 5 2" xfId="54432" xr:uid="{00000000-0005-0000-0000-0000A86D0000}"/>
    <cellStyle name="Normal 4 2 6 3 6" xfId="19661" xr:uid="{00000000-0005-0000-0000-0000A96D0000}"/>
    <cellStyle name="Normal 4 2 6 3 7" xfId="19662" xr:uid="{00000000-0005-0000-0000-0000AA6D0000}"/>
    <cellStyle name="Normal 4 2 6 3 8" xfId="19663" xr:uid="{00000000-0005-0000-0000-0000AB6D0000}"/>
    <cellStyle name="Normal 4 2 6 3 9" xfId="19664" xr:uid="{00000000-0005-0000-0000-0000AC6D0000}"/>
    <cellStyle name="Normal 4 2 6 4" xfId="19665" xr:uid="{00000000-0005-0000-0000-0000AD6D0000}"/>
    <cellStyle name="Normal 4 2 6 4 2" xfId="19666" xr:uid="{00000000-0005-0000-0000-0000AE6D0000}"/>
    <cellStyle name="Normal 4 2 6 4 2 2" xfId="19667" xr:uid="{00000000-0005-0000-0000-0000AF6D0000}"/>
    <cellStyle name="Normal 4 2 6 4 2 2 2" xfId="19668" xr:uid="{00000000-0005-0000-0000-0000B06D0000}"/>
    <cellStyle name="Normal 4 2 6 4 2 2 2 2" xfId="54433" xr:uid="{00000000-0005-0000-0000-0000B16D0000}"/>
    <cellStyle name="Normal 4 2 6 4 2 2 2 3" xfId="54434" xr:uid="{00000000-0005-0000-0000-0000B26D0000}"/>
    <cellStyle name="Normal 4 2 6 4 2 2 3" xfId="19669" xr:uid="{00000000-0005-0000-0000-0000B36D0000}"/>
    <cellStyle name="Normal 4 2 6 4 2 2 3 2" xfId="54435" xr:uid="{00000000-0005-0000-0000-0000B46D0000}"/>
    <cellStyle name="Normal 4 2 6 4 2 2 4" xfId="19670" xr:uid="{00000000-0005-0000-0000-0000B56D0000}"/>
    <cellStyle name="Normal 4 2 6 4 2 2 5" xfId="19671" xr:uid="{00000000-0005-0000-0000-0000B66D0000}"/>
    <cellStyle name="Normal 4 2 6 4 2 2 6" xfId="19672" xr:uid="{00000000-0005-0000-0000-0000B76D0000}"/>
    <cellStyle name="Normal 4 2 6 4 2 3" xfId="19673" xr:uid="{00000000-0005-0000-0000-0000B86D0000}"/>
    <cellStyle name="Normal 4 2 6 4 2 3 2" xfId="54436" xr:uid="{00000000-0005-0000-0000-0000B96D0000}"/>
    <cellStyle name="Normal 4 2 6 4 2 3 3" xfId="54437" xr:uid="{00000000-0005-0000-0000-0000BA6D0000}"/>
    <cellStyle name="Normal 4 2 6 4 2 4" xfId="19674" xr:uid="{00000000-0005-0000-0000-0000BB6D0000}"/>
    <cellStyle name="Normal 4 2 6 4 2 4 2" xfId="54438" xr:uid="{00000000-0005-0000-0000-0000BC6D0000}"/>
    <cellStyle name="Normal 4 2 6 4 2 5" xfId="19675" xr:uid="{00000000-0005-0000-0000-0000BD6D0000}"/>
    <cellStyle name="Normal 4 2 6 4 2 6" xfId="19676" xr:uid="{00000000-0005-0000-0000-0000BE6D0000}"/>
    <cellStyle name="Normal 4 2 6 4 2 7" xfId="19677" xr:uid="{00000000-0005-0000-0000-0000BF6D0000}"/>
    <cellStyle name="Normal 4 2 6 4 3" xfId="19678" xr:uid="{00000000-0005-0000-0000-0000C06D0000}"/>
    <cellStyle name="Normal 4 2 6 4 3 2" xfId="19679" xr:uid="{00000000-0005-0000-0000-0000C16D0000}"/>
    <cellStyle name="Normal 4 2 6 4 3 2 2" xfId="54439" xr:uid="{00000000-0005-0000-0000-0000C26D0000}"/>
    <cellStyle name="Normal 4 2 6 4 3 2 3" xfId="54440" xr:uid="{00000000-0005-0000-0000-0000C36D0000}"/>
    <cellStyle name="Normal 4 2 6 4 3 3" xfId="19680" xr:uid="{00000000-0005-0000-0000-0000C46D0000}"/>
    <cellStyle name="Normal 4 2 6 4 3 3 2" xfId="54441" xr:uid="{00000000-0005-0000-0000-0000C56D0000}"/>
    <cellStyle name="Normal 4 2 6 4 3 4" xfId="19681" xr:uid="{00000000-0005-0000-0000-0000C66D0000}"/>
    <cellStyle name="Normal 4 2 6 4 3 5" xfId="19682" xr:uid="{00000000-0005-0000-0000-0000C76D0000}"/>
    <cellStyle name="Normal 4 2 6 4 3 6" xfId="19683" xr:uid="{00000000-0005-0000-0000-0000C86D0000}"/>
    <cellStyle name="Normal 4 2 6 4 4" xfId="19684" xr:uid="{00000000-0005-0000-0000-0000C96D0000}"/>
    <cellStyle name="Normal 4 2 6 4 4 2" xfId="54442" xr:uid="{00000000-0005-0000-0000-0000CA6D0000}"/>
    <cellStyle name="Normal 4 2 6 4 4 3" xfId="54443" xr:uid="{00000000-0005-0000-0000-0000CB6D0000}"/>
    <cellStyle name="Normal 4 2 6 4 5" xfId="19685" xr:uid="{00000000-0005-0000-0000-0000CC6D0000}"/>
    <cellStyle name="Normal 4 2 6 4 5 2" xfId="54444" xr:uid="{00000000-0005-0000-0000-0000CD6D0000}"/>
    <cellStyle name="Normal 4 2 6 4 6" xfId="19686" xr:uid="{00000000-0005-0000-0000-0000CE6D0000}"/>
    <cellStyle name="Normal 4 2 6 4 7" xfId="19687" xr:uid="{00000000-0005-0000-0000-0000CF6D0000}"/>
    <cellStyle name="Normal 4 2 6 4 8" xfId="19688" xr:uid="{00000000-0005-0000-0000-0000D06D0000}"/>
    <cellStyle name="Normal 4 2 6 5" xfId="19689" xr:uid="{00000000-0005-0000-0000-0000D16D0000}"/>
    <cellStyle name="Normal 4 2 6 5 2" xfId="19690" xr:uid="{00000000-0005-0000-0000-0000D26D0000}"/>
    <cellStyle name="Normal 4 2 6 5 2 2" xfId="19691" xr:uid="{00000000-0005-0000-0000-0000D36D0000}"/>
    <cellStyle name="Normal 4 2 6 5 2 2 2" xfId="54445" xr:uid="{00000000-0005-0000-0000-0000D46D0000}"/>
    <cellStyle name="Normal 4 2 6 5 2 2 3" xfId="54446" xr:uid="{00000000-0005-0000-0000-0000D56D0000}"/>
    <cellStyle name="Normal 4 2 6 5 2 3" xfId="19692" xr:uid="{00000000-0005-0000-0000-0000D66D0000}"/>
    <cellStyle name="Normal 4 2 6 5 2 3 2" xfId="54447" xr:uid="{00000000-0005-0000-0000-0000D76D0000}"/>
    <cellStyle name="Normal 4 2 6 5 2 4" xfId="19693" xr:uid="{00000000-0005-0000-0000-0000D86D0000}"/>
    <cellStyle name="Normal 4 2 6 5 2 5" xfId="19694" xr:uid="{00000000-0005-0000-0000-0000D96D0000}"/>
    <cellStyle name="Normal 4 2 6 5 2 6" xfId="19695" xr:uid="{00000000-0005-0000-0000-0000DA6D0000}"/>
    <cellStyle name="Normal 4 2 6 5 3" xfId="19696" xr:uid="{00000000-0005-0000-0000-0000DB6D0000}"/>
    <cellStyle name="Normal 4 2 6 5 3 2" xfId="54448" xr:uid="{00000000-0005-0000-0000-0000DC6D0000}"/>
    <cellStyle name="Normal 4 2 6 5 3 3" xfId="54449" xr:uid="{00000000-0005-0000-0000-0000DD6D0000}"/>
    <cellStyle name="Normal 4 2 6 5 4" xfId="19697" xr:uid="{00000000-0005-0000-0000-0000DE6D0000}"/>
    <cellStyle name="Normal 4 2 6 5 4 2" xfId="54450" xr:uid="{00000000-0005-0000-0000-0000DF6D0000}"/>
    <cellStyle name="Normal 4 2 6 5 5" xfId="19698" xr:uid="{00000000-0005-0000-0000-0000E06D0000}"/>
    <cellStyle name="Normal 4 2 6 5 6" xfId="19699" xr:uid="{00000000-0005-0000-0000-0000E16D0000}"/>
    <cellStyle name="Normal 4 2 6 5 7" xfId="19700" xr:uid="{00000000-0005-0000-0000-0000E26D0000}"/>
    <cellStyle name="Normal 4 2 6 6" xfId="19701" xr:uid="{00000000-0005-0000-0000-0000E36D0000}"/>
    <cellStyle name="Normal 4 2 6 6 2" xfId="19702" xr:uid="{00000000-0005-0000-0000-0000E46D0000}"/>
    <cellStyle name="Normal 4 2 6 6 2 2" xfId="54451" xr:uid="{00000000-0005-0000-0000-0000E56D0000}"/>
    <cellStyle name="Normal 4 2 6 6 2 3" xfId="54452" xr:uid="{00000000-0005-0000-0000-0000E66D0000}"/>
    <cellStyle name="Normal 4 2 6 6 3" xfId="19703" xr:uid="{00000000-0005-0000-0000-0000E76D0000}"/>
    <cellStyle name="Normal 4 2 6 6 3 2" xfId="54453" xr:uid="{00000000-0005-0000-0000-0000E86D0000}"/>
    <cellStyle name="Normal 4 2 6 6 4" xfId="19704" xr:uid="{00000000-0005-0000-0000-0000E96D0000}"/>
    <cellStyle name="Normal 4 2 6 6 5" xfId="19705" xr:uid="{00000000-0005-0000-0000-0000EA6D0000}"/>
    <cellStyle name="Normal 4 2 6 6 6" xfId="19706" xr:uid="{00000000-0005-0000-0000-0000EB6D0000}"/>
    <cellStyle name="Normal 4 2 6 7" xfId="19707" xr:uid="{00000000-0005-0000-0000-0000EC6D0000}"/>
    <cellStyle name="Normal 4 2 6 7 2" xfId="54454" xr:uid="{00000000-0005-0000-0000-0000ED6D0000}"/>
    <cellStyle name="Normal 4 2 6 8" xfId="19708" xr:uid="{00000000-0005-0000-0000-0000EE6D0000}"/>
    <cellStyle name="Normal 4 2 6 9" xfId="19709" xr:uid="{00000000-0005-0000-0000-0000EF6D0000}"/>
    <cellStyle name="Normal 4 2 7" xfId="19710" xr:uid="{00000000-0005-0000-0000-0000F06D0000}"/>
    <cellStyle name="Normal 4 2 7 10" xfId="19711" xr:uid="{00000000-0005-0000-0000-0000F16D0000}"/>
    <cellStyle name="Normal 4 2 7 11" xfId="19712" xr:uid="{00000000-0005-0000-0000-0000F26D0000}"/>
    <cellStyle name="Normal 4 2 7 12" xfId="19713" xr:uid="{00000000-0005-0000-0000-0000F36D0000}"/>
    <cellStyle name="Normal 4 2 7 13" xfId="19714" xr:uid="{00000000-0005-0000-0000-0000F46D0000}"/>
    <cellStyle name="Normal 4 2 7 14" xfId="19715" xr:uid="{00000000-0005-0000-0000-0000F56D0000}"/>
    <cellStyle name="Normal 4 2 7 15" xfId="19716" xr:uid="{00000000-0005-0000-0000-0000F66D0000}"/>
    <cellStyle name="Normal 4 2 7 16" xfId="19717" xr:uid="{00000000-0005-0000-0000-0000F76D0000}"/>
    <cellStyle name="Normal 4 2 7 2" xfId="19718" xr:uid="{00000000-0005-0000-0000-0000F86D0000}"/>
    <cellStyle name="Normal 4 2 7 2 10" xfId="19719" xr:uid="{00000000-0005-0000-0000-0000F96D0000}"/>
    <cellStyle name="Normal 4 2 7 2 11" xfId="19720" xr:uid="{00000000-0005-0000-0000-0000FA6D0000}"/>
    <cellStyle name="Normal 4 2 7 2 12" xfId="19721" xr:uid="{00000000-0005-0000-0000-0000FB6D0000}"/>
    <cellStyle name="Normal 4 2 7 2 13" xfId="19722" xr:uid="{00000000-0005-0000-0000-0000FC6D0000}"/>
    <cellStyle name="Normal 4 2 7 2 14" xfId="19723" xr:uid="{00000000-0005-0000-0000-0000FD6D0000}"/>
    <cellStyle name="Normal 4 2 7 2 2" xfId="19724" xr:uid="{00000000-0005-0000-0000-0000FE6D0000}"/>
    <cellStyle name="Normal 4 2 7 2 2 2" xfId="19725" xr:uid="{00000000-0005-0000-0000-0000FF6D0000}"/>
    <cellStyle name="Normal 4 2 7 2 2 2 2" xfId="19726" xr:uid="{00000000-0005-0000-0000-0000006E0000}"/>
    <cellStyle name="Normal 4 2 7 2 2 2 2 2" xfId="19727" xr:uid="{00000000-0005-0000-0000-0000016E0000}"/>
    <cellStyle name="Normal 4 2 7 2 2 2 2 2 2" xfId="54455" xr:uid="{00000000-0005-0000-0000-0000026E0000}"/>
    <cellStyle name="Normal 4 2 7 2 2 2 2 2 3" xfId="54456" xr:uid="{00000000-0005-0000-0000-0000036E0000}"/>
    <cellStyle name="Normal 4 2 7 2 2 2 2 3" xfId="19728" xr:uid="{00000000-0005-0000-0000-0000046E0000}"/>
    <cellStyle name="Normal 4 2 7 2 2 2 2 3 2" xfId="54457" xr:uid="{00000000-0005-0000-0000-0000056E0000}"/>
    <cellStyle name="Normal 4 2 7 2 2 2 2 4" xfId="19729" xr:uid="{00000000-0005-0000-0000-0000066E0000}"/>
    <cellStyle name="Normal 4 2 7 2 2 2 2 5" xfId="19730" xr:uid="{00000000-0005-0000-0000-0000076E0000}"/>
    <cellStyle name="Normal 4 2 7 2 2 2 2 6" xfId="19731" xr:uid="{00000000-0005-0000-0000-0000086E0000}"/>
    <cellStyle name="Normal 4 2 7 2 2 2 3" xfId="19732" xr:uid="{00000000-0005-0000-0000-0000096E0000}"/>
    <cellStyle name="Normal 4 2 7 2 2 2 3 2" xfId="54458" xr:uid="{00000000-0005-0000-0000-00000A6E0000}"/>
    <cellStyle name="Normal 4 2 7 2 2 2 3 3" xfId="54459" xr:uid="{00000000-0005-0000-0000-00000B6E0000}"/>
    <cellStyle name="Normal 4 2 7 2 2 2 4" xfId="19733" xr:uid="{00000000-0005-0000-0000-00000C6E0000}"/>
    <cellStyle name="Normal 4 2 7 2 2 2 4 2" xfId="54460" xr:uid="{00000000-0005-0000-0000-00000D6E0000}"/>
    <cellStyle name="Normal 4 2 7 2 2 2 5" xfId="19734" xr:uid="{00000000-0005-0000-0000-00000E6E0000}"/>
    <cellStyle name="Normal 4 2 7 2 2 2 6" xfId="19735" xr:uid="{00000000-0005-0000-0000-00000F6E0000}"/>
    <cellStyle name="Normal 4 2 7 2 2 2 7" xfId="19736" xr:uid="{00000000-0005-0000-0000-0000106E0000}"/>
    <cellStyle name="Normal 4 2 7 2 2 3" xfId="19737" xr:uid="{00000000-0005-0000-0000-0000116E0000}"/>
    <cellStyle name="Normal 4 2 7 2 2 3 2" xfId="19738" xr:uid="{00000000-0005-0000-0000-0000126E0000}"/>
    <cellStyle name="Normal 4 2 7 2 2 3 2 2" xfId="54461" xr:uid="{00000000-0005-0000-0000-0000136E0000}"/>
    <cellStyle name="Normal 4 2 7 2 2 3 2 3" xfId="54462" xr:uid="{00000000-0005-0000-0000-0000146E0000}"/>
    <cellStyle name="Normal 4 2 7 2 2 3 3" xfId="19739" xr:uid="{00000000-0005-0000-0000-0000156E0000}"/>
    <cellStyle name="Normal 4 2 7 2 2 3 3 2" xfId="54463" xr:uid="{00000000-0005-0000-0000-0000166E0000}"/>
    <cellStyle name="Normal 4 2 7 2 2 3 4" xfId="19740" xr:uid="{00000000-0005-0000-0000-0000176E0000}"/>
    <cellStyle name="Normal 4 2 7 2 2 3 5" xfId="19741" xr:uid="{00000000-0005-0000-0000-0000186E0000}"/>
    <cellStyle name="Normal 4 2 7 2 2 3 6" xfId="19742" xr:uid="{00000000-0005-0000-0000-0000196E0000}"/>
    <cellStyle name="Normal 4 2 7 2 2 4" xfId="19743" xr:uid="{00000000-0005-0000-0000-00001A6E0000}"/>
    <cellStyle name="Normal 4 2 7 2 2 4 2" xfId="54464" xr:uid="{00000000-0005-0000-0000-00001B6E0000}"/>
    <cellStyle name="Normal 4 2 7 2 2 4 3" xfId="54465" xr:uid="{00000000-0005-0000-0000-00001C6E0000}"/>
    <cellStyle name="Normal 4 2 7 2 2 5" xfId="19744" xr:uid="{00000000-0005-0000-0000-00001D6E0000}"/>
    <cellStyle name="Normal 4 2 7 2 2 5 2" xfId="54466" xr:uid="{00000000-0005-0000-0000-00001E6E0000}"/>
    <cellStyle name="Normal 4 2 7 2 2 6" xfId="19745" xr:uid="{00000000-0005-0000-0000-00001F6E0000}"/>
    <cellStyle name="Normal 4 2 7 2 2 7" xfId="19746" xr:uid="{00000000-0005-0000-0000-0000206E0000}"/>
    <cellStyle name="Normal 4 2 7 2 2 8" xfId="19747" xr:uid="{00000000-0005-0000-0000-0000216E0000}"/>
    <cellStyle name="Normal 4 2 7 2 2 9" xfId="19748" xr:uid="{00000000-0005-0000-0000-0000226E0000}"/>
    <cellStyle name="Normal 4 2 7 2 3" xfId="19749" xr:uid="{00000000-0005-0000-0000-0000236E0000}"/>
    <cellStyle name="Normal 4 2 7 2 3 2" xfId="19750" xr:uid="{00000000-0005-0000-0000-0000246E0000}"/>
    <cellStyle name="Normal 4 2 7 2 3 2 2" xfId="19751" xr:uid="{00000000-0005-0000-0000-0000256E0000}"/>
    <cellStyle name="Normal 4 2 7 2 3 2 2 2" xfId="19752" xr:uid="{00000000-0005-0000-0000-0000266E0000}"/>
    <cellStyle name="Normal 4 2 7 2 3 2 2 2 2" xfId="54467" xr:uid="{00000000-0005-0000-0000-0000276E0000}"/>
    <cellStyle name="Normal 4 2 7 2 3 2 2 2 3" xfId="54468" xr:uid="{00000000-0005-0000-0000-0000286E0000}"/>
    <cellStyle name="Normal 4 2 7 2 3 2 2 3" xfId="19753" xr:uid="{00000000-0005-0000-0000-0000296E0000}"/>
    <cellStyle name="Normal 4 2 7 2 3 2 2 3 2" xfId="54469" xr:uid="{00000000-0005-0000-0000-00002A6E0000}"/>
    <cellStyle name="Normal 4 2 7 2 3 2 2 4" xfId="19754" xr:uid="{00000000-0005-0000-0000-00002B6E0000}"/>
    <cellStyle name="Normal 4 2 7 2 3 2 2 5" xfId="19755" xr:uid="{00000000-0005-0000-0000-00002C6E0000}"/>
    <cellStyle name="Normal 4 2 7 2 3 2 2 6" xfId="19756" xr:uid="{00000000-0005-0000-0000-00002D6E0000}"/>
    <cellStyle name="Normal 4 2 7 2 3 2 3" xfId="19757" xr:uid="{00000000-0005-0000-0000-00002E6E0000}"/>
    <cellStyle name="Normal 4 2 7 2 3 2 3 2" xfId="54470" xr:uid="{00000000-0005-0000-0000-00002F6E0000}"/>
    <cellStyle name="Normal 4 2 7 2 3 2 3 3" xfId="54471" xr:uid="{00000000-0005-0000-0000-0000306E0000}"/>
    <cellStyle name="Normal 4 2 7 2 3 2 4" xfId="19758" xr:uid="{00000000-0005-0000-0000-0000316E0000}"/>
    <cellStyle name="Normal 4 2 7 2 3 2 4 2" xfId="54472" xr:uid="{00000000-0005-0000-0000-0000326E0000}"/>
    <cellStyle name="Normal 4 2 7 2 3 2 5" xfId="19759" xr:uid="{00000000-0005-0000-0000-0000336E0000}"/>
    <cellStyle name="Normal 4 2 7 2 3 2 6" xfId="19760" xr:uid="{00000000-0005-0000-0000-0000346E0000}"/>
    <cellStyle name="Normal 4 2 7 2 3 2 7" xfId="19761" xr:uid="{00000000-0005-0000-0000-0000356E0000}"/>
    <cellStyle name="Normal 4 2 7 2 3 3" xfId="19762" xr:uid="{00000000-0005-0000-0000-0000366E0000}"/>
    <cellStyle name="Normal 4 2 7 2 3 3 2" xfId="19763" xr:uid="{00000000-0005-0000-0000-0000376E0000}"/>
    <cellStyle name="Normal 4 2 7 2 3 3 2 2" xfId="54473" xr:uid="{00000000-0005-0000-0000-0000386E0000}"/>
    <cellStyle name="Normal 4 2 7 2 3 3 2 3" xfId="54474" xr:uid="{00000000-0005-0000-0000-0000396E0000}"/>
    <cellStyle name="Normal 4 2 7 2 3 3 3" xfId="19764" xr:uid="{00000000-0005-0000-0000-00003A6E0000}"/>
    <cellStyle name="Normal 4 2 7 2 3 3 3 2" xfId="54475" xr:uid="{00000000-0005-0000-0000-00003B6E0000}"/>
    <cellStyle name="Normal 4 2 7 2 3 3 4" xfId="19765" xr:uid="{00000000-0005-0000-0000-00003C6E0000}"/>
    <cellStyle name="Normal 4 2 7 2 3 3 5" xfId="19766" xr:uid="{00000000-0005-0000-0000-00003D6E0000}"/>
    <cellStyle name="Normal 4 2 7 2 3 3 6" xfId="19767" xr:uid="{00000000-0005-0000-0000-00003E6E0000}"/>
    <cellStyle name="Normal 4 2 7 2 3 4" xfId="19768" xr:uid="{00000000-0005-0000-0000-00003F6E0000}"/>
    <cellStyle name="Normal 4 2 7 2 3 4 2" xfId="54476" xr:uid="{00000000-0005-0000-0000-0000406E0000}"/>
    <cellStyle name="Normal 4 2 7 2 3 4 3" xfId="54477" xr:uid="{00000000-0005-0000-0000-0000416E0000}"/>
    <cellStyle name="Normal 4 2 7 2 3 5" xfId="19769" xr:uid="{00000000-0005-0000-0000-0000426E0000}"/>
    <cellStyle name="Normal 4 2 7 2 3 5 2" xfId="54478" xr:uid="{00000000-0005-0000-0000-0000436E0000}"/>
    <cellStyle name="Normal 4 2 7 2 3 6" xfId="19770" xr:uid="{00000000-0005-0000-0000-0000446E0000}"/>
    <cellStyle name="Normal 4 2 7 2 3 7" xfId="19771" xr:uid="{00000000-0005-0000-0000-0000456E0000}"/>
    <cellStyle name="Normal 4 2 7 2 3 8" xfId="19772" xr:uid="{00000000-0005-0000-0000-0000466E0000}"/>
    <cellStyle name="Normal 4 2 7 2 4" xfId="19773" xr:uid="{00000000-0005-0000-0000-0000476E0000}"/>
    <cellStyle name="Normal 4 2 7 2 4 2" xfId="19774" xr:uid="{00000000-0005-0000-0000-0000486E0000}"/>
    <cellStyle name="Normal 4 2 7 2 4 2 2" xfId="19775" xr:uid="{00000000-0005-0000-0000-0000496E0000}"/>
    <cellStyle name="Normal 4 2 7 2 4 2 2 2" xfId="54479" xr:uid="{00000000-0005-0000-0000-00004A6E0000}"/>
    <cellStyle name="Normal 4 2 7 2 4 2 2 3" xfId="54480" xr:uid="{00000000-0005-0000-0000-00004B6E0000}"/>
    <cellStyle name="Normal 4 2 7 2 4 2 3" xfId="19776" xr:uid="{00000000-0005-0000-0000-00004C6E0000}"/>
    <cellStyle name="Normal 4 2 7 2 4 2 3 2" xfId="54481" xr:uid="{00000000-0005-0000-0000-00004D6E0000}"/>
    <cellStyle name="Normal 4 2 7 2 4 2 4" xfId="19777" xr:uid="{00000000-0005-0000-0000-00004E6E0000}"/>
    <cellStyle name="Normal 4 2 7 2 4 2 5" xfId="19778" xr:uid="{00000000-0005-0000-0000-00004F6E0000}"/>
    <cellStyle name="Normal 4 2 7 2 4 2 6" xfId="19779" xr:uid="{00000000-0005-0000-0000-0000506E0000}"/>
    <cellStyle name="Normal 4 2 7 2 4 3" xfId="19780" xr:uid="{00000000-0005-0000-0000-0000516E0000}"/>
    <cellStyle name="Normal 4 2 7 2 4 3 2" xfId="54482" xr:uid="{00000000-0005-0000-0000-0000526E0000}"/>
    <cellStyle name="Normal 4 2 7 2 4 3 3" xfId="54483" xr:uid="{00000000-0005-0000-0000-0000536E0000}"/>
    <cellStyle name="Normal 4 2 7 2 4 4" xfId="19781" xr:uid="{00000000-0005-0000-0000-0000546E0000}"/>
    <cellStyle name="Normal 4 2 7 2 4 4 2" xfId="54484" xr:uid="{00000000-0005-0000-0000-0000556E0000}"/>
    <cellStyle name="Normal 4 2 7 2 4 5" xfId="19782" xr:uid="{00000000-0005-0000-0000-0000566E0000}"/>
    <cellStyle name="Normal 4 2 7 2 4 6" xfId="19783" xr:uid="{00000000-0005-0000-0000-0000576E0000}"/>
    <cellStyle name="Normal 4 2 7 2 4 7" xfId="19784" xr:uid="{00000000-0005-0000-0000-0000586E0000}"/>
    <cellStyle name="Normal 4 2 7 2 5" xfId="19785" xr:uid="{00000000-0005-0000-0000-0000596E0000}"/>
    <cellStyle name="Normal 4 2 7 2 5 2" xfId="19786" xr:uid="{00000000-0005-0000-0000-00005A6E0000}"/>
    <cellStyle name="Normal 4 2 7 2 5 2 2" xfId="54485" xr:uid="{00000000-0005-0000-0000-00005B6E0000}"/>
    <cellStyle name="Normal 4 2 7 2 5 2 3" xfId="54486" xr:uid="{00000000-0005-0000-0000-00005C6E0000}"/>
    <cellStyle name="Normal 4 2 7 2 5 3" xfId="19787" xr:uid="{00000000-0005-0000-0000-00005D6E0000}"/>
    <cellStyle name="Normal 4 2 7 2 5 3 2" xfId="54487" xr:uid="{00000000-0005-0000-0000-00005E6E0000}"/>
    <cellStyle name="Normal 4 2 7 2 5 4" xfId="19788" xr:uid="{00000000-0005-0000-0000-00005F6E0000}"/>
    <cellStyle name="Normal 4 2 7 2 5 5" xfId="19789" xr:uid="{00000000-0005-0000-0000-0000606E0000}"/>
    <cellStyle name="Normal 4 2 7 2 5 6" xfId="19790" xr:uid="{00000000-0005-0000-0000-0000616E0000}"/>
    <cellStyle name="Normal 4 2 7 2 6" xfId="19791" xr:uid="{00000000-0005-0000-0000-0000626E0000}"/>
    <cellStyle name="Normal 4 2 7 2 6 2" xfId="54488" xr:uid="{00000000-0005-0000-0000-0000636E0000}"/>
    <cellStyle name="Normal 4 2 7 2 6 3" xfId="54489" xr:uid="{00000000-0005-0000-0000-0000646E0000}"/>
    <cellStyle name="Normal 4 2 7 2 7" xfId="19792" xr:uid="{00000000-0005-0000-0000-0000656E0000}"/>
    <cellStyle name="Normal 4 2 7 2 7 2" xfId="54490" xr:uid="{00000000-0005-0000-0000-0000666E0000}"/>
    <cellStyle name="Normal 4 2 7 2 8" xfId="19793" xr:uid="{00000000-0005-0000-0000-0000676E0000}"/>
    <cellStyle name="Normal 4 2 7 2 9" xfId="19794" xr:uid="{00000000-0005-0000-0000-0000686E0000}"/>
    <cellStyle name="Normal 4 2 7 3" xfId="19795" xr:uid="{00000000-0005-0000-0000-0000696E0000}"/>
    <cellStyle name="Normal 4 2 7 3 2" xfId="19796" xr:uid="{00000000-0005-0000-0000-00006A6E0000}"/>
    <cellStyle name="Normal 4 2 7 3 2 2" xfId="19797" xr:uid="{00000000-0005-0000-0000-00006B6E0000}"/>
    <cellStyle name="Normal 4 2 7 3 2 2 2" xfId="19798" xr:uid="{00000000-0005-0000-0000-00006C6E0000}"/>
    <cellStyle name="Normal 4 2 7 3 2 2 2 2" xfId="54491" xr:uid="{00000000-0005-0000-0000-00006D6E0000}"/>
    <cellStyle name="Normal 4 2 7 3 2 2 2 3" xfId="54492" xr:uid="{00000000-0005-0000-0000-00006E6E0000}"/>
    <cellStyle name="Normal 4 2 7 3 2 2 3" xfId="19799" xr:uid="{00000000-0005-0000-0000-00006F6E0000}"/>
    <cellStyle name="Normal 4 2 7 3 2 2 3 2" xfId="54493" xr:uid="{00000000-0005-0000-0000-0000706E0000}"/>
    <cellStyle name="Normal 4 2 7 3 2 2 4" xfId="19800" xr:uid="{00000000-0005-0000-0000-0000716E0000}"/>
    <cellStyle name="Normal 4 2 7 3 2 2 5" xfId="19801" xr:uid="{00000000-0005-0000-0000-0000726E0000}"/>
    <cellStyle name="Normal 4 2 7 3 2 2 6" xfId="19802" xr:uid="{00000000-0005-0000-0000-0000736E0000}"/>
    <cellStyle name="Normal 4 2 7 3 2 3" xfId="19803" xr:uid="{00000000-0005-0000-0000-0000746E0000}"/>
    <cellStyle name="Normal 4 2 7 3 2 3 2" xfId="54494" xr:uid="{00000000-0005-0000-0000-0000756E0000}"/>
    <cellStyle name="Normal 4 2 7 3 2 3 3" xfId="54495" xr:uid="{00000000-0005-0000-0000-0000766E0000}"/>
    <cellStyle name="Normal 4 2 7 3 2 4" xfId="19804" xr:uid="{00000000-0005-0000-0000-0000776E0000}"/>
    <cellStyle name="Normal 4 2 7 3 2 4 2" xfId="54496" xr:uid="{00000000-0005-0000-0000-0000786E0000}"/>
    <cellStyle name="Normal 4 2 7 3 2 5" xfId="19805" xr:uid="{00000000-0005-0000-0000-0000796E0000}"/>
    <cellStyle name="Normal 4 2 7 3 2 6" xfId="19806" xr:uid="{00000000-0005-0000-0000-00007A6E0000}"/>
    <cellStyle name="Normal 4 2 7 3 2 7" xfId="19807" xr:uid="{00000000-0005-0000-0000-00007B6E0000}"/>
    <cellStyle name="Normal 4 2 7 3 3" xfId="19808" xr:uid="{00000000-0005-0000-0000-00007C6E0000}"/>
    <cellStyle name="Normal 4 2 7 3 3 2" xfId="19809" xr:uid="{00000000-0005-0000-0000-00007D6E0000}"/>
    <cellStyle name="Normal 4 2 7 3 3 2 2" xfId="54497" xr:uid="{00000000-0005-0000-0000-00007E6E0000}"/>
    <cellStyle name="Normal 4 2 7 3 3 2 3" xfId="54498" xr:uid="{00000000-0005-0000-0000-00007F6E0000}"/>
    <cellStyle name="Normal 4 2 7 3 3 3" xfId="19810" xr:uid="{00000000-0005-0000-0000-0000806E0000}"/>
    <cellStyle name="Normal 4 2 7 3 3 3 2" xfId="54499" xr:uid="{00000000-0005-0000-0000-0000816E0000}"/>
    <cellStyle name="Normal 4 2 7 3 3 4" xfId="19811" xr:uid="{00000000-0005-0000-0000-0000826E0000}"/>
    <cellStyle name="Normal 4 2 7 3 3 5" xfId="19812" xr:uid="{00000000-0005-0000-0000-0000836E0000}"/>
    <cellStyle name="Normal 4 2 7 3 3 6" xfId="19813" xr:uid="{00000000-0005-0000-0000-0000846E0000}"/>
    <cellStyle name="Normal 4 2 7 3 4" xfId="19814" xr:uid="{00000000-0005-0000-0000-0000856E0000}"/>
    <cellStyle name="Normal 4 2 7 3 4 2" xfId="54500" xr:uid="{00000000-0005-0000-0000-0000866E0000}"/>
    <cellStyle name="Normal 4 2 7 3 4 3" xfId="54501" xr:uid="{00000000-0005-0000-0000-0000876E0000}"/>
    <cellStyle name="Normal 4 2 7 3 5" xfId="19815" xr:uid="{00000000-0005-0000-0000-0000886E0000}"/>
    <cellStyle name="Normal 4 2 7 3 5 2" xfId="54502" xr:uid="{00000000-0005-0000-0000-0000896E0000}"/>
    <cellStyle name="Normal 4 2 7 3 6" xfId="19816" xr:uid="{00000000-0005-0000-0000-00008A6E0000}"/>
    <cellStyle name="Normal 4 2 7 3 7" xfId="19817" xr:uid="{00000000-0005-0000-0000-00008B6E0000}"/>
    <cellStyle name="Normal 4 2 7 3 8" xfId="19818" xr:uid="{00000000-0005-0000-0000-00008C6E0000}"/>
    <cellStyle name="Normal 4 2 7 3 9" xfId="19819" xr:uid="{00000000-0005-0000-0000-00008D6E0000}"/>
    <cellStyle name="Normal 4 2 7 4" xfId="19820" xr:uid="{00000000-0005-0000-0000-00008E6E0000}"/>
    <cellStyle name="Normal 4 2 7 4 2" xfId="19821" xr:uid="{00000000-0005-0000-0000-00008F6E0000}"/>
    <cellStyle name="Normal 4 2 7 4 2 2" xfId="19822" xr:uid="{00000000-0005-0000-0000-0000906E0000}"/>
    <cellStyle name="Normal 4 2 7 4 2 2 2" xfId="19823" xr:uid="{00000000-0005-0000-0000-0000916E0000}"/>
    <cellStyle name="Normal 4 2 7 4 2 2 2 2" xfId="54503" xr:uid="{00000000-0005-0000-0000-0000926E0000}"/>
    <cellStyle name="Normal 4 2 7 4 2 2 2 3" xfId="54504" xr:uid="{00000000-0005-0000-0000-0000936E0000}"/>
    <cellStyle name="Normal 4 2 7 4 2 2 3" xfId="19824" xr:uid="{00000000-0005-0000-0000-0000946E0000}"/>
    <cellStyle name="Normal 4 2 7 4 2 2 3 2" xfId="54505" xr:uid="{00000000-0005-0000-0000-0000956E0000}"/>
    <cellStyle name="Normal 4 2 7 4 2 2 4" xfId="19825" xr:uid="{00000000-0005-0000-0000-0000966E0000}"/>
    <cellStyle name="Normal 4 2 7 4 2 2 5" xfId="19826" xr:uid="{00000000-0005-0000-0000-0000976E0000}"/>
    <cellStyle name="Normal 4 2 7 4 2 2 6" xfId="19827" xr:uid="{00000000-0005-0000-0000-0000986E0000}"/>
    <cellStyle name="Normal 4 2 7 4 2 3" xfId="19828" xr:uid="{00000000-0005-0000-0000-0000996E0000}"/>
    <cellStyle name="Normal 4 2 7 4 2 3 2" xfId="54506" xr:uid="{00000000-0005-0000-0000-00009A6E0000}"/>
    <cellStyle name="Normal 4 2 7 4 2 3 3" xfId="54507" xr:uid="{00000000-0005-0000-0000-00009B6E0000}"/>
    <cellStyle name="Normal 4 2 7 4 2 4" xfId="19829" xr:uid="{00000000-0005-0000-0000-00009C6E0000}"/>
    <cellStyle name="Normal 4 2 7 4 2 4 2" xfId="54508" xr:uid="{00000000-0005-0000-0000-00009D6E0000}"/>
    <cellStyle name="Normal 4 2 7 4 2 5" xfId="19830" xr:uid="{00000000-0005-0000-0000-00009E6E0000}"/>
    <cellStyle name="Normal 4 2 7 4 2 6" xfId="19831" xr:uid="{00000000-0005-0000-0000-00009F6E0000}"/>
    <cellStyle name="Normal 4 2 7 4 2 7" xfId="19832" xr:uid="{00000000-0005-0000-0000-0000A06E0000}"/>
    <cellStyle name="Normal 4 2 7 4 3" xfId="19833" xr:uid="{00000000-0005-0000-0000-0000A16E0000}"/>
    <cellStyle name="Normal 4 2 7 4 3 2" xfId="19834" xr:uid="{00000000-0005-0000-0000-0000A26E0000}"/>
    <cellStyle name="Normal 4 2 7 4 3 2 2" xfId="54509" xr:uid="{00000000-0005-0000-0000-0000A36E0000}"/>
    <cellStyle name="Normal 4 2 7 4 3 2 3" xfId="54510" xr:uid="{00000000-0005-0000-0000-0000A46E0000}"/>
    <cellStyle name="Normal 4 2 7 4 3 3" xfId="19835" xr:uid="{00000000-0005-0000-0000-0000A56E0000}"/>
    <cellStyle name="Normal 4 2 7 4 3 3 2" xfId="54511" xr:uid="{00000000-0005-0000-0000-0000A66E0000}"/>
    <cellStyle name="Normal 4 2 7 4 3 4" xfId="19836" xr:uid="{00000000-0005-0000-0000-0000A76E0000}"/>
    <cellStyle name="Normal 4 2 7 4 3 5" xfId="19837" xr:uid="{00000000-0005-0000-0000-0000A86E0000}"/>
    <cellStyle name="Normal 4 2 7 4 3 6" xfId="19838" xr:uid="{00000000-0005-0000-0000-0000A96E0000}"/>
    <cellStyle name="Normal 4 2 7 4 4" xfId="19839" xr:uid="{00000000-0005-0000-0000-0000AA6E0000}"/>
    <cellStyle name="Normal 4 2 7 4 4 2" xfId="54512" xr:uid="{00000000-0005-0000-0000-0000AB6E0000}"/>
    <cellStyle name="Normal 4 2 7 4 4 3" xfId="54513" xr:uid="{00000000-0005-0000-0000-0000AC6E0000}"/>
    <cellStyle name="Normal 4 2 7 4 5" xfId="19840" xr:uid="{00000000-0005-0000-0000-0000AD6E0000}"/>
    <cellStyle name="Normal 4 2 7 4 5 2" xfId="54514" xr:uid="{00000000-0005-0000-0000-0000AE6E0000}"/>
    <cellStyle name="Normal 4 2 7 4 6" xfId="19841" xr:uid="{00000000-0005-0000-0000-0000AF6E0000}"/>
    <cellStyle name="Normal 4 2 7 4 7" xfId="19842" xr:uid="{00000000-0005-0000-0000-0000B06E0000}"/>
    <cellStyle name="Normal 4 2 7 4 8" xfId="19843" xr:uid="{00000000-0005-0000-0000-0000B16E0000}"/>
    <cellStyle name="Normal 4 2 7 5" xfId="19844" xr:uid="{00000000-0005-0000-0000-0000B26E0000}"/>
    <cellStyle name="Normal 4 2 7 5 2" xfId="19845" xr:uid="{00000000-0005-0000-0000-0000B36E0000}"/>
    <cellStyle name="Normal 4 2 7 5 2 2" xfId="19846" xr:uid="{00000000-0005-0000-0000-0000B46E0000}"/>
    <cellStyle name="Normal 4 2 7 5 2 2 2" xfId="54515" xr:uid="{00000000-0005-0000-0000-0000B56E0000}"/>
    <cellStyle name="Normal 4 2 7 5 2 2 3" xfId="54516" xr:uid="{00000000-0005-0000-0000-0000B66E0000}"/>
    <cellStyle name="Normal 4 2 7 5 2 3" xfId="19847" xr:uid="{00000000-0005-0000-0000-0000B76E0000}"/>
    <cellStyle name="Normal 4 2 7 5 2 3 2" xfId="54517" xr:uid="{00000000-0005-0000-0000-0000B86E0000}"/>
    <cellStyle name="Normal 4 2 7 5 2 4" xfId="19848" xr:uid="{00000000-0005-0000-0000-0000B96E0000}"/>
    <cellStyle name="Normal 4 2 7 5 2 5" xfId="19849" xr:uid="{00000000-0005-0000-0000-0000BA6E0000}"/>
    <cellStyle name="Normal 4 2 7 5 2 6" xfId="19850" xr:uid="{00000000-0005-0000-0000-0000BB6E0000}"/>
    <cellStyle name="Normal 4 2 7 5 3" xfId="19851" xr:uid="{00000000-0005-0000-0000-0000BC6E0000}"/>
    <cellStyle name="Normal 4 2 7 5 3 2" xfId="54518" xr:uid="{00000000-0005-0000-0000-0000BD6E0000}"/>
    <cellStyle name="Normal 4 2 7 5 3 3" xfId="54519" xr:uid="{00000000-0005-0000-0000-0000BE6E0000}"/>
    <cellStyle name="Normal 4 2 7 5 4" xfId="19852" xr:uid="{00000000-0005-0000-0000-0000BF6E0000}"/>
    <cellStyle name="Normal 4 2 7 5 4 2" xfId="54520" xr:uid="{00000000-0005-0000-0000-0000C06E0000}"/>
    <cellStyle name="Normal 4 2 7 5 5" xfId="19853" xr:uid="{00000000-0005-0000-0000-0000C16E0000}"/>
    <cellStyle name="Normal 4 2 7 5 6" xfId="19854" xr:uid="{00000000-0005-0000-0000-0000C26E0000}"/>
    <cellStyle name="Normal 4 2 7 5 7" xfId="19855" xr:uid="{00000000-0005-0000-0000-0000C36E0000}"/>
    <cellStyle name="Normal 4 2 7 6" xfId="19856" xr:uid="{00000000-0005-0000-0000-0000C46E0000}"/>
    <cellStyle name="Normal 4 2 7 6 2" xfId="19857" xr:uid="{00000000-0005-0000-0000-0000C56E0000}"/>
    <cellStyle name="Normal 4 2 7 6 2 2" xfId="54521" xr:uid="{00000000-0005-0000-0000-0000C66E0000}"/>
    <cellStyle name="Normal 4 2 7 6 2 3" xfId="54522" xr:uid="{00000000-0005-0000-0000-0000C76E0000}"/>
    <cellStyle name="Normal 4 2 7 6 3" xfId="19858" xr:uid="{00000000-0005-0000-0000-0000C86E0000}"/>
    <cellStyle name="Normal 4 2 7 6 3 2" xfId="54523" xr:uid="{00000000-0005-0000-0000-0000C96E0000}"/>
    <cellStyle name="Normal 4 2 7 6 4" xfId="19859" xr:uid="{00000000-0005-0000-0000-0000CA6E0000}"/>
    <cellStyle name="Normal 4 2 7 6 5" xfId="19860" xr:uid="{00000000-0005-0000-0000-0000CB6E0000}"/>
    <cellStyle name="Normal 4 2 7 6 6" xfId="19861" xr:uid="{00000000-0005-0000-0000-0000CC6E0000}"/>
    <cellStyle name="Normal 4 2 7 7" xfId="19862" xr:uid="{00000000-0005-0000-0000-0000CD6E0000}"/>
    <cellStyle name="Normal 4 2 7 7 2" xfId="54524" xr:uid="{00000000-0005-0000-0000-0000CE6E0000}"/>
    <cellStyle name="Normal 4 2 7 8" xfId="19863" xr:uid="{00000000-0005-0000-0000-0000CF6E0000}"/>
    <cellStyle name="Normal 4 2 7 9" xfId="19864" xr:uid="{00000000-0005-0000-0000-0000D06E0000}"/>
    <cellStyle name="Normal 4 2 8" xfId="19865" xr:uid="{00000000-0005-0000-0000-0000D16E0000}"/>
    <cellStyle name="Normal 4 2 8 10" xfId="19866" xr:uid="{00000000-0005-0000-0000-0000D26E0000}"/>
    <cellStyle name="Normal 4 2 8 11" xfId="19867" xr:uid="{00000000-0005-0000-0000-0000D36E0000}"/>
    <cellStyle name="Normal 4 2 8 12" xfId="19868" xr:uid="{00000000-0005-0000-0000-0000D46E0000}"/>
    <cellStyle name="Normal 4 2 8 13" xfId="19869" xr:uid="{00000000-0005-0000-0000-0000D56E0000}"/>
    <cellStyle name="Normal 4 2 8 14" xfId="19870" xr:uid="{00000000-0005-0000-0000-0000D66E0000}"/>
    <cellStyle name="Normal 4 2 8 15" xfId="19871" xr:uid="{00000000-0005-0000-0000-0000D76E0000}"/>
    <cellStyle name="Normal 4 2 8 16" xfId="19872" xr:uid="{00000000-0005-0000-0000-0000D86E0000}"/>
    <cellStyle name="Normal 4 2 8 2" xfId="19873" xr:uid="{00000000-0005-0000-0000-0000D96E0000}"/>
    <cellStyle name="Normal 4 2 8 2 10" xfId="19874" xr:uid="{00000000-0005-0000-0000-0000DA6E0000}"/>
    <cellStyle name="Normal 4 2 8 2 11" xfId="19875" xr:uid="{00000000-0005-0000-0000-0000DB6E0000}"/>
    <cellStyle name="Normal 4 2 8 2 12" xfId="19876" xr:uid="{00000000-0005-0000-0000-0000DC6E0000}"/>
    <cellStyle name="Normal 4 2 8 2 13" xfId="19877" xr:uid="{00000000-0005-0000-0000-0000DD6E0000}"/>
    <cellStyle name="Normal 4 2 8 2 14" xfId="19878" xr:uid="{00000000-0005-0000-0000-0000DE6E0000}"/>
    <cellStyle name="Normal 4 2 8 2 2" xfId="19879" xr:uid="{00000000-0005-0000-0000-0000DF6E0000}"/>
    <cellStyle name="Normal 4 2 8 2 2 2" xfId="19880" xr:uid="{00000000-0005-0000-0000-0000E06E0000}"/>
    <cellStyle name="Normal 4 2 8 2 2 2 2" xfId="19881" xr:uid="{00000000-0005-0000-0000-0000E16E0000}"/>
    <cellStyle name="Normal 4 2 8 2 2 2 2 2" xfId="19882" xr:uid="{00000000-0005-0000-0000-0000E26E0000}"/>
    <cellStyle name="Normal 4 2 8 2 2 2 2 2 2" xfId="54525" xr:uid="{00000000-0005-0000-0000-0000E36E0000}"/>
    <cellStyle name="Normal 4 2 8 2 2 2 2 2 3" xfId="54526" xr:uid="{00000000-0005-0000-0000-0000E46E0000}"/>
    <cellStyle name="Normal 4 2 8 2 2 2 2 3" xfId="19883" xr:uid="{00000000-0005-0000-0000-0000E56E0000}"/>
    <cellStyle name="Normal 4 2 8 2 2 2 2 3 2" xfId="54527" xr:uid="{00000000-0005-0000-0000-0000E66E0000}"/>
    <cellStyle name="Normal 4 2 8 2 2 2 2 4" xfId="19884" xr:uid="{00000000-0005-0000-0000-0000E76E0000}"/>
    <cellStyle name="Normal 4 2 8 2 2 2 2 5" xfId="19885" xr:uid="{00000000-0005-0000-0000-0000E86E0000}"/>
    <cellStyle name="Normal 4 2 8 2 2 2 2 6" xfId="19886" xr:uid="{00000000-0005-0000-0000-0000E96E0000}"/>
    <cellStyle name="Normal 4 2 8 2 2 2 3" xfId="19887" xr:uid="{00000000-0005-0000-0000-0000EA6E0000}"/>
    <cellStyle name="Normal 4 2 8 2 2 2 3 2" xfId="54528" xr:uid="{00000000-0005-0000-0000-0000EB6E0000}"/>
    <cellStyle name="Normal 4 2 8 2 2 2 3 3" xfId="54529" xr:uid="{00000000-0005-0000-0000-0000EC6E0000}"/>
    <cellStyle name="Normal 4 2 8 2 2 2 4" xfId="19888" xr:uid="{00000000-0005-0000-0000-0000ED6E0000}"/>
    <cellStyle name="Normal 4 2 8 2 2 2 4 2" xfId="54530" xr:uid="{00000000-0005-0000-0000-0000EE6E0000}"/>
    <cellStyle name="Normal 4 2 8 2 2 2 5" xfId="19889" xr:uid="{00000000-0005-0000-0000-0000EF6E0000}"/>
    <cellStyle name="Normal 4 2 8 2 2 2 6" xfId="19890" xr:uid="{00000000-0005-0000-0000-0000F06E0000}"/>
    <cellStyle name="Normal 4 2 8 2 2 2 7" xfId="19891" xr:uid="{00000000-0005-0000-0000-0000F16E0000}"/>
    <cellStyle name="Normal 4 2 8 2 2 3" xfId="19892" xr:uid="{00000000-0005-0000-0000-0000F26E0000}"/>
    <cellStyle name="Normal 4 2 8 2 2 3 2" xfId="19893" xr:uid="{00000000-0005-0000-0000-0000F36E0000}"/>
    <cellStyle name="Normal 4 2 8 2 2 3 2 2" xfId="54531" xr:uid="{00000000-0005-0000-0000-0000F46E0000}"/>
    <cellStyle name="Normal 4 2 8 2 2 3 2 3" xfId="54532" xr:uid="{00000000-0005-0000-0000-0000F56E0000}"/>
    <cellStyle name="Normal 4 2 8 2 2 3 3" xfId="19894" xr:uid="{00000000-0005-0000-0000-0000F66E0000}"/>
    <cellStyle name="Normal 4 2 8 2 2 3 3 2" xfId="54533" xr:uid="{00000000-0005-0000-0000-0000F76E0000}"/>
    <cellStyle name="Normal 4 2 8 2 2 3 4" xfId="19895" xr:uid="{00000000-0005-0000-0000-0000F86E0000}"/>
    <cellStyle name="Normal 4 2 8 2 2 3 5" xfId="19896" xr:uid="{00000000-0005-0000-0000-0000F96E0000}"/>
    <cellStyle name="Normal 4 2 8 2 2 3 6" xfId="19897" xr:uid="{00000000-0005-0000-0000-0000FA6E0000}"/>
    <cellStyle name="Normal 4 2 8 2 2 4" xfId="19898" xr:uid="{00000000-0005-0000-0000-0000FB6E0000}"/>
    <cellStyle name="Normal 4 2 8 2 2 4 2" xfId="54534" xr:uid="{00000000-0005-0000-0000-0000FC6E0000}"/>
    <cellStyle name="Normal 4 2 8 2 2 4 3" xfId="54535" xr:uid="{00000000-0005-0000-0000-0000FD6E0000}"/>
    <cellStyle name="Normal 4 2 8 2 2 5" xfId="19899" xr:uid="{00000000-0005-0000-0000-0000FE6E0000}"/>
    <cellStyle name="Normal 4 2 8 2 2 5 2" xfId="54536" xr:uid="{00000000-0005-0000-0000-0000FF6E0000}"/>
    <cellStyle name="Normal 4 2 8 2 2 6" xfId="19900" xr:uid="{00000000-0005-0000-0000-0000006F0000}"/>
    <cellStyle name="Normal 4 2 8 2 2 7" xfId="19901" xr:uid="{00000000-0005-0000-0000-0000016F0000}"/>
    <cellStyle name="Normal 4 2 8 2 2 8" xfId="19902" xr:uid="{00000000-0005-0000-0000-0000026F0000}"/>
    <cellStyle name="Normal 4 2 8 2 2 9" xfId="19903" xr:uid="{00000000-0005-0000-0000-0000036F0000}"/>
    <cellStyle name="Normal 4 2 8 2 3" xfId="19904" xr:uid="{00000000-0005-0000-0000-0000046F0000}"/>
    <cellStyle name="Normal 4 2 8 2 3 2" xfId="19905" xr:uid="{00000000-0005-0000-0000-0000056F0000}"/>
    <cellStyle name="Normal 4 2 8 2 3 2 2" xfId="19906" xr:uid="{00000000-0005-0000-0000-0000066F0000}"/>
    <cellStyle name="Normal 4 2 8 2 3 2 2 2" xfId="19907" xr:uid="{00000000-0005-0000-0000-0000076F0000}"/>
    <cellStyle name="Normal 4 2 8 2 3 2 2 2 2" xfId="54537" xr:uid="{00000000-0005-0000-0000-0000086F0000}"/>
    <cellStyle name="Normal 4 2 8 2 3 2 2 2 3" xfId="54538" xr:uid="{00000000-0005-0000-0000-0000096F0000}"/>
    <cellStyle name="Normal 4 2 8 2 3 2 2 3" xfId="19908" xr:uid="{00000000-0005-0000-0000-00000A6F0000}"/>
    <cellStyle name="Normal 4 2 8 2 3 2 2 3 2" xfId="54539" xr:uid="{00000000-0005-0000-0000-00000B6F0000}"/>
    <cellStyle name="Normal 4 2 8 2 3 2 2 4" xfId="19909" xr:uid="{00000000-0005-0000-0000-00000C6F0000}"/>
    <cellStyle name="Normal 4 2 8 2 3 2 2 5" xfId="19910" xr:uid="{00000000-0005-0000-0000-00000D6F0000}"/>
    <cellStyle name="Normal 4 2 8 2 3 2 2 6" xfId="19911" xr:uid="{00000000-0005-0000-0000-00000E6F0000}"/>
    <cellStyle name="Normal 4 2 8 2 3 2 3" xfId="19912" xr:uid="{00000000-0005-0000-0000-00000F6F0000}"/>
    <cellStyle name="Normal 4 2 8 2 3 2 3 2" xfId="54540" xr:uid="{00000000-0005-0000-0000-0000106F0000}"/>
    <cellStyle name="Normal 4 2 8 2 3 2 3 3" xfId="54541" xr:uid="{00000000-0005-0000-0000-0000116F0000}"/>
    <cellStyle name="Normal 4 2 8 2 3 2 4" xfId="19913" xr:uid="{00000000-0005-0000-0000-0000126F0000}"/>
    <cellStyle name="Normal 4 2 8 2 3 2 4 2" xfId="54542" xr:uid="{00000000-0005-0000-0000-0000136F0000}"/>
    <cellStyle name="Normal 4 2 8 2 3 2 5" xfId="19914" xr:uid="{00000000-0005-0000-0000-0000146F0000}"/>
    <cellStyle name="Normal 4 2 8 2 3 2 6" xfId="19915" xr:uid="{00000000-0005-0000-0000-0000156F0000}"/>
    <cellStyle name="Normal 4 2 8 2 3 2 7" xfId="19916" xr:uid="{00000000-0005-0000-0000-0000166F0000}"/>
    <cellStyle name="Normal 4 2 8 2 3 3" xfId="19917" xr:uid="{00000000-0005-0000-0000-0000176F0000}"/>
    <cellStyle name="Normal 4 2 8 2 3 3 2" xfId="19918" xr:uid="{00000000-0005-0000-0000-0000186F0000}"/>
    <cellStyle name="Normal 4 2 8 2 3 3 2 2" xfId="54543" xr:uid="{00000000-0005-0000-0000-0000196F0000}"/>
    <cellStyle name="Normal 4 2 8 2 3 3 2 3" xfId="54544" xr:uid="{00000000-0005-0000-0000-00001A6F0000}"/>
    <cellStyle name="Normal 4 2 8 2 3 3 3" xfId="19919" xr:uid="{00000000-0005-0000-0000-00001B6F0000}"/>
    <cellStyle name="Normal 4 2 8 2 3 3 3 2" xfId="54545" xr:uid="{00000000-0005-0000-0000-00001C6F0000}"/>
    <cellStyle name="Normal 4 2 8 2 3 3 4" xfId="19920" xr:uid="{00000000-0005-0000-0000-00001D6F0000}"/>
    <cellStyle name="Normal 4 2 8 2 3 3 5" xfId="19921" xr:uid="{00000000-0005-0000-0000-00001E6F0000}"/>
    <cellStyle name="Normal 4 2 8 2 3 3 6" xfId="19922" xr:uid="{00000000-0005-0000-0000-00001F6F0000}"/>
    <cellStyle name="Normal 4 2 8 2 3 4" xfId="19923" xr:uid="{00000000-0005-0000-0000-0000206F0000}"/>
    <cellStyle name="Normal 4 2 8 2 3 4 2" xfId="54546" xr:uid="{00000000-0005-0000-0000-0000216F0000}"/>
    <cellStyle name="Normal 4 2 8 2 3 4 3" xfId="54547" xr:uid="{00000000-0005-0000-0000-0000226F0000}"/>
    <cellStyle name="Normal 4 2 8 2 3 5" xfId="19924" xr:uid="{00000000-0005-0000-0000-0000236F0000}"/>
    <cellStyle name="Normal 4 2 8 2 3 5 2" xfId="54548" xr:uid="{00000000-0005-0000-0000-0000246F0000}"/>
    <cellStyle name="Normal 4 2 8 2 3 6" xfId="19925" xr:uid="{00000000-0005-0000-0000-0000256F0000}"/>
    <cellStyle name="Normal 4 2 8 2 3 7" xfId="19926" xr:uid="{00000000-0005-0000-0000-0000266F0000}"/>
    <cellStyle name="Normal 4 2 8 2 3 8" xfId="19927" xr:uid="{00000000-0005-0000-0000-0000276F0000}"/>
    <cellStyle name="Normal 4 2 8 2 4" xfId="19928" xr:uid="{00000000-0005-0000-0000-0000286F0000}"/>
    <cellStyle name="Normal 4 2 8 2 4 2" xfId="19929" xr:uid="{00000000-0005-0000-0000-0000296F0000}"/>
    <cellStyle name="Normal 4 2 8 2 4 2 2" xfId="19930" xr:uid="{00000000-0005-0000-0000-00002A6F0000}"/>
    <cellStyle name="Normal 4 2 8 2 4 2 2 2" xfId="54549" xr:uid="{00000000-0005-0000-0000-00002B6F0000}"/>
    <cellStyle name="Normal 4 2 8 2 4 2 2 3" xfId="54550" xr:uid="{00000000-0005-0000-0000-00002C6F0000}"/>
    <cellStyle name="Normal 4 2 8 2 4 2 3" xfId="19931" xr:uid="{00000000-0005-0000-0000-00002D6F0000}"/>
    <cellStyle name="Normal 4 2 8 2 4 2 3 2" xfId="54551" xr:uid="{00000000-0005-0000-0000-00002E6F0000}"/>
    <cellStyle name="Normal 4 2 8 2 4 2 4" xfId="19932" xr:uid="{00000000-0005-0000-0000-00002F6F0000}"/>
    <cellStyle name="Normal 4 2 8 2 4 2 5" xfId="19933" xr:uid="{00000000-0005-0000-0000-0000306F0000}"/>
    <cellStyle name="Normal 4 2 8 2 4 2 6" xfId="19934" xr:uid="{00000000-0005-0000-0000-0000316F0000}"/>
    <cellStyle name="Normal 4 2 8 2 4 3" xfId="19935" xr:uid="{00000000-0005-0000-0000-0000326F0000}"/>
    <cellStyle name="Normal 4 2 8 2 4 3 2" xfId="54552" xr:uid="{00000000-0005-0000-0000-0000336F0000}"/>
    <cellStyle name="Normal 4 2 8 2 4 3 3" xfId="54553" xr:uid="{00000000-0005-0000-0000-0000346F0000}"/>
    <cellStyle name="Normal 4 2 8 2 4 4" xfId="19936" xr:uid="{00000000-0005-0000-0000-0000356F0000}"/>
    <cellStyle name="Normal 4 2 8 2 4 4 2" xfId="54554" xr:uid="{00000000-0005-0000-0000-0000366F0000}"/>
    <cellStyle name="Normal 4 2 8 2 4 5" xfId="19937" xr:uid="{00000000-0005-0000-0000-0000376F0000}"/>
    <cellStyle name="Normal 4 2 8 2 4 6" xfId="19938" xr:uid="{00000000-0005-0000-0000-0000386F0000}"/>
    <cellStyle name="Normal 4 2 8 2 4 7" xfId="19939" xr:uid="{00000000-0005-0000-0000-0000396F0000}"/>
    <cellStyle name="Normal 4 2 8 2 5" xfId="19940" xr:uid="{00000000-0005-0000-0000-00003A6F0000}"/>
    <cellStyle name="Normal 4 2 8 2 5 2" xfId="19941" xr:uid="{00000000-0005-0000-0000-00003B6F0000}"/>
    <cellStyle name="Normal 4 2 8 2 5 2 2" xfId="54555" xr:uid="{00000000-0005-0000-0000-00003C6F0000}"/>
    <cellStyle name="Normal 4 2 8 2 5 2 3" xfId="54556" xr:uid="{00000000-0005-0000-0000-00003D6F0000}"/>
    <cellStyle name="Normal 4 2 8 2 5 3" xfId="19942" xr:uid="{00000000-0005-0000-0000-00003E6F0000}"/>
    <cellStyle name="Normal 4 2 8 2 5 3 2" xfId="54557" xr:uid="{00000000-0005-0000-0000-00003F6F0000}"/>
    <cellStyle name="Normal 4 2 8 2 5 4" xfId="19943" xr:uid="{00000000-0005-0000-0000-0000406F0000}"/>
    <cellStyle name="Normal 4 2 8 2 5 5" xfId="19944" xr:uid="{00000000-0005-0000-0000-0000416F0000}"/>
    <cellStyle name="Normal 4 2 8 2 5 6" xfId="19945" xr:uid="{00000000-0005-0000-0000-0000426F0000}"/>
    <cellStyle name="Normal 4 2 8 2 6" xfId="19946" xr:uid="{00000000-0005-0000-0000-0000436F0000}"/>
    <cellStyle name="Normal 4 2 8 2 6 2" xfId="54558" xr:uid="{00000000-0005-0000-0000-0000446F0000}"/>
    <cellStyle name="Normal 4 2 8 2 6 3" xfId="54559" xr:uid="{00000000-0005-0000-0000-0000456F0000}"/>
    <cellStyle name="Normal 4 2 8 2 7" xfId="19947" xr:uid="{00000000-0005-0000-0000-0000466F0000}"/>
    <cellStyle name="Normal 4 2 8 2 7 2" xfId="54560" xr:uid="{00000000-0005-0000-0000-0000476F0000}"/>
    <cellStyle name="Normal 4 2 8 2 8" xfId="19948" xr:uid="{00000000-0005-0000-0000-0000486F0000}"/>
    <cellStyle name="Normal 4 2 8 2 9" xfId="19949" xr:uid="{00000000-0005-0000-0000-0000496F0000}"/>
    <cellStyle name="Normal 4 2 8 3" xfId="19950" xr:uid="{00000000-0005-0000-0000-00004A6F0000}"/>
    <cellStyle name="Normal 4 2 8 3 2" xfId="19951" xr:uid="{00000000-0005-0000-0000-00004B6F0000}"/>
    <cellStyle name="Normal 4 2 8 3 2 2" xfId="19952" xr:uid="{00000000-0005-0000-0000-00004C6F0000}"/>
    <cellStyle name="Normal 4 2 8 3 2 2 2" xfId="19953" xr:uid="{00000000-0005-0000-0000-00004D6F0000}"/>
    <cellStyle name="Normal 4 2 8 3 2 2 2 2" xfId="54561" xr:uid="{00000000-0005-0000-0000-00004E6F0000}"/>
    <cellStyle name="Normal 4 2 8 3 2 2 2 3" xfId="54562" xr:uid="{00000000-0005-0000-0000-00004F6F0000}"/>
    <cellStyle name="Normal 4 2 8 3 2 2 3" xfId="19954" xr:uid="{00000000-0005-0000-0000-0000506F0000}"/>
    <cellStyle name="Normal 4 2 8 3 2 2 3 2" xfId="54563" xr:uid="{00000000-0005-0000-0000-0000516F0000}"/>
    <cellStyle name="Normal 4 2 8 3 2 2 4" xfId="19955" xr:uid="{00000000-0005-0000-0000-0000526F0000}"/>
    <cellStyle name="Normal 4 2 8 3 2 2 5" xfId="19956" xr:uid="{00000000-0005-0000-0000-0000536F0000}"/>
    <cellStyle name="Normal 4 2 8 3 2 2 6" xfId="19957" xr:uid="{00000000-0005-0000-0000-0000546F0000}"/>
    <cellStyle name="Normal 4 2 8 3 2 3" xfId="19958" xr:uid="{00000000-0005-0000-0000-0000556F0000}"/>
    <cellStyle name="Normal 4 2 8 3 2 3 2" xfId="54564" xr:uid="{00000000-0005-0000-0000-0000566F0000}"/>
    <cellStyle name="Normal 4 2 8 3 2 3 3" xfId="54565" xr:uid="{00000000-0005-0000-0000-0000576F0000}"/>
    <cellStyle name="Normal 4 2 8 3 2 4" xfId="19959" xr:uid="{00000000-0005-0000-0000-0000586F0000}"/>
    <cellStyle name="Normal 4 2 8 3 2 4 2" xfId="54566" xr:uid="{00000000-0005-0000-0000-0000596F0000}"/>
    <cellStyle name="Normal 4 2 8 3 2 5" xfId="19960" xr:uid="{00000000-0005-0000-0000-00005A6F0000}"/>
    <cellStyle name="Normal 4 2 8 3 2 6" xfId="19961" xr:uid="{00000000-0005-0000-0000-00005B6F0000}"/>
    <cellStyle name="Normal 4 2 8 3 2 7" xfId="19962" xr:uid="{00000000-0005-0000-0000-00005C6F0000}"/>
    <cellStyle name="Normal 4 2 8 3 3" xfId="19963" xr:uid="{00000000-0005-0000-0000-00005D6F0000}"/>
    <cellStyle name="Normal 4 2 8 3 3 2" xfId="19964" xr:uid="{00000000-0005-0000-0000-00005E6F0000}"/>
    <cellStyle name="Normal 4 2 8 3 3 2 2" xfId="54567" xr:uid="{00000000-0005-0000-0000-00005F6F0000}"/>
    <cellStyle name="Normal 4 2 8 3 3 2 3" xfId="54568" xr:uid="{00000000-0005-0000-0000-0000606F0000}"/>
    <cellStyle name="Normal 4 2 8 3 3 3" xfId="19965" xr:uid="{00000000-0005-0000-0000-0000616F0000}"/>
    <cellStyle name="Normal 4 2 8 3 3 3 2" xfId="54569" xr:uid="{00000000-0005-0000-0000-0000626F0000}"/>
    <cellStyle name="Normal 4 2 8 3 3 4" xfId="19966" xr:uid="{00000000-0005-0000-0000-0000636F0000}"/>
    <cellStyle name="Normal 4 2 8 3 3 5" xfId="19967" xr:uid="{00000000-0005-0000-0000-0000646F0000}"/>
    <cellStyle name="Normal 4 2 8 3 3 6" xfId="19968" xr:uid="{00000000-0005-0000-0000-0000656F0000}"/>
    <cellStyle name="Normal 4 2 8 3 4" xfId="19969" xr:uid="{00000000-0005-0000-0000-0000666F0000}"/>
    <cellStyle name="Normal 4 2 8 3 4 2" xfId="54570" xr:uid="{00000000-0005-0000-0000-0000676F0000}"/>
    <cellStyle name="Normal 4 2 8 3 4 3" xfId="54571" xr:uid="{00000000-0005-0000-0000-0000686F0000}"/>
    <cellStyle name="Normal 4 2 8 3 5" xfId="19970" xr:uid="{00000000-0005-0000-0000-0000696F0000}"/>
    <cellStyle name="Normal 4 2 8 3 5 2" xfId="54572" xr:uid="{00000000-0005-0000-0000-00006A6F0000}"/>
    <cellStyle name="Normal 4 2 8 3 6" xfId="19971" xr:uid="{00000000-0005-0000-0000-00006B6F0000}"/>
    <cellStyle name="Normal 4 2 8 3 7" xfId="19972" xr:uid="{00000000-0005-0000-0000-00006C6F0000}"/>
    <cellStyle name="Normal 4 2 8 3 8" xfId="19973" xr:uid="{00000000-0005-0000-0000-00006D6F0000}"/>
    <cellStyle name="Normal 4 2 8 3 9" xfId="19974" xr:uid="{00000000-0005-0000-0000-00006E6F0000}"/>
    <cellStyle name="Normal 4 2 8 4" xfId="19975" xr:uid="{00000000-0005-0000-0000-00006F6F0000}"/>
    <cellStyle name="Normal 4 2 8 4 2" xfId="19976" xr:uid="{00000000-0005-0000-0000-0000706F0000}"/>
    <cellStyle name="Normal 4 2 8 4 2 2" xfId="19977" xr:uid="{00000000-0005-0000-0000-0000716F0000}"/>
    <cellStyle name="Normal 4 2 8 4 2 2 2" xfId="19978" xr:uid="{00000000-0005-0000-0000-0000726F0000}"/>
    <cellStyle name="Normal 4 2 8 4 2 2 2 2" xfId="54573" xr:uid="{00000000-0005-0000-0000-0000736F0000}"/>
    <cellStyle name="Normal 4 2 8 4 2 2 2 3" xfId="54574" xr:uid="{00000000-0005-0000-0000-0000746F0000}"/>
    <cellStyle name="Normal 4 2 8 4 2 2 3" xfId="19979" xr:uid="{00000000-0005-0000-0000-0000756F0000}"/>
    <cellStyle name="Normal 4 2 8 4 2 2 3 2" xfId="54575" xr:uid="{00000000-0005-0000-0000-0000766F0000}"/>
    <cellStyle name="Normal 4 2 8 4 2 2 4" xfId="19980" xr:uid="{00000000-0005-0000-0000-0000776F0000}"/>
    <cellStyle name="Normal 4 2 8 4 2 2 5" xfId="19981" xr:uid="{00000000-0005-0000-0000-0000786F0000}"/>
    <cellStyle name="Normal 4 2 8 4 2 2 6" xfId="19982" xr:uid="{00000000-0005-0000-0000-0000796F0000}"/>
    <cellStyle name="Normal 4 2 8 4 2 3" xfId="19983" xr:uid="{00000000-0005-0000-0000-00007A6F0000}"/>
    <cellStyle name="Normal 4 2 8 4 2 3 2" xfId="54576" xr:uid="{00000000-0005-0000-0000-00007B6F0000}"/>
    <cellStyle name="Normal 4 2 8 4 2 3 3" xfId="54577" xr:uid="{00000000-0005-0000-0000-00007C6F0000}"/>
    <cellStyle name="Normal 4 2 8 4 2 4" xfId="19984" xr:uid="{00000000-0005-0000-0000-00007D6F0000}"/>
    <cellStyle name="Normal 4 2 8 4 2 4 2" xfId="54578" xr:uid="{00000000-0005-0000-0000-00007E6F0000}"/>
    <cellStyle name="Normal 4 2 8 4 2 5" xfId="19985" xr:uid="{00000000-0005-0000-0000-00007F6F0000}"/>
    <cellStyle name="Normal 4 2 8 4 2 6" xfId="19986" xr:uid="{00000000-0005-0000-0000-0000806F0000}"/>
    <cellStyle name="Normal 4 2 8 4 2 7" xfId="19987" xr:uid="{00000000-0005-0000-0000-0000816F0000}"/>
    <cellStyle name="Normal 4 2 8 4 3" xfId="19988" xr:uid="{00000000-0005-0000-0000-0000826F0000}"/>
    <cellStyle name="Normal 4 2 8 4 3 2" xfId="19989" xr:uid="{00000000-0005-0000-0000-0000836F0000}"/>
    <cellStyle name="Normal 4 2 8 4 3 2 2" xfId="54579" xr:uid="{00000000-0005-0000-0000-0000846F0000}"/>
    <cellStyle name="Normal 4 2 8 4 3 2 3" xfId="54580" xr:uid="{00000000-0005-0000-0000-0000856F0000}"/>
    <cellStyle name="Normal 4 2 8 4 3 3" xfId="19990" xr:uid="{00000000-0005-0000-0000-0000866F0000}"/>
    <cellStyle name="Normal 4 2 8 4 3 3 2" xfId="54581" xr:uid="{00000000-0005-0000-0000-0000876F0000}"/>
    <cellStyle name="Normal 4 2 8 4 3 4" xfId="19991" xr:uid="{00000000-0005-0000-0000-0000886F0000}"/>
    <cellStyle name="Normal 4 2 8 4 3 5" xfId="19992" xr:uid="{00000000-0005-0000-0000-0000896F0000}"/>
    <cellStyle name="Normal 4 2 8 4 3 6" xfId="19993" xr:uid="{00000000-0005-0000-0000-00008A6F0000}"/>
    <cellStyle name="Normal 4 2 8 4 4" xfId="19994" xr:uid="{00000000-0005-0000-0000-00008B6F0000}"/>
    <cellStyle name="Normal 4 2 8 4 4 2" xfId="54582" xr:uid="{00000000-0005-0000-0000-00008C6F0000}"/>
    <cellStyle name="Normal 4 2 8 4 4 3" xfId="54583" xr:uid="{00000000-0005-0000-0000-00008D6F0000}"/>
    <cellStyle name="Normal 4 2 8 4 5" xfId="19995" xr:uid="{00000000-0005-0000-0000-00008E6F0000}"/>
    <cellStyle name="Normal 4 2 8 4 5 2" xfId="54584" xr:uid="{00000000-0005-0000-0000-00008F6F0000}"/>
    <cellStyle name="Normal 4 2 8 4 6" xfId="19996" xr:uid="{00000000-0005-0000-0000-0000906F0000}"/>
    <cellStyle name="Normal 4 2 8 4 7" xfId="19997" xr:uid="{00000000-0005-0000-0000-0000916F0000}"/>
    <cellStyle name="Normal 4 2 8 4 8" xfId="19998" xr:uid="{00000000-0005-0000-0000-0000926F0000}"/>
    <cellStyle name="Normal 4 2 8 5" xfId="19999" xr:uid="{00000000-0005-0000-0000-0000936F0000}"/>
    <cellStyle name="Normal 4 2 8 5 2" xfId="20000" xr:uid="{00000000-0005-0000-0000-0000946F0000}"/>
    <cellStyle name="Normal 4 2 8 5 2 2" xfId="20001" xr:uid="{00000000-0005-0000-0000-0000956F0000}"/>
    <cellStyle name="Normal 4 2 8 5 2 2 2" xfId="54585" xr:uid="{00000000-0005-0000-0000-0000966F0000}"/>
    <cellStyle name="Normal 4 2 8 5 2 2 3" xfId="54586" xr:uid="{00000000-0005-0000-0000-0000976F0000}"/>
    <cellStyle name="Normal 4 2 8 5 2 3" xfId="20002" xr:uid="{00000000-0005-0000-0000-0000986F0000}"/>
    <cellStyle name="Normal 4 2 8 5 2 3 2" xfId="54587" xr:uid="{00000000-0005-0000-0000-0000996F0000}"/>
    <cellStyle name="Normal 4 2 8 5 2 4" xfId="20003" xr:uid="{00000000-0005-0000-0000-00009A6F0000}"/>
    <cellStyle name="Normal 4 2 8 5 2 5" xfId="20004" xr:uid="{00000000-0005-0000-0000-00009B6F0000}"/>
    <cellStyle name="Normal 4 2 8 5 2 6" xfId="20005" xr:uid="{00000000-0005-0000-0000-00009C6F0000}"/>
    <cellStyle name="Normal 4 2 8 5 3" xfId="20006" xr:uid="{00000000-0005-0000-0000-00009D6F0000}"/>
    <cellStyle name="Normal 4 2 8 5 3 2" xfId="54588" xr:uid="{00000000-0005-0000-0000-00009E6F0000}"/>
    <cellStyle name="Normal 4 2 8 5 3 3" xfId="54589" xr:uid="{00000000-0005-0000-0000-00009F6F0000}"/>
    <cellStyle name="Normal 4 2 8 5 4" xfId="20007" xr:uid="{00000000-0005-0000-0000-0000A06F0000}"/>
    <cellStyle name="Normal 4 2 8 5 4 2" xfId="54590" xr:uid="{00000000-0005-0000-0000-0000A16F0000}"/>
    <cellStyle name="Normal 4 2 8 5 5" xfId="20008" xr:uid="{00000000-0005-0000-0000-0000A26F0000}"/>
    <cellStyle name="Normal 4 2 8 5 6" xfId="20009" xr:uid="{00000000-0005-0000-0000-0000A36F0000}"/>
    <cellStyle name="Normal 4 2 8 5 7" xfId="20010" xr:uid="{00000000-0005-0000-0000-0000A46F0000}"/>
    <cellStyle name="Normal 4 2 8 6" xfId="20011" xr:uid="{00000000-0005-0000-0000-0000A56F0000}"/>
    <cellStyle name="Normal 4 2 8 6 2" xfId="20012" xr:uid="{00000000-0005-0000-0000-0000A66F0000}"/>
    <cellStyle name="Normal 4 2 8 6 2 2" xfId="54591" xr:uid="{00000000-0005-0000-0000-0000A76F0000}"/>
    <cellStyle name="Normal 4 2 8 6 2 3" xfId="54592" xr:uid="{00000000-0005-0000-0000-0000A86F0000}"/>
    <cellStyle name="Normal 4 2 8 6 3" xfId="20013" xr:uid="{00000000-0005-0000-0000-0000A96F0000}"/>
    <cellStyle name="Normal 4 2 8 6 3 2" xfId="54593" xr:uid="{00000000-0005-0000-0000-0000AA6F0000}"/>
    <cellStyle name="Normal 4 2 8 6 4" xfId="20014" xr:uid="{00000000-0005-0000-0000-0000AB6F0000}"/>
    <cellStyle name="Normal 4 2 8 6 5" xfId="20015" xr:uid="{00000000-0005-0000-0000-0000AC6F0000}"/>
    <cellStyle name="Normal 4 2 8 6 6" xfId="20016" xr:uid="{00000000-0005-0000-0000-0000AD6F0000}"/>
    <cellStyle name="Normal 4 2 8 7" xfId="20017" xr:uid="{00000000-0005-0000-0000-0000AE6F0000}"/>
    <cellStyle name="Normal 4 2 8 7 2" xfId="54594" xr:uid="{00000000-0005-0000-0000-0000AF6F0000}"/>
    <cellStyle name="Normal 4 2 8 8" xfId="20018" xr:uid="{00000000-0005-0000-0000-0000B06F0000}"/>
    <cellStyle name="Normal 4 2 8 9" xfId="20019" xr:uid="{00000000-0005-0000-0000-0000B16F0000}"/>
    <cellStyle name="Normal 4 2 9" xfId="20020" xr:uid="{00000000-0005-0000-0000-0000B26F0000}"/>
    <cellStyle name="Normal 4 2 9 10" xfId="20021" xr:uid="{00000000-0005-0000-0000-0000B36F0000}"/>
    <cellStyle name="Normal 4 2 9 11" xfId="20022" xr:uid="{00000000-0005-0000-0000-0000B46F0000}"/>
    <cellStyle name="Normal 4 2 9 12" xfId="20023" xr:uid="{00000000-0005-0000-0000-0000B56F0000}"/>
    <cellStyle name="Normal 4 2 9 13" xfId="20024" xr:uid="{00000000-0005-0000-0000-0000B66F0000}"/>
    <cellStyle name="Normal 4 2 9 14" xfId="20025" xr:uid="{00000000-0005-0000-0000-0000B76F0000}"/>
    <cellStyle name="Normal 4 2 9 15" xfId="20026" xr:uid="{00000000-0005-0000-0000-0000B86F0000}"/>
    <cellStyle name="Normal 4 2 9 16" xfId="20027" xr:uid="{00000000-0005-0000-0000-0000B96F0000}"/>
    <cellStyle name="Normal 4 2 9 2" xfId="20028" xr:uid="{00000000-0005-0000-0000-0000BA6F0000}"/>
    <cellStyle name="Normal 4 2 9 2 10" xfId="20029" xr:uid="{00000000-0005-0000-0000-0000BB6F0000}"/>
    <cellStyle name="Normal 4 2 9 2 11" xfId="20030" xr:uid="{00000000-0005-0000-0000-0000BC6F0000}"/>
    <cellStyle name="Normal 4 2 9 2 12" xfId="20031" xr:uid="{00000000-0005-0000-0000-0000BD6F0000}"/>
    <cellStyle name="Normal 4 2 9 2 13" xfId="20032" xr:uid="{00000000-0005-0000-0000-0000BE6F0000}"/>
    <cellStyle name="Normal 4 2 9 2 14" xfId="20033" xr:uid="{00000000-0005-0000-0000-0000BF6F0000}"/>
    <cellStyle name="Normal 4 2 9 2 2" xfId="20034" xr:uid="{00000000-0005-0000-0000-0000C06F0000}"/>
    <cellStyle name="Normal 4 2 9 2 2 2" xfId="20035" xr:uid="{00000000-0005-0000-0000-0000C16F0000}"/>
    <cellStyle name="Normal 4 2 9 2 2 2 2" xfId="20036" xr:uid="{00000000-0005-0000-0000-0000C26F0000}"/>
    <cellStyle name="Normal 4 2 9 2 2 2 2 2" xfId="20037" xr:uid="{00000000-0005-0000-0000-0000C36F0000}"/>
    <cellStyle name="Normal 4 2 9 2 2 2 2 2 2" xfId="54595" xr:uid="{00000000-0005-0000-0000-0000C46F0000}"/>
    <cellStyle name="Normal 4 2 9 2 2 2 2 2 3" xfId="54596" xr:uid="{00000000-0005-0000-0000-0000C56F0000}"/>
    <cellStyle name="Normal 4 2 9 2 2 2 2 3" xfId="20038" xr:uid="{00000000-0005-0000-0000-0000C66F0000}"/>
    <cellStyle name="Normal 4 2 9 2 2 2 2 3 2" xfId="54597" xr:uid="{00000000-0005-0000-0000-0000C76F0000}"/>
    <cellStyle name="Normal 4 2 9 2 2 2 2 4" xfId="20039" xr:uid="{00000000-0005-0000-0000-0000C86F0000}"/>
    <cellStyle name="Normal 4 2 9 2 2 2 2 5" xfId="20040" xr:uid="{00000000-0005-0000-0000-0000C96F0000}"/>
    <cellStyle name="Normal 4 2 9 2 2 2 2 6" xfId="20041" xr:uid="{00000000-0005-0000-0000-0000CA6F0000}"/>
    <cellStyle name="Normal 4 2 9 2 2 2 3" xfId="20042" xr:uid="{00000000-0005-0000-0000-0000CB6F0000}"/>
    <cellStyle name="Normal 4 2 9 2 2 2 3 2" xfId="54598" xr:uid="{00000000-0005-0000-0000-0000CC6F0000}"/>
    <cellStyle name="Normal 4 2 9 2 2 2 3 3" xfId="54599" xr:uid="{00000000-0005-0000-0000-0000CD6F0000}"/>
    <cellStyle name="Normal 4 2 9 2 2 2 4" xfId="20043" xr:uid="{00000000-0005-0000-0000-0000CE6F0000}"/>
    <cellStyle name="Normal 4 2 9 2 2 2 4 2" xfId="54600" xr:uid="{00000000-0005-0000-0000-0000CF6F0000}"/>
    <cellStyle name="Normal 4 2 9 2 2 2 5" xfId="20044" xr:uid="{00000000-0005-0000-0000-0000D06F0000}"/>
    <cellStyle name="Normal 4 2 9 2 2 2 6" xfId="20045" xr:uid="{00000000-0005-0000-0000-0000D16F0000}"/>
    <cellStyle name="Normal 4 2 9 2 2 2 7" xfId="20046" xr:uid="{00000000-0005-0000-0000-0000D26F0000}"/>
    <cellStyle name="Normal 4 2 9 2 2 3" xfId="20047" xr:uid="{00000000-0005-0000-0000-0000D36F0000}"/>
    <cellStyle name="Normal 4 2 9 2 2 3 2" xfId="20048" xr:uid="{00000000-0005-0000-0000-0000D46F0000}"/>
    <cellStyle name="Normal 4 2 9 2 2 3 2 2" xfId="54601" xr:uid="{00000000-0005-0000-0000-0000D56F0000}"/>
    <cellStyle name="Normal 4 2 9 2 2 3 2 3" xfId="54602" xr:uid="{00000000-0005-0000-0000-0000D66F0000}"/>
    <cellStyle name="Normal 4 2 9 2 2 3 3" xfId="20049" xr:uid="{00000000-0005-0000-0000-0000D76F0000}"/>
    <cellStyle name="Normal 4 2 9 2 2 3 3 2" xfId="54603" xr:uid="{00000000-0005-0000-0000-0000D86F0000}"/>
    <cellStyle name="Normal 4 2 9 2 2 3 4" xfId="20050" xr:uid="{00000000-0005-0000-0000-0000D96F0000}"/>
    <cellStyle name="Normal 4 2 9 2 2 3 5" xfId="20051" xr:uid="{00000000-0005-0000-0000-0000DA6F0000}"/>
    <cellStyle name="Normal 4 2 9 2 2 3 6" xfId="20052" xr:uid="{00000000-0005-0000-0000-0000DB6F0000}"/>
    <cellStyle name="Normal 4 2 9 2 2 4" xfId="20053" xr:uid="{00000000-0005-0000-0000-0000DC6F0000}"/>
    <cellStyle name="Normal 4 2 9 2 2 4 2" xfId="54604" xr:uid="{00000000-0005-0000-0000-0000DD6F0000}"/>
    <cellStyle name="Normal 4 2 9 2 2 4 3" xfId="54605" xr:uid="{00000000-0005-0000-0000-0000DE6F0000}"/>
    <cellStyle name="Normal 4 2 9 2 2 5" xfId="20054" xr:uid="{00000000-0005-0000-0000-0000DF6F0000}"/>
    <cellStyle name="Normal 4 2 9 2 2 5 2" xfId="54606" xr:uid="{00000000-0005-0000-0000-0000E06F0000}"/>
    <cellStyle name="Normal 4 2 9 2 2 6" xfId="20055" xr:uid="{00000000-0005-0000-0000-0000E16F0000}"/>
    <cellStyle name="Normal 4 2 9 2 2 7" xfId="20056" xr:uid="{00000000-0005-0000-0000-0000E26F0000}"/>
    <cellStyle name="Normal 4 2 9 2 2 8" xfId="20057" xr:uid="{00000000-0005-0000-0000-0000E36F0000}"/>
    <cellStyle name="Normal 4 2 9 2 2 9" xfId="20058" xr:uid="{00000000-0005-0000-0000-0000E46F0000}"/>
    <cellStyle name="Normal 4 2 9 2 3" xfId="20059" xr:uid="{00000000-0005-0000-0000-0000E56F0000}"/>
    <cellStyle name="Normal 4 2 9 2 3 2" xfId="20060" xr:uid="{00000000-0005-0000-0000-0000E66F0000}"/>
    <cellStyle name="Normal 4 2 9 2 3 2 2" xfId="20061" xr:uid="{00000000-0005-0000-0000-0000E76F0000}"/>
    <cellStyle name="Normal 4 2 9 2 3 2 2 2" xfId="20062" xr:uid="{00000000-0005-0000-0000-0000E86F0000}"/>
    <cellStyle name="Normal 4 2 9 2 3 2 2 2 2" xfId="54607" xr:uid="{00000000-0005-0000-0000-0000E96F0000}"/>
    <cellStyle name="Normal 4 2 9 2 3 2 2 2 3" xfId="54608" xr:uid="{00000000-0005-0000-0000-0000EA6F0000}"/>
    <cellStyle name="Normal 4 2 9 2 3 2 2 3" xfId="20063" xr:uid="{00000000-0005-0000-0000-0000EB6F0000}"/>
    <cellStyle name="Normal 4 2 9 2 3 2 2 3 2" xfId="54609" xr:uid="{00000000-0005-0000-0000-0000EC6F0000}"/>
    <cellStyle name="Normal 4 2 9 2 3 2 2 4" xfId="20064" xr:uid="{00000000-0005-0000-0000-0000ED6F0000}"/>
    <cellStyle name="Normal 4 2 9 2 3 2 2 5" xfId="20065" xr:uid="{00000000-0005-0000-0000-0000EE6F0000}"/>
    <cellStyle name="Normal 4 2 9 2 3 2 2 6" xfId="20066" xr:uid="{00000000-0005-0000-0000-0000EF6F0000}"/>
    <cellStyle name="Normal 4 2 9 2 3 2 3" xfId="20067" xr:uid="{00000000-0005-0000-0000-0000F06F0000}"/>
    <cellStyle name="Normal 4 2 9 2 3 2 3 2" xfId="54610" xr:uid="{00000000-0005-0000-0000-0000F16F0000}"/>
    <cellStyle name="Normal 4 2 9 2 3 2 3 3" xfId="54611" xr:uid="{00000000-0005-0000-0000-0000F26F0000}"/>
    <cellStyle name="Normal 4 2 9 2 3 2 4" xfId="20068" xr:uid="{00000000-0005-0000-0000-0000F36F0000}"/>
    <cellStyle name="Normal 4 2 9 2 3 2 4 2" xfId="54612" xr:uid="{00000000-0005-0000-0000-0000F46F0000}"/>
    <cellStyle name="Normal 4 2 9 2 3 2 5" xfId="20069" xr:uid="{00000000-0005-0000-0000-0000F56F0000}"/>
    <cellStyle name="Normal 4 2 9 2 3 2 6" xfId="20070" xr:uid="{00000000-0005-0000-0000-0000F66F0000}"/>
    <cellStyle name="Normal 4 2 9 2 3 2 7" xfId="20071" xr:uid="{00000000-0005-0000-0000-0000F76F0000}"/>
    <cellStyle name="Normal 4 2 9 2 3 3" xfId="20072" xr:uid="{00000000-0005-0000-0000-0000F86F0000}"/>
    <cellStyle name="Normal 4 2 9 2 3 3 2" xfId="20073" xr:uid="{00000000-0005-0000-0000-0000F96F0000}"/>
    <cellStyle name="Normal 4 2 9 2 3 3 2 2" xfId="54613" xr:uid="{00000000-0005-0000-0000-0000FA6F0000}"/>
    <cellStyle name="Normal 4 2 9 2 3 3 2 3" xfId="54614" xr:uid="{00000000-0005-0000-0000-0000FB6F0000}"/>
    <cellStyle name="Normal 4 2 9 2 3 3 3" xfId="20074" xr:uid="{00000000-0005-0000-0000-0000FC6F0000}"/>
    <cellStyle name="Normal 4 2 9 2 3 3 3 2" xfId="54615" xr:uid="{00000000-0005-0000-0000-0000FD6F0000}"/>
    <cellStyle name="Normal 4 2 9 2 3 3 4" xfId="20075" xr:uid="{00000000-0005-0000-0000-0000FE6F0000}"/>
    <cellStyle name="Normal 4 2 9 2 3 3 5" xfId="20076" xr:uid="{00000000-0005-0000-0000-0000FF6F0000}"/>
    <cellStyle name="Normal 4 2 9 2 3 3 6" xfId="20077" xr:uid="{00000000-0005-0000-0000-000000700000}"/>
    <cellStyle name="Normal 4 2 9 2 3 4" xfId="20078" xr:uid="{00000000-0005-0000-0000-000001700000}"/>
    <cellStyle name="Normal 4 2 9 2 3 4 2" xfId="54616" xr:uid="{00000000-0005-0000-0000-000002700000}"/>
    <cellStyle name="Normal 4 2 9 2 3 4 3" xfId="54617" xr:uid="{00000000-0005-0000-0000-000003700000}"/>
    <cellStyle name="Normal 4 2 9 2 3 5" xfId="20079" xr:uid="{00000000-0005-0000-0000-000004700000}"/>
    <cellStyle name="Normal 4 2 9 2 3 5 2" xfId="54618" xr:uid="{00000000-0005-0000-0000-000005700000}"/>
    <cellStyle name="Normal 4 2 9 2 3 6" xfId="20080" xr:uid="{00000000-0005-0000-0000-000006700000}"/>
    <cellStyle name="Normal 4 2 9 2 3 7" xfId="20081" xr:uid="{00000000-0005-0000-0000-000007700000}"/>
    <cellStyle name="Normal 4 2 9 2 3 8" xfId="20082" xr:uid="{00000000-0005-0000-0000-000008700000}"/>
    <cellStyle name="Normal 4 2 9 2 4" xfId="20083" xr:uid="{00000000-0005-0000-0000-000009700000}"/>
    <cellStyle name="Normal 4 2 9 2 4 2" xfId="20084" xr:uid="{00000000-0005-0000-0000-00000A700000}"/>
    <cellStyle name="Normal 4 2 9 2 4 2 2" xfId="20085" xr:uid="{00000000-0005-0000-0000-00000B700000}"/>
    <cellStyle name="Normal 4 2 9 2 4 2 2 2" xfId="54619" xr:uid="{00000000-0005-0000-0000-00000C700000}"/>
    <cellStyle name="Normal 4 2 9 2 4 2 2 3" xfId="54620" xr:uid="{00000000-0005-0000-0000-00000D700000}"/>
    <cellStyle name="Normal 4 2 9 2 4 2 3" xfId="20086" xr:uid="{00000000-0005-0000-0000-00000E700000}"/>
    <cellStyle name="Normal 4 2 9 2 4 2 3 2" xfId="54621" xr:uid="{00000000-0005-0000-0000-00000F700000}"/>
    <cellStyle name="Normal 4 2 9 2 4 2 4" xfId="20087" xr:uid="{00000000-0005-0000-0000-000010700000}"/>
    <cellStyle name="Normal 4 2 9 2 4 2 5" xfId="20088" xr:uid="{00000000-0005-0000-0000-000011700000}"/>
    <cellStyle name="Normal 4 2 9 2 4 2 6" xfId="20089" xr:uid="{00000000-0005-0000-0000-000012700000}"/>
    <cellStyle name="Normal 4 2 9 2 4 3" xfId="20090" xr:uid="{00000000-0005-0000-0000-000013700000}"/>
    <cellStyle name="Normal 4 2 9 2 4 3 2" xfId="54622" xr:uid="{00000000-0005-0000-0000-000014700000}"/>
    <cellStyle name="Normal 4 2 9 2 4 3 3" xfId="54623" xr:uid="{00000000-0005-0000-0000-000015700000}"/>
    <cellStyle name="Normal 4 2 9 2 4 4" xfId="20091" xr:uid="{00000000-0005-0000-0000-000016700000}"/>
    <cellStyle name="Normal 4 2 9 2 4 4 2" xfId="54624" xr:uid="{00000000-0005-0000-0000-000017700000}"/>
    <cellStyle name="Normal 4 2 9 2 4 5" xfId="20092" xr:uid="{00000000-0005-0000-0000-000018700000}"/>
    <cellStyle name="Normal 4 2 9 2 4 6" xfId="20093" xr:uid="{00000000-0005-0000-0000-000019700000}"/>
    <cellStyle name="Normal 4 2 9 2 4 7" xfId="20094" xr:uid="{00000000-0005-0000-0000-00001A700000}"/>
    <cellStyle name="Normal 4 2 9 2 5" xfId="20095" xr:uid="{00000000-0005-0000-0000-00001B700000}"/>
    <cellStyle name="Normal 4 2 9 2 5 2" xfId="20096" xr:uid="{00000000-0005-0000-0000-00001C700000}"/>
    <cellStyle name="Normal 4 2 9 2 5 2 2" xfId="54625" xr:uid="{00000000-0005-0000-0000-00001D700000}"/>
    <cellStyle name="Normal 4 2 9 2 5 2 3" xfId="54626" xr:uid="{00000000-0005-0000-0000-00001E700000}"/>
    <cellStyle name="Normal 4 2 9 2 5 3" xfId="20097" xr:uid="{00000000-0005-0000-0000-00001F700000}"/>
    <cellStyle name="Normal 4 2 9 2 5 3 2" xfId="54627" xr:uid="{00000000-0005-0000-0000-000020700000}"/>
    <cellStyle name="Normal 4 2 9 2 5 4" xfId="20098" xr:uid="{00000000-0005-0000-0000-000021700000}"/>
    <cellStyle name="Normal 4 2 9 2 5 5" xfId="20099" xr:uid="{00000000-0005-0000-0000-000022700000}"/>
    <cellStyle name="Normal 4 2 9 2 5 6" xfId="20100" xr:uid="{00000000-0005-0000-0000-000023700000}"/>
    <cellStyle name="Normal 4 2 9 2 6" xfId="20101" xr:uid="{00000000-0005-0000-0000-000024700000}"/>
    <cellStyle name="Normal 4 2 9 2 6 2" xfId="54628" xr:uid="{00000000-0005-0000-0000-000025700000}"/>
    <cellStyle name="Normal 4 2 9 2 6 3" xfId="54629" xr:uid="{00000000-0005-0000-0000-000026700000}"/>
    <cellStyle name="Normal 4 2 9 2 7" xfId="20102" xr:uid="{00000000-0005-0000-0000-000027700000}"/>
    <cellStyle name="Normal 4 2 9 2 7 2" xfId="54630" xr:uid="{00000000-0005-0000-0000-000028700000}"/>
    <cellStyle name="Normal 4 2 9 2 8" xfId="20103" xr:uid="{00000000-0005-0000-0000-000029700000}"/>
    <cellStyle name="Normal 4 2 9 2 9" xfId="20104" xr:uid="{00000000-0005-0000-0000-00002A700000}"/>
    <cellStyle name="Normal 4 2 9 3" xfId="20105" xr:uid="{00000000-0005-0000-0000-00002B700000}"/>
    <cellStyle name="Normal 4 2 9 3 2" xfId="20106" xr:uid="{00000000-0005-0000-0000-00002C700000}"/>
    <cellStyle name="Normal 4 2 9 3 2 2" xfId="20107" xr:uid="{00000000-0005-0000-0000-00002D700000}"/>
    <cellStyle name="Normal 4 2 9 3 2 2 2" xfId="20108" xr:uid="{00000000-0005-0000-0000-00002E700000}"/>
    <cellStyle name="Normal 4 2 9 3 2 2 2 2" xfId="54631" xr:uid="{00000000-0005-0000-0000-00002F700000}"/>
    <cellStyle name="Normal 4 2 9 3 2 2 2 3" xfId="54632" xr:uid="{00000000-0005-0000-0000-000030700000}"/>
    <cellStyle name="Normal 4 2 9 3 2 2 3" xfId="20109" xr:uid="{00000000-0005-0000-0000-000031700000}"/>
    <cellStyle name="Normal 4 2 9 3 2 2 3 2" xfId="54633" xr:uid="{00000000-0005-0000-0000-000032700000}"/>
    <cellStyle name="Normal 4 2 9 3 2 2 4" xfId="20110" xr:uid="{00000000-0005-0000-0000-000033700000}"/>
    <cellStyle name="Normal 4 2 9 3 2 2 5" xfId="20111" xr:uid="{00000000-0005-0000-0000-000034700000}"/>
    <cellStyle name="Normal 4 2 9 3 2 2 6" xfId="20112" xr:uid="{00000000-0005-0000-0000-000035700000}"/>
    <cellStyle name="Normal 4 2 9 3 2 3" xfId="20113" xr:uid="{00000000-0005-0000-0000-000036700000}"/>
    <cellStyle name="Normal 4 2 9 3 2 3 2" xfId="54634" xr:uid="{00000000-0005-0000-0000-000037700000}"/>
    <cellStyle name="Normal 4 2 9 3 2 3 3" xfId="54635" xr:uid="{00000000-0005-0000-0000-000038700000}"/>
    <cellStyle name="Normal 4 2 9 3 2 4" xfId="20114" xr:uid="{00000000-0005-0000-0000-000039700000}"/>
    <cellStyle name="Normal 4 2 9 3 2 4 2" xfId="54636" xr:uid="{00000000-0005-0000-0000-00003A700000}"/>
    <cellStyle name="Normal 4 2 9 3 2 5" xfId="20115" xr:uid="{00000000-0005-0000-0000-00003B700000}"/>
    <cellStyle name="Normal 4 2 9 3 2 6" xfId="20116" xr:uid="{00000000-0005-0000-0000-00003C700000}"/>
    <cellStyle name="Normal 4 2 9 3 2 7" xfId="20117" xr:uid="{00000000-0005-0000-0000-00003D700000}"/>
    <cellStyle name="Normal 4 2 9 3 3" xfId="20118" xr:uid="{00000000-0005-0000-0000-00003E700000}"/>
    <cellStyle name="Normal 4 2 9 3 3 2" xfId="20119" xr:uid="{00000000-0005-0000-0000-00003F700000}"/>
    <cellStyle name="Normal 4 2 9 3 3 2 2" xfId="54637" xr:uid="{00000000-0005-0000-0000-000040700000}"/>
    <cellStyle name="Normal 4 2 9 3 3 2 3" xfId="54638" xr:uid="{00000000-0005-0000-0000-000041700000}"/>
    <cellStyle name="Normal 4 2 9 3 3 3" xfId="20120" xr:uid="{00000000-0005-0000-0000-000042700000}"/>
    <cellStyle name="Normal 4 2 9 3 3 3 2" xfId="54639" xr:uid="{00000000-0005-0000-0000-000043700000}"/>
    <cellStyle name="Normal 4 2 9 3 3 4" xfId="20121" xr:uid="{00000000-0005-0000-0000-000044700000}"/>
    <cellStyle name="Normal 4 2 9 3 3 5" xfId="20122" xr:uid="{00000000-0005-0000-0000-000045700000}"/>
    <cellStyle name="Normal 4 2 9 3 3 6" xfId="20123" xr:uid="{00000000-0005-0000-0000-000046700000}"/>
    <cellStyle name="Normal 4 2 9 3 4" xfId="20124" xr:uid="{00000000-0005-0000-0000-000047700000}"/>
    <cellStyle name="Normal 4 2 9 3 4 2" xfId="54640" xr:uid="{00000000-0005-0000-0000-000048700000}"/>
    <cellStyle name="Normal 4 2 9 3 4 3" xfId="54641" xr:uid="{00000000-0005-0000-0000-000049700000}"/>
    <cellStyle name="Normal 4 2 9 3 5" xfId="20125" xr:uid="{00000000-0005-0000-0000-00004A700000}"/>
    <cellStyle name="Normal 4 2 9 3 5 2" xfId="54642" xr:uid="{00000000-0005-0000-0000-00004B700000}"/>
    <cellStyle name="Normal 4 2 9 3 6" xfId="20126" xr:uid="{00000000-0005-0000-0000-00004C700000}"/>
    <cellStyle name="Normal 4 2 9 3 7" xfId="20127" xr:uid="{00000000-0005-0000-0000-00004D700000}"/>
    <cellStyle name="Normal 4 2 9 3 8" xfId="20128" xr:uid="{00000000-0005-0000-0000-00004E700000}"/>
    <cellStyle name="Normal 4 2 9 3 9" xfId="20129" xr:uid="{00000000-0005-0000-0000-00004F700000}"/>
    <cellStyle name="Normal 4 2 9 4" xfId="20130" xr:uid="{00000000-0005-0000-0000-000050700000}"/>
    <cellStyle name="Normal 4 2 9 4 2" xfId="20131" xr:uid="{00000000-0005-0000-0000-000051700000}"/>
    <cellStyle name="Normal 4 2 9 4 2 2" xfId="20132" xr:uid="{00000000-0005-0000-0000-000052700000}"/>
    <cellStyle name="Normal 4 2 9 4 2 2 2" xfId="20133" xr:uid="{00000000-0005-0000-0000-000053700000}"/>
    <cellStyle name="Normal 4 2 9 4 2 2 2 2" xfId="54643" xr:uid="{00000000-0005-0000-0000-000054700000}"/>
    <cellStyle name="Normal 4 2 9 4 2 2 2 3" xfId="54644" xr:uid="{00000000-0005-0000-0000-000055700000}"/>
    <cellStyle name="Normal 4 2 9 4 2 2 3" xfId="20134" xr:uid="{00000000-0005-0000-0000-000056700000}"/>
    <cellStyle name="Normal 4 2 9 4 2 2 3 2" xfId="54645" xr:uid="{00000000-0005-0000-0000-000057700000}"/>
    <cellStyle name="Normal 4 2 9 4 2 2 4" xfId="20135" xr:uid="{00000000-0005-0000-0000-000058700000}"/>
    <cellStyle name="Normal 4 2 9 4 2 2 5" xfId="20136" xr:uid="{00000000-0005-0000-0000-000059700000}"/>
    <cellStyle name="Normal 4 2 9 4 2 2 6" xfId="20137" xr:uid="{00000000-0005-0000-0000-00005A700000}"/>
    <cellStyle name="Normal 4 2 9 4 2 3" xfId="20138" xr:uid="{00000000-0005-0000-0000-00005B700000}"/>
    <cellStyle name="Normal 4 2 9 4 2 3 2" xfId="54646" xr:uid="{00000000-0005-0000-0000-00005C700000}"/>
    <cellStyle name="Normal 4 2 9 4 2 3 3" xfId="54647" xr:uid="{00000000-0005-0000-0000-00005D700000}"/>
    <cellStyle name="Normal 4 2 9 4 2 4" xfId="20139" xr:uid="{00000000-0005-0000-0000-00005E700000}"/>
    <cellStyle name="Normal 4 2 9 4 2 4 2" xfId="54648" xr:uid="{00000000-0005-0000-0000-00005F700000}"/>
    <cellStyle name="Normal 4 2 9 4 2 5" xfId="20140" xr:uid="{00000000-0005-0000-0000-000060700000}"/>
    <cellStyle name="Normal 4 2 9 4 2 6" xfId="20141" xr:uid="{00000000-0005-0000-0000-000061700000}"/>
    <cellStyle name="Normal 4 2 9 4 2 7" xfId="20142" xr:uid="{00000000-0005-0000-0000-000062700000}"/>
    <cellStyle name="Normal 4 2 9 4 3" xfId="20143" xr:uid="{00000000-0005-0000-0000-000063700000}"/>
    <cellStyle name="Normal 4 2 9 4 3 2" xfId="20144" xr:uid="{00000000-0005-0000-0000-000064700000}"/>
    <cellStyle name="Normal 4 2 9 4 3 2 2" xfId="54649" xr:uid="{00000000-0005-0000-0000-000065700000}"/>
    <cellStyle name="Normal 4 2 9 4 3 2 3" xfId="54650" xr:uid="{00000000-0005-0000-0000-000066700000}"/>
    <cellStyle name="Normal 4 2 9 4 3 3" xfId="20145" xr:uid="{00000000-0005-0000-0000-000067700000}"/>
    <cellStyle name="Normal 4 2 9 4 3 3 2" xfId="54651" xr:uid="{00000000-0005-0000-0000-000068700000}"/>
    <cellStyle name="Normal 4 2 9 4 3 4" xfId="20146" xr:uid="{00000000-0005-0000-0000-000069700000}"/>
    <cellStyle name="Normal 4 2 9 4 3 5" xfId="20147" xr:uid="{00000000-0005-0000-0000-00006A700000}"/>
    <cellStyle name="Normal 4 2 9 4 3 6" xfId="20148" xr:uid="{00000000-0005-0000-0000-00006B700000}"/>
    <cellStyle name="Normal 4 2 9 4 4" xfId="20149" xr:uid="{00000000-0005-0000-0000-00006C700000}"/>
    <cellStyle name="Normal 4 2 9 4 4 2" xfId="54652" xr:uid="{00000000-0005-0000-0000-00006D700000}"/>
    <cellStyle name="Normal 4 2 9 4 4 3" xfId="54653" xr:uid="{00000000-0005-0000-0000-00006E700000}"/>
    <cellStyle name="Normal 4 2 9 4 5" xfId="20150" xr:uid="{00000000-0005-0000-0000-00006F700000}"/>
    <cellStyle name="Normal 4 2 9 4 5 2" xfId="54654" xr:uid="{00000000-0005-0000-0000-000070700000}"/>
    <cellStyle name="Normal 4 2 9 4 6" xfId="20151" xr:uid="{00000000-0005-0000-0000-000071700000}"/>
    <cellStyle name="Normal 4 2 9 4 7" xfId="20152" xr:uid="{00000000-0005-0000-0000-000072700000}"/>
    <cellStyle name="Normal 4 2 9 4 8" xfId="20153" xr:uid="{00000000-0005-0000-0000-000073700000}"/>
    <cellStyle name="Normal 4 2 9 5" xfId="20154" xr:uid="{00000000-0005-0000-0000-000074700000}"/>
    <cellStyle name="Normal 4 2 9 5 2" xfId="20155" xr:uid="{00000000-0005-0000-0000-000075700000}"/>
    <cellStyle name="Normal 4 2 9 5 2 2" xfId="20156" xr:uid="{00000000-0005-0000-0000-000076700000}"/>
    <cellStyle name="Normal 4 2 9 5 2 2 2" xfId="54655" xr:uid="{00000000-0005-0000-0000-000077700000}"/>
    <cellStyle name="Normal 4 2 9 5 2 2 3" xfId="54656" xr:uid="{00000000-0005-0000-0000-000078700000}"/>
    <cellStyle name="Normal 4 2 9 5 2 3" xfId="20157" xr:uid="{00000000-0005-0000-0000-000079700000}"/>
    <cellStyle name="Normal 4 2 9 5 2 3 2" xfId="54657" xr:uid="{00000000-0005-0000-0000-00007A700000}"/>
    <cellStyle name="Normal 4 2 9 5 2 4" xfId="20158" xr:uid="{00000000-0005-0000-0000-00007B700000}"/>
    <cellStyle name="Normal 4 2 9 5 2 5" xfId="20159" xr:uid="{00000000-0005-0000-0000-00007C700000}"/>
    <cellStyle name="Normal 4 2 9 5 2 6" xfId="20160" xr:uid="{00000000-0005-0000-0000-00007D700000}"/>
    <cellStyle name="Normal 4 2 9 5 3" xfId="20161" xr:uid="{00000000-0005-0000-0000-00007E700000}"/>
    <cellStyle name="Normal 4 2 9 5 3 2" xfId="54658" xr:uid="{00000000-0005-0000-0000-00007F700000}"/>
    <cellStyle name="Normal 4 2 9 5 3 3" xfId="54659" xr:uid="{00000000-0005-0000-0000-000080700000}"/>
    <cellStyle name="Normal 4 2 9 5 4" xfId="20162" xr:uid="{00000000-0005-0000-0000-000081700000}"/>
    <cellStyle name="Normal 4 2 9 5 4 2" xfId="54660" xr:uid="{00000000-0005-0000-0000-000082700000}"/>
    <cellStyle name="Normal 4 2 9 5 5" xfId="20163" xr:uid="{00000000-0005-0000-0000-000083700000}"/>
    <cellStyle name="Normal 4 2 9 5 6" xfId="20164" xr:uid="{00000000-0005-0000-0000-000084700000}"/>
    <cellStyle name="Normal 4 2 9 5 7" xfId="20165" xr:uid="{00000000-0005-0000-0000-000085700000}"/>
    <cellStyle name="Normal 4 2 9 6" xfId="20166" xr:uid="{00000000-0005-0000-0000-000086700000}"/>
    <cellStyle name="Normal 4 2 9 6 2" xfId="20167" xr:uid="{00000000-0005-0000-0000-000087700000}"/>
    <cellStyle name="Normal 4 2 9 6 2 2" xfId="54661" xr:uid="{00000000-0005-0000-0000-000088700000}"/>
    <cellStyle name="Normal 4 2 9 6 2 3" xfId="54662" xr:uid="{00000000-0005-0000-0000-000089700000}"/>
    <cellStyle name="Normal 4 2 9 6 3" xfId="20168" xr:uid="{00000000-0005-0000-0000-00008A700000}"/>
    <cellStyle name="Normal 4 2 9 6 3 2" xfId="54663" xr:uid="{00000000-0005-0000-0000-00008B700000}"/>
    <cellStyle name="Normal 4 2 9 6 4" xfId="20169" xr:uid="{00000000-0005-0000-0000-00008C700000}"/>
    <cellStyle name="Normal 4 2 9 6 5" xfId="20170" xr:uid="{00000000-0005-0000-0000-00008D700000}"/>
    <cellStyle name="Normal 4 2 9 6 6" xfId="20171" xr:uid="{00000000-0005-0000-0000-00008E700000}"/>
    <cellStyle name="Normal 4 2 9 7" xfId="20172" xr:uid="{00000000-0005-0000-0000-00008F700000}"/>
    <cellStyle name="Normal 4 2 9 7 2" xfId="54664" xr:uid="{00000000-0005-0000-0000-000090700000}"/>
    <cellStyle name="Normal 4 2 9 8" xfId="20173" xr:uid="{00000000-0005-0000-0000-000091700000}"/>
    <cellStyle name="Normal 4 2 9 9" xfId="20174" xr:uid="{00000000-0005-0000-0000-000092700000}"/>
    <cellStyle name="Normal 4 2_Sheet1" xfId="20175" xr:uid="{00000000-0005-0000-0000-000093700000}"/>
    <cellStyle name="Normal 4 20" xfId="20176" xr:uid="{00000000-0005-0000-0000-000094700000}"/>
    <cellStyle name="Normal 4 20 2" xfId="54665" xr:uid="{00000000-0005-0000-0000-000095700000}"/>
    <cellStyle name="Normal 4 20 3" xfId="54666" xr:uid="{00000000-0005-0000-0000-000096700000}"/>
    <cellStyle name="Normal 4 21" xfId="20177" xr:uid="{00000000-0005-0000-0000-000097700000}"/>
    <cellStyle name="Normal 4 21 2" xfId="54667" xr:uid="{00000000-0005-0000-0000-000098700000}"/>
    <cellStyle name="Normal 4 22" xfId="20178" xr:uid="{00000000-0005-0000-0000-000099700000}"/>
    <cellStyle name="Normal 4 22 2" xfId="54668" xr:uid="{00000000-0005-0000-0000-00009A700000}"/>
    <cellStyle name="Normal 4 23" xfId="20179" xr:uid="{00000000-0005-0000-0000-00009B700000}"/>
    <cellStyle name="Normal 4 24" xfId="20180" xr:uid="{00000000-0005-0000-0000-00009C700000}"/>
    <cellStyle name="Normal 4 25" xfId="20181" xr:uid="{00000000-0005-0000-0000-00009D700000}"/>
    <cellStyle name="Normal 4 26" xfId="20182" xr:uid="{00000000-0005-0000-0000-00009E700000}"/>
    <cellStyle name="Normal 4 27" xfId="20183" xr:uid="{00000000-0005-0000-0000-00009F700000}"/>
    <cellStyle name="Normal 4 28" xfId="20184" xr:uid="{00000000-0005-0000-0000-0000A0700000}"/>
    <cellStyle name="Normal 4 3" xfId="20185" xr:uid="{00000000-0005-0000-0000-0000A1700000}"/>
    <cellStyle name="Normal 4 3 2" xfId="20186" xr:uid="{00000000-0005-0000-0000-0000A2700000}"/>
    <cellStyle name="Normal 4 3 2 10" xfId="20187" xr:uid="{00000000-0005-0000-0000-0000A3700000}"/>
    <cellStyle name="Normal 4 3 2 10 2" xfId="20188" xr:uid="{00000000-0005-0000-0000-0000A4700000}"/>
    <cellStyle name="Normal 4 3 2 10 2 2" xfId="20189" xr:uid="{00000000-0005-0000-0000-0000A5700000}"/>
    <cellStyle name="Normal 4 3 2 10 2 2 2" xfId="20190" xr:uid="{00000000-0005-0000-0000-0000A6700000}"/>
    <cellStyle name="Normal 4 3 2 10 2 2 2 2" xfId="20191" xr:uid="{00000000-0005-0000-0000-0000A7700000}"/>
    <cellStyle name="Normal 4 3 2 10 2 2 3" xfId="20192" xr:uid="{00000000-0005-0000-0000-0000A8700000}"/>
    <cellStyle name="Normal 4 3 2 10 2 3" xfId="20193" xr:uid="{00000000-0005-0000-0000-0000A9700000}"/>
    <cellStyle name="Normal 4 3 2 10 2 3 2" xfId="20194" xr:uid="{00000000-0005-0000-0000-0000AA700000}"/>
    <cellStyle name="Normal 4 3 2 10 2 4" xfId="20195" xr:uid="{00000000-0005-0000-0000-0000AB700000}"/>
    <cellStyle name="Normal 4 3 2 10 3" xfId="20196" xr:uid="{00000000-0005-0000-0000-0000AC700000}"/>
    <cellStyle name="Normal 4 3 2 10 3 2" xfId="20197" xr:uid="{00000000-0005-0000-0000-0000AD700000}"/>
    <cellStyle name="Normal 4 3 2 10 3 2 2" xfId="20198" xr:uid="{00000000-0005-0000-0000-0000AE700000}"/>
    <cellStyle name="Normal 4 3 2 10 3 3" xfId="20199" xr:uid="{00000000-0005-0000-0000-0000AF700000}"/>
    <cellStyle name="Normal 4 3 2 10 4" xfId="20200" xr:uid="{00000000-0005-0000-0000-0000B0700000}"/>
    <cellStyle name="Normal 4 3 2 10 4 2" xfId="20201" xr:uid="{00000000-0005-0000-0000-0000B1700000}"/>
    <cellStyle name="Normal 4 3 2 10 5" xfId="20202" xr:uid="{00000000-0005-0000-0000-0000B2700000}"/>
    <cellStyle name="Normal 4 3 2 11" xfId="20203" xr:uid="{00000000-0005-0000-0000-0000B3700000}"/>
    <cellStyle name="Normal 4 3 2 11 2" xfId="20204" xr:uid="{00000000-0005-0000-0000-0000B4700000}"/>
    <cellStyle name="Normal 4 3 2 11 2 2" xfId="20205" xr:uid="{00000000-0005-0000-0000-0000B5700000}"/>
    <cellStyle name="Normal 4 3 2 11 2 2 2" xfId="20206" xr:uid="{00000000-0005-0000-0000-0000B6700000}"/>
    <cellStyle name="Normal 4 3 2 11 2 2 2 2" xfId="20207" xr:uid="{00000000-0005-0000-0000-0000B7700000}"/>
    <cellStyle name="Normal 4 3 2 11 2 2 3" xfId="20208" xr:uid="{00000000-0005-0000-0000-0000B8700000}"/>
    <cellStyle name="Normal 4 3 2 11 2 3" xfId="20209" xr:uid="{00000000-0005-0000-0000-0000B9700000}"/>
    <cellStyle name="Normal 4 3 2 11 2 3 2" xfId="20210" xr:uid="{00000000-0005-0000-0000-0000BA700000}"/>
    <cellStyle name="Normal 4 3 2 11 2 4" xfId="20211" xr:uid="{00000000-0005-0000-0000-0000BB700000}"/>
    <cellStyle name="Normal 4 3 2 11 3" xfId="20212" xr:uid="{00000000-0005-0000-0000-0000BC700000}"/>
    <cellStyle name="Normal 4 3 2 11 3 2" xfId="20213" xr:uid="{00000000-0005-0000-0000-0000BD700000}"/>
    <cellStyle name="Normal 4 3 2 11 3 2 2" xfId="20214" xr:uid="{00000000-0005-0000-0000-0000BE700000}"/>
    <cellStyle name="Normal 4 3 2 11 3 3" xfId="20215" xr:uid="{00000000-0005-0000-0000-0000BF700000}"/>
    <cellStyle name="Normal 4 3 2 11 4" xfId="20216" xr:uid="{00000000-0005-0000-0000-0000C0700000}"/>
    <cellStyle name="Normal 4 3 2 11 4 2" xfId="20217" xr:uid="{00000000-0005-0000-0000-0000C1700000}"/>
    <cellStyle name="Normal 4 3 2 11 5" xfId="20218" xr:uid="{00000000-0005-0000-0000-0000C2700000}"/>
    <cellStyle name="Normal 4 3 2 12" xfId="20219" xr:uid="{00000000-0005-0000-0000-0000C3700000}"/>
    <cellStyle name="Normal 4 3 2 12 2" xfId="20220" xr:uid="{00000000-0005-0000-0000-0000C4700000}"/>
    <cellStyle name="Normal 4 3 2 12 2 2" xfId="20221" xr:uid="{00000000-0005-0000-0000-0000C5700000}"/>
    <cellStyle name="Normal 4 3 2 12 2 2 2" xfId="20222" xr:uid="{00000000-0005-0000-0000-0000C6700000}"/>
    <cellStyle name="Normal 4 3 2 12 2 3" xfId="20223" xr:uid="{00000000-0005-0000-0000-0000C7700000}"/>
    <cellStyle name="Normal 4 3 2 12 3" xfId="20224" xr:uid="{00000000-0005-0000-0000-0000C8700000}"/>
    <cellStyle name="Normal 4 3 2 12 3 2" xfId="20225" xr:uid="{00000000-0005-0000-0000-0000C9700000}"/>
    <cellStyle name="Normal 4 3 2 12 3 2 2" xfId="20226" xr:uid="{00000000-0005-0000-0000-0000CA700000}"/>
    <cellStyle name="Normal 4 3 2 12 3 3" xfId="20227" xr:uid="{00000000-0005-0000-0000-0000CB700000}"/>
    <cellStyle name="Normal 4 3 2 12 4" xfId="20228" xr:uid="{00000000-0005-0000-0000-0000CC700000}"/>
    <cellStyle name="Normal 4 3 2 12 4 2" xfId="20229" xr:uid="{00000000-0005-0000-0000-0000CD700000}"/>
    <cellStyle name="Normal 4 3 2 12 5" xfId="20230" xr:uid="{00000000-0005-0000-0000-0000CE700000}"/>
    <cellStyle name="Normal 4 3 2 13" xfId="20231" xr:uid="{00000000-0005-0000-0000-0000CF700000}"/>
    <cellStyle name="Normal 4 3 2 13 2" xfId="20232" xr:uid="{00000000-0005-0000-0000-0000D0700000}"/>
    <cellStyle name="Normal 4 3 2 13 2 2" xfId="20233" xr:uid="{00000000-0005-0000-0000-0000D1700000}"/>
    <cellStyle name="Normal 4 3 2 13 2 2 2" xfId="20234" xr:uid="{00000000-0005-0000-0000-0000D2700000}"/>
    <cellStyle name="Normal 4 3 2 13 2 3" xfId="20235" xr:uid="{00000000-0005-0000-0000-0000D3700000}"/>
    <cellStyle name="Normal 4 3 2 13 3" xfId="20236" xr:uid="{00000000-0005-0000-0000-0000D4700000}"/>
    <cellStyle name="Normal 4 3 2 13 3 2" xfId="20237" xr:uid="{00000000-0005-0000-0000-0000D5700000}"/>
    <cellStyle name="Normal 4 3 2 13 4" xfId="20238" xr:uid="{00000000-0005-0000-0000-0000D6700000}"/>
    <cellStyle name="Normal 4 3 2 14" xfId="20239" xr:uid="{00000000-0005-0000-0000-0000D7700000}"/>
    <cellStyle name="Normal 4 3 2 14 2" xfId="20240" xr:uid="{00000000-0005-0000-0000-0000D8700000}"/>
    <cellStyle name="Normal 4 3 2 14 2 2" xfId="20241" xr:uid="{00000000-0005-0000-0000-0000D9700000}"/>
    <cellStyle name="Normal 4 3 2 14 3" xfId="20242" xr:uid="{00000000-0005-0000-0000-0000DA700000}"/>
    <cellStyle name="Normal 4 3 2 15" xfId="20243" xr:uid="{00000000-0005-0000-0000-0000DB700000}"/>
    <cellStyle name="Normal 4 3 2 15 2" xfId="20244" xr:uid="{00000000-0005-0000-0000-0000DC700000}"/>
    <cellStyle name="Normal 4 3 2 15 2 2" xfId="20245" xr:uid="{00000000-0005-0000-0000-0000DD700000}"/>
    <cellStyle name="Normal 4 3 2 15 3" xfId="20246" xr:uid="{00000000-0005-0000-0000-0000DE700000}"/>
    <cellStyle name="Normal 4 3 2 16" xfId="20247" xr:uid="{00000000-0005-0000-0000-0000DF700000}"/>
    <cellStyle name="Normal 4 3 2 16 2" xfId="20248" xr:uid="{00000000-0005-0000-0000-0000E0700000}"/>
    <cellStyle name="Normal 4 3 2 17" xfId="20249" xr:uid="{00000000-0005-0000-0000-0000E1700000}"/>
    <cellStyle name="Normal 4 3 2 18" xfId="20250" xr:uid="{00000000-0005-0000-0000-0000E2700000}"/>
    <cellStyle name="Normal 4 3 2 2" xfId="20251" xr:uid="{00000000-0005-0000-0000-0000E3700000}"/>
    <cellStyle name="Normal 4 3 2 2 2" xfId="20252" xr:uid="{00000000-0005-0000-0000-0000E4700000}"/>
    <cellStyle name="Normal 4 3 2 2 2 2" xfId="20253" xr:uid="{00000000-0005-0000-0000-0000E5700000}"/>
    <cellStyle name="Normal 4 3 2 2 2 2 2" xfId="20254" xr:uid="{00000000-0005-0000-0000-0000E6700000}"/>
    <cellStyle name="Normal 4 3 2 2 2 2 2 2" xfId="20255" xr:uid="{00000000-0005-0000-0000-0000E7700000}"/>
    <cellStyle name="Normal 4 3 2 2 2 2 2 2 2" xfId="20256" xr:uid="{00000000-0005-0000-0000-0000E8700000}"/>
    <cellStyle name="Normal 4 3 2 2 2 2 2 2 2 2" xfId="20257" xr:uid="{00000000-0005-0000-0000-0000E9700000}"/>
    <cellStyle name="Normal 4 3 2 2 2 2 2 2 2 2 2" xfId="20258" xr:uid="{00000000-0005-0000-0000-0000EA700000}"/>
    <cellStyle name="Normal 4 3 2 2 2 2 2 2 2 3" xfId="20259" xr:uid="{00000000-0005-0000-0000-0000EB700000}"/>
    <cellStyle name="Normal 4 3 2 2 2 2 2 2 3" xfId="20260" xr:uid="{00000000-0005-0000-0000-0000EC700000}"/>
    <cellStyle name="Normal 4 3 2 2 2 2 2 2 3 2" xfId="20261" xr:uid="{00000000-0005-0000-0000-0000ED700000}"/>
    <cellStyle name="Normal 4 3 2 2 2 2 2 2 4" xfId="20262" xr:uid="{00000000-0005-0000-0000-0000EE700000}"/>
    <cellStyle name="Normal 4 3 2 2 2 2 2 3" xfId="20263" xr:uid="{00000000-0005-0000-0000-0000EF700000}"/>
    <cellStyle name="Normal 4 3 2 2 2 2 2 3 2" xfId="20264" xr:uid="{00000000-0005-0000-0000-0000F0700000}"/>
    <cellStyle name="Normal 4 3 2 2 2 2 2 3 2 2" xfId="20265" xr:uid="{00000000-0005-0000-0000-0000F1700000}"/>
    <cellStyle name="Normal 4 3 2 2 2 2 2 3 3" xfId="20266" xr:uid="{00000000-0005-0000-0000-0000F2700000}"/>
    <cellStyle name="Normal 4 3 2 2 2 2 2 4" xfId="20267" xr:uid="{00000000-0005-0000-0000-0000F3700000}"/>
    <cellStyle name="Normal 4 3 2 2 2 2 2 4 2" xfId="20268" xr:uid="{00000000-0005-0000-0000-0000F4700000}"/>
    <cellStyle name="Normal 4 3 2 2 2 2 2 5" xfId="20269" xr:uid="{00000000-0005-0000-0000-0000F5700000}"/>
    <cellStyle name="Normal 4 3 2 2 2 2 3" xfId="20270" xr:uid="{00000000-0005-0000-0000-0000F6700000}"/>
    <cellStyle name="Normal 4 3 2 2 2 2 3 2" xfId="20271" xr:uid="{00000000-0005-0000-0000-0000F7700000}"/>
    <cellStyle name="Normal 4 3 2 2 2 2 3 2 2" xfId="20272" xr:uid="{00000000-0005-0000-0000-0000F8700000}"/>
    <cellStyle name="Normal 4 3 2 2 2 2 3 2 2 2" xfId="20273" xr:uid="{00000000-0005-0000-0000-0000F9700000}"/>
    <cellStyle name="Normal 4 3 2 2 2 2 3 2 3" xfId="20274" xr:uid="{00000000-0005-0000-0000-0000FA700000}"/>
    <cellStyle name="Normal 4 3 2 2 2 2 3 3" xfId="20275" xr:uid="{00000000-0005-0000-0000-0000FB700000}"/>
    <cellStyle name="Normal 4 3 2 2 2 2 3 3 2" xfId="20276" xr:uid="{00000000-0005-0000-0000-0000FC700000}"/>
    <cellStyle name="Normal 4 3 2 2 2 2 3 3 2 2" xfId="20277" xr:uid="{00000000-0005-0000-0000-0000FD700000}"/>
    <cellStyle name="Normal 4 3 2 2 2 2 3 3 3" xfId="20278" xr:uid="{00000000-0005-0000-0000-0000FE700000}"/>
    <cellStyle name="Normal 4 3 2 2 2 2 3 4" xfId="20279" xr:uid="{00000000-0005-0000-0000-0000FF700000}"/>
    <cellStyle name="Normal 4 3 2 2 2 2 3 4 2" xfId="20280" xr:uid="{00000000-0005-0000-0000-000000710000}"/>
    <cellStyle name="Normal 4 3 2 2 2 2 3 5" xfId="20281" xr:uid="{00000000-0005-0000-0000-000001710000}"/>
    <cellStyle name="Normal 4 3 2 2 2 2 4" xfId="20282" xr:uid="{00000000-0005-0000-0000-000002710000}"/>
    <cellStyle name="Normal 4 3 2 2 2 2 4 2" xfId="20283" xr:uid="{00000000-0005-0000-0000-000003710000}"/>
    <cellStyle name="Normal 4 3 2 2 2 2 4 2 2" xfId="20284" xr:uid="{00000000-0005-0000-0000-000004710000}"/>
    <cellStyle name="Normal 4 3 2 2 2 2 4 3" xfId="20285" xr:uid="{00000000-0005-0000-0000-000005710000}"/>
    <cellStyle name="Normal 4 3 2 2 2 2 5" xfId="20286" xr:uid="{00000000-0005-0000-0000-000006710000}"/>
    <cellStyle name="Normal 4 3 2 2 2 2 5 2" xfId="20287" xr:uid="{00000000-0005-0000-0000-000007710000}"/>
    <cellStyle name="Normal 4 3 2 2 2 2 5 2 2" xfId="20288" xr:uid="{00000000-0005-0000-0000-000008710000}"/>
    <cellStyle name="Normal 4 3 2 2 2 2 5 3" xfId="20289" xr:uid="{00000000-0005-0000-0000-000009710000}"/>
    <cellStyle name="Normal 4 3 2 2 2 2 6" xfId="20290" xr:uid="{00000000-0005-0000-0000-00000A710000}"/>
    <cellStyle name="Normal 4 3 2 2 2 2 6 2" xfId="20291" xr:uid="{00000000-0005-0000-0000-00000B710000}"/>
    <cellStyle name="Normal 4 3 2 2 2 2 7" xfId="20292" xr:uid="{00000000-0005-0000-0000-00000C710000}"/>
    <cellStyle name="Normal 4 3 2 2 2 3" xfId="20293" xr:uid="{00000000-0005-0000-0000-00000D710000}"/>
    <cellStyle name="Normal 4 3 2 2 2 3 2" xfId="20294" xr:uid="{00000000-0005-0000-0000-00000E710000}"/>
    <cellStyle name="Normal 4 3 2 2 2 3 2 2" xfId="20295" xr:uid="{00000000-0005-0000-0000-00000F710000}"/>
    <cellStyle name="Normal 4 3 2 2 2 3 2 2 2" xfId="20296" xr:uid="{00000000-0005-0000-0000-000010710000}"/>
    <cellStyle name="Normal 4 3 2 2 2 3 2 2 2 2" xfId="20297" xr:uid="{00000000-0005-0000-0000-000011710000}"/>
    <cellStyle name="Normal 4 3 2 2 2 3 2 2 3" xfId="20298" xr:uid="{00000000-0005-0000-0000-000012710000}"/>
    <cellStyle name="Normal 4 3 2 2 2 3 2 3" xfId="20299" xr:uid="{00000000-0005-0000-0000-000013710000}"/>
    <cellStyle name="Normal 4 3 2 2 2 3 2 3 2" xfId="20300" xr:uid="{00000000-0005-0000-0000-000014710000}"/>
    <cellStyle name="Normal 4 3 2 2 2 3 2 4" xfId="20301" xr:uid="{00000000-0005-0000-0000-000015710000}"/>
    <cellStyle name="Normal 4 3 2 2 2 3 3" xfId="20302" xr:uid="{00000000-0005-0000-0000-000016710000}"/>
    <cellStyle name="Normal 4 3 2 2 2 3 3 2" xfId="20303" xr:uid="{00000000-0005-0000-0000-000017710000}"/>
    <cellStyle name="Normal 4 3 2 2 2 3 3 2 2" xfId="20304" xr:uid="{00000000-0005-0000-0000-000018710000}"/>
    <cellStyle name="Normal 4 3 2 2 2 3 3 3" xfId="20305" xr:uid="{00000000-0005-0000-0000-000019710000}"/>
    <cellStyle name="Normal 4 3 2 2 2 3 4" xfId="20306" xr:uid="{00000000-0005-0000-0000-00001A710000}"/>
    <cellStyle name="Normal 4 3 2 2 2 3 4 2" xfId="20307" xr:uid="{00000000-0005-0000-0000-00001B710000}"/>
    <cellStyle name="Normal 4 3 2 2 2 3 5" xfId="20308" xr:uid="{00000000-0005-0000-0000-00001C710000}"/>
    <cellStyle name="Normal 4 3 2 2 2 4" xfId="20309" xr:uid="{00000000-0005-0000-0000-00001D710000}"/>
    <cellStyle name="Normal 4 3 2 2 2 4 2" xfId="20310" xr:uid="{00000000-0005-0000-0000-00001E710000}"/>
    <cellStyle name="Normal 4 3 2 2 2 4 2 2" xfId="20311" xr:uid="{00000000-0005-0000-0000-00001F710000}"/>
    <cellStyle name="Normal 4 3 2 2 2 4 2 2 2" xfId="20312" xr:uid="{00000000-0005-0000-0000-000020710000}"/>
    <cellStyle name="Normal 4 3 2 2 2 4 2 3" xfId="20313" xr:uid="{00000000-0005-0000-0000-000021710000}"/>
    <cellStyle name="Normal 4 3 2 2 2 4 3" xfId="20314" xr:uid="{00000000-0005-0000-0000-000022710000}"/>
    <cellStyle name="Normal 4 3 2 2 2 4 3 2" xfId="20315" xr:uid="{00000000-0005-0000-0000-000023710000}"/>
    <cellStyle name="Normal 4 3 2 2 2 4 3 2 2" xfId="20316" xr:uid="{00000000-0005-0000-0000-000024710000}"/>
    <cellStyle name="Normal 4 3 2 2 2 4 3 3" xfId="20317" xr:uid="{00000000-0005-0000-0000-000025710000}"/>
    <cellStyle name="Normal 4 3 2 2 2 4 4" xfId="20318" xr:uid="{00000000-0005-0000-0000-000026710000}"/>
    <cellStyle name="Normal 4 3 2 2 2 4 4 2" xfId="20319" xr:uid="{00000000-0005-0000-0000-000027710000}"/>
    <cellStyle name="Normal 4 3 2 2 2 4 5" xfId="20320" xr:uid="{00000000-0005-0000-0000-000028710000}"/>
    <cellStyle name="Normal 4 3 2 2 2 5" xfId="20321" xr:uid="{00000000-0005-0000-0000-000029710000}"/>
    <cellStyle name="Normal 4 3 2 2 2 5 2" xfId="20322" xr:uid="{00000000-0005-0000-0000-00002A710000}"/>
    <cellStyle name="Normal 4 3 2 2 2 5 2 2" xfId="20323" xr:uid="{00000000-0005-0000-0000-00002B710000}"/>
    <cellStyle name="Normal 4 3 2 2 2 5 3" xfId="20324" xr:uid="{00000000-0005-0000-0000-00002C710000}"/>
    <cellStyle name="Normal 4 3 2 2 2 6" xfId="20325" xr:uid="{00000000-0005-0000-0000-00002D710000}"/>
    <cellStyle name="Normal 4 3 2 2 2 6 2" xfId="20326" xr:uid="{00000000-0005-0000-0000-00002E710000}"/>
    <cellStyle name="Normal 4 3 2 2 2 6 2 2" xfId="20327" xr:uid="{00000000-0005-0000-0000-00002F710000}"/>
    <cellStyle name="Normal 4 3 2 2 2 6 3" xfId="20328" xr:uid="{00000000-0005-0000-0000-000030710000}"/>
    <cellStyle name="Normal 4 3 2 2 2 7" xfId="20329" xr:uid="{00000000-0005-0000-0000-000031710000}"/>
    <cellStyle name="Normal 4 3 2 2 2 7 2" xfId="20330" xr:uid="{00000000-0005-0000-0000-000032710000}"/>
    <cellStyle name="Normal 4 3 2 2 2 8" xfId="20331" xr:uid="{00000000-0005-0000-0000-000033710000}"/>
    <cellStyle name="Normal 4 3 2 2 3" xfId="20332" xr:uid="{00000000-0005-0000-0000-000034710000}"/>
    <cellStyle name="Normal 4 3 2 2 3 2" xfId="20333" xr:uid="{00000000-0005-0000-0000-000035710000}"/>
    <cellStyle name="Normal 4 3 2 2 3 2 2" xfId="20334" xr:uid="{00000000-0005-0000-0000-000036710000}"/>
    <cellStyle name="Normal 4 3 2 2 3 2 2 2" xfId="20335" xr:uid="{00000000-0005-0000-0000-000037710000}"/>
    <cellStyle name="Normal 4 3 2 2 3 2 2 2 2" xfId="20336" xr:uid="{00000000-0005-0000-0000-000038710000}"/>
    <cellStyle name="Normal 4 3 2 2 3 2 2 2 2 2" xfId="20337" xr:uid="{00000000-0005-0000-0000-000039710000}"/>
    <cellStyle name="Normal 4 3 2 2 3 2 2 2 3" xfId="20338" xr:uid="{00000000-0005-0000-0000-00003A710000}"/>
    <cellStyle name="Normal 4 3 2 2 3 2 2 3" xfId="20339" xr:uid="{00000000-0005-0000-0000-00003B710000}"/>
    <cellStyle name="Normal 4 3 2 2 3 2 2 3 2" xfId="20340" xr:uid="{00000000-0005-0000-0000-00003C710000}"/>
    <cellStyle name="Normal 4 3 2 2 3 2 2 4" xfId="20341" xr:uid="{00000000-0005-0000-0000-00003D710000}"/>
    <cellStyle name="Normal 4 3 2 2 3 2 3" xfId="20342" xr:uid="{00000000-0005-0000-0000-00003E710000}"/>
    <cellStyle name="Normal 4 3 2 2 3 2 3 2" xfId="20343" xr:uid="{00000000-0005-0000-0000-00003F710000}"/>
    <cellStyle name="Normal 4 3 2 2 3 2 3 2 2" xfId="20344" xr:uid="{00000000-0005-0000-0000-000040710000}"/>
    <cellStyle name="Normal 4 3 2 2 3 2 3 3" xfId="20345" xr:uid="{00000000-0005-0000-0000-000041710000}"/>
    <cellStyle name="Normal 4 3 2 2 3 2 4" xfId="20346" xr:uid="{00000000-0005-0000-0000-000042710000}"/>
    <cellStyle name="Normal 4 3 2 2 3 2 4 2" xfId="20347" xr:uid="{00000000-0005-0000-0000-000043710000}"/>
    <cellStyle name="Normal 4 3 2 2 3 2 5" xfId="20348" xr:uid="{00000000-0005-0000-0000-000044710000}"/>
    <cellStyle name="Normal 4 3 2 2 3 3" xfId="20349" xr:uid="{00000000-0005-0000-0000-000045710000}"/>
    <cellStyle name="Normal 4 3 2 2 3 3 2" xfId="20350" xr:uid="{00000000-0005-0000-0000-000046710000}"/>
    <cellStyle name="Normal 4 3 2 2 3 3 2 2" xfId="20351" xr:uid="{00000000-0005-0000-0000-000047710000}"/>
    <cellStyle name="Normal 4 3 2 2 3 3 2 2 2" xfId="20352" xr:uid="{00000000-0005-0000-0000-000048710000}"/>
    <cellStyle name="Normal 4 3 2 2 3 3 2 3" xfId="20353" xr:uid="{00000000-0005-0000-0000-000049710000}"/>
    <cellStyle name="Normal 4 3 2 2 3 3 3" xfId="20354" xr:uid="{00000000-0005-0000-0000-00004A710000}"/>
    <cellStyle name="Normal 4 3 2 2 3 3 3 2" xfId="20355" xr:uid="{00000000-0005-0000-0000-00004B710000}"/>
    <cellStyle name="Normal 4 3 2 2 3 3 3 2 2" xfId="20356" xr:uid="{00000000-0005-0000-0000-00004C710000}"/>
    <cellStyle name="Normal 4 3 2 2 3 3 3 3" xfId="20357" xr:uid="{00000000-0005-0000-0000-00004D710000}"/>
    <cellStyle name="Normal 4 3 2 2 3 3 4" xfId="20358" xr:uid="{00000000-0005-0000-0000-00004E710000}"/>
    <cellStyle name="Normal 4 3 2 2 3 3 4 2" xfId="20359" xr:uid="{00000000-0005-0000-0000-00004F710000}"/>
    <cellStyle name="Normal 4 3 2 2 3 3 5" xfId="20360" xr:uid="{00000000-0005-0000-0000-000050710000}"/>
    <cellStyle name="Normal 4 3 2 2 3 4" xfId="20361" xr:uid="{00000000-0005-0000-0000-000051710000}"/>
    <cellStyle name="Normal 4 3 2 2 3 4 2" xfId="20362" xr:uid="{00000000-0005-0000-0000-000052710000}"/>
    <cellStyle name="Normal 4 3 2 2 3 4 2 2" xfId="20363" xr:uid="{00000000-0005-0000-0000-000053710000}"/>
    <cellStyle name="Normal 4 3 2 2 3 4 3" xfId="20364" xr:uid="{00000000-0005-0000-0000-000054710000}"/>
    <cellStyle name="Normal 4 3 2 2 3 5" xfId="20365" xr:uid="{00000000-0005-0000-0000-000055710000}"/>
    <cellStyle name="Normal 4 3 2 2 3 5 2" xfId="20366" xr:uid="{00000000-0005-0000-0000-000056710000}"/>
    <cellStyle name="Normal 4 3 2 2 3 5 2 2" xfId="20367" xr:uid="{00000000-0005-0000-0000-000057710000}"/>
    <cellStyle name="Normal 4 3 2 2 3 5 3" xfId="20368" xr:uid="{00000000-0005-0000-0000-000058710000}"/>
    <cellStyle name="Normal 4 3 2 2 3 6" xfId="20369" xr:uid="{00000000-0005-0000-0000-000059710000}"/>
    <cellStyle name="Normal 4 3 2 2 3 6 2" xfId="20370" xr:uid="{00000000-0005-0000-0000-00005A710000}"/>
    <cellStyle name="Normal 4 3 2 2 3 7" xfId="20371" xr:uid="{00000000-0005-0000-0000-00005B710000}"/>
    <cellStyle name="Normal 4 3 2 2 4" xfId="20372" xr:uid="{00000000-0005-0000-0000-00005C710000}"/>
    <cellStyle name="Normal 4 3 2 2 4 2" xfId="20373" xr:uid="{00000000-0005-0000-0000-00005D710000}"/>
    <cellStyle name="Normal 4 3 2 2 4 2 2" xfId="20374" xr:uid="{00000000-0005-0000-0000-00005E710000}"/>
    <cellStyle name="Normal 4 3 2 2 4 2 2 2" xfId="20375" xr:uid="{00000000-0005-0000-0000-00005F710000}"/>
    <cellStyle name="Normal 4 3 2 2 4 2 2 2 2" xfId="20376" xr:uid="{00000000-0005-0000-0000-000060710000}"/>
    <cellStyle name="Normal 4 3 2 2 4 2 2 3" xfId="20377" xr:uid="{00000000-0005-0000-0000-000061710000}"/>
    <cellStyle name="Normal 4 3 2 2 4 2 3" xfId="20378" xr:uid="{00000000-0005-0000-0000-000062710000}"/>
    <cellStyle name="Normal 4 3 2 2 4 2 3 2" xfId="20379" xr:uid="{00000000-0005-0000-0000-000063710000}"/>
    <cellStyle name="Normal 4 3 2 2 4 2 4" xfId="20380" xr:uid="{00000000-0005-0000-0000-000064710000}"/>
    <cellStyle name="Normal 4 3 2 2 4 3" xfId="20381" xr:uid="{00000000-0005-0000-0000-000065710000}"/>
    <cellStyle name="Normal 4 3 2 2 4 3 2" xfId="20382" xr:uid="{00000000-0005-0000-0000-000066710000}"/>
    <cellStyle name="Normal 4 3 2 2 4 3 2 2" xfId="20383" xr:uid="{00000000-0005-0000-0000-000067710000}"/>
    <cellStyle name="Normal 4 3 2 2 4 3 3" xfId="20384" xr:uid="{00000000-0005-0000-0000-000068710000}"/>
    <cellStyle name="Normal 4 3 2 2 4 4" xfId="20385" xr:uid="{00000000-0005-0000-0000-000069710000}"/>
    <cellStyle name="Normal 4 3 2 2 4 4 2" xfId="20386" xr:uid="{00000000-0005-0000-0000-00006A710000}"/>
    <cellStyle name="Normal 4 3 2 2 4 5" xfId="20387" xr:uid="{00000000-0005-0000-0000-00006B710000}"/>
    <cellStyle name="Normal 4 3 2 2 5" xfId="20388" xr:uid="{00000000-0005-0000-0000-00006C710000}"/>
    <cellStyle name="Normal 4 3 2 2 5 2" xfId="20389" xr:uid="{00000000-0005-0000-0000-00006D710000}"/>
    <cellStyle name="Normal 4 3 2 2 5 2 2" xfId="20390" xr:uid="{00000000-0005-0000-0000-00006E710000}"/>
    <cellStyle name="Normal 4 3 2 2 5 2 2 2" xfId="20391" xr:uid="{00000000-0005-0000-0000-00006F710000}"/>
    <cellStyle name="Normal 4 3 2 2 5 2 3" xfId="20392" xr:uid="{00000000-0005-0000-0000-000070710000}"/>
    <cellStyle name="Normal 4 3 2 2 5 3" xfId="20393" xr:uid="{00000000-0005-0000-0000-000071710000}"/>
    <cellStyle name="Normal 4 3 2 2 5 3 2" xfId="20394" xr:uid="{00000000-0005-0000-0000-000072710000}"/>
    <cellStyle name="Normal 4 3 2 2 5 3 2 2" xfId="20395" xr:uid="{00000000-0005-0000-0000-000073710000}"/>
    <cellStyle name="Normal 4 3 2 2 5 3 3" xfId="20396" xr:uid="{00000000-0005-0000-0000-000074710000}"/>
    <cellStyle name="Normal 4 3 2 2 5 4" xfId="20397" xr:uid="{00000000-0005-0000-0000-000075710000}"/>
    <cellStyle name="Normal 4 3 2 2 5 4 2" xfId="20398" xr:uid="{00000000-0005-0000-0000-000076710000}"/>
    <cellStyle name="Normal 4 3 2 2 5 5" xfId="20399" xr:uid="{00000000-0005-0000-0000-000077710000}"/>
    <cellStyle name="Normal 4 3 2 2 6" xfId="20400" xr:uid="{00000000-0005-0000-0000-000078710000}"/>
    <cellStyle name="Normal 4 3 2 2 6 2" xfId="20401" xr:uid="{00000000-0005-0000-0000-000079710000}"/>
    <cellStyle name="Normal 4 3 2 2 6 2 2" xfId="20402" xr:uid="{00000000-0005-0000-0000-00007A710000}"/>
    <cellStyle name="Normal 4 3 2 2 6 3" xfId="20403" xr:uid="{00000000-0005-0000-0000-00007B710000}"/>
    <cellStyle name="Normal 4 3 2 2 7" xfId="20404" xr:uid="{00000000-0005-0000-0000-00007C710000}"/>
    <cellStyle name="Normal 4 3 2 2 7 2" xfId="20405" xr:uid="{00000000-0005-0000-0000-00007D710000}"/>
    <cellStyle name="Normal 4 3 2 2 7 2 2" xfId="20406" xr:uid="{00000000-0005-0000-0000-00007E710000}"/>
    <cellStyle name="Normal 4 3 2 2 7 3" xfId="20407" xr:uid="{00000000-0005-0000-0000-00007F710000}"/>
    <cellStyle name="Normal 4 3 2 2 8" xfId="20408" xr:uid="{00000000-0005-0000-0000-000080710000}"/>
    <cellStyle name="Normal 4 3 2 2 8 2" xfId="20409" xr:uid="{00000000-0005-0000-0000-000081710000}"/>
    <cellStyle name="Normal 4 3 2 2 9" xfId="20410" xr:uid="{00000000-0005-0000-0000-000082710000}"/>
    <cellStyle name="Normal 4 3 2 3" xfId="20411" xr:uid="{00000000-0005-0000-0000-000083710000}"/>
    <cellStyle name="Normal 4 3 2 3 2" xfId="20412" xr:uid="{00000000-0005-0000-0000-000084710000}"/>
    <cellStyle name="Normal 4 3 2 3 2 2" xfId="20413" xr:uid="{00000000-0005-0000-0000-000085710000}"/>
    <cellStyle name="Normal 4 3 2 3 2 2 2" xfId="20414" xr:uid="{00000000-0005-0000-0000-000086710000}"/>
    <cellStyle name="Normal 4 3 2 3 2 2 2 2" xfId="20415" xr:uid="{00000000-0005-0000-0000-000087710000}"/>
    <cellStyle name="Normal 4 3 2 3 2 2 2 2 2" xfId="20416" xr:uid="{00000000-0005-0000-0000-000088710000}"/>
    <cellStyle name="Normal 4 3 2 3 2 2 2 2 2 2" xfId="20417" xr:uid="{00000000-0005-0000-0000-000089710000}"/>
    <cellStyle name="Normal 4 3 2 3 2 2 2 2 3" xfId="20418" xr:uid="{00000000-0005-0000-0000-00008A710000}"/>
    <cellStyle name="Normal 4 3 2 3 2 2 2 3" xfId="20419" xr:uid="{00000000-0005-0000-0000-00008B710000}"/>
    <cellStyle name="Normal 4 3 2 3 2 2 2 3 2" xfId="20420" xr:uid="{00000000-0005-0000-0000-00008C710000}"/>
    <cellStyle name="Normal 4 3 2 3 2 2 2 4" xfId="20421" xr:uid="{00000000-0005-0000-0000-00008D710000}"/>
    <cellStyle name="Normal 4 3 2 3 2 2 3" xfId="20422" xr:uid="{00000000-0005-0000-0000-00008E710000}"/>
    <cellStyle name="Normal 4 3 2 3 2 2 3 2" xfId="20423" xr:uid="{00000000-0005-0000-0000-00008F710000}"/>
    <cellStyle name="Normal 4 3 2 3 2 2 3 2 2" xfId="20424" xr:uid="{00000000-0005-0000-0000-000090710000}"/>
    <cellStyle name="Normal 4 3 2 3 2 2 3 3" xfId="20425" xr:uid="{00000000-0005-0000-0000-000091710000}"/>
    <cellStyle name="Normal 4 3 2 3 2 2 4" xfId="20426" xr:uid="{00000000-0005-0000-0000-000092710000}"/>
    <cellStyle name="Normal 4 3 2 3 2 2 4 2" xfId="20427" xr:uid="{00000000-0005-0000-0000-000093710000}"/>
    <cellStyle name="Normal 4 3 2 3 2 2 5" xfId="20428" xr:uid="{00000000-0005-0000-0000-000094710000}"/>
    <cellStyle name="Normal 4 3 2 3 2 3" xfId="20429" xr:uid="{00000000-0005-0000-0000-000095710000}"/>
    <cellStyle name="Normal 4 3 2 3 2 3 2" xfId="20430" xr:uid="{00000000-0005-0000-0000-000096710000}"/>
    <cellStyle name="Normal 4 3 2 3 2 3 2 2" xfId="20431" xr:uid="{00000000-0005-0000-0000-000097710000}"/>
    <cellStyle name="Normal 4 3 2 3 2 3 2 2 2" xfId="20432" xr:uid="{00000000-0005-0000-0000-000098710000}"/>
    <cellStyle name="Normal 4 3 2 3 2 3 2 3" xfId="20433" xr:uid="{00000000-0005-0000-0000-000099710000}"/>
    <cellStyle name="Normal 4 3 2 3 2 3 3" xfId="20434" xr:uid="{00000000-0005-0000-0000-00009A710000}"/>
    <cellStyle name="Normal 4 3 2 3 2 3 3 2" xfId="20435" xr:uid="{00000000-0005-0000-0000-00009B710000}"/>
    <cellStyle name="Normal 4 3 2 3 2 3 3 2 2" xfId="20436" xr:uid="{00000000-0005-0000-0000-00009C710000}"/>
    <cellStyle name="Normal 4 3 2 3 2 3 3 3" xfId="20437" xr:uid="{00000000-0005-0000-0000-00009D710000}"/>
    <cellStyle name="Normal 4 3 2 3 2 3 4" xfId="20438" xr:uid="{00000000-0005-0000-0000-00009E710000}"/>
    <cellStyle name="Normal 4 3 2 3 2 3 4 2" xfId="20439" xr:uid="{00000000-0005-0000-0000-00009F710000}"/>
    <cellStyle name="Normal 4 3 2 3 2 3 5" xfId="20440" xr:uid="{00000000-0005-0000-0000-0000A0710000}"/>
    <cellStyle name="Normal 4 3 2 3 2 4" xfId="20441" xr:uid="{00000000-0005-0000-0000-0000A1710000}"/>
    <cellStyle name="Normal 4 3 2 3 2 4 2" xfId="20442" xr:uid="{00000000-0005-0000-0000-0000A2710000}"/>
    <cellStyle name="Normal 4 3 2 3 2 4 2 2" xfId="20443" xr:uid="{00000000-0005-0000-0000-0000A3710000}"/>
    <cellStyle name="Normal 4 3 2 3 2 4 3" xfId="20444" xr:uid="{00000000-0005-0000-0000-0000A4710000}"/>
    <cellStyle name="Normal 4 3 2 3 2 5" xfId="20445" xr:uid="{00000000-0005-0000-0000-0000A5710000}"/>
    <cellStyle name="Normal 4 3 2 3 2 5 2" xfId="20446" xr:uid="{00000000-0005-0000-0000-0000A6710000}"/>
    <cellStyle name="Normal 4 3 2 3 2 5 2 2" xfId="20447" xr:uid="{00000000-0005-0000-0000-0000A7710000}"/>
    <cellStyle name="Normal 4 3 2 3 2 5 3" xfId="20448" xr:uid="{00000000-0005-0000-0000-0000A8710000}"/>
    <cellStyle name="Normal 4 3 2 3 2 6" xfId="20449" xr:uid="{00000000-0005-0000-0000-0000A9710000}"/>
    <cellStyle name="Normal 4 3 2 3 2 6 2" xfId="20450" xr:uid="{00000000-0005-0000-0000-0000AA710000}"/>
    <cellStyle name="Normal 4 3 2 3 2 7" xfId="20451" xr:uid="{00000000-0005-0000-0000-0000AB710000}"/>
    <cellStyle name="Normal 4 3 2 3 3" xfId="20452" xr:uid="{00000000-0005-0000-0000-0000AC710000}"/>
    <cellStyle name="Normal 4 3 2 3 3 2" xfId="20453" xr:uid="{00000000-0005-0000-0000-0000AD710000}"/>
    <cellStyle name="Normal 4 3 2 3 3 2 2" xfId="20454" xr:uid="{00000000-0005-0000-0000-0000AE710000}"/>
    <cellStyle name="Normal 4 3 2 3 3 2 2 2" xfId="20455" xr:uid="{00000000-0005-0000-0000-0000AF710000}"/>
    <cellStyle name="Normal 4 3 2 3 3 2 2 2 2" xfId="20456" xr:uid="{00000000-0005-0000-0000-0000B0710000}"/>
    <cellStyle name="Normal 4 3 2 3 3 2 2 3" xfId="20457" xr:uid="{00000000-0005-0000-0000-0000B1710000}"/>
    <cellStyle name="Normal 4 3 2 3 3 2 3" xfId="20458" xr:uid="{00000000-0005-0000-0000-0000B2710000}"/>
    <cellStyle name="Normal 4 3 2 3 3 2 3 2" xfId="20459" xr:uid="{00000000-0005-0000-0000-0000B3710000}"/>
    <cellStyle name="Normal 4 3 2 3 3 2 4" xfId="20460" xr:uid="{00000000-0005-0000-0000-0000B4710000}"/>
    <cellStyle name="Normal 4 3 2 3 3 3" xfId="20461" xr:uid="{00000000-0005-0000-0000-0000B5710000}"/>
    <cellStyle name="Normal 4 3 2 3 3 3 2" xfId="20462" xr:uid="{00000000-0005-0000-0000-0000B6710000}"/>
    <cellStyle name="Normal 4 3 2 3 3 3 2 2" xfId="20463" xr:uid="{00000000-0005-0000-0000-0000B7710000}"/>
    <cellStyle name="Normal 4 3 2 3 3 3 3" xfId="20464" xr:uid="{00000000-0005-0000-0000-0000B8710000}"/>
    <cellStyle name="Normal 4 3 2 3 3 4" xfId="20465" xr:uid="{00000000-0005-0000-0000-0000B9710000}"/>
    <cellStyle name="Normal 4 3 2 3 3 4 2" xfId="20466" xr:uid="{00000000-0005-0000-0000-0000BA710000}"/>
    <cellStyle name="Normal 4 3 2 3 3 5" xfId="20467" xr:uid="{00000000-0005-0000-0000-0000BB710000}"/>
    <cellStyle name="Normal 4 3 2 3 4" xfId="20468" xr:uid="{00000000-0005-0000-0000-0000BC710000}"/>
    <cellStyle name="Normal 4 3 2 3 4 2" xfId="20469" xr:uid="{00000000-0005-0000-0000-0000BD710000}"/>
    <cellStyle name="Normal 4 3 2 3 4 2 2" xfId="20470" xr:uid="{00000000-0005-0000-0000-0000BE710000}"/>
    <cellStyle name="Normal 4 3 2 3 4 2 2 2" xfId="20471" xr:uid="{00000000-0005-0000-0000-0000BF710000}"/>
    <cellStyle name="Normal 4 3 2 3 4 2 3" xfId="20472" xr:uid="{00000000-0005-0000-0000-0000C0710000}"/>
    <cellStyle name="Normal 4 3 2 3 4 3" xfId="20473" xr:uid="{00000000-0005-0000-0000-0000C1710000}"/>
    <cellStyle name="Normal 4 3 2 3 4 3 2" xfId="20474" xr:uid="{00000000-0005-0000-0000-0000C2710000}"/>
    <cellStyle name="Normal 4 3 2 3 4 3 2 2" xfId="20475" xr:uid="{00000000-0005-0000-0000-0000C3710000}"/>
    <cellStyle name="Normal 4 3 2 3 4 3 3" xfId="20476" xr:uid="{00000000-0005-0000-0000-0000C4710000}"/>
    <cellStyle name="Normal 4 3 2 3 4 4" xfId="20477" xr:uid="{00000000-0005-0000-0000-0000C5710000}"/>
    <cellStyle name="Normal 4 3 2 3 4 4 2" xfId="20478" xr:uid="{00000000-0005-0000-0000-0000C6710000}"/>
    <cellStyle name="Normal 4 3 2 3 4 5" xfId="20479" xr:uid="{00000000-0005-0000-0000-0000C7710000}"/>
    <cellStyle name="Normal 4 3 2 3 5" xfId="20480" xr:uid="{00000000-0005-0000-0000-0000C8710000}"/>
    <cellStyle name="Normal 4 3 2 3 5 2" xfId="20481" xr:uid="{00000000-0005-0000-0000-0000C9710000}"/>
    <cellStyle name="Normal 4 3 2 3 5 2 2" xfId="20482" xr:uid="{00000000-0005-0000-0000-0000CA710000}"/>
    <cellStyle name="Normal 4 3 2 3 5 3" xfId="20483" xr:uid="{00000000-0005-0000-0000-0000CB710000}"/>
    <cellStyle name="Normal 4 3 2 3 6" xfId="20484" xr:uid="{00000000-0005-0000-0000-0000CC710000}"/>
    <cellStyle name="Normal 4 3 2 3 6 2" xfId="20485" xr:uid="{00000000-0005-0000-0000-0000CD710000}"/>
    <cellStyle name="Normal 4 3 2 3 6 2 2" xfId="20486" xr:uid="{00000000-0005-0000-0000-0000CE710000}"/>
    <cellStyle name="Normal 4 3 2 3 6 3" xfId="20487" xr:uid="{00000000-0005-0000-0000-0000CF710000}"/>
    <cellStyle name="Normal 4 3 2 3 7" xfId="20488" xr:uid="{00000000-0005-0000-0000-0000D0710000}"/>
    <cellStyle name="Normal 4 3 2 3 7 2" xfId="20489" xr:uid="{00000000-0005-0000-0000-0000D1710000}"/>
    <cellStyle name="Normal 4 3 2 3 8" xfId="20490" xr:uid="{00000000-0005-0000-0000-0000D2710000}"/>
    <cellStyle name="Normal 4 3 2 4" xfId="20491" xr:uid="{00000000-0005-0000-0000-0000D3710000}"/>
    <cellStyle name="Normal 4 3 2 4 2" xfId="20492" xr:uid="{00000000-0005-0000-0000-0000D4710000}"/>
    <cellStyle name="Normal 4 3 2 4 2 2" xfId="20493" xr:uid="{00000000-0005-0000-0000-0000D5710000}"/>
    <cellStyle name="Normal 4 3 2 4 2 2 2" xfId="20494" xr:uid="{00000000-0005-0000-0000-0000D6710000}"/>
    <cellStyle name="Normal 4 3 2 4 2 2 2 2" xfId="20495" xr:uid="{00000000-0005-0000-0000-0000D7710000}"/>
    <cellStyle name="Normal 4 3 2 4 2 2 2 2 2" xfId="20496" xr:uid="{00000000-0005-0000-0000-0000D8710000}"/>
    <cellStyle name="Normal 4 3 2 4 2 2 2 2 2 2" xfId="20497" xr:uid="{00000000-0005-0000-0000-0000D9710000}"/>
    <cellStyle name="Normal 4 3 2 4 2 2 2 2 3" xfId="20498" xr:uid="{00000000-0005-0000-0000-0000DA710000}"/>
    <cellStyle name="Normal 4 3 2 4 2 2 2 3" xfId="20499" xr:uid="{00000000-0005-0000-0000-0000DB710000}"/>
    <cellStyle name="Normal 4 3 2 4 2 2 2 3 2" xfId="20500" xr:uid="{00000000-0005-0000-0000-0000DC710000}"/>
    <cellStyle name="Normal 4 3 2 4 2 2 2 4" xfId="20501" xr:uid="{00000000-0005-0000-0000-0000DD710000}"/>
    <cellStyle name="Normal 4 3 2 4 2 2 3" xfId="20502" xr:uid="{00000000-0005-0000-0000-0000DE710000}"/>
    <cellStyle name="Normal 4 3 2 4 2 2 3 2" xfId="20503" xr:uid="{00000000-0005-0000-0000-0000DF710000}"/>
    <cellStyle name="Normal 4 3 2 4 2 2 3 2 2" xfId="20504" xr:uid="{00000000-0005-0000-0000-0000E0710000}"/>
    <cellStyle name="Normal 4 3 2 4 2 2 3 3" xfId="20505" xr:uid="{00000000-0005-0000-0000-0000E1710000}"/>
    <cellStyle name="Normal 4 3 2 4 2 2 4" xfId="20506" xr:uid="{00000000-0005-0000-0000-0000E2710000}"/>
    <cellStyle name="Normal 4 3 2 4 2 2 4 2" xfId="20507" xr:uid="{00000000-0005-0000-0000-0000E3710000}"/>
    <cellStyle name="Normal 4 3 2 4 2 2 5" xfId="20508" xr:uid="{00000000-0005-0000-0000-0000E4710000}"/>
    <cellStyle name="Normal 4 3 2 4 2 3" xfId="20509" xr:uid="{00000000-0005-0000-0000-0000E5710000}"/>
    <cellStyle name="Normal 4 3 2 4 2 3 2" xfId="20510" xr:uid="{00000000-0005-0000-0000-0000E6710000}"/>
    <cellStyle name="Normal 4 3 2 4 2 3 2 2" xfId="20511" xr:uid="{00000000-0005-0000-0000-0000E7710000}"/>
    <cellStyle name="Normal 4 3 2 4 2 3 2 2 2" xfId="20512" xr:uid="{00000000-0005-0000-0000-0000E8710000}"/>
    <cellStyle name="Normal 4 3 2 4 2 3 2 3" xfId="20513" xr:uid="{00000000-0005-0000-0000-0000E9710000}"/>
    <cellStyle name="Normal 4 3 2 4 2 3 3" xfId="20514" xr:uid="{00000000-0005-0000-0000-0000EA710000}"/>
    <cellStyle name="Normal 4 3 2 4 2 3 3 2" xfId="20515" xr:uid="{00000000-0005-0000-0000-0000EB710000}"/>
    <cellStyle name="Normal 4 3 2 4 2 3 3 2 2" xfId="20516" xr:uid="{00000000-0005-0000-0000-0000EC710000}"/>
    <cellStyle name="Normal 4 3 2 4 2 3 3 3" xfId="20517" xr:uid="{00000000-0005-0000-0000-0000ED710000}"/>
    <cellStyle name="Normal 4 3 2 4 2 3 4" xfId="20518" xr:uid="{00000000-0005-0000-0000-0000EE710000}"/>
    <cellStyle name="Normal 4 3 2 4 2 3 4 2" xfId="20519" xr:uid="{00000000-0005-0000-0000-0000EF710000}"/>
    <cellStyle name="Normal 4 3 2 4 2 3 5" xfId="20520" xr:uid="{00000000-0005-0000-0000-0000F0710000}"/>
    <cellStyle name="Normal 4 3 2 4 2 4" xfId="20521" xr:uid="{00000000-0005-0000-0000-0000F1710000}"/>
    <cellStyle name="Normal 4 3 2 4 2 4 2" xfId="20522" xr:uid="{00000000-0005-0000-0000-0000F2710000}"/>
    <cellStyle name="Normal 4 3 2 4 2 4 2 2" xfId="20523" xr:uid="{00000000-0005-0000-0000-0000F3710000}"/>
    <cellStyle name="Normal 4 3 2 4 2 4 3" xfId="20524" xr:uid="{00000000-0005-0000-0000-0000F4710000}"/>
    <cellStyle name="Normal 4 3 2 4 2 5" xfId="20525" xr:uid="{00000000-0005-0000-0000-0000F5710000}"/>
    <cellStyle name="Normal 4 3 2 4 2 5 2" xfId="20526" xr:uid="{00000000-0005-0000-0000-0000F6710000}"/>
    <cellStyle name="Normal 4 3 2 4 2 5 2 2" xfId="20527" xr:uid="{00000000-0005-0000-0000-0000F7710000}"/>
    <cellStyle name="Normal 4 3 2 4 2 5 3" xfId="20528" xr:uid="{00000000-0005-0000-0000-0000F8710000}"/>
    <cellStyle name="Normal 4 3 2 4 2 6" xfId="20529" xr:uid="{00000000-0005-0000-0000-0000F9710000}"/>
    <cellStyle name="Normal 4 3 2 4 2 6 2" xfId="20530" xr:uid="{00000000-0005-0000-0000-0000FA710000}"/>
    <cellStyle name="Normal 4 3 2 4 2 7" xfId="20531" xr:uid="{00000000-0005-0000-0000-0000FB710000}"/>
    <cellStyle name="Normal 4 3 2 4 3" xfId="20532" xr:uid="{00000000-0005-0000-0000-0000FC710000}"/>
    <cellStyle name="Normal 4 3 2 4 3 2" xfId="20533" xr:uid="{00000000-0005-0000-0000-0000FD710000}"/>
    <cellStyle name="Normal 4 3 2 4 3 2 2" xfId="20534" xr:uid="{00000000-0005-0000-0000-0000FE710000}"/>
    <cellStyle name="Normal 4 3 2 4 3 2 2 2" xfId="20535" xr:uid="{00000000-0005-0000-0000-0000FF710000}"/>
    <cellStyle name="Normal 4 3 2 4 3 2 2 2 2" xfId="20536" xr:uid="{00000000-0005-0000-0000-000000720000}"/>
    <cellStyle name="Normal 4 3 2 4 3 2 2 3" xfId="20537" xr:uid="{00000000-0005-0000-0000-000001720000}"/>
    <cellStyle name="Normal 4 3 2 4 3 2 3" xfId="20538" xr:uid="{00000000-0005-0000-0000-000002720000}"/>
    <cellStyle name="Normal 4 3 2 4 3 2 3 2" xfId="20539" xr:uid="{00000000-0005-0000-0000-000003720000}"/>
    <cellStyle name="Normal 4 3 2 4 3 2 4" xfId="20540" xr:uid="{00000000-0005-0000-0000-000004720000}"/>
    <cellStyle name="Normal 4 3 2 4 3 3" xfId="20541" xr:uid="{00000000-0005-0000-0000-000005720000}"/>
    <cellStyle name="Normal 4 3 2 4 3 3 2" xfId="20542" xr:uid="{00000000-0005-0000-0000-000006720000}"/>
    <cellStyle name="Normal 4 3 2 4 3 3 2 2" xfId="20543" xr:uid="{00000000-0005-0000-0000-000007720000}"/>
    <cellStyle name="Normal 4 3 2 4 3 3 3" xfId="20544" xr:uid="{00000000-0005-0000-0000-000008720000}"/>
    <cellStyle name="Normal 4 3 2 4 3 4" xfId="20545" xr:uid="{00000000-0005-0000-0000-000009720000}"/>
    <cellStyle name="Normal 4 3 2 4 3 4 2" xfId="20546" xr:uid="{00000000-0005-0000-0000-00000A720000}"/>
    <cellStyle name="Normal 4 3 2 4 3 5" xfId="20547" xr:uid="{00000000-0005-0000-0000-00000B720000}"/>
    <cellStyle name="Normal 4 3 2 4 4" xfId="20548" xr:uid="{00000000-0005-0000-0000-00000C720000}"/>
    <cellStyle name="Normal 4 3 2 4 4 2" xfId="20549" xr:uid="{00000000-0005-0000-0000-00000D720000}"/>
    <cellStyle name="Normal 4 3 2 4 4 2 2" xfId="20550" xr:uid="{00000000-0005-0000-0000-00000E720000}"/>
    <cellStyle name="Normal 4 3 2 4 4 2 2 2" xfId="20551" xr:uid="{00000000-0005-0000-0000-00000F720000}"/>
    <cellStyle name="Normal 4 3 2 4 4 2 3" xfId="20552" xr:uid="{00000000-0005-0000-0000-000010720000}"/>
    <cellStyle name="Normal 4 3 2 4 4 3" xfId="20553" xr:uid="{00000000-0005-0000-0000-000011720000}"/>
    <cellStyle name="Normal 4 3 2 4 4 3 2" xfId="20554" xr:uid="{00000000-0005-0000-0000-000012720000}"/>
    <cellStyle name="Normal 4 3 2 4 4 3 2 2" xfId="20555" xr:uid="{00000000-0005-0000-0000-000013720000}"/>
    <cellStyle name="Normal 4 3 2 4 4 3 3" xfId="20556" xr:uid="{00000000-0005-0000-0000-000014720000}"/>
    <cellStyle name="Normal 4 3 2 4 4 4" xfId="20557" xr:uid="{00000000-0005-0000-0000-000015720000}"/>
    <cellStyle name="Normal 4 3 2 4 4 4 2" xfId="20558" xr:uid="{00000000-0005-0000-0000-000016720000}"/>
    <cellStyle name="Normal 4 3 2 4 4 5" xfId="20559" xr:uid="{00000000-0005-0000-0000-000017720000}"/>
    <cellStyle name="Normal 4 3 2 4 5" xfId="20560" xr:uid="{00000000-0005-0000-0000-000018720000}"/>
    <cellStyle name="Normal 4 3 2 4 5 2" xfId="20561" xr:uid="{00000000-0005-0000-0000-000019720000}"/>
    <cellStyle name="Normal 4 3 2 4 5 2 2" xfId="20562" xr:uid="{00000000-0005-0000-0000-00001A720000}"/>
    <cellStyle name="Normal 4 3 2 4 5 3" xfId="20563" xr:uid="{00000000-0005-0000-0000-00001B720000}"/>
    <cellStyle name="Normal 4 3 2 4 6" xfId="20564" xr:uid="{00000000-0005-0000-0000-00001C720000}"/>
    <cellStyle name="Normal 4 3 2 4 6 2" xfId="20565" xr:uid="{00000000-0005-0000-0000-00001D720000}"/>
    <cellStyle name="Normal 4 3 2 4 6 2 2" xfId="20566" xr:uid="{00000000-0005-0000-0000-00001E720000}"/>
    <cellStyle name="Normal 4 3 2 4 6 3" xfId="20567" xr:uid="{00000000-0005-0000-0000-00001F720000}"/>
    <cellStyle name="Normal 4 3 2 4 7" xfId="20568" xr:uid="{00000000-0005-0000-0000-000020720000}"/>
    <cellStyle name="Normal 4 3 2 4 7 2" xfId="20569" xr:uid="{00000000-0005-0000-0000-000021720000}"/>
    <cellStyle name="Normal 4 3 2 4 8" xfId="20570" xr:uid="{00000000-0005-0000-0000-000022720000}"/>
    <cellStyle name="Normal 4 3 2 5" xfId="20571" xr:uid="{00000000-0005-0000-0000-000023720000}"/>
    <cellStyle name="Normal 4 3 2 5 2" xfId="20572" xr:uid="{00000000-0005-0000-0000-000024720000}"/>
    <cellStyle name="Normal 4 3 2 5 2 2" xfId="20573" xr:uid="{00000000-0005-0000-0000-000025720000}"/>
    <cellStyle name="Normal 4 3 2 5 2 2 2" xfId="20574" xr:uid="{00000000-0005-0000-0000-000026720000}"/>
    <cellStyle name="Normal 4 3 2 5 2 2 2 2" xfId="20575" xr:uid="{00000000-0005-0000-0000-000027720000}"/>
    <cellStyle name="Normal 4 3 2 5 2 2 2 2 2" xfId="20576" xr:uid="{00000000-0005-0000-0000-000028720000}"/>
    <cellStyle name="Normal 4 3 2 5 2 2 2 2 2 2" xfId="20577" xr:uid="{00000000-0005-0000-0000-000029720000}"/>
    <cellStyle name="Normal 4 3 2 5 2 2 2 2 3" xfId="20578" xr:uid="{00000000-0005-0000-0000-00002A720000}"/>
    <cellStyle name="Normal 4 3 2 5 2 2 2 3" xfId="20579" xr:uid="{00000000-0005-0000-0000-00002B720000}"/>
    <cellStyle name="Normal 4 3 2 5 2 2 2 3 2" xfId="20580" xr:uid="{00000000-0005-0000-0000-00002C720000}"/>
    <cellStyle name="Normal 4 3 2 5 2 2 2 4" xfId="20581" xr:uid="{00000000-0005-0000-0000-00002D720000}"/>
    <cellStyle name="Normal 4 3 2 5 2 2 3" xfId="20582" xr:uid="{00000000-0005-0000-0000-00002E720000}"/>
    <cellStyle name="Normal 4 3 2 5 2 2 3 2" xfId="20583" xr:uid="{00000000-0005-0000-0000-00002F720000}"/>
    <cellStyle name="Normal 4 3 2 5 2 2 3 2 2" xfId="20584" xr:uid="{00000000-0005-0000-0000-000030720000}"/>
    <cellStyle name="Normal 4 3 2 5 2 2 3 3" xfId="20585" xr:uid="{00000000-0005-0000-0000-000031720000}"/>
    <cellStyle name="Normal 4 3 2 5 2 2 4" xfId="20586" xr:uid="{00000000-0005-0000-0000-000032720000}"/>
    <cellStyle name="Normal 4 3 2 5 2 2 4 2" xfId="20587" xr:uid="{00000000-0005-0000-0000-000033720000}"/>
    <cellStyle name="Normal 4 3 2 5 2 2 5" xfId="20588" xr:uid="{00000000-0005-0000-0000-000034720000}"/>
    <cellStyle name="Normal 4 3 2 5 2 3" xfId="20589" xr:uid="{00000000-0005-0000-0000-000035720000}"/>
    <cellStyle name="Normal 4 3 2 5 2 3 2" xfId="20590" xr:uid="{00000000-0005-0000-0000-000036720000}"/>
    <cellStyle name="Normal 4 3 2 5 2 3 2 2" xfId="20591" xr:uid="{00000000-0005-0000-0000-000037720000}"/>
    <cellStyle name="Normal 4 3 2 5 2 3 2 2 2" xfId="20592" xr:uid="{00000000-0005-0000-0000-000038720000}"/>
    <cellStyle name="Normal 4 3 2 5 2 3 2 3" xfId="20593" xr:uid="{00000000-0005-0000-0000-000039720000}"/>
    <cellStyle name="Normal 4 3 2 5 2 3 3" xfId="20594" xr:uid="{00000000-0005-0000-0000-00003A720000}"/>
    <cellStyle name="Normal 4 3 2 5 2 3 3 2" xfId="20595" xr:uid="{00000000-0005-0000-0000-00003B720000}"/>
    <cellStyle name="Normal 4 3 2 5 2 3 3 2 2" xfId="20596" xr:uid="{00000000-0005-0000-0000-00003C720000}"/>
    <cellStyle name="Normal 4 3 2 5 2 3 3 3" xfId="20597" xr:uid="{00000000-0005-0000-0000-00003D720000}"/>
    <cellStyle name="Normal 4 3 2 5 2 3 4" xfId="20598" xr:uid="{00000000-0005-0000-0000-00003E720000}"/>
    <cellStyle name="Normal 4 3 2 5 2 3 4 2" xfId="20599" xr:uid="{00000000-0005-0000-0000-00003F720000}"/>
    <cellStyle name="Normal 4 3 2 5 2 3 5" xfId="20600" xr:uid="{00000000-0005-0000-0000-000040720000}"/>
    <cellStyle name="Normal 4 3 2 5 2 4" xfId="20601" xr:uid="{00000000-0005-0000-0000-000041720000}"/>
    <cellStyle name="Normal 4 3 2 5 2 4 2" xfId="20602" xr:uid="{00000000-0005-0000-0000-000042720000}"/>
    <cellStyle name="Normal 4 3 2 5 2 4 2 2" xfId="20603" xr:uid="{00000000-0005-0000-0000-000043720000}"/>
    <cellStyle name="Normal 4 3 2 5 2 4 3" xfId="20604" xr:uid="{00000000-0005-0000-0000-000044720000}"/>
    <cellStyle name="Normal 4 3 2 5 2 5" xfId="20605" xr:uid="{00000000-0005-0000-0000-000045720000}"/>
    <cellStyle name="Normal 4 3 2 5 2 5 2" xfId="20606" xr:uid="{00000000-0005-0000-0000-000046720000}"/>
    <cellStyle name="Normal 4 3 2 5 2 5 2 2" xfId="20607" xr:uid="{00000000-0005-0000-0000-000047720000}"/>
    <cellStyle name="Normal 4 3 2 5 2 5 3" xfId="20608" xr:uid="{00000000-0005-0000-0000-000048720000}"/>
    <cellStyle name="Normal 4 3 2 5 2 6" xfId="20609" xr:uid="{00000000-0005-0000-0000-000049720000}"/>
    <cellStyle name="Normal 4 3 2 5 2 6 2" xfId="20610" xr:uid="{00000000-0005-0000-0000-00004A720000}"/>
    <cellStyle name="Normal 4 3 2 5 2 7" xfId="20611" xr:uid="{00000000-0005-0000-0000-00004B720000}"/>
    <cellStyle name="Normal 4 3 2 5 3" xfId="20612" xr:uid="{00000000-0005-0000-0000-00004C720000}"/>
    <cellStyle name="Normal 4 3 2 5 3 2" xfId="20613" xr:uid="{00000000-0005-0000-0000-00004D720000}"/>
    <cellStyle name="Normal 4 3 2 5 3 2 2" xfId="20614" xr:uid="{00000000-0005-0000-0000-00004E720000}"/>
    <cellStyle name="Normal 4 3 2 5 3 2 2 2" xfId="20615" xr:uid="{00000000-0005-0000-0000-00004F720000}"/>
    <cellStyle name="Normal 4 3 2 5 3 2 2 2 2" xfId="20616" xr:uid="{00000000-0005-0000-0000-000050720000}"/>
    <cellStyle name="Normal 4 3 2 5 3 2 2 3" xfId="20617" xr:uid="{00000000-0005-0000-0000-000051720000}"/>
    <cellStyle name="Normal 4 3 2 5 3 2 3" xfId="20618" xr:uid="{00000000-0005-0000-0000-000052720000}"/>
    <cellStyle name="Normal 4 3 2 5 3 2 3 2" xfId="20619" xr:uid="{00000000-0005-0000-0000-000053720000}"/>
    <cellStyle name="Normal 4 3 2 5 3 2 4" xfId="20620" xr:uid="{00000000-0005-0000-0000-000054720000}"/>
    <cellStyle name="Normal 4 3 2 5 3 3" xfId="20621" xr:uid="{00000000-0005-0000-0000-000055720000}"/>
    <cellStyle name="Normal 4 3 2 5 3 3 2" xfId="20622" xr:uid="{00000000-0005-0000-0000-000056720000}"/>
    <cellStyle name="Normal 4 3 2 5 3 3 2 2" xfId="20623" xr:uid="{00000000-0005-0000-0000-000057720000}"/>
    <cellStyle name="Normal 4 3 2 5 3 3 3" xfId="20624" xr:uid="{00000000-0005-0000-0000-000058720000}"/>
    <cellStyle name="Normal 4 3 2 5 3 4" xfId="20625" xr:uid="{00000000-0005-0000-0000-000059720000}"/>
    <cellStyle name="Normal 4 3 2 5 3 4 2" xfId="20626" xr:uid="{00000000-0005-0000-0000-00005A720000}"/>
    <cellStyle name="Normal 4 3 2 5 3 5" xfId="20627" xr:uid="{00000000-0005-0000-0000-00005B720000}"/>
    <cellStyle name="Normal 4 3 2 5 4" xfId="20628" xr:uid="{00000000-0005-0000-0000-00005C720000}"/>
    <cellStyle name="Normal 4 3 2 5 4 2" xfId="20629" xr:uid="{00000000-0005-0000-0000-00005D720000}"/>
    <cellStyle name="Normal 4 3 2 5 4 2 2" xfId="20630" xr:uid="{00000000-0005-0000-0000-00005E720000}"/>
    <cellStyle name="Normal 4 3 2 5 4 2 2 2" xfId="20631" xr:uid="{00000000-0005-0000-0000-00005F720000}"/>
    <cellStyle name="Normal 4 3 2 5 4 2 3" xfId="20632" xr:uid="{00000000-0005-0000-0000-000060720000}"/>
    <cellStyle name="Normal 4 3 2 5 4 3" xfId="20633" xr:uid="{00000000-0005-0000-0000-000061720000}"/>
    <cellStyle name="Normal 4 3 2 5 4 3 2" xfId="20634" xr:uid="{00000000-0005-0000-0000-000062720000}"/>
    <cellStyle name="Normal 4 3 2 5 4 3 2 2" xfId="20635" xr:uid="{00000000-0005-0000-0000-000063720000}"/>
    <cellStyle name="Normal 4 3 2 5 4 3 3" xfId="20636" xr:uid="{00000000-0005-0000-0000-000064720000}"/>
    <cellStyle name="Normal 4 3 2 5 4 4" xfId="20637" xr:uid="{00000000-0005-0000-0000-000065720000}"/>
    <cellStyle name="Normal 4 3 2 5 4 4 2" xfId="20638" xr:uid="{00000000-0005-0000-0000-000066720000}"/>
    <cellStyle name="Normal 4 3 2 5 4 5" xfId="20639" xr:uid="{00000000-0005-0000-0000-000067720000}"/>
    <cellStyle name="Normal 4 3 2 5 5" xfId="20640" xr:uid="{00000000-0005-0000-0000-000068720000}"/>
    <cellStyle name="Normal 4 3 2 5 5 2" xfId="20641" xr:uid="{00000000-0005-0000-0000-000069720000}"/>
    <cellStyle name="Normal 4 3 2 5 5 2 2" xfId="20642" xr:uid="{00000000-0005-0000-0000-00006A720000}"/>
    <cellStyle name="Normal 4 3 2 5 5 3" xfId="20643" xr:uid="{00000000-0005-0000-0000-00006B720000}"/>
    <cellStyle name="Normal 4 3 2 5 6" xfId="20644" xr:uid="{00000000-0005-0000-0000-00006C720000}"/>
    <cellStyle name="Normal 4 3 2 5 6 2" xfId="20645" xr:uid="{00000000-0005-0000-0000-00006D720000}"/>
    <cellStyle name="Normal 4 3 2 5 6 2 2" xfId="20646" xr:uid="{00000000-0005-0000-0000-00006E720000}"/>
    <cellStyle name="Normal 4 3 2 5 6 3" xfId="20647" xr:uid="{00000000-0005-0000-0000-00006F720000}"/>
    <cellStyle name="Normal 4 3 2 5 7" xfId="20648" xr:uid="{00000000-0005-0000-0000-000070720000}"/>
    <cellStyle name="Normal 4 3 2 5 7 2" xfId="20649" xr:uid="{00000000-0005-0000-0000-000071720000}"/>
    <cellStyle name="Normal 4 3 2 5 8" xfId="20650" xr:uid="{00000000-0005-0000-0000-000072720000}"/>
    <cellStyle name="Normal 4 3 2 6" xfId="20651" xr:uid="{00000000-0005-0000-0000-000073720000}"/>
    <cellStyle name="Normal 4 3 2 6 2" xfId="20652" xr:uid="{00000000-0005-0000-0000-000074720000}"/>
    <cellStyle name="Normal 4 3 2 6 2 2" xfId="20653" xr:uid="{00000000-0005-0000-0000-000075720000}"/>
    <cellStyle name="Normal 4 3 2 6 2 2 2" xfId="20654" xr:uid="{00000000-0005-0000-0000-000076720000}"/>
    <cellStyle name="Normal 4 3 2 6 2 2 2 2" xfId="20655" xr:uid="{00000000-0005-0000-0000-000077720000}"/>
    <cellStyle name="Normal 4 3 2 6 2 2 2 2 2" xfId="20656" xr:uid="{00000000-0005-0000-0000-000078720000}"/>
    <cellStyle name="Normal 4 3 2 6 2 2 2 3" xfId="20657" xr:uid="{00000000-0005-0000-0000-000079720000}"/>
    <cellStyle name="Normal 4 3 2 6 2 2 3" xfId="20658" xr:uid="{00000000-0005-0000-0000-00007A720000}"/>
    <cellStyle name="Normal 4 3 2 6 2 2 3 2" xfId="20659" xr:uid="{00000000-0005-0000-0000-00007B720000}"/>
    <cellStyle name="Normal 4 3 2 6 2 2 4" xfId="20660" xr:uid="{00000000-0005-0000-0000-00007C720000}"/>
    <cellStyle name="Normal 4 3 2 6 2 3" xfId="20661" xr:uid="{00000000-0005-0000-0000-00007D720000}"/>
    <cellStyle name="Normal 4 3 2 6 2 3 2" xfId="20662" xr:uid="{00000000-0005-0000-0000-00007E720000}"/>
    <cellStyle name="Normal 4 3 2 6 2 3 2 2" xfId="20663" xr:uid="{00000000-0005-0000-0000-00007F720000}"/>
    <cellStyle name="Normal 4 3 2 6 2 3 3" xfId="20664" xr:uid="{00000000-0005-0000-0000-000080720000}"/>
    <cellStyle name="Normal 4 3 2 6 2 4" xfId="20665" xr:uid="{00000000-0005-0000-0000-000081720000}"/>
    <cellStyle name="Normal 4 3 2 6 2 4 2" xfId="20666" xr:uid="{00000000-0005-0000-0000-000082720000}"/>
    <cellStyle name="Normal 4 3 2 6 2 5" xfId="20667" xr:uid="{00000000-0005-0000-0000-000083720000}"/>
    <cellStyle name="Normal 4 3 2 6 3" xfId="20668" xr:uid="{00000000-0005-0000-0000-000084720000}"/>
    <cellStyle name="Normal 4 3 2 6 3 2" xfId="20669" xr:uid="{00000000-0005-0000-0000-000085720000}"/>
    <cellStyle name="Normal 4 3 2 6 3 2 2" xfId="20670" xr:uid="{00000000-0005-0000-0000-000086720000}"/>
    <cellStyle name="Normal 4 3 2 6 3 2 2 2" xfId="20671" xr:uid="{00000000-0005-0000-0000-000087720000}"/>
    <cellStyle name="Normal 4 3 2 6 3 2 3" xfId="20672" xr:uid="{00000000-0005-0000-0000-000088720000}"/>
    <cellStyle name="Normal 4 3 2 6 3 3" xfId="20673" xr:uid="{00000000-0005-0000-0000-000089720000}"/>
    <cellStyle name="Normal 4 3 2 6 3 3 2" xfId="20674" xr:uid="{00000000-0005-0000-0000-00008A720000}"/>
    <cellStyle name="Normal 4 3 2 6 3 3 2 2" xfId="20675" xr:uid="{00000000-0005-0000-0000-00008B720000}"/>
    <cellStyle name="Normal 4 3 2 6 3 3 3" xfId="20676" xr:uid="{00000000-0005-0000-0000-00008C720000}"/>
    <cellStyle name="Normal 4 3 2 6 3 4" xfId="20677" xr:uid="{00000000-0005-0000-0000-00008D720000}"/>
    <cellStyle name="Normal 4 3 2 6 3 4 2" xfId="20678" xr:uid="{00000000-0005-0000-0000-00008E720000}"/>
    <cellStyle name="Normal 4 3 2 6 3 5" xfId="20679" xr:uid="{00000000-0005-0000-0000-00008F720000}"/>
    <cellStyle name="Normal 4 3 2 6 4" xfId="20680" xr:uid="{00000000-0005-0000-0000-000090720000}"/>
    <cellStyle name="Normal 4 3 2 6 4 2" xfId="20681" xr:uid="{00000000-0005-0000-0000-000091720000}"/>
    <cellStyle name="Normal 4 3 2 6 4 2 2" xfId="20682" xr:uid="{00000000-0005-0000-0000-000092720000}"/>
    <cellStyle name="Normal 4 3 2 6 4 3" xfId="20683" xr:uid="{00000000-0005-0000-0000-000093720000}"/>
    <cellStyle name="Normal 4 3 2 6 5" xfId="20684" xr:uid="{00000000-0005-0000-0000-000094720000}"/>
    <cellStyle name="Normal 4 3 2 6 5 2" xfId="20685" xr:uid="{00000000-0005-0000-0000-000095720000}"/>
    <cellStyle name="Normal 4 3 2 6 5 2 2" xfId="20686" xr:uid="{00000000-0005-0000-0000-000096720000}"/>
    <cellStyle name="Normal 4 3 2 6 5 3" xfId="20687" xr:uid="{00000000-0005-0000-0000-000097720000}"/>
    <cellStyle name="Normal 4 3 2 6 6" xfId="20688" xr:uid="{00000000-0005-0000-0000-000098720000}"/>
    <cellStyle name="Normal 4 3 2 6 6 2" xfId="20689" xr:uid="{00000000-0005-0000-0000-000099720000}"/>
    <cellStyle name="Normal 4 3 2 6 7" xfId="20690" xr:uid="{00000000-0005-0000-0000-00009A720000}"/>
    <cellStyle name="Normal 4 3 2 7" xfId="20691" xr:uid="{00000000-0005-0000-0000-00009B720000}"/>
    <cellStyle name="Normal 4 3 2 7 2" xfId="20692" xr:uid="{00000000-0005-0000-0000-00009C720000}"/>
    <cellStyle name="Normal 4 3 2 7 2 2" xfId="20693" xr:uid="{00000000-0005-0000-0000-00009D720000}"/>
    <cellStyle name="Normal 4 3 2 7 2 2 2" xfId="20694" xr:uid="{00000000-0005-0000-0000-00009E720000}"/>
    <cellStyle name="Normal 4 3 2 7 2 2 2 2" xfId="20695" xr:uid="{00000000-0005-0000-0000-00009F720000}"/>
    <cellStyle name="Normal 4 3 2 7 2 2 2 2 2" xfId="20696" xr:uid="{00000000-0005-0000-0000-0000A0720000}"/>
    <cellStyle name="Normal 4 3 2 7 2 2 2 3" xfId="20697" xr:uid="{00000000-0005-0000-0000-0000A1720000}"/>
    <cellStyle name="Normal 4 3 2 7 2 2 3" xfId="20698" xr:uid="{00000000-0005-0000-0000-0000A2720000}"/>
    <cellStyle name="Normal 4 3 2 7 2 2 3 2" xfId="20699" xr:uid="{00000000-0005-0000-0000-0000A3720000}"/>
    <cellStyle name="Normal 4 3 2 7 2 2 4" xfId="20700" xr:uid="{00000000-0005-0000-0000-0000A4720000}"/>
    <cellStyle name="Normal 4 3 2 7 2 3" xfId="20701" xr:uid="{00000000-0005-0000-0000-0000A5720000}"/>
    <cellStyle name="Normal 4 3 2 7 2 3 2" xfId="20702" xr:uid="{00000000-0005-0000-0000-0000A6720000}"/>
    <cellStyle name="Normal 4 3 2 7 2 3 2 2" xfId="20703" xr:uid="{00000000-0005-0000-0000-0000A7720000}"/>
    <cellStyle name="Normal 4 3 2 7 2 3 3" xfId="20704" xr:uid="{00000000-0005-0000-0000-0000A8720000}"/>
    <cellStyle name="Normal 4 3 2 7 2 4" xfId="20705" xr:uid="{00000000-0005-0000-0000-0000A9720000}"/>
    <cellStyle name="Normal 4 3 2 7 2 4 2" xfId="20706" xr:uid="{00000000-0005-0000-0000-0000AA720000}"/>
    <cellStyle name="Normal 4 3 2 7 2 5" xfId="20707" xr:uid="{00000000-0005-0000-0000-0000AB720000}"/>
    <cellStyle name="Normal 4 3 2 7 3" xfId="20708" xr:uid="{00000000-0005-0000-0000-0000AC720000}"/>
    <cellStyle name="Normal 4 3 2 7 3 2" xfId="20709" xr:uid="{00000000-0005-0000-0000-0000AD720000}"/>
    <cellStyle name="Normal 4 3 2 7 3 2 2" xfId="20710" xr:uid="{00000000-0005-0000-0000-0000AE720000}"/>
    <cellStyle name="Normal 4 3 2 7 3 2 2 2" xfId="20711" xr:uid="{00000000-0005-0000-0000-0000AF720000}"/>
    <cellStyle name="Normal 4 3 2 7 3 2 3" xfId="20712" xr:uid="{00000000-0005-0000-0000-0000B0720000}"/>
    <cellStyle name="Normal 4 3 2 7 3 3" xfId="20713" xr:uid="{00000000-0005-0000-0000-0000B1720000}"/>
    <cellStyle name="Normal 4 3 2 7 3 3 2" xfId="20714" xr:uid="{00000000-0005-0000-0000-0000B2720000}"/>
    <cellStyle name="Normal 4 3 2 7 3 3 2 2" xfId="20715" xr:uid="{00000000-0005-0000-0000-0000B3720000}"/>
    <cellStyle name="Normal 4 3 2 7 3 3 3" xfId="20716" xr:uid="{00000000-0005-0000-0000-0000B4720000}"/>
    <cellStyle name="Normal 4 3 2 7 3 4" xfId="20717" xr:uid="{00000000-0005-0000-0000-0000B5720000}"/>
    <cellStyle name="Normal 4 3 2 7 3 4 2" xfId="20718" xr:uid="{00000000-0005-0000-0000-0000B6720000}"/>
    <cellStyle name="Normal 4 3 2 7 3 5" xfId="20719" xr:uid="{00000000-0005-0000-0000-0000B7720000}"/>
    <cellStyle name="Normal 4 3 2 7 4" xfId="20720" xr:uid="{00000000-0005-0000-0000-0000B8720000}"/>
    <cellStyle name="Normal 4 3 2 7 4 2" xfId="20721" xr:uid="{00000000-0005-0000-0000-0000B9720000}"/>
    <cellStyle name="Normal 4 3 2 7 4 2 2" xfId="20722" xr:uid="{00000000-0005-0000-0000-0000BA720000}"/>
    <cellStyle name="Normal 4 3 2 7 4 3" xfId="20723" xr:uid="{00000000-0005-0000-0000-0000BB720000}"/>
    <cellStyle name="Normal 4 3 2 7 5" xfId="20724" xr:uid="{00000000-0005-0000-0000-0000BC720000}"/>
    <cellStyle name="Normal 4 3 2 7 5 2" xfId="20725" xr:uid="{00000000-0005-0000-0000-0000BD720000}"/>
    <cellStyle name="Normal 4 3 2 7 5 2 2" xfId="20726" xr:uid="{00000000-0005-0000-0000-0000BE720000}"/>
    <cellStyle name="Normal 4 3 2 7 5 3" xfId="20727" xr:uid="{00000000-0005-0000-0000-0000BF720000}"/>
    <cellStyle name="Normal 4 3 2 7 6" xfId="20728" xr:uid="{00000000-0005-0000-0000-0000C0720000}"/>
    <cellStyle name="Normal 4 3 2 7 6 2" xfId="20729" xr:uid="{00000000-0005-0000-0000-0000C1720000}"/>
    <cellStyle name="Normal 4 3 2 7 7" xfId="20730" xr:uid="{00000000-0005-0000-0000-0000C2720000}"/>
    <cellStyle name="Normal 4 3 2 8" xfId="20731" xr:uid="{00000000-0005-0000-0000-0000C3720000}"/>
    <cellStyle name="Normal 4 3 2 8 2" xfId="20732" xr:uid="{00000000-0005-0000-0000-0000C4720000}"/>
    <cellStyle name="Normal 4 3 2 8 2 2" xfId="20733" xr:uid="{00000000-0005-0000-0000-0000C5720000}"/>
    <cellStyle name="Normal 4 3 2 8 2 2 2" xfId="20734" xr:uid="{00000000-0005-0000-0000-0000C6720000}"/>
    <cellStyle name="Normal 4 3 2 8 2 2 2 2" xfId="20735" xr:uid="{00000000-0005-0000-0000-0000C7720000}"/>
    <cellStyle name="Normal 4 3 2 8 2 2 3" xfId="20736" xr:uid="{00000000-0005-0000-0000-0000C8720000}"/>
    <cellStyle name="Normal 4 3 2 8 2 3" xfId="20737" xr:uid="{00000000-0005-0000-0000-0000C9720000}"/>
    <cellStyle name="Normal 4 3 2 8 2 3 2" xfId="20738" xr:uid="{00000000-0005-0000-0000-0000CA720000}"/>
    <cellStyle name="Normal 4 3 2 8 2 4" xfId="20739" xr:uid="{00000000-0005-0000-0000-0000CB720000}"/>
    <cellStyle name="Normal 4 3 2 8 3" xfId="20740" xr:uid="{00000000-0005-0000-0000-0000CC720000}"/>
    <cellStyle name="Normal 4 3 2 8 3 2" xfId="20741" xr:uid="{00000000-0005-0000-0000-0000CD720000}"/>
    <cellStyle name="Normal 4 3 2 8 3 2 2" xfId="20742" xr:uid="{00000000-0005-0000-0000-0000CE720000}"/>
    <cellStyle name="Normal 4 3 2 8 3 3" xfId="20743" xr:uid="{00000000-0005-0000-0000-0000CF720000}"/>
    <cellStyle name="Normal 4 3 2 8 4" xfId="20744" xr:uid="{00000000-0005-0000-0000-0000D0720000}"/>
    <cellStyle name="Normal 4 3 2 8 4 2" xfId="20745" xr:uid="{00000000-0005-0000-0000-0000D1720000}"/>
    <cellStyle name="Normal 4 3 2 8 5" xfId="20746" xr:uid="{00000000-0005-0000-0000-0000D2720000}"/>
    <cellStyle name="Normal 4 3 2 9" xfId="20747" xr:uid="{00000000-0005-0000-0000-0000D3720000}"/>
    <cellStyle name="Normal 4 3 2 9 2" xfId="20748" xr:uid="{00000000-0005-0000-0000-0000D4720000}"/>
    <cellStyle name="Normal 4 3 2 9 2 2" xfId="20749" xr:uid="{00000000-0005-0000-0000-0000D5720000}"/>
    <cellStyle name="Normal 4 3 2 9 2 2 2" xfId="20750" xr:uid="{00000000-0005-0000-0000-0000D6720000}"/>
    <cellStyle name="Normal 4 3 2 9 2 2 2 2" xfId="20751" xr:uid="{00000000-0005-0000-0000-0000D7720000}"/>
    <cellStyle name="Normal 4 3 2 9 2 2 3" xfId="20752" xr:uid="{00000000-0005-0000-0000-0000D8720000}"/>
    <cellStyle name="Normal 4 3 2 9 2 3" xfId="20753" xr:uid="{00000000-0005-0000-0000-0000D9720000}"/>
    <cellStyle name="Normal 4 3 2 9 2 3 2" xfId="20754" xr:uid="{00000000-0005-0000-0000-0000DA720000}"/>
    <cellStyle name="Normal 4 3 2 9 2 4" xfId="20755" xr:uid="{00000000-0005-0000-0000-0000DB720000}"/>
    <cellStyle name="Normal 4 3 2 9 3" xfId="20756" xr:uid="{00000000-0005-0000-0000-0000DC720000}"/>
    <cellStyle name="Normal 4 3 2 9 3 2" xfId="20757" xr:uid="{00000000-0005-0000-0000-0000DD720000}"/>
    <cellStyle name="Normal 4 3 2 9 3 2 2" xfId="20758" xr:uid="{00000000-0005-0000-0000-0000DE720000}"/>
    <cellStyle name="Normal 4 3 2 9 3 3" xfId="20759" xr:uid="{00000000-0005-0000-0000-0000DF720000}"/>
    <cellStyle name="Normal 4 3 2 9 4" xfId="20760" xr:uid="{00000000-0005-0000-0000-0000E0720000}"/>
    <cellStyle name="Normal 4 3 2 9 4 2" xfId="20761" xr:uid="{00000000-0005-0000-0000-0000E1720000}"/>
    <cellStyle name="Normal 4 3 2 9 5" xfId="20762" xr:uid="{00000000-0005-0000-0000-0000E2720000}"/>
    <cellStyle name="Normal 4 3 3" xfId="20763" xr:uid="{00000000-0005-0000-0000-0000E3720000}"/>
    <cellStyle name="Normal 4 3 3 2" xfId="20764" xr:uid="{00000000-0005-0000-0000-0000E4720000}"/>
    <cellStyle name="Normal 4 3 3 2 2" xfId="20765" xr:uid="{00000000-0005-0000-0000-0000E5720000}"/>
    <cellStyle name="Normal 4 3 3 2 2 2" xfId="20766" xr:uid="{00000000-0005-0000-0000-0000E6720000}"/>
    <cellStyle name="Normal 4 3 3 2 2 2 2" xfId="54669" xr:uid="{00000000-0005-0000-0000-0000E7720000}"/>
    <cellStyle name="Normal 4 3 3 2 2 2 3" xfId="54670" xr:uid="{00000000-0005-0000-0000-0000E8720000}"/>
    <cellStyle name="Normal 4 3 3 2 2 3" xfId="54671" xr:uid="{00000000-0005-0000-0000-0000E9720000}"/>
    <cellStyle name="Normal 4 3 3 2 2 4" xfId="54672" xr:uid="{00000000-0005-0000-0000-0000EA720000}"/>
    <cellStyle name="Normal 4 3 3 2 3" xfId="20767" xr:uid="{00000000-0005-0000-0000-0000EB720000}"/>
    <cellStyle name="Normal 4 3 3 2 3 2" xfId="54673" xr:uid="{00000000-0005-0000-0000-0000EC720000}"/>
    <cellStyle name="Normal 4 3 3 2 3 3" xfId="54674" xr:uid="{00000000-0005-0000-0000-0000ED720000}"/>
    <cellStyle name="Normal 4 3 3 2 4" xfId="20768" xr:uid="{00000000-0005-0000-0000-0000EE720000}"/>
    <cellStyle name="Normal 4 3 3 2 4 2" xfId="54675" xr:uid="{00000000-0005-0000-0000-0000EF720000}"/>
    <cellStyle name="Normal 4 3 3 2 5" xfId="54676" xr:uid="{00000000-0005-0000-0000-0000F0720000}"/>
    <cellStyle name="Normal 4 3 3 2 6" xfId="54677" xr:uid="{00000000-0005-0000-0000-0000F1720000}"/>
    <cellStyle name="Normal 4 3 3 3" xfId="20769" xr:uid="{00000000-0005-0000-0000-0000F2720000}"/>
    <cellStyle name="Normal 4 3 3 3 2" xfId="20770" xr:uid="{00000000-0005-0000-0000-0000F3720000}"/>
    <cellStyle name="Normal 4 3 3 3 2 2" xfId="54678" xr:uid="{00000000-0005-0000-0000-0000F4720000}"/>
    <cellStyle name="Normal 4 3 3 3 2 3" xfId="54679" xr:uid="{00000000-0005-0000-0000-0000F5720000}"/>
    <cellStyle name="Normal 4 3 3 3 3" xfId="54680" xr:uid="{00000000-0005-0000-0000-0000F6720000}"/>
    <cellStyle name="Normal 4 3 3 3 4" xfId="54681" xr:uid="{00000000-0005-0000-0000-0000F7720000}"/>
    <cellStyle name="Normal 4 3 3 4" xfId="20771" xr:uid="{00000000-0005-0000-0000-0000F8720000}"/>
    <cellStyle name="Normal 4 3 3 4 2" xfId="54682" xr:uid="{00000000-0005-0000-0000-0000F9720000}"/>
    <cellStyle name="Normal 4 3 3 4 3" xfId="54683" xr:uid="{00000000-0005-0000-0000-0000FA720000}"/>
    <cellStyle name="Normal 4 3 3 5" xfId="20772" xr:uid="{00000000-0005-0000-0000-0000FB720000}"/>
    <cellStyle name="Normal 4 3 3 5 2" xfId="54684" xr:uid="{00000000-0005-0000-0000-0000FC720000}"/>
    <cellStyle name="Normal 4 3 3 6" xfId="20773" xr:uid="{00000000-0005-0000-0000-0000FD720000}"/>
    <cellStyle name="Normal 4 3 3 7" xfId="54685" xr:uid="{00000000-0005-0000-0000-0000FE720000}"/>
    <cellStyle name="Normal 4 3 4" xfId="20774" xr:uid="{00000000-0005-0000-0000-0000FF720000}"/>
    <cellStyle name="Normal 4 3 4 10" xfId="20775" xr:uid="{00000000-0005-0000-0000-000000730000}"/>
    <cellStyle name="Normal 4 3 4 10 2" xfId="20776" xr:uid="{00000000-0005-0000-0000-000001730000}"/>
    <cellStyle name="Normal 4 3 4 10 2 2" xfId="20777" xr:uid="{00000000-0005-0000-0000-000002730000}"/>
    <cellStyle name="Normal 4 3 4 10 2 2 2" xfId="20778" xr:uid="{00000000-0005-0000-0000-000003730000}"/>
    <cellStyle name="Normal 4 3 4 10 2 2 2 2" xfId="20779" xr:uid="{00000000-0005-0000-0000-000004730000}"/>
    <cellStyle name="Normal 4 3 4 10 2 2 3" xfId="20780" xr:uid="{00000000-0005-0000-0000-000005730000}"/>
    <cellStyle name="Normal 4 3 4 10 2 3" xfId="20781" xr:uid="{00000000-0005-0000-0000-000006730000}"/>
    <cellStyle name="Normal 4 3 4 10 2 3 2" xfId="20782" xr:uid="{00000000-0005-0000-0000-000007730000}"/>
    <cellStyle name="Normal 4 3 4 10 2 4" xfId="20783" xr:uid="{00000000-0005-0000-0000-000008730000}"/>
    <cellStyle name="Normal 4 3 4 10 3" xfId="20784" xr:uid="{00000000-0005-0000-0000-000009730000}"/>
    <cellStyle name="Normal 4 3 4 10 3 2" xfId="20785" xr:uid="{00000000-0005-0000-0000-00000A730000}"/>
    <cellStyle name="Normal 4 3 4 10 3 2 2" xfId="20786" xr:uid="{00000000-0005-0000-0000-00000B730000}"/>
    <cellStyle name="Normal 4 3 4 10 3 3" xfId="20787" xr:uid="{00000000-0005-0000-0000-00000C730000}"/>
    <cellStyle name="Normal 4 3 4 10 4" xfId="20788" xr:uid="{00000000-0005-0000-0000-00000D730000}"/>
    <cellStyle name="Normal 4 3 4 10 4 2" xfId="20789" xr:uid="{00000000-0005-0000-0000-00000E730000}"/>
    <cellStyle name="Normal 4 3 4 10 5" xfId="20790" xr:uid="{00000000-0005-0000-0000-00000F730000}"/>
    <cellStyle name="Normal 4 3 4 11" xfId="20791" xr:uid="{00000000-0005-0000-0000-000010730000}"/>
    <cellStyle name="Normal 4 3 4 11 2" xfId="20792" xr:uid="{00000000-0005-0000-0000-000011730000}"/>
    <cellStyle name="Normal 4 3 4 11 2 2" xfId="20793" xr:uid="{00000000-0005-0000-0000-000012730000}"/>
    <cellStyle name="Normal 4 3 4 11 2 2 2" xfId="20794" xr:uid="{00000000-0005-0000-0000-000013730000}"/>
    <cellStyle name="Normal 4 3 4 11 2 2 2 2" xfId="20795" xr:uid="{00000000-0005-0000-0000-000014730000}"/>
    <cellStyle name="Normal 4 3 4 11 2 2 3" xfId="20796" xr:uid="{00000000-0005-0000-0000-000015730000}"/>
    <cellStyle name="Normal 4 3 4 11 2 3" xfId="20797" xr:uid="{00000000-0005-0000-0000-000016730000}"/>
    <cellStyle name="Normal 4 3 4 11 2 3 2" xfId="20798" xr:uid="{00000000-0005-0000-0000-000017730000}"/>
    <cellStyle name="Normal 4 3 4 11 2 4" xfId="20799" xr:uid="{00000000-0005-0000-0000-000018730000}"/>
    <cellStyle name="Normal 4 3 4 11 3" xfId="20800" xr:uid="{00000000-0005-0000-0000-000019730000}"/>
    <cellStyle name="Normal 4 3 4 11 3 2" xfId="20801" xr:uid="{00000000-0005-0000-0000-00001A730000}"/>
    <cellStyle name="Normal 4 3 4 11 3 2 2" xfId="20802" xr:uid="{00000000-0005-0000-0000-00001B730000}"/>
    <cellStyle name="Normal 4 3 4 11 3 3" xfId="20803" xr:uid="{00000000-0005-0000-0000-00001C730000}"/>
    <cellStyle name="Normal 4 3 4 11 4" xfId="20804" xr:uid="{00000000-0005-0000-0000-00001D730000}"/>
    <cellStyle name="Normal 4 3 4 11 4 2" xfId="20805" xr:uid="{00000000-0005-0000-0000-00001E730000}"/>
    <cellStyle name="Normal 4 3 4 11 5" xfId="20806" xr:uid="{00000000-0005-0000-0000-00001F730000}"/>
    <cellStyle name="Normal 4 3 4 12" xfId="20807" xr:uid="{00000000-0005-0000-0000-000020730000}"/>
    <cellStyle name="Normal 4 3 4 12 2" xfId="20808" xr:uid="{00000000-0005-0000-0000-000021730000}"/>
    <cellStyle name="Normal 4 3 4 12 2 2" xfId="20809" xr:uid="{00000000-0005-0000-0000-000022730000}"/>
    <cellStyle name="Normal 4 3 4 12 2 2 2" xfId="20810" xr:uid="{00000000-0005-0000-0000-000023730000}"/>
    <cellStyle name="Normal 4 3 4 12 2 3" xfId="20811" xr:uid="{00000000-0005-0000-0000-000024730000}"/>
    <cellStyle name="Normal 4 3 4 12 3" xfId="20812" xr:uid="{00000000-0005-0000-0000-000025730000}"/>
    <cellStyle name="Normal 4 3 4 12 3 2" xfId="20813" xr:uid="{00000000-0005-0000-0000-000026730000}"/>
    <cellStyle name="Normal 4 3 4 12 3 2 2" xfId="20814" xr:uid="{00000000-0005-0000-0000-000027730000}"/>
    <cellStyle name="Normal 4 3 4 12 3 3" xfId="20815" xr:uid="{00000000-0005-0000-0000-000028730000}"/>
    <cellStyle name="Normal 4 3 4 12 4" xfId="20816" xr:uid="{00000000-0005-0000-0000-000029730000}"/>
    <cellStyle name="Normal 4 3 4 12 4 2" xfId="20817" xr:uid="{00000000-0005-0000-0000-00002A730000}"/>
    <cellStyle name="Normal 4 3 4 12 5" xfId="20818" xr:uid="{00000000-0005-0000-0000-00002B730000}"/>
    <cellStyle name="Normal 4 3 4 13" xfId="20819" xr:uid="{00000000-0005-0000-0000-00002C730000}"/>
    <cellStyle name="Normal 4 3 4 13 2" xfId="20820" xr:uid="{00000000-0005-0000-0000-00002D730000}"/>
    <cellStyle name="Normal 4 3 4 13 2 2" xfId="20821" xr:uid="{00000000-0005-0000-0000-00002E730000}"/>
    <cellStyle name="Normal 4 3 4 13 2 2 2" xfId="20822" xr:uid="{00000000-0005-0000-0000-00002F730000}"/>
    <cellStyle name="Normal 4 3 4 13 2 3" xfId="20823" xr:uid="{00000000-0005-0000-0000-000030730000}"/>
    <cellStyle name="Normal 4 3 4 13 3" xfId="20824" xr:uid="{00000000-0005-0000-0000-000031730000}"/>
    <cellStyle name="Normal 4 3 4 13 3 2" xfId="20825" xr:uid="{00000000-0005-0000-0000-000032730000}"/>
    <cellStyle name="Normal 4 3 4 13 4" xfId="20826" xr:uid="{00000000-0005-0000-0000-000033730000}"/>
    <cellStyle name="Normal 4 3 4 14" xfId="20827" xr:uid="{00000000-0005-0000-0000-000034730000}"/>
    <cellStyle name="Normal 4 3 4 14 2" xfId="20828" xr:uid="{00000000-0005-0000-0000-000035730000}"/>
    <cellStyle name="Normal 4 3 4 14 2 2" xfId="20829" xr:uid="{00000000-0005-0000-0000-000036730000}"/>
    <cellStyle name="Normal 4 3 4 14 3" xfId="20830" xr:uid="{00000000-0005-0000-0000-000037730000}"/>
    <cellStyle name="Normal 4 3 4 15" xfId="20831" xr:uid="{00000000-0005-0000-0000-000038730000}"/>
    <cellStyle name="Normal 4 3 4 15 2" xfId="20832" xr:uid="{00000000-0005-0000-0000-000039730000}"/>
    <cellStyle name="Normal 4 3 4 15 2 2" xfId="20833" xr:uid="{00000000-0005-0000-0000-00003A730000}"/>
    <cellStyle name="Normal 4 3 4 15 3" xfId="20834" xr:uid="{00000000-0005-0000-0000-00003B730000}"/>
    <cellStyle name="Normal 4 3 4 16" xfId="20835" xr:uid="{00000000-0005-0000-0000-00003C730000}"/>
    <cellStyle name="Normal 4 3 4 16 2" xfId="20836" xr:uid="{00000000-0005-0000-0000-00003D730000}"/>
    <cellStyle name="Normal 4 3 4 17" xfId="20837" xr:uid="{00000000-0005-0000-0000-00003E730000}"/>
    <cellStyle name="Normal 4 3 4 2" xfId="20838" xr:uid="{00000000-0005-0000-0000-00003F730000}"/>
    <cellStyle name="Normal 4 3 4 2 2" xfId="20839" xr:uid="{00000000-0005-0000-0000-000040730000}"/>
    <cellStyle name="Normal 4 3 4 2 2 2" xfId="20840" xr:uid="{00000000-0005-0000-0000-000041730000}"/>
    <cellStyle name="Normal 4 3 4 2 2 2 2" xfId="20841" xr:uid="{00000000-0005-0000-0000-000042730000}"/>
    <cellStyle name="Normal 4 3 4 2 2 2 2 2" xfId="20842" xr:uid="{00000000-0005-0000-0000-000043730000}"/>
    <cellStyle name="Normal 4 3 4 2 2 2 2 2 2" xfId="20843" xr:uid="{00000000-0005-0000-0000-000044730000}"/>
    <cellStyle name="Normal 4 3 4 2 2 2 2 2 2 2" xfId="20844" xr:uid="{00000000-0005-0000-0000-000045730000}"/>
    <cellStyle name="Normal 4 3 4 2 2 2 2 2 2 2 2" xfId="20845" xr:uid="{00000000-0005-0000-0000-000046730000}"/>
    <cellStyle name="Normal 4 3 4 2 2 2 2 2 2 3" xfId="20846" xr:uid="{00000000-0005-0000-0000-000047730000}"/>
    <cellStyle name="Normal 4 3 4 2 2 2 2 2 3" xfId="20847" xr:uid="{00000000-0005-0000-0000-000048730000}"/>
    <cellStyle name="Normal 4 3 4 2 2 2 2 2 3 2" xfId="20848" xr:uid="{00000000-0005-0000-0000-000049730000}"/>
    <cellStyle name="Normal 4 3 4 2 2 2 2 2 4" xfId="20849" xr:uid="{00000000-0005-0000-0000-00004A730000}"/>
    <cellStyle name="Normal 4 3 4 2 2 2 2 3" xfId="20850" xr:uid="{00000000-0005-0000-0000-00004B730000}"/>
    <cellStyle name="Normal 4 3 4 2 2 2 2 3 2" xfId="20851" xr:uid="{00000000-0005-0000-0000-00004C730000}"/>
    <cellStyle name="Normal 4 3 4 2 2 2 2 3 2 2" xfId="20852" xr:uid="{00000000-0005-0000-0000-00004D730000}"/>
    <cellStyle name="Normal 4 3 4 2 2 2 2 3 3" xfId="20853" xr:uid="{00000000-0005-0000-0000-00004E730000}"/>
    <cellStyle name="Normal 4 3 4 2 2 2 2 4" xfId="20854" xr:uid="{00000000-0005-0000-0000-00004F730000}"/>
    <cellStyle name="Normal 4 3 4 2 2 2 2 4 2" xfId="20855" xr:uid="{00000000-0005-0000-0000-000050730000}"/>
    <cellStyle name="Normal 4 3 4 2 2 2 2 5" xfId="20856" xr:uid="{00000000-0005-0000-0000-000051730000}"/>
    <cellStyle name="Normal 4 3 4 2 2 2 3" xfId="20857" xr:uid="{00000000-0005-0000-0000-000052730000}"/>
    <cellStyle name="Normal 4 3 4 2 2 2 3 2" xfId="20858" xr:uid="{00000000-0005-0000-0000-000053730000}"/>
    <cellStyle name="Normal 4 3 4 2 2 2 3 2 2" xfId="20859" xr:uid="{00000000-0005-0000-0000-000054730000}"/>
    <cellStyle name="Normal 4 3 4 2 2 2 3 2 2 2" xfId="20860" xr:uid="{00000000-0005-0000-0000-000055730000}"/>
    <cellStyle name="Normal 4 3 4 2 2 2 3 2 3" xfId="20861" xr:uid="{00000000-0005-0000-0000-000056730000}"/>
    <cellStyle name="Normal 4 3 4 2 2 2 3 3" xfId="20862" xr:uid="{00000000-0005-0000-0000-000057730000}"/>
    <cellStyle name="Normal 4 3 4 2 2 2 3 3 2" xfId="20863" xr:uid="{00000000-0005-0000-0000-000058730000}"/>
    <cellStyle name="Normal 4 3 4 2 2 2 3 3 2 2" xfId="20864" xr:uid="{00000000-0005-0000-0000-000059730000}"/>
    <cellStyle name="Normal 4 3 4 2 2 2 3 3 3" xfId="20865" xr:uid="{00000000-0005-0000-0000-00005A730000}"/>
    <cellStyle name="Normal 4 3 4 2 2 2 3 4" xfId="20866" xr:uid="{00000000-0005-0000-0000-00005B730000}"/>
    <cellStyle name="Normal 4 3 4 2 2 2 3 4 2" xfId="20867" xr:uid="{00000000-0005-0000-0000-00005C730000}"/>
    <cellStyle name="Normal 4 3 4 2 2 2 3 5" xfId="20868" xr:uid="{00000000-0005-0000-0000-00005D730000}"/>
    <cellStyle name="Normal 4 3 4 2 2 2 4" xfId="20869" xr:uid="{00000000-0005-0000-0000-00005E730000}"/>
    <cellStyle name="Normal 4 3 4 2 2 2 4 2" xfId="20870" xr:uid="{00000000-0005-0000-0000-00005F730000}"/>
    <cellStyle name="Normal 4 3 4 2 2 2 4 2 2" xfId="20871" xr:uid="{00000000-0005-0000-0000-000060730000}"/>
    <cellStyle name="Normal 4 3 4 2 2 2 4 3" xfId="20872" xr:uid="{00000000-0005-0000-0000-000061730000}"/>
    <cellStyle name="Normal 4 3 4 2 2 2 5" xfId="20873" xr:uid="{00000000-0005-0000-0000-000062730000}"/>
    <cellStyle name="Normal 4 3 4 2 2 2 5 2" xfId="20874" xr:uid="{00000000-0005-0000-0000-000063730000}"/>
    <cellStyle name="Normal 4 3 4 2 2 2 5 2 2" xfId="20875" xr:uid="{00000000-0005-0000-0000-000064730000}"/>
    <cellStyle name="Normal 4 3 4 2 2 2 5 3" xfId="20876" xr:uid="{00000000-0005-0000-0000-000065730000}"/>
    <cellStyle name="Normal 4 3 4 2 2 2 6" xfId="20877" xr:uid="{00000000-0005-0000-0000-000066730000}"/>
    <cellStyle name="Normal 4 3 4 2 2 2 6 2" xfId="20878" xr:uid="{00000000-0005-0000-0000-000067730000}"/>
    <cellStyle name="Normal 4 3 4 2 2 2 7" xfId="20879" xr:uid="{00000000-0005-0000-0000-000068730000}"/>
    <cellStyle name="Normal 4 3 4 2 2 3" xfId="20880" xr:uid="{00000000-0005-0000-0000-000069730000}"/>
    <cellStyle name="Normal 4 3 4 2 2 3 2" xfId="20881" xr:uid="{00000000-0005-0000-0000-00006A730000}"/>
    <cellStyle name="Normal 4 3 4 2 2 3 2 2" xfId="20882" xr:uid="{00000000-0005-0000-0000-00006B730000}"/>
    <cellStyle name="Normal 4 3 4 2 2 3 2 2 2" xfId="20883" xr:uid="{00000000-0005-0000-0000-00006C730000}"/>
    <cellStyle name="Normal 4 3 4 2 2 3 2 2 2 2" xfId="20884" xr:uid="{00000000-0005-0000-0000-00006D730000}"/>
    <cellStyle name="Normal 4 3 4 2 2 3 2 2 3" xfId="20885" xr:uid="{00000000-0005-0000-0000-00006E730000}"/>
    <cellStyle name="Normal 4 3 4 2 2 3 2 3" xfId="20886" xr:uid="{00000000-0005-0000-0000-00006F730000}"/>
    <cellStyle name="Normal 4 3 4 2 2 3 2 3 2" xfId="20887" xr:uid="{00000000-0005-0000-0000-000070730000}"/>
    <cellStyle name="Normal 4 3 4 2 2 3 2 4" xfId="20888" xr:uid="{00000000-0005-0000-0000-000071730000}"/>
    <cellStyle name="Normal 4 3 4 2 2 3 3" xfId="20889" xr:uid="{00000000-0005-0000-0000-000072730000}"/>
    <cellStyle name="Normal 4 3 4 2 2 3 3 2" xfId="20890" xr:uid="{00000000-0005-0000-0000-000073730000}"/>
    <cellStyle name="Normal 4 3 4 2 2 3 3 2 2" xfId="20891" xr:uid="{00000000-0005-0000-0000-000074730000}"/>
    <cellStyle name="Normal 4 3 4 2 2 3 3 3" xfId="20892" xr:uid="{00000000-0005-0000-0000-000075730000}"/>
    <cellStyle name="Normal 4 3 4 2 2 3 4" xfId="20893" xr:uid="{00000000-0005-0000-0000-000076730000}"/>
    <cellStyle name="Normal 4 3 4 2 2 3 4 2" xfId="20894" xr:uid="{00000000-0005-0000-0000-000077730000}"/>
    <cellStyle name="Normal 4 3 4 2 2 3 5" xfId="20895" xr:uid="{00000000-0005-0000-0000-000078730000}"/>
    <cellStyle name="Normal 4 3 4 2 2 4" xfId="20896" xr:uid="{00000000-0005-0000-0000-000079730000}"/>
    <cellStyle name="Normal 4 3 4 2 2 4 2" xfId="20897" xr:uid="{00000000-0005-0000-0000-00007A730000}"/>
    <cellStyle name="Normal 4 3 4 2 2 4 2 2" xfId="20898" xr:uid="{00000000-0005-0000-0000-00007B730000}"/>
    <cellStyle name="Normal 4 3 4 2 2 4 2 2 2" xfId="20899" xr:uid="{00000000-0005-0000-0000-00007C730000}"/>
    <cellStyle name="Normal 4 3 4 2 2 4 2 3" xfId="20900" xr:uid="{00000000-0005-0000-0000-00007D730000}"/>
    <cellStyle name="Normal 4 3 4 2 2 4 3" xfId="20901" xr:uid="{00000000-0005-0000-0000-00007E730000}"/>
    <cellStyle name="Normal 4 3 4 2 2 4 3 2" xfId="20902" xr:uid="{00000000-0005-0000-0000-00007F730000}"/>
    <cellStyle name="Normal 4 3 4 2 2 4 3 2 2" xfId="20903" xr:uid="{00000000-0005-0000-0000-000080730000}"/>
    <cellStyle name="Normal 4 3 4 2 2 4 3 3" xfId="20904" xr:uid="{00000000-0005-0000-0000-000081730000}"/>
    <cellStyle name="Normal 4 3 4 2 2 4 4" xfId="20905" xr:uid="{00000000-0005-0000-0000-000082730000}"/>
    <cellStyle name="Normal 4 3 4 2 2 4 4 2" xfId="20906" xr:uid="{00000000-0005-0000-0000-000083730000}"/>
    <cellStyle name="Normal 4 3 4 2 2 4 5" xfId="20907" xr:uid="{00000000-0005-0000-0000-000084730000}"/>
    <cellStyle name="Normal 4 3 4 2 2 5" xfId="20908" xr:uid="{00000000-0005-0000-0000-000085730000}"/>
    <cellStyle name="Normal 4 3 4 2 2 5 2" xfId="20909" xr:uid="{00000000-0005-0000-0000-000086730000}"/>
    <cellStyle name="Normal 4 3 4 2 2 5 2 2" xfId="20910" xr:uid="{00000000-0005-0000-0000-000087730000}"/>
    <cellStyle name="Normal 4 3 4 2 2 5 3" xfId="20911" xr:uid="{00000000-0005-0000-0000-000088730000}"/>
    <cellStyle name="Normal 4 3 4 2 2 6" xfId="20912" xr:uid="{00000000-0005-0000-0000-000089730000}"/>
    <cellStyle name="Normal 4 3 4 2 2 6 2" xfId="20913" xr:uid="{00000000-0005-0000-0000-00008A730000}"/>
    <cellStyle name="Normal 4 3 4 2 2 6 2 2" xfId="20914" xr:uid="{00000000-0005-0000-0000-00008B730000}"/>
    <cellStyle name="Normal 4 3 4 2 2 6 3" xfId="20915" xr:uid="{00000000-0005-0000-0000-00008C730000}"/>
    <cellStyle name="Normal 4 3 4 2 2 7" xfId="20916" xr:uid="{00000000-0005-0000-0000-00008D730000}"/>
    <cellStyle name="Normal 4 3 4 2 2 7 2" xfId="20917" xr:uid="{00000000-0005-0000-0000-00008E730000}"/>
    <cellStyle name="Normal 4 3 4 2 2 8" xfId="20918" xr:uid="{00000000-0005-0000-0000-00008F730000}"/>
    <cellStyle name="Normal 4 3 4 2 3" xfId="20919" xr:uid="{00000000-0005-0000-0000-000090730000}"/>
    <cellStyle name="Normal 4 3 4 2 3 2" xfId="20920" xr:uid="{00000000-0005-0000-0000-000091730000}"/>
    <cellStyle name="Normal 4 3 4 2 3 2 2" xfId="20921" xr:uid="{00000000-0005-0000-0000-000092730000}"/>
    <cellStyle name="Normal 4 3 4 2 3 2 2 2" xfId="20922" xr:uid="{00000000-0005-0000-0000-000093730000}"/>
    <cellStyle name="Normal 4 3 4 2 3 2 2 2 2" xfId="20923" xr:uid="{00000000-0005-0000-0000-000094730000}"/>
    <cellStyle name="Normal 4 3 4 2 3 2 2 2 2 2" xfId="20924" xr:uid="{00000000-0005-0000-0000-000095730000}"/>
    <cellStyle name="Normal 4 3 4 2 3 2 2 2 3" xfId="20925" xr:uid="{00000000-0005-0000-0000-000096730000}"/>
    <cellStyle name="Normal 4 3 4 2 3 2 2 3" xfId="20926" xr:uid="{00000000-0005-0000-0000-000097730000}"/>
    <cellStyle name="Normal 4 3 4 2 3 2 2 3 2" xfId="20927" xr:uid="{00000000-0005-0000-0000-000098730000}"/>
    <cellStyle name="Normal 4 3 4 2 3 2 2 4" xfId="20928" xr:uid="{00000000-0005-0000-0000-000099730000}"/>
    <cellStyle name="Normal 4 3 4 2 3 2 3" xfId="20929" xr:uid="{00000000-0005-0000-0000-00009A730000}"/>
    <cellStyle name="Normal 4 3 4 2 3 2 3 2" xfId="20930" xr:uid="{00000000-0005-0000-0000-00009B730000}"/>
    <cellStyle name="Normal 4 3 4 2 3 2 3 2 2" xfId="20931" xr:uid="{00000000-0005-0000-0000-00009C730000}"/>
    <cellStyle name="Normal 4 3 4 2 3 2 3 3" xfId="20932" xr:uid="{00000000-0005-0000-0000-00009D730000}"/>
    <cellStyle name="Normal 4 3 4 2 3 2 4" xfId="20933" xr:uid="{00000000-0005-0000-0000-00009E730000}"/>
    <cellStyle name="Normal 4 3 4 2 3 2 4 2" xfId="20934" xr:uid="{00000000-0005-0000-0000-00009F730000}"/>
    <cellStyle name="Normal 4 3 4 2 3 2 5" xfId="20935" xr:uid="{00000000-0005-0000-0000-0000A0730000}"/>
    <cellStyle name="Normal 4 3 4 2 3 3" xfId="20936" xr:uid="{00000000-0005-0000-0000-0000A1730000}"/>
    <cellStyle name="Normal 4 3 4 2 3 3 2" xfId="20937" xr:uid="{00000000-0005-0000-0000-0000A2730000}"/>
    <cellStyle name="Normal 4 3 4 2 3 3 2 2" xfId="20938" xr:uid="{00000000-0005-0000-0000-0000A3730000}"/>
    <cellStyle name="Normal 4 3 4 2 3 3 2 2 2" xfId="20939" xr:uid="{00000000-0005-0000-0000-0000A4730000}"/>
    <cellStyle name="Normal 4 3 4 2 3 3 2 3" xfId="20940" xr:uid="{00000000-0005-0000-0000-0000A5730000}"/>
    <cellStyle name="Normal 4 3 4 2 3 3 3" xfId="20941" xr:uid="{00000000-0005-0000-0000-0000A6730000}"/>
    <cellStyle name="Normal 4 3 4 2 3 3 3 2" xfId="20942" xr:uid="{00000000-0005-0000-0000-0000A7730000}"/>
    <cellStyle name="Normal 4 3 4 2 3 3 3 2 2" xfId="20943" xr:uid="{00000000-0005-0000-0000-0000A8730000}"/>
    <cellStyle name="Normal 4 3 4 2 3 3 3 3" xfId="20944" xr:uid="{00000000-0005-0000-0000-0000A9730000}"/>
    <cellStyle name="Normal 4 3 4 2 3 3 4" xfId="20945" xr:uid="{00000000-0005-0000-0000-0000AA730000}"/>
    <cellStyle name="Normal 4 3 4 2 3 3 4 2" xfId="20946" xr:uid="{00000000-0005-0000-0000-0000AB730000}"/>
    <cellStyle name="Normal 4 3 4 2 3 3 5" xfId="20947" xr:uid="{00000000-0005-0000-0000-0000AC730000}"/>
    <cellStyle name="Normal 4 3 4 2 3 4" xfId="20948" xr:uid="{00000000-0005-0000-0000-0000AD730000}"/>
    <cellStyle name="Normal 4 3 4 2 3 4 2" xfId="20949" xr:uid="{00000000-0005-0000-0000-0000AE730000}"/>
    <cellStyle name="Normal 4 3 4 2 3 4 2 2" xfId="20950" xr:uid="{00000000-0005-0000-0000-0000AF730000}"/>
    <cellStyle name="Normal 4 3 4 2 3 4 3" xfId="20951" xr:uid="{00000000-0005-0000-0000-0000B0730000}"/>
    <cellStyle name="Normal 4 3 4 2 3 5" xfId="20952" xr:uid="{00000000-0005-0000-0000-0000B1730000}"/>
    <cellStyle name="Normal 4 3 4 2 3 5 2" xfId="20953" xr:uid="{00000000-0005-0000-0000-0000B2730000}"/>
    <cellStyle name="Normal 4 3 4 2 3 5 2 2" xfId="20954" xr:uid="{00000000-0005-0000-0000-0000B3730000}"/>
    <cellStyle name="Normal 4 3 4 2 3 5 3" xfId="20955" xr:uid="{00000000-0005-0000-0000-0000B4730000}"/>
    <cellStyle name="Normal 4 3 4 2 3 6" xfId="20956" xr:uid="{00000000-0005-0000-0000-0000B5730000}"/>
    <cellStyle name="Normal 4 3 4 2 3 6 2" xfId="20957" xr:uid="{00000000-0005-0000-0000-0000B6730000}"/>
    <cellStyle name="Normal 4 3 4 2 3 7" xfId="20958" xr:uid="{00000000-0005-0000-0000-0000B7730000}"/>
    <cellStyle name="Normal 4 3 4 2 4" xfId="20959" xr:uid="{00000000-0005-0000-0000-0000B8730000}"/>
    <cellStyle name="Normal 4 3 4 2 4 2" xfId="20960" xr:uid="{00000000-0005-0000-0000-0000B9730000}"/>
    <cellStyle name="Normal 4 3 4 2 4 2 2" xfId="20961" xr:uid="{00000000-0005-0000-0000-0000BA730000}"/>
    <cellStyle name="Normal 4 3 4 2 4 2 2 2" xfId="20962" xr:uid="{00000000-0005-0000-0000-0000BB730000}"/>
    <cellStyle name="Normal 4 3 4 2 4 2 2 2 2" xfId="20963" xr:uid="{00000000-0005-0000-0000-0000BC730000}"/>
    <cellStyle name="Normal 4 3 4 2 4 2 2 3" xfId="20964" xr:uid="{00000000-0005-0000-0000-0000BD730000}"/>
    <cellStyle name="Normal 4 3 4 2 4 2 3" xfId="20965" xr:uid="{00000000-0005-0000-0000-0000BE730000}"/>
    <cellStyle name="Normal 4 3 4 2 4 2 3 2" xfId="20966" xr:uid="{00000000-0005-0000-0000-0000BF730000}"/>
    <cellStyle name="Normal 4 3 4 2 4 2 4" xfId="20967" xr:uid="{00000000-0005-0000-0000-0000C0730000}"/>
    <cellStyle name="Normal 4 3 4 2 4 3" xfId="20968" xr:uid="{00000000-0005-0000-0000-0000C1730000}"/>
    <cellStyle name="Normal 4 3 4 2 4 3 2" xfId="20969" xr:uid="{00000000-0005-0000-0000-0000C2730000}"/>
    <cellStyle name="Normal 4 3 4 2 4 3 2 2" xfId="20970" xr:uid="{00000000-0005-0000-0000-0000C3730000}"/>
    <cellStyle name="Normal 4 3 4 2 4 3 3" xfId="20971" xr:uid="{00000000-0005-0000-0000-0000C4730000}"/>
    <cellStyle name="Normal 4 3 4 2 4 4" xfId="20972" xr:uid="{00000000-0005-0000-0000-0000C5730000}"/>
    <cellStyle name="Normal 4 3 4 2 4 4 2" xfId="20973" xr:uid="{00000000-0005-0000-0000-0000C6730000}"/>
    <cellStyle name="Normal 4 3 4 2 4 5" xfId="20974" xr:uid="{00000000-0005-0000-0000-0000C7730000}"/>
    <cellStyle name="Normal 4 3 4 2 5" xfId="20975" xr:uid="{00000000-0005-0000-0000-0000C8730000}"/>
    <cellStyle name="Normal 4 3 4 2 5 2" xfId="20976" xr:uid="{00000000-0005-0000-0000-0000C9730000}"/>
    <cellStyle name="Normal 4 3 4 2 5 2 2" xfId="20977" xr:uid="{00000000-0005-0000-0000-0000CA730000}"/>
    <cellStyle name="Normal 4 3 4 2 5 2 2 2" xfId="20978" xr:uid="{00000000-0005-0000-0000-0000CB730000}"/>
    <cellStyle name="Normal 4 3 4 2 5 2 3" xfId="20979" xr:uid="{00000000-0005-0000-0000-0000CC730000}"/>
    <cellStyle name="Normal 4 3 4 2 5 3" xfId="20980" xr:uid="{00000000-0005-0000-0000-0000CD730000}"/>
    <cellStyle name="Normal 4 3 4 2 5 3 2" xfId="20981" xr:uid="{00000000-0005-0000-0000-0000CE730000}"/>
    <cellStyle name="Normal 4 3 4 2 5 3 2 2" xfId="20982" xr:uid="{00000000-0005-0000-0000-0000CF730000}"/>
    <cellStyle name="Normal 4 3 4 2 5 3 3" xfId="20983" xr:uid="{00000000-0005-0000-0000-0000D0730000}"/>
    <cellStyle name="Normal 4 3 4 2 5 4" xfId="20984" xr:uid="{00000000-0005-0000-0000-0000D1730000}"/>
    <cellStyle name="Normal 4 3 4 2 5 4 2" xfId="20985" xr:uid="{00000000-0005-0000-0000-0000D2730000}"/>
    <cellStyle name="Normal 4 3 4 2 5 5" xfId="20986" xr:uid="{00000000-0005-0000-0000-0000D3730000}"/>
    <cellStyle name="Normal 4 3 4 2 6" xfId="20987" xr:uid="{00000000-0005-0000-0000-0000D4730000}"/>
    <cellStyle name="Normal 4 3 4 2 6 2" xfId="20988" xr:uid="{00000000-0005-0000-0000-0000D5730000}"/>
    <cellStyle name="Normal 4 3 4 2 6 2 2" xfId="20989" xr:uid="{00000000-0005-0000-0000-0000D6730000}"/>
    <cellStyle name="Normal 4 3 4 2 6 3" xfId="20990" xr:uid="{00000000-0005-0000-0000-0000D7730000}"/>
    <cellStyle name="Normal 4 3 4 2 7" xfId="20991" xr:uid="{00000000-0005-0000-0000-0000D8730000}"/>
    <cellStyle name="Normal 4 3 4 2 7 2" xfId="20992" xr:uid="{00000000-0005-0000-0000-0000D9730000}"/>
    <cellStyle name="Normal 4 3 4 2 7 2 2" xfId="20993" xr:uid="{00000000-0005-0000-0000-0000DA730000}"/>
    <cellStyle name="Normal 4 3 4 2 7 3" xfId="20994" xr:uid="{00000000-0005-0000-0000-0000DB730000}"/>
    <cellStyle name="Normal 4 3 4 2 8" xfId="20995" xr:uid="{00000000-0005-0000-0000-0000DC730000}"/>
    <cellStyle name="Normal 4 3 4 2 8 2" xfId="20996" xr:uid="{00000000-0005-0000-0000-0000DD730000}"/>
    <cellStyle name="Normal 4 3 4 2 9" xfId="20997" xr:uid="{00000000-0005-0000-0000-0000DE730000}"/>
    <cellStyle name="Normal 4 3 4 3" xfId="20998" xr:uid="{00000000-0005-0000-0000-0000DF730000}"/>
    <cellStyle name="Normal 4 3 4 3 2" xfId="20999" xr:uid="{00000000-0005-0000-0000-0000E0730000}"/>
    <cellStyle name="Normal 4 3 4 3 2 2" xfId="21000" xr:uid="{00000000-0005-0000-0000-0000E1730000}"/>
    <cellStyle name="Normal 4 3 4 3 2 2 2" xfId="21001" xr:uid="{00000000-0005-0000-0000-0000E2730000}"/>
    <cellStyle name="Normal 4 3 4 3 2 2 2 2" xfId="21002" xr:uid="{00000000-0005-0000-0000-0000E3730000}"/>
    <cellStyle name="Normal 4 3 4 3 2 2 2 2 2" xfId="21003" xr:uid="{00000000-0005-0000-0000-0000E4730000}"/>
    <cellStyle name="Normal 4 3 4 3 2 2 2 2 2 2" xfId="21004" xr:uid="{00000000-0005-0000-0000-0000E5730000}"/>
    <cellStyle name="Normal 4 3 4 3 2 2 2 2 3" xfId="21005" xr:uid="{00000000-0005-0000-0000-0000E6730000}"/>
    <cellStyle name="Normal 4 3 4 3 2 2 2 3" xfId="21006" xr:uid="{00000000-0005-0000-0000-0000E7730000}"/>
    <cellStyle name="Normal 4 3 4 3 2 2 2 3 2" xfId="21007" xr:uid="{00000000-0005-0000-0000-0000E8730000}"/>
    <cellStyle name="Normal 4 3 4 3 2 2 2 4" xfId="21008" xr:uid="{00000000-0005-0000-0000-0000E9730000}"/>
    <cellStyle name="Normal 4 3 4 3 2 2 3" xfId="21009" xr:uid="{00000000-0005-0000-0000-0000EA730000}"/>
    <cellStyle name="Normal 4 3 4 3 2 2 3 2" xfId="21010" xr:uid="{00000000-0005-0000-0000-0000EB730000}"/>
    <cellStyle name="Normal 4 3 4 3 2 2 3 2 2" xfId="21011" xr:uid="{00000000-0005-0000-0000-0000EC730000}"/>
    <cellStyle name="Normal 4 3 4 3 2 2 3 3" xfId="21012" xr:uid="{00000000-0005-0000-0000-0000ED730000}"/>
    <cellStyle name="Normal 4 3 4 3 2 2 4" xfId="21013" xr:uid="{00000000-0005-0000-0000-0000EE730000}"/>
    <cellStyle name="Normal 4 3 4 3 2 2 4 2" xfId="21014" xr:uid="{00000000-0005-0000-0000-0000EF730000}"/>
    <cellStyle name="Normal 4 3 4 3 2 2 5" xfId="21015" xr:uid="{00000000-0005-0000-0000-0000F0730000}"/>
    <cellStyle name="Normal 4 3 4 3 2 3" xfId="21016" xr:uid="{00000000-0005-0000-0000-0000F1730000}"/>
    <cellStyle name="Normal 4 3 4 3 2 3 2" xfId="21017" xr:uid="{00000000-0005-0000-0000-0000F2730000}"/>
    <cellStyle name="Normal 4 3 4 3 2 3 2 2" xfId="21018" xr:uid="{00000000-0005-0000-0000-0000F3730000}"/>
    <cellStyle name="Normal 4 3 4 3 2 3 2 2 2" xfId="21019" xr:uid="{00000000-0005-0000-0000-0000F4730000}"/>
    <cellStyle name="Normal 4 3 4 3 2 3 2 3" xfId="21020" xr:uid="{00000000-0005-0000-0000-0000F5730000}"/>
    <cellStyle name="Normal 4 3 4 3 2 3 3" xfId="21021" xr:uid="{00000000-0005-0000-0000-0000F6730000}"/>
    <cellStyle name="Normal 4 3 4 3 2 3 3 2" xfId="21022" xr:uid="{00000000-0005-0000-0000-0000F7730000}"/>
    <cellStyle name="Normal 4 3 4 3 2 3 3 2 2" xfId="21023" xr:uid="{00000000-0005-0000-0000-0000F8730000}"/>
    <cellStyle name="Normal 4 3 4 3 2 3 3 3" xfId="21024" xr:uid="{00000000-0005-0000-0000-0000F9730000}"/>
    <cellStyle name="Normal 4 3 4 3 2 3 4" xfId="21025" xr:uid="{00000000-0005-0000-0000-0000FA730000}"/>
    <cellStyle name="Normal 4 3 4 3 2 3 4 2" xfId="21026" xr:uid="{00000000-0005-0000-0000-0000FB730000}"/>
    <cellStyle name="Normal 4 3 4 3 2 3 5" xfId="21027" xr:uid="{00000000-0005-0000-0000-0000FC730000}"/>
    <cellStyle name="Normal 4 3 4 3 2 4" xfId="21028" xr:uid="{00000000-0005-0000-0000-0000FD730000}"/>
    <cellStyle name="Normal 4 3 4 3 2 4 2" xfId="21029" xr:uid="{00000000-0005-0000-0000-0000FE730000}"/>
    <cellStyle name="Normal 4 3 4 3 2 4 2 2" xfId="21030" xr:uid="{00000000-0005-0000-0000-0000FF730000}"/>
    <cellStyle name="Normal 4 3 4 3 2 4 3" xfId="21031" xr:uid="{00000000-0005-0000-0000-000000740000}"/>
    <cellStyle name="Normal 4 3 4 3 2 5" xfId="21032" xr:uid="{00000000-0005-0000-0000-000001740000}"/>
    <cellStyle name="Normal 4 3 4 3 2 5 2" xfId="21033" xr:uid="{00000000-0005-0000-0000-000002740000}"/>
    <cellStyle name="Normal 4 3 4 3 2 5 2 2" xfId="21034" xr:uid="{00000000-0005-0000-0000-000003740000}"/>
    <cellStyle name="Normal 4 3 4 3 2 5 3" xfId="21035" xr:uid="{00000000-0005-0000-0000-000004740000}"/>
    <cellStyle name="Normal 4 3 4 3 2 6" xfId="21036" xr:uid="{00000000-0005-0000-0000-000005740000}"/>
    <cellStyle name="Normal 4 3 4 3 2 6 2" xfId="21037" xr:uid="{00000000-0005-0000-0000-000006740000}"/>
    <cellStyle name="Normal 4 3 4 3 2 7" xfId="21038" xr:uid="{00000000-0005-0000-0000-000007740000}"/>
    <cellStyle name="Normal 4 3 4 3 3" xfId="21039" xr:uid="{00000000-0005-0000-0000-000008740000}"/>
    <cellStyle name="Normal 4 3 4 3 3 2" xfId="21040" xr:uid="{00000000-0005-0000-0000-000009740000}"/>
    <cellStyle name="Normal 4 3 4 3 3 2 2" xfId="21041" xr:uid="{00000000-0005-0000-0000-00000A740000}"/>
    <cellStyle name="Normal 4 3 4 3 3 2 2 2" xfId="21042" xr:uid="{00000000-0005-0000-0000-00000B740000}"/>
    <cellStyle name="Normal 4 3 4 3 3 2 2 2 2" xfId="21043" xr:uid="{00000000-0005-0000-0000-00000C740000}"/>
    <cellStyle name="Normal 4 3 4 3 3 2 2 3" xfId="21044" xr:uid="{00000000-0005-0000-0000-00000D740000}"/>
    <cellStyle name="Normal 4 3 4 3 3 2 3" xfId="21045" xr:uid="{00000000-0005-0000-0000-00000E740000}"/>
    <cellStyle name="Normal 4 3 4 3 3 2 3 2" xfId="21046" xr:uid="{00000000-0005-0000-0000-00000F740000}"/>
    <cellStyle name="Normal 4 3 4 3 3 2 4" xfId="21047" xr:uid="{00000000-0005-0000-0000-000010740000}"/>
    <cellStyle name="Normal 4 3 4 3 3 3" xfId="21048" xr:uid="{00000000-0005-0000-0000-000011740000}"/>
    <cellStyle name="Normal 4 3 4 3 3 3 2" xfId="21049" xr:uid="{00000000-0005-0000-0000-000012740000}"/>
    <cellStyle name="Normal 4 3 4 3 3 3 2 2" xfId="21050" xr:uid="{00000000-0005-0000-0000-000013740000}"/>
    <cellStyle name="Normal 4 3 4 3 3 3 3" xfId="21051" xr:uid="{00000000-0005-0000-0000-000014740000}"/>
    <cellStyle name="Normal 4 3 4 3 3 4" xfId="21052" xr:uid="{00000000-0005-0000-0000-000015740000}"/>
    <cellStyle name="Normal 4 3 4 3 3 4 2" xfId="21053" xr:uid="{00000000-0005-0000-0000-000016740000}"/>
    <cellStyle name="Normal 4 3 4 3 3 5" xfId="21054" xr:uid="{00000000-0005-0000-0000-000017740000}"/>
    <cellStyle name="Normal 4 3 4 3 4" xfId="21055" xr:uid="{00000000-0005-0000-0000-000018740000}"/>
    <cellStyle name="Normal 4 3 4 3 4 2" xfId="21056" xr:uid="{00000000-0005-0000-0000-000019740000}"/>
    <cellStyle name="Normal 4 3 4 3 4 2 2" xfId="21057" xr:uid="{00000000-0005-0000-0000-00001A740000}"/>
    <cellStyle name="Normal 4 3 4 3 4 2 2 2" xfId="21058" xr:uid="{00000000-0005-0000-0000-00001B740000}"/>
    <cellStyle name="Normal 4 3 4 3 4 2 3" xfId="21059" xr:uid="{00000000-0005-0000-0000-00001C740000}"/>
    <cellStyle name="Normal 4 3 4 3 4 3" xfId="21060" xr:uid="{00000000-0005-0000-0000-00001D740000}"/>
    <cellStyle name="Normal 4 3 4 3 4 3 2" xfId="21061" xr:uid="{00000000-0005-0000-0000-00001E740000}"/>
    <cellStyle name="Normal 4 3 4 3 4 3 2 2" xfId="21062" xr:uid="{00000000-0005-0000-0000-00001F740000}"/>
    <cellStyle name="Normal 4 3 4 3 4 3 3" xfId="21063" xr:uid="{00000000-0005-0000-0000-000020740000}"/>
    <cellStyle name="Normal 4 3 4 3 4 4" xfId="21064" xr:uid="{00000000-0005-0000-0000-000021740000}"/>
    <cellStyle name="Normal 4 3 4 3 4 4 2" xfId="21065" xr:uid="{00000000-0005-0000-0000-000022740000}"/>
    <cellStyle name="Normal 4 3 4 3 4 5" xfId="21066" xr:uid="{00000000-0005-0000-0000-000023740000}"/>
    <cellStyle name="Normal 4 3 4 3 5" xfId="21067" xr:uid="{00000000-0005-0000-0000-000024740000}"/>
    <cellStyle name="Normal 4 3 4 3 5 2" xfId="21068" xr:uid="{00000000-0005-0000-0000-000025740000}"/>
    <cellStyle name="Normal 4 3 4 3 5 2 2" xfId="21069" xr:uid="{00000000-0005-0000-0000-000026740000}"/>
    <cellStyle name="Normal 4 3 4 3 5 3" xfId="21070" xr:uid="{00000000-0005-0000-0000-000027740000}"/>
    <cellStyle name="Normal 4 3 4 3 6" xfId="21071" xr:uid="{00000000-0005-0000-0000-000028740000}"/>
    <cellStyle name="Normal 4 3 4 3 6 2" xfId="21072" xr:uid="{00000000-0005-0000-0000-000029740000}"/>
    <cellStyle name="Normal 4 3 4 3 6 2 2" xfId="21073" xr:uid="{00000000-0005-0000-0000-00002A740000}"/>
    <cellStyle name="Normal 4 3 4 3 6 3" xfId="21074" xr:uid="{00000000-0005-0000-0000-00002B740000}"/>
    <cellStyle name="Normal 4 3 4 3 7" xfId="21075" xr:uid="{00000000-0005-0000-0000-00002C740000}"/>
    <cellStyle name="Normal 4 3 4 3 7 2" xfId="21076" xr:uid="{00000000-0005-0000-0000-00002D740000}"/>
    <cellStyle name="Normal 4 3 4 3 8" xfId="21077" xr:uid="{00000000-0005-0000-0000-00002E740000}"/>
    <cellStyle name="Normal 4 3 4 4" xfId="21078" xr:uid="{00000000-0005-0000-0000-00002F740000}"/>
    <cellStyle name="Normal 4 3 4 4 2" xfId="21079" xr:uid="{00000000-0005-0000-0000-000030740000}"/>
    <cellStyle name="Normal 4 3 4 4 2 2" xfId="21080" xr:uid="{00000000-0005-0000-0000-000031740000}"/>
    <cellStyle name="Normal 4 3 4 4 2 2 2" xfId="21081" xr:uid="{00000000-0005-0000-0000-000032740000}"/>
    <cellStyle name="Normal 4 3 4 4 2 2 2 2" xfId="21082" xr:uid="{00000000-0005-0000-0000-000033740000}"/>
    <cellStyle name="Normal 4 3 4 4 2 2 2 2 2" xfId="21083" xr:uid="{00000000-0005-0000-0000-000034740000}"/>
    <cellStyle name="Normal 4 3 4 4 2 2 2 2 2 2" xfId="21084" xr:uid="{00000000-0005-0000-0000-000035740000}"/>
    <cellStyle name="Normal 4 3 4 4 2 2 2 2 3" xfId="21085" xr:uid="{00000000-0005-0000-0000-000036740000}"/>
    <cellStyle name="Normal 4 3 4 4 2 2 2 3" xfId="21086" xr:uid="{00000000-0005-0000-0000-000037740000}"/>
    <cellStyle name="Normal 4 3 4 4 2 2 2 3 2" xfId="21087" xr:uid="{00000000-0005-0000-0000-000038740000}"/>
    <cellStyle name="Normal 4 3 4 4 2 2 2 4" xfId="21088" xr:uid="{00000000-0005-0000-0000-000039740000}"/>
    <cellStyle name="Normal 4 3 4 4 2 2 3" xfId="21089" xr:uid="{00000000-0005-0000-0000-00003A740000}"/>
    <cellStyle name="Normal 4 3 4 4 2 2 3 2" xfId="21090" xr:uid="{00000000-0005-0000-0000-00003B740000}"/>
    <cellStyle name="Normal 4 3 4 4 2 2 3 2 2" xfId="21091" xr:uid="{00000000-0005-0000-0000-00003C740000}"/>
    <cellStyle name="Normal 4 3 4 4 2 2 3 3" xfId="21092" xr:uid="{00000000-0005-0000-0000-00003D740000}"/>
    <cellStyle name="Normal 4 3 4 4 2 2 4" xfId="21093" xr:uid="{00000000-0005-0000-0000-00003E740000}"/>
    <cellStyle name="Normal 4 3 4 4 2 2 4 2" xfId="21094" xr:uid="{00000000-0005-0000-0000-00003F740000}"/>
    <cellStyle name="Normal 4 3 4 4 2 2 5" xfId="21095" xr:uid="{00000000-0005-0000-0000-000040740000}"/>
    <cellStyle name="Normal 4 3 4 4 2 3" xfId="21096" xr:uid="{00000000-0005-0000-0000-000041740000}"/>
    <cellStyle name="Normal 4 3 4 4 2 3 2" xfId="21097" xr:uid="{00000000-0005-0000-0000-000042740000}"/>
    <cellStyle name="Normal 4 3 4 4 2 3 2 2" xfId="21098" xr:uid="{00000000-0005-0000-0000-000043740000}"/>
    <cellStyle name="Normal 4 3 4 4 2 3 2 2 2" xfId="21099" xr:uid="{00000000-0005-0000-0000-000044740000}"/>
    <cellStyle name="Normal 4 3 4 4 2 3 2 3" xfId="21100" xr:uid="{00000000-0005-0000-0000-000045740000}"/>
    <cellStyle name="Normal 4 3 4 4 2 3 3" xfId="21101" xr:uid="{00000000-0005-0000-0000-000046740000}"/>
    <cellStyle name="Normal 4 3 4 4 2 3 3 2" xfId="21102" xr:uid="{00000000-0005-0000-0000-000047740000}"/>
    <cellStyle name="Normal 4 3 4 4 2 3 3 2 2" xfId="21103" xr:uid="{00000000-0005-0000-0000-000048740000}"/>
    <cellStyle name="Normal 4 3 4 4 2 3 3 3" xfId="21104" xr:uid="{00000000-0005-0000-0000-000049740000}"/>
    <cellStyle name="Normal 4 3 4 4 2 3 4" xfId="21105" xr:uid="{00000000-0005-0000-0000-00004A740000}"/>
    <cellStyle name="Normal 4 3 4 4 2 3 4 2" xfId="21106" xr:uid="{00000000-0005-0000-0000-00004B740000}"/>
    <cellStyle name="Normal 4 3 4 4 2 3 5" xfId="21107" xr:uid="{00000000-0005-0000-0000-00004C740000}"/>
    <cellStyle name="Normal 4 3 4 4 2 4" xfId="21108" xr:uid="{00000000-0005-0000-0000-00004D740000}"/>
    <cellStyle name="Normal 4 3 4 4 2 4 2" xfId="21109" xr:uid="{00000000-0005-0000-0000-00004E740000}"/>
    <cellStyle name="Normal 4 3 4 4 2 4 2 2" xfId="21110" xr:uid="{00000000-0005-0000-0000-00004F740000}"/>
    <cellStyle name="Normal 4 3 4 4 2 4 3" xfId="21111" xr:uid="{00000000-0005-0000-0000-000050740000}"/>
    <cellStyle name="Normal 4 3 4 4 2 5" xfId="21112" xr:uid="{00000000-0005-0000-0000-000051740000}"/>
    <cellStyle name="Normal 4 3 4 4 2 5 2" xfId="21113" xr:uid="{00000000-0005-0000-0000-000052740000}"/>
    <cellStyle name="Normal 4 3 4 4 2 5 2 2" xfId="21114" xr:uid="{00000000-0005-0000-0000-000053740000}"/>
    <cellStyle name="Normal 4 3 4 4 2 5 3" xfId="21115" xr:uid="{00000000-0005-0000-0000-000054740000}"/>
    <cellStyle name="Normal 4 3 4 4 2 6" xfId="21116" xr:uid="{00000000-0005-0000-0000-000055740000}"/>
    <cellStyle name="Normal 4 3 4 4 2 6 2" xfId="21117" xr:uid="{00000000-0005-0000-0000-000056740000}"/>
    <cellStyle name="Normal 4 3 4 4 2 7" xfId="21118" xr:uid="{00000000-0005-0000-0000-000057740000}"/>
    <cellStyle name="Normal 4 3 4 4 3" xfId="21119" xr:uid="{00000000-0005-0000-0000-000058740000}"/>
    <cellStyle name="Normal 4 3 4 4 3 2" xfId="21120" xr:uid="{00000000-0005-0000-0000-000059740000}"/>
    <cellStyle name="Normal 4 3 4 4 3 2 2" xfId="21121" xr:uid="{00000000-0005-0000-0000-00005A740000}"/>
    <cellStyle name="Normal 4 3 4 4 3 2 2 2" xfId="21122" xr:uid="{00000000-0005-0000-0000-00005B740000}"/>
    <cellStyle name="Normal 4 3 4 4 3 2 2 2 2" xfId="21123" xr:uid="{00000000-0005-0000-0000-00005C740000}"/>
    <cellStyle name="Normal 4 3 4 4 3 2 2 3" xfId="21124" xr:uid="{00000000-0005-0000-0000-00005D740000}"/>
    <cellStyle name="Normal 4 3 4 4 3 2 3" xfId="21125" xr:uid="{00000000-0005-0000-0000-00005E740000}"/>
    <cellStyle name="Normal 4 3 4 4 3 2 3 2" xfId="21126" xr:uid="{00000000-0005-0000-0000-00005F740000}"/>
    <cellStyle name="Normal 4 3 4 4 3 2 4" xfId="21127" xr:uid="{00000000-0005-0000-0000-000060740000}"/>
    <cellStyle name="Normal 4 3 4 4 3 3" xfId="21128" xr:uid="{00000000-0005-0000-0000-000061740000}"/>
    <cellStyle name="Normal 4 3 4 4 3 3 2" xfId="21129" xr:uid="{00000000-0005-0000-0000-000062740000}"/>
    <cellStyle name="Normal 4 3 4 4 3 3 2 2" xfId="21130" xr:uid="{00000000-0005-0000-0000-000063740000}"/>
    <cellStyle name="Normal 4 3 4 4 3 3 3" xfId="21131" xr:uid="{00000000-0005-0000-0000-000064740000}"/>
    <cellStyle name="Normal 4 3 4 4 3 4" xfId="21132" xr:uid="{00000000-0005-0000-0000-000065740000}"/>
    <cellStyle name="Normal 4 3 4 4 3 4 2" xfId="21133" xr:uid="{00000000-0005-0000-0000-000066740000}"/>
    <cellStyle name="Normal 4 3 4 4 3 5" xfId="21134" xr:uid="{00000000-0005-0000-0000-000067740000}"/>
    <cellStyle name="Normal 4 3 4 4 4" xfId="21135" xr:uid="{00000000-0005-0000-0000-000068740000}"/>
    <cellStyle name="Normal 4 3 4 4 4 2" xfId="21136" xr:uid="{00000000-0005-0000-0000-000069740000}"/>
    <cellStyle name="Normal 4 3 4 4 4 2 2" xfId="21137" xr:uid="{00000000-0005-0000-0000-00006A740000}"/>
    <cellStyle name="Normal 4 3 4 4 4 2 2 2" xfId="21138" xr:uid="{00000000-0005-0000-0000-00006B740000}"/>
    <cellStyle name="Normal 4 3 4 4 4 2 3" xfId="21139" xr:uid="{00000000-0005-0000-0000-00006C740000}"/>
    <cellStyle name="Normal 4 3 4 4 4 3" xfId="21140" xr:uid="{00000000-0005-0000-0000-00006D740000}"/>
    <cellStyle name="Normal 4 3 4 4 4 3 2" xfId="21141" xr:uid="{00000000-0005-0000-0000-00006E740000}"/>
    <cellStyle name="Normal 4 3 4 4 4 3 2 2" xfId="21142" xr:uid="{00000000-0005-0000-0000-00006F740000}"/>
    <cellStyle name="Normal 4 3 4 4 4 3 3" xfId="21143" xr:uid="{00000000-0005-0000-0000-000070740000}"/>
    <cellStyle name="Normal 4 3 4 4 4 4" xfId="21144" xr:uid="{00000000-0005-0000-0000-000071740000}"/>
    <cellStyle name="Normal 4 3 4 4 4 4 2" xfId="21145" xr:uid="{00000000-0005-0000-0000-000072740000}"/>
    <cellStyle name="Normal 4 3 4 4 4 5" xfId="21146" xr:uid="{00000000-0005-0000-0000-000073740000}"/>
    <cellStyle name="Normal 4 3 4 4 5" xfId="21147" xr:uid="{00000000-0005-0000-0000-000074740000}"/>
    <cellStyle name="Normal 4 3 4 4 5 2" xfId="21148" xr:uid="{00000000-0005-0000-0000-000075740000}"/>
    <cellStyle name="Normal 4 3 4 4 5 2 2" xfId="21149" xr:uid="{00000000-0005-0000-0000-000076740000}"/>
    <cellStyle name="Normal 4 3 4 4 5 3" xfId="21150" xr:uid="{00000000-0005-0000-0000-000077740000}"/>
    <cellStyle name="Normal 4 3 4 4 6" xfId="21151" xr:uid="{00000000-0005-0000-0000-000078740000}"/>
    <cellStyle name="Normal 4 3 4 4 6 2" xfId="21152" xr:uid="{00000000-0005-0000-0000-000079740000}"/>
    <cellStyle name="Normal 4 3 4 4 6 2 2" xfId="21153" xr:uid="{00000000-0005-0000-0000-00007A740000}"/>
    <cellStyle name="Normal 4 3 4 4 6 3" xfId="21154" xr:uid="{00000000-0005-0000-0000-00007B740000}"/>
    <cellStyle name="Normal 4 3 4 4 7" xfId="21155" xr:uid="{00000000-0005-0000-0000-00007C740000}"/>
    <cellStyle name="Normal 4 3 4 4 7 2" xfId="21156" xr:uid="{00000000-0005-0000-0000-00007D740000}"/>
    <cellStyle name="Normal 4 3 4 4 8" xfId="21157" xr:uid="{00000000-0005-0000-0000-00007E740000}"/>
    <cellStyle name="Normal 4 3 4 5" xfId="21158" xr:uid="{00000000-0005-0000-0000-00007F740000}"/>
    <cellStyle name="Normal 4 3 4 5 2" xfId="21159" xr:uid="{00000000-0005-0000-0000-000080740000}"/>
    <cellStyle name="Normal 4 3 4 5 2 2" xfId="21160" xr:uid="{00000000-0005-0000-0000-000081740000}"/>
    <cellStyle name="Normal 4 3 4 5 2 2 2" xfId="21161" xr:uid="{00000000-0005-0000-0000-000082740000}"/>
    <cellStyle name="Normal 4 3 4 5 2 2 2 2" xfId="21162" xr:uid="{00000000-0005-0000-0000-000083740000}"/>
    <cellStyle name="Normal 4 3 4 5 2 2 2 2 2" xfId="21163" xr:uid="{00000000-0005-0000-0000-000084740000}"/>
    <cellStyle name="Normal 4 3 4 5 2 2 2 2 2 2" xfId="21164" xr:uid="{00000000-0005-0000-0000-000085740000}"/>
    <cellStyle name="Normal 4 3 4 5 2 2 2 2 3" xfId="21165" xr:uid="{00000000-0005-0000-0000-000086740000}"/>
    <cellStyle name="Normal 4 3 4 5 2 2 2 3" xfId="21166" xr:uid="{00000000-0005-0000-0000-000087740000}"/>
    <cellStyle name="Normal 4 3 4 5 2 2 2 3 2" xfId="21167" xr:uid="{00000000-0005-0000-0000-000088740000}"/>
    <cellStyle name="Normal 4 3 4 5 2 2 2 4" xfId="21168" xr:uid="{00000000-0005-0000-0000-000089740000}"/>
    <cellStyle name="Normal 4 3 4 5 2 2 3" xfId="21169" xr:uid="{00000000-0005-0000-0000-00008A740000}"/>
    <cellStyle name="Normal 4 3 4 5 2 2 3 2" xfId="21170" xr:uid="{00000000-0005-0000-0000-00008B740000}"/>
    <cellStyle name="Normal 4 3 4 5 2 2 3 2 2" xfId="21171" xr:uid="{00000000-0005-0000-0000-00008C740000}"/>
    <cellStyle name="Normal 4 3 4 5 2 2 3 3" xfId="21172" xr:uid="{00000000-0005-0000-0000-00008D740000}"/>
    <cellStyle name="Normal 4 3 4 5 2 2 4" xfId="21173" xr:uid="{00000000-0005-0000-0000-00008E740000}"/>
    <cellStyle name="Normal 4 3 4 5 2 2 4 2" xfId="21174" xr:uid="{00000000-0005-0000-0000-00008F740000}"/>
    <cellStyle name="Normal 4 3 4 5 2 2 5" xfId="21175" xr:uid="{00000000-0005-0000-0000-000090740000}"/>
    <cellStyle name="Normal 4 3 4 5 2 3" xfId="21176" xr:uid="{00000000-0005-0000-0000-000091740000}"/>
    <cellStyle name="Normal 4 3 4 5 2 3 2" xfId="21177" xr:uid="{00000000-0005-0000-0000-000092740000}"/>
    <cellStyle name="Normal 4 3 4 5 2 3 2 2" xfId="21178" xr:uid="{00000000-0005-0000-0000-000093740000}"/>
    <cellStyle name="Normal 4 3 4 5 2 3 2 2 2" xfId="21179" xr:uid="{00000000-0005-0000-0000-000094740000}"/>
    <cellStyle name="Normal 4 3 4 5 2 3 2 3" xfId="21180" xr:uid="{00000000-0005-0000-0000-000095740000}"/>
    <cellStyle name="Normal 4 3 4 5 2 3 3" xfId="21181" xr:uid="{00000000-0005-0000-0000-000096740000}"/>
    <cellStyle name="Normal 4 3 4 5 2 3 3 2" xfId="21182" xr:uid="{00000000-0005-0000-0000-000097740000}"/>
    <cellStyle name="Normal 4 3 4 5 2 3 3 2 2" xfId="21183" xr:uid="{00000000-0005-0000-0000-000098740000}"/>
    <cellStyle name="Normal 4 3 4 5 2 3 3 3" xfId="21184" xr:uid="{00000000-0005-0000-0000-000099740000}"/>
    <cellStyle name="Normal 4 3 4 5 2 3 4" xfId="21185" xr:uid="{00000000-0005-0000-0000-00009A740000}"/>
    <cellStyle name="Normal 4 3 4 5 2 3 4 2" xfId="21186" xr:uid="{00000000-0005-0000-0000-00009B740000}"/>
    <cellStyle name="Normal 4 3 4 5 2 3 5" xfId="21187" xr:uid="{00000000-0005-0000-0000-00009C740000}"/>
    <cellStyle name="Normal 4 3 4 5 2 4" xfId="21188" xr:uid="{00000000-0005-0000-0000-00009D740000}"/>
    <cellStyle name="Normal 4 3 4 5 2 4 2" xfId="21189" xr:uid="{00000000-0005-0000-0000-00009E740000}"/>
    <cellStyle name="Normal 4 3 4 5 2 4 2 2" xfId="21190" xr:uid="{00000000-0005-0000-0000-00009F740000}"/>
    <cellStyle name="Normal 4 3 4 5 2 4 3" xfId="21191" xr:uid="{00000000-0005-0000-0000-0000A0740000}"/>
    <cellStyle name="Normal 4 3 4 5 2 5" xfId="21192" xr:uid="{00000000-0005-0000-0000-0000A1740000}"/>
    <cellStyle name="Normal 4 3 4 5 2 5 2" xfId="21193" xr:uid="{00000000-0005-0000-0000-0000A2740000}"/>
    <cellStyle name="Normal 4 3 4 5 2 5 2 2" xfId="21194" xr:uid="{00000000-0005-0000-0000-0000A3740000}"/>
    <cellStyle name="Normal 4 3 4 5 2 5 3" xfId="21195" xr:uid="{00000000-0005-0000-0000-0000A4740000}"/>
    <cellStyle name="Normal 4 3 4 5 2 6" xfId="21196" xr:uid="{00000000-0005-0000-0000-0000A5740000}"/>
    <cellStyle name="Normal 4 3 4 5 2 6 2" xfId="21197" xr:uid="{00000000-0005-0000-0000-0000A6740000}"/>
    <cellStyle name="Normal 4 3 4 5 2 7" xfId="21198" xr:uid="{00000000-0005-0000-0000-0000A7740000}"/>
    <cellStyle name="Normal 4 3 4 5 3" xfId="21199" xr:uid="{00000000-0005-0000-0000-0000A8740000}"/>
    <cellStyle name="Normal 4 3 4 5 3 2" xfId="21200" xr:uid="{00000000-0005-0000-0000-0000A9740000}"/>
    <cellStyle name="Normal 4 3 4 5 3 2 2" xfId="21201" xr:uid="{00000000-0005-0000-0000-0000AA740000}"/>
    <cellStyle name="Normal 4 3 4 5 3 2 2 2" xfId="21202" xr:uid="{00000000-0005-0000-0000-0000AB740000}"/>
    <cellStyle name="Normal 4 3 4 5 3 2 2 2 2" xfId="21203" xr:uid="{00000000-0005-0000-0000-0000AC740000}"/>
    <cellStyle name="Normal 4 3 4 5 3 2 2 3" xfId="21204" xr:uid="{00000000-0005-0000-0000-0000AD740000}"/>
    <cellStyle name="Normal 4 3 4 5 3 2 3" xfId="21205" xr:uid="{00000000-0005-0000-0000-0000AE740000}"/>
    <cellStyle name="Normal 4 3 4 5 3 2 3 2" xfId="21206" xr:uid="{00000000-0005-0000-0000-0000AF740000}"/>
    <cellStyle name="Normal 4 3 4 5 3 2 4" xfId="21207" xr:uid="{00000000-0005-0000-0000-0000B0740000}"/>
    <cellStyle name="Normal 4 3 4 5 3 3" xfId="21208" xr:uid="{00000000-0005-0000-0000-0000B1740000}"/>
    <cellStyle name="Normal 4 3 4 5 3 3 2" xfId="21209" xr:uid="{00000000-0005-0000-0000-0000B2740000}"/>
    <cellStyle name="Normal 4 3 4 5 3 3 2 2" xfId="21210" xr:uid="{00000000-0005-0000-0000-0000B3740000}"/>
    <cellStyle name="Normal 4 3 4 5 3 3 3" xfId="21211" xr:uid="{00000000-0005-0000-0000-0000B4740000}"/>
    <cellStyle name="Normal 4 3 4 5 3 4" xfId="21212" xr:uid="{00000000-0005-0000-0000-0000B5740000}"/>
    <cellStyle name="Normal 4 3 4 5 3 4 2" xfId="21213" xr:uid="{00000000-0005-0000-0000-0000B6740000}"/>
    <cellStyle name="Normal 4 3 4 5 3 5" xfId="21214" xr:uid="{00000000-0005-0000-0000-0000B7740000}"/>
    <cellStyle name="Normal 4 3 4 5 4" xfId="21215" xr:uid="{00000000-0005-0000-0000-0000B8740000}"/>
    <cellStyle name="Normal 4 3 4 5 4 2" xfId="21216" xr:uid="{00000000-0005-0000-0000-0000B9740000}"/>
    <cellStyle name="Normal 4 3 4 5 4 2 2" xfId="21217" xr:uid="{00000000-0005-0000-0000-0000BA740000}"/>
    <cellStyle name="Normal 4 3 4 5 4 2 2 2" xfId="21218" xr:uid="{00000000-0005-0000-0000-0000BB740000}"/>
    <cellStyle name="Normal 4 3 4 5 4 2 3" xfId="21219" xr:uid="{00000000-0005-0000-0000-0000BC740000}"/>
    <cellStyle name="Normal 4 3 4 5 4 3" xfId="21220" xr:uid="{00000000-0005-0000-0000-0000BD740000}"/>
    <cellStyle name="Normal 4 3 4 5 4 3 2" xfId="21221" xr:uid="{00000000-0005-0000-0000-0000BE740000}"/>
    <cellStyle name="Normal 4 3 4 5 4 3 2 2" xfId="21222" xr:uid="{00000000-0005-0000-0000-0000BF740000}"/>
    <cellStyle name="Normal 4 3 4 5 4 3 3" xfId="21223" xr:uid="{00000000-0005-0000-0000-0000C0740000}"/>
    <cellStyle name="Normal 4 3 4 5 4 4" xfId="21224" xr:uid="{00000000-0005-0000-0000-0000C1740000}"/>
    <cellStyle name="Normal 4 3 4 5 4 4 2" xfId="21225" xr:uid="{00000000-0005-0000-0000-0000C2740000}"/>
    <cellStyle name="Normal 4 3 4 5 4 5" xfId="21226" xr:uid="{00000000-0005-0000-0000-0000C3740000}"/>
    <cellStyle name="Normal 4 3 4 5 5" xfId="21227" xr:uid="{00000000-0005-0000-0000-0000C4740000}"/>
    <cellStyle name="Normal 4 3 4 5 5 2" xfId="21228" xr:uid="{00000000-0005-0000-0000-0000C5740000}"/>
    <cellStyle name="Normal 4 3 4 5 5 2 2" xfId="21229" xr:uid="{00000000-0005-0000-0000-0000C6740000}"/>
    <cellStyle name="Normal 4 3 4 5 5 3" xfId="21230" xr:uid="{00000000-0005-0000-0000-0000C7740000}"/>
    <cellStyle name="Normal 4 3 4 5 6" xfId="21231" xr:uid="{00000000-0005-0000-0000-0000C8740000}"/>
    <cellStyle name="Normal 4 3 4 5 6 2" xfId="21232" xr:uid="{00000000-0005-0000-0000-0000C9740000}"/>
    <cellStyle name="Normal 4 3 4 5 6 2 2" xfId="21233" xr:uid="{00000000-0005-0000-0000-0000CA740000}"/>
    <cellStyle name="Normal 4 3 4 5 6 3" xfId="21234" xr:uid="{00000000-0005-0000-0000-0000CB740000}"/>
    <cellStyle name="Normal 4 3 4 5 7" xfId="21235" xr:uid="{00000000-0005-0000-0000-0000CC740000}"/>
    <cellStyle name="Normal 4 3 4 5 7 2" xfId="21236" xr:uid="{00000000-0005-0000-0000-0000CD740000}"/>
    <cellStyle name="Normal 4 3 4 5 8" xfId="21237" xr:uid="{00000000-0005-0000-0000-0000CE740000}"/>
    <cellStyle name="Normal 4 3 4 6" xfId="21238" xr:uid="{00000000-0005-0000-0000-0000CF740000}"/>
    <cellStyle name="Normal 4 3 4 6 2" xfId="21239" xr:uid="{00000000-0005-0000-0000-0000D0740000}"/>
    <cellStyle name="Normal 4 3 4 6 2 2" xfId="21240" xr:uid="{00000000-0005-0000-0000-0000D1740000}"/>
    <cellStyle name="Normal 4 3 4 6 2 2 2" xfId="21241" xr:uid="{00000000-0005-0000-0000-0000D2740000}"/>
    <cellStyle name="Normal 4 3 4 6 2 2 2 2" xfId="21242" xr:uid="{00000000-0005-0000-0000-0000D3740000}"/>
    <cellStyle name="Normal 4 3 4 6 2 2 2 2 2" xfId="21243" xr:uid="{00000000-0005-0000-0000-0000D4740000}"/>
    <cellStyle name="Normal 4 3 4 6 2 2 2 3" xfId="21244" xr:uid="{00000000-0005-0000-0000-0000D5740000}"/>
    <cellStyle name="Normal 4 3 4 6 2 2 3" xfId="21245" xr:uid="{00000000-0005-0000-0000-0000D6740000}"/>
    <cellStyle name="Normal 4 3 4 6 2 2 3 2" xfId="21246" xr:uid="{00000000-0005-0000-0000-0000D7740000}"/>
    <cellStyle name="Normal 4 3 4 6 2 2 4" xfId="21247" xr:uid="{00000000-0005-0000-0000-0000D8740000}"/>
    <cellStyle name="Normal 4 3 4 6 2 3" xfId="21248" xr:uid="{00000000-0005-0000-0000-0000D9740000}"/>
    <cellStyle name="Normal 4 3 4 6 2 3 2" xfId="21249" xr:uid="{00000000-0005-0000-0000-0000DA740000}"/>
    <cellStyle name="Normal 4 3 4 6 2 3 2 2" xfId="21250" xr:uid="{00000000-0005-0000-0000-0000DB740000}"/>
    <cellStyle name="Normal 4 3 4 6 2 3 3" xfId="21251" xr:uid="{00000000-0005-0000-0000-0000DC740000}"/>
    <cellStyle name="Normal 4 3 4 6 2 4" xfId="21252" xr:uid="{00000000-0005-0000-0000-0000DD740000}"/>
    <cellStyle name="Normal 4 3 4 6 2 4 2" xfId="21253" xr:uid="{00000000-0005-0000-0000-0000DE740000}"/>
    <cellStyle name="Normal 4 3 4 6 2 5" xfId="21254" xr:uid="{00000000-0005-0000-0000-0000DF740000}"/>
    <cellStyle name="Normal 4 3 4 6 3" xfId="21255" xr:uid="{00000000-0005-0000-0000-0000E0740000}"/>
    <cellStyle name="Normal 4 3 4 6 3 2" xfId="21256" xr:uid="{00000000-0005-0000-0000-0000E1740000}"/>
    <cellStyle name="Normal 4 3 4 6 3 2 2" xfId="21257" xr:uid="{00000000-0005-0000-0000-0000E2740000}"/>
    <cellStyle name="Normal 4 3 4 6 3 2 2 2" xfId="21258" xr:uid="{00000000-0005-0000-0000-0000E3740000}"/>
    <cellStyle name="Normal 4 3 4 6 3 2 3" xfId="21259" xr:uid="{00000000-0005-0000-0000-0000E4740000}"/>
    <cellStyle name="Normal 4 3 4 6 3 3" xfId="21260" xr:uid="{00000000-0005-0000-0000-0000E5740000}"/>
    <cellStyle name="Normal 4 3 4 6 3 3 2" xfId="21261" xr:uid="{00000000-0005-0000-0000-0000E6740000}"/>
    <cellStyle name="Normal 4 3 4 6 3 3 2 2" xfId="21262" xr:uid="{00000000-0005-0000-0000-0000E7740000}"/>
    <cellStyle name="Normal 4 3 4 6 3 3 3" xfId="21263" xr:uid="{00000000-0005-0000-0000-0000E8740000}"/>
    <cellStyle name="Normal 4 3 4 6 3 4" xfId="21264" xr:uid="{00000000-0005-0000-0000-0000E9740000}"/>
    <cellStyle name="Normal 4 3 4 6 3 4 2" xfId="21265" xr:uid="{00000000-0005-0000-0000-0000EA740000}"/>
    <cellStyle name="Normal 4 3 4 6 3 5" xfId="21266" xr:uid="{00000000-0005-0000-0000-0000EB740000}"/>
    <cellStyle name="Normal 4 3 4 6 4" xfId="21267" xr:uid="{00000000-0005-0000-0000-0000EC740000}"/>
    <cellStyle name="Normal 4 3 4 6 4 2" xfId="21268" xr:uid="{00000000-0005-0000-0000-0000ED740000}"/>
    <cellStyle name="Normal 4 3 4 6 4 2 2" xfId="21269" xr:uid="{00000000-0005-0000-0000-0000EE740000}"/>
    <cellStyle name="Normal 4 3 4 6 4 3" xfId="21270" xr:uid="{00000000-0005-0000-0000-0000EF740000}"/>
    <cellStyle name="Normal 4 3 4 6 5" xfId="21271" xr:uid="{00000000-0005-0000-0000-0000F0740000}"/>
    <cellStyle name="Normal 4 3 4 6 5 2" xfId="21272" xr:uid="{00000000-0005-0000-0000-0000F1740000}"/>
    <cellStyle name="Normal 4 3 4 6 5 2 2" xfId="21273" xr:uid="{00000000-0005-0000-0000-0000F2740000}"/>
    <cellStyle name="Normal 4 3 4 6 5 3" xfId="21274" xr:uid="{00000000-0005-0000-0000-0000F3740000}"/>
    <cellStyle name="Normal 4 3 4 6 6" xfId="21275" xr:uid="{00000000-0005-0000-0000-0000F4740000}"/>
    <cellStyle name="Normal 4 3 4 6 6 2" xfId="21276" xr:uid="{00000000-0005-0000-0000-0000F5740000}"/>
    <cellStyle name="Normal 4 3 4 6 7" xfId="21277" xr:uid="{00000000-0005-0000-0000-0000F6740000}"/>
    <cellStyle name="Normal 4 3 4 7" xfId="21278" xr:uid="{00000000-0005-0000-0000-0000F7740000}"/>
    <cellStyle name="Normal 4 3 4 7 2" xfId="21279" xr:uid="{00000000-0005-0000-0000-0000F8740000}"/>
    <cellStyle name="Normal 4 3 4 7 2 2" xfId="21280" xr:uid="{00000000-0005-0000-0000-0000F9740000}"/>
    <cellStyle name="Normal 4 3 4 7 2 2 2" xfId="21281" xr:uid="{00000000-0005-0000-0000-0000FA740000}"/>
    <cellStyle name="Normal 4 3 4 7 2 2 2 2" xfId="21282" xr:uid="{00000000-0005-0000-0000-0000FB740000}"/>
    <cellStyle name="Normal 4 3 4 7 2 2 2 2 2" xfId="21283" xr:uid="{00000000-0005-0000-0000-0000FC740000}"/>
    <cellStyle name="Normal 4 3 4 7 2 2 2 3" xfId="21284" xr:uid="{00000000-0005-0000-0000-0000FD740000}"/>
    <cellStyle name="Normal 4 3 4 7 2 2 3" xfId="21285" xr:uid="{00000000-0005-0000-0000-0000FE740000}"/>
    <cellStyle name="Normal 4 3 4 7 2 2 3 2" xfId="21286" xr:uid="{00000000-0005-0000-0000-0000FF740000}"/>
    <cellStyle name="Normal 4 3 4 7 2 2 4" xfId="21287" xr:uid="{00000000-0005-0000-0000-000000750000}"/>
    <cellStyle name="Normal 4 3 4 7 2 3" xfId="21288" xr:uid="{00000000-0005-0000-0000-000001750000}"/>
    <cellStyle name="Normal 4 3 4 7 2 3 2" xfId="21289" xr:uid="{00000000-0005-0000-0000-000002750000}"/>
    <cellStyle name="Normal 4 3 4 7 2 3 2 2" xfId="21290" xr:uid="{00000000-0005-0000-0000-000003750000}"/>
    <cellStyle name="Normal 4 3 4 7 2 3 3" xfId="21291" xr:uid="{00000000-0005-0000-0000-000004750000}"/>
    <cellStyle name="Normal 4 3 4 7 2 4" xfId="21292" xr:uid="{00000000-0005-0000-0000-000005750000}"/>
    <cellStyle name="Normal 4 3 4 7 2 4 2" xfId="21293" xr:uid="{00000000-0005-0000-0000-000006750000}"/>
    <cellStyle name="Normal 4 3 4 7 2 5" xfId="21294" xr:uid="{00000000-0005-0000-0000-000007750000}"/>
    <cellStyle name="Normal 4 3 4 7 3" xfId="21295" xr:uid="{00000000-0005-0000-0000-000008750000}"/>
    <cellStyle name="Normal 4 3 4 7 3 2" xfId="21296" xr:uid="{00000000-0005-0000-0000-000009750000}"/>
    <cellStyle name="Normal 4 3 4 7 3 2 2" xfId="21297" xr:uid="{00000000-0005-0000-0000-00000A750000}"/>
    <cellStyle name="Normal 4 3 4 7 3 2 2 2" xfId="21298" xr:uid="{00000000-0005-0000-0000-00000B750000}"/>
    <cellStyle name="Normal 4 3 4 7 3 2 3" xfId="21299" xr:uid="{00000000-0005-0000-0000-00000C750000}"/>
    <cellStyle name="Normal 4 3 4 7 3 3" xfId="21300" xr:uid="{00000000-0005-0000-0000-00000D750000}"/>
    <cellStyle name="Normal 4 3 4 7 3 3 2" xfId="21301" xr:uid="{00000000-0005-0000-0000-00000E750000}"/>
    <cellStyle name="Normal 4 3 4 7 3 3 2 2" xfId="21302" xr:uid="{00000000-0005-0000-0000-00000F750000}"/>
    <cellStyle name="Normal 4 3 4 7 3 3 3" xfId="21303" xr:uid="{00000000-0005-0000-0000-000010750000}"/>
    <cellStyle name="Normal 4 3 4 7 3 4" xfId="21304" xr:uid="{00000000-0005-0000-0000-000011750000}"/>
    <cellStyle name="Normal 4 3 4 7 3 4 2" xfId="21305" xr:uid="{00000000-0005-0000-0000-000012750000}"/>
    <cellStyle name="Normal 4 3 4 7 3 5" xfId="21306" xr:uid="{00000000-0005-0000-0000-000013750000}"/>
    <cellStyle name="Normal 4 3 4 7 4" xfId="21307" xr:uid="{00000000-0005-0000-0000-000014750000}"/>
    <cellStyle name="Normal 4 3 4 7 4 2" xfId="21308" xr:uid="{00000000-0005-0000-0000-000015750000}"/>
    <cellStyle name="Normal 4 3 4 7 4 2 2" xfId="21309" xr:uid="{00000000-0005-0000-0000-000016750000}"/>
    <cellStyle name="Normal 4 3 4 7 4 3" xfId="21310" xr:uid="{00000000-0005-0000-0000-000017750000}"/>
    <cellStyle name="Normal 4 3 4 7 5" xfId="21311" xr:uid="{00000000-0005-0000-0000-000018750000}"/>
    <cellStyle name="Normal 4 3 4 7 5 2" xfId="21312" xr:uid="{00000000-0005-0000-0000-000019750000}"/>
    <cellStyle name="Normal 4 3 4 7 5 2 2" xfId="21313" xr:uid="{00000000-0005-0000-0000-00001A750000}"/>
    <cellStyle name="Normal 4 3 4 7 5 3" xfId="21314" xr:uid="{00000000-0005-0000-0000-00001B750000}"/>
    <cellStyle name="Normal 4 3 4 7 6" xfId="21315" xr:uid="{00000000-0005-0000-0000-00001C750000}"/>
    <cellStyle name="Normal 4 3 4 7 6 2" xfId="21316" xr:uid="{00000000-0005-0000-0000-00001D750000}"/>
    <cellStyle name="Normal 4 3 4 7 7" xfId="21317" xr:uid="{00000000-0005-0000-0000-00001E750000}"/>
    <cellStyle name="Normal 4 3 4 8" xfId="21318" xr:uid="{00000000-0005-0000-0000-00001F750000}"/>
    <cellStyle name="Normal 4 3 4 8 2" xfId="21319" xr:uid="{00000000-0005-0000-0000-000020750000}"/>
    <cellStyle name="Normal 4 3 4 8 2 2" xfId="21320" xr:uid="{00000000-0005-0000-0000-000021750000}"/>
    <cellStyle name="Normal 4 3 4 8 2 2 2" xfId="21321" xr:uid="{00000000-0005-0000-0000-000022750000}"/>
    <cellStyle name="Normal 4 3 4 8 2 2 2 2" xfId="21322" xr:uid="{00000000-0005-0000-0000-000023750000}"/>
    <cellStyle name="Normal 4 3 4 8 2 2 3" xfId="21323" xr:uid="{00000000-0005-0000-0000-000024750000}"/>
    <cellStyle name="Normal 4 3 4 8 2 3" xfId="21324" xr:uid="{00000000-0005-0000-0000-000025750000}"/>
    <cellStyle name="Normal 4 3 4 8 2 3 2" xfId="21325" xr:uid="{00000000-0005-0000-0000-000026750000}"/>
    <cellStyle name="Normal 4 3 4 8 2 4" xfId="21326" xr:uid="{00000000-0005-0000-0000-000027750000}"/>
    <cellStyle name="Normal 4 3 4 8 3" xfId="21327" xr:uid="{00000000-0005-0000-0000-000028750000}"/>
    <cellStyle name="Normal 4 3 4 8 3 2" xfId="21328" xr:uid="{00000000-0005-0000-0000-000029750000}"/>
    <cellStyle name="Normal 4 3 4 8 3 2 2" xfId="21329" xr:uid="{00000000-0005-0000-0000-00002A750000}"/>
    <cellStyle name="Normal 4 3 4 8 3 3" xfId="21330" xr:uid="{00000000-0005-0000-0000-00002B750000}"/>
    <cellStyle name="Normal 4 3 4 8 4" xfId="21331" xr:uid="{00000000-0005-0000-0000-00002C750000}"/>
    <cellStyle name="Normal 4 3 4 8 4 2" xfId="21332" xr:uid="{00000000-0005-0000-0000-00002D750000}"/>
    <cellStyle name="Normal 4 3 4 8 5" xfId="21333" xr:uid="{00000000-0005-0000-0000-00002E750000}"/>
    <cellStyle name="Normal 4 3 4 9" xfId="21334" xr:uid="{00000000-0005-0000-0000-00002F750000}"/>
    <cellStyle name="Normal 4 3 4 9 2" xfId="21335" xr:uid="{00000000-0005-0000-0000-000030750000}"/>
    <cellStyle name="Normal 4 3 4 9 2 2" xfId="21336" xr:uid="{00000000-0005-0000-0000-000031750000}"/>
    <cellStyle name="Normal 4 3 4 9 2 2 2" xfId="21337" xr:uid="{00000000-0005-0000-0000-000032750000}"/>
    <cellStyle name="Normal 4 3 4 9 2 2 2 2" xfId="21338" xr:uid="{00000000-0005-0000-0000-000033750000}"/>
    <cellStyle name="Normal 4 3 4 9 2 2 3" xfId="21339" xr:uid="{00000000-0005-0000-0000-000034750000}"/>
    <cellStyle name="Normal 4 3 4 9 2 3" xfId="21340" xr:uid="{00000000-0005-0000-0000-000035750000}"/>
    <cellStyle name="Normal 4 3 4 9 2 3 2" xfId="21341" xr:uid="{00000000-0005-0000-0000-000036750000}"/>
    <cellStyle name="Normal 4 3 4 9 2 4" xfId="21342" xr:uid="{00000000-0005-0000-0000-000037750000}"/>
    <cellStyle name="Normal 4 3 4 9 3" xfId="21343" xr:uid="{00000000-0005-0000-0000-000038750000}"/>
    <cellStyle name="Normal 4 3 4 9 3 2" xfId="21344" xr:uid="{00000000-0005-0000-0000-000039750000}"/>
    <cellStyle name="Normal 4 3 4 9 3 2 2" xfId="21345" xr:uid="{00000000-0005-0000-0000-00003A750000}"/>
    <cellStyle name="Normal 4 3 4 9 3 3" xfId="21346" xr:uid="{00000000-0005-0000-0000-00003B750000}"/>
    <cellStyle name="Normal 4 3 4 9 4" xfId="21347" xr:uid="{00000000-0005-0000-0000-00003C750000}"/>
    <cellStyle name="Normal 4 3 4 9 4 2" xfId="21348" xr:uid="{00000000-0005-0000-0000-00003D750000}"/>
    <cellStyle name="Normal 4 3 4 9 5" xfId="21349" xr:uid="{00000000-0005-0000-0000-00003E750000}"/>
    <cellStyle name="Normal 4 3 5" xfId="21350" xr:uid="{00000000-0005-0000-0000-00003F750000}"/>
    <cellStyle name="Normal 4 3 5 2" xfId="21351" xr:uid="{00000000-0005-0000-0000-000040750000}"/>
    <cellStyle name="Normal 4 3 5 2 2" xfId="54686" xr:uid="{00000000-0005-0000-0000-000041750000}"/>
    <cellStyle name="Normal 4 3 5 2 3" xfId="54687" xr:uid="{00000000-0005-0000-0000-000042750000}"/>
    <cellStyle name="Normal 4 3 5 3" xfId="54688" xr:uid="{00000000-0005-0000-0000-000043750000}"/>
    <cellStyle name="Normal 4 3 5 4" xfId="54689" xr:uid="{00000000-0005-0000-0000-000044750000}"/>
    <cellStyle name="Normal 4 3 6" xfId="21352" xr:uid="{00000000-0005-0000-0000-000045750000}"/>
    <cellStyle name="Normal 4 3 6 2" xfId="54690" xr:uid="{00000000-0005-0000-0000-000046750000}"/>
    <cellStyle name="Normal 4 3 6 3" xfId="54691" xr:uid="{00000000-0005-0000-0000-000047750000}"/>
    <cellStyle name="Normal 4 3 7" xfId="21353" xr:uid="{00000000-0005-0000-0000-000048750000}"/>
    <cellStyle name="Normal 4 3 7 2" xfId="54692" xr:uid="{00000000-0005-0000-0000-000049750000}"/>
    <cellStyle name="Normal 4 3 8" xfId="54693" xr:uid="{00000000-0005-0000-0000-00004A750000}"/>
    <cellStyle name="Normal 4 4" xfId="21354" xr:uid="{00000000-0005-0000-0000-00004B750000}"/>
    <cellStyle name="Normal 4 4 10" xfId="21355" xr:uid="{00000000-0005-0000-0000-00004C750000}"/>
    <cellStyle name="Normal 4 4 10 2" xfId="21356" xr:uid="{00000000-0005-0000-0000-00004D750000}"/>
    <cellStyle name="Normal 4 4 10 2 2" xfId="21357" xr:uid="{00000000-0005-0000-0000-00004E750000}"/>
    <cellStyle name="Normal 4 4 10 2 2 2" xfId="54694" xr:uid="{00000000-0005-0000-0000-00004F750000}"/>
    <cellStyle name="Normal 4 4 10 2 2 3" xfId="54695" xr:uid="{00000000-0005-0000-0000-000050750000}"/>
    <cellStyle name="Normal 4 4 10 2 3" xfId="21358" xr:uid="{00000000-0005-0000-0000-000051750000}"/>
    <cellStyle name="Normal 4 4 10 2 3 2" xfId="54696" xr:uid="{00000000-0005-0000-0000-000052750000}"/>
    <cellStyle name="Normal 4 4 10 2 4" xfId="21359" xr:uid="{00000000-0005-0000-0000-000053750000}"/>
    <cellStyle name="Normal 4 4 10 2 5" xfId="21360" xr:uid="{00000000-0005-0000-0000-000054750000}"/>
    <cellStyle name="Normal 4 4 10 2 6" xfId="21361" xr:uid="{00000000-0005-0000-0000-000055750000}"/>
    <cellStyle name="Normal 4 4 10 3" xfId="21362" xr:uid="{00000000-0005-0000-0000-000056750000}"/>
    <cellStyle name="Normal 4 4 10 3 2" xfId="54697" xr:uid="{00000000-0005-0000-0000-000057750000}"/>
    <cellStyle name="Normal 4 4 10 3 3" xfId="54698" xr:uid="{00000000-0005-0000-0000-000058750000}"/>
    <cellStyle name="Normal 4 4 10 4" xfId="21363" xr:uid="{00000000-0005-0000-0000-000059750000}"/>
    <cellStyle name="Normal 4 4 10 4 2" xfId="54699" xr:uid="{00000000-0005-0000-0000-00005A750000}"/>
    <cellStyle name="Normal 4 4 10 5" xfId="21364" xr:uid="{00000000-0005-0000-0000-00005B750000}"/>
    <cellStyle name="Normal 4 4 10 6" xfId="21365" xr:uid="{00000000-0005-0000-0000-00005C750000}"/>
    <cellStyle name="Normal 4 4 10 7" xfId="21366" xr:uid="{00000000-0005-0000-0000-00005D750000}"/>
    <cellStyle name="Normal 4 4 11" xfId="21367" xr:uid="{00000000-0005-0000-0000-00005E750000}"/>
    <cellStyle name="Normal 4 4 11 2" xfId="21368" xr:uid="{00000000-0005-0000-0000-00005F750000}"/>
    <cellStyle name="Normal 4 4 11 2 2" xfId="54700" xr:uid="{00000000-0005-0000-0000-000060750000}"/>
    <cellStyle name="Normal 4 4 11 2 3" xfId="54701" xr:uid="{00000000-0005-0000-0000-000061750000}"/>
    <cellStyle name="Normal 4 4 11 3" xfId="21369" xr:uid="{00000000-0005-0000-0000-000062750000}"/>
    <cellStyle name="Normal 4 4 11 3 2" xfId="54702" xr:uid="{00000000-0005-0000-0000-000063750000}"/>
    <cellStyle name="Normal 4 4 11 4" xfId="21370" xr:uid="{00000000-0005-0000-0000-000064750000}"/>
    <cellStyle name="Normal 4 4 11 5" xfId="21371" xr:uid="{00000000-0005-0000-0000-000065750000}"/>
    <cellStyle name="Normal 4 4 11 6" xfId="21372" xr:uid="{00000000-0005-0000-0000-000066750000}"/>
    <cellStyle name="Normal 4 4 12" xfId="21373" xr:uid="{00000000-0005-0000-0000-000067750000}"/>
    <cellStyle name="Normal 4 4 12 2" xfId="54703" xr:uid="{00000000-0005-0000-0000-000068750000}"/>
    <cellStyle name="Normal 4 4 12 3" xfId="54704" xr:uid="{00000000-0005-0000-0000-000069750000}"/>
    <cellStyle name="Normal 4 4 13" xfId="21374" xr:uid="{00000000-0005-0000-0000-00006A750000}"/>
    <cellStyle name="Normal 4 4 13 2" xfId="54705" xr:uid="{00000000-0005-0000-0000-00006B750000}"/>
    <cellStyle name="Normal 4 4 14" xfId="21375" xr:uid="{00000000-0005-0000-0000-00006C750000}"/>
    <cellStyle name="Normal 4 4 14 2" xfId="54706" xr:uid="{00000000-0005-0000-0000-00006D750000}"/>
    <cellStyle name="Normal 4 4 15" xfId="21376" xr:uid="{00000000-0005-0000-0000-00006E750000}"/>
    <cellStyle name="Normal 4 4 16" xfId="21377" xr:uid="{00000000-0005-0000-0000-00006F750000}"/>
    <cellStyle name="Normal 4 4 17" xfId="21378" xr:uid="{00000000-0005-0000-0000-000070750000}"/>
    <cellStyle name="Normal 4 4 18" xfId="21379" xr:uid="{00000000-0005-0000-0000-000071750000}"/>
    <cellStyle name="Normal 4 4 19" xfId="21380" xr:uid="{00000000-0005-0000-0000-000072750000}"/>
    <cellStyle name="Normal 4 4 2" xfId="21381" xr:uid="{00000000-0005-0000-0000-000073750000}"/>
    <cellStyle name="Normal 4 4 2 10" xfId="21382" xr:uid="{00000000-0005-0000-0000-000074750000}"/>
    <cellStyle name="Normal 4 4 2 11" xfId="21383" xr:uid="{00000000-0005-0000-0000-000075750000}"/>
    <cellStyle name="Normal 4 4 2 12" xfId="21384" xr:uid="{00000000-0005-0000-0000-000076750000}"/>
    <cellStyle name="Normal 4 4 2 13" xfId="21385" xr:uid="{00000000-0005-0000-0000-000077750000}"/>
    <cellStyle name="Normal 4 4 2 14" xfId="21386" xr:uid="{00000000-0005-0000-0000-000078750000}"/>
    <cellStyle name="Normal 4 4 2 15" xfId="21387" xr:uid="{00000000-0005-0000-0000-000079750000}"/>
    <cellStyle name="Normal 4 4 2 16" xfId="21388" xr:uid="{00000000-0005-0000-0000-00007A750000}"/>
    <cellStyle name="Normal 4 4 2 2" xfId="21389" xr:uid="{00000000-0005-0000-0000-00007B750000}"/>
    <cellStyle name="Normal 4 4 2 2 10" xfId="21390" xr:uid="{00000000-0005-0000-0000-00007C750000}"/>
    <cellStyle name="Normal 4 4 2 2 11" xfId="21391" xr:uid="{00000000-0005-0000-0000-00007D750000}"/>
    <cellStyle name="Normal 4 4 2 2 12" xfId="21392" xr:uid="{00000000-0005-0000-0000-00007E750000}"/>
    <cellStyle name="Normal 4 4 2 2 13" xfId="21393" xr:uid="{00000000-0005-0000-0000-00007F750000}"/>
    <cellStyle name="Normal 4 4 2 2 14" xfId="21394" xr:uid="{00000000-0005-0000-0000-000080750000}"/>
    <cellStyle name="Normal 4 4 2 2 2" xfId="21395" xr:uid="{00000000-0005-0000-0000-000081750000}"/>
    <cellStyle name="Normal 4 4 2 2 2 2" xfId="21396" xr:uid="{00000000-0005-0000-0000-000082750000}"/>
    <cellStyle name="Normal 4 4 2 2 2 2 2" xfId="21397" xr:uid="{00000000-0005-0000-0000-000083750000}"/>
    <cellStyle name="Normal 4 4 2 2 2 2 2 2" xfId="21398" xr:uid="{00000000-0005-0000-0000-000084750000}"/>
    <cellStyle name="Normal 4 4 2 2 2 2 2 2 2" xfId="54707" xr:uid="{00000000-0005-0000-0000-000085750000}"/>
    <cellStyle name="Normal 4 4 2 2 2 2 2 2 3" xfId="54708" xr:uid="{00000000-0005-0000-0000-000086750000}"/>
    <cellStyle name="Normal 4 4 2 2 2 2 2 3" xfId="21399" xr:uid="{00000000-0005-0000-0000-000087750000}"/>
    <cellStyle name="Normal 4 4 2 2 2 2 2 3 2" xfId="54709" xr:uid="{00000000-0005-0000-0000-000088750000}"/>
    <cellStyle name="Normal 4 4 2 2 2 2 2 4" xfId="21400" xr:uid="{00000000-0005-0000-0000-000089750000}"/>
    <cellStyle name="Normal 4 4 2 2 2 2 2 5" xfId="21401" xr:uid="{00000000-0005-0000-0000-00008A750000}"/>
    <cellStyle name="Normal 4 4 2 2 2 2 2 6" xfId="21402" xr:uid="{00000000-0005-0000-0000-00008B750000}"/>
    <cellStyle name="Normal 4 4 2 2 2 2 3" xfId="21403" xr:uid="{00000000-0005-0000-0000-00008C750000}"/>
    <cellStyle name="Normal 4 4 2 2 2 2 3 2" xfId="54710" xr:uid="{00000000-0005-0000-0000-00008D750000}"/>
    <cellStyle name="Normal 4 4 2 2 2 2 3 3" xfId="54711" xr:uid="{00000000-0005-0000-0000-00008E750000}"/>
    <cellStyle name="Normal 4 4 2 2 2 2 4" xfId="21404" xr:uid="{00000000-0005-0000-0000-00008F750000}"/>
    <cellStyle name="Normal 4 4 2 2 2 2 4 2" xfId="54712" xr:uid="{00000000-0005-0000-0000-000090750000}"/>
    <cellStyle name="Normal 4 4 2 2 2 2 5" xfId="21405" xr:uid="{00000000-0005-0000-0000-000091750000}"/>
    <cellStyle name="Normal 4 4 2 2 2 2 6" xfId="21406" xr:uid="{00000000-0005-0000-0000-000092750000}"/>
    <cellStyle name="Normal 4 4 2 2 2 2 7" xfId="21407" xr:uid="{00000000-0005-0000-0000-000093750000}"/>
    <cellStyle name="Normal 4 4 2 2 2 3" xfId="21408" xr:uid="{00000000-0005-0000-0000-000094750000}"/>
    <cellStyle name="Normal 4 4 2 2 2 3 2" xfId="21409" xr:uid="{00000000-0005-0000-0000-000095750000}"/>
    <cellStyle name="Normal 4 4 2 2 2 3 2 2" xfId="54713" xr:uid="{00000000-0005-0000-0000-000096750000}"/>
    <cellStyle name="Normal 4 4 2 2 2 3 2 3" xfId="54714" xr:uid="{00000000-0005-0000-0000-000097750000}"/>
    <cellStyle name="Normal 4 4 2 2 2 3 3" xfId="21410" xr:uid="{00000000-0005-0000-0000-000098750000}"/>
    <cellStyle name="Normal 4 4 2 2 2 3 3 2" xfId="54715" xr:uid="{00000000-0005-0000-0000-000099750000}"/>
    <cellStyle name="Normal 4 4 2 2 2 3 4" xfId="21411" xr:uid="{00000000-0005-0000-0000-00009A750000}"/>
    <cellStyle name="Normal 4 4 2 2 2 3 5" xfId="21412" xr:uid="{00000000-0005-0000-0000-00009B750000}"/>
    <cellStyle name="Normal 4 4 2 2 2 3 6" xfId="21413" xr:uid="{00000000-0005-0000-0000-00009C750000}"/>
    <cellStyle name="Normal 4 4 2 2 2 4" xfId="21414" xr:uid="{00000000-0005-0000-0000-00009D750000}"/>
    <cellStyle name="Normal 4 4 2 2 2 4 2" xfId="54716" xr:uid="{00000000-0005-0000-0000-00009E750000}"/>
    <cellStyle name="Normal 4 4 2 2 2 4 3" xfId="54717" xr:uid="{00000000-0005-0000-0000-00009F750000}"/>
    <cellStyle name="Normal 4 4 2 2 2 5" xfId="21415" xr:uid="{00000000-0005-0000-0000-0000A0750000}"/>
    <cellStyle name="Normal 4 4 2 2 2 5 2" xfId="54718" xr:uid="{00000000-0005-0000-0000-0000A1750000}"/>
    <cellStyle name="Normal 4 4 2 2 2 6" xfId="21416" xr:uid="{00000000-0005-0000-0000-0000A2750000}"/>
    <cellStyle name="Normal 4 4 2 2 2 7" xfId="21417" xr:uid="{00000000-0005-0000-0000-0000A3750000}"/>
    <cellStyle name="Normal 4 4 2 2 2 8" xfId="21418" xr:uid="{00000000-0005-0000-0000-0000A4750000}"/>
    <cellStyle name="Normal 4 4 2 2 2 9" xfId="21419" xr:uid="{00000000-0005-0000-0000-0000A5750000}"/>
    <cellStyle name="Normal 4 4 2 2 3" xfId="21420" xr:uid="{00000000-0005-0000-0000-0000A6750000}"/>
    <cellStyle name="Normal 4 4 2 2 3 2" xfId="21421" xr:uid="{00000000-0005-0000-0000-0000A7750000}"/>
    <cellStyle name="Normal 4 4 2 2 3 2 2" xfId="21422" xr:uid="{00000000-0005-0000-0000-0000A8750000}"/>
    <cellStyle name="Normal 4 4 2 2 3 2 2 2" xfId="21423" xr:uid="{00000000-0005-0000-0000-0000A9750000}"/>
    <cellStyle name="Normal 4 4 2 2 3 2 2 2 2" xfId="54719" xr:uid="{00000000-0005-0000-0000-0000AA750000}"/>
    <cellStyle name="Normal 4 4 2 2 3 2 2 2 3" xfId="54720" xr:uid="{00000000-0005-0000-0000-0000AB750000}"/>
    <cellStyle name="Normal 4 4 2 2 3 2 2 3" xfId="21424" xr:uid="{00000000-0005-0000-0000-0000AC750000}"/>
    <cellStyle name="Normal 4 4 2 2 3 2 2 3 2" xfId="54721" xr:uid="{00000000-0005-0000-0000-0000AD750000}"/>
    <cellStyle name="Normal 4 4 2 2 3 2 2 4" xfId="21425" xr:uid="{00000000-0005-0000-0000-0000AE750000}"/>
    <cellStyle name="Normal 4 4 2 2 3 2 2 5" xfId="21426" xr:uid="{00000000-0005-0000-0000-0000AF750000}"/>
    <cellStyle name="Normal 4 4 2 2 3 2 2 6" xfId="21427" xr:uid="{00000000-0005-0000-0000-0000B0750000}"/>
    <cellStyle name="Normal 4 4 2 2 3 2 3" xfId="21428" xr:uid="{00000000-0005-0000-0000-0000B1750000}"/>
    <cellStyle name="Normal 4 4 2 2 3 2 3 2" xfId="54722" xr:uid="{00000000-0005-0000-0000-0000B2750000}"/>
    <cellStyle name="Normal 4 4 2 2 3 2 3 3" xfId="54723" xr:uid="{00000000-0005-0000-0000-0000B3750000}"/>
    <cellStyle name="Normal 4 4 2 2 3 2 4" xfId="21429" xr:uid="{00000000-0005-0000-0000-0000B4750000}"/>
    <cellStyle name="Normal 4 4 2 2 3 2 4 2" xfId="54724" xr:uid="{00000000-0005-0000-0000-0000B5750000}"/>
    <cellStyle name="Normal 4 4 2 2 3 2 5" xfId="21430" xr:uid="{00000000-0005-0000-0000-0000B6750000}"/>
    <cellStyle name="Normal 4 4 2 2 3 2 6" xfId="21431" xr:uid="{00000000-0005-0000-0000-0000B7750000}"/>
    <cellStyle name="Normal 4 4 2 2 3 2 7" xfId="21432" xr:uid="{00000000-0005-0000-0000-0000B8750000}"/>
    <cellStyle name="Normal 4 4 2 2 3 3" xfId="21433" xr:uid="{00000000-0005-0000-0000-0000B9750000}"/>
    <cellStyle name="Normal 4 4 2 2 3 3 2" xfId="21434" xr:uid="{00000000-0005-0000-0000-0000BA750000}"/>
    <cellStyle name="Normal 4 4 2 2 3 3 2 2" xfId="54725" xr:uid="{00000000-0005-0000-0000-0000BB750000}"/>
    <cellStyle name="Normal 4 4 2 2 3 3 2 3" xfId="54726" xr:uid="{00000000-0005-0000-0000-0000BC750000}"/>
    <cellStyle name="Normal 4 4 2 2 3 3 3" xfId="21435" xr:uid="{00000000-0005-0000-0000-0000BD750000}"/>
    <cellStyle name="Normal 4 4 2 2 3 3 3 2" xfId="54727" xr:uid="{00000000-0005-0000-0000-0000BE750000}"/>
    <cellStyle name="Normal 4 4 2 2 3 3 4" xfId="21436" xr:uid="{00000000-0005-0000-0000-0000BF750000}"/>
    <cellStyle name="Normal 4 4 2 2 3 3 5" xfId="21437" xr:uid="{00000000-0005-0000-0000-0000C0750000}"/>
    <cellStyle name="Normal 4 4 2 2 3 3 6" xfId="21438" xr:uid="{00000000-0005-0000-0000-0000C1750000}"/>
    <cellStyle name="Normal 4 4 2 2 3 4" xfId="21439" xr:uid="{00000000-0005-0000-0000-0000C2750000}"/>
    <cellStyle name="Normal 4 4 2 2 3 4 2" xfId="54728" xr:uid="{00000000-0005-0000-0000-0000C3750000}"/>
    <cellStyle name="Normal 4 4 2 2 3 4 3" xfId="54729" xr:uid="{00000000-0005-0000-0000-0000C4750000}"/>
    <cellStyle name="Normal 4 4 2 2 3 5" xfId="21440" xr:uid="{00000000-0005-0000-0000-0000C5750000}"/>
    <cellStyle name="Normal 4 4 2 2 3 5 2" xfId="54730" xr:uid="{00000000-0005-0000-0000-0000C6750000}"/>
    <cellStyle name="Normal 4 4 2 2 3 6" xfId="21441" xr:uid="{00000000-0005-0000-0000-0000C7750000}"/>
    <cellStyle name="Normal 4 4 2 2 3 7" xfId="21442" xr:uid="{00000000-0005-0000-0000-0000C8750000}"/>
    <cellStyle name="Normal 4 4 2 2 3 8" xfId="21443" xr:uid="{00000000-0005-0000-0000-0000C9750000}"/>
    <cellStyle name="Normal 4 4 2 2 4" xfId="21444" xr:uid="{00000000-0005-0000-0000-0000CA750000}"/>
    <cellStyle name="Normal 4 4 2 2 4 2" xfId="21445" xr:uid="{00000000-0005-0000-0000-0000CB750000}"/>
    <cellStyle name="Normal 4 4 2 2 4 2 2" xfId="21446" xr:uid="{00000000-0005-0000-0000-0000CC750000}"/>
    <cellStyle name="Normal 4 4 2 2 4 2 2 2" xfId="54731" xr:uid="{00000000-0005-0000-0000-0000CD750000}"/>
    <cellStyle name="Normal 4 4 2 2 4 2 2 3" xfId="54732" xr:uid="{00000000-0005-0000-0000-0000CE750000}"/>
    <cellStyle name="Normal 4 4 2 2 4 2 3" xfId="21447" xr:uid="{00000000-0005-0000-0000-0000CF750000}"/>
    <cellStyle name="Normal 4 4 2 2 4 2 3 2" xfId="54733" xr:uid="{00000000-0005-0000-0000-0000D0750000}"/>
    <cellStyle name="Normal 4 4 2 2 4 2 4" xfId="21448" xr:uid="{00000000-0005-0000-0000-0000D1750000}"/>
    <cellStyle name="Normal 4 4 2 2 4 2 5" xfId="21449" xr:uid="{00000000-0005-0000-0000-0000D2750000}"/>
    <cellStyle name="Normal 4 4 2 2 4 2 6" xfId="21450" xr:uid="{00000000-0005-0000-0000-0000D3750000}"/>
    <cellStyle name="Normal 4 4 2 2 4 3" xfId="21451" xr:uid="{00000000-0005-0000-0000-0000D4750000}"/>
    <cellStyle name="Normal 4 4 2 2 4 3 2" xfId="54734" xr:uid="{00000000-0005-0000-0000-0000D5750000}"/>
    <cellStyle name="Normal 4 4 2 2 4 3 3" xfId="54735" xr:uid="{00000000-0005-0000-0000-0000D6750000}"/>
    <cellStyle name="Normal 4 4 2 2 4 4" xfId="21452" xr:uid="{00000000-0005-0000-0000-0000D7750000}"/>
    <cellStyle name="Normal 4 4 2 2 4 4 2" xfId="54736" xr:uid="{00000000-0005-0000-0000-0000D8750000}"/>
    <cellStyle name="Normal 4 4 2 2 4 5" xfId="21453" xr:uid="{00000000-0005-0000-0000-0000D9750000}"/>
    <cellStyle name="Normal 4 4 2 2 4 6" xfId="21454" xr:uid="{00000000-0005-0000-0000-0000DA750000}"/>
    <cellStyle name="Normal 4 4 2 2 4 7" xfId="21455" xr:uid="{00000000-0005-0000-0000-0000DB750000}"/>
    <cellStyle name="Normal 4 4 2 2 5" xfId="21456" xr:uid="{00000000-0005-0000-0000-0000DC750000}"/>
    <cellStyle name="Normal 4 4 2 2 5 2" xfId="21457" xr:uid="{00000000-0005-0000-0000-0000DD750000}"/>
    <cellStyle name="Normal 4 4 2 2 5 2 2" xfId="54737" xr:uid="{00000000-0005-0000-0000-0000DE750000}"/>
    <cellStyle name="Normal 4 4 2 2 5 2 3" xfId="54738" xr:uid="{00000000-0005-0000-0000-0000DF750000}"/>
    <cellStyle name="Normal 4 4 2 2 5 3" xfId="21458" xr:uid="{00000000-0005-0000-0000-0000E0750000}"/>
    <cellStyle name="Normal 4 4 2 2 5 3 2" xfId="54739" xr:uid="{00000000-0005-0000-0000-0000E1750000}"/>
    <cellStyle name="Normal 4 4 2 2 5 4" xfId="21459" xr:uid="{00000000-0005-0000-0000-0000E2750000}"/>
    <cellStyle name="Normal 4 4 2 2 5 5" xfId="21460" xr:uid="{00000000-0005-0000-0000-0000E3750000}"/>
    <cellStyle name="Normal 4 4 2 2 5 6" xfId="21461" xr:uid="{00000000-0005-0000-0000-0000E4750000}"/>
    <cellStyle name="Normal 4 4 2 2 6" xfId="21462" xr:uid="{00000000-0005-0000-0000-0000E5750000}"/>
    <cellStyle name="Normal 4 4 2 2 6 2" xfId="54740" xr:uid="{00000000-0005-0000-0000-0000E6750000}"/>
    <cellStyle name="Normal 4 4 2 2 6 3" xfId="54741" xr:uid="{00000000-0005-0000-0000-0000E7750000}"/>
    <cellStyle name="Normal 4 4 2 2 7" xfId="21463" xr:uid="{00000000-0005-0000-0000-0000E8750000}"/>
    <cellStyle name="Normal 4 4 2 2 7 2" xfId="54742" xr:uid="{00000000-0005-0000-0000-0000E9750000}"/>
    <cellStyle name="Normal 4 4 2 2 8" xfId="21464" xr:uid="{00000000-0005-0000-0000-0000EA750000}"/>
    <cellStyle name="Normal 4 4 2 2 9" xfId="21465" xr:uid="{00000000-0005-0000-0000-0000EB750000}"/>
    <cellStyle name="Normal 4 4 2 3" xfId="21466" xr:uid="{00000000-0005-0000-0000-0000EC750000}"/>
    <cellStyle name="Normal 4 4 2 3 2" xfId="21467" xr:uid="{00000000-0005-0000-0000-0000ED750000}"/>
    <cellStyle name="Normal 4 4 2 3 2 2" xfId="21468" xr:uid="{00000000-0005-0000-0000-0000EE750000}"/>
    <cellStyle name="Normal 4 4 2 3 2 2 2" xfId="21469" xr:uid="{00000000-0005-0000-0000-0000EF750000}"/>
    <cellStyle name="Normal 4 4 2 3 2 2 2 2" xfId="54743" xr:uid="{00000000-0005-0000-0000-0000F0750000}"/>
    <cellStyle name="Normal 4 4 2 3 2 2 2 3" xfId="54744" xr:uid="{00000000-0005-0000-0000-0000F1750000}"/>
    <cellStyle name="Normal 4 4 2 3 2 2 3" xfId="21470" xr:uid="{00000000-0005-0000-0000-0000F2750000}"/>
    <cellStyle name="Normal 4 4 2 3 2 2 3 2" xfId="54745" xr:uid="{00000000-0005-0000-0000-0000F3750000}"/>
    <cellStyle name="Normal 4 4 2 3 2 2 4" xfId="21471" xr:uid="{00000000-0005-0000-0000-0000F4750000}"/>
    <cellStyle name="Normal 4 4 2 3 2 2 5" xfId="21472" xr:uid="{00000000-0005-0000-0000-0000F5750000}"/>
    <cellStyle name="Normal 4 4 2 3 2 2 6" xfId="21473" xr:uid="{00000000-0005-0000-0000-0000F6750000}"/>
    <cellStyle name="Normal 4 4 2 3 2 3" xfId="21474" xr:uid="{00000000-0005-0000-0000-0000F7750000}"/>
    <cellStyle name="Normal 4 4 2 3 2 3 2" xfId="54746" xr:uid="{00000000-0005-0000-0000-0000F8750000}"/>
    <cellStyle name="Normal 4 4 2 3 2 3 3" xfId="54747" xr:uid="{00000000-0005-0000-0000-0000F9750000}"/>
    <cellStyle name="Normal 4 4 2 3 2 4" xfId="21475" xr:uid="{00000000-0005-0000-0000-0000FA750000}"/>
    <cellStyle name="Normal 4 4 2 3 2 4 2" xfId="54748" xr:uid="{00000000-0005-0000-0000-0000FB750000}"/>
    <cellStyle name="Normal 4 4 2 3 2 5" xfId="21476" xr:uid="{00000000-0005-0000-0000-0000FC750000}"/>
    <cellStyle name="Normal 4 4 2 3 2 6" xfId="21477" xr:uid="{00000000-0005-0000-0000-0000FD750000}"/>
    <cellStyle name="Normal 4 4 2 3 2 7" xfId="21478" xr:uid="{00000000-0005-0000-0000-0000FE750000}"/>
    <cellStyle name="Normal 4 4 2 3 3" xfId="21479" xr:uid="{00000000-0005-0000-0000-0000FF750000}"/>
    <cellStyle name="Normal 4 4 2 3 3 2" xfId="21480" xr:uid="{00000000-0005-0000-0000-000000760000}"/>
    <cellStyle name="Normal 4 4 2 3 3 2 2" xfId="54749" xr:uid="{00000000-0005-0000-0000-000001760000}"/>
    <cellStyle name="Normal 4 4 2 3 3 2 3" xfId="54750" xr:uid="{00000000-0005-0000-0000-000002760000}"/>
    <cellStyle name="Normal 4 4 2 3 3 3" xfId="21481" xr:uid="{00000000-0005-0000-0000-000003760000}"/>
    <cellStyle name="Normal 4 4 2 3 3 3 2" xfId="54751" xr:uid="{00000000-0005-0000-0000-000004760000}"/>
    <cellStyle name="Normal 4 4 2 3 3 4" xfId="21482" xr:uid="{00000000-0005-0000-0000-000005760000}"/>
    <cellStyle name="Normal 4 4 2 3 3 5" xfId="21483" xr:uid="{00000000-0005-0000-0000-000006760000}"/>
    <cellStyle name="Normal 4 4 2 3 3 6" xfId="21484" xr:uid="{00000000-0005-0000-0000-000007760000}"/>
    <cellStyle name="Normal 4 4 2 3 4" xfId="21485" xr:uid="{00000000-0005-0000-0000-000008760000}"/>
    <cellStyle name="Normal 4 4 2 3 4 2" xfId="54752" xr:uid="{00000000-0005-0000-0000-000009760000}"/>
    <cellStyle name="Normal 4 4 2 3 4 3" xfId="54753" xr:uid="{00000000-0005-0000-0000-00000A760000}"/>
    <cellStyle name="Normal 4 4 2 3 5" xfId="21486" xr:uid="{00000000-0005-0000-0000-00000B760000}"/>
    <cellStyle name="Normal 4 4 2 3 5 2" xfId="54754" xr:uid="{00000000-0005-0000-0000-00000C760000}"/>
    <cellStyle name="Normal 4 4 2 3 6" xfId="21487" xr:uid="{00000000-0005-0000-0000-00000D760000}"/>
    <cellStyle name="Normal 4 4 2 3 7" xfId="21488" xr:uid="{00000000-0005-0000-0000-00000E760000}"/>
    <cellStyle name="Normal 4 4 2 3 8" xfId="21489" xr:uid="{00000000-0005-0000-0000-00000F760000}"/>
    <cellStyle name="Normal 4 4 2 3 9" xfId="21490" xr:uid="{00000000-0005-0000-0000-000010760000}"/>
    <cellStyle name="Normal 4 4 2 4" xfId="21491" xr:uid="{00000000-0005-0000-0000-000011760000}"/>
    <cellStyle name="Normal 4 4 2 4 2" xfId="21492" xr:uid="{00000000-0005-0000-0000-000012760000}"/>
    <cellStyle name="Normal 4 4 2 4 2 2" xfId="21493" xr:uid="{00000000-0005-0000-0000-000013760000}"/>
    <cellStyle name="Normal 4 4 2 4 2 2 2" xfId="21494" xr:uid="{00000000-0005-0000-0000-000014760000}"/>
    <cellStyle name="Normal 4 4 2 4 2 2 2 2" xfId="54755" xr:uid="{00000000-0005-0000-0000-000015760000}"/>
    <cellStyle name="Normal 4 4 2 4 2 2 2 3" xfId="54756" xr:uid="{00000000-0005-0000-0000-000016760000}"/>
    <cellStyle name="Normal 4 4 2 4 2 2 3" xfId="21495" xr:uid="{00000000-0005-0000-0000-000017760000}"/>
    <cellStyle name="Normal 4 4 2 4 2 2 3 2" xfId="54757" xr:uid="{00000000-0005-0000-0000-000018760000}"/>
    <cellStyle name="Normal 4 4 2 4 2 2 4" xfId="21496" xr:uid="{00000000-0005-0000-0000-000019760000}"/>
    <cellStyle name="Normal 4 4 2 4 2 2 5" xfId="21497" xr:uid="{00000000-0005-0000-0000-00001A760000}"/>
    <cellStyle name="Normal 4 4 2 4 2 2 6" xfId="21498" xr:uid="{00000000-0005-0000-0000-00001B760000}"/>
    <cellStyle name="Normal 4 4 2 4 2 3" xfId="21499" xr:uid="{00000000-0005-0000-0000-00001C760000}"/>
    <cellStyle name="Normal 4 4 2 4 2 3 2" xfId="54758" xr:uid="{00000000-0005-0000-0000-00001D760000}"/>
    <cellStyle name="Normal 4 4 2 4 2 3 3" xfId="54759" xr:uid="{00000000-0005-0000-0000-00001E760000}"/>
    <cellStyle name="Normal 4 4 2 4 2 4" xfId="21500" xr:uid="{00000000-0005-0000-0000-00001F760000}"/>
    <cellStyle name="Normal 4 4 2 4 2 4 2" xfId="54760" xr:uid="{00000000-0005-0000-0000-000020760000}"/>
    <cellStyle name="Normal 4 4 2 4 2 5" xfId="21501" xr:uid="{00000000-0005-0000-0000-000021760000}"/>
    <cellStyle name="Normal 4 4 2 4 2 6" xfId="21502" xr:uid="{00000000-0005-0000-0000-000022760000}"/>
    <cellStyle name="Normal 4 4 2 4 2 7" xfId="21503" xr:uid="{00000000-0005-0000-0000-000023760000}"/>
    <cellStyle name="Normal 4 4 2 4 3" xfId="21504" xr:uid="{00000000-0005-0000-0000-000024760000}"/>
    <cellStyle name="Normal 4 4 2 4 3 2" xfId="21505" xr:uid="{00000000-0005-0000-0000-000025760000}"/>
    <cellStyle name="Normal 4 4 2 4 3 2 2" xfId="54761" xr:uid="{00000000-0005-0000-0000-000026760000}"/>
    <cellStyle name="Normal 4 4 2 4 3 2 3" xfId="54762" xr:uid="{00000000-0005-0000-0000-000027760000}"/>
    <cellStyle name="Normal 4 4 2 4 3 3" xfId="21506" xr:uid="{00000000-0005-0000-0000-000028760000}"/>
    <cellStyle name="Normal 4 4 2 4 3 3 2" xfId="54763" xr:uid="{00000000-0005-0000-0000-000029760000}"/>
    <cellStyle name="Normal 4 4 2 4 3 4" xfId="21507" xr:uid="{00000000-0005-0000-0000-00002A760000}"/>
    <cellStyle name="Normal 4 4 2 4 3 5" xfId="21508" xr:uid="{00000000-0005-0000-0000-00002B760000}"/>
    <cellStyle name="Normal 4 4 2 4 3 6" xfId="21509" xr:uid="{00000000-0005-0000-0000-00002C760000}"/>
    <cellStyle name="Normal 4 4 2 4 4" xfId="21510" xr:uid="{00000000-0005-0000-0000-00002D760000}"/>
    <cellStyle name="Normal 4 4 2 4 4 2" xfId="54764" xr:uid="{00000000-0005-0000-0000-00002E760000}"/>
    <cellStyle name="Normal 4 4 2 4 4 3" xfId="54765" xr:uid="{00000000-0005-0000-0000-00002F760000}"/>
    <cellStyle name="Normal 4 4 2 4 5" xfId="21511" xr:uid="{00000000-0005-0000-0000-000030760000}"/>
    <cellStyle name="Normal 4 4 2 4 5 2" xfId="54766" xr:uid="{00000000-0005-0000-0000-000031760000}"/>
    <cellStyle name="Normal 4 4 2 4 6" xfId="21512" xr:uid="{00000000-0005-0000-0000-000032760000}"/>
    <cellStyle name="Normal 4 4 2 4 7" xfId="21513" xr:uid="{00000000-0005-0000-0000-000033760000}"/>
    <cellStyle name="Normal 4 4 2 4 8" xfId="21514" xr:uid="{00000000-0005-0000-0000-000034760000}"/>
    <cellStyle name="Normal 4 4 2 5" xfId="21515" xr:uid="{00000000-0005-0000-0000-000035760000}"/>
    <cellStyle name="Normal 4 4 2 5 2" xfId="21516" xr:uid="{00000000-0005-0000-0000-000036760000}"/>
    <cellStyle name="Normal 4 4 2 5 2 2" xfId="21517" xr:uid="{00000000-0005-0000-0000-000037760000}"/>
    <cellStyle name="Normal 4 4 2 5 2 2 2" xfId="54767" xr:uid="{00000000-0005-0000-0000-000038760000}"/>
    <cellStyle name="Normal 4 4 2 5 2 2 3" xfId="54768" xr:uid="{00000000-0005-0000-0000-000039760000}"/>
    <cellStyle name="Normal 4 4 2 5 2 3" xfId="21518" xr:uid="{00000000-0005-0000-0000-00003A760000}"/>
    <cellStyle name="Normal 4 4 2 5 2 3 2" xfId="54769" xr:uid="{00000000-0005-0000-0000-00003B760000}"/>
    <cellStyle name="Normal 4 4 2 5 2 4" xfId="21519" xr:uid="{00000000-0005-0000-0000-00003C760000}"/>
    <cellStyle name="Normal 4 4 2 5 2 5" xfId="21520" xr:uid="{00000000-0005-0000-0000-00003D760000}"/>
    <cellStyle name="Normal 4 4 2 5 2 6" xfId="21521" xr:uid="{00000000-0005-0000-0000-00003E760000}"/>
    <cellStyle name="Normal 4 4 2 5 3" xfId="21522" xr:uid="{00000000-0005-0000-0000-00003F760000}"/>
    <cellStyle name="Normal 4 4 2 5 3 2" xfId="54770" xr:uid="{00000000-0005-0000-0000-000040760000}"/>
    <cellStyle name="Normal 4 4 2 5 3 3" xfId="54771" xr:uid="{00000000-0005-0000-0000-000041760000}"/>
    <cellStyle name="Normal 4 4 2 5 4" xfId="21523" xr:uid="{00000000-0005-0000-0000-000042760000}"/>
    <cellStyle name="Normal 4 4 2 5 4 2" xfId="54772" xr:uid="{00000000-0005-0000-0000-000043760000}"/>
    <cellStyle name="Normal 4 4 2 5 5" xfId="21524" xr:uid="{00000000-0005-0000-0000-000044760000}"/>
    <cellStyle name="Normal 4 4 2 5 6" xfId="21525" xr:uid="{00000000-0005-0000-0000-000045760000}"/>
    <cellStyle name="Normal 4 4 2 5 7" xfId="21526" xr:uid="{00000000-0005-0000-0000-000046760000}"/>
    <cellStyle name="Normal 4 4 2 6" xfId="21527" xr:uid="{00000000-0005-0000-0000-000047760000}"/>
    <cellStyle name="Normal 4 4 2 6 2" xfId="21528" xr:uid="{00000000-0005-0000-0000-000048760000}"/>
    <cellStyle name="Normal 4 4 2 6 2 2" xfId="54773" xr:uid="{00000000-0005-0000-0000-000049760000}"/>
    <cellStyle name="Normal 4 4 2 6 2 3" xfId="54774" xr:uid="{00000000-0005-0000-0000-00004A760000}"/>
    <cellStyle name="Normal 4 4 2 6 3" xfId="21529" xr:uid="{00000000-0005-0000-0000-00004B760000}"/>
    <cellStyle name="Normal 4 4 2 6 3 2" xfId="54775" xr:uid="{00000000-0005-0000-0000-00004C760000}"/>
    <cellStyle name="Normal 4 4 2 6 4" xfId="21530" xr:uid="{00000000-0005-0000-0000-00004D760000}"/>
    <cellStyle name="Normal 4 4 2 6 5" xfId="21531" xr:uid="{00000000-0005-0000-0000-00004E760000}"/>
    <cellStyle name="Normal 4 4 2 6 6" xfId="21532" xr:uid="{00000000-0005-0000-0000-00004F760000}"/>
    <cellStyle name="Normal 4 4 2 7" xfId="21533" xr:uid="{00000000-0005-0000-0000-000050760000}"/>
    <cellStyle name="Normal 4 4 2 7 2" xfId="54776" xr:uid="{00000000-0005-0000-0000-000051760000}"/>
    <cellStyle name="Normal 4 4 2 7 3" xfId="54777" xr:uid="{00000000-0005-0000-0000-000052760000}"/>
    <cellStyle name="Normal 4 4 2 8" xfId="21534" xr:uid="{00000000-0005-0000-0000-000053760000}"/>
    <cellStyle name="Normal 4 4 2 8 2" xfId="54778" xr:uid="{00000000-0005-0000-0000-000054760000}"/>
    <cellStyle name="Normal 4 4 2 9" xfId="21535" xr:uid="{00000000-0005-0000-0000-000055760000}"/>
    <cellStyle name="Normal 4 4 2 9 2" xfId="54779" xr:uid="{00000000-0005-0000-0000-000056760000}"/>
    <cellStyle name="Normal 4 4 20" xfId="21536" xr:uid="{00000000-0005-0000-0000-000057760000}"/>
    <cellStyle name="Normal 4 4 21" xfId="21537" xr:uid="{00000000-0005-0000-0000-000058760000}"/>
    <cellStyle name="Normal 4 4 3" xfId="21538" xr:uid="{00000000-0005-0000-0000-000059760000}"/>
    <cellStyle name="Normal 4 4 3 10" xfId="21539" xr:uid="{00000000-0005-0000-0000-00005A760000}"/>
    <cellStyle name="Normal 4 4 3 11" xfId="21540" xr:uid="{00000000-0005-0000-0000-00005B760000}"/>
    <cellStyle name="Normal 4 4 3 12" xfId="21541" xr:uid="{00000000-0005-0000-0000-00005C760000}"/>
    <cellStyle name="Normal 4 4 3 13" xfId="21542" xr:uid="{00000000-0005-0000-0000-00005D760000}"/>
    <cellStyle name="Normal 4 4 3 14" xfId="21543" xr:uid="{00000000-0005-0000-0000-00005E760000}"/>
    <cellStyle name="Normal 4 4 3 15" xfId="21544" xr:uid="{00000000-0005-0000-0000-00005F760000}"/>
    <cellStyle name="Normal 4 4 3 2" xfId="21545" xr:uid="{00000000-0005-0000-0000-000060760000}"/>
    <cellStyle name="Normal 4 4 3 2 10" xfId="21546" xr:uid="{00000000-0005-0000-0000-000061760000}"/>
    <cellStyle name="Normal 4 4 3 2 11" xfId="21547" xr:uid="{00000000-0005-0000-0000-000062760000}"/>
    <cellStyle name="Normal 4 4 3 2 12" xfId="21548" xr:uid="{00000000-0005-0000-0000-000063760000}"/>
    <cellStyle name="Normal 4 4 3 2 13" xfId="21549" xr:uid="{00000000-0005-0000-0000-000064760000}"/>
    <cellStyle name="Normal 4 4 3 2 14" xfId="21550" xr:uid="{00000000-0005-0000-0000-000065760000}"/>
    <cellStyle name="Normal 4 4 3 2 2" xfId="21551" xr:uid="{00000000-0005-0000-0000-000066760000}"/>
    <cellStyle name="Normal 4 4 3 2 2 2" xfId="21552" xr:uid="{00000000-0005-0000-0000-000067760000}"/>
    <cellStyle name="Normal 4 4 3 2 2 2 2" xfId="21553" xr:uid="{00000000-0005-0000-0000-000068760000}"/>
    <cellStyle name="Normal 4 4 3 2 2 2 2 2" xfId="21554" xr:uid="{00000000-0005-0000-0000-000069760000}"/>
    <cellStyle name="Normal 4 4 3 2 2 2 2 2 2" xfId="54780" xr:uid="{00000000-0005-0000-0000-00006A760000}"/>
    <cellStyle name="Normal 4 4 3 2 2 2 2 2 3" xfId="54781" xr:uid="{00000000-0005-0000-0000-00006B760000}"/>
    <cellStyle name="Normal 4 4 3 2 2 2 2 3" xfId="21555" xr:uid="{00000000-0005-0000-0000-00006C760000}"/>
    <cellStyle name="Normal 4 4 3 2 2 2 2 3 2" xfId="54782" xr:uid="{00000000-0005-0000-0000-00006D760000}"/>
    <cellStyle name="Normal 4 4 3 2 2 2 2 4" xfId="21556" xr:uid="{00000000-0005-0000-0000-00006E760000}"/>
    <cellStyle name="Normal 4 4 3 2 2 2 2 5" xfId="21557" xr:uid="{00000000-0005-0000-0000-00006F760000}"/>
    <cellStyle name="Normal 4 4 3 2 2 2 2 6" xfId="21558" xr:uid="{00000000-0005-0000-0000-000070760000}"/>
    <cellStyle name="Normal 4 4 3 2 2 2 3" xfId="21559" xr:uid="{00000000-0005-0000-0000-000071760000}"/>
    <cellStyle name="Normal 4 4 3 2 2 2 3 2" xfId="54783" xr:uid="{00000000-0005-0000-0000-000072760000}"/>
    <cellStyle name="Normal 4 4 3 2 2 2 3 3" xfId="54784" xr:uid="{00000000-0005-0000-0000-000073760000}"/>
    <cellStyle name="Normal 4 4 3 2 2 2 4" xfId="21560" xr:uid="{00000000-0005-0000-0000-000074760000}"/>
    <cellStyle name="Normal 4 4 3 2 2 2 4 2" xfId="54785" xr:uid="{00000000-0005-0000-0000-000075760000}"/>
    <cellStyle name="Normal 4 4 3 2 2 2 5" xfId="21561" xr:uid="{00000000-0005-0000-0000-000076760000}"/>
    <cellStyle name="Normal 4 4 3 2 2 2 6" xfId="21562" xr:uid="{00000000-0005-0000-0000-000077760000}"/>
    <cellStyle name="Normal 4 4 3 2 2 2 7" xfId="21563" xr:uid="{00000000-0005-0000-0000-000078760000}"/>
    <cellStyle name="Normal 4 4 3 2 2 3" xfId="21564" xr:uid="{00000000-0005-0000-0000-000079760000}"/>
    <cellStyle name="Normal 4 4 3 2 2 3 2" xfId="21565" xr:uid="{00000000-0005-0000-0000-00007A760000}"/>
    <cellStyle name="Normal 4 4 3 2 2 3 2 2" xfId="54786" xr:uid="{00000000-0005-0000-0000-00007B760000}"/>
    <cellStyle name="Normal 4 4 3 2 2 3 2 3" xfId="54787" xr:uid="{00000000-0005-0000-0000-00007C760000}"/>
    <cellStyle name="Normal 4 4 3 2 2 3 3" xfId="21566" xr:uid="{00000000-0005-0000-0000-00007D760000}"/>
    <cellStyle name="Normal 4 4 3 2 2 3 3 2" xfId="54788" xr:uid="{00000000-0005-0000-0000-00007E760000}"/>
    <cellStyle name="Normal 4 4 3 2 2 3 4" xfId="21567" xr:uid="{00000000-0005-0000-0000-00007F760000}"/>
    <cellStyle name="Normal 4 4 3 2 2 3 5" xfId="21568" xr:uid="{00000000-0005-0000-0000-000080760000}"/>
    <cellStyle name="Normal 4 4 3 2 2 3 6" xfId="21569" xr:uid="{00000000-0005-0000-0000-000081760000}"/>
    <cellStyle name="Normal 4 4 3 2 2 4" xfId="21570" xr:uid="{00000000-0005-0000-0000-000082760000}"/>
    <cellStyle name="Normal 4 4 3 2 2 4 2" xfId="54789" xr:uid="{00000000-0005-0000-0000-000083760000}"/>
    <cellStyle name="Normal 4 4 3 2 2 4 3" xfId="54790" xr:uid="{00000000-0005-0000-0000-000084760000}"/>
    <cellStyle name="Normal 4 4 3 2 2 5" xfId="21571" xr:uid="{00000000-0005-0000-0000-000085760000}"/>
    <cellStyle name="Normal 4 4 3 2 2 5 2" xfId="54791" xr:uid="{00000000-0005-0000-0000-000086760000}"/>
    <cellStyle name="Normal 4 4 3 2 2 6" xfId="21572" xr:uid="{00000000-0005-0000-0000-000087760000}"/>
    <cellStyle name="Normal 4 4 3 2 2 7" xfId="21573" xr:uid="{00000000-0005-0000-0000-000088760000}"/>
    <cellStyle name="Normal 4 4 3 2 2 8" xfId="21574" xr:uid="{00000000-0005-0000-0000-000089760000}"/>
    <cellStyle name="Normal 4 4 3 2 2 9" xfId="21575" xr:uid="{00000000-0005-0000-0000-00008A760000}"/>
    <cellStyle name="Normal 4 4 3 2 3" xfId="21576" xr:uid="{00000000-0005-0000-0000-00008B760000}"/>
    <cellStyle name="Normal 4 4 3 2 3 2" xfId="21577" xr:uid="{00000000-0005-0000-0000-00008C760000}"/>
    <cellStyle name="Normal 4 4 3 2 3 2 2" xfId="21578" xr:uid="{00000000-0005-0000-0000-00008D760000}"/>
    <cellStyle name="Normal 4 4 3 2 3 2 2 2" xfId="21579" xr:uid="{00000000-0005-0000-0000-00008E760000}"/>
    <cellStyle name="Normal 4 4 3 2 3 2 2 2 2" xfId="54792" xr:uid="{00000000-0005-0000-0000-00008F760000}"/>
    <cellStyle name="Normal 4 4 3 2 3 2 2 2 3" xfId="54793" xr:uid="{00000000-0005-0000-0000-000090760000}"/>
    <cellStyle name="Normal 4 4 3 2 3 2 2 3" xfId="21580" xr:uid="{00000000-0005-0000-0000-000091760000}"/>
    <cellStyle name="Normal 4 4 3 2 3 2 2 3 2" xfId="54794" xr:uid="{00000000-0005-0000-0000-000092760000}"/>
    <cellStyle name="Normal 4 4 3 2 3 2 2 4" xfId="21581" xr:uid="{00000000-0005-0000-0000-000093760000}"/>
    <cellStyle name="Normal 4 4 3 2 3 2 2 5" xfId="21582" xr:uid="{00000000-0005-0000-0000-000094760000}"/>
    <cellStyle name="Normal 4 4 3 2 3 2 2 6" xfId="21583" xr:uid="{00000000-0005-0000-0000-000095760000}"/>
    <cellStyle name="Normal 4 4 3 2 3 2 3" xfId="21584" xr:uid="{00000000-0005-0000-0000-000096760000}"/>
    <cellStyle name="Normal 4 4 3 2 3 2 3 2" xfId="54795" xr:uid="{00000000-0005-0000-0000-000097760000}"/>
    <cellStyle name="Normal 4 4 3 2 3 2 3 3" xfId="54796" xr:uid="{00000000-0005-0000-0000-000098760000}"/>
    <cellStyle name="Normal 4 4 3 2 3 2 4" xfId="21585" xr:uid="{00000000-0005-0000-0000-000099760000}"/>
    <cellStyle name="Normal 4 4 3 2 3 2 4 2" xfId="54797" xr:uid="{00000000-0005-0000-0000-00009A760000}"/>
    <cellStyle name="Normal 4 4 3 2 3 2 5" xfId="21586" xr:uid="{00000000-0005-0000-0000-00009B760000}"/>
    <cellStyle name="Normal 4 4 3 2 3 2 6" xfId="21587" xr:uid="{00000000-0005-0000-0000-00009C760000}"/>
    <cellStyle name="Normal 4 4 3 2 3 2 7" xfId="21588" xr:uid="{00000000-0005-0000-0000-00009D760000}"/>
    <cellStyle name="Normal 4 4 3 2 3 3" xfId="21589" xr:uid="{00000000-0005-0000-0000-00009E760000}"/>
    <cellStyle name="Normal 4 4 3 2 3 3 2" xfId="21590" xr:uid="{00000000-0005-0000-0000-00009F760000}"/>
    <cellStyle name="Normal 4 4 3 2 3 3 2 2" xfId="54798" xr:uid="{00000000-0005-0000-0000-0000A0760000}"/>
    <cellStyle name="Normal 4 4 3 2 3 3 2 3" xfId="54799" xr:uid="{00000000-0005-0000-0000-0000A1760000}"/>
    <cellStyle name="Normal 4 4 3 2 3 3 3" xfId="21591" xr:uid="{00000000-0005-0000-0000-0000A2760000}"/>
    <cellStyle name="Normal 4 4 3 2 3 3 3 2" xfId="54800" xr:uid="{00000000-0005-0000-0000-0000A3760000}"/>
    <cellStyle name="Normal 4 4 3 2 3 3 4" xfId="21592" xr:uid="{00000000-0005-0000-0000-0000A4760000}"/>
    <cellStyle name="Normal 4 4 3 2 3 3 5" xfId="21593" xr:uid="{00000000-0005-0000-0000-0000A5760000}"/>
    <cellStyle name="Normal 4 4 3 2 3 3 6" xfId="21594" xr:uid="{00000000-0005-0000-0000-0000A6760000}"/>
    <cellStyle name="Normal 4 4 3 2 3 4" xfId="21595" xr:uid="{00000000-0005-0000-0000-0000A7760000}"/>
    <cellStyle name="Normal 4 4 3 2 3 4 2" xfId="54801" xr:uid="{00000000-0005-0000-0000-0000A8760000}"/>
    <cellStyle name="Normal 4 4 3 2 3 4 3" xfId="54802" xr:uid="{00000000-0005-0000-0000-0000A9760000}"/>
    <cellStyle name="Normal 4 4 3 2 3 5" xfId="21596" xr:uid="{00000000-0005-0000-0000-0000AA760000}"/>
    <cellStyle name="Normal 4 4 3 2 3 5 2" xfId="54803" xr:uid="{00000000-0005-0000-0000-0000AB760000}"/>
    <cellStyle name="Normal 4 4 3 2 3 6" xfId="21597" xr:uid="{00000000-0005-0000-0000-0000AC760000}"/>
    <cellStyle name="Normal 4 4 3 2 3 7" xfId="21598" xr:uid="{00000000-0005-0000-0000-0000AD760000}"/>
    <cellStyle name="Normal 4 4 3 2 3 8" xfId="21599" xr:uid="{00000000-0005-0000-0000-0000AE760000}"/>
    <cellStyle name="Normal 4 4 3 2 4" xfId="21600" xr:uid="{00000000-0005-0000-0000-0000AF760000}"/>
    <cellStyle name="Normal 4 4 3 2 4 2" xfId="21601" xr:uid="{00000000-0005-0000-0000-0000B0760000}"/>
    <cellStyle name="Normal 4 4 3 2 4 2 2" xfId="21602" xr:uid="{00000000-0005-0000-0000-0000B1760000}"/>
    <cellStyle name="Normal 4 4 3 2 4 2 2 2" xfId="54804" xr:uid="{00000000-0005-0000-0000-0000B2760000}"/>
    <cellStyle name="Normal 4 4 3 2 4 2 2 3" xfId="54805" xr:uid="{00000000-0005-0000-0000-0000B3760000}"/>
    <cellStyle name="Normal 4 4 3 2 4 2 3" xfId="21603" xr:uid="{00000000-0005-0000-0000-0000B4760000}"/>
    <cellStyle name="Normal 4 4 3 2 4 2 3 2" xfId="54806" xr:uid="{00000000-0005-0000-0000-0000B5760000}"/>
    <cellStyle name="Normal 4 4 3 2 4 2 4" xfId="21604" xr:uid="{00000000-0005-0000-0000-0000B6760000}"/>
    <cellStyle name="Normal 4 4 3 2 4 2 5" xfId="21605" xr:uid="{00000000-0005-0000-0000-0000B7760000}"/>
    <cellStyle name="Normal 4 4 3 2 4 2 6" xfId="21606" xr:uid="{00000000-0005-0000-0000-0000B8760000}"/>
    <cellStyle name="Normal 4 4 3 2 4 3" xfId="21607" xr:uid="{00000000-0005-0000-0000-0000B9760000}"/>
    <cellStyle name="Normal 4 4 3 2 4 3 2" xfId="54807" xr:uid="{00000000-0005-0000-0000-0000BA760000}"/>
    <cellStyle name="Normal 4 4 3 2 4 3 3" xfId="54808" xr:uid="{00000000-0005-0000-0000-0000BB760000}"/>
    <cellStyle name="Normal 4 4 3 2 4 4" xfId="21608" xr:uid="{00000000-0005-0000-0000-0000BC760000}"/>
    <cellStyle name="Normal 4 4 3 2 4 4 2" xfId="54809" xr:uid="{00000000-0005-0000-0000-0000BD760000}"/>
    <cellStyle name="Normal 4 4 3 2 4 5" xfId="21609" xr:uid="{00000000-0005-0000-0000-0000BE760000}"/>
    <cellStyle name="Normal 4 4 3 2 4 6" xfId="21610" xr:uid="{00000000-0005-0000-0000-0000BF760000}"/>
    <cellStyle name="Normal 4 4 3 2 4 7" xfId="21611" xr:uid="{00000000-0005-0000-0000-0000C0760000}"/>
    <cellStyle name="Normal 4 4 3 2 5" xfId="21612" xr:uid="{00000000-0005-0000-0000-0000C1760000}"/>
    <cellStyle name="Normal 4 4 3 2 5 2" xfId="21613" xr:uid="{00000000-0005-0000-0000-0000C2760000}"/>
    <cellStyle name="Normal 4 4 3 2 5 2 2" xfId="54810" xr:uid="{00000000-0005-0000-0000-0000C3760000}"/>
    <cellStyle name="Normal 4 4 3 2 5 2 3" xfId="54811" xr:uid="{00000000-0005-0000-0000-0000C4760000}"/>
    <cellStyle name="Normal 4 4 3 2 5 3" xfId="21614" xr:uid="{00000000-0005-0000-0000-0000C5760000}"/>
    <cellStyle name="Normal 4 4 3 2 5 3 2" xfId="54812" xr:uid="{00000000-0005-0000-0000-0000C6760000}"/>
    <cellStyle name="Normal 4 4 3 2 5 4" xfId="21615" xr:uid="{00000000-0005-0000-0000-0000C7760000}"/>
    <cellStyle name="Normal 4 4 3 2 5 5" xfId="21616" xr:uid="{00000000-0005-0000-0000-0000C8760000}"/>
    <cellStyle name="Normal 4 4 3 2 5 6" xfId="21617" xr:uid="{00000000-0005-0000-0000-0000C9760000}"/>
    <cellStyle name="Normal 4 4 3 2 6" xfId="21618" xr:uid="{00000000-0005-0000-0000-0000CA760000}"/>
    <cellStyle name="Normal 4 4 3 2 6 2" xfId="54813" xr:uid="{00000000-0005-0000-0000-0000CB760000}"/>
    <cellStyle name="Normal 4 4 3 2 6 3" xfId="54814" xr:uid="{00000000-0005-0000-0000-0000CC760000}"/>
    <cellStyle name="Normal 4 4 3 2 7" xfId="21619" xr:uid="{00000000-0005-0000-0000-0000CD760000}"/>
    <cellStyle name="Normal 4 4 3 2 7 2" xfId="54815" xr:uid="{00000000-0005-0000-0000-0000CE760000}"/>
    <cellStyle name="Normal 4 4 3 2 8" xfId="21620" xr:uid="{00000000-0005-0000-0000-0000CF760000}"/>
    <cellStyle name="Normal 4 4 3 2 9" xfId="21621" xr:uid="{00000000-0005-0000-0000-0000D0760000}"/>
    <cellStyle name="Normal 4 4 3 3" xfId="21622" xr:uid="{00000000-0005-0000-0000-0000D1760000}"/>
    <cellStyle name="Normal 4 4 3 3 2" xfId="21623" xr:uid="{00000000-0005-0000-0000-0000D2760000}"/>
    <cellStyle name="Normal 4 4 3 3 2 2" xfId="21624" xr:uid="{00000000-0005-0000-0000-0000D3760000}"/>
    <cellStyle name="Normal 4 4 3 3 2 2 2" xfId="21625" xr:uid="{00000000-0005-0000-0000-0000D4760000}"/>
    <cellStyle name="Normal 4 4 3 3 2 2 2 2" xfId="54816" xr:uid="{00000000-0005-0000-0000-0000D5760000}"/>
    <cellStyle name="Normal 4 4 3 3 2 2 2 3" xfId="54817" xr:uid="{00000000-0005-0000-0000-0000D6760000}"/>
    <cellStyle name="Normal 4 4 3 3 2 2 3" xfId="21626" xr:uid="{00000000-0005-0000-0000-0000D7760000}"/>
    <cellStyle name="Normal 4 4 3 3 2 2 3 2" xfId="54818" xr:uid="{00000000-0005-0000-0000-0000D8760000}"/>
    <cellStyle name="Normal 4 4 3 3 2 2 4" xfId="21627" xr:uid="{00000000-0005-0000-0000-0000D9760000}"/>
    <cellStyle name="Normal 4 4 3 3 2 2 5" xfId="21628" xr:uid="{00000000-0005-0000-0000-0000DA760000}"/>
    <cellStyle name="Normal 4 4 3 3 2 2 6" xfId="21629" xr:uid="{00000000-0005-0000-0000-0000DB760000}"/>
    <cellStyle name="Normal 4 4 3 3 2 3" xfId="21630" xr:uid="{00000000-0005-0000-0000-0000DC760000}"/>
    <cellStyle name="Normal 4 4 3 3 2 3 2" xfId="54819" xr:uid="{00000000-0005-0000-0000-0000DD760000}"/>
    <cellStyle name="Normal 4 4 3 3 2 3 3" xfId="54820" xr:uid="{00000000-0005-0000-0000-0000DE760000}"/>
    <cellStyle name="Normal 4 4 3 3 2 4" xfId="21631" xr:uid="{00000000-0005-0000-0000-0000DF760000}"/>
    <cellStyle name="Normal 4 4 3 3 2 4 2" xfId="54821" xr:uid="{00000000-0005-0000-0000-0000E0760000}"/>
    <cellStyle name="Normal 4 4 3 3 2 5" xfId="21632" xr:uid="{00000000-0005-0000-0000-0000E1760000}"/>
    <cellStyle name="Normal 4 4 3 3 2 6" xfId="21633" xr:uid="{00000000-0005-0000-0000-0000E2760000}"/>
    <cellStyle name="Normal 4 4 3 3 2 7" xfId="21634" xr:uid="{00000000-0005-0000-0000-0000E3760000}"/>
    <cellStyle name="Normal 4 4 3 3 3" xfId="21635" xr:uid="{00000000-0005-0000-0000-0000E4760000}"/>
    <cellStyle name="Normal 4 4 3 3 3 2" xfId="21636" xr:uid="{00000000-0005-0000-0000-0000E5760000}"/>
    <cellStyle name="Normal 4 4 3 3 3 2 2" xfId="54822" xr:uid="{00000000-0005-0000-0000-0000E6760000}"/>
    <cellStyle name="Normal 4 4 3 3 3 2 3" xfId="54823" xr:uid="{00000000-0005-0000-0000-0000E7760000}"/>
    <cellStyle name="Normal 4 4 3 3 3 3" xfId="21637" xr:uid="{00000000-0005-0000-0000-0000E8760000}"/>
    <cellStyle name="Normal 4 4 3 3 3 3 2" xfId="54824" xr:uid="{00000000-0005-0000-0000-0000E9760000}"/>
    <cellStyle name="Normal 4 4 3 3 3 4" xfId="21638" xr:uid="{00000000-0005-0000-0000-0000EA760000}"/>
    <cellStyle name="Normal 4 4 3 3 3 5" xfId="21639" xr:uid="{00000000-0005-0000-0000-0000EB760000}"/>
    <cellStyle name="Normal 4 4 3 3 3 6" xfId="21640" xr:uid="{00000000-0005-0000-0000-0000EC760000}"/>
    <cellStyle name="Normal 4 4 3 3 4" xfId="21641" xr:uid="{00000000-0005-0000-0000-0000ED760000}"/>
    <cellStyle name="Normal 4 4 3 3 4 2" xfId="54825" xr:uid="{00000000-0005-0000-0000-0000EE760000}"/>
    <cellStyle name="Normal 4 4 3 3 4 3" xfId="54826" xr:uid="{00000000-0005-0000-0000-0000EF760000}"/>
    <cellStyle name="Normal 4 4 3 3 5" xfId="21642" xr:uid="{00000000-0005-0000-0000-0000F0760000}"/>
    <cellStyle name="Normal 4 4 3 3 5 2" xfId="54827" xr:uid="{00000000-0005-0000-0000-0000F1760000}"/>
    <cellStyle name="Normal 4 4 3 3 6" xfId="21643" xr:uid="{00000000-0005-0000-0000-0000F2760000}"/>
    <cellStyle name="Normal 4 4 3 3 7" xfId="21644" xr:uid="{00000000-0005-0000-0000-0000F3760000}"/>
    <cellStyle name="Normal 4 4 3 3 8" xfId="21645" xr:uid="{00000000-0005-0000-0000-0000F4760000}"/>
    <cellStyle name="Normal 4 4 3 3 9" xfId="21646" xr:uid="{00000000-0005-0000-0000-0000F5760000}"/>
    <cellStyle name="Normal 4 4 3 4" xfId="21647" xr:uid="{00000000-0005-0000-0000-0000F6760000}"/>
    <cellStyle name="Normal 4 4 3 4 2" xfId="21648" xr:uid="{00000000-0005-0000-0000-0000F7760000}"/>
    <cellStyle name="Normal 4 4 3 4 2 2" xfId="21649" xr:uid="{00000000-0005-0000-0000-0000F8760000}"/>
    <cellStyle name="Normal 4 4 3 4 2 2 2" xfId="21650" xr:uid="{00000000-0005-0000-0000-0000F9760000}"/>
    <cellStyle name="Normal 4 4 3 4 2 2 2 2" xfId="54828" xr:uid="{00000000-0005-0000-0000-0000FA760000}"/>
    <cellStyle name="Normal 4 4 3 4 2 2 2 3" xfId="54829" xr:uid="{00000000-0005-0000-0000-0000FB760000}"/>
    <cellStyle name="Normal 4 4 3 4 2 2 3" xfId="21651" xr:uid="{00000000-0005-0000-0000-0000FC760000}"/>
    <cellStyle name="Normal 4 4 3 4 2 2 3 2" xfId="54830" xr:uid="{00000000-0005-0000-0000-0000FD760000}"/>
    <cellStyle name="Normal 4 4 3 4 2 2 4" xfId="21652" xr:uid="{00000000-0005-0000-0000-0000FE760000}"/>
    <cellStyle name="Normal 4 4 3 4 2 2 5" xfId="21653" xr:uid="{00000000-0005-0000-0000-0000FF760000}"/>
    <cellStyle name="Normal 4 4 3 4 2 2 6" xfId="21654" xr:uid="{00000000-0005-0000-0000-000000770000}"/>
    <cellStyle name="Normal 4 4 3 4 2 3" xfId="21655" xr:uid="{00000000-0005-0000-0000-000001770000}"/>
    <cellStyle name="Normal 4 4 3 4 2 3 2" xfId="54831" xr:uid="{00000000-0005-0000-0000-000002770000}"/>
    <cellStyle name="Normal 4 4 3 4 2 3 3" xfId="54832" xr:uid="{00000000-0005-0000-0000-000003770000}"/>
    <cellStyle name="Normal 4 4 3 4 2 4" xfId="21656" xr:uid="{00000000-0005-0000-0000-000004770000}"/>
    <cellStyle name="Normal 4 4 3 4 2 4 2" xfId="54833" xr:uid="{00000000-0005-0000-0000-000005770000}"/>
    <cellStyle name="Normal 4 4 3 4 2 5" xfId="21657" xr:uid="{00000000-0005-0000-0000-000006770000}"/>
    <cellStyle name="Normal 4 4 3 4 2 6" xfId="21658" xr:uid="{00000000-0005-0000-0000-000007770000}"/>
    <cellStyle name="Normal 4 4 3 4 2 7" xfId="21659" xr:uid="{00000000-0005-0000-0000-000008770000}"/>
    <cellStyle name="Normal 4 4 3 4 3" xfId="21660" xr:uid="{00000000-0005-0000-0000-000009770000}"/>
    <cellStyle name="Normal 4 4 3 4 3 2" xfId="21661" xr:uid="{00000000-0005-0000-0000-00000A770000}"/>
    <cellStyle name="Normal 4 4 3 4 3 2 2" xfId="54834" xr:uid="{00000000-0005-0000-0000-00000B770000}"/>
    <cellStyle name="Normal 4 4 3 4 3 2 3" xfId="54835" xr:uid="{00000000-0005-0000-0000-00000C770000}"/>
    <cellStyle name="Normal 4 4 3 4 3 3" xfId="21662" xr:uid="{00000000-0005-0000-0000-00000D770000}"/>
    <cellStyle name="Normal 4 4 3 4 3 3 2" xfId="54836" xr:uid="{00000000-0005-0000-0000-00000E770000}"/>
    <cellStyle name="Normal 4 4 3 4 3 4" xfId="21663" xr:uid="{00000000-0005-0000-0000-00000F770000}"/>
    <cellStyle name="Normal 4 4 3 4 3 5" xfId="21664" xr:uid="{00000000-0005-0000-0000-000010770000}"/>
    <cellStyle name="Normal 4 4 3 4 3 6" xfId="21665" xr:uid="{00000000-0005-0000-0000-000011770000}"/>
    <cellStyle name="Normal 4 4 3 4 4" xfId="21666" xr:uid="{00000000-0005-0000-0000-000012770000}"/>
    <cellStyle name="Normal 4 4 3 4 4 2" xfId="54837" xr:uid="{00000000-0005-0000-0000-000013770000}"/>
    <cellStyle name="Normal 4 4 3 4 4 3" xfId="54838" xr:uid="{00000000-0005-0000-0000-000014770000}"/>
    <cellStyle name="Normal 4 4 3 4 5" xfId="21667" xr:uid="{00000000-0005-0000-0000-000015770000}"/>
    <cellStyle name="Normal 4 4 3 4 5 2" xfId="54839" xr:uid="{00000000-0005-0000-0000-000016770000}"/>
    <cellStyle name="Normal 4 4 3 4 6" xfId="21668" xr:uid="{00000000-0005-0000-0000-000017770000}"/>
    <cellStyle name="Normal 4 4 3 4 7" xfId="21669" xr:uid="{00000000-0005-0000-0000-000018770000}"/>
    <cellStyle name="Normal 4 4 3 4 8" xfId="21670" xr:uid="{00000000-0005-0000-0000-000019770000}"/>
    <cellStyle name="Normal 4 4 3 5" xfId="21671" xr:uid="{00000000-0005-0000-0000-00001A770000}"/>
    <cellStyle name="Normal 4 4 3 5 2" xfId="21672" xr:uid="{00000000-0005-0000-0000-00001B770000}"/>
    <cellStyle name="Normal 4 4 3 5 2 2" xfId="21673" xr:uid="{00000000-0005-0000-0000-00001C770000}"/>
    <cellStyle name="Normal 4 4 3 5 2 2 2" xfId="54840" xr:uid="{00000000-0005-0000-0000-00001D770000}"/>
    <cellStyle name="Normal 4 4 3 5 2 2 3" xfId="54841" xr:uid="{00000000-0005-0000-0000-00001E770000}"/>
    <cellStyle name="Normal 4 4 3 5 2 3" xfId="21674" xr:uid="{00000000-0005-0000-0000-00001F770000}"/>
    <cellStyle name="Normal 4 4 3 5 2 3 2" xfId="54842" xr:uid="{00000000-0005-0000-0000-000020770000}"/>
    <cellStyle name="Normal 4 4 3 5 2 4" xfId="21675" xr:uid="{00000000-0005-0000-0000-000021770000}"/>
    <cellStyle name="Normal 4 4 3 5 2 5" xfId="21676" xr:uid="{00000000-0005-0000-0000-000022770000}"/>
    <cellStyle name="Normal 4 4 3 5 2 6" xfId="21677" xr:uid="{00000000-0005-0000-0000-000023770000}"/>
    <cellStyle name="Normal 4 4 3 5 3" xfId="21678" xr:uid="{00000000-0005-0000-0000-000024770000}"/>
    <cellStyle name="Normal 4 4 3 5 3 2" xfId="54843" xr:uid="{00000000-0005-0000-0000-000025770000}"/>
    <cellStyle name="Normal 4 4 3 5 3 3" xfId="54844" xr:uid="{00000000-0005-0000-0000-000026770000}"/>
    <cellStyle name="Normal 4 4 3 5 4" xfId="21679" xr:uid="{00000000-0005-0000-0000-000027770000}"/>
    <cellStyle name="Normal 4 4 3 5 4 2" xfId="54845" xr:uid="{00000000-0005-0000-0000-000028770000}"/>
    <cellStyle name="Normal 4 4 3 5 5" xfId="21680" xr:uid="{00000000-0005-0000-0000-000029770000}"/>
    <cellStyle name="Normal 4 4 3 5 6" xfId="21681" xr:uid="{00000000-0005-0000-0000-00002A770000}"/>
    <cellStyle name="Normal 4 4 3 5 7" xfId="21682" xr:uid="{00000000-0005-0000-0000-00002B770000}"/>
    <cellStyle name="Normal 4 4 3 6" xfId="21683" xr:uid="{00000000-0005-0000-0000-00002C770000}"/>
    <cellStyle name="Normal 4 4 3 6 2" xfId="21684" xr:uid="{00000000-0005-0000-0000-00002D770000}"/>
    <cellStyle name="Normal 4 4 3 6 2 2" xfId="54846" xr:uid="{00000000-0005-0000-0000-00002E770000}"/>
    <cellStyle name="Normal 4 4 3 6 2 3" xfId="54847" xr:uid="{00000000-0005-0000-0000-00002F770000}"/>
    <cellStyle name="Normal 4 4 3 6 3" xfId="21685" xr:uid="{00000000-0005-0000-0000-000030770000}"/>
    <cellStyle name="Normal 4 4 3 6 3 2" xfId="54848" xr:uid="{00000000-0005-0000-0000-000031770000}"/>
    <cellStyle name="Normal 4 4 3 6 4" xfId="21686" xr:uid="{00000000-0005-0000-0000-000032770000}"/>
    <cellStyle name="Normal 4 4 3 6 5" xfId="21687" xr:uid="{00000000-0005-0000-0000-000033770000}"/>
    <cellStyle name="Normal 4 4 3 6 6" xfId="21688" xr:uid="{00000000-0005-0000-0000-000034770000}"/>
    <cellStyle name="Normal 4 4 3 7" xfId="21689" xr:uid="{00000000-0005-0000-0000-000035770000}"/>
    <cellStyle name="Normal 4 4 3 7 2" xfId="54849" xr:uid="{00000000-0005-0000-0000-000036770000}"/>
    <cellStyle name="Normal 4 4 3 7 3" xfId="54850" xr:uid="{00000000-0005-0000-0000-000037770000}"/>
    <cellStyle name="Normal 4 4 3 8" xfId="21690" xr:uid="{00000000-0005-0000-0000-000038770000}"/>
    <cellStyle name="Normal 4 4 3 8 2" xfId="54851" xr:uid="{00000000-0005-0000-0000-000039770000}"/>
    <cellStyle name="Normal 4 4 3 9" xfId="21691" xr:uid="{00000000-0005-0000-0000-00003A770000}"/>
    <cellStyle name="Normal 4 4 4" xfId="21692" xr:uid="{00000000-0005-0000-0000-00003B770000}"/>
    <cellStyle name="Normal 4 4 4 10" xfId="21693" xr:uid="{00000000-0005-0000-0000-00003C770000}"/>
    <cellStyle name="Normal 4 4 4 11" xfId="21694" xr:uid="{00000000-0005-0000-0000-00003D770000}"/>
    <cellStyle name="Normal 4 4 4 12" xfId="21695" xr:uid="{00000000-0005-0000-0000-00003E770000}"/>
    <cellStyle name="Normal 4 4 4 13" xfId="21696" xr:uid="{00000000-0005-0000-0000-00003F770000}"/>
    <cellStyle name="Normal 4 4 4 14" xfId="21697" xr:uid="{00000000-0005-0000-0000-000040770000}"/>
    <cellStyle name="Normal 4 4 4 2" xfId="21698" xr:uid="{00000000-0005-0000-0000-000041770000}"/>
    <cellStyle name="Normal 4 4 4 2 2" xfId="21699" xr:uid="{00000000-0005-0000-0000-000042770000}"/>
    <cellStyle name="Normal 4 4 4 2 2 2" xfId="21700" xr:uid="{00000000-0005-0000-0000-000043770000}"/>
    <cellStyle name="Normal 4 4 4 2 2 2 2" xfId="21701" xr:uid="{00000000-0005-0000-0000-000044770000}"/>
    <cellStyle name="Normal 4 4 4 2 2 2 2 2" xfId="54852" xr:uid="{00000000-0005-0000-0000-000045770000}"/>
    <cellStyle name="Normal 4 4 4 2 2 2 2 3" xfId="54853" xr:uid="{00000000-0005-0000-0000-000046770000}"/>
    <cellStyle name="Normal 4 4 4 2 2 2 3" xfId="21702" xr:uid="{00000000-0005-0000-0000-000047770000}"/>
    <cellStyle name="Normal 4 4 4 2 2 2 3 2" xfId="54854" xr:uid="{00000000-0005-0000-0000-000048770000}"/>
    <cellStyle name="Normal 4 4 4 2 2 2 4" xfId="21703" xr:uid="{00000000-0005-0000-0000-000049770000}"/>
    <cellStyle name="Normal 4 4 4 2 2 2 5" xfId="21704" xr:uid="{00000000-0005-0000-0000-00004A770000}"/>
    <cellStyle name="Normal 4 4 4 2 2 2 6" xfId="21705" xr:uid="{00000000-0005-0000-0000-00004B770000}"/>
    <cellStyle name="Normal 4 4 4 2 2 3" xfId="21706" xr:uid="{00000000-0005-0000-0000-00004C770000}"/>
    <cellStyle name="Normal 4 4 4 2 2 3 2" xfId="54855" xr:uid="{00000000-0005-0000-0000-00004D770000}"/>
    <cellStyle name="Normal 4 4 4 2 2 3 3" xfId="54856" xr:uid="{00000000-0005-0000-0000-00004E770000}"/>
    <cellStyle name="Normal 4 4 4 2 2 4" xfId="21707" xr:uid="{00000000-0005-0000-0000-00004F770000}"/>
    <cellStyle name="Normal 4 4 4 2 2 4 2" xfId="54857" xr:uid="{00000000-0005-0000-0000-000050770000}"/>
    <cellStyle name="Normal 4 4 4 2 2 5" xfId="21708" xr:uid="{00000000-0005-0000-0000-000051770000}"/>
    <cellStyle name="Normal 4 4 4 2 2 6" xfId="21709" xr:uid="{00000000-0005-0000-0000-000052770000}"/>
    <cellStyle name="Normal 4 4 4 2 2 7" xfId="21710" xr:uid="{00000000-0005-0000-0000-000053770000}"/>
    <cellStyle name="Normal 4 4 4 2 3" xfId="21711" xr:uid="{00000000-0005-0000-0000-000054770000}"/>
    <cellStyle name="Normal 4 4 4 2 3 2" xfId="21712" xr:uid="{00000000-0005-0000-0000-000055770000}"/>
    <cellStyle name="Normal 4 4 4 2 3 2 2" xfId="54858" xr:uid="{00000000-0005-0000-0000-000056770000}"/>
    <cellStyle name="Normal 4 4 4 2 3 2 3" xfId="54859" xr:uid="{00000000-0005-0000-0000-000057770000}"/>
    <cellStyle name="Normal 4 4 4 2 3 3" xfId="21713" xr:uid="{00000000-0005-0000-0000-000058770000}"/>
    <cellStyle name="Normal 4 4 4 2 3 3 2" xfId="54860" xr:uid="{00000000-0005-0000-0000-000059770000}"/>
    <cellStyle name="Normal 4 4 4 2 3 4" xfId="21714" xr:uid="{00000000-0005-0000-0000-00005A770000}"/>
    <cellStyle name="Normal 4 4 4 2 3 5" xfId="21715" xr:uid="{00000000-0005-0000-0000-00005B770000}"/>
    <cellStyle name="Normal 4 4 4 2 3 6" xfId="21716" xr:uid="{00000000-0005-0000-0000-00005C770000}"/>
    <cellStyle name="Normal 4 4 4 2 4" xfId="21717" xr:uid="{00000000-0005-0000-0000-00005D770000}"/>
    <cellStyle name="Normal 4 4 4 2 4 2" xfId="54861" xr:uid="{00000000-0005-0000-0000-00005E770000}"/>
    <cellStyle name="Normal 4 4 4 2 4 3" xfId="54862" xr:uid="{00000000-0005-0000-0000-00005F770000}"/>
    <cellStyle name="Normal 4 4 4 2 5" xfId="21718" xr:uid="{00000000-0005-0000-0000-000060770000}"/>
    <cellStyle name="Normal 4 4 4 2 5 2" xfId="54863" xr:uid="{00000000-0005-0000-0000-000061770000}"/>
    <cellStyle name="Normal 4 4 4 2 6" xfId="21719" xr:uid="{00000000-0005-0000-0000-000062770000}"/>
    <cellStyle name="Normal 4 4 4 2 7" xfId="21720" xr:uid="{00000000-0005-0000-0000-000063770000}"/>
    <cellStyle name="Normal 4 4 4 2 8" xfId="21721" xr:uid="{00000000-0005-0000-0000-000064770000}"/>
    <cellStyle name="Normal 4 4 4 2 9" xfId="21722" xr:uid="{00000000-0005-0000-0000-000065770000}"/>
    <cellStyle name="Normal 4 4 4 3" xfId="21723" xr:uid="{00000000-0005-0000-0000-000066770000}"/>
    <cellStyle name="Normal 4 4 4 3 2" xfId="21724" xr:uid="{00000000-0005-0000-0000-000067770000}"/>
    <cellStyle name="Normal 4 4 4 3 2 2" xfId="21725" xr:uid="{00000000-0005-0000-0000-000068770000}"/>
    <cellStyle name="Normal 4 4 4 3 2 2 2" xfId="21726" xr:uid="{00000000-0005-0000-0000-000069770000}"/>
    <cellStyle name="Normal 4 4 4 3 2 2 2 2" xfId="54864" xr:uid="{00000000-0005-0000-0000-00006A770000}"/>
    <cellStyle name="Normal 4 4 4 3 2 2 2 3" xfId="54865" xr:uid="{00000000-0005-0000-0000-00006B770000}"/>
    <cellStyle name="Normal 4 4 4 3 2 2 3" xfId="21727" xr:uid="{00000000-0005-0000-0000-00006C770000}"/>
    <cellStyle name="Normal 4 4 4 3 2 2 3 2" xfId="54866" xr:uid="{00000000-0005-0000-0000-00006D770000}"/>
    <cellStyle name="Normal 4 4 4 3 2 2 4" xfId="21728" xr:uid="{00000000-0005-0000-0000-00006E770000}"/>
    <cellStyle name="Normal 4 4 4 3 2 2 5" xfId="21729" xr:uid="{00000000-0005-0000-0000-00006F770000}"/>
    <cellStyle name="Normal 4 4 4 3 2 2 6" xfId="21730" xr:uid="{00000000-0005-0000-0000-000070770000}"/>
    <cellStyle name="Normal 4 4 4 3 2 3" xfId="21731" xr:uid="{00000000-0005-0000-0000-000071770000}"/>
    <cellStyle name="Normal 4 4 4 3 2 3 2" xfId="54867" xr:uid="{00000000-0005-0000-0000-000072770000}"/>
    <cellStyle name="Normal 4 4 4 3 2 3 3" xfId="54868" xr:uid="{00000000-0005-0000-0000-000073770000}"/>
    <cellStyle name="Normal 4 4 4 3 2 4" xfId="21732" xr:uid="{00000000-0005-0000-0000-000074770000}"/>
    <cellStyle name="Normal 4 4 4 3 2 4 2" xfId="54869" xr:uid="{00000000-0005-0000-0000-000075770000}"/>
    <cellStyle name="Normal 4 4 4 3 2 5" xfId="21733" xr:uid="{00000000-0005-0000-0000-000076770000}"/>
    <cellStyle name="Normal 4 4 4 3 2 6" xfId="21734" xr:uid="{00000000-0005-0000-0000-000077770000}"/>
    <cellStyle name="Normal 4 4 4 3 2 7" xfId="21735" xr:uid="{00000000-0005-0000-0000-000078770000}"/>
    <cellStyle name="Normal 4 4 4 3 3" xfId="21736" xr:uid="{00000000-0005-0000-0000-000079770000}"/>
    <cellStyle name="Normal 4 4 4 3 3 2" xfId="21737" xr:uid="{00000000-0005-0000-0000-00007A770000}"/>
    <cellStyle name="Normal 4 4 4 3 3 2 2" xfId="54870" xr:uid="{00000000-0005-0000-0000-00007B770000}"/>
    <cellStyle name="Normal 4 4 4 3 3 2 3" xfId="54871" xr:uid="{00000000-0005-0000-0000-00007C770000}"/>
    <cellStyle name="Normal 4 4 4 3 3 3" xfId="21738" xr:uid="{00000000-0005-0000-0000-00007D770000}"/>
    <cellStyle name="Normal 4 4 4 3 3 3 2" xfId="54872" xr:uid="{00000000-0005-0000-0000-00007E770000}"/>
    <cellStyle name="Normal 4 4 4 3 3 4" xfId="21739" xr:uid="{00000000-0005-0000-0000-00007F770000}"/>
    <cellStyle name="Normal 4 4 4 3 3 5" xfId="21740" xr:uid="{00000000-0005-0000-0000-000080770000}"/>
    <cellStyle name="Normal 4 4 4 3 3 6" xfId="21741" xr:uid="{00000000-0005-0000-0000-000081770000}"/>
    <cellStyle name="Normal 4 4 4 3 4" xfId="21742" xr:uid="{00000000-0005-0000-0000-000082770000}"/>
    <cellStyle name="Normal 4 4 4 3 4 2" xfId="54873" xr:uid="{00000000-0005-0000-0000-000083770000}"/>
    <cellStyle name="Normal 4 4 4 3 4 3" xfId="54874" xr:uid="{00000000-0005-0000-0000-000084770000}"/>
    <cellStyle name="Normal 4 4 4 3 5" xfId="21743" xr:uid="{00000000-0005-0000-0000-000085770000}"/>
    <cellStyle name="Normal 4 4 4 3 5 2" xfId="54875" xr:uid="{00000000-0005-0000-0000-000086770000}"/>
    <cellStyle name="Normal 4 4 4 3 6" xfId="21744" xr:uid="{00000000-0005-0000-0000-000087770000}"/>
    <cellStyle name="Normal 4 4 4 3 7" xfId="21745" xr:uid="{00000000-0005-0000-0000-000088770000}"/>
    <cellStyle name="Normal 4 4 4 3 8" xfId="21746" xr:uid="{00000000-0005-0000-0000-000089770000}"/>
    <cellStyle name="Normal 4 4 4 4" xfId="21747" xr:uid="{00000000-0005-0000-0000-00008A770000}"/>
    <cellStyle name="Normal 4 4 4 4 2" xfId="21748" xr:uid="{00000000-0005-0000-0000-00008B770000}"/>
    <cellStyle name="Normal 4 4 4 4 2 2" xfId="21749" xr:uid="{00000000-0005-0000-0000-00008C770000}"/>
    <cellStyle name="Normal 4 4 4 4 2 2 2" xfId="54876" xr:uid="{00000000-0005-0000-0000-00008D770000}"/>
    <cellStyle name="Normal 4 4 4 4 2 2 3" xfId="54877" xr:uid="{00000000-0005-0000-0000-00008E770000}"/>
    <cellStyle name="Normal 4 4 4 4 2 3" xfId="21750" xr:uid="{00000000-0005-0000-0000-00008F770000}"/>
    <cellStyle name="Normal 4 4 4 4 2 3 2" xfId="54878" xr:uid="{00000000-0005-0000-0000-000090770000}"/>
    <cellStyle name="Normal 4 4 4 4 2 4" xfId="21751" xr:uid="{00000000-0005-0000-0000-000091770000}"/>
    <cellStyle name="Normal 4 4 4 4 2 5" xfId="21752" xr:uid="{00000000-0005-0000-0000-000092770000}"/>
    <cellStyle name="Normal 4 4 4 4 2 6" xfId="21753" xr:uid="{00000000-0005-0000-0000-000093770000}"/>
    <cellStyle name="Normal 4 4 4 4 3" xfId="21754" xr:uid="{00000000-0005-0000-0000-000094770000}"/>
    <cellStyle name="Normal 4 4 4 4 3 2" xfId="54879" xr:uid="{00000000-0005-0000-0000-000095770000}"/>
    <cellStyle name="Normal 4 4 4 4 3 3" xfId="54880" xr:uid="{00000000-0005-0000-0000-000096770000}"/>
    <cellStyle name="Normal 4 4 4 4 4" xfId="21755" xr:uid="{00000000-0005-0000-0000-000097770000}"/>
    <cellStyle name="Normal 4 4 4 4 4 2" xfId="54881" xr:uid="{00000000-0005-0000-0000-000098770000}"/>
    <cellStyle name="Normal 4 4 4 4 5" xfId="21756" xr:uid="{00000000-0005-0000-0000-000099770000}"/>
    <cellStyle name="Normal 4 4 4 4 6" xfId="21757" xr:uid="{00000000-0005-0000-0000-00009A770000}"/>
    <cellStyle name="Normal 4 4 4 4 7" xfId="21758" xr:uid="{00000000-0005-0000-0000-00009B770000}"/>
    <cellStyle name="Normal 4 4 4 5" xfId="21759" xr:uid="{00000000-0005-0000-0000-00009C770000}"/>
    <cellStyle name="Normal 4 4 4 5 2" xfId="21760" xr:uid="{00000000-0005-0000-0000-00009D770000}"/>
    <cellStyle name="Normal 4 4 4 5 2 2" xfId="54882" xr:uid="{00000000-0005-0000-0000-00009E770000}"/>
    <cellStyle name="Normal 4 4 4 5 2 3" xfId="54883" xr:uid="{00000000-0005-0000-0000-00009F770000}"/>
    <cellStyle name="Normal 4 4 4 5 3" xfId="21761" xr:uid="{00000000-0005-0000-0000-0000A0770000}"/>
    <cellStyle name="Normal 4 4 4 5 3 2" xfId="54884" xr:uid="{00000000-0005-0000-0000-0000A1770000}"/>
    <cellStyle name="Normal 4 4 4 5 4" xfId="21762" xr:uid="{00000000-0005-0000-0000-0000A2770000}"/>
    <cellStyle name="Normal 4 4 4 5 5" xfId="21763" xr:uid="{00000000-0005-0000-0000-0000A3770000}"/>
    <cellStyle name="Normal 4 4 4 5 6" xfId="21764" xr:uid="{00000000-0005-0000-0000-0000A4770000}"/>
    <cellStyle name="Normal 4 4 4 6" xfId="21765" xr:uid="{00000000-0005-0000-0000-0000A5770000}"/>
    <cellStyle name="Normal 4 4 4 6 2" xfId="54885" xr:uid="{00000000-0005-0000-0000-0000A6770000}"/>
    <cellStyle name="Normal 4 4 4 6 3" xfId="54886" xr:uid="{00000000-0005-0000-0000-0000A7770000}"/>
    <cellStyle name="Normal 4 4 4 7" xfId="21766" xr:uid="{00000000-0005-0000-0000-0000A8770000}"/>
    <cellStyle name="Normal 4 4 4 7 2" xfId="54887" xr:uid="{00000000-0005-0000-0000-0000A9770000}"/>
    <cellStyle name="Normal 4 4 4 8" xfId="21767" xr:uid="{00000000-0005-0000-0000-0000AA770000}"/>
    <cellStyle name="Normal 4 4 4 9" xfId="21768" xr:uid="{00000000-0005-0000-0000-0000AB770000}"/>
    <cellStyle name="Normal 4 4 5" xfId="21769" xr:uid="{00000000-0005-0000-0000-0000AC770000}"/>
    <cellStyle name="Normal 4 4 5 10" xfId="21770" xr:uid="{00000000-0005-0000-0000-0000AD770000}"/>
    <cellStyle name="Normal 4 4 5 11" xfId="21771" xr:uid="{00000000-0005-0000-0000-0000AE770000}"/>
    <cellStyle name="Normal 4 4 5 12" xfId="21772" xr:uid="{00000000-0005-0000-0000-0000AF770000}"/>
    <cellStyle name="Normal 4 4 5 13" xfId="21773" xr:uid="{00000000-0005-0000-0000-0000B0770000}"/>
    <cellStyle name="Normal 4 4 5 14" xfId="21774" xr:uid="{00000000-0005-0000-0000-0000B1770000}"/>
    <cellStyle name="Normal 4 4 5 2" xfId="21775" xr:uid="{00000000-0005-0000-0000-0000B2770000}"/>
    <cellStyle name="Normal 4 4 5 2 2" xfId="21776" xr:uid="{00000000-0005-0000-0000-0000B3770000}"/>
    <cellStyle name="Normal 4 4 5 2 2 2" xfId="21777" xr:uid="{00000000-0005-0000-0000-0000B4770000}"/>
    <cellStyle name="Normal 4 4 5 2 2 2 2" xfId="21778" xr:uid="{00000000-0005-0000-0000-0000B5770000}"/>
    <cellStyle name="Normal 4 4 5 2 2 2 2 2" xfId="54888" xr:uid="{00000000-0005-0000-0000-0000B6770000}"/>
    <cellStyle name="Normal 4 4 5 2 2 2 2 3" xfId="54889" xr:uid="{00000000-0005-0000-0000-0000B7770000}"/>
    <cellStyle name="Normal 4 4 5 2 2 2 3" xfId="21779" xr:uid="{00000000-0005-0000-0000-0000B8770000}"/>
    <cellStyle name="Normal 4 4 5 2 2 2 3 2" xfId="54890" xr:uid="{00000000-0005-0000-0000-0000B9770000}"/>
    <cellStyle name="Normal 4 4 5 2 2 2 4" xfId="21780" xr:uid="{00000000-0005-0000-0000-0000BA770000}"/>
    <cellStyle name="Normal 4 4 5 2 2 2 5" xfId="21781" xr:uid="{00000000-0005-0000-0000-0000BB770000}"/>
    <cellStyle name="Normal 4 4 5 2 2 2 6" xfId="21782" xr:uid="{00000000-0005-0000-0000-0000BC770000}"/>
    <cellStyle name="Normal 4 4 5 2 2 3" xfId="21783" xr:uid="{00000000-0005-0000-0000-0000BD770000}"/>
    <cellStyle name="Normal 4 4 5 2 2 3 2" xfId="54891" xr:uid="{00000000-0005-0000-0000-0000BE770000}"/>
    <cellStyle name="Normal 4 4 5 2 2 3 3" xfId="54892" xr:uid="{00000000-0005-0000-0000-0000BF770000}"/>
    <cellStyle name="Normal 4 4 5 2 2 4" xfId="21784" xr:uid="{00000000-0005-0000-0000-0000C0770000}"/>
    <cellStyle name="Normal 4 4 5 2 2 4 2" xfId="54893" xr:uid="{00000000-0005-0000-0000-0000C1770000}"/>
    <cellStyle name="Normal 4 4 5 2 2 5" xfId="21785" xr:uid="{00000000-0005-0000-0000-0000C2770000}"/>
    <cellStyle name="Normal 4 4 5 2 2 6" xfId="21786" xr:uid="{00000000-0005-0000-0000-0000C3770000}"/>
    <cellStyle name="Normal 4 4 5 2 2 7" xfId="21787" xr:uid="{00000000-0005-0000-0000-0000C4770000}"/>
    <cellStyle name="Normal 4 4 5 2 3" xfId="21788" xr:uid="{00000000-0005-0000-0000-0000C5770000}"/>
    <cellStyle name="Normal 4 4 5 2 3 2" xfId="21789" xr:uid="{00000000-0005-0000-0000-0000C6770000}"/>
    <cellStyle name="Normal 4 4 5 2 3 2 2" xfId="54894" xr:uid="{00000000-0005-0000-0000-0000C7770000}"/>
    <cellStyle name="Normal 4 4 5 2 3 2 3" xfId="54895" xr:uid="{00000000-0005-0000-0000-0000C8770000}"/>
    <cellStyle name="Normal 4 4 5 2 3 3" xfId="21790" xr:uid="{00000000-0005-0000-0000-0000C9770000}"/>
    <cellStyle name="Normal 4 4 5 2 3 3 2" xfId="54896" xr:uid="{00000000-0005-0000-0000-0000CA770000}"/>
    <cellStyle name="Normal 4 4 5 2 3 4" xfId="21791" xr:uid="{00000000-0005-0000-0000-0000CB770000}"/>
    <cellStyle name="Normal 4 4 5 2 3 5" xfId="21792" xr:uid="{00000000-0005-0000-0000-0000CC770000}"/>
    <cellStyle name="Normal 4 4 5 2 3 6" xfId="21793" xr:uid="{00000000-0005-0000-0000-0000CD770000}"/>
    <cellStyle name="Normal 4 4 5 2 4" xfId="21794" xr:uid="{00000000-0005-0000-0000-0000CE770000}"/>
    <cellStyle name="Normal 4 4 5 2 4 2" xfId="54897" xr:uid="{00000000-0005-0000-0000-0000CF770000}"/>
    <cellStyle name="Normal 4 4 5 2 4 3" xfId="54898" xr:uid="{00000000-0005-0000-0000-0000D0770000}"/>
    <cellStyle name="Normal 4 4 5 2 5" xfId="21795" xr:uid="{00000000-0005-0000-0000-0000D1770000}"/>
    <cellStyle name="Normal 4 4 5 2 5 2" xfId="54899" xr:uid="{00000000-0005-0000-0000-0000D2770000}"/>
    <cellStyle name="Normal 4 4 5 2 6" xfId="21796" xr:uid="{00000000-0005-0000-0000-0000D3770000}"/>
    <cellStyle name="Normal 4 4 5 2 7" xfId="21797" xr:uid="{00000000-0005-0000-0000-0000D4770000}"/>
    <cellStyle name="Normal 4 4 5 2 8" xfId="21798" xr:uid="{00000000-0005-0000-0000-0000D5770000}"/>
    <cellStyle name="Normal 4 4 5 2 9" xfId="21799" xr:uid="{00000000-0005-0000-0000-0000D6770000}"/>
    <cellStyle name="Normal 4 4 5 3" xfId="21800" xr:uid="{00000000-0005-0000-0000-0000D7770000}"/>
    <cellStyle name="Normal 4 4 5 3 2" xfId="21801" xr:uid="{00000000-0005-0000-0000-0000D8770000}"/>
    <cellStyle name="Normal 4 4 5 3 2 2" xfId="21802" xr:uid="{00000000-0005-0000-0000-0000D9770000}"/>
    <cellStyle name="Normal 4 4 5 3 2 2 2" xfId="21803" xr:uid="{00000000-0005-0000-0000-0000DA770000}"/>
    <cellStyle name="Normal 4 4 5 3 2 2 2 2" xfId="54900" xr:uid="{00000000-0005-0000-0000-0000DB770000}"/>
    <cellStyle name="Normal 4 4 5 3 2 2 2 3" xfId="54901" xr:uid="{00000000-0005-0000-0000-0000DC770000}"/>
    <cellStyle name="Normal 4 4 5 3 2 2 3" xfId="21804" xr:uid="{00000000-0005-0000-0000-0000DD770000}"/>
    <cellStyle name="Normal 4 4 5 3 2 2 3 2" xfId="54902" xr:uid="{00000000-0005-0000-0000-0000DE770000}"/>
    <cellStyle name="Normal 4 4 5 3 2 2 4" xfId="21805" xr:uid="{00000000-0005-0000-0000-0000DF770000}"/>
    <cellStyle name="Normal 4 4 5 3 2 2 5" xfId="21806" xr:uid="{00000000-0005-0000-0000-0000E0770000}"/>
    <cellStyle name="Normal 4 4 5 3 2 2 6" xfId="21807" xr:uid="{00000000-0005-0000-0000-0000E1770000}"/>
    <cellStyle name="Normal 4 4 5 3 2 3" xfId="21808" xr:uid="{00000000-0005-0000-0000-0000E2770000}"/>
    <cellStyle name="Normal 4 4 5 3 2 3 2" xfId="54903" xr:uid="{00000000-0005-0000-0000-0000E3770000}"/>
    <cellStyle name="Normal 4 4 5 3 2 3 3" xfId="54904" xr:uid="{00000000-0005-0000-0000-0000E4770000}"/>
    <cellStyle name="Normal 4 4 5 3 2 4" xfId="21809" xr:uid="{00000000-0005-0000-0000-0000E5770000}"/>
    <cellStyle name="Normal 4 4 5 3 2 4 2" xfId="54905" xr:uid="{00000000-0005-0000-0000-0000E6770000}"/>
    <cellStyle name="Normal 4 4 5 3 2 5" xfId="21810" xr:uid="{00000000-0005-0000-0000-0000E7770000}"/>
    <cellStyle name="Normal 4 4 5 3 2 6" xfId="21811" xr:uid="{00000000-0005-0000-0000-0000E8770000}"/>
    <cellStyle name="Normal 4 4 5 3 2 7" xfId="21812" xr:uid="{00000000-0005-0000-0000-0000E9770000}"/>
    <cellStyle name="Normal 4 4 5 3 3" xfId="21813" xr:uid="{00000000-0005-0000-0000-0000EA770000}"/>
    <cellStyle name="Normal 4 4 5 3 3 2" xfId="21814" xr:uid="{00000000-0005-0000-0000-0000EB770000}"/>
    <cellStyle name="Normal 4 4 5 3 3 2 2" xfId="54906" xr:uid="{00000000-0005-0000-0000-0000EC770000}"/>
    <cellStyle name="Normal 4 4 5 3 3 2 3" xfId="54907" xr:uid="{00000000-0005-0000-0000-0000ED770000}"/>
    <cellStyle name="Normal 4 4 5 3 3 3" xfId="21815" xr:uid="{00000000-0005-0000-0000-0000EE770000}"/>
    <cellStyle name="Normal 4 4 5 3 3 3 2" xfId="54908" xr:uid="{00000000-0005-0000-0000-0000EF770000}"/>
    <cellStyle name="Normal 4 4 5 3 3 4" xfId="21816" xr:uid="{00000000-0005-0000-0000-0000F0770000}"/>
    <cellStyle name="Normal 4 4 5 3 3 5" xfId="21817" xr:uid="{00000000-0005-0000-0000-0000F1770000}"/>
    <cellStyle name="Normal 4 4 5 3 3 6" xfId="21818" xr:uid="{00000000-0005-0000-0000-0000F2770000}"/>
    <cellStyle name="Normal 4 4 5 3 4" xfId="21819" xr:uid="{00000000-0005-0000-0000-0000F3770000}"/>
    <cellStyle name="Normal 4 4 5 3 4 2" xfId="54909" xr:uid="{00000000-0005-0000-0000-0000F4770000}"/>
    <cellStyle name="Normal 4 4 5 3 4 3" xfId="54910" xr:uid="{00000000-0005-0000-0000-0000F5770000}"/>
    <cellStyle name="Normal 4 4 5 3 5" xfId="21820" xr:uid="{00000000-0005-0000-0000-0000F6770000}"/>
    <cellStyle name="Normal 4 4 5 3 5 2" xfId="54911" xr:uid="{00000000-0005-0000-0000-0000F7770000}"/>
    <cellStyle name="Normal 4 4 5 3 6" xfId="21821" xr:uid="{00000000-0005-0000-0000-0000F8770000}"/>
    <cellStyle name="Normal 4 4 5 3 7" xfId="21822" xr:uid="{00000000-0005-0000-0000-0000F9770000}"/>
    <cellStyle name="Normal 4 4 5 3 8" xfId="21823" xr:uid="{00000000-0005-0000-0000-0000FA770000}"/>
    <cellStyle name="Normal 4 4 5 4" xfId="21824" xr:uid="{00000000-0005-0000-0000-0000FB770000}"/>
    <cellStyle name="Normal 4 4 5 4 2" xfId="21825" xr:uid="{00000000-0005-0000-0000-0000FC770000}"/>
    <cellStyle name="Normal 4 4 5 4 2 2" xfId="21826" xr:uid="{00000000-0005-0000-0000-0000FD770000}"/>
    <cellStyle name="Normal 4 4 5 4 2 2 2" xfId="54912" xr:uid="{00000000-0005-0000-0000-0000FE770000}"/>
    <cellStyle name="Normal 4 4 5 4 2 2 3" xfId="54913" xr:uid="{00000000-0005-0000-0000-0000FF770000}"/>
    <cellStyle name="Normal 4 4 5 4 2 3" xfId="21827" xr:uid="{00000000-0005-0000-0000-000000780000}"/>
    <cellStyle name="Normal 4 4 5 4 2 3 2" xfId="54914" xr:uid="{00000000-0005-0000-0000-000001780000}"/>
    <cellStyle name="Normal 4 4 5 4 2 4" xfId="21828" xr:uid="{00000000-0005-0000-0000-000002780000}"/>
    <cellStyle name="Normal 4 4 5 4 2 5" xfId="21829" xr:uid="{00000000-0005-0000-0000-000003780000}"/>
    <cellStyle name="Normal 4 4 5 4 2 6" xfId="21830" xr:uid="{00000000-0005-0000-0000-000004780000}"/>
    <cellStyle name="Normal 4 4 5 4 3" xfId="21831" xr:uid="{00000000-0005-0000-0000-000005780000}"/>
    <cellStyle name="Normal 4 4 5 4 3 2" xfId="54915" xr:uid="{00000000-0005-0000-0000-000006780000}"/>
    <cellStyle name="Normal 4 4 5 4 3 3" xfId="54916" xr:uid="{00000000-0005-0000-0000-000007780000}"/>
    <cellStyle name="Normal 4 4 5 4 4" xfId="21832" xr:uid="{00000000-0005-0000-0000-000008780000}"/>
    <cellStyle name="Normal 4 4 5 4 4 2" xfId="54917" xr:uid="{00000000-0005-0000-0000-000009780000}"/>
    <cellStyle name="Normal 4 4 5 4 5" xfId="21833" xr:uid="{00000000-0005-0000-0000-00000A780000}"/>
    <cellStyle name="Normal 4 4 5 4 6" xfId="21834" xr:uid="{00000000-0005-0000-0000-00000B780000}"/>
    <cellStyle name="Normal 4 4 5 4 7" xfId="21835" xr:uid="{00000000-0005-0000-0000-00000C780000}"/>
    <cellStyle name="Normal 4 4 5 5" xfId="21836" xr:uid="{00000000-0005-0000-0000-00000D780000}"/>
    <cellStyle name="Normal 4 4 5 5 2" xfId="21837" xr:uid="{00000000-0005-0000-0000-00000E780000}"/>
    <cellStyle name="Normal 4 4 5 5 2 2" xfId="54918" xr:uid="{00000000-0005-0000-0000-00000F780000}"/>
    <cellStyle name="Normal 4 4 5 5 2 3" xfId="54919" xr:uid="{00000000-0005-0000-0000-000010780000}"/>
    <cellStyle name="Normal 4 4 5 5 3" xfId="21838" xr:uid="{00000000-0005-0000-0000-000011780000}"/>
    <cellStyle name="Normal 4 4 5 5 3 2" xfId="54920" xr:uid="{00000000-0005-0000-0000-000012780000}"/>
    <cellStyle name="Normal 4 4 5 5 4" xfId="21839" xr:uid="{00000000-0005-0000-0000-000013780000}"/>
    <cellStyle name="Normal 4 4 5 5 5" xfId="21840" xr:uid="{00000000-0005-0000-0000-000014780000}"/>
    <cellStyle name="Normal 4 4 5 5 6" xfId="21841" xr:uid="{00000000-0005-0000-0000-000015780000}"/>
    <cellStyle name="Normal 4 4 5 6" xfId="21842" xr:uid="{00000000-0005-0000-0000-000016780000}"/>
    <cellStyle name="Normal 4 4 5 6 2" xfId="54921" xr:uid="{00000000-0005-0000-0000-000017780000}"/>
    <cellStyle name="Normal 4 4 5 6 3" xfId="54922" xr:uid="{00000000-0005-0000-0000-000018780000}"/>
    <cellStyle name="Normal 4 4 5 7" xfId="21843" xr:uid="{00000000-0005-0000-0000-000019780000}"/>
    <cellStyle name="Normal 4 4 5 7 2" xfId="54923" xr:uid="{00000000-0005-0000-0000-00001A780000}"/>
    <cellStyle name="Normal 4 4 5 8" xfId="21844" xr:uid="{00000000-0005-0000-0000-00001B780000}"/>
    <cellStyle name="Normal 4 4 5 9" xfId="21845" xr:uid="{00000000-0005-0000-0000-00001C780000}"/>
    <cellStyle name="Normal 4 4 6" xfId="21846" xr:uid="{00000000-0005-0000-0000-00001D780000}"/>
    <cellStyle name="Normal 4 4 6 10" xfId="21847" xr:uid="{00000000-0005-0000-0000-00001E780000}"/>
    <cellStyle name="Normal 4 4 6 11" xfId="21848" xr:uid="{00000000-0005-0000-0000-00001F780000}"/>
    <cellStyle name="Normal 4 4 6 12" xfId="21849" xr:uid="{00000000-0005-0000-0000-000020780000}"/>
    <cellStyle name="Normal 4 4 6 13" xfId="21850" xr:uid="{00000000-0005-0000-0000-000021780000}"/>
    <cellStyle name="Normal 4 4 6 2" xfId="21851" xr:uid="{00000000-0005-0000-0000-000022780000}"/>
    <cellStyle name="Normal 4 4 6 2 2" xfId="21852" xr:uid="{00000000-0005-0000-0000-000023780000}"/>
    <cellStyle name="Normal 4 4 6 2 2 2" xfId="21853" xr:uid="{00000000-0005-0000-0000-000024780000}"/>
    <cellStyle name="Normal 4 4 6 2 2 2 2" xfId="21854" xr:uid="{00000000-0005-0000-0000-000025780000}"/>
    <cellStyle name="Normal 4 4 6 2 2 2 2 2" xfId="54924" xr:uid="{00000000-0005-0000-0000-000026780000}"/>
    <cellStyle name="Normal 4 4 6 2 2 2 2 3" xfId="54925" xr:uid="{00000000-0005-0000-0000-000027780000}"/>
    <cellStyle name="Normal 4 4 6 2 2 2 3" xfId="21855" xr:uid="{00000000-0005-0000-0000-000028780000}"/>
    <cellStyle name="Normal 4 4 6 2 2 2 3 2" xfId="54926" xr:uid="{00000000-0005-0000-0000-000029780000}"/>
    <cellStyle name="Normal 4 4 6 2 2 2 4" xfId="21856" xr:uid="{00000000-0005-0000-0000-00002A780000}"/>
    <cellStyle name="Normal 4 4 6 2 2 2 5" xfId="21857" xr:uid="{00000000-0005-0000-0000-00002B780000}"/>
    <cellStyle name="Normal 4 4 6 2 2 2 6" xfId="21858" xr:uid="{00000000-0005-0000-0000-00002C780000}"/>
    <cellStyle name="Normal 4 4 6 2 2 3" xfId="21859" xr:uid="{00000000-0005-0000-0000-00002D780000}"/>
    <cellStyle name="Normal 4 4 6 2 2 3 2" xfId="54927" xr:uid="{00000000-0005-0000-0000-00002E780000}"/>
    <cellStyle name="Normal 4 4 6 2 2 3 3" xfId="54928" xr:uid="{00000000-0005-0000-0000-00002F780000}"/>
    <cellStyle name="Normal 4 4 6 2 2 4" xfId="21860" xr:uid="{00000000-0005-0000-0000-000030780000}"/>
    <cellStyle name="Normal 4 4 6 2 2 4 2" xfId="54929" xr:uid="{00000000-0005-0000-0000-000031780000}"/>
    <cellStyle name="Normal 4 4 6 2 2 5" xfId="21861" xr:uid="{00000000-0005-0000-0000-000032780000}"/>
    <cellStyle name="Normal 4 4 6 2 2 6" xfId="21862" xr:uid="{00000000-0005-0000-0000-000033780000}"/>
    <cellStyle name="Normal 4 4 6 2 2 7" xfId="21863" xr:uid="{00000000-0005-0000-0000-000034780000}"/>
    <cellStyle name="Normal 4 4 6 2 3" xfId="21864" xr:uid="{00000000-0005-0000-0000-000035780000}"/>
    <cellStyle name="Normal 4 4 6 2 3 2" xfId="21865" xr:uid="{00000000-0005-0000-0000-000036780000}"/>
    <cellStyle name="Normal 4 4 6 2 3 2 2" xfId="54930" xr:uid="{00000000-0005-0000-0000-000037780000}"/>
    <cellStyle name="Normal 4 4 6 2 3 2 3" xfId="54931" xr:uid="{00000000-0005-0000-0000-000038780000}"/>
    <cellStyle name="Normal 4 4 6 2 3 3" xfId="21866" xr:uid="{00000000-0005-0000-0000-000039780000}"/>
    <cellStyle name="Normal 4 4 6 2 3 3 2" xfId="54932" xr:uid="{00000000-0005-0000-0000-00003A780000}"/>
    <cellStyle name="Normal 4 4 6 2 3 4" xfId="21867" xr:uid="{00000000-0005-0000-0000-00003B780000}"/>
    <cellStyle name="Normal 4 4 6 2 3 5" xfId="21868" xr:uid="{00000000-0005-0000-0000-00003C780000}"/>
    <cellStyle name="Normal 4 4 6 2 3 6" xfId="21869" xr:uid="{00000000-0005-0000-0000-00003D780000}"/>
    <cellStyle name="Normal 4 4 6 2 4" xfId="21870" xr:uid="{00000000-0005-0000-0000-00003E780000}"/>
    <cellStyle name="Normal 4 4 6 2 4 2" xfId="54933" xr:uid="{00000000-0005-0000-0000-00003F780000}"/>
    <cellStyle name="Normal 4 4 6 2 4 3" xfId="54934" xr:uid="{00000000-0005-0000-0000-000040780000}"/>
    <cellStyle name="Normal 4 4 6 2 5" xfId="21871" xr:uid="{00000000-0005-0000-0000-000041780000}"/>
    <cellStyle name="Normal 4 4 6 2 5 2" xfId="54935" xr:uid="{00000000-0005-0000-0000-000042780000}"/>
    <cellStyle name="Normal 4 4 6 2 6" xfId="21872" xr:uid="{00000000-0005-0000-0000-000043780000}"/>
    <cellStyle name="Normal 4 4 6 2 7" xfId="21873" xr:uid="{00000000-0005-0000-0000-000044780000}"/>
    <cellStyle name="Normal 4 4 6 2 8" xfId="21874" xr:uid="{00000000-0005-0000-0000-000045780000}"/>
    <cellStyle name="Normal 4 4 6 2 9" xfId="21875" xr:uid="{00000000-0005-0000-0000-000046780000}"/>
    <cellStyle name="Normal 4 4 6 3" xfId="21876" xr:uid="{00000000-0005-0000-0000-000047780000}"/>
    <cellStyle name="Normal 4 4 6 3 2" xfId="21877" xr:uid="{00000000-0005-0000-0000-000048780000}"/>
    <cellStyle name="Normal 4 4 6 3 2 2" xfId="21878" xr:uid="{00000000-0005-0000-0000-000049780000}"/>
    <cellStyle name="Normal 4 4 6 3 2 2 2" xfId="54936" xr:uid="{00000000-0005-0000-0000-00004A780000}"/>
    <cellStyle name="Normal 4 4 6 3 2 2 3" xfId="54937" xr:uid="{00000000-0005-0000-0000-00004B780000}"/>
    <cellStyle name="Normal 4 4 6 3 2 3" xfId="21879" xr:uid="{00000000-0005-0000-0000-00004C780000}"/>
    <cellStyle name="Normal 4 4 6 3 2 3 2" xfId="54938" xr:uid="{00000000-0005-0000-0000-00004D780000}"/>
    <cellStyle name="Normal 4 4 6 3 2 4" xfId="21880" xr:uid="{00000000-0005-0000-0000-00004E780000}"/>
    <cellStyle name="Normal 4 4 6 3 2 5" xfId="21881" xr:uid="{00000000-0005-0000-0000-00004F780000}"/>
    <cellStyle name="Normal 4 4 6 3 2 6" xfId="21882" xr:uid="{00000000-0005-0000-0000-000050780000}"/>
    <cellStyle name="Normal 4 4 6 3 3" xfId="21883" xr:uid="{00000000-0005-0000-0000-000051780000}"/>
    <cellStyle name="Normal 4 4 6 3 3 2" xfId="54939" xr:uid="{00000000-0005-0000-0000-000052780000}"/>
    <cellStyle name="Normal 4 4 6 3 3 3" xfId="54940" xr:uid="{00000000-0005-0000-0000-000053780000}"/>
    <cellStyle name="Normal 4 4 6 3 4" xfId="21884" xr:uid="{00000000-0005-0000-0000-000054780000}"/>
    <cellStyle name="Normal 4 4 6 3 4 2" xfId="54941" xr:uid="{00000000-0005-0000-0000-000055780000}"/>
    <cellStyle name="Normal 4 4 6 3 5" xfId="21885" xr:uid="{00000000-0005-0000-0000-000056780000}"/>
    <cellStyle name="Normal 4 4 6 3 6" xfId="21886" xr:uid="{00000000-0005-0000-0000-000057780000}"/>
    <cellStyle name="Normal 4 4 6 3 7" xfId="21887" xr:uid="{00000000-0005-0000-0000-000058780000}"/>
    <cellStyle name="Normal 4 4 6 4" xfId="21888" xr:uid="{00000000-0005-0000-0000-000059780000}"/>
    <cellStyle name="Normal 4 4 6 4 2" xfId="21889" xr:uid="{00000000-0005-0000-0000-00005A780000}"/>
    <cellStyle name="Normal 4 4 6 4 2 2" xfId="54942" xr:uid="{00000000-0005-0000-0000-00005B780000}"/>
    <cellStyle name="Normal 4 4 6 4 2 3" xfId="54943" xr:uid="{00000000-0005-0000-0000-00005C780000}"/>
    <cellStyle name="Normal 4 4 6 4 3" xfId="21890" xr:uid="{00000000-0005-0000-0000-00005D780000}"/>
    <cellStyle name="Normal 4 4 6 4 3 2" xfId="54944" xr:uid="{00000000-0005-0000-0000-00005E780000}"/>
    <cellStyle name="Normal 4 4 6 4 4" xfId="21891" xr:uid="{00000000-0005-0000-0000-00005F780000}"/>
    <cellStyle name="Normal 4 4 6 4 5" xfId="21892" xr:uid="{00000000-0005-0000-0000-000060780000}"/>
    <cellStyle name="Normal 4 4 6 4 6" xfId="21893" xr:uid="{00000000-0005-0000-0000-000061780000}"/>
    <cellStyle name="Normal 4 4 6 5" xfId="21894" xr:uid="{00000000-0005-0000-0000-000062780000}"/>
    <cellStyle name="Normal 4 4 6 5 2" xfId="54945" xr:uid="{00000000-0005-0000-0000-000063780000}"/>
    <cellStyle name="Normal 4 4 6 5 3" xfId="54946" xr:uid="{00000000-0005-0000-0000-000064780000}"/>
    <cellStyle name="Normal 4 4 6 6" xfId="21895" xr:uid="{00000000-0005-0000-0000-000065780000}"/>
    <cellStyle name="Normal 4 4 6 6 2" xfId="54947" xr:uid="{00000000-0005-0000-0000-000066780000}"/>
    <cellStyle name="Normal 4 4 6 7" xfId="21896" xr:uid="{00000000-0005-0000-0000-000067780000}"/>
    <cellStyle name="Normal 4 4 6 8" xfId="21897" xr:uid="{00000000-0005-0000-0000-000068780000}"/>
    <cellStyle name="Normal 4 4 6 9" xfId="21898" xr:uid="{00000000-0005-0000-0000-000069780000}"/>
    <cellStyle name="Normal 4 4 7" xfId="21899" xr:uid="{00000000-0005-0000-0000-00006A780000}"/>
    <cellStyle name="Normal 4 4 7 2" xfId="21900" xr:uid="{00000000-0005-0000-0000-00006B780000}"/>
    <cellStyle name="Normal 4 4 7 2 2" xfId="21901" xr:uid="{00000000-0005-0000-0000-00006C780000}"/>
    <cellStyle name="Normal 4 4 7 2 2 2" xfId="21902" xr:uid="{00000000-0005-0000-0000-00006D780000}"/>
    <cellStyle name="Normal 4 4 7 2 2 2 2" xfId="54948" xr:uid="{00000000-0005-0000-0000-00006E780000}"/>
    <cellStyle name="Normal 4 4 7 2 2 2 3" xfId="54949" xr:uid="{00000000-0005-0000-0000-00006F780000}"/>
    <cellStyle name="Normal 4 4 7 2 2 3" xfId="21903" xr:uid="{00000000-0005-0000-0000-000070780000}"/>
    <cellStyle name="Normal 4 4 7 2 2 3 2" xfId="54950" xr:uid="{00000000-0005-0000-0000-000071780000}"/>
    <cellStyle name="Normal 4 4 7 2 2 4" xfId="21904" xr:uid="{00000000-0005-0000-0000-000072780000}"/>
    <cellStyle name="Normal 4 4 7 2 2 5" xfId="21905" xr:uid="{00000000-0005-0000-0000-000073780000}"/>
    <cellStyle name="Normal 4 4 7 2 2 6" xfId="21906" xr:uid="{00000000-0005-0000-0000-000074780000}"/>
    <cellStyle name="Normal 4 4 7 2 3" xfId="21907" xr:uid="{00000000-0005-0000-0000-000075780000}"/>
    <cellStyle name="Normal 4 4 7 2 3 2" xfId="54951" xr:uid="{00000000-0005-0000-0000-000076780000}"/>
    <cellStyle name="Normal 4 4 7 2 3 3" xfId="54952" xr:uid="{00000000-0005-0000-0000-000077780000}"/>
    <cellStyle name="Normal 4 4 7 2 4" xfId="21908" xr:uid="{00000000-0005-0000-0000-000078780000}"/>
    <cellStyle name="Normal 4 4 7 2 4 2" xfId="54953" xr:uid="{00000000-0005-0000-0000-000079780000}"/>
    <cellStyle name="Normal 4 4 7 2 5" xfId="21909" xr:uid="{00000000-0005-0000-0000-00007A780000}"/>
    <cellStyle name="Normal 4 4 7 2 6" xfId="21910" xr:uid="{00000000-0005-0000-0000-00007B780000}"/>
    <cellStyle name="Normal 4 4 7 2 7" xfId="21911" xr:uid="{00000000-0005-0000-0000-00007C780000}"/>
    <cellStyle name="Normal 4 4 7 3" xfId="21912" xr:uid="{00000000-0005-0000-0000-00007D780000}"/>
    <cellStyle name="Normal 4 4 7 3 2" xfId="21913" xr:uid="{00000000-0005-0000-0000-00007E780000}"/>
    <cellStyle name="Normal 4 4 7 3 2 2" xfId="54954" xr:uid="{00000000-0005-0000-0000-00007F780000}"/>
    <cellStyle name="Normal 4 4 7 3 2 3" xfId="54955" xr:uid="{00000000-0005-0000-0000-000080780000}"/>
    <cellStyle name="Normal 4 4 7 3 3" xfId="21914" xr:uid="{00000000-0005-0000-0000-000081780000}"/>
    <cellStyle name="Normal 4 4 7 3 3 2" xfId="54956" xr:uid="{00000000-0005-0000-0000-000082780000}"/>
    <cellStyle name="Normal 4 4 7 3 4" xfId="21915" xr:uid="{00000000-0005-0000-0000-000083780000}"/>
    <cellStyle name="Normal 4 4 7 3 5" xfId="21916" xr:uid="{00000000-0005-0000-0000-000084780000}"/>
    <cellStyle name="Normal 4 4 7 3 6" xfId="21917" xr:uid="{00000000-0005-0000-0000-000085780000}"/>
    <cellStyle name="Normal 4 4 7 4" xfId="21918" xr:uid="{00000000-0005-0000-0000-000086780000}"/>
    <cellStyle name="Normal 4 4 7 4 2" xfId="54957" xr:uid="{00000000-0005-0000-0000-000087780000}"/>
    <cellStyle name="Normal 4 4 7 4 3" xfId="54958" xr:uid="{00000000-0005-0000-0000-000088780000}"/>
    <cellStyle name="Normal 4 4 7 5" xfId="21919" xr:uid="{00000000-0005-0000-0000-000089780000}"/>
    <cellStyle name="Normal 4 4 7 5 2" xfId="54959" xr:uid="{00000000-0005-0000-0000-00008A780000}"/>
    <cellStyle name="Normal 4 4 7 6" xfId="21920" xr:uid="{00000000-0005-0000-0000-00008B780000}"/>
    <cellStyle name="Normal 4 4 7 7" xfId="21921" xr:uid="{00000000-0005-0000-0000-00008C780000}"/>
    <cellStyle name="Normal 4 4 7 8" xfId="21922" xr:uid="{00000000-0005-0000-0000-00008D780000}"/>
    <cellStyle name="Normal 4 4 7 9" xfId="21923" xr:uid="{00000000-0005-0000-0000-00008E780000}"/>
    <cellStyle name="Normal 4 4 8" xfId="21924" xr:uid="{00000000-0005-0000-0000-00008F780000}"/>
    <cellStyle name="Normal 4 4 8 2" xfId="21925" xr:uid="{00000000-0005-0000-0000-000090780000}"/>
    <cellStyle name="Normal 4 4 8 2 2" xfId="21926" xr:uid="{00000000-0005-0000-0000-000091780000}"/>
    <cellStyle name="Normal 4 4 8 2 2 2" xfId="21927" xr:uid="{00000000-0005-0000-0000-000092780000}"/>
    <cellStyle name="Normal 4 4 8 2 2 2 2" xfId="54960" xr:uid="{00000000-0005-0000-0000-000093780000}"/>
    <cellStyle name="Normal 4 4 8 2 2 2 3" xfId="54961" xr:uid="{00000000-0005-0000-0000-000094780000}"/>
    <cellStyle name="Normal 4 4 8 2 2 3" xfId="21928" xr:uid="{00000000-0005-0000-0000-000095780000}"/>
    <cellStyle name="Normal 4 4 8 2 2 3 2" xfId="54962" xr:uid="{00000000-0005-0000-0000-000096780000}"/>
    <cellStyle name="Normal 4 4 8 2 2 4" xfId="21929" xr:uid="{00000000-0005-0000-0000-000097780000}"/>
    <cellStyle name="Normal 4 4 8 2 2 5" xfId="21930" xr:uid="{00000000-0005-0000-0000-000098780000}"/>
    <cellStyle name="Normal 4 4 8 2 2 6" xfId="21931" xr:uid="{00000000-0005-0000-0000-000099780000}"/>
    <cellStyle name="Normal 4 4 8 2 3" xfId="21932" xr:uid="{00000000-0005-0000-0000-00009A780000}"/>
    <cellStyle name="Normal 4 4 8 2 3 2" xfId="54963" xr:uid="{00000000-0005-0000-0000-00009B780000}"/>
    <cellStyle name="Normal 4 4 8 2 3 3" xfId="54964" xr:uid="{00000000-0005-0000-0000-00009C780000}"/>
    <cellStyle name="Normal 4 4 8 2 4" xfId="21933" xr:uid="{00000000-0005-0000-0000-00009D780000}"/>
    <cellStyle name="Normal 4 4 8 2 4 2" xfId="54965" xr:uid="{00000000-0005-0000-0000-00009E780000}"/>
    <cellStyle name="Normal 4 4 8 2 5" xfId="21934" xr:uid="{00000000-0005-0000-0000-00009F780000}"/>
    <cellStyle name="Normal 4 4 8 2 6" xfId="21935" xr:uid="{00000000-0005-0000-0000-0000A0780000}"/>
    <cellStyle name="Normal 4 4 8 2 7" xfId="21936" xr:uid="{00000000-0005-0000-0000-0000A1780000}"/>
    <cellStyle name="Normal 4 4 8 3" xfId="21937" xr:uid="{00000000-0005-0000-0000-0000A2780000}"/>
    <cellStyle name="Normal 4 4 8 3 2" xfId="21938" xr:uid="{00000000-0005-0000-0000-0000A3780000}"/>
    <cellStyle name="Normal 4 4 8 3 2 2" xfId="54966" xr:uid="{00000000-0005-0000-0000-0000A4780000}"/>
    <cellStyle name="Normal 4 4 8 3 2 3" xfId="54967" xr:uid="{00000000-0005-0000-0000-0000A5780000}"/>
    <cellStyle name="Normal 4 4 8 3 3" xfId="21939" xr:uid="{00000000-0005-0000-0000-0000A6780000}"/>
    <cellStyle name="Normal 4 4 8 3 3 2" xfId="54968" xr:uid="{00000000-0005-0000-0000-0000A7780000}"/>
    <cellStyle name="Normal 4 4 8 3 4" xfId="21940" xr:uid="{00000000-0005-0000-0000-0000A8780000}"/>
    <cellStyle name="Normal 4 4 8 3 5" xfId="21941" xr:uid="{00000000-0005-0000-0000-0000A9780000}"/>
    <cellStyle name="Normal 4 4 8 3 6" xfId="21942" xr:uid="{00000000-0005-0000-0000-0000AA780000}"/>
    <cellStyle name="Normal 4 4 8 4" xfId="21943" xr:uid="{00000000-0005-0000-0000-0000AB780000}"/>
    <cellStyle name="Normal 4 4 8 4 2" xfId="54969" xr:uid="{00000000-0005-0000-0000-0000AC780000}"/>
    <cellStyle name="Normal 4 4 8 4 3" xfId="54970" xr:uid="{00000000-0005-0000-0000-0000AD780000}"/>
    <cellStyle name="Normal 4 4 8 5" xfId="21944" xr:uid="{00000000-0005-0000-0000-0000AE780000}"/>
    <cellStyle name="Normal 4 4 8 5 2" xfId="54971" xr:uid="{00000000-0005-0000-0000-0000AF780000}"/>
    <cellStyle name="Normal 4 4 8 6" xfId="21945" xr:uid="{00000000-0005-0000-0000-0000B0780000}"/>
    <cellStyle name="Normal 4 4 8 7" xfId="21946" xr:uid="{00000000-0005-0000-0000-0000B1780000}"/>
    <cellStyle name="Normal 4 4 8 8" xfId="21947" xr:uid="{00000000-0005-0000-0000-0000B2780000}"/>
    <cellStyle name="Normal 4 4 9" xfId="21948" xr:uid="{00000000-0005-0000-0000-0000B3780000}"/>
    <cellStyle name="Normal 4 4 9 2" xfId="21949" xr:uid="{00000000-0005-0000-0000-0000B4780000}"/>
    <cellStyle name="Normal 4 4 9 2 2" xfId="21950" xr:uid="{00000000-0005-0000-0000-0000B5780000}"/>
    <cellStyle name="Normal 4 4 9 2 2 2" xfId="21951" xr:uid="{00000000-0005-0000-0000-0000B6780000}"/>
    <cellStyle name="Normal 4 4 9 2 2 2 2" xfId="54972" xr:uid="{00000000-0005-0000-0000-0000B7780000}"/>
    <cellStyle name="Normal 4 4 9 2 2 2 3" xfId="54973" xr:uid="{00000000-0005-0000-0000-0000B8780000}"/>
    <cellStyle name="Normal 4 4 9 2 2 3" xfId="21952" xr:uid="{00000000-0005-0000-0000-0000B9780000}"/>
    <cellStyle name="Normal 4 4 9 2 2 3 2" xfId="54974" xr:uid="{00000000-0005-0000-0000-0000BA780000}"/>
    <cellStyle name="Normal 4 4 9 2 2 4" xfId="21953" xr:uid="{00000000-0005-0000-0000-0000BB780000}"/>
    <cellStyle name="Normal 4 4 9 2 2 5" xfId="21954" xr:uid="{00000000-0005-0000-0000-0000BC780000}"/>
    <cellStyle name="Normal 4 4 9 2 2 6" xfId="21955" xr:uid="{00000000-0005-0000-0000-0000BD780000}"/>
    <cellStyle name="Normal 4 4 9 2 3" xfId="21956" xr:uid="{00000000-0005-0000-0000-0000BE780000}"/>
    <cellStyle name="Normal 4 4 9 2 3 2" xfId="54975" xr:uid="{00000000-0005-0000-0000-0000BF780000}"/>
    <cellStyle name="Normal 4 4 9 2 3 3" xfId="54976" xr:uid="{00000000-0005-0000-0000-0000C0780000}"/>
    <cellStyle name="Normal 4 4 9 2 4" xfId="21957" xr:uid="{00000000-0005-0000-0000-0000C1780000}"/>
    <cellStyle name="Normal 4 4 9 2 4 2" xfId="54977" xr:uid="{00000000-0005-0000-0000-0000C2780000}"/>
    <cellStyle name="Normal 4 4 9 2 5" xfId="21958" xr:uid="{00000000-0005-0000-0000-0000C3780000}"/>
    <cellStyle name="Normal 4 4 9 2 6" xfId="21959" xr:uid="{00000000-0005-0000-0000-0000C4780000}"/>
    <cellStyle name="Normal 4 4 9 2 7" xfId="21960" xr:uid="{00000000-0005-0000-0000-0000C5780000}"/>
    <cellStyle name="Normal 4 4 9 3" xfId="21961" xr:uid="{00000000-0005-0000-0000-0000C6780000}"/>
    <cellStyle name="Normal 4 4 9 3 2" xfId="21962" xr:uid="{00000000-0005-0000-0000-0000C7780000}"/>
    <cellStyle name="Normal 4 4 9 3 2 2" xfId="54978" xr:uid="{00000000-0005-0000-0000-0000C8780000}"/>
    <cellStyle name="Normal 4 4 9 3 2 3" xfId="54979" xr:uid="{00000000-0005-0000-0000-0000C9780000}"/>
    <cellStyle name="Normal 4 4 9 3 3" xfId="21963" xr:uid="{00000000-0005-0000-0000-0000CA780000}"/>
    <cellStyle name="Normal 4 4 9 3 3 2" xfId="54980" xr:uid="{00000000-0005-0000-0000-0000CB780000}"/>
    <cellStyle name="Normal 4 4 9 3 4" xfId="21964" xr:uid="{00000000-0005-0000-0000-0000CC780000}"/>
    <cellStyle name="Normal 4 4 9 3 5" xfId="21965" xr:uid="{00000000-0005-0000-0000-0000CD780000}"/>
    <cellStyle name="Normal 4 4 9 3 6" xfId="21966" xr:uid="{00000000-0005-0000-0000-0000CE780000}"/>
    <cellStyle name="Normal 4 4 9 4" xfId="21967" xr:uid="{00000000-0005-0000-0000-0000CF780000}"/>
    <cellStyle name="Normal 4 4 9 4 2" xfId="54981" xr:uid="{00000000-0005-0000-0000-0000D0780000}"/>
    <cellStyle name="Normal 4 4 9 4 3" xfId="54982" xr:uid="{00000000-0005-0000-0000-0000D1780000}"/>
    <cellStyle name="Normal 4 4 9 5" xfId="21968" xr:uid="{00000000-0005-0000-0000-0000D2780000}"/>
    <cellStyle name="Normal 4 4 9 5 2" xfId="54983" xr:uid="{00000000-0005-0000-0000-0000D3780000}"/>
    <cellStyle name="Normal 4 4 9 6" xfId="21969" xr:uid="{00000000-0005-0000-0000-0000D4780000}"/>
    <cellStyle name="Normal 4 4 9 7" xfId="21970" xr:uid="{00000000-0005-0000-0000-0000D5780000}"/>
    <cellStyle name="Normal 4 4 9 8" xfId="21971" xr:uid="{00000000-0005-0000-0000-0000D6780000}"/>
    <cellStyle name="Normal 4 5" xfId="21972" xr:uid="{00000000-0005-0000-0000-0000D7780000}"/>
    <cellStyle name="Normal 4 5 10" xfId="21973" xr:uid="{00000000-0005-0000-0000-0000D8780000}"/>
    <cellStyle name="Normal 4 5 10 2" xfId="21974" xr:uid="{00000000-0005-0000-0000-0000D9780000}"/>
    <cellStyle name="Normal 4 5 10 2 2" xfId="21975" xr:uid="{00000000-0005-0000-0000-0000DA780000}"/>
    <cellStyle name="Normal 4 5 10 2 2 2" xfId="54984" xr:uid="{00000000-0005-0000-0000-0000DB780000}"/>
    <cellStyle name="Normal 4 5 10 2 2 3" xfId="54985" xr:uid="{00000000-0005-0000-0000-0000DC780000}"/>
    <cellStyle name="Normal 4 5 10 2 3" xfId="21976" xr:uid="{00000000-0005-0000-0000-0000DD780000}"/>
    <cellStyle name="Normal 4 5 10 2 3 2" xfId="54986" xr:uid="{00000000-0005-0000-0000-0000DE780000}"/>
    <cellStyle name="Normal 4 5 10 2 4" xfId="21977" xr:uid="{00000000-0005-0000-0000-0000DF780000}"/>
    <cellStyle name="Normal 4 5 10 2 5" xfId="21978" xr:uid="{00000000-0005-0000-0000-0000E0780000}"/>
    <cellStyle name="Normal 4 5 10 2 6" xfId="21979" xr:uid="{00000000-0005-0000-0000-0000E1780000}"/>
    <cellStyle name="Normal 4 5 10 3" xfId="21980" xr:uid="{00000000-0005-0000-0000-0000E2780000}"/>
    <cellStyle name="Normal 4 5 10 3 2" xfId="54987" xr:uid="{00000000-0005-0000-0000-0000E3780000}"/>
    <cellStyle name="Normal 4 5 10 3 3" xfId="54988" xr:uid="{00000000-0005-0000-0000-0000E4780000}"/>
    <cellStyle name="Normal 4 5 10 4" xfId="21981" xr:uid="{00000000-0005-0000-0000-0000E5780000}"/>
    <cellStyle name="Normal 4 5 10 4 2" xfId="54989" xr:uid="{00000000-0005-0000-0000-0000E6780000}"/>
    <cellStyle name="Normal 4 5 10 5" xfId="21982" xr:uid="{00000000-0005-0000-0000-0000E7780000}"/>
    <cellStyle name="Normal 4 5 10 6" xfId="21983" xr:uid="{00000000-0005-0000-0000-0000E8780000}"/>
    <cellStyle name="Normal 4 5 10 7" xfId="21984" xr:uid="{00000000-0005-0000-0000-0000E9780000}"/>
    <cellStyle name="Normal 4 5 11" xfId="21985" xr:uid="{00000000-0005-0000-0000-0000EA780000}"/>
    <cellStyle name="Normal 4 5 11 2" xfId="21986" xr:uid="{00000000-0005-0000-0000-0000EB780000}"/>
    <cellStyle name="Normal 4 5 11 2 2" xfId="54990" xr:uid="{00000000-0005-0000-0000-0000EC780000}"/>
    <cellStyle name="Normal 4 5 11 2 3" xfId="54991" xr:uid="{00000000-0005-0000-0000-0000ED780000}"/>
    <cellStyle name="Normal 4 5 11 3" xfId="21987" xr:uid="{00000000-0005-0000-0000-0000EE780000}"/>
    <cellStyle name="Normal 4 5 11 3 2" xfId="54992" xr:uid="{00000000-0005-0000-0000-0000EF780000}"/>
    <cellStyle name="Normal 4 5 11 4" xfId="21988" xr:uid="{00000000-0005-0000-0000-0000F0780000}"/>
    <cellStyle name="Normal 4 5 11 5" xfId="21989" xr:uid="{00000000-0005-0000-0000-0000F1780000}"/>
    <cellStyle name="Normal 4 5 11 6" xfId="21990" xr:uid="{00000000-0005-0000-0000-0000F2780000}"/>
    <cellStyle name="Normal 4 5 12" xfId="21991" xr:uid="{00000000-0005-0000-0000-0000F3780000}"/>
    <cellStyle name="Normal 4 5 12 2" xfId="54993" xr:uid="{00000000-0005-0000-0000-0000F4780000}"/>
    <cellStyle name="Normal 4 5 12 3" xfId="54994" xr:uid="{00000000-0005-0000-0000-0000F5780000}"/>
    <cellStyle name="Normal 4 5 13" xfId="21992" xr:uid="{00000000-0005-0000-0000-0000F6780000}"/>
    <cellStyle name="Normal 4 5 13 2" xfId="54995" xr:uid="{00000000-0005-0000-0000-0000F7780000}"/>
    <cellStyle name="Normal 4 5 14" xfId="21993" xr:uid="{00000000-0005-0000-0000-0000F8780000}"/>
    <cellStyle name="Normal 4 5 14 2" xfId="54996" xr:uid="{00000000-0005-0000-0000-0000F9780000}"/>
    <cellStyle name="Normal 4 5 15" xfId="21994" xr:uid="{00000000-0005-0000-0000-0000FA780000}"/>
    <cellStyle name="Normal 4 5 16" xfId="21995" xr:uid="{00000000-0005-0000-0000-0000FB780000}"/>
    <cellStyle name="Normal 4 5 17" xfId="21996" xr:uid="{00000000-0005-0000-0000-0000FC780000}"/>
    <cellStyle name="Normal 4 5 18" xfId="21997" xr:uid="{00000000-0005-0000-0000-0000FD780000}"/>
    <cellStyle name="Normal 4 5 19" xfId="21998" xr:uid="{00000000-0005-0000-0000-0000FE780000}"/>
    <cellStyle name="Normal 4 5 2" xfId="21999" xr:uid="{00000000-0005-0000-0000-0000FF780000}"/>
    <cellStyle name="Normal 4 5 2 10" xfId="22000" xr:uid="{00000000-0005-0000-0000-000000790000}"/>
    <cellStyle name="Normal 4 5 2 11" xfId="22001" xr:uid="{00000000-0005-0000-0000-000001790000}"/>
    <cellStyle name="Normal 4 5 2 12" xfId="22002" xr:uid="{00000000-0005-0000-0000-000002790000}"/>
    <cellStyle name="Normal 4 5 2 13" xfId="22003" xr:uid="{00000000-0005-0000-0000-000003790000}"/>
    <cellStyle name="Normal 4 5 2 14" xfId="22004" xr:uid="{00000000-0005-0000-0000-000004790000}"/>
    <cellStyle name="Normal 4 5 2 15" xfId="22005" xr:uid="{00000000-0005-0000-0000-000005790000}"/>
    <cellStyle name="Normal 4 5 2 2" xfId="22006" xr:uid="{00000000-0005-0000-0000-000006790000}"/>
    <cellStyle name="Normal 4 5 2 2 10" xfId="22007" xr:uid="{00000000-0005-0000-0000-000007790000}"/>
    <cellStyle name="Normal 4 5 2 2 11" xfId="22008" xr:uid="{00000000-0005-0000-0000-000008790000}"/>
    <cellStyle name="Normal 4 5 2 2 12" xfId="22009" xr:uid="{00000000-0005-0000-0000-000009790000}"/>
    <cellStyle name="Normal 4 5 2 2 13" xfId="22010" xr:uid="{00000000-0005-0000-0000-00000A790000}"/>
    <cellStyle name="Normal 4 5 2 2 14" xfId="22011" xr:uid="{00000000-0005-0000-0000-00000B790000}"/>
    <cellStyle name="Normal 4 5 2 2 2" xfId="22012" xr:uid="{00000000-0005-0000-0000-00000C790000}"/>
    <cellStyle name="Normal 4 5 2 2 2 2" xfId="22013" xr:uid="{00000000-0005-0000-0000-00000D790000}"/>
    <cellStyle name="Normal 4 5 2 2 2 2 2" xfId="22014" xr:uid="{00000000-0005-0000-0000-00000E790000}"/>
    <cellStyle name="Normal 4 5 2 2 2 2 2 2" xfId="22015" xr:uid="{00000000-0005-0000-0000-00000F790000}"/>
    <cellStyle name="Normal 4 5 2 2 2 2 2 2 2" xfId="54997" xr:uid="{00000000-0005-0000-0000-000010790000}"/>
    <cellStyle name="Normal 4 5 2 2 2 2 2 2 3" xfId="54998" xr:uid="{00000000-0005-0000-0000-000011790000}"/>
    <cellStyle name="Normal 4 5 2 2 2 2 2 3" xfId="22016" xr:uid="{00000000-0005-0000-0000-000012790000}"/>
    <cellStyle name="Normal 4 5 2 2 2 2 2 3 2" xfId="54999" xr:uid="{00000000-0005-0000-0000-000013790000}"/>
    <cellStyle name="Normal 4 5 2 2 2 2 2 4" xfId="22017" xr:uid="{00000000-0005-0000-0000-000014790000}"/>
    <cellStyle name="Normal 4 5 2 2 2 2 2 5" xfId="22018" xr:uid="{00000000-0005-0000-0000-000015790000}"/>
    <cellStyle name="Normal 4 5 2 2 2 2 2 6" xfId="22019" xr:uid="{00000000-0005-0000-0000-000016790000}"/>
    <cellStyle name="Normal 4 5 2 2 2 2 3" xfId="22020" xr:uid="{00000000-0005-0000-0000-000017790000}"/>
    <cellStyle name="Normal 4 5 2 2 2 2 3 2" xfId="55000" xr:uid="{00000000-0005-0000-0000-000018790000}"/>
    <cellStyle name="Normal 4 5 2 2 2 2 3 3" xfId="55001" xr:uid="{00000000-0005-0000-0000-000019790000}"/>
    <cellStyle name="Normal 4 5 2 2 2 2 4" xfId="22021" xr:uid="{00000000-0005-0000-0000-00001A790000}"/>
    <cellStyle name="Normal 4 5 2 2 2 2 4 2" xfId="55002" xr:uid="{00000000-0005-0000-0000-00001B790000}"/>
    <cellStyle name="Normal 4 5 2 2 2 2 5" xfId="22022" xr:uid="{00000000-0005-0000-0000-00001C790000}"/>
    <cellStyle name="Normal 4 5 2 2 2 2 6" xfId="22023" xr:uid="{00000000-0005-0000-0000-00001D790000}"/>
    <cellStyle name="Normal 4 5 2 2 2 2 7" xfId="22024" xr:uid="{00000000-0005-0000-0000-00001E790000}"/>
    <cellStyle name="Normal 4 5 2 2 2 3" xfId="22025" xr:uid="{00000000-0005-0000-0000-00001F790000}"/>
    <cellStyle name="Normal 4 5 2 2 2 3 2" xfId="22026" xr:uid="{00000000-0005-0000-0000-000020790000}"/>
    <cellStyle name="Normal 4 5 2 2 2 3 2 2" xfId="55003" xr:uid="{00000000-0005-0000-0000-000021790000}"/>
    <cellStyle name="Normal 4 5 2 2 2 3 2 3" xfId="55004" xr:uid="{00000000-0005-0000-0000-000022790000}"/>
    <cellStyle name="Normal 4 5 2 2 2 3 3" xfId="22027" xr:uid="{00000000-0005-0000-0000-000023790000}"/>
    <cellStyle name="Normal 4 5 2 2 2 3 3 2" xfId="55005" xr:uid="{00000000-0005-0000-0000-000024790000}"/>
    <cellStyle name="Normal 4 5 2 2 2 3 4" xfId="22028" xr:uid="{00000000-0005-0000-0000-000025790000}"/>
    <cellStyle name="Normal 4 5 2 2 2 3 5" xfId="22029" xr:uid="{00000000-0005-0000-0000-000026790000}"/>
    <cellStyle name="Normal 4 5 2 2 2 3 6" xfId="22030" xr:uid="{00000000-0005-0000-0000-000027790000}"/>
    <cellStyle name="Normal 4 5 2 2 2 4" xfId="22031" xr:uid="{00000000-0005-0000-0000-000028790000}"/>
    <cellStyle name="Normal 4 5 2 2 2 4 2" xfId="55006" xr:uid="{00000000-0005-0000-0000-000029790000}"/>
    <cellStyle name="Normal 4 5 2 2 2 4 3" xfId="55007" xr:uid="{00000000-0005-0000-0000-00002A790000}"/>
    <cellStyle name="Normal 4 5 2 2 2 5" xfId="22032" xr:uid="{00000000-0005-0000-0000-00002B790000}"/>
    <cellStyle name="Normal 4 5 2 2 2 5 2" xfId="55008" xr:uid="{00000000-0005-0000-0000-00002C790000}"/>
    <cellStyle name="Normal 4 5 2 2 2 6" xfId="22033" xr:uid="{00000000-0005-0000-0000-00002D790000}"/>
    <cellStyle name="Normal 4 5 2 2 2 7" xfId="22034" xr:uid="{00000000-0005-0000-0000-00002E790000}"/>
    <cellStyle name="Normal 4 5 2 2 2 8" xfId="22035" xr:uid="{00000000-0005-0000-0000-00002F790000}"/>
    <cellStyle name="Normal 4 5 2 2 2 9" xfId="22036" xr:uid="{00000000-0005-0000-0000-000030790000}"/>
    <cellStyle name="Normal 4 5 2 2 3" xfId="22037" xr:uid="{00000000-0005-0000-0000-000031790000}"/>
    <cellStyle name="Normal 4 5 2 2 3 2" xfId="22038" xr:uid="{00000000-0005-0000-0000-000032790000}"/>
    <cellStyle name="Normal 4 5 2 2 3 2 2" xfId="22039" xr:uid="{00000000-0005-0000-0000-000033790000}"/>
    <cellStyle name="Normal 4 5 2 2 3 2 2 2" xfId="22040" xr:uid="{00000000-0005-0000-0000-000034790000}"/>
    <cellStyle name="Normal 4 5 2 2 3 2 2 2 2" xfId="55009" xr:uid="{00000000-0005-0000-0000-000035790000}"/>
    <cellStyle name="Normal 4 5 2 2 3 2 2 2 3" xfId="55010" xr:uid="{00000000-0005-0000-0000-000036790000}"/>
    <cellStyle name="Normal 4 5 2 2 3 2 2 3" xfId="22041" xr:uid="{00000000-0005-0000-0000-000037790000}"/>
    <cellStyle name="Normal 4 5 2 2 3 2 2 3 2" xfId="55011" xr:uid="{00000000-0005-0000-0000-000038790000}"/>
    <cellStyle name="Normal 4 5 2 2 3 2 2 4" xfId="22042" xr:uid="{00000000-0005-0000-0000-000039790000}"/>
    <cellStyle name="Normal 4 5 2 2 3 2 2 5" xfId="22043" xr:uid="{00000000-0005-0000-0000-00003A790000}"/>
    <cellStyle name="Normal 4 5 2 2 3 2 2 6" xfId="22044" xr:uid="{00000000-0005-0000-0000-00003B790000}"/>
    <cellStyle name="Normal 4 5 2 2 3 2 3" xfId="22045" xr:uid="{00000000-0005-0000-0000-00003C790000}"/>
    <cellStyle name="Normal 4 5 2 2 3 2 3 2" xfId="55012" xr:uid="{00000000-0005-0000-0000-00003D790000}"/>
    <cellStyle name="Normal 4 5 2 2 3 2 3 3" xfId="55013" xr:uid="{00000000-0005-0000-0000-00003E790000}"/>
    <cellStyle name="Normal 4 5 2 2 3 2 4" xfId="22046" xr:uid="{00000000-0005-0000-0000-00003F790000}"/>
    <cellStyle name="Normal 4 5 2 2 3 2 4 2" xfId="55014" xr:uid="{00000000-0005-0000-0000-000040790000}"/>
    <cellStyle name="Normal 4 5 2 2 3 2 5" xfId="22047" xr:uid="{00000000-0005-0000-0000-000041790000}"/>
    <cellStyle name="Normal 4 5 2 2 3 2 6" xfId="22048" xr:uid="{00000000-0005-0000-0000-000042790000}"/>
    <cellStyle name="Normal 4 5 2 2 3 2 7" xfId="22049" xr:uid="{00000000-0005-0000-0000-000043790000}"/>
    <cellStyle name="Normal 4 5 2 2 3 3" xfId="22050" xr:uid="{00000000-0005-0000-0000-000044790000}"/>
    <cellStyle name="Normal 4 5 2 2 3 3 2" xfId="22051" xr:uid="{00000000-0005-0000-0000-000045790000}"/>
    <cellStyle name="Normal 4 5 2 2 3 3 2 2" xfId="55015" xr:uid="{00000000-0005-0000-0000-000046790000}"/>
    <cellStyle name="Normal 4 5 2 2 3 3 2 3" xfId="55016" xr:uid="{00000000-0005-0000-0000-000047790000}"/>
    <cellStyle name="Normal 4 5 2 2 3 3 3" xfId="22052" xr:uid="{00000000-0005-0000-0000-000048790000}"/>
    <cellStyle name="Normal 4 5 2 2 3 3 3 2" xfId="55017" xr:uid="{00000000-0005-0000-0000-000049790000}"/>
    <cellStyle name="Normal 4 5 2 2 3 3 4" xfId="22053" xr:uid="{00000000-0005-0000-0000-00004A790000}"/>
    <cellStyle name="Normal 4 5 2 2 3 3 5" xfId="22054" xr:uid="{00000000-0005-0000-0000-00004B790000}"/>
    <cellStyle name="Normal 4 5 2 2 3 3 6" xfId="22055" xr:uid="{00000000-0005-0000-0000-00004C790000}"/>
    <cellStyle name="Normal 4 5 2 2 3 4" xfId="22056" xr:uid="{00000000-0005-0000-0000-00004D790000}"/>
    <cellStyle name="Normal 4 5 2 2 3 4 2" xfId="55018" xr:uid="{00000000-0005-0000-0000-00004E790000}"/>
    <cellStyle name="Normal 4 5 2 2 3 4 3" xfId="55019" xr:uid="{00000000-0005-0000-0000-00004F790000}"/>
    <cellStyle name="Normal 4 5 2 2 3 5" xfId="22057" xr:uid="{00000000-0005-0000-0000-000050790000}"/>
    <cellStyle name="Normal 4 5 2 2 3 5 2" xfId="55020" xr:uid="{00000000-0005-0000-0000-000051790000}"/>
    <cellStyle name="Normal 4 5 2 2 3 6" xfId="22058" xr:uid="{00000000-0005-0000-0000-000052790000}"/>
    <cellStyle name="Normal 4 5 2 2 3 7" xfId="22059" xr:uid="{00000000-0005-0000-0000-000053790000}"/>
    <cellStyle name="Normal 4 5 2 2 3 8" xfId="22060" xr:uid="{00000000-0005-0000-0000-000054790000}"/>
    <cellStyle name="Normal 4 5 2 2 4" xfId="22061" xr:uid="{00000000-0005-0000-0000-000055790000}"/>
    <cellStyle name="Normal 4 5 2 2 4 2" xfId="22062" xr:uid="{00000000-0005-0000-0000-000056790000}"/>
    <cellStyle name="Normal 4 5 2 2 4 2 2" xfId="22063" xr:uid="{00000000-0005-0000-0000-000057790000}"/>
    <cellStyle name="Normal 4 5 2 2 4 2 2 2" xfId="55021" xr:uid="{00000000-0005-0000-0000-000058790000}"/>
    <cellStyle name="Normal 4 5 2 2 4 2 2 3" xfId="55022" xr:uid="{00000000-0005-0000-0000-000059790000}"/>
    <cellStyle name="Normal 4 5 2 2 4 2 3" xfId="22064" xr:uid="{00000000-0005-0000-0000-00005A790000}"/>
    <cellStyle name="Normal 4 5 2 2 4 2 3 2" xfId="55023" xr:uid="{00000000-0005-0000-0000-00005B790000}"/>
    <cellStyle name="Normal 4 5 2 2 4 2 4" xfId="22065" xr:uid="{00000000-0005-0000-0000-00005C790000}"/>
    <cellStyle name="Normal 4 5 2 2 4 2 5" xfId="22066" xr:uid="{00000000-0005-0000-0000-00005D790000}"/>
    <cellStyle name="Normal 4 5 2 2 4 2 6" xfId="22067" xr:uid="{00000000-0005-0000-0000-00005E790000}"/>
    <cellStyle name="Normal 4 5 2 2 4 3" xfId="22068" xr:uid="{00000000-0005-0000-0000-00005F790000}"/>
    <cellStyle name="Normal 4 5 2 2 4 3 2" xfId="55024" xr:uid="{00000000-0005-0000-0000-000060790000}"/>
    <cellStyle name="Normal 4 5 2 2 4 3 3" xfId="55025" xr:uid="{00000000-0005-0000-0000-000061790000}"/>
    <cellStyle name="Normal 4 5 2 2 4 4" xfId="22069" xr:uid="{00000000-0005-0000-0000-000062790000}"/>
    <cellStyle name="Normal 4 5 2 2 4 4 2" xfId="55026" xr:uid="{00000000-0005-0000-0000-000063790000}"/>
    <cellStyle name="Normal 4 5 2 2 4 5" xfId="22070" xr:uid="{00000000-0005-0000-0000-000064790000}"/>
    <cellStyle name="Normal 4 5 2 2 4 6" xfId="22071" xr:uid="{00000000-0005-0000-0000-000065790000}"/>
    <cellStyle name="Normal 4 5 2 2 4 7" xfId="22072" xr:uid="{00000000-0005-0000-0000-000066790000}"/>
    <cellStyle name="Normal 4 5 2 2 5" xfId="22073" xr:uid="{00000000-0005-0000-0000-000067790000}"/>
    <cellStyle name="Normal 4 5 2 2 5 2" xfId="22074" xr:uid="{00000000-0005-0000-0000-000068790000}"/>
    <cellStyle name="Normal 4 5 2 2 5 2 2" xfId="55027" xr:uid="{00000000-0005-0000-0000-000069790000}"/>
    <cellStyle name="Normal 4 5 2 2 5 2 3" xfId="55028" xr:uid="{00000000-0005-0000-0000-00006A790000}"/>
    <cellStyle name="Normal 4 5 2 2 5 3" xfId="22075" xr:uid="{00000000-0005-0000-0000-00006B790000}"/>
    <cellStyle name="Normal 4 5 2 2 5 3 2" xfId="55029" xr:uid="{00000000-0005-0000-0000-00006C790000}"/>
    <cellStyle name="Normal 4 5 2 2 5 4" xfId="22076" xr:uid="{00000000-0005-0000-0000-00006D790000}"/>
    <cellStyle name="Normal 4 5 2 2 5 5" xfId="22077" xr:uid="{00000000-0005-0000-0000-00006E790000}"/>
    <cellStyle name="Normal 4 5 2 2 5 6" xfId="22078" xr:uid="{00000000-0005-0000-0000-00006F790000}"/>
    <cellStyle name="Normal 4 5 2 2 6" xfId="22079" xr:uid="{00000000-0005-0000-0000-000070790000}"/>
    <cellStyle name="Normal 4 5 2 2 6 2" xfId="55030" xr:uid="{00000000-0005-0000-0000-000071790000}"/>
    <cellStyle name="Normal 4 5 2 2 6 3" xfId="55031" xr:uid="{00000000-0005-0000-0000-000072790000}"/>
    <cellStyle name="Normal 4 5 2 2 7" xfId="22080" xr:uid="{00000000-0005-0000-0000-000073790000}"/>
    <cellStyle name="Normal 4 5 2 2 7 2" xfId="55032" xr:uid="{00000000-0005-0000-0000-000074790000}"/>
    <cellStyle name="Normal 4 5 2 2 8" xfId="22081" xr:uid="{00000000-0005-0000-0000-000075790000}"/>
    <cellStyle name="Normal 4 5 2 2 9" xfId="22082" xr:uid="{00000000-0005-0000-0000-000076790000}"/>
    <cellStyle name="Normal 4 5 2 3" xfId="22083" xr:uid="{00000000-0005-0000-0000-000077790000}"/>
    <cellStyle name="Normal 4 5 2 3 2" xfId="22084" xr:uid="{00000000-0005-0000-0000-000078790000}"/>
    <cellStyle name="Normal 4 5 2 3 2 2" xfId="22085" xr:uid="{00000000-0005-0000-0000-000079790000}"/>
    <cellStyle name="Normal 4 5 2 3 2 2 2" xfId="22086" xr:uid="{00000000-0005-0000-0000-00007A790000}"/>
    <cellStyle name="Normal 4 5 2 3 2 2 2 2" xfId="55033" xr:uid="{00000000-0005-0000-0000-00007B790000}"/>
    <cellStyle name="Normal 4 5 2 3 2 2 2 3" xfId="55034" xr:uid="{00000000-0005-0000-0000-00007C790000}"/>
    <cellStyle name="Normal 4 5 2 3 2 2 3" xfId="22087" xr:uid="{00000000-0005-0000-0000-00007D790000}"/>
    <cellStyle name="Normal 4 5 2 3 2 2 3 2" xfId="55035" xr:uid="{00000000-0005-0000-0000-00007E790000}"/>
    <cellStyle name="Normal 4 5 2 3 2 2 4" xfId="22088" xr:uid="{00000000-0005-0000-0000-00007F790000}"/>
    <cellStyle name="Normal 4 5 2 3 2 2 5" xfId="22089" xr:uid="{00000000-0005-0000-0000-000080790000}"/>
    <cellStyle name="Normal 4 5 2 3 2 2 6" xfId="22090" xr:uid="{00000000-0005-0000-0000-000081790000}"/>
    <cellStyle name="Normal 4 5 2 3 2 3" xfId="22091" xr:uid="{00000000-0005-0000-0000-000082790000}"/>
    <cellStyle name="Normal 4 5 2 3 2 3 2" xfId="55036" xr:uid="{00000000-0005-0000-0000-000083790000}"/>
    <cellStyle name="Normal 4 5 2 3 2 3 3" xfId="55037" xr:uid="{00000000-0005-0000-0000-000084790000}"/>
    <cellStyle name="Normal 4 5 2 3 2 4" xfId="22092" xr:uid="{00000000-0005-0000-0000-000085790000}"/>
    <cellStyle name="Normal 4 5 2 3 2 4 2" xfId="55038" xr:uid="{00000000-0005-0000-0000-000086790000}"/>
    <cellStyle name="Normal 4 5 2 3 2 5" xfId="22093" xr:uid="{00000000-0005-0000-0000-000087790000}"/>
    <cellStyle name="Normal 4 5 2 3 2 6" xfId="22094" xr:uid="{00000000-0005-0000-0000-000088790000}"/>
    <cellStyle name="Normal 4 5 2 3 2 7" xfId="22095" xr:uid="{00000000-0005-0000-0000-000089790000}"/>
    <cellStyle name="Normal 4 5 2 3 3" xfId="22096" xr:uid="{00000000-0005-0000-0000-00008A790000}"/>
    <cellStyle name="Normal 4 5 2 3 3 2" xfId="22097" xr:uid="{00000000-0005-0000-0000-00008B790000}"/>
    <cellStyle name="Normal 4 5 2 3 3 2 2" xfId="55039" xr:uid="{00000000-0005-0000-0000-00008C790000}"/>
    <cellStyle name="Normal 4 5 2 3 3 2 3" xfId="55040" xr:uid="{00000000-0005-0000-0000-00008D790000}"/>
    <cellStyle name="Normal 4 5 2 3 3 3" xfId="22098" xr:uid="{00000000-0005-0000-0000-00008E790000}"/>
    <cellStyle name="Normal 4 5 2 3 3 3 2" xfId="55041" xr:uid="{00000000-0005-0000-0000-00008F790000}"/>
    <cellStyle name="Normal 4 5 2 3 3 4" xfId="22099" xr:uid="{00000000-0005-0000-0000-000090790000}"/>
    <cellStyle name="Normal 4 5 2 3 3 5" xfId="22100" xr:uid="{00000000-0005-0000-0000-000091790000}"/>
    <cellStyle name="Normal 4 5 2 3 3 6" xfId="22101" xr:uid="{00000000-0005-0000-0000-000092790000}"/>
    <cellStyle name="Normal 4 5 2 3 4" xfId="22102" xr:uid="{00000000-0005-0000-0000-000093790000}"/>
    <cellStyle name="Normal 4 5 2 3 4 2" xfId="55042" xr:uid="{00000000-0005-0000-0000-000094790000}"/>
    <cellStyle name="Normal 4 5 2 3 4 3" xfId="55043" xr:uid="{00000000-0005-0000-0000-000095790000}"/>
    <cellStyle name="Normal 4 5 2 3 5" xfId="22103" xr:uid="{00000000-0005-0000-0000-000096790000}"/>
    <cellStyle name="Normal 4 5 2 3 5 2" xfId="55044" xr:uid="{00000000-0005-0000-0000-000097790000}"/>
    <cellStyle name="Normal 4 5 2 3 6" xfId="22104" xr:uid="{00000000-0005-0000-0000-000098790000}"/>
    <cellStyle name="Normal 4 5 2 3 7" xfId="22105" xr:uid="{00000000-0005-0000-0000-000099790000}"/>
    <cellStyle name="Normal 4 5 2 3 8" xfId="22106" xr:uid="{00000000-0005-0000-0000-00009A790000}"/>
    <cellStyle name="Normal 4 5 2 3 9" xfId="22107" xr:uid="{00000000-0005-0000-0000-00009B790000}"/>
    <cellStyle name="Normal 4 5 2 4" xfId="22108" xr:uid="{00000000-0005-0000-0000-00009C790000}"/>
    <cellStyle name="Normal 4 5 2 4 2" xfId="22109" xr:uid="{00000000-0005-0000-0000-00009D790000}"/>
    <cellStyle name="Normal 4 5 2 4 2 2" xfId="22110" xr:uid="{00000000-0005-0000-0000-00009E790000}"/>
    <cellStyle name="Normal 4 5 2 4 2 2 2" xfId="22111" xr:uid="{00000000-0005-0000-0000-00009F790000}"/>
    <cellStyle name="Normal 4 5 2 4 2 2 2 2" xfId="55045" xr:uid="{00000000-0005-0000-0000-0000A0790000}"/>
    <cellStyle name="Normal 4 5 2 4 2 2 2 3" xfId="55046" xr:uid="{00000000-0005-0000-0000-0000A1790000}"/>
    <cellStyle name="Normal 4 5 2 4 2 2 3" xfId="22112" xr:uid="{00000000-0005-0000-0000-0000A2790000}"/>
    <cellStyle name="Normal 4 5 2 4 2 2 3 2" xfId="55047" xr:uid="{00000000-0005-0000-0000-0000A3790000}"/>
    <cellStyle name="Normal 4 5 2 4 2 2 4" xfId="22113" xr:uid="{00000000-0005-0000-0000-0000A4790000}"/>
    <cellStyle name="Normal 4 5 2 4 2 2 5" xfId="22114" xr:uid="{00000000-0005-0000-0000-0000A5790000}"/>
    <cellStyle name="Normal 4 5 2 4 2 2 6" xfId="22115" xr:uid="{00000000-0005-0000-0000-0000A6790000}"/>
    <cellStyle name="Normal 4 5 2 4 2 3" xfId="22116" xr:uid="{00000000-0005-0000-0000-0000A7790000}"/>
    <cellStyle name="Normal 4 5 2 4 2 3 2" xfId="55048" xr:uid="{00000000-0005-0000-0000-0000A8790000}"/>
    <cellStyle name="Normal 4 5 2 4 2 3 3" xfId="55049" xr:uid="{00000000-0005-0000-0000-0000A9790000}"/>
    <cellStyle name="Normal 4 5 2 4 2 4" xfId="22117" xr:uid="{00000000-0005-0000-0000-0000AA790000}"/>
    <cellStyle name="Normal 4 5 2 4 2 4 2" xfId="55050" xr:uid="{00000000-0005-0000-0000-0000AB790000}"/>
    <cellStyle name="Normal 4 5 2 4 2 5" xfId="22118" xr:uid="{00000000-0005-0000-0000-0000AC790000}"/>
    <cellStyle name="Normal 4 5 2 4 2 6" xfId="22119" xr:uid="{00000000-0005-0000-0000-0000AD790000}"/>
    <cellStyle name="Normal 4 5 2 4 2 7" xfId="22120" xr:uid="{00000000-0005-0000-0000-0000AE790000}"/>
    <cellStyle name="Normal 4 5 2 4 3" xfId="22121" xr:uid="{00000000-0005-0000-0000-0000AF790000}"/>
    <cellStyle name="Normal 4 5 2 4 3 2" xfId="22122" xr:uid="{00000000-0005-0000-0000-0000B0790000}"/>
    <cellStyle name="Normal 4 5 2 4 3 2 2" xfId="55051" xr:uid="{00000000-0005-0000-0000-0000B1790000}"/>
    <cellStyle name="Normal 4 5 2 4 3 2 3" xfId="55052" xr:uid="{00000000-0005-0000-0000-0000B2790000}"/>
    <cellStyle name="Normal 4 5 2 4 3 3" xfId="22123" xr:uid="{00000000-0005-0000-0000-0000B3790000}"/>
    <cellStyle name="Normal 4 5 2 4 3 3 2" xfId="55053" xr:uid="{00000000-0005-0000-0000-0000B4790000}"/>
    <cellStyle name="Normal 4 5 2 4 3 4" xfId="22124" xr:uid="{00000000-0005-0000-0000-0000B5790000}"/>
    <cellStyle name="Normal 4 5 2 4 3 5" xfId="22125" xr:uid="{00000000-0005-0000-0000-0000B6790000}"/>
    <cellStyle name="Normal 4 5 2 4 3 6" xfId="22126" xr:uid="{00000000-0005-0000-0000-0000B7790000}"/>
    <cellStyle name="Normal 4 5 2 4 4" xfId="22127" xr:uid="{00000000-0005-0000-0000-0000B8790000}"/>
    <cellStyle name="Normal 4 5 2 4 4 2" xfId="55054" xr:uid="{00000000-0005-0000-0000-0000B9790000}"/>
    <cellStyle name="Normal 4 5 2 4 4 3" xfId="55055" xr:uid="{00000000-0005-0000-0000-0000BA790000}"/>
    <cellStyle name="Normal 4 5 2 4 5" xfId="22128" xr:uid="{00000000-0005-0000-0000-0000BB790000}"/>
    <cellStyle name="Normal 4 5 2 4 5 2" xfId="55056" xr:uid="{00000000-0005-0000-0000-0000BC790000}"/>
    <cellStyle name="Normal 4 5 2 4 6" xfId="22129" xr:uid="{00000000-0005-0000-0000-0000BD790000}"/>
    <cellStyle name="Normal 4 5 2 4 7" xfId="22130" xr:uid="{00000000-0005-0000-0000-0000BE790000}"/>
    <cellStyle name="Normal 4 5 2 4 8" xfId="22131" xr:uid="{00000000-0005-0000-0000-0000BF790000}"/>
    <cellStyle name="Normal 4 5 2 5" xfId="22132" xr:uid="{00000000-0005-0000-0000-0000C0790000}"/>
    <cellStyle name="Normal 4 5 2 5 2" xfId="22133" xr:uid="{00000000-0005-0000-0000-0000C1790000}"/>
    <cellStyle name="Normal 4 5 2 5 2 2" xfId="22134" xr:uid="{00000000-0005-0000-0000-0000C2790000}"/>
    <cellStyle name="Normal 4 5 2 5 2 2 2" xfId="55057" xr:uid="{00000000-0005-0000-0000-0000C3790000}"/>
    <cellStyle name="Normal 4 5 2 5 2 2 3" xfId="55058" xr:uid="{00000000-0005-0000-0000-0000C4790000}"/>
    <cellStyle name="Normal 4 5 2 5 2 3" xfId="22135" xr:uid="{00000000-0005-0000-0000-0000C5790000}"/>
    <cellStyle name="Normal 4 5 2 5 2 3 2" xfId="55059" xr:uid="{00000000-0005-0000-0000-0000C6790000}"/>
    <cellStyle name="Normal 4 5 2 5 2 4" xfId="22136" xr:uid="{00000000-0005-0000-0000-0000C7790000}"/>
    <cellStyle name="Normal 4 5 2 5 2 5" xfId="22137" xr:uid="{00000000-0005-0000-0000-0000C8790000}"/>
    <cellStyle name="Normal 4 5 2 5 2 6" xfId="22138" xr:uid="{00000000-0005-0000-0000-0000C9790000}"/>
    <cellStyle name="Normal 4 5 2 5 3" xfId="22139" xr:uid="{00000000-0005-0000-0000-0000CA790000}"/>
    <cellStyle name="Normal 4 5 2 5 3 2" xfId="55060" xr:uid="{00000000-0005-0000-0000-0000CB790000}"/>
    <cellStyle name="Normal 4 5 2 5 3 3" xfId="55061" xr:uid="{00000000-0005-0000-0000-0000CC790000}"/>
    <cellStyle name="Normal 4 5 2 5 4" xfId="22140" xr:uid="{00000000-0005-0000-0000-0000CD790000}"/>
    <cellStyle name="Normal 4 5 2 5 4 2" xfId="55062" xr:uid="{00000000-0005-0000-0000-0000CE790000}"/>
    <cellStyle name="Normal 4 5 2 5 5" xfId="22141" xr:uid="{00000000-0005-0000-0000-0000CF790000}"/>
    <cellStyle name="Normal 4 5 2 5 6" xfId="22142" xr:uid="{00000000-0005-0000-0000-0000D0790000}"/>
    <cellStyle name="Normal 4 5 2 5 7" xfId="22143" xr:uid="{00000000-0005-0000-0000-0000D1790000}"/>
    <cellStyle name="Normal 4 5 2 6" xfId="22144" xr:uid="{00000000-0005-0000-0000-0000D2790000}"/>
    <cellStyle name="Normal 4 5 2 6 2" xfId="22145" xr:uid="{00000000-0005-0000-0000-0000D3790000}"/>
    <cellStyle name="Normal 4 5 2 6 2 2" xfId="55063" xr:uid="{00000000-0005-0000-0000-0000D4790000}"/>
    <cellStyle name="Normal 4 5 2 6 2 3" xfId="55064" xr:uid="{00000000-0005-0000-0000-0000D5790000}"/>
    <cellStyle name="Normal 4 5 2 6 3" xfId="22146" xr:uid="{00000000-0005-0000-0000-0000D6790000}"/>
    <cellStyle name="Normal 4 5 2 6 3 2" xfId="55065" xr:uid="{00000000-0005-0000-0000-0000D7790000}"/>
    <cellStyle name="Normal 4 5 2 6 4" xfId="22147" xr:uid="{00000000-0005-0000-0000-0000D8790000}"/>
    <cellStyle name="Normal 4 5 2 6 5" xfId="22148" xr:uid="{00000000-0005-0000-0000-0000D9790000}"/>
    <cellStyle name="Normal 4 5 2 6 6" xfId="22149" xr:uid="{00000000-0005-0000-0000-0000DA790000}"/>
    <cellStyle name="Normal 4 5 2 7" xfId="22150" xr:uid="{00000000-0005-0000-0000-0000DB790000}"/>
    <cellStyle name="Normal 4 5 2 7 2" xfId="55066" xr:uid="{00000000-0005-0000-0000-0000DC790000}"/>
    <cellStyle name="Normal 4 5 2 7 3" xfId="55067" xr:uid="{00000000-0005-0000-0000-0000DD790000}"/>
    <cellStyle name="Normal 4 5 2 8" xfId="22151" xr:uid="{00000000-0005-0000-0000-0000DE790000}"/>
    <cellStyle name="Normal 4 5 2 8 2" xfId="55068" xr:uid="{00000000-0005-0000-0000-0000DF790000}"/>
    <cellStyle name="Normal 4 5 2 9" xfId="22152" xr:uid="{00000000-0005-0000-0000-0000E0790000}"/>
    <cellStyle name="Normal 4 5 2 9 2" xfId="55069" xr:uid="{00000000-0005-0000-0000-0000E1790000}"/>
    <cellStyle name="Normal 4 5 20" xfId="22153" xr:uid="{00000000-0005-0000-0000-0000E2790000}"/>
    <cellStyle name="Normal 4 5 3" xfId="22154" xr:uid="{00000000-0005-0000-0000-0000E3790000}"/>
    <cellStyle name="Normal 4 5 3 10" xfId="22155" xr:uid="{00000000-0005-0000-0000-0000E4790000}"/>
    <cellStyle name="Normal 4 5 3 11" xfId="22156" xr:uid="{00000000-0005-0000-0000-0000E5790000}"/>
    <cellStyle name="Normal 4 5 3 12" xfId="22157" xr:uid="{00000000-0005-0000-0000-0000E6790000}"/>
    <cellStyle name="Normal 4 5 3 13" xfId="22158" xr:uid="{00000000-0005-0000-0000-0000E7790000}"/>
    <cellStyle name="Normal 4 5 3 14" xfId="22159" xr:uid="{00000000-0005-0000-0000-0000E8790000}"/>
    <cellStyle name="Normal 4 5 3 15" xfId="22160" xr:uid="{00000000-0005-0000-0000-0000E9790000}"/>
    <cellStyle name="Normal 4 5 3 2" xfId="22161" xr:uid="{00000000-0005-0000-0000-0000EA790000}"/>
    <cellStyle name="Normal 4 5 3 2 10" xfId="22162" xr:uid="{00000000-0005-0000-0000-0000EB790000}"/>
    <cellStyle name="Normal 4 5 3 2 11" xfId="22163" xr:uid="{00000000-0005-0000-0000-0000EC790000}"/>
    <cellStyle name="Normal 4 5 3 2 12" xfId="22164" xr:uid="{00000000-0005-0000-0000-0000ED790000}"/>
    <cellStyle name="Normal 4 5 3 2 13" xfId="22165" xr:uid="{00000000-0005-0000-0000-0000EE790000}"/>
    <cellStyle name="Normal 4 5 3 2 14" xfId="22166" xr:uid="{00000000-0005-0000-0000-0000EF790000}"/>
    <cellStyle name="Normal 4 5 3 2 2" xfId="22167" xr:uid="{00000000-0005-0000-0000-0000F0790000}"/>
    <cellStyle name="Normal 4 5 3 2 2 2" xfId="22168" xr:uid="{00000000-0005-0000-0000-0000F1790000}"/>
    <cellStyle name="Normal 4 5 3 2 2 2 2" xfId="22169" xr:uid="{00000000-0005-0000-0000-0000F2790000}"/>
    <cellStyle name="Normal 4 5 3 2 2 2 2 2" xfId="22170" xr:uid="{00000000-0005-0000-0000-0000F3790000}"/>
    <cellStyle name="Normal 4 5 3 2 2 2 2 2 2" xfId="55070" xr:uid="{00000000-0005-0000-0000-0000F4790000}"/>
    <cellStyle name="Normal 4 5 3 2 2 2 2 2 3" xfId="55071" xr:uid="{00000000-0005-0000-0000-0000F5790000}"/>
    <cellStyle name="Normal 4 5 3 2 2 2 2 3" xfId="22171" xr:uid="{00000000-0005-0000-0000-0000F6790000}"/>
    <cellStyle name="Normal 4 5 3 2 2 2 2 3 2" xfId="55072" xr:uid="{00000000-0005-0000-0000-0000F7790000}"/>
    <cellStyle name="Normal 4 5 3 2 2 2 2 4" xfId="22172" xr:uid="{00000000-0005-0000-0000-0000F8790000}"/>
    <cellStyle name="Normal 4 5 3 2 2 2 2 5" xfId="22173" xr:uid="{00000000-0005-0000-0000-0000F9790000}"/>
    <cellStyle name="Normal 4 5 3 2 2 2 2 6" xfId="22174" xr:uid="{00000000-0005-0000-0000-0000FA790000}"/>
    <cellStyle name="Normal 4 5 3 2 2 2 3" xfId="22175" xr:uid="{00000000-0005-0000-0000-0000FB790000}"/>
    <cellStyle name="Normal 4 5 3 2 2 2 3 2" xfId="55073" xr:uid="{00000000-0005-0000-0000-0000FC790000}"/>
    <cellStyle name="Normal 4 5 3 2 2 2 3 3" xfId="55074" xr:uid="{00000000-0005-0000-0000-0000FD790000}"/>
    <cellStyle name="Normal 4 5 3 2 2 2 4" xfId="22176" xr:uid="{00000000-0005-0000-0000-0000FE790000}"/>
    <cellStyle name="Normal 4 5 3 2 2 2 4 2" xfId="55075" xr:uid="{00000000-0005-0000-0000-0000FF790000}"/>
    <cellStyle name="Normal 4 5 3 2 2 2 5" xfId="22177" xr:uid="{00000000-0005-0000-0000-0000007A0000}"/>
    <cellStyle name="Normal 4 5 3 2 2 2 6" xfId="22178" xr:uid="{00000000-0005-0000-0000-0000017A0000}"/>
    <cellStyle name="Normal 4 5 3 2 2 2 7" xfId="22179" xr:uid="{00000000-0005-0000-0000-0000027A0000}"/>
    <cellStyle name="Normal 4 5 3 2 2 3" xfId="22180" xr:uid="{00000000-0005-0000-0000-0000037A0000}"/>
    <cellStyle name="Normal 4 5 3 2 2 3 2" xfId="22181" xr:uid="{00000000-0005-0000-0000-0000047A0000}"/>
    <cellStyle name="Normal 4 5 3 2 2 3 2 2" xfId="55076" xr:uid="{00000000-0005-0000-0000-0000057A0000}"/>
    <cellStyle name="Normal 4 5 3 2 2 3 2 3" xfId="55077" xr:uid="{00000000-0005-0000-0000-0000067A0000}"/>
    <cellStyle name="Normal 4 5 3 2 2 3 3" xfId="22182" xr:uid="{00000000-0005-0000-0000-0000077A0000}"/>
    <cellStyle name="Normal 4 5 3 2 2 3 3 2" xfId="55078" xr:uid="{00000000-0005-0000-0000-0000087A0000}"/>
    <cellStyle name="Normal 4 5 3 2 2 3 4" xfId="22183" xr:uid="{00000000-0005-0000-0000-0000097A0000}"/>
    <cellStyle name="Normal 4 5 3 2 2 3 5" xfId="22184" xr:uid="{00000000-0005-0000-0000-00000A7A0000}"/>
    <cellStyle name="Normal 4 5 3 2 2 3 6" xfId="22185" xr:uid="{00000000-0005-0000-0000-00000B7A0000}"/>
    <cellStyle name="Normal 4 5 3 2 2 4" xfId="22186" xr:uid="{00000000-0005-0000-0000-00000C7A0000}"/>
    <cellStyle name="Normal 4 5 3 2 2 4 2" xfId="55079" xr:uid="{00000000-0005-0000-0000-00000D7A0000}"/>
    <cellStyle name="Normal 4 5 3 2 2 4 3" xfId="55080" xr:uid="{00000000-0005-0000-0000-00000E7A0000}"/>
    <cellStyle name="Normal 4 5 3 2 2 5" xfId="22187" xr:uid="{00000000-0005-0000-0000-00000F7A0000}"/>
    <cellStyle name="Normal 4 5 3 2 2 5 2" xfId="55081" xr:uid="{00000000-0005-0000-0000-0000107A0000}"/>
    <cellStyle name="Normal 4 5 3 2 2 6" xfId="22188" xr:uid="{00000000-0005-0000-0000-0000117A0000}"/>
    <cellStyle name="Normal 4 5 3 2 2 7" xfId="22189" xr:uid="{00000000-0005-0000-0000-0000127A0000}"/>
    <cellStyle name="Normal 4 5 3 2 2 8" xfId="22190" xr:uid="{00000000-0005-0000-0000-0000137A0000}"/>
    <cellStyle name="Normal 4 5 3 2 2 9" xfId="22191" xr:uid="{00000000-0005-0000-0000-0000147A0000}"/>
    <cellStyle name="Normal 4 5 3 2 3" xfId="22192" xr:uid="{00000000-0005-0000-0000-0000157A0000}"/>
    <cellStyle name="Normal 4 5 3 2 3 2" xfId="22193" xr:uid="{00000000-0005-0000-0000-0000167A0000}"/>
    <cellStyle name="Normal 4 5 3 2 3 2 2" xfId="22194" xr:uid="{00000000-0005-0000-0000-0000177A0000}"/>
    <cellStyle name="Normal 4 5 3 2 3 2 2 2" xfId="22195" xr:uid="{00000000-0005-0000-0000-0000187A0000}"/>
    <cellStyle name="Normal 4 5 3 2 3 2 2 2 2" xfId="55082" xr:uid="{00000000-0005-0000-0000-0000197A0000}"/>
    <cellStyle name="Normal 4 5 3 2 3 2 2 2 3" xfId="55083" xr:uid="{00000000-0005-0000-0000-00001A7A0000}"/>
    <cellStyle name="Normal 4 5 3 2 3 2 2 3" xfId="22196" xr:uid="{00000000-0005-0000-0000-00001B7A0000}"/>
    <cellStyle name="Normal 4 5 3 2 3 2 2 3 2" xfId="55084" xr:uid="{00000000-0005-0000-0000-00001C7A0000}"/>
    <cellStyle name="Normal 4 5 3 2 3 2 2 4" xfId="22197" xr:uid="{00000000-0005-0000-0000-00001D7A0000}"/>
    <cellStyle name="Normal 4 5 3 2 3 2 2 5" xfId="22198" xr:uid="{00000000-0005-0000-0000-00001E7A0000}"/>
    <cellStyle name="Normal 4 5 3 2 3 2 2 6" xfId="22199" xr:uid="{00000000-0005-0000-0000-00001F7A0000}"/>
    <cellStyle name="Normal 4 5 3 2 3 2 3" xfId="22200" xr:uid="{00000000-0005-0000-0000-0000207A0000}"/>
    <cellStyle name="Normal 4 5 3 2 3 2 3 2" xfId="55085" xr:uid="{00000000-0005-0000-0000-0000217A0000}"/>
    <cellStyle name="Normal 4 5 3 2 3 2 3 3" xfId="55086" xr:uid="{00000000-0005-0000-0000-0000227A0000}"/>
    <cellStyle name="Normal 4 5 3 2 3 2 4" xfId="22201" xr:uid="{00000000-0005-0000-0000-0000237A0000}"/>
    <cellStyle name="Normal 4 5 3 2 3 2 4 2" xfId="55087" xr:uid="{00000000-0005-0000-0000-0000247A0000}"/>
    <cellStyle name="Normal 4 5 3 2 3 2 5" xfId="22202" xr:uid="{00000000-0005-0000-0000-0000257A0000}"/>
    <cellStyle name="Normal 4 5 3 2 3 2 6" xfId="22203" xr:uid="{00000000-0005-0000-0000-0000267A0000}"/>
    <cellStyle name="Normal 4 5 3 2 3 2 7" xfId="22204" xr:uid="{00000000-0005-0000-0000-0000277A0000}"/>
    <cellStyle name="Normal 4 5 3 2 3 3" xfId="22205" xr:uid="{00000000-0005-0000-0000-0000287A0000}"/>
    <cellStyle name="Normal 4 5 3 2 3 3 2" xfId="22206" xr:uid="{00000000-0005-0000-0000-0000297A0000}"/>
    <cellStyle name="Normal 4 5 3 2 3 3 2 2" xfId="55088" xr:uid="{00000000-0005-0000-0000-00002A7A0000}"/>
    <cellStyle name="Normal 4 5 3 2 3 3 2 3" xfId="55089" xr:uid="{00000000-0005-0000-0000-00002B7A0000}"/>
    <cellStyle name="Normal 4 5 3 2 3 3 3" xfId="22207" xr:uid="{00000000-0005-0000-0000-00002C7A0000}"/>
    <cellStyle name="Normal 4 5 3 2 3 3 3 2" xfId="55090" xr:uid="{00000000-0005-0000-0000-00002D7A0000}"/>
    <cellStyle name="Normal 4 5 3 2 3 3 4" xfId="22208" xr:uid="{00000000-0005-0000-0000-00002E7A0000}"/>
    <cellStyle name="Normal 4 5 3 2 3 3 5" xfId="22209" xr:uid="{00000000-0005-0000-0000-00002F7A0000}"/>
    <cellStyle name="Normal 4 5 3 2 3 3 6" xfId="22210" xr:uid="{00000000-0005-0000-0000-0000307A0000}"/>
    <cellStyle name="Normal 4 5 3 2 3 4" xfId="22211" xr:uid="{00000000-0005-0000-0000-0000317A0000}"/>
    <cellStyle name="Normal 4 5 3 2 3 4 2" xfId="55091" xr:uid="{00000000-0005-0000-0000-0000327A0000}"/>
    <cellStyle name="Normal 4 5 3 2 3 4 3" xfId="55092" xr:uid="{00000000-0005-0000-0000-0000337A0000}"/>
    <cellStyle name="Normal 4 5 3 2 3 5" xfId="22212" xr:uid="{00000000-0005-0000-0000-0000347A0000}"/>
    <cellStyle name="Normal 4 5 3 2 3 5 2" xfId="55093" xr:uid="{00000000-0005-0000-0000-0000357A0000}"/>
    <cellStyle name="Normal 4 5 3 2 3 6" xfId="22213" xr:uid="{00000000-0005-0000-0000-0000367A0000}"/>
    <cellStyle name="Normal 4 5 3 2 3 7" xfId="22214" xr:uid="{00000000-0005-0000-0000-0000377A0000}"/>
    <cellStyle name="Normal 4 5 3 2 3 8" xfId="22215" xr:uid="{00000000-0005-0000-0000-0000387A0000}"/>
    <cellStyle name="Normal 4 5 3 2 4" xfId="22216" xr:uid="{00000000-0005-0000-0000-0000397A0000}"/>
    <cellStyle name="Normal 4 5 3 2 4 2" xfId="22217" xr:uid="{00000000-0005-0000-0000-00003A7A0000}"/>
    <cellStyle name="Normal 4 5 3 2 4 2 2" xfId="22218" xr:uid="{00000000-0005-0000-0000-00003B7A0000}"/>
    <cellStyle name="Normal 4 5 3 2 4 2 2 2" xfId="55094" xr:uid="{00000000-0005-0000-0000-00003C7A0000}"/>
    <cellStyle name="Normal 4 5 3 2 4 2 2 3" xfId="55095" xr:uid="{00000000-0005-0000-0000-00003D7A0000}"/>
    <cellStyle name="Normal 4 5 3 2 4 2 3" xfId="22219" xr:uid="{00000000-0005-0000-0000-00003E7A0000}"/>
    <cellStyle name="Normal 4 5 3 2 4 2 3 2" xfId="55096" xr:uid="{00000000-0005-0000-0000-00003F7A0000}"/>
    <cellStyle name="Normal 4 5 3 2 4 2 4" xfId="22220" xr:uid="{00000000-0005-0000-0000-0000407A0000}"/>
    <cellStyle name="Normal 4 5 3 2 4 2 5" xfId="22221" xr:uid="{00000000-0005-0000-0000-0000417A0000}"/>
    <cellStyle name="Normal 4 5 3 2 4 2 6" xfId="22222" xr:uid="{00000000-0005-0000-0000-0000427A0000}"/>
    <cellStyle name="Normal 4 5 3 2 4 3" xfId="22223" xr:uid="{00000000-0005-0000-0000-0000437A0000}"/>
    <cellStyle name="Normal 4 5 3 2 4 3 2" xfId="55097" xr:uid="{00000000-0005-0000-0000-0000447A0000}"/>
    <cellStyle name="Normal 4 5 3 2 4 3 3" xfId="55098" xr:uid="{00000000-0005-0000-0000-0000457A0000}"/>
    <cellStyle name="Normal 4 5 3 2 4 4" xfId="22224" xr:uid="{00000000-0005-0000-0000-0000467A0000}"/>
    <cellStyle name="Normal 4 5 3 2 4 4 2" xfId="55099" xr:uid="{00000000-0005-0000-0000-0000477A0000}"/>
    <cellStyle name="Normal 4 5 3 2 4 5" xfId="22225" xr:uid="{00000000-0005-0000-0000-0000487A0000}"/>
    <cellStyle name="Normal 4 5 3 2 4 6" xfId="22226" xr:uid="{00000000-0005-0000-0000-0000497A0000}"/>
    <cellStyle name="Normal 4 5 3 2 4 7" xfId="22227" xr:uid="{00000000-0005-0000-0000-00004A7A0000}"/>
    <cellStyle name="Normal 4 5 3 2 5" xfId="22228" xr:uid="{00000000-0005-0000-0000-00004B7A0000}"/>
    <cellStyle name="Normal 4 5 3 2 5 2" xfId="22229" xr:uid="{00000000-0005-0000-0000-00004C7A0000}"/>
    <cellStyle name="Normal 4 5 3 2 5 2 2" xfId="55100" xr:uid="{00000000-0005-0000-0000-00004D7A0000}"/>
    <cellStyle name="Normal 4 5 3 2 5 2 3" xfId="55101" xr:uid="{00000000-0005-0000-0000-00004E7A0000}"/>
    <cellStyle name="Normal 4 5 3 2 5 3" xfId="22230" xr:uid="{00000000-0005-0000-0000-00004F7A0000}"/>
    <cellStyle name="Normal 4 5 3 2 5 3 2" xfId="55102" xr:uid="{00000000-0005-0000-0000-0000507A0000}"/>
    <cellStyle name="Normal 4 5 3 2 5 4" xfId="22231" xr:uid="{00000000-0005-0000-0000-0000517A0000}"/>
    <cellStyle name="Normal 4 5 3 2 5 5" xfId="22232" xr:uid="{00000000-0005-0000-0000-0000527A0000}"/>
    <cellStyle name="Normal 4 5 3 2 5 6" xfId="22233" xr:uid="{00000000-0005-0000-0000-0000537A0000}"/>
    <cellStyle name="Normal 4 5 3 2 6" xfId="22234" xr:uid="{00000000-0005-0000-0000-0000547A0000}"/>
    <cellStyle name="Normal 4 5 3 2 6 2" xfId="55103" xr:uid="{00000000-0005-0000-0000-0000557A0000}"/>
    <cellStyle name="Normal 4 5 3 2 6 3" xfId="55104" xr:uid="{00000000-0005-0000-0000-0000567A0000}"/>
    <cellStyle name="Normal 4 5 3 2 7" xfId="22235" xr:uid="{00000000-0005-0000-0000-0000577A0000}"/>
    <cellStyle name="Normal 4 5 3 2 7 2" xfId="55105" xr:uid="{00000000-0005-0000-0000-0000587A0000}"/>
    <cellStyle name="Normal 4 5 3 2 8" xfId="22236" xr:uid="{00000000-0005-0000-0000-0000597A0000}"/>
    <cellStyle name="Normal 4 5 3 2 9" xfId="22237" xr:uid="{00000000-0005-0000-0000-00005A7A0000}"/>
    <cellStyle name="Normal 4 5 3 3" xfId="22238" xr:uid="{00000000-0005-0000-0000-00005B7A0000}"/>
    <cellStyle name="Normal 4 5 3 3 2" xfId="22239" xr:uid="{00000000-0005-0000-0000-00005C7A0000}"/>
    <cellStyle name="Normal 4 5 3 3 2 2" xfId="22240" xr:uid="{00000000-0005-0000-0000-00005D7A0000}"/>
    <cellStyle name="Normal 4 5 3 3 2 2 2" xfId="22241" xr:uid="{00000000-0005-0000-0000-00005E7A0000}"/>
    <cellStyle name="Normal 4 5 3 3 2 2 2 2" xfId="55106" xr:uid="{00000000-0005-0000-0000-00005F7A0000}"/>
    <cellStyle name="Normal 4 5 3 3 2 2 2 3" xfId="55107" xr:uid="{00000000-0005-0000-0000-0000607A0000}"/>
    <cellStyle name="Normal 4 5 3 3 2 2 3" xfId="22242" xr:uid="{00000000-0005-0000-0000-0000617A0000}"/>
    <cellStyle name="Normal 4 5 3 3 2 2 3 2" xfId="55108" xr:uid="{00000000-0005-0000-0000-0000627A0000}"/>
    <cellStyle name="Normal 4 5 3 3 2 2 4" xfId="22243" xr:uid="{00000000-0005-0000-0000-0000637A0000}"/>
    <cellStyle name="Normal 4 5 3 3 2 2 5" xfId="22244" xr:uid="{00000000-0005-0000-0000-0000647A0000}"/>
    <cellStyle name="Normal 4 5 3 3 2 2 6" xfId="22245" xr:uid="{00000000-0005-0000-0000-0000657A0000}"/>
    <cellStyle name="Normal 4 5 3 3 2 3" xfId="22246" xr:uid="{00000000-0005-0000-0000-0000667A0000}"/>
    <cellStyle name="Normal 4 5 3 3 2 3 2" xfId="55109" xr:uid="{00000000-0005-0000-0000-0000677A0000}"/>
    <cellStyle name="Normal 4 5 3 3 2 3 3" xfId="55110" xr:uid="{00000000-0005-0000-0000-0000687A0000}"/>
    <cellStyle name="Normal 4 5 3 3 2 4" xfId="22247" xr:uid="{00000000-0005-0000-0000-0000697A0000}"/>
    <cellStyle name="Normal 4 5 3 3 2 4 2" xfId="55111" xr:uid="{00000000-0005-0000-0000-00006A7A0000}"/>
    <cellStyle name="Normal 4 5 3 3 2 5" xfId="22248" xr:uid="{00000000-0005-0000-0000-00006B7A0000}"/>
    <cellStyle name="Normal 4 5 3 3 2 6" xfId="22249" xr:uid="{00000000-0005-0000-0000-00006C7A0000}"/>
    <cellStyle name="Normal 4 5 3 3 2 7" xfId="22250" xr:uid="{00000000-0005-0000-0000-00006D7A0000}"/>
    <cellStyle name="Normal 4 5 3 3 3" xfId="22251" xr:uid="{00000000-0005-0000-0000-00006E7A0000}"/>
    <cellStyle name="Normal 4 5 3 3 3 2" xfId="22252" xr:uid="{00000000-0005-0000-0000-00006F7A0000}"/>
    <cellStyle name="Normal 4 5 3 3 3 2 2" xfId="55112" xr:uid="{00000000-0005-0000-0000-0000707A0000}"/>
    <cellStyle name="Normal 4 5 3 3 3 2 3" xfId="55113" xr:uid="{00000000-0005-0000-0000-0000717A0000}"/>
    <cellStyle name="Normal 4 5 3 3 3 3" xfId="22253" xr:uid="{00000000-0005-0000-0000-0000727A0000}"/>
    <cellStyle name="Normal 4 5 3 3 3 3 2" xfId="55114" xr:uid="{00000000-0005-0000-0000-0000737A0000}"/>
    <cellStyle name="Normal 4 5 3 3 3 4" xfId="22254" xr:uid="{00000000-0005-0000-0000-0000747A0000}"/>
    <cellStyle name="Normal 4 5 3 3 3 5" xfId="22255" xr:uid="{00000000-0005-0000-0000-0000757A0000}"/>
    <cellStyle name="Normal 4 5 3 3 3 6" xfId="22256" xr:uid="{00000000-0005-0000-0000-0000767A0000}"/>
    <cellStyle name="Normal 4 5 3 3 4" xfId="22257" xr:uid="{00000000-0005-0000-0000-0000777A0000}"/>
    <cellStyle name="Normal 4 5 3 3 4 2" xfId="55115" xr:uid="{00000000-0005-0000-0000-0000787A0000}"/>
    <cellStyle name="Normal 4 5 3 3 4 3" xfId="55116" xr:uid="{00000000-0005-0000-0000-0000797A0000}"/>
    <cellStyle name="Normal 4 5 3 3 5" xfId="22258" xr:uid="{00000000-0005-0000-0000-00007A7A0000}"/>
    <cellStyle name="Normal 4 5 3 3 5 2" xfId="55117" xr:uid="{00000000-0005-0000-0000-00007B7A0000}"/>
    <cellStyle name="Normal 4 5 3 3 6" xfId="22259" xr:uid="{00000000-0005-0000-0000-00007C7A0000}"/>
    <cellStyle name="Normal 4 5 3 3 7" xfId="22260" xr:uid="{00000000-0005-0000-0000-00007D7A0000}"/>
    <cellStyle name="Normal 4 5 3 3 8" xfId="22261" xr:uid="{00000000-0005-0000-0000-00007E7A0000}"/>
    <cellStyle name="Normal 4 5 3 3 9" xfId="22262" xr:uid="{00000000-0005-0000-0000-00007F7A0000}"/>
    <cellStyle name="Normal 4 5 3 4" xfId="22263" xr:uid="{00000000-0005-0000-0000-0000807A0000}"/>
    <cellStyle name="Normal 4 5 3 4 2" xfId="22264" xr:uid="{00000000-0005-0000-0000-0000817A0000}"/>
    <cellStyle name="Normal 4 5 3 4 2 2" xfId="22265" xr:uid="{00000000-0005-0000-0000-0000827A0000}"/>
    <cellStyle name="Normal 4 5 3 4 2 2 2" xfId="22266" xr:uid="{00000000-0005-0000-0000-0000837A0000}"/>
    <cellStyle name="Normal 4 5 3 4 2 2 2 2" xfId="55118" xr:uid="{00000000-0005-0000-0000-0000847A0000}"/>
    <cellStyle name="Normal 4 5 3 4 2 2 2 3" xfId="55119" xr:uid="{00000000-0005-0000-0000-0000857A0000}"/>
    <cellStyle name="Normal 4 5 3 4 2 2 3" xfId="22267" xr:uid="{00000000-0005-0000-0000-0000867A0000}"/>
    <cellStyle name="Normal 4 5 3 4 2 2 3 2" xfId="55120" xr:uid="{00000000-0005-0000-0000-0000877A0000}"/>
    <cellStyle name="Normal 4 5 3 4 2 2 4" xfId="22268" xr:uid="{00000000-0005-0000-0000-0000887A0000}"/>
    <cellStyle name="Normal 4 5 3 4 2 2 5" xfId="22269" xr:uid="{00000000-0005-0000-0000-0000897A0000}"/>
    <cellStyle name="Normal 4 5 3 4 2 2 6" xfId="22270" xr:uid="{00000000-0005-0000-0000-00008A7A0000}"/>
    <cellStyle name="Normal 4 5 3 4 2 3" xfId="22271" xr:uid="{00000000-0005-0000-0000-00008B7A0000}"/>
    <cellStyle name="Normal 4 5 3 4 2 3 2" xfId="55121" xr:uid="{00000000-0005-0000-0000-00008C7A0000}"/>
    <cellStyle name="Normal 4 5 3 4 2 3 3" xfId="55122" xr:uid="{00000000-0005-0000-0000-00008D7A0000}"/>
    <cellStyle name="Normal 4 5 3 4 2 4" xfId="22272" xr:uid="{00000000-0005-0000-0000-00008E7A0000}"/>
    <cellStyle name="Normal 4 5 3 4 2 4 2" xfId="55123" xr:uid="{00000000-0005-0000-0000-00008F7A0000}"/>
    <cellStyle name="Normal 4 5 3 4 2 5" xfId="22273" xr:uid="{00000000-0005-0000-0000-0000907A0000}"/>
    <cellStyle name="Normal 4 5 3 4 2 6" xfId="22274" xr:uid="{00000000-0005-0000-0000-0000917A0000}"/>
    <cellStyle name="Normal 4 5 3 4 2 7" xfId="22275" xr:uid="{00000000-0005-0000-0000-0000927A0000}"/>
    <cellStyle name="Normal 4 5 3 4 3" xfId="22276" xr:uid="{00000000-0005-0000-0000-0000937A0000}"/>
    <cellStyle name="Normal 4 5 3 4 3 2" xfId="22277" xr:uid="{00000000-0005-0000-0000-0000947A0000}"/>
    <cellStyle name="Normal 4 5 3 4 3 2 2" xfId="55124" xr:uid="{00000000-0005-0000-0000-0000957A0000}"/>
    <cellStyle name="Normal 4 5 3 4 3 2 3" xfId="55125" xr:uid="{00000000-0005-0000-0000-0000967A0000}"/>
    <cellStyle name="Normal 4 5 3 4 3 3" xfId="22278" xr:uid="{00000000-0005-0000-0000-0000977A0000}"/>
    <cellStyle name="Normal 4 5 3 4 3 3 2" xfId="55126" xr:uid="{00000000-0005-0000-0000-0000987A0000}"/>
    <cellStyle name="Normal 4 5 3 4 3 4" xfId="22279" xr:uid="{00000000-0005-0000-0000-0000997A0000}"/>
    <cellStyle name="Normal 4 5 3 4 3 5" xfId="22280" xr:uid="{00000000-0005-0000-0000-00009A7A0000}"/>
    <cellStyle name="Normal 4 5 3 4 3 6" xfId="22281" xr:uid="{00000000-0005-0000-0000-00009B7A0000}"/>
    <cellStyle name="Normal 4 5 3 4 4" xfId="22282" xr:uid="{00000000-0005-0000-0000-00009C7A0000}"/>
    <cellStyle name="Normal 4 5 3 4 4 2" xfId="55127" xr:uid="{00000000-0005-0000-0000-00009D7A0000}"/>
    <cellStyle name="Normal 4 5 3 4 4 3" xfId="55128" xr:uid="{00000000-0005-0000-0000-00009E7A0000}"/>
    <cellStyle name="Normal 4 5 3 4 5" xfId="22283" xr:uid="{00000000-0005-0000-0000-00009F7A0000}"/>
    <cellStyle name="Normal 4 5 3 4 5 2" xfId="55129" xr:uid="{00000000-0005-0000-0000-0000A07A0000}"/>
    <cellStyle name="Normal 4 5 3 4 6" xfId="22284" xr:uid="{00000000-0005-0000-0000-0000A17A0000}"/>
    <cellStyle name="Normal 4 5 3 4 7" xfId="22285" xr:uid="{00000000-0005-0000-0000-0000A27A0000}"/>
    <cellStyle name="Normal 4 5 3 4 8" xfId="22286" xr:uid="{00000000-0005-0000-0000-0000A37A0000}"/>
    <cellStyle name="Normal 4 5 3 5" xfId="22287" xr:uid="{00000000-0005-0000-0000-0000A47A0000}"/>
    <cellStyle name="Normal 4 5 3 5 2" xfId="22288" xr:uid="{00000000-0005-0000-0000-0000A57A0000}"/>
    <cellStyle name="Normal 4 5 3 5 2 2" xfId="22289" xr:uid="{00000000-0005-0000-0000-0000A67A0000}"/>
    <cellStyle name="Normal 4 5 3 5 2 2 2" xfId="55130" xr:uid="{00000000-0005-0000-0000-0000A77A0000}"/>
    <cellStyle name="Normal 4 5 3 5 2 2 3" xfId="55131" xr:uid="{00000000-0005-0000-0000-0000A87A0000}"/>
    <cellStyle name="Normal 4 5 3 5 2 3" xfId="22290" xr:uid="{00000000-0005-0000-0000-0000A97A0000}"/>
    <cellStyle name="Normal 4 5 3 5 2 3 2" xfId="55132" xr:uid="{00000000-0005-0000-0000-0000AA7A0000}"/>
    <cellStyle name="Normal 4 5 3 5 2 4" xfId="22291" xr:uid="{00000000-0005-0000-0000-0000AB7A0000}"/>
    <cellStyle name="Normal 4 5 3 5 2 5" xfId="22292" xr:uid="{00000000-0005-0000-0000-0000AC7A0000}"/>
    <cellStyle name="Normal 4 5 3 5 2 6" xfId="22293" xr:uid="{00000000-0005-0000-0000-0000AD7A0000}"/>
    <cellStyle name="Normal 4 5 3 5 3" xfId="22294" xr:uid="{00000000-0005-0000-0000-0000AE7A0000}"/>
    <cellStyle name="Normal 4 5 3 5 3 2" xfId="55133" xr:uid="{00000000-0005-0000-0000-0000AF7A0000}"/>
    <cellStyle name="Normal 4 5 3 5 3 3" xfId="55134" xr:uid="{00000000-0005-0000-0000-0000B07A0000}"/>
    <cellStyle name="Normal 4 5 3 5 4" xfId="22295" xr:uid="{00000000-0005-0000-0000-0000B17A0000}"/>
    <cellStyle name="Normal 4 5 3 5 4 2" xfId="55135" xr:uid="{00000000-0005-0000-0000-0000B27A0000}"/>
    <cellStyle name="Normal 4 5 3 5 5" xfId="22296" xr:uid="{00000000-0005-0000-0000-0000B37A0000}"/>
    <cellStyle name="Normal 4 5 3 5 6" xfId="22297" xr:uid="{00000000-0005-0000-0000-0000B47A0000}"/>
    <cellStyle name="Normal 4 5 3 5 7" xfId="22298" xr:uid="{00000000-0005-0000-0000-0000B57A0000}"/>
    <cellStyle name="Normal 4 5 3 6" xfId="22299" xr:uid="{00000000-0005-0000-0000-0000B67A0000}"/>
    <cellStyle name="Normal 4 5 3 6 2" xfId="22300" xr:uid="{00000000-0005-0000-0000-0000B77A0000}"/>
    <cellStyle name="Normal 4 5 3 6 2 2" xfId="55136" xr:uid="{00000000-0005-0000-0000-0000B87A0000}"/>
    <cellStyle name="Normal 4 5 3 6 2 3" xfId="55137" xr:uid="{00000000-0005-0000-0000-0000B97A0000}"/>
    <cellStyle name="Normal 4 5 3 6 3" xfId="22301" xr:uid="{00000000-0005-0000-0000-0000BA7A0000}"/>
    <cellStyle name="Normal 4 5 3 6 3 2" xfId="55138" xr:uid="{00000000-0005-0000-0000-0000BB7A0000}"/>
    <cellStyle name="Normal 4 5 3 6 4" xfId="22302" xr:uid="{00000000-0005-0000-0000-0000BC7A0000}"/>
    <cellStyle name="Normal 4 5 3 6 5" xfId="22303" xr:uid="{00000000-0005-0000-0000-0000BD7A0000}"/>
    <cellStyle name="Normal 4 5 3 6 6" xfId="22304" xr:uid="{00000000-0005-0000-0000-0000BE7A0000}"/>
    <cellStyle name="Normal 4 5 3 7" xfId="22305" xr:uid="{00000000-0005-0000-0000-0000BF7A0000}"/>
    <cellStyle name="Normal 4 5 3 7 2" xfId="55139" xr:uid="{00000000-0005-0000-0000-0000C07A0000}"/>
    <cellStyle name="Normal 4 5 3 7 3" xfId="55140" xr:uid="{00000000-0005-0000-0000-0000C17A0000}"/>
    <cellStyle name="Normal 4 5 3 8" xfId="22306" xr:uid="{00000000-0005-0000-0000-0000C27A0000}"/>
    <cellStyle name="Normal 4 5 3 8 2" xfId="55141" xr:uid="{00000000-0005-0000-0000-0000C37A0000}"/>
    <cellStyle name="Normal 4 5 3 9" xfId="22307" xr:uid="{00000000-0005-0000-0000-0000C47A0000}"/>
    <cellStyle name="Normal 4 5 4" xfId="22308" xr:uid="{00000000-0005-0000-0000-0000C57A0000}"/>
    <cellStyle name="Normal 4 5 4 10" xfId="22309" xr:uid="{00000000-0005-0000-0000-0000C67A0000}"/>
    <cellStyle name="Normal 4 5 4 11" xfId="22310" xr:uid="{00000000-0005-0000-0000-0000C77A0000}"/>
    <cellStyle name="Normal 4 5 4 12" xfId="22311" xr:uid="{00000000-0005-0000-0000-0000C87A0000}"/>
    <cellStyle name="Normal 4 5 4 13" xfId="22312" xr:uid="{00000000-0005-0000-0000-0000C97A0000}"/>
    <cellStyle name="Normal 4 5 4 14" xfId="22313" xr:uid="{00000000-0005-0000-0000-0000CA7A0000}"/>
    <cellStyle name="Normal 4 5 4 2" xfId="22314" xr:uid="{00000000-0005-0000-0000-0000CB7A0000}"/>
    <cellStyle name="Normal 4 5 4 2 2" xfId="22315" xr:uid="{00000000-0005-0000-0000-0000CC7A0000}"/>
    <cellStyle name="Normal 4 5 4 2 2 2" xfId="22316" xr:uid="{00000000-0005-0000-0000-0000CD7A0000}"/>
    <cellStyle name="Normal 4 5 4 2 2 2 2" xfId="22317" xr:uid="{00000000-0005-0000-0000-0000CE7A0000}"/>
    <cellStyle name="Normal 4 5 4 2 2 2 2 2" xfId="55142" xr:uid="{00000000-0005-0000-0000-0000CF7A0000}"/>
    <cellStyle name="Normal 4 5 4 2 2 2 2 3" xfId="55143" xr:uid="{00000000-0005-0000-0000-0000D07A0000}"/>
    <cellStyle name="Normal 4 5 4 2 2 2 3" xfId="22318" xr:uid="{00000000-0005-0000-0000-0000D17A0000}"/>
    <cellStyle name="Normal 4 5 4 2 2 2 3 2" xfId="55144" xr:uid="{00000000-0005-0000-0000-0000D27A0000}"/>
    <cellStyle name="Normal 4 5 4 2 2 2 4" xfId="22319" xr:uid="{00000000-0005-0000-0000-0000D37A0000}"/>
    <cellStyle name="Normal 4 5 4 2 2 2 5" xfId="22320" xr:uid="{00000000-0005-0000-0000-0000D47A0000}"/>
    <cellStyle name="Normal 4 5 4 2 2 2 6" xfId="22321" xr:uid="{00000000-0005-0000-0000-0000D57A0000}"/>
    <cellStyle name="Normal 4 5 4 2 2 3" xfId="22322" xr:uid="{00000000-0005-0000-0000-0000D67A0000}"/>
    <cellStyle name="Normal 4 5 4 2 2 3 2" xfId="55145" xr:uid="{00000000-0005-0000-0000-0000D77A0000}"/>
    <cellStyle name="Normal 4 5 4 2 2 3 3" xfId="55146" xr:uid="{00000000-0005-0000-0000-0000D87A0000}"/>
    <cellStyle name="Normal 4 5 4 2 2 4" xfId="22323" xr:uid="{00000000-0005-0000-0000-0000D97A0000}"/>
    <cellStyle name="Normal 4 5 4 2 2 4 2" xfId="55147" xr:uid="{00000000-0005-0000-0000-0000DA7A0000}"/>
    <cellStyle name="Normal 4 5 4 2 2 5" xfId="22324" xr:uid="{00000000-0005-0000-0000-0000DB7A0000}"/>
    <cellStyle name="Normal 4 5 4 2 2 6" xfId="22325" xr:uid="{00000000-0005-0000-0000-0000DC7A0000}"/>
    <cellStyle name="Normal 4 5 4 2 2 7" xfId="22326" xr:uid="{00000000-0005-0000-0000-0000DD7A0000}"/>
    <cellStyle name="Normal 4 5 4 2 3" xfId="22327" xr:uid="{00000000-0005-0000-0000-0000DE7A0000}"/>
    <cellStyle name="Normal 4 5 4 2 3 2" xfId="22328" xr:uid="{00000000-0005-0000-0000-0000DF7A0000}"/>
    <cellStyle name="Normal 4 5 4 2 3 2 2" xfId="55148" xr:uid="{00000000-0005-0000-0000-0000E07A0000}"/>
    <cellStyle name="Normal 4 5 4 2 3 2 3" xfId="55149" xr:uid="{00000000-0005-0000-0000-0000E17A0000}"/>
    <cellStyle name="Normal 4 5 4 2 3 3" xfId="22329" xr:uid="{00000000-0005-0000-0000-0000E27A0000}"/>
    <cellStyle name="Normal 4 5 4 2 3 3 2" xfId="55150" xr:uid="{00000000-0005-0000-0000-0000E37A0000}"/>
    <cellStyle name="Normal 4 5 4 2 3 4" xfId="22330" xr:uid="{00000000-0005-0000-0000-0000E47A0000}"/>
    <cellStyle name="Normal 4 5 4 2 3 5" xfId="22331" xr:uid="{00000000-0005-0000-0000-0000E57A0000}"/>
    <cellStyle name="Normal 4 5 4 2 3 6" xfId="22332" xr:uid="{00000000-0005-0000-0000-0000E67A0000}"/>
    <cellStyle name="Normal 4 5 4 2 4" xfId="22333" xr:uid="{00000000-0005-0000-0000-0000E77A0000}"/>
    <cellStyle name="Normal 4 5 4 2 4 2" xfId="55151" xr:uid="{00000000-0005-0000-0000-0000E87A0000}"/>
    <cellStyle name="Normal 4 5 4 2 4 3" xfId="55152" xr:uid="{00000000-0005-0000-0000-0000E97A0000}"/>
    <cellStyle name="Normal 4 5 4 2 5" xfId="22334" xr:uid="{00000000-0005-0000-0000-0000EA7A0000}"/>
    <cellStyle name="Normal 4 5 4 2 5 2" xfId="55153" xr:uid="{00000000-0005-0000-0000-0000EB7A0000}"/>
    <cellStyle name="Normal 4 5 4 2 6" xfId="22335" xr:uid="{00000000-0005-0000-0000-0000EC7A0000}"/>
    <cellStyle name="Normal 4 5 4 2 7" xfId="22336" xr:uid="{00000000-0005-0000-0000-0000ED7A0000}"/>
    <cellStyle name="Normal 4 5 4 2 8" xfId="22337" xr:uid="{00000000-0005-0000-0000-0000EE7A0000}"/>
    <cellStyle name="Normal 4 5 4 2 9" xfId="22338" xr:uid="{00000000-0005-0000-0000-0000EF7A0000}"/>
    <cellStyle name="Normal 4 5 4 3" xfId="22339" xr:uid="{00000000-0005-0000-0000-0000F07A0000}"/>
    <cellStyle name="Normal 4 5 4 3 2" xfId="22340" xr:uid="{00000000-0005-0000-0000-0000F17A0000}"/>
    <cellStyle name="Normal 4 5 4 3 2 2" xfId="22341" xr:uid="{00000000-0005-0000-0000-0000F27A0000}"/>
    <cellStyle name="Normal 4 5 4 3 2 2 2" xfId="22342" xr:uid="{00000000-0005-0000-0000-0000F37A0000}"/>
    <cellStyle name="Normal 4 5 4 3 2 2 2 2" xfId="55154" xr:uid="{00000000-0005-0000-0000-0000F47A0000}"/>
    <cellStyle name="Normal 4 5 4 3 2 2 2 3" xfId="55155" xr:uid="{00000000-0005-0000-0000-0000F57A0000}"/>
    <cellStyle name="Normal 4 5 4 3 2 2 3" xfId="22343" xr:uid="{00000000-0005-0000-0000-0000F67A0000}"/>
    <cellStyle name="Normal 4 5 4 3 2 2 3 2" xfId="55156" xr:uid="{00000000-0005-0000-0000-0000F77A0000}"/>
    <cellStyle name="Normal 4 5 4 3 2 2 4" xfId="22344" xr:uid="{00000000-0005-0000-0000-0000F87A0000}"/>
    <cellStyle name="Normal 4 5 4 3 2 2 5" xfId="22345" xr:uid="{00000000-0005-0000-0000-0000F97A0000}"/>
    <cellStyle name="Normal 4 5 4 3 2 2 6" xfId="22346" xr:uid="{00000000-0005-0000-0000-0000FA7A0000}"/>
    <cellStyle name="Normal 4 5 4 3 2 3" xfId="22347" xr:uid="{00000000-0005-0000-0000-0000FB7A0000}"/>
    <cellStyle name="Normal 4 5 4 3 2 3 2" xfId="55157" xr:uid="{00000000-0005-0000-0000-0000FC7A0000}"/>
    <cellStyle name="Normal 4 5 4 3 2 3 3" xfId="55158" xr:uid="{00000000-0005-0000-0000-0000FD7A0000}"/>
    <cellStyle name="Normal 4 5 4 3 2 4" xfId="22348" xr:uid="{00000000-0005-0000-0000-0000FE7A0000}"/>
    <cellStyle name="Normal 4 5 4 3 2 4 2" xfId="55159" xr:uid="{00000000-0005-0000-0000-0000FF7A0000}"/>
    <cellStyle name="Normal 4 5 4 3 2 5" xfId="22349" xr:uid="{00000000-0005-0000-0000-0000007B0000}"/>
    <cellStyle name="Normal 4 5 4 3 2 6" xfId="22350" xr:uid="{00000000-0005-0000-0000-0000017B0000}"/>
    <cellStyle name="Normal 4 5 4 3 2 7" xfId="22351" xr:uid="{00000000-0005-0000-0000-0000027B0000}"/>
    <cellStyle name="Normal 4 5 4 3 3" xfId="22352" xr:uid="{00000000-0005-0000-0000-0000037B0000}"/>
    <cellStyle name="Normal 4 5 4 3 3 2" xfId="22353" xr:uid="{00000000-0005-0000-0000-0000047B0000}"/>
    <cellStyle name="Normal 4 5 4 3 3 2 2" xfId="55160" xr:uid="{00000000-0005-0000-0000-0000057B0000}"/>
    <cellStyle name="Normal 4 5 4 3 3 2 3" xfId="55161" xr:uid="{00000000-0005-0000-0000-0000067B0000}"/>
    <cellStyle name="Normal 4 5 4 3 3 3" xfId="22354" xr:uid="{00000000-0005-0000-0000-0000077B0000}"/>
    <cellStyle name="Normal 4 5 4 3 3 3 2" xfId="55162" xr:uid="{00000000-0005-0000-0000-0000087B0000}"/>
    <cellStyle name="Normal 4 5 4 3 3 4" xfId="22355" xr:uid="{00000000-0005-0000-0000-0000097B0000}"/>
    <cellStyle name="Normal 4 5 4 3 3 5" xfId="22356" xr:uid="{00000000-0005-0000-0000-00000A7B0000}"/>
    <cellStyle name="Normal 4 5 4 3 3 6" xfId="22357" xr:uid="{00000000-0005-0000-0000-00000B7B0000}"/>
    <cellStyle name="Normal 4 5 4 3 4" xfId="22358" xr:uid="{00000000-0005-0000-0000-00000C7B0000}"/>
    <cellStyle name="Normal 4 5 4 3 4 2" xfId="55163" xr:uid="{00000000-0005-0000-0000-00000D7B0000}"/>
    <cellStyle name="Normal 4 5 4 3 4 3" xfId="55164" xr:uid="{00000000-0005-0000-0000-00000E7B0000}"/>
    <cellStyle name="Normal 4 5 4 3 5" xfId="22359" xr:uid="{00000000-0005-0000-0000-00000F7B0000}"/>
    <cellStyle name="Normal 4 5 4 3 5 2" xfId="55165" xr:uid="{00000000-0005-0000-0000-0000107B0000}"/>
    <cellStyle name="Normal 4 5 4 3 6" xfId="22360" xr:uid="{00000000-0005-0000-0000-0000117B0000}"/>
    <cellStyle name="Normal 4 5 4 3 7" xfId="22361" xr:uid="{00000000-0005-0000-0000-0000127B0000}"/>
    <cellStyle name="Normal 4 5 4 3 8" xfId="22362" xr:uid="{00000000-0005-0000-0000-0000137B0000}"/>
    <cellStyle name="Normal 4 5 4 4" xfId="22363" xr:uid="{00000000-0005-0000-0000-0000147B0000}"/>
    <cellStyle name="Normal 4 5 4 4 2" xfId="22364" xr:uid="{00000000-0005-0000-0000-0000157B0000}"/>
    <cellStyle name="Normal 4 5 4 4 2 2" xfId="22365" xr:uid="{00000000-0005-0000-0000-0000167B0000}"/>
    <cellStyle name="Normal 4 5 4 4 2 2 2" xfId="55166" xr:uid="{00000000-0005-0000-0000-0000177B0000}"/>
    <cellStyle name="Normal 4 5 4 4 2 2 3" xfId="55167" xr:uid="{00000000-0005-0000-0000-0000187B0000}"/>
    <cellStyle name="Normal 4 5 4 4 2 3" xfId="22366" xr:uid="{00000000-0005-0000-0000-0000197B0000}"/>
    <cellStyle name="Normal 4 5 4 4 2 3 2" xfId="55168" xr:uid="{00000000-0005-0000-0000-00001A7B0000}"/>
    <cellStyle name="Normal 4 5 4 4 2 4" xfId="22367" xr:uid="{00000000-0005-0000-0000-00001B7B0000}"/>
    <cellStyle name="Normal 4 5 4 4 2 5" xfId="22368" xr:uid="{00000000-0005-0000-0000-00001C7B0000}"/>
    <cellStyle name="Normal 4 5 4 4 2 6" xfId="22369" xr:uid="{00000000-0005-0000-0000-00001D7B0000}"/>
    <cellStyle name="Normal 4 5 4 4 3" xfId="22370" xr:uid="{00000000-0005-0000-0000-00001E7B0000}"/>
    <cellStyle name="Normal 4 5 4 4 3 2" xfId="55169" xr:uid="{00000000-0005-0000-0000-00001F7B0000}"/>
    <cellStyle name="Normal 4 5 4 4 3 3" xfId="55170" xr:uid="{00000000-0005-0000-0000-0000207B0000}"/>
    <cellStyle name="Normal 4 5 4 4 4" xfId="22371" xr:uid="{00000000-0005-0000-0000-0000217B0000}"/>
    <cellStyle name="Normal 4 5 4 4 4 2" xfId="55171" xr:uid="{00000000-0005-0000-0000-0000227B0000}"/>
    <cellStyle name="Normal 4 5 4 4 5" xfId="22372" xr:uid="{00000000-0005-0000-0000-0000237B0000}"/>
    <cellStyle name="Normal 4 5 4 4 6" xfId="22373" xr:uid="{00000000-0005-0000-0000-0000247B0000}"/>
    <cellStyle name="Normal 4 5 4 4 7" xfId="22374" xr:uid="{00000000-0005-0000-0000-0000257B0000}"/>
    <cellStyle name="Normal 4 5 4 5" xfId="22375" xr:uid="{00000000-0005-0000-0000-0000267B0000}"/>
    <cellStyle name="Normal 4 5 4 5 2" xfId="22376" xr:uid="{00000000-0005-0000-0000-0000277B0000}"/>
    <cellStyle name="Normal 4 5 4 5 2 2" xfId="55172" xr:uid="{00000000-0005-0000-0000-0000287B0000}"/>
    <cellStyle name="Normal 4 5 4 5 2 3" xfId="55173" xr:uid="{00000000-0005-0000-0000-0000297B0000}"/>
    <cellStyle name="Normal 4 5 4 5 3" xfId="22377" xr:uid="{00000000-0005-0000-0000-00002A7B0000}"/>
    <cellStyle name="Normal 4 5 4 5 3 2" xfId="55174" xr:uid="{00000000-0005-0000-0000-00002B7B0000}"/>
    <cellStyle name="Normal 4 5 4 5 4" xfId="22378" xr:uid="{00000000-0005-0000-0000-00002C7B0000}"/>
    <cellStyle name="Normal 4 5 4 5 5" xfId="22379" xr:uid="{00000000-0005-0000-0000-00002D7B0000}"/>
    <cellStyle name="Normal 4 5 4 5 6" xfId="22380" xr:uid="{00000000-0005-0000-0000-00002E7B0000}"/>
    <cellStyle name="Normal 4 5 4 6" xfId="22381" xr:uid="{00000000-0005-0000-0000-00002F7B0000}"/>
    <cellStyle name="Normal 4 5 4 6 2" xfId="55175" xr:uid="{00000000-0005-0000-0000-0000307B0000}"/>
    <cellStyle name="Normal 4 5 4 6 3" xfId="55176" xr:uid="{00000000-0005-0000-0000-0000317B0000}"/>
    <cellStyle name="Normal 4 5 4 7" xfId="22382" xr:uid="{00000000-0005-0000-0000-0000327B0000}"/>
    <cellStyle name="Normal 4 5 4 7 2" xfId="55177" xr:uid="{00000000-0005-0000-0000-0000337B0000}"/>
    <cellStyle name="Normal 4 5 4 8" xfId="22383" xr:uid="{00000000-0005-0000-0000-0000347B0000}"/>
    <cellStyle name="Normal 4 5 4 9" xfId="22384" xr:uid="{00000000-0005-0000-0000-0000357B0000}"/>
    <cellStyle name="Normal 4 5 5" xfId="22385" xr:uid="{00000000-0005-0000-0000-0000367B0000}"/>
    <cellStyle name="Normal 4 5 5 10" xfId="22386" xr:uid="{00000000-0005-0000-0000-0000377B0000}"/>
    <cellStyle name="Normal 4 5 5 11" xfId="22387" xr:uid="{00000000-0005-0000-0000-0000387B0000}"/>
    <cellStyle name="Normal 4 5 5 12" xfId="22388" xr:uid="{00000000-0005-0000-0000-0000397B0000}"/>
    <cellStyle name="Normal 4 5 5 13" xfId="22389" xr:uid="{00000000-0005-0000-0000-00003A7B0000}"/>
    <cellStyle name="Normal 4 5 5 14" xfId="22390" xr:uid="{00000000-0005-0000-0000-00003B7B0000}"/>
    <cellStyle name="Normal 4 5 5 2" xfId="22391" xr:uid="{00000000-0005-0000-0000-00003C7B0000}"/>
    <cellStyle name="Normal 4 5 5 2 2" xfId="22392" xr:uid="{00000000-0005-0000-0000-00003D7B0000}"/>
    <cellStyle name="Normal 4 5 5 2 2 2" xfId="22393" xr:uid="{00000000-0005-0000-0000-00003E7B0000}"/>
    <cellStyle name="Normal 4 5 5 2 2 2 2" xfId="22394" xr:uid="{00000000-0005-0000-0000-00003F7B0000}"/>
    <cellStyle name="Normal 4 5 5 2 2 2 2 2" xfId="55178" xr:uid="{00000000-0005-0000-0000-0000407B0000}"/>
    <cellStyle name="Normal 4 5 5 2 2 2 2 3" xfId="55179" xr:uid="{00000000-0005-0000-0000-0000417B0000}"/>
    <cellStyle name="Normal 4 5 5 2 2 2 3" xfId="22395" xr:uid="{00000000-0005-0000-0000-0000427B0000}"/>
    <cellStyle name="Normal 4 5 5 2 2 2 3 2" xfId="55180" xr:uid="{00000000-0005-0000-0000-0000437B0000}"/>
    <cellStyle name="Normal 4 5 5 2 2 2 4" xfId="22396" xr:uid="{00000000-0005-0000-0000-0000447B0000}"/>
    <cellStyle name="Normal 4 5 5 2 2 2 5" xfId="22397" xr:uid="{00000000-0005-0000-0000-0000457B0000}"/>
    <cellStyle name="Normal 4 5 5 2 2 2 6" xfId="22398" xr:uid="{00000000-0005-0000-0000-0000467B0000}"/>
    <cellStyle name="Normal 4 5 5 2 2 3" xfId="22399" xr:uid="{00000000-0005-0000-0000-0000477B0000}"/>
    <cellStyle name="Normal 4 5 5 2 2 3 2" xfId="55181" xr:uid="{00000000-0005-0000-0000-0000487B0000}"/>
    <cellStyle name="Normal 4 5 5 2 2 3 3" xfId="55182" xr:uid="{00000000-0005-0000-0000-0000497B0000}"/>
    <cellStyle name="Normal 4 5 5 2 2 4" xfId="22400" xr:uid="{00000000-0005-0000-0000-00004A7B0000}"/>
    <cellStyle name="Normal 4 5 5 2 2 4 2" xfId="55183" xr:uid="{00000000-0005-0000-0000-00004B7B0000}"/>
    <cellStyle name="Normal 4 5 5 2 2 5" xfId="22401" xr:uid="{00000000-0005-0000-0000-00004C7B0000}"/>
    <cellStyle name="Normal 4 5 5 2 2 6" xfId="22402" xr:uid="{00000000-0005-0000-0000-00004D7B0000}"/>
    <cellStyle name="Normal 4 5 5 2 2 7" xfId="22403" xr:uid="{00000000-0005-0000-0000-00004E7B0000}"/>
    <cellStyle name="Normal 4 5 5 2 3" xfId="22404" xr:uid="{00000000-0005-0000-0000-00004F7B0000}"/>
    <cellStyle name="Normal 4 5 5 2 3 2" xfId="22405" xr:uid="{00000000-0005-0000-0000-0000507B0000}"/>
    <cellStyle name="Normal 4 5 5 2 3 2 2" xfId="55184" xr:uid="{00000000-0005-0000-0000-0000517B0000}"/>
    <cellStyle name="Normal 4 5 5 2 3 2 3" xfId="55185" xr:uid="{00000000-0005-0000-0000-0000527B0000}"/>
    <cellStyle name="Normal 4 5 5 2 3 3" xfId="22406" xr:uid="{00000000-0005-0000-0000-0000537B0000}"/>
    <cellStyle name="Normal 4 5 5 2 3 3 2" xfId="55186" xr:uid="{00000000-0005-0000-0000-0000547B0000}"/>
    <cellStyle name="Normal 4 5 5 2 3 4" xfId="22407" xr:uid="{00000000-0005-0000-0000-0000557B0000}"/>
    <cellStyle name="Normal 4 5 5 2 3 5" xfId="22408" xr:uid="{00000000-0005-0000-0000-0000567B0000}"/>
    <cellStyle name="Normal 4 5 5 2 3 6" xfId="22409" xr:uid="{00000000-0005-0000-0000-0000577B0000}"/>
    <cellStyle name="Normal 4 5 5 2 4" xfId="22410" xr:uid="{00000000-0005-0000-0000-0000587B0000}"/>
    <cellStyle name="Normal 4 5 5 2 4 2" xfId="55187" xr:uid="{00000000-0005-0000-0000-0000597B0000}"/>
    <cellStyle name="Normal 4 5 5 2 4 3" xfId="55188" xr:uid="{00000000-0005-0000-0000-00005A7B0000}"/>
    <cellStyle name="Normal 4 5 5 2 5" xfId="22411" xr:uid="{00000000-0005-0000-0000-00005B7B0000}"/>
    <cellStyle name="Normal 4 5 5 2 5 2" xfId="55189" xr:uid="{00000000-0005-0000-0000-00005C7B0000}"/>
    <cellStyle name="Normal 4 5 5 2 6" xfId="22412" xr:uid="{00000000-0005-0000-0000-00005D7B0000}"/>
    <cellStyle name="Normal 4 5 5 2 7" xfId="22413" xr:uid="{00000000-0005-0000-0000-00005E7B0000}"/>
    <cellStyle name="Normal 4 5 5 2 8" xfId="22414" xr:uid="{00000000-0005-0000-0000-00005F7B0000}"/>
    <cellStyle name="Normal 4 5 5 2 9" xfId="22415" xr:uid="{00000000-0005-0000-0000-0000607B0000}"/>
    <cellStyle name="Normal 4 5 5 3" xfId="22416" xr:uid="{00000000-0005-0000-0000-0000617B0000}"/>
    <cellStyle name="Normal 4 5 5 3 2" xfId="22417" xr:uid="{00000000-0005-0000-0000-0000627B0000}"/>
    <cellStyle name="Normal 4 5 5 3 2 2" xfId="22418" xr:uid="{00000000-0005-0000-0000-0000637B0000}"/>
    <cellStyle name="Normal 4 5 5 3 2 2 2" xfId="22419" xr:uid="{00000000-0005-0000-0000-0000647B0000}"/>
    <cellStyle name="Normal 4 5 5 3 2 2 2 2" xfId="55190" xr:uid="{00000000-0005-0000-0000-0000657B0000}"/>
    <cellStyle name="Normal 4 5 5 3 2 2 2 3" xfId="55191" xr:uid="{00000000-0005-0000-0000-0000667B0000}"/>
    <cellStyle name="Normal 4 5 5 3 2 2 3" xfId="22420" xr:uid="{00000000-0005-0000-0000-0000677B0000}"/>
    <cellStyle name="Normal 4 5 5 3 2 2 3 2" xfId="55192" xr:uid="{00000000-0005-0000-0000-0000687B0000}"/>
    <cellStyle name="Normal 4 5 5 3 2 2 4" xfId="22421" xr:uid="{00000000-0005-0000-0000-0000697B0000}"/>
    <cellStyle name="Normal 4 5 5 3 2 2 5" xfId="22422" xr:uid="{00000000-0005-0000-0000-00006A7B0000}"/>
    <cellStyle name="Normal 4 5 5 3 2 2 6" xfId="22423" xr:uid="{00000000-0005-0000-0000-00006B7B0000}"/>
    <cellStyle name="Normal 4 5 5 3 2 3" xfId="22424" xr:uid="{00000000-0005-0000-0000-00006C7B0000}"/>
    <cellStyle name="Normal 4 5 5 3 2 3 2" xfId="55193" xr:uid="{00000000-0005-0000-0000-00006D7B0000}"/>
    <cellStyle name="Normal 4 5 5 3 2 3 3" xfId="55194" xr:uid="{00000000-0005-0000-0000-00006E7B0000}"/>
    <cellStyle name="Normal 4 5 5 3 2 4" xfId="22425" xr:uid="{00000000-0005-0000-0000-00006F7B0000}"/>
    <cellStyle name="Normal 4 5 5 3 2 4 2" xfId="55195" xr:uid="{00000000-0005-0000-0000-0000707B0000}"/>
    <cellStyle name="Normal 4 5 5 3 2 5" xfId="22426" xr:uid="{00000000-0005-0000-0000-0000717B0000}"/>
    <cellStyle name="Normal 4 5 5 3 2 6" xfId="22427" xr:uid="{00000000-0005-0000-0000-0000727B0000}"/>
    <cellStyle name="Normal 4 5 5 3 2 7" xfId="22428" xr:uid="{00000000-0005-0000-0000-0000737B0000}"/>
    <cellStyle name="Normal 4 5 5 3 3" xfId="22429" xr:uid="{00000000-0005-0000-0000-0000747B0000}"/>
    <cellStyle name="Normal 4 5 5 3 3 2" xfId="22430" xr:uid="{00000000-0005-0000-0000-0000757B0000}"/>
    <cellStyle name="Normal 4 5 5 3 3 2 2" xfId="55196" xr:uid="{00000000-0005-0000-0000-0000767B0000}"/>
    <cellStyle name="Normal 4 5 5 3 3 2 3" xfId="55197" xr:uid="{00000000-0005-0000-0000-0000777B0000}"/>
    <cellStyle name="Normal 4 5 5 3 3 3" xfId="22431" xr:uid="{00000000-0005-0000-0000-0000787B0000}"/>
    <cellStyle name="Normal 4 5 5 3 3 3 2" xfId="55198" xr:uid="{00000000-0005-0000-0000-0000797B0000}"/>
    <cellStyle name="Normal 4 5 5 3 3 4" xfId="22432" xr:uid="{00000000-0005-0000-0000-00007A7B0000}"/>
    <cellStyle name="Normal 4 5 5 3 3 5" xfId="22433" xr:uid="{00000000-0005-0000-0000-00007B7B0000}"/>
    <cellStyle name="Normal 4 5 5 3 3 6" xfId="22434" xr:uid="{00000000-0005-0000-0000-00007C7B0000}"/>
    <cellStyle name="Normal 4 5 5 3 4" xfId="22435" xr:uid="{00000000-0005-0000-0000-00007D7B0000}"/>
    <cellStyle name="Normal 4 5 5 3 4 2" xfId="55199" xr:uid="{00000000-0005-0000-0000-00007E7B0000}"/>
    <cellStyle name="Normal 4 5 5 3 4 3" xfId="55200" xr:uid="{00000000-0005-0000-0000-00007F7B0000}"/>
    <cellStyle name="Normal 4 5 5 3 5" xfId="22436" xr:uid="{00000000-0005-0000-0000-0000807B0000}"/>
    <cellStyle name="Normal 4 5 5 3 5 2" xfId="55201" xr:uid="{00000000-0005-0000-0000-0000817B0000}"/>
    <cellStyle name="Normal 4 5 5 3 6" xfId="22437" xr:uid="{00000000-0005-0000-0000-0000827B0000}"/>
    <cellStyle name="Normal 4 5 5 3 7" xfId="22438" xr:uid="{00000000-0005-0000-0000-0000837B0000}"/>
    <cellStyle name="Normal 4 5 5 3 8" xfId="22439" xr:uid="{00000000-0005-0000-0000-0000847B0000}"/>
    <cellStyle name="Normal 4 5 5 4" xfId="22440" xr:uid="{00000000-0005-0000-0000-0000857B0000}"/>
    <cellStyle name="Normal 4 5 5 4 2" xfId="22441" xr:uid="{00000000-0005-0000-0000-0000867B0000}"/>
    <cellStyle name="Normal 4 5 5 4 2 2" xfId="22442" xr:uid="{00000000-0005-0000-0000-0000877B0000}"/>
    <cellStyle name="Normal 4 5 5 4 2 2 2" xfId="55202" xr:uid="{00000000-0005-0000-0000-0000887B0000}"/>
    <cellStyle name="Normal 4 5 5 4 2 2 3" xfId="55203" xr:uid="{00000000-0005-0000-0000-0000897B0000}"/>
    <cellStyle name="Normal 4 5 5 4 2 3" xfId="22443" xr:uid="{00000000-0005-0000-0000-00008A7B0000}"/>
    <cellStyle name="Normal 4 5 5 4 2 3 2" xfId="55204" xr:uid="{00000000-0005-0000-0000-00008B7B0000}"/>
    <cellStyle name="Normal 4 5 5 4 2 4" xfId="22444" xr:uid="{00000000-0005-0000-0000-00008C7B0000}"/>
    <cellStyle name="Normal 4 5 5 4 2 5" xfId="22445" xr:uid="{00000000-0005-0000-0000-00008D7B0000}"/>
    <cellStyle name="Normal 4 5 5 4 2 6" xfId="22446" xr:uid="{00000000-0005-0000-0000-00008E7B0000}"/>
    <cellStyle name="Normal 4 5 5 4 3" xfId="22447" xr:uid="{00000000-0005-0000-0000-00008F7B0000}"/>
    <cellStyle name="Normal 4 5 5 4 3 2" xfId="55205" xr:uid="{00000000-0005-0000-0000-0000907B0000}"/>
    <cellStyle name="Normal 4 5 5 4 3 3" xfId="55206" xr:uid="{00000000-0005-0000-0000-0000917B0000}"/>
    <cellStyle name="Normal 4 5 5 4 4" xfId="22448" xr:uid="{00000000-0005-0000-0000-0000927B0000}"/>
    <cellStyle name="Normal 4 5 5 4 4 2" xfId="55207" xr:uid="{00000000-0005-0000-0000-0000937B0000}"/>
    <cellStyle name="Normal 4 5 5 4 5" xfId="22449" xr:uid="{00000000-0005-0000-0000-0000947B0000}"/>
    <cellStyle name="Normal 4 5 5 4 6" xfId="22450" xr:uid="{00000000-0005-0000-0000-0000957B0000}"/>
    <cellStyle name="Normal 4 5 5 4 7" xfId="22451" xr:uid="{00000000-0005-0000-0000-0000967B0000}"/>
    <cellStyle name="Normal 4 5 5 5" xfId="22452" xr:uid="{00000000-0005-0000-0000-0000977B0000}"/>
    <cellStyle name="Normal 4 5 5 5 2" xfId="22453" xr:uid="{00000000-0005-0000-0000-0000987B0000}"/>
    <cellStyle name="Normal 4 5 5 5 2 2" xfId="55208" xr:uid="{00000000-0005-0000-0000-0000997B0000}"/>
    <cellStyle name="Normal 4 5 5 5 2 3" xfId="55209" xr:uid="{00000000-0005-0000-0000-00009A7B0000}"/>
    <cellStyle name="Normal 4 5 5 5 3" xfId="22454" xr:uid="{00000000-0005-0000-0000-00009B7B0000}"/>
    <cellStyle name="Normal 4 5 5 5 3 2" xfId="55210" xr:uid="{00000000-0005-0000-0000-00009C7B0000}"/>
    <cellStyle name="Normal 4 5 5 5 4" xfId="22455" xr:uid="{00000000-0005-0000-0000-00009D7B0000}"/>
    <cellStyle name="Normal 4 5 5 5 5" xfId="22456" xr:uid="{00000000-0005-0000-0000-00009E7B0000}"/>
    <cellStyle name="Normal 4 5 5 5 6" xfId="22457" xr:uid="{00000000-0005-0000-0000-00009F7B0000}"/>
    <cellStyle name="Normal 4 5 5 6" xfId="22458" xr:uid="{00000000-0005-0000-0000-0000A07B0000}"/>
    <cellStyle name="Normal 4 5 5 6 2" xfId="55211" xr:uid="{00000000-0005-0000-0000-0000A17B0000}"/>
    <cellStyle name="Normal 4 5 5 6 3" xfId="55212" xr:uid="{00000000-0005-0000-0000-0000A27B0000}"/>
    <cellStyle name="Normal 4 5 5 7" xfId="22459" xr:uid="{00000000-0005-0000-0000-0000A37B0000}"/>
    <cellStyle name="Normal 4 5 5 7 2" xfId="55213" xr:uid="{00000000-0005-0000-0000-0000A47B0000}"/>
    <cellStyle name="Normal 4 5 5 8" xfId="22460" xr:uid="{00000000-0005-0000-0000-0000A57B0000}"/>
    <cellStyle name="Normal 4 5 5 9" xfId="22461" xr:uid="{00000000-0005-0000-0000-0000A67B0000}"/>
    <cellStyle name="Normal 4 5 6" xfId="22462" xr:uid="{00000000-0005-0000-0000-0000A77B0000}"/>
    <cellStyle name="Normal 4 5 6 10" xfId="22463" xr:uid="{00000000-0005-0000-0000-0000A87B0000}"/>
    <cellStyle name="Normal 4 5 6 11" xfId="22464" xr:uid="{00000000-0005-0000-0000-0000A97B0000}"/>
    <cellStyle name="Normal 4 5 6 12" xfId="22465" xr:uid="{00000000-0005-0000-0000-0000AA7B0000}"/>
    <cellStyle name="Normal 4 5 6 13" xfId="22466" xr:uid="{00000000-0005-0000-0000-0000AB7B0000}"/>
    <cellStyle name="Normal 4 5 6 2" xfId="22467" xr:uid="{00000000-0005-0000-0000-0000AC7B0000}"/>
    <cellStyle name="Normal 4 5 6 2 2" xfId="22468" xr:uid="{00000000-0005-0000-0000-0000AD7B0000}"/>
    <cellStyle name="Normal 4 5 6 2 2 2" xfId="22469" xr:uid="{00000000-0005-0000-0000-0000AE7B0000}"/>
    <cellStyle name="Normal 4 5 6 2 2 2 2" xfId="22470" xr:uid="{00000000-0005-0000-0000-0000AF7B0000}"/>
    <cellStyle name="Normal 4 5 6 2 2 2 2 2" xfId="55214" xr:uid="{00000000-0005-0000-0000-0000B07B0000}"/>
    <cellStyle name="Normal 4 5 6 2 2 2 2 3" xfId="55215" xr:uid="{00000000-0005-0000-0000-0000B17B0000}"/>
    <cellStyle name="Normal 4 5 6 2 2 2 3" xfId="22471" xr:uid="{00000000-0005-0000-0000-0000B27B0000}"/>
    <cellStyle name="Normal 4 5 6 2 2 2 3 2" xfId="55216" xr:uid="{00000000-0005-0000-0000-0000B37B0000}"/>
    <cellStyle name="Normal 4 5 6 2 2 2 4" xfId="22472" xr:uid="{00000000-0005-0000-0000-0000B47B0000}"/>
    <cellStyle name="Normal 4 5 6 2 2 2 5" xfId="22473" xr:uid="{00000000-0005-0000-0000-0000B57B0000}"/>
    <cellStyle name="Normal 4 5 6 2 2 2 6" xfId="22474" xr:uid="{00000000-0005-0000-0000-0000B67B0000}"/>
    <cellStyle name="Normal 4 5 6 2 2 3" xfId="22475" xr:uid="{00000000-0005-0000-0000-0000B77B0000}"/>
    <cellStyle name="Normal 4 5 6 2 2 3 2" xfId="55217" xr:uid="{00000000-0005-0000-0000-0000B87B0000}"/>
    <cellStyle name="Normal 4 5 6 2 2 3 3" xfId="55218" xr:uid="{00000000-0005-0000-0000-0000B97B0000}"/>
    <cellStyle name="Normal 4 5 6 2 2 4" xfId="22476" xr:uid="{00000000-0005-0000-0000-0000BA7B0000}"/>
    <cellStyle name="Normal 4 5 6 2 2 4 2" xfId="55219" xr:uid="{00000000-0005-0000-0000-0000BB7B0000}"/>
    <cellStyle name="Normal 4 5 6 2 2 5" xfId="22477" xr:uid="{00000000-0005-0000-0000-0000BC7B0000}"/>
    <cellStyle name="Normal 4 5 6 2 2 6" xfId="22478" xr:uid="{00000000-0005-0000-0000-0000BD7B0000}"/>
    <cellStyle name="Normal 4 5 6 2 2 7" xfId="22479" xr:uid="{00000000-0005-0000-0000-0000BE7B0000}"/>
    <cellStyle name="Normal 4 5 6 2 3" xfId="22480" xr:uid="{00000000-0005-0000-0000-0000BF7B0000}"/>
    <cellStyle name="Normal 4 5 6 2 3 2" xfId="22481" xr:uid="{00000000-0005-0000-0000-0000C07B0000}"/>
    <cellStyle name="Normal 4 5 6 2 3 2 2" xfId="55220" xr:uid="{00000000-0005-0000-0000-0000C17B0000}"/>
    <cellStyle name="Normal 4 5 6 2 3 2 3" xfId="55221" xr:uid="{00000000-0005-0000-0000-0000C27B0000}"/>
    <cellStyle name="Normal 4 5 6 2 3 3" xfId="22482" xr:uid="{00000000-0005-0000-0000-0000C37B0000}"/>
    <cellStyle name="Normal 4 5 6 2 3 3 2" xfId="55222" xr:uid="{00000000-0005-0000-0000-0000C47B0000}"/>
    <cellStyle name="Normal 4 5 6 2 3 4" xfId="22483" xr:uid="{00000000-0005-0000-0000-0000C57B0000}"/>
    <cellStyle name="Normal 4 5 6 2 3 5" xfId="22484" xr:uid="{00000000-0005-0000-0000-0000C67B0000}"/>
    <cellStyle name="Normal 4 5 6 2 3 6" xfId="22485" xr:uid="{00000000-0005-0000-0000-0000C77B0000}"/>
    <cellStyle name="Normal 4 5 6 2 4" xfId="22486" xr:uid="{00000000-0005-0000-0000-0000C87B0000}"/>
    <cellStyle name="Normal 4 5 6 2 4 2" xfId="55223" xr:uid="{00000000-0005-0000-0000-0000C97B0000}"/>
    <cellStyle name="Normal 4 5 6 2 4 3" xfId="55224" xr:uid="{00000000-0005-0000-0000-0000CA7B0000}"/>
    <cellStyle name="Normal 4 5 6 2 5" xfId="22487" xr:uid="{00000000-0005-0000-0000-0000CB7B0000}"/>
    <cellStyle name="Normal 4 5 6 2 5 2" xfId="55225" xr:uid="{00000000-0005-0000-0000-0000CC7B0000}"/>
    <cellStyle name="Normal 4 5 6 2 6" xfId="22488" xr:uid="{00000000-0005-0000-0000-0000CD7B0000}"/>
    <cellStyle name="Normal 4 5 6 2 7" xfId="22489" xr:uid="{00000000-0005-0000-0000-0000CE7B0000}"/>
    <cellStyle name="Normal 4 5 6 2 8" xfId="22490" xr:uid="{00000000-0005-0000-0000-0000CF7B0000}"/>
    <cellStyle name="Normal 4 5 6 2 9" xfId="22491" xr:uid="{00000000-0005-0000-0000-0000D07B0000}"/>
    <cellStyle name="Normal 4 5 6 3" xfId="22492" xr:uid="{00000000-0005-0000-0000-0000D17B0000}"/>
    <cellStyle name="Normal 4 5 6 3 2" xfId="22493" xr:uid="{00000000-0005-0000-0000-0000D27B0000}"/>
    <cellStyle name="Normal 4 5 6 3 2 2" xfId="22494" xr:uid="{00000000-0005-0000-0000-0000D37B0000}"/>
    <cellStyle name="Normal 4 5 6 3 2 2 2" xfId="55226" xr:uid="{00000000-0005-0000-0000-0000D47B0000}"/>
    <cellStyle name="Normal 4 5 6 3 2 2 3" xfId="55227" xr:uid="{00000000-0005-0000-0000-0000D57B0000}"/>
    <cellStyle name="Normal 4 5 6 3 2 3" xfId="22495" xr:uid="{00000000-0005-0000-0000-0000D67B0000}"/>
    <cellStyle name="Normal 4 5 6 3 2 3 2" xfId="55228" xr:uid="{00000000-0005-0000-0000-0000D77B0000}"/>
    <cellStyle name="Normal 4 5 6 3 2 4" xfId="22496" xr:uid="{00000000-0005-0000-0000-0000D87B0000}"/>
    <cellStyle name="Normal 4 5 6 3 2 5" xfId="22497" xr:uid="{00000000-0005-0000-0000-0000D97B0000}"/>
    <cellStyle name="Normal 4 5 6 3 2 6" xfId="22498" xr:uid="{00000000-0005-0000-0000-0000DA7B0000}"/>
    <cellStyle name="Normal 4 5 6 3 3" xfId="22499" xr:uid="{00000000-0005-0000-0000-0000DB7B0000}"/>
    <cellStyle name="Normal 4 5 6 3 3 2" xfId="55229" xr:uid="{00000000-0005-0000-0000-0000DC7B0000}"/>
    <cellStyle name="Normal 4 5 6 3 3 3" xfId="55230" xr:uid="{00000000-0005-0000-0000-0000DD7B0000}"/>
    <cellStyle name="Normal 4 5 6 3 4" xfId="22500" xr:uid="{00000000-0005-0000-0000-0000DE7B0000}"/>
    <cellStyle name="Normal 4 5 6 3 4 2" xfId="55231" xr:uid="{00000000-0005-0000-0000-0000DF7B0000}"/>
    <cellStyle name="Normal 4 5 6 3 5" xfId="22501" xr:uid="{00000000-0005-0000-0000-0000E07B0000}"/>
    <cellStyle name="Normal 4 5 6 3 6" xfId="22502" xr:uid="{00000000-0005-0000-0000-0000E17B0000}"/>
    <cellStyle name="Normal 4 5 6 3 7" xfId="22503" xr:uid="{00000000-0005-0000-0000-0000E27B0000}"/>
    <cellStyle name="Normal 4 5 6 4" xfId="22504" xr:uid="{00000000-0005-0000-0000-0000E37B0000}"/>
    <cellStyle name="Normal 4 5 6 4 2" xfId="22505" xr:uid="{00000000-0005-0000-0000-0000E47B0000}"/>
    <cellStyle name="Normal 4 5 6 4 2 2" xfId="55232" xr:uid="{00000000-0005-0000-0000-0000E57B0000}"/>
    <cellStyle name="Normal 4 5 6 4 2 3" xfId="55233" xr:uid="{00000000-0005-0000-0000-0000E67B0000}"/>
    <cellStyle name="Normal 4 5 6 4 3" xfId="22506" xr:uid="{00000000-0005-0000-0000-0000E77B0000}"/>
    <cellStyle name="Normal 4 5 6 4 3 2" xfId="55234" xr:uid="{00000000-0005-0000-0000-0000E87B0000}"/>
    <cellStyle name="Normal 4 5 6 4 4" xfId="22507" xr:uid="{00000000-0005-0000-0000-0000E97B0000}"/>
    <cellStyle name="Normal 4 5 6 4 5" xfId="22508" xr:uid="{00000000-0005-0000-0000-0000EA7B0000}"/>
    <cellStyle name="Normal 4 5 6 4 6" xfId="22509" xr:uid="{00000000-0005-0000-0000-0000EB7B0000}"/>
    <cellStyle name="Normal 4 5 6 5" xfId="22510" xr:uid="{00000000-0005-0000-0000-0000EC7B0000}"/>
    <cellStyle name="Normal 4 5 6 5 2" xfId="55235" xr:uid="{00000000-0005-0000-0000-0000ED7B0000}"/>
    <cellStyle name="Normal 4 5 6 5 3" xfId="55236" xr:uid="{00000000-0005-0000-0000-0000EE7B0000}"/>
    <cellStyle name="Normal 4 5 6 6" xfId="22511" xr:uid="{00000000-0005-0000-0000-0000EF7B0000}"/>
    <cellStyle name="Normal 4 5 6 6 2" xfId="55237" xr:uid="{00000000-0005-0000-0000-0000F07B0000}"/>
    <cellStyle name="Normal 4 5 6 7" xfId="22512" xr:uid="{00000000-0005-0000-0000-0000F17B0000}"/>
    <cellStyle name="Normal 4 5 6 8" xfId="22513" xr:uid="{00000000-0005-0000-0000-0000F27B0000}"/>
    <cellStyle name="Normal 4 5 6 9" xfId="22514" xr:uid="{00000000-0005-0000-0000-0000F37B0000}"/>
    <cellStyle name="Normal 4 5 7" xfId="22515" xr:uid="{00000000-0005-0000-0000-0000F47B0000}"/>
    <cellStyle name="Normal 4 5 7 2" xfId="22516" xr:uid="{00000000-0005-0000-0000-0000F57B0000}"/>
    <cellStyle name="Normal 4 5 7 2 2" xfId="22517" xr:uid="{00000000-0005-0000-0000-0000F67B0000}"/>
    <cellStyle name="Normal 4 5 7 2 2 2" xfId="22518" xr:uid="{00000000-0005-0000-0000-0000F77B0000}"/>
    <cellStyle name="Normal 4 5 7 2 2 2 2" xfId="55238" xr:uid="{00000000-0005-0000-0000-0000F87B0000}"/>
    <cellStyle name="Normal 4 5 7 2 2 2 3" xfId="55239" xr:uid="{00000000-0005-0000-0000-0000F97B0000}"/>
    <cellStyle name="Normal 4 5 7 2 2 3" xfId="22519" xr:uid="{00000000-0005-0000-0000-0000FA7B0000}"/>
    <cellStyle name="Normal 4 5 7 2 2 3 2" xfId="55240" xr:uid="{00000000-0005-0000-0000-0000FB7B0000}"/>
    <cellStyle name="Normal 4 5 7 2 2 4" xfId="22520" xr:uid="{00000000-0005-0000-0000-0000FC7B0000}"/>
    <cellStyle name="Normal 4 5 7 2 2 5" xfId="22521" xr:uid="{00000000-0005-0000-0000-0000FD7B0000}"/>
    <cellStyle name="Normal 4 5 7 2 2 6" xfId="22522" xr:uid="{00000000-0005-0000-0000-0000FE7B0000}"/>
    <cellStyle name="Normal 4 5 7 2 3" xfId="22523" xr:uid="{00000000-0005-0000-0000-0000FF7B0000}"/>
    <cellStyle name="Normal 4 5 7 2 3 2" xfId="55241" xr:uid="{00000000-0005-0000-0000-0000007C0000}"/>
    <cellStyle name="Normal 4 5 7 2 3 3" xfId="55242" xr:uid="{00000000-0005-0000-0000-0000017C0000}"/>
    <cellStyle name="Normal 4 5 7 2 4" xfId="22524" xr:uid="{00000000-0005-0000-0000-0000027C0000}"/>
    <cellStyle name="Normal 4 5 7 2 4 2" xfId="55243" xr:uid="{00000000-0005-0000-0000-0000037C0000}"/>
    <cellStyle name="Normal 4 5 7 2 5" xfId="22525" xr:uid="{00000000-0005-0000-0000-0000047C0000}"/>
    <cellStyle name="Normal 4 5 7 2 6" xfId="22526" xr:uid="{00000000-0005-0000-0000-0000057C0000}"/>
    <cellStyle name="Normal 4 5 7 2 7" xfId="22527" xr:uid="{00000000-0005-0000-0000-0000067C0000}"/>
    <cellStyle name="Normal 4 5 7 3" xfId="22528" xr:uid="{00000000-0005-0000-0000-0000077C0000}"/>
    <cellStyle name="Normal 4 5 7 3 2" xfId="22529" xr:uid="{00000000-0005-0000-0000-0000087C0000}"/>
    <cellStyle name="Normal 4 5 7 3 2 2" xfId="55244" xr:uid="{00000000-0005-0000-0000-0000097C0000}"/>
    <cellStyle name="Normal 4 5 7 3 2 3" xfId="55245" xr:uid="{00000000-0005-0000-0000-00000A7C0000}"/>
    <cellStyle name="Normal 4 5 7 3 3" xfId="22530" xr:uid="{00000000-0005-0000-0000-00000B7C0000}"/>
    <cellStyle name="Normal 4 5 7 3 3 2" xfId="55246" xr:uid="{00000000-0005-0000-0000-00000C7C0000}"/>
    <cellStyle name="Normal 4 5 7 3 4" xfId="22531" xr:uid="{00000000-0005-0000-0000-00000D7C0000}"/>
    <cellStyle name="Normal 4 5 7 3 5" xfId="22532" xr:uid="{00000000-0005-0000-0000-00000E7C0000}"/>
    <cellStyle name="Normal 4 5 7 3 6" xfId="22533" xr:uid="{00000000-0005-0000-0000-00000F7C0000}"/>
    <cellStyle name="Normal 4 5 7 4" xfId="22534" xr:uid="{00000000-0005-0000-0000-0000107C0000}"/>
    <cellStyle name="Normal 4 5 7 4 2" xfId="55247" xr:uid="{00000000-0005-0000-0000-0000117C0000}"/>
    <cellStyle name="Normal 4 5 7 4 3" xfId="55248" xr:uid="{00000000-0005-0000-0000-0000127C0000}"/>
    <cellStyle name="Normal 4 5 7 5" xfId="22535" xr:uid="{00000000-0005-0000-0000-0000137C0000}"/>
    <cellStyle name="Normal 4 5 7 5 2" xfId="55249" xr:uid="{00000000-0005-0000-0000-0000147C0000}"/>
    <cellStyle name="Normal 4 5 7 6" xfId="22536" xr:uid="{00000000-0005-0000-0000-0000157C0000}"/>
    <cellStyle name="Normal 4 5 7 7" xfId="22537" xr:uid="{00000000-0005-0000-0000-0000167C0000}"/>
    <cellStyle name="Normal 4 5 7 8" xfId="22538" xr:uid="{00000000-0005-0000-0000-0000177C0000}"/>
    <cellStyle name="Normal 4 5 7 9" xfId="22539" xr:uid="{00000000-0005-0000-0000-0000187C0000}"/>
    <cellStyle name="Normal 4 5 8" xfId="22540" xr:uid="{00000000-0005-0000-0000-0000197C0000}"/>
    <cellStyle name="Normal 4 5 8 2" xfId="22541" xr:uid="{00000000-0005-0000-0000-00001A7C0000}"/>
    <cellStyle name="Normal 4 5 8 2 2" xfId="22542" xr:uid="{00000000-0005-0000-0000-00001B7C0000}"/>
    <cellStyle name="Normal 4 5 8 2 2 2" xfId="22543" xr:uid="{00000000-0005-0000-0000-00001C7C0000}"/>
    <cellStyle name="Normal 4 5 8 2 2 2 2" xfId="55250" xr:uid="{00000000-0005-0000-0000-00001D7C0000}"/>
    <cellStyle name="Normal 4 5 8 2 2 2 3" xfId="55251" xr:uid="{00000000-0005-0000-0000-00001E7C0000}"/>
    <cellStyle name="Normal 4 5 8 2 2 3" xfId="22544" xr:uid="{00000000-0005-0000-0000-00001F7C0000}"/>
    <cellStyle name="Normal 4 5 8 2 2 3 2" xfId="55252" xr:uid="{00000000-0005-0000-0000-0000207C0000}"/>
    <cellStyle name="Normal 4 5 8 2 2 4" xfId="22545" xr:uid="{00000000-0005-0000-0000-0000217C0000}"/>
    <cellStyle name="Normal 4 5 8 2 2 5" xfId="22546" xr:uid="{00000000-0005-0000-0000-0000227C0000}"/>
    <cellStyle name="Normal 4 5 8 2 2 6" xfId="22547" xr:uid="{00000000-0005-0000-0000-0000237C0000}"/>
    <cellStyle name="Normal 4 5 8 2 3" xfId="22548" xr:uid="{00000000-0005-0000-0000-0000247C0000}"/>
    <cellStyle name="Normal 4 5 8 2 3 2" xfId="55253" xr:uid="{00000000-0005-0000-0000-0000257C0000}"/>
    <cellStyle name="Normal 4 5 8 2 3 3" xfId="55254" xr:uid="{00000000-0005-0000-0000-0000267C0000}"/>
    <cellStyle name="Normal 4 5 8 2 4" xfId="22549" xr:uid="{00000000-0005-0000-0000-0000277C0000}"/>
    <cellStyle name="Normal 4 5 8 2 4 2" xfId="55255" xr:uid="{00000000-0005-0000-0000-0000287C0000}"/>
    <cellStyle name="Normal 4 5 8 2 5" xfId="22550" xr:uid="{00000000-0005-0000-0000-0000297C0000}"/>
    <cellStyle name="Normal 4 5 8 2 6" xfId="22551" xr:uid="{00000000-0005-0000-0000-00002A7C0000}"/>
    <cellStyle name="Normal 4 5 8 2 7" xfId="22552" xr:uid="{00000000-0005-0000-0000-00002B7C0000}"/>
    <cellStyle name="Normal 4 5 8 3" xfId="22553" xr:uid="{00000000-0005-0000-0000-00002C7C0000}"/>
    <cellStyle name="Normal 4 5 8 3 2" xfId="22554" xr:uid="{00000000-0005-0000-0000-00002D7C0000}"/>
    <cellStyle name="Normal 4 5 8 3 2 2" xfId="55256" xr:uid="{00000000-0005-0000-0000-00002E7C0000}"/>
    <cellStyle name="Normal 4 5 8 3 2 3" xfId="55257" xr:uid="{00000000-0005-0000-0000-00002F7C0000}"/>
    <cellStyle name="Normal 4 5 8 3 3" xfId="22555" xr:uid="{00000000-0005-0000-0000-0000307C0000}"/>
    <cellStyle name="Normal 4 5 8 3 3 2" xfId="55258" xr:uid="{00000000-0005-0000-0000-0000317C0000}"/>
    <cellStyle name="Normal 4 5 8 3 4" xfId="22556" xr:uid="{00000000-0005-0000-0000-0000327C0000}"/>
    <cellStyle name="Normal 4 5 8 3 5" xfId="22557" xr:uid="{00000000-0005-0000-0000-0000337C0000}"/>
    <cellStyle name="Normal 4 5 8 3 6" xfId="22558" xr:uid="{00000000-0005-0000-0000-0000347C0000}"/>
    <cellStyle name="Normal 4 5 8 4" xfId="22559" xr:uid="{00000000-0005-0000-0000-0000357C0000}"/>
    <cellStyle name="Normal 4 5 8 4 2" xfId="55259" xr:uid="{00000000-0005-0000-0000-0000367C0000}"/>
    <cellStyle name="Normal 4 5 8 4 3" xfId="55260" xr:uid="{00000000-0005-0000-0000-0000377C0000}"/>
    <cellStyle name="Normal 4 5 8 5" xfId="22560" xr:uid="{00000000-0005-0000-0000-0000387C0000}"/>
    <cellStyle name="Normal 4 5 8 5 2" xfId="55261" xr:uid="{00000000-0005-0000-0000-0000397C0000}"/>
    <cellStyle name="Normal 4 5 8 6" xfId="22561" xr:uid="{00000000-0005-0000-0000-00003A7C0000}"/>
    <cellStyle name="Normal 4 5 8 7" xfId="22562" xr:uid="{00000000-0005-0000-0000-00003B7C0000}"/>
    <cellStyle name="Normal 4 5 8 8" xfId="22563" xr:uid="{00000000-0005-0000-0000-00003C7C0000}"/>
    <cellStyle name="Normal 4 5 9" xfId="22564" xr:uid="{00000000-0005-0000-0000-00003D7C0000}"/>
    <cellStyle name="Normal 4 5 9 2" xfId="22565" xr:uid="{00000000-0005-0000-0000-00003E7C0000}"/>
    <cellStyle name="Normal 4 5 9 2 2" xfId="22566" xr:uid="{00000000-0005-0000-0000-00003F7C0000}"/>
    <cellStyle name="Normal 4 5 9 2 2 2" xfId="22567" xr:uid="{00000000-0005-0000-0000-0000407C0000}"/>
    <cellStyle name="Normal 4 5 9 2 2 2 2" xfId="55262" xr:uid="{00000000-0005-0000-0000-0000417C0000}"/>
    <cellStyle name="Normal 4 5 9 2 2 2 3" xfId="55263" xr:uid="{00000000-0005-0000-0000-0000427C0000}"/>
    <cellStyle name="Normal 4 5 9 2 2 3" xfId="22568" xr:uid="{00000000-0005-0000-0000-0000437C0000}"/>
    <cellStyle name="Normal 4 5 9 2 2 3 2" xfId="55264" xr:uid="{00000000-0005-0000-0000-0000447C0000}"/>
    <cellStyle name="Normal 4 5 9 2 2 4" xfId="22569" xr:uid="{00000000-0005-0000-0000-0000457C0000}"/>
    <cellStyle name="Normal 4 5 9 2 2 5" xfId="22570" xr:uid="{00000000-0005-0000-0000-0000467C0000}"/>
    <cellStyle name="Normal 4 5 9 2 2 6" xfId="22571" xr:uid="{00000000-0005-0000-0000-0000477C0000}"/>
    <cellStyle name="Normal 4 5 9 2 3" xfId="22572" xr:uid="{00000000-0005-0000-0000-0000487C0000}"/>
    <cellStyle name="Normal 4 5 9 2 3 2" xfId="55265" xr:uid="{00000000-0005-0000-0000-0000497C0000}"/>
    <cellStyle name="Normal 4 5 9 2 3 3" xfId="55266" xr:uid="{00000000-0005-0000-0000-00004A7C0000}"/>
    <cellStyle name="Normal 4 5 9 2 4" xfId="22573" xr:uid="{00000000-0005-0000-0000-00004B7C0000}"/>
    <cellStyle name="Normal 4 5 9 2 4 2" xfId="55267" xr:uid="{00000000-0005-0000-0000-00004C7C0000}"/>
    <cellStyle name="Normal 4 5 9 2 5" xfId="22574" xr:uid="{00000000-0005-0000-0000-00004D7C0000}"/>
    <cellStyle name="Normal 4 5 9 2 6" xfId="22575" xr:uid="{00000000-0005-0000-0000-00004E7C0000}"/>
    <cellStyle name="Normal 4 5 9 2 7" xfId="22576" xr:uid="{00000000-0005-0000-0000-00004F7C0000}"/>
    <cellStyle name="Normal 4 5 9 3" xfId="22577" xr:uid="{00000000-0005-0000-0000-0000507C0000}"/>
    <cellStyle name="Normal 4 5 9 3 2" xfId="22578" xr:uid="{00000000-0005-0000-0000-0000517C0000}"/>
    <cellStyle name="Normal 4 5 9 3 2 2" xfId="55268" xr:uid="{00000000-0005-0000-0000-0000527C0000}"/>
    <cellStyle name="Normal 4 5 9 3 2 3" xfId="55269" xr:uid="{00000000-0005-0000-0000-0000537C0000}"/>
    <cellStyle name="Normal 4 5 9 3 3" xfId="22579" xr:uid="{00000000-0005-0000-0000-0000547C0000}"/>
    <cellStyle name="Normal 4 5 9 3 3 2" xfId="55270" xr:uid="{00000000-0005-0000-0000-0000557C0000}"/>
    <cellStyle name="Normal 4 5 9 3 4" xfId="22580" xr:uid="{00000000-0005-0000-0000-0000567C0000}"/>
    <cellStyle name="Normal 4 5 9 3 5" xfId="22581" xr:uid="{00000000-0005-0000-0000-0000577C0000}"/>
    <cellStyle name="Normal 4 5 9 3 6" xfId="22582" xr:uid="{00000000-0005-0000-0000-0000587C0000}"/>
    <cellStyle name="Normal 4 5 9 4" xfId="22583" xr:uid="{00000000-0005-0000-0000-0000597C0000}"/>
    <cellStyle name="Normal 4 5 9 4 2" xfId="55271" xr:uid="{00000000-0005-0000-0000-00005A7C0000}"/>
    <cellStyle name="Normal 4 5 9 4 3" xfId="55272" xr:uid="{00000000-0005-0000-0000-00005B7C0000}"/>
    <cellStyle name="Normal 4 5 9 5" xfId="22584" xr:uid="{00000000-0005-0000-0000-00005C7C0000}"/>
    <cellStyle name="Normal 4 5 9 5 2" xfId="55273" xr:uid="{00000000-0005-0000-0000-00005D7C0000}"/>
    <cellStyle name="Normal 4 5 9 6" xfId="22585" xr:uid="{00000000-0005-0000-0000-00005E7C0000}"/>
    <cellStyle name="Normal 4 5 9 7" xfId="22586" xr:uid="{00000000-0005-0000-0000-00005F7C0000}"/>
    <cellStyle name="Normal 4 5 9 8" xfId="22587" xr:uid="{00000000-0005-0000-0000-0000607C0000}"/>
    <cellStyle name="Normal 4 6" xfId="22588" xr:uid="{00000000-0005-0000-0000-0000617C0000}"/>
    <cellStyle name="Normal 4 6 10" xfId="22589" xr:uid="{00000000-0005-0000-0000-0000627C0000}"/>
    <cellStyle name="Normal 4 6 10 2" xfId="22590" xr:uid="{00000000-0005-0000-0000-0000637C0000}"/>
    <cellStyle name="Normal 4 6 10 2 2" xfId="22591" xr:uid="{00000000-0005-0000-0000-0000647C0000}"/>
    <cellStyle name="Normal 4 6 10 2 2 2" xfId="55274" xr:uid="{00000000-0005-0000-0000-0000657C0000}"/>
    <cellStyle name="Normal 4 6 10 2 2 3" xfId="55275" xr:uid="{00000000-0005-0000-0000-0000667C0000}"/>
    <cellStyle name="Normal 4 6 10 2 3" xfId="22592" xr:uid="{00000000-0005-0000-0000-0000677C0000}"/>
    <cellStyle name="Normal 4 6 10 2 3 2" xfId="55276" xr:uid="{00000000-0005-0000-0000-0000687C0000}"/>
    <cellStyle name="Normal 4 6 10 2 4" xfId="22593" xr:uid="{00000000-0005-0000-0000-0000697C0000}"/>
    <cellStyle name="Normal 4 6 10 2 5" xfId="22594" xr:uid="{00000000-0005-0000-0000-00006A7C0000}"/>
    <cellStyle name="Normal 4 6 10 2 6" xfId="22595" xr:uid="{00000000-0005-0000-0000-00006B7C0000}"/>
    <cellStyle name="Normal 4 6 10 3" xfId="22596" xr:uid="{00000000-0005-0000-0000-00006C7C0000}"/>
    <cellStyle name="Normal 4 6 10 3 2" xfId="55277" xr:uid="{00000000-0005-0000-0000-00006D7C0000}"/>
    <cellStyle name="Normal 4 6 10 3 3" xfId="55278" xr:uid="{00000000-0005-0000-0000-00006E7C0000}"/>
    <cellStyle name="Normal 4 6 10 4" xfId="22597" xr:uid="{00000000-0005-0000-0000-00006F7C0000}"/>
    <cellStyle name="Normal 4 6 10 4 2" xfId="55279" xr:uid="{00000000-0005-0000-0000-0000707C0000}"/>
    <cellStyle name="Normal 4 6 10 5" xfId="22598" xr:uid="{00000000-0005-0000-0000-0000717C0000}"/>
    <cellStyle name="Normal 4 6 10 6" xfId="22599" xr:uid="{00000000-0005-0000-0000-0000727C0000}"/>
    <cellStyle name="Normal 4 6 10 7" xfId="22600" xr:uid="{00000000-0005-0000-0000-0000737C0000}"/>
    <cellStyle name="Normal 4 6 11" xfId="22601" xr:uid="{00000000-0005-0000-0000-0000747C0000}"/>
    <cellStyle name="Normal 4 6 11 2" xfId="22602" xr:uid="{00000000-0005-0000-0000-0000757C0000}"/>
    <cellStyle name="Normal 4 6 11 2 2" xfId="55280" xr:uid="{00000000-0005-0000-0000-0000767C0000}"/>
    <cellStyle name="Normal 4 6 11 2 3" xfId="55281" xr:uid="{00000000-0005-0000-0000-0000777C0000}"/>
    <cellStyle name="Normal 4 6 11 3" xfId="22603" xr:uid="{00000000-0005-0000-0000-0000787C0000}"/>
    <cellStyle name="Normal 4 6 11 3 2" xfId="55282" xr:uid="{00000000-0005-0000-0000-0000797C0000}"/>
    <cellStyle name="Normal 4 6 11 4" xfId="22604" xr:uid="{00000000-0005-0000-0000-00007A7C0000}"/>
    <cellStyle name="Normal 4 6 11 5" xfId="22605" xr:uid="{00000000-0005-0000-0000-00007B7C0000}"/>
    <cellStyle name="Normal 4 6 11 6" xfId="22606" xr:uid="{00000000-0005-0000-0000-00007C7C0000}"/>
    <cellStyle name="Normal 4 6 12" xfId="22607" xr:uid="{00000000-0005-0000-0000-00007D7C0000}"/>
    <cellStyle name="Normal 4 6 12 2" xfId="55283" xr:uid="{00000000-0005-0000-0000-00007E7C0000}"/>
    <cellStyle name="Normal 4 6 12 3" xfId="55284" xr:uid="{00000000-0005-0000-0000-00007F7C0000}"/>
    <cellStyle name="Normal 4 6 13" xfId="22608" xr:uid="{00000000-0005-0000-0000-0000807C0000}"/>
    <cellStyle name="Normal 4 6 13 2" xfId="55285" xr:uid="{00000000-0005-0000-0000-0000817C0000}"/>
    <cellStyle name="Normal 4 6 14" xfId="22609" xr:uid="{00000000-0005-0000-0000-0000827C0000}"/>
    <cellStyle name="Normal 4 6 14 2" xfId="55286" xr:uid="{00000000-0005-0000-0000-0000837C0000}"/>
    <cellStyle name="Normal 4 6 15" xfId="22610" xr:uid="{00000000-0005-0000-0000-0000847C0000}"/>
    <cellStyle name="Normal 4 6 16" xfId="22611" xr:uid="{00000000-0005-0000-0000-0000857C0000}"/>
    <cellStyle name="Normal 4 6 17" xfId="22612" xr:uid="{00000000-0005-0000-0000-0000867C0000}"/>
    <cellStyle name="Normal 4 6 18" xfId="22613" xr:uid="{00000000-0005-0000-0000-0000877C0000}"/>
    <cellStyle name="Normal 4 6 19" xfId="22614" xr:uid="{00000000-0005-0000-0000-0000887C0000}"/>
    <cellStyle name="Normal 4 6 2" xfId="22615" xr:uid="{00000000-0005-0000-0000-0000897C0000}"/>
    <cellStyle name="Normal 4 6 2 10" xfId="22616" xr:uid="{00000000-0005-0000-0000-00008A7C0000}"/>
    <cellStyle name="Normal 4 6 2 11" xfId="22617" xr:uid="{00000000-0005-0000-0000-00008B7C0000}"/>
    <cellStyle name="Normal 4 6 2 12" xfId="22618" xr:uid="{00000000-0005-0000-0000-00008C7C0000}"/>
    <cellStyle name="Normal 4 6 2 13" xfId="22619" xr:uid="{00000000-0005-0000-0000-00008D7C0000}"/>
    <cellStyle name="Normal 4 6 2 14" xfId="22620" xr:uid="{00000000-0005-0000-0000-00008E7C0000}"/>
    <cellStyle name="Normal 4 6 2 15" xfId="22621" xr:uid="{00000000-0005-0000-0000-00008F7C0000}"/>
    <cellStyle name="Normal 4 6 2 2" xfId="22622" xr:uid="{00000000-0005-0000-0000-0000907C0000}"/>
    <cellStyle name="Normal 4 6 2 2 10" xfId="22623" xr:uid="{00000000-0005-0000-0000-0000917C0000}"/>
    <cellStyle name="Normal 4 6 2 2 11" xfId="22624" xr:uid="{00000000-0005-0000-0000-0000927C0000}"/>
    <cellStyle name="Normal 4 6 2 2 12" xfId="22625" xr:uid="{00000000-0005-0000-0000-0000937C0000}"/>
    <cellStyle name="Normal 4 6 2 2 13" xfId="22626" xr:uid="{00000000-0005-0000-0000-0000947C0000}"/>
    <cellStyle name="Normal 4 6 2 2 14" xfId="22627" xr:uid="{00000000-0005-0000-0000-0000957C0000}"/>
    <cellStyle name="Normal 4 6 2 2 2" xfId="22628" xr:uid="{00000000-0005-0000-0000-0000967C0000}"/>
    <cellStyle name="Normal 4 6 2 2 2 2" xfId="22629" xr:uid="{00000000-0005-0000-0000-0000977C0000}"/>
    <cellStyle name="Normal 4 6 2 2 2 2 2" xfId="22630" xr:uid="{00000000-0005-0000-0000-0000987C0000}"/>
    <cellStyle name="Normal 4 6 2 2 2 2 2 2" xfId="22631" xr:uid="{00000000-0005-0000-0000-0000997C0000}"/>
    <cellStyle name="Normal 4 6 2 2 2 2 2 2 2" xfId="55287" xr:uid="{00000000-0005-0000-0000-00009A7C0000}"/>
    <cellStyle name="Normal 4 6 2 2 2 2 2 2 3" xfId="55288" xr:uid="{00000000-0005-0000-0000-00009B7C0000}"/>
    <cellStyle name="Normal 4 6 2 2 2 2 2 3" xfId="22632" xr:uid="{00000000-0005-0000-0000-00009C7C0000}"/>
    <cellStyle name="Normal 4 6 2 2 2 2 2 3 2" xfId="55289" xr:uid="{00000000-0005-0000-0000-00009D7C0000}"/>
    <cellStyle name="Normal 4 6 2 2 2 2 2 4" xfId="22633" xr:uid="{00000000-0005-0000-0000-00009E7C0000}"/>
    <cellStyle name="Normal 4 6 2 2 2 2 2 5" xfId="22634" xr:uid="{00000000-0005-0000-0000-00009F7C0000}"/>
    <cellStyle name="Normal 4 6 2 2 2 2 2 6" xfId="22635" xr:uid="{00000000-0005-0000-0000-0000A07C0000}"/>
    <cellStyle name="Normal 4 6 2 2 2 2 3" xfId="22636" xr:uid="{00000000-0005-0000-0000-0000A17C0000}"/>
    <cellStyle name="Normal 4 6 2 2 2 2 3 2" xfId="55290" xr:uid="{00000000-0005-0000-0000-0000A27C0000}"/>
    <cellStyle name="Normal 4 6 2 2 2 2 3 3" xfId="55291" xr:uid="{00000000-0005-0000-0000-0000A37C0000}"/>
    <cellStyle name="Normal 4 6 2 2 2 2 4" xfId="22637" xr:uid="{00000000-0005-0000-0000-0000A47C0000}"/>
    <cellStyle name="Normal 4 6 2 2 2 2 4 2" xfId="55292" xr:uid="{00000000-0005-0000-0000-0000A57C0000}"/>
    <cellStyle name="Normal 4 6 2 2 2 2 5" xfId="22638" xr:uid="{00000000-0005-0000-0000-0000A67C0000}"/>
    <cellStyle name="Normal 4 6 2 2 2 2 6" xfId="22639" xr:uid="{00000000-0005-0000-0000-0000A77C0000}"/>
    <cellStyle name="Normal 4 6 2 2 2 2 7" xfId="22640" xr:uid="{00000000-0005-0000-0000-0000A87C0000}"/>
    <cellStyle name="Normal 4 6 2 2 2 3" xfId="22641" xr:uid="{00000000-0005-0000-0000-0000A97C0000}"/>
    <cellStyle name="Normal 4 6 2 2 2 3 2" xfId="22642" xr:uid="{00000000-0005-0000-0000-0000AA7C0000}"/>
    <cellStyle name="Normal 4 6 2 2 2 3 2 2" xfId="55293" xr:uid="{00000000-0005-0000-0000-0000AB7C0000}"/>
    <cellStyle name="Normal 4 6 2 2 2 3 2 3" xfId="55294" xr:uid="{00000000-0005-0000-0000-0000AC7C0000}"/>
    <cellStyle name="Normal 4 6 2 2 2 3 3" xfId="22643" xr:uid="{00000000-0005-0000-0000-0000AD7C0000}"/>
    <cellStyle name="Normal 4 6 2 2 2 3 3 2" xfId="55295" xr:uid="{00000000-0005-0000-0000-0000AE7C0000}"/>
    <cellStyle name="Normal 4 6 2 2 2 3 4" xfId="22644" xr:uid="{00000000-0005-0000-0000-0000AF7C0000}"/>
    <cellStyle name="Normal 4 6 2 2 2 3 5" xfId="22645" xr:uid="{00000000-0005-0000-0000-0000B07C0000}"/>
    <cellStyle name="Normal 4 6 2 2 2 3 6" xfId="22646" xr:uid="{00000000-0005-0000-0000-0000B17C0000}"/>
    <cellStyle name="Normal 4 6 2 2 2 4" xfId="22647" xr:uid="{00000000-0005-0000-0000-0000B27C0000}"/>
    <cellStyle name="Normal 4 6 2 2 2 4 2" xfId="55296" xr:uid="{00000000-0005-0000-0000-0000B37C0000}"/>
    <cellStyle name="Normal 4 6 2 2 2 4 3" xfId="55297" xr:uid="{00000000-0005-0000-0000-0000B47C0000}"/>
    <cellStyle name="Normal 4 6 2 2 2 5" xfId="22648" xr:uid="{00000000-0005-0000-0000-0000B57C0000}"/>
    <cellStyle name="Normal 4 6 2 2 2 5 2" xfId="55298" xr:uid="{00000000-0005-0000-0000-0000B67C0000}"/>
    <cellStyle name="Normal 4 6 2 2 2 6" xfId="22649" xr:uid="{00000000-0005-0000-0000-0000B77C0000}"/>
    <cellStyle name="Normal 4 6 2 2 2 7" xfId="22650" xr:uid="{00000000-0005-0000-0000-0000B87C0000}"/>
    <cellStyle name="Normal 4 6 2 2 2 8" xfId="22651" xr:uid="{00000000-0005-0000-0000-0000B97C0000}"/>
    <cellStyle name="Normal 4 6 2 2 2 9" xfId="22652" xr:uid="{00000000-0005-0000-0000-0000BA7C0000}"/>
    <cellStyle name="Normal 4 6 2 2 3" xfId="22653" xr:uid="{00000000-0005-0000-0000-0000BB7C0000}"/>
    <cellStyle name="Normal 4 6 2 2 3 2" xfId="22654" xr:uid="{00000000-0005-0000-0000-0000BC7C0000}"/>
    <cellStyle name="Normal 4 6 2 2 3 2 2" xfId="22655" xr:uid="{00000000-0005-0000-0000-0000BD7C0000}"/>
    <cellStyle name="Normal 4 6 2 2 3 2 2 2" xfId="22656" xr:uid="{00000000-0005-0000-0000-0000BE7C0000}"/>
    <cellStyle name="Normal 4 6 2 2 3 2 2 2 2" xfId="55299" xr:uid="{00000000-0005-0000-0000-0000BF7C0000}"/>
    <cellStyle name="Normal 4 6 2 2 3 2 2 2 3" xfId="55300" xr:uid="{00000000-0005-0000-0000-0000C07C0000}"/>
    <cellStyle name="Normal 4 6 2 2 3 2 2 3" xfId="22657" xr:uid="{00000000-0005-0000-0000-0000C17C0000}"/>
    <cellStyle name="Normal 4 6 2 2 3 2 2 3 2" xfId="55301" xr:uid="{00000000-0005-0000-0000-0000C27C0000}"/>
    <cellStyle name="Normal 4 6 2 2 3 2 2 4" xfId="22658" xr:uid="{00000000-0005-0000-0000-0000C37C0000}"/>
    <cellStyle name="Normal 4 6 2 2 3 2 2 5" xfId="22659" xr:uid="{00000000-0005-0000-0000-0000C47C0000}"/>
    <cellStyle name="Normal 4 6 2 2 3 2 2 6" xfId="22660" xr:uid="{00000000-0005-0000-0000-0000C57C0000}"/>
    <cellStyle name="Normal 4 6 2 2 3 2 3" xfId="22661" xr:uid="{00000000-0005-0000-0000-0000C67C0000}"/>
    <cellStyle name="Normal 4 6 2 2 3 2 3 2" xfId="55302" xr:uid="{00000000-0005-0000-0000-0000C77C0000}"/>
    <cellStyle name="Normal 4 6 2 2 3 2 3 3" xfId="55303" xr:uid="{00000000-0005-0000-0000-0000C87C0000}"/>
    <cellStyle name="Normal 4 6 2 2 3 2 4" xfId="22662" xr:uid="{00000000-0005-0000-0000-0000C97C0000}"/>
    <cellStyle name="Normal 4 6 2 2 3 2 4 2" xfId="55304" xr:uid="{00000000-0005-0000-0000-0000CA7C0000}"/>
    <cellStyle name="Normal 4 6 2 2 3 2 5" xfId="22663" xr:uid="{00000000-0005-0000-0000-0000CB7C0000}"/>
    <cellStyle name="Normal 4 6 2 2 3 2 6" xfId="22664" xr:uid="{00000000-0005-0000-0000-0000CC7C0000}"/>
    <cellStyle name="Normal 4 6 2 2 3 2 7" xfId="22665" xr:uid="{00000000-0005-0000-0000-0000CD7C0000}"/>
    <cellStyle name="Normal 4 6 2 2 3 3" xfId="22666" xr:uid="{00000000-0005-0000-0000-0000CE7C0000}"/>
    <cellStyle name="Normal 4 6 2 2 3 3 2" xfId="22667" xr:uid="{00000000-0005-0000-0000-0000CF7C0000}"/>
    <cellStyle name="Normal 4 6 2 2 3 3 2 2" xfId="55305" xr:uid="{00000000-0005-0000-0000-0000D07C0000}"/>
    <cellStyle name="Normal 4 6 2 2 3 3 2 3" xfId="55306" xr:uid="{00000000-0005-0000-0000-0000D17C0000}"/>
    <cellStyle name="Normal 4 6 2 2 3 3 3" xfId="22668" xr:uid="{00000000-0005-0000-0000-0000D27C0000}"/>
    <cellStyle name="Normal 4 6 2 2 3 3 3 2" xfId="55307" xr:uid="{00000000-0005-0000-0000-0000D37C0000}"/>
    <cellStyle name="Normal 4 6 2 2 3 3 4" xfId="22669" xr:uid="{00000000-0005-0000-0000-0000D47C0000}"/>
    <cellStyle name="Normal 4 6 2 2 3 3 5" xfId="22670" xr:uid="{00000000-0005-0000-0000-0000D57C0000}"/>
    <cellStyle name="Normal 4 6 2 2 3 3 6" xfId="22671" xr:uid="{00000000-0005-0000-0000-0000D67C0000}"/>
    <cellStyle name="Normal 4 6 2 2 3 4" xfId="22672" xr:uid="{00000000-0005-0000-0000-0000D77C0000}"/>
    <cellStyle name="Normal 4 6 2 2 3 4 2" xfId="55308" xr:uid="{00000000-0005-0000-0000-0000D87C0000}"/>
    <cellStyle name="Normal 4 6 2 2 3 4 3" xfId="55309" xr:uid="{00000000-0005-0000-0000-0000D97C0000}"/>
    <cellStyle name="Normal 4 6 2 2 3 5" xfId="22673" xr:uid="{00000000-0005-0000-0000-0000DA7C0000}"/>
    <cellStyle name="Normal 4 6 2 2 3 5 2" xfId="55310" xr:uid="{00000000-0005-0000-0000-0000DB7C0000}"/>
    <cellStyle name="Normal 4 6 2 2 3 6" xfId="22674" xr:uid="{00000000-0005-0000-0000-0000DC7C0000}"/>
    <cellStyle name="Normal 4 6 2 2 3 7" xfId="22675" xr:uid="{00000000-0005-0000-0000-0000DD7C0000}"/>
    <cellStyle name="Normal 4 6 2 2 3 8" xfId="22676" xr:uid="{00000000-0005-0000-0000-0000DE7C0000}"/>
    <cellStyle name="Normal 4 6 2 2 4" xfId="22677" xr:uid="{00000000-0005-0000-0000-0000DF7C0000}"/>
    <cellStyle name="Normal 4 6 2 2 4 2" xfId="22678" xr:uid="{00000000-0005-0000-0000-0000E07C0000}"/>
    <cellStyle name="Normal 4 6 2 2 4 2 2" xfId="22679" xr:uid="{00000000-0005-0000-0000-0000E17C0000}"/>
    <cellStyle name="Normal 4 6 2 2 4 2 2 2" xfId="55311" xr:uid="{00000000-0005-0000-0000-0000E27C0000}"/>
    <cellStyle name="Normal 4 6 2 2 4 2 2 3" xfId="55312" xr:uid="{00000000-0005-0000-0000-0000E37C0000}"/>
    <cellStyle name="Normal 4 6 2 2 4 2 3" xfId="22680" xr:uid="{00000000-0005-0000-0000-0000E47C0000}"/>
    <cellStyle name="Normal 4 6 2 2 4 2 3 2" xfId="55313" xr:uid="{00000000-0005-0000-0000-0000E57C0000}"/>
    <cellStyle name="Normal 4 6 2 2 4 2 4" xfId="22681" xr:uid="{00000000-0005-0000-0000-0000E67C0000}"/>
    <cellStyle name="Normal 4 6 2 2 4 2 5" xfId="22682" xr:uid="{00000000-0005-0000-0000-0000E77C0000}"/>
    <cellStyle name="Normal 4 6 2 2 4 2 6" xfId="22683" xr:uid="{00000000-0005-0000-0000-0000E87C0000}"/>
    <cellStyle name="Normal 4 6 2 2 4 3" xfId="22684" xr:uid="{00000000-0005-0000-0000-0000E97C0000}"/>
    <cellStyle name="Normal 4 6 2 2 4 3 2" xfId="55314" xr:uid="{00000000-0005-0000-0000-0000EA7C0000}"/>
    <cellStyle name="Normal 4 6 2 2 4 3 3" xfId="55315" xr:uid="{00000000-0005-0000-0000-0000EB7C0000}"/>
    <cellStyle name="Normal 4 6 2 2 4 4" xfId="22685" xr:uid="{00000000-0005-0000-0000-0000EC7C0000}"/>
    <cellStyle name="Normal 4 6 2 2 4 4 2" xfId="55316" xr:uid="{00000000-0005-0000-0000-0000ED7C0000}"/>
    <cellStyle name="Normal 4 6 2 2 4 5" xfId="22686" xr:uid="{00000000-0005-0000-0000-0000EE7C0000}"/>
    <cellStyle name="Normal 4 6 2 2 4 6" xfId="22687" xr:uid="{00000000-0005-0000-0000-0000EF7C0000}"/>
    <cellStyle name="Normal 4 6 2 2 4 7" xfId="22688" xr:uid="{00000000-0005-0000-0000-0000F07C0000}"/>
    <cellStyle name="Normal 4 6 2 2 5" xfId="22689" xr:uid="{00000000-0005-0000-0000-0000F17C0000}"/>
    <cellStyle name="Normal 4 6 2 2 5 2" xfId="22690" xr:uid="{00000000-0005-0000-0000-0000F27C0000}"/>
    <cellStyle name="Normal 4 6 2 2 5 2 2" xfId="55317" xr:uid="{00000000-0005-0000-0000-0000F37C0000}"/>
    <cellStyle name="Normal 4 6 2 2 5 2 3" xfId="55318" xr:uid="{00000000-0005-0000-0000-0000F47C0000}"/>
    <cellStyle name="Normal 4 6 2 2 5 3" xfId="22691" xr:uid="{00000000-0005-0000-0000-0000F57C0000}"/>
    <cellStyle name="Normal 4 6 2 2 5 3 2" xfId="55319" xr:uid="{00000000-0005-0000-0000-0000F67C0000}"/>
    <cellStyle name="Normal 4 6 2 2 5 4" xfId="22692" xr:uid="{00000000-0005-0000-0000-0000F77C0000}"/>
    <cellStyle name="Normal 4 6 2 2 5 5" xfId="22693" xr:uid="{00000000-0005-0000-0000-0000F87C0000}"/>
    <cellStyle name="Normal 4 6 2 2 5 6" xfId="22694" xr:uid="{00000000-0005-0000-0000-0000F97C0000}"/>
    <cellStyle name="Normal 4 6 2 2 6" xfId="22695" xr:uid="{00000000-0005-0000-0000-0000FA7C0000}"/>
    <cellStyle name="Normal 4 6 2 2 6 2" xfId="55320" xr:uid="{00000000-0005-0000-0000-0000FB7C0000}"/>
    <cellStyle name="Normal 4 6 2 2 6 3" xfId="55321" xr:uid="{00000000-0005-0000-0000-0000FC7C0000}"/>
    <cellStyle name="Normal 4 6 2 2 7" xfId="22696" xr:uid="{00000000-0005-0000-0000-0000FD7C0000}"/>
    <cellStyle name="Normal 4 6 2 2 7 2" xfId="55322" xr:uid="{00000000-0005-0000-0000-0000FE7C0000}"/>
    <cellStyle name="Normal 4 6 2 2 8" xfId="22697" xr:uid="{00000000-0005-0000-0000-0000FF7C0000}"/>
    <cellStyle name="Normal 4 6 2 2 9" xfId="22698" xr:uid="{00000000-0005-0000-0000-0000007D0000}"/>
    <cellStyle name="Normal 4 6 2 3" xfId="22699" xr:uid="{00000000-0005-0000-0000-0000017D0000}"/>
    <cellStyle name="Normal 4 6 2 3 2" xfId="22700" xr:uid="{00000000-0005-0000-0000-0000027D0000}"/>
    <cellStyle name="Normal 4 6 2 3 2 2" xfId="22701" xr:uid="{00000000-0005-0000-0000-0000037D0000}"/>
    <cellStyle name="Normal 4 6 2 3 2 2 2" xfId="22702" xr:uid="{00000000-0005-0000-0000-0000047D0000}"/>
    <cellStyle name="Normal 4 6 2 3 2 2 2 2" xfId="55323" xr:uid="{00000000-0005-0000-0000-0000057D0000}"/>
    <cellStyle name="Normal 4 6 2 3 2 2 2 3" xfId="55324" xr:uid="{00000000-0005-0000-0000-0000067D0000}"/>
    <cellStyle name="Normal 4 6 2 3 2 2 3" xfId="22703" xr:uid="{00000000-0005-0000-0000-0000077D0000}"/>
    <cellStyle name="Normal 4 6 2 3 2 2 3 2" xfId="55325" xr:uid="{00000000-0005-0000-0000-0000087D0000}"/>
    <cellStyle name="Normal 4 6 2 3 2 2 4" xfId="22704" xr:uid="{00000000-0005-0000-0000-0000097D0000}"/>
    <cellStyle name="Normal 4 6 2 3 2 2 5" xfId="22705" xr:uid="{00000000-0005-0000-0000-00000A7D0000}"/>
    <cellStyle name="Normal 4 6 2 3 2 2 6" xfId="22706" xr:uid="{00000000-0005-0000-0000-00000B7D0000}"/>
    <cellStyle name="Normal 4 6 2 3 2 3" xfId="22707" xr:uid="{00000000-0005-0000-0000-00000C7D0000}"/>
    <cellStyle name="Normal 4 6 2 3 2 3 2" xfId="55326" xr:uid="{00000000-0005-0000-0000-00000D7D0000}"/>
    <cellStyle name="Normal 4 6 2 3 2 3 3" xfId="55327" xr:uid="{00000000-0005-0000-0000-00000E7D0000}"/>
    <cellStyle name="Normal 4 6 2 3 2 4" xfId="22708" xr:uid="{00000000-0005-0000-0000-00000F7D0000}"/>
    <cellStyle name="Normal 4 6 2 3 2 4 2" xfId="55328" xr:uid="{00000000-0005-0000-0000-0000107D0000}"/>
    <cellStyle name="Normal 4 6 2 3 2 5" xfId="22709" xr:uid="{00000000-0005-0000-0000-0000117D0000}"/>
    <cellStyle name="Normal 4 6 2 3 2 6" xfId="22710" xr:uid="{00000000-0005-0000-0000-0000127D0000}"/>
    <cellStyle name="Normal 4 6 2 3 2 7" xfId="22711" xr:uid="{00000000-0005-0000-0000-0000137D0000}"/>
    <cellStyle name="Normal 4 6 2 3 3" xfId="22712" xr:uid="{00000000-0005-0000-0000-0000147D0000}"/>
    <cellStyle name="Normal 4 6 2 3 3 2" xfId="22713" xr:uid="{00000000-0005-0000-0000-0000157D0000}"/>
    <cellStyle name="Normal 4 6 2 3 3 2 2" xfId="55329" xr:uid="{00000000-0005-0000-0000-0000167D0000}"/>
    <cellStyle name="Normal 4 6 2 3 3 2 3" xfId="55330" xr:uid="{00000000-0005-0000-0000-0000177D0000}"/>
    <cellStyle name="Normal 4 6 2 3 3 3" xfId="22714" xr:uid="{00000000-0005-0000-0000-0000187D0000}"/>
    <cellStyle name="Normal 4 6 2 3 3 3 2" xfId="55331" xr:uid="{00000000-0005-0000-0000-0000197D0000}"/>
    <cellStyle name="Normal 4 6 2 3 3 4" xfId="22715" xr:uid="{00000000-0005-0000-0000-00001A7D0000}"/>
    <cellStyle name="Normal 4 6 2 3 3 5" xfId="22716" xr:uid="{00000000-0005-0000-0000-00001B7D0000}"/>
    <cellStyle name="Normal 4 6 2 3 3 6" xfId="22717" xr:uid="{00000000-0005-0000-0000-00001C7D0000}"/>
    <cellStyle name="Normal 4 6 2 3 4" xfId="22718" xr:uid="{00000000-0005-0000-0000-00001D7D0000}"/>
    <cellStyle name="Normal 4 6 2 3 4 2" xfId="55332" xr:uid="{00000000-0005-0000-0000-00001E7D0000}"/>
    <cellStyle name="Normal 4 6 2 3 4 3" xfId="55333" xr:uid="{00000000-0005-0000-0000-00001F7D0000}"/>
    <cellStyle name="Normal 4 6 2 3 5" xfId="22719" xr:uid="{00000000-0005-0000-0000-0000207D0000}"/>
    <cellStyle name="Normal 4 6 2 3 5 2" xfId="55334" xr:uid="{00000000-0005-0000-0000-0000217D0000}"/>
    <cellStyle name="Normal 4 6 2 3 6" xfId="22720" xr:uid="{00000000-0005-0000-0000-0000227D0000}"/>
    <cellStyle name="Normal 4 6 2 3 7" xfId="22721" xr:uid="{00000000-0005-0000-0000-0000237D0000}"/>
    <cellStyle name="Normal 4 6 2 3 8" xfId="22722" xr:uid="{00000000-0005-0000-0000-0000247D0000}"/>
    <cellStyle name="Normal 4 6 2 3 9" xfId="22723" xr:uid="{00000000-0005-0000-0000-0000257D0000}"/>
    <cellStyle name="Normal 4 6 2 4" xfId="22724" xr:uid="{00000000-0005-0000-0000-0000267D0000}"/>
    <cellStyle name="Normal 4 6 2 4 2" xfId="22725" xr:uid="{00000000-0005-0000-0000-0000277D0000}"/>
    <cellStyle name="Normal 4 6 2 4 2 2" xfId="22726" xr:uid="{00000000-0005-0000-0000-0000287D0000}"/>
    <cellStyle name="Normal 4 6 2 4 2 2 2" xfId="22727" xr:uid="{00000000-0005-0000-0000-0000297D0000}"/>
    <cellStyle name="Normal 4 6 2 4 2 2 2 2" xfId="55335" xr:uid="{00000000-0005-0000-0000-00002A7D0000}"/>
    <cellStyle name="Normal 4 6 2 4 2 2 2 3" xfId="55336" xr:uid="{00000000-0005-0000-0000-00002B7D0000}"/>
    <cellStyle name="Normal 4 6 2 4 2 2 3" xfId="22728" xr:uid="{00000000-0005-0000-0000-00002C7D0000}"/>
    <cellStyle name="Normal 4 6 2 4 2 2 3 2" xfId="55337" xr:uid="{00000000-0005-0000-0000-00002D7D0000}"/>
    <cellStyle name="Normal 4 6 2 4 2 2 4" xfId="22729" xr:uid="{00000000-0005-0000-0000-00002E7D0000}"/>
    <cellStyle name="Normal 4 6 2 4 2 2 5" xfId="22730" xr:uid="{00000000-0005-0000-0000-00002F7D0000}"/>
    <cellStyle name="Normal 4 6 2 4 2 2 6" xfId="22731" xr:uid="{00000000-0005-0000-0000-0000307D0000}"/>
    <cellStyle name="Normal 4 6 2 4 2 3" xfId="22732" xr:uid="{00000000-0005-0000-0000-0000317D0000}"/>
    <cellStyle name="Normal 4 6 2 4 2 3 2" xfId="55338" xr:uid="{00000000-0005-0000-0000-0000327D0000}"/>
    <cellStyle name="Normal 4 6 2 4 2 3 3" xfId="55339" xr:uid="{00000000-0005-0000-0000-0000337D0000}"/>
    <cellStyle name="Normal 4 6 2 4 2 4" xfId="22733" xr:uid="{00000000-0005-0000-0000-0000347D0000}"/>
    <cellStyle name="Normal 4 6 2 4 2 4 2" xfId="55340" xr:uid="{00000000-0005-0000-0000-0000357D0000}"/>
    <cellStyle name="Normal 4 6 2 4 2 5" xfId="22734" xr:uid="{00000000-0005-0000-0000-0000367D0000}"/>
    <cellStyle name="Normal 4 6 2 4 2 6" xfId="22735" xr:uid="{00000000-0005-0000-0000-0000377D0000}"/>
    <cellStyle name="Normal 4 6 2 4 2 7" xfId="22736" xr:uid="{00000000-0005-0000-0000-0000387D0000}"/>
    <cellStyle name="Normal 4 6 2 4 3" xfId="22737" xr:uid="{00000000-0005-0000-0000-0000397D0000}"/>
    <cellStyle name="Normal 4 6 2 4 3 2" xfId="22738" xr:uid="{00000000-0005-0000-0000-00003A7D0000}"/>
    <cellStyle name="Normal 4 6 2 4 3 2 2" xfId="55341" xr:uid="{00000000-0005-0000-0000-00003B7D0000}"/>
    <cellStyle name="Normal 4 6 2 4 3 2 3" xfId="55342" xr:uid="{00000000-0005-0000-0000-00003C7D0000}"/>
    <cellStyle name="Normal 4 6 2 4 3 3" xfId="22739" xr:uid="{00000000-0005-0000-0000-00003D7D0000}"/>
    <cellStyle name="Normal 4 6 2 4 3 3 2" xfId="55343" xr:uid="{00000000-0005-0000-0000-00003E7D0000}"/>
    <cellStyle name="Normal 4 6 2 4 3 4" xfId="22740" xr:uid="{00000000-0005-0000-0000-00003F7D0000}"/>
    <cellStyle name="Normal 4 6 2 4 3 5" xfId="22741" xr:uid="{00000000-0005-0000-0000-0000407D0000}"/>
    <cellStyle name="Normal 4 6 2 4 3 6" xfId="22742" xr:uid="{00000000-0005-0000-0000-0000417D0000}"/>
    <cellStyle name="Normal 4 6 2 4 4" xfId="22743" xr:uid="{00000000-0005-0000-0000-0000427D0000}"/>
    <cellStyle name="Normal 4 6 2 4 4 2" xfId="55344" xr:uid="{00000000-0005-0000-0000-0000437D0000}"/>
    <cellStyle name="Normal 4 6 2 4 4 3" xfId="55345" xr:uid="{00000000-0005-0000-0000-0000447D0000}"/>
    <cellStyle name="Normal 4 6 2 4 5" xfId="22744" xr:uid="{00000000-0005-0000-0000-0000457D0000}"/>
    <cellStyle name="Normal 4 6 2 4 5 2" xfId="55346" xr:uid="{00000000-0005-0000-0000-0000467D0000}"/>
    <cellStyle name="Normal 4 6 2 4 6" xfId="22745" xr:uid="{00000000-0005-0000-0000-0000477D0000}"/>
    <cellStyle name="Normal 4 6 2 4 7" xfId="22746" xr:uid="{00000000-0005-0000-0000-0000487D0000}"/>
    <cellStyle name="Normal 4 6 2 4 8" xfId="22747" xr:uid="{00000000-0005-0000-0000-0000497D0000}"/>
    <cellStyle name="Normal 4 6 2 5" xfId="22748" xr:uid="{00000000-0005-0000-0000-00004A7D0000}"/>
    <cellStyle name="Normal 4 6 2 5 2" xfId="22749" xr:uid="{00000000-0005-0000-0000-00004B7D0000}"/>
    <cellStyle name="Normal 4 6 2 5 2 2" xfId="22750" xr:uid="{00000000-0005-0000-0000-00004C7D0000}"/>
    <cellStyle name="Normal 4 6 2 5 2 2 2" xfId="55347" xr:uid="{00000000-0005-0000-0000-00004D7D0000}"/>
    <cellStyle name="Normal 4 6 2 5 2 2 3" xfId="55348" xr:uid="{00000000-0005-0000-0000-00004E7D0000}"/>
    <cellStyle name="Normal 4 6 2 5 2 3" xfId="22751" xr:uid="{00000000-0005-0000-0000-00004F7D0000}"/>
    <cellStyle name="Normal 4 6 2 5 2 3 2" xfId="55349" xr:uid="{00000000-0005-0000-0000-0000507D0000}"/>
    <cellStyle name="Normal 4 6 2 5 2 4" xfId="22752" xr:uid="{00000000-0005-0000-0000-0000517D0000}"/>
    <cellStyle name="Normal 4 6 2 5 2 5" xfId="22753" xr:uid="{00000000-0005-0000-0000-0000527D0000}"/>
    <cellStyle name="Normal 4 6 2 5 2 6" xfId="22754" xr:uid="{00000000-0005-0000-0000-0000537D0000}"/>
    <cellStyle name="Normal 4 6 2 5 3" xfId="22755" xr:uid="{00000000-0005-0000-0000-0000547D0000}"/>
    <cellStyle name="Normal 4 6 2 5 3 2" xfId="55350" xr:uid="{00000000-0005-0000-0000-0000557D0000}"/>
    <cellStyle name="Normal 4 6 2 5 3 3" xfId="55351" xr:uid="{00000000-0005-0000-0000-0000567D0000}"/>
    <cellStyle name="Normal 4 6 2 5 4" xfId="22756" xr:uid="{00000000-0005-0000-0000-0000577D0000}"/>
    <cellStyle name="Normal 4 6 2 5 4 2" xfId="55352" xr:uid="{00000000-0005-0000-0000-0000587D0000}"/>
    <cellStyle name="Normal 4 6 2 5 5" xfId="22757" xr:uid="{00000000-0005-0000-0000-0000597D0000}"/>
    <cellStyle name="Normal 4 6 2 5 6" xfId="22758" xr:uid="{00000000-0005-0000-0000-00005A7D0000}"/>
    <cellStyle name="Normal 4 6 2 5 7" xfId="22759" xr:uid="{00000000-0005-0000-0000-00005B7D0000}"/>
    <cellStyle name="Normal 4 6 2 6" xfId="22760" xr:uid="{00000000-0005-0000-0000-00005C7D0000}"/>
    <cellStyle name="Normal 4 6 2 6 2" xfId="22761" xr:uid="{00000000-0005-0000-0000-00005D7D0000}"/>
    <cellStyle name="Normal 4 6 2 6 2 2" xfId="55353" xr:uid="{00000000-0005-0000-0000-00005E7D0000}"/>
    <cellStyle name="Normal 4 6 2 6 2 3" xfId="55354" xr:uid="{00000000-0005-0000-0000-00005F7D0000}"/>
    <cellStyle name="Normal 4 6 2 6 3" xfId="22762" xr:uid="{00000000-0005-0000-0000-0000607D0000}"/>
    <cellStyle name="Normal 4 6 2 6 3 2" xfId="55355" xr:uid="{00000000-0005-0000-0000-0000617D0000}"/>
    <cellStyle name="Normal 4 6 2 6 4" xfId="22763" xr:uid="{00000000-0005-0000-0000-0000627D0000}"/>
    <cellStyle name="Normal 4 6 2 6 5" xfId="22764" xr:uid="{00000000-0005-0000-0000-0000637D0000}"/>
    <cellStyle name="Normal 4 6 2 6 6" xfId="22765" xr:uid="{00000000-0005-0000-0000-0000647D0000}"/>
    <cellStyle name="Normal 4 6 2 7" xfId="22766" xr:uid="{00000000-0005-0000-0000-0000657D0000}"/>
    <cellStyle name="Normal 4 6 2 7 2" xfId="55356" xr:uid="{00000000-0005-0000-0000-0000667D0000}"/>
    <cellStyle name="Normal 4 6 2 7 3" xfId="55357" xr:uid="{00000000-0005-0000-0000-0000677D0000}"/>
    <cellStyle name="Normal 4 6 2 8" xfId="22767" xr:uid="{00000000-0005-0000-0000-0000687D0000}"/>
    <cellStyle name="Normal 4 6 2 8 2" xfId="55358" xr:uid="{00000000-0005-0000-0000-0000697D0000}"/>
    <cellStyle name="Normal 4 6 2 9" xfId="22768" xr:uid="{00000000-0005-0000-0000-00006A7D0000}"/>
    <cellStyle name="Normal 4 6 2 9 2" xfId="55359" xr:uid="{00000000-0005-0000-0000-00006B7D0000}"/>
    <cellStyle name="Normal 4 6 20" xfId="22769" xr:uid="{00000000-0005-0000-0000-00006C7D0000}"/>
    <cellStyle name="Normal 4 6 3" xfId="22770" xr:uid="{00000000-0005-0000-0000-00006D7D0000}"/>
    <cellStyle name="Normal 4 6 3 10" xfId="22771" xr:uid="{00000000-0005-0000-0000-00006E7D0000}"/>
    <cellStyle name="Normal 4 6 3 11" xfId="22772" xr:uid="{00000000-0005-0000-0000-00006F7D0000}"/>
    <cellStyle name="Normal 4 6 3 12" xfId="22773" xr:uid="{00000000-0005-0000-0000-0000707D0000}"/>
    <cellStyle name="Normal 4 6 3 13" xfId="22774" xr:uid="{00000000-0005-0000-0000-0000717D0000}"/>
    <cellStyle name="Normal 4 6 3 14" xfId="22775" xr:uid="{00000000-0005-0000-0000-0000727D0000}"/>
    <cellStyle name="Normal 4 6 3 15" xfId="22776" xr:uid="{00000000-0005-0000-0000-0000737D0000}"/>
    <cellStyle name="Normal 4 6 3 2" xfId="22777" xr:uid="{00000000-0005-0000-0000-0000747D0000}"/>
    <cellStyle name="Normal 4 6 3 2 10" xfId="22778" xr:uid="{00000000-0005-0000-0000-0000757D0000}"/>
    <cellStyle name="Normal 4 6 3 2 11" xfId="22779" xr:uid="{00000000-0005-0000-0000-0000767D0000}"/>
    <cellStyle name="Normal 4 6 3 2 12" xfId="22780" xr:uid="{00000000-0005-0000-0000-0000777D0000}"/>
    <cellStyle name="Normal 4 6 3 2 13" xfId="22781" xr:uid="{00000000-0005-0000-0000-0000787D0000}"/>
    <cellStyle name="Normal 4 6 3 2 14" xfId="22782" xr:uid="{00000000-0005-0000-0000-0000797D0000}"/>
    <cellStyle name="Normal 4 6 3 2 2" xfId="22783" xr:uid="{00000000-0005-0000-0000-00007A7D0000}"/>
    <cellStyle name="Normal 4 6 3 2 2 2" xfId="22784" xr:uid="{00000000-0005-0000-0000-00007B7D0000}"/>
    <cellStyle name="Normal 4 6 3 2 2 2 2" xfId="22785" xr:uid="{00000000-0005-0000-0000-00007C7D0000}"/>
    <cellStyle name="Normal 4 6 3 2 2 2 2 2" xfId="22786" xr:uid="{00000000-0005-0000-0000-00007D7D0000}"/>
    <cellStyle name="Normal 4 6 3 2 2 2 2 2 2" xfId="55360" xr:uid="{00000000-0005-0000-0000-00007E7D0000}"/>
    <cellStyle name="Normal 4 6 3 2 2 2 2 2 3" xfId="55361" xr:uid="{00000000-0005-0000-0000-00007F7D0000}"/>
    <cellStyle name="Normal 4 6 3 2 2 2 2 3" xfId="22787" xr:uid="{00000000-0005-0000-0000-0000807D0000}"/>
    <cellStyle name="Normal 4 6 3 2 2 2 2 3 2" xfId="55362" xr:uid="{00000000-0005-0000-0000-0000817D0000}"/>
    <cellStyle name="Normal 4 6 3 2 2 2 2 4" xfId="22788" xr:uid="{00000000-0005-0000-0000-0000827D0000}"/>
    <cellStyle name="Normal 4 6 3 2 2 2 2 5" xfId="22789" xr:uid="{00000000-0005-0000-0000-0000837D0000}"/>
    <cellStyle name="Normal 4 6 3 2 2 2 2 6" xfId="22790" xr:uid="{00000000-0005-0000-0000-0000847D0000}"/>
    <cellStyle name="Normal 4 6 3 2 2 2 3" xfId="22791" xr:uid="{00000000-0005-0000-0000-0000857D0000}"/>
    <cellStyle name="Normal 4 6 3 2 2 2 3 2" xfId="55363" xr:uid="{00000000-0005-0000-0000-0000867D0000}"/>
    <cellStyle name="Normal 4 6 3 2 2 2 3 3" xfId="55364" xr:uid="{00000000-0005-0000-0000-0000877D0000}"/>
    <cellStyle name="Normal 4 6 3 2 2 2 4" xfId="22792" xr:uid="{00000000-0005-0000-0000-0000887D0000}"/>
    <cellStyle name="Normal 4 6 3 2 2 2 4 2" xfId="55365" xr:uid="{00000000-0005-0000-0000-0000897D0000}"/>
    <cellStyle name="Normal 4 6 3 2 2 2 5" xfId="22793" xr:uid="{00000000-0005-0000-0000-00008A7D0000}"/>
    <cellStyle name="Normal 4 6 3 2 2 2 6" xfId="22794" xr:uid="{00000000-0005-0000-0000-00008B7D0000}"/>
    <cellStyle name="Normal 4 6 3 2 2 2 7" xfId="22795" xr:uid="{00000000-0005-0000-0000-00008C7D0000}"/>
    <cellStyle name="Normal 4 6 3 2 2 3" xfId="22796" xr:uid="{00000000-0005-0000-0000-00008D7D0000}"/>
    <cellStyle name="Normal 4 6 3 2 2 3 2" xfId="22797" xr:uid="{00000000-0005-0000-0000-00008E7D0000}"/>
    <cellStyle name="Normal 4 6 3 2 2 3 2 2" xfId="55366" xr:uid="{00000000-0005-0000-0000-00008F7D0000}"/>
    <cellStyle name="Normal 4 6 3 2 2 3 2 3" xfId="55367" xr:uid="{00000000-0005-0000-0000-0000907D0000}"/>
    <cellStyle name="Normal 4 6 3 2 2 3 3" xfId="22798" xr:uid="{00000000-0005-0000-0000-0000917D0000}"/>
    <cellStyle name="Normal 4 6 3 2 2 3 3 2" xfId="55368" xr:uid="{00000000-0005-0000-0000-0000927D0000}"/>
    <cellStyle name="Normal 4 6 3 2 2 3 4" xfId="22799" xr:uid="{00000000-0005-0000-0000-0000937D0000}"/>
    <cellStyle name="Normal 4 6 3 2 2 3 5" xfId="22800" xr:uid="{00000000-0005-0000-0000-0000947D0000}"/>
    <cellStyle name="Normal 4 6 3 2 2 3 6" xfId="22801" xr:uid="{00000000-0005-0000-0000-0000957D0000}"/>
    <cellStyle name="Normal 4 6 3 2 2 4" xfId="22802" xr:uid="{00000000-0005-0000-0000-0000967D0000}"/>
    <cellStyle name="Normal 4 6 3 2 2 4 2" xfId="55369" xr:uid="{00000000-0005-0000-0000-0000977D0000}"/>
    <cellStyle name="Normal 4 6 3 2 2 4 3" xfId="55370" xr:uid="{00000000-0005-0000-0000-0000987D0000}"/>
    <cellStyle name="Normal 4 6 3 2 2 5" xfId="22803" xr:uid="{00000000-0005-0000-0000-0000997D0000}"/>
    <cellStyle name="Normal 4 6 3 2 2 5 2" xfId="55371" xr:uid="{00000000-0005-0000-0000-00009A7D0000}"/>
    <cellStyle name="Normal 4 6 3 2 2 6" xfId="22804" xr:uid="{00000000-0005-0000-0000-00009B7D0000}"/>
    <cellStyle name="Normal 4 6 3 2 2 7" xfId="22805" xr:uid="{00000000-0005-0000-0000-00009C7D0000}"/>
    <cellStyle name="Normal 4 6 3 2 2 8" xfId="22806" xr:uid="{00000000-0005-0000-0000-00009D7D0000}"/>
    <cellStyle name="Normal 4 6 3 2 2 9" xfId="22807" xr:uid="{00000000-0005-0000-0000-00009E7D0000}"/>
    <cellStyle name="Normal 4 6 3 2 3" xfId="22808" xr:uid="{00000000-0005-0000-0000-00009F7D0000}"/>
    <cellStyle name="Normal 4 6 3 2 3 2" xfId="22809" xr:uid="{00000000-0005-0000-0000-0000A07D0000}"/>
    <cellStyle name="Normal 4 6 3 2 3 2 2" xfId="22810" xr:uid="{00000000-0005-0000-0000-0000A17D0000}"/>
    <cellStyle name="Normal 4 6 3 2 3 2 2 2" xfId="22811" xr:uid="{00000000-0005-0000-0000-0000A27D0000}"/>
    <cellStyle name="Normal 4 6 3 2 3 2 2 2 2" xfId="55372" xr:uid="{00000000-0005-0000-0000-0000A37D0000}"/>
    <cellStyle name="Normal 4 6 3 2 3 2 2 2 3" xfId="55373" xr:uid="{00000000-0005-0000-0000-0000A47D0000}"/>
    <cellStyle name="Normal 4 6 3 2 3 2 2 3" xfId="22812" xr:uid="{00000000-0005-0000-0000-0000A57D0000}"/>
    <cellStyle name="Normal 4 6 3 2 3 2 2 3 2" xfId="55374" xr:uid="{00000000-0005-0000-0000-0000A67D0000}"/>
    <cellStyle name="Normal 4 6 3 2 3 2 2 4" xfId="22813" xr:uid="{00000000-0005-0000-0000-0000A77D0000}"/>
    <cellStyle name="Normal 4 6 3 2 3 2 2 5" xfId="22814" xr:uid="{00000000-0005-0000-0000-0000A87D0000}"/>
    <cellStyle name="Normal 4 6 3 2 3 2 2 6" xfId="22815" xr:uid="{00000000-0005-0000-0000-0000A97D0000}"/>
    <cellStyle name="Normal 4 6 3 2 3 2 3" xfId="22816" xr:uid="{00000000-0005-0000-0000-0000AA7D0000}"/>
    <cellStyle name="Normal 4 6 3 2 3 2 3 2" xfId="55375" xr:uid="{00000000-0005-0000-0000-0000AB7D0000}"/>
    <cellStyle name="Normal 4 6 3 2 3 2 3 3" xfId="55376" xr:uid="{00000000-0005-0000-0000-0000AC7D0000}"/>
    <cellStyle name="Normal 4 6 3 2 3 2 4" xfId="22817" xr:uid="{00000000-0005-0000-0000-0000AD7D0000}"/>
    <cellStyle name="Normal 4 6 3 2 3 2 4 2" xfId="55377" xr:uid="{00000000-0005-0000-0000-0000AE7D0000}"/>
    <cellStyle name="Normal 4 6 3 2 3 2 5" xfId="22818" xr:uid="{00000000-0005-0000-0000-0000AF7D0000}"/>
    <cellStyle name="Normal 4 6 3 2 3 2 6" xfId="22819" xr:uid="{00000000-0005-0000-0000-0000B07D0000}"/>
    <cellStyle name="Normal 4 6 3 2 3 2 7" xfId="22820" xr:uid="{00000000-0005-0000-0000-0000B17D0000}"/>
    <cellStyle name="Normal 4 6 3 2 3 3" xfId="22821" xr:uid="{00000000-0005-0000-0000-0000B27D0000}"/>
    <cellStyle name="Normal 4 6 3 2 3 3 2" xfId="22822" xr:uid="{00000000-0005-0000-0000-0000B37D0000}"/>
    <cellStyle name="Normal 4 6 3 2 3 3 2 2" xfId="55378" xr:uid="{00000000-0005-0000-0000-0000B47D0000}"/>
    <cellStyle name="Normal 4 6 3 2 3 3 2 3" xfId="55379" xr:uid="{00000000-0005-0000-0000-0000B57D0000}"/>
    <cellStyle name="Normal 4 6 3 2 3 3 3" xfId="22823" xr:uid="{00000000-0005-0000-0000-0000B67D0000}"/>
    <cellStyle name="Normal 4 6 3 2 3 3 3 2" xfId="55380" xr:uid="{00000000-0005-0000-0000-0000B77D0000}"/>
    <cellStyle name="Normal 4 6 3 2 3 3 4" xfId="22824" xr:uid="{00000000-0005-0000-0000-0000B87D0000}"/>
    <cellStyle name="Normal 4 6 3 2 3 3 5" xfId="22825" xr:uid="{00000000-0005-0000-0000-0000B97D0000}"/>
    <cellStyle name="Normal 4 6 3 2 3 3 6" xfId="22826" xr:uid="{00000000-0005-0000-0000-0000BA7D0000}"/>
    <cellStyle name="Normal 4 6 3 2 3 4" xfId="22827" xr:uid="{00000000-0005-0000-0000-0000BB7D0000}"/>
    <cellStyle name="Normal 4 6 3 2 3 4 2" xfId="55381" xr:uid="{00000000-0005-0000-0000-0000BC7D0000}"/>
    <cellStyle name="Normal 4 6 3 2 3 4 3" xfId="55382" xr:uid="{00000000-0005-0000-0000-0000BD7D0000}"/>
    <cellStyle name="Normal 4 6 3 2 3 5" xfId="22828" xr:uid="{00000000-0005-0000-0000-0000BE7D0000}"/>
    <cellStyle name="Normal 4 6 3 2 3 5 2" xfId="55383" xr:uid="{00000000-0005-0000-0000-0000BF7D0000}"/>
    <cellStyle name="Normal 4 6 3 2 3 6" xfId="22829" xr:uid="{00000000-0005-0000-0000-0000C07D0000}"/>
    <cellStyle name="Normal 4 6 3 2 3 7" xfId="22830" xr:uid="{00000000-0005-0000-0000-0000C17D0000}"/>
    <cellStyle name="Normal 4 6 3 2 3 8" xfId="22831" xr:uid="{00000000-0005-0000-0000-0000C27D0000}"/>
    <cellStyle name="Normal 4 6 3 2 4" xfId="22832" xr:uid="{00000000-0005-0000-0000-0000C37D0000}"/>
    <cellStyle name="Normal 4 6 3 2 4 2" xfId="22833" xr:uid="{00000000-0005-0000-0000-0000C47D0000}"/>
    <cellStyle name="Normal 4 6 3 2 4 2 2" xfId="22834" xr:uid="{00000000-0005-0000-0000-0000C57D0000}"/>
    <cellStyle name="Normal 4 6 3 2 4 2 2 2" xfId="55384" xr:uid="{00000000-0005-0000-0000-0000C67D0000}"/>
    <cellStyle name="Normal 4 6 3 2 4 2 2 3" xfId="55385" xr:uid="{00000000-0005-0000-0000-0000C77D0000}"/>
    <cellStyle name="Normal 4 6 3 2 4 2 3" xfId="22835" xr:uid="{00000000-0005-0000-0000-0000C87D0000}"/>
    <cellStyle name="Normal 4 6 3 2 4 2 3 2" xfId="55386" xr:uid="{00000000-0005-0000-0000-0000C97D0000}"/>
    <cellStyle name="Normal 4 6 3 2 4 2 4" xfId="22836" xr:uid="{00000000-0005-0000-0000-0000CA7D0000}"/>
    <cellStyle name="Normal 4 6 3 2 4 2 5" xfId="22837" xr:uid="{00000000-0005-0000-0000-0000CB7D0000}"/>
    <cellStyle name="Normal 4 6 3 2 4 2 6" xfId="22838" xr:uid="{00000000-0005-0000-0000-0000CC7D0000}"/>
    <cellStyle name="Normal 4 6 3 2 4 3" xfId="22839" xr:uid="{00000000-0005-0000-0000-0000CD7D0000}"/>
    <cellStyle name="Normal 4 6 3 2 4 3 2" xfId="55387" xr:uid="{00000000-0005-0000-0000-0000CE7D0000}"/>
    <cellStyle name="Normal 4 6 3 2 4 3 3" xfId="55388" xr:uid="{00000000-0005-0000-0000-0000CF7D0000}"/>
    <cellStyle name="Normal 4 6 3 2 4 4" xfId="22840" xr:uid="{00000000-0005-0000-0000-0000D07D0000}"/>
    <cellStyle name="Normal 4 6 3 2 4 4 2" xfId="55389" xr:uid="{00000000-0005-0000-0000-0000D17D0000}"/>
    <cellStyle name="Normal 4 6 3 2 4 5" xfId="22841" xr:uid="{00000000-0005-0000-0000-0000D27D0000}"/>
    <cellStyle name="Normal 4 6 3 2 4 6" xfId="22842" xr:uid="{00000000-0005-0000-0000-0000D37D0000}"/>
    <cellStyle name="Normal 4 6 3 2 4 7" xfId="22843" xr:uid="{00000000-0005-0000-0000-0000D47D0000}"/>
    <cellStyle name="Normal 4 6 3 2 5" xfId="22844" xr:uid="{00000000-0005-0000-0000-0000D57D0000}"/>
    <cellStyle name="Normal 4 6 3 2 5 2" xfId="22845" xr:uid="{00000000-0005-0000-0000-0000D67D0000}"/>
    <cellStyle name="Normal 4 6 3 2 5 2 2" xfId="55390" xr:uid="{00000000-0005-0000-0000-0000D77D0000}"/>
    <cellStyle name="Normal 4 6 3 2 5 2 3" xfId="55391" xr:uid="{00000000-0005-0000-0000-0000D87D0000}"/>
    <cellStyle name="Normal 4 6 3 2 5 3" xfId="22846" xr:uid="{00000000-0005-0000-0000-0000D97D0000}"/>
    <cellStyle name="Normal 4 6 3 2 5 3 2" xfId="55392" xr:uid="{00000000-0005-0000-0000-0000DA7D0000}"/>
    <cellStyle name="Normal 4 6 3 2 5 4" xfId="22847" xr:uid="{00000000-0005-0000-0000-0000DB7D0000}"/>
    <cellStyle name="Normal 4 6 3 2 5 5" xfId="22848" xr:uid="{00000000-0005-0000-0000-0000DC7D0000}"/>
    <cellStyle name="Normal 4 6 3 2 5 6" xfId="22849" xr:uid="{00000000-0005-0000-0000-0000DD7D0000}"/>
    <cellStyle name="Normal 4 6 3 2 6" xfId="22850" xr:uid="{00000000-0005-0000-0000-0000DE7D0000}"/>
    <cellStyle name="Normal 4 6 3 2 6 2" xfId="55393" xr:uid="{00000000-0005-0000-0000-0000DF7D0000}"/>
    <cellStyle name="Normal 4 6 3 2 6 3" xfId="55394" xr:uid="{00000000-0005-0000-0000-0000E07D0000}"/>
    <cellStyle name="Normal 4 6 3 2 7" xfId="22851" xr:uid="{00000000-0005-0000-0000-0000E17D0000}"/>
    <cellStyle name="Normal 4 6 3 2 7 2" xfId="55395" xr:uid="{00000000-0005-0000-0000-0000E27D0000}"/>
    <cellStyle name="Normal 4 6 3 2 8" xfId="22852" xr:uid="{00000000-0005-0000-0000-0000E37D0000}"/>
    <cellStyle name="Normal 4 6 3 2 9" xfId="22853" xr:uid="{00000000-0005-0000-0000-0000E47D0000}"/>
    <cellStyle name="Normal 4 6 3 3" xfId="22854" xr:uid="{00000000-0005-0000-0000-0000E57D0000}"/>
    <cellStyle name="Normal 4 6 3 3 2" xfId="22855" xr:uid="{00000000-0005-0000-0000-0000E67D0000}"/>
    <cellStyle name="Normal 4 6 3 3 2 2" xfId="22856" xr:uid="{00000000-0005-0000-0000-0000E77D0000}"/>
    <cellStyle name="Normal 4 6 3 3 2 2 2" xfId="22857" xr:uid="{00000000-0005-0000-0000-0000E87D0000}"/>
    <cellStyle name="Normal 4 6 3 3 2 2 2 2" xfId="55396" xr:uid="{00000000-0005-0000-0000-0000E97D0000}"/>
    <cellStyle name="Normal 4 6 3 3 2 2 2 3" xfId="55397" xr:uid="{00000000-0005-0000-0000-0000EA7D0000}"/>
    <cellStyle name="Normal 4 6 3 3 2 2 3" xfId="22858" xr:uid="{00000000-0005-0000-0000-0000EB7D0000}"/>
    <cellStyle name="Normal 4 6 3 3 2 2 3 2" xfId="55398" xr:uid="{00000000-0005-0000-0000-0000EC7D0000}"/>
    <cellStyle name="Normal 4 6 3 3 2 2 4" xfId="22859" xr:uid="{00000000-0005-0000-0000-0000ED7D0000}"/>
    <cellStyle name="Normal 4 6 3 3 2 2 5" xfId="22860" xr:uid="{00000000-0005-0000-0000-0000EE7D0000}"/>
    <cellStyle name="Normal 4 6 3 3 2 2 6" xfId="22861" xr:uid="{00000000-0005-0000-0000-0000EF7D0000}"/>
    <cellStyle name="Normal 4 6 3 3 2 3" xfId="22862" xr:uid="{00000000-0005-0000-0000-0000F07D0000}"/>
    <cellStyle name="Normal 4 6 3 3 2 3 2" xfId="55399" xr:uid="{00000000-0005-0000-0000-0000F17D0000}"/>
    <cellStyle name="Normal 4 6 3 3 2 3 3" xfId="55400" xr:uid="{00000000-0005-0000-0000-0000F27D0000}"/>
    <cellStyle name="Normal 4 6 3 3 2 4" xfId="22863" xr:uid="{00000000-0005-0000-0000-0000F37D0000}"/>
    <cellStyle name="Normal 4 6 3 3 2 4 2" xfId="55401" xr:uid="{00000000-0005-0000-0000-0000F47D0000}"/>
    <cellStyle name="Normal 4 6 3 3 2 5" xfId="22864" xr:uid="{00000000-0005-0000-0000-0000F57D0000}"/>
    <cellStyle name="Normal 4 6 3 3 2 6" xfId="22865" xr:uid="{00000000-0005-0000-0000-0000F67D0000}"/>
    <cellStyle name="Normal 4 6 3 3 2 7" xfId="22866" xr:uid="{00000000-0005-0000-0000-0000F77D0000}"/>
    <cellStyle name="Normal 4 6 3 3 3" xfId="22867" xr:uid="{00000000-0005-0000-0000-0000F87D0000}"/>
    <cellStyle name="Normal 4 6 3 3 3 2" xfId="22868" xr:uid="{00000000-0005-0000-0000-0000F97D0000}"/>
    <cellStyle name="Normal 4 6 3 3 3 2 2" xfId="55402" xr:uid="{00000000-0005-0000-0000-0000FA7D0000}"/>
    <cellStyle name="Normal 4 6 3 3 3 2 3" xfId="55403" xr:uid="{00000000-0005-0000-0000-0000FB7D0000}"/>
    <cellStyle name="Normal 4 6 3 3 3 3" xfId="22869" xr:uid="{00000000-0005-0000-0000-0000FC7D0000}"/>
    <cellStyle name="Normal 4 6 3 3 3 3 2" xfId="55404" xr:uid="{00000000-0005-0000-0000-0000FD7D0000}"/>
    <cellStyle name="Normal 4 6 3 3 3 4" xfId="22870" xr:uid="{00000000-0005-0000-0000-0000FE7D0000}"/>
    <cellStyle name="Normal 4 6 3 3 3 5" xfId="22871" xr:uid="{00000000-0005-0000-0000-0000FF7D0000}"/>
    <cellStyle name="Normal 4 6 3 3 3 6" xfId="22872" xr:uid="{00000000-0005-0000-0000-0000007E0000}"/>
    <cellStyle name="Normal 4 6 3 3 4" xfId="22873" xr:uid="{00000000-0005-0000-0000-0000017E0000}"/>
    <cellStyle name="Normal 4 6 3 3 4 2" xfId="55405" xr:uid="{00000000-0005-0000-0000-0000027E0000}"/>
    <cellStyle name="Normal 4 6 3 3 4 3" xfId="55406" xr:uid="{00000000-0005-0000-0000-0000037E0000}"/>
    <cellStyle name="Normal 4 6 3 3 5" xfId="22874" xr:uid="{00000000-0005-0000-0000-0000047E0000}"/>
    <cellStyle name="Normal 4 6 3 3 5 2" xfId="55407" xr:uid="{00000000-0005-0000-0000-0000057E0000}"/>
    <cellStyle name="Normal 4 6 3 3 6" xfId="22875" xr:uid="{00000000-0005-0000-0000-0000067E0000}"/>
    <cellStyle name="Normal 4 6 3 3 7" xfId="22876" xr:uid="{00000000-0005-0000-0000-0000077E0000}"/>
    <cellStyle name="Normal 4 6 3 3 8" xfId="22877" xr:uid="{00000000-0005-0000-0000-0000087E0000}"/>
    <cellStyle name="Normal 4 6 3 3 9" xfId="22878" xr:uid="{00000000-0005-0000-0000-0000097E0000}"/>
    <cellStyle name="Normal 4 6 3 4" xfId="22879" xr:uid="{00000000-0005-0000-0000-00000A7E0000}"/>
    <cellStyle name="Normal 4 6 3 4 2" xfId="22880" xr:uid="{00000000-0005-0000-0000-00000B7E0000}"/>
    <cellStyle name="Normal 4 6 3 4 2 2" xfId="22881" xr:uid="{00000000-0005-0000-0000-00000C7E0000}"/>
    <cellStyle name="Normal 4 6 3 4 2 2 2" xfId="22882" xr:uid="{00000000-0005-0000-0000-00000D7E0000}"/>
    <cellStyle name="Normal 4 6 3 4 2 2 2 2" xfId="55408" xr:uid="{00000000-0005-0000-0000-00000E7E0000}"/>
    <cellStyle name="Normal 4 6 3 4 2 2 2 3" xfId="55409" xr:uid="{00000000-0005-0000-0000-00000F7E0000}"/>
    <cellStyle name="Normal 4 6 3 4 2 2 3" xfId="22883" xr:uid="{00000000-0005-0000-0000-0000107E0000}"/>
    <cellStyle name="Normal 4 6 3 4 2 2 3 2" xfId="55410" xr:uid="{00000000-0005-0000-0000-0000117E0000}"/>
    <cellStyle name="Normal 4 6 3 4 2 2 4" xfId="22884" xr:uid="{00000000-0005-0000-0000-0000127E0000}"/>
    <cellStyle name="Normal 4 6 3 4 2 2 5" xfId="22885" xr:uid="{00000000-0005-0000-0000-0000137E0000}"/>
    <cellStyle name="Normal 4 6 3 4 2 2 6" xfId="22886" xr:uid="{00000000-0005-0000-0000-0000147E0000}"/>
    <cellStyle name="Normal 4 6 3 4 2 3" xfId="22887" xr:uid="{00000000-0005-0000-0000-0000157E0000}"/>
    <cellStyle name="Normal 4 6 3 4 2 3 2" xfId="55411" xr:uid="{00000000-0005-0000-0000-0000167E0000}"/>
    <cellStyle name="Normal 4 6 3 4 2 3 3" xfId="55412" xr:uid="{00000000-0005-0000-0000-0000177E0000}"/>
    <cellStyle name="Normal 4 6 3 4 2 4" xfId="22888" xr:uid="{00000000-0005-0000-0000-0000187E0000}"/>
    <cellStyle name="Normal 4 6 3 4 2 4 2" xfId="55413" xr:uid="{00000000-0005-0000-0000-0000197E0000}"/>
    <cellStyle name="Normal 4 6 3 4 2 5" xfId="22889" xr:uid="{00000000-0005-0000-0000-00001A7E0000}"/>
    <cellStyle name="Normal 4 6 3 4 2 6" xfId="22890" xr:uid="{00000000-0005-0000-0000-00001B7E0000}"/>
    <cellStyle name="Normal 4 6 3 4 2 7" xfId="22891" xr:uid="{00000000-0005-0000-0000-00001C7E0000}"/>
    <cellStyle name="Normal 4 6 3 4 3" xfId="22892" xr:uid="{00000000-0005-0000-0000-00001D7E0000}"/>
    <cellStyle name="Normal 4 6 3 4 3 2" xfId="22893" xr:uid="{00000000-0005-0000-0000-00001E7E0000}"/>
    <cellStyle name="Normal 4 6 3 4 3 2 2" xfId="55414" xr:uid="{00000000-0005-0000-0000-00001F7E0000}"/>
    <cellStyle name="Normal 4 6 3 4 3 2 3" xfId="55415" xr:uid="{00000000-0005-0000-0000-0000207E0000}"/>
    <cellStyle name="Normal 4 6 3 4 3 3" xfId="22894" xr:uid="{00000000-0005-0000-0000-0000217E0000}"/>
    <cellStyle name="Normal 4 6 3 4 3 3 2" xfId="55416" xr:uid="{00000000-0005-0000-0000-0000227E0000}"/>
    <cellStyle name="Normal 4 6 3 4 3 4" xfId="22895" xr:uid="{00000000-0005-0000-0000-0000237E0000}"/>
    <cellStyle name="Normal 4 6 3 4 3 5" xfId="22896" xr:uid="{00000000-0005-0000-0000-0000247E0000}"/>
    <cellStyle name="Normal 4 6 3 4 3 6" xfId="22897" xr:uid="{00000000-0005-0000-0000-0000257E0000}"/>
    <cellStyle name="Normal 4 6 3 4 4" xfId="22898" xr:uid="{00000000-0005-0000-0000-0000267E0000}"/>
    <cellStyle name="Normal 4 6 3 4 4 2" xfId="55417" xr:uid="{00000000-0005-0000-0000-0000277E0000}"/>
    <cellStyle name="Normal 4 6 3 4 4 3" xfId="55418" xr:uid="{00000000-0005-0000-0000-0000287E0000}"/>
    <cellStyle name="Normal 4 6 3 4 5" xfId="22899" xr:uid="{00000000-0005-0000-0000-0000297E0000}"/>
    <cellStyle name="Normal 4 6 3 4 5 2" xfId="55419" xr:uid="{00000000-0005-0000-0000-00002A7E0000}"/>
    <cellStyle name="Normal 4 6 3 4 6" xfId="22900" xr:uid="{00000000-0005-0000-0000-00002B7E0000}"/>
    <cellStyle name="Normal 4 6 3 4 7" xfId="22901" xr:uid="{00000000-0005-0000-0000-00002C7E0000}"/>
    <cellStyle name="Normal 4 6 3 4 8" xfId="22902" xr:uid="{00000000-0005-0000-0000-00002D7E0000}"/>
    <cellStyle name="Normal 4 6 3 5" xfId="22903" xr:uid="{00000000-0005-0000-0000-00002E7E0000}"/>
    <cellStyle name="Normal 4 6 3 5 2" xfId="22904" xr:uid="{00000000-0005-0000-0000-00002F7E0000}"/>
    <cellStyle name="Normal 4 6 3 5 2 2" xfId="22905" xr:uid="{00000000-0005-0000-0000-0000307E0000}"/>
    <cellStyle name="Normal 4 6 3 5 2 2 2" xfId="55420" xr:uid="{00000000-0005-0000-0000-0000317E0000}"/>
    <cellStyle name="Normal 4 6 3 5 2 2 3" xfId="55421" xr:uid="{00000000-0005-0000-0000-0000327E0000}"/>
    <cellStyle name="Normal 4 6 3 5 2 3" xfId="22906" xr:uid="{00000000-0005-0000-0000-0000337E0000}"/>
    <cellStyle name="Normal 4 6 3 5 2 3 2" xfId="55422" xr:uid="{00000000-0005-0000-0000-0000347E0000}"/>
    <cellStyle name="Normal 4 6 3 5 2 4" xfId="22907" xr:uid="{00000000-0005-0000-0000-0000357E0000}"/>
    <cellStyle name="Normal 4 6 3 5 2 5" xfId="22908" xr:uid="{00000000-0005-0000-0000-0000367E0000}"/>
    <cellStyle name="Normal 4 6 3 5 2 6" xfId="22909" xr:uid="{00000000-0005-0000-0000-0000377E0000}"/>
    <cellStyle name="Normal 4 6 3 5 3" xfId="22910" xr:uid="{00000000-0005-0000-0000-0000387E0000}"/>
    <cellStyle name="Normal 4 6 3 5 3 2" xfId="55423" xr:uid="{00000000-0005-0000-0000-0000397E0000}"/>
    <cellStyle name="Normal 4 6 3 5 3 3" xfId="55424" xr:uid="{00000000-0005-0000-0000-00003A7E0000}"/>
    <cellStyle name="Normal 4 6 3 5 4" xfId="22911" xr:uid="{00000000-0005-0000-0000-00003B7E0000}"/>
    <cellStyle name="Normal 4 6 3 5 4 2" xfId="55425" xr:uid="{00000000-0005-0000-0000-00003C7E0000}"/>
    <cellStyle name="Normal 4 6 3 5 5" xfId="22912" xr:uid="{00000000-0005-0000-0000-00003D7E0000}"/>
    <cellStyle name="Normal 4 6 3 5 6" xfId="22913" xr:uid="{00000000-0005-0000-0000-00003E7E0000}"/>
    <cellStyle name="Normal 4 6 3 5 7" xfId="22914" xr:uid="{00000000-0005-0000-0000-00003F7E0000}"/>
    <cellStyle name="Normal 4 6 3 6" xfId="22915" xr:uid="{00000000-0005-0000-0000-0000407E0000}"/>
    <cellStyle name="Normal 4 6 3 6 2" xfId="22916" xr:uid="{00000000-0005-0000-0000-0000417E0000}"/>
    <cellStyle name="Normal 4 6 3 6 2 2" xfId="55426" xr:uid="{00000000-0005-0000-0000-0000427E0000}"/>
    <cellStyle name="Normal 4 6 3 6 2 3" xfId="55427" xr:uid="{00000000-0005-0000-0000-0000437E0000}"/>
    <cellStyle name="Normal 4 6 3 6 3" xfId="22917" xr:uid="{00000000-0005-0000-0000-0000447E0000}"/>
    <cellStyle name="Normal 4 6 3 6 3 2" xfId="55428" xr:uid="{00000000-0005-0000-0000-0000457E0000}"/>
    <cellStyle name="Normal 4 6 3 6 4" xfId="22918" xr:uid="{00000000-0005-0000-0000-0000467E0000}"/>
    <cellStyle name="Normal 4 6 3 6 5" xfId="22919" xr:uid="{00000000-0005-0000-0000-0000477E0000}"/>
    <cellStyle name="Normal 4 6 3 6 6" xfId="22920" xr:uid="{00000000-0005-0000-0000-0000487E0000}"/>
    <cellStyle name="Normal 4 6 3 7" xfId="22921" xr:uid="{00000000-0005-0000-0000-0000497E0000}"/>
    <cellStyle name="Normal 4 6 3 7 2" xfId="55429" xr:uid="{00000000-0005-0000-0000-00004A7E0000}"/>
    <cellStyle name="Normal 4 6 3 7 3" xfId="55430" xr:uid="{00000000-0005-0000-0000-00004B7E0000}"/>
    <cellStyle name="Normal 4 6 3 8" xfId="22922" xr:uid="{00000000-0005-0000-0000-00004C7E0000}"/>
    <cellStyle name="Normal 4 6 3 8 2" xfId="55431" xr:uid="{00000000-0005-0000-0000-00004D7E0000}"/>
    <cellStyle name="Normal 4 6 3 9" xfId="22923" xr:uid="{00000000-0005-0000-0000-00004E7E0000}"/>
    <cellStyle name="Normal 4 6 4" xfId="22924" xr:uid="{00000000-0005-0000-0000-00004F7E0000}"/>
    <cellStyle name="Normal 4 6 4 10" xfId="22925" xr:uid="{00000000-0005-0000-0000-0000507E0000}"/>
    <cellStyle name="Normal 4 6 4 11" xfId="22926" xr:uid="{00000000-0005-0000-0000-0000517E0000}"/>
    <cellStyle name="Normal 4 6 4 12" xfId="22927" xr:uid="{00000000-0005-0000-0000-0000527E0000}"/>
    <cellStyle name="Normal 4 6 4 13" xfId="22928" xr:uid="{00000000-0005-0000-0000-0000537E0000}"/>
    <cellStyle name="Normal 4 6 4 14" xfId="22929" xr:uid="{00000000-0005-0000-0000-0000547E0000}"/>
    <cellStyle name="Normal 4 6 4 2" xfId="22930" xr:uid="{00000000-0005-0000-0000-0000557E0000}"/>
    <cellStyle name="Normal 4 6 4 2 2" xfId="22931" xr:uid="{00000000-0005-0000-0000-0000567E0000}"/>
    <cellStyle name="Normal 4 6 4 2 2 2" xfId="22932" xr:uid="{00000000-0005-0000-0000-0000577E0000}"/>
    <cellStyle name="Normal 4 6 4 2 2 2 2" xfId="22933" xr:uid="{00000000-0005-0000-0000-0000587E0000}"/>
    <cellStyle name="Normal 4 6 4 2 2 2 2 2" xfId="55432" xr:uid="{00000000-0005-0000-0000-0000597E0000}"/>
    <cellStyle name="Normal 4 6 4 2 2 2 2 3" xfId="55433" xr:uid="{00000000-0005-0000-0000-00005A7E0000}"/>
    <cellStyle name="Normal 4 6 4 2 2 2 3" xfId="22934" xr:uid="{00000000-0005-0000-0000-00005B7E0000}"/>
    <cellStyle name="Normal 4 6 4 2 2 2 3 2" xfId="55434" xr:uid="{00000000-0005-0000-0000-00005C7E0000}"/>
    <cellStyle name="Normal 4 6 4 2 2 2 4" xfId="22935" xr:uid="{00000000-0005-0000-0000-00005D7E0000}"/>
    <cellStyle name="Normal 4 6 4 2 2 2 5" xfId="22936" xr:uid="{00000000-0005-0000-0000-00005E7E0000}"/>
    <cellStyle name="Normal 4 6 4 2 2 2 6" xfId="22937" xr:uid="{00000000-0005-0000-0000-00005F7E0000}"/>
    <cellStyle name="Normal 4 6 4 2 2 3" xfId="22938" xr:uid="{00000000-0005-0000-0000-0000607E0000}"/>
    <cellStyle name="Normal 4 6 4 2 2 3 2" xfId="55435" xr:uid="{00000000-0005-0000-0000-0000617E0000}"/>
    <cellStyle name="Normal 4 6 4 2 2 3 3" xfId="55436" xr:uid="{00000000-0005-0000-0000-0000627E0000}"/>
    <cellStyle name="Normal 4 6 4 2 2 4" xfId="22939" xr:uid="{00000000-0005-0000-0000-0000637E0000}"/>
    <cellStyle name="Normal 4 6 4 2 2 4 2" xfId="55437" xr:uid="{00000000-0005-0000-0000-0000647E0000}"/>
    <cellStyle name="Normal 4 6 4 2 2 5" xfId="22940" xr:uid="{00000000-0005-0000-0000-0000657E0000}"/>
    <cellStyle name="Normal 4 6 4 2 2 6" xfId="22941" xr:uid="{00000000-0005-0000-0000-0000667E0000}"/>
    <cellStyle name="Normal 4 6 4 2 2 7" xfId="22942" xr:uid="{00000000-0005-0000-0000-0000677E0000}"/>
    <cellStyle name="Normal 4 6 4 2 3" xfId="22943" xr:uid="{00000000-0005-0000-0000-0000687E0000}"/>
    <cellStyle name="Normal 4 6 4 2 3 2" xfId="22944" xr:uid="{00000000-0005-0000-0000-0000697E0000}"/>
    <cellStyle name="Normal 4 6 4 2 3 2 2" xfId="55438" xr:uid="{00000000-0005-0000-0000-00006A7E0000}"/>
    <cellStyle name="Normal 4 6 4 2 3 2 3" xfId="55439" xr:uid="{00000000-0005-0000-0000-00006B7E0000}"/>
    <cellStyle name="Normal 4 6 4 2 3 3" xfId="22945" xr:uid="{00000000-0005-0000-0000-00006C7E0000}"/>
    <cellStyle name="Normal 4 6 4 2 3 3 2" xfId="55440" xr:uid="{00000000-0005-0000-0000-00006D7E0000}"/>
    <cellStyle name="Normal 4 6 4 2 3 4" xfId="22946" xr:uid="{00000000-0005-0000-0000-00006E7E0000}"/>
    <cellStyle name="Normal 4 6 4 2 3 5" xfId="22947" xr:uid="{00000000-0005-0000-0000-00006F7E0000}"/>
    <cellStyle name="Normal 4 6 4 2 3 6" xfId="22948" xr:uid="{00000000-0005-0000-0000-0000707E0000}"/>
    <cellStyle name="Normal 4 6 4 2 4" xfId="22949" xr:uid="{00000000-0005-0000-0000-0000717E0000}"/>
    <cellStyle name="Normal 4 6 4 2 4 2" xfId="55441" xr:uid="{00000000-0005-0000-0000-0000727E0000}"/>
    <cellStyle name="Normal 4 6 4 2 4 3" xfId="55442" xr:uid="{00000000-0005-0000-0000-0000737E0000}"/>
    <cellStyle name="Normal 4 6 4 2 5" xfId="22950" xr:uid="{00000000-0005-0000-0000-0000747E0000}"/>
    <cellStyle name="Normal 4 6 4 2 5 2" xfId="55443" xr:uid="{00000000-0005-0000-0000-0000757E0000}"/>
    <cellStyle name="Normal 4 6 4 2 6" xfId="22951" xr:uid="{00000000-0005-0000-0000-0000767E0000}"/>
    <cellStyle name="Normal 4 6 4 2 7" xfId="22952" xr:uid="{00000000-0005-0000-0000-0000777E0000}"/>
    <cellStyle name="Normal 4 6 4 2 8" xfId="22953" xr:uid="{00000000-0005-0000-0000-0000787E0000}"/>
    <cellStyle name="Normal 4 6 4 2 9" xfId="22954" xr:uid="{00000000-0005-0000-0000-0000797E0000}"/>
    <cellStyle name="Normal 4 6 4 3" xfId="22955" xr:uid="{00000000-0005-0000-0000-00007A7E0000}"/>
    <cellStyle name="Normal 4 6 4 3 2" xfId="22956" xr:uid="{00000000-0005-0000-0000-00007B7E0000}"/>
    <cellStyle name="Normal 4 6 4 3 2 2" xfId="22957" xr:uid="{00000000-0005-0000-0000-00007C7E0000}"/>
    <cellStyle name="Normal 4 6 4 3 2 2 2" xfId="22958" xr:uid="{00000000-0005-0000-0000-00007D7E0000}"/>
    <cellStyle name="Normal 4 6 4 3 2 2 2 2" xfId="55444" xr:uid="{00000000-0005-0000-0000-00007E7E0000}"/>
    <cellStyle name="Normal 4 6 4 3 2 2 2 3" xfId="55445" xr:uid="{00000000-0005-0000-0000-00007F7E0000}"/>
    <cellStyle name="Normal 4 6 4 3 2 2 3" xfId="22959" xr:uid="{00000000-0005-0000-0000-0000807E0000}"/>
    <cellStyle name="Normal 4 6 4 3 2 2 3 2" xfId="55446" xr:uid="{00000000-0005-0000-0000-0000817E0000}"/>
    <cellStyle name="Normal 4 6 4 3 2 2 4" xfId="22960" xr:uid="{00000000-0005-0000-0000-0000827E0000}"/>
    <cellStyle name="Normal 4 6 4 3 2 2 5" xfId="22961" xr:uid="{00000000-0005-0000-0000-0000837E0000}"/>
    <cellStyle name="Normal 4 6 4 3 2 2 6" xfId="22962" xr:uid="{00000000-0005-0000-0000-0000847E0000}"/>
    <cellStyle name="Normal 4 6 4 3 2 3" xfId="22963" xr:uid="{00000000-0005-0000-0000-0000857E0000}"/>
    <cellStyle name="Normal 4 6 4 3 2 3 2" xfId="55447" xr:uid="{00000000-0005-0000-0000-0000867E0000}"/>
    <cellStyle name="Normal 4 6 4 3 2 3 3" xfId="55448" xr:uid="{00000000-0005-0000-0000-0000877E0000}"/>
    <cellStyle name="Normal 4 6 4 3 2 4" xfId="22964" xr:uid="{00000000-0005-0000-0000-0000887E0000}"/>
    <cellStyle name="Normal 4 6 4 3 2 4 2" xfId="55449" xr:uid="{00000000-0005-0000-0000-0000897E0000}"/>
    <cellStyle name="Normal 4 6 4 3 2 5" xfId="22965" xr:uid="{00000000-0005-0000-0000-00008A7E0000}"/>
    <cellStyle name="Normal 4 6 4 3 2 6" xfId="22966" xr:uid="{00000000-0005-0000-0000-00008B7E0000}"/>
    <cellStyle name="Normal 4 6 4 3 2 7" xfId="22967" xr:uid="{00000000-0005-0000-0000-00008C7E0000}"/>
    <cellStyle name="Normal 4 6 4 3 3" xfId="22968" xr:uid="{00000000-0005-0000-0000-00008D7E0000}"/>
    <cellStyle name="Normal 4 6 4 3 3 2" xfId="22969" xr:uid="{00000000-0005-0000-0000-00008E7E0000}"/>
    <cellStyle name="Normal 4 6 4 3 3 2 2" xfId="55450" xr:uid="{00000000-0005-0000-0000-00008F7E0000}"/>
    <cellStyle name="Normal 4 6 4 3 3 2 3" xfId="55451" xr:uid="{00000000-0005-0000-0000-0000907E0000}"/>
    <cellStyle name="Normal 4 6 4 3 3 3" xfId="22970" xr:uid="{00000000-0005-0000-0000-0000917E0000}"/>
    <cellStyle name="Normal 4 6 4 3 3 3 2" xfId="55452" xr:uid="{00000000-0005-0000-0000-0000927E0000}"/>
    <cellStyle name="Normal 4 6 4 3 3 4" xfId="22971" xr:uid="{00000000-0005-0000-0000-0000937E0000}"/>
    <cellStyle name="Normal 4 6 4 3 3 5" xfId="22972" xr:uid="{00000000-0005-0000-0000-0000947E0000}"/>
    <cellStyle name="Normal 4 6 4 3 3 6" xfId="22973" xr:uid="{00000000-0005-0000-0000-0000957E0000}"/>
    <cellStyle name="Normal 4 6 4 3 4" xfId="22974" xr:uid="{00000000-0005-0000-0000-0000967E0000}"/>
    <cellStyle name="Normal 4 6 4 3 4 2" xfId="55453" xr:uid="{00000000-0005-0000-0000-0000977E0000}"/>
    <cellStyle name="Normal 4 6 4 3 4 3" xfId="55454" xr:uid="{00000000-0005-0000-0000-0000987E0000}"/>
    <cellStyle name="Normal 4 6 4 3 5" xfId="22975" xr:uid="{00000000-0005-0000-0000-0000997E0000}"/>
    <cellStyle name="Normal 4 6 4 3 5 2" xfId="55455" xr:uid="{00000000-0005-0000-0000-00009A7E0000}"/>
    <cellStyle name="Normal 4 6 4 3 6" xfId="22976" xr:uid="{00000000-0005-0000-0000-00009B7E0000}"/>
    <cellStyle name="Normal 4 6 4 3 7" xfId="22977" xr:uid="{00000000-0005-0000-0000-00009C7E0000}"/>
    <cellStyle name="Normal 4 6 4 3 8" xfId="22978" xr:uid="{00000000-0005-0000-0000-00009D7E0000}"/>
    <cellStyle name="Normal 4 6 4 4" xfId="22979" xr:uid="{00000000-0005-0000-0000-00009E7E0000}"/>
    <cellStyle name="Normal 4 6 4 4 2" xfId="22980" xr:uid="{00000000-0005-0000-0000-00009F7E0000}"/>
    <cellStyle name="Normal 4 6 4 4 2 2" xfId="22981" xr:uid="{00000000-0005-0000-0000-0000A07E0000}"/>
    <cellStyle name="Normal 4 6 4 4 2 2 2" xfId="55456" xr:uid="{00000000-0005-0000-0000-0000A17E0000}"/>
    <cellStyle name="Normal 4 6 4 4 2 2 3" xfId="55457" xr:uid="{00000000-0005-0000-0000-0000A27E0000}"/>
    <cellStyle name="Normal 4 6 4 4 2 3" xfId="22982" xr:uid="{00000000-0005-0000-0000-0000A37E0000}"/>
    <cellStyle name="Normal 4 6 4 4 2 3 2" xfId="55458" xr:uid="{00000000-0005-0000-0000-0000A47E0000}"/>
    <cellStyle name="Normal 4 6 4 4 2 4" xfId="22983" xr:uid="{00000000-0005-0000-0000-0000A57E0000}"/>
    <cellStyle name="Normal 4 6 4 4 2 5" xfId="22984" xr:uid="{00000000-0005-0000-0000-0000A67E0000}"/>
    <cellStyle name="Normal 4 6 4 4 2 6" xfId="22985" xr:uid="{00000000-0005-0000-0000-0000A77E0000}"/>
    <cellStyle name="Normal 4 6 4 4 3" xfId="22986" xr:uid="{00000000-0005-0000-0000-0000A87E0000}"/>
    <cellStyle name="Normal 4 6 4 4 3 2" xfId="55459" xr:uid="{00000000-0005-0000-0000-0000A97E0000}"/>
    <cellStyle name="Normal 4 6 4 4 3 3" xfId="55460" xr:uid="{00000000-0005-0000-0000-0000AA7E0000}"/>
    <cellStyle name="Normal 4 6 4 4 4" xfId="22987" xr:uid="{00000000-0005-0000-0000-0000AB7E0000}"/>
    <cellStyle name="Normal 4 6 4 4 4 2" xfId="55461" xr:uid="{00000000-0005-0000-0000-0000AC7E0000}"/>
    <cellStyle name="Normal 4 6 4 4 5" xfId="22988" xr:uid="{00000000-0005-0000-0000-0000AD7E0000}"/>
    <cellStyle name="Normal 4 6 4 4 6" xfId="22989" xr:uid="{00000000-0005-0000-0000-0000AE7E0000}"/>
    <cellStyle name="Normal 4 6 4 4 7" xfId="22990" xr:uid="{00000000-0005-0000-0000-0000AF7E0000}"/>
    <cellStyle name="Normal 4 6 4 5" xfId="22991" xr:uid="{00000000-0005-0000-0000-0000B07E0000}"/>
    <cellStyle name="Normal 4 6 4 5 2" xfId="22992" xr:uid="{00000000-0005-0000-0000-0000B17E0000}"/>
    <cellStyle name="Normal 4 6 4 5 2 2" xfId="55462" xr:uid="{00000000-0005-0000-0000-0000B27E0000}"/>
    <cellStyle name="Normal 4 6 4 5 2 3" xfId="55463" xr:uid="{00000000-0005-0000-0000-0000B37E0000}"/>
    <cellStyle name="Normal 4 6 4 5 3" xfId="22993" xr:uid="{00000000-0005-0000-0000-0000B47E0000}"/>
    <cellStyle name="Normal 4 6 4 5 3 2" xfId="55464" xr:uid="{00000000-0005-0000-0000-0000B57E0000}"/>
    <cellStyle name="Normal 4 6 4 5 4" xfId="22994" xr:uid="{00000000-0005-0000-0000-0000B67E0000}"/>
    <cellStyle name="Normal 4 6 4 5 5" xfId="22995" xr:uid="{00000000-0005-0000-0000-0000B77E0000}"/>
    <cellStyle name="Normal 4 6 4 5 6" xfId="22996" xr:uid="{00000000-0005-0000-0000-0000B87E0000}"/>
    <cellStyle name="Normal 4 6 4 6" xfId="22997" xr:uid="{00000000-0005-0000-0000-0000B97E0000}"/>
    <cellStyle name="Normal 4 6 4 6 2" xfId="55465" xr:uid="{00000000-0005-0000-0000-0000BA7E0000}"/>
    <cellStyle name="Normal 4 6 4 6 3" xfId="55466" xr:uid="{00000000-0005-0000-0000-0000BB7E0000}"/>
    <cellStyle name="Normal 4 6 4 7" xfId="22998" xr:uid="{00000000-0005-0000-0000-0000BC7E0000}"/>
    <cellStyle name="Normal 4 6 4 7 2" xfId="55467" xr:uid="{00000000-0005-0000-0000-0000BD7E0000}"/>
    <cellStyle name="Normal 4 6 4 8" xfId="22999" xr:uid="{00000000-0005-0000-0000-0000BE7E0000}"/>
    <cellStyle name="Normal 4 6 4 9" xfId="23000" xr:uid="{00000000-0005-0000-0000-0000BF7E0000}"/>
    <cellStyle name="Normal 4 6 5" xfId="23001" xr:uid="{00000000-0005-0000-0000-0000C07E0000}"/>
    <cellStyle name="Normal 4 6 5 10" xfId="23002" xr:uid="{00000000-0005-0000-0000-0000C17E0000}"/>
    <cellStyle name="Normal 4 6 5 11" xfId="23003" xr:uid="{00000000-0005-0000-0000-0000C27E0000}"/>
    <cellStyle name="Normal 4 6 5 12" xfId="23004" xr:uid="{00000000-0005-0000-0000-0000C37E0000}"/>
    <cellStyle name="Normal 4 6 5 13" xfId="23005" xr:uid="{00000000-0005-0000-0000-0000C47E0000}"/>
    <cellStyle name="Normal 4 6 5 14" xfId="23006" xr:uid="{00000000-0005-0000-0000-0000C57E0000}"/>
    <cellStyle name="Normal 4 6 5 2" xfId="23007" xr:uid="{00000000-0005-0000-0000-0000C67E0000}"/>
    <cellStyle name="Normal 4 6 5 2 2" xfId="23008" xr:uid="{00000000-0005-0000-0000-0000C77E0000}"/>
    <cellStyle name="Normal 4 6 5 2 2 2" xfId="23009" xr:uid="{00000000-0005-0000-0000-0000C87E0000}"/>
    <cellStyle name="Normal 4 6 5 2 2 2 2" xfId="23010" xr:uid="{00000000-0005-0000-0000-0000C97E0000}"/>
    <cellStyle name="Normal 4 6 5 2 2 2 2 2" xfId="55468" xr:uid="{00000000-0005-0000-0000-0000CA7E0000}"/>
    <cellStyle name="Normal 4 6 5 2 2 2 2 3" xfId="55469" xr:uid="{00000000-0005-0000-0000-0000CB7E0000}"/>
    <cellStyle name="Normal 4 6 5 2 2 2 3" xfId="23011" xr:uid="{00000000-0005-0000-0000-0000CC7E0000}"/>
    <cellStyle name="Normal 4 6 5 2 2 2 3 2" xfId="55470" xr:uid="{00000000-0005-0000-0000-0000CD7E0000}"/>
    <cellStyle name="Normal 4 6 5 2 2 2 4" xfId="23012" xr:uid="{00000000-0005-0000-0000-0000CE7E0000}"/>
    <cellStyle name="Normal 4 6 5 2 2 2 5" xfId="23013" xr:uid="{00000000-0005-0000-0000-0000CF7E0000}"/>
    <cellStyle name="Normal 4 6 5 2 2 2 6" xfId="23014" xr:uid="{00000000-0005-0000-0000-0000D07E0000}"/>
    <cellStyle name="Normal 4 6 5 2 2 3" xfId="23015" xr:uid="{00000000-0005-0000-0000-0000D17E0000}"/>
    <cellStyle name="Normal 4 6 5 2 2 3 2" xfId="55471" xr:uid="{00000000-0005-0000-0000-0000D27E0000}"/>
    <cellStyle name="Normal 4 6 5 2 2 3 3" xfId="55472" xr:uid="{00000000-0005-0000-0000-0000D37E0000}"/>
    <cellStyle name="Normal 4 6 5 2 2 4" xfId="23016" xr:uid="{00000000-0005-0000-0000-0000D47E0000}"/>
    <cellStyle name="Normal 4 6 5 2 2 4 2" xfId="55473" xr:uid="{00000000-0005-0000-0000-0000D57E0000}"/>
    <cellStyle name="Normal 4 6 5 2 2 5" xfId="23017" xr:uid="{00000000-0005-0000-0000-0000D67E0000}"/>
    <cellStyle name="Normal 4 6 5 2 2 6" xfId="23018" xr:uid="{00000000-0005-0000-0000-0000D77E0000}"/>
    <cellStyle name="Normal 4 6 5 2 2 7" xfId="23019" xr:uid="{00000000-0005-0000-0000-0000D87E0000}"/>
    <cellStyle name="Normal 4 6 5 2 3" xfId="23020" xr:uid="{00000000-0005-0000-0000-0000D97E0000}"/>
    <cellStyle name="Normal 4 6 5 2 3 2" xfId="23021" xr:uid="{00000000-0005-0000-0000-0000DA7E0000}"/>
    <cellStyle name="Normal 4 6 5 2 3 2 2" xfId="55474" xr:uid="{00000000-0005-0000-0000-0000DB7E0000}"/>
    <cellStyle name="Normal 4 6 5 2 3 2 3" xfId="55475" xr:uid="{00000000-0005-0000-0000-0000DC7E0000}"/>
    <cellStyle name="Normal 4 6 5 2 3 3" xfId="23022" xr:uid="{00000000-0005-0000-0000-0000DD7E0000}"/>
    <cellStyle name="Normal 4 6 5 2 3 3 2" xfId="55476" xr:uid="{00000000-0005-0000-0000-0000DE7E0000}"/>
    <cellStyle name="Normal 4 6 5 2 3 4" xfId="23023" xr:uid="{00000000-0005-0000-0000-0000DF7E0000}"/>
    <cellStyle name="Normal 4 6 5 2 3 5" xfId="23024" xr:uid="{00000000-0005-0000-0000-0000E07E0000}"/>
    <cellStyle name="Normal 4 6 5 2 3 6" xfId="23025" xr:uid="{00000000-0005-0000-0000-0000E17E0000}"/>
    <cellStyle name="Normal 4 6 5 2 4" xfId="23026" xr:uid="{00000000-0005-0000-0000-0000E27E0000}"/>
    <cellStyle name="Normal 4 6 5 2 4 2" xfId="55477" xr:uid="{00000000-0005-0000-0000-0000E37E0000}"/>
    <cellStyle name="Normal 4 6 5 2 4 3" xfId="55478" xr:uid="{00000000-0005-0000-0000-0000E47E0000}"/>
    <cellStyle name="Normal 4 6 5 2 5" xfId="23027" xr:uid="{00000000-0005-0000-0000-0000E57E0000}"/>
    <cellStyle name="Normal 4 6 5 2 5 2" xfId="55479" xr:uid="{00000000-0005-0000-0000-0000E67E0000}"/>
    <cellStyle name="Normal 4 6 5 2 6" xfId="23028" xr:uid="{00000000-0005-0000-0000-0000E77E0000}"/>
    <cellStyle name="Normal 4 6 5 2 7" xfId="23029" xr:uid="{00000000-0005-0000-0000-0000E87E0000}"/>
    <cellStyle name="Normal 4 6 5 2 8" xfId="23030" xr:uid="{00000000-0005-0000-0000-0000E97E0000}"/>
    <cellStyle name="Normal 4 6 5 2 9" xfId="23031" xr:uid="{00000000-0005-0000-0000-0000EA7E0000}"/>
    <cellStyle name="Normal 4 6 5 3" xfId="23032" xr:uid="{00000000-0005-0000-0000-0000EB7E0000}"/>
    <cellStyle name="Normal 4 6 5 3 2" xfId="23033" xr:uid="{00000000-0005-0000-0000-0000EC7E0000}"/>
    <cellStyle name="Normal 4 6 5 3 2 2" xfId="23034" xr:uid="{00000000-0005-0000-0000-0000ED7E0000}"/>
    <cellStyle name="Normal 4 6 5 3 2 2 2" xfId="23035" xr:uid="{00000000-0005-0000-0000-0000EE7E0000}"/>
    <cellStyle name="Normal 4 6 5 3 2 2 2 2" xfId="55480" xr:uid="{00000000-0005-0000-0000-0000EF7E0000}"/>
    <cellStyle name="Normal 4 6 5 3 2 2 2 3" xfId="55481" xr:uid="{00000000-0005-0000-0000-0000F07E0000}"/>
    <cellStyle name="Normal 4 6 5 3 2 2 3" xfId="23036" xr:uid="{00000000-0005-0000-0000-0000F17E0000}"/>
    <cellStyle name="Normal 4 6 5 3 2 2 3 2" xfId="55482" xr:uid="{00000000-0005-0000-0000-0000F27E0000}"/>
    <cellStyle name="Normal 4 6 5 3 2 2 4" xfId="23037" xr:uid="{00000000-0005-0000-0000-0000F37E0000}"/>
    <cellStyle name="Normal 4 6 5 3 2 2 5" xfId="23038" xr:uid="{00000000-0005-0000-0000-0000F47E0000}"/>
    <cellStyle name="Normal 4 6 5 3 2 2 6" xfId="23039" xr:uid="{00000000-0005-0000-0000-0000F57E0000}"/>
    <cellStyle name="Normal 4 6 5 3 2 3" xfId="23040" xr:uid="{00000000-0005-0000-0000-0000F67E0000}"/>
    <cellStyle name="Normal 4 6 5 3 2 3 2" xfId="55483" xr:uid="{00000000-0005-0000-0000-0000F77E0000}"/>
    <cellStyle name="Normal 4 6 5 3 2 3 3" xfId="55484" xr:uid="{00000000-0005-0000-0000-0000F87E0000}"/>
    <cellStyle name="Normal 4 6 5 3 2 4" xfId="23041" xr:uid="{00000000-0005-0000-0000-0000F97E0000}"/>
    <cellStyle name="Normal 4 6 5 3 2 4 2" xfId="55485" xr:uid="{00000000-0005-0000-0000-0000FA7E0000}"/>
    <cellStyle name="Normal 4 6 5 3 2 5" xfId="23042" xr:uid="{00000000-0005-0000-0000-0000FB7E0000}"/>
    <cellStyle name="Normal 4 6 5 3 2 6" xfId="23043" xr:uid="{00000000-0005-0000-0000-0000FC7E0000}"/>
    <cellStyle name="Normal 4 6 5 3 2 7" xfId="23044" xr:uid="{00000000-0005-0000-0000-0000FD7E0000}"/>
    <cellStyle name="Normal 4 6 5 3 3" xfId="23045" xr:uid="{00000000-0005-0000-0000-0000FE7E0000}"/>
    <cellStyle name="Normal 4 6 5 3 3 2" xfId="23046" xr:uid="{00000000-0005-0000-0000-0000FF7E0000}"/>
    <cellStyle name="Normal 4 6 5 3 3 2 2" xfId="55486" xr:uid="{00000000-0005-0000-0000-0000007F0000}"/>
    <cellStyle name="Normal 4 6 5 3 3 2 3" xfId="55487" xr:uid="{00000000-0005-0000-0000-0000017F0000}"/>
    <cellStyle name="Normal 4 6 5 3 3 3" xfId="23047" xr:uid="{00000000-0005-0000-0000-0000027F0000}"/>
    <cellStyle name="Normal 4 6 5 3 3 3 2" xfId="55488" xr:uid="{00000000-0005-0000-0000-0000037F0000}"/>
    <cellStyle name="Normal 4 6 5 3 3 4" xfId="23048" xr:uid="{00000000-0005-0000-0000-0000047F0000}"/>
    <cellStyle name="Normal 4 6 5 3 3 5" xfId="23049" xr:uid="{00000000-0005-0000-0000-0000057F0000}"/>
    <cellStyle name="Normal 4 6 5 3 3 6" xfId="23050" xr:uid="{00000000-0005-0000-0000-0000067F0000}"/>
    <cellStyle name="Normal 4 6 5 3 4" xfId="23051" xr:uid="{00000000-0005-0000-0000-0000077F0000}"/>
    <cellStyle name="Normal 4 6 5 3 4 2" xfId="55489" xr:uid="{00000000-0005-0000-0000-0000087F0000}"/>
    <cellStyle name="Normal 4 6 5 3 4 3" xfId="55490" xr:uid="{00000000-0005-0000-0000-0000097F0000}"/>
    <cellStyle name="Normal 4 6 5 3 5" xfId="23052" xr:uid="{00000000-0005-0000-0000-00000A7F0000}"/>
    <cellStyle name="Normal 4 6 5 3 5 2" xfId="55491" xr:uid="{00000000-0005-0000-0000-00000B7F0000}"/>
    <cellStyle name="Normal 4 6 5 3 6" xfId="23053" xr:uid="{00000000-0005-0000-0000-00000C7F0000}"/>
    <cellStyle name="Normal 4 6 5 3 7" xfId="23054" xr:uid="{00000000-0005-0000-0000-00000D7F0000}"/>
    <cellStyle name="Normal 4 6 5 3 8" xfId="23055" xr:uid="{00000000-0005-0000-0000-00000E7F0000}"/>
    <cellStyle name="Normal 4 6 5 4" xfId="23056" xr:uid="{00000000-0005-0000-0000-00000F7F0000}"/>
    <cellStyle name="Normal 4 6 5 4 2" xfId="23057" xr:uid="{00000000-0005-0000-0000-0000107F0000}"/>
    <cellStyle name="Normal 4 6 5 4 2 2" xfId="23058" xr:uid="{00000000-0005-0000-0000-0000117F0000}"/>
    <cellStyle name="Normal 4 6 5 4 2 2 2" xfId="55492" xr:uid="{00000000-0005-0000-0000-0000127F0000}"/>
    <cellStyle name="Normal 4 6 5 4 2 2 3" xfId="55493" xr:uid="{00000000-0005-0000-0000-0000137F0000}"/>
    <cellStyle name="Normal 4 6 5 4 2 3" xfId="23059" xr:uid="{00000000-0005-0000-0000-0000147F0000}"/>
    <cellStyle name="Normal 4 6 5 4 2 3 2" xfId="55494" xr:uid="{00000000-0005-0000-0000-0000157F0000}"/>
    <cellStyle name="Normal 4 6 5 4 2 4" xfId="23060" xr:uid="{00000000-0005-0000-0000-0000167F0000}"/>
    <cellStyle name="Normal 4 6 5 4 2 5" xfId="23061" xr:uid="{00000000-0005-0000-0000-0000177F0000}"/>
    <cellStyle name="Normal 4 6 5 4 2 6" xfId="23062" xr:uid="{00000000-0005-0000-0000-0000187F0000}"/>
    <cellStyle name="Normal 4 6 5 4 3" xfId="23063" xr:uid="{00000000-0005-0000-0000-0000197F0000}"/>
    <cellStyle name="Normal 4 6 5 4 3 2" xfId="55495" xr:uid="{00000000-0005-0000-0000-00001A7F0000}"/>
    <cellStyle name="Normal 4 6 5 4 3 3" xfId="55496" xr:uid="{00000000-0005-0000-0000-00001B7F0000}"/>
    <cellStyle name="Normal 4 6 5 4 4" xfId="23064" xr:uid="{00000000-0005-0000-0000-00001C7F0000}"/>
    <cellStyle name="Normal 4 6 5 4 4 2" xfId="55497" xr:uid="{00000000-0005-0000-0000-00001D7F0000}"/>
    <cellStyle name="Normal 4 6 5 4 5" xfId="23065" xr:uid="{00000000-0005-0000-0000-00001E7F0000}"/>
    <cellStyle name="Normal 4 6 5 4 6" xfId="23066" xr:uid="{00000000-0005-0000-0000-00001F7F0000}"/>
    <cellStyle name="Normal 4 6 5 4 7" xfId="23067" xr:uid="{00000000-0005-0000-0000-0000207F0000}"/>
    <cellStyle name="Normal 4 6 5 5" xfId="23068" xr:uid="{00000000-0005-0000-0000-0000217F0000}"/>
    <cellStyle name="Normal 4 6 5 5 2" xfId="23069" xr:uid="{00000000-0005-0000-0000-0000227F0000}"/>
    <cellStyle name="Normal 4 6 5 5 2 2" xfId="55498" xr:uid="{00000000-0005-0000-0000-0000237F0000}"/>
    <cellStyle name="Normal 4 6 5 5 2 3" xfId="55499" xr:uid="{00000000-0005-0000-0000-0000247F0000}"/>
    <cellStyle name="Normal 4 6 5 5 3" xfId="23070" xr:uid="{00000000-0005-0000-0000-0000257F0000}"/>
    <cellStyle name="Normal 4 6 5 5 3 2" xfId="55500" xr:uid="{00000000-0005-0000-0000-0000267F0000}"/>
    <cellStyle name="Normal 4 6 5 5 4" xfId="23071" xr:uid="{00000000-0005-0000-0000-0000277F0000}"/>
    <cellStyle name="Normal 4 6 5 5 5" xfId="23072" xr:uid="{00000000-0005-0000-0000-0000287F0000}"/>
    <cellStyle name="Normal 4 6 5 5 6" xfId="23073" xr:uid="{00000000-0005-0000-0000-0000297F0000}"/>
    <cellStyle name="Normal 4 6 5 6" xfId="23074" xr:uid="{00000000-0005-0000-0000-00002A7F0000}"/>
    <cellStyle name="Normal 4 6 5 6 2" xfId="55501" xr:uid="{00000000-0005-0000-0000-00002B7F0000}"/>
    <cellStyle name="Normal 4 6 5 6 3" xfId="55502" xr:uid="{00000000-0005-0000-0000-00002C7F0000}"/>
    <cellStyle name="Normal 4 6 5 7" xfId="23075" xr:uid="{00000000-0005-0000-0000-00002D7F0000}"/>
    <cellStyle name="Normal 4 6 5 7 2" xfId="55503" xr:uid="{00000000-0005-0000-0000-00002E7F0000}"/>
    <cellStyle name="Normal 4 6 5 8" xfId="23076" xr:uid="{00000000-0005-0000-0000-00002F7F0000}"/>
    <cellStyle name="Normal 4 6 5 9" xfId="23077" xr:uid="{00000000-0005-0000-0000-0000307F0000}"/>
    <cellStyle name="Normal 4 6 6" xfId="23078" xr:uid="{00000000-0005-0000-0000-0000317F0000}"/>
    <cellStyle name="Normal 4 6 6 10" xfId="23079" xr:uid="{00000000-0005-0000-0000-0000327F0000}"/>
    <cellStyle name="Normal 4 6 6 11" xfId="23080" xr:uid="{00000000-0005-0000-0000-0000337F0000}"/>
    <cellStyle name="Normal 4 6 6 12" xfId="23081" xr:uid="{00000000-0005-0000-0000-0000347F0000}"/>
    <cellStyle name="Normal 4 6 6 13" xfId="23082" xr:uid="{00000000-0005-0000-0000-0000357F0000}"/>
    <cellStyle name="Normal 4 6 6 2" xfId="23083" xr:uid="{00000000-0005-0000-0000-0000367F0000}"/>
    <cellStyle name="Normal 4 6 6 2 2" xfId="23084" xr:uid="{00000000-0005-0000-0000-0000377F0000}"/>
    <cellStyle name="Normal 4 6 6 2 2 2" xfId="23085" xr:uid="{00000000-0005-0000-0000-0000387F0000}"/>
    <cellStyle name="Normal 4 6 6 2 2 2 2" xfId="23086" xr:uid="{00000000-0005-0000-0000-0000397F0000}"/>
    <cellStyle name="Normal 4 6 6 2 2 2 2 2" xfId="55504" xr:uid="{00000000-0005-0000-0000-00003A7F0000}"/>
    <cellStyle name="Normal 4 6 6 2 2 2 2 3" xfId="55505" xr:uid="{00000000-0005-0000-0000-00003B7F0000}"/>
    <cellStyle name="Normal 4 6 6 2 2 2 3" xfId="23087" xr:uid="{00000000-0005-0000-0000-00003C7F0000}"/>
    <cellStyle name="Normal 4 6 6 2 2 2 3 2" xfId="55506" xr:uid="{00000000-0005-0000-0000-00003D7F0000}"/>
    <cellStyle name="Normal 4 6 6 2 2 2 4" xfId="23088" xr:uid="{00000000-0005-0000-0000-00003E7F0000}"/>
    <cellStyle name="Normal 4 6 6 2 2 2 5" xfId="23089" xr:uid="{00000000-0005-0000-0000-00003F7F0000}"/>
    <cellStyle name="Normal 4 6 6 2 2 2 6" xfId="23090" xr:uid="{00000000-0005-0000-0000-0000407F0000}"/>
    <cellStyle name="Normal 4 6 6 2 2 3" xfId="23091" xr:uid="{00000000-0005-0000-0000-0000417F0000}"/>
    <cellStyle name="Normal 4 6 6 2 2 3 2" xfId="55507" xr:uid="{00000000-0005-0000-0000-0000427F0000}"/>
    <cellStyle name="Normal 4 6 6 2 2 3 3" xfId="55508" xr:uid="{00000000-0005-0000-0000-0000437F0000}"/>
    <cellStyle name="Normal 4 6 6 2 2 4" xfId="23092" xr:uid="{00000000-0005-0000-0000-0000447F0000}"/>
    <cellStyle name="Normal 4 6 6 2 2 4 2" xfId="55509" xr:uid="{00000000-0005-0000-0000-0000457F0000}"/>
    <cellStyle name="Normal 4 6 6 2 2 5" xfId="23093" xr:uid="{00000000-0005-0000-0000-0000467F0000}"/>
    <cellStyle name="Normal 4 6 6 2 2 6" xfId="23094" xr:uid="{00000000-0005-0000-0000-0000477F0000}"/>
    <cellStyle name="Normal 4 6 6 2 2 7" xfId="23095" xr:uid="{00000000-0005-0000-0000-0000487F0000}"/>
    <cellStyle name="Normal 4 6 6 2 3" xfId="23096" xr:uid="{00000000-0005-0000-0000-0000497F0000}"/>
    <cellStyle name="Normal 4 6 6 2 3 2" xfId="23097" xr:uid="{00000000-0005-0000-0000-00004A7F0000}"/>
    <cellStyle name="Normal 4 6 6 2 3 2 2" xfId="55510" xr:uid="{00000000-0005-0000-0000-00004B7F0000}"/>
    <cellStyle name="Normal 4 6 6 2 3 2 3" xfId="55511" xr:uid="{00000000-0005-0000-0000-00004C7F0000}"/>
    <cellStyle name="Normal 4 6 6 2 3 3" xfId="23098" xr:uid="{00000000-0005-0000-0000-00004D7F0000}"/>
    <cellStyle name="Normal 4 6 6 2 3 3 2" xfId="55512" xr:uid="{00000000-0005-0000-0000-00004E7F0000}"/>
    <cellStyle name="Normal 4 6 6 2 3 4" xfId="23099" xr:uid="{00000000-0005-0000-0000-00004F7F0000}"/>
    <cellStyle name="Normal 4 6 6 2 3 5" xfId="23100" xr:uid="{00000000-0005-0000-0000-0000507F0000}"/>
    <cellStyle name="Normal 4 6 6 2 3 6" xfId="23101" xr:uid="{00000000-0005-0000-0000-0000517F0000}"/>
    <cellStyle name="Normal 4 6 6 2 4" xfId="23102" xr:uid="{00000000-0005-0000-0000-0000527F0000}"/>
    <cellStyle name="Normal 4 6 6 2 4 2" xfId="55513" xr:uid="{00000000-0005-0000-0000-0000537F0000}"/>
    <cellStyle name="Normal 4 6 6 2 4 3" xfId="55514" xr:uid="{00000000-0005-0000-0000-0000547F0000}"/>
    <cellStyle name="Normal 4 6 6 2 5" xfId="23103" xr:uid="{00000000-0005-0000-0000-0000557F0000}"/>
    <cellStyle name="Normal 4 6 6 2 5 2" xfId="55515" xr:uid="{00000000-0005-0000-0000-0000567F0000}"/>
    <cellStyle name="Normal 4 6 6 2 6" xfId="23104" xr:uid="{00000000-0005-0000-0000-0000577F0000}"/>
    <cellStyle name="Normal 4 6 6 2 7" xfId="23105" xr:uid="{00000000-0005-0000-0000-0000587F0000}"/>
    <cellStyle name="Normal 4 6 6 2 8" xfId="23106" xr:uid="{00000000-0005-0000-0000-0000597F0000}"/>
    <cellStyle name="Normal 4 6 6 2 9" xfId="23107" xr:uid="{00000000-0005-0000-0000-00005A7F0000}"/>
    <cellStyle name="Normal 4 6 6 3" xfId="23108" xr:uid="{00000000-0005-0000-0000-00005B7F0000}"/>
    <cellStyle name="Normal 4 6 6 3 2" xfId="23109" xr:uid="{00000000-0005-0000-0000-00005C7F0000}"/>
    <cellStyle name="Normal 4 6 6 3 2 2" xfId="23110" xr:uid="{00000000-0005-0000-0000-00005D7F0000}"/>
    <cellStyle name="Normal 4 6 6 3 2 2 2" xfId="55516" xr:uid="{00000000-0005-0000-0000-00005E7F0000}"/>
    <cellStyle name="Normal 4 6 6 3 2 2 3" xfId="55517" xr:uid="{00000000-0005-0000-0000-00005F7F0000}"/>
    <cellStyle name="Normal 4 6 6 3 2 3" xfId="23111" xr:uid="{00000000-0005-0000-0000-0000607F0000}"/>
    <cellStyle name="Normal 4 6 6 3 2 3 2" xfId="55518" xr:uid="{00000000-0005-0000-0000-0000617F0000}"/>
    <cellStyle name="Normal 4 6 6 3 2 4" xfId="23112" xr:uid="{00000000-0005-0000-0000-0000627F0000}"/>
    <cellStyle name="Normal 4 6 6 3 2 5" xfId="23113" xr:uid="{00000000-0005-0000-0000-0000637F0000}"/>
    <cellStyle name="Normal 4 6 6 3 2 6" xfId="23114" xr:uid="{00000000-0005-0000-0000-0000647F0000}"/>
    <cellStyle name="Normal 4 6 6 3 3" xfId="23115" xr:uid="{00000000-0005-0000-0000-0000657F0000}"/>
    <cellStyle name="Normal 4 6 6 3 3 2" xfId="55519" xr:uid="{00000000-0005-0000-0000-0000667F0000}"/>
    <cellStyle name="Normal 4 6 6 3 3 3" xfId="55520" xr:uid="{00000000-0005-0000-0000-0000677F0000}"/>
    <cellStyle name="Normal 4 6 6 3 4" xfId="23116" xr:uid="{00000000-0005-0000-0000-0000687F0000}"/>
    <cellStyle name="Normal 4 6 6 3 4 2" xfId="55521" xr:uid="{00000000-0005-0000-0000-0000697F0000}"/>
    <cellStyle name="Normal 4 6 6 3 5" xfId="23117" xr:uid="{00000000-0005-0000-0000-00006A7F0000}"/>
    <cellStyle name="Normal 4 6 6 3 6" xfId="23118" xr:uid="{00000000-0005-0000-0000-00006B7F0000}"/>
    <cellStyle name="Normal 4 6 6 3 7" xfId="23119" xr:uid="{00000000-0005-0000-0000-00006C7F0000}"/>
    <cellStyle name="Normal 4 6 6 4" xfId="23120" xr:uid="{00000000-0005-0000-0000-00006D7F0000}"/>
    <cellStyle name="Normal 4 6 6 4 2" xfId="23121" xr:uid="{00000000-0005-0000-0000-00006E7F0000}"/>
    <cellStyle name="Normal 4 6 6 4 2 2" xfId="55522" xr:uid="{00000000-0005-0000-0000-00006F7F0000}"/>
    <cellStyle name="Normal 4 6 6 4 2 3" xfId="55523" xr:uid="{00000000-0005-0000-0000-0000707F0000}"/>
    <cellStyle name="Normal 4 6 6 4 3" xfId="23122" xr:uid="{00000000-0005-0000-0000-0000717F0000}"/>
    <cellStyle name="Normal 4 6 6 4 3 2" xfId="55524" xr:uid="{00000000-0005-0000-0000-0000727F0000}"/>
    <cellStyle name="Normal 4 6 6 4 4" xfId="23123" xr:uid="{00000000-0005-0000-0000-0000737F0000}"/>
    <cellStyle name="Normal 4 6 6 4 5" xfId="23124" xr:uid="{00000000-0005-0000-0000-0000747F0000}"/>
    <cellStyle name="Normal 4 6 6 4 6" xfId="23125" xr:uid="{00000000-0005-0000-0000-0000757F0000}"/>
    <cellStyle name="Normal 4 6 6 5" xfId="23126" xr:uid="{00000000-0005-0000-0000-0000767F0000}"/>
    <cellStyle name="Normal 4 6 6 5 2" xfId="55525" xr:uid="{00000000-0005-0000-0000-0000777F0000}"/>
    <cellStyle name="Normal 4 6 6 5 3" xfId="55526" xr:uid="{00000000-0005-0000-0000-0000787F0000}"/>
    <cellStyle name="Normal 4 6 6 6" xfId="23127" xr:uid="{00000000-0005-0000-0000-0000797F0000}"/>
    <cellStyle name="Normal 4 6 6 6 2" xfId="55527" xr:uid="{00000000-0005-0000-0000-00007A7F0000}"/>
    <cellStyle name="Normal 4 6 6 7" xfId="23128" xr:uid="{00000000-0005-0000-0000-00007B7F0000}"/>
    <cellStyle name="Normal 4 6 6 8" xfId="23129" xr:uid="{00000000-0005-0000-0000-00007C7F0000}"/>
    <cellStyle name="Normal 4 6 6 9" xfId="23130" xr:uid="{00000000-0005-0000-0000-00007D7F0000}"/>
    <cellStyle name="Normal 4 6 7" xfId="23131" xr:uid="{00000000-0005-0000-0000-00007E7F0000}"/>
    <cellStyle name="Normal 4 6 7 2" xfId="23132" xr:uid="{00000000-0005-0000-0000-00007F7F0000}"/>
    <cellStyle name="Normal 4 6 7 2 2" xfId="23133" xr:uid="{00000000-0005-0000-0000-0000807F0000}"/>
    <cellStyle name="Normal 4 6 7 2 2 2" xfId="23134" xr:uid="{00000000-0005-0000-0000-0000817F0000}"/>
    <cellStyle name="Normal 4 6 7 2 2 2 2" xfId="55528" xr:uid="{00000000-0005-0000-0000-0000827F0000}"/>
    <cellStyle name="Normal 4 6 7 2 2 2 3" xfId="55529" xr:uid="{00000000-0005-0000-0000-0000837F0000}"/>
    <cellStyle name="Normal 4 6 7 2 2 3" xfId="23135" xr:uid="{00000000-0005-0000-0000-0000847F0000}"/>
    <cellStyle name="Normal 4 6 7 2 2 3 2" xfId="55530" xr:uid="{00000000-0005-0000-0000-0000857F0000}"/>
    <cellStyle name="Normal 4 6 7 2 2 4" xfId="23136" xr:uid="{00000000-0005-0000-0000-0000867F0000}"/>
    <cellStyle name="Normal 4 6 7 2 2 5" xfId="23137" xr:uid="{00000000-0005-0000-0000-0000877F0000}"/>
    <cellStyle name="Normal 4 6 7 2 2 6" xfId="23138" xr:uid="{00000000-0005-0000-0000-0000887F0000}"/>
    <cellStyle name="Normal 4 6 7 2 3" xfId="23139" xr:uid="{00000000-0005-0000-0000-0000897F0000}"/>
    <cellStyle name="Normal 4 6 7 2 3 2" xfId="55531" xr:uid="{00000000-0005-0000-0000-00008A7F0000}"/>
    <cellStyle name="Normal 4 6 7 2 3 3" xfId="55532" xr:uid="{00000000-0005-0000-0000-00008B7F0000}"/>
    <cellStyle name="Normal 4 6 7 2 4" xfId="23140" xr:uid="{00000000-0005-0000-0000-00008C7F0000}"/>
    <cellStyle name="Normal 4 6 7 2 4 2" xfId="55533" xr:uid="{00000000-0005-0000-0000-00008D7F0000}"/>
    <cellStyle name="Normal 4 6 7 2 5" xfId="23141" xr:uid="{00000000-0005-0000-0000-00008E7F0000}"/>
    <cellStyle name="Normal 4 6 7 2 6" xfId="23142" xr:uid="{00000000-0005-0000-0000-00008F7F0000}"/>
    <cellStyle name="Normal 4 6 7 2 7" xfId="23143" xr:uid="{00000000-0005-0000-0000-0000907F0000}"/>
    <cellStyle name="Normal 4 6 7 3" xfId="23144" xr:uid="{00000000-0005-0000-0000-0000917F0000}"/>
    <cellStyle name="Normal 4 6 7 3 2" xfId="23145" xr:uid="{00000000-0005-0000-0000-0000927F0000}"/>
    <cellStyle name="Normal 4 6 7 3 2 2" xfId="55534" xr:uid="{00000000-0005-0000-0000-0000937F0000}"/>
    <cellStyle name="Normal 4 6 7 3 2 3" xfId="55535" xr:uid="{00000000-0005-0000-0000-0000947F0000}"/>
    <cellStyle name="Normal 4 6 7 3 3" xfId="23146" xr:uid="{00000000-0005-0000-0000-0000957F0000}"/>
    <cellStyle name="Normal 4 6 7 3 3 2" xfId="55536" xr:uid="{00000000-0005-0000-0000-0000967F0000}"/>
    <cellStyle name="Normal 4 6 7 3 4" xfId="23147" xr:uid="{00000000-0005-0000-0000-0000977F0000}"/>
    <cellStyle name="Normal 4 6 7 3 5" xfId="23148" xr:uid="{00000000-0005-0000-0000-0000987F0000}"/>
    <cellStyle name="Normal 4 6 7 3 6" xfId="23149" xr:uid="{00000000-0005-0000-0000-0000997F0000}"/>
    <cellStyle name="Normal 4 6 7 4" xfId="23150" xr:uid="{00000000-0005-0000-0000-00009A7F0000}"/>
    <cellStyle name="Normal 4 6 7 4 2" xfId="55537" xr:uid="{00000000-0005-0000-0000-00009B7F0000}"/>
    <cellStyle name="Normal 4 6 7 4 3" xfId="55538" xr:uid="{00000000-0005-0000-0000-00009C7F0000}"/>
    <cellStyle name="Normal 4 6 7 5" xfId="23151" xr:uid="{00000000-0005-0000-0000-00009D7F0000}"/>
    <cellStyle name="Normal 4 6 7 5 2" xfId="55539" xr:uid="{00000000-0005-0000-0000-00009E7F0000}"/>
    <cellStyle name="Normal 4 6 7 6" xfId="23152" xr:uid="{00000000-0005-0000-0000-00009F7F0000}"/>
    <cellStyle name="Normal 4 6 7 7" xfId="23153" xr:uid="{00000000-0005-0000-0000-0000A07F0000}"/>
    <cellStyle name="Normal 4 6 7 8" xfId="23154" xr:uid="{00000000-0005-0000-0000-0000A17F0000}"/>
    <cellStyle name="Normal 4 6 7 9" xfId="23155" xr:uid="{00000000-0005-0000-0000-0000A27F0000}"/>
    <cellStyle name="Normal 4 6 8" xfId="23156" xr:uid="{00000000-0005-0000-0000-0000A37F0000}"/>
    <cellStyle name="Normal 4 6 8 2" xfId="23157" xr:uid="{00000000-0005-0000-0000-0000A47F0000}"/>
    <cellStyle name="Normal 4 6 8 2 2" xfId="23158" xr:uid="{00000000-0005-0000-0000-0000A57F0000}"/>
    <cellStyle name="Normal 4 6 8 2 2 2" xfId="23159" xr:uid="{00000000-0005-0000-0000-0000A67F0000}"/>
    <cellStyle name="Normal 4 6 8 2 2 2 2" xfId="55540" xr:uid="{00000000-0005-0000-0000-0000A77F0000}"/>
    <cellStyle name="Normal 4 6 8 2 2 2 3" xfId="55541" xr:uid="{00000000-0005-0000-0000-0000A87F0000}"/>
    <cellStyle name="Normal 4 6 8 2 2 3" xfId="23160" xr:uid="{00000000-0005-0000-0000-0000A97F0000}"/>
    <cellStyle name="Normal 4 6 8 2 2 3 2" xfId="55542" xr:uid="{00000000-0005-0000-0000-0000AA7F0000}"/>
    <cellStyle name="Normal 4 6 8 2 2 4" xfId="23161" xr:uid="{00000000-0005-0000-0000-0000AB7F0000}"/>
    <cellStyle name="Normal 4 6 8 2 2 5" xfId="23162" xr:uid="{00000000-0005-0000-0000-0000AC7F0000}"/>
    <cellStyle name="Normal 4 6 8 2 2 6" xfId="23163" xr:uid="{00000000-0005-0000-0000-0000AD7F0000}"/>
    <cellStyle name="Normal 4 6 8 2 3" xfId="23164" xr:uid="{00000000-0005-0000-0000-0000AE7F0000}"/>
    <cellStyle name="Normal 4 6 8 2 3 2" xfId="55543" xr:uid="{00000000-0005-0000-0000-0000AF7F0000}"/>
    <cellStyle name="Normal 4 6 8 2 3 3" xfId="55544" xr:uid="{00000000-0005-0000-0000-0000B07F0000}"/>
    <cellStyle name="Normal 4 6 8 2 4" xfId="23165" xr:uid="{00000000-0005-0000-0000-0000B17F0000}"/>
    <cellStyle name="Normal 4 6 8 2 4 2" xfId="55545" xr:uid="{00000000-0005-0000-0000-0000B27F0000}"/>
    <cellStyle name="Normal 4 6 8 2 5" xfId="23166" xr:uid="{00000000-0005-0000-0000-0000B37F0000}"/>
    <cellStyle name="Normal 4 6 8 2 6" xfId="23167" xr:uid="{00000000-0005-0000-0000-0000B47F0000}"/>
    <cellStyle name="Normal 4 6 8 2 7" xfId="23168" xr:uid="{00000000-0005-0000-0000-0000B57F0000}"/>
    <cellStyle name="Normal 4 6 8 3" xfId="23169" xr:uid="{00000000-0005-0000-0000-0000B67F0000}"/>
    <cellStyle name="Normal 4 6 8 3 2" xfId="23170" xr:uid="{00000000-0005-0000-0000-0000B77F0000}"/>
    <cellStyle name="Normal 4 6 8 3 2 2" xfId="55546" xr:uid="{00000000-0005-0000-0000-0000B87F0000}"/>
    <cellStyle name="Normal 4 6 8 3 2 3" xfId="55547" xr:uid="{00000000-0005-0000-0000-0000B97F0000}"/>
    <cellStyle name="Normal 4 6 8 3 3" xfId="23171" xr:uid="{00000000-0005-0000-0000-0000BA7F0000}"/>
    <cellStyle name="Normal 4 6 8 3 3 2" xfId="55548" xr:uid="{00000000-0005-0000-0000-0000BB7F0000}"/>
    <cellStyle name="Normal 4 6 8 3 4" xfId="23172" xr:uid="{00000000-0005-0000-0000-0000BC7F0000}"/>
    <cellStyle name="Normal 4 6 8 3 5" xfId="23173" xr:uid="{00000000-0005-0000-0000-0000BD7F0000}"/>
    <cellStyle name="Normal 4 6 8 3 6" xfId="23174" xr:uid="{00000000-0005-0000-0000-0000BE7F0000}"/>
    <cellStyle name="Normal 4 6 8 4" xfId="23175" xr:uid="{00000000-0005-0000-0000-0000BF7F0000}"/>
    <cellStyle name="Normal 4 6 8 4 2" xfId="55549" xr:uid="{00000000-0005-0000-0000-0000C07F0000}"/>
    <cellStyle name="Normal 4 6 8 4 3" xfId="55550" xr:uid="{00000000-0005-0000-0000-0000C17F0000}"/>
    <cellStyle name="Normal 4 6 8 5" xfId="23176" xr:uid="{00000000-0005-0000-0000-0000C27F0000}"/>
    <cellStyle name="Normal 4 6 8 5 2" xfId="55551" xr:uid="{00000000-0005-0000-0000-0000C37F0000}"/>
    <cellStyle name="Normal 4 6 8 6" xfId="23177" xr:uid="{00000000-0005-0000-0000-0000C47F0000}"/>
    <cellStyle name="Normal 4 6 8 7" xfId="23178" xr:uid="{00000000-0005-0000-0000-0000C57F0000}"/>
    <cellStyle name="Normal 4 6 8 8" xfId="23179" xr:uid="{00000000-0005-0000-0000-0000C67F0000}"/>
    <cellStyle name="Normal 4 6 9" xfId="23180" xr:uid="{00000000-0005-0000-0000-0000C77F0000}"/>
    <cellStyle name="Normal 4 6 9 2" xfId="23181" xr:uid="{00000000-0005-0000-0000-0000C87F0000}"/>
    <cellStyle name="Normal 4 6 9 2 2" xfId="23182" xr:uid="{00000000-0005-0000-0000-0000C97F0000}"/>
    <cellStyle name="Normal 4 6 9 2 2 2" xfId="23183" xr:uid="{00000000-0005-0000-0000-0000CA7F0000}"/>
    <cellStyle name="Normal 4 6 9 2 2 2 2" xfId="55552" xr:uid="{00000000-0005-0000-0000-0000CB7F0000}"/>
    <cellStyle name="Normal 4 6 9 2 2 2 3" xfId="55553" xr:uid="{00000000-0005-0000-0000-0000CC7F0000}"/>
    <cellStyle name="Normal 4 6 9 2 2 3" xfId="23184" xr:uid="{00000000-0005-0000-0000-0000CD7F0000}"/>
    <cellStyle name="Normal 4 6 9 2 2 3 2" xfId="55554" xr:uid="{00000000-0005-0000-0000-0000CE7F0000}"/>
    <cellStyle name="Normal 4 6 9 2 2 4" xfId="23185" xr:uid="{00000000-0005-0000-0000-0000CF7F0000}"/>
    <cellStyle name="Normal 4 6 9 2 2 5" xfId="23186" xr:uid="{00000000-0005-0000-0000-0000D07F0000}"/>
    <cellStyle name="Normal 4 6 9 2 2 6" xfId="23187" xr:uid="{00000000-0005-0000-0000-0000D17F0000}"/>
    <cellStyle name="Normal 4 6 9 2 3" xfId="23188" xr:uid="{00000000-0005-0000-0000-0000D27F0000}"/>
    <cellStyle name="Normal 4 6 9 2 3 2" xfId="55555" xr:uid="{00000000-0005-0000-0000-0000D37F0000}"/>
    <cellStyle name="Normal 4 6 9 2 3 3" xfId="55556" xr:uid="{00000000-0005-0000-0000-0000D47F0000}"/>
    <cellStyle name="Normal 4 6 9 2 4" xfId="23189" xr:uid="{00000000-0005-0000-0000-0000D57F0000}"/>
    <cellStyle name="Normal 4 6 9 2 4 2" xfId="55557" xr:uid="{00000000-0005-0000-0000-0000D67F0000}"/>
    <cellStyle name="Normal 4 6 9 2 5" xfId="23190" xr:uid="{00000000-0005-0000-0000-0000D77F0000}"/>
    <cellStyle name="Normal 4 6 9 2 6" xfId="23191" xr:uid="{00000000-0005-0000-0000-0000D87F0000}"/>
    <cellStyle name="Normal 4 6 9 2 7" xfId="23192" xr:uid="{00000000-0005-0000-0000-0000D97F0000}"/>
    <cellStyle name="Normal 4 6 9 3" xfId="23193" xr:uid="{00000000-0005-0000-0000-0000DA7F0000}"/>
    <cellStyle name="Normal 4 6 9 3 2" xfId="23194" xr:uid="{00000000-0005-0000-0000-0000DB7F0000}"/>
    <cellStyle name="Normal 4 6 9 3 2 2" xfId="55558" xr:uid="{00000000-0005-0000-0000-0000DC7F0000}"/>
    <cellStyle name="Normal 4 6 9 3 2 3" xfId="55559" xr:uid="{00000000-0005-0000-0000-0000DD7F0000}"/>
    <cellStyle name="Normal 4 6 9 3 3" xfId="23195" xr:uid="{00000000-0005-0000-0000-0000DE7F0000}"/>
    <cellStyle name="Normal 4 6 9 3 3 2" xfId="55560" xr:uid="{00000000-0005-0000-0000-0000DF7F0000}"/>
    <cellStyle name="Normal 4 6 9 3 4" xfId="23196" xr:uid="{00000000-0005-0000-0000-0000E07F0000}"/>
    <cellStyle name="Normal 4 6 9 3 5" xfId="23197" xr:uid="{00000000-0005-0000-0000-0000E17F0000}"/>
    <cellStyle name="Normal 4 6 9 3 6" xfId="23198" xr:uid="{00000000-0005-0000-0000-0000E27F0000}"/>
    <cellStyle name="Normal 4 6 9 4" xfId="23199" xr:uid="{00000000-0005-0000-0000-0000E37F0000}"/>
    <cellStyle name="Normal 4 6 9 4 2" xfId="55561" xr:uid="{00000000-0005-0000-0000-0000E47F0000}"/>
    <cellStyle name="Normal 4 6 9 4 3" xfId="55562" xr:uid="{00000000-0005-0000-0000-0000E57F0000}"/>
    <cellStyle name="Normal 4 6 9 5" xfId="23200" xr:uid="{00000000-0005-0000-0000-0000E67F0000}"/>
    <cellStyle name="Normal 4 6 9 5 2" xfId="55563" xr:uid="{00000000-0005-0000-0000-0000E77F0000}"/>
    <cellStyle name="Normal 4 6 9 6" xfId="23201" xr:uid="{00000000-0005-0000-0000-0000E87F0000}"/>
    <cellStyle name="Normal 4 6 9 7" xfId="23202" xr:uid="{00000000-0005-0000-0000-0000E97F0000}"/>
    <cellStyle name="Normal 4 6 9 8" xfId="23203" xr:uid="{00000000-0005-0000-0000-0000EA7F0000}"/>
    <cellStyle name="Normal 4 7" xfId="23204" xr:uid="{00000000-0005-0000-0000-0000EB7F0000}"/>
    <cellStyle name="Normal 4 7 10" xfId="23205" xr:uid="{00000000-0005-0000-0000-0000EC7F0000}"/>
    <cellStyle name="Normal 4 7 10 2" xfId="23206" xr:uid="{00000000-0005-0000-0000-0000ED7F0000}"/>
    <cellStyle name="Normal 4 7 10 2 2" xfId="23207" xr:uid="{00000000-0005-0000-0000-0000EE7F0000}"/>
    <cellStyle name="Normal 4 7 10 2 2 2" xfId="55564" xr:uid="{00000000-0005-0000-0000-0000EF7F0000}"/>
    <cellStyle name="Normal 4 7 10 2 2 3" xfId="55565" xr:uid="{00000000-0005-0000-0000-0000F07F0000}"/>
    <cellStyle name="Normal 4 7 10 2 3" xfId="23208" xr:uid="{00000000-0005-0000-0000-0000F17F0000}"/>
    <cellStyle name="Normal 4 7 10 2 3 2" xfId="55566" xr:uid="{00000000-0005-0000-0000-0000F27F0000}"/>
    <cellStyle name="Normal 4 7 10 2 4" xfId="23209" xr:uid="{00000000-0005-0000-0000-0000F37F0000}"/>
    <cellStyle name="Normal 4 7 10 2 5" xfId="23210" xr:uid="{00000000-0005-0000-0000-0000F47F0000}"/>
    <cellStyle name="Normal 4 7 10 2 6" xfId="23211" xr:uid="{00000000-0005-0000-0000-0000F57F0000}"/>
    <cellStyle name="Normal 4 7 10 3" xfId="23212" xr:uid="{00000000-0005-0000-0000-0000F67F0000}"/>
    <cellStyle name="Normal 4 7 10 3 2" xfId="55567" xr:uid="{00000000-0005-0000-0000-0000F77F0000}"/>
    <cellStyle name="Normal 4 7 10 3 3" xfId="55568" xr:uid="{00000000-0005-0000-0000-0000F87F0000}"/>
    <cellStyle name="Normal 4 7 10 4" xfId="23213" xr:uid="{00000000-0005-0000-0000-0000F97F0000}"/>
    <cellStyle name="Normal 4 7 10 4 2" xfId="55569" xr:uid="{00000000-0005-0000-0000-0000FA7F0000}"/>
    <cellStyle name="Normal 4 7 10 5" xfId="23214" xr:uid="{00000000-0005-0000-0000-0000FB7F0000}"/>
    <cellStyle name="Normal 4 7 10 6" xfId="23215" xr:uid="{00000000-0005-0000-0000-0000FC7F0000}"/>
    <cellStyle name="Normal 4 7 10 7" xfId="23216" xr:uid="{00000000-0005-0000-0000-0000FD7F0000}"/>
    <cellStyle name="Normal 4 7 11" xfId="23217" xr:uid="{00000000-0005-0000-0000-0000FE7F0000}"/>
    <cellStyle name="Normal 4 7 11 2" xfId="23218" xr:uid="{00000000-0005-0000-0000-0000FF7F0000}"/>
    <cellStyle name="Normal 4 7 11 2 2" xfId="55570" xr:uid="{00000000-0005-0000-0000-000000800000}"/>
    <cellStyle name="Normal 4 7 11 2 3" xfId="55571" xr:uid="{00000000-0005-0000-0000-000001800000}"/>
    <cellStyle name="Normal 4 7 11 3" xfId="23219" xr:uid="{00000000-0005-0000-0000-000002800000}"/>
    <cellStyle name="Normal 4 7 11 3 2" xfId="55572" xr:uid="{00000000-0005-0000-0000-000003800000}"/>
    <cellStyle name="Normal 4 7 11 4" xfId="23220" xr:uid="{00000000-0005-0000-0000-000004800000}"/>
    <cellStyle name="Normal 4 7 11 5" xfId="23221" xr:uid="{00000000-0005-0000-0000-000005800000}"/>
    <cellStyle name="Normal 4 7 11 6" xfId="23222" xr:uid="{00000000-0005-0000-0000-000006800000}"/>
    <cellStyle name="Normal 4 7 12" xfId="23223" xr:uid="{00000000-0005-0000-0000-000007800000}"/>
    <cellStyle name="Normal 4 7 12 2" xfId="55573" xr:uid="{00000000-0005-0000-0000-000008800000}"/>
    <cellStyle name="Normal 4 7 12 3" xfId="55574" xr:uid="{00000000-0005-0000-0000-000009800000}"/>
    <cellStyle name="Normal 4 7 13" xfId="23224" xr:uid="{00000000-0005-0000-0000-00000A800000}"/>
    <cellStyle name="Normal 4 7 13 2" xfId="55575" xr:uid="{00000000-0005-0000-0000-00000B800000}"/>
    <cellStyle name="Normal 4 7 14" xfId="23225" xr:uid="{00000000-0005-0000-0000-00000C800000}"/>
    <cellStyle name="Normal 4 7 14 2" xfId="55576" xr:uid="{00000000-0005-0000-0000-00000D800000}"/>
    <cellStyle name="Normal 4 7 15" xfId="23226" xr:uid="{00000000-0005-0000-0000-00000E800000}"/>
    <cellStyle name="Normal 4 7 16" xfId="23227" xr:uid="{00000000-0005-0000-0000-00000F800000}"/>
    <cellStyle name="Normal 4 7 17" xfId="23228" xr:uid="{00000000-0005-0000-0000-000010800000}"/>
    <cellStyle name="Normal 4 7 18" xfId="23229" xr:uid="{00000000-0005-0000-0000-000011800000}"/>
    <cellStyle name="Normal 4 7 19" xfId="23230" xr:uid="{00000000-0005-0000-0000-000012800000}"/>
    <cellStyle name="Normal 4 7 2" xfId="23231" xr:uid="{00000000-0005-0000-0000-000013800000}"/>
    <cellStyle name="Normal 4 7 2 10" xfId="23232" xr:uid="{00000000-0005-0000-0000-000014800000}"/>
    <cellStyle name="Normal 4 7 2 11" xfId="23233" xr:uid="{00000000-0005-0000-0000-000015800000}"/>
    <cellStyle name="Normal 4 7 2 12" xfId="23234" xr:uid="{00000000-0005-0000-0000-000016800000}"/>
    <cellStyle name="Normal 4 7 2 13" xfId="23235" xr:uid="{00000000-0005-0000-0000-000017800000}"/>
    <cellStyle name="Normal 4 7 2 14" xfId="23236" xr:uid="{00000000-0005-0000-0000-000018800000}"/>
    <cellStyle name="Normal 4 7 2 15" xfId="23237" xr:uid="{00000000-0005-0000-0000-000019800000}"/>
    <cellStyle name="Normal 4 7 2 2" xfId="23238" xr:uid="{00000000-0005-0000-0000-00001A800000}"/>
    <cellStyle name="Normal 4 7 2 2 10" xfId="23239" xr:uid="{00000000-0005-0000-0000-00001B800000}"/>
    <cellStyle name="Normal 4 7 2 2 11" xfId="23240" xr:uid="{00000000-0005-0000-0000-00001C800000}"/>
    <cellStyle name="Normal 4 7 2 2 12" xfId="23241" xr:uid="{00000000-0005-0000-0000-00001D800000}"/>
    <cellStyle name="Normal 4 7 2 2 13" xfId="23242" xr:uid="{00000000-0005-0000-0000-00001E800000}"/>
    <cellStyle name="Normal 4 7 2 2 14" xfId="23243" xr:uid="{00000000-0005-0000-0000-00001F800000}"/>
    <cellStyle name="Normal 4 7 2 2 2" xfId="23244" xr:uid="{00000000-0005-0000-0000-000020800000}"/>
    <cellStyle name="Normal 4 7 2 2 2 2" xfId="23245" xr:uid="{00000000-0005-0000-0000-000021800000}"/>
    <cellStyle name="Normal 4 7 2 2 2 2 2" xfId="23246" xr:uid="{00000000-0005-0000-0000-000022800000}"/>
    <cellStyle name="Normal 4 7 2 2 2 2 2 2" xfId="23247" xr:uid="{00000000-0005-0000-0000-000023800000}"/>
    <cellStyle name="Normal 4 7 2 2 2 2 2 2 2" xfId="55577" xr:uid="{00000000-0005-0000-0000-000024800000}"/>
    <cellStyle name="Normal 4 7 2 2 2 2 2 2 3" xfId="55578" xr:uid="{00000000-0005-0000-0000-000025800000}"/>
    <cellStyle name="Normal 4 7 2 2 2 2 2 3" xfId="23248" xr:uid="{00000000-0005-0000-0000-000026800000}"/>
    <cellStyle name="Normal 4 7 2 2 2 2 2 3 2" xfId="55579" xr:uid="{00000000-0005-0000-0000-000027800000}"/>
    <cellStyle name="Normal 4 7 2 2 2 2 2 4" xfId="23249" xr:uid="{00000000-0005-0000-0000-000028800000}"/>
    <cellStyle name="Normal 4 7 2 2 2 2 2 5" xfId="23250" xr:uid="{00000000-0005-0000-0000-000029800000}"/>
    <cellStyle name="Normal 4 7 2 2 2 2 2 6" xfId="23251" xr:uid="{00000000-0005-0000-0000-00002A800000}"/>
    <cellStyle name="Normal 4 7 2 2 2 2 3" xfId="23252" xr:uid="{00000000-0005-0000-0000-00002B800000}"/>
    <cellStyle name="Normal 4 7 2 2 2 2 3 2" xfId="55580" xr:uid="{00000000-0005-0000-0000-00002C800000}"/>
    <cellStyle name="Normal 4 7 2 2 2 2 3 3" xfId="55581" xr:uid="{00000000-0005-0000-0000-00002D800000}"/>
    <cellStyle name="Normal 4 7 2 2 2 2 4" xfId="23253" xr:uid="{00000000-0005-0000-0000-00002E800000}"/>
    <cellStyle name="Normal 4 7 2 2 2 2 4 2" xfId="55582" xr:uid="{00000000-0005-0000-0000-00002F800000}"/>
    <cellStyle name="Normal 4 7 2 2 2 2 5" xfId="23254" xr:uid="{00000000-0005-0000-0000-000030800000}"/>
    <cellStyle name="Normal 4 7 2 2 2 2 6" xfId="23255" xr:uid="{00000000-0005-0000-0000-000031800000}"/>
    <cellStyle name="Normal 4 7 2 2 2 2 7" xfId="23256" xr:uid="{00000000-0005-0000-0000-000032800000}"/>
    <cellStyle name="Normal 4 7 2 2 2 3" xfId="23257" xr:uid="{00000000-0005-0000-0000-000033800000}"/>
    <cellStyle name="Normal 4 7 2 2 2 3 2" xfId="23258" xr:uid="{00000000-0005-0000-0000-000034800000}"/>
    <cellStyle name="Normal 4 7 2 2 2 3 2 2" xfId="55583" xr:uid="{00000000-0005-0000-0000-000035800000}"/>
    <cellStyle name="Normal 4 7 2 2 2 3 2 3" xfId="55584" xr:uid="{00000000-0005-0000-0000-000036800000}"/>
    <cellStyle name="Normal 4 7 2 2 2 3 3" xfId="23259" xr:uid="{00000000-0005-0000-0000-000037800000}"/>
    <cellStyle name="Normal 4 7 2 2 2 3 3 2" xfId="55585" xr:uid="{00000000-0005-0000-0000-000038800000}"/>
    <cellStyle name="Normal 4 7 2 2 2 3 4" xfId="23260" xr:uid="{00000000-0005-0000-0000-000039800000}"/>
    <cellStyle name="Normal 4 7 2 2 2 3 5" xfId="23261" xr:uid="{00000000-0005-0000-0000-00003A800000}"/>
    <cellStyle name="Normal 4 7 2 2 2 3 6" xfId="23262" xr:uid="{00000000-0005-0000-0000-00003B800000}"/>
    <cellStyle name="Normal 4 7 2 2 2 4" xfId="23263" xr:uid="{00000000-0005-0000-0000-00003C800000}"/>
    <cellStyle name="Normal 4 7 2 2 2 4 2" xfId="55586" xr:uid="{00000000-0005-0000-0000-00003D800000}"/>
    <cellStyle name="Normal 4 7 2 2 2 4 3" xfId="55587" xr:uid="{00000000-0005-0000-0000-00003E800000}"/>
    <cellStyle name="Normal 4 7 2 2 2 5" xfId="23264" xr:uid="{00000000-0005-0000-0000-00003F800000}"/>
    <cellStyle name="Normal 4 7 2 2 2 5 2" xfId="55588" xr:uid="{00000000-0005-0000-0000-000040800000}"/>
    <cellStyle name="Normal 4 7 2 2 2 6" xfId="23265" xr:uid="{00000000-0005-0000-0000-000041800000}"/>
    <cellStyle name="Normal 4 7 2 2 2 7" xfId="23266" xr:uid="{00000000-0005-0000-0000-000042800000}"/>
    <cellStyle name="Normal 4 7 2 2 2 8" xfId="23267" xr:uid="{00000000-0005-0000-0000-000043800000}"/>
    <cellStyle name="Normal 4 7 2 2 2 9" xfId="23268" xr:uid="{00000000-0005-0000-0000-000044800000}"/>
    <cellStyle name="Normal 4 7 2 2 3" xfId="23269" xr:uid="{00000000-0005-0000-0000-000045800000}"/>
    <cellStyle name="Normal 4 7 2 2 3 2" xfId="23270" xr:uid="{00000000-0005-0000-0000-000046800000}"/>
    <cellStyle name="Normal 4 7 2 2 3 2 2" xfId="23271" xr:uid="{00000000-0005-0000-0000-000047800000}"/>
    <cellStyle name="Normal 4 7 2 2 3 2 2 2" xfId="23272" xr:uid="{00000000-0005-0000-0000-000048800000}"/>
    <cellStyle name="Normal 4 7 2 2 3 2 2 2 2" xfId="55589" xr:uid="{00000000-0005-0000-0000-000049800000}"/>
    <cellStyle name="Normal 4 7 2 2 3 2 2 2 3" xfId="55590" xr:uid="{00000000-0005-0000-0000-00004A800000}"/>
    <cellStyle name="Normal 4 7 2 2 3 2 2 3" xfId="23273" xr:uid="{00000000-0005-0000-0000-00004B800000}"/>
    <cellStyle name="Normal 4 7 2 2 3 2 2 3 2" xfId="55591" xr:uid="{00000000-0005-0000-0000-00004C800000}"/>
    <cellStyle name="Normal 4 7 2 2 3 2 2 4" xfId="23274" xr:uid="{00000000-0005-0000-0000-00004D800000}"/>
    <cellStyle name="Normal 4 7 2 2 3 2 2 5" xfId="23275" xr:uid="{00000000-0005-0000-0000-00004E800000}"/>
    <cellStyle name="Normal 4 7 2 2 3 2 2 6" xfId="23276" xr:uid="{00000000-0005-0000-0000-00004F800000}"/>
    <cellStyle name="Normal 4 7 2 2 3 2 3" xfId="23277" xr:uid="{00000000-0005-0000-0000-000050800000}"/>
    <cellStyle name="Normal 4 7 2 2 3 2 3 2" xfId="55592" xr:uid="{00000000-0005-0000-0000-000051800000}"/>
    <cellStyle name="Normal 4 7 2 2 3 2 3 3" xfId="55593" xr:uid="{00000000-0005-0000-0000-000052800000}"/>
    <cellStyle name="Normal 4 7 2 2 3 2 4" xfId="23278" xr:uid="{00000000-0005-0000-0000-000053800000}"/>
    <cellStyle name="Normal 4 7 2 2 3 2 4 2" xfId="55594" xr:uid="{00000000-0005-0000-0000-000054800000}"/>
    <cellStyle name="Normal 4 7 2 2 3 2 5" xfId="23279" xr:uid="{00000000-0005-0000-0000-000055800000}"/>
    <cellStyle name="Normal 4 7 2 2 3 2 6" xfId="23280" xr:uid="{00000000-0005-0000-0000-000056800000}"/>
    <cellStyle name="Normal 4 7 2 2 3 2 7" xfId="23281" xr:uid="{00000000-0005-0000-0000-000057800000}"/>
    <cellStyle name="Normal 4 7 2 2 3 3" xfId="23282" xr:uid="{00000000-0005-0000-0000-000058800000}"/>
    <cellStyle name="Normal 4 7 2 2 3 3 2" xfId="23283" xr:uid="{00000000-0005-0000-0000-000059800000}"/>
    <cellStyle name="Normal 4 7 2 2 3 3 2 2" xfId="55595" xr:uid="{00000000-0005-0000-0000-00005A800000}"/>
    <cellStyle name="Normal 4 7 2 2 3 3 2 3" xfId="55596" xr:uid="{00000000-0005-0000-0000-00005B800000}"/>
    <cellStyle name="Normal 4 7 2 2 3 3 3" xfId="23284" xr:uid="{00000000-0005-0000-0000-00005C800000}"/>
    <cellStyle name="Normal 4 7 2 2 3 3 3 2" xfId="55597" xr:uid="{00000000-0005-0000-0000-00005D800000}"/>
    <cellStyle name="Normal 4 7 2 2 3 3 4" xfId="23285" xr:uid="{00000000-0005-0000-0000-00005E800000}"/>
    <cellStyle name="Normal 4 7 2 2 3 3 5" xfId="23286" xr:uid="{00000000-0005-0000-0000-00005F800000}"/>
    <cellStyle name="Normal 4 7 2 2 3 3 6" xfId="23287" xr:uid="{00000000-0005-0000-0000-000060800000}"/>
    <cellStyle name="Normal 4 7 2 2 3 4" xfId="23288" xr:uid="{00000000-0005-0000-0000-000061800000}"/>
    <cellStyle name="Normal 4 7 2 2 3 4 2" xfId="55598" xr:uid="{00000000-0005-0000-0000-000062800000}"/>
    <cellStyle name="Normal 4 7 2 2 3 4 3" xfId="55599" xr:uid="{00000000-0005-0000-0000-000063800000}"/>
    <cellStyle name="Normal 4 7 2 2 3 5" xfId="23289" xr:uid="{00000000-0005-0000-0000-000064800000}"/>
    <cellStyle name="Normal 4 7 2 2 3 5 2" xfId="55600" xr:uid="{00000000-0005-0000-0000-000065800000}"/>
    <cellStyle name="Normal 4 7 2 2 3 6" xfId="23290" xr:uid="{00000000-0005-0000-0000-000066800000}"/>
    <cellStyle name="Normal 4 7 2 2 3 7" xfId="23291" xr:uid="{00000000-0005-0000-0000-000067800000}"/>
    <cellStyle name="Normal 4 7 2 2 3 8" xfId="23292" xr:uid="{00000000-0005-0000-0000-000068800000}"/>
    <cellStyle name="Normal 4 7 2 2 4" xfId="23293" xr:uid="{00000000-0005-0000-0000-000069800000}"/>
    <cellStyle name="Normal 4 7 2 2 4 2" xfId="23294" xr:uid="{00000000-0005-0000-0000-00006A800000}"/>
    <cellStyle name="Normal 4 7 2 2 4 2 2" xfId="23295" xr:uid="{00000000-0005-0000-0000-00006B800000}"/>
    <cellStyle name="Normal 4 7 2 2 4 2 2 2" xfId="55601" xr:uid="{00000000-0005-0000-0000-00006C800000}"/>
    <cellStyle name="Normal 4 7 2 2 4 2 2 3" xfId="55602" xr:uid="{00000000-0005-0000-0000-00006D800000}"/>
    <cellStyle name="Normal 4 7 2 2 4 2 3" xfId="23296" xr:uid="{00000000-0005-0000-0000-00006E800000}"/>
    <cellStyle name="Normal 4 7 2 2 4 2 3 2" xfId="55603" xr:uid="{00000000-0005-0000-0000-00006F800000}"/>
    <cellStyle name="Normal 4 7 2 2 4 2 4" xfId="23297" xr:uid="{00000000-0005-0000-0000-000070800000}"/>
    <cellStyle name="Normal 4 7 2 2 4 2 5" xfId="23298" xr:uid="{00000000-0005-0000-0000-000071800000}"/>
    <cellStyle name="Normal 4 7 2 2 4 2 6" xfId="23299" xr:uid="{00000000-0005-0000-0000-000072800000}"/>
    <cellStyle name="Normal 4 7 2 2 4 3" xfId="23300" xr:uid="{00000000-0005-0000-0000-000073800000}"/>
    <cellStyle name="Normal 4 7 2 2 4 3 2" xfId="55604" xr:uid="{00000000-0005-0000-0000-000074800000}"/>
    <cellStyle name="Normal 4 7 2 2 4 3 3" xfId="55605" xr:uid="{00000000-0005-0000-0000-000075800000}"/>
    <cellStyle name="Normal 4 7 2 2 4 4" xfId="23301" xr:uid="{00000000-0005-0000-0000-000076800000}"/>
    <cellStyle name="Normal 4 7 2 2 4 4 2" xfId="55606" xr:uid="{00000000-0005-0000-0000-000077800000}"/>
    <cellStyle name="Normal 4 7 2 2 4 5" xfId="23302" xr:uid="{00000000-0005-0000-0000-000078800000}"/>
    <cellStyle name="Normal 4 7 2 2 4 6" xfId="23303" xr:uid="{00000000-0005-0000-0000-000079800000}"/>
    <cellStyle name="Normal 4 7 2 2 4 7" xfId="23304" xr:uid="{00000000-0005-0000-0000-00007A800000}"/>
    <cellStyle name="Normal 4 7 2 2 5" xfId="23305" xr:uid="{00000000-0005-0000-0000-00007B800000}"/>
    <cellStyle name="Normal 4 7 2 2 5 2" xfId="23306" xr:uid="{00000000-0005-0000-0000-00007C800000}"/>
    <cellStyle name="Normal 4 7 2 2 5 2 2" xfId="55607" xr:uid="{00000000-0005-0000-0000-00007D800000}"/>
    <cellStyle name="Normal 4 7 2 2 5 2 3" xfId="55608" xr:uid="{00000000-0005-0000-0000-00007E800000}"/>
    <cellStyle name="Normal 4 7 2 2 5 3" xfId="23307" xr:uid="{00000000-0005-0000-0000-00007F800000}"/>
    <cellStyle name="Normal 4 7 2 2 5 3 2" xfId="55609" xr:uid="{00000000-0005-0000-0000-000080800000}"/>
    <cellStyle name="Normal 4 7 2 2 5 4" xfId="23308" xr:uid="{00000000-0005-0000-0000-000081800000}"/>
    <cellStyle name="Normal 4 7 2 2 5 5" xfId="23309" xr:uid="{00000000-0005-0000-0000-000082800000}"/>
    <cellStyle name="Normal 4 7 2 2 5 6" xfId="23310" xr:uid="{00000000-0005-0000-0000-000083800000}"/>
    <cellStyle name="Normal 4 7 2 2 6" xfId="23311" xr:uid="{00000000-0005-0000-0000-000084800000}"/>
    <cellStyle name="Normal 4 7 2 2 6 2" xfId="55610" xr:uid="{00000000-0005-0000-0000-000085800000}"/>
    <cellStyle name="Normal 4 7 2 2 6 3" xfId="55611" xr:uid="{00000000-0005-0000-0000-000086800000}"/>
    <cellStyle name="Normal 4 7 2 2 7" xfId="23312" xr:uid="{00000000-0005-0000-0000-000087800000}"/>
    <cellStyle name="Normal 4 7 2 2 7 2" xfId="55612" xr:uid="{00000000-0005-0000-0000-000088800000}"/>
    <cellStyle name="Normal 4 7 2 2 8" xfId="23313" xr:uid="{00000000-0005-0000-0000-000089800000}"/>
    <cellStyle name="Normal 4 7 2 2 9" xfId="23314" xr:uid="{00000000-0005-0000-0000-00008A800000}"/>
    <cellStyle name="Normal 4 7 2 3" xfId="23315" xr:uid="{00000000-0005-0000-0000-00008B800000}"/>
    <cellStyle name="Normal 4 7 2 3 2" xfId="23316" xr:uid="{00000000-0005-0000-0000-00008C800000}"/>
    <cellStyle name="Normal 4 7 2 3 2 2" xfId="23317" xr:uid="{00000000-0005-0000-0000-00008D800000}"/>
    <cellStyle name="Normal 4 7 2 3 2 2 2" xfId="23318" xr:uid="{00000000-0005-0000-0000-00008E800000}"/>
    <cellStyle name="Normal 4 7 2 3 2 2 2 2" xfId="55613" xr:uid="{00000000-0005-0000-0000-00008F800000}"/>
    <cellStyle name="Normal 4 7 2 3 2 2 2 3" xfId="55614" xr:uid="{00000000-0005-0000-0000-000090800000}"/>
    <cellStyle name="Normal 4 7 2 3 2 2 3" xfId="23319" xr:uid="{00000000-0005-0000-0000-000091800000}"/>
    <cellStyle name="Normal 4 7 2 3 2 2 3 2" xfId="55615" xr:uid="{00000000-0005-0000-0000-000092800000}"/>
    <cellStyle name="Normal 4 7 2 3 2 2 4" xfId="23320" xr:uid="{00000000-0005-0000-0000-000093800000}"/>
    <cellStyle name="Normal 4 7 2 3 2 2 5" xfId="23321" xr:uid="{00000000-0005-0000-0000-000094800000}"/>
    <cellStyle name="Normal 4 7 2 3 2 2 6" xfId="23322" xr:uid="{00000000-0005-0000-0000-000095800000}"/>
    <cellStyle name="Normal 4 7 2 3 2 3" xfId="23323" xr:uid="{00000000-0005-0000-0000-000096800000}"/>
    <cellStyle name="Normal 4 7 2 3 2 3 2" xfId="55616" xr:uid="{00000000-0005-0000-0000-000097800000}"/>
    <cellStyle name="Normal 4 7 2 3 2 3 3" xfId="55617" xr:uid="{00000000-0005-0000-0000-000098800000}"/>
    <cellStyle name="Normal 4 7 2 3 2 4" xfId="23324" xr:uid="{00000000-0005-0000-0000-000099800000}"/>
    <cellStyle name="Normal 4 7 2 3 2 4 2" xfId="55618" xr:uid="{00000000-0005-0000-0000-00009A800000}"/>
    <cellStyle name="Normal 4 7 2 3 2 5" xfId="23325" xr:uid="{00000000-0005-0000-0000-00009B800000}"/>
    <cellStyle name="Normal 4 7 2 3 2 6" xfId="23326" xr:uid="{00000000-0005-0000-0000-00009C800000}"/>
    <cellStyle name="Normal 4 7 2 3 2 7" xfId="23327" xr:uid="{00000000-0005-0000-0000-00009D800000}"/>
    <cellStyle name="Normal 4 7 2 3 3" xfId="23328" xr:uid="{00000000-0005-0000-0000-00009E800000}"/>
    <cellStyle name="Normal 4 7 2 3 3 2" xfId="23329" xr:uid="{00000000-0005-0000-0000-00009F800000}"/>
    <cellStyle name="Normal 4 7 2 3 3 2 2" xfId="55619" xr:uid="{00000000-0005-0000-0000-0000A0800000}"/>
    <cellStyle name="Normal 4 7 2 3 3 2 3" xfId="55620" xr:uid="{00000000-0005-0000-0000-0000A1800000}"/>
    <cellStyle name="Normal 4 7 2 3 3 3" xfId="23330" xr:uid="{00000000-0005-0000-0000-0000A2800000}"/>
    <cellStyle name="Normal 4 7 2 3 3 3 2" xfId="55621" xr:uid="{00000000-0005-0000-0000-0000A3800000}"/>
    <cellStyle name="Normal 4 7 2 3 3 4" xfId="23331" xr:uid="{00000000-0005-0000-0000-0000A4800000}"/>
    <cellStyle name="Normal 4 7 2 3 3 5" xfId="23332" xr:uid="{00000000-0005-0000-0000-0000A5800000}"/>
    <cellStyle name="Normal 4 7 2 3 3 6" xfId="23333" xr:uid="{00000000-0005-0000-0000-0000A6800000}"/>
    <cellStyle name="Normal 4 7 2 3 4" xfId="23334" xr:uid="{00000000-0005-0000-0000-0000A7800000}"/>
    <cellStyle name="Normal 4 7 2 3 4 2" xfId="55622" xr:uid="{00000000-0005-0000-0000-0000A8800000}"/>
    <cellStyle name="Normal 4 7 2 3 4 3" xfId="55623" xr:uid="{00000000-0005-0000-0000-0000A9800000}"/>
    <cellStyle name="Normal 4 7 2 3 5" xfId="23335" xr:uid="{00000000-0005-0000-0000-0000AA800000}"/>
    <cellStyle name="Normal 4 7 2 3 5 2" xfId="55624" xr:uid="{00000000-0005-0000-0000-0000AB800000}"/>
    <cellStyle name="Normal 4 7 2 3 6" xfId="23336" xr:uid="{00000000-0005-0000-0000-0000AC800000}"/>
    <cellStyle name="Normal 4 7 2 3 7" xfId="23337" xr:uid="{00000000-0005-0000-0000-0000AD800000}"/>
    <cellStyle name="Normal 4 7 2 3 8" xfId="23338" xr:uid="{00000000-0005-0000-0000-0000AE800000}"/>
    <cellStyle name="Normal 4 7 2 3 9" xfId="23339" xr:uid="{00000000-0005-0000-0000-0000AF800000}"/>
    <cellStyle name="Normal 4 7 2 4" xfId="23340" xr:uid="{00000000-0005-0000-0000-0000B0800000}"/>
    <cellStyle name="Normal 4 7 2 4 2" xfId="23341" xr:uid="{00000000-0005-0000-0000-0000B1800000}"/>
    <cellStyle name="Normal 4 7 2 4 2 2" xfId="23342" xr:uid="{00000000-0005-0000-0000-0000B2800000}"/>
    <cellStyle name="Normal 4 7 2 4 2 2 2" xfId="23343" xr:uid="{00000000-0005-0000-0000-0000B3800000}"/>
    <cellStyle name="Normal 4 7 2 4 2 2 2 2" xfId="55625" xr:uid="{00000000-0005-0000-0000-0000B4800000}"/>
    <cellStyle name="Normal 4 7 2 4 2 2 2 3" xfId="55626" xr:uid="{00000000-0005-0000-0000-0000B5800000}"/>
    <cellStyle name="Normal 4 7 2 4 2 2 3" xfId="23344" xr:uid="{00000000-0005-0000-0000-0000B6800000}"/>
    <cellStyle name="Normal 4 7 2 4 2 2 3 2" xfId="55627" xr:uid="{00000000-0005-0000-0000-0000B7800000}"/>
    <cellStyle name="Normal 4 7 2 4 2 2 4" xfId="23345" xr:uid="{00000000-0005-0000-0000-0000B8800000}"/>
    <cellStyle name="Normal 4 7 2 4 2 2 5" xfId="23346" xr:uid="{00000000-0005-0000-0000-0000B9800000}"/>
    <cellStyle name="Normal 4 7 2 4 2 2 6" xfId="23347" xr:uid="{00000000-0005-0000-0000-0000BA800000}"/>
    <cellStyle name="Normal 4 7 2 4 2 3" xfId="23348" xr:uid="{00000000-0005-0000-0000-0000BB800000}"/>
    <cellStyle name="Normal 4 7 2 4 2 3 2" xfId="55628" xr:uid="{00000000-0005-0000-0000-0000BC800000}"/>
    <cellStyle name="Normal 4 7 2 4 2 3 3" xfId="55629" xr:uid="{00000000-0005-0000-0000-0000BD800000}"/>
    <cellStyle name="Normal 4 7 2 4 2 4" xfId="23349" xr:uid="{00000000-0005-0000-0000-0000BE800000}"/>
    <cellStyle name="Normal 4 7 2 4 2 4 2" xfId="55630" xr:uid="{00000000-0005-0000-0000-0000BF800000}"/>
    <cellStyle name="Normal 4 7 2 4 2 5" xfId="23350" xr:uid="{00000000-0005-0000-0000-0000C0800000}"/>
    <cellStyle name="Normal 4 7 2 4 2 6" xfId="23351" xr:uid="{00000000-0005-0000-0000-0000C1800000}"/>
    <cellStyle name="Normal 4 7 2 4 2 7" xfId="23352" xr:uid="{00000000-0005-0000-0000-0000C2800000}"/>
    <cellStyle name="Normal 4 7 2 4 3" xfId="23353" xr:uid="{00000000-0005-0000-0000-0000C3800000}"/>
    <cellStyle name="Normal 4 7 2 4 3 2" xfId="23354" xr:uid="{00000000-0005-0000-0000-0000C4800000}"/>
    <cellStyle name="Normal 4 7 2 4 3 2 2" xfId="55631" xr:uid="{00000000-0005-0000-0000-0000C5800000}"/>
    <cellStyle name="Normal 4 7 2 4 3 2 3" xfId="55632" xr:uid="{00000000-0005-0000-0000-0000C6800000}"/>
    <cellStyle name="Normal 4 7 2 4 3 3" xfId="23355" xr:uid="{00000000-0005-0000-0000-0000C7800000}"/>
    <cellStyle name="Normal 4 7 2 4 3 3 2" xfId="55633" xr:uid="{00000000-0005-0000-0000-0000C8800000}"/>
    <cellStyle name="Normal 4 7 2 4 3 4" xfId="23356" xr:uid="{00000000-0005-0000-0000-0000C9800000}"/>
    <cellStyle name="Normal 4 7 2 4 3 5" xfId="23357" xr:uid="{00000000-0005-0000-0000-0000CA800000}"/>
    <cellStyle name="Normal 4 7 2 4 3 6" xfId="23358" xr:uid="{00000000-0005-0000-0000-0000CB800000}"/>
    <cellStyle name="Normal 4 7 2 4 4" xfId="23359" xr:uid="{00000000-0005-0000-0000-0000CC800000}"/>
    <cellStyle name="Normal 4 7 2 4 4 2" xfId="55634" xr:uid="{00000000-0005-0000-0000-0000CD800000}"/>
    <cellStyle name="Normal 4 7 2 4 4 3" xfId="55635" xr:uid="{00000000-0005-0000-0000-0000CE800000}"/>
    <cellStyle name="Normal 4 7 2 4 5" xfId="23360" xr:uid="{00000000-0005-0000-0000-0000CF800000}"/>
    <cellStyle name="Normal 4 7 2 4 5 2" xfId="55636" xr:uid="{00000000-0005-0000-0000-0000D0800000}"/>
    <cellStyle name="Normal 4 7 2 4 6" xfId="23361" xr:uid="{00000000-0005-0000-0000-0000D1800000}"/>
    <cellStyle name="Normal 4 7 2 4 7" xfId="23362" xr:uid="{00000000-0005-0000-0000-0000D2800000}"/>
    <cellStyle name="Normal 4 7 2 4 8" xfId="23363" xr:uid="{00000000-0005-0000-0000-0000D3800000}"/>
    <cellStyle name="Normal 4 7 2 5" xfId="23364" xr:uid="{00000000-0005-0000-0000-0000D4800000}"/>
    <cellStyle name="Normal 4 7 2 5 2" xfId="23365" xr:uid="{00000000-0005-0000-0000-0000D5800000}"/>
    <cellStyle name="Normal 4 7 2 5 2 2" xfId="23366" xr:uid="{00000000-0005-0000-0000-0000D6800000}"/>
    <cellStyle name="Normal 4 7 2 5 2 2 2" xfId="55637" xr:uid="{00000000-0005-0000-0000-0000D7800000}"/>
    <cellStyle name="Normal 4 7 2 5 2 2 3" xfId="55638" xr:uid="{00000000-0005-0000-0000-0000D8800000}"/>
    <cellStyle name="Normal 4 7 2 5 2 3" xfId="23367" xr:uid="{00000000-0005-0000-0000-0000D9800000}"/>
    <cellStyle name="Normal 4 7 2 5 2 3 2" xfId="55639" xr:uid="{00000000-0005-0000-0000-0000DA800000}"/>
    <cellStyle name="Normal 4 7 2 5 2 4" xfId="23368" xr:uid="{00000000-0005-0000-0000-0000DB800000}"/>
    <cellStyle name="Normal 4 7 2 5 2 5" xfId="23369" xr:uid="{00000000-0005-0000-0000-0000DC800000}"/>
    <cellStyle name="Normal 4 7 2 5 2 6" xfId="23370" xr:uid="{00000000-0005-0000-0000-0000DD800000}"/>
    <cellStyle name="Normal 4 7 2 5 3" xfId="23371" xr:uid="{00000000-0005-0000-0000-0000DE800000}"/>
    <cellStyle name="Normal 4 7 2 5 3 2" xfId="55640" xr:uid="{00000000-0005-0000-0000-0000DF800000}"/>
    <cellStyle name="Normal 4 7 2 5 3 3" xfId="55641" xr:uid="{00000000-0005-0000-0000-0000E0800000}"/>
    <cellStyle name="Normal 4 7 2 5 4" xfId="23372" xr:uid="{00000000-0005-0000-0000-0000E1800000}"/>
    <cellStyle name="Normal 4 7 2 5 4 2" xfId="55642" xr:uid="{00000000-0005-0000-0000-0000E2800000}"/>
    <cellStyle name="Normal 4 7 2 5 5" xfId="23373" xr:uid="{00000000-0005-0000-0000-0000E3800000}"/>
    <cellStyle name="Normal 4 7 2 5 6" xfId="23374" xr:uid="{00000000-0005-0000-0000-0000E4800000}"/>
    <cellStyle name="Normal 4 7 2 5 7" xfId="23375" xr:uid="{00000000-0005-0000-0000-0000E5800000}"/>
    <cellStyle name="Normal 4 7 2 6" xfId="23376" xr:uid="{00000000-0005-0000-0000-0000E6800000}"/>
    <cellStyle name="Normal 4 7 2 6 2" xfId="23377" xr:uid="{00000000-0005-0000-0000-0000E7800000}"/>
    <cellStyle name="Normal 4 7 2 6 2 2" xfId="55643" xr:uid="{00000000-0005-0000-0000-0000E8800000}"/>
    <cellStyle name="Normal 4 7 2 6 2 3" xfId="55644" xr:uid="{00000000-0005-0000-0000-0000E9800000}"/>
    <cellStyle name="Normal 4 7 2 6 3" xfId="23378" xr:uid="{00000000-0005-0000-0000-0000EA800000}"/>
    <cellStyle name="Normal 4 7 2 6 3 2" xfId="55645" xr:uid="{00000000-0005-0000-0000-0000EB800000}"/>
    <cellStyle name="Normal 4 7 2 6 4" xfId="23379" xr:uid="{00000000-0005-0000-0000-0000EC800000}"/>
    <cellStyle name="Normal 4 7 2 6 5" xfId="23380" xr:uid="{00000000-0005-0000-0000-0000ED800000}"/>
    <cellStyle name="Normal 4 7 2 6 6" xfId="23381" xr:uid="{00000000-0005-0000-0000-0000EE800000}"/>
    <cellStyle name="Normal 4 7 2 7" xfId="23382" xr:uid="{00000000-0005-0000-0000-0000EF800000}"/>
    <cellStyle name="Normal 4 7 2 7 2" xfId="55646" xr:uid="{00000000-0005-0000-0000-0000F0800000}"/>
    <cellStyle name="Normal 4 7 2 7 3" xfId="55647" xr:uid="{00000000-0005-0000-0000-0000F1800000}"/>
    <cellStyle name="Normal 4 7 2 8" xfId="23383" xr:uid="{00000000-0005-0000-0000-0000F2800000}"/>
    <cellStyle name="Normal 4 7 2 8 2" xfId="55648" xr:uid="{00000000-0005-0000-0000-0000F3800000}"/>
    <cellStyle name="Normal 4 7 2 9" xfId="23384" xr:uid="{00000000-0005-0000-0000-0000F4800000}"/>
    <cellStyle name="Normal 4 7 2 9 2" xfId="55649" xr:uid="{00000000-0005-0000-0000-0000F5800000}"/>
    <cellStyle name="Normal 4 7 20" xfId="23385" xr:uid="{00000000-0005-0000-0000-0000F6800000}"/>
    <cellStyle name="Normal 4 7 3" xfId="23386" xr:uid="{00000000-0005-0000-0000-0000F7800000}"/>
    <cellStyle name="Normal 4 7 3 10" xfId="23387" xr:uid="{00000000-0005-0000-0000-0000F8800000}"/>
    <cellStyle name="Normal 4 7 3 11" xfId="23388" xr:uid="{00000000-0005-0000-0000-0000F9800000}"/>
    <cellStyle name="Normal 4 7 3 12" xfId="23389" xr:uid="{00000000-0005-0000-0000-0000FA800000}"/>
    <cellStyle name="Normal 4 7 3 13" xfId="23390" xr:uid="{00000000-0005-0000-0000-0000FB800000}"/>
    <cellStyle name="Normal 4 7 3 14" xfId="23391" xr:uid="{00000000-0005-0000-0000-0000FC800000}"/>
    <cellStyle name="Normal 4 7 3 15" xfId="23392" xr:uid="{00000000-0005-0000-0000-0000FD800000}"/>
    <cellStyle name="Normal 4 7 3 2" xfId="23393" xr:uid="{00000000-0005-0000-0000-0000FE800000}"/>
    <cellStyle name="Normal 4 7 3 2 10" xfId="23394" xr:uid="{00000000-0005-0000-0000-0000FF800000}"/>
    <cellStyle name="Normal 4 7 3 2 11" xfId="23395" xr:uid="{00000000-0005-0000-0000-000000810000}"/>
    <cellStyle name="Normal 4 7 3 2 12" xfId="23396" xr:uid="{00000000-0005-0000-0000-000001810000}"/>
    <cellStyle name="Normal 4 7 3 2 13" xfId="23397" xr:uid="{00000000-0005-0000-0000-000002810000}"/>
    <cellStyle name="Normal 4 7 3 2 14" xfId="23398" xr:uid="{00000000-0005-0000-0000-000003810000}"/>
    <cellStyle name="Normal 4 7 3 2 2" xfId="23399" xr:uid="{00000000-0005-0000-0000-000004810000}"/>
    <cellStyle name="Normal 4 7 3 2 2 2" xfId="23400" xr:uid="{00000000-0005-0000-0000-000005810000}"/>
    <cellStyle name="Normal 4 7 3 2 2 2 2" xfId="23401" xr:uid="{00000000-0005-0000-0000-000006810000}"/>
    <cellStyle name="Normal 4 7 3 2 2 2 2 2" xfId="23402" xr:uid="{00000000-0005-0000-0000-000007810000}"/>
    <cellStyle name="Normal 4 7 3 2 2 2 2 2 2" xfId="55650" xr:uid="{00000000-0005-0000-0000-000008810000}"/>
    <cellStyle name="Normal 4 7 3 2 2 2 2 2 3" xfId="55651" xr:uid="{00000000-0005-0000-0000-000009810000}"/>
    <cellStyle name="Normal 4 7 3 2 2 2 2 3" xfId="23403" xr:uid="{00000000-0005-0000-0000-00000A810000}"/>
    <cellStyle name="Normal 4 7 3 2 2 2 2 3 2" xfId="55652" xr:uid="{00000000-0005-0000-0000-00000B810000}"/>
    <cellStyle name="Normal 4 7 3 2 2 2 2 4" xfId="23404" xr:uid="{00000000-0005-0000-0000-00000C810000}"/>
    <cellStyle name="Normal 4 7 3 2 2 2 2 5" xfId="23405" xr:uid="{00000000-0005-0000-0000-00000D810000}"/>
    <cellStyle name="Normal 4 7 3 2 2 2 2 6" xfId="23406" xr:uid="{00000000-0005-0000-0000-00000E810000}"/>
    <cellStyle name="Normal 4 7 3 2 2 2 3" xfId="23407" xr:uid="{00000000-0005-0000-0000-00000F810000}"/>
    <cellStyle name="Normal 4 7 3 2 2 2 3 2" xfId="55653" xr:uid="{00000000-0005-0000-0000-000010810000}"/>
    <cellStyle name="Normal 4 7 3 2 2 2 3 3" xfId="55654" xr:uid="{00000000-0005-0000-0000-000011810000}"/>
    <cellStyle name="Normal 4 7 3 2 2 2 4" xfId="23408" xr:uid="{00000000-0005-0000-0000-000012810000}"/>
    <cellStyle name="Normal 4 7 3 2 2 2 4 2" xfId="55655" xr:uid="{00000000-0005-0000-0000-000013810000}"/>
    <cellStyle name="Normal 4 7 3 2 2 2 5" xfId="23409" xr:uid="{00000000-0005-0000-0000-000014810000}"/>
    <cellStyle name="Normal 4 7 3 2 2 2 6" xfId="23410" xr:uid="{00000000-0005-0000-0000-000015810000}"/>
    <cellStyle name="Normal 4 7 3 2 2 2 7" xfId="23411" xr:uid="{00000000-0005-0000-0000-000016810000}"/>
    <cellStyle name="Normal 4 7 3 2 2 3" xfId="23412" xr:uid="{00000000-0005-0000-0000-000017810000}"/>
    <cellStyle name="Normal 4 7 3 2 2 3 2" xfId="23413" xr:uid="{00000000-0005-0000-0000-000018810000}"/>
    <cellStyle name="Normal 4 7 3 2 2 3 2 2" xfId="55656" xr:uid="{00000000-0005-0000-0000-000019810000}"/>
    <cellStyle name="Normal 4 7 3 2 2 3 2 3" xfId="55657" xr:uid="{00000000-0005-0000-0000-00001A810000}"/>
    <cellStyle name="Normal 4 7 3 2 2 3 3" xfId="23414" xr:uid="{00000000-0005-0000-0000-00001B810000}"/>
    <cellStyle name="Normal 4 7 3 2 2 3 3 2" xfId="55658" xr:uid="{00000000-0005-0000-0000-00001C810000}"/>
    <cellStyle name="Normal 4 7 3 2 2 3 4" xfId="23415" xr:uid="{00000000-0005-0000-0000-00001D810000}"/>
    <cellStyle name="Normal 4 7 3 2 2 3 5" xfId="23416" xr:uid="{00000000-0005-0000-0000-00001E810000}"/>
    <cellStyle name="Normal 4 7 3 2 2 3 6" xfId="23417" xr:uid="{00000000-0005-0000-0000-00001F810000}"/>
    <cellStyle name="Normal 4 7 3 2 2 4" xfId="23418" xr:uid="{00000000-0005-0000-0000-000020810000}"/>
    <cellStyle name="Normal 4 7 3 2 2 4 2" xfId="55659" xr:uid="{00000000-0005-0000-0000-000021810000}"/>
    <cellStyle name="Normal 4 7 3 2 2 4 3" xfId="55660" xr:uid="{00000000-0005-0000-0000-000022810000}"/>
    <cellStyle name="Normal 4 7 3 2 2 5" xfId="23419" xr:uid="{00000000-0005-0000-0000-000023810000}"/>
    <cellStyle name="Normal 4 7 3 2 2 5 2" xfId="55661" xr:uid="{00000000-0005-0000-0000-000024810000}"/>
    <cellStyle name="Normal 4 7 3 2 2 6" xfId="23420" xr:uid="{00000000-0005-0000-0000-000025810000}"/>
    <cellStyle name="Normal 4 7 3 2 2 7" xfId="23421" xr:uid="{00000000-0005-0000-0000-000026810000}"/>
    <cellStyle name="Normal 4 7 3 2 2 8" xfId="23422" xr:uid="{00000000-0005-0000-0000-000027810000}"/>
    <cellStyle name="Normal 4 7 3 2 2 9" xfId="23423" xr:uid="{00000000-0005-0000-0000-000028810000}"/>
    <cellStyle name="Normal 4 7 3 2 3" xfId="23424" xr:uid="{00000000-0005-0000-0000-000029810000}"/>
    <cellStyle name="Normal 4 7 3 2 3 2" xfId="23425" xr:uid="{00000000-0005-0000-0000-00002A810000}"/>
    <cellStyle name="Normal 4 7 3 2 3 2 2" xfId="23426" xr:uid="{00000000-0005-0000-0000-00002B810000}"/>
    <cellStyle name="Normal 4 7 3 2 3 2 2 2" xfId="23427" xr:uid="{00000000-0005-0000-0000-00002C810000}"/>
    <cellStyle name="Normal 4 7 3 2 3 2 2 2 2" xfId="55662" xr:uid="{00000000-0005-0000-0000-00002D810000}"/>
    <cellStyle name="Normal 4 7 3 2 3 2 2 2 3" xfId="55663" xr:uid="{00000000-0005-0000-0000-00002E810000}"/>
    <cellStyle name="Normal 4 7 3 2 3 2 2 3" xfId="23428" xr:uid="{00000000-0005-0000-0000-00002F810000}"/>
    <cellStyle name="Normal 4 7 3 2 3 2 2 3 2" xfId="55664" xr:uid="{00000000-0005-0000-0000-000030810000}"/>
    <cellStyle name="Normal 4 7 3 2 3 2 2 4" xfId="23429" xr:uid="{00000000-0005-0000-0000-000031810000}"/>
    <cellStyle name="Normal 4 7 3 2 3 2 2 5" xfId="23430" xr:uid="{00000000-0005-0000-0000-000032810000}"/>
    <cellStyle name="Normal 4 7 3 2 3 2 2 6" xfId="23431" xr:uid="{00000000-0005-0000-0000-000033810000}"/>
    <cellStyle name="Normal 4 7 3 2 3 2 3" xfId="23432" xr:uid="{00000000-0005-0000-0000-000034810000}"/>
    <cellStyle name="Normal 4 7 3 2 3 2 3 2" xfId="55665" xr:uid="{00000000-0005-0000-0000-000035810000}"/>
    <cellStyle name="Normal 4 7 3 2 3 2 3 3" xfId="55666" xr:uid="{00000000-0005-0000-0000-000036810000}"/>
    <cellStyle name="Normal 4 7 3 2 3 2 4" xfId="23433" xr:uid="{00000000-0005-0000-0000-000037810000}"/>
    <cellStyle name="Normal 4 7 3 2 3 2 4 2" xfId="55667" xr:uid="{00000000-0005-0000-0000-000038810000}"/>
    <cellStyle name="Normal 4 7 3 2 3 2 5" xfId="23434" xr:uid="{00000000-0005-0000-0000-000039810000}"/>
    <cellStyle name="Normal 4 7 3 2 3 2 6" xfId="23435" xr:uid="{00000000-0005-0000-0000-00003A810000}"/>
    <cellStyle name="Normal 4 7 3 2 3 2 7" xfId="23436" xr:uid="{00000000-0005-0000-0000-00003B810000}"/>
    <cellStyle name="Normal 4 7 3 2 3 3" xfId="23437" xr:uid="{00000000-0005-0000-0000-00003C810000}"/>
    <cellStyle name="Normal 4 7 3 2 3 3 2" xfId="23438" xr:uid="{00000000-0005-0000-0000-00003D810000}"/>
    <cellStyle name="Normal 4 7 3 2 3 3 2 2" xfId="55668" xr:uid="{00000000-0005-0000-0000-00003E810000}"/>
    <cellStyle name="Normal 4 7 3 2 3 3 2 3" xfId="55669" xr:uid="{00000000-0005-0000-0000-00003F810000}"/>
    <cellStyle name="Normal 4 7 3 2 3 3 3" xfId="23439" xr:uid="{00000000-0005-0000-0000-000040810000}"/>
    <cellStyle name="Normal 4 7 3 2 3 3 3 2" xfId="55670" xr:uid="{00000000-0005-0000-0000-000041810000}"/>
    <cellStyle name="Normal 4 7 3 2 3 3 4" xfId="23440" xr:uid="{00000000-0005-0000-0000-000042810000}"/>
    <cellStyle name="Normal 4 7 3 2 3 3 5" xfId="23441" xr:uid="{00000000-0005-0000-0000-000043810000}"/>
    <cellStyle name="Normal 4 7 3 2 3 3 6" xfId="23442" xr:uid="{00000000-0005-0000-0000-000044810000}"/>
    <cellStyle name="Normal 4 7 3 2 3 4" xfId="23443" xr:uid="{00000000-0005-0000-0000-000045810000}"/>
    <cellStyle name="Normal 4 7 3 2 3 4 2" xfId="55671" xr:uid="{00000000-0005-0000-0000-000046810000}"/>
    <cellStyle name="Normal 4 7 3 2 3 4 3" xfId="55672" xr:uid="{00000000-0005-0000-0000-000047810000}"/>
    <cellStyle name="Normal 4 7 3 2 3 5" xfId="23444" xr:uid="{00000000-0005-0000-0000-000048810000}"/>
    <cellStyle name="Normal 4 7 3 2 3 5 2" xfId="55673" xr:uid="{00000000-0005-0000-0000-000049810000}"/>
    <cellStyle name="Normal 4 7 3 2 3 6" xfId="23445" xr:uid="{00000000-0005-0000-0000-00004A810000}"/>
    <cellStyle name="Normal 4 7 3 2 3 7" xfId="23446" xr:uid="{00000000-0005-0000-0000-00004B810000}"/>
    <cellStyle name="Normal 4 7 3 2 3 8" xfId="23447" xr:uid="{00000000-0005-0000-0000-00004C810000}"/>
    <cellStyle name="Normal 4 7 3 2 4" xfId="23448" xr:uid="{00000000-0005-0000-0000-00004D810000}"/>
    <cellStyle name="Normal 4 7 3 2 4 2" xfId="23449" xr:uid="{00000000-0005-0000-0000-00004E810000}"/>
    <cellStyle name="Normal 4 7 3 2 4 2 2" xfId="23450" xr:uid="{00000000-0005-0000-0000-00004F810000}"/>
    <cellStyle name="Normal 4 7 3 2 4 2 2 2" xfId="55674" xr:uid="{00000000-0005-0000-0000-000050810000}"/>
    <cellStyle name="Normal 4 7 3 2 4 2 2 3" xfId="55675" xr:uid="{00000000-0005-0000-0000-000051810000}"/>
    <cellStyle name="Normal 4 7 3 2 4 2 3" xfId="23451" xr:uid="{00000000-0005-0000-0000-000052810000}"/>
    <cellStyle name="Normal 4 7 3 2 4 2 3 2" xfId="55676" xr:uid="{00000000-0005-0000-0000-000053810000}"/>
    <cellStyle name="Normal 4 7 3 2 4 2 4" xfId="23452" xr:uid="{00000000-0005-0000-0000-000054810000}"/>
    <cellStyle name="Normal 4 7 3 2 4 2 5" xfId="23453" xr:uid="{00000000-0005-0000-0000-000055810000}"/>
    <cellStyle name="Normal 4 7 3 2 4 2 6" xfId="23454" xr:uid="{00000000-0005-0000-0000-000056810000}"/>
    <cellStyle name="Normal 4 7 3 2 4 3" xfId="23455" xr:uid="{00000000-0005-0000-0000-000057810000}"/>
    <cellStyle name="Normal 4 7 3 2 4 3 2" xfId="55677" xr:uid="{00000000-0005-0000-0000-000058810000}"/>
    <cellStyle name="Normal 4 7 3 2 4 3 3" xfId="55678" xr:uid="{00000000-0005-0000-0000-000059810000}"/>
    <cellStyle name="Normal 4 7 3 2 4 4" xfId="23456" xr:uid="{00000000-0005-0000-0000-00005A810000}"/>
    <cellStyle name="Normal 4 7 3 2 4 4 2" xfId="55679" xr:uid="{00000000-0005-0000-0000-00005B810000}"/>
    <cellStyle name="Normal 4 7 3 2 4 5" xfId="23457" xr:uid="{00000000-0005-0000-0000-00005C810000}"/>
    <cellStyle name="Normal 4 7 3 2 4 6" xfId="23458" xr:uid="{00000000-0005-0000-0000-00005D810000}"/>
    <cellStyle name="Normal 4 7 3 2 4 7" xfId="23459" xr:uid="{00000000-0005-0000-0000-00005E810000}"/>
    <cellStyle name="Normal 4 7 3 2 5" xfId="23460" xr:uid="{00000000-0005-0000-0000-00005F810000}"/>
    <cellStyle name="Normal 4 7 3 2 5 2" xfId="23461" xr:uid="{00000000-0005-0000-0000-000060810000}"/>
    <cellStyle name="Normal 4 7 3 2 5 2 2" xfId="55680" xr:uid="{00000000-0005-0000-0000-000061810000}"/>
    <cellStyle name="Normal 4 7 3 2 5 2 3" xfId="55681" xr:uid="{00000000-0005-0000-0000-000062810000}"/>
    <cellStyle name="Normal 4 7 3 2 5 3" xfId="23462" xr:uid="{00000000-0005-0000-0000-000063810000}"/>
    <cellStyle name="Normal 4 7 3 2 5 3 2" xfId="55682" xr:uid="{00000000-0005-0000-0000-000064810000}"/>
    <cellStyle name="Normal 4 7 3 2 5 4" xfId="23463" xr:uid="{00000000-0005-0000-0000-000065810000}"/>
    <cellStyle name="Normal 4 7 3 2 5 5" xfId="23464" xr:uid="{00000000-0005-0000-0000-000066810000}"/>
    <cellStyle name="Normal 4 7 3 2 5 6" xfId="23465" xr:uid="{00000000-0005-0000-0000-000067810000}"/>
    <cellStyle name="Normal 4 7 3 2 6" xfId="23466" xr:uid="{00000000-0005-0000-0000-000068810000}"/>
    <cellStyle name="Normal 4 7 3 2 6 2" xfId="55683" xr:uid="{00000000-0005-0000-0000-000069810000}"/>
    <cellStyle name="Normal 4 7 3 2 6 3" xfId="55684" xr:uid="{00000000-0005-0000-0000-00006A810000}"/>
    <cellStyle name="Normal 4 7 3 2 7" xfId="23467" xr:uid="{00000000-0005-0000-0000-00006B810000}"/>
    <cellStyle name="Normal 4 7 3 2 7 2" xfId="55685" xr:uid="{00000000-0005-0000-0000-00006C810000}"/>
    <cellStyle name="Normal 4 7 3 2 8" xfId="23468" xr:uid="{00000000-0005-0000-0000-00006D810000}"/>
    <cellStyle name="Normal 4 7 3 2 9" xfId="23469" xr:uid="{00000000-0005-0000-0000-00006E810000}"/>
    <cellStyle name="Normal 4 7 3 3" xfId="23470" xr:uid="{00000000-0005-0000-0000-00006F810000}"/>
    <cellStyle name="Normal 4 7 3 3 2" xfId="23471" xr:uid="{00000000-0005-0000-0000-000070810000}"/>
    <cellStyle name="Normal 4 7 3 3 2 2" xfId="23472" xr:uid="{00000000-0005-0000-0000-000071810000}"/>
    <cellStyle name="Normal 4 7 3 3 2 2 2" xfId="23473" xr:uid="{00000000-0005-0000-0000-000072810000}"/>
    <cellStyle name="Normal 4 7 3 3 2 2 2 2" xfId="55686" xr:uid="{00000000-0005-0000-0000-000073810000}"/>
    <cellStyle name="Normal 4 7 3 3 2 2 2 3" xfId="55687" xr:uid="{00000000-0005-0000-0000-000074810000}"/>
    <cellStyle name="Normal 4 7 3 3 2 2 3" xfId="23474" xr:uid="{00000000-0005-0000-0000-000075810000}"/>
    <cellStyle name="Normal 4 7 3 3 2 2 3 2" xfId="55688" xr:uid="{00000000-0005-0000-0000-000076810000}"/>
    <cellStyle name="Normal 4 7 3 3 2 2 4" xfId="23475" xr:uid="{00000000-0005-0000-0000-000077810000}"/>
    <cellStyle name="Normal 4 7 3 3 2 2 5" xfId="23476" xr:uid="{00000000-0005-0000-0000-000078810000}"/>
    <cellStyle name="Normal 4 7 3 3 2 2 6" xfId="23477" xr:uid="{00000000-0005-0000-0000-000079810000}"/>
    <cellStyle name="Normal 4 7 3 3 2 3" xfId="23478" xr:uid="{00000000-0005-0000-0000-00007A810000}"/>
    <cellStyle name="Normal 4 7 3 3 2 3 2" xfId="55689" xr:uid="{00000000-0005-0000-0000-00007B810000}"/>
    <cellStyle name="Normal 4 7 3 3 2 3 3" xfId="55690" xr:uid="{00000000-0005-0000-0000-00007C810000}"/>
    <cellStyle name="Normal 4 7 3 3 2 4" xfId="23479" xr:uid="{00000000-0005-0000-0000-00007D810000}"/>
    <cellStyle name="Normal 4 7 3 3 2 4 2" xfId="55691" xr:uid="{00000000-0005-0000-0000-00007E810000}"/>
    <cellStyle name="Normal 4 7 3 3 2 5" xfId="23480" xr:uid="{00000000-0005-0000-0000-00007F810000}"/>
    <cellStyle name="Normal 4 7 3 3 2 6" xfId="23481" xr:uid="{00000000-0005-0000-0000-000080810000}"/>
    <cellStyle name="Normal 4 7 3 3 2 7" xfId="23482" xr:uid="{00000000-0005-0000-0000-000081810000}"/>
    <cellStyle name="Normal 4 7 3 3 3" xfId="23483" xr:uid="{00000000-0005-0000-0000-000082810000}"/>
    <cellStyle name="Normal 4 7 3 3 3 2" xfId="23484" xr:uid="{00000000-0005-0000-0000-000083810000}"/>
    <cellStyle name="Normal 4 7 3 3 3 2 2" xfId="55692" xr:uid="{00000000-0005-0000-0000-000084810000}"/>
    <cellStyle name="Normal 4 7 3 3 3 2 3" xfId="55693" xr:uid="{00000000-0005-0000-0000-000085810000}"/>
    <cellStyle name="Normal 4 7 3 3 3 3" xfId="23485" xr:uid="{00000000-0005-0000-0000-000086810000}"/>
    <cellStyle name="Normal 4 7 3 3 3 3 2" xfId="55694" xr:uid="{00000000-0005-0000-0000-000087810000}"/>
    <cellStyle name="Normal 4 7 3 3 3 4" xfId="23486" xr:uid="{00000000-0005-0000-0000-000088810000}"/>
    <cellStyle name="Normal 4 7 3 3 3 5" xfId="23487" xr:uid="{00000000-0005-0000-0000-000089810000}"/>
    <cellStyle name="Normal 4 7 3 3 3 6" xfId="23488" xr:uid="{00000000-0005-0000-0000-00008A810000}"/>
    <cellStyle name="Normal 4 7 3 3 4" xfId="23489" xr:uid="{00000000-0005-0000-0000-00008B810000}"/>
    <cellStyle name="Normal 4 7 3 3 4 2" xfId="55695" xr:uid="{00000000-0005-0000-0000-00008C810000}"/>
    <cellStyle name="Normal 4 7 3 3 4 3" xfId="55696" xr:uid="{00000000-0005-0000-0000-00008D810000}"/>
    <cellStyle name="Normal 4 7 3 3 5" xfId="23490" xr:uid="{00000000-0005-0000-0000-00008E810000}"/>
    <cellStyle name="Normal 4 7 3 3 5 2" xfId="55697" xr:uid="{00000000-0005-0000-0000-00008F810000}"/>
    <cellStyle name="Normal 4 7 3 3 6" xfId="23491" xr:uid="{00000000-0005-0000-0000-000090810000}"/>
    <cellStyle name="Normal 4 7 3 3 7" xfId="23492" xr:uid="{00000000-0005-0000-0000-000091810000}"/>
    <cellStyle name="Normal 4 7 3 3 8" xfId="23493" xr:uid="{00000000-0005-0000-0000-000092810000}"/>
    <cellStyle name="Normal 4 7 3 3 9" xfId="23494" xr:uid="{00000000-0005-0000-0000-000093810000}"/>
    <cellStyle name="Normal 4 7 3 4" xfId="23495" xr:uid="{00000000-0005-0000-0000-000094810000}"/>
    <cellStyle name="Normal 4 7 3 4 2" xfId="23496" xr:uid="{00000000-0005-0000-0000-000095810000}"/>
    <cellStyle name="Normal 4 7 3 4 2 2" xfId="23497" xr:uid="{00000000-0005-0000-0000-000096810000}"/>
    <cellStyle name="Normal 4 7 3 4 2 2 2" xfId="23498" xr:uid="{00000000-0005-0000-0000-000097810000}"/>
    <cellStyle name="Normal 4 7 3 4 2 2 2 2" xfId="55698" xr:uid="{00000000-0005-0000-0000-000098810000}"/>
    <cellStyle name="Normal 4 7 3 4 2 2 2 3" xfId="55699" xr:uid="{00000000-0005-0000-0000-000099810000}"/>
    <cellStyle name="Normal 4 7 3 4 2 2 3" xfId="23499" xr:uid="{00000000-0005-0000-0000-00009A810000}"/>
    <cellStyle name="Normal 4 7 3 4 2 2 3 2" xfId="55700" xr:uid="{00000000-0005-0000-0000-00009B810000}"/>
    <cellStyle name="Normal 4 7 3 4 2 2 4" xfId="23500" xr:uid="{00000000-0005-0000-0000-00009C810000}"/>
    <cellStyle name="Normal 4 7 3 4 2 2 5" xfId="23501" xr:uid="{00000000-0005-0000-0000-00009D810000}"/>
    <cellStyle name="Normal 4 7 3 4 2 2 6" xfId="23502" xr:uid="{00000000-0005-0000-0000-00009E810000}"/>
    <cellStyle name="Normal 4 7 3 4 2 3" xfId="23503" xr:uid="{00000000-0005-0000-0000-00009F810000}"/>
    <cellStyle name="Normal 4 7 3 4 2 3 2" xfId="55701" xr:uid="{00000000-0005-0000-0000-0000A0810000}"/>
    <cellStyle name="Normal 4 7 3 4 2 3 3" xfId="55702" xr:uid="{00000000-0005-0000-0000-0000A1810000}"/>
    <cellStyle name="Normal 4 7 3 4 2 4" xfId="23504" xr:uid="{00000000-0005-0000-0000-0000A2810000}"/>
    <cellStyle name="Normal 4 7 3 4 2 4 2" xfId="55703" xr:uid="{00000000-0005-0000-0000-0000A3810000}"/>
    <cellStyle name="Normal 4 7 3 4 2 5" xfId="23505" xr:uid="{00000000-0005-0000-0000-0000A4810000}"/>
    <cellStyle name="Normal 4 7 3 4 2 6" xfId="23506" xr:uid="{00000000-0005-0000-0000-0000A5810000}"/>
    <cellStyle name="Normal 4 7 3 4 2 7" xfId="23507" xr:uid="{00000000-0005-0000-0000-0000A6810000}"/>
    <cellStyle name="Normal 4 7 3 4 3" xfId="23508" xr:uid="{00000000-0005-0000-0000-0000A7810000}"/>
    <cellStyle name="Normal 4 7 3 4 3 2" xfId="23509" xr:uid="{00000000-0005-0000-0000-0000A8810000}"/>
    <cellStyle name="Normal 4 7 3 4 3 2 2" xfId="55704" xr:uid="{00000000-0005-0000-0000-0000A9810000}"/>
    <cellStyle name="Normal 4 7 3 4 3 2 3" xfId="55705" xr:uid="{00000000-0005-0000-0000-0000AA810000}"/>
    <cellStyle name="Normal 4 7 3 4 3 3" xfId="23510" xr:uid="{00000000-0005-0000-0000-0000AB810000}"/>
    <cellStyle name="Normal 4 7 3 4 3 3 2" xfId="55706" xr:uid="{00000000-0005-0000-0000-0000AC810000}"/>
    <cellStyle name="Normal 4 7 3 4 3 4" xfId="23511" xr:uid="{00000000-0005-0000-0000-0000AD810000}"/>
    <cellStyle name="Normal 4 7 3 4 3 5" xfId="23512" xr:uid="{00000000-0005-0000-0000-0000AE810000}"/>
    <cellStyle name="Normal 4 7 3 4 3 6" xfId="23513" xr:uid="{00000000-0005-0000-0000-0000AF810000}"/>
    <cellStyle name="Normal 4 7 3 4 4" xfId="23514" xr:uid="{00000000-0005-0000-0000-0000B0810000}"/>
    <cellStyle name="Normal 4 7 3 4 4 2" xfId="55707" xr:uid="{00000000-0005-0000-0000-0000B1810000}"/>
    <cellStyle name="Normal 4 7 3 4 4 3" xfId="55708" xr:uid="{00000000-0005-0000-0000-0000B2810000}"/>
    <cellStyle name="Normal 4 7 3 4 5" xfId="23515" xr:uid="{00000000-0005-0000-0000-0000B3810000}"/>
    <cellStyle name="Normal 4 7 3 4 5 2" xfId="55709" xr:uid="{00000000-0005-0000-0000-0000B4810000}"/>
    <cellStyle name="Normal 4 7 3 4 6" xfId="23516" xr:uid="{00000000-0005-0000-0000-0000B5810000}"/>
    <cellStyle name="Normal 4 7 3 4 7" xfId="23517" xr:uid="{00000000-0005-0000-0000-0000B6810000}"/>
    <cellStyle name="Normal 4 7 3 4 8" xfId="23518" xr:uid="{00000000-0005-0000-0000-0000B7810000}"/>
    <cellStyle name="Normal 4 7 3 5" xfId="23519" xr:uid="{00000000-0005-0000-0000-0000B8810000}"/>
    <cellStyle name="Normal 4 7 3 5 2" xfId="23520" xr:uid="{00000000-0005-0000-0000-0000B9810000}"/>
    <cellStyle name="Normal 4 7 3 5 2 2" xfId="23521" xr:uid="{00000000-0005-0000-0000-0000BA810000}"/>
    <cellStyle name="Normal 4 7 3 5 2 2 2" xfId="55710" xr:uid="{00000000-0005-0000-0000-0000BB810000}"/>
    <cellStyle name="Normal 4 7 3 5 2 2 3" xfId="55711" xr:uid="{00000000-0005-0000-0000-0000BC810000}"/>
    <cellStyle name="Normal 4 7 3 5 2 3" xfId="23522" xr:uid="{00000000-0005-0000-0000-0000BD810000}"/>
    <cellStyle name="Normal 4 7 3 5 2 3 2" xfId="55712" xr:uid="{00000000-0005-0000-0000-0000BE810000}"/>
    <cellStyle name="Normal 4 7 3 5 2 4" xfId="23523" xr:uid="{00000000-0005-0000-0000-0000BF810000}"/>
    <cellStyle name="Normal 4 7 3 5 2 5" xfId="23524" xr:uid="{00000000-0005-0000-0000-0000C0810000}"/>
    <cellStyle name="Normal 4 7 3 5 2 6" xfId="23525" xr:uid="{00000000-0005-0000-0000-0000C1810000}"/>
    <cellStyle name="Normal 4 7 3 5 3" xfId="23526" xr:uid="{00000000-0005-0000-0000-0000C2810000}"/>
    <cellStyle name="Normal 4 7 3 5 3 2" xfId="55713" xr:uid="{00000000-0005-0000-0000-0000C3810000}"/>
    <cellStyle name="Normal 4 7 3 5 3 3" xfId="55714" xr:uid="{00000000-0005-0000-0000-0000C4810000}"/>
    <cellStyle name="Normal 4 7 3 5 4" xfId="23527" xr:uid="{00000000-0005-0000-0000-0000C5810000}"/>
    <cellStyle name="Normal 4 7 3 5 4 2" xfId="55715" xr:uid="{00000000-0005-0000-0000-0000C6810000}"/>
    <cellStyle name="Normal 4 7 3 5 5" xfId="23528" xr:uid="{00000000-0005-0000-0000-0000C7810000}"/>
    <cellStyle name="Normal 4 7 3 5 6" xfId="23529" xr:uid="{00000000-0005-0000-0000-0000C8810000}"/>
    <cellStyle name="Normal 4 7 3 5 7" xfId="23530" xr:uid="{00000000-0005-0000-0000-0000C9810000}"/>
    <cellStyle name="Normal 4 7 3 6" xfId="23531" xr:uid="{00000000-0005-0000-0000-0000CA810000}"/>
    <cellStyle name="Normal 4 7 3 6 2" xfId="23532" xr:uid="{00000000-0005-0000-0000-0000CB810000}"/>
    <cellStyle name="Normal 4 7 3 6 2 2" xfId="55716" xr:uid="{00000000-0005-0000-0000-0000CC810000}"/>
    <cellStyle name="Normal 4 7 3 6 2 3" xfId="55717" xr:uid="{00000000-0005-0000-0000-0000CD810000}"/>
    <cellStyle name="Normal 4 7 3 6 3" xfId="23533" xr:uid="{00000000-0005-0000-0000-0000CE810000}"/>
    <cellStyle name="Normal 4 7 3 6 3 2" xfId="55718" xr:uid="{00000000-0005-0000-0000-0000CF810000}"/>
    <cellStyle name="Normal 4 7 3 6 4" xfId="23534" xr:uid="{00000000-0005-0000-0000-0000D0810000}"/>
    <cellStyle name="Normal 4 7 3 6 5" xfId="23535" xr:uid="{00000000-0005-0000-0000-0000D1810000}"/>
    <cellStyle name="Normal 4 7 3 6 6" xfId="23536" xr:uid="{00000000-0005-0000-0000-0000D2810000}"/>
    <cellStyle name="Normal 4 7 3 7" xfId="23537" xr:uid="{00000000-0005-0000-0000-0000D3810000}"/>
    <cellStyle name="Normal 4 7 3 7 2" xfId="55719" xr:uid="{00000000-0005-0000-0000-0000D4810000}"/>
    <cellStyle name="Normal 4 7 3 7 3" xfId="55720" xr:uid="{00000000-0005-0000-0000-0000D5810000}"/>
    <cellStyle name="Normal 4 7 3 8" xfId="23538" xr:uid="{00000000-0005-0000-0000-0000D6810000}"/>
    <cellStyle name="Normal 4 7 3 8 2" xfId="55721" xr:uid="{00000000-0005-0000-0000-0000D7810000}"/>
    <cellStyle name="Normal 4 7 3 9" xfId="23539" xr:uid="{00000000-0005-0000-0000-0000D8810000}"/>
    <cellStyle name="Normal 4 7 4" xfId="23540" xr:uid="{00000000-0005-0000-0000-0000D9810000}"/>
    <cellStyle name="Normal 4 7 4 10" xfId="23541" xr:uid="{00000000-0005-0000-0000-0000DA810000}"/>
    <cellStyle name="Normal 4 7 4 11" xfId="23542" xr:uid="{00000000-0005-0000-0000-0000DB810000}"/>
    <cellStyle name="Normal 4 7 4 12" xfId="23543" xr:uid="{00000000-0005-0000-0000-0000DC810000}"/>
    <cellStyle name="Normal 4 7 4 13" xfId="23544" xr:uid="{00000000-0005-0000-0000-0000DD810000}"/>
    <cellStyle name="Normal 4 7 4 14" xfId="23545" xr:uid="{00000000-0005-0000-0000-0000DE810000}"/>
    <cellStyle name="Normal 4 7 4 2" xfId="23546" xr:uid="{00000000-0005-0000-0000-0000DF810000}"/>
    <cellStyle name="Normal 4 7 4 2 2" xfId="23547" xr:uid="{00000000-0005-0000-0000-0000E0810000}"/>
    <cellStyle name="Normal 4 7 4 2 2 2" xfId="23548" xr:uid="{00000000-0005-0000-0000-0000E1810000}"/>
    <cellStyle name="Normal 4 7 4 2 2 2 2" xfId="23549" xr:uid="{00000000-0005-0000-0000-0000E2810000}"/>
    <cellStyle name="Normal 4 7 4 2 2 2 2 2" xfId="55722" xr:uid="{00000000-0005-0000-0000-0000E3810000}"/>
    <cellStyle name="Normal 4 7 4 2 2 2 2 3" xfId="55723" xr:uid="{00000000-0005-0000-0000-0000E4810000}"/>
    <cellStyle name="Normal 4 7 4 2 2 2 3" xfId="23550" xr:uid="{00000000-0005-0000-0000-0000E5810000}"/>
    <cellStyle name="Normal 4 7 4 2 2 2 3 2" xfId="55724" xr:uid="{00000000-0005-0000-0000-0000E6810000}"/>
    <cellStyle name="Normal 4 7 4 2 2 2 4" xfId="23551" xr:uid="{00000000-0005-0000-0000-0000E7810000}"/>
    <cellStyle name="Normal 4 7 4 2 2 2 5" xfId="23552" xr:uid="{00000000-0005-0000-0000-0000E8810000}"/>
    <cellStyle name="Normal 4 7 4 2 2 2 6" xfId="23553" xr:uid="{00000000-0005-0000-0000-0000E9810000}"/>
    <cellStyle name="Normal 4 7 4 2 2 3" xfId="23554" xr:uid="{00000000-0005-0000-0000-0000EA810000}"/>
    <cellStyle name="Normal 4 7 4 2 2 3 2" xfId="55725" xr:uid="{00000000-0005-0000-0000-0000EB810000}"/>
    <cellStyle name="Normal 4 7 4 2 2 3 3" xfId="55726" xr:uid="{00000000-0005-0000-0000-0000EC810000}"/>
    <cellStyle name="Normal 4 7 4 2 2 4" xfId="23555" xr:uid="{00000000-0005-0000-0000-0000ED810000}"/>
    <cellStyle name="Normal 4 7 4 2 2 4 2" xfId="55727" xr:uid="{00000000-0005-0000-0000-0000EE810000}"/>
    <cellStyle name="Normal 4 7 4 2 2 5" xfId="23556" xr:uid="{00000000-0005-0000-0000-0000EF810000}"/>
    <cellStyle name="Normal 4 7 4 2 2 6" xfId="23557" xr:uid="{00000000-0005-0000-0000-0000F0810000}"/>
    <cellStyle name="Normal 4 7 4 2 2 7" xfId="23558" xr:uid="{00000000-0005-0000-0000-0000F1810000}"/>
    <cellStyle name="Normal 4 7 4 2 3" xfId="23559" xr:uid="{00000000-0005-0000-0000-0000F2810000}"/>
    <cellStyle name="Normal 4 7 4 2 3 2" xfId="23560" xr:uid="{00000000-0005-0000-0000-0000F3810000}"/>
    <cellStyle name="Normal 4 7 4 2 3 2 2" xfId="55728" xr:uid="{00000000-0005-0000-0000-0000F4810000}"/>
    <cellStyle name="Normal 4 7 4 2 3 2 3" xfId="55729" xr:uid="{00000000-0005-0000-0000-0000F5810000}"/>
    <cellStyle name="Normal 4 7 4 2 3 3" xfId="23561" xr:uid="{00000000-0005-0000-0000-0000F6810000}"/>
    <cellStyle name="Normal 4 7 4 2 3 3 2" xfId="55730" xr:uid="{00000000-0005-0000-0000-0000F7810000}"/>
    <cellStyle name="Normal 4 7 4 2 3 4" xfId="23562" xr:uid="{00000000-0005-0000-0000-0000F8810000}"/>
    <cellStyle name="Normal 4 7 4 2 3 5" xfId="23563" xr:uid="{00000000-0005-0000-0000-0000F9810000}"/>
    <cellStyle name="Normal 4 7 4 2 3 6" xfId="23564" xr:uid="{00000000-0005-0000-0000-0000FA810000}"/>
    <cellStyle name="Normal 4 7 4 2 4" xfId="23565" xr:uid="{00000000-0005-0000-0000-0000FB810000}"/>
    <cellStyle name="Normal 4 7 4 2 4 2" xfId="55731" xr:uid="{00000000-0005-0000-0000-0000FC810000}"/>
    <cellStyle name="Normal 4 7 4 2 4 3" xfId="55732" xr:uid="{00000000-0005-0000-0000-0000FD810000}"/>
    <cellStyle name="Normal 4 7 4 2 5" xfId="23566" xr:uid="{00000000-0005-0000-0000-0000FE810000}"/>
    <cellStyle name="Normal 4 7 4 2 5 2" xfId="55733" xr:uid="{00000000-0005-0000-0000-0000FF810000}"/>
    <cellStyle name="Normal 4 7 4 2 6" xfId="23567" xr:uid="{00000000-0005-0000-0000-000000820000}"/>
    <cellStyle name="Normal 4 7 4 2 7" xfId="23568" xr:uid="{00000000-0005-0000-0000-000001820000}"/>
    <cellStyle name="Normal 4 7 4 2 8" xfId="23569" xr:uid="{00000000-0005-0000-0000-000002820000}"/>
    <cellStyle name="Normal 4 7 4 2 9" xfId="23570" xr:uid="{00000000-0005-0000-0000-000003820000}"/>
    <cellStyle name="Normal 4 7 4 3" xfId="23571" xr:uid="{00000000-0005-0000-0000-000004820000}"/>
    <cellStyle name="Normal 4 7 4 3 2" xfId="23572" xr:uid="{00000000-0005-0000-0000-000005820000}"/>
    <cellStyle name="Normal 4 7 4 3 2 2" xfId="23573" xr:uid="{00000000-0005-0000-0000-000006820000}"/>
    <cellStyle name="Normal 4 7 4 3 2 2 2" xfId="23574" xr:uid="{00000000-0005-0000-0000-000007820000}"/>
    <cellStyle name="Normal 4 7 4 3 2 2 2 2" xfId="55734" xr:uid="{00000000-0005-0000-0000-000008820000}"/>
    <cellStyle name="Normal 4 7 4 3 2 2 2 3" xfId="55735" xr:uid="{00000000-0005-0000-0000-000009820000}"/>
    <cellStyle name="Normal 4 7 4 3 2 2 3" xfId="23575" xr:uid="{00000000-0005-0000-0000-00000A820000}"/>
    <cellStyle name="Normal 4 7 4 3 2 2 3 2" xfId="55736" xr:uid="{00000000-0005-0000-0000-00000B820000}"/>
    <cellStyle name="Normal 4 7 4 3 2 2 4" xfId="23576" xr:uid="{00000000-0005-0000-0000-00000C820000}"/>
    <cellStyle name="Normal 4 7 4 3 2 2 5" xfId="23577" xr:uid="{00000000-0005-0000-0000-00000D820000}"/>
    <cellStyle name="Normal 4 7 4 3 2 2 6" xfId="23578" xr:uid="{00000000-0005-0000-0000-00000E820000}"/>
    <cellStyle name="Normal 4 7 4 3 2 3" xfId="23579" xr:uid="{00000000-0005-0000-0000-00000F820000}"/>
    <cellStyle name="Normal 4 7 4 3 2 3 2" xfId="55737" xr:uid="{00000000-0005-0000-0000-000010820000}"/>
    <cellStyle name="Normal 4 7 4 3 2 3 3" xfId="55738" xr:uid="{00000000-0005-0000-0000-000011820000}"/>
    <cellStyle name="Normal 4 7 4 3 2 4" xfId="23580" xr:uid="{00000000-0005-0000-0000-000012820000}"/>
    <cellStyle name="Normal 4 7 4 3 2 4 2" xfId="55739" xr:uid="{00000000-0005-0000-0000-000013820000}"/>
    <cellStyle name="Normal 4 7 4 3 2 5" xfId="23581" xr:uid="{00000000-0005-0000-0000-000014820000}"/>
    <cellStyle name="Normal 4 7 4 3 2 6" xfId="23582" xr:uid="{00000000-0005-0000-0000-000015820000}"/>
    <cellStyle name="Normal 4 7 4 3 2 7" xfId="23583" xr:uid="{00000000-0005-0000-0000-000016820000}"/>
    <cellStyle name="Normal 4 7 4 3 3" xfId="23584" xr:uid="{00000000-0005-0000-0000-000017820000}"/>
    <cellStyle name="Normal 4 7 4 3 3 2" xfId="23585" xr:uid="{00000000-0005-0000-0000-000018820000}"/>
    <cellStyle name="Normal 4 7 4 3 3 2 2" xfId="55740" xr:uid="{00000000-0005-0000-0000-000019820000}"/>
    <cellStyle name="Normal 4 7 4 3 3 2 3" xfId="55741" xr:uid="{00000000-0005-0000-0000-00001A820000}"/>
    <cellStyle name="Normal 4 7 4 3 3 3" xfId="23586" xr:uid="{00000000-0005-0000-0000-00001B820000}"/>
    <cellStyle name="Normal 4 7 4 3 3 3 2" xfId="55742" xr:uid="{00000000-0005-0000-0000-00001C820000}"/>
    <cellStyle name="Normal 4 7 4 3 3 4" xfId="23587" xr:uid="{00000000-0005-0000-0000-00001D820000}"/>
    <cellStyle name="Normal 4 7 4 3 3 5" xfId="23588" xr:uid="{00000000-0005-0000-0000-00001E820000}"/>
    <cellStyle name="Normal 4 7 4 3 3 6" xfId="23589" xr:uid="{00000000-0005-0000-0000-00001F820000}"/>
    <cellStyle name="Normal 4 7 4 3 4" xfId="23590" xr:uid="{00000000-0005-0000-0000-000020820000}"/>
    <cellStyle name="Normal 4 7 4 3 4 2" xfId="55743" xr:uid="{00000000-0005-0000-0000-000021820000}"/>
    <cellStyle name="Normal 4 7 4 3 4 3" xfId="55744" xr:uid="{00000000-0005-0000-0000-000022820000}"/>
    <cellStyle name="Normal 4 7 4 3 5" xfId="23591" xr:uid="{00000000-0005-0000-0000-000023820000}"/>
    <cellStyle name="Normal 4 7 4 3 5 2" xfId="55745" xr:uid="{00000000-0005-0000-0000-000024820000}"/>
    <cellStyle name="Normal 4 7 4 3 6" xfId="23592" xr:uid="{00000000-0005-0000-0000-000025820000}"/>
    <cellStyle name="Normal 4 7 4 3 7" xfId="23593" xr:uid="{00000000-0005-0000-0000-000026820000}"/>
    <cellStyle name="Normal 4 7 4 3 8" xfId="23594" xr:uid="{00000000-0005-0000-0000-000027820000}"/>
    <cellStyle name="Normal 4 7 4 4" xfId="23595" xr:uid="{00000000-0005-0000-0000-000028820000}"/>
    <cellStyle name="Normal 4 7 4 4 2" xfId="23596" xr:uid="{00000000-0005-0000-0000-000029820000}"/>
    <cellStyle name="Normal 4 7 4 4 2 2" xfId="23597" xr:uid="{00000000-0005-0000-0000-00002A820000}"/>
    <cellStyle name="Normal 4 7 4 4 2 2 2" xfId="55746" xr:uid="{00000000-0005-0000-0000-00002B820000}"/>
    <cellStyle name="Normal 4 7 4 4 2 2 3" xfId="55747" xr:uid="{00000000-0005-0000-0000-00002C820000}"/>
    <cellStyle name="Normal 4 7 4 4 2 3" xfId="23598" xr:uid="{00000000-0005-0000-0000-00002D820000}"/>
    <cellStyle name="Normal 4 7 4 4 2 3 2" xfId="55748" xr:uid="{00000000-0005-0000-0000-00002E820000}"/>
    <cellStyle name="Normal 4 7 4 4 2 4" xfId="23599" xr:uid="{00000000-0005-0000-0000-00002F820000}"/>
    <cellStyle name="Normal 4 7 4 4 2 5" xfId="23600" xr:uid="{00000000-0005-0000-0000-000030820000}"/>
    <cellStyle name="Normal 4 7 4 4 2 6" xfId="23601" xr:uid="{00000000-0005-0000-0000-000031820000}"/>
    <cellStyle name="Normal 4 7 4 4 3" xfId="23602" xr:uid="{00000000-0005-0000-0000-000032820000}"/>
    <cellStyle name="Normal 4 7 4 4 3 2" xfId="55749" xr:uid="{00000000-0005-0000-0000-000033820000}"/>
    <cellStyle name="Normal 4 7 4 4 3 3" xfId="55750" xr:uid="{00000000-0005-0000-0000-000034820000}"/>
    <cellStyle name="Normal 4 7 4 4 4" xfId="23603" xr:uid="{00000000-0005-0000-0000-000035820000}"/>
    <cellStyle name="Normal 4 7 4 4 4 2" xfId="55751" xr:uid="{00000000-0005-0000-0000-000036820000}"/>
    <cellStyle name="Normal 4 7 4 4 5" xfId="23604" xr:uid="{00000000-0005-0000-0000-000037820000}"/>
    <cellStyle name="Normal 4 7 4 4 6" xfId="23605" xr:uid="{00000000-0005-0000-0000-000038820000}"/>
    <cellStyle name="Normal 4 7 4 4 7" xfId="23606" xr:uid="{00000000-0005-0000-0000-000039820000}"/>
    <cellStyle name="Normal 4 7 4 5" xfId="23607" xr:uid="{00000000-0005-0000-0000-00003A820000}"/>
    <cellStyle name="Normal 4 7 4 5 2" xfId="23608" xr:uid="{00000000-0005-0000-0000-00003B820000}"/>
    <cellStyle name="Normal 4 7 4 5 2 2" xfId="55752" xr:uid="{00000000-0005-0000-0000-00003C820000}"/>
    <cellStyle name="Normal 4 7 4 5 2 3" xfId="55753" xr:uid="{00000000-0005-0000-0000-00003D820000}"/>
    <cellStyle name="Normal 4 7 4 5 3" xfId="23609" xr:uid="{00000000-0005-0000-0000-00003E820000}"/>
    <cellStyle name="Normal 4 7 4 5 3 2" xfId="55754" xr:uid="{00000000-0005-0000-0000-00003F820000}"/>
    <cellStyle name="Normal 4 7 4 5 4" xfId="23610" xr:uid="{00000000-0005-0000-0000-000040820000}"/>
    <cellStyle name="Normal 4 7 4 5 5" xfId="23611" xr:uid="{00000000-0005-0000-0000-000041820000}"/>
    <cellStyle name="Normal 4 7 4 5 6" xfId="23612" xr:uid="{00000000-0005-0000-0000-000042820000}"/>
    <cellStyle name="Normal 4 7 4 6" xfId="23613" xr:uid="{00000000-0005-0000-0000-000043820000}"/>
    <cellStyle name="Normal 4 7 4 6 2" xfId="55755" xr:uid="{00000000-0005-0000-0000-000044820000}"/>
    <cellStyle name="Normal 4 7 4 6 3" xfId="55756" xr:uid="{00000000-0005-0000-0000-000045820000}"/>
    <cellStyle name="Normal 4 7 4 7" xfId="23614" xr:uid="{00000000-0005-0000-0000-000046820000}"/>
    <cellStyle name="Normal 4 7 4 7 2" xfId="55757" xr:uid="{00000000-0005-0000-0000-000047820000}"/>
    <cellStyle name="Normal 4 7 4 8" xfId="23615" xr:uid="{00000000-0005-0000-0000-000048820000}"/>
    <cellStyle name="Normal 4 7 4 9" xfId="23616" xr:uid="{00000000-0005-0000-0000-000049820000}"/>
    <cellStyle name="Normal 4 7 5" xfId="23617" xr:uid="{00000000-0005-0000-0000-00004A820000}"/>
    <cellStyle name="Normal 4 7 5 10" xfId="23618" xr:uid="{00000000-0005-0000-0000-00004B820000}"/>
    <cellStyle name="Normal 4 7 5 11" xfId="23619" xr:uid="{00000000-0005-0000-0000-00004C820000}"/>
    <cellStyle name="Normal 4 7 5 12" xfId="23620" xr:uid="{00000000-0005-0000-0000-00004D820000}"/>
    <cellStyle name="Normal 4 7 5 13" xfId="23621" xr:uid="{00000000-0005-0000-0000-00004E820000}"/>
    <cellStyle name="Normal 4 7 5 14" xfId="23622" xr:uid="{00000000-0005-0000-0000-00004F820000}"/>
    <cellStyle name="Normal 4 7 5 2" xfId="23623" xr:uid="{00000000-0005-0000-0000-000050820000}"/>
    <cellStyle name="Normal 4 7 5 2 2" xfId="23624" xr:uid="{00000000-0005-0000-0000-000051820000}"/>
    <cellStyle name="Normal 4 7 5 2 2 2" xfId="23625" xr:uid="{00000000-0005-0000-0000-000052820000}"/>
    <cellStyle name="Normal 4 7 5 2 2 2 2" xfId="23626" xr:uid="{00000000-0005-0000-0000-000053820000}"/>
    <cellStyle name="Normal 4 7 5 2 2 2 2 2" xfId="55758" xr:uid="{00000000-0005-0000-0000-000054820000}"/>
    <cellStyle name="Normal 4 7 5 2 2 2 2 3" xfId="55759" xr:uid="{00000000-0005-0000-0000-000055820000}"/>
    <cellStyle name="Normal 4 7 5 2 2 2 3" xfId="23627" xr:uid="{00000000-0005-0000-0000-000056820000}"/>
    <cellStyle name="Normal 4 7 5 2 2 2 3 2" xfId="55760" xr:uid="{00000000-0005-0000-0000-000057820000}"/>
    <cellStyle name="Normal 4 7 5 2 2 2 4" xfId="23628" xr:uid="{00000000-0005-0000-0000-000058820000}"/>
    <cellStyle name="Normal 4 7 5 2 2 2 5" xfId="23629" xr:uid="{00000000-0005-0000-0000-000059820000}"/>
    <cellStyle name="Normal 4 7 5 2 2 2 6" xfId="23630" xr:uid="{00000000-0005-0000-0000-00005A820000}"/>
    <cellStyle name="Normal 4 7 5 2 2 3" xfId="23631" xr:uid="{00000000-0005-0000-0000-00005B820000}"/>
    <cellStyle name="Normal 4 7 5 2 2 3 2" xfId="55761" xr:uid="{00000000-0005-0000-0000-00005C820000}"/>
    <cellStyle name="Normal 4 7 5 2 2 3 3" xfId="55762" xr:uid="{00000000-0005-0000-0000-00005D820000}"/>
    <cellStyle name="Normal 4 7 5 2 2 4" xfId="23632" xr:uid="{00000000-0005-0000-0000-00005E820000}"/>
    <cellStyle name="Normal 4 7 5 2 2 4 2" xfId="55763" xr:uid="{00000000-0005-0000-0000-00005F820000}"/>
    <cellStyle name="Normal 4 7 5 2 2 5" xfId="23633" xr:uid="{00000000-0005-0000-0000-000060820000}"/>
    <cellStyle name="Normal 4 7 5 2 2 6" xfId="23634" xr:uid="{00000000-0005-0000-0000-000061820000}"/>
    <cellStyle name="Normal 4 7 5 2 2 7" xfId="23635" xr:uid="{00000000-0005-0000-0000-000062820000}"/>
    <cellStyle name="Normal 4 7 5 2 3" xfId="23636" xr:uid="{00000000-0005-0000-0000-000063820000}"/>
    <cellStyle name="Normal 4 7 5 2 3 2" xfId="23637" xr:uid="{00000000-0005-0000-0000-000064820000}"/>
    <cellStyle name="Normal 4 7 5 2 3 2 2" xfId="55764" xr:uid="{00000000-0005-0000-0000-000065820000}"/>
    <cellStyle name="Normal 4 7 5 2 3 2 3" xfId="55765" xr:uid="{00000000-0005-0000-0000-000066820000}"/>
    <cellStyle name="Normal 4 7 5 2 3 3" xfId="23638" xr:uid="{00000000-0005-0000-0000-000067820000}"/>
    <cellStyle name="Normal 4 7 5 2 3 3 2" xfId="55766" xr:uid="{00000000-0005-0000-0000-000068820000}"/>
    <cellStyle name="Normal 4 7 5 2 3 4" xfId="23639" xr:uid="{00000000-0005-0000-0000-000069820000}"/>
    <cellStyle name="Normal 4 7 5 2 3 5" xfId="23640" xr:uid="{00000000-0005-0000-0000-00006A820000}"/>
    <cellStyle name="Normal 4 7 5 2 3 6" xfId="23641" xr:uid="{00000000-0005-0000-0000-00006B820000}"/>
    <cellStyle name="Normal 4 7 5 2 4" xfId="23642" xr:uid="{00000000-0005-0000-0000-00006C820000}"/>
    <cellStyle name="Normal 4 7 5 2 4 2" xfId="55767" xr:uid="{00000000-0005-0000-0000-00006D820000}"/>
    <cellStyle name="Normal 4 7 5 2 4 3" xfId="55768" xr:uid="{00000000-0005-0000-0000-00006E820000}"/>
    <cellStyle name="Normal 4 7 5 2 5" xfId="23643" xr:uid="{00000000-0005-0000-0000-00006F820000}"/>
    <cellStyle name="Normal 4 7 5 2 5 2" xfId="55769" xr:uid="{00000000-0005-0000-0000-000070820000}"/>
    <cellStyle name="Normal 4 7 5 2 6" xfId="23644" xr:uid="{00000000-0005-0000-0000-000071820000}"/>
    <cellStyle name="Normal 4 7 5 2 7" xfId="23645" xr:uid="{00000000-0005-0000-0000-000072820000}"/>
    <cellStyle name="Normal 4 7 5 2 8" xfId="23646" xr:uid="{00000000-0005-0000-0000-000073820000}"/>
    <cellStyle name="Normal 4 7 5 2 9" xfId="23647" xr:uid="{00000000-0005-0000-0000-000074820000}"/>
    <cellStyle name="Normal 4 7 5 3" xfId="23648" xr:uid="{00000000-0005-0000-0000-000075820000}"/>
    <cellStyle name="Normal 4 7 5 3 2" xfId="23649" xr:uid="{00000000-0005-0000-0000-000076820000}"/>
    <cellStyle name="Normal 4 7 5 3 2 2" xfId="23650" xr:uid="{00000000-0005-0000-0000-000077820000}"/>
    <cellStyle name="Normal 4 7 5 3 2 2 2" xfId="23651" xr:uid="{00000000-0005-0000-0000-000078820000}"/>
    <cellStyle name="Normal 4 7 5 3 2 2 2 2" xfId="55770" xr:uid="{00000000-0005-0000-0000-000079820000}"/>
    <cellStyle name="Normal 4 7 5 3 2 2 2 3" xfId="55771" xr:uid="{00000000-0005-0000-0000-00007A820000}"/>
    <cellStyle name="Normal 4 7 5 3 2 2 3" xfId="23652" xr:uid="{00000000-0005-0000-0000-00007B820000}"/>
    <cellStyle name="Normal 4 7 5 3 2 2 3 2" xfId="55772" xr:uid="{00000000-0005-0000-0000-00007C820000}"/>
    <cellStyle name="Normal 4 7 5 3 2 2 4" xfId="23653" xr:uid="{00000000-0005-0000-0000-00007D820000}"/>
    <cellStyle name="Normal 4 7 5 3 2 2 5" xfId="23654" xr:uid="{00000000-0005-0000-0000-00007E820000}"/>
    <cellStyle name="Normal 4 7 5 3 2 2 6" xfId="23655" xr:uid="{00000000-0005-0000-0000-00007F820000}"/>
    <cellStyle name="Normal 4 7 5 3 2 3" xfId="23656" xr:uid="{00000000-0005-0000-0000-000080820000}"/>
    <cellStyle name="Normal 4 7 5 3 2 3 2" xfId="55773" xr:uid="{00000000-0005-0000-0000-000081820000}"/>
    <cellStyle name="Normal 4 7 5 3 2 3 3" xfId="55774" xr:uid="{00000000-0005-0000-0000-000082820000}"/>
    <cellStyle name="Normal 4 7 5 3 2 4" xfId="23657" xr:uid="{00000000-0005-0000-0000-000083820000}"/>
    <cellStyle name="Normal 4 7 5 3 2 4 2" xfId="55775" xr:uid="{00000000-0005-0000-0000-000084820000}"/>
    <cellStyle name="Normal 4 7 5 3 2 5" xfId="23658" xr:uid="{00000000-0005-0000-0000-000085820000}"/>
    <cellStyle name="Normal 4 7 5 3 2 6" xfId="23659" xr:uid="{00000000-0005-0000-0000-000086820000}"/>
    <cellStyle name="Normal 4 7 5 3 2 7" xfId="23660" xr:uid="{00000000-0005-0000-0000-000087820000}"/>
    <cellStyle name="Normal 4 7 5 3 3" xfId="23661" xr:uid="{00000000-0005-0000-0000-000088820000}"/>
    <cellStyle name="Normal 4 7 5 3 3 2" xfId="23662" xr:uid="{00000000-0005-0000-0000-000089820000}"/>
    <cellStyle name="Normal 4 7 5 3 3 2 2" xfId="55776" xr:uid="{00000000-0005-0000-0000-00008A820000}"/>
    <cellStyle name="Normal 4 7 5 3 3 2 3" xfId="55777" xr:uid="{00000000-0005-0000-0000-00008B820000}"/>
    <cellStyle name="Normal 4 7 5 3 3 3" xfId="23663" xr:uid="{00000000-0005-0000-0000-00008C820000}"/>
    <cellStyle name="Normal 4 7 5 3 3 3 2" xfId="55778" xr:uid="{00000000-0005-0000-0000-00008D820000}"/>
    <cellStyle name="Normal 4 7 5 3 3 4" xfId="23664" xr:uid="{00000000-0005-0000-0000-00008E820000}"/>
    <cellStyle name="Normal 4 7 5 3 3 5" xfId="23665" xr:uid="{00000000-0005-0000-0000-00008F820000}"/>
    <cellStyle name="Normal 4 7 5 3 3 6" xfId="23666" xr:uid="{00000000-0005-0000-0000-000090820000}"/>
    <cellStyle name="Normal 4 7 5 3 4" xfId="23667" xr:uid="{00000000-0005-0000-0000-000091820000}"/>
    <cellStyle name="Normal 4 7 5 3 4 2" xfId="55779" xr:uid="{00000000-0005-0000-0000-000092820000}"/>
    <cellStyle name="Normal 4 7 5 3 4 3" xfId="55780" xr:uid="{00000000-0005-0000-0000-000093820000}"/>
    <cellStyle name="Normal 4 7 5 3 5" xfId="23668" xr:uid="{00000000-0005-0000-0000-000094820000}"/>
    <cellStyle name="Normal 4 7 5 3 5 2" xfId="55781" xr:uid="{00000000-0005-0000-0000-000095820000}"/>
    <cellStyle name="Normal 4 7 5 3 6" xfId="23669" xr:uid="{00000000-0005-0000-0000-000096820000}"/>
    <cellStyle name="Normal 4 7 5 3 7" xfId="23670" xr:uid="{00000000-0005-0000-0000-000097820000}"/>
    <cellStyle name="Normal 4 7 5 3 8" xfId="23671" xr:uid="{00000000-0005-0000-0000-000098820000}"/>
    <cellStyle name="Normal 4 7 5 4" xfId="23672" xr:uid="{00000000-0005-0000-0000-000099820000}"/>
    <cellStyle name="Normal 4 7 5 4 2" xfId="23673" xr:uid="{00000000-0005-0000-0000-00009A820000}"/>
    <cellStyle name="Normal 4 7 5 4 2 2" xfId="23674" xr:uid="{00000000-0005-0000-0000-00009B820000}"/>
    <cellStyle name="Normal 4 7 5 4 2 2 2" xfId="55782" xr:uid="{00000000-0005-0000-0000-00009C820000}"/>
    <cellStyle name="Normal 4 7 5 4 2 2 3" xfId="55783" xr:uid="{00000000-0005-0000-0000-00009D820000}"/>
    <cellStyle name="Normal 4 7 5 4 2 3" xfId="23675" xr:uid="{00000000-0005-0000-0000-00009E820000}"/>
    <cellStyle name="Normal 4 7 5 4 2 3 2" xfId="55784" xr:uid="{00000000-0005-0000-0000-00009F820000}"/>
    <cellStyle name="Normal 4 7 5 4 2 4" xfId="23676" xr:uid="{00000000-0005-0000-0000-0000A0820000}"/>
    <cellStyle name="Normal 4 7 5 4 2 5" xfId="23677" xr:uid="{00000000-0005-0000-0000-0000A1820000}"/>
    <cellStyle name="Normal 4 7 5 4 2 6" xfId="23678" xr:uid="{00000000-0005-0000-0000-0000A2820000}"/>
    <cellStyle name="Normal 4 7 5 4 3" xfId="23679" xr:uid="{00000000-0005-0000-0000-0000A3820000}"/>
    <cellStyle name="Normal 4 7 5 4 3 2" xfId="55785" xr:uid="{00000000-0005-0000-0000-0000A4820000}"/>
    <cellStyle name="Normal 4 7 5 4 3 3" xfId="55786" xr:uid="{00000000-0005-0000-0000-0000A5820000}"/>
    <cellStyle name="Normal 4 7 5 4 4" xfId="23680" xr:uid="{00000000-0005-0000-0000-0000A6820000}"/>
    <cellStyle name="Normal 4 7 5 4 4 2" xfId="55787" xr:uid="{00000000-0005-0000-0000-0000A7820000}"/>
    <cellStyle name="Normal 4 7 5 4 5" xfId="23681" xr:uid="{00000000-0005-0000-0000-0000A8820000}"/>
    <cellStyle name="Normal 4 7 5 4 6" xfId="23682" xr:uid="{00000000-0005-0000-0000-0000A9820000}"/>
    <cellStyle name="Normal 4 7 5 4 7" xfId="23683" xr:uid="{00000000-0005-0000-0000-0000AA820000}"/>
    <cellStyle name="Normal 4 7 5 5" xfId="23684" xr:uid="{00000000-0005-0000-0000-0000AB820000}"/>
    <cellStyle name="Normal 4 7 5 5 2" xfId="23685" xr:uid="{00000000-0005-0000-0000-0000AC820000}"/>
    <cellStyle name="Normal 4 7 5 5 2 2" xfId="55788" xr:uid="{00000000-0005-0000-0000-0000AD820000}"/>
    <cellStyle name="Normal 4 7 5 5 2 3" xfId="55789" xr:uid="{00000000-0005-0000-0000-0000AE820000}"/>
    <cellStyle name="Normal 4 7 5 5 3" xfId="23686" xr:uid="{00000000-0005-0000-0000-0000AF820000}"/>
    <cellStyle name="Normal 4 7 5 5 3 2" xfId="55790" xr:uid="{00000000-0005-0000-0000-0000B0820000}"/>
    <cellStyle name="Normal 4 7 5 5 4" xfId="23687" xr:uid="{00000000-0005-0000-0000-0000B1820000}"/>
    <cellStyle name="Normal 4 7 5 5 5" xfId="23688" xr:uid="{00000000-0005-0000-0000-0000B2820000}"/>
    <cellStyle name="Normal 4 7 5 5 6" xfId="23689" xr:uid="{00000000-0005-0000-0000-0000B3820000}"/>
    <cellStyle name="Normal 4 7 5 6" xfId="23690" xr:uid="{00000000-0005-0000-0000-0000B4820000}"/>
    <cellStyle name="Normal 4 7 5 6 2" xfId="55791" xr:uid="{00000000-0005-0000-0000-0000B5820000}"/>
    <cellStyle name="Normal 4 7 5 6 3" xfId="55792" xr:uid="{00000000-0005-0000-0000-0000B6820000}"/>
    <cellStyle name="Normal 4 7 5 7" xfId="23691" xr:uid="{00000000-0005-0000-0000-0000B7820000}"/>
    <cellStyle name="Normal 4 7 5 7 2" xfId="55793" xr:uid="{00000000-0005-0000-0000-0000B8820000}"/>
    <cellStyle name="Normal 4 7 5 8" xfId="23692" xr:uid="{00000000-0005-0000-0000-0000B9820000}"/>
    <cellStyle name="Normal 4 7 5 9" xfId="23693" xr:uid="{00000000-0005-0000-0000-0000BA820000}"/>
    <cellStyle name="Normal 4 7 6" xfId="23694" xr:uid="{00000000-0005-0000-0000-0000BB820000}"/>
    <cellStyle name="Normal 4 7 6 10" xfId="23695" xr:uid="{00000000-0005-0000-0000-0000BC820000}"/>
    <cellStyle name="Normal 4 7 6 11" xfId="23696" xr:uid="{00000000-0005-0000-0000-0000BD820000}"/>
    <cellStyle name="Normal 4 7 6 12" xfId="23697" xr:uid="{00000000-0005-0000-0000-0000BE820000}"/>
    <cellStyle name="Normal 4 7 6 13" xfId="23698" xr:uid="{00000000-0005-0000-0000-0000BF820000}"/>
    <cellStyle name="Normal 4 7 6 2" xfId="23699" xr:uid="{00000000-0005-0000-0000-0000C0820000}"/>
    <cellStyle name="Normal 4 7 6 2 2" xfId="23700" xr:uid="{00000000-0005-0000-0000-0000C1820000}"/>
    <cellStyle name="Normal 4 7 6 2 2 2" xfId="23701" xr:uid="{00000000-0005-0000-0000-0000C2820000}"/>
    <cellStyle name="Normal 4 7 6 2 2 2 2" xfId="23702" xr:uid="{00000000-0005-0000-0000-0000C3820000}"/>
    <cellStyle name="Normal 4 7 6 2 2 2 2 2" xfId="55794" xr:uid="{00000000-0005-0000-0000-0000C4820000}"/>
    <cellStyle name="Normal 4 7 6 2 2 2 2 3" xfId="55795" xr:uid="{00000000-0005-0000-0000-0000C5820000}"/>
    <cellStyle name="Normal 4 7 6 2 2 2 3" xfId="23703" xr:uid="{00000000-0005-0000-0000-0000C6820000}"/>
    <cellStyle name="Normal 4 7 6 2 2 2 3 2" xfId="55796" xr:uid="{00000000-0005-0000-0000-0000C7820000}"/>
    <cellStyle name="Normal 4 7 6 2 2 2 4" xfId="23704" xr:uid="{00000000-0005-0000-0000-0000C8820000}"/>
    <cellStyle name="Normal 4 7 6 2 2 2 5" xfId="23705" xr:uid="{00000000-0005-0000-0000-0000C9820000}"/>
    <cellStyle name="Normal 4 7 6 2 2 2 6" xfId="23706" xr:uid="{00000000-0005-0000-0000-0000CA820000}"/>
    <cellStyle name="Normal 4 7 6 2 2 3" xfId="23707" xr:uid="{00000000-0005-0000-0000-0000CB820000}"/>
    <cellStyle name="Normal 4 7 6 2 2 3 2" xfId="55797" xr:uid="{00000000-0005-0000-0000-0000CC820000}"/>
    <cellStyle name="Normal 4 7 6 2 2 3 3" xfId="55798" xr:uid="{00000000-0005-0000-0000-0000CD820000}"/>
    <cellStyle name="Normal 4 7 6 2 2 4" xfId="23708" xr:uid="{00000000-0005-0000-0000-0000CE820000}"/>
    <cellStyle name="Normal 4 7 6 2 2 4 2" xfId="55799" xr:uid="{00000000-0005-0000-0000-0000CF820000}"/>
    <cellStyle name="Normal 4 7 6 2 2 5" xfId="23709" xr:uid="{00000000-0005-0000-0000-0000D0820000}"/>
    <cellStyle name="Normal 4 7 6 2 2 6" xfId="23710" xr:uid="{00000000-0005-0000-0000-0000D1820000}"/>
    <cellStyle name="Normal 4 7 6 2 2 7" xfId="23711" xr:uid="{00000000-0005-0000-0000-0000D2820000}"/>
    <cellStyle name="Normal 4 7 6 2 3" xfId="23712" xr:uid="{00000000-0005-0000-0000-0000D3820000}"/>
    <cellStyle name="Normal 4 7 6 2 3 2" xfId="23713" xr:uid="{00000000-0005-0000-0000-0000D4820000}"/>
    <cellStyle name="Normal 4 7 6 2 3 2 2" xfId="55800" xr:uid="{00000000-0005-0000-0000-0000D5820000}"/>
    <cellStyle name="Normal 4 7 6 2 3 2 3" xfId="55801" xr:uid="{00000000-0005-0000-0000-0000D6820000}"/>
    <cellStyle name="Normal 4 7 6 2 3 3" xfId="23714" xr:uid="{00000000-0005-0000-0000-0000D7820000}"/>
    <cellStyle name="Normal 4 7 6 2 3 3 2" xfId="55802" xr:uid="{00000000-0005-0000-0000-0000D8820000}"/>
    <cellStyle name="Normal 4 7 6 2 3 4" xfId="23715" xr:uid="{00000000-0005-0000-0000-0000D9820000}"/>
    <cellStyle name="Normal 4 7 6 2 3 5" xfId="23716" xr:uid="{00000000-0005-0000-0000-0000DA820000}"/>
    <cellStyle name="Normal 4 7 6 2 3 6" xfId="23717" xr:uid="{00000000-0005-0000-0000-0000DB820000}"/>
    <cellStyle name="Normal 4 7 6 2 4" xfId="23718" xr:uid="{00000000-0005-0000-0000-0000DC820000}"/>
    <cellStyle name="Normal 4 7 6 2 4 2" xfId="55803" xr:uid="{00000000-0005-0000-0000-0000DD820000}"/>
    <cellStyle name="Normal 4 7 6 2 4 3" xfId="55804" xr:uid="{00000000-0005-0000-0000-0000DE820000}"/>
    <cellStyle name="Normal 4 7 6 2 5" xfId="23719" xr:uid="{00000000-0005-0000-0000-0000DF820000}"/>
    <cellStyle name="Normal 4 7 6 2 5 2" xfId="55805" xr:uid="{00000000-0005-0000-0000-0000E0820000}"/>
    <cellStyle name="Normal 4 7 6 2 6" xfId="23720" xr:uid="{00000000-0005-0000-0000-0000E1820000}"/>
    <cellStyle name="Normal 4 7 6 2 7" xfId="23721" xr:uid="{00000000-0005-0000-0000-0000E2820000}"/>
    <cellStyle name="Normal 4 7 6 2 8" xfId="23722" xr:uid="{00000000-0005-0000-0000-0000E3820000}"/>
    <cellStyle name="Normal 4 7 6 2 9" xfId="23723" xr:uid="{00000000-0005-0000-0000-0000E4820000}"/>
    <cellStyle name="Normal 4 7 6 3" xfId="23724" xr:uid="{00000000-0005-0000-0000-0000E5820000}"/>
    <cellStyle name="Normal 4 7 6 3 2" xfId="23725" xr:uid="{00000000-0005-0000-0000-0000E6820000}"/>
    <cellStyle name="Normal 4 7 6 3 2 2" xfId="23726" xr:uid="{00000000-0005-0000-0000-0000E7820000}"/>
    <cellStyle name="Normal 4 7 6 3 2 2 2" xfId="55806" xr:uid="{00000000-0005-0000-0000-0000E8820000}"/>
    <cellStyle name="Normal 4 7 6 3 2 2 3" xfId="55807" xr:uid="{00000000-0005-0000-0000-0000E9820000}"/>
    <cellStyle name="Normal 4 7 6 3 2 3" xfId="23727" xr:uid="{00000000-0005-0000-0000-0000EA820000}"/>
    <cellStyle name="Normal 4 7 6 3 2 3 2" xfId="55808" xr:uid="{00000000-0005-0000-0000-0000EB820000}"/>
    <cellStyle name="Normal 4 7 6 3 2 4" xfId="23728" xr:uid="{00000000-0005-0000-0000-0000EC820000}"/>
    <cellStyle name="Normal 4 7 6 3 2 5" xfId="23729" xr:uid="{00000000-0005-0000-0000-0000ED820000}"/>
    <cellStyle name="Normal 4 7 6 3 2 6" xfId="23730" xr:uid="{00000000-0005-0000-0000-0000EE820000}"/>
    <cellStyle name="Normal 4 7 6 3 3" xfId="23731" xr:uid="{00000000-0005-0000-0000-0000EF820000}"/>
    <cellStyle name="Normal 4 7 6 3 3 2" xfId="55809" xr:uid="{00000000-0005-0000-0000-0000F0820000}"/>
    <cellStyle name="Normal 4 7 6 3 3 3" xfId="55810" xr:uid="{00000000-0005-0000-0000-0000F1820000}"/>
    <cellStyle name="Normal 4 7 6 3 4" xfId="23732" xr:uid="{00000000-0005-0000-0000-0000F2820000}"/>
    <cellStyle name="Normal 4 7 6 3 4 2" xfId="55811" xr:uid="{00000000-0005-0000-0000-0000F3820000}"/>
    <cellStyle name="Normal 4 7 6 3 5" xfId="23733" xr:uid="{00000000-0005-0000-0000-0000F4820000}"/>
    <cellStyle name="Normal 4 7 6 3 6" xfId="23734" xr:uid="{00000000-0005-0000-0000-0000F5820000}"/>
    <cellStyle name="Normal 4 7 6 3 7" xfId="23735" xr:uid="{00000000-0005-0000-0000-0000F6820000}"/>
    <cellStyle name="Normal 4 7 6 4" xfId="23736" xr:uid="{00000000-0005-0000-0000-0000F7820000}"/>
    <cellStyle name="Normal 4 7 6 4 2" xfId="23737" xr:uid="{00000000-0005-0000-0000-0000F8820000}"/>
    <cellStyle name="Normal 4 7 6 4 2 2" xfId="55812" xr:uid="{00000000-0005-0000-0000-0000F9820000}"/>
    <cellStyle name="Normal 4 7 6 4 2 3" xfId="55813" xr:uid="{00000000-0005-0000-0000-0000FA820000}"/>
    <cellStyle name="Normal 4 7 6 4 3" xfId="23738" xr:uid="{00000000-0005-0000-0000-0000FB820000}"/>
    <cellStyle name="Normal 4 7 6 4 3 2" xfId="55814" xr:uid="{00000000-0005-0000-0000-0000FC820000}"/>
    <cellStyle name="Normal 4 7 6 4 4" xfId="23739" xr:uid="{00000000-0005-0000-0000-0000FD820000}"/>
    <cellStyle name="Normal 4 7 6 4 5" xfId="23740" xr:uid="{00000000-0005-0000-0000-0000FE820000}"/>
    <cellStyle name="Normal 4 7 6 4 6" xfId="23741" xr:uid="{00000000-0005-0000-0000-0000FF820000}"/>
    <cellStyle name="Normal 4 7 6 5" xfId="23742" xr:uid="{00000000-0005-0000-0000-000000830000}"/>
    <cellStyle name="Normal 4 7 6 5 2" xfId="55815" xr:uid="{00000000-0005-0000-0000-000001830000}"/>
    <cellStyle name="Normal 4 7 6 5 3" xfId="55816" xr:uid="{00000000-0005-0000-0000-000002830000}"/>
    <cellStyle name="Normal 4 7 6 6" xfId="23743" xr:uid="{00000000-0005-0000-0000-000003830000}"/>
    <cellStyle name="Normal 4 7 6 6 2" xfId="55817" xr:uid="{00000000-0005-0000-0000-000004830000}"/>
    <cellStyle name="Normal 4 7 6 7" xfId="23744" xr:uid="{00000000-0005-0000-0000-000005830000}"/>
    <cellStyle name="Normal 4 7 6 8" xfId="23745" xr:uid="{00000000-0005-0000-0000-000006830000}"/>
    <cellStyle name="Normal 4 7 6 9" xfId="23746" xr:uid="{00000000-0005-0000-0000-000007830000}"/>
    <cellStyle name="Normal 4 7 7" xfId="23747" xr:uid="{00000000-0005-0000-0000-000008830000}"/>
    <cellStyle name="Normal 4 7 7 2" xfId="23748" xr:uid="{00000000-0005-0000-0000-000009830000}"/>
    <cellStyle name="Normal 4 7 7 2 2" xfId="23749" xr:uid="{00000000-0005-0000-0000-00000A830000}"/>
    <cellStyle name="Normal 4 7 7 2 2 2" xfId="23750" xr:uid="{00000000-0005-0000-0000-00000B830000}"/>
    <cellStyle name="Normal 4 7 7 2 2 2 2" xfId="55818" xr:uid="{00000000-0005-0000-0000-00000C830000}"/>
    <cellStyle name="Normal 4 7 7 2 2 2 3" xfId="55819" xr:uid="{00000000-0005-0000-0000-00000D830000}"/>
    <cellStyle name="Normal 4 7 7 2 2 3" xfId="23751" xr:uid="{00000000-0005-0000-0000-00000E830000}"/>
    <cellStyle name="Normal 4 7 7 2 2 3 2" xfId="55820" xr:uid="{00000000-0005-0000-0000-00000F830000}"/>
    <cellStyle name="Normal 4 7 7 2 2 4" xfId="23752" xr:uid="{00000000-0005-0000-0000-000010830000}"/>
    <cellStyle name="Normal 4 7 7 2 2 5" xfId="23753" xr:uid="{00000000-0005-0000-0000-000011830000}"/>
    <cellStyle name="Normal 4 7 7 2 2 6" xfId="23754" xr:uid="{00000000-0005-0000-0000-000012830000}"/>
    <cellStyle name="Normal 4 7 7 2 3" xfId="23755" xr:uid="{00000000-0005-0000-0000-000013830000}"/>
    <cellStyle name="Normal 4 7 7 2 3 2" xfId="55821" xr:uid="{00000000-0005-0000-0000-000014830000}"/>
    <cellStyle name="Normal 4 7 7 2 3 3" xfId="55822" xr:uid="{00000000-0005-0000-0000-000015830000}"/>
    <cellStyle name="Normal 4 7 7 2 4" xfId="23756" xr:uid="{00000000-0005-0000-0000-000016830000}"/>
    <cellStyle name="Normal 4 7 7 2 4 2" xfId="55823" xr:uid="{00000000-0005-0000-0000-000017830000}"/>
    <cellStyle name="Normal 4 7 7 2 5" xfId="23757" xr:uid="{00000000-0005-0000-0000-000018830000}"/>
    <cellStyle name="Normal 4 7 7 2 6" xfId="23758" xr:uid="{00000000-0005-0000-0000-000019830000}"/>
    <cellStyle name="Normal 4 7 7 2 7" xfId="23759" xr:uid="{00000000-0005-0000-0000-00001A830000}"/>
    <cellStyle name="Normal 4 7 7 3" xfId="23760" xr:uid="{00000000-0005-0000-0000-00001B830000}"/>
    <cellStyle name="Normal 4 7 7 3 2" xfId="23761" xr:uid="{00000000-0005-0000-0000-00001C830000}"/>
    <cellStyle name="Normal 4 7 7 3 2 2" xfId="55824" xr:uid="{00000000-0005-0000-0000-00001D830000}"/>
    <cellStyle name="Normal 4 7 7 3 2 3" xfId="55825" xr:uid="{00000000-0005-0000-0000-00001E830000}"/>
    <cellStyle name="Normal 4 7 7 3 3" xfId="23762" xr:uid="{00000000-0005-0000-0000-00001F830000}"/>
    <cellStyle name="Normal 4 7 7 3 3 2" xfId="55826" xr:uid="{00000000-0005-0000-0000-000020830000}"/>
    <cellStyle name="Normal 4 7 7 3 4" xfId="23763" xr:uid="{00000000-0005-0000-0000-000021830000}"/>
    <cellStyle name="Normal 4 7 7 3 5" xfId="23764" xr:uid="{00000000-0005-0000-0000-000022830000}"/>
    <cellStyle name="Normal 4 7 7 3 6" xfId="23765" xr:uid="{00000000-0005-0000-0000-000023830000}"/>
    <cellStyle name="Normal 4 7 7 4" xfId="23766" xr:uid="{00000000-0005-0000-0000-000024830000}"/>
    <cellStyle name="Normal 4 7 7 4 2" xfId="55827" xr:uid="{00000000-0005-0000-0000-000025830000}"/>
    <cellStyle name="Normal 4 7 7 4 3" xfId="55828" xr:uid="{00000000-0005-0000-0000-000026830000}"/>
    <cellStyle name="Normal 4 7 7 5" xfId="23767" xr:uid="{00000000-0005-0000-0000-000027830000}"/>
    <cellStyle name="Normal 4 7 7 5 2" xfId="55829" xr:uid="{00000000-0005-0000-0000-000028830000}"/>
    <cellStyle name="Normal 4 7 7 6" xfId="23768" xr:uid="{00000000-0005-0000-0000-000029830000}"/>
    <cellStyle name="Normal 4 7 7 7" xfId="23769" xr:uid="{00000000-0005-0000-0000-00002A830000}"/>
    <cellStyle name="Normal 4 7 7 8" xfId="23770" xr:uid="{00000000-0005-0000-0000-00002B830000}"/>
    <cellStyle name="Normal 4 7 7 9" xfId="23771" xr:uid="{00000000-0005-0000-0000-00002C830000}"/>
    <cellStyle name="Normal 4 7 8" xfId="23772" xr:uid="{00000000-0005-0000-0000-00002D830000}"/>
    <cellStyle name="Normal 4 7 8 2" xfId="23773" xr:uid="{00000000-0005-0000-0000-00002E830000}"/>
    <cellStyle name="Normal 4 7 8 2 2" xfId="23774" xr:uid="{00000000-0005-0000-0000-00002F830000}"/>
    <cellStyle name="Normal 4 7 8 2 2 2" xfId="23775" xr:uid="{00000000-0005-0000-0000-000030830000}"/>
    <cellStyle name="Normal 4 7 8 2 2 2 2" xfId="55830" xr:uid="{00000000-0005-0000-0000-000031830000}"/>
    <cellStyle name="Normal 4 7 8 2 2 2 3" xfId="55831" xr:uid="{00000000-0005-0000-0000-000032830000}"/>
    <cellStyle name="Normal 4 7 8 2 2 3" xfId="23776" xr:uid="{00000000-0005-0000-0000-000033830000}"/>
    <cellStyle name="Normal 4 7 8 2 2 3 2" xfId="55832" xr:uid="{00000000-0005-0000-0000-000034830000}"/>
    <cellStyle name="Normal 4 7 8 2 2 4" xfId="23777" xr:uid="{00000000-0005-0000-0000-000035830000}"/>
    <cellStyle name="Normal 4 7 8 2 2 5" xfId="23778" xr:uid="{00000000-0005-0000-0000-000036830000}"/>
    <cellStyle name="Normal 4 7 8 2 2 6" xfId="23779" xr:uid="{00000000-0005-0000-0000-000037830000}"/>
    <cellStyle name="Normal 4 7 8 2 3" xfId="23780" xr:uid="{00000000-0005-0000-0000-000038830000}"/>
    <cellStyle name="Normal 4 7 8 2 3 2" xfId="55833" xr:uid="{00000000-0005-0000-0000-000039830000}"/>
    <cellStyle name="Normal 4 7 8 2 3 3" xfId="55834" xr:uid="{00000000-0005-0000-0000-00003A830000}"/>
    <cellStyle name="Normal 4 7 8 2 4" xfId="23781" xr:uid="{00000000-0005-0000-0000-00003B830000}"/>
    <cellStyle name="Normal 4 7 8 2 4 2" xfId="55835" xr:uid="{00000000-0005-0000-0000-00003C830000}"/>
    <cellStyle name="Normal 4 7 8 2 5" xfId="23782" xr:uid="{00000000-0005-0000-0000-00003D830000}"/>
    <cellStyle name="Normal 4 7 8 2 6" xfId="23783" xr:uid="{00000000-0005-0000-0000-00003E830000}"/>
    <cellStyle name="Normal 4 7 8 2 7" xfId="23784" xr:uid="{00000000-0005-0000-0000-00003F830000}"/>
    <cellStyle name="Normal 4 7 8 3" xfId="23785" xr:uid="{00000000-0005-0000-0000-000040830000}"/>
    <cellStyle name="Normal 4 7 8 3 2" xfId="23786" xr:uid="{00000000-0005-0000-0000-000041830000}"/>
    <cellStyle name="Normal 4 7 8 3 2 2" xfId="55836" xr:uid="{00000000-0005-0000-0000-000042830000}"/>
    <cellStyle name="Normal 4 7 8 3 2 3" xfId="55837" xr:uid="{00000000-0005-0000-0000-000043830000}"/>
    <cellStyle name="Normal 4 7 8 3 3" xfId="23787" xr:uid="{00000000-0005-0000-0000-000044830000}"/>
    <cellStyle name="Normal 4 7 8 3 3 2" xfId="55838" xr:uid="{00000000-0005-0000-0000-000045830000}"/>
    <cellStyle name="Normal 4 7 8 3 4" xfId="23788" xr:uid="{00000000-0005-0000-0000-000046830000}"/>
    <cellStyle name="Normal 4 7 8 3 5" xfId="23789" xr:uid="{00000000-0005-0000-0000-000047830000}"/>
    <cellStyle name="Normal 4 7 8 3 6" xfId="23790" xr:uid="{00000000-0005-0000-0000-000048830000}"/>
    <cellStyle name="Normal 4 7 8 4" xfId="23791" xr:uid="{00000000-0005-0000-0000-000049830000}"/>
    <cellStyle name="Normal 4 7 8 4 2" xfId="55839" xr:uid="{00000000-0005-0000-0000-00004A830000}"/>
    <cellStyle name="Normal 4 7 8 4 3" xfId="55840" xr:uid="{00000000-0005-0000-0000-00004B830000}"/>
    <cellStyle name="Normal 4 7 8 5" xfId="23792" xr:uid="{00000000-0005-0000-0000-00004C830000}"/>
    <cellStyle name="Normal 4 7 8 5 2" xfId="55841" xr:uid="{00000000-0005-0000-0000-00004D830000}"/>
    <cellStyle name="Normal 4 7 8 6" xfId="23793" xr:uid="{00000000-0005-0000-0000-00004E830000}"/>
    <cellStyle name="Normal 4 7 8 7" xfId="23794" xr:uid="{00000000-0005-0000-0000-00004F830000}"/>
    <cellStyle name="Normal 4 7 8 8" xfId="23795" xr:uid="{00000000-0005-0000-0000-000050830000}"/>
    <cellStyle name="Normal 4 7 9" xfId="23796" xr:uid="{00000000-0005-0000-0000-000051830000}"/>
    <cellStyle name="Normal 4 7 9 2" xfId="23797" xr:uid="{00000000-0005-0000-0000-000052830000}"/>
    <cellStyle name="Normal 4 7 9 2 2" xfId="23798" xr:uid="{00000000-0005-0000-0000-000053830000}"/>
    <cellStyle name="Normal 4 7 9 2 2 2" xfId="23799" xr:uid="{00000000-0005-0000-0000-000054830000}"/>
    <cellStyle name="Normal 4 7 9 2 2 2 2" xfId="55842" xr:uid="{00000000-0005-0000-0000-000055830000}"/>
    <cellStyle name="Normal 4 7 9 2 2 2 3" xfId="55843" xr:uid="{00000000-0005-0000-0000-000056830000}"/>
    <cellStyle name="Normal 4 7 9 2 2 3" xfId="23800" xr:uid="{00000000-0005-0000-0000-000057830000}"/>
    <cellStyle name="Normal 4 7 9 2 2 3 2" xfId="55844" xr:uid="{00000000-0005-0000-0000-000058830000}"/>
    <cellStyle name="Normal 4 7 9 2 2 4" xfId="23801" xr:uid="{00000000-0005-0000-0000-000059830000}"/>
    <cellStyle name="Normal 4 7 9 2 2 5" xfId="23802" xr:uid="{00000000-0005-0000-0000-00005A830000}"/>
    <cellStyle name="Normal 4 7 9 2 2 6" xfId="23803" xr:uid="{00000000-0005-0000-0000-00005B830000}"/>
    <cellStyle name="Normal 4 7 9 2 3" xfId="23804" xr:uid="{00000000-0005-0000-0000-00005C830000}"/>
    <cellStyle name="Normal 4 7 9 2 3 2" xfId="55845" xr:uid="{00000000-0005-0000-0000-00005D830000}"/>
    <cellStyle name="Normal 4 7 9 2 3 3" xfId="55846" xr:uid="{00000000-0005-0000-0000-00005E830000}"/>
    <cellStyle name="Normal 4 7 9 2 4" xfId="23805" xr:uid="{00000000-0005-0000-0000-00005F830000}"/>
    <cellStyle name="Normal 4 7 9 2 4 2" xfId="55847" xr:uid="{00000000-0005-0000-0000-000060830000}"/>
    <cellStyle name="Normal 4 7 9 2 5" xfId="23806" xr:uid="{00000000-0005-0000-0000-000061830000}"/>
    <cellStyle name="Normal 4 7 9 2 6" xfId="23807" xr:uid="{00000000-0005-0000-0000-000062830000}"/>
    <cellStyle name="Normal 4 7 9 2 7" xfId="23808" xr:uid="{00000000-0005-0000-0000-000063830000}"/>
    <cellStyle name="Normal 4 7 9 3" xfId="23809" xr:uid="{00000000-0005-0000-0000-000064830000}"/>
    <cellStyle name="Normal 4 7 9 3 2" xfId="23810" xr:uid="{00000000-0005-0000-0000-000065830000}"/>
    <cellStyle name="Normal 4 7 9 3 2 2" xfId="55848" xr:uid="{00000000-0005-0000-0000-000066830000}"/>
    <cellStyle name="Normal 4 7 9 3 2 3" xfId="55849" xr:uid="{00000000-0005-0000-0000-000067830000}"/>
    <cellStyle name="Normal 4 7 9 3 3" xfId="23811" xr:uid="{00000000-0005-0000-0000-000068830000}"/>
    <cellStyle name="Normal 4 7 9 3 3 2" xfId="55850" xr:uid="{00000000-0005-0000-0000-000069830000}"/>
    <cellStyle name="Normal 4 7 9 3 4" xfId="23812" xr:uid="{00000000-0005-0000-0000-00006A830000}"/>
    <cellStyle name="Normal 4 7 9 3 5" xfId="23813" xr:uid="{00000000-0005-0000-0000-00006B830000}"/>
    <cellStyle name="Normal 4 7 9 3 6" xfId="23814" xr:uid="{00000000-0005-0000-0000-00006C830000}"/>
    <cellStyle name="Normal 4 7 9 4" xfId="23815" xr:uid="{00000000-0005-0000-0000-00006D830000}"/>
    <cellStyle name="Normal 4 7 9 4 2" xfId="55851" xr:uid="{00000000-0005-0000-0000-00006E830000}"/>
    <cellStyle name="Normal 4 7 9 4 3" xfId="55852" xr:uid="{00000000-0005-0000-0000-00006F830000}"/>
    <cellStyle name="Normal 4 7 9 5" xfId="23816" xr:uid="{00000000-0005-0000-0000-000070830000}"/>
    <cellStyle name="Normal 4 7 9 5 2" xfId="55853" xr:uid="{00000000-0005-0000-0000-000071830000}"/>
    <cellStyle name="Normal 4 7 9 6" xfId="23817" xr:uid="{00000000-0005-0000-0000-000072830000}"/>
    <cellStyle name="Normal 4 7 9 7" xfId="23818" xr:uid="{00000000-0005-0000-0000-000073830000}"/>
    <cellStyle name="Normal 4 7 9 8" xfId="23819" xr:uid="{00000000-0005-0000-0000-000074830000}"/>
    <cellStyle name="Normal 4 8" xfId="23820" xr:uid="{00000000-0005-0000-0000-000075830000}"/>
    <cellStyle name="Normal 4 8 10" xfId="23821" xr:uid="{00000000-0005-0000-0000-000076830000}"/>
    <cellStyle name="Normal 4 8 10 2" xfId="23822" xr:uid="{00000000-0005-0000-0000-000077830000}"/>
    <cellStyle name="Normal 4 8 10 2 2" xfId="23823" xr:uid="{00000000-0005-0000-0000-000078830000}"/>
    <cellStyle name="Normal 4 8 10 2 2 2" xfId="55854" xr:uid="{00000000-0005-0000-0000-000079830000}"/>
    <cellStyle name="Normal 4 8 10 2 2 3" xfId="55855" xr:uid="{00000000-0005-0000-0000-00007A830000}"/>
    <cellStyle name="Normal 4 8 10 2 3" xfId="23824" xr:uid="{00000000-0005-0000-0000-00007B830000}"/>
    <cellStyle name="Normal 4 8 10 2 3 2" xfId="55856" xr:uid="{00000000-0005-0000-0000-00007C830000}"/>
    <cellStyle name="Normal 4 8 10 2 4" xfId="23825" xr:uid="{00000000-0005-0000-0000-00007D830000}"/>
    <cellStyle name="Normal 4 8 10 2 5" xfId="23826" xr:uid="{00000000-0005-0000-0000-00007E830000}"/>
    <cellStyle name="Normal 4 8 10 2 6" xfId="23827" xr:uid="{00000000-0005-0000-0000-00007F830000}"/>
    <cellStyle name="Normal 4 8 10 3" xfId="23828" xr:uid="{00000000-0005-0000-0000-000080830000}"/>
    <cellStyle name="Normal 4 8 10 3 2" xfId="55857" xr:uid="{00000000-0005-0000-0000-000081830000}"/>
    <cellStyle name="Normal 4 8 10 3 3" xfId="55858" xr:uid="{00000000-0005-0000-0000-000082830000}"/>
    <cellStyle name="Normal 4 8 10 4" xfId="23829" xr:uid="{00000000-0005-0000-0000-000083830000}"/>
    <cellStyle name="Normal 4 8 10 4 2" xfId="55859" xr:uid="{00000000-0005-0000-0000-000084830000}"/>
    <cellStyle name="Normal 4 8 10 5" xfId="23830" xr:uid="{00000000-0005-0000-0000-000085830000}"/>
    <cellStyle name="Normal 4 8 10 6" xfId="23831" xr:uid="{00000000-0005-0000-0000-000086830000}"/>
    <cellStyle name="Normal 4 8 10 7" xfId="23832" xr:uid="{00000000-0005-0000-0000-000087830000}"/>
    <cellStyle name="Normal 4 8 11" xfId="23833" xr:uid="{00000000-0005-0000-0000-000088830000}"/>
    <cellStyle name="Normal 4 8 11 2" xfId="23834" xr:uid="{00000000-0005-0000-0000-000089830000}"/>
    <cellStyle name="Normal 4 8 11 2 2" xfId="55860" xr:uid="{00000000-0005-0000-0000-00008A830000}"/>
    <cellStyle name="Normal 4 8 11 2 3" xfId="55861" xr:uid="{00000000-0005-0000-0000-00008B830000}"/>
    <cellStyle name="Normal 4 8 11 3" xfId="23835" xr:uid="{00000000-0005-0000-0000-00008C830000}"/>
    <cellStyle name="Normal 4 8 11 3 2" xfId="55862" xr:uid="{00000000-0005-0000-0000-00008D830000}"/>
    <cellStyle name="Normal 4 8 11 4" xfId="23836" xr:uid="{00000000-0005-0000-0000-00008E830000}"/>
    <cellStyle name="Normal 4 8 11 5" xfId="23837" xr:uid="{00000000-0005-0000-0000-00008F830000}"/>
    <cellStyle name="Normal 4 8 11 6" xfId="23838" xr:uid="{00000000-0005-0000-0000-000090830000}"/>
    <cellStyle name="Normal 4 8 12" xfId="23839" xr:uid="{00000000-0005-0000-0000-000091830000}"/>
    <cellStyle name="Normal 4 8 12 2" xfId="55863" xr:uid="{00000000-0005-0000-0000-000092830000}"/>
    <cellStyle name="Normal 4 8 12 3" xfId="55864" xr:uid="{00000000-0005-0000-0000-000093830000}"/>
    <cellStyle name="Normal 4 8 13" xfId="23840" xr:uid="{00000000-0005-0000-0000-000094830000}"/>
    <cellStyle name="Normal 4 8 13 2" xfId="55865" xr:uid="{00000000-0005-0000-0000-000095830000}"/>
    <cellStyle name="Normal 4 8 14" xfId="23841" xr:uid="{00000000-0005-0000-0000-000096830000}"/>
    <cellStyle name="Normal 4 8 14 2" xfId="55866" xr:uid="{00000000-0005-0000-0000-000097830000}"/>
    <cellStyle name="Normal 4 8 15" xfId="23842" xr:uid="{00000000-0005-0000-0000-000098830000}"/>
    <cellStyle name="Normal 4 8 16" xfId="23843" xr:uid="{00000000-0005-0000-0000-000099830000}"/>
    <cellStyle name="Normal 4 8 17" xfId="23844" xr:uid="{00000000-0005-0000-0000-00009A830000}"/>
    <cellStyle name="Normal 4 8 18" xfId="23845" xr:uid="{00000000-0005-0000-0000-00009B830000}"/>
    <cellStyle name="Normal 4 8 19" xfId="23846" xr:uid="{00000000-0005-0000-0000-00009C830000}"/>
    <cellStyle name="Normal 4 8 2" xfId="23847" xr:uid="{00000000-0005-0000-0000-00009D830000}"/>
    <cellStyle name="Normal 4 8 2 10" xfId="23848" xr:uid="{00000000-0005-0000-0000-00009E830000}"/>
    <cellStyle name="Normal 4 8 2 11" xfId="23849" xr:uid="{00000000-0005-0000-0000-00009F830000}"/>
    <cellStyle name="Normal 4 8 2 12" xfId="23850" xr:uid="{00000000-0005-0000-0000-0000A0830000}"/>
    <cellStyle name="Normal 4 8 2 13" xfId="23851" xr:uid="{00000000-0005-0000-0000-0000A1830000}"/>
    <cellStyle name="Normal 4 8 2 14" xfId="23852" xr:uid="{00000000-0005-0000-0000-0000A2830000}"/>
    <cellStyle name="Normal 4 8 2 15" xfId="23853" xr:uid="{00000000-0005-0000-0000-0000A3830000}"/>
    <cellStyle name="Normal 4 8 2 2" xfId="23854" xr:uid="{00000000-0005-0000-0000-0000A4830000}"/>
    <cellStyle name="Normal 4 8 2 2 10" xfId="23855" xr:uid="{00000000-0005-0000-0000-0000A5830000}"/>
    <cellStyle name="Normal 4 8 2 2 11" xfId="23856" xr:uid="{00000000-0005-0000-0000-0000A6830000}"/>
    <cellStyle name="Normal 4 8 2 2 12" xfId="23857" xr:uid="{00000000-0005-0000-0000-0000A7830000}"/>
    <cellStyle name="Normal 4 8 2 2 13" xfId="23858" xr:uid="{00000000-0005-0000-0000-0000A8830000}"/>
    <cellStyle name="Normal 4 8 2 2 14" xfId="23859" xr:uid="{00000000-0005-0000-0000-0000A9830000}"/>
    <cellStyle name="Normal 4 8 2 2 2" xfId="23860" xr:uid="{00000000-0005-0000-0000-0000AA830000}"/>
    <cellStyle name="Normal 4 8 2 2 2 2" xfId="23861" xr:uid="{00000000-0005-0000-0000-0000AB830000}"/>
    <cellStyle name="Normal 4 8 2 2 2 2 2" xfId="23862" xr:uid="{00000000-0005-0000-0000-0000AC830000}"/>
    <cellStyle name="Normal 4 8 2 2 2 2 2 2" xfId="23863" xr:uid="{00000000-0005-0000-0000-0000AD830000}"/>
    <cellStyle name="Normal 4 8 2 2 2 2 2 2 2" xfId="55867" xr:uid="{00000000-0005-0000-0000-0000AE830000}"/>
    <cellStyle name="Normal 4 8 2 2 2 2 2 2 3" xfId="55868" xr:uid="{00000000-0005-0000-0000-0000AF830000}"/>
    <cellStyle name="Normal 4 8 2 2 2 2 2 3" xfId="23864" xr:uid="{00000000-0005-0000-0000-0000B0830000}"/>
    <cellStyle name="Normal 4 8 2 2 2 2 2 3 2" xfId="55869" xr:uid="{00000000-0005-0000-0000-0000B1830000}"/>
    <cellStyle name="Normal 4 8 2 2 2 2 2 4" xfId="23865" xr:uid="{00000000-0005-0000-0000-0000B2830000}"/>
    <cellStyle name="Normal 4 8 2 2 2 2 2 5" xfId="23866" xr:uid="{00000000-0005-0000-0000-0000B3830000}"/>
    <cellStyle name="Normal 4 8 2 2 2 2 2 6" xfId="23867" xr:uid="{00000000-0005-0000-0000-0000B4830000}"/>
    <cellStyle name="Normal 4 8 2 2 2 2 3" xfId="23868" xr:uid="{00000000-0005-0000-0000-0000B5830000}"/>
    <cellStyle name="Normal 4 8 2 2 2 2 3 2" xfId="55870" xr:uid="{00000000-0005-0000-0000-0000B6830000}"/>
    <cellStyle name="Normal 4 8 2 2 2 2 3 3" xfId="55871" xr:uid="{00000000-0005-0000-0000-0000B7830000}"/>
    <cellStyle name="Normal 4 8 2 2 2 2 4" xfId="23869" xr:uid="{00000000-0005-0000-0000-0000B8830000}"/>
    <cellStyle name="Normal 4 8 2 2 2 2 4 2" xfId="55872" xr:uid="{00000000-0005-0000-0000-0000B9830000}"/>
    <cellStyle name="Normal 4 8 2 2 2 2 5" xfId="23870" xr:uid="{00000000-0005-0000-0000-0000BA830000}"/>
    <cellStyle name="Normal 4 8 2 2 2 2 6" xfId="23871" xr:uid="{00000000-0005-0000-0000-0000BB830000}"/>
    <cellStyle name="Normal 4 8 2 2 2 2 7" xfId="23872" xr:uid="{00000000-0005-0000-0000-0000BC830000}"/>
    <cellStyle name="Normal 4 8 2 2 2 3" xfId="23873" xr:uid="{00000000-0005-0000-0000-0000BD830000}"/>
    <cellStyle name="Normal 4 8 2 2 2 3 2" xfId="23874" xr:uid="{00000000-0005-0000-0000-0000BE830000}"/>
    <cellStyle name="Normal 4 8 2 2 2 3 2 2" xfId="55873" xr:uid="{00000000-0005-0000-0000-0000BF830000}"/>
    <cellStyle name="Normal 4 8 2 2 2 3 2 3" xfId="55874" xr:uid="{00000000-0005-0000-0000-0000C0830000}"/>
    <cellStyle name="Normal 4 8 2 2 2 3 3" xfId="23875" xr:uid="{00000000-0005-0000-0000-0000C1830000}"/>
    <cellStyle name="Normal 4 8 2 2 2 3 3 2" xfId="55875" xr:uid="{00000000-0005-0000-0000-0000C2830000}"/>
    <cellStyle name="Normal 4 8 2 2 2 3 4" xfId="23876" xr:uid="{00000000-0005-0000-0000-0000C3830000}"/>
    <cellStyle name="Normal 4 8 2 2 2 3 5" xfId="23877" xr:uid="{00000000-0005-0000-0000-0000C4830000}"/>
    <cellStyle name="Normal 4 8 2 2 2 3 6" xfId="23878" xr:uid="{00000000-0005-0000-0000-0000C5830000}"/>
    <cellStyle name="Normal 4 8 2 2 2 4" xfId="23879" xr:uid="{00000000-0005-0000-0000-0000C6830000}"/>
    <cellStyle name="Normal 4 8 2 2 2 4 2" xfId="55876" xr:uid="{00000000-0005-0000-0000-0000C7830000}"/>
    <cellStyle name="Normal 4 8 2 2 2 4 3" xfId="55877" xr:uid="{00000000-0005-0000-0000-0000C8830000}"/>
    <cellStyle name="Normal 4 8 2 2 2 5" xfId="23880" xr:uid="{00000000-0005-0000-0000-0000C9830000}"/>
    <cellStyle name="Normal 4 8 2 2 2 5 2" xfId="55878" xr:uid="{00000000-0005-0000-0000-0000CA830000}"/>
    <cellStyle name="Normal 4 8 2 2 2 6" xfId="23881" xr:uid="{00000000-0005-0000-0000-0000CB830000}"/>
    <cellStyle name="Normal 4 8 2 2 2 7" xfId="23882" xr:uid="{00000000-0005-0000-0000-0000CC830000}"/>
    <cellStyle name="Normal 4 8 2 2 2 8" xfId="23883" xr:uid="{00000000-0005-0000-0000-0000CD830000}"/>
    <cellStyle name="Normal 4 8 2 2 2 9" xfId="23884" xr:uid="{00000000-0005-0000-0000-0000CE830000}"/>
    <cellStyle name="Normal 4 8 2 2 3" xfId="23885" xr:uid="{00000000-0005-0000-0000-0000CF830000}"/>
    <cellStyle name="Normal 4 8 2 2 3 2" xfId="23886" xr:uid="{00000000-0005-0000-0000-0000D0830000}"/>
    <cellStyle name="Normal 4 8 2 2 3 2 2" xfId="23887" xr:uid="{00000000-0005-0000-0000-0000D1830000}"/>
    <cellStyle name="Normal 4 8 2 2 3 2 2 2" xfId="23888" xr:uid="{00000000-0005-0000-0000-0000D2830000}"/>
    <cellStyle name="Normal 4 8 2 2 3 2 2 2 2" xfId="55879" xr:uid="{00000000-0005-0000-0000-0000D3830000}"/>
    <cellStyle name="Normal 4 8 2 2 3 2 2 2 3" xfId="55880" xr:uid="{00000000-0005-0000-0000-0000D4830000}"/>
    <cellStyle name="Normal 4 8 2 2 3 2 2 3" xfId="23889" xr:uid="{00000000-0005-0000-0000-0000D5830000}"/>
    <cellStyle name="Normal 4 8 2 2 3 2 2 3 2" xfId="55881" xr:uid="{00000000-0005-0000-0000-0000D6830000}"/>
    <cellStyle name="Normal 4 8 2 2 3 2 2 4" xfId="23890" xr:uid="{00000000-0005-0000-0000-0000D7830000}"/>
    <cellStyle name="Normal 4 8 2 2 3 2 2 5" xfId="23891" xr:uid="{00000000-0005-0000-0000-0000D8830000}"/>
    <cellStyle name="Normal 4 8 2 2 3 2 2 6" xfId="23892" xr:uid="{00000000-0005-0000-0000-0000D9830000}"/>
    <cellStyle name="Normal 4 8 2 2 3 2 3" xfId="23893" xr:uid="{00000000-0005-0000-0000-0000DA830000}"/>
    <cellStyle name="Normal 4 8 2 2 3 2 3 2" xfId="55882" xr:uid="{00000000-0005-0000-0000-0000DB830000}"/>
    <cellStyle name="Normal 4 8 2 2 3 2 3 3" xfId="55883" xr:uid="{00000000-0005-0000-0000-0000DC830000}"/>
    <cellStyle name="Normal 4 8 2 2 3 2 4" xfId="23894" xr:uid="{00000000-0005-0000-0000-0000DD830000}"/>
    <cellStyle name="Normal 4 8 2 2 3 2 4 2" xfId="55884" xr:uid="{00000000-0005-0000-0000-0000DE830000}"/>
    <cellStyle name="Normal 4 8 2 2 3 2 5" xfId="23895" xr:uid="{00000000-0005-0000-0000-0000DF830000}"/>
    <cellStyle name="Normal 4 8 2 2 3 2 6" xfId="23896" xr:uid="{00000000-0005-0000-0000-0000E0830000}"/>
    <cellStyle name="Normal 4 8 2 2 3 2 7" xfId="23897" xr:uid="{00000000-0005-0000-0000-0000E1830000}"/>
    <cellStyle name="Normal 4 8 2 2 3 3" xfId="23898" xr:uid="{00000000-0005-0000-0000-0000E2830000}"/>
    <cellStyle name="Normal 4 8 2 2 3 3 2" xfId="23899" xr:uid="{00000000-0005-0000-0000-0000E3830000}"/>
    <cellStyle name="Normal 4 8 2 2 3 3 2 2" xfId="55885" xr:uid="{00000000-0005-0000-0000-0000E4830000}"/>
    <cellStyle name="Normal 4 8 2 2 3 3 2 3" xfId="55886" xr:uid="{00000000-0005-0000-0000-0000E5830000}"/>
    <cellStyle name="Normal 4 8 2 2 3 3 3" xfId="23900" xr:uid="{00000000-0005-0000-0000-0000E6830000}"/>
    <cellStyle name="Normal 4 8 2 2 3 3 3 2" xfId="55887" xr:uid="{00000000-0005-0000-0000-0000E7830000}"/>
    <cellStyle name="Normal 4 8 2 2 3 3 4" xfId="23901" xr:uid="{00000000-0005-0000-0000-0000E8830000}"/>
    <cellStyle name="Normal 4 8 2 2 3 3 5" xfId="23902" xr:uid="{00000000-0005-0000-0000-0000E9830000}"/>
    <cellStyle name="Normal 4 8 2 2 3 3 6" xfId="23903" xr:uid="{00000000-0005-0000-0000-0000EA830000}"/>
    <cellStyle name="Normal 4 8 2 2 3 4" xfId="23904" xr:uid="{00000000-0005-0000-0000-0000EB830000}"/>
    <cellStyle name="Normal 4 8 2 2 3 4 2" xfId="55888" xr:uid="{00000000-0005-0000-0000-0000EC830000}"/>
    <cellStyle name="Normal 4 8 2 2 3 4 3" xfId="55889" xr:uid="{00000000-0005-0000-0000-0000ED830000}"/>
    <cellStyle name="Normal 4 8 2 2 3 5" xfId="23905" xr:uid="{00000000-0005-0000-0000-0000EE830000}"/>
    <cellStyle name="Normal 4 8 2 2 3 5 2" xfId="55890" xr:uid="{00000000-0005-0000-0000-0000EF830000}"/>
    <cellStyle name="Normal 4 8 2 2 3 6" xfId="23906" xr:uid="{00000000-0005-0000-0000-0000F0830000}"/>
    <cellStyle name="Normal 4 8 2 2 3 7" xfId="23907" xr:uid="{00000000-0005-0000-0000-0000F1830000}"/>
    <cellStyle name="Normal 4 8 2 2 3 8" xfId="23908" xr:uid="{00000000-0005-0000-0000-0000F2830000}"/>
    <cellStyle name="Normal 4 8 2 2 4" xfId="23909" xr:uid="{00000000-0005-0000-0000-0000F3830000}"/>
    <cellStyle name="Normal 4 8 2 2 4 2" xfId="23910" xr:uid="{00000000-0005-0000-0000-0000F4830000}"/>
    <cellStyle name="Normal 4 8 2 2 4 2 2" xfId="23911" xr:uid="{00000000-0005-0000-0000-0000F5830000}"/>
    <cellStyle name="Normal 4 8 2 2 4 2 2 2" xfId="55891" xr:uid="{00000000-0005-0000-0000-0000F6830000}"/>
    <cellStyle name="Normal 4 8 2 2 4 2 2 3" xfId="55892" xr:uid="{00000000-0005-0000-0000-0000F7830000}"/>
    <cellStyle name="Normal 4 8 2 2 4 2 3" xfId="23912" xr:uid="{00000000-0005-0000-0000-0000F8830000}"/>
    <cellStyle name="Normal 4 8 2 2 4 2 3 2" xfId="55893" xr:uid="{00000000-0005-0000-0000-0000F9830000}"/>
    <cellStyle name="Normal 4 8 2 2 4 2 4" xfId="23913" xr:uid="{00000000-0005-0000-0000-0000FA830000}"/>
    <cellStyle name="Normal 4 8 2 2 4 2 5" xfId="23914" xr:uid="{00000000-0005-0000-0000-0000FB830000}"/>
    <cellStyle name="Normal 4 8 2 2 4 2 6" xfId="23915" xr:uid="{00000000-0005-0000-0000-0000FC830000}"/>
    <cellStyle name="Normal 4 8 2 2 4 3" xfId="23916" xr:uid="{00000000-0005-0000-0000-0000FD830000}"/>
    <cellStyle name="Normal 4 8 2 2 4 3 2" xfId="55894" xr:uid="{00000000-0005-0000-0000-0000FE830000}"/>
    <cellStyle name="Normal 4 8 2 2 4 3 3" xfId="55895" xr:uid="{00000000-0005-0000-0000-0000FF830000}"/>
    <cellStyle name="Normal 4 8 2 2 4 4" xfId="23917" xr:uid="{00000000-0005-0000-0000-000000840000}"/>
    <cellStyle name="Normal 4 8 2 2 4 4 2" xfId="55896" xr:uid="{00000000-0005-0000-0000-000001840000}"/>
    <cellStyle name="Normal 4 8 2 2 4 5" xfId="23918" xr:uid="{00000000-0005-0000-0000-000002840000}"/>
    <cellStyle name="Normal 4 8 2 2 4 6" xfId="23919" xr:uid="{00000000-0005-0000-0000-000003840000}"/>
    <cellStyle name="Normal 4 8 2 2 4 7" xfId="23920" xr:uid="{00000000-0005-0000-0000-000004840000}"/>
    <cellStyle name="Normal 4 8 2 2 5" xfId="23921" xr:uid="{00000000-0005-0000-0000-000005840000}"/>
    <cellStyle name="Normal 4 8 2 2 5 2" xfId="23922" xr:uid="{00000000-0005-0000-0000-000006840000}"/>
    <cellStyle name="Normal 4 8 2 2 5 2 2" xfId="55897" xr:uid="{00000000-0005-0000-0000-000007840000}"/>
    <cellStyle name="Normal 4 8 2 2 5 2 3" xfId="55898" xr:uid="{00000000-0005-0000-0000-000008840000}"/>
    <cellStyle name="Normal 4 8 2 2 5 3" xfId="23923" xr:uid="{00000000-0005-0000-0000-000009840000}"/>
    <cellStyle name="Normal 4 8 2 2 5 3 2" xfId="55899" xr:uid="{00000000-0005-0000-0000-00000A840000}"/>
    <cellStyle name="Normal 4 8 2 2 5 4" xfId="23924" xr:uid="{00000000-0005-0000-0000-00000B840000}"/>
    <cellStyle name="Normal 4 8 2 2 5 5" xfId="23925" xr:uid="{00000000-0005-0000-0000-00000C840000}"/>
    <cellStyle name="Normal 4 8 2 2 5 6" xfId="23926" xr:uid="{00000000-0005-0000-0000-00000D840000}"/>
    <cellStyle name="Normal 4 8 2 2 6" xfId="23927" xr:uid="{00000000-0005-0000-0000-00000E840000}"/>
    <cellStyle name="Normal 4 8 2 2 6 2" xfId="55900" xr:uid="{00000000-0005-0000-0000-00000F840000}"/>
    <cellStyle name="Normal 4 8 2 2 6 3" xfId="55901" xr:uid="{00000000-0005-0000-0000-000010840000}"/>
    <cellStyle name="Normal 4 8 2 2 7" xfId="23928" xr:uid="{00000000-0005-0000-0000-000011840000}"/>
    <cellStyle name="Normal 4 8 2 2 7 2" xfId="55902" xr:uid="{00000000-0005-0000-0000-000012840000}"/>
    <cellStyle name="Normal 4 8 2 2 8" xfId="23929" xr:uid="{00000000-0005-0000-0000-000013840000}"/>
    <cellStyle name="Normal 4 8 2 2 9" xfId="23930" xr:uid="{00000000-0005-0000-0000-000014840000}"/>
    <cellStyle name="Normal 4 8 2 3" xfId="23931" xr:uid="{00000000-0005-0000-0000-000015840000}"/>
    <cellStyle name="Normal 4 8 2 3 2" xfId="23932" xr:uid="{00000000-0005-0000-0000-000016840000}"/>
    <cellStyle name="Normal 4 8 2 3 2 2" xfId="23933" xr:uid="{00000000-0005-0000-0000-000017840000}"/>
    <cellStyle name="Normal 4 8 2 3 2 2 2" xfId="23934" xr:uid="{00000000-0005-0000-0000-000018840000}"/>
    <cellStyle name="Normal 4 8 2 3 2 2 2 2" xfId="55903" xr:uid="{00000000-0005-0000-0000-000019840000}"/>
    <cellStyle name="Normal 4 8 2 3 2 2 2 3" xfId="55904" xr:uid="{00000000-0005-0000-0000-00001A840000}"/>
    <cellStyle name="Normal 4 8 2 3 2 2 3" xfId="23935" xr:uid="{00000000-0005-0000-0000-00001B840000}"/>
    <cellStyle name="Normal 4 8 2 3 2 2 3 2" xfId="55905" xr:uid="{00000000-0005-0000-0000-00001C840000}"/>
    <cellStyle name="Normal 4 8 2 3 2 2 4" xfId="23936" xr:uid="{00000000-0005-0000-0000-00001D840000}"/>
    <cellStyle name="Normal 4 8 2 3 2 2 5" xfId="23937" xr:uid="{00000000-0005-0000-0000-00001E840000}"/>
    <cellStyle name="Normal 4 8 2 3 2 2 6" xfId="23938" xr:uid="{00000000-0005-0000-0000-00001F840000}"/>
    <cellStyle name="Normal 4 8 2 3 2 3" xfId="23939" xr:uid="{00000000-0005-0000-0000-000020840000}"/>
    <cellStyle name="Normal 4 8 2 3 2 3 2" xfId="55906" xr:uid="{00000000-0005-0000-0000-000021840000}"/>
    <cellStyle name="Normal 4 8 2 3 2 3 3" xfId="55907" xr:uid="{00000000-0005-0000-0000-000022840000}"/>
    <cellStyle name="Normal 4 8 2 3 2 4" xfId="23940" xr:uid="{00000000-0005-0000-0000-000023840000}"/>
    <cellStyle name="Normal 4 8 2 3 2 4 2" xfId="55908" xr:uid="{00000000-0005-0000-0000-000024840000}"/>
    <cellStyle name="Normal 4 8 2 3 2 5" xfId="23941" xr:uid="{00000000-0005-0000-0000-000025840000}"/>
    <cellStyle name="Normal 4 8 2 3 2 6" xfId="23942" xr:uid="{00000000-0005-0000-0000-000026840000}"/>
    <cellStyle name="Normal 4 8 2 3 2 7" xfId="23943" xr:uid="{00000000-0005-0000-0000-000027840000}"/>
    <cellStyle name="Normal 4 8 2 3 3" xfId="23944" xr:uid="{00000000-0005-0000-0000-000028840000}"/>
    <cellStyle name="Normal 4 8 2 3 3 2" xfId="23945" xr:uid="{00000000-0005-0000-0000-000029840000}"/>
    <cellStyle name="Normal 4 8 2 3 3 2 2" xfId="55909" xr:uid="{00000000-0005-0000-0000-00002A840000}"/>
    <cellStyle name="Normal 4 8 2 3 3 2 3" xfId="55910" xr:uid="{00000000-0005-0000-0000-00002B840000}"/>
    <cellStyle name="Normal 4 8 2 3 3 3" xfId="23946" xr:uid="{00000000-0005-0000-0000-00002C840000}"/>
    <cellStyle name="Normal 4 8 2 3 3 3 2" xfId="55911" xr:uid="{00000000-0005-0000-0000-00002D840000}"/>
    <cellStyle name="Normal 4 8 2 3 3 4" xfId="23947" xr:uid="{00000000-0005-0000-0000-00002E840000}"/>
    <cellStyle name="Normal 4 8 2 3 3 5" xfId="23948" xr:uid="{00000000-0005-0000-0000-00002F840000}"/>
    <cellStyle name="Normal 4 8 2 3 3 6" xfId="23949" xr:uid="{00000000-0005-0000-0000-000030840000}"/>
    <cellStyle name="Normal 4 8 2 3 4" xfId="23950" xr:uid="{00000000-0005-0000-0000-000031840000}"/>
    <cellStyle name="Normal 4 8 2 3 4 2" xfId="55912" xr:uid="{00000000-0005-0000-0000-000032840000}"/>
    <cellStyle name="Normal 4 8 2 3 4 3" xfId="55913" xr:uid="{00000000-0005-0000-0000-000033840000}"/>
    <cellStyle name="Normal 4 8 2 3 5" xfId="23951" xr:uid="{00000000-0005-0000-0000-000034840000}"/>
    <cellStyle name="Normal 4 8 2 3 5 2" xfId="55914" xr:uid="{00000000-0005-0000-0000-000035840000}"/>
    <cellStyle name="Normal 4 8 2 3 6" xfId="23952" xr:uid="{00000000-0005-0000-0000-000036840000}"/>
    <cellStyle name="Normal 4 8 2 3 7" xfId="23953" xr:uid="{00000000-0005-0000-0000-000037840000}"/>
    <cellStyle name="Normal 4 8 2 3 8" xfId="23954" xr:uid="{00000000-0005-0000-0000-000038840000}"/>
    <cellStyle name="Normal 4 8 2 3 9" xfId="23955" xr:uid="{00000000-0005-0000-0000-000039840000}"/>
    <cellStyle name="Normal 4 8 2 4" xfId="23956" xr:uid="{00000000-0005-0000-0000-00003A840000}"/>
    <cellStyle name="Normal 4 8 2 4 2" xfId="23957" xr:uid="{00000000-0005-0000-0000-00003B840000}"/>
    <cellStyle name="Normal 4 8 2 4 2 2" xfId="23958" xr:uid="{00000000-0005-0000-0000-00003C840000}"/>
    <cellStyle name="Normal 4 8 2 4 2 2 2" xfId="23959" xr:uid="{00000000-0005-0000-0000-00003D840000}"/>
    <cellStyle name="Normal 4 8 2 4 2 2 2 2" xfId="55915" xr:uid="{00000000-0005-0000-0000-00003E840000}"/>
    <cellStyle name="Normal 4 8 2 4 2 2 2 3" xfId="55916" xr:uid="{00000000-0005-0000-0000-00003F840000}"/>
    <cellStyle name="Normal 4 8 2 4 2 2 3" xfId="23960" xr:uid="{00000000-0005-0000-0000-000040840000}"/>
    <cellStyle name="Normal 4 8 2 4 2 2 3 2" xfId="55917" xr:uid="{00000000-0005-0000-0000-000041840000}"/>
    <cellStyle name="Normal 4 8 2 4 2 2 4" xfId="23961" xr:uid="{00000000-0005-0000-0000-000042840000}"/>
    <cellStyle name="Normal 4 8 2 4 2 2 5" xfId="23962" xr:uid="{00000000-0005-0000-0000-000043840000}"/>
    <cellStyle name="Normal 4 8 2 4 2 2 6" xfId="23963" xr:uid="{00000000-0005-0000-0000-000044840000}"/>
    <cellStyle name="Normal 4 8 2 4 2 3" xfId="23964" xr:uid="{00000000-0005-0000-0000-000045840000}"/>
    <cellStyle name="Normal 4 8 2 4 2 3 2" xfId="55918" xr:uid="{00000000-0005-0000-0000-000046840000}"/>
    <cellStyle name="Normal 4 8 2 4 2 3 3" xfId="55919" xr:uid="{00000000-0005-0000-0000-000047840000}"/>
    <cellStyle name="Normal 4 8 2 4 2 4" xfId="23965" xr:uid="{00000000-0005-0000-0000-000048840000}"/>
    <cellStyle name="Normal 4 8 2 4 2 4 2" xfId="55920" xr:uid="{00000000-0005-0000-0000-000049840000}"/>
    <cellStyle name="Normal 4 8 2 4 2 5" xfId="23966" xr:uid="{00000000-0005-0000-0000-00004A840000}"/>
    <cellStyle name="Normal 4 8 2 4 2 6" xfId="23967" xr:uid="{00000000-0005-0000-0000-00004B840000}"/>
    <cellStyle name="Normal 4 8 2 4 2 7" xfId="23968" xr:uid="{00000000-0005-0000-0000-00004C840000}"/>
    <cellStyle name="Normal 4 8 2 4 3" xfId="23969" xr:uid="{00000000-0005-0000-0000-00004D840000}"/>
    <cellStyle name="Normal 4 8 2 4 3 2" xfId="23970" xr:uid="{00000000-0005-0000-0000-00004E840000}"/>
    <cellStyle name="Normal 4 8 2 4 3 2 2" xfId="55921" xr:uid="{00000000-0005-0000-0000-00004F840000}"/>
    <cellStyle name="Normal 4 8 2 4 3 2 3" xfId="55922" xr:uid="{00000000-0005-0000-0000-000050840000}"/>
    <cellStyle name="Normal 4 8 2 4 3 3" xfId="23971" xr:uid="{00000000-0005-0000-0000-000051840000}"/>
    <cellStyle name="Normal 4 8 2 4 3 3 2" xfId="55923" xr:uid="{00000000-0005-0000-0000-000052840000}"/>
    <cellStyle name="Normal 4 8 2 4 3 4" xfId="23972" xr:uid="{00000000-0005-0000-0000-000053840000}"/>
    <cellStyle name="Normal 4 8 2 4 3 5" xfId="23973" xr:uid="{00000000-0005-0000-0000-000054840000}"/>
    <cellStyle name="Normal 4 8 2 4 3 6" xfId="23974" xr:uid="{00000000-0005-0000-0000-000055840000}"/>
    <cellStyle name="Normal 4 8 2 4 4" xfId="23975" xr:uid="{00000000-0005-0000-0000-000056840000}"/>
    <cellStyle name="Normal 4 8 2 4 4 2" xfId="55924" xr:uid="{00000000-0005-0000-0000-000057840000}"/>
    <cellStyle name="Normal 4 8 2 4 4 3" xfId="55925" xr:uid="{00000000-0005-0000-0000-000058840000}"/>
    <cellStyle name="Normal 4 8 2 4 5" xfId="23976" xr:uid="{00000000-0005-0000-0000-000059840000}"/>
    <cellStyle name="Normal 4 8 2 4 5 2" xfId="55926" xr:uid="{00000000-0005-0000-0000-00005A840000}"/>
    <cellStyle name="Normal 4 8 2 4 6" xfId="23977" xr:uid="{00000000-0005-0000-0000-00005B840000}"/>
    <cellStyle name="Normal 4 8 2 4 7" xfId="23978" xr:uid="{00000000-0005-0000-0000-00005C840000}"/>
    <cellStyle name="Normal 4 8 2 4 8" xfId="23979" xr:uid="{00000000-0005-0000-0000-00005D840000}"/>
    <cellStyle name="Normal 4 8 2 5" xfId="23980" xr:uid="{00000000-0005-0000-0000-00005E840000}"/>
    <cellStyle name="Normal 4 8 2 5 2" xfId="23981" xr:uid="{00000000-0005-0000-0000-00005F840000}"/>
    <cellStyle name="Normal 4 8 2 5 2 2" xfId="23982" xr:uid="{00000000-0005-0000-0000-000060840000}"/>
    <cellStyle name="Normal 4 8 2 5 2 2 2" xfId="55927" xr:uid="{00000000-0005-0000-0000-000061840000}"/>
    <cellStyle name="Normal 4 8 2 5 2 2 3" xfId="55928" xr:uid="{00000000-0005-0000-0000-000062840000}"/>
    <cellStyle name="Normal 4 8 2 5 2 3" xfId="23983" xr:uid="{00000000-0005-0000-0000-000063840000}"/>
    <cellStyle name="Normal 4 8 2 5 2 3 2" xfId="55929" xr:uid="{00000000-0005-0000-0000-000064840000}"/>
    <cellStyle name="Normal 4 8 2 5 2 4" xfId="23984" xr:uid="{00000000-0005-0000-0000-000065840000}"/>
    <cellStyle name="Normal 4 8 2 5 2 5" xfId="23985" xr:uid="{00000000-0005-0000-0000-000066840000}"/>
    <cellStyle name="Normal 4 8 2 5 2 6" xfId="23986" xr:uid="{00000000-0005-0000-0000-000067840000}"/>
    <cellStyle name="Normal 4 8 2 5 3" xfId="23987" xr:uid="{00000000-0005-0000-0000-000068840000}"/>
    <cellStyle name="Normal 4 8 2 5 3 2" xfId="55930" xr:uid="{00000000-0005-0000-0000-000069840000}"/>
    <cellStyle name="Normal 4 8 2 5 3 3" xfId="55931" xr:uid="{00000000-0005-0000-0000-00006A840000}"/>
    <cellStyle name="Normal 4 8 2 5 4" xfId="23988" xr:uid="{00000000-0005-0000-0000-00006B840000}"/>
    <cellStyle name="Normal 4 8 2 5 4 2" xfId="55932" xr:uid="{00000000-0005-0000-0000-00006C840000}"/>
    <cellStyle name="Normal 4 8 2 5 5" xfId="23989" xr:uid="{00000000-0005-0000-0000-00006D840000}"/>
    <cellStyle name="Normal 4 8 2 5 6" xfId="23990" xr:uid="{00000000-0005-0000-0000-00006E840000}"/>
    <cellStyle name="Normal 4 8 2 5 7" xfId="23991" xr:uid="{00000000-0005-0000-0000-00006F840000}"/>
    <cellStyle name="Normal 4 8 2 6" xfId="23992" xr:uid="{00000000-0005-0000-0000-000070840000}"/>
    <cellStyle name="Normal 4 8 2 6 2" xfId="23993" xr:uid="{00000000-0005-0000-0000-000071840000}"/>
    <cellStyle name="Normal 4 8 2 6 2 2" xfId="55933" xr:uid="{00000000-0005-0000-0000-000072840000}"/>
    <cellStyle name="Normal 4 8 2 6 2 3" xfId="55934" xr:uid="{00000000-0005-0000-0000-000073840000}"/>
    <cellStyle name="Normal 4 8 2 6 3" xfId="23994" xr:uid="{00000000-0005-0000-0000-000074840000}"/>
    <cellStyle name="Normal 4 8 2 6 3 2" xfId="55935" xr:uid="{00000000-0005-0000-0000-000075840000}"/>
    <cellStyle name="Normal 4 8 2 6 4" xfId="23995" xr:uid="{00000000-0005-0000-0000-000076840000}"/>
    <cellStyle name="Normal 4 8 2 6 5" xfId="23996" xr:uid="{00000000-0005-0000-0000-000077840000}"/>
    <cellStyle name="Normal 4 8 2 6 6" xfId="23997" xr:uid="{00000000-0005-0000-0000-000078840000}"/>
    <cellStyle name="Normal 4 8 2 7" xfId="23998" xr:uid="{00000000-0005-0000-0000-000079840000}"/>
    <cellStyle name="Normal 4 8 2 7 2" xfId="55936" xr:uid="{00000000-0005-0000-0000-00007A840000}"/>
    <cellStyle name="Normal 4 8 2 7 3" xfId="55937" xr:uid="{00000000-0005-0000-0000-00007B840000}"/>
    <cellStyle name="Normal 4 8 2 8" xfId="23999" xr:uid="{00000000-0005-0000-0000-00007C840000}"/>
    <cellStyle name="Normal 4 8 2 8 2" xfId="55938" xr:uid="{00000000-0005-0000-0000-00007D840000}"/>
    <cellStyle name="Normal 4 8 2 9" xfId="24000" xr:uid="{00000000-0005-0000-0000-00007E840000}"/>
    <cellStyle name="Normal 4 8 2 9 2" xfId="55939" xr:uid="{00000000-0005-0000-0000-00007F840000}"/>
    <cellStyle name="Normal 4 8 20" xfId="24001" xr:uid="{00000000-0005-0000-0000-000080840000}"/>
    <cellStyle name="Normal 4 8 3" xfId="24002" xr:uid="{00000000-0005-0000-0000-000081840000}"/>
    <cellStyle name="Normal 4 8 3 10" xfId="24003" xr:uid="{00000000-0005-0000-0000-000082840000}"/>
    <cellStyle name="Normal 4 8 3 11" xfId="24004" xr:uid="{00000000-0005-0000-0000-000083840000}"/>
    <cellStyle name="Normal 4 8 3 12" xfId="24005" xr:uid="{00000000-0005-0000-0000-000084840000}"/>
    <cellStyle name="Normal 4 8 3 13" xfId="24006" xr:uid="{00000000-0005-0000-0000-000085840000}"/>
    <cellStyle name="Normal 4 8 3 14" xfId="24007" xr:uid="{00000000-0005-0000-0000-000086840000}"/>
    <cellStyle name="Normal 4 8 3 15" xfId="24008" xr:uid="{00000000-0005-0000-0000-000087840000}"/>
    <cellStyle name="Normal 4 8 3 2" xfId="24009" xr:uid="{00000000-0005-0000-0000-000088840000}"/>
    <cellStyle name="Normal 4 8 3 2 10" xfId="24010" xr:uid="{00000000-0005-0000-0000-000089840000}"/>
    <cellStyle name="Normal 4 8 3 2 11" xfId="24011" xr:uid="{00000000-0005-0000-0000-00008A840000}"/>
    <cellStyle name="Normal 4 8 3 2 12" xfId="24012" xr:uid="{00000000-0005-0000-0000-00008B840000}"/>
    <cellStyle name="Normal 4 8 3 2 13" xfId="24013" xr:uid="{00000000-0005-0000-0000-00008C840000}"/>
    <cellStyle name="Normal 4 8 3 2 14" xfId="24014" xr:uid="{00000000-0005-0000-0000-00008D840000}"/>
    <cellStyle name="Normal 4 8 3 2 2" xfId="24015" xr:uid="{00000000-0005-0000-0000-00008E840000}"/>
    <cellStyle name="Normal 4 8 3 2 2 2" xfId="24016" xr:uid="{00000000-0005-0000-0000-00008F840000}"/>
    <cellStyle name="Normal 4 8 3 2 2 2 2" xfId="24017" xr:uid="{00000000-0005-0000-0000-000090840000}"/>
    <cellStyle name="Normal 4 8 3 2 2 2 2 2" xfId="24018" xr:uid="{00000000-0005-0000-0000-000091840000}"/>
    <cellStyle name="Normal 4 8 3 2 2 2 2 2 2" xfId="55940" xr:uid="{00000000-0005-0000-0000-000092840000}"/>
    <cellStyle name="Normal 4 8 3 2 2 2 2 2 3" xfId="55941" xr:uid="{00000000-0005-0000-0000-000093840000}"/>
    <cellStyle name="Normal 4 8 3 2 2 2 2 3" xfId="24019" xr:uid="{00000000-0005-0000-0000-000094840000}"/>
    <cellStyle name="Normal 4 8 3 2 2 2 2 3 2" xfId="55942" xr:uid="{00000000-0005-0000-0000-000095840000}"/>
    <cellStyle name="Normal 4 8 3 2 2 2 2 4" xfId="24020" xr:uid="{00000000-0005-0000-0000-000096840000}"/>
    <cellStyle name="Normal 4 8 3 2 2 2 2 5" xfId="24021" xr:uid="{00000000-0005-0000-0000-000097840000}"/>
    <cellStyle name="Normal 4 8 3 2 2 2 2 6" xfId="24022" xr:uid="{00000000-0005-0000-0000-000098840000}"/>
    <cellStyle name="Normal 4 8 3 2 2 2 3" xfId="24023" xr:uid="{00000000-0005-0000-0000-000099840000}"/>
    <cellStyle name="Normal 4 8 3 2 2 2 3 2" xfId="55943" xr:uid="{00000000-0005-0000-0000-00009A840000}"/>
    <cellStyle name="Normal 4 8 3 2 2 2 3 3" xfId="55944" xr:uid="{00000000-0005-0000-0000-00009B840000}"/>
    <cellStyle name="Normal 4 8 3 2 2 2 4" xfId="24024" xr:uid="{00000000-0005-0000-0000-00009C840000}"/>
    <cellStyle name="Normal 4 8 3 2 2 2 4 2" xfId="55945" xr:uid="{00000000-0005-0000-0000-00009D840000}"/>
    <cellStyle name="Normal 4 8 3 2 2 2 5" xfId="24025" xr:uid="{00000000-0005-0000-0000-00009E840000}"/>
    <cellStyle name="Normal 4 8 3 2 2 2 6" xfId="24026" xr:uid="{00000000-0005-0000-0000-00009F840000}"/>
    <cellStyle name="Normal 4 8 3 2 2 2 7" xfId="24027" xr:uid="{00000000-0005-0000-0000-0000A0840000}"/>
    <cellStyle name="Normal 4 8 3 2 2 3" xfId="24028" xr:uid="{00000000-0005-0000-0000-0000A1840000}"/>
    <cellStyle name="Normal 4 8 3 2 2 3 2" xfId="24029" xr:uid="{00000000-0005-0000-0000-0000A2840000}"/>
    <cellStyle name="Normal 4 8 3 2 2 3 2 2" xfId="55946" xr:uid="{00000000-0005-0000-0000-0000A3840000}"/>
    <cellStyle name="Normal 4 8 3 2 2 3 2 3" xfId="55947" xr:uid="{00000000-0005-0000-0000-0000A4840000}"/>
    <cellStyle name="Normal 4 8 3 2 2 3 3" xfId="24030" xr:uid="{00000000-0005-0000-0000-0000A5840000}"/>
    <cellStyle name="Normal 4 8 3 2 2 3 3 2" xfId="55948" xr:uid="{00000000-0005-0000-0000-0000A6840000}"/>
    <cellStyle name="Normal 4 8 3 2 2 3 4" xfId="24031" xr:uid="{00000000-0005-0000-0000-0000A7840000}"/>
    <cellStyle name="Normal 4 8 3 2 2 3 5" xfId="24032" xr:uid="{00000000-0005-0000-0000-0000A8840000}"/>
    <cellStyle name="Normal 4 8 3 2 2 3 6" xfId="24033" xr:uid="{00000000-0005-0000-0000-0000A9840000}"/>
    <cellStyle name="Normal 4 8 3 2 2 4" xfId="24034" xr:uid="{00000000-0005-0000-0000-0000AA840000}"/>
    <cellStyle name="Normal 4 8 3 2 2 4 2" xfId="55949" xr:uid="{00000000-0005-0000-0000-0000AB840000}"/>
    <cellStyle name="Normal 4 8 3 2 2 4 3" xfId="55950" xr:uid="{00000000-0005-0000-0000-0000AC840000}"/>
    <cellStyle name="Normal 4 8 3 2 2 5" xfId="24035" xr:uid="{00000000-0005-0000-0000-0000AD840000}"/>
    <cellStyle name="Normal 4 8 3 2 2 5 2" xfId="55951" xr:uid="{00000000-0005-0000-0000-0000AE840000}"/>
    <cellStyle name="Normal 4 8 3 2 2 6" xfId="24036" xr:uid="{00000000-0005-0000-0000-0000AF840000}"/>
    <cellStyle name="Normal 4 8 3 2 2 7" xfId="24037" xr:uid="{00000000-0005-0000-0000-0000B0840000}"/>
    <cellStyle name="Normal 4 8 3 2 2 8" xfId="24038" xr:uid="{00000000-0005-0000-0000-0000B1840000}"/>
    <cellStyle name="Normal 4 8 3 2 2 9" xfId="24039" xr:uid="{00000000-0005-0000-0000-0000B2840000}"/>
    <cellStyle name="Normal 4 8 3 2 3" xfId="24040" xr:uid="{00000000-0005-0000-0000-0000B3840000}"/>
    <cellStyle name="Normal 4 8 3 2 3 2" xfId="24041" xr:uid="{00000000-0005-0000-0000-0000B4840000}"/>
    <cellStyle name="Normal 4 8 3 2 3 2 2" xfId="24042" xr:uid="{00000000-0005-0000-0000-0000B5840000}"/>
    <cellStyle name="Normal 4 8 3 2 3 2 2 2" xfId="24043" xr:uid="{00000000-0005-0000-0000-0000B6840000}"/>
    <cellStyle name="Normal 4 8 3 2 3 2 2 2 2" xfId="55952" xr:uid="{00000000-0005-0000-0000-0000B7840000}"/>
    <cellStyle name="Normal 4 8 3 2 3 2 2 2 3" xfId="55953" xr:uid="{00000000-0005-0000-0000-0000B8840000}"/>
    <cellStyle name="Normal 4 8 3 2 3 2 2 3" xfId="24044" xr:uid="{00000000-0005-0000-0000-0000B9840000}"/>
    <cellStyle name="Normal 4 8 3 2 3 2 2 3 2" xfId="55954" xr:uid="{00000000-0005-0000-0000-0000BA840000}"/>
    <cellStyle name="Normal 4 8 3 2 3 2 2 4" xfId="24045" xr:uid="{00000000-0005-0000-0000-0000BB840000}"/>
    <cellStyle name="Normal 4 8 3 2 3 2 2 5" xfId="24046" xr:uid="{00000000-0005-0000-0000-0000BC840000}"/>
    <cellStyle name="Normal 4 8 3 2 3 2 2 6" xfId="24047" xr:uid="{00000000-0005-0000-0000-0000BD840000}"/>
    <cellStyle name="Normal 4 8 3 2 3 2 3" xfId="24048" xr:uid="{00000000-0005-0000-0000-0000BE840000}"/>
    <cellStyle name="Normal 4 8 3 2 3 2 3 2" xfId="55955" xr:uid="{00000000-0005-0000-0000-0000BF840000}"/>
    <cellStyle name="Normal 4 8 3 2 3 2 3 3" xfId="55956" xr:uid="{00000000-0005-0000-0000-0000C0840000}"/>
    <cellStyle name="Normal 4 8 3 2 3 2 4" xfId="24049" xr:uid="{00000000-0005-0000-0000-0000C1840000}"/>
    <cellStyle name="Normal 4 8 3 2 3 2 4 2" xfId="55957" xr:uid="{00000000-0005-0000-0000-0000C2840000}"/>
    <cellStyle name="Normal 4 8 3 2 3 2 5" xfId="24050" xr:uid="{00000000-0005-0000-0000-0000C3840000}"/>
    <cellStyle name="Normal 4 8 3 2 3 2 6" xfId="24051" xr:uid="{00000000-0005-0000-0000-0000C4840000}"/>
    <cellStyle name="Normal 4 8 3 2 3 2 7" xfId="24052" xr:uid="{00000000-0005-0000-0000-0000C5840000}"/>
    <cellStyle name="Normal 4 8 3 2 3 3" xfId="24053" xr:uid="{00000000-0005-0000-0000-0000C6840000}"/>
    <cellStyle name="Normal 4 8 3 2 3 3 2" xfId="24054" xr:uid="{00000000-0005-0000-0000-0000C7840000}"/>
    <cellStyle name="Normal 4 8 3 2 3 3 2 2" xfId="55958" xr:uid="{00000000-0005-0000-0000-0000C8840000}"/>
    <cellStyle name="Normal 4 8 3 2 3 3 2 3" xfId="55959" xr:uid="{00000000-0005-0000-0000-0000C9840000}"/>
    <cellStyle name="Normal 4 8 3 2 3 3 3" xfId="24055" xr:uid="{00000000-0005-0000-0000-0000CA840000}"/>
    <cellStyle name="Normal 4 8 3 2 3 3 3 2" xfId="55960" xr:uid="{00000000-0005-0000-0000-0000CB840000}"/>
    <cellStyle name="Normal 4 8 3 2 3 3 4" xfId="24056" xr:uid="{00000000-0005-0000-0000-0000CC840000}"/>
    <cellStyle name="Normal 4 8 3 2 3 3 5" xfId="24057" xr:uid="{00000000-0005-0000-0000-0000CD840000}"/>
    <cellStyle name="Normal 4 8 3 2 3 3 6" xfId="24058" xr:uid="{00000000-0005-0000-0000-0000CE840000}"/>
    <cellStyle name="Normal 4 8 3 2 3 4" xfId="24059" xr:uid="{00000000-0005-0000-0000-0000CF840000}"/>
    <cellStyle name="Normal 4 8 3 2 3 4 2" xfId="55961" xr:uid="{00000000-0005-0000-0000-0000D0840000}"/>
    <cellStyle name="Normal 4 8 3 2 3 4 3" xfId="55962" xr:uid="{00000000-0005-0000-0000-0000D1840000}"/>
    <cellStyle name="Normal 4 8 3 2 3 5" xfId="24060" xr:uid="{00000000-0005-0000-0000-0000D2840000}"/>
    <cellStyle name="Normal 4 8 3 2 3 5 2" xfId="55963" xr:uid="{00000000-0005-0000-0000-0000D3840000}"/>
    <cellStyle name="Normal 4 8 3 2 3 6" xfId="24061" xr:uid="{00000000-0005-0000-0000-0000D4840000}"/>
    <cellStyle name="Normal 4 8 3 2 3 7" xfId="24062" xr:uid="{00000000-0005-0000-0000-0000D5840000}"/>
    <cellStyle name="Normal 4 8 3 2 3 8" xfId="24063" xr:uid="{00000000-0005-0000-0000-0000D6840000}"/>
    <cellStyle name="Normal 4 8 3 2 4" xfId="24064" xr:uid="{00000000-0005-0000-0000-0000D7840000}"/>
    <cellStyle name="Normal 4 8 3 2 4 2" xfId="24065" xr:uid="{00000000-0005-0000-0000-0000D8840000}"/>
    <cellStyle name="Normal 4 8 3 2 4 2 2" xfId="24066" xr:uid="{00000000-0005-0000-0000-0000D9840000}"/>
    <cellStyle name="Normal 4 8 3 2 4 2 2 2" xfId="55964" xr:uid="{00000000-0005-0000-0000-0000DA840000}"/>
    <cellStyle name="Normal 4 8 3 2 4 2 2 3" xfId="55965" xr:uid="{00000000-0005-0000-0000-0000DB840000}"/>
    <cellStyle name="Normal 4 8 3 2 4 2 3" xfId="24067" xr:uid="{00000000-0005-0000-0000-0000DC840000}"/>
    <cellStyle name="Normal 4 8 3 2 4 2 3 2" xfId="55966" xr:uid="{00000000-0005-0000-0000-0000DD840000}"/>
    <cellStyle name="Normal 4 8 3 2 4 2 4" xfId="24068" xr:uid="{00000000-0005-0000-0000-0000DE840000}"/>
    <cellStyle name="Normal 4 8 3 2 4 2 5" xfId="24069" xr:uid="{00000000-0005-0000-0000-0000DF840000}"/>
    <cellStyle name="Normal 4 8 3 2 4 2 6" xfId="24070" xr:uid="{00000000-0005-0000-0000-0000E0840000}"/>
    <cellStyle name="Normal 4 8 3 2 4 3" xfId="24071" xr:uid="{00000000-0005-0000-0000-0000E1840000}"/>
    <cellStyle name="Normal 4 8 3 2 4 3 2" xfId="55967" xr:uid="{00000000-0005-0000-0000-0000E2840000}"/>
    <cellStyle name="Normal 4 8 3 2 4 3 3" xfId="55968" xr:uid="{00000000-0005-0000-0000-0000E3840000}"/>
    <cellStyle name="Normal 4 8 3 2 4 4" xfId="24072" xr:uid="{00000000-0005-0000-0000-0000E4840000}"/>
    <cellStyle name="Normal 4 8 3 2 4 4 2" xfId="55969" xr:uid="{00000000-0005-0000-0000-0000E5840000}"/>
    <cellStyle name="Normal 4 8 3 2 4 5" xfId="24073" xr:uid="{00000000-0005-0000-0000-0000E6840000}"/>
    <cellStyle name="Normal 4 8 3 2 4 6" xfId="24074" xr:uid="{00000000-0005-0000-0000-0000E7840000}"/>
    <cellStyle name="Normal 4 8 3 2 4 7" xfId="24075" xr:uid="{00000000-0005-0000-0000-0000E8840000}"/>
    <cellStyle name="Normal 4 8 3 2 5" xfId="24076" xr:uid="{00000000-0005-0000-0000-0000E9840000}"/>
    <cellStyle name="Normal 4 8 3 2 5 2" xfId="24077" xr:uid="{00000000-0005-0000-0000-0000EA840000}"/>
    <cellStyle name="Normal 4 8 3 2 5 2 2" xfId="55970" xr:uid="{00000000-0005-0000-0000-0000EB840000}"/>
    <cellStyle name="Normal 4 8 3 2 5 2 3" xfId="55971" xr:uid="{00000000-0005-0000-0000-0000EC840000}"/>
    <cellStyle name="Normal 4 8 3 2 5 3" xfId="24078" xr:uid="{00000000-0005-0000-0000-0000ED840000}"/>
    <cellStyle name="Normal 4 8 3 2 5 3 2" xfId="55972" xr:uid="{00000000-0005-0000-0000-0000EE840000}"/>
    <cellStyle name="Normal 4 8 3 2 5 4" xfId="24079" xr:uid="{00000000-0005-0000-0000-0000EF840000}"/>
    <cellStyle name="Normal 4 8 3 2 5 5" xfId="24080" xr:uid="{00000000-0005-0000-0000-0000F0840000}"/>
    <cellStyle name="Normal 4 8 3 2 5 6" xfId="24081" xr:uid="{00000000-0005-0000-0000-0000F1840000}"/>
    <cellStyle name="Normal 4 8 3 2 6" xfId="24082" xr:uid="{00000000-0005-0000-0000-0000F2840000}"/>
    <cellStyle name="Normal 4 8 3 2 6 2" xfId="55973" xr:uid="{00000000-0005-0000-0000-0000F3840000}"/>
    <cellStyle name="Normal 4 8 3 2 6 3" xfId="55974" xr:uid="{00000000-0005-0000-0000-0000F4840000}"/>
    <cellStyle name="Normal 4 8 3 2 7" xfId="24083" xr:uid="{00000000-0005-0000-0000-0000F5840000}"/>
    <cellStyle name="Normal 4 8 3 2 7 2" xfId="55975" xr:uid="{00000000-0005-0000-0000-0000F6840000}"/>
    <cellStyle name="Normal 4 8 3 2 8" xfId="24084" xr:uid="{00000000-0005-0000-0000-0000F7840000}"/>
    <cellStyle name="Normal 4 8 3 2 9" xfId="24085" xr:uid="{00000000-0005-0000-0000-0000F8840000}"/>
    <cellStyle name="Normal 4 8 3 3" xfId="24086" xr:uid="{00000000-0005-0000-0000-0000F9840000}"/>
    <cellStyle name="Normal 4 8 3 3 2" xfId="24087" xr:uid="{00000000-0005-0000-0000-0000FA840000}"/>
    <cellStyle name="Normal 4 8 3 3 2 2" xfId="24088" xr:uid="{00000000-0005-0000-0000-0000FB840000}"/>
    <cellStyle name="Normal 4 8 3 3 2 2 2" xfId="24089" xr:uid="{00000000-0005-0000-0000-0000FC840000}"/>
    <cellStyle name="Normal 4 8 3 3 2 2 2 2" xfId="55976" xr:uid="{00000000-0005-0000-0000-0000FD840000}"/>
    <cellStyle name="Normal 4 8 3 3 2 2 2 3" xfId="55977" xr:uid="{00000000-0005-0000-0000-0000FE840000}"/>
    <cellStyle name="Normal 4 8 3 3 2 2 3" xfId="24090" xr:uid="{00000000-0005-0000-0000-0000FF840000}"/>
    <cellStyle name="Normal 4 8 3 3 2 2 3 2" xfId="55978" xr:uid="{00000000-0005-0000-0000-000000850000}"/>
    <cellStyle name="Normal 4 8 3 3 2 2 4" xfId="24091" xr:uid="{00000000-0005-0000-0000-000001850000}"/>
    <cellStyle name="Normal 4 8 3 3 2 2 5" xfId="24092" xr:uid="{00000000-0005-0000-0000-000002850000}"/>
    <cellStyle name="Normal 4 8 3 3 2 2 6" xfId="24093" xr:uid="{00000000-0005-0000-0000-000003850000}"/>
    <cellStyle name="Normal 4 8 3 3 2 3" xfId="24094" xr:uid="{00000000-0005-0000-0000-000004850000}"/>
    <cellStyle name="Normal 4 8 3 3 2 3 2" xfId="55979" xr:uid="{00000000-0005-0000-0000-000005850000}"/>
    <cellStyle name="Normal 4 8 3 3 2 3 3" xfId="55980" xr:uid="{00000000-0005-0000-0000-000006850000}"/>
    <cellStyle name="Normal 4 8 3 3 2 4" xfId="24095" xr:uid="{00000000-0005-0000-0000-000007850000}"/>
    <cellStyle name="Normal 4 8 3 3 2 4 2" xfId="55981" xr:uid="{00000000-0005-0000-0000-000008850000}"/>
    <cellStyle name="Normal 4 8 3 3 2 5" xfId="24096" xr:uid="{00000000-0005-0000-0000-000009850000}"/>
    <cellStyle name="Normal 4 8 3 3 2 6" xfId="24097" xr:uid="{00000000-0005-0000-0000-00000A850000}"/>
    <cellStyle name="Normal 4 8 3 3 2 7" xfId="24098" xr:uid="{00000000-0005-0000-0000-00000B850000}"/>
    <cellStyle name="Normal 4 8 3 3 3" xfId="24099" xr:uid="{00000000-0005-0000-0000-00000C850000}"/>
    <cellStyle name="Normal 4 8 3 3 3 2" xfId="24100" xr:uid="{00000000-0005-0000-0000-00000D850000}"/>
    <cellStyle name="Normal 4 8 3 3 3 2 2" xfId="55982" xr:uid="{00000000-0005-0000-0000-00000E850000}"/>
    <cellStyle name="Normal 4 8 3 3 3 2 3" xfId="55983" xr:uid="{00000000-0005-0000-0000-00000F850000}"/>
    <cellStyle name="Normal 4 8 3 3 3 3" xfId="24101" xr:uid="{00000000-0005-0000-0000-000010850000}"/>
    <cellStyle name="Normal 4 8 3 3 3 3 2" xfId="55984" xr:uid="{00000000-0005-0000-0000-000011850000}"/>
    <cellStyle name="Normal 4 8 3 3 3 4" xfId="24102" xr:uid="{00000000-0005-0000-0000-000012850000}"/>
    <cellStyle name="Normal 4 8 3 3 3 5" xfId="24103" xr:uid="{00000000-0005-0000-0000-000013850000}"/>
    <cellStyle name="Normal 4 8 3 3 3 6" xfId="24104" xr:uid="{00000000-0005-0000-0000-000014850000}"/>
    <cellStyle name="Normal 4 8 3 3 4" xfId="24105" xr:uid="{00000000-0005-0000-0000-000015850000}"/>
    <cellStyle name="Normal 4 8 3 3 4 2" xfId="55985" xr:uid="{00000000-0005-0000-0000-000016850000}"/>
    <cellStyle name="Normal 4 8 3 3 4 3" xfId="55986" xr:uid="{00000000-0005-0000-0000-000017850000}"/>
    <cellStyle name="Normal 4 8 3 3 5" xfId="24106" xr:uid="{00000000-0005-0000-0000-000018850000}"/>
    <cellStyle name="Normal 4 8 3 3 5 2" xfId="55987" xr:uid="{00000000-0005-0000-0000-000019850000}"/>
    <cellStyle name="Normal 4 8 3 3 6" xfId="24107" xr:uid="{00000000-0005-0000-0000-00001A850000}"/>
    <cellStyle name="Normal 4 8 3 3 7" xfId="24108" xr:uid="{00000000-0005-0000-0000-00001B850000}"/>
    <cellStyle name="Normal 4 8 3 3 8" xfId="24109" xr:uid="{00000000-0005-0000-0000-00001C850000}"/>
    <cellStyle name="Normal 4 8 3 3 9" xfId="24110" xr:uid="{00000000-0005-0000-0000-00001D850000}"/>
    <cellStyle name="Normal 4 8 3 4" xfId="24111" xr:uid="{00000000-0005-0000-0000-00001E850000}"/>
    <cellStyle name="Normal 4 8 3 4 2" xfId="24112" xr:uid="{00000000-0005-0000-0000-00001F850000}"/>
    <cellStyle name="Normal 4 8 3 4 2 2" xfId="24113" xr:uid="{00000000-0005-0000-0000-000020850000}"/>
    <cellStyle name="Normal 4 8 3 4 2 2 2" xfId="24114" xr:uid="{00000000-0005-0000-0000-000021850000}"/>
    <cellStyle name="Normal 4 8 3 4 2 2 2 2" xfId="55988" xr:uid="{00000000-0005-0000-0000-000022850000}"/>
    <cellStyle name="Normal 4 8 3 4 2 2 2 3" xfId="55989" xr:uid="{00000000-0005-0000-0000-000023850000}"/>
    <cellStyle name="Normal 4 8 3 4 2 2 3" xfId="24115" xr:uid="{00000000-0005-0000-0000-000024850000}"/>
    <cellStyle name="Normal 4 8 3 4 2 2 3 2" xfId="55990" xr:uid="{00000000-0005-0000-0000-000025850000}"/>
    <cellStyle name="Normal 4 8 3 4 2 2 4" xfId="24116" xr:uid="{00000000-0005-0000-0000-000026850000}"/>
    <cellStyle name="Normal 4 8 3 4 2 2 5" xfId="24117" xr:uid="{00000000-0005-0000-0000-000027850000}"/>
    <cellStyle name="Normal 4 8 3 4 2 2 6" xfId="24118" xr:uid="{00000000-0005-0000-0000-000028850000}"/>
    <cellStyle name="Normal 4 8 3 4 2 3" xfId="24119" xr:uid="{00000000-0005-0000-0000-000029850000}"/>
    <cellStyle name="Normal 4 8 3 4 2 3 2" xfId="55991" xr:uid="{00000000-0005-0000-0000-00002A850000}"/>
    <cellStyle name="Normal 4 8 3 4 2 3 3" xfId="55992" xr:uid="{00000000-0005-0000-0000-00002B850000}"/>
    <cellStyle name="Normal 4 8 3 4 2 4" xfId="24120" xr:uid="{00000000-0005-0000-0000-00002C850000}"/>
    <cellStyle name="Normal 4 8 3 4 2 4 2" xfId="55993" xr:uid="{00000000-0005-0000-0000-00002D850000}"/>
    <cellStyle name="Normal 4 8 3 4 2 5" xfId="24121" xr:uid="{00000000-0005-0000-0000-00002E850000}"/>
    <cellStyle name="Normal 4 8 3 4 2 6" xfId="24122" xr:uid="{00000000-0005-0000-0000-00002F850000}"/>
    <cellStyle name="Normal 4 8 3 4 2 7" xfId="24123" xr:uid="{00000000-0005-0000-0000-000030850000}"/>
    <cellStyle name="Normal 4 8 3 4 3" xfId="24124" xr:uid="{00000000-0005-0000-0000-000031850000}"/>
    <cellStyle name="Normal 4 8 3 4 3 2" xfId="24125" xr:uid="{00000000-0005-0000-0000-000032850000}"/>
    <cellStyle name="Normal 4 8 3 4 3 2 2" xfId="55994" xr:uid="{00000000-0005-0000-0000-000033850000}"/>
    <cellStyle name="Normal 4 8 3 4 3 2 3" xfId="55995" xr:uid="{00000000-0005-0000-0000-000034850000}"/>
    <cellStyle name="Normal 4 8 3 4 3 3" xfId="24126" xr:uid="{00000000-0005-0000-0000-000035850000}"/>
    <cellStyle name="Normal 4 8 3 4 3 3 2" xfId="55996" xr:uid="{00000000-0005-0000-0000-000036850000}"/>
    <cellStyle name="Normal 4 8 3 4 3 4" xfId="24127" xr:uid="{00000000-0005-0000-0000-000037850000}"/>
    <cellStyle name="Normal 4 8 3 4 3 5" xfId="24128" xr:uid="{00000000-0005-0000-0000-000038850000}"/>
    <cellStyle name="Normal 4 8 3 4 3 6" xfId="24129" xr:uid="{00000000-0005-0000-0000-000039850000}"/>
    <cellStyle name="Normal 4 8 3 4 4" xfId="24130" xr:uid="{00000000-0005-0000-0000-00003A850000}"/>
    <cellStyle name="Normal 4 8 3 4 4 2" xfId="55997" xr:uid="{00000000-0005-0000-0000-00003B850000}"/>
    <cellStyle name="Normal 4 8 3 4 4 3" xfId="55998" xr:uid="{00000000-0005-0000-0000-00003C850000}"/>
    <cellStyle name="Normal 4 8 3 4 5" xfId="24131" xr:uid="{00000000-0005-0000-0000-00003D850000}"/>
    <cellStyle name="Normal 4 8 3 4 5 2" xfId="55999" xr:uid="{00000000-0005-0000-0000-00003E850000}"/>
    <cellStyle name="Normal 4 8 3 4 6" xfId="24132" xr:uid="{00000000-0005-0000-0000-00003F850000}"/>
    <cellStyle name="Normal 4 8 3 4 7" xfId="24133" xr:uid="{00000000-0005-0000-0000-000040850000}"/>
    <cellStyle name="Normal 4 8 3 4 8" xfId="24134" xr:uid="{00000000-0005-0000-0000-000041850000}"/>
    <cellStyle name="Normal 4 8 3 5" xfId="24135" xr:uid="{00000000-0005-0000-0000-000042850000}"/>
    <cellStyle name="Normal 4 8 3 5 2" xfId="24136" xr:uid="{00000000-0005-0000-0000-000043850000}"/>
    <cellStyle name="Normal 4 8 3 5 2 2" xfId="24137" xr:uid="{00000000-0005-0000-0000-000044850000}"/>
    <cellStyle name="Normal 4 8 3 5 2 2 2" xfId="56000" xr:uid="{00000000-0005-0000-0000-000045850000}"/>
    <cellStyle name="Normal 4 8 3 5 2 2 3" xfId="56001" xr:uid="{00000000-0005-0000-0000-000046850000}"/>
    <cellStyle name="Normal 4 8 3 5 2 3" xfId="24138" xr:uid="{00000000-0005-0000-0000-000047850000}"/>
    <cellStyle name="Normal 4 8 3 5 2 3 2" xfId="56002" xr:uid="{00000000-0005-0000-0000-000048850000}"/>
    <cellStyle name="Normal 4 8 3 5 2 4" xfId="24139" xr:uid="{00000000-0005-0000-0000-000049850000}"/>
    <cellStyle name="Normal 4 8 3 5 2 5" xfId="24140" xr:uid="{00000000-0005-0000-0000-00004A850000}"/>
    <cellStyle name="Normal 4 8 3 5 2 6" xfId="24141" xr:uid="{00000000-0005-0000-0000-00004B850000}"/>
    <cellStyle name="Normal 4 8 3 5 3" xfId="24142" xr:uid="{00000000-0005-0000-0000-00004C850000}"/>
    <cellStyle name="Normal 4 8 3 5 3 2" xfId="56003" xr:uid="{00000000-0005-0000-0000-00004D850000}"/>
    <cellStyle name="Normal 4 8 3 5 3 3" xfId="56004" xr:uid="{00000000-0005-0000-0000-00004E850000}"/>
    <cellStyle name="Normal 4 8 3 5 4" xfId="24143" xr:uid="{00000000-0005-0000-0000-00004F850000}"/>
    <cellStyle name="Normal 4 8 3 5 4 2" xfId="56005" xr:uid="{00000000-0005-0000-0000-000050850000}"/>
    <cellStyle name="Normal 4 8 3 5 5" xfId="24144" xr:uid="{00000000-0005-0000-0000-000051850000}"/>
    <cellStyle name="Normal 4 8 3 5 6" xfId="24145" xr:uid="{00000000-0005-0000-0000-000052850000}"/>
    <cellStyle name="Normal 4 8 3 5 7" xfId="24146" xr:uid="{00000000-0005-0000-0000-000053850000}"/>
    <cellStyle name="Normal 4 8 3 6" xfId="24147" xr:uid="{00000000-0005-0000-0000-000054850000}"/>
    <cellStyle name="Normal 4 8 3 6 2" xfId="24148" xr:uid="{00000000-0005-0000-0000-000055850000}"/>
    <cellStyle name="Normal 4 8 3 6 2 2" xfId="56006" xr:uid="{00000000-0005-0000-0000-000056850000}"/>
    <cellStyle name="Normal 4 8 3 6 2 3" xfId="56007" xr:uid="{00000000-0005-0000-0000-000057850000}"/>
    <cellStyle name="Normal 4 8 3 6 3" xfId="24149" xr:uid="{00000000-0005-0000-0000-000058850000}"/>
    <cellStyle name="Normal 4 8 3 6 3 2" xfId="56008" xr:uid="{00000000-0005-0000-0000-000059850000}"/>
    <cellStyle name="Normal 4 8 3 6 4" xfId="24150" xr:uid="{00000000-0005-0000-0000-00005A850000}"/>
    <cellStyle name="Normal 4 8 3 6 5" xfId="24151" xr:uid="{00000000-0005-0000-0000-00005B850000}"/>
    <cellStyle name="Normal 4 8 3 6 6" xfId="24152" xr:uid="{00000000-0005-0000-0000-00005C850000}"/>
    <cellStyle name="Normal 4 8 3 7" xfId="24153" xr:uid="{00000000-0005-0000-0000-00005D850000}"/>
    <cellStyle name="Normal 4 8 3 7 2" xfId="56009" xr:uid="{00000000-0005-0000-0000-00005E850000}"/>
    <cellStyle name="Normal 4 8 3 7 3" xfId="56010" xr:uid="{00000000-0005-0000-0000-00005F850000}"/>
    <cellStyle name="Normal 4 8 3 8" xfId="24154" xr:uid="{00000000-0005-0000-0000-000060850000}"/>
    <cellStyle name="Normal 4 8 3 8 2" xfId="56011" xr:uid="{00000000-0005-0000-0000-000061850000}"/>
    <cellStyle name="Normal 4 8 3 9" xfId="24155" xr:uid="{00000000-0005-0000-0000-000062850000}"/>
    <cellStyle name="Normal 4 8 4" xfId="24156" xr:uid="{00000000-0005-0000-0000-000063850000}"/>
    <cellStyle name="Normal 4 8 4 10" xfId="24157" xr:uid="{00000000-0005-0000-0000-000064850000}"/>
    <cellStyle name="Normal 4 8 4 11" xfId="24158" xr:uid="{00000000-0005-0000-0000-000065850000}"/>
    <cellStyle name="Normal 4 8 4 12" xfId="24159" xr:uid="{00000000-0005-0000-0000-000066850000}"/>
    <cellStyle name="Normal 4 8 4 13" xfId="24160" xr:uid="{00000000-0005-0000-0000-000067850000}"/>
    <cellStyle name="Normal 4 8 4 14" xfId="24161" xr:uid="{00000000-0005-0000-0000-000068850000}"/>
    <cellStyle name="Normal 4 8 4 2" xfId="24162" xr:uid="{00000000-0005-0000-0000-000069850000}"/>
    <cellStyle name="Normal 4 8 4 2 2" xfId="24163" xr:uid="{00000000-0005-0000-0000-00006A850000}"/>
    <cellStyle name="Normal 4 8 4 2 2 2" xfId="24164" xr:uid="{00000000-0005-0000-0000-00006B850000}"/>
    <cellStyle name="Normal 4 8 4 2 2 2 2" xfId="24165" xr:uid="{00000000-0005-0000-0000-00006C850000}"/>
    <cellStyle name="Normal 4 8 4 2 2 2 2 2" xfId="56012" xr:uid="{00000000-0005-0000-0000-00006D850000}"/>
    <cellStyle name="Normal 4 8 4 2 2 2 2 3" xfId="56013" xr:uid="{00000000-0005-0000-0000-00006E850000}"/>
    <cellStyle name="Normal 4 8 4 2 2 2 3" xfId="24166" xr:uid="{00000000-0005-0000-0000-00006F850000}"/>
    <cellStyle name="Normal 4 8 4 2 2 2 3 2" xfId="56014" xr:uid="{00000000-0005-0000-0000-000070850000}"/>
    <cellStyle name="Normal 4 8 4 2 2 2 4" xfId="24167" xr:uid="{00000000-0005-0000-0000-000071850000}"/>
    <cellStyle name="Normal 4 8 4 2 2 2 5" xfId="24168" xr:uid="{00000000-0005-0000-0000-000072850000}"/>
    <cellStyle name="Normal 4 8 4 2 2 2 6" xfId="24169" xr:uid="{00000000-0005-0000-0000-000073850000}"/>
    <cellStyle name="Normal 4 8 4 2 2 3" xfId="24170" xr:uid="{00000000-0005-0000-0000-000074850000}"/>
    <cellStyle name="Normal 4 8 4 2 2 3 2" xfId="56015" xr:uid="{00000000-0005-0000-0000-000075850000}"/>
    <cellStyle name="Normal 4 8 4 2 2 3 3" xfId="56016" xr:uid="{00000000-0005-0000-0000-000076850000}"/>
    <cellStyle name="Normal 4 8 4 2 2 4" xfId="24171" xr:uid="{00000000-0005-0000-0000-000077850000}"/>
    <cellStyle name="Normal 4 8 4 2 2 4 2" xfId="56017" xr:uid="{00000000-0005-0000-0000-000078850000}"/>
    <cellStyle name="Normal 4 8 4 2 2 5" xfId="24172" xr:uid="{00000000-0005-0000-0000-000079850000}"/>
    <cellStyle name="Normal 4 8 4 2 2 6" xfId="24173" xr:uid="{00000000-0005-0000-0000-00007A850000}"/>
    <cellStyle name="Normal 4 8 4 2 2 7" xfId="24174" xr:uid="{00000000-0005-0000-0000-00007B850000}"/>
    <cellStyle name="Normal 4 8 4 2 3" xfId="24175" xr:uid="{00000000-0005-0000-0000-00007C850000}"/>
    <cellStyle name="Normal 4 8 4 2 3 2" xfId="24176" xr:uid="{00000000-0005-0000-0000-00007D850000}"/>
    <cellStyle name="Normal 4 8 4 2 3 2 2" xfId="56018" xr:uid="{00000000-0005-0000-0000-00007E850000}"/>
    <cellStyle name="Normal 4 8 4 2 3 2 3" xfId="56019" xr:uid="{00000000-0005-0000-0000-00007F850000}"/>
    <cellStyle name="Normal 4 8 4 2 3 3" xfId="24177" xr:uid="{00000000-0005-0000-0000-000080850000}"/>
    <cellStyle name="Normal 4 8 4 2 3 3 2" xfId="56020" xr:uid="{00000000-0005-0000-0000-000081850000}"/>
    <cellStyle name="Normal 4 8 4 2 3 4" xfId="24178" xr:uid="{00000000-0005-0000-0000-000082850000}"/>
    <cellStyle name="Normal 4 8 4 2 3 5" xfId="24179" xr:uid="{00000000-0005-0000-0000-000083850000}"/>
    <cellStyle name="Normal 4 8 4 2 3 6" xfId="24180" xr:uid="{00000000-0005-0000-0000-000084850000}"/>
    <cellStyle name="Normal 4 8 4 2 4" xfId="24181" xr:uid="{00000000-0005-0000-0000-000085850000}"/>
    <cellStyle name="Normal 4 8 4 2 4 2" xfId="56021" xr:uid="{00000000-0005-0000-0000-000086850000}"/>
    <cellStyle name="Normal 4 8 4 2 4 3" xfId="56022" xr:uid="{00000000-0005-0000-0000-000087850000}"/>
    <cellStyle name="Normal 4 8 4 2 5" xfId="24182" xr:uid="{00000000-0005-0000-0000-000088850000}"/>
    <cellStyle name="Normal 4 8 4 2 5 2" xfId="56023" xr:uid="{00000000-0005-0000-0000-000089850000}"/>
    <cellStyle name="Normal 4 8 4 2 6" xfId="24183" xr:uid="{00000000-0005-0000-0000-00008A850000}"/>
    <cellStyle name="Normal 4 8 4 2 7" xfId="24184" xr:uid="{00000000-0005-0000-0000-00008B850000}"/>
    <cellStyle name="Normal 4 8 4 2 8" xfId="24185" xr:uid="{00000000-0005-0000-0000-00008C850000}"/>
    <cellStyle name="Normal 4 8 4 2 9" xfId="24186" xr:uid="{00000000-0005-0000-0000-00008D850000}"/>
    <cellStyle name="Normal 4 8 4 3" xfId="24187" xr:uid="{00000000-0005-0000-0000-00008E850000}"/>
    <cellStyle name="Normal 4 8 4 3 2" xfId="24188" xr:uid="{00000000-0005-0000-0000-00008F850000}"/>
    <cellStyle name="Normal 4 8 4 3 2 2" xfId="24189" xr:uid="{00000000-0005-0000-0000-000090850000}"/>
    <cellStyle name="Normal 4 8 4 3 2 2 2" xfId="24190" xr:uid="{00000000-0005-0000-0000-000091850000}"/>
    <cellStyle name="Normal 4 8 4 3 2 2 2 2" xfId="56024" xr:uid="{00000000-0005-0000-0000-000092850000}"/>
    <cellStyle name="Normal 4 8 4 3 2 2 2 3" xfId="56025" xr:uid="{00000000-0005-0000-0000-000093850000}"/>
    <cellStyle name="Normal 4 8 4 3 2 2 3" xfId="24191" xr:uid="{00000000-0005-0000-0000-000094850000}"/>
    <cellStyle name="Normal 4 8 4 3 2 2 3 2" xfId="56026" xr:uid="{00000000-0005-0000-0000-000095850000}"/>
    <cellStyle name="Normal 4 8 4 3 2 2 4" xfId="24192" xr:uid="{00000000-0005-0000-0000-000096850000}"/>
    <cellStyle name="Normal 4 8 4 3 2 2 5" xfId="24193" xr:uid="{00000000-0005-0000-0000-000097850000}"/>
    <cellStyle name="Normal 4 8 4 3 2 2 6" xfId="24194" xr:uid="{00000000-0005-0000-0000-000098850000}"/>
    <cellStyle name="Normal 4 8 4 3 2 3" xfId="24195" xr:uid="{00000000-0005-0000-0000-000099850000}"/>
    <cellStyle name="Normal 4 8 4 3 2 3 2" xfId="56027" xr:uid="{00000000-0005-0000-0000-00009A850000}"/>
    <cellStyle name="Normal 4 8 4 3 2 3 3" xfId="56028" xr:uid="{00000000-0005-0000-0000-00009B850000}"/>
    <cellStyle name="Normal 4 8 4 3 2 4" xfId="24196" xr:uid="{00000000-0005-0000-0000-00009C850000}"/>
    <cellStyle name="Normal 4 8 4 3 2 4 2" xfId="56029" xr:uid="{00000000-0005-0000-0000-00009D850000}"/>
    <cellStyle name="Normal 4 8 4 3 2 5" xfId="24197" xr:uid="{00000000-0005-0000-0000-00009E850000}"/>
    <cellStyle name="Normal 4 8 4 3 2 6" xfId="24198" xr:uid="{00000000-0005-0000-0000-00009F850000}"/>
    <cellStyle name="Normal 4 8 4 3 2 7" xfId="24199" xr:uid="{00000000-0005-0000-0000-0000A0850000}"/>
    <cellStyle name="Normal 4 8 4 3 3" xfId="24200" xr:uid="{00000000-0005-0000-0000-0000A1850000}"/>
    <cellStyle name="Normal 4 8 4 3 3 2" xfId="24201" xr:uid="{00000000-0005-0000-0000-0000A2850000}"/>
    <cellStyle name="Normal 4 8 4 3 3 2 2" xfId="56030" xr:uid="{00000000-0005-0000-0000-0000A3850000}"/>
    <cellStyle name="Normal 4 8 4 3 3 2 3" xfId="56031" xr:uid="{00000000-0005-0000-0000-0000A4850000}"/>
    <cellStyle name="Normal 4 8 4 3 3 3" xfId="24202" xr:uid="{00000000-0005-0000-0000-0000A5850000}"/>
    <cellStyle name="Normal 4 8 4 3 3 3 2" xfId="56032" xr:uid="{00000000-0005-0000-0000-0000A6850000}"/>
    <cellStyle name="Normal 4 8 4 3 3 4" xfId="24203" xr:uid="{00000000-0005-0000-0000-0000A7850000}"/>
    <cellStyle name="Normal 4 8 4 3 3 5" xfId="24204" xr:uid="{00000000-0005-0000-0000-0000A8850000}"/>
    <cellStyle name="Normal 4 8 4 3 3 6" xfId="24205" xr:uid="{00000000-0005-0000-0000-0000A9850000}"/>
    <cellStyle name="Normal 4 8 4 3 4" xfId="24206" xr:uid="{00000000-0005-0000-0000-0000AA850000}"/>
    <cellStyle name="Normal 4 8 4 3 4 2" xfId="56033" xr:uid="{00000000-0005-0000-0000-0000AB850000}"/>
    <cellStyle name="Normal 4 8 4 3 4 3" xfId="56034" xr:uid="{00000000-0005-0000-0000-0000AC850000}"/>
    <cellStyle name="Normal 4 8 4 3 5" xfId="24207" xr:uid="{00000000-0005-0000-0000-0000AD850000}"/>
    <cellStyle name="Normal 4 8 4 3 5 2" xfId="56035" xr:uid="{00000000-0005-0000-0000-0000AE850000}"/>
    <cellStyle name="Normal 4 8 4 3 6" xfId="24208" xr:uid="{00000000-0005-0000-0000-0000AF850000}"/>
    <cellStyle name="Normal 4 8 4 3 7" xfId="24209" xr:uid="{00000000-0005-0000-0000-0000B0850000}"/>
    <cellStyle name="Normal 4 8 4 3 8" xfId="24210" xr:uid="{00000000-0005-0000-0000-0000B1850000}"/>
    <cellStyle name="Normal 4 8 4 4" xfId="24211" xr:uid="{00000000-0005-0000-0000-0000B2850000}"/>
    <cellStyle name="Normal 4 8 4 4 2" xfId="24212" xr:uid="{00000000-0005-0000-0000-0000B3850000}"/>
    <cellStyle name="Normal 4 8 4 4 2 2" xfId="24213" xr:uid="{00000000-0005-0000-0000-0000B4850000}"/>
    <cellStyle name="Normal 4 8 4 4 2 2 2" xfId="56036" xr:uid="{00000000-0005-0000-0000-0000B5850000}"/>
    <cellStyle name="Normal 4 8 4 4 2 2 3" xfId="56037" xr:uid="{00000000-0005-0000-0000-0000B6850000}"/>
    <cellStyle name="Normal 4 8 4 4 2 3" xfId="24214" xr:uid="{00000000-0005-0000-0000-0000B7850000}"/>
    <cellStyle name="Normal 4 8 4 4 2 3 2" xfId="56038" xr:uid="{00000000-0005-0000-0000-0000B8850000}"/>
    <cellStyle name="Normal 4 8 4 4 2 4" xfId="24215" xr:uid="{00000000-0005-0000-0000-0000B9850000}"/>
    <cellStyle name="Normal 4 8 4 4 2 5" xfId="24216" xr:uid="{00000000-0005-0000-0000-0000BA850000}"/>
    <cellStyle name="Normal 4 8 4 4 2 6" xfId="24217" xr:uid="{00000000-0005-0000-0000-0000BB850000}"/>
    <cellStyle name="Normal 4 8 4 4 3" xfId="24218" xr:uid="{00000000-0005-0000-0000-0000BC850000}"/>
    <cellStyle name="Normal 4 8 4 4 3 2" xfId="56039" xr:uid="{00000000-0005-0000-0000-0000BD850000}"/>
    <cellStyle name="Normal 4 8 4 4 3 3" xfId="56040" xr:uid="{00000000-0005-0000-0000-0000BE850000}"/>
    <cellStyle name="Normal 4 8 4 4 4" xfId="24219" xr:uid="{00000000-0005-0000-0000-0000BF850000}"/>
    <cellStyle name="Normal 4 8 4 4 4 2" xfId="56041" xr:uid="{00000000-0005-0000-0000-0000C0850000}"/>
    <cellStyle name="Normal 4 8 4 4 5" xfId="24220" xr:uid="{00000000-0005-0000-0000-0000C1850000}"/>
    <cellStyle name="Normal 4 8 4 4 6" xfId="24221" xr:uid="{00000000-0005-0000-0000-0000C2850000}"/>
    <cellStyle name="Normal 4 8 4 4 7" xfId="24222" xr:uid="{00000000-0005-0000-0000-0000C3850000}"/>
    <cellStyle name="Normal 4 8 4 5" xfId="24223" xr:uid="{00000000-0005-0000-0000-0000C4850000}"/>
    <cellStyle name="Normal 4 8 4 5 2" xfId="24224" xr:uid="{00000000-0005-0000-0000-0000C5850000}"/>
    <cellStyle name="Normal 4 8 4 5 2 2" xfId="56042" xr:uid="{00000000-0005-0000-0000-0000C6850000}"/>
    <cellStyle name="Normal 4 8 4 5 2 3" xfId="56043" xr:uid="{00000000-0005-0000-0000-0000C7850000}"/>
    <cellStyle name="Normal 4 8 4 5 3" xfId="24225" xr:uid="{00000000-0005-0000-0000-0000C8850000}"/>
    <cellStyle name="Normal 4 8 4 5 3 2" xfId="56044" xr:uid="{00000000-0005-0000-0000-0000C9850000}"/>
    <cellStyle name="Normal 4 8 4 5 4" xfId="24226" xr:uid="{00000000-0005-0000-0000-0000CA850000}"/>
    <cellStyle name="Normal 4 8 4 5 5" xfId="24227" xr:uid="{00000000-0005-0000-0000-0000CB850000}"/>
    <cellStyle name="Normal 4 8 4 5 6" xfId="24228" xr:uid="{00000000-0005-0000-0000-0000CC850000}"/>
    <cellStyle name="Normal 4 8 4 6" xfId="24229" xr:uid="{00000000-0005-0000-0000-0000CD850000}"/>
    <cellStyle name="Normal 4 8 4 6 2" xfId="56045" xr:uid="{00000000-0005-0000-0000-0000CE850000}"/>
    <cellStyle name="Normal 4 8 4 6 3" xfId="56046" xr:uid="{00000000-0005-0000-0000-0000CF850000}"/>
    <cellStyle name="Normal 4 8 4 7" xfId="24230" xr:uid="{00000000-0005-0000-0000-0000D0850000}"/>
    <cellStyle name="Normal 4 8 4 7 2" xfId="56047" xr:uid="{00000000-0005-0000-0000-0000D1850000}"/>
    <cellStyle name="Normal 4 8 4 8" xfId="24231" xr:uid="{00000000-0005-0000-0000-0000D2850000}"/>
    <cellStyle name="Normal 4 8 4 9" xfId="24232" xr:uid="{00000000-0005-0000-0000-0000D3850000}"/>
    <cellStyle name="Normal 4 8 5" xfId="24233" xr:uid="{00000000-0005-0000-0000-0000D4850000}"/>
    <cellStyle name="Normal 4 8 5 10" xfId="24234" xr:uid="{00000000-0005-0000-0000-0000D5850000}"/>
    <cellStyle name="Normal 4 8 5 11" xfId="24235" xr:uid="{00000000-0005-0000-0000-0000D6850000}"/>
    <cellStyle name="Normal 4 8 5 12" xfId="24236" xr:uid="{00000000-0005-0000-0000-0000D7850000}"/>
    <cellStyle name="Normal 4 8 5 13" xfId="24237" xr:uid="{00000000-0005-0000-0000-0000D8850000}"/>
    <cellStyle name="Normal 4 8 5 14" xfId="24238" xr:uid="{00000000-0005-0000-0000-0000D9850000}"/>
    <cellStyle name="Normal 4 8 5 2" xfId="24239" xr:uid="{00000000-0005-0000-0000-0000DA850000}"/>
    <cellStyle name="Normal 4 8 5 2 2" xfId="24240" xr:uid="{00000000-0005-0000-0000-0000DB850000}"/>
    <cellStyle name="Normal 4 8 5 2 2 2" xfId="24241" xr:uid="{00000000-0005-0000-0000-0000DC850000}"/>
    <cellStyle name="Normal 4 8 5 2 2 2 2" xfId="24242" xr:uid="{00000000-0005-0000-0000-0000DD850000}"/>
    <cellStyle name="Normal 4 8 5 2 2 2 2 2" xfId="56048" xr:uid="{00000000-0005-0000-0000-0000DE850000}"/>
    <cellStyle name="Normal 4 8 5 2 2 2 2 3" xfId="56049" xr:uid="{00000000-0005-0000-0000-0000DF850000}"/>
    <cellStyle name="Normal 4 8 5 2 2 2 3" xfId="24243" xr:uid="{00000000-0005-0000-0000-0000E0850000}"/>
    <cellStyle name="Normal 4 8 5 2 2 2 3 2" xfId="56050" xr:uid="{00000000-0005-0000-0000-0000E1850000}"/>
    <cellStyle name="Normal 4 8 5 2 2 2 4" xfId="24244" xr:uid="{00000000-0005-0000-0000-0000E2850000}"/>
    <cellStyle name="Normal 4 8 5 2 2 2 5" xfId="24245" xr:uid="{00000000-0005-0000-0000-0000E3850000}"/>
    <cellStyle name="Normal 4 8 5 2 2 2 6" xfId="24246" xr:uid="{00000000-0005-0000-0000-0000E4850000}"/>
    <cellStyle name="Normal 4 8 5 2 2 3" xfId="24247" xr:uid="{00000000-0005-0000-0000-0000E5850000}"/>
    <cellStyle name="Normal 4 8 5 2 2 3 2" xfId="56051" xr:uid="{00000000-0005-0000-0000-0000E6850000}"/>
    <cellStyle name="Normal 4 8 5 2 2 3 3" xfId="56052" xr:uid="{00000000-0005-0000-0000-0000E7850000}"/>
    <cellStyle name="Normal 4 8 5 2 2 4" xfId="24248" xr:uid="{00000000-0005-0000-0000-0000E8850000}"/>
    <cellStyle name="Normal 4 8 5 2 2 4 2" xfId="56053" xr:uid="{00000000-0005-0000-0000-0000E9850000}"/>
    <cellStyle name="Normal 4 8 5 2 2 5" xfId="24249" xr:uid="{00000000-0005-0000-0000-0000EA850000}"/>
    <cellStyle name="Normal 4 8 5 2 2 6" xfId="24250" xr:uid="{00000000-0005-0000-0000-0000EB850000}"/>
    <cellStyle name="Normal 4 8 5 2 2 7" xfId="24251" xr:uid="{00000000-0005-0000-0000-0000EC850000}"/>
    <cellStyle name="Normal 4 8 5 2 3" xfId="24252" xr:uid="{00000000-0005-0000-0000-0000ED850000}"/>
    <cellStyle name="Normal 4 8 5 2 3 2" xfId="24253" xr:uid="{00000000-0005-0000-0000-0000EE850000}"/>
    <cellStyle name="Normal 4 8 5 2 3 2 2" xfId="56054" xr:uid="{00000000-0005-0000-0000-0000EF850000}"/>
    <cellStyle name="Normal 4 8 5 2 3 2 3" xfId="56055" xr:uid="{00000000-0005-0000-0000-0000F0850000}"/>
    <cellStyle name="Normal 4 8 5 2 3 3" xfId="24254" xr:uid="{00000000-0005-0000-0000-0000F1850000}"/>
    <cellStyle name="Normal 4 8 5 2 3 3 2" xfId="56056" xr:uid="{00000000-0005-0000-0000-0000F2850000}"/>
    <cellStyle name="Normal 4 8 5 2 3 4" xfId="24255" xr:uid="{00000000-0005-0000-0000-0000F3850000}"/>
    <cellStyle name="Normal 4 8 5 2 3 5" xfId="24256" xr:uid="{00000000-0005-0000-0000-0000F4850000}"/>
    <cellStyle name="Normal 4 8 5 2 3 6" xfId="24257" xr:uid="{00000000-0005-0000-0000-0000F5850000}"/>
    <cellStyle name="Normal 4 8 5 2 4" xfId="24258" xr:uid="{00000000-0005-0000-0000-0000F6850000}"/>
    <cellStyle name="Normal 4 8 5 2 4 2" xfId="56057" xr:uid="{00000000-0005-0000-0000-0000F7850000}"/>
    <cellStyle name="Normal 4 8 5 2 4 3" xfId="56058" xr:uid="{00000000-0005-0000-0000-0000F8850000}"/>
    <cellStyle name="Normal 4 8 5 2 5" xfId="24259" xr:uid="{00000000-0005-0000-0000-0000F9850000}"/>
    <cellStyle name="Normal 4 8 5 2 5 2" xfId="56059" xr:uid="{00000000-0005-0000-0000-0000FA850000}"/>
    <cellStyle name="Normal 4 8 5 2 6" xfId="24260" xr:uid="{00000000-0005-0000-0000-0000FB850000}"/>
    <cellStyle name="Normal 4 8 5 2 7" xfId="24261" xr:uid="{00000000-0005-0000-0000-0000FC850000}"/>
    <cellStyle name="Normal 4 8 5 2 8" xfId="24262" xr:uid="{00000000-0005-0000-0000-0000FD850000}"/>
    <cellStyle name="Normal 4 8 5 2 9" xfId="24263" xr:uid="{00000000-0005-0000-0000-0000FE850000}"/>
    <cellStyle name="Normal 4 8 5 3" xfId="24264" xr:uid="{00000000-0005-0000-0000-0000FF850000}"/>
    <cellStyle name="Normal 4 8 5 3 2" xfId="24265" xr:uid="{00000000-0005-0000-0000-000000860000}"/>
    <cellStyle name="Normal 4 8 5 3 2 2" xfId="24266" xr:uid="{00000000-0005-0000-0000-000001860000}"/>
    <cellStyle name="Normal 4 8 5 3 2 2 2" xfId="24267" xr:uid="{00000000-0005-0000-0000-000002860000}"/>
    <cellStyle name="Normal 4 8 5 3 2 2 2 2" xfId="56060" xr:uid="{00000000-0005-0000-0000-000003860000}"/>
    <cellStyle name="Normal 4 8 5 3 2 2 2 3" xfId="56061" xr:uid="{00000000-0005-0000-0000-000004860000}"/>
    <cellStyle name="Normal 4 8 5 3 2 2 3" xfId="24268" xr:uid="{00000000-0005-0000-0000-000005860000}"/>
    <cellStyle name="Normal 4 8 5 3 2 2 3 2" xfId="56062" xr:uid="{00000000-0005-0000-0000-000006860000}"/>
    <cellStyle name="Normal 4 8 5 3 2 2 4" xfId="24269" xr:uid="{00000000-0005-0000-0000-000007860000}"/>
    <cellStyle name="Normal 4 8 5 3 2 2 5" xfId="24270" xr:uid="{00000000-0005-0000-0000-000008860000}"/>
    <cellStyle name="Normal 4 8 5 3 2 2 6" xfId="24271" xr:uid="{00000000-0005-0000-0000-000009860000}"/>
    <cellStyle name="Normal 4 8 5 3 2 3" xfId="24272" xr:uid="{00000000-0005-0000-0000-00000A860000}"/>
    <cellStyle name="Normal 4 8 5 3 2 3 2" xfId="56063" xr:uid="{00000000-0005-0000-0000-00000B860000}"/>
    <cellStyle name="Normal 4 8 5 3 2 3 3" xfId="56064" xr:uid="{00000000-0005-0000-0000-00000C860000}"/>
    <cellStyle name="Normal 4 8 5 3 2 4" xfId="24273" xr:uid="{00000000-0005-0000-0000-00000D860000}"/>
    <cellStyle name="Normal 4 8 5 3 2 4 2" xfId="56065" xr:uid="{00000000-0005-0000-0000-00000E860000}"/>
    <cellStyle name="Normal 4 8 5 3 2 5" xfId="24274" xr:uid="{00000000-0005-0000-0000-00000F860000}"/>
    <cellStyle name="Normal 4 8 5 3 2 6" xfId="24275" xr:uid="{00000000-0005-0000-0000-000010860000}"/>
    <cellStyle name="Normal 4 8 5 3 2 7" xfId="24276" xr:uid="{00000000-0005-0000-0000-000011860000}"/>
    <cellStyle name="Normal 4 8 5 3 3" xfId="24277" xr:uid="{00000000-0005-0000-0000-000012860000}"/>
    <cellStyle name="Normal 4 8 5 3 3 2" xfId="24278" xr:uid="{00000000-0005-0000-0000-000013860000}"/>
    <cellStyle name="Normal 4 8 5 3 3 2 2" xfId="56066" xr:uid="{00000000-0005-0000-0000-000014860000}"/>
    <cellStyle name="Normal 4 8 5 3 3 2 3" xfId="56067" xr:uid="{00000000-0005-0000-0000-000015860000}"/>
    <cellStyle name="Normal 4 8 5 3 3 3" xfId="24279" xr:uid="{00000000-0005-0000-0000-000016860000}"/>
    <cellStyle name="Normal 4 8 5 3 3 3 2" xfId="56068" xr:uid="{00000000-0005-0000-0000-000017860000}"/>
    <cellStyle name="Normal 4 8 5 3 3 4" xfId="24280" xr:uid="{00000000-0005-0000-0000-000018860000}"/>
    <cellStyle name="Normal 4 8 5 3 3 5" xfId="24281" xr:uid="{00000000-0005-0000-0000-000019860000}"/>
    <cellStyle name="Normal 4 8 5 3 3 6" xfId="24282" xr:uid="{00000000-0005-0000-0000-00001A860000}"/>
    <cellStyle name="Normal 4 8 5 3 4" xfId="24283" xr:uid="{00000000-0005-0000-0000-00001B860000}"/>
    <cellStyle name="Normal 4 8 5 3 4 2" xfId="56069" xr:uid="{00000000-0005-0000-0000-00001C860000}"/>
    <cellStyle name="Normal 4 8 5 3 4 3" xfId="56070" xr:uid="{00000000-0005-0000-0000-00001D860000}"/>
    <cellStyle name="Normal 4 8 5 3 5" xfId="24284" xr:uid="{00000000-0005-0000-0000-00001E860000}"/>
    <cellStyle name="Normal 4 8 5 3 5 2" xfId="56071" xr:uid="{00000000-0005-0000-0000-00001F860000}"/>
    <cellStyle name="Normal 4 8 5 3 6" xfId="24285" xr:uid="{00000000-0005-0000-0000-000020860000}"/>
    <cellStyle name="Normal 4 8 5 3 7" xfId="24286" xr:uid="{00000000-0005-0000-0000-000021860000}"/>
    <cellStyle name="Normal 4 8 5 3 8" xfId="24287" xr:uid="{00000000-0005-0000-0000-000022860000}"/>
    <cellStyle name="Normal 4 8 5 4" xfId="24288" xr:uid="{00000000-0005-0000-0000-000023860000}"/>
    <cellStyle name="Normal 4 8 5 4 2" xfId="24289" xr:uid="{00000000-0005-0000-0000-000024860000}"/>
    <cellStyle name="Normal 4 8 5 4 2 2" xfId="24290" xr:uid="{00000000-0005-0000-0000-000025860000}"/>
    <cellStyle name="Normal 4 8 5 4 2 2 2" xfId="56072" xr:uid="{00000000-0005-0000-0000-000026860000}"/>
    <cellStyle name="Normal 4 8 5 4 2 2 3" xfId="56073" xr:uid="{00000000-0005-0000-0000-000027860000}"/>
    <cellStyle name="Normal 4 8 5 4 2 3" xfId="24291" xr:uid="{00000000-0005-0000-0000-000028860000}"/>
    <cellStyle name="Normal 4 8 5 4 2 3 2" xfId="56074" xr:uid="{00000000-0005-0000-0000-000029860000}"/>
    <cellStyle name="Normal 4 8 5 4 2 4" xfId="24292" xr:uid="{00000000-0005-0000-0000-00002A860000}"/>
    <cellStyle name="Normal 4 8 5 4 2 5" xfId="24293" xr:uid="{00000000-0005-0000-0000-00002B860000}"/>
    <cellStyle name="Normal 4 8 5 4 2 6" xfId="24294" xr:uid="{00000000-0005-0000-0000-00002C860000}"/>
    <cellStyle name="Normal 4 8 5 4 3" xfId="24295" xr:uid="{00000000-0005-0000-0000-00002D860000}"/>
    <cellStyle name="Normal 4 8 5 4 3 2" xfId="56075" xr:uid="{00000000-0005-0000-0000-00002E860000}"/>
    <cellStyle name="Normal 4 8 5 4 3 3" xfId="56076" xr:uid="{00000000-0005-0000-0000-00002F860000}"/>
    <cellStyle name="Normal 4 8 5 4 4" xfId="24296" xr:uid="{00000000-0005-0000-0000-000030860000}"/>
    <cellStyle name="Normal 4 8 5 4 4 2" xfId="56077" xr:uid="{00000000-0005-0000-0000-000031860000}"/>
    <cellStyle name="Normal 4 8 5 4 5" xfId="24297" xr:uid="{00000000-0005-0000-0000-000032860000}"/>
    <cellStyle name="Normal 4 8 5 4 6" xfId="24298" xr:uid="{00000000-0005-0000-0000-000033860000}"/>
    <cellStyle name="Normal 4 8 5 4 7" xfId="24299" xr:uid="{00000000-0005-0000-0000-000034860000}"/>
    <cellStyle name="Normal 4 8 5 5" xfId="24300" xr:uid="{00000000-0005-0000-0000-000035860000}"/>
    <cellStyle name="Normal 4 8 5 5 2" xfId="24301" xr:uid="{00000000-0005-0000-0000-000036860000}"/>
    <cellStyle name="Normal 4 8 5 5 2 2" xfId="56078" xr:uid="{00000000-0005-0000-0000-000037860000}"/>
    <cellStyle name="Normal 4 8 5 5 2 3" xfId="56079" xr:uid="{00000000-0005-0000-0000-000038860000}"/>
    <cellStyle name="Normal 4 8 5 5 3" xfId="24302" xr:uid="{00000000-0005-0000-0000-000039860000}"/>
    <cellStyle name="Normal 4 8 5 5 3 2" xfId="56080" xr:uid="{00000000-0005-0000-0000-00003A860000}"/>
    <cellStyle name="Normal 4 8 5 5 4" xfId="24303" xr:uid="{00000000-0005-0000-0000-00003B860000}"/>
    <cellStyle name="Normal 4 8 5 5 5" xfId="24304" xr:uid="{00000000-0005-0000-0000-00003C860000}"/>
    <cellStyle name="Normal 4 8 5 5 6" xfId="24305" xr:uid="{00000000-0005-0000-0000-00003D860000}"/>
    <cellStyle name="Normal 4 8 5 6" xfId="24306" xr:uid="{00000000-0005-0000-0000-00003E860000}"/>
    <cellStyle name="Normal 4 8 5 6 2" xfId="56081" xr:uid="{00000000-0005-0000-0000-00003F860000}"/>
    <cellStyle name="Normal 4 8 5 6 3" xfId="56082" xr:uid="{00000000-0005-0000-0000-000040860000}"/>
    <cellStyle name="Normal 4 8 5 7" xfId="24307" xr:uid="{00000000-0005-0000-0000-000041860000}"/>
    <cellStyle name="Normal 4 8 5 7 2" xfId="56083" xr:uid="{00000000-0005-0000-0000-000042860000}"/>
    <cellStyle name="Normal 4 8 5 8" xfId="24308" xr:uid="{00000000-0005-0000-0000-000043860000}"/>
    <cellStyle name="Normal 4 8 5 9" xfId="24309" xr:uid="{00000000-0005-0000-0000-000044860000}"/>
    <cellStyle name="Normal 4 8 6" xfId="24310" xr:uid="{00000000-0005-0000-0000-000045860000}"/>
    <cellStyle name="Normal 4 8 6 10" xfId="24311" xr:uid="{00000000-0005-0000-0000-000046860000}"/>
    <cellStyle name="Normal 4 8 6 11" xfId="24312" xr:uid="{00000000-0005-0000-0000-000047860000}"/>
    <cellStyle name="Normal 4 8 6 12" xfId="24313" xr:uid="{00000000-0005-0000-0000-000048860000}"/>
    <cellStyle name="Normal 4 8 6 13" xfId="24314" xr:uid="{00000000-0005-0000-0000-000049860000}"/>
    <cellStyle name="Normal 4 8 6 2" xfId="24315" xr:uid="{00000000-0005-0000-0000-00004A860000}"/>
    <cellStyle name="Normal 4 8 6 2 2" xfId="24316" xr:uid="{00000000-0005-0000-0000-00004B860000}"/>
    <cellStyle name="Normal 4 8 6 2 2 2" xfId="24317" xr:uid="{00000000-0005-0000-0000-00004C860000}"/>
    <cellStyle name="Normal 4 8 6 2 2 2 2" xfId="24318" xr:uid="{00000000-0005-0000-0000-00004D860000}"/>
    <cellStyle name="Normal 4 8 6 2 2 2 2 2" xfId="56084" xr:uid="{00000000-0005-0000-0000-00004E860000}"/>
    <cellStyle name="Normal 4 8 6 2 2 2 2 3" xfId="56085" xr:uid="{00000000-0005-0000-0000-00004F860000}"/>
    <cellStyle name="Normal 4 8 6 2 2 2 3" xfId="24319" xr:uid="{00000000-0005-0000-0000-000050860000}"/>
    <cellStyle name="Normal 4 8 6 2 2 2 3 2" xfId="56086" xr:uid="{00000000-0005-0000-0000-000051860000}"/>
    <cellStyle name="Normal 4 8 6 2 2 2 4" xfId="24320" xr:uid="{00000000-0005-0000-0000-000052860000}"/>
    <cellStyle name="Normal 4 8 6 2 2 2 5" xfId="24321" xr:uid="{00000000-0005-0000-0000-000053860000}"/>
    <cellStyle name="Normal 4 8 6 2 2 2 6" xfId="24322" xr:uid="{00000000-0005-0000-0000-000054860000}"/>
    <cellStyle name="Normal 4 8 6 2 2 3" xfId="24323" xr:uid="{00000000-0005-0000-0000-000055860000}"/>
    <cellStyle name="Normal 4 8 6 2 2 3 2" xfId="56087" xr:uid="{00000000-0005-0000-0000-000056860000}"/>
    <cellStyle name="Normal 4 8 6 2 2 3 3" xfId="56088" xr:uid="{00000000-0005-0000-0000-000057860000}"/>
    <cellStyle name="Normal 4 8 6 2 2 4" xfId="24324" xr:uid="{00000000-0005-0000-0000-000058860000}"/>
    <cellStyle name="Normal 4 8 6 2 2 4 2" xfId="56089" xr:uid="{00000000-0005-0000-0000-000059860000}"/>
    <cellStyle name="Normal 4 8 6 2 2 5" xfId="24325" xr:uid="{00000000-0005-0000-0000-00005A860000}"/>
    <cellStyle name="Normal 4 8 6 2 2 6" xfId="24326" xr:uid="{00000000-0005-0000-0000-00005B860000}"/>
    <cellStyle name="Normal 4 8 6 2 2 7" xfId="24327" xr:uid="{00000000-0005-0000-0000-00005C860000}"/>
    <cellStyle name="Normal 4 8 6 2 3" xfId="24328" xr:uid="{00000000-0005-0000-0000-00005D860000}"/>
    <cellStyle name="Normal 4 8 6 2 3 2" xfId="24329" xr:uid="{00000000-0005-0000-0000-00005E860000}"/>
    <cellStyle name="Normal 4 8 6 2 3 2 2" xfId="56090" xr:uid="{00000000-0005-0000-0000-00005F860000}"/>
    <cellStyle name="Normal 4 8 6 2 3 2 3" xfId="56091" xr:uid="{00000000-0005-0000-0000-000060860000}"/>
    <cellStyle name="Normal 4 8 6 2 3 3" xfId="24330" xr:uid="{00000000-0005-0000-0000-000061860000}"/>
    <cellStyle name="Normal 4 8 6 2 3 3 2" xfId="56092" xr:uid="{00000000-0005-0000-0000-000062860000}"/>
    <cellStyle name="Normal 4 8 6 2 3 4" xfId="24331" xr:uid="{00000000-0005-0000-0000-000063860000}"/>
    <cellStyle name="Normal 4 8 6 2 3 5" xfId="24332" xr:uid="{00000000-0005-0000-0000-000064860000}"/>
    <cellStyle name="Normal 4 8 6 2 3 6" xfId="24333" xr:uid="{00000000-0005-0000-0000-000065860000}"/>
    <cellStyle name="Normal 4 8 6 2 4" xfId="24334" xr:uid="{00000000-0005-0000-0000-000066860000}"/>
    <cellStyle name="Normal 4 8 6 2 4 2" xfId="56093" xr:uid="{00000000-0005-0000-0000-000067860000}"/>
    <cellStyle name="Normal 4 8 6 2 4 3" xfId="56094" xr:uid="{00000000-0005-0000-0000-000068860000}"/>
    <cellStyle name="Normal 4 8 6 2 5" xfId="24335" xr:uid="{00000000-0005-0000-0000-000069860000}"/>
    <cellStyle name="Normal 4 8 6 2 5 2" xfId="56095" xr:uid="{00000000-0005-0000-0000-00006A860000}"/>
    <cellStyle name="Normal 4 8 6 2 6" xfId="24336" xr:uid="{00000000-0005-0000-0000-00006B860000}"/>
    <cellStyle name="Normal 4 8 6 2 7" xfId="24337" xr:uid="{00000000-0005-0000-0000-00006C860000}"/>
    <cellStyle name="Normal 4 8 6 2 8" xfId="24338" xr:uid="{00000000-0005-0000-0000-00006D860000}"/>
    <cellStyle name="Normal 4 8 6 2 9" xfId="24339" xr:uid="{00000000-0005-0000-0000-00006E860000}"/>
    <cellStyle name="Normal 4 8 6 3" xfId="24340" xr:uid="{00000000-0005-0000-0000-00006F860000}"/>
    <cellStyle name="Normal 4 8 6 3 2" xfId="24341" xr:uid="{00000000-0005-0000-0000-000070860000}"/>
    <cellStyle name="Normal 4 8 6 3 2 2" xfId="24342" xr:uid="{00000000-0005-0000-0000-000071860000}"/>
    <cellStyle name="Normal 4 8 6 3 2 2 2" xfId="56096" xr:uid="{00000000-0005-0000-0000-000072860000}"/>
    <cellStyle name="Normal 4 8 6 3 2 2 3" xfId="56097" xr:uid="{00000000-0005-0000-0000-000073860000}"/>
    <cellStyle name="Normal 4 8 6 3 2 3" xfId="24343" xr:uid="{00000000-0005-0000-0000-000074860000}"/>
    <cellStyle name="Normal 4 8 6 3 2 3 2" xfId="56098" xr:uid="{00000000-0005-0000-0000-000075860000}"/>
    <cellStyle name="Normal 4 8 6 3 2 4" xfId="24344" xr:uid="{00000000-0005-0000-0000-000076860000}"/>
    <cellStyle name="Normal 4 8 6 3 2 5" xfId="24345" xr:uid="{00000000-0005-0000-0000-000077860000}"/>
    <cellStyle name="Normal 4 8 6 3 2 6" xfId="24346" xr:uid="{00000000-0005-0000-0000-000078860000}"/>
    <cellStyle name="Normal 4 8 6 3 3" xfId="24347" xr:uid="{00000000-0005-0000-0000-000079860000}"/>
    <cellStyle name="Normal 4 8 6 3 3 2" xfId="56099" xr:uid="{00000000-0005-0000-0000-00007A860000}"/>
    <cellStyle name="Normal 4 8 6 3 3 3" xfId="56100" xr:uid="{00000000-0005-0000-0000-00007B860000}"/>
    <cellStyle name="Normal 4 8 6 3 4" xfId="24348" xr:uid="{00000000-0005-0000-0000-00007C860000}"/>
    <cellStyle name="Normal 4 8 6 3 4 2" xfId="56101" xr:uid="{00000000-0005-0000-0000-00007D860000}"/>
    <cellStyle name="Normal 4 8 6 3 5" xfId="24349" xr:uid="{00000000-0005-0000-0000-00007E860000}"/>
    <cellStyle name="Normal 4 8 6 3 6" xfId="24350" xr:uid="{00000000-0005-0000-0000-00007F860000}"/>
    <cellStyle name="Normal 4 8 6 3 7" xfId="24351" xr:uid="{00000000-0005-0000-0000-000080860000}"/>
    <cellStyle name="Normal 4 8 6 4" xfId="24352" xr:uid="{00000000-0005-0000-0000-000081860000}"/>
    <cellStyle name="Normal 4 8 6 4 2" xfId="24353" xr:uid="{00000000-0005-0000-0000-000082860000}"/>
    <cellStyle name="Normal 4 8 6 4 2 2" xfId="56102" xr:uid="{00000000-0005-0000-0000-000083860000}"/>
    <cellStyle name="Normal 4 8 6 4 2 3" xfId="56103" xr:uid="{00000000-0005-0000-0000-000084860000}"/>
    <cellStyle name="Normal 4 8 6 4 3" xfId="24354" xr:uid="{00000000-0005-0000-0000-000085860000}"/>
    <cellStyle name="Normal 4 8 6 4 3 2" xfId="56104" xr:uid="{00000000-0005-0000-0000-000086860000}"/>
    <cellStyle name="Normal 4 8 6 4 4" xfId="24355" xr:uid="{00000000-0005-0000-0000-000087860000}"/>
    <cellStyle name="Normal 4 8 6 4 5" xfId="24356" xr:uid="{00000000-0005-0000-0000-000088860000}"/>
    <cellStyle name="Normal 4 8 6 4 6" xfId="24357" xr:uid="{00000000-0005-0000-0000-000089860000}"/>
    <cellStyle name="Normal 4 8 6 5" xfId="24358" xr:uid="{00000000-0005-0000-0000-00008A860000}"/>
    <cellStyle name="Normal 4 8 6 5 2" xfId="56105" xr:uid="{00000000-0005-0000-0000-00008B860000}"/>
    <cellStyle name="Normal 4 8 6 5 3" xfId="56106" xr:uid="{00000000-0005-0000-0000-00008C860000}"/>
    <cellStyle name="Normal 4 8 6 6" xfId="24359" xr:uid="{00000000-0005-0000-0000-00008D860000}"/>
    <cellStyle name="Normal 4 8 6 6 2" xfId="56107" xr:uid="{00000000-0005-0000-0000-00008E860000}"/>
    <cellStyle name="Normal 4 8 6 7" xfId="24360" xr:uid="{00000000-0005-0000-0000-00008F860000}"/>
    <cellStyle name="Normal 4 8 6 8" xfId="24361" xr:uid="{00000000-0005-0000-0000-000090860000}"/>
    <cellStyle name="Normal 4 8 6 9" xfId="24362" xr:uid="{00000000-0005-0000-0000-000091860000}"/>
    <cellStyle name="Normal 4 8 7" xfId="24363" xr:uid="{00000000-0005-0000-0000-000092860000}"/>
    <cellStyle name="Normal 4 8 7 2" xfId="24364" xr:uid="{00000000-0005-0000-0000-000093860000}"/>
    <cellStyle name="Normal 4 8 7 2 2" xfId="24365" xr:uid="{00000000-0005-0000-0000-000094860000}"/>
    <cellStyle name="Normal 4 8 7 2 2 2" xfId="24366" xr:uid="{00000000-0005-0000-0000-000095860000}"/>
    <cellStyle name="Normal 4 8 7 2 2 2 2" xfId="56108" xr:uid="{00000000-0005-0000-0000-000096860000}"/>
    <cellStyle name="Normal 4 8 7 2 2 2 3" xfId="56109" xr:uid="{00000000-0005-0000-0000-000097860000}"/>
    <cellStyle name="Normal 4 8 7 2 2 3" xfId="24367" xr:uid="{00000000-0005-0000-0000-000098860000}"/>
    <cellStyle name="Normal 4 8 7 2 2 3 2" xfId="56110" xr:uid="{00000000-0005-0000-0000-000099860000}"/>
    <cellStyle name="Normal 4 8 7 2 2 4" xfId="24368" xr:uid="{00000000-0005-0000-0000-00009A860000}"/>
    <cellStyle name="Normal 4 8 7 2 2 5" xfId="24369" xr:uid="{00000000-0005-0000-0000-00009B860000}"/>
    <cellStyle name="Normal 4 8 7 2 2 6" xfId="24370" xr:uid="{00000000-0005-0000-0000-00009C860000}"/>
    <cellStyle name="Normal 4 8 7 2 3" xfId="24371" xr:uid="{00000000-0005-0000-0000-00009D860000}"/>
    <cellStyle name="Normal 4 8 7 2 3 2" xfId="56111" xr:uid="{00000000-0005-0000-0000-00009E860000}"/>
    <cellStyle name="Normal 4 8 7 2 3 3" xfId="56112" xr:uid="{00000000-0005-0000-0000-00009F860000}"/>
    <cellStyle name="Normal 4 8 7 2 4" xfId="24372" xr:uid="{00000000-0005-0000-0000-0000A0860000}"/>
    <cellStyle name="Normal 4 8 7 2 4 2" xfId="56113" xr:uid="{00000000-0005-0000-0000-0000A1860000}"/>
    <cellStyle name="Normal 4 8 7 2 5" xfId="24373" xr:uid="{00000000-0005-0000-0000-0000A2860000}"/>
    <cellStyle name="Normal 4 8 7 2 6" xfId="24374" xr:uid="{00000000-0005-0000-0000-0000A3860000}"/>
    <cellStyle name="Normal 4 8 7 2 7" xfId="24375" xr:uid="{00000000-0005-0000-0000-0000A4860000}"/>
    <cellStyle name="Normal 4 8 7 3" xfId="24376" xr:uid="{00000000-0005-0000-0000-0000A5860000}"/>
    <cellStyle name="Normal 4 8 7 3 2" xfId="24377" xr:uid="{00000000-0005-0000-0000-0000A6860000}"/>
    <cellStyle name="Normal 4 8 7 3 2 2" xfId="56114" xr:uid="{00000000-0005-0000-0000-0000A7860000}"/>
    <cellStyle name="Normal 4 8 7 3 2 3" xfId="56115" xr:uid="{00000000-0005-0000-0000-0000A8860000}"/>
    <cellStyle name="Normal 4 8 7 3 3" xfId="24378" xr:uid="{00000000-0005-0000-0000-0000A9860000}"/>
    <cellStyle name="Normal 4 8 7 3 3 2" xfId="56116" xr:uid="{00000000-0005-0000-0000-0000AA860000}"/>
    <cellStyle name="Normal 4 8 7 3 4" xfId="24379" xr:uid="{00000000-0005-0000-0000-0000AB860000}"/>
    <cellStyle name="Normal 4 8 7 3 5" xfId="24380" xr:uid="{00000000-0005-0000-0000-0000AC860000}"/>
    <cellStyle name="Normal 4 8 7 3 6" xfId="24381" xr:uid="{00000000-0005-0000-0000-0000AD860000}"/>
    <cellStyle name="Normal 4 8 7 4" xfId="24382" xr:uid="{00000000-0005-0000-0000-0000AE860000}"/>
    <cellStyle name="Normal 4 8 7 4 2" xfId="56117" xr:uid="{00000000-0005-0000-0000-0000AF860000}"/>
    <cellStyle name="Normal 4 8 7 4 3" xfId="56118" xr:uid="{00000000-0005-0000-0000-0000B0860000}"/>
    <cellStyle name="Normal 4 8 7 5" xfId="24383" xr:uid="{00000000-0005-0000-0000-0000B1860000}"/>
    <cellStyle name="Normal 4 8 7 5 2" xfId="56119" xr:uid="{00000000-0005-0000-0000-0000B2860000}"/>
    <cellStyle name="Normal 4 8 7 6" xfId="24384" xr:uid="{00000000-0005-0000-0000-0000B3860000}"/>
    <cellStyle name="Normal 4 8 7 7" xfId="24385" xr:uid="{00000000-0005-0000-0000-0000B4860000}"/>
    <cellStyle name="Normal 4 8 7 8" xfId="24386" xr:uid="{00000000-0005-0000-0000-0000B5860000}"/>
    <cellStyle name="Normal 4 8 7 9" xfId="24387" xr:uid="{00000000-0005-0000-0000-0000B6860000}"/>
    <cellStyle name="Normal 4 8 8" xfId="24388" xr:uid="{00000000-0005-0000-0000-0000B7860000}"/>
    <cellStyle name="Normal 4 8 8 2" xfId="24389" xr:uid="{00000000-0005-0000-0000-0000B8860000}"/>
    <cellStyle name="Normal 4 8 8 2 2" xfId="24390" xr:uid="{00000000-0005-0000-0000-0000B9860000}"/>
    <cellStyle name="Normal 4 8 8 2 2 2" xfId="24391" xr:uid="{00000000-0005-0000-0000-0000BA860000}"/>
    <cellStyle name="Normal 4 8 8 2 2 2 2" xfId="56120" xr:uid="{00000000-0005-0000-0000-0000BB860000}"/>
    <cellStyle name="Normal 4 8 8 2 2 2 3" xfId="56121" xr:uid="{00000000-0005-0000-0000-0000BC860000}"/>
    <cellStyle name="Normal 4 8 8 2 2 3" xfId="24392" xr:uid="{00000000-0005-0000-0000-0000BD860000}"/>
    <cellStyle name="Normal 4 8 8 2 2 3 2" xfId="56122" xr:uid="{00000000-0005-0000-0000-0000BE860000}"/>
    <cellStyle name="Normal 4 8 8 2 2 4" xfId="24393" xr:uid="{00000000-0005-0000-0000-0000BF860000}"/>
    <cellStyle name="Normal 4 8 8 2 2 5" xfId="24394" xr:uid="{00000000-0005-0000-0000-0000C0860000}"/>
    <cellStyle name="Normal 4 8 8 2 2 6" xfId="24395" xr:uid="{00000000-0005-0000-0000-0000C1860000}"/>
    <cellStyle name="Normal 4 8 8 2 3" xfId="24396" xr:uid="{00000000-0005-0000-0000-0000C2860000}"/>
    <cellStyle name="Normal 4 8 8 2 3 2" xfId="56123" xr:uid="{00000000-0005-0000-0000-0000C3860000}"/>
    <cellStyle name="Normal 4 8 8 2 3 3" xfId="56124" xr:uid="{00000000-0005-0000-0000-0000C4860000}"/>
    <cellStyle name="Normal 4 8 8 2 4" xfId="24397" xr:uid="{00000000-0005-0000-0000-0000C5860000}"/>
    <cellStyle name="Normal 4 8 8 2 4 2" xfId="56125" xr:uid="{00000000-0005-0000-0000-0000C6860000}"/>
    <cellStyle name="Normal 4 8 8 2 5" xfId="24398" xr:uid="{00000000-0005-0000-0000-0000C7860000}"/>
    <cellStyle name="Normal 4 8 8 2 6" xfId="24399" xr:uid="{00000000-0005-0000-0000-0000C8860000}"/>
    <cellStyle name="Normal 4 8 8 2 7" xfId="24400" xr:uid="{00000000-0005-0000-0000-0000C9860000}"/>
    <cellStyle name="Normal 4 8 8 3" xfId="24401" xr:uid="{00000000-0005-0000-0000-0000CA860000}"/>
    <cellStyle name="Normal 4 8 8 3 2" xfId="24402" xr:uid="{00000000-0005-0000-0000-0000CB860000}"/>
    <cellStyle name="Normal 4 8 8 3 2 2" xfId="56126" xr:uid="{00000000-0005-0000-0000-0000CC860000}"/>
    <cellStyle name="Normal 4 8 8 3 2 3" xfId="56127" xr:uid="{00000000-0005-0000-0000-0000CD860000}"/>
    <cellStyle name="Normal 4 8 8 3 3" xfId="24403" xr:uid="{00000000-0005-0000-0000-0000CE860000}"/>
    <cellStyle name="Normal 4 8 8 3 3 2" xfId="56128" xr:uid="{00000000-0005-0000-0000-0000CF860000}"/>
    <cellStyle name="Normal 4 8 8 3 4" xfId="24404" xr:uid="{00000000-0005-0000-0000-0000D0860000}"/>
    <cellStyle name="Normal 4 8 8 3 5" xfId="24405" xr:uid="{00000000-0005-0000-0000-0000D1860000}"/>
    <cellStyle name="Normal 4 8 8 3 6" xfId="24406" xr:uid="{00000000-0005-0000-0000-0000D2860000}"/>
    <cellStyle name="Normal 4 8 8 4" xfId="24407" xr:uid="{00000000-0005-0000-0000-0000D3860000}"/>
    <cellStyle name="Normal 4 8 8 4 2" xfId="56129" xr:uid="{00000000-0005-0000-0000-0000D4860000}"/>
    <cellStyle name="Normal 4 8 8 4 3" xfId="56130" xr:uid="{00000000-0005-0000-0000-0000D5860000}"/>
    <cellStyle name="Normal 4 8 8 5" xfId="24408" xr:uid="{00000000-0005-0000-0000-0000D6860000}"/>
    <cellStyle name="Normal 4 8 8 5 2" xfId="56131" xr:uid="{00000000-0005-0000-0000-0000D7860000}"/>
    <cellStyle name="Normal 4 8 8 6" xfId="24409" xr:uid="{00000000-0005-0000-0000-0000D8860000}"/>
    <cellStyle name="Normal 4 8 8 7" xfId="24410" xr:uid="{00000000-0005-0000-0000-0000D9860000}"/>
    <cellStyle name="Normal 4 8 8 8" xfId="24411" xr:uid="{00000000-0005-0000-0000-0000DA860000}"/>
    <cellStyle name="Normal 4 8 9" xfId="24412" xr:uid="{00000000-0005-0000-0000-0000DB860000}"/>
    <cellStyle name="Normal 4 8 9 2" xfId="24413" xr:uid="{00000000-0005-0000-0000-0000DC860000}"/>
    <cellStyle name="Normal 4 8 9 2 2" xfId="24414" xr:uid="{00000000-0005-0000-0000-0000DD860000}"/>
    <cellStyle name="Normal 4 8 9 2 2 2" xfId="24415" xr:uid="{00000000-0005-0000-0000-0000DE860000}"/>
    <cellStyle name="Normal 4 8 9 2 2 2 2" xfId="56132" xr:uid="{00000000-0005-0000-0000-0000DF860000}"/>
    <cellStyle name="Normal 4 8 9 2 2 2 3" xfId="56133" xr:uid="{00000000-0005-0000-0000-0000E0860000}"/>
    <cellStyle name="Normal 4 8 9 2 2 3" xfId="24416" xr:uid="{00000000-0005-0000-0000-0000E1860000}"/>
    <cellStyle name="Normal 4 8 9 2 2 3 2" xfId="56134" xr:uid="{00000000-0005-0000-0000-0000E2860000}"/>
    <cellStyle name="Normal 4 8 9 2 2 4" xfId="24417" xr:uid="{00000000-0005-0000-0000-0000E3860000}"/>
    <cellStyle name="Normal 4 8 9 2 2 5" xfId="24418" xr:uid="{00000000-0005-0000-0000-0000E4860000}"/>
    <cellStyle name="Normal 4 8 9 2 2 6" xfId="24419" xr:uid="{00000000-0005-0000-0000-0000E5860000}"/>
    <cellStyle name="Normal 4 8 9 2 3" xfId="24420" xr:uid="{00000000-0005-0000-0000-0000E6860000}"/>
    <cellStyle name="Normal 4 8 9 2 3 2" xfId="56135" xr:uid="{00000000-0005-0000-0000-0000E7860000}"/>
    <cellStyle name="Normal 4 8 9 2 3 3" xfId="56136" xr:uid="{00000000-0005-0000-0000-0000E8860000}"/>
    <cellStyle name="Normal 4 8 9 2 4" xfId="24421" xr:uid="{00000000-0005-0000-0000-0000E9860000}"/>
    <cellStyle name="Normal 4 8 9 2 4 2" xfId="56137" xr:uid="{00000000-0005-0000-0000-0000EA860000}"/>
    <cellStyle name="Normal 4 8 9 2 5" xfId="24422" xr:uid="{00000000-0005-0000-0000-0000EB860000}"/>
    <cellStyle name="Normal 4 8 9 2 6" xfId="24423" xr:uid="{00000000-0005-0000-0000-0000EC860000}"/>
    <cellStyle name="Normal 4 8 9 2 7" xfId="24424" xr:uid="{00000000-0005-0000-0000-0000ED860000}"/>
    <cellStyle name="Normal 4 8 9 3" xfId="24425" xr:uid="{00000000-0005-0000-0000-0000EE860000}"/>
    <cellStyle name="Normal 4 8 9 3 2" xfId="24426" xr:uid="{00000000-0005-0000-0000-0000EF860000}"/>
    <cellStyle name="Normal 4 8 9 3 2 2" xfId="56138" xr:uid="{00000000-0005-0000-0000-0000F0860000}"/>
    <cellStyle name="Normal 4 8 9 3 2 3" xfId="56139" xr:uid="{00000000-0005-0000-0000-0000F1860000}"/>
    <cellStyle name="Normal 4 8 9 3 3" xfId="24427" xr:uid="{00000000-0005-0000-0000-0000F2860000}"/>
    <cellStyle name="Normal 4 8 9 3 3 2" xfId="56140" xr:uid="{00000000-0005-0000-0000-0000F3860000}"/>
    <cellStyle name="Normal 4 8 9 3 4" xfId="24428" xr:uid="{00000000-0005-0000-0000-0000F4860000}"/>
    <cellStyle name="Normal 4 8 9 3 5" xfId="24429" xr:uid="{00000000-0005-0000-0000-0000F5860000}"/>
    <cellStyle name="Normal 4 8 9 3 6" xfId="24430" xr:uid="{00000000-0005-0000-0000-0000F6860000}"/>
    <cellStyle name="Normal 4 8 9 4" xfId="24431" xr:uid="{00000000-0005-0000-0000-0000F7860000}"/>
    <cellStyle name="Normal 4 8 9 4 2" xfId="56141" xr:uid="{00000000-0005-0000-0000-0000F8860000}"/>
    <cellStyle name="Normal 4 8 9 4 3" xfId="56142" xr:uid="{00000000-0005-0000-0000-0000F9860000}"/>
    <cellStyle name="Normal 4 8 9 5" xfId="24432" xr:uid="{00000000-0005-0000-0000-0000FA860000}"/>
    <cellStyle name="Normal 4 8 9 5 2" xfId="56143" xr:uid="{00000000-0005-0000-0000-0000FB860000}"/>
    <cellStyle name="Normal 4 8 9 6" xfId="24433" xr:uid="{00000000-0005-0000-0000-0000FC860000}"/>
    <cellStyle name="Normal 4 8 9 7" xfId="24434" xr:uid="{00000000-0005-0000-0000-0000FD860000}"/>
    <cellStyle name="Normal 4 8 9 8" xfId="24435" xr:uid="{00000000-0005-0000-0000-0000FE860000}"/>
    <cellStyle name="Normal 4 9" xfId="24436" xr:uid="{00000000-0005-0000-0000-0000FF860000}"/>
    <cellStyle name="Normal 4 9 10" xfId="24437" xr:uid="{00000000-0005-0000-0000-000000870000}"/>
    <cellStyle name="Normal 4 9 10 2" xfId="24438" xr:uid="{00000000-0005-0000-0000-000001870000}"/>
    <cellStyle name="Normal 4 9 10 2 2" xfId="24439" xr:uid="{00000000-0005-0000-0000-000002870000}"/>
    <cellStyle name="Normal 4 9 10 2 2 2" xfId="56144" xr:uid="{00000000-0005-0000-0000-000003870000}"/>
    <cellStyle name="Normal 4 9 10 2 2 3" xfId="56145" xr:uid="{00000000-0005-0000-0000-000004870000}"/>
    <cellStyle name="Normal 4 9 10 2 3" xfId="24440" xr:uid="{00000000-0005-0000-0000-000005870000}"/>
    <cellStyle name="Normal 4 9 10 2 3 2" xfId="56146" xr:uid="{00000000-0005-0000-0000-000006870000}"/>
    <cellStyle name="Normal 4 9 10 2 4" xfId="24441" xr:uid="{00000000-0005-0000-0000-000007870000}"/>
    <cellStyle name="Normal 4 9 10 2 5" xfId="24442" xr:uid="{00000000-0005-0000-0000-000008870000}"/>
    <cellStyle name="Normal 4 9 10 2 6" xfId="24443" xr:uid="{00000000-0005-0000-0000-000009870000}"/>
    <cellStyle name="Normal 4 9 10 3" xfId="24444" xr:uid="{00000000-0005-0000-0000-00000A870000}"/>
    <cellStyle name="Normal 4 9 10 3 2" xfId="56147" xr:uid="{00000000-0005-0000-0000-00000B870000}"/>
    <cellStyle name="Normal 4 9 10 3 3" xfId="56148" xr:uid="{00000000-0005-0000-0000-00000C870000}"/>
    <cellStyle name="Normal 4 9 10 4" xfId="24445" xr:uid="{00000000-0005-0000-0000-00000D870000}"/>
    <cellStyle name="Normal 4 9 10 4 2" xfId="56149" xr:uid="{00000000-0005-0000-0000-00000E870000}"/>
    <cellStyle name="Normal 4 9 10 5" xfId="24446" xr:uid="{00000000-0005-0000-0000-00000F870000}"/>
    <cellStyle name="Normal 4 9 10 6" xfId="24447" xr:uid="{00000000-0005-0000-0000-000010870000}"/>
    <cellStyle name="Normal 4 9 10 7" xfId="24448" xr:uid="{00000000-0005-0000-0000-000011870000}"/>
    <cellStyle name="Normal 4 9 11" xfId="24449" xr:uid="{00000000-0005-0000-0000-000012870000}"/>
    <cellStyle name="Normal 4 9 11 2" xfId="24450" xr:uid="{00000000-0005-0000-0000-000013870000}"/>
    <cellStyle name="Normal 4 9 11 2 2" xfId="56150" xr:uid="{00000000-0005-0000-0000-000014870000}"/>
    <cellStyle name="Normal 4 9 11 2 3" xfId="56151" xr:uid="{00000000-0005-0000-0000-000015870000}"/>
    <cellStyle name="Normal 4 9 11 3" xfId="24451" xr:uid="{00000000-0005-0000-0000-000016870000}"/>
    <cellStyle name="Normal 4 9 11 3 2" xfId="56152" xr:uid="{00000000-0005-0000-0000-000017870000}"/>
    <cellStyle name="Normal 4 9 11 4" xfId="24452" xr:uid="{00000000-0005-0000-0000-000018870000}"/>
    <cellStyle name="Normal 4 9 11 5" xfId="24453" xr:uid="{00000000-0005-0000-0000-000019870000}"/>
    <cellStyle name="Normal 4 9 11 6" xfId="24454" xr:uid="{00000000-0005-0000-0000-00001A870000}"/>
    <cellStyle name="Normal 4 9 12" xfId="24455" xr:uid="{00000000-0005-0000-0000-00001B870000}"/>
    <cellStyle name="Normal 4 9 12 2" xfId="56153" xr:uid="{00000000-0005-0000-0000-00001C870000}"/>
    <cellStyle name="Normal 4 9 12 3" xfId="56154" xr:uid="{00000000-0005-0000-0000-00001D870000}"/>
    <cellStyle name="Normal 4 9 13" xfId="24456" xr:uid="{00000000-0005-0000-0000-00001E870000}"/>
    <cellStyle name="Normal 4 9 13 2" xfId="56155" xr:uid="{00000000-0005-0000-0000-00001F870000}"/>
    <cellStyle name="Normal 4 9 14" xfId="24457" xr:uid="{00000000-0005-0000-0000-000020870000}"/>
    <cellStyle name="Normal 4 9 14 2" xfId="56156" xr:uid="{00000000-0005-0000-0000-000021870000}"/>
    <cellStyle name="Normal 4 9 15" xfId="24458" xr:uid="{00000000-0005-0000-0000-000022870000}"/>
    <cellStyle name="Normal 4 9 16" xfId="24459" xr:uid="{00000000-0005-0000-0000-000023870000}"/>
    <cellStyle name="Normal 4 9 17" xfId="24460" xr:uid="{00000000-0005-0000-0000-000024870000}"/>
    <cellStyle name="Normal 4 9 18" xfId="24461" xr:uid="{00000000-0005-0000-0000-000025870000}"/>
    <cellStyle name="Normal 4 9 19" xfId="24462" xr:uid="{00000000-0005-0000-0000-000026870000}"/>
    <cellStyle name="Normal 4 9 2" xfId="24463" xr:uid="{00000000-0005-0000-0000-000027870000}"/>
    <cellStyle name="Normal 4 9 2 10" xfId="24464" xr:uid="{00000000-0005-0000-0000-000028870000}"/>
    <cellStyle name="Normal 4 9 2 11" xfId="24465" xr:uid="{00000000-0005-0000-0000-000029870000}"/>
    <cellStyle name="Normal 4 9 2 12" xfId="24466" xr:uid="{00000000-0005-0000-0000-00002A870000}"/>
    <cellStyle name="Normal 4 9 2 13" xfId="24467" xr:uid="{00000000-0005-0000-0000-00002B870000}"/>
    <cellStyle name="Normal 4 9 2 14" xfId="24468" xr:uid="{00000000-0005-0000-0000-00002C870000}"/>
    <cellStyle name="Normal 4 9 2 15" xfId="24469" xr:uid="{00000000-0005-0000-0000-00002D870000}"/>
    <cellStyle name="Normal 4 9 2 2" xfId="24470" xr:uid="{00000000-0005-0000-0000-00002E870000}"/>
    <cellStyle name="Normal 4 9 2 2 10" xfId="24471" xr:uid="{00000000-0005-0000-0000-00002F870000}"/>
    <cellStyle name="Normal 4 9 2 2 11" xfId="24472" xr:uid="{00000000-0005-0000-0000-000030870000}"/>
    <cellStyle name="Normal 4 9 2 2 12" xfId="24473" xr:uid="{00000000-0005-0000-0000-000031870000}"/>
    <cellStyle name="Normal 4 9 2 2 13" xfId="24474" xr:uid="{00000000-0005-0000-0000-000032870000}"/>
    <cellStyle name="Normal 4 9 2 2 14" xfId="24475" xr:uid="{00000000-0005-0000-0000-000033870000}"/>
    <cellStyle name="Normal 4 9 2 2 2" xfId="24476" xr:uid="{00000000-0005-0000-0000-000034870000}"/>
    <cellStyle name="Normal 4 9 2 2 2 2" xfId="24477" xr:uid="{00000000-0005-0000-0000-000035870000}"/>
    <cellStyle name="Normal 4 9 2 2 2 2 2" xfId="24478" xr:uid="{00000000-0005-0000-0000-000036870000}"/>
    <cellStyle name="Normal 4 9 2 2 2 2 2 2" xfId="24479" xr:uid="{00000000-0005-0000-0000-000037870000}"/>
    <cellStyle name="Normal 4 9 2 2 2 2 2 2 2" xfId="56157" xr:uid="{00000000-0005-0000-0000-000038870000}"/>
    <cellStyle name="Normal 4 9 2 2 2 2 2 2 3" xfId="56158" xr:uid="{00000000-0005-0000-0000-000039870000}"/>
    <cellStyle name="Normal 4 9 2 2 2 2 2 3" xfId="24480" xr:uid="{00000000-0005-0000-0000-00003A870000}"/>
    <cellStyle name="Normal 4 9 2 2 2 2 2 3 2" xfId="56159" xr:uid="{00000000-0005-0000-0000-00003B870000}"/>
    <cellStyle name="Normal 4 9 2 2 2 2 2 4" xfId="24481" xr:uid="{00000000-0005-0000-0000-00003C870000}"/>
    <cellStyle name="Normal 4 9 2 2 2 2 2 5" xfId="24482" xr:uid="{00000000-0005-0000-0000-00003D870000}"/>
    <cellStyle name="Normal 4 9 2 2 2 2 2 6" xfId="24483" xr:uid="{00000000-0005-0000-0000-00003E870000}"/>
    <cellStyle name="Normal 4 9 2 2 2 2 3" xfId="24484" xr:uid="{00000000-0005-0000-0000-00003F870000}"/>
    <cellStyle name="Normal 4 9 2 2 2 2 3 2" xfId="56160" xr:uid="{00000000-0005-0000-0000-000040870000}"/>
    <cellStyle name="Normal 4 9 2 2 2 2 3 3" xfId="56161" xr:uid="{00000000-0005-0000-0000-000041870000}"/>
    <cellStyle name="Normal 4 9 2 2 2 2 4" xfId="24485" xr:uid="{00000000-0005-0000-0000-000042870000}"/>
    <cellStyle name="Normal 4 9 2 2 2 2 4 2" xfId="56162" xr:uid="{00000000-0005-0000-0000-000043870000}"/>
    <cellStyle name="Normal 4 9 2 2 2 2 5" xfId="24486" xr:uid="{00000000-0005-0000-0000-000044870000}"/>
    <cellStyle name="Normal 4 9 2 2 2 2 6" xfId="24487" xr:uid="{00000000-0005-0000-0000-000045870000}"/>
    <cellStyle name="Normal 4 9 2 2 2 2 7" xfId="24488" xr:uid="{00000000-0005-0000-0000-000046870000}"/>
    <cellStyle name="Normal 4 9 2 2 2 3" xfId="24489" xr:uid="{00000000-0005-0000-0000-000047870000}"/>
    <cellStyle name="Normal 4 9 2 2 2 3 2" xfId="24490" xr:uid="{00000000-0005-0000-0000-000048870000}"/>
    <cellStyle name="Normal 4 9 2 2 2 3 2 2" xfId="56163" xr:uid="{00000000-0005-0000-0000-000049870000}"/>
    <cellStyle name="Normal 4 9 2 2 2 3 2 3" xfId="56164" xr:uid="{00000000-0005-0000-0000-00004A870000}"/>
    <cellStyle name="Normal 4 9 2 2 2 3 3" xfId="24491" xr:uid="{00000000-0005-0000-0000-00004B870000}"/>
    <cellStyle name="Normal 4 9 2 2 2 3 3 2" xfId="56165" xr:uid="{00000000-0005-0000-0000-00004C870000}"/>
    <cellStyle name="Normal 4 9 2 2 2 3 4" xfId="24492" xr:uid="{00000000-0005-0000-0000-00004D870000}"/>
    <cellStyle name="Normal 4 9 2 2 2 3 5" xfId="24493" xr:uid="{00000000-0005-0000-0000-00004E870000}"/>
    <cellStyle name="Normal 4 9 2 2 2 3 6" xfId="24494" xr:uid="{00000000-0005-0000-0000-00004F870000}"/>
    <cellStyle name="Normal 4 9 2 2 2 4" xfId="24495" xr:uid="{00000000-0005-0000-0000-000050870000}"/>
    <cellStyle name="Normal 4 9 2 2 2 4 2" xfId="56166" xr:uid="{00000000-0005-0000-0000-000051870000}"/>
    <cellStyle name="Normal 4 9 2 2 2 4 3" xfId="56167" xr:uid="{00000000-0005-0000-0000-000052870000}"/>
    <cellStyle name="Normal 4 9 2 2 2 5" xfId="24496" xr:uid="{00000000-0005-0000-0000-000053870000}"/>
    <cellStyle name="Normal 4 9 2 2 2 5 2" xfId="56168" xr:uid="{00000000-0005-0000-0000-000054870000}"/>
    <cellStyle name="Normal 4 9 2 2 2 6" xfId="24497" xr:uid="{00000000-0005-0000-0000-000055870000}"/>
    <cellStyle name="Normal 4 9 2 2 2 7" xfId="24498" xr:uid="{00000000-0005-0000-0000-000056870000}"/>
    <cellStyle name="Normal 4 9 2 2 2 8" xfId="24499" xr:uid="{00000000-0005-0000-0000-000057870000}"/>
    <cellStyle name="Normal 4 9 2 2 2 9" xfId="24500" xr:uid="{00000000-0005-0000-0000-000058870000}"/>
    <cellStyle name="Normal 4 9 2 2 3" xfId="24501" xr:uid="{00000000-0005-0000-0000-000059870000}"/>
    <cellStyle name="Normal 4 9 2 2 3 2" xfId="24502" xr:uid="{00000000-0005-0000-0000-00005A870000}"/>
    <cellStyle name="Normal 4 9 2 2 3 2 2" xfId="24503" xr:uid="{00000000-0005-0000-0000-00005B870000}"/>
    <cellStyle name="Normal 4 9 2 2 3 2 2 2" xfId="24504" xr:uid="{00000000-0005-0000-0000-00005C870000}"/>
    <cellStyle name="Normal 4 9 2 2 3 2 2 2 2" xfId="56169" xr:uid="{00000000-0005-0000-0000-00005D870000}"/>
    <cellStyle name="Normal 4 9 2 2 3 2 2 2 3" xfId="56170" xr:uid="{00000000-0005-0000-0000-00005E870000}"/>
    <cellStyle name="Normal 4 9 2 2 3 2 2 3" xfId="24505" xr:uid="{00000000-0005-0000-0000-00005F870000}"/>
    <cellStyle name="Normal 4 9 2 2 3 2 2 3 2" xfId="56171" xr:uid="{00000000-0005-0000-0000-000060870000}"/>
    <cellStyle name="Normal 4 9 2 2 3 2 2 4" xfId="24506" xr:uid="{00000000-0005-0000-0000-000061870000}"/>
    <cellStyle name="Normal 4 9 2 2 3 2 2 5" xfId="24507" xr:uid="{00000000-0005-0000-0000-000062870000}"/>
    <cellStyle name="Normal 4 9 2 2 3 2 2 6" xfId="24508" xr:uid="{00000000-0005-0000-0000-000063870000}"/>
    <cellStyle name="Normal 4 9 2 2 3 2 3" xfId="24509" xr:uid="{00000000-0005-0000-0000-000064870000}"/>
    <cellStyle name="Normal 4 9 2 2 3 2 3 2" xfId="56172" xr:uid="{00000000-0005-0000-0000-000065870000}"/>
    <cellStyle name="Normal 4 9 2 2 3 2 3 3" xfId="56173" xr:uid="{00000000-0005-0000-0000-000066870000}"/>
    <cellStyle name="Normal 4 9 2 2 3 2 4" xfId="24510" xr:uid="{00000000-0005-0000-0000-000067870000}"/>
    <cellStyle name="Normal 4 9 2 2 3 2 4 2" xfId="56174" xr:uid="{00000000-0005-0000-0000-000068870000}"/>
    <cellStyle name="Normal 4 9 2 2 3 2 5" xfId="24511" xr:uid="{00000000-0005-0000-0000-000069870000}"/>
    <cellStyle name="Normal 4 9 2 2 3 2 6" xfId="24512" xr:uid="{00000000-0005-0000-0000-00006A870000}"/>
    <cellStyle name="Normal 4 9 2 2 3 2 7" xfId="24513" xr:uid="{00000000-0005-0000-0000-00006B870000}"/>
    <cellStyle name="Normal 4 9 2 2 3 3" xfId="24514" xr:uid="{00000000-0005-0000-0000-00006C870000}"/>
    <cellStyle name="Normal 4 9 2 2 3 3 2" xfId="24515" xr:uid="{00000000-0005-0000-0000-00006D870000}"/>
    <cellStyle name="Normal 4 9 2 2 3 3 2 2" xfId="56175" xr:uid="{00000000-0005-0000-0000-00006E870000}"/>
    <cellStyle name="Normal 4 9 2 2 3 3 2 3" xfId="56176" xr:uid="{00000000-0005-0000-0000-00006F870000}"/>
    <cellStyle name="Normal 4 9 2 2 3 3 3" xfId="24516" xr:uid="{00000000-0005-0000-0000-000070870000}"/>
    <cellStyle name="Normal 4 9 2 2 3 3 3 2" xfId="56177" xr:uid="{00000000-0005-0000-0000-000071870000}"/>
    <cellStyle name="Normal 4 9 2 2 3 3 4" xfId="24517" xr:uid="{00000000-0005-0000-0000-000072870000}"/>
    <cellStyle name="Normal 4 9 2 2 3 3 5" xfId="24518" xr:uid="{00000000-0005-0000-0000-000073870000}"/>
    <cellStyle name="Normal 4 9 2 2 3 3 6" xfId="24519" xr:uid="{00000000-0005-0000-0000-000074870000}"/>
    <cellStyle name="Normal 4 9 2 2 3 4" xfId="24520" xr:uid="{00000000-0005-0000-0000-000075870000}"/>
    <cellStyle name="Normal 4 9 2 2 3 4 2" xfId="56178" xr:uid="{00000000-0005-0000-0000-000076870000}"/>
    <cellStyle name="Normal 4 9 2 2 3 4 3" xfId="56179" xr:uid="{00000000-0005-0000-0000-000077870000}"/>
    <cellStyle name="Normal 4 9 2 2 3 5" xfId="24521" xr:uid="{00000000-0005-0000-0000-000078870000}"/>
    <cellStyle name="Normal 4 9 2 2 3 5 2" xfId="56180" xr:uid="{00000000-0005-0000-0000-000079870000}"/>
    <cellStyle name="Normal 4 9 2 2 3 6" xfId="24522" xr:uid="{00000000-0005-0000-0000-00007A870000}"/>
    <cellStyle name="Normal 4 9 2 2 3 7" xfId="24523" xr:uid="{00000000-0005-0000-0000-00007B870000}"/>
    <cellStyle name="Normal 4 9 2 2 3 8" xfId="24524" xr:uid="{00000000-0005-0000-0000-00007C870000}"/>
    <cellStyle name="Normal 4 9 2 2 4" xfId="24525" xr:uid="{00000000-0005-0000-0000-00007D870000}"/>
    <cellStyle name="Normal 4 9 2 2 4 2" xfId="24526" xr:uid="{00000000-0005-0000-0000-00007E870000}"/>
    <cellStyle name="Normal 4 9 2 2 4 2 2" xfId="24527" xr:uid="{00000000-0005-0000-0000-00007F870000}"/>
    <cellStyle name="Normal 4 9 2 2 4 2 2 2" xfId="56181" xr:uid="{00000000-0005-0000-0000-000080870000}"/>
    <cellStyle name="Normal 4 9 2 2 4 2 2 3" xfId="56182" xr:uid="{00000000-0005-0000-0000-000081870000}"/>
    <cellStyle name="Normal 4 9 2 2 4 2 3" xfId="24528" xr:uid="{00000000-0005-0000-0000-000082870000}"/>
    <cellStyle name="Normal 4 9 2 2 4 2 3 2" xfId="56183" xr:uid="{00000000-0005-0000-0000-000083870000}"/>
    <cellStyle name="Normal 4 9 2 2 4 2 4" xfId="24529" xr:uid="{00000000-0005-0000-0000-000084870000}"/>
    <cellStyle name="Normal 4 9 2 2 4 2 5" xfId="24530" xr:uid="{00000000-0005-0000-0000-000085870000}"/>
    <cellStyle name="Normal 4 9 2 2 4 2 6" xfId="24531" xr:uid="{00000000-0005-0000-0000-000086870000}"/>
    <cellStyle name="Normal 4 9 2 2 4 3" xfId="24532" xr:uid="{00000000-0005-0000-0000-000087870000}"/>
    <cellStyle name="Normal 4 9 2 2 4 3 2" xfId="56184" xr:uid="{00000000-0005-0000-0000-000088870000}"/>
    <cellStyle name="Normal 4 9 2 2 4 3 3" xfId="56185" xr:uid="{00000000-0005-0000-0000-000089870000}"/>
    <cellStyle name="Normal 4 9 2 2 4 4" xfId="24533" xr:uid="{00000000-0005-0000-0000-00008A870000}"/>
    <cellStyle name="Normal 4 9 2 2 4 4 2" xfId="56186" xr:uid="{00000000-0005-0000-0000-00008B870000}"/>
    <cellStyle name="Normal 4 9 2 2 4 5" xfId="24534" xr:uid="{00000000-0005-0000-0000-00008C870000}"/>
    <cellStyle name="Normal 4 9 2 2 4 6" xfId="24535" xr:uid="{00000000-0005-0000-0000-00008D870000}"/>
    <cellStyle name="Normal 4 9 2 2 4 7" xfId="24536" xr:uid="{00000000-0005-0000-0000-00008E870000}"/>
    <cellStyle name="Normal 4 9 2 2 5" xfId="24537" xr:uid="{00000000-0005-0000-0000-00008F870000}"/>
    <cellStyle name="Normal 4 9 2 2 5 2" xfId="24538" xr:uid="{00000000-0005-0000-0000-000090870000}"/>
    <cellStyle name="Normal 4 9 2 2 5 2 2" xfId="56187" xr:uid="{00000000-0005-0000-0000-000091870000}"/>
    <cellStyle name="Normal 4 9 2 2 5 2 3" xfId="56188" xr:uid="{00000000-0005-0000-0000-000092870000}"/>
    <cellStyle name="Normal 4 9 2 2 5 3" xfId="24539" xr:uid="{00000000-0005-0000-0000-000093870000}"/>
    <cellStyle name="Normal 4 9 2 2 5 3 2" xfId="56189" xr:uid="{00000000-0005-0000-0000-000094870000}"/>
    <cellStyle name="Normal 4 9 2 2 5 4" xfId="24540" xr:uid="{00000000-0005-0000-0000-000095870000}"/>
    <cellStyle name="Normal 4 9 2 2 5 5" xfId="24541" xr:uid="{00000000-0005-0000-0000-000096870000}"/>
    <cellStyle name="Normal 4 9 2 2 5 6" xfId="24542" xr:uid="{00000000-0005-0000-0000-000097870000}"/>
    <cellStyle name="Normal 4 9 2 2 6" xfId="24543" xr:uid="{00000000-0005-0000-0000-000098870000}"/>
    <cellStyle name="Normal 4 9 2 2 6 2" xfId="56190" xr:uid="{00000000-0005-0000-0000-000099870000}"/>
    <cellStyle name="Normal 4 9 2 2 6 3" xfId="56191" xr:uid="{00000000-0005-0000-0000-00009A870000}"/>
    <cellStyle name="Normal 4 9 2 2 7" xfId="24544" xr:uid="{00000000-0005-0000-0000-00009B870000}"/>
    <cellStyle name="Normal 4 9 2 2 7 2" xfId="56192" xr:uid="{00000000-0005-0000-0000-00009C870000}"/>
    <cellStyle name="Normal 4 9 2 2 8" xfId="24545" xr:uid="{00000000-0005-0000-0000-00009D870000}"/>
    <cellStyle name="Normal 4 9 2 2 9" xfId="24546" xr:uid="{00000000-0005-0000-0000-00009E870000}"/>
    <cellStyle name="Normal 4 9 2 3" xfId="24547" xr:uid="{00000000-0005-0000-0000-00009F870000}"/>
    <cellStyle name="Normal 4 9 2 3 2" xfId="24548" xr:uid="{00000000-0005-0000-0000-0000A0870000}"/>
    <cellStyle name="Normal 4 9 2 3 2 2" xfId="24549" xr:uid="{00000000-0005-0000-0000-0000A1870000}"/>
    <cellStyle name="Normal 4 9 2 3 2 2 2" xfId="24550" xr:uid="{00000000-0005-0000-0000-0000A2870000}"/>
    <cellStyle name="Normal 4 9 2 3 2 2 2 2" xfId="56193" xr:uid="{00000000-0005-0000-0000-0000A3870000}"/>
    <cellStyle name="Normal 4 9 2 3 2 2 2 3" xfId="56194" xr:uid="{00000000-0005-0000-0000-0000A4870000}"/>
    <cellStyle name="Normal 4 9 2 3 2 2 3" xfId="24551" xr:uid="{00000000-0005-0000-0000-0000A5870000}"/>
    <cellStyle name="Normal 4 9 2 3 2 2 3 2" xfId="56195" xr:uid="{00000000-0005-0000-0000-0000A6870000}"/>
    <cellStyle name="Normal 4 9 2 3 2 2 4" xfId="24552" xr:uid="{00000000-0005-0000-0000-0000A7870000}"/>
    <cellStyle name="Normal 4 9 2 3 2 2 5" xfId="24553" xr:uid="{00000000-0005-0000-0000-0000A8870000}"/>
    <cellStyle name="Normal 4 9 2 3 2 2 6" xfId="24554" xr:uid="{00000000-0005-0000-0000-0000A9870000}"/>
    <cellStyle name="Normal 4 9 2 3 2 3" xfId="24555" xr:uid="{00000000-0005-0000-0000-0000AA870000}"/>
    <cellStyle name="Normal 4 9 2 3 2 3 2" xfId="56196" xr:uid="{00000000-0005-0000-0000-0000AB870000}"/>
    <cellStyle name="Normal 4 9 2 3 2 3 3" xfId="56197" xr:uid="{00000000-0005-0000-0000-0000AC870000}"/>
    <cellStyle name="Normal 4 9 2 3 2 4" xfId="24556" xr:uid="{00000000-0005-0000-0000-0000AD870000}"/>
    <cellStyle name="Normal 4 9 2 3 2 4 2" xfId="56198" xr:uid="{00000000-0005-0000-0000-0000AE870000}"/>
    <cellStyle name="Normal 4 9 2 3 2 5" xfId="24557" xr:uid="{00000000-0005-0000-0000-0000AF870000}"/>
    <cellStyle name="Normal 4 9 2 3 2 6" xfId="24558" xr:uid="{00000000-0005-0000-0000-0000B0870000}"/>
    <cellStyle name="Normal 4 9 2 3 2 7" xfId="24559" xr:uid="{00000000-0005-0000-0000-0000B1870000}"/>
    <cellStyle name="Normal 4 9 2 3 3" xfId="24560" xr:uid="{00000000-0005-0000-0000-0000B2870000}"/>
    <cellStyle name="Normal 4 9 2 3 3 2" xfId="24561" xr:uid="{00000000-0005-0000-0000-0000B3870000}"/>
    <cellStyle name="Normal 4 9 2 3 3 2 2" xfId="56199" xr:uid="{00000000-0005-0000-0000-0000B4870000}"/>
    <cellStyle name="Normal 4 9 2 3 3 2 3" xfId="56200" xr:uid="{00000000-0005-0000-0000-0000B5870000}"/>
    <cellStyle name="Normal 4 9 2 3 3 3" xfId="24562" xr:uid="{00000000-0005-0000-0000-0000B6870000}"/>
    <cellStyle name="Normal 4 9 2 3 3 3 2" xfId="56201" xr:uid="{00000000-0005-0000-0000-0000B7870000}"/>
    <cellStyle name="Normal 4 9 2 3 3 4" xfId="24563" xr:uid="{00000000-0005-0000-0000-0000B8870000}"/>
    <cellStyle name="Normal 4 9 2 3 3 5" xfId="24564" xr:uid="{00000000-0005-0000-0000-0000B9870000}"/>
    <cellStyle name="Normal 4 9 2 3 3 6" xfId="24565" xr:uid="{00000000-0005-0000-0000-0000BA870000}"/>
    <cellStyle name="Normal 4 9 2 3 4" xfId="24566" xr:uid="{00000000-0005-0000-0000-0000BB870000}"/>
    <cellStyle name="Normal 4 9 2 3 4 2" xfId="56202" xr:uid="{00000000-0005-0000-0000-0000BC870000}"/>
    <cellStyle name="Normal 4 9 2 3 4 3" xfId="56203" xr:uid="{00000000-0005-0000-0000-0000BD870000}"/>
    <cellStyle name="Normal 4 9 2 3 5" xfId="24567" xr:uid="{00000000-0005-0000-0000-0000BE870000}"/>
    <cellStyle name="Normal 4 9 2 3 5 2" xfId="56204" xr:uid="{00000000-0005-0000-0000-0000BF870000}"/>
    <cellStyle name="Normal 4 9 2 3 6" xfId="24568" xr:uid="{00000000-0005-0000-0000-0000C0870000}"/>
    <cellStyle name="Normal 4 9 2 3 7" xfId="24569" xr:uid="{00000000-0005-0000-0000-0000C1870000}"/>
    <cellStyle name="Normal 4 9 2 3 8" xfId="24570" xr:uid="{00000000-0005-0000-0000-0000C2870000}"/>
    <cellStyle name="Normal 4 9 2 3 9" xfId="24571" xr:uid="{00000000-0005-0000-0000-0000C3870000}"/>
    <cellStyle name="Normal 4 9 2 4" xfId="24572" xr:uid="{00000000-0005-0000-0000-0000C4870000}"/>
    <cellStyle name="Normal 4 9 2 4 2" xfId="24573" xr:uid="{00000000-0005-0000-0000-0000C5870000}"/>
    <cellStyle name="Normal 4 9 2 4 2 2" xfId="24574" xr:uid="{00000000-0005-0000-0000-0000C6870000}"/>
    <cellStyle name="Normal 4 9 2 4 2 2 2" xfId="24575" xr:uid="{00000000-0005-0000-0000-0000C7870000}"/>
    <cellStyle name="Normal 4 9 2 4 2 2 2 2" xfId="56205" xr:uid="{00000000-0005-0000-0000-0000C8870000}"/>
    <cellStyle name="Normal 4 9 2 4 2 2 2 3" xfId="56206" xr:uid="{00000000-0005-0000-0000-0000C9870000}"/>
    <cellStyle name="Normal 4 9 2 4 2 2 3" xfId="24576" xr:uid="{00000000-0005-0000-0000-0000CA870000}"/>
    <cellStyle name="Normal 4 9 2 4 2 2 3 2" xfId="56207" xr:uid="{00000000-0005-0000-0000-0000CB870000}"/>
    <cellStyle name="Normal 4 9 2 4 2 2 4" xfId="24577" xr:uid="{00000000-0005-0000-0000-0000CC870000}"/>
    <cellStyle name="Normal 4 9 2 4 2 2 5" xfId="24578" xr:uid="{00000000-0005-0000-0000-0000CD870000}"/>
    <cellStyle name="Normal 4 9 2 4 2 2 6" xfId="24579" xr:uid="{00000000-0005-0000-0000-0000CE870000}"/>
    <cellStyle name="Normal 4 9 2 4 2 3" xfId="24580" xr:uid="{00000000-0005-0000-0000-0000CF870000}"/>
    <cellStyle name="Normal 4 9 2 4 2 3 2" xfId="56208" xr:uid="{00000000-0005-0000-0000-0000D0870000}"/>
    <cellStyle name="Normal 4 9 2 4 2 3 3" xfId="56209" xr:uid="{00000000-0005-0000-0000-0000D1870000}"/>
    <cellStyle name="Normal 4 9 2 4 2 4" xfId="24581" xr:uid="{00000000-0005-0000-0000-0000D2870000}"/>
    <cellStyle name="Normal 4 9 2 4 2 4 2" xfId="56210" xr:uid="{00000000-0005-0000-0000-0000D3870000}"/>
    <cellStyle name="Normal 4 9 2 4 2 5" xfId="24582" xr:uid="{00000000-0005-0000-0000-0000D4870000}"/>
    <cellStyle name="Normal 4 9 2 4 2 6" xfId="24583" xr:uid="{00000000-0005-0000-0000-0000D5870000}"/>
    <cellStyle name="Normal 4 9 2 4 2 7" xfId="24584" xr:uid="{00000000-0005-0000-0000-0000D6870000}"/>
    <cellStyle name="Normal 4 9 2 4 3" xfId="24585" xr:uid="{00000000-0005-0000-0000-0000D7870000}"/>
    <cellStyle name="Normal 4 9 2 4 3 2" xfId="24586" xr:uid="{00000000-0005-0000-0000-0000D8870000}"/>
    <cellStyle name="Normal 4 9 2 4 3 2 2" xfId="56211" xr:uid="{00000000-0005-0000-0000-0000D9870000}"/>
    <cellStyle name="Normal 4 9 2 4 3 2 3" xfId="56212" xr:uid="{00000000-0005-0000-0000-0000DA870000}"/>
    <cellStyle name="Normal 4 9 2 4 3 3" xfId="24587" xr:uid="{00000000-0005-0000-0000-0000DB870000}"/>
    <cellStyle name="Normal 4 9 2 4 3 3 2" xfId="56213" xr:uid="{00000000-0005-0000-0000-0000DC870000}"/>
    <cellStyle name="Normal 4 9 2 4 3 4" xfId="24588" xr:uid="{00000000-0005-0000-0000-0000DD870000}"/>
    <cellStyle name="Normal 4 9 2 4 3 5" xfId="24589" xr:uid="{00000000-0005-0000-0000-0000DE870000}"/>
    <cellStyle name="Normal 4 9 2 4 3 6" xfId="24590" xr:uid="{00000000-0005-0000-0000-0000DF870000}"/>
    <cellStyle name="Normal 4 9 2 4 4" xfId="24591" xr:uid="{00000000-0005-0000-0000-0000E0870000}"/>
    <cellStyle name="Normal 4 9 2 4 4 2" xfId="56214" xr:uid="{00000000-0005-0000-0000-0000E1870000}"/>
    <cellStyle name="Normal 4 9 2 4 4 3" xfId="56215" xr:uid="{00000000-0005-0000-0000-0000E2870000}"/>
    <cellStyle name="Normal 4 9 2 4 5" xfId="24592" xr:uid="{00000000-0005-0000-0000-0000E3870000}"/>
    <cellStyle name="Normal 4 9 2 4 5 2" xfId="56216" xr:uid="{00000000-0005-0000-0000-0000E4870000}"/>
    <cellStyle name="Normal 4 9 2 4 6" xfId="24593" xr:uid="{00000000-0005-0000-0000-0000E5870000}"/>
    <cellStyle name="Normal 4 9 2 4 7" xfId="24594" xr:uid="{00000000-0005-0000-0000-0000E6870000}"/>
    <cellStyle name="Normal 4 9 2 4 8" xfId="24595" xr:uid="{00000000-0005-0000-0000-0000E7870000}"/>
    <cellStyle name="Normal 4 9 2 5" xfId="24596" xr:uid="{00000000-0005-0000-0000-0000E8870000}"/>
    <cellStyle name="Normal 4 9 2 5 2" xfId="24597" xr:uid="{00000000-0005-0000-0000-0000E9870000}"/>
    <cellStyle name="Normal 4 9 2 5 2 2" xfId="24598" xr:uid="{00000000-0005-0000-0000-0000EA870000}"/>
    <cellStyle name="Normal 4 9 2 5 2 2 2" xfId="56217" xr:uid="{00000000-0005-0000-0000-0000EB870000}"/>
    <cellStyle name="Normal 4 9 2 5 2 2 3" xfId="56218" xr:uid="{00000000-0005-0000-0000-0000EC870000}"/>
    <cellStyle name="Normal 4 9 2 5 2 3" xfId="24599" xr:uid="{00000000-0005-0000-0000-0000ED870000}"/>
    <cellStyle name="Normal 4 9 2 5 2 3 2" xfId="56219" xr:uid="{00000000-0005-0000-0000-0000EE870000}"/>
    <cellStyle name="Normal 4 9 2 5 2 4" xfId="24600" xr:uid="{00000000-0005-0000-0000-0000EF870000}"/>
    <cellStyle name="Normal 4 9 2 5 2 5" xfId="24601" xr:uid="{00000000-0005-0000-0000-0000F0870000}"/>
    <cellStyle name="Normal 4 9 2 5 2 6" xfId="24602" xr:uid="{00000000-0005-0000-0000-0000F1870000}"/>
    <cellStyle name="Normal 4 9 2 5 3" xfId="24603" xr:uid="{00000000-0005-0000-0000-0000F2870000}"/>
    <cellStyle name="Normal 4 9 2 5 3 2" xfId="56220" xr:uid="{00000000-0005-0000-0000-0000F3870000}"/>
    <cellStyle name="Normal 4 9 2 5 3 3" xfId="56221" xr:uid="{00000000-0005-0000-0000-0000F4870000}"/>
    <cellStyle name="Normal 4 9 2 5 4" xfId="24604" xr:uid="{00000000-0005-0000-0000-0000F5870000}"/>
    <cellStyle name="Normal 4 9 2 5 4 2" xfId="56222" xr:uid="{00000000-0005-0000-0000-0000F6870000}"/>
    <cellStyle name="Normal 4 9 2 5 5" xfId="24605" xr:uid="{00000000-0005-0000-0000-0000F7870000}"/>
    <cellStyle name="Normal 4 9 2 5 6" xfId="24606" xr:uid="{00000000-0005-0000-0000-0000F8870000}"/>
    <cellStyle name="Normal 4 9 2 5 7" xfId="24607" xr:uid="{00000000-0005-0000-0000-0000F9870000}"/>
    <cellStyle name="Normal 4 9 2 6" xfId="24608" xr:uid="{00000000-0005-0000-0000-0000FA870000}"/>
    <cellStyle name="Normal 4 9 2 6 2" xfId="24609" xr:uid="{00000000-0005-0000-0000-0000FB870000}"/>
    <cellStyle name="Normal 4 9 2 6 2 2" xfId="56223" xr:uid="{00000000-0005-0000-0000-0000FC870000}"/>
    <cellStyle name="Normal 4 9 2 6 2 3" xfId="56224" xr:uid="{00000000-0005-0000-0000-0000FD870000}"/>
    <cellStyle name="Normal 4 9 2 6 3" xfId="24610" xr:uid="{00000000-0005-0000-0000-0000FE870000}"/>
    <cellStyle name="Normal 4 9 2 6 3 2" xfId="56225" xr:uid="{00000000-0005-0000-0000-0000FF870000}"/>
    <cellStyle name="Normal 4 9 2 6 4" xfId="24611" xr:uid="{00000000-0005-0000-0000-000000880000}"/>
    <cellStyle name="Normal 4 9 2 6 5" xfId="24612" xr:uid="{00000000-0005-0000-0000-000001880000}"/>
    <cellStyle name="Normal 4 9 2 6 6" xfId="24613" xr:uid="{00000000-0005-0000-0000-000002880000}"/>
    <cellStyle name="Normal 4 9 2 7" xfId="24614" xr:uid="{00000000-0005-0000-0000-000003880000}"/>
    <cellStyle name="Normal 4 9 2 7 2" xfId="56226" xr:uid="{00000000-0005-0000-0000-000004880000}"/>
    <cellStyle name="Normal 4 9 2 7 3" xfId="56227" xr:uid="{00000000-0005-0000-0000-000005880000}"/>
    <cellStyle name="Normal 4 9 2 8" xfId="24615" xr:uid="{00000000-0005-0000-0000-000006880000}"/>
    <cellStyle name="Normal 4 9 2 8 2" xfId="56228" xr:uid="{00000000-0005-0000-0000-000007880000}"/>
    <cellStyle name="Normal 4 9 2 9" xfId="24616" xr:uid="{00000000-0005-0000-0000-000008880000}"/>
    <cellStyle name="Normal 4 9 2 9 2" xfId="56229" xr:uid="{00000000-0005-0000-0000-000009880000}"/>
    <cellStyle name="Normal 4 9 20" xfId="24617" xr:uid="{00000000-0005-0000-0000-00000A880000}"/>
    <cellStyle name="Normal 4 9 3" xfId="24618" xr:uid="{00000000-0005-0000-0000-00000B880000}"/>
    <cellStyle name="Normal 4 9 3 10" xfId="24619" xr:uid="{00000000-0005-0000-0000-00000C880000}"/>
    <cellStyle name="Normal 4 9 3 11" xfId="24620" xr:uid="{00000000-0005-0000-0000-00000D880000}"/>
    <cellStyle name="Normal 4 9 3 12" xfId="24621" xr:uid="{00000000-0005-0000-0000-00000E880000}"/>
    <cellStyle name="Normal 4 9 3 13" xfId="24622" xr:uid="{00000000-0005-0000-0000-00000F880000}"/>
    <cellStyle name="Normal 4 9 3 14" xfId="24623" xr:uid="{00000000-0005-0000-0000-000010880000}"/>
    <cellStyle name="Normal 4 9 3 15" xfId="24624" xr:uid="{00000000-0005-0000-0000-000011880000}"/>
    <cellStyle name="Normal 4 9 3 2" xfId="24625" xr:uid="{00000000-0005-0000-0000-000012880000}"/>
    <cellStyle name="Normal 4 9 3 2 10" xfId="24626" xr:uid="{00000000-0005-0000-0000-000013880000}"/>
    <cellStyle name="Normal 4 9 3 2 11" xfId="24627" xr:uid="{00000000-0005-0000-0000-000014880000}"/>
    <cellStyle name="Normal 4 9 3 2 12" xfId="24628" xr:uid="{00000000-0005-0000-0000-000015880000}"/>
    <cellStyle name="Normal 4 9 3 2 13" xfId="24629" xr:uid="{00000000-0005-0000-0000-000016880000}"/>
    <cellStyle name="Normal 4 9 3 2 14" xfId="24630" xr:uid="{00000000-0005-0000-0000-000017880000}"/>
    <cellStyle name="Normal 4 9 3 2 2" xfId="24631" xr:uid="{00000000-0005-0000-0000-000018880000}"/>
    <cellStyle name="Normal 4 9 3 2 2 2" xfId="24632" xr:uid="{00000000-0005-0000-0000-000019880000}"/>
    <cellStyle name="Normal 4 9 3 2 2 2 2" xfId="24633" xr:uid="{00000000-0005-0000-0000-00001A880000}"/>
    <cellStyle name="Normal 4 9 3 2 2 2 2 2" xfId="24634" xr:uid="{00000000-0005-0000-0000-00001B880000}"/>
    <cellStyle name="Normal 4 9 3 2 2 2 2 2 2" xfId="56230" xr:uid="{00000000-0005-0000-0000-00001C880000}"/>
    <cellStyle name="Normal 4 9 3 2 2 2 2 2 3" xfId="56231" xr:uid="{00000000-0005-0000-0000-00001D880000}"/>
    <cellStyle name="Normal 4 9 3 2 2 2 2 3" xfId="24635" xr:uid="{00000000-0005-0000-0000-00001E880000}"/>
    <cellStyle name="Normal 4 9 3 2 2 2 2 3 2" xfId="56232" xr:uid="{00000000-0005-0000-0000-00001F880000}"/>
    <cellStyle name="Normal 4 9 3 2 2 2 2 4" xfId="24636" xr:uid="{00000000-0005-0000-0000-000020880000}"/>
    <cellStyle name="Normal 4 9 3 2 2 2 2 5" xfId="24637" xr:uid="{00000000-0005-0000-0000-000021880000}"/>
    <cellStyle name="Normal 4 9 3 2 2 2 2 6" xfId="24638" xr:uid="{00000000-0005-0000-0000-000022880000}"/>
    <cellStyle name="Normal 4 9 3 2 2 2 3" xfId="24639" xr:uid="{00000000-0005-0000-0000-000023880000}"/>
    <cellStyle name="Normal 4 9 3 2 2 2 3 2" xfId="56233" xr:uid="{00000000-0005-0000-0000-000024880000}"/>
    <cellStyle name="Normal 4 9 3 2 2 2 3 3" xfId="56234" xr:uid="{00000000-0005-0000-0000-000025880000}"/>
    <cellStyle name="Normal 4 9 3 2 2 2 4" xfId="24640" xr:uid="{00000000-0005-0000-0000-000026880000}"/>
    <cellStyle name="Normal 4 9 3 2 2 2 4 2" xfId="56235" xr:uid="{00000000-0005-0000-0000-000027880000}"/>
    <cellStyle name="Normal 4 9 3 2 2 2 5" xfId="24641" xr:uid="{00000000-0005-0000-0000-000028880000}"/>
    <cellStyle name="Normal 4 9 3 2 2 2 6" xfId="24642" xr:uid="{00000000-0005-0000-0000-000029880000}"/>
    <cellStyle name="Normal 4 9 3 2 2 2 7" xfId="24643" xr:uid="{00000000-0005-0000-0000-00002A880000}"/>
    <cellStyle name="Normal 4 9 3 2 2 3" xfId="24644" xr:uid="{00000000-0005-0000-0000-00002B880000}"/>
    <cellStyle name="Normal 4 9 3 2 2 3 2" xfId="24645" xr:uid="{00000000-0005-0000-0000-00002C880000}"/>
    <cellStyle name="Normal 4 9 3 2 2 3 2 2" xfId="56236" xr:uid="{00000000-0005-0000-0000-00002D880000}"/>
    <cellStyle name="Normal 4 9 3 2 2 3 2 3" xfId="56237" xr:uid="{00000000-0005-0000-0000-00002E880000}"/>
    <cellStyle name="Normal 4 9 3 2 2 3 3" xfId="24646" xr:uid="{00000000-0005-0000-0000-00002F880000}"/>
    <cellStyle name="Normal 4 9 3 2 2 3 3 2" xfId="56238" xr:uid="{00000000-0005-0000-0000-000030880000}"/>
    <cellStyle name="Normal 4 9 3 2 2 3 4" xfId="24647" xr:uid="{00000000-0005-0000-0000-000031880000}"/>
    <cellStyle name="Normal 4 9 3 2 2 3 5" xfId="24648" xr:uid="{00000000-0005-0000-0000-000032880000}"/>
    <cellStyle name="Normal 4 9 3 2 2 3 6" xfId="24649" xr:uid="{00000000-0005-0000-0000-000033880000}"/>
    <cellStyle name="Normal 4 9 3 2 2 4" xfId="24650" xr:uid="{00000000-0005-0000-0000-000034880000}"/>
    <cellStyle name="Normal 4 9 3 2 2 4 2" xfId="56239" xr:uid="{00000000-0005-0000-0000-000035880000}"/>
    <cellStyle name="Normal 4 9 3 2 2 4 3" xfId="56240" xr:uid="{00000000-0005-0000-0000-000036880000}"/>
    <cellStyle name="Normal 4 9 3 2 2 5" xfId="24651" xr:uid="{00000000-0005-0000-0000-000037880000}"/>
    <cellStyle name="Normal 4 9 3 2 2 5 2" xfId="56241" xr:uid="{00000000-0005-0000-0000-000038880000}"/>
    <cellStyle name="Normal 4 9 3 2 2 6" xfId="24652" xr:uid="{00000000-0005-0000-0000-000039880000}"/>
    <cellStyle name="Normal 4 9 3 2 2 7" xfId="24653" xr:uid="{00000000-0005-0000-0000-00003A880000}"/>
    <cellStyle name="Normal 4 9 3 2 2 8" xfId="24654" xr:uid="{00000000-0005-0000-0000-00003B880000}"/>
    <cellStyle name="Normal 4 9 3 2 2 9" xfId="24655" xr:uid="{00000000-0005-0000-0000-00003C880000}"/>
    <cellStyle name="Normal 4 9 3 2 3" xfId="24656" xr:uid="{00000000-0005-0000-0000-00003D880000}"/>
    <cellStyle name="Normal 4 9 3 2 3 2" xfId="24657" xr:uid="{00000000-0005-0000-0000-00003E880000}"/>
    <cellStyle name="Normal 4 9 3 2 3 2 2" xfId="24658" xr:uid="{00000000-0005-0000-0000-00003F880000}"/>
    <cellStyle name="Normal 4 9 3 2 3 2 2 2" xfId="24659" xr:uid="{00000000-0005-0000-0000-000040880000}"/>
    <cellStyle name="Normal 4 9 3 2 3 2 2 2 2" xfId="56242" xr:uid="{00000000-0005-0000-0000-000041880000}"/>
    <cellStyle name="Normal 4 9 3 2 3 2 2 2 3" xfId="56243" xr:uid="{00000000-0005-0000-0000-000042880000}"/>
    <cellStyle name="Normal 4 9 3 2 3 2 2 3" xfId="24660" xr:uid="{00000000-0005-0000-0000-000043880000}"/>
    <cellStyle name="Normal 4 9 3 2 3 2 2 3 2" xfId="56244" xr:uid="{00000000-0005-0000-0000-000044880000}"/>
    <cellStyle name="Normal 4 9 3 2 3 2 2 4" xfId="24661" xr:uid="{00000000-0005-0000-0000-000045880000}"/>
    <cellStyle name="Normal 4 9 3 2 3 2 2 5" xfId="24662" xr:uid="{00000000-0005-0000-0000-000046880000}"/>
    <cellStyle name="Normal 4 9 3 2 3 2 2 6" xfId="24663" xr:uid="{00000000-0005-0000-0000-000047880000}"/>
    <cellStyle name="Normal 4 9 3 2 3 2 3" xfId="24664" xr:uid="{00000000-0005-0000-0000-000048880000}"/>
    <cellStyle name="Normal 4 9 3 2 3 2 3 2" xfId="56245" xr:uid="{00000000-0005-0000-0000-000049880000}"/>
    <cellStyle name="Normal 4 9 3 2 3 2 3 3" xfId="56246" xr:uid="{00000000-0005-0000-0000-00004A880000}"/>
    <cellStyle name="Normal 4 9 3 2 3 2 4" xfId="24665" xr:uid="{00000000-0005-0000-0000-00004B880000}"/>
    <cellStyle name="Normal 4 9 3 2 3 2 4 2" xfId="56247" xr:uid="{00000000-0005-0000-0000-00004C880000}"/>
    <cellStyle name="Normal 4 9 3 2 3 2 5" xfId="24666" xr:uid="{00000000-0005-0000-0000-00004D880000}"/>
    <cellStyle name="Normal 4 9 3 2 3 2 6" xfId="24667" xr:uid="{00000000-0005-0000-0000-00004E880000}"/>
    <cellStyle name="Normal 4 9 3 2 3 2 7" xfId="24668" xr:uid="{00000000-0005-0000-0000-00004F880000}"/>
    <cellStyle name="Normal 4 9 3 2 3 3" xfId="24669" xr:uid="{00000000-0005-0000-0000-000050880000}"/>
    <cellStyle name="Normal 4 9 3 2 3 3 2" xfId="24670" xr:uid="{00000000-0005-0000-0000-000051880000}"/>
    <cellStyle name="Normal 4 9 3 2 3 3 2 2" xfId="56248" xr:uid="{00000000-0005-0000-0000-000052880000}"/>
    <cellStyle name="Normal 4 9 3 2 3 3 2 3" xfId="56249" xr:uid="{00000000-0005-0000-0000-000053880000}"/>
    <cellStyle name="Normal 4 9 3 2 3 3 3" xfId="24671" xr:uid="{00000000-0005-0000-0000-000054880000}"/>
    <cellStyle name="Normal 4 9 3 2 3 3 3 2" xfId="56250" xr:uid="{00000000-0005-0000-0000-000055880000}"/>
    <cellStyle name="Normal 4 9 3 2 3 3 4" xfId="24672" xr:uid="{00000000-0005-0000-0000-000056880000}"/>
    <cellStyle name="Normal 4 9 3 2 3 3 5" xfId="24673" xr:uid="{00000000-0005-0000-0000-000057880000}"/>
    <cellStyle name="Normal 4 9 3 2 3 3 6" xfId="24674" xr:uid="{00000000-0005-0000-0000-000058880000}"/>
    <cellStyle name="Normal 4 9 3 2 3 4" xfId="24675" xr:uid="{00000000-0005-0000-0000-000059880000}"/>
    <cellStyle name="Normal 4 9 3 2 3 4 2" xfId="56251" xr:uid="{00000000-0005-0000-0000-00005A880000}"/>
    <cellStyle name="Normal 4 9 3 2 3 4 3" xfId="56252" xr:uid="{00000000-0005-0000-0000-00005B880000}"/>
    <cellStyle name="Normal 4 9 3 2 3 5" xfId="24676" xr:uid="{00000000-0005-0000-0000-00005C880000}"/>
    <cellStyle name="Normal 4 9 3 2 3 5 2" xfId="56253" xr:uid="{00000000-0005-0000-0000-00005D880000}"/>
    <cellStyle name="Normal 4 9 3 2 3 6" xfId="24677" xr:uid="{00000000-0005-0000-0000-00005E880000}"/>
    <cellStyle name="Normal 4 9 3 2 3 7" xfId="24678" xr:uid="{00000000-0005-0000-0000-00005F880000}"/>
    <cellStyle name="Normal 4 9 3 2 3 8" xfId="24679" xr:uid="{00000000-0005-0000-0000-000060880000}"/>
    <cellStyle name="Normal 4 9 3 2 4" xfId="24680" xr:uid="{00000000-0005-0000-0000-000061880000}"/>
    <cellStyle name="Normal 4 9 3 2 4 2" xfId="24681" xr:uid="{00000000-0005-0000-0000-000062880000}"/>
    <cellStyle name="Normal 4 9 3 2 4 2 2" xfId="24682" xr:uid="{00000000-0005-0000-0000-000063880000}"/>
    <cellStyle name="Normal 4 9 3 2 4 2 2 2" xfId="56254" xr:uid="{00000000-0005-0000-0000-000064880000}"/>
    <cellStyle name="Normal 4 9 3 2 4 2 2 3" xfId="56255" xr:uid="{00000000-0005-0000-0000-000065880000}"/>
    <cellStyle name="Normal 4 9 3 2 4 2 3" xfId="24683" xr:uid="{00000000-0005-0000-0000-000066880000}"/>
    <cellStyle name="Normal 4 9 3 2 4 2 3 2" xfId="56256" xr:uid="{00000000-0005-0000-0000-000067880000}"/>
    <cellStyle name="Normal 4 9 3 2 4 2 4" xfId="24684" xr:uid="{00000000-0005-0000-0000-000068880000}"/>
    <cellStyle name="Normal 4 9 3 2 4 2 5" xfId="24685" xr:uid="{00000000-0005-0000-0000-000069880000}"/>
    <cellStyle name="Normal 4 9 3 2 4 2 6" xfId="24686" xr:uid="{00000000-0005-0000-0000-00006A880000}"/>
    <cellStyle name="Normal 4 9 3 2 4 3" xfId="24687" xr:uid="{00000000-0005-0000-0000-00006B880000}"/>
    <cellStyle name="Normal 4 9 3 2 4 3 2" xfId="56257" xr:uid="{00000000-0005-0000-0000-00006C880000}"/>
    <cellStyle name="Normal 4 9 3 2 4 3 3" xfId="56258" xr:uid="{00000000-0005-0000-0000-00006D880000}"/>
    <cellStyle name="Normal 4 9 3 2 4 4" xfId="24688" xr:uid="{00000000-0005-0000-0000-00006E880000}"/>
    <cellStyle name="Normal 4 9 3 2 4 4 2" xfId="56259" xr:uid="{00000000-0005-0000-0000-00006F880000}"/>
    <cellStyle name="Normal 4 9 3 2 4 5" xfId="24689" xr:uid="{00000000-0005-0000-0000-000070880000}"/>
    <cellStyle name="Normal 4 9 3 2 4 6" xfId="24690" xr:uid="{00000000-0005-0000-0000-000071880000}"/>
    <cellStyle name="Normal 4 9 3 2 4 7" xfId="24691" xr:uid="{00000000-0005-0000-0000-000072880000}"/>
    <cellStyle name="Normal 4 9 3 2 5" xfId="24692" xr:uid="{00000000-0005-0000-0000-000073880000}"/>
    <cellStyle name="Normal 4 9 3 2 5 2" xfId="24693" xr:uid="{00000000-0005-0000-0000-000074880000}"/>
    <cellStyle name="Normal 4 9 3 2 5 2 2" xfId="56260" xr:uid="{00000000-0005-0000-0000-000075880000}"/>
    <cellStyle name="Normal 4 9 3 2 5 2 3" xfId="56261" xr:uid="{00000000-0005-0000-0000-000076880000}"/>
    <cellStyle name="Normal 4 9 3 2 5 3" xfId="24694" xr:uid="{00000000-0005-0000-0000-000077880000}"/>
    <cellStyle name="Normal 4 9 3 2 5 3 2" xfId="56262" xr:uid="{00000000-0005-0000-0000-000078880000}"/>
    <cellStyle name="Normal 4 9 3 2 5 4" xfId="24695" xr:uid="{00000000-0005-0000-0000-000079880000}"/>
    <cellStyle name="Normal 4 9 3 2 5 5" xfId="24696" xr:uid="{00000000-0005-0000-0000-00007A880000}"/>
    <cellStyle name="Normal 4 9 3 2 5 6" xfId="24697" xr:uid="{00000000-0005-0000-0000-00007B880000}"/>
    <cellStyle name="Normal 4 9 3 2 6" xfId="24698" xr:uid="{00000000-0005-0000-0000-00007C880000}"/>
    <cellStyle name="Normal 4 9 3 2 6 2" xfId="56263" xr:uid="{00000000-0005-0000-0000-00007D880000}"/>
    <cellStyle name="Normal 4 9 3 2 6 3" xfId="56264" xr:uid="{00000000-0005-0000-0000-00007E880000}"/>
    <cellStyle name="Normal 4 9 3 2 7" xfId="24699" xr:uid="{00000000-0005-0000-0000-00007F880000}"/>
    <cellStyle name="Normal 4 9 3 2 7 2" xfId="56265" xr:uid="{00000000-0005-0000-0000-000080880000}"/>
    <cellStyle name="Normal 4 9 3 2 8" xfId="24700" xr:uid="{00000000-0005-0000-0000-000081880000}"/>
    <cellStyle name="Normal 4 9 3 2 9" xfId="24701" xr:uid="{00000000-0005-0000-0000-000082880000}"/>
    <cellStyle name="Normal 4 9 3 3" xfId="24702" xr:uid="{00000000-0005-0000-0000-000083880000}"/>
    <cellStyle name="Normal 4 9 3 3 2" xfId="24703" xr:uid="{00000000-0005-0000-0000-000084880000}"/>
    <cellStyle name="Normal 4 9 3 3 2 2" xfId="24704" xr:uid="{00000000-0005-0000-0000-000085880000}"/>
    <cellStyle name="Normal 4 9 3 3 2 2 2" xfId="24705" xr:uid="{00000000-0005-0000-0000-000086880000}"/>
    <cellStyle name="Normal 4 9 3 3 2 2 2 2" xfId="56266" xr:uid="{00000000-0005-0000-0000-000087880000}"/>
    <cellStyle name="Normal 4 9 3 3 2 2 2 3" xfId="56267" xr:uid="{00000000-0005-0000-0000-000088880000}"/>
    <cellStyle name="Normal 4 9 3 3 2 2 3" xfId="24706" xr:uid="{00000000-0005-0000-0000-000089880000}"/>
    <cellStyle name="Normal 4 9 3 3 2 2 3 2" xfId="56268" xr:uid="{00000000-0005-0000-0000-00008A880000}"/>
    <cellStyle name="Normal 4 9 3 3 2 2 4" xfId="24707" xr:uid="{00000000-0005-0000-0000-00008B880000}"/>
    <cellStyle name="Normal 4 9 3 3 2 2 5" xfId="24708" xr:uid="{00000000-0005-0000-0000-00008C880000}"/>
    <cellStyle name="Normal 4 9 3 3 2 2 6" xfId="24709" xr:uid="{00000000-0005-0000-0000-00008D880000}"/>
    <cellStyle name="Normal 4 9 3 3 2 3" xfId="24710" xr:uid="{00000000-0005-0000-0000-00008E880000}"/>
    <cellStyle name="Normal 4 9 3 3 2 3 2" xfId="56269" xr:uid="{00000000-0005-0000-0000-00008F880000}"/>
    <cellStyle name="Normal 4 9 3 3 2 3 3" xfId="56270" xr:uid="{00000000-0005-0000-0000-000090880000}"/>
    <cellStyle name="Normal 4 9 3 3 2 4" xfId="24711" xr:uid="{00000000-0005-0000-0000-000091880000}"/>
    <cellStyle name="Normal 4 9 3 3 2 4 2" xfId="56271" xr:uid="{00000000-0005-0000-0000-000092880000}"/>
    <cellStyle name="Normal 4 9 3 3 2 5" xfId="24712" xr:uid="{00000000-0005-0000-0000-000093880000}"/>
    <cellStyle name="Normal 4 9 3 3 2 6" xfId="24713" xr:uid="{00000000-0005-0000-0000-000094880000}"/>
    <cellStyle name="Normal 4 9 3 3 2 7" xfId="24714" xr:uid="{00000000-0005-0000-0000-000095880000}"/>
    <cellStyle name="Normal 4 9 3 3 3" xfId="24715" xr:uid="{00000000-0005-0000-0000-000096880000}"/>
    <cellStyle name="Normal 4 9 3 3 3 2" xfId="24716" xr:uid="{00000000-0005-0000-0000-000097880000}"/>
    <cellStyle name="Normal 4 9 3 3 3 2 2" xfId="56272" xr:uid="{00000000-0005-0000-0000-000098880000}"/>
    <cellStyle name="Normal 4 9 3 3 3 2 3" xfId="56273" xr:uid="{00000000-0005-0000-0000-000099880000}"/>
    <cellStyle name="Normal 4 9 3 3 3 3" xfId="24717" xr:uid="{00000000-0005-0000-0000-00009A880000}"/>
    <cellStyle name="Normal 4 9 3 3 3 3 2" xfId="56274" xr:uid="{00000000-0005-0000-0000-00009B880000}"/>
    <cellStyle name="Normal 4 9 3 3 3 4" xfId="24718" xr:uid="{00000000-0005-0000-0000-00009C880000}"/>
    <cellStyle name="Normal 4 9 3 3 3 5" xfId="24719" xr:uid="{00000000-0005-0000-0000-00009D880000}"/>
    <cellStyle name="Normal 4 9 3 3 3 6" xfId="24720" xr:uid="{00000000-0005-0000-0000-00009E880000}"/>
    <cellStyle name="Normal 4 9 3 3 4" xfId="24721" xr:uid="{00000000-0005-0000-0000-00009F880000}"/>
    <cellStyle name="Normal 4 9 3 3 4 2" xfId="56275" xr:uid="{00000000-0005-0000-0000-0000A0880000}"/>
    <cellStyle name="Normal 4 9 3 3 4 3" xfId="56276" xr:uid="{00000000-0005-0000-0000-0000A1880000}"/>
    <cellStyle name="Normal 4 9 3 3 5" xfId="24722" xr:uid="{00000000-0005-0000-0000-0000A2880000}"/>
    <cellStyle name="Normal 4 9 3 3 5 2" xfId="56277" xr:uid="{00000000-0005-0000-0000-0000A3880000}"/>
    <cellStyle name="Normal 4 9 3 3 6" xfId="24723" xr:uid="{00000000-0005-0000-0000-0000A4880000}"/>
    <cellStyle name="Normal 4 9 3 3 7" xfId="24724" xr:uid="{00000000-0005-0000-0000-0000A5880000}"/>
    <cellStyle name="Normal 4 9 3 3 8" xfId="24725" xr:uid="{00000000-0005-0000-0000-0000A6880000}"/>
    <cellStyle name="Normal 4 9 3 3 9" xfId="24726" xr:uid="{00000000-0005-0000-0000-0000A7880000}"/>
    <cellStyle name="Normal 4 9 3 4" xfId="24727" xr:uid="{00000000-0005-0000-0000-0000A8880000}"/>
    <cellStyle name="Normal 4 9 3 4 2" xfId="24728" xr:uid="{00000000-0005-0000-0000-0000A9880000}"/>
    <cellStyle name="Normal 4 9 3 4 2 2" xfId="24729" xr:uid="{00000000-0005-0000-0000-0000AA880000}"/>
    <cellStyle name="Normal 4 9 3 4 2 2 2" xfId="24730" xr:uid="{00000000-0005-0000-0000-0000AB880000}"/>
    <cellStyle name="Normal 4 9 3 4 2 2 2 2" xfId="56278" xr:uid="{00000000-0005-0000-0000-0000AC880000}"/>
    <cellStyle name="Normal 4 9 3 4 2 2 2 3" xfId="56279" xr:uid="{00000000-0005-0000-0000-0000AD880000}"/>
    <cellStyle name="Normal 4 9 3 4 2 2 3" xfId="24731" xr:uid="{00000000-0005-0000-0000-0000AE880000}"/>
    <cellStyle name="Normal 4 9 3 4 2 2 3 2" xfId="56280" xr:uid="{00000000-0005-0000-0000-0000AF880000}"/>
    <cellStyle name="Normal 4 9 3 4 2 2 4" xfId="24732" xr:uid="{00000000-0005-0000-0000-0000B0880000}"/>
    <cellStyle name="Normal 4 9 3 4 2 2 5" xfId="24733" xr:uid="{00000000-0005-0000-0000-0000B1880000}"/>
    <cellStyle name="Normal 4 9 3 4 2 2 6" xfId="24734" xr:uid="{00000000-0005-0000-0000-0000B2880000}"/>
    <cellStyle name="Normal 4 9 3 4 2 3" xfId="24735" xr:uid="{00000000-0005-0000-0000-0000B3880000}"/>
    <cellStyle name="Normal 4 9 3 4 2 3 2" xfId="56281" xr:uid="{00000000-0005-0000-0000-0000B4880000}"/>
    <cellStyle name="Normal 4 9 3 4 2 3 3" xfId="56282" xr:uid="{00000000-0005-0000-0000-0000B5880000}"/>
    <cellStyle name="Normal 4 9 3 4 2 4" xfId="24736" xr:uid="{00000000-0005-0000-0000-0000B6880000}"/>
    <cellStyle name="Normal 4 9 3 4 2 4 2" xfId="56283" xr:uid="{00000000-0005-0000-0000-0000B7880000}"/>
    <cellStyle name="Normal 4 9 3 4 2 5" xfId="24737" xr:uid="{00000000-0005-0000-0000-0000B8880000}"/>
    <cellStyle name="Normal 4 9 3 4 2 6" xfId="24738" xr:uid="{00000000-0005-0000-0000-0000B9880000}"/>
    <cellStyle name="Normal 4 9 3 4 2 7" xfId="24739" xr:uid="{00000000-0005-0000-0000-0000BA880000}"/>
    <cellStyle name="Normal 4 9 3 4 3" xfId="24740" xr:uid="{00000000-0005-0000-0000-0000BB880000}"/>
    <cellStyle name="Normal 4 9 3 4 3 2" xfId="24741" xr:uid="{00000000-0005-0000-0000-0000BC880000}"/>
    <cellStyle name="Normal 4 9 3 4 3 2 2" xfId="56284" xr:uid="{00000000-0005-0000-0000-0000BD880000}"/>
    <cellStyle name="Normal 4 9 3 4 3 2 3" xfId="56285" xr:uid="{00000000-0005-0000-0000-0000BE880000}"/>
    <cellStyle name="Normal 4 9 3 4 3 3" xfId="24742" xr:uid="{00000000-0005-0000-0000-0000BF880000}"/>
    <cellStyle name="Normal 4 9 3 4 3 3 2" xfId="56286" xr:uid="{00000000-0005-0000-0000-0000C0880000}"/>
    <cellStyle name="Normal 4 9 3 4 3 4" xfId="24743" xr:uid="{00000000-0005-0000-0000-0000C1880000}"/>
    <cellStyle name="Normal 4 9 3 4 3 5" xfId="24744" xr:uid="{00000000-0005-0000-0000-0000C2880000}"/>
    <cellStyle name="Normal 4 9 3 4 3 6" xfId="24745" xr:uid="{00000000-0005-0000-0000-0000C3880000}"/>
    <cellStyle name="Normal 4 9 3 4 4" xfId="24746" xr:uid="{00000000-0005-0000-0000-0000C4880000}"/>
    <cellStyle name="Normal 4 9 3 4 4 2" xfId="56287" xr:uid="{00000000-0005-0000-0000-0000C5880000}"/>
    <cellStyle name="Normal 4 9 3 4 4 3" xfId="56288" xr:uid="{00000000-0005-0000-0000-0000C6880000}"/>
    <cellStyle name="Normal 4 9 3 4 5" xfId="24747" xr:uid="{00000000-0005-0000-0000-0000C7880000}"/>
    <cellStyle name="Normal 4 9 3 4 5 2" xfId="56289" xr:uid="{00000000-0005-0000-0000-0000C8880000}"/>
    <cellStyle name="Normal 4 9 3 4 6" xfId="24748" xr:uid="{00000000-0005-0000-0000-0000C9880000}"/>
    <cellStyle name="Normal 4 9 3 4 7" xfId="24749" xr:uid="{00000000-0005-0000-0000-0000CA880000}"/>
    <cellStyle name="Normal 4 9 3 4 8" xfId="24750" xr:uid="{00000000-0005-0000-0000-0000CB880000}"/>
    <cellStyle name="Normal 4 9 3 5" xfId="24751" xr:uid="{00000000-0005-0000-0000-0000CC880000}"/>
    <cellStyle name="Normal 4 9 3 5 2" xfId="24752" xr:uid="{00000000-0005-0000-0000-0000CD880000}"/>
    <cellStyle name="Normal 4 9 3 5 2 2" xfId="24753" xr:uid="{00000000-0005-0000-0000-0000CE880000}"/>
    <cellStyle name="Normal 4 9 3 5 2 2 2" xfId="56290" xr:uid="{00000000-0005-0000-0000-0000CF880000}"/>
    <cellStyle name="Normal 4 9 3 5 2 2 3" xfId="56291" xr:uid="{00000000-0005-0000-0000-0000D0880000}"/>
    <cellStyle name="Normal 4 9 3 5 2 3" xfId="24754" xr:uid="{00000000-0005-0000-0000-0000D1880000}"/>
    <cellStyle name="Normal 4 9 3 5 2 3 2" xfId="56292" xr:uid="{00000000-0005-0000-0000-0000D2880000}"/>
    <cellStyle name="Normal 4 9 3 5 2 4" xfId="24755" xr:uid="{00000000-0005-0000-0000-0000D3880000}"/>
    <cellStyle name="Normal 4 9 3 5 2 5" xfId="24756" xr:uid="{00000000-0005-0000-0000-0000D4880000}"/>
    <cellStyle name="Normal 4 9 3 5 2 6" xfId="24757" xr:uid="{00000000-0005-0000-0000-0000D5880000}"/>
    <cellStyle name="Normal 4 9 3 5 3" xfId="24758" xr:uid="{00000000-0005-0000-0000-0000D6880000}"/>
    <cellStyle name="Normal 4 9 3 5 3 2" xfId="56293" xr:uid="{00000000-0005-0000-0000-0000D7880000}"/>
    <cellStyle name="Normal 4 9 3 5 3 3" xfId="56294" xr:uid="{00000000-0005-0000-0000-0000D8880000}"/>
    <cellStyle name="Normal 4 9 3 5 4" xfId="24759" xr:uid="{00000000-0005-0000-0000-0000D9880000}"/>
    <cellStyle name="Normal 4 9 3 5 4 2" xfId="56295" xr:uid="{00000000-0005-0000-0000-0000DA880000}"/>
    <cellStyle name="Normal 4 9 3 5 5" xfId="24760" xr:uid="{00000000-0005-0000-0000-0000DB880000}"/>
    <cellStyle name="Normal 4 9 3 5 6" xfId="24761" xr:uid="{00000000-0005-0000-0000-0000DC880000}"/>
    <cellStyle name="Normal 4 9 3 5 7" xfId="24762" xr:uid="{00000000-0005-0000-0000-0000DD880000}"/>
    <cellStyle name="Normal 4 9 3 6" xfId="24763" xr:uid="{00000000-0005-0000-0000-0000DE880000}"/>
    <cellStyle name="Normal 4 9 3 6 2" xfId="24764" xr:uid="{00000000-0005-0000-0000-0000DF880000}"/>
    <cellStyle name="Normal 4 9 3 6 2 2" xfId="56296" xr:uid="{00000000-0005-0000-0000-0000E0880000}"/>
    <cellStyle name="Normal 4 9 3 6 2 3" xfId="56297" xr:uid="{00000000-0005-0000-0000-0000E1880000}"/>
    <cellStyle name="Normal 4 9 3 6 3" xfId="24765" xr:uid="{00000000-0005-0000-0000-0000E2880000}"/>
    <cellStyle name="Normal 4 9 3 6 3 2" xfId="56298" xr:uid="{00000000-0005-0000-0000-0000E3880000}"/>
    <cellStyle name="Normal 4 9 3 6 4" xfId="24766" xr:uid="{00000000-0005-0000-0000-0000E4880000}"/>
    <cellStyle name="Normal 4 9 3 6 5" xfId="24767" xr:uid="{00000000-0005-0000-0000-0000E5880000}"/>
    <cellStyle name="Normal 4 9 3 6 6" xfId="24768" xr:uid="{00000000-0005-0000-0000-0000E6880000}"/>
    <cellStyle name="Normal 4 9 3 7" xfId="24769" xr:uid="{00000000-0005-0000-0000-0000E7880000}"/>
    <cellStyle name="Normal 4 9 3 7 2" xfId="56299" xr:uid="{00000000-0005-0000-0000-0000E8880000}"/>
    <cellStyle name="Normal 4 9 3 7 3" xfId="56300" xr:uid="{00000000-0005-0000-0000-0000E9880000}"/>
    <cellStyle name="Normal 4 9 3 8" xfId="24770" xr:uid="{00000000-0005-0000-0000-0000EA880000}"/>
    <cellStyle name="Normal 4 9 3 8 2" xfId="56301" xr:uid="{00000000-0005-0000-0000-0000EB880000}"/>
    <cellStyle name="Normal 4 9 3 9" xfId="24771" xr:uid="{00000000-0005-0000-0000-0000EC880000}"/>
    <cellStyle name="Normal 4 9 4" xfId="24772" xr:uid="{00000000-0005-0000-0000-0000ED880000}"/>
    <cellStyle name="Normal 4 9 4 10" xfId="24773" xr:uid="{00000000-0005-0000-0000-0000EE880000}"/>
    <cellStyle name="Normal 4 9 4 11" xfId="24774" xr:uid="{00000000-0005-0000-0000-0000EF880000}"/>
    <cellStyle name="Normal 4 9 4 12" xfId="24775" xr:uid="{00000000-0005-0000-0000-0000F0880000}"/>
    <cellStyle name="Normal 4 9 4 13" xfId="24776" xr:uid="{00000000-0005-0000-0000-0000F1880000}"/>
    <cellStyle name="Normal 4 9 4 14" xfId="24777" xr:uid="{00000000-0005-0000-0000-0000F2880000}"/>
    <cellStyle name="Normal 4 9 4 2" xfId="24778" xr:uid="{00000000-0005-0000-0000-0000F3880000}"/>
    <cellStyle name="Normal 4 9 4 2 2" xfId="24779" xr:uid="{00000000-0005-0000-0000-0000F4880000}"/>
    <cellStyle name="Normal 4 9 4 2 2 2" xfId="24780" xr:uid="{00000000-0005-0000-0000-0000F5880000}"/>
    <cellStyle name="Normal 4 9 4 2 2 2 2" xfId="24781" xr:uid="{00000000-0005-0000-0000-0000F6880000}"/>
    <cellStyle name="Normal 4 9 4 2 2 2 2 2" xfId="56302" xr:uid="{00000000-0005-0000-0000-0000F7880000}"/>
    <cellStyle name="Normal 4 9 4 2 2 2 2 3" xfId="56303" xr:uid="{00000000-0005-0000-0000-0000F8880000}"/>
    <cellStyle name="Normal 4 9 4 2 2 2 3" xfId="24782" xr:uid="{00000000-0005-0000-0000-0000F9880000}"/>
    <cellStyle name="Normal 4 9 4 2 2 2 3 2" xfId="56304" xr:uid="{00000000-0005-0000-0000-0000FA880000}"/>
    <cellStyle name="Normal 4 9 4 2 2 2 4" xfId="24783" xr:uid="{00000000-0005-0000-0000-0000FB880000}"/>
    <cellStyle name="Normal 4 9 4 2 2 2 5" xfId="24784" xr:uid="{00000000-0005-0000-0000-0000FC880000}"/>
    <cellStyle name="Normal 4 9 4 2 2 2 6" xfId="24785" xr:uid="{00000000-0005-0000-0000-0000FD880000}"/>
    <cellStyle name="Normal 4 9 4 2 2 3" xfId="24786" xr:uid="{00000000-0005-0000-0000-0000FE880000}"/>
    <cellStyle name="Normal 4 9 4 2 2 3 2" xfId="56305" xr:uid="{00000000-0005-0000-0000-0000FF880000}"/>
    <cellStyle name="Normal 4 9 4 2 2 3 3" xfId="56306" xr:uid="{00000000-0005-0000-0000-000000890000}"/>
    <cellStyle name="Normal 4 9 4 2 2 4" xfId="24787" xr:uid="{00000000-0005-0000-0000-000001890000}"/>
    <cellStyle name="Normal 4 9 4 2 2 4 2" xfId="56307" xr:uid="{00000000-0005-0000-0000-000002890000}"/>
    <cellStyle name="Normal 4 9 4 2 2 5" xfId="24788" xr:uid="{00000000-0005-0000-0000-000003890000}"/>
    <cellStyle name="Normal 4 9 4 2 2 6" xfId="24789" xr:uid="{00000000-0005-0000-0000-000004890000}"/>
    <cellStyle name="Normal 4 9 4 2 2 7" xfId="24790" xr:uid="{00000000-0005-0000-0000-000005890000}"/>
    <cellStyle name="Normal 4 9 4 2 3" xfId="24791" xr:uid="{00000000-0005-0000-0000-000006890000}"/>
    <cellStyle name="Normal 4 9 4 2 3 2" xfId="24792" xr:uid="{00000000-0005-0000-0000-000007890000}"/>
    <cellStyle name="Normal 4 9 4 2 3 2 2" xfId="56308" xr:uid="{00000000-0005-0000-0000-000008890000}"/>
    <cellStyle name="Normal 4 9 4 2 3 2 3" xfId="56309" xr:uid="{00000000-0005-0000-0000-000009890000}"/>
    <cellStyle name="Normal 4 9 4 2 3 3" xfId="24793" xr:uid="{00000000-0005-0000-0000-00000A890000}"/>
    <cellStyle name="Normal 4 9 4 2 3 3 2" xfId="56310" xr:uid="{00000000-0005-0000-0000-00000B890000}"/>
    <cellStyle name="Normal 4 9 4 2 3 4" xfId="24794" xr:uid="{00000000-0005-0000-0000-00000C890000}"/>
    <cellStyle name="Normal 4 9 4 2 3 5" xfId="24795" xr:uid="{00000000-0005-0000-0000-00000D890000}"/>
    <cellStyle name="Normal 4 9 4 2 3 6" xfId="24796" xr:uid="{00000000-0005-0000-0000-00000E890000}"/>
    <cellStyle name="Normal 4 9 4 2 4" xfId="24797" xr:uid="{00000000-0005-0000-0000-00000F890000}"/>
    <cellStyle name="Normal 4 9 4 2 4 2" xfId="56311" xr:uid="{00000000-0005-0000-0000-000010890000}"/>
    <cellStyle name="Normal 4 9 4 2 4 3" xfId="56312" xr:uid="{00000000-0005-0000-0000-000011890000}"/>
    <cellStyle name="Normal 4 9 4 2 5" xfId="24798" xr:uid="{00000000-0005-0000-0000-000012890000}"/>
    <cellStyle name="Normal 4 9 4 2 5 2" xfId="56313" xr:uid="{00000000-0005-0000-0000-000013890000}"/>
    <cellStyle name="Normal 4 9 4 2 6" xfId="24799" xr:uid="{00000000-0005-0000-0000-000014890000}"/>
    <cellStyle name="Normal 4 9 4 2 7" xfId="24800" xr:uid="{00000000-0005-0000-0000-000015890000}"/>
    <cellStyle name="Normal 4 9 4 2 8" xfId="24801" xr:uid="{00000000-0005-0000-0000-000016890000}"/>
    <cellStyle name="Normal 4 9 4 2 9" xfId="24802" xr:uid="{00000000-0005-0000-0000-000017890000}"/>
    <cellStyle name="Normal 4 9 4 3" xfId="24803" xr:uid="{00000000-0005-0000-0000-000018890000}"/>
    <cellStyle name="Normal 4 9 4 3 2" xfId="24804" xr:uid="{00000000-0005-0000-0000-000019890000}"/>
    <cellStyle name="Normal 4 9 4 3 2 2" xfId="24805" xr:uid="{00000000-0005-0000-0000-00001A890000}"/>
    <cellStyle name="Normal 4 9 4 3 2 2 2" xfId="24806" xr:uid="{00000000-0005-0000-0000-00001B890000}"/>
    <cellStyle name="Normal 4 9 4 3 2 2 2 2" xfId="56314" xr:uid="{00000000-0005-0000-0000-00001C890000}"/>
    <cellStyle name="Normal 4 9 4 3 2 2 2 3" xfId="56315" xr:uid="{00000000-0005-0000-0000-00001D890000}"/>
    <cellStyle name="Normal 4 9 4 3 2 2 3" xfId="24807" xr:uid="{00000000-0005-0000-0000-00001E890000}"/>
    <cellStyle name="Normal 4 9 4 3 2 2 3 2" xfId="56316" xr:uid="{00000000-0005-0000-0000-00001F890000}"/>
    <cellStyle name="Normal 4 9 4 3 2 2 4" xfId="24808" xr:uid="{00000000-0005-0000-0000-000020890000}"/>
    <cellStyle name="Normal 4 9 4 3 2 2 5" xfId="24809" xr:uid="{00000000-0005-0000-0000-000021890000}"/>
    <cellStyle name="Normal 4 9 4 3 2 2 6" xfId="24810" xr:uid="{00000000-0005-0000-0000-000022890000}"/>
    <cellStyle name="Normal 4 9 4 3 2 3" xfId="24811" xr:uid="{00000000-0005-0000-0000-000023890000}"/>
    <cellStyle name="Normal 4 9 4 3 2 3 2" xfId="56317" xr:uid="{00000000-0005-0000-0000-000024890000}"/>
    <cellStyle name="Normal 4 9 4 3 2 3 3" xfId="56318" xr:uid="{00000000-0005-0000-0000-000025890000}"/>
    <cellStyle name="Normal 4 9 4 3 2 4" xfId="24812" xr:uid="{00000000-0005-0000-0000-000026890000}"/>
    <cellStyle name="Normal 4 9 4 3 2 4 2" xfId="56319" xr:uid="{00000000-0005-0000-0000-000027890000}"/>
    <cellStyle name="Normal 4 9 4 3 2 5" xfId="24813" xr:uid="{00000000-0005-0000-0000-000028890000}"/>
    <cellStyle name="Normal 4 9 4 3 2 6" xfId="24814" xr:uid="{00000000-0005-0000-0000-000029890000}"/>
    <cellStyle name="Normal 4 9 4 3 2 7" xfId="24815" xr:uid="{00000000-0005-0000-0000-00002A890000}"/>
    <cellStyle name="Normal 4 9 4 3 3" xfId="24816" xr:uid="{00000000-0005-0000-0000-00002B890000}"/>
    <cellStyle name="Normal 4 9 4 3 3 2" xfId="24817" xr:uid="{00000000-0005-0000-0000-00002C890000}"/>
    <cellStyle name="Normal 4 9 4 3 3 2 2" xfId="56320" xr:uid="{00000000-0005-0000-0000-00002D890000}"/>
    <cellStyle name="Normal 4 9 4 3 3 2 3" xfId="56321" xr:uid="{00000000-0005-0000-0000-00002E890000}"/>
    <cellStyle name="Normal 4 9 4 3 3 3" xfId="24818" xr:uid="{00000000-0005-0000-0000-00002F890000}"/>
    <cellStyle name="Normal 4 9 4 3 3 3 2" xfId="56322" xr:uid="{00000000-0005-0000-0000-000030890000}"/>
    <cellStyle name="Normal 4 9 4 3 3 4" xfId="24819" xr:uid="{00000000-0005-0000-0000-000031890000}"/>
    <cellStyle name="Normal 4 9 4 3 3 5" xfId="24820" xr:uid="{00000000-0005-0000-0000-000032890000}"/>
    <cellStyle name="Normal 4 9 4 3 3 6" xfId="24821" xr:uid="{00000000-0005-0000-0000-000033890000}"/>
    <cellStyle name="Normal 4 9 4 3 4" xfId="24822" xr:uid="{00000000-0005-0000-0000-000034890000}"/>
    <cellStyle name="Normal 4 9 4 3 4 2" xfId="56323" xr:uid="{00000000-0005-0000-0000-000035890000}"/>
    <cellStyle name="Normal 4 9 4 3 4 3" xfId="56324" xr:uid="{00000000-0005-0000-0000-000036890000}"/>
    <cellStyle name="Normal 4 9 4 3 5" xfId="24823" xr:uid="{00000000-0005-0000-0000-000037890000}"/>
    <cellStyle name="Normal 4 9 4 3 5 2" xfId="56325" xr:uid="{00000000-0005-0000-0000-000038890000}"/>
    <cellStyle name="Normal 4 9 4 3 6" xfId="24824" xr:uid="{00000000-0005-0000-0000-000039890000}"/>
    <cellStyle name="Normal 4 9 4 3 7" xfId="24825" xr:uid="{00000000-0005-0000-0000-00003A890000}"/>
    <cellStyle name="Normal 4 9 4 3 8" xfId="24826" xr:uid="{00000000-0005-0000-0000-00003B890000}"/>
    <cellStyle name="Normal 4 9 4 4" xfId="24827" xr:uid="{00000000-0005-0000-0000-00003C890000}"/>
    <cellStyle name="Normal 4 9 4 4 2" xfId="24828" xr:uid="{00000000-0005-0000-0000-00003D890000}"/>
    <cellStyle name="Normal 4 9 4 4 2 2" xfId="24829" xr:uid="{00000000-0005-0000-0000-00003E890000}"/>
    <cellStyle name="Normal 4 9 4 4 2 2 2" xfId="56326" xr:uid="{00000000-0005-0000-0000-00003F890000}"/>
    <cellStyle name="Normal 4 9 4 4 2 2 3" xfId="56327" xr:uid="{00000000-0005-0000-0000-000040890000}"/>
    <cellStyle name="Normal 4 9 4 4 2 3" xfId="24830" xr:uid="{00000000-0005-0000-0000-000041890000}"/>
    <cellStyle name="Normal 4 9 4 4 2 3 2" xfId="56328" xr:uid="{00000000-0005-0000-0000-000042890000}"/>
    <cellStyle name="Normal 4 9 4 4 2 4" xfId="24831" xr:uid="{00000000-0005-0000-0000-000043890000}"/>
    <cellStyle name="Normal 4 9 4 4 2 5" xfId="24832" xr:uid="{00000000-0005-0000-0000-000044890000}"/>
    <cellStyle name="Normal 4 9 4 4 2 6" xfId="24833" xr:uid="{00000000-0005-0000-0000-000045890000}"/>
    <cellStyle name="Normal 4 9 4 4 3" xfId="24834" xr:uid="{00000000-0005-0000-0000-000046890000}"/>
    <cellStyle name="Normal 4 9 4 4 3 2" xfId="56329" xr:uid="{00000000-0005-0000-0000-000047890000}"/>
    <cellStyle name="Normal 4 9 4 4 3 3" xfId="56330" xr:uid="{00000000-0005-0000-0000-000048890000}"/>
    <cellStyle name="Normal 4 9 4 4 4" xfId="24835" xr:uid="{00000000-0005-0000-0000-000049890000}"/>
    <cellStyle name="Normal 4 9 4 4 4 2" xfId="56331" xr:uid="{00000000-0005-0000-0000-00004A890000}"/>
    <cellStyle name="Normal 4 9 4 4 5" xfId="24836" xr:uid="{00000000-0005-0000-0000-00004B890000}"/>
    <cellStyle name="Normal 4 9 4 4 6" xfId="24837" xr:uid="{00000000-0005-0000-0000-00004C890000}"/>
    <cellStyle name="Normal 4 9 4 4 7" xfId="24838" xr:uid="{00000000-0005-0000-0000-00004D890000}"/>
    <cellStyle name="Normal 4 9 4 5" xfId="24839" xr:uid="{00000000-0005-0000-0000-00004E890000}"/>
    <cellStyle name="Normal 4 9 4 5 2" xfId="24840" xr:uid="{00000000-0005-0000-0000-00004F890000}"/>
    <cellStyle name="Normal 4 9 4 5 2 2" xfId="56332" xr:uid="{00000000-0005-0000-0000-000050890000}"/>
    <cellStyle name="Normal 4 9 4 5 2 3" xfId="56333" xr:uid="{00000000-0005-0000-0000-000051890000}"/>
    <cellStyle name="Normal 4 9 4 5 3" xfId="24841" xr:uid="{00000000-0005-0000-0000-000052890000}"/>
    <cellStyle name="Normal 4 9 4 5 3 2" xfId="56334" xr:uid="{00000000-0005-0000-0000-000053890000}"/>
    <cellStyle name="Normal 4 9 4 5 4" xfId="24842" xr:uid="{00000000-0005-0000-0000-000054890000}"/>
    <cellStyle name="Normal 4 9 4 5 5" xfId="24843" xr:uid="{00000000-0005-0000-0000-000055890000}"/>
    <cellStyle name="Normal 4 9 4 5 6" xfId="24844" xr:uid="{00000000-0005-0000-0000-000056890000}"/>
    <cellStyle name="Normal 4 9 4 6" xfId="24845" xr:uid="{00000000-0005-0000-0000-000057890000}"/>
    <cellStyle name="Normal 4 9 4 6 2" xfId="56335" xr:uid="{00000000-0005-0000-0000-000058890000}"/>
    <cellStyle name="Normal 4 9 4 6 3" xfId="56336" xr:uid="{00000000-0005-0000-0000-000059890000}"/>
    <cellStyle name="Normal 4 9 4 7" xfId="24846" xr:uid="{00000000-0005-0000-0000-00005A890000}"/>
    <cellStyle name="Normal 4 9 4 7 2" xfId="56337" xr:uid="{00000000-0005-0000-0000-00005B890000}"/>
    <cellStyle name="Normal 4 9 4 8" xfId="24847" xr:uid="{00000000-0005-0000-0000-00005C890000}"/>
    <cellStyle name="Normal 4 9 4 9" xfId="24848" xr:uid="{00000000-0005-0000-0000-00005D890000}"/>
    <cellStyle name="Normal 4 9 5" xfId="24849" xr:uid="{00000000-0005-0000-0000-00005E890000}"/>
    <cellStyle name="Normal 4 9 5 10" xfId="24850" xr:uid="{00000000-0005-0000-0000-00005F890000}"/>
    <cellStyle name="Normal 4 9 5 11" xfId="24851" xr:uid="{00000000-0005-0000-0000-000060890000}"/>
    <cellStyle name="Normal 4 9 5 12" xfId="24852" xr:uid="{00000000-0005-0000-0000-000061890000}"/>
    <cellStyle name="Normal 4 9 5 13" xfId="24853" xr:uid="{00000000-0005-0000-0000-000062890000}"/>
    <cellStyle name="Normal 4 9 5 14" xfId="24854" xr:uid="{00000000-0005-0000-0000-000063890000}"/>
    <cellStyle name="Normal 4 9 5 2" xfId="24855" xr:uid="{00000000-0005-0000-0000-000064890000}"/>
    <cellStyle name="Normal 4 9 5 2 2" xfId="24856" xr:uid="{00000000-0005-0000-0000-000065890000}"/>
    <cellStyle name="Normal 4 9 5 2 2 2" xfId="24857" xr:uid="{00000000-0005-0000-0000-000066890000}"/>
    <cellStyle name="Normal 4 9 5 2 2 2 2" xfId="24858" xr:uid="{00000000-0005-0000-0000-000067890000}"/>
    <cellStyle name="Normal 4 9 5 2 2 2 2 2" xfId="56338" xr:uid="{00000000-0005-0000-0000-000068890000}"/>
    <cellStyle name="Normal 4 9 5 2 2 2 2 3" xfId="56339" xr:uid="{00000000-0005-0000-0000-000069890000}"/>
    <cellStyle name="Normal 4 9 5 2 2 2 3" xfId="24859" xr:uid="{00000000-0005-0000-0000-00006A890000}"/>
    <cellStyle name="Normal 4 9 5 2 2 2 3 2" xfId="56340" xr:uid="{00000000-0005-0000-0000-00006B890000}"/>
    <cellStyle name="Normal 4 9 5 2 2 2 4" xfId="24860" xr:uid="{00000000-0005-0000-0000-00006C890000}"/>
    <cellStyle name="Normal 4 9 5 2 2 2 5" xfId="24861" xr:uid="{00000000-0005-0000-0000-00006D890000}"/>
    <cellStyle name="Normal 4 9 5 2 2 2 6" xfId="24862" xr:uid="{00000000-0005-0000-0000-00006E890000}"/>
    <cellStyle name="Normal 4 9 5 2 2 3" xfId="24863" xr:uid="{00000000-0005-0000-0000-00006F890000}"/>
    <cellStyle name="Normal 4 9 5 2 2 3 2" xfId="56341" xr:uid="{00000000-0005-0000-0000-000070890000}"/>
    <cellStyle name="Normal 4 9 5 2 2 3 3" xfId="56342" xr:uid="{00000000-0005-0000-0000-000071890000}"/>
    <cellStyle name="Normal 4 9 5 2 2 4" xfId="24864" xr:uid="{00000000-0005-0000-0000-000072890000}"/>
    <cellStyle name="Normal 4 9 5 2 2 4 2" xfId="56343" xr:uid="{00000000-0005-0000-0000-000073890000}"/>
    <cellStyle name="Normal 4 9 5 2 2 5" xfId="24865" xr:uid="{00000000-0005-0000-0000-000074890000}"/>
    <cellStyle name="Normal 4 9 5 2 2 6" xfId="24866" xr:uid="{00000000-0005-0000-0000-000075890000}"/>
    <cellStyle name="Normal 4 9 5 2 2 7" xfId="24867" xr:uid="{00000000-0005-0000-0000-000076890000}"/>
    <cellStyle name="Normal 4 9 5 2 3" xfId="24868" xr:uid="{00000000-0005-0000-0000-000077890000}"/>
    <cellStyle name="Normal 4 9 5 2 3 2" xfId="24869" xr:uid="{00000000-0005-0000-0000-000078890000}"/>
    <cellStyle name="Normal 4 9 5 2 3 2 2" xfId="56344" xr:uid="{00000000-0005-0000-0000-000079890000}"/>
    <cellStyle name="Normal 4 9 5 2 3 2 3" xfId="56345" xr:uid="{00000000-0005-0000-0000-00007A890000}"/>
    <cellStyle name="Normal 4 9 5 2 3 3" xfId="24870" xr:uid="{00000000-0005-0000-0000-00007B890000}"/>
    <cellStyle name="Normal 4 9 5 2 3 3 2" xfId="56346" xr:uid="{00000000-0005-0000-0000-00007C890000}"/>
    <cellStyle name="Normal 4 9 5 2 3 4" xfId="24871" xr:uid="{00000000-0005-0000-0000-00007D890000}"/>
    <cellStyle name="Normal 4 9 5 2 3 5" xfId="24872" xr:uid="{00000000-0005-0000-0000-00007E890000}"/>
    <cellStyle name="Normal 4 9 5 2 3 6" xfId="24873" xr:uid="{00000000-0005-0000-0000-00007F890000}"/>
    <cellStyle name="Normal 4 9 5 2 4" xfId="24874" xr:uid="{00000000-0005-0000-0000-000080890000}"/>
    <cellStyle name="Normal 4 9 5 2 4 2" xfId="56347" xr:uid="{00000000-0005-0000-0000-000081890000}"/>
    <cellStyle name="Normal 4 9 5 2 4 3" xfId="56348" xr:uid="{00000000-0005-0000-0000-000082890000}"/>
    <cellStyle name="Normal 4 9 5 2 5" xfId="24875" xr:uid="{00000000-0005-0000-0000-000083890000}"/>
    <cellStyle name="Normal 4 9 5 2 5 2" xfId="56349" xr:uid="{00000000-0005-0000-0000-000084890000}"/>
    <cellStyle name="Normal 4 9 5 2 6" xfId="24876" xr:uid="{00000000-0005-0000-0000-000085890000}"/>
    <cellStyle name="Normal 4 9 5 2 7" xfId="24877" xr:uid="{00000000-0005-0000-0000-000086890000}"/>
    <cellStyle name="Normal 4 9 5 2 8" xfId="24878" xr:uid="{00000000-0005-0000-0000-000087890000}"/>
    <cellStyle name="Normal 4 9 5 2 9" xfId="24879" xr:uid="{00000000-0005-0000-0000-000088890000}"/>
    <cellStyle name="Normal 4 9 5 3" xfId="24880" xr:uid="{00000000-0005-0000-0000-000089890000}"/>
    <cellStyle name="Normal 4 9 5 3 2" xfId="24881" xr:uid="{00000000-0005-0000-0000-00008A890000}"/>
    <cellStyle name="Normal 4 9 5 3 2 2" xfId="24882" xr:uid="{00000000-0005-0000-0000-00008B890000}"/>
    <cellStyle name="Normal 4 9 5 3 2 2 2" xfId="24883" xr:uid="{00000000-0005-0000-0000-00008C890000}"/>
    <cellStyle name="Normal 4 9 5 3 2 2 2 2" xfId="56350" xr:uid="{00000000-0005-0000-0000-00008D890000}"/>
    <cellStyle name="Normal 4 9 5 3 2 2 2 3" xfId="56351" xr:uid="{00000000-0005-0000-0000-00008E890000}"/>
    <cellStyle name="Normal 4 9 5 3 2 2 3" xfId="24884" xr:uid="{00000000-0005-0000-0000-00008F890000}"/>
    <cellStyle name="Normal 4 9 5 3 2 2 3 2" xfId="56352" xr:uid="{00000000-0005-0000-0000-000090890000}"/>
    <cellStyle name="Normal 4 9 5 3 2 2 4" xfId="24885" xr:uid="{00000000-0005-0000-0000-000091890000}"/>
    <cellStyle name="Normal 4 9 5 3 2 2 5" xfId="24886" xr:uid="{00000000-0005-0000-0000-000092890000}"/>
    <cellStyle name="Normal 4 9 5 3 2 2 6" xfId="24887" xr:uid="{00000000-0005-0000-0000-000093890000}"/>
    <cellStyle name="Normal 4 9 5 3 2 3" xfId="24888" xr:uid="{00000000-0005-0000-0000-000094890000}"/>
    <cellStyle name="Normal 4 9 5 3 2 3 2" xfId="56353" xr:uid="{00000000-0005-0000-0000-000095890000}"/>
    <cellStyle name="Normal 4 9 5 3 2 3 3" xfId="56354" xr:uid="{00000000-0005-0000-0000-000096890000}"/>
    <cellStyle name="Normal 4 9 5 3 2 4" xfId="24889" xr:uid="{00000000-0005-0000-0000-000097890000}"/>
    <cellStyle name="Normal 4 9 5 3 2 4 2" xfId="56355" xr:uid="{00000000-0005-0000-0000-000098890000}"/>
    <cellStyle name="Normal 4 9 5 3 2 5" xfId="24890" xr:uid="{00000000-0005-0000-0000-000099890000}"/>
    <cellStyle name="Normal 4 9 5 3 2 6" xfId="24891" xr:uid="{00000000-0005-0000-0000-00009A890000}"/>
    <cellStyle name="Normal 4 9 5 3 2 7" xfId="24892" xr:uid="{00000000-0005-0000-0000-00009B890000}"/>
    <cellStyle name="Normal 4 9 5 3 3" xfId="24893" xr:uid="{00000000-0005-0000-0000-00009C890000}"/>
    <cellStyle name="Normal 4 9 5 3 3 2" xfId="24894" xr:uid="{00000000-0005-0000-0000-00009D890000}"/>
    <cellStyle name="Normal 4 9 5 3 3 2 2" xfId="56356" xr:uid="{00000000-0005-0000-0000-00009E890000}"/>
    <cellStyle name="Normal 4 9 5 3 3 2 3" xfId="56357" xr:uid="{00000000-0005-0000-0000-00009F890000}"/>
    <cellStyle name="Normal 4 9 5 3 3 3" xfId="24895" xr:uid="{00000000-0005-0000-0000-0000A0890000}"/>
    <cellStyle name="Normal 4 9 5 3 3 3 2" xfId="56358" xr:uid="{00000000-0005-0000-0000-0000A1890000}"/>
    <cellStyle name="Normal 4 9 5 3 3 4" xfId="24896" xr:uid="{00000000-0005-0000-0000-0000A2890000}"/>
    <cellStyle name="Normal 4 9 5 3 3 5" xfId="24897" xr:uid="{00000000-0005-0000-0000-0000A3890000}"/>
    <cellStyle name="Normal 4 9 5 3 3 6" xfId="24898" xr:uid="{00000000-0005-0000-0000-0000A4890000}"/>
    <cellStyle name="Normal 4 9 5 3 4" xfId="24899" xr:uid="{00000000-0005-0000-0000-0000A5890000}"/>
    <cellStyle name="Normal 4 9 5 3 4 2" xfId="56359" xr:uid="{00000000-0005-0000-0000-0000A6890000}"/>
    <cellStyle name="Normal 4 9 5 3 4 3" xfId="56360" xr:uid="{00000000-0005-0000-0000-0000A7890000}"/>
    <cellStyle name="Normal 4 9 5 3 5" xfId="24900" xr:uid="{00000000-0005-0000-0000-0000A8890000}"/>
    <cellStyle name="Normal 4 9 5 3 5 2" xfId="56361" xr:uid="{00000000-0005-0000-0000-0000A9890000}"/>
    <cellStyle name="Normal 4 9 5 3 6" xfId="24901" xr:uid="{00000000-0005-0000-0000-0000AA890000}"/>
    <cellStyle name="Normal 4 9 5 3 7" xfId="24902" xr:uid="{00000000-0005-0000-0000-0000AB890000}"/>
    <cellStyle name="Normal 4 9 5 3 8" xfId="24903" xr:uid="{00000000-0005-0000-0000-0000AC890000}"/>
    <cellStyle name="Normal 4 9 5 4" xfId="24904" xr:uid="{00000000-0005-0000-0000-0000AD890000}"/>
    <cellStyle name="Normal 4 9 5 4 2" xfId="24905" xr:uid="{00000000-0005-0000-0000-0000AE890000}"/>
    <cellStyle name="Normal 4 9 5 4 2 2" xfId="24906" xr:uid="{00000000-0005-0000-0000-0000AF890000}"/>
    <cellStyle name="Normal 4 9 5 4 2 2 2" xfId="56362" xr:uid="{00000000-0005-0000-0000-0000B0890000}"/>
    <cellStyle name="Normal 4 9 5 4 2 2 3" xfId="56363" xr:uid="{00000000-0005-0000-0000-0000B1890000}"/>
    <cellStyle name="Normal 4 9 5 4 2 3" xfId="24907" xr:uid="{00000000-0005-0000-0000-0000B2890000}"/>
    <cellStyle name="Normal 4 9 5 4 2 3 2" xfId="56364" xr:uid="{00000000-0005-0000-0000-0000B3890000}"/>
    <cellStyle name="Normal 4 9 5 4 2 4" xfId="24908" xr:uid="{00000000-0005-0000-0000-0000B4890000}"/>
    <cellStyle name="Normal 4 9 5 4 2 5" xfId="24909" xr:uid="{00000000-0005-0000-0000-0000B5890000}"/>
    <cellStyle name="Normal 4 9 5 4 2 6" xfId="24910" xr:uid="{00000000-0005-0000-0000-0000B6890000}"/>
    <cellStyle name="Normal 4 9 5 4 3" xfId="24911" xr:uid="{00000000-0005-0000-0000-0000B7890000}"/>
    <cellStyle name="Normal 4 9 5 4 3 2" xfId="56365" xr:uid="{00000000-0005-0000-0000-0000B8890000}"/>
    <cellStyle name="Normal 4 9 5 4 3 3" xfId="56366" xr:uid="{00000000-0005-0000-0000-0000B9890000}"/>
    <cellStyle name="Normal 4 9 5 4 4" xfId="24912" xr:uid="{00000000-0005-0000-0000-0000BA890000}"/>
    <cellStyle name="Normal 4 9 5 4 4 2" xfId="56367" xr:uid="{00000000-0005-0000-0000-0000BB890000}"/>
    <cellStyle name="Normal 4 9 5 4 5" xfId="24913" xr:uid="{00000000-0005-0000-0000-0000BC890000}"/>
    <cellStyle name="Normal 4 9 5 4 6" xfId="24914" xr:uid="{00000000-0005-0000-0000-0000BD890000}"/>
    <cellStyle name="Normal 4 9 5 4 7" xfId="24915" xr:uid="{00000000-0005-0000-0000-0000BE890000}"/>
    <cellStyle name="Normal 4 9 5 5" xfId="24916" xr:uid="{00000000-0005-0000-0000-0000BF890000}"/>
    <cellStyle name="Normal 4 9 5 5 2" xfId="24917" xr:uid="{00000000-0005-0000-0000-0000C0890000}"/>
    <cellStyle name="Normal 4 9 5 5 2 2" xfId="56368" xr:uid="{00000000-0005-0000-0000-0000C1890000}"/>
    <cellStyle name="Normal 4 9 5 5 2 3" xfId="56369" xr:uid="{00000000-0005-0000-0000-0000C2890000}"/>
    <cellStyle name="Normal 4 9 5 5 3" xfId="24918" xr:uid="{00000000-0005-0000-0000-0000C3890000}"/>
    <cellStyle name="Normal 4 9 5 5 3 2" xfId="56370" xr:uid="{00000000-0005-0000-0000-0000C4890000}"/>
    <cellStyle name="Normal 4 9 5 5 4" xfId="24919" xr:uid="{00000000-0005-0000-0000-0000C5890000}"/>
    <cellStyle name="Normal 4 9 5 5 5" xfId="24920" xr:uid="{00000000-0005-0000-0000-0000C6890000}"/>
    <cellStyle name="Normal 4 9 5 5 6" xfId="24921" xr:uid="{00000000-0005-0000-0000-0000C7890000}"/>
    <cellStyle name="Normal 4 9 5 6" xfId="24922" xr:uid="{00000000-0005-0000-0000-0000C8890000}"/>
    <cellStyle name="Normal 4 9 5 6 2" xfId="56371" xr:uid="{00000000-0005-0000-0000-0000C9890000}"/>
    <cellStyle name="Normal 4 9 5 6 3" xfId="56372" xr:uid="{00000000-0005-0000-0000-0000CA890000}"/>
    <cellStyle name="Normal 4 9 5 7" xfId="24923" xr:uid="{00000000-0005-0000-0000-0000CB890000}"/>
    <cellStyle name="Normal 4 9 5 7 2" xfId="56373" xr:uid="{00000000-0005-0000-0000-0000CC890000}"/>
    <cellStyle name="Normal 4 9 5 8" xfId="24924" xr:uid="{00000000-0005-0000-0000-0000CD890000}"/>
    <cellStyle name="Normal 4 9 5 9" xfId="24925" xr:uid="{00000000-0005-0000-0000-0000CE890000}"/>
    <cellStyle name="Normal 4 9 6" xfId="24926" xr:uid="{00000000-0005-0000-0000-0000CF890000}"/>
    <cellStyle name="Normal 4 9 6 10" xfId="24927" xr:uid="{00000000-0005-0000-0000-0000D0890000}"/>
    <cellStyle name="Normal 4 9 6 11" xfId="24928" xr:uid="{00000000-0005-0000-0000-0000D1890000}"/>
    <cellStyle name="Normal 4 9 6 12" xfId="24929" xr:uid="{00000000-0005-0000-0000-0000D2890000}"/>
    <cellStyle name="Normal 4 9 6 13" xfId="24930" xr:uid="{00000000-0005-0000-0000-0000D3890000}"/>
    <cellStyle name="Normal 4 9 6 2" xfId="24931" xr:uid="{00000000-0005-0000-0000-0000D4890000}"/>
    <cellStyle name="Normal 4 9 6 2 2" xfId="24932" xr:uid="{00000000-0005-0000-0000-0000D5890000}"/>
    <cellStyle name="Normal 4 9 6 2 2 2" xfId="24933" xr:uid="{00000000-0005-0000-0000-0000D6890000}"/>
    <cellStyle name="Normal 4 9 6 2 2 2 2" xfId="24934" xr:uid="{00000000-0005-0000-0000-0000D7890000}"/>
    <cellStyle name="Normal 4 9 6 2 2 2 2 2" xfId="56374" xr:uid="{00000000-0005-0000-0000-0000D8890000}"/>
    <cellStyle name="Normal 4 9 6 2 2 2 2 3" xfId="56375" xr:uid="{00000000-0005-0000-0000-0000D9890000}"/>
    <cellStyle name="Normal 4 9 6 2 2 2 3" xfId="24935" xr:uid="{00000000-0005-0000-0000-0000DA890000}"/>
    <cellStyle name="Normal 4 9 6 2 2 2 3 2" xfId="56376" xr:uid="{00000000-0005-0000-0000-0000DB890000}"/>
    <cellStyle name="Normal 4 9 6 2 2 2 4" xfId="24936" xr:uid="{00000000-0005-0000-0000-0000DC890000}"/>
    <cellStyle name="Normal 4 9 6 2 2 2 5" xfId="24937" xr:uid="{00000000-0005-0000-0000-0000DD890000}"/>
    <cellStyle name="Normal 4 9 6 2 2 2 6" xfId="24938" xr:uid="{00000000-0005-0000-0000-0000DE890000}"/>
    <cellStyle name="Normal 4 9 6 2 2 3" xfId="24939" xr:uid="{00000000-0005-0000-0000-0000DF890000}"/>
    <cellStyle name="Normal 4 9 6 2 2 3 2" xfId="56377" xr:uid="{00000000-0005-0000-0000-0000E0890000}"/>
    <cellStyle name="Normal 4 9 6 2 2 3 3" xfId="56378" xr:uid="{00000000-0005-0000-0000-0000E1890000}"/>
    <cellStyle name="Normal 4 9 6 2 2 4" xfId="24940" xr:uid="{00000000-0005-0000-0000-0000E2890000}"/>
    <cellStyle name="Normal 4 9 6 2 2 4 2" xfId="56379" xr:uid="{00000000-0005-0000-0000-0000E3890000}"/>
    <cellStyle name="Normal 4 9 6 2 2 5" xfId="24941" xr:uid="{00000000-0005-0000-0000-0000E4890000}"/>
    <cellStyle name="Normal 4 9 6 2 2 6" xfId="24942" xr:uid="{00000000-0005-0000-0000-0000E5890000}"/>
    <cellStyle name="Normal 4 9 6 2 2 7" xfId="24943" xr:uid="{00000000-0005-0000-0000-0000E6890000}"/>
    <cellStyle name="Normal 4 9 6 2 3" xfId="24944" xr:uid="{00000000-0005-0000-0000-0000E7890000}"/>
    <cellStyle name="Normal 4 9 6 2 3 2" xfId="24945" xr:uid="{00000000-0005-0000-0000-0000E8890000}"/>
    <cellStyle name="Normal 4 9 6 2 3 2 2" xfId="56380" xr:uid="{00000000-0005-0000-0000-0000E9890000}"/>
    <cellStyle name="Normal 4 9 6 2 3 2 3" xfId="56381" xr:uid="{00000000-0005-0000-0000-0000EA890000}"/>
    <cellStyle name="Normal 4 9 6 2 3 3" xfId="24946" xr:uid="{00000000-0005-0000-0000-0000EB890000}"/>
    <cellStyle name="Normal 4 9 6 2 3 3 2" xfId="56382" xr:uid="{00000000-0005-0000-0000-0000EC890000}"/>
    <cellStyle name="Normal 4 9 6 2 3 4" xfId="24947" xr:uid="{00000000-0005-0000-0000-0000ED890000}"/>
    <cellStyle name="Normal 4 9 6 2 3 5" xfId="24948" xr:uid="{00000000-0005-0000-0000-0000EE890000}"/>
    <cellStyle name="Normal 4 9 6 2 3 6" xfId="24949" xr:uid="{00000000-0005-0000-0000-0000EF890000}"/>
    <cellStyle name="Normal 4 9 6 2 4" xfId="24950" xr:uid="{00000000-0005-0000-0000-0000F0890000}"/>
    <cellStyle name="Normal 4 9 6 2 4 2" xfId="56383" xr:uid="{00000000-0005-0000-0000-0000F1890000}"/>
    <cellStyle name="Normal 4 9 6 2 4 3" xfId="56384" xr:uid="{00000000-0005-0000-0000-0000F2890000}"/>
    <cellStyle name="Normal 4 9 6 2 5" xfId="24951" xr:uid="{00000000-0005-0000-0000-0000F3890000}"/>
    <cellStyle name="Normal 4 9 6 2 5 2" xfId="56385" xr:uid="{00000000-0005-0000-0000-0000F4890000}"/>
    <cellStyle name="Normal 4 9 6 2 6" xfId="24952" xr:uid="{00000000-0005-0000-0000-0000F5890000}"/>
    <cellStyle name="Normal 4 9 6 2 7" xfId="24953" xr:uid="{00000000-0005-0000-0000-0000F6890000}"/>
    <cellStyle name="Normal 4 9 6 2 8" xfId="24954" xr:uid="{00000000-0005-0000-0000-0000F7890000}"/>
    <cellStyle name="Normal 4 9 6 2 9" xfId="24955" xr:uid="{00000000-0005-0000-0000-0000F8890000}"/>
    <cellStyle name="Normal 4 9 6 3" xfId="24956" xr:uid="{00000000-0005-0000-0000-0000F9890000}"/>
    <cellStyle name="Normal 4 9 6 3 2" xfId="24957" xr:uid="{00000000-0005-0000-0000-0000FA890000}"/>
    <cellStyle name="Normal 4 9 6 3 2 2" xfId="24958" xr:uid="{00000000-0005-0000-0000-0000FB890000}"/>
    <cellStyle name="Normal 4 9 6 3 2 2 2" xfId="56386" xr:uid="{00000000-0005-0000-0000-0000FC890000}"/>
    <cellStyle name="Normal 4 9 6 3 2 2 3" xfId="56387" xr:uid="{00000000-0005-0000-0000-0000FD890000}"/>
    <cellStyle name="Normal 4 9 6 3 2 3" xfId="24959" xr:uid="{00000000-0005-0000-0000-0000FE890000}"/>
    <cellStyle name="Normal 4 9 6 3 2 3 2" xfId="56388" xr:uid="{00000000-0005-0000-0000-0000FF890000}"/>
    <cellStyle name="Normal 4 9 6 3 2 4" xfId="24960" xr:uid="{00000000-0005-0000-0000-0000008A0000}"/>
    <cellStyle name="Normal 4 9 6 3 2 5" xfId="24961" xr:uid="{00000000-0005-0000-0000-0000018A0000}"/>
    <cellStyle name="Normal 4 9 6 3 2 6" xfId="24962" xr:uid="{00000000-0005-0000-0000-0000028A0000}"/>
    <cellStyle name="Normal 4 9 6 3 3" xfId="24963" xr:uid="{00000000-0005-0000-0000-0000038A0000}"/>
    <cellStyle name="Normal 4 9 6 3 3 2" xfId="56389" xr:uid="{00000000-0005-0000-0000-0000048A0000}"/>
    <cellStyle name="Normal 4 9 6 3 3 3" xfId="56390" xr:uid="{00000000-0005-0000-0000-0000058A0000}"/>
    <cellStyle name="Normal 4 9 6 3 4" xfId="24964" xr:uid="{00000000-0005-0000-0000-0000068A0000}"/>
    <cellStyle name="Normal 4 9 6 3 4 2" xfId="56391" xr:uid="{00000000-0005-0000-0000-0000078A0000}"/>
    <cellStyle name="Normal 4 9 6 3 5" xfId="24965" xr:uid="{00000000-0005-0000-0000-0000088A0000}"/>
    <cellStyle name="Normal 4 9 6 3 6" xfId="24966" xr:uid="{00000000-0005-0000-0000-0000098A0000}"/>
    <cellStyle name="Normal 4 9 6 3 7" xfId="24967" xr:uid="{00000000-0005-0000-0000-00000A8A0000}"/>
    <cellStyle name="Normal 4 9 6 4" xfId="24968" xr:uid="{00000000-0005-0000-0000-00000B8A0000}"/>
    <cellStyle name="Normal 4 9 6 4 2" xfId="24969" xr:uid="{00000000-0005-0000-0000-00000C8A0000}"/>
    <cellStyle name="Normal 4 9 6 4 2 2" xfId="56392" xr:uid="{00000000-0005-0000-0000-00000D8A0000}"/>
    <cellStyle name="Normal 4 9 6 4 2 3" xfId="56393" xr:uid="{00000000-0005-0000-0000-00000E8A0000}"/>
    <cellStyle name="Normal 4 9 6 4 3" xfId="24970" xr:uid="{00000000-0005-0000-0000-00000F8A0000}"/>
    <cellStyle name="Normal 4 9 6 4 3 2" xfId="56394" xr:uid="{00000000-0005-0000-0000-0000108A0000}"/>
    <cellStyle name="Normal 4 9 6 4 4" xfId="24971" xr:uid="{00000000-0005-0000-0000-0000118A0000}"/>
    <cellStyle name="Normal 4 9 6 4 5" xfId="24972" xr:uid="{00000000-0005-0000-0000-0000128A0000}"/>
    <cellStyle name="Normal 4 9 6 4 6" xfId="24973" xr:uid="{00000000-0005-0000-0000-0000138A0000}"/>
    <cellStyle name="Normal 4 9 6 5" xfId="24974" xr:uid="{00000000-0005-0000-0000-0000148A0000}"/>
    <cellStyle name="Normal 4 9 6 5 2" xfId="56395" xr:uid="{00000000-0005-0000-0000-0000158A0000}"/>
    <cellStyle name="Normal 4 9 6 5 3" xfId="56396" xr:uid="{00000000-0005-0000-0000-0000168A0000}"/>
    <cellStyle name="Normal 4 9 6 6" xfId="24975" xr:uid="{00000000-0005-0000-0000-0000178A0000}"/>
    <cellStyle name="Normal 4 9 6 6 2" xfId="56397" xr:uid="{00000000-0005-0000-0000-0000188A0000}"/>
    <cellStyle name="Normal 4 9 6 7" xfId="24976" xr:uid="{00000000-0005-0000-0000-0000198A0000}"/>
    <cellStyle name="Normal 4 9 6 8" xfId="24977" xr:uid="{00000000-0005-0000-0000-00001A8A0000}"/>
    <cellStyle name="Normal 4 9 6 9" xfId="24978" xr:uid="{00000000-0005-0000-0000-00001B8A0000}"/>
    <cellStyle name="Normal 4 9 7" xfId="24979" xr:uid="{00000000-0005-0000-0000-00001C8A0000}"/>
    <cellStyle name="Normal 4 9 7 2" xfId="24980" xr:uid="{00000000-0005-0000-0000-00001D8A0000}"/>
    <cellStyle name="Normal 4 9 7 2 2" xfId="24981" xr:uid="{00000000-0005-0000-0000-00001E8A0000}"/>
    <cellStyle name="Normal 4 9 7 2 2 2" xfId="24982" xr:uid="{00000000-0005-0000-0000-00001F8A0000}"/>
    <cellStyle name="Normal 4 9 7 2 2 2 2" xfId="56398" xr:uid="{00000000-0005-0000-0000-0000208A0000}"/>
    <cellStyle name="Normal 4 9 7 2 2 2 3" xfId="56399" xr:uid="{00000000-0005-0000-0000-0000218A0000}"/>
    <cellStyle name="Normal 4 9 7 2 2 3" xfId="24983" xr:uid="{00000000-0005-0000-0000-0000228A0000}"/>
    <cellStyle name="Normal 4 9 7 2 2 3 2" xfId="56400" xr:uid="{00000000-0005-0000-0000-0000238A0000}"/>
    <cellStyle name="Normal 4 9 7 2 2 4" xfId="24984" xr:uid="{00000000-0005-0000-0000-0000248A0000}"/>
    <cellStyle name="Normal 4 9 7 2 2 5" xfId="24985" xr:uid="{00000000-0005-0000-0000-0000258A0000}"/>
    <cellStyle name="Normal 4 9 7 2 2 6" xfId="24986" xr:uid="{00000000-0005-0000-0000-0000268A0000}"/>
    <cellStyle name="Normal 4 9 7 2 3" xfId="24987" xr:uid="{00000000-0005-0000-0000-0000278A0000}"/>
    <cellStyle name="Normal 4 9 7 2 3 2" xfId="56401" xr:uid="{00000000-0005-0000-0000-0000288A0000}"/>
    <cellStyle name="Normal 4 9 7 2 3 3" xfId="56402" xr:uid="{00000000-0005-0000-0000-0000298A0000}"/>
    <cellStyle name="Normal 4 9 7 2 4" xfId="24988" xr:uid="{00000000-0005-0000-0000-00002A8A0000}"/>
    <cellStyle name="Normal 4 9 7 2 4 2" xfId="56403" xr:uid="{00000000-0005-0000-0000-00002B8A0000}"/>
    <cellStyle name="Normal 4 9 7 2 5" xfId="24989" xr:uid="{00000000-0005-0000-0000-00002C8A0000}"/>
    <cellStyle name="Normal 4 9 7 2 6" xfId="24990" xr:uid="{00000000-0005-0000-0000-00002D8A0000}"/>
    <cellStyle name="Normal 4 9 7 2 7" xfId="24991" xr:uid="{00000000-0005-0000-0000-00002E8A0000}"/>
    <cellStyle name="Normal 4 9 7 3" xfId="24992" xr:uid="{00000000-0005-0000-0000-00002F8A0000}"/>
    <cellStyle name="Normal 4 9 7 3 2" xfId="24993" xr:uid="{00000000-0005-0000-0000-0000308A0000}"/>
    <cellStyle name="Normal 4 9 7 3 2 2" xfId="56404" xr:uid="{00000000-0005-0000-0000-0000318A0000}"/>
    <cellStyle name="Normal 4 9 7 3 2 3" xfId="56405" xr:uid="{00000000-0005-0000-0000-0000328A0000}"/>
    <cellStyle name="Normal 4 9 7 3 3" xfId="24994" xr:uid="{00000000-0005-0000-0000-0000338A0000}"/>
    <cellStyle name="Normal 4 9 7 3 3 2" xfId="56406" xr:uid="{00000000-0005-0000-0000-0000348A0000}"/>
    <cellStyle name="Normal 4 9 7 3 4" xfId="24995" xr:uid="{00000000-0005-0000-0000-0000358A0000}"/>
    <cellStyle name="Normal 4 9 7 3 5" xfId="24996" xr:uid="{00000000-0005-0000-0000-0000368A0000}"/>
    <cellStyle name="Normal 4 9 7 3 6" xfId="24997" xr:uid="{00000000-0005-0000-0000-0000378A0000}"/>
    <cellStyle name="Normal 4 9 7 4" xfId="24998" xr:uid="{00000000-0005-0000-0000-0000388A0000}"/>
    <cellStyle name="Normal 4 9 7 4 2" xfId="56407" xr:uid="{00000000-0005-0000-0000-0000398A0000}"/>
    <cellStyle name="Normal 4 9 7 4 3" xfId="56408" xr:uid="{00000000-0005-0000-0000-00003A8A0000}"/>
    <cellStyle name="Normal 4 9 7 5" xfId="24999" xr:uid="{00000000-0005-0000-0000-00003B8A0000}"/>
    <cellStyle name="Normal 4 9 7 5 2" xfId="56409" xr:uid="{00000000-0005-0000-0000-00003C8A0000}"/>
    <cellStyle name="Normal 4 9 7 6" xfId="25000" xr:uid="{00000000-0005-0000-0000-00003D8A0000}"/>
    <cellStyle name="Normal 4 9 7 7" xfId="25001" xr:uid="{00000000-0005-0000-0000-00003E8A0000}"/>
    <cellStyle name="Normal 4 9 7 8" xfId="25002" xr:uid="{00000000-0005-0000-0000-00003F8A0000}"/>
    <cellStyle name="Normal 4 9 7 9" xfId="25003" xr:uid="{00000000-0005-0000-0000-0000408A0000}"/>
    <cellStyle name="Normal 4 9 8" xfId="25004" xr:uid="{00000000-0005-0000-0000-0000418A0000}"/>
    <cellStyle name="Normal 4 9 8 2" xfId="25005" xr:uid="{00000000-0005-0000-0000-0000428A0000}"/>
    <cellStyle name="Normal 4 9 8 2 2" xfId="25006" xr:uid="{00000000-0005-0000-0000-0000438A0000}"/>
    <cellStyle name="Normal 4 9 8 2 2 2" xfId="25007" xr:uid="{00000000-0005-0000-0000-0000448A0000}"/>
    <cellStyle name="Normal 4 9 8 2 2 2 2" xfId="56410" xr:uid="{00000000-0005-0000-0000-0000458A0000}"/>
    <cellStyle name="Normal 4 9 8 2 2 2 3" xfId="56411" xr:uid="{00000000-0005-0000-0000-0000468A0000}"/>
    <cellStyle name="Normal 4 9 8 2 2 3" xfId="25008" xr:uid="{00000000-0005-0000-0000-0000478A0000}"/>
    <cellStyle name="Normal 4 9 8 2 2 3 2" xfId="56412" xr:uid="{00000000-0005-0000-0000-0000488A0000}"/>
    <cellStyle name="Normal 4 9 8 2 2 4" xfId="25009" xr:uid="{00000000-0005-0000-0000-0000498A0000}"/>
    <cellStyle name="Normal 4 9 8 2 2 5" xfId="25010" xr:uid="{00000000-0005-0000-0000-00004A8A0000}"/>
    <cellStyle name="Normal 4 9 8 2 2 6" xfId="25011" xr:uid="{00000000-0005-0000-0000-00004B8A0000}"/>
    <cellStyle name="Normal 4 9 8 2 3" xfId="25012" xr:uid="{00000000-0005-0000-0000-00004C8A0000}"/>
    <cellStyle name="Normal 4 9 8 2 3 2" xfId="56413" xr:uid="{00000000-0005-0000-0000-00004D8A0000}"/>
    <cellStyle name="Normal 4 9 8 2 3 3" xfId="56414" xr:uid="{00000000-0005-0000-0000-00004E8A0000}"/>
    <cellStyle name="Normal 4 9 8 2 4" xfId="25013" xr:uid="{00000000-0005-0000-0000-00004F8A0000}"/>
    <cellStyle name="Normal 4 9 8 2 4 2" xfId="56415" xr:uid="{00000000-0005-0000-0000-0000508A0000}"/>
    <cellStyle name="Normal 4 9 8 2 5" xfId="25014" xr:uid="{00000000-0005-0000-0000-0000518A0000}"/>
    <cellStyle name="Normal 4 9 8 2 6" xfId="25015" xr:uid="{00000000-0005-0000-0000-0000528A0000}"/>
    <cellStyle name="Normal 4 9 8 2 7" xfId="25016" xr:uid="{00000000-0005-0000-0000-0000538A0000}"/>
    <cellStyle name="Normal 4 9 8 3" xfId="25017" xr:uid="{00000000-0005-0000-0000-0000548A0000}"/>
    <cellStyle name="Normal 4 9 8 3 2" xfId="25018" xr:uid="{00000000-0005-0000-0000-0000558A0000}"/>
    <cellStyle name="Normal 4 9 8 3 2 2" xfId="56416" xr:uid="{00000000-0005-0000-0000-0000568A0000}"/>
    <cellStyle name="Normal 4 9 8 3 2 3" xfId="56417" xr:uid="{00000000-0005-0000-0000-0000578A0000}"/>
    <cellStyle name="Normal 4 9 8 3 3" xfId="25019" xr:uid="{00000000-0005-0000-0000-0000588A0000}"/>
    <cellStyle name="Normal 4 9 8 3 3 2" xfId="56418" xr:uid="{00000000-0005-0000-0000-0000598A0000}"/>
    <cellStyle name="Normal 4 9 8 3 4" xfId="25020" xr:uid="{00000000-0005-0000-0000-00005A8A0000}"/>
    <cellStyle name="Normal 4 9 8 3 5" xfId="25021" xr:uid="{00000000-0005-0000-0000-00005B8A0000}"/>
    <cellStyle name="Normal 4 9 8 3 6" xfId="25022" xr:uid="{00000000-0005-0000-0000-00005C8A0000}"/>
    <cellStyle name="Normal 4 9 8 4" xfId="25023" xr:uid="{00000000-0005-0000-0000-00005D8A0000}"/>
    <cellStyle name="Normal 4 9 8 4 2" xfId="56419" xr:uid="{00000000-0005-0000-0000-00005E8A0000}"/>
    <cellStyle name="Normal 4 9 8 4 3" xfId="56420" xr:uid="{00000000-0005-0000-0000-00005F8A0000}"/>
    <cellStyle name="Normal 4 9 8 5" xfId="25024" xr:uid="{00000000-0005-0000-0000-0000608A0000}"/>
    <cellStyle name="Normal 4 9 8 5 2" xfId="56421" xr:uid="{00000000-0005-0000-0000-0000618A0000}"/>
    <cellStyle name="Normal 4 9 8 6" xfId="25025" xr:uid="{00000000-0005-0000-0000-0000628A0000}"/>
    <cellStyle name="Normal 4 9 8 7" xfId="25026" xr:uid="{00000000-0005-0000-0000-0000638A0000}"/>
    <cellStyle name="Normal 4 9 8 8" xfId="25027" xr:uid="{00000000-0005-0000-0000-0000648A0000}"/>
    <cellStyle name="Normal 4 9 9" xfId="25028" xr:uid="{00000000-0005-0000-0000-0000658A0000}"/>
    <cellStyle name="Normal 4 9 9 2" xfId="25029" xr:uid="{00000000-0005-0000-0000-0000668A0000}"/>
    <cellStyle name="Normal 4 9 9 2 2" xfId="25030" xr:uid="{00000000-0005-0000-0000-0000678A0000}"/>
    <cellStyle name="Normal 4 9 9 2 2 2" xfId="25031" xr:uid="{00000000-0005-0000-0000-0000688A0000}"/>
    <cellStyle name="Normal 4 9 9 2 2 2 2" xfId="56422" xr:uid="{00000000-0005-0000-0000-0000698A0000}"/>
    <cellStyle name="Normal 4 9 9 2 2 2 3" xfId="56423" xr:uid="{00000000-0005-0000-0000-00006A8A0000}"/>
    <cellStyle name="Normal 4 9 9 2 2 3" xfId="25032" xr:uid="{00000000-0005-0000-0000-00006B8A0000}"/>
    <cellStyle name="Normal 4 9 9 2 2 3 2" xfId="56424" xr:uid="{00000000-0005-0000-0000-00006C8A0000}"/>
    <cellStyle name="Normal 4 9 9 2 2 4" xfId="25033" xr:uid="{00000000-0005-0000-0000-00006D8A0000}"/>
    <cellStyle name="Normal 4 9 9 2 2 5" xfId="25034" xr:uid="{00000000-0005-0000-0000-00006E8A0000}"/>
    <cellStyle name="Normal 4 9 9 2 2 6" xfId="25035" xr:uid="{00000000-0005-0000-0000-00006F8A0000}"/>
    <cellStyle name="Normal 4 9 9 2 3" xfId="25036" xr:uid="{00000000-0005-0000-0000-0000708A0000}"/>
    <cellStyle name="Normal 4 9 9 2 3 2" xfId="56425" xr:uid="{00000000-0005-0000-0000-0000718A0000}"/>
    <cellStyle name="Normal 4 9 9 2 3 3" xfId="56426" xr:uid="{00000000-0005-0000-0000-0000728A0000}"/>
    <cellStyle name="Normal 4 9 9 2 4" xfId="25037" xr:uid="{00000000-0005-0000-0000-0000738A0000}"/>
    <cellStyle name="Normal 4 9 9 2 4 2" xfId="56427" xr:uid="{00000000-0005-0000-0000-0000748A0000}"/>
    <cellStyle name="Normal 4 9 9 2 5" xfId="25038" xr:uid="{00000000-0005-0000-0000-0000758A0000}"/>
    <cellStyle name="Normal 4 9 9 2 6" xfId="25039" xr:uid="{00000000-0005-0000-0000-0000768A0000}"/>
    <cellStyle name="Normal 4 9 9 2 7" xfId="25040" xr:uid="{00000000-0005-0000-0000-0000778A0000}"/>
    <cellStyle name="Normal 4 9 9 3" xfId="25041" xr:uid="{00000000-0005-0000-0000-0000788A0000}"/>
    <cellStyle name="Normal 4 9 9 3 2" xfId="25042" xr:uid="{00000000-0005-0000-0000-0000798A0000}"/>
    <cellStyle name="Normal 4 9 9 3 2 2" xfId="56428" xr:uid="{00000000-0005-0000-0000-00007A8A0000}"/>
    <cellStyle name="Normal 4 9 9 3 2 3" xfId="56429" xr:uid="{00000000-0005-0000-0000-00007B8A0000}"/>
    <cellStyle name="Normal 4 9 9 3 3" xfId="25043" xr:uid="{00000000-0005-0000-0000-00007C8A0000}"/>
    <cellStyle name="Normal 4 9 9 3 3 2" xfId="56430" xr:uid="{00000000-0005-0000-0000-00007D8A0000}"/>
    <cellStyle name="Normal 4 9 9 3 4" xfId="25044" xr:uid="{00000000-0005-0000-0000-00007E8A0000}"/>
    <cellStyle name="Normal 4 9 9 3 5" xfId="25045" xr:uid="{00000000-0005-0000-0000-00007F8A0000}"/>
    <cellStyle name="Normal 4 9 9 3 6" xfId="25046" xr:uid="{00000000-0005-0000-0000-0000808A0000}"/>
    <cellStyle name="Normal 4 9 9 4" xfId="25047" xr:uid="{00000000-0005-0000-0000-0000818A0000}"/>
    <cellStyle name="Normal 4 9 9 4 2" xfId="56431" xr:uid="{00000000-0005-0000-0000-0000828A0000}"/>
    <cellStyle name="Normal 4 9 9 4 3" xfId="56432" xr:uid="{00000000-0005-0000-0000-0000838A0000}"/>
    <cellStyle name="Normal 4 9 9 5" xfId="25048" xr:uid="{00000000-0005-0000-0000-0000848A0000}"/>
    <cellStyle name="Normal 4 9 9 5 2" xfId="56433" xr:uid="{00000000-0005-0000-0000-0000858A0000}"/>
    <cellStyle name="Normal 4 9 9 6" xfId="25049" xr:uid="{00000000-0005-0000-0000-0000868A0000}"/>
    <cellStyle name="Normal 4 9 9 7" xfId="25050" xr:uid="{00000000-0005-0000-0000-0000878A0000}"/>
    <cellStyle name="Normal 4 9 9 8" xfId="25051" xr:uid="{00000000-0005-0000-0000-0000888A0000}"/>
    <cellStyle name="Normal 40" xfId="25052" xr:uid="{00000000-0005-0000-0000-0000898A0000}"/>
    <cellStyle name="Normal 40 2" xfId="25053" xr:uid="{00000000-0005-0000-0000-00008A8A0000}"/>
    <cellStyle name="Normal 40 3" xfId="25054" xr:uid="{00000000-0005-0000-0000-00008B8A0000}"/>
    <cellStyle name="Normal 41" xfId="25055" xr:uid="{00000000-0005-0000-0000-00008C8A0000}"/>
    <cellStyle name="Normal 41 2" xfId="25056" xr:uid="{00000000-0005-0000-0000-00008D8A0000}"/>
    <cellStyle name="Normal 41 3" xfId="25057" xr:uid="{00000000-0005-0000-0000-00008E8A0000}"/>
    <cellStyle name="Normal 42" xfId="25058" xr:uid="{00000000-0005-0000-0000-00008F8A0000}"/>
    <cellStyle name="Normal 42 2" xfId="25059" xr:uid="{00000000-0005-0000-0000-0000908A0000}"/>
    <cellStyle name="Normal 42 3" xfId="25060" xr:uid="{00000000-0005-0000-0000-0000918A0000}"/>
    <cellStyle name="Normal 43" xfId="25061" xr:uid="{00000000-0005-0000-0000-0000928A0000}"/>
    <cellStyle name="Normal 43 2" xfId="25062" xr:uid="{00000000-0005-0000-0000-0000938A0000}"/>
    <cellStyle name="Normal 43 3" xfId="25063" xr:uid="{00000000-0005-0000-0000-0000948A0000}"/>
    <cellStyle name="Normal 44" xfId="25064" xr:uid="{00000000-0005-0000-0000-0000958A0000}"/>
    <cellStyle name="Normal 44 2" xfId="25065" xr:uid="{00000000-0005-0000-0000-0000968A0000}"/>
    <cellStyle name="Normal 44 3" xfId="25066" xr:uid="{00000000-0005-0000-0000-0000978A0000}"/>
    <cellStyle name="Normal 45" xfId="25067" xr:uid="{00000000-0005-0000-0000-0000988A0000}"/>
    <cellStyle name="Normal 45 2" xfId="25068" xr:uid="{00000000-0005-0000-0000-0000998A0000}"/>
    <cellStyle name="Normal 45 3" xfId="25069" xr:uid="{00000000-0005-0000-0000-00009A8A0000}"/>
    <cellStyle name="Normal 46" xfId="25070" xr:uid="{00000000-0005-0000-0000-00009B8A0000}"/>
    <cellStyle name="Normal 46 2" xfId="25071" xr:uid="{00000000-0005-0000-0000-00009C8A0000}"/>
    <cellStyle name="Normal 46 3" xfId="25072" xr:uid="{00000000-0005-0000-0000-00009D8A0000}"/>
    <cellStyle name="Normal 47" xfId="25073" xr:uid="{00000000-0005-0000-0000-00009E8A0000}"/>
    <cellStyle name="Normal 47 2" xfId="25074" xr:uid="{00000000-0005-0000-0000-00009F8A0000}"/>
    <cellStyle name="Normal 48" xfId="25075" xr:uid="{00000000-0005-0000-0000-0000A08A0000}"/>
    <cellStyle name="Normal 48 10" xfId="25076" xr:uid="{00000000-0005-0000-0000-0000A18A0000}"/>
    <cellStyle name="Normal 48 10 2" xfId="25077" xr:uid="{00000000-0005-0000-0000-0000A28A0000}"/>
    <cellStyle name="Normal 48 10 2 2" xfId="25078" xr:uid="{00000000-0005-0000-0000-0000A38A0000}"/>
    <cellStyle name="Normal 48 10 3" xfId="25079" xr:uid="{00000000-0005-0000-0000-0000A48A0000}"/>
    <cellStyle name="Normal 48 10 3 2" xfId="25080" xr:uid="{00000000-0005-0000-0000-0000A58A0000}"/>
    <cellStyle name="Normal 48 10 4" xfId="25081" xr:uid="{00000000-0005-0000-0000-0000A68A0000}"/>
    <cellStyle name="Normal 48 10 5" xfId="25082" xr:uid="{00000000-0005-0000-0000-0000A78A0000}"/>
    <cellStyle name="Normal 48 11" xfId="25083" xr:uid="{00000000-0005-0000-0000-0000A88A0000}"/>
    <cellStyle name="Normal 48 11 2" xfId="25084" xr:uid="{00000000-0005-0000-0000-0000A98A0000}"/>
    <cellStyle name="Normal 48 11 2 2" xfId="25085" xr:uid="{00000000-0005-0000-0000-0000AA8A0000}"/>
    <cellStyle name="Normal 48 11 3" xfId="25086" xr:uid="{00000000-0005-0000-0000-0000AB8A0000}"/>
    <cellStyle name="Normal 48 11 3 2" xfId="25087" xr:uid="{00000000-0005-0000-0000-0000AC8A0000}"/>
    <cellStyle name="Normal 48 11 4" xfId="25088" xr:uid="{00000000-0005-0000-0000-0000AD8A0000}"/>
    <cellStyle name="Normal 48 11 5" xfId="25089" xr:uid="{00000000-0005-0000-0000-0000AE8A0000}"/>
    <cellStyle name="Normal 48 12" xfId="25090" xr:uid="{00000000-0005-0000-0000-0000AF8A0000}"/>
    <cellStyle name="Normal 48 12 2" xfId="25091" xr:uid="{00000000-0005-0000-0000-0000B08A0000}"/>
    <cellStyle name="Normal 48 12 2 2" xfId="25092" xr:uid="{00000000-0005-0000-0000-0000B18A0000}"/>
    <cellStyle name="Normal 48 12 3" xfId="25093" xr:uid="{00000000-0005-0000-0000-0000B28A0000}"/>
    <cellStyle name="Normal 48 12 3 2" xfId="25094" xr:uid="{00000000-0005-0000-0000-0000B38A0000}"/>
    <cellStyle name="Normal 48 12 4" xfId="25095" xr:uid="{00000000-0005-0000-0000-0000B48A0000}"/>
    <cellStyle name="Normal 48 12 5" xfId="25096" xr:uid="{00000000-0005-0000-0000-0000B58A0000}"/>
    <cellStyle name="Normal 48 13" xfId="25097" xr:uid="{00000000-0005-0000-0000-0000B68A0000}"/>
    <cellStyle name="Normal 48 13 2" xfId="25098" xr:uid="{00000000-0005-0000-0000-0000B78A0000}"/>
    <cellStyle name="Normal 48 13 2 2" xfId="25099" xr:uid="{00000000-0005-0000-0000-0000B88A0000}"/>
    <cellStyle name="Normal 48 13 3" xfId="25100" xr:uid="{00000000-0005-0000-0000-0000B98A0000}"/>
    <cellStyle name="Normal 48 13 4" xfId="25101" xr:uid="{00000000-0005-0000-0000-0000BA8A0000}"/>
    <cellStyle name="Normal 48 14" xfId="25102" xr:uid="{00000000-0005-0000-0000-0000BB8A0000}"/>
    <cellStyle name="Normal 48 14 2" xfId="25103" xr:uid="{00000000-0005-0000-0000-0000BC8A0000}"/>
    <cellStyle name="Normal 48 14 3" xfId="25104" xr:uid="{00000000-0005-0000-0000-0000BD8A0000}"/>
    <cellStyle name="Normal 48 15" xfId="25105" xr:uid="{00000000-0005-0000-0000-0000BE8A0000}"/>
    <cellStyle name="Normal 48 15 2" xfId="25106" xr:uid="{00000000-0005-0000-0000-0000BF8A0000}"/>
    <cellStyle name="Normal 48 15 3" xfId="25107" xr:uid="{00000000-0005-0000-0000-0000C08A0000}"/>
    <cellStyle name="Normal 48 16" xfId="25108" xr:uid="{00000000-0005-0000-0000-0000C18A0000}"/>
    <cellStyle name="Normal 48 17" xfId="25109" xr:uid="{00000000-0005-0000-0000-0000C28A0000}"/>
    <cellStyle name="Normal 48 17 2" xfId="56434" xr:uid="{00000000-0005-0000-0000-0000C38A0000}"/>
    <cellStyle name="Normal 48 18" xfId="25110" xr:uid="{00000000-0005-0000-0000-0000C48A0000}"/>
    <cellStyle name="Normal 48 2" xfId="25111" xr:uid="{00000000-0005-0000-0000-0000C58A0000}"/>
    <cellStyle name="Normal 48 2 10" xfId="25112" xr:uid="{00000000-0005-0000-0000-0000C68A0000}"/>
    <cellStyle name="Normal 48 2 10 2" xfId="25113" xr:uid="{00000000-0005-0000-0000-0000C78A0000}"/>
    <cellStyle name="Normal 48 2 10 2 2" xfId="25114" xr:uid="{00000000-0005-0000-0000-0000C88A0000}"/>
    <cellStyle name="Normal 48 2 10 3" xfId="25115" xr:uid="{00000000-0005-0000-0000-0000C98A0000}"/>
    <cellStyle name="Normal 48 2 10 3 2" xfId="25116" xr:uid="{00000000-0005-0000-0000-0000CA8A0000}"/>
    <cellStyle name="Normal 48 2 10 4" xfId="25117" xr:uid="{00000000-0005-0000-0000-0000CB8A0000}"/>
    <cellStyle name="Normal 48 2 10 5" xfId="25118" xr:uid="{00000000-0005-0000-0000-0000CC8A0000}"/>
    <cellStyle name="Normal 48 2 11" xfId="25119" xr:uid="{00000000-0005-0000-0000-0000CD8A0000}"/>
    <cellStyle name="Normal 48 2 11 2" xfId="25120" xr:uid="{00000000-0005-0000-0000-0000CE8A0000}"/>
    <cellStyle name="Normal 48 2 11 2 2" xfId="25121" xr:uid="{00000000-0005-0000-0000-0000CF8A0000}"/>
    <cellStyle name="Normal 48 2 11 3" xfId="25122" xr:uid="{00000000-0005-0000-0000-0000D08A0000}"/>
    <cellStyle name="Normal 48 2 11 3 2" xfId="25123" xr:uid="{00000000-0005-0000-0000-0000D18A0000}"/>
    <cellStyle name="Normal 48 2 11 4" xfId="25124" xr:uid="{00000000-0005-0000-0000-0000D28A0000}"/>
    <cellStyle name="Normal 48 2 11 5" xfId="25125" xr:uid="{00000000-0005-0000-0000-0000D38A0000}"/>
    <cellStyle name="Normal 48 2 12" xfId="25126" xr:uid="{00000000-0005-0000-0000-0000D48A0000}"/>
    <cellStyle name="Normal 48 2 12 2" xfId="25127" xr:uid="{00000000-0005-0000-0000-0000D58A0000}"/>
    <cellStyle name="Normal 48 2 12 2 2" xfId="25128" xr:uid="{00000000-0005-0000-0000-0000D68A0000}"/>
    <cellStyle name="Normal 48 2 12 3" xfId="25129" xr:uid="{00000000-0005-0000-0000-0000D78A0000}"/>
    <cellStyle name="Normal 48 2 12 4" xfId="25130" xr:uid="{00000000-0005-0000-0000-0000D88A0000}"/>
    <cellStyle name="Normal 48 2 13" xfId="25131" xr:uid="{00000000-0005-0000-0000-0000D98A0000}"/>
    <cellStyle name="Normal 48 2 13 2" xfId="25132" xr:uid="{00000000-0005-0000-0000-0000DA8A0000}"/>
    <cellStyle name="Normal 48 2 13 3" xfId="25133" xr:uid="{00000000-0005-0000-0000-0000DB8A0000}"/>
    <cellStyle name="Normal 48 2 14" xfId="25134" xr:uid="{00000000-0005-0000-0000-0000DC8A0000}"/>
    <cellStyle name="Normal 48 2 14 2" xfId="25135" xr:uid="{00000000-0005-0000-0000-0000DD8A0000}"/>
    <cellStyle name="Normal 48 2 14 3" xfId="25136" xr:uid="{00000000-0005-0000-0000-0000DE8A0000}"/>
    <cellStyle name="Normal 48 2 15" xfId="25137" xr:uid="{00000000-0005-0000-0000-0000DF8A0000}"/>
    <cellStyle name="Normal 48 2 16" xfId="25138" xr:uid="{00000000-0005-0000-0000-0000E08A0000}"/>
    <cellStyle name="Normal 48 2 16 2" xfId="56435" xr:uid="{00000000-0005-0000-0000-0000E18A0000}"/>
    <cellStyle name="Normal 48 2 17" xfId="25139" xr:uid="{00000000-0005-0000-0000-0000E28A0000}"/>
    <cellStyle name="Normal 48 2 2" xfId="25140" xr:uid="{00000000-0005-0000-0000-0000E38A0000}"/>
    <cellStyle name="Normal 48 2 2 2" xfId="25141" xr:uid="{00000000-0005-0000-0000-0000E48A0000}"/>
    <cellStyle name="Normal 48 2 2 2 2" xfId="25142" xr:uid="{00000000-0005-0000-0000-0000E58A0000}"/>
    <cellStyle name="Normal 48 2 2 2 2 2" xfId="25143" xr:uid="{00000000-0005-0000-0000-0000E68A0000}"/>
    <cellStyle name="Normal 48 2 2 2 2 2 2" xfId="56436" xr:uid="{00000000-0005-0000-0000-0000E78A0000}"/>
    <cellStyle name="Normal 48 2 2 2 2 2 3" xfId="56437" xr:uid="{00000000-0005-0000-0000-0000E88A0000}"/>
    <cellStyle name="Normal 48 2 2 2 2 3" xfId="25144" xr:uid="{00000000-0005-0000-0000-0000E98A0000}"/>
    <cellStyle name="Normal 48 2 2 2 2 3 2" xfId="56438" xr:uid="{00000000-0005-0000-0000-0000EA8A0000}"/>
    <cellStyle name="Normal 48 2 2 2 2 4" xfId="25145" xr:uid="{00000000-0005-0000-0000-0000EB8A0000}"/>
    <cellStyle name="Normal 48 2 2 2 2 5" xfId="25146" xr:uid="{00000000-0005-0000-0000-0000EC8A0000}"/>
    <cellStyle name="Normal 48 2 2 2 2 6" xfId="25147" xr:uid="{00000000-0005-0000-0000-0000ED8A0000}"/>
    <cellStyle name="Normal 48 2 2 2 3" xfId="25148" xr:uid="{00000000-0005-0000-0000-0000EE8A0000}"/>
    <cellStyle name="Normal 48 2 2 2 3 2" xfId="56439" xr:uid="{00000000-0005-0000-0000-0000EF8A0000}"/>
    <cellStyle name="Normal 48 2 2 2 3 3" xfId="56440" xr:uid="{00000000-0005-0000-0000-0000F08A0000}"/>
    <cellStyle name="Normal 48 2 2 2 4" xfId="25149" xr:uid="{00000000-0005-0000-0000-0000F18A0000}"/>
    <cellStyle name="Normal 48 2 2 2 4 2" xfId="56441" xr:uid="{00000000-0005-0000-0000-0000F28A0000}"/>
    <cellStyle name="Normal 48 2 2 2 5" xfId="25150" xr:uid="{00000000-0005-0000-0000-0000F38A0000}"/>
    <cellStyle name="Normal 48 2 2 2 6" xfId="25151" xr:uid="{00000000-0005-0000-0000-0000F48A0000}"/>
    <cellStyle name="Normal 48 2 2 2 7" xfId="25152" xr:uid="{00000000-0005-0000-0000-0000F58A0000}"/>
    <cellStyle name="Normal 48 2 2 3" xfId="25153" xr:uid="{00000000-0005-0000-0000-0000F68A0000}"/>
    <cellStyle name="Normal 48 2 2 3 2" xfId="25154" xr:uid="{00000000-0005-0000-0000-0000F78A0000}"/>
    <cellStyle name="Normal 48 2 2 3 2 2" xfId="56442" xr:uid="{00000000-0005-0000-0000-0000F88A0000}"/>
    <cellStyle name="Normal 48 2 2 3 2 3" xfId="56443" xr:uid="{00000000-0005-0000-0000-0000F98A0000}"/>
    <cellStyle name="Normal 48 2 2 3 3" xfId="25155" xr:uid="{00000000-0005-0000-0000-0000FA8A0000}"/>
    <cellStyle name="Normal 48 2 2 3 3 2" xfId="56444" xr:uid="{00000000-0005-0000-0000-0000FB8A0000}"/>
    <cellStyle name="Normal 48 2 2 3 4" xfId="25156" xr:uid="{00000000-0005-0000-0000-0000FC8A0000}"/>
    <cellStyle name="Normal 48 2 2 3 5" xfId="25157" xr:uid="{00000000-0005-0000-0000-0000FD8A0000}"/>
    <cellStyle name="Normal 48 2 2 3 6" xfId="25158" xr:uid="{00000000-0005-0000-0000-0000FE8A0000}"/>
    <cellStyle name="Normal 48 2 2 4" xfId="25159" xr:uid="{00000000-0005-0000-0000-0000FF8A0000}"/>
    <cellStyle name="Normal 48 2 2 4 2" xfId="56445" xr:uid="{00000000-0005-0000-0000-0000008B0000}"/>
    <cellStyle name="Normal 48 2 2 4 3" xfId="56446" xr:uid="{00000000-0005-0000-0000-0000018B0000}"/>
    <cellStyle name="Normal 48 2 2 5" xfId="25160" xr:uid="{00000000-0005-0000-0000-0000028B0000}"/>
    <cellStyle name="Normal 48 2 2 5 2" xfId="56447" xr:uid="{00000000-0005-0000-0000-0000038B0000}"/>
    <cellStyle name="Normal 48 2 2 6" xfId="25161" xr:uid="{00000000-0005-0000-0000-0000048B0000}"/>
    <cellStyle name="Normal 48 2 2 7" xfId="25162" xr:uid="{00000000-0005-0000-0000-0000058B0000}"/>
    <cellStyle name="Normal 48 2 2 8" xfId="25163" xr:uid="{00000000-0005-0000-0000-0000068B0000}"/>
    <cellStyle name="Normal 48 2 2 9" xfId="25164" xr:uid="{00000000-0005-0000-0000-0000078B0000}"/>
    <cellStyle name="Normal 48 2 3" xfId="25165" xr:uid="{00000000-0005-0000-0000-0000088B0000}"/>
    <cellStyle name="Normal 48 2 3 2" xfId="25166" xr:uid="{00000000-0005-0000-0000-0000098B0000}"/>
    <cellStyle name="Normal 48 2 3 2 2" xfId="25167" xr:uid="{00000000-0005-0000-0000-00000A8B0000}"/>
    <cellStyle name="Normal 48 2 3 2 2 2" xfId="25168" xr:uid="{00000000-0005-0000-0000-00000B8B0000}"/>
    <cellStyle name="Normal 48 2 3 2 2 2 2" xfId="56448" xr:uid="{00000000-0005-0000-0000-00000C8B0000}"/>
    <cellStyle name="Normal 48 2 3 2 2 2 3" xfId="56449" xr:uid="{00000000-0005-0000-0000-00000D8B0000}"/>
    <cellStyle name="Normal 48 2 3 2 2 3" xfId="25169" xr:uid="{00000000-0005-0000-0000-00000E8B0000}"/>
    <cellStyle name="Normal 48 2 3 2 2 3 2" xfId="56450" xr:uid="{00000000-0005-0000-0000-00000F8B0000}"/>
    <cellStyle name="Normal 48 2 3 2 2 4" xfId="25170" xr:uid="{00000000-0005-0000-0000-0000108B0000}"/>
    <cellStyle name="Normal 48 2 3 2 2 5" xfId="25171" xr:uid="{00000000-0005-0000-0000-0000118B0000}"/>
    <cellStyle name="Normal 48 2 3 2 2 6" xfId="25172" xr:uid="{00000000-0005-0000-0000-0000128B0000}"/>
    <cellStyle name="Normal 48 2 3 2 3" xfId="25173" xr:uid="{00000000-0005-0000-0000-0000138B0000}"/>
    <cellStyle name="Normal 48 2 3 2 3 2" xfId="56451" xr:uid="{00000000-0005-0000-0000-0000148B0000}"/>
    <cellStyle name="Normal 48 2 3 2 3 3" xfId="56452" xr:uid="{00000000-0005-0000-0000-0000158B0000}"/>
    <cellStyle name="Normal 48 2 3 2 4" xfId="25174" xr:uid="{00000000-0005-0000-0000-0000168B0000}"/>
    <cellStyle name="Normal 48 2 3 2 4 2" xfId="56453" xr:uid="{00000000-0005-0000-0000-0000178B0000}"/>
    <cellStyle name="Normal 48 2 3 2 5" xfId="25175" xr:uid="{00000000-0005-0000-0000-0000188B0000}"/>
    <cellStyle name="Normal 48 2 3 2 6" xfId="25176" xr:uid="{00000000-0005-0000-0000-0000198B0000}"/>
    <cellStyle name="Normal 48 2 3 2 7" xfId="25177" xr:uid="{00000000-0005-0000-0000-00001A8B0000}"/>
    <cellStyle name="Normal 48 2 3 3" xfId="25178" xr:uid="{00000000-0005-0000-0000-00001B8B0000}"/>
    <cellStyle name="Normal 48 2 3 3 2" xfId="25179" xr:uid="{00000000-0005-0000-0000-00001C8B0000}"/>
    <cellStyle name="Normal 48 2 3 3 2 2" xfId="56454" xr:uid="{00000000-0005-0000-0000-00001D8B0000}"/>
    <cellStyle name="Normal 48 2 3 3 2 3" xfId="56455" xr:uid="{00000000-0005-0000-0000-00001E8B0000}"/>
    <cellStyle name="Normal 48 2 3 3 3" xfId="25180" xr:uid="{00000000-0005-0000-0000-00001F8B0000}"/>
    <cellStyle name="Normal 48 2 3 3 3 2" xfId="56456" xr:uid="{00000000-0005-0000-0000-0000208B0000}"/>
    <cellStyle name="Normal 48 2 3 3 4" xfId="25181" xr:uid="{00000000-0005-0000-0000-0000218B0000}"/>
    <cellStyle name="Normal 48 2 3 3 5" xfId="25182" xr:uid="{00000000-0005-0000-0000-0000228B0000}"/>
    <cellStyle name="Normal 48 2 3 3 6" xfId="25183" xr:uid="{00000000-0005-0000-0000-0000238B0000}"/>
    <cellStyle name="Normal 48 2 3 4" xfId="25184" xr:uid="{00000000-0005-0000-0000-0000248B0000}"/>
    <cellStyle name="Normal 48 2 3 4 2" xfId="56457" xr:uid="{00000000-0005-0000-0000-0000258B0000}"/>
    <cellStyle name="Normal 48 2 3 4 3" xfId="56458" xr:uid="{00000000-0005-0000-0000-0000268B0000}"/>
    <cellStyle name="Normal 48 2 3 5" xfId="25185" xr:uid="{00000000-0005-0000-0000-0000278B0000}"/>
    <cellStyle name="Normal 48 2 3 5 2" xfId="56459" xr:uid="{00000000-0005-0000-0000-0000288B0000}"/>
    <cellStyle name="Normal 48 2 3 6" xfId="25186" xr:uid="{00000000-0005-0000-0000-0000298B0000}"/>
    <cellStyle name="Normal 48 2 3 7" xfId="25187" xr:uid="{00000000-0005-0000-0000-00002A8B0000}"/>
    <cellStyle name="Normal 48 2 3 8" xfId="25188" xr:uid="{00000000-0005-0000-0000-00002B8B0000}"/>
    <cellStyle name="Normal 48 2 4" xfId="25189" xr:uid="{00000000-0005-0000-0000-00002C8B0000}"/>
    <cellStyle name="Normal 48 2 4 2" xfId="25190" xr:uid="{00000000-0005-0000-0000-00002D8B0000}"/>
    <cellStyle name="Normal 48 2 4 2 2" xfId="25191" xr:uid="{00000000-0005-0000-0000-00002E8B0000}"/>
    <cellStyle name="Normal 48 2 4 2 2 2" xfId="56460" xr:uid="{00000000-0005-0000-0000-00002F8B0000}"/>
    <cellStyle name="Normal 48 2 4 2 2 3" xfId="56461" xr:uid="{00000000-0005-0000-0000-0000308B0000}"/>
    <cellStyle name="Normal 48 2 4 2 3" xfId="25192" xr:uid="{00000000-0005-0000-0000-0000318B0000}"/>
    <cellStyle name="Normal 48 2 4 2 3 2" xfId="56462" xr:uid="{00000000-0005-0000-0000-0000328B0000}"/>
    <cellStyle name="Normal 48 2 4 2 4" xfId="25193" xr:uid="{00000000-0005-0000-0000-0000338B0000}"/>
    <cellStyle name="Normal 48 2 4 2 5" xfId="25194" xr:uid="{00000000-0005-0000-0000-0000348B0000}"/>
    <cellStyle name="Normal 48 2 4 2 6" xfId="25195" xr:uid="{00000000-0005-0000-0000-0000358B0000}"/>
    <cellStyle name="Normal 48 2 4 3" xfId="25196" xr:uid="{00000000-0005-0000-0000-0000368B0000}"/>
    <cellStyle name="Normal 48 2 4 3 2" xfId="56463" xr:uid="{00000000-0005-0000-0000-0000378B0000}"/>
    <cellStyle name="Normal 48 2 4 3 3" xfId="56464" xr:uid="{00000000-0005-0000-0000-0000388B0000}"/>
    <cellStyle name="Normal 48 2 4 4" xfId="25197" xr:uid="{00000000-0005-0000-0000-0000398B0000}"/>
    <cellStyle name="Normal 48 2 4 4 2" xfId="56465" xr:uid="{00000000-0005-0000-0000-00003A8B0000}"/>
    <cellStyle name="Normal 48 2 4 5" xfId="25198" xr:uid="{00000000-0005-0000-0000-00003B8B0000}"/>
    <cellStyle name="Normal 48 2 4 6" xfId="25199" xr:uid="{00000000-0005-0000-0000-00003C8B0000}"/>
    <cellStyle name="Normal 48 2 4 7" xfId="25200" xr:uid="{00000000-0005-0000-0000-00003D8B0000}"/>
    <cellStyle name="Normal 48 2 5" xfId="25201" xr:uid="{00000000-0005-0000-0000-00003E8B0000}"/>
    <cellStyle name="Normal 48 2 5 2" xfId="25202" xr:uid="{00000000-0005-0000-0000-00003F8B0000}"/>
    <cellStyle name="Normal 48 2 5 2 2" xfId="56466" xr:uid="{00000000-0005-0000-0000-0000408B0000}"/>
    <cellStyle name="Normal 48 2 5 2 3" xfId="56467" xr:uid="{00000000-0005-0000-0000-0000418B0000}"/>
    <cellStyle name="Normal 48 2 5 3" xfId="25203" xr:uid="{00000000-0005-0000-0000-0000428B0000}"/>
    <cellStyle name="Normal 48 2 5 3 2" xfId="56468" xr:uid="{00000000-0005-0000-0000-0000438B0000}"/>
    <cellStyle name="Normal 48 2 5 4" xfId="25204" xr:uid="{00000000-0005-0000-0000-0000448B0000}"/>
    <cellStyle name="Normal 48 2 5 5" xfId="25205" xr:uid="{00000000-0005-0000-0000-0000458B0000}"/>
    <cellStyle name="Normal 48 2 5 6" xfId="25206" xr:uid="{00000000-0005-0000-0000-0000468B0000}"/>
    <cellStyle name="Normal 48 2 6" xfId="25207" xr:uid="{00000000-0005-0000-0000-0000478B0000}"/>
    <cellStyle name="Normal 48 2 6 2" xfId="25208" xr:uid="{00000000-0005-0000-0000-0000488B0000}"/>
    <cellStyle name="Normal 48 2 6 2 2" xfId="25209" xr:uid="{00000000-0005-0000-0000-0000498B0000}"/>
    <cellStyle name="Normal 48 2 6 2 2 2" xfId="25210" xr:uid="{00000000-0005-0000-0000-00004A8B0000}"/>
    <cellStyle name="Normal 48 2 6 2 3" xfId="25211" xr:uid="{00000000-0005-0000-0000-00004B8B0000}"/>
    <cellStyle name="Normal 48 2 6 2 3 2" xfId="25212" xr:uid="{00000000-0005-0000-0000-00004C8B0000}"/>
    <cellStyle name="Normal 48 2 6 2 4" xfId="25213" xr:uid="{00000000-0005-0000-0000-00004D8B0000}"/>
    <cellStyle name="Normal 48 2 6 3" xfId="25214" xr:uid="{00000000-0005-0000-0000-00004E8B0000}"/>
    <cellStyle name="Normal 48 2 6 3 2" xfId="25215" xr:uid="{00000000-0005-0000-0000-00004F8B0000}"/>
    <cellStyle name="Normal 48 2 6 3 2 2" xfId="25216" xr:uid="{00000000-0005-0000-0000-0000508B0000}"/>
    <cellStyle name="Normal 48 2 6 3 3" xfId="25217" xr:uid="{00000000-0005-0000-0000-0000518B0000}"/>
    <cellStyle name="Normal 48 2 6 3 3 2" xfId="25218" xr:uid="{00000000-0005-0000-0000-0000528B0000}"/>
    <cellStyle name="Normal 48 2 6 3 4" xfId="25219" xr:uid="{00000000-0005-0000-0000-0000538B0000}"/>
    <cellStyle name="Normal 48 2 6 4" xfId="25220" xr:uid="{00000000-0005-0000-0000-0000548B0000}"/>
    <cellStyle name="Normal 48 2 6 4 2" xfId="25221" xr:uid="{00000000-0005-0000-0000-0000558B0000}"/>
    <cellStyle name="Normal 48 2 6 5" xfId="25222" xr:uid="{00000000-0005-0000-0000-0000568B0000}"/>
    <cellStyle name="Normal 48 2 6 5 2" xfId="25223" xr:uid="{00000000-0005-0000-0000-0000578B0000}"/>
    <cellStyle name="Normal 48 2 6 6" xfId="25224" xr:uid="{00000000-0005-0000-0000-0000588B0000}"/>
    <cellStyle name="Normal 48 2 6 7" xfId="25225" xr:uid="{00000000-0005-0000-0000-0000598B0000}"/>
    <cellStyle name="Normal 48 2 7" xfId="25226" xr:uid="{00000000-0005-0000-0000-00005A8B0000}"/>
    <cellStyle name="Normal 48 2 7 2" xfId="25227" xr:uid="{00000000-0005-0000-0000-00005B8B0000}"/>
    <cellStyle name="Normal 48 2 7 2 2" xfId="25228" xr:uid="{00000000-0005-0000-0000-00005C8B0000}"/>
    <cellStyle name="Normal 48 2 7 3" xfId="25229" xr:uid="{00000000-0005-0000-0000-00005D8B0000}"/>
    <cellStyle name="Normal 48 2 7 3 2" xfId="25230" xr:uid="{00000000-0005-0000-0000-00005E8B0000}"/>
    <cellStyle name="Normal 48 2 7 4" xfId="25231" xr:uid="{00000000-0005-0000-0000-00005F8B0000}"/>
    <cellStyle name="Normal 48 2 7 5" xfId="25232" xr:uid="{00000000-0005-0000-0000-0000608B0000}"/>
    <cellStyle name="Normal 48 2 8" xfId="25233" xr:uid="{00000000-0005-0000-0000-0000618B0000}"/>
    <cellStyle name="Normal 48 2 8 2" xfId="25234" xr:uid="{00000000-0005-0000-0000-0000628B0000}"/>
    <cellStyle name="Normal 48 2 8 2 2" xfId="25235" xr:uid="{00000000-0005-0000-0000-0000638B0000}"/>
    <cellStyle name="Normal 48 2 8 3" xfId="25236" xr:uid="{00000000-0005-0000-0000-0000648B0000}"/>
    <cellStyle name="Normal 48 2 8 3 2" xfId="25237" xr:uid="{00000000-0005-0000-0000-0000658B0000}"/>
    <cellStyle name="Normal 48 2 8 4" xfId="25238" xr:uid="{00000000-0005-0000-0000-0000668B0000}"/>
    <cellStyle name="Normal 48 2 8 5" xfId="25239" xr:uid="{00000000-0005-0000-0000-0000678B0000}"/>
    <cellStyle name="Normal 48 2 9" xfId="25240" xr:uid="{00000000-0005-0000-0000-0000688B0000}"/>
    <cellStyle name="Normal 48 2 9 2" xfId="25241" xr:uid="{00000000-0005-0000-0000-0000698B0000}"/>
    <cellStyle name="Normal 48 2 9 2 2" xfId="25242" xr:uid="{00000000-0005-0000-0000-00006A8B0000}"/>
    <cellStyle name="Normal 48 2 9 3" xfId="25243" xr:uid="{00000000-0005-0000-0000-00006B8B0000}"/>
    <cellStyle name="Normal 48 2 9 3 2" xfId="25244" xr:uid="{00000000-0005-0000-0000-00006C8B0000}"/>
    <cellStyle name="Normal 48 2 9 4" xfId="25245" xr:uid="{00000000-0005-0000-0000-00006D8B0000}"/>
    <cellStyle name="Normal 48 2 9 5" xfId="25246" xr:uid="{00000000-0005-0000-0000-00006E8B0000}"/>
    <cellStyle name="Normal 48 3" xfId="25247" xr:uid="{00000000-0005-0000-0000-00006F8B0000}"/>
    <cellStyle name="Normal 48 3 2" xfId="25248" xr:uid="{00000000-0005-0000-0000-0000708B0000}"/>
    <cellStyle name="Normal 48 3 2 2" xfId="25249" xr:uid="{00000000-0005-0000-0000-0000718B0000}"/>
    <cellStyle name="Normal 48 3 2 2 2" xfId="25250" xr:uid="{00000000-0005-0000-0000-0000728B0000}"/>
    <cellStyle name="Normal 48 3 2 2 2 2" xfId="56469" xr:uid="{00000000-0005-0000-0000-0000738B0000}"/>
    <cellStyle name="Normal 48 3 2 2 2 3" xfId="56470" xr:uid="{00000000-0005-0000-0000-0000748B0000}"/>
    <cellStyle name="Normal 48 3 2 2 3" xfId="25251" xr:uid="{00000000-0005-0000-0000-0000758B0000}"/>
    <cellStyle name="Normal 48 3 2 2 3 2" xfId="56471" xr:uid="{00000000-0005-0000-0000-0000768B0000}"/>
    <cellStyle name="Normal 48 3 2 2 4" xfId="25252" xr:uid="{00000000-0005-0000-0000-0000778B0000}"/>
    <cellStyle name="Normal 48 3 2 2 5" xfId="25253" xr:uid="{00000000-0005-0000-0000-0000788B0000}"/>
    <cellStyle name="Normal 48 3 2 2 6" xfId="25254" xr:uid="{00000000-0005-0000-0000-0000798B0000}"/>
    <cellStyle name="Normal 48 3 2 3" xfId="25255" xr:uid="{00000000-0005-0000-0000-00007A8B0000}"/>
    <cellStyle name="Normal 48 3 2 3 2" xfId="56472" xr:uid="{00000000-0005-0000-0000-00007B8B0000}"/>
    <cellStyle name="Normal 48 3 2 3 3" xfId="56473" xr:uid="{00000000-0005-0000-0000-00007C8B0000}"/>
    <cellStyle name="Normal 48 3 2 4" xfId="25256" xr:uid="{00000000-0005-0000-0000-00007D8B0000}"/>
    <cellStyle name="Normal 48 3 2 4 2" xfId="56474" xr:uid="{00000000-0005-0000-0000-00007E8B0000}"/>
    <cellStyle name="Normal 48 3 2 5" xfId="25257" xr:uid="{00000000-0005-0000-0000-00007F8B0000}"/>
    <cellStyle name="Normal 48 3 2 6" xfId="25258" xr:uid="{00000000-0005-0000-0000-0000808B0000}"/>
    <cellStyle name="Normal 48 3 2 7" xfId="25259" xr:uid="{00000000-0005-0000-0000-0000818B0000}"/>
    <cellStyle name="Normal 48 3 3" xfId="25260" xr:uid="{00000000-0005-0000-0000-0000828B0000}"/>
    <cellStyle name="Normal 48 3 3 2" xfId="25261" xr:uid="{00000000-0005-0000-0000-0000838B0000}"/>
    <cellStyle name="Normal 48 3 3 2 2" xfId="56475" xr:uid="{00000000-0005-0000-0000-0000848B0000}"/>
    <cellStyle name="Normal 48 3 3 2 3" xfId="56476" xr:uid="{00000000-0005-0000-0000-0000858B0000}"/>
    <cellStyle name="Normal 48 3 3 3" xfId="25262" xr:uid="{00000000-0005-0000-0000-0000868B0000}"/>
    <cellStyle name="Normal 48 3 3 3 2" xfId="56477" xr:uid="{00000000-0005-0000-0000-0000878B0000}"/>
    <cellStyle name="Normal 48 3 3 4" xfId="25263" xr:uid="{00000000-0005-0000-0000-0000888B0000}"/>
    <cellStyle name="Normal 48 3 3 5" xfId="25264" xr:uid="{00000000-0005-0000-0000-0000898B0000}"/>
    <cellStyle name="Normal 48 3 3 6" xfId="25265" xr:uid="{00000000-0005-0000-0000-00008A8B0000}"/>
    <cellStyle name="Normal 48 3 4" xfId="25266" xr:uid="{00000000-0005-0000-0000-00008B8B0000}"/>
    <cellStyle name="Normal 48 3 4 2" xfId="56478" xr:uid="{00000000-0005-0000-0000-00008C8B0000}"/>
    <cellStyle name="Normal 48 3 4 3" xfId="56479" xr:uid="{00000000-0005-0000-0000-00008D8B0000}"/>
    <cellStyle name="Normal 48 3 5" xfId="25267" xr:uid="{00000000-0005-0000-0000-00008E8B0000}"/>
    <cellStyle name="Normal 48 3 5 2" xfId="56480" xr:uid="{00000000-0005-0000-0000-00008F8B0000}"/>
    <cellStyle name="Normal 48 3 6" xfId="25268" xr:uid="{00000000-0005-0000-0000-0000908B0000}"/>
    <cellStyle name="Normal 48 3 7" xfId="25269" xr:uid="{00000000-0005-0000-0000-0000918B0000}"/>
    <cellStyle name="Normal 48 3 8" xfId="25270" xr:uid="{00000000-0005-0000-0000-0000928B0000}"/>
    <cellStyle name="Normal 48 3 9" xfId="25271" xr:uid="{00000000-0005-0000-0000-0000938B0000}"/>
    <cellStyle name="Normal 48 4" xfId="25272" xr:uid="{00000000-0005-0000-0000-0000948B0000}"/>
    <cellStyle name="Normal 48 4 2" xfId="25273" xr:uid="{00000000-0005-0000-0000-0000958B0000}"/>
    <cellStyle name="Normal 48 4 2 2" xfId="25274" xr:uid="{00000000-0005-0000-0000-0000968B0000}"/>
    <cellStyle name="Normal 48 4 2 2 2" xfId="25275" xr:uid="{00000000-0005-0000-0000-0000978B0000}"/>
    <cellStyle name="Normal 48 4 2 2 2 2" xfId="56481" xr:uid="{00000000-0005-0000-0000-0000988B0000}"/>
    <cellStyle name="Normal 48 4 2 2 2 3" xfId="56482" xr:uid="{00000000-0005-0000-0000-0000998B0000}"/>
    <cellStyle name="Normal 48 4 2 2 3" xfId="25276" xr:uid="{00000000-0005-0000-0000-00009A8B0000}"/>
    <cellStyle name="Normal 48 4 2 2 3 2" xfId="56483" xr:uid="{00000000-0005-0000-0000-00009B8B0000}"/>
    <cellStyle name="Normal 48 4 2 2 4" xfId="25277" xr:uid="{00000000-0005-0000-0000-00009C8B0000}"/>
    <cellStyle name="Normal 48 4 2 2 5" xfId="25278" xr:uid="{00000000-0005-0000-0000-00009D8B0000}"/>
    <cellStyle name="Normal 48 4 2 2 6" xfId="25279" xr:uid="{00000000-0005-0000-0000-00009E8B0000}"/>
    <cellStyle name="Normal 48 4 2 3" xfId="25280" xr:uid="{00000000-0005-0000-0000-00009F8B0000}"/>
    <cellStyle name="Normal 48 4 2 3 2" xfId="56484" xr:uid="{00000000-0005-0000-0000-0000A08B0000}"/>
    <cellStyle name="Normal 48 4 2 3 3" xfId="56485" xr:uid="{00000000-0005-0000-0000-0000A18B0000}"/>
    <cellStyle name="Normal 48 4 2 4" xfId="25281" xr:uid="{00000000-0005-0000-0000-0000A28B0000}"/>
    <cellStyle name="Normal 48 4 2 4 2" xfId="56486" xr:uid="{00000000-0005-0000-0000-0000A38B0000}"/>
    <cellStyle name="Normal 48 4 2 5" xfId="25282" xr:uid="{00000000-0005-0000-0000-0000A48B0000}"/>
    <cellStyle name="Normal 48 4 2 6" xfId="25283" xr:uid="{00000000-0005-0000-0000-0000A58B0000}"/>
    <cellStyle name="Normal 48 4 2 7" xfId="25284" xr:uid="{00000000-0005-0000-0000-0000A68B0000}"/>
    <cellStyle name="Normal 48 4 3" xfId="25285" xr:uid="{00000000-0005-0000-0000-0000A78B0000}"/>
    <cellStyle name="Normal 48 4 3 2" xfId="25286" xr:uid="{00000000-0005-0000-0000-0000A88B0000}"/>
    <cellStyle name="Normal 48 4 3 2 2" xfId="56487" xr:uid="{00000000-0005-0000-0000-0000A98B0000}"/>
    <cellStyle name="Normal 48 4 3 2 3" xfId="56488" xr:uid="{00000000-0005-0000-0000-0000AA8B0000}"/>
    <cellStyle name="Normal 48 4 3 3" xfId="25287" xr:uid="{00000000-0005-0000-0000-0000AB8B0000}"/>
    <cellStyle name="Normal 48 4 3 3 2" xfId="56489" xr:uid="{00000000-0005-0000-0000-0000AC8B0000}"/>
    <cellStyle name="Normal 48 4 3 4" xfId="25288" xr:uid="{00000000-0005-0000-0000-0000AD8B0000}"/>
    <cellStyle name="Normal 48 4 3 5" xfId="25289" xr:uid="{00000000-0005-0000-0000-0000AE8B0000}"/>
    <cellStyle name="Normal 48 4 3 6" xfId="25290" xr:uid="{00000000-0005-0000-0000-0000AF8B0000}"/>
    <cellStyle name="Normal 48 4 4" xfId="25291" xr:uid="{00000000-0005-0000-0000-0000B08B0000}"/>
    <cellStyle name="Normal 48 4 4 2" xfId="56490" xr:uid="{00000000-0005-0000-0000-0000B18B0000}"/>
    <cellStyle name="Normal 48 4 4 3" xfId="56491" xr:uid="{00000000-0005-0000-0000-0000B28B0000}"/>
    <cellStyle name="Normal 48 4 5" xfId="25292" xr:uid="{00000000-0005-0000-0000-0000B38B0000}"/>
    <cellStyle name="Normal 48 4 5 2" xfId="56492" xr:uid="{00000000-0005-0000-0000-0000B48B0000}"/>
    <cellStyle name="Normal 48 4 6" xfId="25293" xr:uid="{00000000-0005-0000-0000-0000B58B0000}"/>
    <cellStyle name="Normal 48 4 7" xfId="25294" xr:uid="{00000000-0005-0000-0000-0000B68B0000}"/>
    <cellStyle name="Normal 48 4 8" xfId="25295" xr:uid="{00000000-0005-0000-0000-0000B78B0000}"/>
    <cellStyle name="Normal 48 5" xfId="25296" xr:uid="{00000000-0005-0000-0000-0000B88B0000}"/>
    <cellStyle name="Normal 48 5 2" xfId="25297" xr:uid="{00000000-0005-0000-0000-0000B98B0000}"/>
    <cellStyle name="Normal 48 5 2 2" xfId="25298" xr:uid="{00000000-0005-0000-0000-0000BA8B0000}"/>
    <cellStyle name="Normal 48 5 2 2 2" xfId="56493" xr:uid="{00000000-0005-0000-0000-0000BB8B0000}"/>
    <cellStyle name="Normal 48 5 2 2 3" xfId="56494" xr:uid="{00000000-0005-0000-0000-0000BC8B0000}"/>
    <cellStyle name="Normal 48 5 2 3" xfId="25299" xr:uid="{00000000-0005-0000-0000-0000BD8B0000}"/>
    <cellStyle name="Normal 48 5 2 3 2" xfId="56495" xr:uid="{00000000-0005-0000-0000-0000BE8B0000}"/>
    <cellStyle name="Normal 48 5 2 4" xfId="25300" xr:uid="{00000000-0005-0000-0000-0000BF8B0000}"/>
    <cellStyle name="Normal 48 5 2 5" xfId="25301" xr:uid="{00000000-0005-0000-0000-0000C08B0000}"/>
    <cellStyle name="Normal 48 5 2 6" xfId="25302" xr:uid="{00000000-0005-0000-0000-0000C18B0000}"/>
    <cellStyle name="Normal 48 5 3" xfId="25303" xr:uid="{00000000-0005-0000-0000-0000C28B0000}"/>
    <cellStyle name="Normal 48 5 3 2" xfId="56496" xr:uid="{00000000-0005-0000-0000-0000C38B0000}"/>
    <cellStyle name="Normal 48 5 3 3" xfId="56497" xr:uid="{00000000-0005-0000-0000-0000C48B0000}"/>
    <cellStyle name="Normal 48 5 4" xfId="25304" xr:uid="{00000000-0005-0000-0000-0000C58B0000}"/>
    <cellStyle name="Normal 48 5 4 2" xfId="56498" xr:uid="{00000000-0005-0000-0000-0000C68B0000}"/>
    <cellStyle name="Normal 48 5 5" xfId="25305" xr:uid="{00000000-0005-0000-0000-0000C78B0000}"/>
    <cellStyle name="Normal 48 5 6" xfId="25306" xr:uid="{00000000-0005-0000-0000-0000C88B0000}"/>
    <cellStyle name="Normal 48 5 7" xfId="25307" xr:uid="{00000000-0005-0000-0000-0000C98B0000}"/>
    <cellStyle name="Normal 48 6" xfId="25308" xr:uid="{00000000-0005-0000-0000-0000CA8B0000}"/>
    <cellStyle name="Normal 48 6 2" xfId="25309" xr:uid="{00000000-0005-0000-0000-0000CB8B0000}"/>
    <cellStyle name="Normal 48 6 2 2" xfId="56499" xr:uid="{00000000-0005-0000-0000-0000CC8B0000}"/>
    <cellStyle name="Normal 48 6 2 3" xfId="56500" xr:uid="{00000000-0005-0000-0000-0000CD8B0000}"/>
    <cellStyle name="Normal 48 6 3" xfId="25310" xr:uid="{00000000-0005-0000-0000-0000CE8B0000}"/>
    <cellStyle name="Normal 48 6 3 2" xfId="56501" xr:uid="{00000000-0005-0000-0000-0000CF8B0000}"/>
    <cellStyle name="Normal 48 6 4" xfId="25311" xr:uid="{00000000-0005-0000-0000-0000D08B0000}"/>
    <cellStyle name="Normal 48 6 5" xfId="25312" xr:uid="{00000000-0005-0000-0000-0000D18B0000}"/>
    <cellStyle name="Normal 48 6 6" xfId="25313" xr:uid="{00000000-0005-0000-0000-0000D28B0000}"/>
    <cellStyle name="Normal 48 7" xfId="25314" xr:uid="{00000000-0005-0000-0000-0000D38B0000}"/>
    <cellStyle name="Normal 48 7 2" xfId="25315" xr:uid="{00000000-0005-0000-0000-0000D48B0000}"/>
    <cellStyle name="Normal 48 7 2 2" xfId="25316" xr:uid="{00000000-0005-0000-0000-0000D58B0000}"/>
    <cellStyle name="Normal 48 7 2 2 2" xfId="25317" xr:uid="{00000000-0005-0000-0000-0000D68B0000}"/>
    <cellStyle name="Normal 48 7 2 3" xfId="25318" xr:uid="{00000000-0005-0000-0000-0000D78B0000}"/>
    <cellStyle name="Normal 48 7 2 3 2" xfId="25319" xr:uid="{00000000-0005-0000-0000-0000D88B0000}"/>
    <cellStyle name="Normal 48 7 2 4" xfId="25320" xr:uid="{00000000-0005-0000-0000-0000D98B0000}"/>
    <cellStyle name="Normal 48 7 3" xfId="25321" xr:uid="{00000000-0005-0000-0000-0000DA8B0000}"/>
    <cellStyle name="Normal 48 7 3 2" xfId="25322" xr:uid="{00000000-0005-0000-0000-0000DB8B0000}"/>
    <cellStyle name="Normal 48 7 3 2 2" xfId="25323" xr:uid="{00000000-0005-0000-0000-0000DC8B0000}"/>
    <cellStyle name="Normal 48 7 3 3" xfId="25324" xr:uid="{00000000-0005-0000-0000-0000DD8B0000}"/>
    <cellStyle name="Normal 48 7 3 3 2" xfId="25325" xr:uid="{00000000-0005-0000-0000-0000DE8B0000}"/>
    <cellStyle name="Normal 48 7 3 4" xfId="25326" xr:uid="{00000000-0005-0000-0000-0000DF8B0000}"/>
    <cellStyle name="Normal 48 7 4" xfId="25327" xr:uid="{00000000-0005-0000-0000-0000E08B0000}"/>
    <cellStyle name="Normal 48 7 4 2" xfId="25328" xr:uid="{00000000-0005-0000-0000-0000E18B0000}"/>
    <cellStyle name="Normal 48 7 5" xfId="25329" xr:uid="{00000000-0005-0000-0000-0000E28B0000}"/>
    <cellStyle name="Normal 48 7 5 2" xfId="25330" xr:uid="{00000000-0005-0000-0000-0000E38B0000}"/>
    <cellStyle name="Normal 48 7 6" xfId="25331" xr:uid="{00000000-0005-0000-0000-0000E48B0000}"/>
    <cellStyle name="Normal 48 7 7" xfId="25332" xr:uid="{00000000-0005-0000-0000-0000E58B0000}"/>
    <cellStyle name="Normal 48 8" xfId="25333" xr:uid="{00000000-0005-0000-0000-0000E68B0000}"/>
    <cellStyle name="Normal 48 8 2" xfId="25334" xr:uid="{00000000-0005-0000-0000-0000E78B0000}"/>
    <cellStyle name="Normal 48 8 2 2" xfId="25335" xr:uid="{00000000-0005-0000-0000-0000E88B0000}"/>
    <cellStyle name="Normal 48 8 3" xfId="25336" xr:uid="{00000000-0005-0000-0000-0000E98B0000}"/>
    <cellStyle name="Normal 48 8 3 2" xfId="25337" xr:uid="{00000000-0005-0000-0000-0000EA8B0000}"/>
    <cellStyle name="Normal 48 8 4" xfId="25338" xr:uid="{00000000-0005-0000-0000-0000EB8B0000}"/>
    <cellStyle name="Normal 48 8 5" xfId="25339" xr:uid="{00000000-0005-0000-0000-0000EC8B0000}"/>
    <cellStyle name="Normal 48 9" xfId="25340" xr:uid="{00000000-0005-0000-0000-0000ED8B0000}"/>
    <cellStyle name="Normal 48 9 2" xfId="25341" xr:uid="{00000000-0005-0000-0000-0000EE8B0000}"/>
    <cellStyle name="Normal 48 9 2 2" xfId="25342" xr:uid="{00000000-0005-0000-0000-0000EF8B0000}"/>
    <cellStyle name="Normal 48 9 3" xfId="25343" xr:uid="{00000000-0005-0000-0000-0000F08B0000}"/>
    <cellStyle name="Normal 48 9 3 2" xfId="25344" xr:uid="{00000000-0005-0000-0000-0000F18B0000}"/>
    <cellStyle name="Normal 48 9 4" xfId="25345" xr:uid="{00000000-0005-0000-0000-0000F28B0000}"/>
    <cellStyle name="Normal 48 9 5" xfId="25346" xr:uid="{00000000-0005-0000-0000-0000F38B0000}"/>
    <cellStyle name="Normal 49" xfId="25347" xr:uid="{00000000-0005-0000-0000-0000F48B0000}"/>
    <cellStyle name="Normal 49 10" xfId="25348" xr:uid="{00000000-0005-0000-0000-0000F58B0000}"/>
    <cellStyle name="Normal 49 10 2" xfId="25349" xr:uid="{00000000-0005-0000-0000-0000F68B0000}"/>
    <cellStyle name="Normal 49 10 2 2" xfId="25350" xr:uid="{00000000-0005-0000-0000-0000F78B0000}"/>
    <cellStyle name="Normal 49 10 3" xfId="25351" xr:uid="{00000000-0005-0000-0000-0000F88B0000}"/>
    <cellStyle name="Normal 49 10 3 2" xfId="25352" xr:uid="{00000000-0005-0000-0000-0000F98B0000}"/>
    <cellStyle name="Normal 49 10 4" xfId="25353" xr:uid="{00000000-0005-0000-0000-0000FA8B0000}"/>
    <cellStyle name="Normal 49 10 5" xfId="25354" xr:uid="{00000000-0005-0000-0000-0000FB8B0000}"/>
    <cellStyle name="Normal 49 11" xfId="25355" xr:uid="{00000000-0005-0000-0000-0000FC8B0000}"/>
    <cellStyle name="Normal 49 11 2" xfId="25356" xr:uid="{00000000-0005-0000-0000-0000FD8B0000}"/>
    <cellStyle name="Normal 49 11 2 2" xfId="25357" xr:uid="{00000000-0005-0000-0000-0000FE8B0000}"/>
    <cellStyle name="Normal 49 11 3" xfId="25358" xr:uid="{00000000-0005-0000-0000-0000FF8B0000}"/>
    <cellStyle name="Normal 49 11 3 2" xfId="25359" xr:uid="{00000000-0005-0000-0000-0000008C0000}"/>
    <cellStyle name="Normal 49 11 4" xfId="25360" xr:uid="{00000000-0005-0000-0000-0000018C0000}"/>
    <cellStyle name="Normal 49 11 5" xfId="25361" xr:uid="{00000000-0005-0000-0000-0000028C0000}"/>
    <cellStyle name="Normal 49 12" xfId="25362" xr:uid="{00000000-0005-0000-0000-0000038C0000}"/>
    <cellStyle name="Normal 49 12 2" xfId="25363" xr:uid="{00000000-0005-0000-0000-0000048C0000}"/>
    <cellStyle name="Normal 49 12 2 2" xfId="25364" xr:uid="{00000000-0005-0000-0000-0000058C0000}"/>
    <cellStyle name="Normal 49 12 3" xfId="25365" xr:uid="{00000000-0005-0000-0000-0000068C0000}"/>
    <cellStyle name="Normal 49 12 4" xfId="25366" xr:uid="{00000000-0005-0000-0000-0000078C0000}"/>
    <cellStyle name="Normal 49 13" xfId="25367" xr:uid="{00000000-0005-0000-0000-0000088C0000}"/>
    <cellStyle name="Normal 49 13 2" xfId="25368" xr:uid="{00000000-0005-0000-0000-0000098C0000}"/>
    <cellStyle name="Normal 49 13 3" xfId="25369" xr:uid="{00000000-0005-0000-0000-00000A8C0000}"/>
    <cellStyle name="Normal 49 14" xfId="25370" xr:uid="{00000000-0005-0000-0000-00000B8C0000}"/>
    <cellStyle name="Normal 49 14 2" xfId="25371" xr:uid="{00000000-0005-0000-0000-00000C8C0000}"/>
    <cellStyle name="Normal 49 14 3" xfId="25372" xr:uid="{00000000-0005-0000-0000-00000D8C0000}"/>
    <cellStyle name="Normal 49 15" xfId="25373" xr:uid="{00000000-0005-0000-0000-00000E8C0000}"/>
    <cellStyle name="Normal 49 16" xfId="25374" xr:uid="{00000000-0005-0000-0000-00000F8C0000}"/>
    <cellStyle name="Normal 49 16 2" xfId="56502" xr:uid="{00000000-0005-0000-0000-0000108C0000}"/>
    <cellStyle name="Normal 49 17" xfId="25375" xr:uid="{00000000-0005-0000-0000-0000118C0000}"/>
    <cellStyle name="Normal 49 2" xfId="25376" xr:uid="{00000000-0005-0000-0000-0000128C0000}"/>
    <cellStyle name="Normal 49 2 10" xfId="25377" xr:uid="{00000000-0005-0000-0000-0000138C0000}"/>
    <cellStyle name="Normal 49 2 10 2" xfId="25378" xr:uid="{00000000-0005-0000-0000-0000148C0000}"/>
    <cellStyle name="Normal 49 2 10 2 2" xfId="25379" xr:uid="{00000000-0005-0000-0000-0000158C0000}"/>
    <cellStyle name="Normal 49 2 10 3" xfId="25380" xr:uid="{00000000-0005-0000-0000-0000168C0000}"/>
    <cellStyle name="Normal 49 2 11" xfId="25381" xr:uid="{00000000-0005-0000-0000-0000178C0000}"/>
    <cellStyle name="Normal 49 2 11 2" xfId="25382" xr:uid="{00000000-0005-0000-0000-0000188C0000}"/>
    <cellStyle name="Normal 49 2 12" xfId="25383" xr:uid="{00000000-0005-0000-0000-0000198C0000}"/>
    <cellStyle name="Normal 49 2 12 2" xfId="25384" xr:uid="{00000000-0005-0000-0000-00001A8C0000}"/>
    <cellStyle name="Normal 49 2 13" xfId="25385" xr:uid="{00000000-0005-0000-0000-00001B8C0000}"/>
    <cellStyle name="Normal 49 2 14" xfId="25386" xr:uid="{00000000-0005-0000-0000-00001C8C0000}"/>
    <cellStyle name="Normal 49 2 14 2" xfId="56503" xr:uid="{00000000-0005-0000-0000-00001D8C0000}"/>
    <cellStyle name="Normal 49 2 15" xfId="25387" xr:uid="{00000000-0005-0000-0000-00001E8C0000}"/>
    <cellStyle name="Normal 49 2 2" xfId="25388" xr:uid="{00000000-0005-0000-0000-00001F8C0000}"/>
    <cellStyle name="Normal 49 2 2 2" xfId="25389" xr:uid="{00000000-0005-0000-0000-0000208C0000}"/>
    <cellStyle name="Normal 49 2 2 2 2" xfId="25390" xr:uid="{00000000-0005-0000-0000-0000218C0000}"/>
    <cellStyle name="Normal 49 2 2 2 2 2" xfId="56504" xr:uid="{00000000-0005-0000-0000-0000228C0000}"/>
    <cellStyle name="Normal 49 2 2 2 2 3" xfId="56505" xr:uid="{00000000-0005-0000-0000-0000238C0000}"/>
    <cellStyle name="Normal 49 2 2 2 3" xfId="25391" xr:uid="{00000000-0005-0000-0000-0000248C0000}"/>
    <cellStyle name="Normal 49 2 2 2 3 2" xfId="56506" xr:uid="{00000000-0005-0000-0000-0000258C0000}"/>
    <cellStyle name="Normal 49 2 2 2 4" xfId="25392" xr:uid="{00000000-0005-0000-0000-0000268C0000}"/>
    <cellStyle name="Normal 49 2 2 2 5" xfId="25393" xr:uid="{00000000-0005-0000-0000-0000278C0000}"/>
    <cellStyle name="Normal 49 2 2 2 6" xfId="25394" xr:uid="{00000000-0005-0000-0000-0000288C0000}"/>
    <cellStyle name="Normal 49 2 2 3" xfId="25395" xr:uid="{00000000-0005-0000-0000-0000298C0000}"/>
    <cellStyle name="Normal 49 2 2 3 2" xfId="56507" xr:uid="{00000000-0005-0000-0000-00002A8C0000}"/>
    <cellStyle name="Normal 49 2 2 3 3" xfId="56508" xr:uid="{00000000-0005-0000-0000-00002B8C0000}"/>
    <cellStyle name="Normal 49 2 2 4" xfId="25396" xr:uid="{00000000-0005-0000-0000-00002C8C0000}"/>
    <cellStyle name="Normal 49 2 2 4 2" xfId="56509" xr:uid="{00000000-0005-0000-0000-00002D8C0000}"/>
    <cellStyle name="Normal 49 2 2 5" xfId="25397" xr:uid="{00000000-0005-0000-0000-00002E8C0000}"/>
    <cellStyle name="Normal 49 2 2 6" xfId="25398" xr:uid="{00000000-0005-0000-0000-00002F8C0000}"/>
    <cellStyle name="Normal 49 2 2 7" xfId="25399" xr:uid="{00000000-0005-0000-0000-0000308C0000}"/>
    <cellStyle name="Normal 49 2 3" xfId="25400" xr:uid="{00000000-0005-0000-0000-0000318C0000}"/>
    <cellStyle name="Normal 49 2 3 2" xfId="25401" xr:uid="{00000000-0005-0000-0000-0000328C0000}"/>
    <cellStyle name="Normal 49 2 3 2 2" xfId="56510" xr:uid="{00000000-0005-0000-0000-0000338C0000}"/>
    <cellStyle name="Normal 49 2 3 2 3" xfId="56511" xr:uid="{00000000-0005-0000-0000-0000348C0000}"/>
    <cellStyle name="Normal 49 2 3 3" xfId="25402" xr:uid="{00000000-0005-0000-0000-0000358C0000}"/>
    <cellStyle name="Normal 49 2 3 3 2" xfId="56512" xr:uid="{00000000-0005-0000-0000-0000368C0000}"/>
    <cellStyle name="Normal 49 2 3 4" xfId="25403" xr:uid="{00000000-0005-0000-0000-0000378C0000}"/>
    <cellStyle name="Normal 49 2 3 5" xfId="25404" xr:uid="{00000000-0005-0000-0000-0000388C0000}"/>
    <cellStyle name="Normal 49 2 3 6" xfId="25405" xr:uid="{00000000-0005-0000-0000-0000398C0000}"/>
    <cellStyle name="Normal 49 2 4" xfId="25406" xr:uid="{00000000-0005-0000-0000-00003A8C0000}"/>
    <cellStyle name="Normal 49 2 4 2" xfId="25407" xr:uid="{00000000-0005-0000-0000-00003B8C0000}"/>
    <cellStyle name="Normal 49 2 4 2 2" xfId="25408" xr:uid="{00000000-0005-0000-0000-00003C8C0000}"/>
    <cellStyle name="Normal 49 2 4 2 2 2" xfId="25409" xr:uid="{00000000-0005-0000-0000-00003D8C0000}"/>
    <cellStyle name="Normal 49 2 4 2 3" xfId="25410" xr:uid="{00000000-0005-0000-0000-00003E8C0000}"/>
    <cellStyle name="Normal 49 2 4 2 3 2" xfId="25411" xr:uid="{00000000-0005-0000-0000-00003F8C0000}"/>
    <cellStyle name="Normal 49 2 4 2 4" xfId="25412" xr:uid="{00000000-0005-0000-0000-0000408C0000}"/>
    <cellStyle name="Normal 49 2 4 3" xfId="25413" xr:uid="{00000000-0005-0000-0000-0000418C0000}"/>
    <cellStyle name="Normal 49 2 4 3 2" xfId="25414" xr:uid="{00000000-0005-0000-0000-0000428C0000}"/>
    <cellStyle name="Normal 49 2 4 3 2 2" xfId="25415" xr:uid="{00000000-0005-0000-0000-0000438C0000}"/>
    <cellStyle name="Normal 49 2 4 3 3" xfId="25416" xr:uid="{00000000-0005-0000-0000-0000448C0000}"/>
    <cellStyle name="Normal 49 2 4 3 3 2" xfId="25417" xr:uid="{00000000-0005-0000-0000-0000458C0000}"/>
    <cellStyle name="Normal 49 2 4 3 4" xfId="25418" xr:uid="{00000000-0005-0000-0000-0000468C0000}"/>
    <cellStyle name="Normal 49 2 4 4" xfId="25419" xr:uid="{00000000-0005-0000-0000-0000478C0000}"/>
    <cellStyle name="Normal 49 2 4 4 2" xfId="25420" xr:uid="{00000000-0005-0000-0000-0000488C0000}"/>
    <cellStyle name="Normal 49 2 4 5" xfId="25421" xr:uid="{00000000-0005-0000-0000-0000498C0000}"/>
    <cellStyle name="Normal 49 2 4 5 2" xfId="25422" xr:uid="{00000000-0005-0000-0000-00004A8C0000}"/>
    <cellStyle name="Normal 49 2 4 6" xfId="25423" xr:uid="{00000000-0005-0000-0000-00004B8C0000}"/>
    <cellStyle name="Normal 49 2 4 7" xfId="25424" xr:uid="{00000000-0005-0000-0000-00004C8C0000}"/>
    <cellStyle name="Normal 49 2 5" xfId="25425" xr:uid="{00000000-0005-0000-0000-00004D8C0000}"/>
    <cellStyle name="Normal 49 2 5 2" xfId="25426" xr:uid="{00000000-0005-0000-0000-00004E8C0000}"/>
    <cellStyle name="Normal 49 2 5 2 2" xfId="25427" xr:uid="{00000000-0005-0000-0000-00004F8C0000}"/>
    <cellStyle name="Normal 49 2 5 3" xfId="25428" xr:uid="{00000000-0005-0000-0000-0000508C0000}"/>
    <cellStyle name="Normal 49 2 5 3 2" xfId="25429" xr:uid="{00000000-0005-0000-0000-0000518C0000}"/>
    <cellStyle name="Normal 49 2 5 4" xfId="25430" xr:uid="{00000000-0005-0000-0000-0000528C0000}"/>
    <cellStyle name="Normal 49 2 5 5" xfId="25431" xr:uid="{00000000-0005-0000-0000-0000538C0000}"/>
    <cellStyle name="Normal 49 2 6" xfId="25432" xr:uid="{00000000-0005-0000-0000-0000548C0000}"/>
    <cellStyle name="Normal 49 2 6 2" xfId="25433" xr:uid="{00000000-0005-0000-0000-0000558C0000}"/>
    <cellStyle name="Normal 49 2 6 2 2" xfId="25434" xr:uid="{00000000-0005-0000-0000-0000568C0000}"/>
    <cellStyle name="Normal 49 2 6 3" xfId="25435" xr:uid="{00000000-0005-0000-0000-0000578C0000}"/>
    <cellStyle name="Normal 49 2 6 3 2" xfId="25436" xr:uid="{00000000-0005-0000-0000-0000588C0000}"/>
    <cellStyle name="Normal 49 2 6 4" xfId="25437" xr:uid="{00000000-0005-0000-0000-0000598C0000}"/>
    <cellStyle name="Normal 49 2 6 5" xfId="25438" xr:uid="{00000000-0005-0000-0000-00005A8C0000}"/>
    <cellStyle name="Normal 49 2 7" xfId="25439" xr:uid="{00000000-0005-0000-0000-00005B8C0000}"/>
    <cellStyle name="Normal 49 2 7 2" xfId="25440" xr:uid="{00000000-0005-0000-0000-00005C8C0000}"/>
    <cellStyle name="Normal 49 2 7 2 2" xfId="25441" xr:uid="{00000000-0005-0000-0000-00005D8C0000}"/>
    <cellStyle name="Normal 49 2 7 3" xfId="25442" xr:uid="{00000000-0005-0000-0000-00005E8C0000}"/>
    <cellStyle name="Normal 49 2 7 3 2" xfId="25443" xr:uid="{00000000-0005-0000-0000-00005F8C0000}"/>
    <cellStyle name="Normal 49 2 7 4" xfId="25444" xr:uid="{00000000-0005-0000-0000-0000608C0000}"/>
    <cellStyle name="Normal 49 2 7 5" xfId="25445" xr:uid="{00000000-0005-0000-0000-0000618C0000}"/>
    <cellStyle name="Normal 49 2 8" xfId="25446" xr:uid="{00000000-0005-0000-0000-0000628C0000}"/>
    <cellStyle name="Normal 49 2 8 2" xfId="25447" xr:uid="{00000000-0005-0000-0000-0000638C0000}"/>
    <cellStyle name="Normal 49 2 8 2 2" xfId="25448" xr:uid="{00000000-0005-0000-0000-0000648C0000}"/>
    <cellStyle name="Normal 49 2 8 3" xfId="25449" xr:uid="{00000000-0005-0000-0000-0000658C0000}"/>
    <cellStyle name="Normal 49 2 8 3 2" xfId="25450" xr:uid="{00000000-0005-0000-0000-0000668C0000}"/>
    <cellStyle name="Normal 49 2 8 4" xfId="25451" xr:uid="{00000000-0005-0000-0000-0000678C0000}"/>
    <cellStyle name="Normal 49 2 8 5" xfId="25452" xr:uid="{00000000-0005-0000-0000-0000688C0000}"/>
    <cellStyle name="Normal 49 2 9" xfId="25453" xr:uid="{00000000-0005-0000-0000-0000698C0000}"/>
    <cellStyle name="Normal 49 2 9 2" xfId="25454" xr:uid="{00000000-0005-0000-0000-00006A8C0000}"/>
    <cellStyle name="Normal 49 2 9 2 2" xfId="25455" xr:uid="{00000000-0005-0000-0000-00006B8C0000}"/>
    <cellStyle name="Normal 49 2 9 3" xfId="25456" xr:uid="{00000000-0005-0000-0000-00006C8C0000}"/>
    <cellStyle name="Normal 49 2 9 3 2" xfId="25457" xr:uid="{00000000-0005-0000-0000-00006D8C0000}"/>
    <cellStyle name="Normal 49 2 9 4" xfId="25458" xr:uid="{00000000-0005-0000-0000-00006E8C0000}"/>
    <cellStyle name="Normal 49 2 9 5" xfId="25459" xr:uid="{00000000-0005-0000-0000-00006F8C0000}"/>
    <cellStyle name="Normal 49 3" xfId="25460" xr:uid="{00000000-0005-0000-0000-0000708C0000}"/>
    <cellStyle name="Normal 49 3 2" xfId="25461" xr:uid="{00000000-0005-0000-0000-0000718C0000}"/>
    <cellStyle name="Normal 49 3 2 2" xfId="25462" xr:uid="{00000000-0005-0000-0000-0000728C0000}"/>
    <cellStyle name="Normal 49 3 2 2 2" xfId="25463" xr:uid="{00000000-0005-0000-0000-0000738C0000}"/>
    <cellStyle name="Normal 49 3 2 2 2 2" xfId="56513" xr:uid="{00000000-0005-0000-0000-0000748C0000}"/>
    <cellStyle name="Normal 49 3 2 2 2 3" xfId="56514" xr:uid="{00000000-0005-0000-0000-0000758C0000}"/>
    <cellStyle name="Normal 49 3 2 2 3" xfId="25464" xr:uid="{00000000-0005-0000-0000-0000768C0000}"/>
    <cellStyle name="Normal 49 3 2 2 3 2" xfId="56515" xr:uid="{00000000-0005-0000-0000-0000778C0000}"/>
    <cellStyle name="Normal 49 3 2 2 4" xfId="25465" xr:uid="{00000000-0005-0000-0000-0000788C0000}"/>
    <cellStyle name="Normal 49 3 2 2 5" xfId="25466" xr:uid="{00000000-0005-0000-0000-0000798C0000}"/>
    <cellStyle name="Normal 49 3 2 2 6" xfId="25467" xr:uid="{00000000-0005-0000-0000-00007A8C0000}"/>
    <cellStyle name="Normal 49 3 2 3" xfId="25468" xr:uid="{00000000-0005-0000-0000-00007B8C0000}"/>
    <cellStyle name="Normal 49 3 2 3 2" xfId="56516" xr:uid="{00000000-0005-0000-0000-00007C8C0000}"/>
    <cellStyle name="Normal 49 3 2 3 3" xfId="56517" xr:uid="{00000000-0005-0000-0000-00007D8C0000}"/>
    <cellStyle name="Normal 49 3 2 4" xfId="25469" xr:uid="{00000000-0005-0000-0000-00007E8C0000}"/>
    <cellStyle name="Normal 49 3 2 4 2" xfId="56518" xr:uid="{00000000-0005-0000-0000-00007F8C0000}"/>
    <cellStyle name="Normal 49 3 2 5" xfId="25470" xr:uid="{00000000-0005-0000-0000-0000808C0000}"/>
    <cellStyle name="Normal 49 3 2 6" xfId="25471" xr:uid="{00000000-0005-0000-0000-0000818C0000}"/>
    <cellStyle name="Normal 49 3 2 7" xfId="25472" xr:uid="{00000000-0005-0000-0000-0000828C0000}"/>
    <cellStyle name="Normal 49 3 3" xfId="25473" xr:uid="{00000000-0005-0000-0000-0000838C0000}"/>
    <cellStyle name="Normal 49 3 3 2" xfId="25474" xr:uid="{00000000-0005-0000-0000-0000848C0000}"/>
    <cellStyle name="Normal 49 3 3 2 2" xfId="56519" xr:uid="{00000000-0005-0000-0000-0000858C0000}"/>
    <cellStyle name="Normal 49 3 3 2 3" xfId="56520" xr:uid="{00000000-0005-0000-0000-0000868C0000}"/>
    <cellStyle name="Normal 49 3 3 3" xfId="25475" xr:uid="{00000000-0005-0000-0000-0000878C0000}"/>
    <cellStyle name="Normal 49 3 3 3 2" xfId="56521" xr:uid="{00000000-0005-0000-0000-0000888C0000}"/>
    <cellStyle name="Normal 49 3 3 4" xfId="25476" xr:uid="{00000000-0005-0000-0000-0000898C0000}"/>
    <cellStyle name="Normal 49 3 3 5" xfId="25477" xr:uid="{00000000-0005-0000-0000-00008A8C0000}"/>
    <cellStyle name="Normal 49 3 3 6" xfId="25478" xr:uid="{00000000-0005-0000-0000-00008B8C0000}"/>
    <cellStyle name="Normal 49 3 4" xfId="25479" xr:uid="{00000000-0005-0000-0000-00008C8C0000}"/>
    <cellStyle name="Normal 49 3 4 2" xfId="56522" xr:uid="{00000000-0005-0000-0000-00008D8C0000}"/>
    <cellStyle name="Normal 49 3 4 3" xfId="56523" xr:uid="{00000000-0005-0000-0000-00008E8C0000}"/>
    <cellStyle name="Normal 49 3 5" xfId="25480" xr:uid="{00000000-0005-0000-0000-00008F8C0000}"/>
    <cellStyle name="Normal 49 3 5 2" xfId="56524" xr:uid="{00000000-0005-0000-0000-0000908C0000}"/>
    <cellStyle name="Normal 49 3 6" xfId="25481" xr:uid="{00000000-0005-0000-0000-0000918C0000}"/>
    <cellStyle name="Normal 49 3 7" xfId="25482" xr:uid="{00000000-0005-0000-0000-0000928C0000}"/>
    <cellStyle name="Normal 49 3 8" xfId="25483" xr:uid="{00000000-0005-0000-0000-0000938C0000}"/>
    <cellStyle name="Normal 49 4" xfId="25484" xr:uid="{00000000-0005-0000-0000-0000948C0000}"/>
    <cellStyle name="Normal 49 4 2" xfId="25485" xr:uid="{00000000-0005-0000-0000-0000958C0000}"/>
    <cellStyle name="Normal 49 4 2 2" xfId="25486" xr:uid="{00000000-0005-0000-0000-0000968C0000}"/>
    <cellStyle name="Normal 49 4 2 2 2" xfId="56525" xr:uid="{00000000-0005-0000-0000-0000978C0000}"/>
    <cellStyle name="Normal 49 4 2 2 3" xfId="56526" xr:uid="{00000000-0005-0000-0000-0000988C0000}"/>
    <cellStyle name="Normal 49 4 2 3" xfId="25487" xr:uid="{00000000-0005-0000-0000-0000998C0000}"/>
    <cellStyle name="Normal 49 4 2 3 2" xfId="56527" xr:uid="{00000000-0005-0000-0000-00009A8C0000}"/>
    <cellStyle name="Normal 49 4 2 4" xfId="25488" xr:uid="{00000000-0005-0000-0000-00009B8C0000}"/>
    <cellStyle name="Normal 49 4 2 5" xfId="25489" xr:uid="{00000000-0005-0000-0000-00009C8C0000}"/>
    <cellStyle name="Normal 49 4 2 6" xfId="25490" xr:uid="{00000000-0005-0000-0000-00009D8C0000}"/>
    <cellStyle name="Normal 49 4 3" xfId="25491" xr:uid="{00000000-0005-0000-0000-00009E8C0000}"/>
    <cellStyle name="Normal 49 4 3 2" xfId="56528" xr:uid="{00000000-0005-0000-0000-00009F8C0000}"/>
    <cellStyle name="Normal 49 4 3 3" xfId="56529" xr:uid="{00000000-0005-0000-0000-0000A08C0000}"/>
    <cellStyle name="Normal 49 4 4" xfId="25492" xr:uid="{00000000-0005-0000-0000-0000A18C0000}"/>
    <cellStyle name="Normal 49 4 4 2" xfId="56530" xr:uid="{00000000-0005-0000-0000-0000A28C0000}"/>
    <cellStyle name="Normal 49 4 5" xfId="25493" xr:uid="{00000000-0005-0000-0000-0000A38C0000}"/>
    <cellStyle name="Normal 49 4 6" xfId="25494" xr:uid="{00000000-0005-0000-0000-0000A48C0000}"/>
    <cellStyle name="Normal 49 4 7" xfId="25495" xr:uid="{00000000-0005-0000-0000-0000A58C0000}"/>
    <cellStyle name="Normal 49 5" xfId="25496" xr:uid="{00000000-0005-0000-0000-0000A68C0000}"/>
    <cellStyle name="Normal 49 5 2" xfId="25497" xr:uid="{00000000-0005-0000-0000-0000A78C0000}"/>
    <cellStyle name="Normal 49 5 2 2" xfId="56531" xr:uid="{00000000-0005-0000-0000-0000A88C0000}"/>
    <cellStyle name="Normal 49 5 2 3" xfId="56532" xr:uid="{00000000-0005-0000-0000-0000A98C0000}"/>
    <cellStyle name="Normal 49 5 3" xfId="25498" xr:uid="{00000000-0005-0000-0000-0000AA8C0000}"/>
    <cellStyle name="Normal 49 5 3 2" xfId="56533" xr:uid="{00000000-0005-0000-0000-0000AB8C0000}"/>
    <cellStyle name="Normal 49 5 4" xfId="25499" xr:uid="{00000000-0005-0000-0000-0000AC8C0000}"/>
    <cellStyle name="Normal 49 5 5" xfId="25500" xr:uid="{00000000-0005-0000-0000-0000AD8C0000}"/>
    <cellStyle name="Normal 49 5 6" xfId="25501" xr:uid="{00000000-0005-0000-0000-0000AE8C0000}"/>
    <cellStyle name="Normal 49 6" xfId="25502" xr:uid="{00000000-0005-0000-0000-0000AF8C0000}"/>
    <cellStyle name="Normal 49 6 2" xfId="25503" xr:uid="{00000000-0005-0000-0000-0000B08C0000}"/>
    <cellStyle name="Normal 49 6 2 2" xfId="25504" xr:uid="{00000000-0005-0000-0000-0000B18C0000}"/>
    <cellStyle name="Normal 49 6 2 2 2" xfId="25505" xr:uid="{00000000-0005-0000-0000-0000B28C0000}"/>
    <cellStyle name="Normal 49 6 2 3" xfId="25506" xr:uid="{00000000-0005-0000-0000-0000B38C0000}"/>
    <cellStyle name="Normal 49 6 2 3 2" xfId="25507" xr:uid="{00000000-0005-0000-0000-0000B48C0000}"/>
    <cellStyle name="Normal 49 6 2 4" xfId="25508" xr:uid="{00000000-0005-0000-0000-0000B58C0000}"/>
    <cellStyle name="Normal 49 6 3" xfId="25509" xr:uid="{00000000-0005-0000-0000-0000B68C0000}"/>
    <cellStyle name="Normal 49 6 3 2" xfId="25510" xr:uid="{00000000-0005-0000-0000-0000B78C0000}"/>
    <cellStyle name="Normal 49 6 3 2 2" xfId="25511" xr:uid="{00000000-0005-0000-0000-0000B88C0000}"/>
    <cellStyle name="Normal 49 6 3 3" xfId="25512" xr:uid="{00000000-0005-0000-0000-0000B98C0000}"/>
    <cellStyle name="Normal 49 6 3 3 2" xfId="25513" xr:uid="{00000000-0005-0000-0000-0000BA8C0000}"/>
    <cellStyle name="Normal 49 6 3 4" xfId="25514" xr:uid="{00000000-0005-0000-0000-0000BB8C0000}"/>
    <cellStyle name="Normal 49 6 4" xfId="25515" xr:uid="{00000000-0005-0000-0000-0000BC8C0000}"/>
    <cellStyle name="Normal 49 6 4 2" xfId="25516" xr:uid="{00000000-0005-0000-0000-0000BD8C0000}"/>
    <cellStyle name="Normal 49 6 5" xfId="25517" xr:uid="{00000000-0005-0000-0000-0000BE8C0000}"/>
    <cellStyle name="Normal 49 6 5 2" xfId="25518" xr:uid="{00000000-0005-0000-0000-0000BF8C0000}"/>
    <cellStyle name="Normal 49 6 6" xfId="25519" xr:uid="{00000000-0005-0000-0000-0000C08C0000}"/>
    <cellStyle name="Normal 49 6 7" xfId="25520" xr:uid="{00000000-0005-0000-0000-0000C18C0000}"/>
    <cellStyle name="Normal 49 7" xfId="25521" xr:uid="{00000000-0005-0000-0000-0000C28C0000}"/>
    <cellStyle name="Normal 49 7 2" xfId="25522" xr:uid="{00000000-0005-0000-0000-0000C38C0000}"/>
    <cellStyle name="Normal 49 7 2 2" xfId="25523" xr:uid="{00000000-0005-0000-0000-0000C48C0000}"/>
    <cellStyle name="Normal 49 7 3" xfId="25524" xr:uid="{00000000-0005-0000-0000-0000C58C0000}"/>
    <cellStyle name="Normal 49 7 3 2" xfId="25525" xr:uid="{00000000-0005-0000-0000-0000C68C0000}"/>
    <cellStyle name="Normal 49 7 4" xfId="25526" xr:uid="{00000000-0005-0000-0000-0000C78C0000}"/>
    <cellStyle name="Normal 49 7 5" xfId="25527" xr:uid="{00000000-0005-0000-0000-0000C88C0000}"/>
    <cellStyle name="Normal 49 8" xfId="25528" xr:uid="{00000000-0005-0000-0000-0000C98C0000}"/>
    <cellStyle name="Normal 49 8 2" xfId="25529" xr:uid="{00000000-0005-0000-0000-0000CA8C0000}"/>
    <cellStyle name="Normal 49 8 2 2" xfId="25530" xr:uid="{00000000-0005-0000-0000-0000CB8C0000}"/>
    <cellStyle name="Normal 49 8 3" xfId="25531" xr:uid="{00000000-0005-0000-0000-0000CC8C0000}"/>
    <cellStyle name="Normal 49 8 3 2" xfId="25532" xr:uid="{00000000-0005-0000-0000-0000CD8C0000}"/>
    <cellStyle name="Normal 49 8 4" xfId="25533" xr:uid="{00000000-0005-0000-0000-0000CE8C0000}"/>
    <cellStyle name="Normal 49 8 5" xfId="25534" xr:uid="{00000000-0005-0000-0000-0000CF8C0000}"/>
    <cellStyle name="Normal 49 9" xfId="25535" xr:uid="{00000000-0005-0000-0000-0000D08C0000}"/>
    <cellStyle name="Normal 49 9 2" xfId="25536" xr:uid="{00000000-0005-0000-0000-0000D18C0000}"/>
    <cellStyle name="Normal 49 9 2 2" xfId="25537" xr:uid="{00000000-0005-0000-0000-0000D28C0000}"/>
    <cellStyle name="Normal 49 9 3" xfId="25538" xr:uid="{00000000-0005-0000-0000-0000D38C0000}"/>
    <cellStyle name="Normal 49 9 3 2" xfId="25539" xr:uid="{00000000-0005-0000-0000-0000D48C0000}"/>
    <cellStyle name="Normal 49 9 4" xfId="25540" xr:uid="{00000000-0005-0000-0000-0000D58C0000}"/>
    <cellStyle name="Normal 49 9 5" xfId="25541" xr:uid="{00000000-0005-0000-0000-0000D68C0000}"/>
    <cellStyle name="Normal 5" xfId="25542" xr:uid="{00000000-0005-0000-0000-0000D78C0000}"/>
    <cellStyle name="Normal 5 10" xfId="25543" xr:uid="{00000000-0005-0000-0000-0000D88C0000}"/>
    <cellStyle name="Normal 5 11" xfId="25544" xr:uid="{00000000-0005-0000-0000-0000D98C0000}"/>
    <cellStyle name="Normal 5 12" xfId="25545" xr:uid="{00000000-0005-0000-0000-0000DA8C0000}"/>
    <cellStyle name="Normal 5 2" xfId="25546" xr:uid="{00000000-0005-0000-0000-0000DB8C0000}"/>
    <cellStyle name="Normal 5 2 10" xfId="25547" xr:uid="{00000000-0005-0000-0000-0000DC8C0000}"/>
    <cellStyle name="Normal 5 2 10 2" xfId="25548" xr:uid="{00000000-0005-0000-0000-0000DD8C0000}"/>
    <cellStyle name="Normal 5 2 10 2 2" xfId="25549" xr:uid="{00000000-0005-0000-0000-0000DE8C0000}"/>
    <cellStyle name="Normal 5 2 10 2 2 2" xfId="25550" xr:uid="{00000000-0005-0000-0000-0000DF8C0000}"/>
    <cellStyle name="Normal 5 2 10 2 2 2 2" xfId="56534" xr:uid="{00000000-0005-0000-0000-0000E08C0000}"/>
    <cellStyle name="Normal 5 2 10 2 2 2 3" xfId="56535" xr:uid="{00000000-0005-0000-0000-0000E18C0000}"/>
    <cellStyle name="Normal 5 2 10 2 2 3" xfId="25551" xr:uid="{00000000-0005-0000-0000-0000E28C0000}"/>
    <cellStyle name="Normal 5 2 10 2 2 3 2" xfId="56536" xr:uid="{00000000-0005-0000-0000-0000E38C0000}"/>
    <cellStyle name="Normal 5 2 10 2 2 4" xfId="25552" xr:uid="{00000000-0005-0000-0000-0000E48C0000}"/>
    <cellStyle name="Normal 5 2 10 2 2 5" xfId="25553" xr:uid="{00000000-0005-0000-0000-0000E58C0000}"/>
    <cellStyle name="Normal 5 2 10 2 2 6" xfId="25554" xr:uid="{00000000-0005-0000-0000-0000E68C0000}"/>
    <cellStyle name="Normal 5 2 10 2 3" xfId="25555" xr:uid="{00000000-0005-0000-0000-0000E78C0000}"/>
    <cellStyle name="Normal 5 2 10 2 3 2" xfId="56537" xr:uid="{00000000-0005-0000-0000-0000E88C0000}"/>
    <cellStyle name="Normal 5 2 10 2 3 3" xfId="56538" xr:uid="{00000000-0005-0000-0000-0000E98C0000}"/>
    <cellStyle name="Normal 5 2 10 2 4" xfId="25556" xr:uid="{00000000-0005-0000-0000-0000EA8C0000}"/>
    <cellStyle name="Normal 5 2 10 2 4 2" xfId="56539" xr:uid="{00000000-0005-0000-0000-0000EB8C0000}"/>
    <cellStyle name="Normal 5 2 10 2 5" xfId="25557" xr:uid="{00000000-0005-0000-0000-0000EC8C0000}"/>
    <cellStyle name="Normal 5 2 10 2 6" xfId="25558" xr:uid="{00000000-0005-0000-0000-0000ED8C0000}"/>
    <cellStyle name="Normal 5 2 10 2 7" xfId="25559" xr:uid="{00000000-0005-0000-0000-0000EE8C0000}"/>
    <cellStyle name="Normal 5 2 10 3" xfId="25560" xr:uid="{00000000-0005-0000-0000-0000EF8C0000}"/>
    <cellStyle name="Normal 5 2 10 3 2" xfId="25561" xr:uid="{00000000-0005-0000-0000-0000F08C0000}"/>
    <cellStyle name="Normal 5 2 10 3 2 2" xfId="56540" xr:uid="{00000000-0005-0000-0000-0000F18C0000}"/>
    <cellStyle name="Normal 5 2 10 3 2 3" xfId="56541" xr:uid="{00000000-0005-0000-0000-0000F28C0000}"/>
    <cellStyle name="Normal 5 2 10 3 3" xfId="25562" xr:uid="{00000000-0005-0000-0000-0000F38C0000}"/>
    <cellStyle name="Normal 5 2 10 3 3 2" xfId="56542" xr:uid="{00000000-0005-0000-0000-0000F48C0000}"/>
    <cellStyle name="Normal 5 2 10 3 4" xfId="25563" xr:uid="{00000000-0005-0000-0000-0000F58C0000}"/>
    <cellStyle name="Normal 5 2 10 3 5" xfId="25564" xr:uid="{00000000-0005-0000-0000-0000F68C0000}"/>
    <cellStyle name="Normal 5 2 10 3 6" xfId="25565" xr:uid="{00000000-0005-0000-0000-0000F78C0000}"/>
    <cellStyle name="Normal 5 2 10 4" xfId="25566" xr:uid="{00000000-0005-0000-0000-0000F88C0000}"/>
    <cellStyle name="Normal 5 2 10 4 2" xfId="56543" xr:uid="{00000000-0005-0000-0000-0000F98C0000}"/>
    <cellStyle name="Normal 5 2 10 4 3" xfId="56544" xr:uid="{00000000-0005-0000-0000-0000FA8C0000}"/>
    <cellStyle name="Normal 5 2 10 5" xfId="25567" xr:uid="{00000000-0005-0000-0000-0000FB8C0000}"/>
    <cellStyle name="Normal 5 2 10 5 2" xfId="56545" xr:uid="{00000000-0005-0000-0000-0000FC8C0000}"/>
    <cellStyle name="Normal 5 2 10 6" xfId="25568" xr:uid="{00000000-0005-0000-0000-0000FD8C0000}"/>
    <cellStyle name="Normal 5 2 10 7" xfId="25569" xr:uid="{00000000-0005-0000-0000-0000FE8C0000}"/>
    <cellStyle name="Normal 5 2 10 8" xfId="25570" xr:uid="{00000000-0005-0000-0000-0000FF8C0000}"/>
    <cellStyle name="Normal 5 2 11" xfId="25571" xr:uid="{00000000-0005-0000-0000-0000008D0000}"/>
    <cellStyle name="Normal 5 2 11 2" xfId="25572" xr:uid="{00000000-0005-0000-0000-0000018D0000}"/>
    <cellStyle name="Normal 5 2 11 2 2" xfId="25573" xr:uid="{00000000-0005-0000-0000-0000028D0000}"/>
    <cellStyle name="Normal 5 2 11 2 2 2" xfId="25574" xr:uid="{00000000-0005-0000-0000-0000038D0000}"/>
    <cellStyle name="Normal 5 2 11 2 2 2 2" xfId="56546" xr:uid="{00000000-0005-0000-0000-0000048D0000}"/>
    <cellStyle name="Normal 5 2 11 2 2 2 3" xfId="56547" xr:uid="{00000000-0005-0000-0000-0000058D0000}"/>
    <cellStyle name="Normal 5 2 11 2 2 3" xfId="25575" xr:uid="{00000000-0005-0000-0000-0000068D0000}"/>
    <cellStyle name="Normal 5 2 11 2 2 3 2" xfId="56548" xr:uid="{00000000-0005-0000-0000-0000078D0000}"/>
    <cellStyle name="Normal 5 2 11 2 2 4" xfId="25576" xr:uid="{00000000-0005-0000-0000-0000088D0000}"/>
    <cellStyle name="Normal 5 2 11 2 2 5" xfId="25577" xr:uid="{00000000-0005-0000-0000-0000098D0000}"/>
    <cellStyle name="Normal 5 2 11 2 2 6" xfId="25578" xr:uid="{00000000-0005-0000-0000-00000A8D0000}"/>
    <cellStyle name="Normal 5 2 11 2 3" xfId="25579" xr:uid="{00000000-0005-0000-0000-00000B8D0000}"/>
    <cellStyle name="Normal 5 2 11 2 3 2" xfId="56549" xr:uid="{00000000-0005-0000-0000-00000C8D0000}"/>
    <cellStyle name="Normal 5 2 11 2 3 3" xfId="56550" xr:uid="{00000000-0005-0000-0000-00000D8D0000}"/>
    <cellStyle name="Normal 5 2 11 2 4" xfId="25580" xr:uid="{00000000-0005-0000-0000-00000E8D0000}"/>
    <cellStyle name="Normal 5 2 11 2 4 2" xfId="56551" xr:uid="{00000000-0005-0000-0000-00000F8D0000}"/>
    <cellStyle name="Normal 5 2 11 2 5" xfId="25581" xr:uid="{00000000-0005-0000-0000-0000108D0000}"/>
    <cellStyle name="Normal 5 2 11 2 6" xfId="25582" xr:uid="{00000000-0005-0000-0000-0000118D0000}"/>
    <cellStyle name="Normal 5 2 11 2 7" xfId="25583" xr:uid="{00000000-0005-0000-0000-0000128D0000}"/>
    <cellStyle name="Normal 5 2 11 3" xfId="25584" xr:uid="{00000000-0005-0000-0000-0000138D0000}"/>
    <cellStyle name="Normal 5 2 11 3 2" xfId="25585" xr:uid="{00000000-0005-0000-0000-0000148D0000}"/>
    <cellStyle name="Normal 5 2 11 3 2 2" xfId="56552" xr:uid="{00000000-0005-0000-0000-0000158D0000}"/>
    <cellStyle name="Normal 5 2 11 3 2 3" xfId="56553" xr:uid="{00000000-0005-0000-0000-0000168D0000}"/>
    <cellStyle name="Normal 5 2 11 3 3" xfId="25586" xr:uid="{00000000-0005-0000-0000-0000178D0000}"/>
    <cellStyle name="Normal 5 2 11 3 3 2" xfId="56554" xr:uid="{00000000-0005-0000-0000-0000188D0000}"/>
    <cellStyle name="Normal 5 2 11 3 4" xfId="25587" xr:uid="{00000000-0005-0000-0000-0000198D0000}"/>
    <cellStyle name="Normal 5 2 11 3 5" xfId="25588" xr:uid="{00000000-0005-0000-0000-00001A8D0000}"/>
    <cellStyle name="Normal 5 2 11 3 6" xfId="25589" xr:uid="{00000000-0005-0000-0000-00001B8D0000}"/>
    <cellStyle name="Normal 5 2 11 4" xfId="25590" xr:uid="{00000000-0005-0000-0000-00001C8D0000}"/>
    <cellStyle name="Normal 5 2 11 4 2" xfId="56555" xr:uid="{00000000-0005-0000-0000-00001D8D0000}"/>
    <cellStyle name="Normal 5 2 11 4 3" xfId="56556" xr:uid="{00000000-0005-0000-0000-00001E8D0000}"/>
    <cellStyle name="Normal 5 2 11 5" xfId="25591" xr:uid="{00000000-0005-0000-0000-00001F8D0000}"/>
    <cellStyle name="Normal 5 2 11 5 2" xfId="56557" xr:uid="{00000000-0005-0000-0000-0000208D0000}"/>
    <cellStyle name="Normal 5 2 11 6" xfId="25592" xr:uid="{00000000-0005-0000-0000-0000218D0000}"/>
    <cellStyle name="Normal 5 2 11 7" xfId="25593" xr:uid="{00000000-0005-0000-0000-0000228D0000}"/>
    <cellStyle name="Normal 5 2 11 8" xfId="25594" xr:uid="{00000000-0005-0000-0000-0000238D0000}"/>
    <cellStyle name="Normal 5 2 12" xfId="25595" xr:uid="{00000000-0005-0000-0000-0000248D0000}"/>
    <cellStyle name="Normal 5 2 12 2" xfId="25596" xr:uid="{00000000-0005-0000-0000-0000258D0000}"/>
    <cellStyle name="Normal 5 2 12 2 2" xfId="25597" xr:uid="{00000000-0005-0000-0000-0000268D0000}"/>
    <cellStyle name="Normal 5 2 12 2 2 2" xfId="56558" xr:uid="{00000000-0005-0000-0000-0000278D0000}"/>
    <cellStyle name="Normal 5 2 12 2 2 3" xfId="56559" xr:uid="{00000000-0005-0000-0000-0000288D0000}"/>
    <cellStyle name="Normal 5 2 12 2 3" xfId="25598" xr:uid="{00000000-0005-0000-0000-0000298D0000}"/>
    <cellStyle name="Normal 5 2 12 2 3 2" xfId="56560" xr:uid="{00000000-0005-0000-0000-00002A8D0000}"/>
    <cellStyle name="Normal 5 2 12 2 4" xfId="25599" xr:uid="{00000000-0005-0000-0000-00002B8D0000}"/>
    <cellStyle name="Normal 5 2 12 2 5" xfId="25600" xr:uid="{00000000-0005-0000-0000-00002C8D0000}"/>
    <cellStyle name="Normal 5 2 12 2 6" xfId="25601" xr:uid="{00000000-0005-0000-0000-00002D8D0000}"/>
    <cellStyle name="Normal 5 2 12 3" xfId="25602" xr:uid="{00000000-0005-0000-0000-00002E8D0000}"/>
    <cellStyle name="Normal 5 2 12 3 2" xfId="56561" xr:uid="{00000000-0005-0000-0000-00002F8D0000}"/>
    <cellStyle name="Normal 5 2 12 3 3" xfId="56562" xr:uid="{00000000-0005-0000-0000-0000308D0000}"/>
    <cellStyle name="Normal 5 2 12 4" xfId="25603" xr:uid="{00000000-0005-0000-0000-0000318D0000}"/>
    <cellStyle name="Normal 5 2 12 4 2" xfId="56563" xr:uid="{00000000-0005-0000-0000-0000328D0000}"/>
    <cellStyle name="Normal 5 2 12 5" xfId="25604" xr:uid="{00000000-0005-0000-0000-0000338D0000}"/>
    <cellStyle name="Normal 5 2 12 6" xfId="25605" xr:uid="{00000000-0005-0000-0000-0000348D0000}"/>
    <cellStyle name="Normal 5 2 12 7" xfId="25606" xr:uid="{00000000-0005-0000-0000-0000358D0000}"/>
    <cellStyle name="Normal 5 2 13" xfId="25607" xr:uid="{00000000-0005-0000-0000-0000368D0000}"/>
    <cellStyle name="Normal 5 2 13 2" xfId="25608" xr:uid="{00000000-0005-0000-0000-0000378D0000}"/>
    <cellStyle name="Normal 5 2 13 2 2" xfId="56564" xr:uid="{00000000-0005-0000-0000-0000388D0000}"/>
    <cellStyle name="Normal 5 2 13 2 3" xfId="56565" xr:uid="{00000000-0005-0000-0000-0000398D0000}"/>
    <cellStyle name="Normal 5 2 13 3" xfId="25609" xr:uid="{00000000-0005-0000-0000-00003A8D0000}"/>
    <cellStyle name="Normal 5 2 13 3 2" xfId="56566" xr:uid="{00000000-0005-0000-0000-00003B8D0000}"/>
    <cellStyle name="Normal 5 2 13 4" xfId="25610" xr:uid="{00000000-0005-0000-0000-00003C8D0000}"/>
    <cellStyle name="Normal 5 2 13 5" xfId="25611" xr:uid="{00000000-0005-0000-0000-00003D8D0000}"/>
    <cellStyle name="Normal 5 2 13 6" xfId="25612" xr:uid="{00000000-0005-0000-0000-00003E8D0000}"/>
    <cellStyle name="Normal 5 2 14" xfId="25613" xr:uid="{00000000-0005-0000-0000-00003F8D0000}"/>
    <cellStyle name="Normal 5 2 14 2" xfId="56567" xr:uid="{00000000-0005-0000-0000-0000408D0000}"/>
    <cellStyle name="Normal 5 2 15" xfId="25614" xr:uid="{00000000-0005-0000-0000-0000418D0000}"/>
    <cellStyle name="Normal 5 2 16" xfId="25615" xr:uid="{00000000-0005-0000-0000-0000428D0000}"/>
    <cellStyle name="Normal 5 2 17" xfId="25616" xr:uid="{00000000-0005-0000-0000-0000438D0000}"/>
    <cellStyle name="Normal 5 2 18" xfId="25617" xr:uid="{00000000-0005-0000-0000-0000448D0000}"/>
    <cellStyle name="Normal 5 2 19" xfId="25618" xr:uid="{00000000-0005-0000-0000-0000458D0000}"/>
    <cellStyle name="Normal 5 2 2" xfId="25619" xr:uid="{00000000-0005-0000-0000-0000468D0000}"/>
    <cellStyle name="Normal 5 2 2 2" xfId="25620" xr:uid="{00000000-0005-0000-0000-0000478D0000}"/>
    <cellStyle name="Normal 5 2 2 2 2" xfId="25621" xr:uid="{00000000-0005-0000-0000-0000488D0000}"/>
    <cellStyle name="Normal 5 2 2 3" xfId="25622" xr:uid="{00000000-0005-0000-0000-0000498D0000}"/>
    <cellStyle name="Normal 5 2 2 3 2" xfId="25623" xr:uid="{00000000-0005-0000-0000-00004A8D0000}"/>
    <cellStyle name="Normal 5 2 2 4" xfId="25624" xr:uid="{00000000-0005-0000-0000-00004B8D0000}"/>
    <cellStyle name="Normal 5 2 2 4 2" xfId="25625" xr:uid="{00000000-0005-0000-0000-00004C8D0000}"/>
    <cellStyle name="Normal 5 2 2 5" xfId="25626" xr:uid="{00000000-0005-0000-0000-00004D8D0000}"/>
    <cellStyle name="Normal 5 2 2 6" xfId="25627" xr:uid="{00000000-0005-0000-0000-00004E8D0000}"/>
    <cellStyle name="Normal 5 2 2 7" xfId="25628" xr:uid="{00000000-0005-0000-0000-00004F8D0000}"/>
    <cellStyle name="Normal 5 2 20" xfId="25629" xr:uid="{00000000-0005-0000-0000-0000508D0000}"/>
    <cellStyle name="Normal 5 2 21" xfId="25630" xr:uid="{00000000-0005-0000-0000-0000518D0000}"/>
    <cellStyle name="Normal 5 2 22" xfId="25631" xr:uid="{00000000-0005-0000-0000-0000528D0000}"/>
    <cellStyle name="Normal 5 2 3" xfId="25632" xr:uid="{00000000-0005-0000-0000-0000538D0000}"/>
    <cellStyle name="Normal 5 2 3 10" xfId="25633" xr:uid="{00000000-0005-0000-0000-0000548D0000}"/>
    <cellStyle name="Normal 5 2 3 10 2" xfId="56568" xr:uid="{00000000-0005-0000-0000-0000558D0000}"/>
    <cellStyle name="Normal 5 2 3 10 3" xfId="56569" xr:uid="{00000000-0005-0000-0000-0000568D0000}"/>
    <cellStyle name="Normal 5 2 3 11" xfId="25634" xr:uid="{00000000-0005-0000-0000-0000578D0000}"/>
    <cellStyle name="Normal 5 2 3 11 2" xfId="56570" xr:uid="{00000000-0005-0000-0000-0000588D0000}"/>
    <cellStyle name="Normal 5 2 3 12" xfId="25635" xr:uid="{00000000-0005-0000-0000-0000598D0000}"/>
    <cellStyle name="Normal 5 2 3 12 2" xfId="56571" xr:uid="{00000000-0005-0000-0000-00005A8D0000}"/>
    <cellStyle name="Normal 5 2 3 13" xfId="25636" xr:uid="{00000000-0005-0000-0000-00005B8D0000}"/>
    <cellStyle name="Normal 5 2 3 14" xfId="25637" xr:uid="{00000000-0005-0000-0000-00005C8D0000}"/>
    <cellStyle name="Normal 5 2 3 15" xfId="25638" xr:uid="{00000000-0005-0000-0000-00005D8D0000}"/>
    <cellStyle name="Normal 5 2 3 16" xfId="25639" xr:uid="{00000000-0005-0000-0000-00005E8D0000}"/>
    <cellStyle name="Normal 5 2 3 17" xfId="25640" xr:uid="{00000000-0005-0000-0000-00005F8D0000}"/>
    <cellStyle name="Normal 5 2 3 18" xfId="25641" xr:uid="{00000000-0005-0000-0000-0000608D0000}"/>
    <cellStyle name="Normal 5 2 3 19" xfId="25642" xr:uid="{00000000-0005-0000-0000-0000618D0000}"/>
    <cellStyle name="Normal 5 2 3 2" xfId="25643" xr:uid="{00000000-0005-0000-0000-0000628D0000}"/>
    <cellStyle name="Normal 5 2 3 2 10" xfId="25644" xr:uid="{00000000-0005-0000-0000-0000638D0000}"/>
    <cellStyle name="Normal 5 2 3 2 11" xfId="25645" xr:uid="{00000000-0005-0000-0000-0000648D0000}"/>
    <cellStyle name="Normal 5 2 3 2 12" xfId="25646" xr:uid="{00000000-0005-0000-0000-0000658D0000}"/>
    <cellStyle name="Normal 5 2 3 2 13" xfId="25647" xr:uid="{00000000-0005-0000-0000-0000668D0000}"/>
    <cellStyle name="Normal 5 2 3 2 14" xfId="25648" xr:uid="{00000000-0005-0000-0000-0000678D0000}"/>
    <cellStyle name="Normal 5 2 3 2 2" xfId="25649" xr:uid="{00000000-0005-0000-0000-0000688D0000}"/>
    <cellStyle name="Normal 5 2 3 2 2 2" xfId="25650" xr:uid="{00000000-0005-0000-0000-0000698D0000}"/>
    <cellStyle name="Normal 5 2 3 2 2 2 2" xfId="25651" xr:uid="{00000000-0005-0000-0000-00006A8D0000}"/>
    <cellStyle name="Normal 5 2 3 2 2 2 2 2" xfId="25652" xr:uid="{00000000-0005-0000-0000-00006B8D0000}"/>
    <cellStyle name="Normal 5 2 3 2 2 2 2 2 2" xfId="56572" xr:uid="{00000000-0005-0000-0000-00006C8D0000}"/>
    <cellStyle name="Normal 5 2 3 2 2 2 2 2 3" xfId="56573" xr:uid="{00000000-0005-0000-0000-00006D8D0000}"/>
    <cellStyle name="Normal 5 2 3 2 2 2 2 3" xfId="25653" xr:uid="{00000000-0005-0000-0000-00006E8D0000}"/>
    <cellStyle name="Normal 5 2 3 2 2 2 2 3 2" xfId="56574" xr:uid="{00000000-0005-0000-0000-00006F8D0000}"/>
    <cellStyle name="Normal 5 2 3 2 2 2 2 4" xfId="25654" xr:uid="{00000000-0005-0000-0000-0000708D0000}"/>
    <cellStyle name="Normal 5 2 3 2 2 2 2 5" xfId="25655" xr:uid="{00000000-0005-0000-0000-0000718D0000}"/>
    <cellStyle name="Normal 5 2 3 2 2 2 2 6" xfId="25656" xr:uid="{00000000-0005-0000-0000-0000728D0000}"/>
    <cellStyle name="Normal 5 2 3 2 2 2 3" xfId="25657" xr:uid="{00000000-0005-0000-0000-0000738D0000}"/>
    <cellStyle name="Normal 5 2 3 2 2 2 3 2" xfId="56575" xr:uid="{00000000-0005-0000-0000-0000748D0000}"/>
    <cellStyle name="Normal 5 2 3 2 2 2 3 3" xfId="56576" xr:uid="{00000000-0005-0000-0000-0000758D0000}"/>
    <cellStyle name="Normal 5 2 3 2 2 2 4" xfId="25658" xr:uid="{00000000-0005-0000-0000-0000768D0000}"/>
    <cellStyle name="Normal 5 2 3 2 2 2 4 2" xfId="56577" xr:uid="{00000000-0005-0000-0000-0000778D0000}"/>
    <cellStyle name="Normal 5 2 3 2 2 2 5" xfId="25659" xr:uid="{00000000-0005-0000-0000-0000788D0000}"/>
    <cellStyle name="Normal 5 2 3 2 2 2 6" xfId="25660" xr:uid="{00000000-0005-0000-0000-0000798D0000}"/>
    <cellStyle name="Normal 5 2 3 2 2 2 7" xfId="25661" xr:uid="{00000000-0005-0000-0000-00007A8D0000}"/>
    <cellStyle name="Normal 5 2 3 2 2 3" xfId="25662" xr:uid="{00000000-0005-0000-0000-00007B8D0000}"/>
    <cellStyle name="Normal 5 2 3 2 2 3 2" xfId="25663" xr:uid="{00000000-0005-0000-0000-00007C8D0000}"/>
    <cellStyle name="Normal 5 2 3 2 2 3 2 2" xfId="56578" xr:uid="{00000000-0005-0000-0000-00007D8D0000}"/>
    <cellStyle name="Normal 5 2 3 2 2 3 2 3" xfId="56579" xr:uid="{00000000-0005-0000-0000-00007E8D0000}"/>
    <cellStyle name="Normal 5 2 3 2 2 3 3" xfId="25664" xr:uid="{00000000-0005-0000-0000-00007F8D0000}"/>
    <cellStyle name="Normal 5 2 3 2 2 3 3 2" xfId="56580" xr:uid="{00000000-0005-0000-0000-0000808D0000}"/>
    <cellStyle name="Normal 5 2 3 2 2 3 4" xfId="25665" xr:uid="{00000000-0005-0000-0000-0000818D0000}"/>
    <cellStyle name="Normal 5 2 3 2 2 3 5" xfId="25666" xr:uid="{00000000-0005-0000-0000-0000828D0000}"/>
    <cellStyle name="Normal 5 2 3 2 2 3 6" xfId="25667" xr:uid="{00000000-0005-0000-0000-0000838D0000}"/>
    <cellStyle name="Normal 5 2 3 2 2 4" xfId="25668" xr:uid="{00000000-0005-0000-0000-0000848D0000}"/>
    <cellStyle name="Normal 5 2 3 2 2 4 2" xfId="56581" xr:uid="{00000000-0005-0000-0000-0000858D0000}"/>
    <cellStyle name="Normal 5 2 3 2 2 4 3" xfId="56582" xr:uid="{00000000-0005-0000-0000-0000868D0000}"/>
    <cellStyle name="Normal 5 2 3 2 2 5" xfId="25669" xr:uid="{00000000-0005-0000-0000-0000878D0000}"/>
    <cellStyle name="Normal 5 2 3 2 2 5 2" xfId="56583" xr:uid="{00000000-0005-0000-0000-0000888D0000}"/>
    <cellStyle name="Normal 5 2 3 2 2 6" xfId="25670" xr:uid="{00000000-0005-0000-0000-0000898D0000}"/>
    <cellStyle name="Normal 5 2 3 2 2 7" xfId="25671" xr:uid="{00000000-0005-0000-0000-00008A8D0000}"/>
    <cellStyle name="Normal 5 2 3 2 2 8" xfId="25672" xr:uid="{00000000-0005-0000-0000-00008B8D0000}"/>
    <cellStyle name="Normal 5 2 3 2 2 9" xfId="25673" xr:uid="{00000000-0005-0000-0000-00008C8D0000}"/>
    <cellStyle name="Normal 5 2 3 2 3" xfId="25674" xr:uid="{00000000-0005-0000-0000-00008D8D0000}"/>
    <cellStyle name="Normal 5 2 3 2 3 2" xfId="25675" xr:uid="{00000000-0005-0000-0000-00008E8D0000}"/>
    <cellStyle name="Normal 5 2 3 2 3 2 2" xfId="25676" xr:uid="{00000000-0005-0000-0000-00008F8D0000}"/>
    <cellStyle name="Normal 5 2 3 2 3 2 2 2" xfId="25677" xr:uid="{00000000-0005-0000-0000-0000908D0000}"/>
    <cellStyle name="Normal 5 2 3 2 3 2 2 2 2" xfId="56584" xr:uid="{00000000-0005-0000-0000-0000918D0000}"/>
    <cellStyle name="Normal 5 2 3 2 3 2 2 2 3" xfId="56585" xr:uid="{00000000-0005-0000-0000-0000928D0000}"/>
    <cellStyle name="Normal 5 2 3 2 3 2 2 3" xfId="25678" xr:uid="{00000000-0005-0000-0000-0000938D0000}"/>
    <cellStyle name="Normal 5 2 3 2 3 2 2 3 2" xfId="56586" xr:uid="{00000000-0005-0000-0000-0000948D0000}"/>
    <cellStyle name="Normal 5 2 3 2 3 2 2 4" xfId="25679" xr:uid="{00000000-0005-0000-0000-0000958D0000}"/>
    <cellStyle name="Normal 5 2 3 2 3 2 2 5" xfId="25680" xr:uid="{00000000-0005-0000-0000-0000968D0000}"/>
    <cellStyle name="Normal 5 2 3 2 3 2 2 6" xfId="25681" xr:uid="{00000000-0005-0000-0000-0000978D0000}"/>
    <cellStyle name="Normal 5 2 3 2 3 2 3" xfId="25682" xr:uid="{00000000-0005-0000-0000-0000988D0000}"/>
    <cellStyle name="Normal 5 2 3 2 3 2 3 2" xfId="56587" xr:uid="{00000000-0005-0000-0000-0000998D0000}"/>
    <cellStyle name="Normal 5 2 3 2 3 2 3 3" xfId="56588" xr:uid="{00000000-0005-0000-0000-00009A8D0000}"/>
    <cellStyle name="Normal 5 2 3 2 3 2 4" xfId="25683" xr:uid="{00000000-0005-0000-0000-00009B8D0000}"/>
    <cellStyle name="Normal 5 2 3 2 3 2 4 2" xfId="56589" xr:uid="{00000000-0005-0000-0000-00009C8D0000}"/>
    <cellStyle name="Normal 5 2 3 2 3 2 5" xfId="25684" xr:uid="{00000000-0005-0000-0000-00009D8D0000}"/>
    <cellStyle name="Normal 5 2 3 2 3 2 6" xfId="25685" xr:uid="{00000000-0005-0000-0000-00009E8D0000}"/>
    <cellStyle name="Normal 5 2 3 2 3 2 7" xfId="25686" xr:uid="{00000000-0005-0000-0000-00009F8D0000}"/>
    <cellStyle name="Normal 5 2 3 2 3 3" xfId="25687" xr:uid="{00000000-0005-0000-0000-0000A08D0000}"/>
    <cellStyle name="Normal 5 2 3 2 3 3 2" xfId="25688" xr:uid="{00000000-0005-0000-0000-0000A18D0000}"/>
    <cellStyle name="Normal 5 2 3 2 3 3 2 2" xfId="56590" xr:uid="{00000000-0005-0000-0000-0000A28D0000}"/>
    <cellStyle name="Normal 5 2 3 2 3 3 2 3" xfId="56591" xr:uid="{00000000-0005-0000-0000-0000A38D0000}"/>
    <cellStyle name="Normal 5 2 3 2 3 3 3" xfId="25689" xr:uid="{00000000-0005-0000-0000-0000A48D0000}"/>
    <cellStyle name="Normal 5 2 3 2 3 3 3 2" xfId="56592" xr:uid="{00000000-0005-0000-0000-0000A58D0000}"/>
    <cellStyle name="Normal 5 2 3 2 3 3 4" xfId="25690" xr:uid="{00000000-0005-0000-0000-0000A68D0000}"/>
    <cellStyle name="Normal 5 2 3 2 3 3 5" xfId="25691" xr:uid="{00000000-0005-0000-0000-0000A78D0000}"/>
    <cellStyle name="Normal 5 2 3 2 3 3 6" xfId="25692" xr:uid="{00000000-0005-0000-0000-0000A88D0000}"/>
    <cellStyle name="Normal 5 2 3 2 3 4" xfId="25693" xr:uid="{00000000-0005-0000-0000-0000A98D0000}"/>
    <cellStyle name="Normal 5 2 3 2 3 4 2" xfId="56593" xr:uid="{00000000-0005-0000-0000-0000AA8D0000}"/>
    <cellStyle name="Normal 5 2 3 2 3 4 3" xfId="56594" xr:uid="{00000000-0005-0000-0000-0000AB8D0000}"/>
    <cellStyle name="Normal 5 2 3 2 3 5" xfId="25694" xr:uid="{00000000-0005-0000-0000-0000AC8D0000}"/>
    <cellStyle name="Normal 5 2 3 2 3 5 2" xfId="56595" xr:uid="{00000000-0005-0000-0000-0000AD8D0000}"/>
    <cellStyle name="Normal 5 2 3 2 3 6" xfId="25695" xr:uid="{00000000-0005-0000-0000-0000AE8D0000}"/>
    <cellStyle name="Normal 5 2 3 2 3 7" xfId="25696" xr:uid="{00000000-0005-0000-0000-0000AF8D0000}"/>
    <cellStyle name="Normal 5 2 3 2 3 8" xfId="25697" xr:uid="{00000000-0005-0000-0000-0000B08D0000}"/>
    <cellStyle name="Normal 5 2 3 2 4" xfId="25698" xr:uid="{00000000-0005-0000-0000-0000B18D0000}"/>
    <cellStyle name="Normal 5 2 3 2 4 2" xfId="25699" xr:uid="{00000000-0005-0000-0000-0000B28D0000}"/>
    <cellStyle name="Normal 5 2 3 2 4 2 2" xfId="25700" xr:uid="{00000000-0005-0000-0000-0000B38D0000}"/>
    <cellStyle name="Normal 5 2 3 2 4 2 2 2" xfId="56596" xr:uid="{00000000-0005-0000-0000-0000B48D0000}"/>
    <cellStyle name="Normal 5 2 3 2 4 2 2 3" xfId="56597" xr:uid="{00000000-0005-0000-0000-0000B58D0000}"/>
    <cellStyle name="Normal 5 2 3 2 4 2 3" xfId="25701" xr:uid="{00000000-0005-0000-0000-0000B68D0000}"/>
    <cellStyle name="Normal 5 2 3 2 4 2 3 2" xfId="56598" xr:uid="{00000000-0005-0000-0000-0000B78D0000}"/>
    <cellStyle name="Normal 5 2 3 2 4 2 4" xfId="25702" xr:uid="{00000000-0005-0000-0000-0000B88D0000}"/>
    <cellStyle name="Normal 5 2 3 2 4 2 5" xfId="25703" xr:uid="{00000000-0005-0000-0000-0000B98D0000}"/>
    <cellStyle name="Normal 5 2 3 2 4 2 6" xfId="25704" xr:uid="{00000000-0005-0000-0000-0000BA8D0000}"/>
    <cellStyle name="Normal 5 2 3 2 4 3" xfId="25705" xr:uid="{00000000-0005-0000-0000-0000BB8D0000}"/>
    <cellStyle name="Normal 5 2 3 2 4 3 2" xfId="56599" xr:uid="{00000000-0005-0000-0000-0000BC8D0000}"/>
    <cellStyle name="Normal 5 2 3 2 4 3 3" xfId="56600" xr:uid="{00000000-0005-0000-0000-0000BD8D0000}"/>
    <cellStyle name="Normal 5 2 3 2 4 4" xfId="25706" xr:uid="{00000000-0005-0000-0000-0000BE8D0000}"/>
    <cellStyle name="Normal 5 2 3 2 4 4 2" xfId="56601" xr:uid="{00000000-0005-0000-0000-0000BF8D0000}"/>
    <cellStyle name="Normal 5 2 3 2 4 5" xfId="25707" xr:uid="{00000000-0005-0000-0000-0000C08D0000}"/>
    <cellStyle name="Normal 5 2 3 2 4 6" xfId="25708" xr:uid="{00000000-0005-0000-0000-0000C18D0000}"/>
    <cellStyle name="Normal 5 2 3 2 4 7" xfId="25709" xr:uid="{00000000-0005-0000-0000-0000C28D0000}"/>
    <cellStyle name="Normal 5 2 3 2 5" xfId="25710" xr:uid="{00000000-0005-0000-0000-0000C38D0000}"/>
    <cellStyle name="Normal 5 2 3 2 5 2" xfId="25711" xr:uid="{00000000-0005-0000-0000-0000C48D0000}"/>
    <cellStyle name="Normal 5 2 3 2 5 2 2" xfId="56602" xr:uid="{00000000-0005-0000-0000-0000C58D0000}"/>
    <cellStyle name="Normal 5 2 3 2 5 2 3" xfId="56603" xr:uid="{00000000-0005-0000-0000-0000C68D0000}"/>
    <cellStyle name="Normal 5 2 3 2 5 3" xfId="25712" xr:uid="{00000000-0005-0000-0000-0000C78D0000}"/>
    <cellStyle name="Normal 5 2 3 2 5 3 2" xfId="56604" xr:uid="{00000000-0005-0000-0000-0000C88D0000}"/>
    <cellStyle name="Normal 5 2 3 2 5 4" xfId="25713" xr:uid="{00000000-0005-0000-0000-0000C98D0000}"/>
    <cellStyle name="Normal 5 2 3 2 5 5" xfId="25714" xr:uid="{00000000-0005-0000-0000-0000CA8D0000}"/>
    <cellStyle name="Normal 5 2 3 2 5 6" xfId="25715" xr:uid="{00000000-0005-0000-0000-0000CB8D0000}"/>
    <cellStyle name="Normal 5 2 3 2 6" xfId="25716" xr:uid="{00000000-0005-0000-0000-0000CC8D0000}"/>
    <cellStyle name="Normal 5 2 3 2 6 2" xfId="56605" xr:uid="{00000000-0005-0000-0000-0000CD8D0000}"/>
    <cellStyle name="Normal 5 2 3 2 6 3" xfId="56606" xr:uid="{00000000-0005-0000-0000-0000CE8D0000}"/>
    <cellStyle name="Normal 5 2 3 2 7" xfId="25717" xr:uid="{00000000-0005-0000-0000-0000CF8D0000}"/>
    <cellStyle name="Normal 5 2 3 2 7 2" xfId="56607" xr:uid="{00000000-0005-0000-0000-0000D08D0000}"/>
    <cellStyle name="Normal 5 2 3 2 8" xfId="25718" xr:uid="{00000000-0005-0000-0000-0000D18D0000}"/>
    <cellStyle name="Normal 5 2 3 2 8 2" xfId="56608" xr:uid="{00000000-0005-0000-0000-0000D28D0000}"/>
    <cellStyle name="Normal 5 2 3 2 9" xfId="25719" xr:uid="{00000000-0005-0000-0000-0000D38D0000}"/>
    <cellStyle name="Normal 5 2 3 3" xfId="25720" xr:uid="{00000000-0005-0000-0000-0000D48D0000}"/>
    <cellStyle name="Normal 5 2 3 3 10" xfId="25721" xr:uid="{00000000-0005-0000-0000-0000D58D0000}"/>
    <cellStyle name="Normal 5 2 3 3 11" xfId="25722" xr:uid="{00000000-0005-0000-0000-0000D68D0000}"/>
    <cellStyle name="Normal 5 2 3 3 12" xfId="25723" xr:uid="{00000000-0005-0000-0000-0000D78D0000}"/>
    <cellStyle name="Normal 5 2 3 3 13" xfId="25724" xr:uid="{00000000-0005-0000-0000-0000D88D0000}"/>
    <cellStyle name="Normal 5 2 3 3 14" xfId="25725" xr:uid="{00000000-0005-0000-0000-0000D98D0000}"/>
    <cellStyle name="Normal 5 2 3 3 2" xfId="25726" xr:uid="{00000000-0005-0000-0000-0000DA8D0000}"/>
    <cellStyle name="Normal 5 2 3 3 2 2" xfId="25727" xr:uid="{00000000-0005-0000-0000-0000DB8D0000}"/>
    <cellStyle name="Normal 5 2 3 3 2 2 2" xfId="25728" xr:uid="{00000000-0005-0000-0000-0000DC8D0000}"/>
    <cellStyle name="Normal 5 2 3 3 2 2 2 2" xfId="25729" xr:uid="{00000000-0005-0000-0000-0000DD8D0000}"/>
    <cellStyle name="Normal 5 2 3 3 2 2 2 2 2" xfId="56609" xr:uid="{00000000-0005-0000-0000-0000DE8D0000}"/>
    <cellStyle name="Normal 5 2 3 3 2 2 2 2 3" xfId="56610" xr:uid="{00000000-0005-0000-0000-0000DF8D0000}"/>
    <cellStyle name="Normal 5 2 3 3 2 2 2 3" xfId="25730" xr:uid="{00000000-0005-0000-0000-0000E08D0000}"/>
    <cellStyle name="Normal 5 2 3 3 2 2 2 3 2" xfId="56611" xr:uid="{00000000-0005-0000-0000-0000E18D0000}"/>
    <cellStyle name="Normal 5 2 3 3 2 2 2 4" xfId="25731" xr:uid="{00000000-0005-0000-0000-0000E28D0000}"/>
    <cellStyle name="Normal 5 2 3 3 2 2 2 5" xfId="25732" xr:uid="{00000000-0005-0000-0000-0000E38D0000}"/>
    <cellStyle name="Normal 5 2 3 3 2 2 2 6" xfId="25733" xr:uid="{00000000-0005-0000-0000-0000E48D0000}"/>
    <cellStyle name="Normal 5 2 3 3 2 2 3" xfId="25734" xr:uid="{00000000-0005-0000-0000-0000E58D0000}"/>
    <cellStyle name="Normal 5 2 3 3 2 2 3 2" xfId="56612" xr:uid="{00000000-0005-0000-0000-0000E68D0000}"/>
    <cellStyle name="Normal 5 2 3 3 2 2 3 3" xfId="56613" xr:uid="{00000000-0005-0000-0000-0000E78D0000}"/>
    <cellStyle name="Normal 5 2 3 3 2 2 4" xfId="25735" xr:uid="{00000000-0005-0000-0000-0000E88D0000}"/>
    <cellStyle name="Normal 5 2 3 3 2 2 4 2" xfId="56614" xr:uid="{00000000-0005-0000-0000-0000E98D0000}"/>
    <cellStyle name="Normal 5 2 3 3 2 2 5" xfId="25736" xr:uid="{00000000-0005-0000-0000-0000EA8D0000}"/>
    <cellStyle name="Normal 5 2 3 3 2 2 6" xfId="25737" xr:uid="{00000000-0005-0000-0000-0000EB8D0000}"/>
    <cellStyle name="Normal 5 2 3 3 2 2 7" xfId="25738" xr:uid="{00000000-0005-0000-0000-0000EC8D0000}"/>
    <cellStyle name="Normal 5 2 3 3 2 3" xfId="25739" xr:uid="{00000000-0005-0000-0000-0000ED8D0000}"/>
    <cellStyle name="Normal 5 2 3 3 2 3 2" xfId="25740" xr:uid="{00000000-0005-0000-0000-0000EE8D0000}"/>
    <cellStyle name="Normal 5 2 3 3 2 3 2 2" xfId="56615" xr:uid="{00000000-0005-0000-0000-0000EF8D0000}"/>
    <cellStyle name="Normal 5 2 3 3 2 3 2 3" xfId="56616" xr:uid="{00000000-0005-0000-0000-0000F08D0000}"/>
    <cellStyle name="Normal 5 2 3 3 2 3 3" xfId="25741" xr:uid="{00000000-0005-0000-0000-0000F18D0000}"/>
    <cellStyle name="Normal 5 2 3 3 2 3 3 2" xfId="56617" xr:uid="{00000000-0005-0000-0000-0000F28D0000}"/>
    <cellStyle name="Normal 5 2 3 3 2 3 4" xfId="25742" xr:uid="{00000000-0005-0000-0000-0000F38D0000}"/>
    <cellStyle name="Normal 5 2 3 3 2 3 5" xfId="25743" xr:uid="{00000000-0005-0000-0000-0000F48D0000}"/>
    <cellStyle name="Normal 5 2 3 3 2 3 6" xfId="25744" xr:uid="{00000000-0005-0000-0000-0000F58D0000}"/>
    <cellStyle name="Normal 5 2 3 3 2 4" xfId="25745" xr:uid="{00000000-0005-0000-0000-0000F68D0000}"/>
    <cellStyle name="Normal 5 2 3 3 2 4 2" xfId="56618" xr:uid="{00000000-0005-0000-0000-0000F78D0000}"/>
    <cellStyle name="Normal 5 2 3 3 2 4 3" xfId="56619" xr:uid="{00000000-0005-0000-0000-0000F88D0000}"/>
    <cellStyle name="Normal 5 2 3 3 2 5" xfId="25746" xr:uid="{00000000-0005-0000-0000-0000F98D0000}"/>
    <cellStyle name="Normal 5 2 3 3 2 5 2" xfId="56620" xr:uid="{00000000-0005-0000-0000-0000FA8D0000}"/>
    <cellStyle name="Normal 5 2 3 3 2 6" xfId="25747" xr:uid="{00000000-0005-0000-0000-0000FB8D0000}"/>
    <cellStyle name="Normal 5 2 3 3 2 7" xfId="25748" xr:uid="{00000000-0005-0000-0000-0000FC8D0000}"/>
    <cellStyle name="Normal 5 2 3 3 2 8" xfId="25749" xr:uid="{00000000-0005-0000-0000-0000FD8D0000}"/>
    <cellStyle name="Normal 5 2 3 3 2 9" xfId="25750" xr:uid="{00000000-0005-0000-0000-0000FE8D0000}"/>
    <cellStyle name="Normal 5 2 3 3 3" xfId="25751" xr:uid="{00000000-0005-0000-0000-0000FF8D0000}"/>
    <cellStyle name="Normal 5 2 3 3 3 2" xfId="25752" xr:uid="{00000000-0005-0000-0000-0000008E0000}"/>
    <cellStyle name="Normal 5 2 3 3 3 2 2" xfId="25753" xr:uid="{00000000-0005-0000-0000-0000018E0000}"/>
    <cellStyle name="Normal 5 2 3 3 3 2 2 2" xfId="25754" xr:uid="{00000000-0005-0000-0000-0000028E0000}"/>
    <cellStyle name="Normal 5 2 3 3 3 2 2 2 2" xfId="56621" xr:uid="{00000000-0005-0000-0000-0000038E0000}"/>
    <cellStyle name="Normal 5 2 3 3 3 2 2 2 3" xfId="56622" xr:uid="{00000000-0005-0000-0000-0000048E0000}"/>
    <cellStyle name="Normal 5 2 3 3 3 2 2 3" xfId="25755" xr:uid="{00000000-0005-0000-0000-0000058E0000}"/>
    <cellStyle name="Normal 5 2 3 3 3 2 2 3 2" xfId="56623" xr:uid="{00000000-0005-0000-0000-0000068E0000}"/>
    <cellStyle name="Normal 5 2 3 3 3 2 2 4" xfId="25756" xr:uid="{00000000-0005-0000-0000-0000078E0000}"/>
    <cellStyle name="Normal 5 2 3 3 3 2 2 5" xfId="25757" xr:uid="{00000000-0005-0000-0000-0000088E0000}"/>
    <cellStyle name="Normal 5 2 3 3 3 2 2 6" xfId="25758" xr:uid="{00000000-0005-0000-0000-0000098E0000}"/>
    <cellStyle name="Normal 5 2 3 3 3 2 3" xfId="25759" xr:uid="{00000000-0005-0000-0000-00000A8E0000}"/>
    <cellStyle name="Normal 5 2 3 3 3 2 3 2" xfId="56624" xr:uid="{00000000-0005-0000-0000-00000B8E0000}"/>
    <cellStyle name="Normal 5 2 3 3 3 2 3 3" xfId="56625" xr:uid="{00000000-0005-0000-0000-00000C8E0000}"/>
    <cellStyle name="Normal 5 2 3 3 3 2 4" xfId="25760" xr:uid="{00000000-0005-0000-0000-00000D8E0000}"/>
    <cellStyle name="Normal 5 2 3 3 3 2 4 2" xfId="56626" xr:uid="{00000000-0005-0000-0000-00000E8E0000}"/>
    <cellStyle name="Normal 5 2 3 3 3 2 5" xfId="25761" xr:uid="{00000000-0005-0000-0000-00000F8E0000}"/>
    <cellStyle name="Normal 5 2 3 3 3 2 6" xfId="25762" xr:uid="{00000000-0005-0000-0000-0000108E0000}"/>
    <cellStyle name="Normal 5 2 3 3 3 2 7" xfId="25763" xr:uid="{00000000-0005-0000-0000-0000118E0000}"/>
    <cellStyle name="Normal 5 2 3 3 3 3" xfId="25764" xr:uid="{00000000-0005-0000-0000-0000128E0000}"/>
    <cellStyle name="Normal 5 2 3 3 3 3 2" xfId="25765" xr:uid="{00000000-0005-0000-0000-0000138E0000}"/>
    <cellStyle name="Normal 5 2 3 3 3 3 2 2" xfId="56627" xr:uid="{00000000-0005-0000-0000-0000148E0000}"/>
    <cellStyle name="Normal 5 2 3 3 3 3 2 3" xfId="56628" xr:uid="{00000000-0005-0000-0000-0000158E0000}"/>
    <cellStyle name="Normal 5 2 3 3 3 3 3" xfId="25766" xr:uid="{00000000-0005-0000-0000-0000168E0000}"/>
    <cellStyle name="Normal 5 2 3 3 3 3 3 2" xfId="56629" xr:uid="{00000000-0005-0000-0000-0000178E0000}"/>
    <cellStyle name="Normal 5 2 3 3 3 3 4" xfId="25767" xr:uid="{00000000-0005-0000-0000-0000188E0000}"/>
    <cellStyle name="Normal 5 2 3 3 3 3 5" xfId="25768" xr:uid="{00000000-0005-0000-0000-0000198E0000}"/>
    <cellStyle name="Normal 5 2 3 3 3 3 6" xfId="25769" xr:uid="{00000000-0005-0000-0000-00001A8E0000}"/>
    <cellStyle name="Normal 5 2 3 3 3 4" xfId="25770" xr:uid="{00000000-0005-0000-0000-00001B8E0000}"/>
    <cellStyle name="Normal 5 2 3 3 3 4 2" xfId="56630" xr:uid="{00000000-0005-0000-0000-00001C8E0000}"/>
    <cellStyle name="Normal 5 2 3 3 3 4 3" xfId="56631" xr:uid="{00000000-0005-0000-0000-00001D8E0000}"/>
    <cellStyle name="Normal 5 2 3 3 3 5" xfId="25771" xr:uid="{00000000-0005-0000-0000-00001E8E0000}"/>
    <cellStyle name="Normal 5 2 3 3 3 5 2" xfId="56632" xr:uid="{00000000-0005-0000-0000-00001F8E0000}"/>
    <cellStyle name="Normal 5 2 3 3 3 6" xfId="25772" xr:uid="{00000000-0005-0000-0000-0000208E0000}"/>
    <cellStyle name="Normal 5 2 3 3 3 7" xfId="25773" xr:uid="{00000000-0005-0000-0000-0000218E0000}"/>
    <cellStyle name="Normal 5 2 3 3 3 8" xfId="25774" xr:uid="{00000000-0005-0000-0000-0000228E0000}"/>
    <cellStyle name="Normal 5 2 3 3 4" xfId="25775" xr:uid="{00000000-0005-0000-0000-0000238E0000}"/>
    <cellStyle name="Normal 5 2 3 3 4 2" xfId="25776" xr:uid="{00000000-0005-0000-0000-0000248E0000}"/>
    <cellStyle name="Normal 5 2 3 3 4 2 2" xfId="25777" xr:uid="{00000000-0005-0000-0000-0000258E0000}"/>
    <cellStyle name="Normal 5 2 3 3 4 2 2 2" xfId="56633" xr:uid="{00000000-0005-0000-0000-0000268E0000}"/>
    <cellStyle name="Normal 5 2 3 3 4 2 2 3" xfId="56634" xr:uid="{00000000-0005-0000-0000-0000278E0000}"/>
    <cellStyle name="Normal 5 2 3 3 4 2 3" xfId="25778" xr:uid="{00000000-0005-0000-0000-0000288E0000}"/>
    <cellStyle name="Normal 5 2 3 3 4 2 3 2" xfId="56635" xr:uid="{00000000-0005-0000-0000-0000298E0000}"/>
    <cellStyle name="Normal 5 2 3 3 4 2 4" xfId="25779" xr:uid="{00000000-0005-0000-0000-00002A8E0000}"/>
    <cellStyle name="Normal 5 2 3 3 4 2 5" xfId="25780" xr:uid="{00000000-0005-0000-0000-00002B8E0000}"/>
    <cellStyle name="Normal 5 2 3 3 4 2 6" xfId="25781" xr:uid="{00000000-0005-0000-0000-00002C8E0000}"/>
    <cellStyle name="Normal 5 2 3 3 4 3" xfId="25782" xr:uid="{00000000-0005-0000-0000-00002D8E0000}"/>
    <cellStyle name="Normal 5 2 3 3 4 3 2" xfId="56636" xr:uid="{00000000-0005-0000-0000-00002E8E0000}"/>
    <cellStyle name="Normal 5 2 3 3 4 3 3" xfId="56637" xr:uid="{00000000-0005-0000-0000-00002F8E0000}"/>
    <cellStyle name="Normal 5 2 3 3 4 4" xfId="25783" xr:uid="{00000000-0005-0000-0000-0000308E0000}"/>
    <cellStyle name="Normal 5 2 3 3 4 4 2" xfId="56638" xr:uid="{00000000-0005-0000-0000-0000318E0000}"/>
    <cellStyle name="Normal 5 2 3 3 4 5" xfId="25784" xr:uid="{00000000-0005-0000-0000-0000328E0000}"/>
    <cellStyle name="Normal 5 2 3 3 4 6" xfId="25785" xr:uid="{00000000-0005-0000-0000-0000338E0000}"/>
    <cellStyle name="Normal 5 2 3 3 4 7" xfId="25786" xr:uid="{00000000-0005-0000-0000-0000348E0000}"/>
    <cellStyle name="Normal 5 2 3 3 5" xfId="25787" xr:uid="{00000000-0005-0000-0000-0000358E0000}"/>
    <cellStyle name="Normal 5 2 3 3 5 2" xfId="25788" xr:uid="{00000000-0005-0000-0000-0000368E0000}"/>
    <cellStyle name="Normal 5 2 3 3 5 2 2" xfId="56639" xr:uid="{00000000-0005-0000-0000-0000378E0000}"/>
    <cellStyle name="Normal 5 2 3 3 5 2 3" xfId="56640" xr:uid="{00000000-0005-0000-0000-0000388E0000}"/>
    <cellStyle name="Normal 5 2 3 3 5 3" xfId="25789" xr:uid="{00000000-0005-0000-0000-0000398E0000}"/>
    <cellStyle name="Normal 5 2 3 3 5 3 2" xfId="56641" xr:uid="{00000000-0005-0000-0000-00003A8E0000}"/>
    <cellStyle name="Normal 5 2 3 3 5 4" xfId="25790" xr:uid="{00000000-0005-0000-0000-00003B8E0000}"/>
    <cellStyle name="Normal 5 2 3 3 5 5" xfId="25791" xr:uid="{00000000-0005-0000-0000-00003C8E0000}"/>
    <cellStyle name="Normal 5 2 3 3 5 6" xfId="25792" xr:uid="{00000000-0005-0000-0000-00003D8E0000}"/>
    <cellStyle name="Normal 5 2 3 3 6" xfId="25793" xr:uid="{00000000-0005-0000-0000-00003E8E0000}"/>
    <cellStyle name="Normal 5 2 3 3 6 2" xfId="56642" xr:uid="{00000000-0005-0000-0000-00003F8E0000}"/>
    <cellStyle name="Normal 5 2 3 3 6 3" xfId="56643" xr:uid="{00000000-0005-0000-0000-0000408E0000}"/>
    <cellStyle name="Normal 5 2 3 3 7" xfId="25794" xr:uid="{00000000-0005-0000-0000-0000418E0000}"/>
    <cellStyle name="Normal 5 2 3 3 7 2" xfId="56644" xr:uid="{00000000-0005-0000-0000-0000428E0000}"/>
    <cellStyle name="Normal 5 2 3 3 8" xfId="25795" xr:uid="{00000000-0005-0000-0000-0000438E0000}"/>
    <cellStyle name="Normal 5 2 3 3 9" xfId="25796" xr:uid="{00000000-0005-0000-0000-0000448E0000}"/>
    <cellStyle name="Normal 5 2 3 4" xfId="25797" xr:uid="{00000000-0005-0000-0000-0000458E0000}"/>
    <cellStyle name="Normal 5 2 3 4 10" xfId="25798" xr:uid="{00000000-0005-0000-0000-0000468E0000}"/>
    <cellStyle name="Normal 5 2 3 4 11" xfId="25799" xr:uid="{00000000-0005-0000-0000-0000478E0000}"/>
    <cellStyle name="Normal 5 2 3 4 12" xfId="25800" xr:uid="{00000000-0005-0000-0000-0000488E0000}"/>
    <cellStyle name="Normal 5 2 3 4 13" xfId="25801" xr:uid="{00000000-0005-0000-0000-0000498E0000}"/>
    <cellStyle name="Normal 5 2 3 4 2" xfId="25802" xr:uid="{00000000-0005-0000-0000-00004A8E0000}"/>
    <cellStyle name="Normal 5 2 3 4 2 2" xfId="25803" xr:uid="{00000000-0005-0000-0000-00004B8E0000}"/>
    <cellStyle name="Normal 5 2 3 4 2 2 2" xfId="25804" xr:uid="{00000000-0005-0000-0000-00004C8E0000}"/>
    <cellStyle name="Normal 5 2 3 4 2 2 2 2" xfId="25805" xr:uid="{00000000-0005-0000-0000-00004D8E0000}"/>
    <cellStyle name="Normal 5 2 3 4 2 2 2 2 2" xfId="56645" xr:uid="{00000000-0005-0000-0000-00004E8E0000}"/>
    <cellStyle name="Normal 5 2 3 4 2 2 2 2 3" xfId="56646" xr:uid="{00000000-0005-0000-0000-00004F8E0000}"/>
    <cellStyle name="Normal 5 2 3 4 2 2 2 3" xfId="25806" xr:uid="{00000000-0005-0000-0000-0000508E0000}"/>
    <cellStyle name="Normal 5 2 3 4 2 2 2 3 2" xfId="56647" xr:uid="{00000000-0005-0000-0000-0000518E0000}"/>
    <cellStyle name="Normal 5 2 3 4 2 2 2 4" xfId="25807" xr:uid="{00000000-0005-0000-0000-0000528E0000}"/>
    <cellStyle name="Normal 5 2 3 4 2 2 2 5" xfId="25808" xr:uid="{00000000-0005-0000-0000-0000538E0000}"/>
    <cellStyle name="Normal 5 2 3 4 2 2 2 6" xfId="25809" xr:uid="{00000000-0005-0000-0000-0000548E0000}"/>
    <cellStyle name="Normal 5 2 3 4 2 2 3" xfId="25810" xr:uid="{00000000-0005-0000-0000-0000558E0000}"/>
    <cellStyle name="Normal 5 2 3 4 2 2 3 2" xfId="56648" xr:uid="{00000000-0005-0000-0000-0000568E0000}"/>
    <cellStyle name="Normal 5 2 3 4 2 2 3 3" xfId="56649" xr:uid="{00000000-0005-0000-0000-0000578E0000}"/>
    <cellStyle name="Normal 5 2 3 4 2 2 4" xfId="25811" xr:uid="{00000000-0005-0000-0000-0000588E0000}"/>
    <cellStyle name="Normal 5 2 3 4 2 2 4 2" xfId="56650" xr:uid="{00000000-0005-0000-0000-0000598E0000}"/>
    <cellStyle name="Normal 5 2 3 4 2 2 5" xfId="25812" xr:uid="{00000000-0005-0000-0000-00005A8E0000}"/>
    <cellStyle name="Normal 5 2 3 4 2 2 6" xfId="25813" xr:uid="{00000000-0005-0000-0000-00005B8E0000}"/>
    <cellStyle name="Normal 5 2 3 4 2 2 7" xfId="25814" xr:uid="{00000000-0005-0000-0000-00005C8E0000}"/>
    <cellStyle name="Normal 5 2 3 4 2 3" xfId="25815" xr:uid="{00000000-0005-0000-0000-00005D8E0000}"/>
    <cellStyle name="Normal 5 2 3 4 2 3 2" xfId="25816" xr:uid="{00000000-0005-0000-0000-00005E8E0000}"/>
    <cellStyle name="Normal 5 2 3 4 2 3 2 2" xfId="56651" xr:uid="{00000000-0005-0000-0000-00005F8E0000}"/>
    <cellStyle name="Normal 5 2 3 4 2 3 2 3" xfId="56652" xr:uid="{00000000-0005-0000-0000-0000608E0000}"/>
    <cellStyle name="Normal 5 2 3 4 2 3 3" xfId="25817" xr:uid="{00000000-0005-0000-0000-0000618E0000}"/>
    <cellStyle name="Normal 5 2 3 4 2 3 3 2" xfId="56653" xr:uid="{00000000-0005-0000-0000-0000628E0000}"/>
    <cellStyle name="Normal 5 2 3 4 2 3 4" xfId="25818" xr:uid="{00000000-0005-0000-0000-0000638E0000}"/>
    <cellStyle name="Normal 5 2 3 4 2 3 5" xfId="25819" xr:uid="{00000000-0005-0000-0000-0000648E0000}"/>
    <cellStyle name="Normal 5 2 3 4 2 3 6" xfId="25820" xr:uid="{00000000-0005-0000-0000-0000658E0000}"/>
    <cellStyle name="Normal 5 2 3 4 2 4" xfId="25821" xr:uid="{00000000-0005-0000-0000-0000668E0000}"/>
    <cellStyle name="Normal 5 2 3 4 2 4 2" xfId="56654" xr:uid="{00000000-0005-0000-0000-0000678E0000}"/>
    <cellStyle name="Normal 5 2 3 4 2 4 3" xfId="56655" xr:uid="{00000000-0005-0000-0000-0000688E0000}"/>
    <cellStyle name="Normal 5 2 3 4 2 5" xfId="25822" xr:uid="{00000000-0005-0000-0000-0000698E0000}"/>
    <cellStyle name="Normal 5 2 3 4 2 5 2" xfId="56656" xr:uid="{00000000-0005-0000-0000-00006A8E0000}"/>
    <cellStyle name="Normal 5 2 3 4 2 6" xfId="25823" xr:uid="{00000000-0005-0000-0000-00006B8E0000}"/>
    <cellStyle name="Normal 5 2 3 4 2 7" xfId="25824" xr:uid="{00000000-0005-0000-0000-00006C8E0000}"/>
    <cellStyle name="Normal 5 2 3 4 2 8" xfId="25825" xr:uid="{00000000-0005-0000-0000-00006D8E0000}"/>
    <cellStyle name="Normal 5 2 3 4 2 9" xfId="25826" xr:uid="{00000000-0005-0000-0000-00006E8E0000}"/>
    <cellStyle name="Normal 5 2 3 4 3" xfId="25827" xr:uid="{00000000-0005-0000-0000-00006F8E0000}"/>
    <cellStyle name="Normal 5 2 3 4 3 2" xfId="25828" xr:uid="{00000000-0005-0000-0000-0000708E0000}"/>
    <cellStyle name="Normal 5 2 3 4 3 2 2" xfId="25829" xr:uid="{00000000-0005-0000-0000-0000718E0000}"/>
    <cellStyle name="Normal 5 2 3 4 3 2 2 2" xfId="56657" xr:uid="{00000000-0005-0000-0000-0000728E0000}"/>
    <cellStyle name="Normal 5 2 3 4 3 2 2 3" xfId="56658" xr:uid="{00000000-0005-0000-0000-0000738E0000}"/>
    <cellStyle name="Normal 5 2 3 4 3 2 3" xfId="25830" xr:uid="{00000000-0005-0000-0000-0000748E0000}"/>
    <cellStyle name="Normal 5 2 3 4 3 2 3 2" xfId="56659" xr:uid="{00000000-0005-0000-0000-0000758E0000}"/>
    <cellStyle name="Normal 5 2 3 4 3 2 4" xfId="25831" xr:uid="{00000000-0005-0000-0000-0000768E0000}"/>
    <cellStyle name="Normal 5 2 3 4 3 2 5" xfId="25832" xr:uid="{00000000-0005-0000-0000-0000778E0000}"/>
    <cellStyle name="Normal 5 2 3 4 3 2 6" xfId="25833" xr:uid="{00000000-0005-0000-0000-0000788E0000}"/>
    <cellStyle name="Normal 5 2 3 4 3 3" xfId="25834" xr:uid="{00000000-0005-0000-0000-0000798E0000}"/>
    <cellStyle name="Normal 5 2 3 4 3 3 2" xfId="56660" xr:uid="{00000000-0005-0000-0000-00007A8E0000}"/>
    <cellStyle name="Normal 5 2 3 4 3 3 3" xfId="56661" xr:uid="{00000000-0005-0000-0000-00007B8E0000}"/>
    <cellStyle name="Normal 5 2 3 4 3 4" xfId="25835" xr:uid="{00000000-0005-0000-0000-00007C8E0000}"/>
    <cellStyle name="Normal 5 2 3 4 3 4 2" xfId="56662" xr:uid="{00000000-0005-0000-0000-00007D8E0000}"/>
    <cellStyle name="Normal 5 2 3 4 3 5" xfId="25836" xr:uid="{00000000-0005-0000-0000-00007E8E0000}"/>
    <cellStyle name="Normal 5 2 3 4 3 6" xfId="25837" xr:uid="{00000000-0005-0000-0000-00007F8E0000}"/>
    <cellStyle name="Normal 5 2 3 4 3 7" xfId="25838" xr:uid="{00000000-0005-0000-0000-0000808E0000}"/>
    <cellStyle name="Normal 5 2 3 4 4" xfId="25839" xr:uid="{00000000-0005-0000-0000-0000818E0000}"/>
    <cellStyle name="Normal 5 2 3 4 4 2" xfId="25840" xr:uid="{00000000-0005-0000-0000-0000828E0000}"/>
    <cellStyle name="Normal 5 2 3 4 4 2 2" xfId="56663" xr:uid="{00000000-0005-0000-0000-0000838E0000}"/>
    <cellStyle name="Normal 5 2 3 4 4 2 3" xfId="56664" xr:uid="{00000000-0005-0000-0000-0000848E0000}"/>
    <cellStyle name="Normal 5 2 3 4 4 3" xfId="25841" xr:uid="{00000000-0005-0000-0000-0000858E0000}"/>
    <cellStyle name="Normal 5 2 3 4 4 3 2" xfId="56665" xr:uid="{00000000-0005-0000-0000-0000868E0000}"/>
    <cellStyle name="Normal 5 2 3 4 4 4" xfId="25842" xr:uid="{00000000-0005-0000-0000-0000878E0000}"/>
    <cellStyle name="Normal 5 2 3 4 4 5" xfId="25843" xr:uid="{00000000-0005-0000-0000-0000888E0000}"/>
    <cellStyle name="Normal 5 2 3 4 4 6" xfId="25844" xr:uid="{00000000-0005-0000-0000-0000898E0000}"/>
    <cellStyle name="Normal 5 2 3 4 5" xfId="25845" xr:uid="{00000000-0005-0000-0000-00008A8E0000}"/>
    <cellStyle name="Normal 5 2 3 4 5 2" xfId="56666" xr:uid="{00000000-0005-0000-0000-00008B8E0000}"/>
    <cellStyle name="Normal 5 2 3 4 5 3" xfId="56667" xr:uid="{00000000-0005-0000-0000-00008C8E0000}"/>
    <cellStyle name="Normal 5 2 3 4 6" xfId="25846" xr:uid="{00000000-0005-0000-0000-00008D8E0000}"/>
    <cellStyle name="Normal 5 2 3 4 6 2" xfId="56668" xr:uid="{00000000-0005-0000-0000-00008E8E0000}"/>
    <cellStyle name="Normal 5 2 3 4 7" xfId="25847" xr:uid="{00000000-0005-0000-0000-00008F8E0000}"/>
    <cellStyle name="Normal 5 2 3 4 8" xfId="25848" xr:uid="{00000000-0005-0000-0000-0000908E0000}"/>
    <cellStyle name="Normal 5 2 3 4 9" xfId="25849" xr:uid="{00000000-0005-0000-0000-0000918E0000}"/>
    <cellStyle name="Normal 5 2 3 5" xfId="25850" xr:uid="{00000000-0005-0000-0000-0000928E0000}"/>
    <cellStyle name="Normal 5 2 3 5 2" xfId="25851" xr:uid="{00000000-0005-0000-0000-0000938E0000}"/>
    <cellStyle name="Normal 5 2 3 5 2 2" xfId="25852" xr:uid="{00000000-0005-0000-0000-0000948E0000}"/>
    <cellStyle name="Normal 5 2 3 5 2 2 2" xfId="25853" xr:uid="{00000000-0005-0000-0000-0000958E0000}"/>
    <cellStyle name="Normal 5 2 3 5 2 2 2 2" xfId="56669" xr:uid="{00000000-0005-0000-0000-0000968E0000}"/>
    <cellStyle name="Normal 5 2 3 5 2 2 2 3" xfId="56670" xr:uid="{00000000-0005-0000-0000-0000978E0000}"/>
    <cellStyle name="Normal 5 2 3 5 2 2 3" xfId="25854" xr:uid="{00000000-0005-0000-0000-0000988E0000}"/>
    <cellStyle name="Normal 5 2 3 5 2 2 3 2" xfId="56671" xr:uid="{00000000-0005-0000-0000-0000998E0000}"/>
    <cellStyle name="Normal 5 2 3 5 2 2 4" xfId="25855" xr:uid="{00000000-0005-0000-0000-00009A8E0000}"/>
    <cellStyle name="Normal 5 2 3 5 2 2 5" xfId="25856" xr:uid="{00000000-0005-0000-0000-00009B8E0000}"/>
    <cellStyle name="Normal 5 2 3 5 2 2 6" xfId="25857" xr:uid="{00000000-0005-0000-0000-00009C8E0000}"/>
    <cellStyle name="Normal 5 2 3 5 2 3" xfId="25858" xr:uid="{00000000-0005-0000-0000-00009D8E0000}"/>
    <cellStyle name="Normal 5 2 3 5 2 3 2" xfId="56672" xr:uid="{00000000-0005-0000-0000-00009E8E0000}"/>
    <cellStyle name="Normal 5 2 3 5 2 3 3" xfId="56673" xr:uid="{00000000-0005-0000-0000-00009F8E0000}"/>
    <cellStyle name="Normal 5 2 3 5 2 4" xfId="25859" xr:uid="{00000000-0005-0000-0000-0000A08E0000}"/>
    <cellStyle name="Normal 5 2 3 5 2 4 2" xfId="56674" xr:uid="{00000000-0005-0000-0000-0000A18E0000}"/>
    <cellStyle name="Normal 5 2 3 5 2 5" xfId="25860" xr:uid="{00000000-0005-0000-0000-0000A28E0000}"/>
    <cellStyle name="Normal 5 2 3 5 2 6" xfId="25861" xr:uid="{00000000-0005-0000-0000-0000A38E0000}"/>
    <cellStyle name="Normal 5 2 3 5 2 7" xfId="25862" xr:uid="{00000000-0005-0000-0000-0000A48E0000}"/>
    <cellStyle name="Normal 5 2 3 5 3" xfId="25863" xr:uid="{00000000-0005-0000-0000-0000A58E0000}"/>
    <cellStyle name="Normal 5 2 3 5 3 2" xfId="25864" xr:uid="{00000000-0005-0000-0000-0000A68E0000}"/>
    <cellStyle name="Normal 5 2 3 5 3 2 2" xfId="56675" xr:uid="{00000000-0005-0000-0000-0000A78E0000}"/>
    <cellStyle name="Normal 5 2 3 5 3 2 3" xfId="56676" xr:uid="{00000000-0005-0000-0000-0000A88E0000}"/>
    <cellStyle name="Normal 5 2 3 5 3 3" xfId="25865" xr:uid="{00000000-0005-0000-0000-0000A98E0000}"/>
    <cellStyle name="Normal 5 2 3 5 3 3 2" xfId="56677" xr:uid="{00000000-0005-0000-0000-0000AA8E0000}"/>
    <cellStyle name="Normal 5 2 3 5 3 4" xfId="25866" xr:uid="{00000000-0005-0000-0000-0000AB8E0000}"/>
    <cellStyle name="Normal 5 2 3 5 3 5" xfId="25867" xr:uid="{00000000-0005-0000-0000-0000AC8E0000}"/>
    <cellStyle name="Normal 5 2 3 5 3 6" xfId="25868" xr:uid="{00000000-0005-0000-0000-0000AD8E0000}"/>
    <cellStyle name="Normal 5 2 3 5 4" xfId="25869" xr:uid="{00000000-0005-0000-0000-0000AE8E0000}"/>
    <cellStyle name="Normal 5 2 3 5 4 2" xfId="56678" xr:uid="{00000000-0005-0000-0000-0000AF8E0000}"/>
    <cellStyle name="Normal 5 2 3 5 4 3" xfId="56679" xr:uid="{00000000-0005-0000-0000-0000B08E0000}"/>
    <cellStyle name="Normal 5 2 3 5 5" xfId="25870" xr:uid="{00000000-0005-0000-0000-0000B18E0000}"/>
    <cellStyle name="Normal 5 2 3 5 5 2" xfId="56680" xr:uid="{00000000-0005-0000-0000-0000B28E0000}"/>
    <cellStyle name="Normal 5 2 3 5 6" xfId="25871" xr:uid="{00000000-0005-0000-0000-0000B38E0000}"/>
    <cellStyle name="Normal 5 2 3 5 7" xfId="25872" xr:uid="{00000000-0005-0000-0000-0000B48E0000}"/>
    <cellStyle name="Normal 5 2 3 5 8" xfId="25873" xr:uid="{00000000-0005-0000-0000-0000B58E0000}"/>
    <cellStyle name="Normal 5 2 3 5 9" xfId="25874" xr:uid="{00000000-0005-0000-0000-0000B68E0000}"/>
    <cellStyle name="Normal 5 2 3 6" xfId="25875" xr:uid="{00000000-0005-0000-0000-0000B78E0000}"/>
    <cellStyle name="Normal 5 2 3 6 2" xfId="25876" xr:uid="{00000000-0005-0000-0000-0000B88E0000}"/>
    <cellStyle name="Normal 5 2 3 6 2 2" xfId="25877" xr:uid="{00000000-0005-0000-0000-0000B98E0000}"/>
    <cellStyle name="Normal 5 2 3 6 2 2 2" xfId="25878" xr:uid="{00000000-0005-0000-0000-0000BA8E0000}"/>
    <cellStyle name="Normal 5 2 3 6 2 2 2 2" xfId="56681" xr:uid="{00000000-0005-0000-0000-0000BB8E0000}"/>
    <cellStyle name="Normal 5 2 3 6 2 2 2 3" xfId="56682" xr:uid="{00000000-0005-0000-0000-0000BC8E0000}"/>
    <cellStyle name="Normal 5 2 3 6 2 2 3" xfId="25879" xr:uid="{00000000-0005-0000-0000-0000BD8E0000}"/>
    <cellStyle name="Normal 5 2 3 6 2 2 3 2" xfId="56683" xr:uid="{00000000-0005-0000-0000-0000BE8E0000}"/>
    <cellStyle name="Normal 5 2 3 6 2 2 4" xfId="25880" xr:uid="{00000000-0005-0000-0000-0000BF8E0000}"/>
    <cellStyle name="Normal 5 2 3 6 2 2 5" xfId="25881" xr:uid="{00000000-0005-0000-0000-0000C08E0000}"/>
    <cellStyle name="Normal 5 2 3 6 2 2 6" xfId="25882" xr:uid="{00000000-0005-0000-0000-0000C18E0000}"/>
    <cellStyle name="Normal 5 2 3 6 2 3" xfId="25883" xr:uid="{00000000-0005-0000-0000-0000C28E0000}"/>
    <cellStyle name="Normal 5 2 3 6 2 3 2" xfId="56684" xr:uid="{00000000-0005-0000-0000-0000C38E0000}"/>
    <cellStyle name="Normal 5 2 3 6 2 3 3" xfId="56685" xr:uid="{00000000-0005-0000-0000-0000C48E0000}"/>
    <cellStyle name="Normal 5 2 3 6 2 4" xfId="25884" xr:uid="{00000000-0005-0000-0000-0000C58E0000}"/>
    <cellStyle name="Normal 5 2 3 6 2 4 2" xfId="56686" xr:uid="{00000000-0005-0000-0000-0000C68E0000}"/>
    <cellStyle name="Normal 5 2 3 6 2 5" xfId="25885" xr:uid="{00000000-0005-0000-0000-0000C78E0000}"/>
    <cellStyle name="Normal 5 2 3 6 2 6" xfId="25886" xr:uid="{00000000-0005-0000-0000-0000C88E0000}"/>
    <cellStyle name="Normal 5 2 3 6 2 7" xfId="25887" xr:uid="{00000000-0005-0000-0000-0000C98E0000}"/>
    <cellStyle name="Normal 5 2 3 6 3" xfId="25888" xr:uid="{00000000-0005-0000-0000-0000CA8E0000}"/>
    <cellStyle name="Normal 5 2 3 6 3 2" xfId="25889" xr:uid="{00000000-0005-0000-0000-0000CB8E0000}"/>
    <cellStyle name="Normal 5 2 3 6 3 2 2" xfId="56687" xr:uid="{00000000-0005-0000-0000-0000CC8E0000}"/>
    <cellStyle name="Normal 5 2 3 6 3 2 3" xfId="56688" xr:uid="{00000000-0005-0000-0000-0000CD8E0000}"/>
    <cellStyle name="Normal 5 2 3 6 3 3" xfId="25890" xr:uid="{00000000-0005-0000-0000-0000CE8E0000}"/>
    <cellStyle name="Normal 5 2 3 6 3 3 2" xfId="56689" xr:uid="{00000000-0005-0000-0000-0000CF8E0000}"/>
    <cellStyle name="Normal 5 2 3 6 3 4" xfId="25891" xr:uid="{00000000-0005-0000-0000-0000D08E0000}"/>
    <cellStyle name="Normal 5 2 3 6 3 5" xfId="25892" xr:uid="{00000000-0005-0000-0000-0000D18E0000}"/>
    <cellStyle name="Normal 5 2 3 6 3 6" xfId="25893" xr:uid="{00000000-0005-0000-0000-0000D28E0000}"/>
    <cellStyle name="Normal 5 2 3 6 4" xfId="25894" xr:uid="{00000000-0005-0000-0000-0000D38E0000}"/>
    <cellStyle name="Normal 5 2 3 6 4 2" xfId="56690" xr:uid="{00000000-0005-0000-0000-0000D48E0000}"/>
    <cellStyle name="Normal 5 2 3 6 4 3" xfId="56691" xr:uid="{00000000-0005-0000-0000-0000D58E0000}"/>
    <cellStyle name="Normal 5 2 3 6 5" xfId="25895" xr:uid="{00000000-0005-0000-0000-0000D68E0000}"/>
    <cellStyle name="Normal 5 2 3 6 5 2" xfId="56692" xr:uid="{00000000-0005-0000-0000-0000D78E0000}"/>
    <cellStyle name="Normal 5 2 3 6 6" xfId="25896" xr:uid="{00000000-0005-0000-0000-0000D88E0000}"/>
    <cellStyle name="Normal 5 2 3 6 7" xfId="25897" xr:uid="{00000000-0005-0000-0000-0000D98E0000}"/>
    <cellStyle name="Normal 5 2 3 6 8" xfId="25898" xr:uid="{00000000-0005-0000-0000-0000DA8E0000}"/>
    <cellStyle name="Normal 5 2 3 7" xfId="25899" xr:uid="{00000000-0005-0000-0000-0000DB8E0000}"/>
    <cellStyle name="Normal 5 2 3 7 2" xfId="25900" xr:uid="{00000000-0005-0000-0000-0000DC8E0000}"/>
    <cellStyle name="Normal 5 2 3 7 2 2" xfId="25901" xr:uid="{00000000-0005-0000-0000-0000DD8E0000}"/>
    <cellStyle name="Normal 5 2 3 7 2 2 2" xfId="25902" xr:uid="{00000000-0005-0000-0000-0000DE8E0000}"/>
    <cellStyle name="Normal 5 2 3 7 2 2 2 2" xfId="56693" xr:uid="{00000000-0005-0000-0000-0000DF8E0000}"/>
    <cellStyle name="Normal 5 2 3 7 2 2 2 3" xfId="56694" xr:uid="{00000000-0005-0000-0000-0000E08E0000}"/>
    <cellStyle name="Normal 5 2 3 7 2 2 3" xfId="25903" xr:uid="{00000000-0005-0000-0000-0000E18E0000}"/>
    <cellStyle name="Normal 5 2 3 7 2 2 3 2" xfId="56695" xr:uid="{00000000-0005-0000-0000-0000E28E0000}"/>
    <cellStyle name="Normal 5 2 3 7 2 2 4" xfId="25904" xr:uid="{00000000-0005-0000-0000-0000E38E0000}"/>
    <cellStyle name="Normal 5 2 3 7 2 2 5" xfId="25905" xr:uid="{00000000-0005-0000-0000-0000E48E0000}"/>
    <cellStyle name="Normal 5 2 3 7 2 2 6" xfId="25906" xr:uid="{00000000-0005-0000-0000-0000E58E0000}"/>
    <cellStyle name="Normal 5 2 3 7 2 3" xfId="25907" xr:uid="{00000000-0005-0000-0000-0000E68E0000}"/>
    <cellStyle name="Normal 5 2 3 7 2 3 2" xfId="56696" xr:uid="{00000000-0005-0000-0000-0000E78E0000}"/>
    <cellStyle name="Normal 5 2 3 7 2 3 3" xfId="56697" xr:uid="{00000000-0005-0000-0000-0000E88E0000}"/>
    <cellStyle name="Normal 5 2 3 7 2 4" xfId="25908" xr:uid="{00000000-0005-0000-0000-0000E98E0000}"/>
    <cellStyle name="Normal 5 2 3 7 2 4 2" xfId="56698" xr:uid="{00000000-0005-0000-0000-0000EA8E0000}"/>
    <cellStyle name="Normal 5 2 3 7 2 5" xfId="25909" xr:uid="{00000000-0005-0000-0000-0000EB8E0000}"/>
    <cellStyle name="Normal 5 2 3 7 2 6" xfId="25910" xr:uid="{00000000-0005-0000-0000-0000EC8E0000}"/>
    <cellStyle name="Normal 5 2 3 7 2 7" xfId="25911" xr:uid="{00000000-0005-0000-0000-0000ED8E0000}"/>
    <cellStyle name="Normal 5 2 3 7 3" xfId="25912" xr:uid="{00000000-0005-0000-0000-0000EE8E0000}"/>
    <cellStyle name="Normal 5 2 3 7 3 2" xfId="25913" xr:uid="{00000000-0005-0000-0000-0000EF8E0000}"/>
    <cellStyle name="Normal 5 2 3 7 3 2 2" xfId="56699" xr:uid="{00000000-0005-0000-0000-0000F08E0000}"/>
    <cellStyle name="Normal 5 2 3 7 3 2 3" xfId="56700" xr:uid="{00000000-0005-0000-0000-0000F18E0000}"/>
    <cellStyle name="Normal 5 2 3 7 3 3" xfId="25914" xr:uid="{00000000-0005-0000-0000-0000F28E0000}"/>
    <cellStyle name="Normal 5 2 3 7 3 3 2" xfId="56701" xr:uid="{00000000-0005-0000-0000-0000F38E0000}"/>
    <cellStyle name="Normal 5 2 3 7 3 4" xfId="25915" xr:uid="{00000000-0005-0000-0000-0000F48E0000}"/>
    <cellStyle name="Normal 5 2 3 7 3 5" xfId="25916" xr:uid="{00000000-0005-0000-0000-0000F58E0000}"/>
    <cellStyle name="Normal 5 2 3 7 3 6" xfId="25917" xr:uid="{00000000-0005-0000-0000-0000F68E0000}"/>
    <cellStyle name="Normal 5 2 3 7 4" xfId="25918" xr:uid="{00000000-0005-0000-0000-0000F78E0000}"/>
    <cellStyle name="Normal 5 2 3 7 4 2" xfId="56702" xr:uid="{00000000-0005-0000-0000-0000F88E0000}"/>
    <cellStyle name="Normal 5 2 3 7 4 3" xfId="56703" xr:uid="{00000000-0005-0000-0000-0000F98E0000}"/>
    <cellStyle name="Normal 5 2 3 7 5" xfId="25919" xr:uid="{00000000-0005-0000-0000-0000FA8E0000}"/>
    <cellStyle name="Normal 5 2 3 7 5 2" xfId="56704" xr:uid="{00000000-0005-0000-0000-0000FB8E0000}"/>
    <cellStyle name="Normal 5 2 3 7 6" xfId="25920" xr:uid="{00000000-0005-0000-0000-0000FC8E0000}"/>
    <cellStyle name="Normal 5 2 3 7 7" xfId="25921" xr:uid="{00000000-0005-0000-0000-0000FD8E0000}"/>
    <cellStyle name="Normal 5 2 3 7 8" xfId="25922" xr:uid="{00000000-0005-0000-0000-0000FE8E0000}"/>
    <cellStyle name="Normal 5 2 3 8" xfId="25923" xr:uid="{00000000-0005-0000-0000-0000FF8E0000}"/>
    <cellStyle name="Normal 5 2 3 8 2" xfId="25924" xr:uid="{00000000-0005-0000-0000-0000008F0000}"/>
    <cellStyle name="Normal 5 2 3 8 2 2" xfId="25925" xr:uid="{00000000-0005-0000-0000-0000018F0000}"/>
    <cellStyle name="Normal 5 2 3 8 2 2 2" xfId="56705" xr:uid="{00000000-0005-0000-0000-0000028F0000}"/>
    <cellStyle name="Normal 5 2 3 8 2 2 3" xfId="56706" xr:uid="{00000000-0005-0000-0000-0000038F0000}"/>
    <cellStyle name="Normal 5 2 3 8 2 3" xfId="25926" xr:uid="{00000000-0005-0000-0000-0000048F0000}"/>
    <cellStyle name="Normal 5 2 3 8 2 3 2" xfId="56707" xr:uid="{00000000-0005-0000-0000-0000058F0000}"/>
    <cellStyle name="Normal 5 2 3 8 2 4" xfId="25927" xr:uid="{00000000-0005-0000-0000-0000068F0000}"/>
    <cellStyle name="Normal 5 2 3 8 2 5" xfId="25928" xr:uid="{00000000-0005-0000-0000-0000078F0000}"/>
    <cellStyle name="Normal 5 2 3 8 2 6" xfId="25929" xr:uid="{00000000-0005-0000-0000-0000088F0000}"/>
    <cellStyle name="Normal 5 2 3 8 3" xfId="25930" xr:uid="{00000000-0005-0000-0000-0000098F0000}"/>
    <cellStyle name="Normal 5 2 3 8 3 2" xfId="56708" xr:uid="{00000000-0005-0000-0000-00000A8F0000}"/>
    <cellStyle name="Normal 5 2 3 8 3 3" xfId="56709" xr:uid="{00000000-0005-0000-0000-00000B8F0000}"/>
    <cellStyle name="Normal 5 2 3 8 4" xfId="25931" xr:uid="{00000000-0005-0000-0000-00000C8F0000}"/>
    <cellStyle name="Normal 5 2 3 8 4 2" xfId="56710" xr:uid="{00000000-0005-0000-0000-00000D8F0000}"/>
    <cellStyle name="Normal 5 2 3 8 5" xfId="25932" xr:uid="{00000000-0005-0000-0000-00000E8F0000}"/>
    <cellStyle name="Normal 5 2 3 8 6" xfId="25933" xr:uid="{00000000-0005-0000-0000-00000F8F0000}"/>
    <cellStyle name="Normal 5 2 3 8 7" xfId="25934" xr:uid="{00000000-0005-0000-0000-0000108F0000}"/>
    <cellStyle name="Normal 5 2 3 9" xfId="25935" xr:uid="{00000000-0005-0000-0000-0000118F0000}"/>
    <cellStyle name="Normal 5 2 3 9 2" xfId="25936" xr:uid="{00000000-0005-0000-0000-0000128F0000}"/>
    <cellStyle name="Normal 5 2 3 9 2 2" xfId="56711" xr:uid="{00000000-0005-0000-0000-0000138F0000}"/>
    <cellStyle name="Normal 5 2 3 9 2 3" xfId="56712" xr:uid="{00000000-0005-0000-0000-0000148F0000}"/>
    <cellStyle name="Normal 5 2 3 9 3" xfId="25937" xr:uid="{00000000-0005-0000-0000-0000158F0000}"/>
    <cellStyle name="Normal 5 2 3 9 3 2" xfId="56713" xr:uid="{00000000-0005-0000-0000-0000168F0000}"/>
    <cellStyle name="Normal 5 2 3 9 4" xfId="25938" xr:uid="{00000000-0005-0000-0000-0000178F0000}"/>
    <cellStyle name="Normal 5 2 3 9 5" xfId="25939" xr:uid="{00000000-0005-0000-0000-0000188F0000}"/>
    <cellStyle name="Normal 5 2 3 9 6" xfId="25940" xr:uid="{00000000-0005-0000-0000-0000198F0000}"/>
    <cellStyle name="Normal 5 2 4" xfId="25941" xr:uid="{00000000-0005-0000-0000-00001A8F0000}"/>
    <cellStyle name="Normal 5 2 4 2" xfId="25942" xr:uid="{00000000-0005-0000-0000-00001B8F0000}"/>
    <cellStyle name="Normal 5 2 4 3" xfId="25943" xr:uid="{00000000-0005-0000-0000-00001C8F0000}"/>
    <cellStyle name="Normal 5 2 5" xfId="25944" xr:uid="{00000000-0005-0000-0000-00001D8F0000}"/>
    <cellStyle name="Normal 5 2 5 10" xfId="25945" xr:uid="{00000000-0005-0000-0000-00001E8F0000}"/>
    <cellStyle name="Normal 5 2 5 11" xfId="25946" xr:uid="{00000000-0005-0000-0000-00001F8F0000}"/>
    <cellStyle name="Normal 5 2 5 12" xfId="25947" xr:uid="{00000000-0005-0000-0000-0000208F0000}"/>
    <cellStyle name="Normal 5 2 5 13" xfId="25948" xr:uid="{00000000-0005-0000-0000-0000218F0000}"/>
    <cellStyle name="Normal 5 2 5 14" xfId="25949" xr:uid="{00000000-0005-0000-0000-0000228F0000}"/>
    <cellStyle name="Normal 5 2 5 15" xfId="25950" xr:uid="{00000000-0005-0000-0000-0000238F0000}"/>
    <cellStyle name="Normal 5 2 5 16" xfId="25951" xr:uid="{00000000-0005-0000-0000-0000248F0000}"/>
    <cellStyle name="Normal 5 2 5 2" xfId="25952" xr:uid="{00000000-0005-0000-0000-0000258F0000}"/>
    <cellStyle name="Normal 5 2 5 2 10" xfId="25953" xr:uid="{00000000-0005-0000-0000-0000268F0000}"/>
    <cellStyle name="Normal 5 2 5 2 11" xfId="25954" xr:uid="{00000000-0005-0000-0000-0000278F0000}"/>
    <cellStyle name="Normal 5 2 5 2 12" xfId="25955" xr:uid="{00000000-0005-0000-0000-0000288F0000}"/>
    <cellStyle name="Normal 5 2 5 2 13" xfId="25956" xr:uid="{00000000-0005-0000-0000-0000298F0000}"/>
    <cellStyle name="Normal 5 2 5 2 14" xfId="25957" xr:uid="{00000000-0005-0000-0000-00002A8F0000}"/>
    <cellStyle name="Normal 5 2 5 2 15" xfId="25958" xr:uid="{00000000-0005-0000-0000-00002B8F0000}"/>
    <cellStyle name="Normal 5 2 5 2 2" xfId="25959" xr:uid="{00000000-0005-0000-0000-00002C8F0000}"/>
    <cellStyle name="Normal 5 2 5 2 2 2" xfId="25960" xr:uid="{00000000-0005-0000-0000-00002D8F0000}"/>
    <cellStyle name="Normal 5 2 5 2 2 2 2" xfId="25961" xr:uid="{00000000-0005-0000-0000-00002E8F0000}"/>
    <cellStyle name="Normal 5 2 5 2 2 2 2 2" xfId="25962" xr:uid="{00000000-0005-0000-0000-00002F8F0000}"/>
    <cellStyle name="Normal 5 2 5 2 2 2 2 2 2" xfId="56714" xr:uid="{00000000-0005-0000-0000-0000308F0000}"/>
    <cellStyle name="Normal 5 2 5 2 2 2 2 2 3" xfId="56715" xr:uid="{00000000-0005-0000-0000-0000318F0000}"/>
    <cellStyle name="Normal 5 2 5 2 2 2 2 3" xfId="25963" xr:uid="{00000000-0005-0000-0000-0000328F0000}"/>
    <cellStyle name="Normal 5 2 5 2 2 2 2 3 2" xfId="56716" xr:uid="{00000000-0005-0000-0000-0000338F0000}"/>
    <cellStyle name="Normal 5 2 5 2 2 2 2 4" xfId="25964" xr:uid="{00000000-0005-0000-0000-0000348F0000}"/>
    <cellStyle name="Normal 5 2 5 2 2 2 2 5" xfId="25965" xr:uid="{00000000-0005-0000-0000-0000358F0000}"/>
    <cellStyle name="Normal 5 2 5 2 2 2 2 6" xfId="25966" xr:uid="{00000000-0005-0000-0000-0000368F0000}"/>
    <cellStyle name="Normal 5 2 5 2 2 2 3" xfId="25967" xr:uid="{00000000-0005-0000-0000-0000378F0000}"/>
    <cellStyle name="Normal 5 2 5 2 2 2 3 2" xfId="56717" xr:uid="{00000000-0005-0000-0000-0000388F0000}"/>
    <cellStyle name="Normal 5 2 5 2 2 2 3 3" xfId="56718" xr:uid="{00000000-0005-0000-0000-0000398F0000}"/>
    <cellStyle name="Normal 5 2 5 2 2 2 4" xfId="25968" xr:uid="{00000000-0005-0000-0000-00003A8F0000}"/>
    <cellStyle name="Normal 5 2 5 2 2 2 4 2" xfId="56719" xr:uid="{00000000-0005-0000-0000-00003B8F0000}"/>
    <cellStyle name="Normal 5 2 5 2 2 2 5" xfId="25969" xr:uid="{00000000-0005-0000-0000-00003C8F0000}"/>
    <cellStyle name="Normal 5 2 5 2 2 2 6" xfId="25970" xr:uid="{00000000-0005-0000-0000-00003D8F0000}"/>
    <cellStyle name="Normal 5 2 5 2 2 2 7" xfId="25971" xr:uid="{00000000-0005-0000-0000-00003E8F0000}"/>
    <cellStyle name="Normal 5 2 5 2 2 3" xfId="25972" xr:uid="{00000000-0005-0000-0000-00003F8F0000}"/>
    <cellStyle name="Normal 5 2 5 2 2 3 2" xfId="25973" xr:uid="{00000000-0005-0000-0000-0000408F0000}"/>
    <cellStyle name="Normal 5 2 5 2 2 3 2 2" xfId="56720" xr:uid="{00000000-0005-0000-0000-0000418F0000}"/>
    <cellStyle name="Normal 5 2 5 2 2 3 2 3" xfId="56721" xr:uid="{00000000-0005-0000-0000-0000428F0000}"/>
    <cellStyle name="Normal 5 2 5 2 2 3 3" xfId="25974" xr:uid="{00000000-0005-0000-0000-0000438F0000}"/>
    <cellStyle name="Normal 5 2 5 2 2 3 3 2" xfId="56722" xr:uid="{00000000-0005-0000-0000-0000448F0000}"/>
    <cellStyle name="Normal 5 2 5 2 2 3 4" xfId="25975" xr:uid="{00000000-0005-0000-0000-0000458F0000}"/>
    <cellStyle name="Normal 5 2 5 2 2 3 5" xfId="25976" xr:uid="{00000000-0005-0000-0000-0000468F0000}"/>
    <cellStyle name="Normal 5 2 5 2 2 3 6" xfId="25977" xr:uid="{00000000-0005-0000-0000-0000478F0000}"/>
    <cellStyle name="Normal 5 2 5 2 2 4" xfId="25978" xr:uid="{00000000-0005-0000-0000-0000488F0000}"/>
    <cellStyle name="Normal 5 2 5 2 2 4 2" xfId="56723" xr:uid="{00000000-0005-0000-0000-0000498F0000}"/>
    <cellStyle name="Normal 5 2 5 2 2 4 3" xfId="56724" xr:uid="{00000000-0005-0000-0000-00004A8F0000}"/>
    <cellStyle name="Normal 5 2 5 2 2 5" xfId="25979" xr:uid="{00000000-0005-0000-0000-00004B8F0000}"/>
    <cellStyle name="Normal 5 2 5 2 2 5 2" xfId="56725" xr:uid="{00000000-0005-0000-0000-00004C8F0000}"/>
    <cellStyle name="Normal 5 2 5 2 2 6" xfId="25980" xr:uid="{00000000-0005-0000-0000-00004D8F0000}"/>
    <cellStyle name="Normal 5 2 5 2 2 7" xfId="25981" xr:uid="{00000000-0005-0000-0000-00004E8F0000}"/>
    <cellStyle name="Normal 5 2 5 2 2 8" xfId="25982" xr:uid="{00000000-0005-0000-0000-00004F8F0000}"/>
    <cellStyle name="Normal 5 2 5 2 2 9" xfId="25983" xr:uid="{00000000-0005-0000-0000-0000508F0000}"/>
    <cellStyle name="Normal 5 2 5 2 3" xfId="25984" xr:uid="{00000000-0005-0000-0000-0000518F0000}"/>
    <cellStyle name="Normal 5 2 5 2 3 2" xfId="25985" xr:uid="{00000000-0005-0000-0000-0000528F0000}"/>
    <cellStyle name="Normal 5 2 5 2 3 2 2" xfId="25986" xr:uid="{00000000-0005-0000-0000-0000538F0000}"/>
    <cellStyle name="Normal 5 2 5 2 3 2 2 2" xfId="25987" xr:uid="{00000000-0005-0000-0000-0000548F0000}"/>
    <cellStyle name="Normal 5 2 5 2 3 2 2 2 2" xfId="56726" xr:uid="{00000000-0005-0000-0000-0000558F0000}"/>
    <cellStyle name="Normal 5 2 5 2 3 2 2 2 3" xfId="56727" xr:uid="{00000000-0005-0000-0000-0000568F0000}"/>
    <cellStyle name="Normal 5 2 5 2 3 2 2 3" xfId="25988" xr:uid="{00000000-0005-0000-0000-0000578F0000}"/>
    <cellStyle name="Normal 5 2 5 2 3 2 2 3 2" xfId="56728" xr:uid="{00000000-0005-0000-0000-0000588F0000}"/>
    <cellStyle name="Normal 5 2 5 2 3 2 2 4" xfId="25989" xr:uid="{00000000-0005-0000-0000-0000598F0000}"/>
    <cellStyle name="Normal 5 2 5 2 3 2 2 5" xfId="25990" xr:uid="{00000000-0005-0000-0000-00005A8F0000}"/>
    <cellStyle name="Normal 5 2 5 2 3 2 2 6" xfId="25991" xr:uid="{00000000-0005-0000-0000-00005B8F0000}"/>
    <cellStyle name="Normal 5 2 5 2 3 2 3" xfId="25992" xr:uid="{00000000-0005-0000-0000-00005C8F0000}"/>
    <cellStyle name="Normal 5 2 5 2 3 2 3 2" xfId="56729" xr:uid="{00000000-0005-0000-0000-00005D8F0000}"/>
    <cellStyle name="Normal 5 2 5 2 3 2 3 3" xfId="56730" xr:uid="{00000000-0005-0000-0000-00005E8F0000}"/>
    <cellStyle name="Normal 5 2 5 2 3 2 4" xfId="25993" xr:uid="{00000000-0005-0000-0000-00005F8F0000}"/>
    <cellStyle name="Normal 5 2 5 2 3 2 4 2" xfId="56731" xr:uid="{00000000-0005-0000-0000-0000608F0000}"/>
    <cellStyle name="Normal 5 2 5 2 3 2 5" xfId="25994" xr:uid="{00000000-0005-0000-0000-0000618F0000}"/>
    <cellStyle name="Normal 5 2 5 2 3 2 6" xfId="25995" xr:uid="{00000000-0005-0000-0000-0000628F0000}"/>
    <cellStyle name="Normal 5 2 5 2 3 2 7" xfId="25996" xr:uid="{00000000-0005-0000-0000-0000638F0000}"/>
    <cellStyle name="Normal 5 2 5 2 3 3" xfId="25997" xr:uid="{00000000-0005-0000-0000-0000648F0000}"/>
    <cellStyle name="Normal 5 2 5 2 3 3 2" xfId="25998" xr:uid="{00000000-0005-0000-0000-0000658F0000}"/>
    <cellStyle name="Normal 5 2 5 2 3 3 2 2" xfId="56732" xr:uid="{00000000-0005-0000-0000-0000668F0000}"/>
    <cellStyle name="Normal 5 2 5 2 3 3 2 3" xfId="56733" xr:uid="{00000000-0005-0000-0000-0000678F0000}"/>
    <cellStyle name="Normal 5 2 5 2 3 3 3" xfId="25999" xr:uid="{00000000-0005-0000-0000-0000688F0000}"/>
    <cellStyle name="Normal 5 2 5 2 3 3 3 2" xfId="56734" xr:uid="{00000000-0005-0000-0000-0000698F0000}"/>
    <cellStyle name="Normal 5 2 5 2 3 3 4" xfId="26000" xr:uid="{00000000-0005-0000-0000-00006A8F0000}"/>
    <cellStyle name="Normal 5 2 5 2 3 3 5" xfId="26001" xr:uid="{00000000-0005-0000-0000-00006B8F0000}"/>
    <cellStyle name="Normal 5 2 5 2 3 3 6" xfId="26002" xr:uid="{00000000-0005-0000-0000-00006C8F0000}"/>
    <cellStyle name="Normal 5 2 5 2 3 4" xfId="26003" xr:uid="{00000000-0005-0000-0000-00006D8F0000}"/>
    <cellStyle name="Normal 5 2 5 2 3 4 2" xfId="56735" xr:uid="{00000000-0005-0000-0000-00006E8F0000}"/>
    <cellStyle name="Normal 5 2 5 2 3 4 3" xfId="56736" xr:uid="{00000000-0005-0000-0000-00006F8F0000}"/>
    <cellStyle name="Normal 5 2 5 2 3 5" xfId="26004" xr:uid="{00000000-0005-0000-0000-0000708F0000}"/>
    <cellStyle name="Normal 5 2 5 2 3 5 2" xfId="56737" xr:uid="{00000000-0005-0000-0000-0000718F0000}"/>
    <cellStyle name="Normal 5 2 5 2 3 6" xfId="26005" xr:uid="{00000000-0005-0000-0000-0000728F0000}"/>
    <cellStyle name="Normal 5 2 5 2 3 7" xfId="26006" xr:uid="{00000000-0005-0000-0000-0000738F0000}"/>
    <cellStyle name="Normal 5 2 5 2 3 8" xfId="26007" xr:uid="{00000000-0005-0000-0000-0000748F0000}"/>
    <cellStyle name="Normal 5 2 5 2 4" xfId="26008" xr:uid="{00000000-0005-0000-0000-0000758F0000}"/>
    <cellStyle name="Normal 5 2 5 2 4 2" xfId="26009" xr:uid="{00000000-0005-0000-0000-0000768F0000}"/>
    <cellStyle name="Normal 5 2 5 2 4 2 2" xfId="26010" xr:uid="{00000000-0005-0000-0000-0000778F0000}"/>
    <cellStyle name="Normal 5 2 5 2 4 2 2 2" xfId="56738" xr:uid="{00000000-0005-0000-0000-0000788F0000}"/>
    <cellStyle name="Normal 5 2 5 2 4 2 2 3" xfId="56739" xr:uid="{00000000-0005-0000-0000-0000798F0000}"/>
    <cellStyle name="Normal 5 2 5 2 4 2 3" xfId="26011" xr:uid="{00000000-0005-0000-0000-00007A8F0000}"/>
    <cellStyle name="Normal 5 2 5 2 4 2 3 2" xfId="56740" xr:uid="{00000000-0005-0000-0000-00007B8F0000}"/>
    <cellStyle name="Normal 5 2 5 2 4 2 4" xfId="26012" xr:uid="{00000000-0005-0000-0000-00007C8F0000}"/>
    <cellStyle name="Normal 5 2 5 2 4 2 5" xfId="26013" xr:uid="{00000000-0005-0000-0000-00007D8F0000}"/>
    <cellStyle name="Normal 5 2 5 2 4 2 6" xfId="26014" xr:uid="{00000000-0005-0000-0000-00007E8F0000}"/>
    <cellStyle name="Normal 5 2 5 2 4 3" xfId="26015" xr:uid="{00000000-0005-0000-0000-00007F8F0000}"/>
    <cellStyle name="Normal 5 2 5 2 4 3 2" xfId="56741" xr:uid="{00000000-0005-0000-0000-0000808F0000}"/>
    <cellStyle name="Normal 5 2 5 2 4 3 3" xfId="56742" xr:uid="{00000000-0005-0000-0000-0000818F0000}"/>
    <cellStyle name="Normal 5 2 5 2 4 4" xfId="26016" xr:uid="{00000000-0005-0000-0000-0000828F0000}"/>
    <cellStyle name="Normal 5 2 5 2 4 4 2" xfId="56743" xr:uid="{00000000-0005-0000-0000-0000838F0000}"/>
    <cellStyle name="Normal 5 2 5 2 4 5" xfId="26017" xr:uid="{00000000-0005-0000-0000-0000848F0000}"/>
    <cellStyle name="Normal 5 2 5 2 4 6" xfId="26018" xr:uid="{00000000-0005-0000-0000-0000858F0000}"/>
    <cellStyle name="Normal 5 2 5 2 4 7" xfId="26019" xr:uid="{00000000-0005-0000-0000-0000868F0000}"/>
    <cellStyle name="Normal 5 2 5 2 5" xfId="26020" xr:uid="{00000000-0005-0000-0000-0000878F0000}"/>
    <cellStyle name="Normal 5 2 5 2 5 2" xfId="26021" xr:uid="{00000000-0005-0000-0000-0000888F0000}"/>
    <cellStyle name="Normal 5 2 5 2 5 2 2" xfId="56744" xr:uid="{00000000-0005-0000-0000-0000898F0000}"/>
    <cellStyle name="Normal 5 2 5 2 5 2 3" xfId="56745" xr:uid="{00000000-0005-0000-0000-00008A8F0000}"/>
    <cellStyle name="Normal 5 2 5 2 5 3" xfId="26022" xr:uid="{00000000-0005-0000-0000-00008B8F0000}"/>
    <cellStyle name="Normal 5 2 5 2 5 3 2" xfId="56746" xr:uid="{00000000-0005-0000-0000-00008C8F0000}"/>
    <cellStyle name="Normal 5 2 5 2 5 4" xfId="26023" xr:uid="{00000000-0005-0000-0000-00008D8F0000}"/>
    <cellStyle name="Normal 5 2 5 2 5 5" xfId="26024" xr:uid="{00000000-0005-0000-0000-00008E8F0000}"/>
    <cellStyle name="Normal 5 2 5 2 5 6" xfId="26025" xr:uid="{00000000-0005-0000-0000-00008F8F0000}"/>
    <cellStyle name="Normal 5 2 5 2 6" xfId="26026" xr:uid="{00000000-0005-0000-0000-0000908F0000}"/>
    <cellStyle name="Normal 5 2 5 2 6 2" xfId="56747" xr:uid="{00000000-0005-0000-0000-0000918F0000}"/>
    <cellStyle name="Normal 5 2 5 2 7" xfId="26027" xr:uid="{00000000-0005-0000-0000-0000928F0000}"/>
    <cellStyle name="Normal 5 2 5 2 8" xfId="26028" xr:uid="{00000000-0005-0000-0000-0000938F0000}"/>
    <cellStyle name="Normal 5 2 5 2 9" xfId="26029" xr:uid="{00000000-0005-0000-0000-0000948F0000}"/>
    <cellStyle name="Normal 5 2 5 3" xfId="26030" xr:uid="{00000000-0005-0000-0000-0000958F0000}"/>
    <cellStyle name="Normal 5 2 5 3 2" xfId="26031" xr:uid="{00000000-0005-0000-0000-0000968F0000}"/>
    <cellStyle name="Normal 5 2 5 3 2 2" xfId="26032" xr:uid="{00000000-0005-0000-0000-0000978F0000}"/>
    <cellStyle name="Normal 5 2 5 3 2 2 2" xfId="26033" xr:uid="{00000000-0005-0000-0000-0000988F0000}"/>
    <cellStyle name="Normal 5 2 5 3 2 2 2 2" xfId="56748" xr:uid="{00000000-0005-0000-0000-0000998F0000}"/>
    <cellStyle name="Normal 5 2 5 3 2 2 2 3" xfId="56749" xr:uid="{00000000-0005-0000-0000-00009A8F0000}"/>
    <cellStyle name="Normal 5 2 5 3 2 2 3" xfId="26034" xr:uid="{00000000-0005-0000-0000-00009B8F0000}"/>
    <cellStyle name="Normal 5 2 5 3 2 2 3 2" xfId="56750" xr:uid="{00000000-0005-0000-0000-00009C8F0000}"/>
    <cellStyle name="Normal 5 2 5 3 2 2 4" xfId="26035" xr:uid="{00000000-0005-0000-0000-00009D8F0000}"/>
    <cellStyle name="Normal 5 2 5 3 2 2 5" xfId="26036" xr:uid="{00000000-0005-0000-0000-00009E8F0000}"/>
    <cellStyle name="Normal 5 2 5 3 2 2 6" xfId="26037" xr:uid="{00000000-0005-0000-0000-00009F8F0000}"/>
    <cellStyle name="Normal 5 2 5 3 2 3" xfId="26038" xr:uid="{00000000-0005-0000-0000-0000A08F0000}"/>
    <cellStyle name="Normal 5 2 5 3 2 3 2" xfId="56751" xr:uid="{00000000-0005-0000-0000-0000A18F0000}"/>
    <cellStyle name="Normal 5 2 5 3 2 3 3" xfId="56752" xr:uid="{00000000-0005-0000-0000-0000A28F0000}"/>
    <cellStyle name="Normal 5 2 5 3 2 4" xfId="26039" xr:uid="{00000000-0005-0000-0000-0000A38F0000}"/>
    <cellStyle name="Normal 5 2 5 3 2 4 2" xfId="56753" xr:uid="{00000000-0005-0000-0000-0000A48F0000}"/>
    <cellStyle name="Normal 5 2 5 3 2 5" xfId="26040" xr:uid="{00000000-0005-0000-0000-0000A58F0000}"/>
    <cellStyle name="Normal 5 2 5 3 2 6" xfId="26041" xr:uid="{00000000-0005-0000-0000-0000A68F0000}"/>
    <cellStyle name="Normal 5 2 5 3 2 7" xfId="26042" xr:uid="{00000000-0005-0000-0000-0000A78F0000}"/>
    <cellStyle name="Normal 5 2 5 3 3" xfId="26043" xr:uid="{00000000-0005-0000-0000-0000A88F0000}"/>
    <cellStyle name="Normal 5 2 5 3 3 2" xfId="26044" xr:uid="{00000000-0005-0000-0000-0000A98F0000}"/>
    <cellStyle name="Normal 5 2 5 3 3 2 2" xfId="56754" xr:uid="{00000000-0005-0000-0000-0000AA8F0000}"/>
    <cellStyle name="Normal 5 2 5 3 3 2 3" xfId="56755" xr:uid="{00000000-0005-0000-0000-0000AB8F0000}"/>
    <cellStyle name="Normal 5 2 5 3 3 3" xfId="26045" xr:uid="{00000000-0005-0000-0000-0000AC8F0000}"/>
    <cellStyle name="Normal 5 2 5 3 3 3 2" xfId="56756" xr:uid="{00000000-0005-0000-0000-0000AD8F0000}"/>
    <cellStyle name="Normal 5 2 5 3 3 4" xfId="26046" xr:uid="{00000000-0005-0000-0000-0000AE8F0000}"/>
    <cellStyle name="Normal 5 2 5 3 3 5" xfId="26047" xr:uid="{00000000-0005-0000-0000-0000AF8F0000}"/>
    <cellStyle name="Normal 5 2 5 3 3 6" xfId="26048" xr:uid="{00000000-0005-0000-0000-0000B08F0000}"/>
    <cellStyle name="Normal 5 2 5 3 4" xfId="26049" xr:uid="{00000000-0005-0000-0000-0000B18F0000}"/>
    <cellStyle name="Normal 5 2 5 3 4 2" xfId="56757" xr:uid="{00000000-0005-0000-0000-0000B28F0000}"/>
    <cellStyle name="Normal 5 2 5 3 4 3" xfId="56758" xr:uid="{00000000-0005-0000-0000-0000B38F0000}"/>
    <cellStyle name="Normal 5 2 5 3 5" xfId="26050" xr:uid="{00000000-0005-0000-0000-0000B48F0000}"/>
    <cellStyle name="Normal 5 2 5 3 5 2" xfId="56759" xr:uid="{00000000-0005-0000-0000-0000B58F0000}"/>
    <cellStyle name="Normal 5 2 5 3 6" xfId="26051" xr:uid="{00000000-0005-0000-0000-0000B68F0000}"/>
    <cellStyle name="Normal 5 2 5 3 7" xfId="26052" xr:uid="{00000000-0005-0000-0000-0000B78F0000}"/>
    <cellStyle name="Normal 5 2 5 3 8" xfId="26053" xr:uid="{00000000-0005-0000-0000-0000B88F0000}"/>
    <cellStyle name="Normal 5 2 5 3 9" xfId="26054" xr:uid="{00000000-0005-0000-0000-0000B98F0000}"/>
    <cellStyle name="Normal 5 2 5 4" xfId="26055" xr:uid="{00000000-0005-0000-0000-0000BA8F0000}"/>
    <cellStyle name="Normal 5 2 5 4 2" xfId="26056" xr:uid="{00000000-0005-0000-0000-0000BB8F0000}"/>
    <cellStyle name="Normal 5 2 5 4 2 2" xfId="26057" xr:uid="{00000000-0005-0000-0000-0000BC8F0000}"/>
    <cellStyle name="Normal 5 2 5 4 2 2 2" xfId="26058" xr:uid="{00000000-0005-0000-0000-0000BD8F0000}"/>
    <cellStyle name="Normal 5 2 5 4 2 2 2 2" xfId="56760" xr:uid="{00000000-0005-0000-0000-0000BE8F0000}"/>
    <cellStyle name="Normal 5 2 5 4 2 2 2 3" xfId="56761" xr:uid="{00000000-0005-0000-0000-0000BF8F0000}"/>
    <cellStyle name="Normal 5 2 5 4 2 2 3" xfId="26059" xr:uid="{00000000-0005-0000-0000-0000C08F0000}"/>
    <cellStyle name="Normal 5 2 5 4 2 2 3 2" xfId="56762" xr:uid="{00000000-0005-0000-0000-0000C18F0000}"/>
    <cellStyle name="Normal 5 2 5 4 2 2 4" xfId="26060" xr:uid="{00000000-0005-0000-0000-0000C28F0000}"/>
    <cellStyle name="Normal 5 2 5 4 2 2 5" xfId="26061" xr:uid="{00000000-0005-0000-0000-0000C38F0000}"/>
    <cellStyle name="Normal 5 2 5 4 2 2 6" xfId="26062" xr:uid="{00000000-0005-0000-0000-0000C48F0000}"/>
    <cellStyle name="Normal 5 2 5 4 2 3" xfId="26063" xr:uid="{00000000-0005-0000-0000-0000C58F0000}"/>
    <cellStyle name="Normal 5 2 5 4 2 3 2" xfId="56763" xr:uid="{00000000-0005-0000-0000-0000C68F0000}"/>
    <cellStyle name="Normal 5 2 5 4 2 3 3" xfId="56764" xr:uid="{00000000-0005-0000-0000-0000C78F0000}"/>
    <cellStyle name="Normal 5 2 5 4 2 4" xfId="26064" xr:uid="{00000000-0005-0000-0000-0000C88F0000}"/>
    <cellStyle name="Normal 5 2 5 4 2 4 2" xfId="56765" xr:uid="{00000000-0005-0000-0000-0000C98F0000}"/>
    <cellStyle name="Normal 5 2 5 4 2 5" xfId="26065" xr:uid="{00000000-0005-0000-0000-0000CA8F0000}"/>
    <cellStyle name="Normal 5 2 5 4 2 6" xfId="26066" xr:uid="{00000000-0005-0000-0000-0000CB8F0000}"/>
    <cellStyle name="Normal 5 2 5 4 2 7" xfId="26067" xr:uid="{00000000-0005-0000-0000-0000CC8F0000}"/>
    <cellStyle name="Normal 5 2 5 4 3" xfId="26068" xr:uid="{00000000-0005-0000-0000-0000CD8F0000}"/>
    <cellStyle name="Normal 5 2 5 4 3 2" xfId="26069" xr:uid="{00000000-0005-0000-0000-0000CE8F0000}"/>
    <cellStyle name="Normal 5 2 5 4 3 2 2" xfId="56766" xr:uid="{00000000-0005-0000-0000-0000CF8F0000}"/>
    <cellStyle name="Normal 5 2 5 4 3 2 3" xfId="56767" xr:uid="{00000000-0005-0000-0000-0000D08F0000}"/>
    <cellStyle name="Normal 5 2 5 4 3 3" xfId="26070" xr:uid="{00000000-0005-0000-0000-0000D18F0000}"/>
    <cellStyle name="Normal 5 2 5 4 3 3 2" xfId="56768" xr:uid="{00000000-0005-0000-0000-0000D28F0000}"/>
    <cellStyle name="Normal 5 2 5 4 3 4" xfId="26071" xr:uid="{00000000-0005-0000-0000-0000D38F0000}"/>
    <cellStyle name="Normal 5 2 5 4 3 5" xfId="26072" xr:uid="{00000000-0005-0000-0000-0000D48F0000}"/>
    <cellStyle name="Normal 5 2 5 4 3 6" xfId="26073" xr:uid="{00000000-0005-0000-0000-0000D58F0000}"/>
    <cellStyle name="Normal 5 2 5 4 4" xfId="26074" xr:uid="{00000000-0005-0000-0000-0000D68F0000}"/>
    <cellStyle name="Normal 5 2 5 4 4 2" xfId="56769" xr:uid="{00000000-0005-0000-0000-0000D78F0000}"/>
    <cellStyle name="Normal 5 2 5 4 4 3" xfId="56770" xr:uid="{00000000-0005-0000-0000-0000D88F0000}"/>
    <cellStyle name="Normal 5 2 5 4 5" xfId="26075" xr:uid="{00000000-0005-0000-0000-0000D98F0000}"/>
    <cellStyle name="Normal 5 2 5 4 5 2" xfId="56771" xr:uid="{00000000-0005-0000-0000-0000DA8F0000}"/>
    <cellStyle name="Normal 5 2 5 4 6" xfId="26076" xr:uid="{00000000-0005-0000-0000-0000DB8F0000}"/>
    <cellStyle name="Normal 5 2 5 4 7" xfId="26077" xr:uid="{00000000-0005-0000-0000-0000DC8F0000}"/>
    <cellStyle name="Normal 5 2 5 4 8" xfId="26078" xr:uid="{00000000-0005-0000-0000-0000DD8F0000}"/>
    <cellStyle name="Normal 5 2 5 5" xfId="26079" xr:uid="{00000000-0005-0000-0000-0000DE8F0000}"/>
    <cellStyle name="Normal 5 2 5 5 2" xfId="26080" xr:uid="{00000000-0005-0000-0000-0000DF8F0000}"/>
    <cellStyle name="Normal 5 2 5 5 2 2" xfId="26081" xr:uid="{00000000-0005-0000-0000-0000E08F0000}"/>
    <cellStyle name="Normal 5 2 5 5 2 2 2" xfId="56772" xr:uid="{00000000-0005-0000-0000-0000E18F0000}"/>
    <cellStyle name="Normal 5 2 5 5 2 2 3" xfId="56773" xr:uid="{00000000-0005-0000-0000-0000E28F0000}"/>
    <cellStyle name="Normal 5 2 5 5 2 3" xfId="26082" xr:uid="{00000000-0005-0000-0000-0000E38F0000}"/>
    <cellStyle name="Normal 5 2 5 5 2 3 2" xfId="56774" xr:uid="{00000000-0005-0000-0000-0000E48F0000}"/>
    <cellStyle name="Normal 5 2 5 5 2 4" xfId="26083" xr:uid="{00000000-0005-0000-0000-0000E58F0000}"/>
    <cellStyle name="Normal 5 2 5 5 2 5" xfId="26084" xr:uid="{00000000-0005-0000-0000-0000E68F0000}"/>
    <cellStyle name="Normal 5 2 5 5 2 6" xfId="26085" xr:uid="{00000000-0005-0000-0000-0000E78F0000}"/>
    <cellStyle name="Normal 5 2 5 5 3" xfId="26086" xr:uid="{00000000-0005-0000-0000-0000E88F0000}"/>
    <cellStyle name="Normal 5 2 5 5 3 2" xfId="56775" xr:uid="{00000000-0005-0000-0000-0000E98F0000}"/>
    <cellStyle name="Normal 5 2 5 5 3 3" xfId="56776" xr:uid="{00000000-0005-0000-0000-0000EA8F0000}"/>
    <cellStyle name="Normal 5 2 5 5 4" xfId="26087" xr:uid="{00000000-0005-0000-0000-0000EB8F0000}"/>
    <cellStyle name="Normal 5 2 5 5 4 2" xfId="56777" xr:uid="{00000000-0005-0000-0000-0000EC8F0000}"/>
    <cellStyle name="Normal 5 2 5 5 5" xfId="26088" xr:uid="{00000000-0005-0000-0000-0000ED8F0000}"/>
    <cellStyle name="Normal 5 2 5 5 6" xfId="26089" xr:uid="{00000000-0005-0000-0000-0000EE8F0000}"/>
    <cellStyle name="Normal 5 2 5 5 7" xfId="26090" xr:uid="{00000000-0005-0000-0000-0000EF8F0000}"/>
    <cellStyle name="Normal 5 2 5 6" xfId="26091" xr:uid="{00000000-0005-0000-0000-0000F08F0000}"/>
    <cellStyle name="Normal 5 2 5 6 2" xfId="26092" xr:uid="{00000000-0005-0000-0000-0000F18F0000}"/>
    <cellStyle name="Normal 5 2 5 6 2 2" xfId="56778" xr:uid="{00000000-0005-0000-0000-0000F28F0000}"/>
    <cellStyle name="Normal 5 2 5 6 2 3" xfId="56779" xr:uid="{00000000-0005-0000-0000-0000F38F0000}"/>
    <cellStyle name="Normal 5 2 5 6 3" xfId="26093" xr:uid="{00000000-0005-0000-0000-0000F48F0000}"/>
    <cellStyle name="Normal 5 2 5 6 3 2" xfId="56780" xr:uid="{00000000-0005-0000-0000-0000F58F0000}"/>
    <cellStyle name="Normal 5 2 5 6 4" xfId="26094" xr:uid="{00000000-0005-0000-0000-0000F68F0000}"/>
    <cellStyle name="Normal 5 2 5 6 5" xfId="26095" xr:uid="{00000000-0005-0000-0000-0000F78F0000}"/>
    <cellStyle name="Normal 5 2 5 6 6" xfId="26096" xr:uid="{00000000-0005-0000-0000-0000F88F0000}"/>
    <cellStyle name="Normal 5 2 5 7" xfId="26097" xr:uid="{00000000-0005-0000-0000-0000F98F0000}"/>
    <cellStyle name="Normal 5 2 5 7 2" xfId="56781" xr:uid="{00000000-0005-0000-0000-0000FA8F0000}"/>
    <cellStyle name="Normal 5 2 5 8" xfId="26098" xr:uid="{00000000-0005-0000-0000-0000FB8F0000}"/>
    <cellStyle name="Normal 5 2 5 9" xfId="26099" xr:uid="{00000000-0005-0000-0000-0000FC8F0000}"/>
    <cellStyle name="Normal 5 2 6" xfId="26100" xr:uid="{00000000-0005-0000-0000-0000FD8F0000}"/>
    <cellStyle name="Normal 5 2 6 10" xfId="26101" xr:uid="{00000000-0005-0000-0000-0000FE8F0000}"/>
    <cellStyle name="Normal 5 2 6 11" xfId="26102" xr:uid="{00000000-0005-0000-0000-0000FF8F0000}"/>
    <cellStyle name="Normal 5 2 6 12" xfId="26103" xr:uid="{00000000-0005-0000-0000-000000900000}"/>
    <cellStyle name="Normal 5 2 6 13" xfId="26104" xr:uid="{00000000-0005-0000-0000-000001900000}"/>
    <cellStyle name="Normal 5 2 6 14" xfId="26105" xr:uid="{00000000-0005-0000-0000-000002900000}"/>
    <cellStyle name="Normal 5 2 6 15" xfId="26106" xr:uid="{00000000-0005-0000-0000-000003900000}"/>
    <cellStyle name="Normal 5 2 6 2" xfId="26107" xr:uid="{00000000-0005-0000-0000-000004900000}"/>
    <cellStyle name="Normal 5 2 6 2 2" xfId="26108" xr:uid="{00000000-0005-0000-0000-000005900000}"/>
    <cellStyle name="Normal 5 2 6 2 2 2" xfId="26109" xr:uid="{00000000-0005-0000-0000-000006900000}"/>
    <cellStyle name="Normal 5 2 6 2 2 2 2" xfId="26110" xr:uid="{00000000-0005-0000-0000-000007900000}"/>
    <cellStyle name="Normal 5 2 6 2 2 2 2 2" xfId="56782" xr:uid="{00000000-0005-0000-0000-000008900000}"/>
    <cellStyle name="Normal 5 2 6 2 2 2 2 3" xfId="56783" xr:uid="{00000000-0005-0000-0000-000009900000}"/>
    <cellStyle name="Normal 5 2 6 2 2 2 3" xfId="26111" xr:uid="{00000000-0005-0000-0000-00000A900000}"/>
    <cellStyle name="Normal 5 2 6 2 2 2 3 2" xfId="56784" xr:uid="{00000000-0005-0000-0000-00000B900000}"/>
    <cellStyle name="Normal 5 2 6 2 2 2 4" xfId="26112" xr:uid="{00000000-0005-0000-0000-00000C900000}"/>
    <cellStyle name="Normal 5 2 6 2 2 2 5" xfId="26113" xr:uid="{00000000-0005-0000-0000-00000D900000}"/>
    <cellStyle name="Normal 5 2 6 2 2 2 6" xfId="26114" xr:uid="{00000000-0005-0000-0000-00000E900000}"/>
    <cellStyle name="Normal 5 2 6 2 2 3" xfId="26115" xr:uid="{00000000-0005-0000-0000-00000F900000}"/>
    <cellStyle name="Normal 5 2 6 2 2 3 2" xfId="56785" xr:uid="{00000000-0005-0000-0000-000010900000}"/>
    <cellStyle name="Normal 5 2 6 2 2 3 3" xfId="56786" xr:uid="{00000000-0005-0000-0000-000011900000}"/>
    <cellStyle name="Normal 5 2 6 2 2 4" xfId="26116" xr:uid="{00000000-0005-0000-0000-000012900000}"/>
    <cellStyle name="Normal 5 2 6 2 2 4 2" xfId="56787" xr:uid="{00000000-0005-0000-0000-000013900000}"/>
    <cellStyle name="Normal 5 2 6 2 2 5" xfId="26117" xr:uid="{00000000-0005-0000-0000-000014900000}"/>
    <cellStyle name="Normal 5 2 6 2 2 6" xfId="26118" xr:uid="{00000000-0005-0000-0000-000015900000}"/>
    <cellStyle name="Normal 5 2 6 2 2 7" xfId="26119" xr:uid="{00000000-0005-0000-0000-000016900000}"/>
    <cellStyle name="Normal 5 2 6 2 3" xfId="26120" xr:uid="{00000000-0005-0000-0000-000017900000}"/>
    <cellStyle name="Normal 5 2 6 2 3 2" xfId="26121" xr:uid="{00000000-0005-0000-0000-000018900000}"/>
    <cellStyle name="Normal 5 2 6 2 3 2 2" xfId="56788" xr:uid="{00000000-0005-0000-0000-000019900000}"/>
    <cellStyle name="Normal 5 2 6 2 3 2 3" xfId="56789" xr:uid="{00000000-0005-0000-0000-00001A900000}"/>
    <cellStyle name="Normal 5 2 6 2 3 3" xfId="26122" xr:uid="{00000000-0005-0000-0000-00001B900000}"/>
    <cellStyle name="Normal 5 2 6 2 3 3 2" xfId="56790" xr:uid="{00000000-0005-0000-0000-00001C900000}"/>
    <cellStyle name="Normal 5 2 6 2 3 4" xfId="26123" xr:uid="{00000000-0005-0000-0000-00001D900000}"/>
    <cellStyle name="Normal 5 2 6 2 3 5" xfId="26124" xr:uid="{00000000-0005-0000-0000-00001E900000}"/>
    <cellStyle name="Normal 5 2 6 2 3 6" xfId="26125" xr:uid="{00000000-0005-0000-0000-00001F900000}"/>
    <cellStyle name="Normal 5 2 6 2 4" xfId="26126" xr:uid="{00000000-0005-0000-0000-000020900000}"/>
    <cellStyle name="Normal 5 2 6 2 4 2" xfId="56791" xr:uid="{00000000-0005-0000-0000-000021900000}"/>
    <cellStyle name="Normal 5 2 6 2 4 3" xfId="56792" xr:uid="{00000000-0005-0000-0000-000022900000}"/>
    <cellStyle name="Normal 5 2 6 2 5" xfId="26127" xr:uid="{00000000-0005-0000-0000-000023900000}"/>
    <cellStyle name="Normal 5 2 6 2 5 2" xfId="56793" xr:uid="{00000000-0005-0000-0000-000024900000}"/>
    <cellStyle name="Normal 5 2 6 2 6" xfId="26128" xr:uid="{00000000-0005-0000-0000-000025900000}"/>
    <cellStyle name="Normal 5 2 6 2 7" xfId="26129" xr:uid="{00000000-0005-0000-0000-000026900000}"/>
    <cellStyle name="Normal 5 2 6 2 8" xfId="26130" xr:uid="{00000000-0005-0000-0000-000027900000}"/>
    <cellStyle name="Normal 5 2 6 2 9" xfId="26131" xr:uid="{00000000-0005-0000-0000-000028900000}"/>
    <cellStyle name="Normal 5 2 6 3" xfId="26132" xr:uid="{00000000-0005-0000-0000-000029900000}"/>
    <cellStyle name="Normal 5 2 6 3 2" xfId="26133" xr:uid="{00000000-0005-0000-0000-00002A900000}"/>
    <cellStyle name="Normal 5 2 6 3 2 2" xfId="26134" xr:uid="{00000000-0005-0000-0000-00002B900000}"/>
    <cellStyle name="Normal 5 2 6 3 2 2 2" xfId="26135" xr:uid="{00000000-0005-0000-0000-00002C900000}"/>
    <cellStyle name="Normal 5 2 6 3 2 2 2 2" xfId="56794" xr:uid="{00000000-0005-0000-0000-00002D900000}"/>
    <cellStyle name="Normal 5 2 6 3 2 2 2 3" xfId="56795" xr:uid="{00000000-0005-0000-0000-00002E900000}"/>
    <cellStyle name="Normal 5 2 6 3 2 2 3" xfId="26136" xr:uid="{00000000-0005-0000-0000-00002F900000}"/>
    <cellStyle name="Normal 5 2 6 3 2 2 3 2" xfId="56796" xr:uid="{00000000-0005-0000-0000-000030900000}"/>
    <cellStyle name="Normal 5 2 6 3 2 2 4" xfId="26137" xr:uid="{00000000-0005-0000-0000-000031900000}"/>
    <cellStyle name="Normal 5 2 6 3 2 2 5" xfId="26138" xr:uid="{00000000-0005-0000-0000-000032900000}"/>
    <cellStyle name="Normal 5 2 6 3 2 2 6" xfId="26139" xr:uid="{00000000-0005-0000-0000-000033900000}"/>
    <cellStyle name="Normal 5 2 6 3 2 3" xfId="26140" xr:uid="{00000000-0005-0000-0000-000034900000}"/>
    <cellStyle name="Normal 5 2 6 3 2 3 2" xfId="56797" xr:uid="{00000000-0005-0000-0000-000035900000}"/>
    <cellStyle name="Normal 5 2 6 3 2 3 3" xfId="56798" xr:uid="{00000000-0005-0000-0000-000036900000}"/>
    <cellStyle name="Normal 5 2 6 3 2 4" xfId="26141" xr:uid="{00000000-0005-0000-0000-000037900000}"/>
    <cellStyle name="Normal 5 2 6 3 2 4 2" xfId="56799" xr:uid="{00000000-0005-0000-0000-000038900000}"/>
    <cellStyle name="Normal 5 2 6 3 2 5" xfId="26142" xr:uid="{00000000-0005-0000-0000-000039900000}"/>
    <cellStyle name="Normal 5 2 6 3 2 6" xfId="26143" xr:uid="{00000000-0005-0000-0000-00003A900000}"/>
    <cellStyle name="Normal 5 2 6 3 2 7" xfId="26144" xr:uid="{00000000-0005-0000-0000-00003B900000}"/>
    <cellStyle name="Normal 5 2 6 3 3" xfId="26145" xr:uid="{00000000-0005-0000-0000-00003C900000}"/>
    <cellStyle name="Normal 5 2 6 3 3 2" xfId="26146" xr:uid="{00000000-0005-0000-0000-00003D900000}"/>
    <cellStyle name="Normal 5 2 6 3 3 2 2" xfId="56800" xr:uid="{00000000-0005-0000-0000-00003E900000}"/>
    <cellStyle name="Normal 5 2 6 3 3 2 3" xfId="56801" xr:uid="{00000000-0005-0000-0000-00003F900000}"/>
    <cellStyle name="Normal 5 2 6 3 3 3" xfId="26147" xr:uid="{00000000-0005-0000-0000-000040900000}"/>
    <cellStyle name="Normal 5 2 6 3 3 3 2" xfId="56802" xr:uid="{00000000-0005-0000-0000-000041900000}"/>
    <cellStyle name="Normal 5 2 6 3 3 4" xfId="26148" xr:uid="{00000000-0005-0000-0000-000042900000}"/>
    <cellStyle name="Normal 5 2 6 3 3 5" xfId="26149" xr:uid="{00000000-0005-0000-0000-000043900000}"/>
    <cellStyle name="Normal 5 2 6 3 3 6" xfId="26150" xr:uid="{00000000-0005-0000-0000-000044900000}"/>
    <cellStyle name="Normal 5 2 6 3 4" xfId="26151" xr:uid="{00000000-0005-0000-0000-000045900000}"/>
    <cellStyle name="Normal 5 2 6 3 4 2" xfId="56803" xr:uid="{00000000-0005-0000-0000-000046900000}"/>
    <cellStyle name="Normal 5 2 6 3 4 3" xfId="56804" xr:uid="{00000000-0005-0000-0000-000047900000}"/>
    <cellStyle name="Normal 5 2 6 3 5" xfId="26152" xr:uid="{00000000-0005-0000-0000-000048900000}"/>
    <cellStyle name="Normal 5 2 6 3 5 2" xfId="56805" xr:uid="{00000000-0005-0000-0000-000049900000}"/>
    <cellStyle name="Normal 5 2 6 3 6" xfId="26153" xr:uid="{00000000-0005-0000-0000-00004A900000}"/>
    <cellStyle name="Normal 5 2 6 3 7" xfId="26154" xr:uid="{00000000-0005-0000-0000-00004B900000}"/>
    <cellStyle name="Normal 5 2 6 3 8" xfId="26155" xr:uid="{00000000-0005-0000-0000-00004C900000}"/>
    <cellStyle name="Normal 5 2 6 4" xfId="26156" xr:uid="{00000000-0005-0000-0000-00004D900000}"/>
    <cellStyle name="Normal 5 2 6 4 2" xfId="26157" xr:uid="{00000000-0005-0000-0000-00004E900000}"/>
    <cellStyle name="Normal 5 2 6 4 2 2" xfId="26158" xr:uid="{00000000-0005-0000-0000-00004F900000}"/>
    <cellStyle name="Normal 5 2 6 4 2 2 2" xfId="56806" xr:uid="{00000000-0005-0000-0000-000050900000}"/>
    <cellStyle name="Normal 5 2 6 4 2 2 3" xfId="56807" xr:uid="{00000000-0005-0000-0000-000051900000}"/>
    <cellStyle name="Normal 5 2 6 4 2 3" xfId="26159" xr:uid="{00000000-0005-0000-0000-000052900000}"/>
    <cellStyle name="Normal 5 2 6 4 2 3 2" xfId="56808" xr:uid="{00000000-0005-0000-0000-000053900000}"/>
    <cellStyle name="Normal 5 2 6 4 2 4" xfId="26160" xr:uid="{00000000-0005-0000-0000-000054900000}"/>
    <cellStyle name="Normal 5 2 6 4 2 5" xfId="26161" xr:uid="{00000000-0005-0000-0000-000055900000}"/>
    <cellStyle name="Normal 5 2 6 4 2 6" xfId="26162" xr:uid="{00000000-0005-0000-0000-000056900000}"/>
    <cellStyle name="Normal 5 2 6 4 3" xfId="26163" xr:uid="{00000000-0005-0000-0000-000057900000}"/>
    <cellStyle name="Normal 5 2 6 4 3 2" xfId="56809" xr:uid="{00000000-0005-0000-0000-000058900000}"/>
    <cellStyle name="Normal 5 2 6 4 3 3" xfId="56810" xr:uid="{00000000-0005-0000-0000-000059900000}"/>
    <cellStyle name="Normal 5 2 6 4 4" xfId="26164" xr:uid="{00000000-0005-0000-0000-00005A900000}"/>
    <cellStyle name="Normal 5 2 6 4 4 2" xfId="56811" xr:uid="{00000000-0005-0000-0000-00005B900000}"/>
    <cellStyle name="Normal 5 2 6 4 5" xfId="26165" xr:uid="{00000000-0005-0000-0000-00005C900000}"/>
    <cellStyle name="Normal 5 2 6 4 6" xfId="26166" xr:uid="{00000000-0005-0000-0000-00005D900000}"/>
    <cellStyle name="Normal 5 2 6 4 7" xfId="26167" xr:uid="{00000000-0005-0000-0000-00005E900000}"/>
    <cellStyle name="Normal 5 2 6 5" xfId="26168" xr:uid="{00000000-0005-0000-0000-00005F900000}"/>
    <cellStyle name="Normal 5 2 6 5 2" xfId="26169" xr:uid="{00000000-0005-0000-0000-000060900000}"/>
    <cellStyle name="Normal 5 2 6 5 2 2" xfId="56812" xr:uid="{00000000-0005-0000-0000-000061900000}"/>
    <cellStyle name="Normal 5 2 6 5 2 3" xfId="56813" xr:uid="{00000000-0005-0000-0000-000062900000}"/>
    <cellStyle name="Normal 5 2 6 5 3" xfId="26170" xr:uid="{00000000-0005-0000-0000-000063900000}"/>
    <cellStyle name="Normal 5 2 6 5 3 2" xfId="56814" xr:uid="{00000000-0005-0000-0000-000064900000}"/>
    <cellStyle name="Normal 5 2 6 5 4" xfId="26171" xr:uid="{00000000-0005-0000-0000-000065900000}"/>
    <cellStyle name="Normal 5 2 6 5 5" xfId="26172" xr:uid="{00000000-0005-0000-0000-000066900000}"/>
    <cellStyle name="Normal 5 2 6 5 6" xfId="26173" xr:uid="{00000000-0005-0000-0000-000067900000}"/>
    <cellStyle name="Normal 5 2 6 6" xfId="26174" xr:uid="{00000000-0005-0000-0000-000068900000}"/>
    <cellStyle name="Normal 5 2 6 6 2" xfId="56815" xr:uid="{00000000-0005-0000-0000-000069900000}"/>
    <cellStyle name="Normal 5 2 6 7" xfId="26175" xr:uid="{00000000-0005-0000-0000-00006A900000}"/>
    <cellStyle name="Normal 5 2 6 8" xfId="26176" xr:uid="{00000000-0005-0000-0000-00006B900000}"/>
    <cellStyle name="Normal 5 2 6 9" xfId="26177" xr:uid="{00000000-0005-0000-0000-00006C900000}"/>
    <cellStyle name="Normal 5 2 7" xfId="26178" xr:uid="{00000000-0005-0000-0000-00006D900000}"/>
    <cellStyle name="Normal 5 2 7 10" xfId="26179" xr:uid="{00000000-0005-0000-0000-00006E900000}"/>
    <cellStyle name="Normal 5 2 7 11" xfId="26180" xr:uid="{00000000-0005-0000-0000-00006F900000}"/>
    <cellStyle name="Normal 5 2 7 12" xfId="26181" xr:uid="{00000000-0005-0000-0000-000070900000}"/>
    <cellStyle name="Normal 5 2 7 13" xfId="26182" xr:uid="{00000000-0005-0000-0000-000071900000}"/>
    <cellStyle name="Normal 5 2 7 14" xfId="26183" xr:uid="{00000000-0005-0000-0000-000072900000}"/>
    <cellStyle name="Normal 5 2 7 2" xfId="26184" xr:uid="{00000000-0005-0000-0000-000073900000}"/>
    <cellStyle name="Normal 5 2 7 2 2" xfId="26185" xr:uid="{00000000-0005-0000-0000-000074900000}"/>
    <cellStyle name="Normal 5 2 7 2 2 2" xfId="26186" xr:uid="{00000000-0005-0000-0000-000075900000}"/>
    <cellStyle name="Normal 5 2 7 2 2 2 2" xfId="26187" xr:uid="{00000000-0005-0000-0000-000076900000}"/>
    <cellStyle name="Normal 5 2 7 2 2 2 2 2" xfId="56816" xr:uid="{00000000-0005-0000-0000-000077900000}"/>
    <cellStyle name="Normal 5 2 7 2 2 2 2 3" xfId="56817" xr:uid="{00000000-0005-0000-0000-000078900000}"/>
    <cellStyle name="Normal 5 2 7 2 2 2 3" xfId="26188" xr:uid="{00000000-0005-0000-0000-000079900000}"/>
    <cellStyle name="Normal 5 2 7 2 2 2 3 2" xfId="56818" xr:uid="{00000000-0005-0000-0000-00007A900000}"/>
    <cellStyle name="Normal 5 2 7 2 2 2 4" xfId="26189" xr:uid="{00000000-0005-0000-0000-00007B900000}"/>
    <cellStyle name="Normal 5 2 7 2 2 2 5" xfId="26190" xr:uid="{00000000-0005-0000-0000-00007C900000}"/>
    <cellStyle name="Normal 5 2 7 2 2 2 6" xfId="26191" xr:uid="{00000000-0005-0000-0000-00007D900000}"/>
    <cellStyle name="Normal 5 2 7 2 2 3" xfId="26192" xr:uid="{00000000-0005-0000-0000-00007E900000}"/>
    <cellStyle name="Normal 5 2 7 2 2 3 2" xfId="56819" xr:uid="{00000000-0005-0000-0000-00007F900000}"/>
    <cellStyle name="Normal 5 2 7 2 2 3 3" xfId="56820" xr:uid="{00000000-0005-0000-0000-000080900000}"/>
    <cellStyle name="Normal 5 2 7 2 2 4" xfId="26193" xr:uid="{00000000-0005-0000-0000-000081900000}"/>
    <cellStyle name="Normal 5 2 7 2 2 4 2" xfId="56821" xr:uid="{00000000-0005-0000-0000-000082900000}"/>
    <cellStyle name="Normal 5 2 7 2 2 5" xfId="26194" xr:uid="{00000000-0005-0000-0000-000083900000}"/>
    <cellStyle name="Normal 5 2 7 2 2 6" xfId="26195" xr:uid="{00000000-0005-0000-0000-000084900000}"/>
    <cellStyle name="Normal 5 2 7 2 2 7" xfId="26196" xr:uid="{00000000-0005-0000-0000-000085900000}"/>
    <cellStyle name="Normal 5 2 7 2 3" xfId="26197" xr:uid="{00000000-0005-0000-0000-000086900000}"/>
    <cellStyle name="Normal 5 2 7 2 3 2" xfId="26198" xr:uid="{00000000-0005-0000-0000-000087900000}"/>
    <cellStyle name="Normal 5 2 7 2 3 2 2" xfId="56822" xr:uid="{00000000-0005-0000-0000-000088900000}"/>
    <cellStyle name="Normal 5 2 7 2 3 2 3" xfId="56823" xr:uid="{00000000-0005-0000-0000-000089900000}"/>
    <cellStyle name="Normal 5 2 7 2 3 3" xfId="26199" xr:uid="{00000000-0005-0000-0000-00008A900000}"/>
    <cellStyle name="Normal 5 2 7 2 3 3 2" xfId="56824" xr:uid="{00000000-0005-0000-0000-00008B900000}"/>
    <cellStyle name="Normal 5 2 7 2 3 4" xfId="26200" xr:uid="{00000000-0005-0000-0000-00008C900000}"/>
    <cellStyle name="Normal 5 2 7 2 3 5" xfId="26201" xr:uid="{00000000-0005-0000-0000-00008D900000}"/>
    <cellStyle name="Normal 5 2 7 2 3 6" xfId="26202" xr:uid="{00000000-0005-0000-0000-00008E900000}"/>
    <cellStyle name="Normal 5 2 7 2 4" xfId="26203" xr:uid="{00000000-0005-0000-0000-00008F900000}"/>
    <cellStyle name="Normal 5 2 7 2 4 2" xfId="56825" xr:uid="{00000000-0005-0000-0000-000090900000}"/>
    <cellStyle name="Normal 5 2 7 2 4 3" xfId="56826" xr:uid="{00000000-0005-0000-0000-000091900000}"/>
    <cellStyle name="Normal 5 2 7 2 5" xfId="26204" xr:uid="{00000000-0005-0000-0000-000092900000}"/>
    <cellStyle name="Normal 5 2 7 2 5 2" xfId="56827" xr:uid="{00000000-0005-0000-0000-000093900000}"/>
    <cellStyle name="Normal 5 2 7 2 6" xfId="26205" xr:uid="{00000000-0005-0000-0000-000094900000}"/>
    <cellStyle name="Normal 5 2 7 2 7" xfId="26206" xr:uid="{00000000-0005-0000-0000-000095900000}"/>
    <cellStyle name="Normal 5 2 7 2 8" xfId="26207" xr:uid="{00000000-0005-0000-0000-000096900000}"/>
    <cellStyle name="Normal 5 2 7 2 9" xfId="26208" xr:uid="{00000000-0005-0000-0000-000097900000}"/>
    <cellStyle name="Normal 5 2 7 3" xfId="26209" xr:uid="{00000000-0005-0000-0000-000098900000}"/>
    <cellStyle name="Normal 5 2 7 3 2" xfId="26210" xr:uid="{00000000-0005-0000-0000-000099900000}"/>
    <cellStyle name="Normal 5 2 7 3 2 2" xfId="26211" xr:uid="{00000000-0005-0000-0000-00009A900000}"/>
    <cellStyle name="Normal 5 2 7 3 2 2 2" xfId="26212" xr:uid="{00000000-0005-0000-0000-00009B900000}"/>
    <cellStyle name="Normal 5 2 7 3 2 2 2 2" xfId="56828" xr:uid="{00000000-0005-0000-0000-00009C900000}"/>
    <cellStyle name="Normal 5 2 7 3 2 2 2 3" xfId="56829" xr:uid="{00000000-0005-0000-0000-00009D900000}"/>
    <cellStyle name="Normal 5 2 7 3 2 2 3" xfId="26213" xr:uid="{00000000-0005-0000-0000-00009E900000}"/>
    <cellStyle name="Normal 5 2 7 3 2 2 3 2" xfId="56830" xr:uid="{00000000-0005-0000-0000-00009F900000}"/>
    <cellStyle name="Normal 5 2 7 3 2 2 4" xfId="26214" xr:uid="{00000000-0005-0000-0000-0000A0900000}"/>
    <cellStyle name="Normal 5 2 7 3 2 2 5" xfId="26215" xr:uid="{00000000-0005-0000-0000-0000A1900000}"/>
    <cellStyle name="Normal 5 2 7 3 2 2 6" xfId="26216" xr:uid="{00000000-0005-0000-0000-0000A2900000}"/>
    <cellStyle name="Normal 5 2 7 3 2 3" xfId="26217" xr:uid="{00000000-0005-0000-0000-0000A3900000}"/>
    <cellStyle name="Normal 5 2 7 3 2 3 2" xfId="56831" xr:uid="{00000000-0005-0000-0000-0000A4900000}"/>
    <cellStyle name="Normal 5 2 7 3 2 3 3" xfId="56832" xr:uid="{00000000-0005-0000-0000-0000A5900000}"/>
    <cellStyle name="Normal 5 2 7 3 2 4" xfId="26218" xr:uid="{00000000-0005-0000-0000-0000A6900000}"/>
    <cellStyle name="Normal 5 2 7 3 2 4 2" xfId="56833" xr:uid="{00000000-0005-0000-0000-0000A7900000}"/>
    <cellStyle name="Normal 5 2 7 3 2 5" xfId="26219" xr:uid="{00000000-0005-0000-0000-0000A8900000}"/>
    <cellStyle name="Normal 5 2 7 3 2 6" xfId="26220" xr:uid="{00000000-0005-0000-0000-0000A9900000}"/>
    <cellStyle name="Normal 5 2 7 3 2 7" xfId="26221" xr:uid="{00000000-0005-0000-0000-0000AA900000}"/>
    <cellStyle name="Normal 5 2 7 3 3" xfId="26222" xr:uid="{00000000-0005-0000-0000-0000AB900000}"/>
    <cellStyle name="Normal 5 2 7 3 3 2" xfId="26223" xr:uid="{00000000-0005-0000-0000-0000AC900000}"/>
    <cellStyle name="Normal 5 2 7 3 3 2 2" xfId="56834" xr:uid="{00000000-0005-0000-0000-0000AD900000}"/>
    <cellStyle name="Normal 5 2 7 3 3 2 3" xfId="56835" xr:uid="{00000000-0005-0000-0000-0000AE900000}"/>
    <cellStyle name="Normal 5 2 7 3 3 3" xfId="26224" xr:uid="{00000000-0005-0000-0000-0000AF900000}"/>
    <cellStyle name="Normal 5 2 7 3 3 3 2" xfId="56836" xr:uid="{00000000-0005-0000-0000-0000B0900000}"/>
    <cellStyle name="Normal 5 2 7 3 3 4" xfId="26225" xr:uid="{00000000-0005-0000-0000-0000B1900000}"/>
    <cellStyle name="Normal 5 2 7 3 3 5" xfId="26226" xr:uid="{00000000-0005-0000-0000-0000B2900000}"/>
    <cellStyle name="Normal 5 2 7 3 3 6" xfId="26227" xr:uid="{00000000-0005-0000-0000-0000B3900000}"/>
    <cellStyle name="Normal 5 2 7 3 4" xfId="26228" xr:uid="{00000000-0005-0000-0000-0000B4900000}"/>
    <cellStyle name="Normal 5 2 7 3 4 2" xfId="56837" xr:uid="{00000000-0005-0000-0000-0000B5900000}"/>
    <cellStyle name="Normal 5 2 7 3 4 3" xfId="56838" xr:uid="{00000000-0005-0000-0000-0000B6900000}"/>
    <cellStyle name="Normal 5 2 7 3 5" xfId="26229" xr:uid="{00000000-0005-0000-0000-0000B7900000}"/>
    <cellStyle name="Normal 5 2 7 3 5 2" xfId="56839" xr:uid="{00000000-0005-0000-0000-0000B8900000}"/>
    <cellStyle name="Normal 5 2 7 3 6" xfId="26230" xr:uid="{00000000-0005-0000-0000-0000B9900000}"/>
    <cellStyle name="Normal 5 2 7 3 7" xfId="26231" xr:uid="{00000000-0005-0000-0000-0000BA900000}"/>
    <cellStyle name="Normal 5 2 7 3 8" xfId="26232" xr:uid="{00000000-0005-0000-0000-0000BB900000}"/>
    <cellStyle name="Normal 5 2 7 4" xfId="26233" xr:uid="{00000000-0005-0000-0000-0000BC900000}"/>
    <cellStyle name="Normal 5 2 7 4 2" xfId="26234" xr:uid="{00000000-0005-0000-0000-0000BD900000}"/>
    <cellStyle name="Normal 5 2 7 4 2 2" xfId="26235" xr:uid="{00000000-0005-0000-0000-0000BE900000}"/>
    <cellStyle name="Normal 5 2 7 4 2 2 2" xfId="56840" xr:uid="{00000000-0005-0000-0000-0000BF900000}"/>
    <cellStyle name="Normal 5 2 7 4 2 2 3" xfId="56841" xr:uid="{00000000-0005-0000-0000-0000C0900000}"/>
    <cellStyle name="Normal 5 2 7 4 2 3" xfId="26236" xr:uid="{00000000-0005-0000-0000-0000C1900000}"/>
    <cellStyle name="Normal 5 2 7 4 2 3 2" xfId="56842" xr:uid="{00000000-0005-0000-0000-0000C2900000}"/>
    <cellStyle name="Normal 5 2 7 4 2 4" xfId="26237" xr:uid="{00000000-0005-0000-0000-0000C3900000}"/>
    <cellStyle name="Normal 5 2 7 4 2 5" xfId="26238" xr:uid="{00000000-0005-0000-0000-0000C4900000}"/>
    <cellStyle name="Normal 5 2 7 4 2 6" xfId="26239" xr:uid="{00000000-0005-0000-0000-0000C5900000}"/>
    <cellStyle name="Normal 5 2 7 4 3" xfId="26240" xr:uid="{00000000-0005-0000-0000-0000C6900000}"/>
    <cellStyle name="Normal 5 2 7 4 3 2" xfId="56843" xr:uid="{00000000-0005-0000-0000-0000C7900000}"/>
    <cellStyle name="Normal 5 2 7 4 3 3" xfId="56844" xr:uid="{00000000-0005-0000-0000-0000C8900000}"/>
    <cellStyle name="Normal 5 2 7 4 4" xfId="26241" xr:uid="{00000000-0005-0000-0000-0000C9900000}"/>
    <cellStyle name="Normal 5 2 7 4 4 2" xfId="56845" xr:uid="{00000000-0005-0000-0000-0000CA900000}"/>
    <cellStyle name="Normal 5 2 7 4 5" xfId="26242" xr:uid="{00000000-0005-0000-0000-0000CB900000}"/>
    <cellStyle name="Normal 5 2 7 4 6" xfId="26243" xr:uid="{00000000-0005-0000-0000-0000CC900000}"/>
    <cellStyle name="Normal 5 2 7 4 7" xfId="26244" xr:uid="{00000000-0005-0000-0000-0000CD900000}"/>
    <cellStyle name="Normal 5 2 7 5" xfId="26245" xr:uid="{00000000-0005-0000-0000-0000CE900000}"/>
    <cellStyle name="Normal 5 2 7 5 2" xfId="26246" xr:uid="{00000000-0005-0000-0000-0000CF900000}"/>
    <cellStyle name="Normal 5 2 7 5 2 2" xfId="56846" xr:uid="{00000000-0005-0000-0000-0000D0900000}"/>
    <cellStyle name="Normal 5 2 7 5 2 3" xfId="56847" xr:uid="{00000000-0005-0000-0000-0000D1900000}"/>
    <cellStyle name="Normal 5 2 7 5 3" xfId="26247" xr:uid="{00000000-0005-0000-0000-0000D2900000}"/>
    <cellStyle name="Normal 5 2 7 5 3 2" xfId="56848" xr:uid="{00000000-0005-0000-0000-0000D3900000}"/>
    <cellStyle name="Normal 5 2 7 5 4" xfId="26248" xr:uid="{00000000-0005-0000-0000-0000D4900000}"/>
    <cellStyle name="Normal 5 2 7 5 5" xfId="26249" xr:uid="{00000000-0005-0000-0000-0000D5900000}"/>
    <cellStyle name="Normal 5 2 7 5 6" xfId="26250" xr:uid="{00000000-0005-0000-0000-0000D6900000}"/>
    <cellStyle name="Normal 5 2 7 6" xfId="26251" xr:uid="{00000000-0005-0000-0000-0000D7900000}"/>
    <cellStyle name="Normal 5 2 7 6 2" xfId="56849" xr:uid="{00000000-0005-0000-0000-0000D8900000}"/>
    <cellStyle name="Normal 5 2 7 6 3" xfId="56850" xr:uid="{00000000-0005-0000-0000-0000D9900000}"/>
    <cellStyle name="Normal 5 2 7 7" xfId="26252" xr:uid="{00000000-0005-0000-0000-0000DA900000}"/>
    <cellStyle name="Normal 5 2 7 7 2" xfId="56851" xr:uid="{00000000-0005-0000-0000-0000DB900000}"/>
    <cellStyle name="Normal 5 2 7 8" xfId="26253" xr:uid="{00000000-0005-0000-0000-0000DC900000}"/>
    <cellStyle name="Normal 5 2 7 9" xfId="26254" xr:uid="{00000000-0005-0000-0000-0000DD900000}"/>
    <cellStyle name="Normal 5 2 8" xfId="26255" xr:uid="{00000000-0005-0000-0000-0000DE900000}"/>
    <cellStyle name="Normal 5 2 8 10" xfId="26256" xr:uid="{00000000-0005-0000-0000-0000DF900000}"/>
    <cellStyle name="Normal 5 2 8 11" xfId="26257" xr:uid="{00000000-0005-0000-0000-0000E0900000}"/>
    <cellStyle name="Normal 5 2 8 12" xfId="26258" xr:uid="{00000000-0005-0000-0000-0000E1900000}"/>
    <cellStyle name="Normal 5 2 8 13" xfId="26259" xr:uid="{00000000-0005-0000-0000-0000E2900000}"/>
    <cellStyle name="Normal 5 2 8 14" xfId="26260" xr:uid="{00000000-0005-0000-0000-0000E3900000}"/>
    <cellStyle name="Normal 5 2 8 2" xfId="26261" xr:uid="{00000000-0005-0000-0000-0000E4900000}"/>
    <cellStyle name="Normal 5 2 8 2 2" xfId="26262" xr:uid="{00000000-0005-0000-0000-0000E5900000}"/>
    <cellStyle name="Normal 5 2 8 2 2 2" xfId="26263" xr:uid="{00000000-0005-0000-0000-0000E6900000}"/>
    <cellStyle name="Normal 5 2 8 2 2 2 2" xfId="26264" xr:uid="{00000000-0005-0000-0000-0000E7900000}"/>
    <cellStyle name="Normal 5 2 8 2 2 2 2 2" xfId="56852" xr:uid="{00000000-0005-0000-0000-0000E8900000}"/>
    <cellStyle name="Normal 5 2 8 2 2 2 2 3" xfId="56853" xr:uid="{00000000-0005-0000-0000-0000E9900000}"/>
    <cellStyle name="Normal 5 2 8 2 2 2 3" xfId="26265" xr:uid="{00000000-0005-0000-0000-0000EA900000}"/>
    <cellStyle name="Normal 5 2 8 2 2 2 3 2" xfId="56854" xr:uid="{00000000-0005-0000-0000-0000EB900000}"/>
    <cellStyle name="Normal 5 2 8 2 2 2 4" xfId="26266" xr:uid="{00000000-0005-0000-0000-0000EC900000}"/>
    <cellStyle name="Normal 5 2 8 2 2 2 5" xfId="26267" xr:uid="{00000000-0005-0000-0000-0000ED900000}"/>
    <cellStyle name="Normal 5 2 8 2 2 2 6" xfId="26268" xr:uid="{00000000-0005-0000-0000-0000EE900000}"/>
    <cellStyle name="Normal 5 2 8 2 2 3" xfId="26269" xr:uid="{00000000-0005-0000-0000-0000EF900000}"/>
    <cellStyle name="Normal 5 2 8 2 2 3 2" xfId="56855" xr:uid="{00000000-0005-0000-0000-0000F0900000}"/>
    <cellStyle name="Normal 5 2 8 2 2 3 3" xfId="56856" xr:uid="{00000000-0005-0000-0000-0000F1900000}"/>
    <cellStyle name="Normal 5 2 8 2 2 4" xfId="26270" xr:uid="{00000000-0005-0000-0000-0000F2900000}"/>
    <cellStyle name="Normal 5 2 8 2 2 4 2" xfId="56857" xr:uid="{00000000-0005-0000-0000-0000F3900000}"/>
    <cellStyle name="Normal 5 2 8 2 2 5" xfId="26271" xr:uid="{00000000-0005-0000-0000-0000F4900000}"/>
    <cellStyle name="Normal 5 2 8 2 2 6" xfId="26272" xr:uid="{00000000-0005-0000-0000-0000F5900000}"/>
    <cellStyle name="Normal 5 2 8 2 2 7" xfId="26273" xr:uid="{00000000-0005-0000-0000-0000F6900000}"/>
    <cellStyle name="Normal 5 2 8 2 3" xfId="26274" xr:uid="{00000000-0005-0000-0000-0000F7900000}"/>
    <cellStyle name="Normal 5 2 8 2 3 2" xfId="26275" xr:uid="{00000000-0005-0000-0000-0000F8900000}"/>
    <cellStyle name="Normal 5 2 8 2 3 2 2" xfId="56858" xr:uid="{00000000-0005-0000-0000-0000F9900000}"/>
    <cellStyle name="Normal 5 2 8 2 3 2 3" xfId="56859" xr:uid="{00000000-0005-0000-0000-0000FA900000}"/>
    <cellStyle name="Normal 5 2 8 2 3 3" xfId="26276" xr:uid="{00000000-0005-0000-0000-0000FB900000}"/>
    <cellStyle name="Normal 5 2 8 2 3 3 2" xfId="56860" xr:uid="{00000000-0005-0000-0000-0000FC900000}"/>
    <cellStyle name="Normal 5 2 8 2 3 4" xfId="26277" xr:uid="{00000000-0005-0000-0000-0000FD900000}"/>
    <cellStyle name="Normal 5 2 8 2 3 5" xfId="26278" xr:uid="{00000000-0005-0000-0000-0000FE900000}"/>
    <cellStyle name="Normal 5 2 8 2 3 6" xfId="26279" xr:uid="{00000000-0005-0000-0000-0000FF900000}"/>
    <cellStyle name="Normal 5 2 8 2 4" xfId="26280" xr:uid="{00000000-0005-0000-0000-000000910000}"/>
    <cellStyle name="Normal 5 2 8 2 4 2" xfId="56861" xr:uid="{00000000-0005-0000-0000-000001910000}"/>
    <cellStyle name="Normal 5 2 8 2 4 3" xfId="56862" xr:uid="{00000000-0005-0000-0000-000002910000}"/>
    <cellStyle name="Normal 5 2 8 2 5" xfId="26281" xr:uid="{00000000-0005-0000-0000-000003910000}"/>
    <cellStyle name="Normal 5 2 8 2 5 2" xfId="56863" xr:uid="{00000000-0005-0000-0000-000004910000}"/>
    <cellStyle name="Normal 5 2 8 2 6" xfId="26282" xr:uid="{00000000-0005-0000-0000-000005910000}"/>
    <cellStyle name="Normal 5 2 8 2 7" xfId="26283" xr:uid="{00000000-0005-0000-0000-000006910000}"/>
    <cellStyle name="Normal 5 2 8 2 8" xfId="26284" xr:uid="{00000000-0005-0000-0000-000007910000}"/>
    <cellStyle name="Normal 5 2 8 2 9" xfId="26285" xr:uid="{00000000-0005-0000-0000-000008910000}"/>
    <cellStyle name="Normal 5 2 8 3" xfId="26286" xr:uid="{00000000-0005-0000-0000-000009910000}"/>
    <cellStyle name="Normal 5 2 8 3 2" xfId="26287" xr:uid="{00000000-0005-0000-0000-00000A910000}"/>
    <cellStyle name="Normal 5 2 8 3 2 2" xfId="26288" xr:uid="{00000000-0005-0000-0000-00000B910000}"/>
    <cellStyle name="Normal 5 2 8 3 2 2 2" xfId="56864" xr:uid="{00000000-0005-0000-0000-00000C910000}"/>
    <cellStyle name="Normal 5 2 8 3 2 2 3" xfId="56865" xr:uid="{00000000-0005-0000-0000-00000D910000}"/>
    <cellStyle name="Normal 5 2 8 3 2 3" xfId="26289" xr:uid="{00000000-0005-0000-0000-00000E910000}"/>
    <cellStyle name="Normal 5 2 8 3 2 3 2" xfId="56866" xr:uid="{00000000-0005-0000-0000-00000F910000}"/>
    <cellStyle name="Normal 5 2 8 3 2 4" xfId="26290" xr:uid="{00000000-0005-0000-0000-000010910000}"/>
    <cellStyle name="Normal 5 2 8 3 2 5" xfId="26291" xr:uid="{00000000-0005-0000-0000-000011910000}"/>
    <cellStyle name="Normal 5 2 8 3 2 6" xfId="26292" xr:uid="{00000000-0005-0000-0000-000012910000}"/>
    <cellStyle name="Normal 5 2 8 3 3" xfId="26293" xr:uid="{00000000-0005-0000-0000-000013910000}"/>
    <cellStyle name="Normal 5 2 8 3 3 2" xfId="56867" xr:uid="{00000000-0005-0000-0000-000014910000}"/>
    <cellStyle name="Normal 5 2 8 3 3 3" xfId="56868" xr:uid="{00000000-0005-0000-0000-000015910000}"/>
    <cellStyle name="Normal 5 2 8 3 4" xfId="26294" xr:uid="{00000000-0005-0000-0000-000016910000}"/>
    <cellStyle name="Normal 5 2 8 3 4 2" xfId="56869" xr:uid="{00000000-0005-0000-0000-000017910000}"/>
    <cellStyle name="Normal 5 2 8 3 5" xfId="26295" xr:uid="{00000000-0005-0000-0000-000018910000}"/>
    <cellStyle name="Normal 5 2 8 3 6" xfId="26296" xr:uid="{00000000-0005-0000-0000-000019910000}"/>
    <cellStyle name="Normal 5 2 8 3 7" xfId="26297" xr:uid="{00000000-0005-0000-0000-00001A910000}"/>
    <cellStyle name="Normal 5 2 8 4" xfId="26298" xr:uid="{00000000-0005-0000-0000-00001B910000}"/>
    <cellStyle name="Normal 5 2 8 4 2" xfId="26299" xr:uid="{00000000-0005-0000-0000-00001C910000}"/>
    <cellStyle name="Normal 5 2 8 4 2 2" xfId="56870" xr:uid="{00000000-0005-0000-0000-00001D910000}"/>
    <cellStyle name="Normal 5 2 8 4 2 3" xfId="56871" xr:uid="{00000000-0005-0000-0000-00001E910000}"/>
    <cellStyle name="Normal 5 2 8 4 3" xfId="26300" xr:uid="{00000000-0005-0000-0000-00001F910000}"/>
    <cellStyle name="Normal 5 2 8 4 3 2" xfId="56872" xr:uid="{00000000-0005-0000-0000-000020910000}"/>
    <cellStyle name="Normal 5 2 8 4 4" xfId="26301" xr:uid="{00000000-0005-0000-0000-000021910000}"/>
    <cellStyle name="Normal 5 2 8 4 5" xfId="26302" xr:uid="{00000000-0005-0000-0000-000022910000}"/>
    <cellStyle name="Normal 5 2 8 4 6" xfId="26303" xr:uid="{00000000-0005-0000-0000-000023910000}"/>
    <cellStyle name="Normal 5 2 8 5" xfId="26304" xr:uid="{00000000-0005-0000-0000-000024910000}"/>
    <cellStyle name="Normal 5 2 8 5 2" xfId="56873" xr:uid="{00000000-0005-0000-0000-000025910000}"/>
    <cellStyle name="Normal 5 2 8 5 3" xfId="56874" xr:uid="{00000000-0005-0000-0000-000026910000}"/>
    <cellStyle name="Normal 5 2 8 6" xfId="26305" xr:uid="{00000000-0005-0000-0000-000027910000}"/>
    <cellStyle name="Normal 5 2 8 6 2" xfId="56875" xr:uid="{00000000-0005-0000-0000-000028910000}"/>
    <cellStyle name="Normal 5 2 8 7" xfId="26306" xr:uid="{00000000-0005-0000-0000-000029910000}"/>
    <cellStyle name="Normal 5 2 8 8" xfId="26307" xr:uid="{00000000-0005-0000-0000-00002A910000}"/>
    <cellStyle name="Normal 5 2 8 9" xfId="26308" xr:uid="{00000000-0005-0000-0000-00002B910000}"/>
    <cellStyle name="Normal 5 2 9" xfId="26309" xr:uid="{00000000-0005-0000-0000-00002C910000}"/>
    <cellStyle name="Normal 5 2 9 2" xfId="26310" xr:uid="{00000000-0005-0000-0000-00002D910000}"/>
    <cellStyle name="Normal 5 2 9 2 2" xfId="26311" xr:uid="{00000000-0005-0000-0000-00002E910000}"/>
    <cellStyle name="Normal 5 2 9 2 2 2" xfId="26312" xr:uid="{00000000-0005-0000-0000-00002F910000}"/>
    <cellStyle name="Normal 5 2 9 2 2 2 2" xfId="56876" xr:uid="{00000000-0005-0000-0000-000030910000}"/>
    <cellStyle name="Normal 5 2 9 2 2 2 3" xfId="56877" xr:uid="{00000000-0005-0000-0000-000031910000}"/>
    <cellStyle name="Normal 5 2 9 2 2 3" xfId="26313" xr:uid="{00000000-0005-0000-0000-000032910000}"/>
    <cellStyle name="Normal 5 2 9 2 2 3 2" xfId="56878" xr:uid="{00000000-0005-0000-0000-000033910000}"/>
    <cellStyle name="Normal 5 2 9 2 2 4" xfId="26314" xr:uid="{00000000-0005-0000-0000-000034910000}"/>
    <cellStyle name="Normal 5 2 9 2 2 5" xfId="26315" xr:uid="{00000000-0005-0000-0000-000035910000}"/>
    <cellStyle name="Normal 5 2 9 2 2 6" xfId="26316" xr:uid="{00000000-0005-0000-0000-000036910000}"/>
    <cellStyle name="Normal 5 2 9 2 3" xfId="26317" xr:uid="{00000000-0005-0000-0000-000037910000}"/>
    <cellStyle name="Normal 5 2 9 2 3 2" xfId="56879" xr:uid="{00000000-0005-0000-0000-000038910000}"/>
    <cellStyle name="Normal 5 2 9 2 3 3" xfId="56880" xr:uid="{00000000-0005-0000-0000-000039910000}"/>
    <cellStyle name="Normal 5 2 9 2 4" xfId="26318" xr:uid="{00000000-0005-0000-0000-00003A910000}"/>
    <cellStyle name="Normal 5 2 9 2 4 2" xfId="56881" xr:uid="{00000000-0005-0000-0000-00003B910000}"/>
    <cellStyle name="Normal 5 2 9 2 5" xfId="26319" xr:uid="{00000000-0005-0000-0000-00003C910000}"/>
    <cellStyle name="Normal 5 2 9 2 6" xfId="26320" xr:uid="{00000000-0005-0000-0000-00003D910000}"/>
    <cellStyle name="Normal 5 2 9 2 7" xfId="26321" xr:uid="{00000000-0005-0000-0000-00003E910000}"/>
    <cellStyle name="Normal 5 2 9 3" xfId="26322" xr:uid="{00000000-0005-0000-0000-00003F910000}"/>
    <cellStyle name="Normal 5 2 9 3 2" xfId="26323" xr:uid="{00000000-0005-0000-0000-000040910000}"/>
    <cellStyle name="Normal 5 2 9 3 2 2" xfId="56882" xr:uid="{00000000-0005-0000-0000-000041910000}"/>
    <cellStyle name="Normal 5 2 9 3 2 3" xfId="56883" xr:uid="{00000000-0005-0000-0000-000042910000}"/>
    <cellStyle name="Normal 5 2 9 3 3" xfId="26324" xr:uid="{00000000-0005-0000-0000-000043910000}"/>
    <cellStyle name="Normal 5 2 9 3 3 2" xfId="56884" xr:uid="{00000000-0005-0000-0000-000044910000}"/>
    <cellStyle name="Normal 5 2 9 3 4" xfId="26325" xr:uid="{00000000-0005-0000-0000-000045910000}"/>
    <cellStyle name="Normal 5 2 9 3 5" xfId="26326" xr:uid="{00000000-0005-0000-0000-000046910000}"/>
    <cellStyle name="Normal 5 2 9 3 6" xfId="26327" xr:uid="{00000000-0005-0000-0000-000047910000}"/>
    <cellStyle name="Normal 5 2 9 4" xfId="26328" xr:uid="{00000000-0005-0000-0000-000048910000}"/>
    <cellStyle name="Normal 5 2 9 4 2" xfId="56885" xr:uid="{00000000-0005-0000-0000-000049910000}"/>
    <cellStyle name="Normal 5 2 9 4 3" xfId="56886" xr:uid="{00000000-0005-0000-0000-00004A910000}"/>
    <cellStyle name="Normal 5 2 9 5" xfId="26329" xr:uid="{00000000-0005-0000-0000-00004B910000}"/>
    <cellStyle name="Normal 5 2 9 5 2" xfId="56887" xr:uid="{00000000-0005-0000-0000-00004C910000}"/>
    <cellStyle name="Normal 5 2 9 6" xfId="26330" xr:uid="{00000000-0005-0000-0000-00004D910000}"/>
    <cellStyle name="Normal 5 2 9 7" xfId="26331" xr:uid="{00000000-0005-0000-0000-00004E910000}"/>
    <cellStyle name="Normal 5 2 9 8" xfId="26332" xr:uid="{00000000-0005-0000-0000-00004F910000}"/>
    <cellStyle name="Normal 5 2 9 9" xfId="26333" xr:uid="{00000000-0005-0000-0000-000050910000}"/>
    <cellStyle name="Normal 5 2_Sheet2" xfId="26334" xr:uid="{00000000-0005-0000-0000-000051910000}"/>
    <cellStyle name="Normal 5 3" xfId="26335" xr:uid="{00000000-0005-0000-0000-000052910000}"/>
    <cellStyle name="Normal 5 3 10" xfId="26336" xr:uid="{00000000-0005-0000-0000-000053910000}"/>
    <cellStyle name="Normal 5 3 10 2" xfId="56888" xr:uid="{00000000-0005-0000-0000-000054910000}"/>
    <cellStyle name="Normal 5 3 11" xfId="26337" xr:uid="{00000000-0005-0000-0000-000055910000}"/>
    <cellStyle name="Normal 5 3 12" xfId="26338" xr:uid="{00000000-0005-0000-0000-000056910000}"/>
    <cellStyle name="Normal 5 3 13" xfId="26339" xr:uid="{00000000-0005-0000-0000-000057910000}"/>
    <cellStyle name="Normal 5 3 14" xfId="26340" xr:uid="{00000000-0005-0000-0000-000058910000}"/>
    <cellStyle name="Normal 5 3 15" xfId="26341" xr:uid="{00000000-0005-0000-0000-000059910000}"/>
    <cellStyle name="Normal 5 3 16" xfId="26342" xr:uid="{00000000-0005-0000-0000-00005A910000}"/>
    <cellStyle name="Normal 5 3 17" xfId="26343" xr:uid="{00000000-0005-0000-0000-00005B910000}"/>
    <cellStyle name="Normal 5 3 18" xfId="26344" xr:uid="{00000000-0005-0000-0000-00005C910000}"/>
    <cellStyle name="Normal 5 3 19" xfId="26345" xr:uid="{00000000-0005-0000-0000-00005D910000}"/>
    <cellStyle name="Normal 5 3 2" xfId="26346" xr:uid="{00000000-0005-0000-0000-00005E910000}"/>
    <cellStyle name="Normal 5 3 2 10" xfId="26347" xr:uid="{00000000-0005-0000-0000-00005F910000}"/>
    <cellStyle name="Normal 5 3 2 11" xfId="26348" xr:uid="{00000000-0005-0000-0000-000060910000}"/>
    <cellStyle name="Normal 5 3 2 12" xfId="26349" xr:uid="{00000000-0005-0000-0000-000061910000}"/>
    <cellStyle name="Normal 5 3 2 13" xfId="26350" xr:uid="{00000000-0005-0000-0000-000062910000}"/>
    <cellStyle name="Normal 5 3 2 14" xfId="26351" xr:uid="{00000000-0005-0000-0000-000063910000}"/>
    <cellStyle name="Normal 5 3 2 2" xfId="26352" xr:uid="{00000000-0005-0000-0000-000064910000}"/>
    <cellStyle name="Normal 5 3 2 2 2" xfId="26353" xr:uid="{00000000-0005-0000-0000-000065910000}"/>
    <cellStyle name="Normal 5 3 2 2 2 2" xfId="26354" xr:uid="{00000000-0005-0000-0000-000066910000}"/>
    <cellStyle name="Normal 5 3 2 2 2 2 2" xfId="26355" xr:uid="{00000000-0005-0000-0000-000067910000}"/>
    <cellStyle name="Normal 5 3 2 2 2 2 2 2" xfId="56889" xr:uid="{00000000-0005-0000-0000-000068910000}"/>
    <cellStyle name="Normal 5 3 2 2 2 2 2 3" xfId="56890" xr:uid="{00000000-0005-0000-0000-000069910000}"/>
    <cellStyle name="Normal 5 3 2 2 2 2 3" xfId="26356" xr:uid="{00000000-0005-0000-0000-00006A910000}"/>
    <cellStyle name="Normal 5 3 2 2 2 2 3 2" xfId="56891" xr:uid="{00000000-0005-0000-0000-00006B910000}"/>
    <cellStyle name="Normal 5 3 2 2 2 2 4" xfId="26357" xr:uid="{00000000-0005-0000-0000-00006C910000}"/>
    <cellStyle name="Normal 5 3 2 2 2 2 5" xfId="26358" xr:uid="{00000000-0005-0000-0000-00006D910000}"/>
    <cellStyle name="Normal 5 3 2 2 2 2 6" xfId="26359" xr:uid="{00000000-0005-0000-0000-00006E910000}"/>
    <cellStyle name="Normal 5 3 2 2 2 3" xfId="26360" xr:uid="{00000000-0005-0000-0000-00006F910000}"/>
    <cellStyle name="Normal 5 3 2 2 2 3 2" xfId="56892" xr:uid="{00000000-0005-0000-0000-000070910000}"/>
    <cellStyle name="Normal 5 3 2 2 2 3 3" xfId="56893" xr:uid="{00000000-0005-0000-0000-000071910000}"/>
    <cellStyle name="Normal 5 3 2 2 2 4" xfId="26361" xr:uid="{00000000-0005-0000-0000-000072910000}"/>
    <cellStyle name="Normal 5 3 2 2 2 4 2" xfId="56894" xr:uid="{00000000-0005-0000-0000-000073910000}"/>
    <cellStyle name="Normal 5 3 2 2 2 5" xfId="26362" xr:uid="{00000000-0005-0000-0000-000074910000}"/>
    <cellStyle name="Normal 5 3 2 2 2 6" xfId="26363" xr:uid="{00000000-0005-0000-0000-000075910000}"/>
    <cellStyle name="Normal 5 3 2 2 2 7" xfId="26364" xr:uid="{00000000-0005-0000-0000-000076910000}"/>
    <cellStyle name="Normal 5 3 2 2 3" xfId="26365" xr:uid="{00000000-0005-0000-0000-000077910000}"/>
    <cellStyle name="Normal 5 3 2 2 3 2" xfId="26366" xr:uid="{00000000-0005-0000-0000-000078910000}"/>
    <cellStyle name="Normal 5 3 2 2 3 2 2" xfId="56895" xr:uid="{00000000-0005-0000-0000-000079910000}"/>
    <cellStyle name="Normal 5 3 2 2 3 2 3" xfId="56896" xr:uid="{00000000-0005-0000-0000-00007A910000}"/>
    <cellStyle name="Normal 5 3 2 2 3 3" xfId="26367" xr:uid="{00000000-0005-0000-0000-00007B910000}"/>
    <cellStyle name="Normal 5 3 2 2 3 3 2" xfId="56897" xr:uid="{00000000-0005-0000-0000-00007C910000}"/>
    <cellStyle name="Normal 5 3 2 2 3 4" xfId="26368" xr:uid="{00000000-0005-0000-0000-00007D910000}"/>
    <cellStyle name="Normal 5 3 2 2 3 5" xfId="26369" xr:uid="{00000000-0005-0000-0000-00007E910000}"/>
    <cellStyle name="Normal 5 3 2 2 3 6" xfId="26370" xr:uid="{00000000-0005-0000-0000-00007F910000}"/>
    <cellStyle name="Normal 5 3 2 2 4" xfId="26371" xr:uid="{00000000-0005-0000-0000-000080910000}"/>
    <cellStyle name="Normal 5 3 2 2 4 2" xfId="56898" xr:uid="{00000000-0005-0000-0000-000081910000}"/>
    <cellStyle name="Normal 5 3 2 2 4 3" xfId="56899" xr:uid="{00000000-0005-0000-0000-000082910000}"/>
    <cellStyle name="Normal 5 3 2 2 5" xfId="26372" xr:uid="{00000000-0005-0000-0000-000083910000}"/>
    <cellStyle name="Normal 5 3 2 2 5 2" xfId="56900" xr:uid="{00000000-0005-0000-0000-000084910000}"/>
    <cellStyle name="Normal 5 3 2 2 6" xfId="26373" xr:uid="{00000000-0005-0000-0000-000085910000}"/>
    <cellStyle name="Normal 5 3 2 2 6 2" xfId="56901" xr:uid="{00000000-0005-0000-0000-000086910000}"/>
    <cellStyle name="Normal 5 3 2 2 7" xfId="26374" xr:uid="{00000000-0005-0000-0000-000087910000}"/>
    <cellStyle name="Normal 5 3 2 2 8" xfId="26375" xr:uid="{00000000-0005-0000-0000-000088910000}"/>
    <cellStyle name="Normal 5 3 2 2 9" xfId="26376" xr:uid="{00000000-0005-0000-0000-000089910000}"/>
    <cellStyle name="Normal 5 3 2 3" xfId="26377" xr:uid="{00000000-0005-0000-0000-00008A910000}"/>
    <cellStyle name="Normal 5 3 2 3 2" xfId="26378" xr:uid="{00000000-0005-0000-0000-00008B910000}"/>
    <cellStyle name="Normal 5 3 2 3 2 2" xfId="26379" xr:uid="{00000000-0005-0000-0000-00008C910000}"/>
    <cellStyle name="Normal 5 3 2 3 2 2 2" xfId="26380" xr:uid="{00000000-0005-0000-0000-00008D910000}"/>
    <cellStyle name="Normal 5 3 2 3 2 2 2 2" xfId="56902" xr:uid="{00000000-0005-0000-0000-00008E910000}"/>
    <cellStyle name="Normal 5 3 2 3 2 2 2 3" xfId="56903" xr:uid="{00000000-0005-0000-0000-00008F910000}"/>
    <cellStyle name="Normal 5 3 2 3 2 2 3" xfId="26381" xr:uid="{00000000-0005-0000-0000-000090910000}"/>
    <cellStyle name="Normal 5 3 2 3 2 2 3 2" xfId="56904" xr:uid="{00000000-0005-0000-0000-000091910000}"/>
    <cellStyle name="Normal 5 3 2 3 2 2 4" xfId="26382" xr:uid="{00000000-0005-0000-0000-000092910000}"/>
    <cellStyle name="Normal 5 3 2 3 2 2 5" xfId="26383" xr:uid="{00000000-0005-0000-0000-000093910000}"/>
    <cellStyle name="Normal 5 3 2 3 2 2 6" xfId="26384" xr:uid="{00000000-0005-0000-0000-000094910000}"/>
    <cellStyle name="Normal 5 3 2 3 2 3" xfId="26385" xr:uid="{00000000-0005-0000-0000-000095910000}"/>
    <cellStyle name="Normal 5 3 2 3 2 3 2" xfId="56905" xr:uid="{00000000-0005-0000-0000-000096910000}"/>
    <cellStyle name="Normal 5 3 2 3 2 3 3" xfId="56906" xr:uid="{00000000-0005-0000-0000-000097910000}"/>
    <cellStyle name="Normal 5 3 2 3 2 4" xfId="26386" xr:uid="{00000000-0005-0000-0000-000098910000}"/>
    <cellStyle name="Normal 5 3 2 3 2 4 2" xfId="56907" xr:uid="{00000000-0005-0000-0000-000099910000}"/>
    <cellStyle name="Normal 5 3 2 3 2 5" xfId="26387" xr:uid="{00000000-0005-0000-0000-00009A910000}"/>
    <cellStyle name="Normal 5 3 2 3 2 6" xfId="26388" xr:uid="{00000000-0005-0000-0000-00009B910000}"/>
    <cellStyle name="Normal 5 3 2 3 2 7" xfId="26389" xr:uid="{00000000-0005-0000-0000-00009C910000}"/>
    <cellStyle name="Normal 5 3 2 3 3" xfId="26390" xr:uid="{00000000-0005-0000-0000-00009D910000}"/>
    <cellStyle name="Normal 5 3 2 3 3 2" xfId="26391" xr:uid="{00000000-0005-0000-0000-00009E910000}"/>
    <cellStyle name="Normal 5 3 2 3 3 2 2" xfId="56908" xr:uid="{00000000-0005-0000-0000-00009F910000}"/>
    <cellStyle name="Normal 5 3 2 3 3 2 3" xfId="56909" xr:uid="{00000000-0005-0000-0000-0000A0910000}"/>
    <cellStyle name="Normal 5 3 2 3 3 3" xfId="26392" xr:uid="{00000000-0005-0000-0000-0000A1910000}"/>
    <cellStyle name="Normal 5 3 2 3 3 3 2" xfId="56910" xr:uid="{00000000-0005-0000-0000-0000A2910000}"/>
    <cellStyle name="Normal 5 3 2 3 3 4" xfId="26393" xr:uid="{00000000-0005-0000-0000-0000A3910000}"/>
    <cellStyle name="Normal 5 3 2 3 3 5" xfId="26394" xr:uid="{00000000-0005-0000-0000-0000A4910000}"/>
    <cellStyle name="Normal 5 3 2 3 3 6" xfId="26395" xr:uid="{00000000-0005-0000-0000-0000A5910000}"/>
    <cellStyle name="Normal 5 3 2 3 4" xfId="26396" xr:uid="{00000000-0005-0000-0000-0000A6910000}"/>
    <cellStyle name="Normal 5 3 2 3 4 2" xfId="56911" xr:uid="{00000000-0005-0000-0000-0000A7910000}"/>
    <cellStyle name="Normal 5 3 2 3 4 3" xfId="56912" xr:uid="{00000000-0005-0000-0000-0000A8910000}"/>
    <cellStyle name="Normal 5 3 2 3 5" xfId="26397" xr:uid="{00000000-0005-0000-0000-0000A9910000}"/>
    <cellStyle name="Normal 5 3 2 3 5 2" xfId="56913" xr:uid="{00000000-0005-0000-0000-0000AA910000}"/>
    <cellStyle name="Normal 5 3 2 3 6" xfId="26398" xr:uid="{00000000-0005-0000-0000-0000AB910000}"/>
    <cellStyle name="Normal 5 3 2 3 7" xfId="26399" xr:uid="{00000000-0005-0000-0000-0000AC910000}"/>
    <cellStyle name="Normal 5 3 2 3 8" xfId="26400" xr:uid="{00000000-0005-0000-0000-0000AD910000}"/>
    <cellStyle name="Normal 5 3 2 4" xfId="26401" xr:uid="{00000000-0005-0000-0000-0000AE910000}"/>
    <cellStyle name="Normal 5 3 2 4 2" xfId="26402" xr:uid="{00000000-0005-0000-0000-0000AF910000}"/>
    <cellStyle name="Normal 5 3 2 4 2 2" xfId="26403" xr:uid="{00000000-0005-0000-0000-0000B0910000}"/>
    <cellStyle name="Normal 5 3 2 4 2 2 2" xfId="56914" xr:uid="{00000000-0005-0000-0000-0000B1910000}"/>
    <cellStyle name="Normal 5 3 2 4 2 2 3" xfId="56915" xr:uid="{00000000-0005-0000-0000-0000B2910000}"/>
    <cellStyle name="Normal 5 3 2 4 2 3" xfId="26404" xr:uid="{00000000-0005-0000-0000-0000B3910000}"/>
    <cellStyle name="Normal 5 3 2 4 2 3 2" xfId="56916" xr:uid="{00000000-0005-0000-0000-0000B4910000}"/>
    <cellStyle name="Normal 5 3 2 4 2 4" xfId="26405" xr:uid="{00000000-0005-0000-0000-0000B5910000}"/>
    <cellStyle name="Normal 5 3 2 4 2 5" xfId="26406" xr:uid="{00000000-0005-0000-0000-0000B6910000}"/>
    <cellStyle name="Normal 5 3 2 4 2 6" xfId="26407" xr:uid="{00000000-0005-0000-0000-0000B7910000}"/>
    <cellStyle name="Normal 5 3 2 4 3" xfId="26408" xr:uid="{00000000-0005-0000-0000-0000B8910000}"/>
    <cellStyle name="Normal 5 3 2 4 3 2" xfId="56917" xr:uid="{00000000-0005-0000-0000-0000B9910000}"/>
    <cellStyle name="Normal 5 3 2 4 3 3" xfId="56918" xr:uid="{00000000-0005-0000-0000-0000BA910000}"/>
    <cellStyle name="Normal 5 3 2 4 4" xfId="26409" xr:uid="{00000000-0005-0000-0000-0000BB910000}"/>
    <cellStyle name="Normal 5 3 2 4 4 2" xfId="56919" xr:uid="{00000000-0005-0000-0000-0000BC910000}"/>
    <cellStyle name="Normal 5 3 2 4 5" xfId="26410" xr:uid="{00000000-0005-0000-0000-0000BD910000}"/>
    <cellStyle name="Normal 5 3 2 4 6" xfId="26411" xr:uid="{00000000-0005-0000-0000-0000BE910000}"/>
    <cellStyle name="Normal 5 3 2 4 7" xfId="26412" xr:uid="{00000000-0005-0000-0000-0000BF910000}"/>
    <cellStyle name="Normal 5 3 2 5" xfId="26413" xr:uid="{00000000-0005-0000-0000-0000C0910000}"/>
    <cellStyle name="Normal 5 3 2 5 2" xfId="26414" xr:uid="{00000000-0005-0000-0000-0000C1910000}"/>
    <cellStyle name="Normal 5 3 2 5 2 2" xfId="56920" xr:uid="{00000000-0005-0000-0000-0000C2910000}"/>
    <cellStyle name="Normal 5 3 2 5 2 3" xfId="56921" xr:uid="{00000000-0005-0000-0000-0000C3910000}"/>
    <cellStyle name="Normal 5 3 2 5 3" xfId="26415" xr:uid="{00000000-0005-0000-0000-0000C4910000}"/>
    <cellStyle name="Normal 5 3 2 5 3 2" xfId="56922" xr:uid="{00000000-0005-0000-0000-0000C5910000}"/>
    <cellStyle name="Normal 5 3 2 5 4" xfId="26416" xr:uid="{00000000-0005-0000-0000-0000C6910000}"/>
    <cellStyle name="Normal 5 3 2 5 5" xfId="26417" xr:uid="{00000000-0005-0000-0000-0000C7910000}"/>
    <cellStyle name="Normal 5 3 2 5 6" xfId="26418" xr:uid="{00000000-0005-0000-0000-0000C8910000}"/>
    <cellStyle name="Normal 5 3 2 6" xfId="26419" xr:uid="{00000000-0005-0000-0000-0000C9910000}"/>
    <cellStyle name="Normal 5 3 2 6 2" xfId="56923" xr:uid="{00000000-0005-0000-0000-0000CA910000}"/>
    <cellStyle name="Normal 5 3 2 6 3" xfId="56924" xr:uid="{00000000-0005-0000-0000-0000CB910000}"/>
    <cellStyle name="Normal 5 3 2 7" xfId="26420" xr:uid="{00000000-0005-0000-0000-0000CC910000}"/>
    <cellStyle name="Normal 5 3 2 7 2" xfId="56925" xr:uid="{00000000-0005-0000-0000-0000CD910000}"/>
    <cellStyle name="Normal 5 3 2 8" xfId="26421" xr:uid="{00000000-0005-0000-0000-0000CE910000}"/>
    <cellStyle name="Normal 5 3 2 8 2" xfId="56926" xr:uid="{00000000-0005-0000-0000-0000CF910000}"/>
    <cellStyle name="Normal 5 3 2 9" xfId="26422" xr:uid="{00000000-0005-0000-0000-0000D0910000}"/>
    <cellStyle name="Normal 5 3 3" xfId="26423" xr:uid="{00000000-0005-0000-0000-0000D1910000}"/>
    <cellStyle name="Normal 5 3 3 10" xfId="26424" xr:uid="{00000000-0005-0000-0000-0000D2910000}"/>
    <cellStyle name="Normal 5 3 3 11" xfId="26425" xr:uid="{00000000-0005-0000-0000-0000D3910000}"/>
    <cellStyle name="Normal 5 3 3 12" xfId="26426" xr:uid="{00000000-0005-0000-0000-0000D4910000}"/>
    <cellStyle name="Normal 5 3 3 13" xfId="26427" xr:uid="{00000000-0005-0000-0000-0000D5910000}"/>
    <cellStyle name="Normal 5 3 3 14" xfId="26428" xr:uid="{00000000-0005-0000-0000-0000D6910000}"/>
    <cellStyle name="Normal 5 3 3 15" xfId="26429" xr:uid="{00000000-0005-0000-0000-0000D7910000}"/>
    <cellStyle name="Normal 5 3 3 2" xfId="26430" xr:uid="{00000000-0005-0000-0000-0000D8910000}"/>
    <cellStyle name="Normal 5 3 3 2 2" xfId="26431" xr:uid="{00000000-0005-0000-0000-0000D9910000}"/>
    <cellStyle name="Normal 5 3 3 2 2 2" xfId="26432" xr:uid="{00000000-0005-0000-0000-0000DA910000}"/>
    <cellStyle name="Normal 5 3 3 2 2 2 2" xfId="26433" xr:uid="{00000000-0005-0000-0000-0000DB910000}"/>
    <cellStyle name="Normal 5 3 3 2 2 2 2 2" xfId="56927" xr:uid="{00000000-0005-0000-0000-0000DC910000}"/>
    <cellStyle name="Normal 5 3 3 2 2 2 2 3" xfId="56928" xr:uid="{00000000-0005-0000-0000-0000DD910000}"/>
    <cellStyle name="Normal 5 3 3 2 2 2 3" xfId="26434" xr:uid="{00000000-0005-0000-0000-0000DE910000}"/>
    <cellStyle name="Normal 5 3 3 2 2 2 3 2" xfId="56929" xr:uid="{00000000-0005-0000-0000-0000DF910000}"/>
    <cellStyle name="Normal 5 3 3 2 2 2 4" xfId="26435" xr:uid="{00000000-0005-0000-0000-0000E0910000}"/>
    <cellStyle name="Normal 5 3 3 2 2 2 5" xfId="26436" xr:uid="{00000000-0005-0000-0000-0000E1910000}"/>
    <cellStyle name="Normal 5 3 3 2 2 2 6" xfId="26437" xr:uid="{00000000-0005-0000-0000-0000E2910000}"/>
    <cellStyle name="Normal 5 3 3 2 2 3" xfId="26438" xr:uid="{00000000-0005-0000-0000-0000E3910000}"/>
    <cellStyle name="Normal 5 3 3 2 2 3 2" xfId="56930" xr:uid="{00000000-0005-0000-0000-0000E4910000}"/>
    <cellStyle name="Normal 5 3 3 2 2 3 3" xfId="56931" xr:uid="{00000000-0005-0000-0000-0000E5910000}"/>
    <cellStyle name="Normal 5 3 3 2 2 4" xfId="26439" xr:uid="{00000000-0005-0000-0000-0000E6910000}"/>
    <cellStyle name="Normal 5 3 3 2 2 4 2" xfId="56932" xr:uid="{00000000-0005-0000-0000-0000E7910000}"/>
    <cellStyle name="Normal 5 3 3 2 2 5" xfId="26440" xr:uid="{00000000-0005-0000-0000-0000E8910000}"/>
    <cellStyle name="Normal 5 3 3 2 2 6" xfId="26441" xr:uid="{00000000-0005-0000-0000-0000E9910000}"/>
    <cellStyle name="Normal 5 3 3 2 2 7" xfId="26442" xr:uid="{00000000-0005-0000-0000-0000EA910000}"/>
    <cellStyle name="Normal 5 3 3 2 3" xfId="26443" xr:uid="{00000000-0005-0000-0000-0000EB910000}"/>
    <cellStyle name="Normal 5 3 3 2 3 2" xfId="26444" xr:uid="{00000000-0005-0000-0000-0000EC910000}"/>
    <cellStyle name="Normal 5 3 3 2 3 2 2" xfId="56933" xr:uid="{00000000-0005-0000-0000-0000ED910000}"/>
    <cellStyle name="Normal 5 3 3 2 3 2 3" xfId="56934" xr:uid="{00000000-0005-0000-0000-0000EE910000}"/>
    <cellStyle name="Normal 5 3 3 2 3 3" xfId="26445" xr:uid="{00000000-0005-0000-0000-0000EF910000}"/>
    <cellStyle name="Normal 5 3 3 2 3 3 2" xfId="56935" xr:uid="{00000000-0005-0000-0000-0000F0910000}"/>
    <cellStyle name="Normal 5 3 3 2 3 4" xfId="26446" xr:uid="{00000000-0005-0000-0000-0000F1910000}"/>
    <cellStyle name="Normal 5 3 3 2 3 5" xfId="26447" xr:uid="{00000000-0005-0000-0000-0000F2910000}"/>
    <cellStyle name="Normal 5 3 3 2 3 6" xfId="26448" xr:uid="{00000000-0005-0000-0000-0000F3910000}"/>
    <cellStyle name="Normal 5 3 3 2 4" xfId="26449" xr:uid="{00000000-0005-0000-0000-0000F4910000}"/>
    <cellStyle name="Normal 5 3 3 2 4 2" xfId="56936" xr:uid="{00000000-0005-0000-0000-0000F5910000}"/>
    <cellStyle name="Normal 5 3 3 2 4 3" xfId="56937" xr:uid="{00000000-0005-0000-0000-0000F6910000}"/>
    <cellStyle name="Normal 5 3 3 2 5" xfId="26450" xr:uid="{00000000-0005-0000-0000-0000F7910000}"/>
    <cellStyle name="Normal 5 3 3 2 5 2" xfId="56938" xr:uid="{00000000-0005-0000-0000-0000F8910000}"/>
    <cellStyle name="Normal 5 3 3 2 6" xfId="26451" xr:uid="{00000000-0005-0000-0000-0000F9910000}"/>
    <cellStyle name="Normal 5 3 3 2 7" xfId="26452" xr:uid="{00000000-0005-0000-0000-0000FA910000}"/>
    <cellStyle name="Normal 5 3 3 2 8" xfId="26453" xr:uid="{00000000-0005-0000-0000-0000FB910000}"/>
    <cellStyle name="Normal 5 3 3 2 9" xfId="26454" xr:uid="{00000000-0005-0000-0000-0000FC910000}"/>
    <cellStyle name="Normal 5 3 3 3" xfId="26455" xr:uid="{00000000-0005-0000-0000-0000FD910000}"/>
    <cellStyle name="Normal 5 3 3 3 2" xfId="26456" xr:uid="{00000000-0005-0000-0000-0000FE910000}"/>
    <cellStyle name="Normal 5 3 3 3 2 2" xfId="26457" xr:uid="{00000000-0005-0000-0000-0000FF910000}"/>
    <cellStyle name="Normal 5 3 3 3 2 2 2" xfId="26458" xr:uid="{00000000-0005-0000-0000-000000920000}"/>
    <cellStyle name="Normal 5 3 3 3 2 2 2 2" xfId="56939" xr:uid="{00000000-0005-0000-0000-000001920000}"/>
    <cellStyle name="Normal 5 3 3 3 2 2 2 3" xfId="56940" xr:uid="{00000000-0005-0000-0000-000002920000}"/>
    <cellStyle name="Normal 5 3 3 3 2 2 3" xfId="26459" xr:uid="{00000000-0005-0000-0000-000003920000}"/>
    <cellStyle name="Normal 5 3 3 3 2 2 3 2" xfId="56941" xr:uid="{00000000-0005-0000-0000-000004920000}"/>
    <cellStyle name="Normal 5 3 3 3 2 2 4" xfId="26460" xr:uid="{00000000-0005-0000-0000-000005920000}"/>
    <cellStyle name="Normal 5 3 3 3 2 2 5" xfId="26461" xr:uid="{00000000-0005-0000-0000-000006920000}"/>
    <cellStyle name="Normal 5 3 3 3 2 2 6" xfId="26462" xr:uid="{00000000-0005-0000-0000-000007920000}"/>
    <cellStyle name="Normal 5 3 3 3 2 3" xfId="26463" xr:uid="{00000000-0005-0000-0000-000008920000}"/>
    <cellStyle name="Normal 5 3 3 3 2 3 2" xfId="56942" xr:uid="{00000000-0005-0000-0000-000009920000}"/>
    <cellStyle name="Normal 5 3 3 3 2 3 3" xfId="56943" xr:uid="{00000000-0005-0000-0000-00000A920000}"/>
    <cellStyle name="Normal 5 3 3 3 2 4" xfId="26464" xr:uid="{00000000-0005-0000-0000-00000B920000}"/>
    <cellStyle name="Normal 5 3 3 3 2 4 2" xfId="56944" xr:uid="{00000000-0005-0000-0000-00000C920000}"/>
    <cellStyle name="Normal 5 3 3 3 2 5" xfId="26465" xr:uid="{00000000-0005-0000-0000-00000D920000}"/>
    <cellStyle name="Normal 5 3 3 3 2 6" xfId="26466" xr:uid="{00000000-0005-0000-0000-00000E920000}"/>
    <cellStyle name="Normal 5 3 3 3 2 7" xfId="26467" xr:uid="{00000000-0005-0000-0000-00000F920000}"/>
    <cellStyle name="Normal 5 3 3 3 3" xfId="26468" xr:uid="{00000000-0005-0000-0000-000010920000}"/>
    <cellStyle name="Normal 5 3 3 3 3 2" xfId="26469" xr:uid="{00000000-0005-0000-0000-000011920000}"/>
    <cellStyle name="Normal 5 3 3 3 3 2 2" xfId="56945" xr:uid="{00000000-0005-0000-0000-000012920000}"/>
    <cellStyle name="Normal 5 3 3 3 3 2 3" xfId="56946" xr:uid="{00000000-0005-0000-0000-000013920000}"/>
    <cellStyle name="Normal 5 3 3 3 3 3" xfId="26470" xr:uid="{00000000-0005-0000-0000-000014920000}"/>
    <cellStyle name="Normal 5 3 3 3 3 3 2" xfId="56947" xr:uid="{00000000-0005-0000-0000-000015920000}"/>
    <cellStyle name="Normal 5 3 3 3 3 4" xfId="26471" xr:uid="{00000000-0005-0000-0000-000016920000}"/>
    <cellStyle name="Normal 5 3 3 3 3 5" xfId="26472" xr:uid="{00000000-0005-0000-0000-000017920000}"/>
    <cellStyle name="Normal 5 3 3 3 3 6" xfId="26473" xr:uid="{00000000-0005-0000-0000-000018920000}"/>
    <cellStyle name="Normal 5 3 3 3 4" xfId="26474" xr:uid="{00000000-0005-0000-0000-000019920000}"/>
    <cellStyle name="Normal 5 3 3 3 4 2" xfId="56948" xr:uid="{00000000-0005-0000-0000-00001A920000}"/>
    <cellStyle name="Normal 5 3 3 3 4 3" xfId="56949" xr:uid="{00000000-0005-0000-0000-00001B920000}"/>
    <cellStyle name="Normal 5 3 3 3 5" xfId="26475" xr:uid="{00000000-0005-0000-0000-00001C920000}"/>
    <cellStyle name="Normal 5 3 3 3 5 2" xfId="56950" xr:uid="{00000000-0005-0000-0000-00001D920000}"/>
    <cellStyle name="Normal 5 3 3 3 6" xfId="26476" xr:uid="{00000000-0005-0000-0000-00001E920000}"/>
    <cellStyle name="Normal 5 3 3 3 7" xfId="26477" xr:uid="{00000000-0005-0000-0000-00001F920000}"/>
    <cellStyle name="Normal 5 3 3 3 8" xfId="26478" xr:uid="{00000000-0005-0000-0000-000020920000}"/>
    <cellStyle name="Normal 5 3 3 4" xfId="26479" xr:uid="{00000000-0005-0000-0000-000021920000}"/>
    <cellStyle name="Normal 5 3 3 4 2" xfId="26480" xr:uid="{00000000-0005-0000-0000-000022920000}"/>
    <cellStyle name="Normal 5 3 3 4 2 2" xfId="26481" xr:uid="{00000000-0005-0000-0000-000023920000}"/>
    <cellStyle name="Normal 5 3 3 4 2 2 2" xfId="56951" xr:uid="{00000000-0005-0000-0000-000024920000}"/>
    <cellStyle name="Normal 5 3 3 4 2 2 3" xfId="56952" xr:uid="{00000000-0005-0000-0000-000025920000}"/>
    <cellStyle name="Normal 5 3 3 4 2 3" xfId="26482" xr:uid="{00000000-0005-0000-0000-000026920000}"/>
    <cellStyle name="Normal 5 3 3 4 2 3 2" xfId="56953" xr:uid="{00000000-0005-0000-0000-000027920000}"/>
    <cellStyle name="Normal 5 3 3 4 2 4" xfId="26483" xr:uid="{00000000-0005-0000-0000-000028920000}"/>
    <cellStyle name="Normal 5 3 3 4 2 5" xfId="26484" xr:uid="{00000000-0005-0000-0000-000029920000}"/>
    <cellStyle name="Normal 5 3 3 4 2 6" xfId="26485" xr:uid="{00000000-0005-0000-0000-00002A920000}"/>
    <cellStyle name="Normal 5 3 3 4 3" xfId="26486" xr:uid="{00000000-0005-0000-0000-00002B920000}"/>
    <cellStyle name="Normal 5 3 3 4 3 2" xfId="56954" xr:uid="{00000000-0005-0000-0000-00002C920000}"/>
    <cellStyle name="Normal 5 3 3 4 3 3" xfId="56955" xr:uid="{00000000-0005-0000-0000-00002D920000}"/>
    <cellStyle name="Normal 5 3 3 4 4" xfId="26487" xr:uid="{00000000-0005-0000-0000-00002E920000}"/>
    <cellStyle name="Normal 5 3 3 4 4 2" xfId="56956" xr:uid="{00000000-0005-0000-0000-00002F920000}"/>
    <cellStyle name="Normal 5 3 3 4 5" xfId="26488" xr:uid="{00000000-0005-0000-0000-000030920000}"/>
    <cellStyle name="Normal 5 3 3 4 6" xfId="26489" xr:uid="{00000000-0005-0000-0000-000031920000}"/>
    <cellStyle name="Normal 5 3 3 4 7" xfId="26490" xr:uid="{00000000-0005-0000-0000-000032920000}"/>
    <cellStyle name="Normal 5 3 3 5" xfId="26491" xr:uid="{00000000-0005-0000-0000-000033920000}"/>
    <cellStyle name="Normal 5 3 3 5 2" xfId="26492" xr:uid="{00000000-0005-0000-0000-000034920000}"/>
    <cellStyle name="Normal 5 3 3 5 2 2" xfId="56957" xr:uid="{00000000-0005-0000-0000-000035920000}"/>
    <cellStyle name="Normal 5 3 3 5 2 3" xfId="56958" xr:uid="{00000000-0005-0000-0000-000036920000}"/>
    <cellStyle name="Normal 5 3 3 5 3" xfId="26493" xr:uid="{00000000-0005-0000-0000-000037920000}"/>
    <cellStyle name="Normal 5 3 3 5 3 2" xfId="56959" xr:uid="{00000000-0005-0000-0000-000038920000}"/>
    <cellStyle name="Normal 5 3 3 5 4" xfId="26494" xr:uid="{00000000-0005-0000-0000-000039920000}"/>
    <cellStyle name="Normal 5 3 3 5 5" xfId="26495" xr:uid="{00000000-0005-0000-0000-00003A920000}"/>
    <cellStyle name="Normal 5 3 3 5 6" xfId="26496" xr:uid="{00000000-0005-0000-0000-00003B920000}"/>
    <cellStyle name="Normal 5 3 3 6" xfId="26497" xr:uid="{00000000-0005-0000-0000-00003C920000}"/>
    <cellStyle name="Normal 5 3 3 6 2" xfId="56960" xr:uid="{00000000-0005-0000-0000-00003D920000}"/>
    <cellStyle name="Normal 5 3 3 7" xfId="26498" xr:uid="{00000000-0005-0000-0000-00003E920000}"/>
    <cellStyle name="Normal 5 3 3 8" xfId="26499" xr:uid="{00000000-0005-0000-0000-00003F920000}"/>
    <cellStyle name="Normal 5 3 3 9" xfId="26500" xr:uid="{00000000-0005-0000-0000-000040920000}"/>
    <cellStyle name="Normal 5 3 4" xfId="26501" xr:uid="{00000000-0005-0000-0000-000041920000}"/>
    <cellStyle name="Normal 5 3 4 10" xfId="26502" xr:uid="{00000000-0005-0000-0000-000042920000}"/>
    <cellStyle name="Normal 5 3 4 11" xfId="26503" xr:uid="{00000000-0005-0000-0000-000043920000}"/>
    <cellStyle name="Normal 5 3 4 12" xfId="26504" xr:uid="{00000000-0005-0000-0000-000044920000}"/>
    <cellStyle name="Normal 5 3 4 13" xfId="26505" xr:uid="{00000000-0005-0000-0000-000045920000}"/>
    <cellStyle name="Normal 5 3 4 2" xfId="26506" xr:uid="{00000000-0005-0000-0000-000046920000}"/>
    <cellStyle name="Normal 5 3 4 2 2" xfId="26507" xr:uid="{00000000-0005-0000-0000-000047920000}"/>
    <cellStyle name="Normal 5 3 4 2 2 2" xfId="26508" xr:uid="{00000000-0005-0000-0000-000048920000}"/>
    <cellStyle name="Normal 5 3 4 2 2 2 2" xfId="26509" xr:uid="{00000000-0005-0000-0000-000049920000}"/>
    <cellStyle name="Normal 5 3 4 2 2 2 2 2" xfId="56961" xr:uid="{00000000-0005-0000-0000-00004A920000}"/>
    <cellStyle name="Normal 5 3 4 2 2 2 2 3" xfId="56962" xr:uid="{00000000-0005-0000-0000-00004B920000}"/>
    <cellStyle name="Normal 5 3 4 2 2 2 3" xfId="26510" xr:uid="{00000000-0005-0000-0000-00004C920000}"/>
    <cellStyle name="Normal 5 3 4 2 2 2 3 2" xfId="56963" xr:uid="{00000000-0005-0000-0000-00004D920000}"/>
    <cellStyle name="Normal 5 3 4 2 2 2 4" xfId="26511" xr:uid="{00000000-0005-0000-0000-00004E920000}"/>
    <cellStyle name="Normal 5 3 4 2 2 2 5" xfId="26512" xr:uid="{00000000-0005-0000-0000-00004F920000}"/>
    <cellStyle name="Normal 5 3 4 2 2 2 6" xfId="26513" xr:uid="{00000000-0005-0000-0000-000050920000}"/>
    <cellStyle name="Normal 5 3 4 2 2 3" xfId="26514" xr:uid="{00000000-0005-0000-0000-000051920000}"/>
    <cellStyle name="Normal 5 3 4 2 2 3 2" xfId="56964" xr:uid="{00000000-0005-0000-0000-000052920000}"/>
    <cellStyle name="Normal 5 3 4 2 2 3 3" xfId="56965" xr:uid="{00000000-0005-0000-0000-000053920000}"/>
    <cellStyle name="Normal 5 3 4 2 2 4" xfId="26515" xr:uid="{00000000-0005-0000-0000-000054920000}"/>
    <cellStyle name="Normal 5 3 4 2 2 4 2" xfId="56966" xr:uid="{00000000-0005-0000-0000-000055920000}"/>
    <cellStyle name="Normal 5 3 4 2 2 5" xfId="26516" xr:uid="{00000000-0005-0000-0000-000056920000}"/>
    <cellStyle name="Normal 5 3 4 2 2 6" xfId="26517" xr:uid="{00000000-0005-0000-0000-000057920000}"/>
    <cellStyle name="Normal 5 3 4 2 2 7" xfId="26518" xr:uid="{00000000-0005-0000-0000-000058920000}"/>
    <cellStyle name="Normal 5 3 4 2 3" xfId="26519" xr:uid="{00000000-0005-0000-0000-000059920000}"/>
    <cellStyle name="Normal 5 3 4 2 3 2" xfId="26520" xr:uid="{00000000-0005-0000-0000-00005A920000}"/>
    <cellStyle name="Normal 5 3 4 2 3 2 2" xfId="56967" xr:uid="{00000000-0005-0000-0000-00005B920000}"/>
    <cellStyle name="Normal 5 3 4 2 3 2 3" xfId="56968" xr:uid="{00000000-0005-0000-0000-00005C920000}"/>
    <cellStyle name="Normal 5 3 4 2 3 3" xfId="26521" xr:uid="{00000000-0005-0000-0000-00005D920000}"/>
    <cellStyle name="Normal 5 3 4 2 3 3 2" xfId="56969" xr:uid="{00000000-0005-0000-0000-00005E920000}"/>
    <cellStyle name="Normal 5 3 4 2 3 4" xfId="26522" xr:uid="{00000000-0005-0000-0000-00005F920000}"/>
    <cellStyle name="Normal 5 3 4 2 3 5" xfId="26523" xr:uid="{00000000-0005-0000-0000-000060920000}"/>
    <cellStyle name="Normal 5 3 4 2 3 6" xfId="26524" xr:uid="{00000000-0005-0000-0000-000061920000}"/>
    <cellStyle name="Normal 5 3 4 2 4" xfId="26525" xr:uid="{00000000-0005-0000-0000-000062920000}"/>
    <cellStyle name="Normal 5 3 4 2 4 2" xfId="56970" xr:uid="{00000000-0005-0000-0000-000063920000}"/>
    <cellStyle name="Normal 5 3 4 2 4 3" xfId="56971" xr:uid="{00000000-0005-0000-0000-000064920000}"/>
    <cellStyle name="Normal 5 3 4 2 5" xfId="26526" xr:uid="{00000000-0005-0000-0000-000065920000}"/>
    <cellStyle name="Normal 5 3 4 2 5 2" xfId="56972" xr:uid="{00000000-0005-0000-0000-000066920000}"/>
    <cellStyle name="Normal 5 3 4 2 6" xfId="26527" xr:uid="{00000000-0005-0000-0000-000067920000}"/>
    <cellStyle name="Normal 5 3 4 2 7" xfId="26528" xr:uid="{00000000-0005-0000-0000-000068920000}"/>
    <cellStyle name="Normal 5 3 4 2 8" xfId="26529" xr:uid="{00000000-0005-0000-0000-000069920000}"/>
    <cellStyle name="Normal 5 3 4 2 9" xfId="26530" xr:uid="{00000000-0005-0000-0000-00006A920000}"/>
    <cellStyle name="Normal 5 3 4 3" xfId="26531" xr:uid="{00000000-0005-0000-0000-00006B920000}"/>
    <cellStyle name="Normal 5 3 4 3 2" xfId="26532" xr:uid="{00000000-0005-0000-0000-00006C920000}"/>
    <cellStyle name="Normal 5 3 4 3 2 2" xfId="26533" xr:uid="{00000000-0005-0000-0000-00006D920000}"/>
    <cellStyle name="Normal 5 3 4 3 2 2 2" xfId="56973" xr:uid="{00000000-0005-0000-0000-00006E920000}"/>
    <cellStyle name="Normal 5 3 4 3 2 2 3" xfId="56974" xr:uid="{00000000-0005-0000-0000-00006F920000}"/>
    <cellStyle name="Normal 5 3 4 3 2 3" xfId="26534" xr:uid="{00000000-0005-0000-0000-000070920000}"/>
    <cellStyle name="Normal 5 3 4 3 2 3 2" xfId="56975" xr:uid="{00000000-0005-0000-0000-000071920000}"/>
    <cellStyle name="Normal 5 3 4 3 2 4" xfId="26535" xr:uid="{00000000-0005-0000-0000-000072920000}"/>
    <cellStyle name="Normal 5 3 4 3 2 5" xfId="26536" xr:uid="{00000000-0005-0000-0000-000073920000}"/>
    <cellStyle name="Normal 5 3 4 3 2 6" xfId="26537" xr:uid="{00000000-0005-0000-0000-000074920000}"/>
    <cellStyle name="Normal 5 3 4 3 3" xfId="26538" xr:uid="{00000000-0005-0000-0000-000075920000}"/>
    <cellStyle name="Normal 5 3 4 3 3 2" xfId="56976" xr:uid="{00000000-0005-0000-0000-000076920000}"/>
    <cellStyle name="Normal 5 3 4 3 3 3" xfId="56977" xr:uid="{00000000-0005-0000-0000-000077920000}"/>
    <cellStyle name="Normal 5 3 4 3 4" xfId="26539" xr:uid="{00000000-0005-0000-0000-000078920000}"/>
    <cellStyle name="Normal 5 3 4 3 4 2" xfId="56978" xr:uid="{00000000-0005-0000-0000-000079920000}"/>
    <cellStyle name="Normal 5 3 4 3 5" xfId="26540" xr:uid="{00000000-0005-0000-0000-00007A920000}"/>
    <cellStyle name="Normal 5 3 4 3 6" xfId="26541" xr:uid="{00000000-0005-0000-0000-00007B920000}"/>
    <cellStyle name="Normal 5 3 4 3 7" xfId="26542" xr:uid="{00000000-0005-0000-0000-00007C920000}"/>
    <cellStyle name="Normal 5 3 4 4" xfId="26543" xr:uid="{00000000-0005-0000-0000-00007D920000}"/>
    <cellStyle name="Normal 5 3 4 4 2" xfId="26544" xr:uid="{00000000-0005-0000-0000-00007E920000}"/>
    <cellStyle name="Normal 5 3 4 4 2 2" xfId="56979" xr:uid="{00000000-0005-0000-0000-00007F920000}"/>
    <cellStyle name="Normal 5 3 4 4 2 3" xfId="56980" xr:uid="{00000000-0005-0000-0000-000080920000}"/>
    <cellStyle name="Normal 5 3 4 4 3" xfId="26545" xr:uid="{00000000-0005-0000-0000-000081920000}"/>
    <cellStyle name="Normal 5 3 4 4 3 2" xfId="56981" xr:uid="{00000000-0005-0000-0000-000082920000}"/>
    <cellStyle name="Normal 5 3 4 4 4" xfId="26546" xr:uid="{00000000-0005-0000-0000-000083920000}"/>
    <cellStyle name="Normal 5 3 4 4 5" xfId="26547" xr:uid="{00000000-0005-0000-0000-000084920000}"/>
    <cellStyle name="Normal 5 3 4 4 6" xfId="26548" xr:uid="{00000000-0005-0000-0000-000085920000}"/>
    <cellStyle name="Normal 5 3 4 5" xfId="26549" xr:uid="{00000000-0005-0000-0000-000086920000}"/>
    <cellStyle name="Normal 5 3 4 5 2" xfId="56982" xr:uid="{00000000-0005-0000-0000-000087920000}"/>
    <cellStyle name="Normal 5 3 4 5 3" xfId="56983" xr:uid="{00000000-0005-0000-0000-000088920000}"/>
    <cellStyle name="Normal 5 3 4 6" xfId="26550" xr:uid="{00000000-0005-0000-0000-000089920000}"/>
    <cellStyle name="Normal 5 3 4 6 2" xfId="56984" xr:uid="{00000000-0005-0000-0000-00008A920000}"/>
    <cellStyle name="Normal 5 3 4 7" xfId="26551" xr:uid="{00000000-0005-0000-0000-00008B920000}"/>
    <cellStyle name="Normal 5 3 4 8" xfId="26552" xr:uid="{00000000-0005-0000-0000-00008C920000}"/>
    <cellStyle name="Normal 5 3 4 9" xfId="26553" xr:uid="{00000000-0005-0000-0000-00008D920000}"/>
    <cellStyle name="Normal 5 3 5" xfId="26554" xr:uid="{00000000-0005-0000-0000-00008E920000}"/>
    <cellStyle name="Normal 5 3 5 2" xfId="26555" xr:uid="{00000000-0005-0000-0000-00008F920000}"/>
    <cellStyle name="Normal 5 3 5 2 2" xfId="26556" xr:uid="{00000000-0005-0000-0000-000090920000}"/>
    <cellStyle name="Normal 5 3 5 2 2 2" xfId="26557" xr:uid="{00000000-0005-0000-0000-000091920000}"/>
    <cellStyle name="Normal 5 3 5 2 2 2 2" xfId="56985" xr:uid="{00000000-0005-0000-0000-000092920000}"/>
    <cellStyle name="Normal 5 3 5 2 2 2 3" xfId="56986" xr:uid="{00000000-0005-0000-0000-000093920000}"/>
    <cellStyle name="Normal 5 3 5 2 2 3" xfId="26558" xr:uid="{00000000-0005-0000-0000-000094920000}"/>
    <cellStyle name="Normal 5 3 5 2 2 3 2" xfId="56987" xr:uid="{00000000-0005-0000-0000-000095920000}"/>
    <cellStyle name="Normal 5 3 5 2 2 4" xfId="26559" xr:uid="{00000000-0005-0000-0000-000096920000}"/>
    <cellStyle name="Normal 5 3 5 2 2 5" xfId="26560" xr:uid="{00000000-0005-0000-0000-000097920000}"/>
    <cellStyle name="Normal 5 3 5 2 2 6" xfId="26561" xr:uid="{00000000-0005-0000-0000-000098920000}"/>
    <cellStyle name="Normal 5 3 5 2 3" xfId="26562" xr:uid="{00000000-0005-0000-0000-000099920000}"/>
    <cellStyle name="Normal 5 3 5 2 3 2" xfId="56988" xr:uid="{00000000-0005-0000-0000-00009A920000}"/>
    <cellStyle name="Normal 5 3 5 2 3 3" xfId="56989" xr:uid="{00000000-0005-0000-0000-00009B920000}"/>
    <cellStyle name="Normal 5 3 5 2 4" xfId="26563" xr:uid="{00000000-0005-0000-0000-00009C920000}"/>
    <cellStyle name="Normal 5 3 5 2 4 2" xfId="56990" xr:uid="{00000000-0005-0000-0000-00009D920000}"/>
    <cellStyle name="Normal 5 3 5 2 5" xfId="26564" xr:uid="{00000000-0005-0000-0000-00009E920000}"/>
    <cellStyle name="Normal 5 3 5 2 6" xfId="26565" xr:uid="{00000000-0005-0000-0000-00009F920000}"/>
    <cellStyle name="Normal 5 3 5 2 7" xfId="26566" xr:uid="{00000000-0005-0000-0000-0000A0920000}"/>
    <cellStyle name="Normal 5 3 5 3" xfId="26567" xr:uid="{00000000-0005-0000-0000-0000A1920000}"/>
    <cellStyle name="Normal 5 3 5 3 2" xfId="26568" xr:uid="{00000000-0005-0000-0000-0000A2920000}"/>
    <cellStyle name="Normal 5 3 5 3 2 2" xfId="56991" xr:uid="{00000000-0005-0000-0000-0000A3920000}"/>
    <cellStyle name="Normal 5 3 5 3 2 3" xfId="56992" xr:uid="{00000000-0005-0000-0000-0000A4920000}"/>
    <cellStyle name="Normal 5 3 5 3 3" xfId="26569" xr:uid="{00000000-0005-0000-0000-0000A5920000}"/>
    <cellStyle name="Normal 5 3 5 3 3 2" xfId="56993" xr:uid="{00000000-0005-0000-0000-0000A6920000}"/>
    <cellStyle name="Normal 5 3 5 3 4" xfId="26570" xr:uid="{00000000-0005-0000-0000-0000A7920000}"/>
    <cellStyle name="Normal 5 3 5 3 5" xfId="26571" xr:uid="{00000000-0005-0000-0000-0000A8920000}"/>
    <cellStyle name="Normal 5 3 5 3 6" xfId="26572" xr:uid="{00000000-0005-0000-0000-0000A9920000}"/>
    <cellStyle name="Normal 5 3 5 4" xfId="26573" xr:uid="{00000000-0005-0000-0000-0000AA920000}"/>
    <cellStyle name="Normal 5 3 5 4 2" xfId="56994" xr:uid="{00000000-0005-0000-0000-0000AB920000}"/>
    <cellStyle name="Normal 5 3 5 4 3" xfId="56995" xr:uid="{00000000-0005-0000-0000-0000AC920000}"/>
    <cellStyle name="Normal 5 3 5 5" xfId="26574" xr:uid="{00000000-0005-0000-0000-0000AD920000}"/>
    <cellStyle name="Normal 5 3 5 5 2" xfId="56996" xr:uid="{00000000-0005-0000-0000-0000AE920000}"/>
    <cellStyle name="Normal 5 3 5 6" xfId="26575" xr:uid="{00000000-0005-0000-0000-0000AF920000}"/>
    <cellStyle name="Normal 5 3 5 7" xfId="26576" xr:uid="{00000000-0005-0000-0000-0000B0920000}"/>
    <cellStyle name="Normal 5 3 5 8" xfId="26577" xr:uid="{00000000-0005-0000-0000-0000B1920000}"/>
    <cellStyle name="Normal 5 3 5 9" xfId="26578" xr:uid="{00000000-0005-0000-0000-0000B2920000}"/>
    <cellStyle name="Normal 5 3 6" xfId="26579" xr:uid="{00000000-0005-0000-0000-0000B3920000}"/>
    <cellStyle name="Normal 5 3 6 2" xfId="26580" xr:uid="{00000000-0005-0000-0000-0000B4920000}"/>
    <cellStyle name="Normal 5 3 6 2 2" xfId="26581" xr:uid="{00000000-0005-0000-0000-0000B5920000}"/>
    <cellStyle name="Normal 5 3 6 2 2 2" xfId="26582" xr:uid="{00000000-0005-0000-0000-0000B6920000}"/>
    <cellStyle name="Normal 5 3 6 2 2 2 2" xfId="56997" xr:uid="{00000000-0005-0000-0000-0000B7920000}"/>
    <cellStyle name="Normal 5 3 6 2 2 2 3" xfId="56998" xr:uid="{00000000-0005-0000-0000-0000B8920000}"/>
    <cellStyle name="Normal 5 3 6 2 2 3" xfId="26583" xr:uid="{00000000-0005-0000-0000-0000B9920000}"/>
    <cellStyle name="Normal 5 3 6 2 2 3 2" xfId="56999" xr:uid="{00000000-0005-0000-0000-0000BA920000}"/>
    <cellStyle name="Normal 5 3 6 2 2 4" xfId="26584" xr:uid="{00000000-0005-0000-0000-0000BB920000}"/>
    <cellStyle name="Normal 5 3 6 2 2 5" xfId="26585" xr:uid="{00000000-0005-0000-0000-0000BC920000}"/>
    <cellStyle name="Normal 5 3 6 2 2 6" xfId="26586" xr:uid="{00000000-0005-0000-0000-0000BD920000}"/>
    <cellStyle name="Normal 5 3 6 2 3" xfId="26587" xr:uid="{00000000-0005-0000-0000-0000BE920000}"/>
    <cellStyle name="Normal 5 3 6 2 3 2" xfId="57000" xr:uid="{00000000-0005-0000-0000-0000BF920000}"/>
    <cellStyle name="Normal 5 3 6 2 3 3" xfId="57001" xr:uid="{00000000-0005-0000-0000-0000C0920000}"/>
    <cellStyle name="Normal 5 3 6 2 4" xfId="26588" xr:uid="{00000000-0005-0000-0000-0000C1920000}"/>
    <cellStyle name="Normal 5 3 6 2 4 2" xfId="57002" xr:uid="{00000000-0005-0000-0000-0000C2920000}"/>
    <cellStyle name="Normal 5 3 6 2 5" xfId="26589" xr:uid="{00000000-0005-0000-0000-0000C3920000}"/>
    <cellStyle name="Normal 5 3 6 2 6" xfId="26590" xr:uid="{00000000-0005-0000-0000-0000C4920000}"/>
    <cellStyle name="Normal 5 3 6 2 7" xfId="26591" xr:uid="{00000000-0005-0000-0000-0000C5920000}"/>
    <cellStyle name="Normal 5 3 6 3" xfId="26592" xr:uid="{00000000-0005-0000-0000-0000C6920000}"/>
    <cellStyle name="Normal 5 3 6 3 2" xfId="26593" xr:uid="{00000000-0005-0000-0000-0000C7920000}"/>
    <cellStyle name="Normal 5 3 6 3 2 2" xfId="57003" xr:uid="{00000000-0005-0000-0000-0000C8920000}"/>
    <cellStyle name="Normal 5 3 6 3 2 3" xfId="57004" xr:uid="{00000000-0005-0000-0000-0000C9920000}"/>
    <cellStyle name="Normal 5 3 6 3 3" xfId="26594" xr:uid="{00000000-0005-0000-0000-0000CA920000}"/>
    <cellStyle name="Normal 5 3 6 3 3 2" xfId="57005" xr:uid="{00000000-0005-0000-0000-0000CB920000}"/>
    <cellStyle name="Normal 5 3 6 3 4" xfId="26595" xr:uid="{00000000-0005-0000-0000-0000CC920000}"/>
    <cellStyle name="Normal 5 3 6 3 5" xfId="26596" xr:uid="{00000000-0005-0000-0000-0000CD920000}"/>
    <cellStyle name="Normal 5 3 6 3 6" xfId="26597" xr:uid="{00000000-0005-0000-0000-0000CE920000}"/>
    <cellStyle name="Normal 5 3 6 4" xfId="26598" xr:uid="{00000000-0005-0000-0000-0000CF920000}"/>
    <cellStyle name="Normal 5 3 6 4 2" xfId="57006" xr:uid="{00000000-0005-0000-0000-0000D0920000}"/>
    <cellStyle name="Normal 5 3 6 4 3" xfId="57007" xr:uid="{00000000-0005-0000-0000-0000D1920000}"/>
    <cellStyle name="Normal 5 3 6 5" xfId="26599" xr:uid="{00000000-0005-0000-0000-0000D2920000}"/>
    <cellStyle name="Normal 5 3 6 5 2" xfId="57008" xr:uid="{00000000-0005-0000-0000-0000D3920000}"/>
    <cellStyle name="Normal 5 3 6 6" xfId="26600" xr:uid="{00000000-0005-0000-0000-0000D4920000}"/>
    <cellStyle name="Normal 5 3 6 7" xfId="26601" xr:uid="{00000000-0005-0000-0000-0000D5920000}"/>
    <cellStyle name="Normal 5 3 6 8" xfId="26602" xr:uid="{00000000-0005-0000-0000-0000D6920000}"/>
    <cellStyle name="Normal 5 3 7" xfId="26603" xr:uid="{00000000-0005-0000-0000-0000D7920000}"/>
    <cellStyle name="Normal 5 3 7 2" xfId="26604" xr:uid="{00000000-0005-0000-0000-0000D8920000}"/>
    <cellStyle name="Normal 5 3 7 2 2" xfId="26605" xr:uid="{00000000-0005-0000-0000-0000D9920000}"/>
    <cellStyle name="Normal 5 3 7 2 2 2" xfId="26606" xr:uid="{00000000-0005-0000-0000-0000DA920000}"/>
    <cellStyle name="Normal 5 3 7 2 2 2 2" xfId="57009" xr:uid="{00000000-0005-0000-0000-0000DB920000}"/>
    <cellStyle name="Normal 5 3 7 2 2 2 3" xfId="57010" xr:uid="{00000000-0005-0000-0000-0000DC920000}"/>
    <cellStyle name="Normal 5 3 7 2 2 3" xfId="26607" xr:uid="{00000000-0005-0000-0000-0000DD920000}"/>
    <cellStyle name="Normal 5 3 7 2 2 3 2" xfId="57011" xr:uid="{00000000-0005-0000-0000-0000DE920000}"/>
    <cellStyle name="Normal 5 3 7 2 2 4" xfId="26608" xr:uid="{00000000-0005-0000-0000-0000DF920000}"/>
    <cellStyle name="Normal 5 3 7 2 2 5" xfId="26609" xr:uid="{00000000-0005-0000-0000-0000E0920000}"/>
    <cellStyle name="Normal 5 3 7 2 2 6" xfId="26610" xr:uid="{00000000-0005-0000-0000-0000E1920000}"/>
    <cellStyle name="Normal 5 3 7 2 3" xfId="26611" xr:uid="{00000000-0005-0000-0000-0000E2920000}"/>
    <cellStyle name="Normal 5 3 7 2 3 2" xfId="57012" xr:uid="{00000000-0005-0000-0000-0000E3920000}"/>
    <cellStyle name="Normal 5 3 7 2 3 3" xfId="57013" xr:uid="{00000000-0005-0000-0000-0000E4920000}"/>
    <cellStyle name="Normal 5 3 7 2 4" xfId="26612" xr:uid="{00000000-0005-0000-0000-0000E5920000}"/>
    <cellStyle name="Normal 5 3 7 2 4 2" xfId="57014" xr:uid="{00000000-0005-0000-0000-0000E6920000}"/>
    <cellStyle name="Normal 5 3 7 2 5" xfId="26613" xr:uid="{00000000-0005-0000-0000-0000E7920000}"/>
    <cellStyle name="Normal 5 3 7 2 6" xfId="26614" xr:uid="{00000000-0005-0000-0000-0000E8920000}"/>
    <cellStyle name="Normal 5 3 7 2 7" xfId="26615" xr:uid="{00000000-0005-0000-0000-0000E9920000}"/>
    <cellStyle name="Normal 5 3 7 3" xfId="26616" xr:uid="{00000000-0005-0000-0000-0000EA920000}"/>
    <cellStyle name="Normal 5 3 7 3 2" xfId="26617" xr:uid="{00000000-0005-0000-0000-0000EB920000}"/>
    <cellStyle name="Normal 5 3 7 3 2 2" xfId="57015" xr:uid="{00000000-0005-0000-0000-0000EC920000}"/>
    <cellStyle name="Normal 5 3 7 3 2 3" xfId="57016" xr:uid="{00000000-0005-0000-0000-0000ED920000}"/>
    <cellStyle name="Normal 5 3 7 3 3" xfId="26618" xr:uid="{00000000-0005-0000-0000-0000EE920000}"/>
    <cellStyle name="Normal 5 3 7 3 3 2" xfId="57017" xr:uid="{00000000-0005-0000-0000-0000EF920000}"/>
    <cellStyle name="Normal 5 3 7 3 4" xfId="26619" xr:uid="{00000000-0005-0000-0000-0000F0920000}"/>
    <cellStyle name="Normal 5 3 7 3 5" xfId="26620" xr:uid="{00000000-0005-0000-0000-0000F1920000}"/>
    <cellStyle name="Normal 5 3 7 3 6" xfId="26621" xr:uid="{00000000-0005-0000-0000-0000F2920000}"/>
    <cellStyle name="Normal 5 3 7 4" xfId="26622" xr:uid="{00000000-0005-0000-0000-0000F3920000}"/>
    <cellStyle name="Normal 5 3 7 4 2" xfId="57018" xr:uid="{00000000-0005-0000-0000-0000F4920000}"/>
    <cellStyle name="Normal 5 3 7 4 3" xfId="57019" xr:uid="{00000000-0005-0000-0000-0000F5920000}"/>
    <cellStyle name="Normal 5 3 7 5" xfId="26623" xr:uid="{00000000-0005-0000-0000-0000F6920000}"/>
    <cellStyle name="Normal 5 3 7 5 2" xfId="57020" xr:uid="{00000000-0005-0000-0000-0000F7920000}"/>
    <cellStyle name="Normal 5 3 7 6" xfId="26624" xr:uid="{00000000-0005-0000-0000-0000F8920000}"/>
    <cellStyle name="Normal 5 3 7 7" xfId="26625" xr:uid="{00000000-0005-0000-0000-0000F9920000}"/>
    <cellStyle name="Normal 5 3 7 8" xfId="26626" xr:uid="{00000000-0005-0000-0000-0000FA920000}"/>
    <cellStyle name="Normal 5 3 8" xfId="26627" xr:uid="{00000000-0005-0000-0000-0000FB920000}"/>
    <cellStyle name="Normal 5 3 8 2" xfId="26628" xr:uid="{00000000-0005-0000-0000-0000FC920000}"/>
    <cellStyle name="Normal 5 3 8 2 2" xfId="26629" xr:uid="{00000000-0005-0000-0000-0000FD920000}"/>
    <cellStyle name="Normal 5 3 8 2 2 2" xfId="57021" xr:uid="{00000000-0005-0000-0000-0000FE920000}"/>
    <cellStyle name="Normal 5 3 8 2 2 3" xfId="57022" xr:uid="{00000000-0005-0000-0000-0000FF920000}"/>
    <cellStyle name="Normal 5 3 8 2 3" xfId="26630" xr:uid="{00000000-0005-0000-0000-000000930000}"/>
    <cellStyle name="Normal 5 3 8 2 3 2" xfId="57023" xr:uid="{00000000-0005-0000-0000-000001930000}"/>
    <cellStyle name="Normal 5 3 8 2 4" xfId="26631" xr:uid="{00000000-0005-0000-0000-000002930000}"/>
    <cellStyle name="Normal 5 3 8 2 5" xfId="26632" xr:uid="{00000000-0005-0000-0000-000003930000}"/>
    <cellStyle name="Normal 5 3 8 2 6" xfId="26633" xr:uid="{00000000-0005-0000-0000-000004930000}"/>
    <cellStyle name="Normal 5 3 8 3" xfId="26634" xr:uid="{00000000-0005-0000-0000-000005930000}"/>
    <cellStyle name="Normal 5 3 8 3 2" xfId="57024" xr:uid="{00000000-0005-0000-0000-000006930000}"/>
    <cellStyle name="Normal 5 3 8 3 3" xfId="57025" xr:uid="{00000000-0005-0000-0000-000007930000}"/>
    <cellStyle name="Normal 5 3 8 4" xfId="26635" xr:uid="{00000000-0005-0000-0000-000008930000}"/>
    <cellStyle name="Normal 5 3 8 4 2" xfId="57026" xr:uid="{00000000-0005-0000-0000-000009930000}"/>
    <cellStyle name="Normal 5 3 8 5" xfId="26636" xr:uid="{00000000-0005-0000-0000-00000A930000}"/>
    <cellStyle name="Normal 5 3 8 6" xfId="26637" xr:uid="{00000000-0005-0000-0000-00000B930000}"/>
    <cellStyle name="Normal 5 3 8 7" xfId="26638" xr:uid="{00000000-0005-0000-0000-00000C930000}"/>
    <cellStyle name="Normal 5 3 9" xfId="26639" xr:uid="{00000000-0005-0000-0000-00000D930000}"/>
    <cellStyle name="Normal 5 3 9 2" xfId="26640" xr:uid="{00000000-0005-0000-0000-00000E930000}"/>
    <cellStyle name="Normal 5 3 9 2 2" xfId="57027" xr:uid="{00000000-0005-0000-0000-00000F930000}"/>
    <cellStyle name="Normal 5 3 9 2 3" xfId="57028" xr:uid="{00000000-0005-0000-0000-000010930000}"/>
    <cellStyle name="Normal 5 3 9 3" xfId="26641" xr:uid="{00000000-0005-0000-0000-000011930000}"/>
    <cellStyle name="Normal 5 3 9 3 2" xfId="57029" xr:uid="{00000000-0005-0000-0000-000012930000}"/>
    <cellStyle name="Normal 5 3 9 4" xfId="26642" xr:uid="{00000000-0005-0000-0000-000013930000}"/>
    <cellStyle name="Normal 5 3 9 5" xfId="26643" xr:uid="{00000000-0005-0000-0000-000014930000}"/>
    <cellStyle name="Normal 5 3 9 6" xfId="26644" xr:uid="{00000000-0005-0000-0000-000015930000}"/>
    <cellStyle name="Normal 5 4" xfId="26645" xr:uid="{00000000-0005-0000-0000-000016930000}"/>
    <cellStyle name="Normal 5 4 10" xfId="26646" xr:uid="{00000000-0005-0000-0000-000017930000}"/>
    <cellStyle name="Normal 5 4 11" xfId="26647" xr:uid="{00000000-0005-0000-0000-000018930000}"/>
    <cellStyle name="Normal 5 4 12" xfId="26648" xr:uid="{00000000-0005-0000-0000-000019930000}"/>
    <cellStyle name="Normal 5 4 13" xfId="26649" xr:uid="{00000000-0005-0000-0000-00001A930000}"/>
    <cellStyle name="Normal 5 4 14" xfId="26650" xr:uid="{00000000-0005-0000-0000-00001B930000}"/>
    <cellStyle name="Normal 5 4 15" xfId="26651" xr:uid="{00000000-0005-0000-0000-00001C930000}"/>
    <cellStyle name="Normal 5 4 16" xfId="26652" xr:uid="{00000000-0005-0000-0000-00001D930000}"/>
    <cellStyle name="Normal 5 4 17" xfId="26653" xr:uid="{00000000-0005-0000-0000-00001E930000}"/>
    <cellStyle name="Normal 5 4 2" xfId="26654" xr:uid="{00000000-0005-0000-0000-00001F930000}"/>
    <cellStyle name="Normal 5 4 2 10" xfId="26655" xr:uid="{00000000-0005-0000-0000-000020930000}"/>
    <cellStyle name="Normal 5 4 2 11" xfId="26656" xr:uid="{00000000-0005-0000-0000-000021930000}"/>
    <cellStyle name="Normal 5 4 2 12" xfId="26657" xr:uid="{00000000-0005-0000-0000-000022930000}"/>
    <cellStyle name="Normal 5 4 2 13" xfId="26658" xr:uid="{00000000-0005-0000-0000-000023930000}"/>
    <cellStyle name="Normal 5 4 2 14" xfId="26659" xr:uid="{00000000-0005-0000-0000-000024930000}"/>
    <cellStyle name="Normal 5 4 2 2" xfId="26660" xr:uid="{00000000-0005-0000-0000-000025930000}"/>
    <cellStyle name="Normal 5 4 2 2 2" xfId="26661" xr:uid="{00000000-0005-0000-0000-000026930000}"/>
    <cellStyle name="Normal 5 4 2 2 2 2" xfId="26662" xr:uid="{00000000-0005-0000-0000-000027930000}"/>
    <cellStyle name="Normal 5 4 2 2 2 2 2" xfId="26663" xr:uid="{00000000-0005-0000-0000-000028930000}"/>
    <cellStyle name="Normal 5 4 2 2 2 2 2 2" xfId="57030" xr:uid="{00000000-0005-0000-0000-000029930000}"/>
    <cellStyle name="Normal 5 4 2 2 2 2 2 3" xfId="57031" xr:uid="{00000000-0005-0000-0000-00002A930000}"/>
    <cellStyle name="Normal 5 4 2 2 2 2 3" xfId="26664" xr:uid="{00000000-0005-0000-0000-00002B930000}"/>
    <cellStyle name="Normal 5 4 2 2 2 2 3 2" xfId="57032" xr:uid="{00000000-0005-0000-0000-00002C930000}"/>
    <cellStyle name="Normal 5 4 2 2 2 2 4" xfId="26665" xr:uid="{00000000-0005-0000-0000-00002D930000}"/>
    <cellStyle name="Normal 5 4 2 2 2 2 5" xfId="26666" xr:uid="{00000000-0005-0000-0000-00002E930000}"/>
    <cellStyle name="Normal 5 4 2 2 2 2 6" xfId="26667" xr:uid="{00000000-0005-0000-0000-00002F930000}"/>
    <cellStyle name="Normal 5 4 2 2 2 3" xfId="26668" xr:uid="{00000000-0005-0000-0000-000030930000}"/>
    <cellStyle name="Normal 5 4 2 2 2 3 2" xfId="57033" xr:uid="{00000000-0005-0000-0000-000031930000}"/>
    <cellStyle name="Normal 5 4 2 2 2 3 3" xfId="57034" xr:uid="{00000000-0005-0000-0000-000032930000}"/>
    <cellStyle name="Normal 5 4 2 2 2 4" xfId="26669" xr:uid="{00000000-0005-0000-0000-000033930000}"/>
    <cellStyle name="Normal 5 4 2 2 2 4 2" xfId="57035" xr:uid="{00000000-0005-0000-0000-000034930000}"/>
    <cellStyle name="Normal 5 4 2 2 2 5" xfId="26670" xr:uid="{00000000-0005-0000-0000-000035930000}"/>
    <cellStyle name="Normal 5 4 2 2 2 6" xfId="26671" xr:uid="{00000000-0005-0000-0000-000036930000}"/>
    <cellStyle name="Normal 5 4 2 2 2 7" xfId="26672" xr:uid="{00000000-0005-0000-0000-000037930000}"/>
    <cellStyle name="Normal 5 4 2 2 3" xfId="26673" xr:uid="{00000000-0005-0000-0000-000038930000}"/>
    <cellStyle name="Normal 5 4 2 2 3 2" xfId="26674" xr:uid="{00000000-0005-0000-0000-000039930000}"/>
    <cellStyle name="Normal 5 4 2 2 3 2 2" xfId="57036" xr:uid="{00000000-0005-0000-0000-00003A930000}"/>
    <cellStyle name="Normal 5 4 2 2 3 2 3" xfId="57037" xr:uid="{00000000-0005-0000-0000-00003B930000}"/>
    <cellStyle name="Normal 5 4 2 2 3 3" xfId="26675" xr:uid="{00000000-0005-0000-0000-00003C930000}"/>
    <cellStyle name="Normal 5 4 2 2 3 3 2" xfId="57038" xr:uid="{00000000-0005-0000-0000-00003D930000}"/>
    <cellStyle name="Normal 5 4 2 2 3 4" xfId="26676" xr:uid="{00000000-0005-0000-0000-00003E930000}"/>
    <cellStyle name="Normal 5 4 2 2 3 5" xfId="26677" xr:uid="{00000000-0005-0000-0000-00003F930000}"/>
    <cellStyle name="Normal 5 4 2 2 3 6" xfId="26678" xr:uid="{00000000-0005-0000-0000-000040930000}"/>
    <cellStyle name="Normal 5 4 2 2 4" xfId="26679" xr:uid="{00000000-0005-0000-0000-000041930000}"/>
    <cellStyle name="Normal 5 4 2 2 4 2" xfId="57039" xr:uid="{00000000-0005-0000-0000-000042930000}"/>
    <cellStyle name="Normal 5 4 2 2 4 3" xfId="57040" xr:uid="{00000000-0005-0000-0000-000043930000}"/>
    <cellStyle name="Normal 5 4 2 2 5" xfId="26680" xr:uid="{00000000-0005-0000-0000-000044930000}"/>
    <cellStyle name="Normal 5 4 2 2 5 2" xfId="57041" xr:uid="{00000000-0005-0000-0000-000045930000}"/>
    <cellStyle name="Normal 5 4 2 2 6" xfId="26681" xr:uid="{00000000-0005-0000-0000-000046930000}"/>
    <cellStyle name="Normal 5 4 2 2 7" xfId="26682" xr:uid="{00000000-0005-0000-0000-000047930000}"/>
    <cellStyle name="Normal 5 4 2 2 8" xfId="26683" xr:uid="{00000000-0005-0000-0000-000048930000}"/>
    <cellStyle name="Normal 5 4 2 2 9" xfId="26684" xr:uid="{00000000-0005-0000-0000-000049930000}"/>
    <cellStyle name="Normal 5 4 2 3" xfId="26685" xr:uid="{00000000-0005-0000-0000-00004A930000}"/>
    <cellStyle name="Normal 5 4 2 3 2" xfId="26686" xr:uid="{00000000-0005-0000-0000-00004B930000}"/>
    <cellStyle name="Normal 5 4 2 3 2 2" xfId="26687" xr:uid="{00000000-0005-0000-0000-00004C930000}"/>
    <cellStyle name="Normal 5 4 2 3 2 2 2" xfId="26688" xr:uid="{00000000-0005-0000-0000-00004D930000}"/>
    <cellStyle name="Normal 5 4 2 3 2 2 2 2" xfId="57042" xr:uid="{00000000-0005-0000-0000-00004E930000}"/>
    <cellStyle name="Normal 5 4 2 3 2 2 2 3" xfId="57043" xr:uid="{00000000-0005-0000-0000-00004F930000}"/>
    <cellStyle name="Normal 5 4 2 3 2 2 3" xfId="26689" xr:uid="{00000000-0005-0000-0000-000050930000}"/>
    <cellStyle name="Normal 5 4 2 3 2 2 3 2" xfId="57044" xr:uid="{00000000-0005-0000-0000-000051930000}"/>
    <cellStyle name="Normal 5 4 2 3 2 2 4" xfId="26690" xr:uid="{00000000-0005-0000-0000-000052930000}"/>
    <cellStyle name="Normal 5 4 2 3 2 2 5" xfId="26691" xr:uid="{00000000-0005-0000-0000-000053930000}"/>
    <cellStyle name="Normal 5 4 2 3 2 2 6" xfId="26692" xr:uid="{00000000-0005-0000-0000-000054930000}"/>
    <cellStyle name="Normal 5 4 2 3 2 3" xfId="26693" xr:uid="{00000000-0005-0000-0000-000055930000}"/>
    <cellStyle name="Normal 5 4 2 3 2 3 2" xfId="57045" xr:uid="{00000000-0005-0000-0000-000056930000}"/>
    <cellStyle name="Normal 5 4 2 3 2 3 3" xfId="57046" xr:uid="{00000000-0005-0000-0000-000057930000}"/>
    <cellStyle name="Normal 5 4 2 3 2 4" xfId="26694" xr:uid="{00000000-0005-0000-0000-000058930000}"/>
    <cellStyle name="Normal 5 4 2 3 2 4 2" xfId="57047" xr:uid="{00000000-0005-0000-0000-000059930000}"/>
    <cellStyle name="Normal 5 4 2 3 2 5" xfId="26695" xr:uid="{00000000-0005-0000-0000-00005A930000}"/>
    <cellStyle name="Normal 5 4 2 3 2 6" xfId="26696" xr:uid="{00000000-0005-0000-0000-00005B930000}"/>
    <cellStyle name="Normal 5 4 2 3 2 7" xfId="26697" xr:uid="{00000000-0005-0000-0000-00005C930000}"/>
    <cellStyle name="Normal 5 4 2 3 3" xfId="26698" xr:uid="{00000000-0005-0000-0000-00005D930000}"/>
    <cellStyle name="Normal 5 4 2 3 3 2" xfId="26699" xr:uid="{00000000-0005-0000-0000-00005E930000}"/>
    <cellStyle name="Normal 5 4 2 3 3 2 2" xfId="57048" xr:uid="{00000000-0005-0000-0000-00005F930000}"/>
    <cellStyle name="Normal 5 4 2 3 3 2 3" xfId="57049" xr:uid="{00000000-0005-0000-0000-000060930000}"/>
    <cellStyle name="Normal 5 4 2 3 3 3" xfId="26700" xr:uid="{00000000-0005-0000-0000-000061930000}"/>
    <cellStyle name="Normal 5 4 2 3 3 3 2" xfId="57050" xr:uid="{00000000-0005-0000-0000-000062930000}"/>
    <cellStyle name="Normal 5 4 2 3 3 4" xfId="26701" xr:uid="{00000000-0005-0000-0000-000063930000}"/>
    <cellStyle name="Normal 5 4 2 3 3 5" xfId="26702" xr:uid="{00000000-0005-0000-0000-000064930000}"/>
    <cellStyle name="Normal 5 4 2 3 3 6" xfId="26703" xr:uid="{00000000-0005-0000-0000-000065930000}"/>
    <cellStyle name="Normal 5 4 2 3 4" xfId="26704" xr:uid="{00000000-0005-0000-0000-000066930000}"/>
    <cellStyle name="Normal 5 4 2 3 4 2" xfId="57051" xr:uid="{00000000-0005-0000-0000-000067930000}"/>
    <cellStyle name="Normal 5 4 2 3 4 3" xfId="57052" xr:uid="{00000000-0005-0000-0000-000068930000}"/>
    <cellStyle name="Normal 5 4 2 3 5" xfId="26705" xr:uid="{00000000-0005-0000-0000-000069930000}"/>
    <cellStyle name="Normal 5 4 2 3 5 2" xfId="57053" xr:uid="{00000000-0005-0000-0000-00006A930000}"/>
    <cellStyle name="Normal 5 4 2 3 6" xfId="26706" xr:uid="{00000000-0005-0000-0000-00006B930000}"/>
    <cellStyle name="Normal 5 4 2 3 7" xfId="26707" xr:uid="{00000000-0005-0000-0000-00006C930000}"/>
    <cellStyle name="Normal 5 4 2 3 8" xfId="26708" xr:uid="{00000000-0005-0000-0000-00006D930000}"/>
    <cellStyle name="Normal 5 4 2 4" xfId="26709" xr:uid="{00000000-0005-0000-0000-00006E930000}"/>
    <cellStyle name="Normal 5 4 2 4 2" xfId="26710" xr:uid="{00000000-0005-0000-0000-00006F930000}"/>
    <cellStyle name="Normal 5 4 2 4 2 2" xfId="26711" xr:uid="{00000000-0005-0000-0000-000070930000}"/>
    <cellStyle name="Normal 5 4 2 4 2 2 2" xfId="57054" xr:uid="{00000000-0005-0000-0000-000071930000}"/>
    <cellStyle name="Normal 5 4 2 4 2 2 3" xfId="57055" xr:uid="{00000000-0005-0000-0000-000072930000}"/>
    <cellStyle name="Normal 5 4 2 4 2 3" xfId="26712" xr:uid="{00000000-0005-0000-0000-000073930000}"/>
    <cellStyle name="Normal 5 4 2 4 2 3 2" xfId="57056" xr:uid="{00000000-0005-0000-0000-000074930000}"/>
    <cellStyle name="Normal 5 4 2 4 2 4" xfId="26713" xr:uid="{00000000-0005-0000-0000-000075930000}"/>
    <cellStyle name="Normal 5 4 2 4 2 5" xfId="26714" xr:uid="{00000000-0005-0000-0000-000076930000}"/>
    <cellStyle name="Normal 5 4 2 4 2 6" xfId="26715" xr:uid="{00000000-0005-0000-0000-000077930000}"/>
    <cellStyle name="Normal 5 4 2 4 3" xfId="26716" xr:uid="{00000000-0005-0000-0000-000078930000}"/>
    <cellStyle name="Normal 5 4 2 4 3 2" xfId="57057" xr:uid="{00000000-0005-0000-0000-000079930000}"/>
    <cellStyle name="Normal 5 4 2 4 3 3" xfId="57058" xr:uid="{00000000-0005-0000-0000-00007A930000}"/>
    <cellStyle name="Normal 5 4 2 4 4" xfId="26717" xr:uid="{00000000-0005-0000-0000-00007B930000}"/>
    <cellStyle name="Normal 5 4 2 4 4 2" xfId="57059" xr:uid="{00000000-0005-0000-0000-00007C930000}"/>
    <cellStyle name="Normal 5 4 2 4 5" xfId="26718" xr:uid="{00000000-0005-0000-0000-00007D930000}"/>
    <cellStyle name="Normal 5 4 2 4 6" xfId="26719" xr:uid="{00000000-0005-0000-0000-00007E930000}"/>
    <cellStyle name="Normal 5 4 2 4 7" xfId="26720" xr:uid="{00000000-0005-0000-0000-00007F930000}"/>
    <cellStyle name="Normal 5 4 2 5" xfId="26721" xr:uid="{00000000-0005-0000-0000-000080930000}"/>
    <cellStyle name="Normal 5 4 2 5 2" xfId="26722" xr:uid="{00000000-0005-0000-0000-000081930000}"/>
    <cellStyle name="Normal 5 4 2 5 2 2" xfId="57060" xr:uid="{00000000-0005-0000-0000-000082930000}"/>
    <cellStyle name="Normal 5 4 2 5 2 3" xfId="57061" xr:uid="{00000000-0005-0000-0000-000083930000}"/>
    <cellStyle name="Normal 5 4 2 5 3" xfId="26723" xr:uid="{00000000-0005-0000-0000-000084930000}"/>
    <cellStyle name="Normal 5 4 2 5 3 2" xfId="57062" xr:uid="{00000000-0005-0000-0000-000085930000}"/>
    <cellStyle name="Normal 5 4 2 5 4" xfId="26724" xr:uid="{00000000-0005-0000-0000-000086930000}"/>
    <cellStyle name="Normal 5 4 2 5 5" xfId="26725" xr:uid="{00000000-0005-0000-0000-000087930000}"/>
    <cellStyle name="Normal 5 4 2 5 6" xfId="26726" xr:uid="{00000000-0005-0000-0000-000088930000}"/>
    <cellStyle name="Normal 5 4 2 6" xfId="26727" xr:uid="{00000000-0005-0000-0000-000089930000}"/>
    <cellStyle name="Normal 5 4 2 6 2" xfId="57063" xr:uid="{00000000-0005-0000-0000-00008A930000}"/>
    <cellStyle name="Normal 5 4 2 6 3" xfId="57064" xr:uid="{00000000-0005-0000-0000-00008B930000}"/>
    <cellStyle name="Normal 5 4 2 7" xfId="26728" xr:uid="{00000000-0005-0000-0000-00008C930000}"/>
    <cellStyle name="Normal 5 4 2 7 2" xfId="57065" xr:uid="{00000000-0005-0000-0000-00008D930000}"/>
    <cellStyle name="Normal 5 4 2 8" xfId="26729" xr:uid="{00000000-0005-0000-0000-00008E930000}"/>
    <cellStyle name="Normal 5 4 2 9" xfId="26730" xr:uid="{00000000-0005-0000-0000-00008F930000}"/>
    <cellStyle name="Normal 5 4 3" xfId="26731" xr:uid="{00000000-0005-0000-0000-000090930000}"/>
    <cellStyle name="Normal 5 4 3 2" xfId="26732" xr:uid="{00000000-0005-0000-0000-000091930000}"/>
    <cellStyle name="Normal 5 4 3 2 2" xfId="26733" xr:uid="{00000000-0005-0000-0000-000092930000}"/>
    <cellStyle name="Normal 5 4 3 2 2 2" xfId="26734" xr:uid="{00000000-0005-0000-0000-000093930000}"/>
    <cellStyle name="Normal 5 4 3 2 2 2 2" xfId="57066" xr:uid="{00000000-0005-0000-0000-000094930000}"/>
    <cellStyle name="Normal 5 4 3 2 2 2 3" xfId="57067" xr:uid="{00000000-0005-0000-0000-000095930000}"/>
    <cellStyle name="Normal 5 4 3 2 2 3" xfId="26735" xr:uid="{00000000-0005-0000-0000-000096930000}"/>
    <cellStyle name="Normal 5 4 3 2 2 3 2" xfId="57068" xr:uid="{00000000-0005-0000-0000-000097930000}"/>
    <cellStyle name="Normal 5 4 3 2 2 4" xfId="26736" xr:uid="{00000000-0005-0000-0000-000098930000}"/>
    <cellStyle name="Normal 5 4 3 2 2 5" xfId="26737" xr:uid="{00000000-0005-0000-0000-000099930000}"/>
    <cellStyle name="Normal 5 4 3 2 2 6" xfId="26738" xr:uid="{00000000-0005-0000-0000-00009A930000}"/>
    <cellStyle name="Normal 5 4 3 2 3" xfId="26739" xr:uid="{00000000-0005-0000-0000-00009B930000}"/>
    <cellStyle name="Normal 5 4 3 2 3 2" xfId="57069" xr:uid="{00000000-0005-0000-0000-00009C930000}"/>
    <cellStyle name="Normal 5 4 3 2 3 3" xfId="57070" xr:uid="{00000000-0005-0000-0000-00009D930000}"/>
    <cellStyle name="Normal 5 4 3 2 4" xfId="26740" xr:uid="{00000000-0005-0000-0000-00009E930000}"/>
    <cellStyle name="Normal 5 4 3 2 4 2" xfId="57071" xr:uid="{00000000-0005-0000-0000-00009F930000}"/>
    <cellStyle name="Normal 5 4 3 2 5" xfId="26741" xr:uid="{00000000-0005-0000-0000-0000A0930000}"/>
    <cellStyle name="Normal 5 4 3 2 6" xfId="26742" xr:uid="{00000000-0005-0000-0000-0000A1930000}"/>
    <cellStyle name="Normal 5 4 3 2 7" xfId="26743" xr:uid="{00000000-0005-0000-0000-0000A2930000}"/>
    <cellStyle name="Normal 5 4 3 3" xfId="26744" xr:uid="{00000000-0005-0000-0000-0000A3930000}"/>
    <cellStyle name="Normal 5 4 3 3 2" xfId="26745" xr:uid="{00000000-0005-0000-0000-0000A4930000}"/>
    <cellStyle name="Normal 5 4 3 3 2 2" xfId="57072" xr:uid="{00000000-0005-0000-0000-0000A5930000}"/>
    <cellStyle name="Normal 5 4 3 3 2 3" xfId="57073" xr:uid="{00000000-0005-0000-0000-0000A6930000}"/>
    <cellStyle name="Normal 5 4 3 3 3" xfId="26746" xr:uid="{00000000-0005-0000-0000-0000A7930000}"/>
    <cellStyle name="Normal 5 4 3 3 3 2" xfId="57074" xr:uid="{00000000-0005-0000-0000-0000A8930000}"/>
    <cellStyle name="Normal 5 4 3 3 4" xfId="26747" xr:uid="{00000000-0005-0000-0000-0000A9930000}"/>
    <cellStyle name="Normal 5 4 3 3 5" xfId="26748" xr:uid="{00000000-0005-0000-0000-0000AA930000}"/>
    <cellStyle name="Normal 5 4 3 3 6" xfId="26749" xr:uid="{00000000-0005-0000-0000-0000AB930000}"/>
    <cellStyle name="Normal 5 4 3 4" xfId="26750" xr:uid="{00000000-0005-0000-0000-0000AC930000}"/>
    <cellStyle name="Normal 5 4 3 4 2" xfId="57075" xr:uid="{00000000-0005-0000-0000-0000AD930000}"/>
    <cellStyle name="Normal 5 4 3 4 3" xfId="57076" xr:uid="{00000000-0005-0000-0000-0000AE930000}"/>
    <cellStyle name="Normal 5 4 3 5" xfId="26751" xr:uid="{00000000-0005-0000-0000-0000AF930000}"/>
    <cellStyle name="Normal 5 4 3 5 2" xfId="57077" xr:uid="{00000000-0005-0000-0000-0000B0930000}"/>
    <cellStyle name="Normal 5 4 3 6" xfId="26752" xr:uid="{00000000-0005-0000-0000-0000B1930000}"/>
    <cellStyle name="Normal 5 4 3 7" xfId="26753" xr:uid="{00000000-0005-0000-0000-0000B2930000}"/>
    <cellStyle name="Normal 5 4 3 8" xfId="26754" xr:uid="{00000000-0005-0000-0000-0000B3930000}"/>
    <cellStyle name="Normal 5 4 3 9" xfId="26755" xr:uid="{00000000-0005-0000-0000-0000B4930000}"/>
    <cellStyle name="Normal 5 4 4" xfId="26756" xr:uid="{00000000-0005-0000-0000-0000B5930000}"/>
    <cellStyle name="Normal 5 4 4 2" xfId="26757" xr:uid="{00000000-0005-0000-0000-0000B6930000}"/>
    <cellStyle name="Normal 5 4 4 2 2" xfId="26758" xr:uid="{00000000-0005-0000-0000-0000B7930000}"/>
    <cellStyle name="Normal 5 4 4 2 2 2" xfId="26759" xr:uid="{00000000-0005-0000-0000-0000B8930000}"/>
    <cellStyle name="Normal 5 4 4 2 2 2 2" xfId="57078" xr:uid="{00000000-0005-0000-0000-0000B9930000}"/>
    <cellStyle name="Normal 5 4 4 2 2 2 3" xfId="57079" xr:uid="{00000000-0005-0000-0000-0000BA930000}"/>
    <cellStyle name="Normal 5 4 4 2 2 3" xfId="26760" xr:uid="{00000000-0005-0000-0000-0000BB930000}"/>
    <cellStyle name="Normal 5 4 4 2 2 3 2" xfId="57080" xr:uid="{00000000-0005-0000-0000-0000BC930000}"/>
    <cellStyle name="Normal 5 4 4 2 2 4" xfId="26761" xr:uid="{00000000-0005-0000-0000-0000BD930000}"/>
    <cellStyle name="Normal 5 4 4 2 2 5" xfId="26762" xr:uid="{00000000-0005-0000-0000-0000BE930000}"/>
    <cellStyle name="Normal 5 4 4 2 2 6" xfId="26763" xr:uid="{00000000-0005-0000-0000-0000BF930000}"/>
    <cellStyle name="Normal 5 4 4 2 3" xfId="26764" xr:uid="{00000000-0005-0000-0000-0000C0930000}"/>
    <cellStyle name="Normal 5 4 4 2 3 2" xfId="57081" xr:uid="{00000000-0005-0000-0000-0000C1930000}"/>
    <cellStyle name="Normal 5 4 4 2 3 3" xfId="57082" xr:uid="{00000000-0005-0000-0000-0000C2930000}"/>
    <cellStyle name="Normal 5 4 4 2 4" xfId="26765" xr:uid="{00000000-0005-0000-0000-0000C3930000}"/>
    <cellStyle name="Normal 5 4 4 2 4 2" xfId="57083" xr:uid="{00000000-0005-0000-0000-0000C4930000}"/>
    <cellStyle name="Normal 5 4 4 2 5" xfId="26766" xr:uid="{00000000-0005-0000-0000-0000C5930000}"/>
    <cellStyle name="Normal 5 4 4 2 6" xfId="26767" xr:uid="{00000000-0005-0000-0000-0000C6930000}"/>
    <cellStyle name="Normal 5 4 4 2 7" xfId="26768" xr:uid="{00000000-0005-0000-0000-0000C7930000}"/>
    <cellStyle name="Normal 5 4 4 3" xfId="26769" xr:uid="{00000000-0005-0000-0000-0000C8930000}"/>
    <cellStyle name="Normal 5 4 4 3 2" xfId="26770" xr:uid="{00000000-0005-0000-0000-0000C9930000}"/>
    <cellStyle name="Normal 5 4 4 3 2 2" xfId="57084" xr:uid="{00000000-0005-0000-0000-0000CA930000}"/>
    <cellStyle name="Normal 5 4 4 3 2 3" xfId="57085" xr:uid="{00000000-0005-0000-0000-0000CB930000}"/>
    <cellStyle name="Normal 5 4 4 3 3" xfId="26771" xr:uid="{00000000-0005-0000-0000-0000CC930000}"/>
    <cellStyle name="Normal 5 4 4 3 3 2" xfId="57086" xr:uid="{00000000-0005-0000-0000-0000CD930000}"/>
    <cellStyle name="Normal 5 4 4 3 4" xfId="26772" xr:uid="{00000000-0005-0000-0000-0000CE930000}"/>
    <cellStyle name="Normal 5 4 4 3 5" xfId="26773" xr:uid="{00000000-0005-0000-0000-0000CF930000}"/>
    <cellStyle name="Normal 5 4 4 3 6" xfId="26774" xr:uid="{00000000-0005-0000-0000-0000D0930000}"/>
    <cellStyle name="Normal 5 4 4 4" xfId="26775" xr:uid="{00000000-0005-0000-0000-0000D1930000}"/>
    <cellStyle name="Normal 5 4 4 4 2" xfId="57087" xr:uid="{00000000-0005-0000-0000-0000D2930000}"/>
    <cellStyle name="Normal 5 4 4 4 3" xfId="57088" xr:uid="{00000000-0005-0000-0000-0000D3930000}"/>
    <cellStyle name="Normal 5 4 4 5" xfId="26776" xr:uid="{00000000-0005-0000-0000-0000D4930000}"/>
    <cellStyle name="Normal 5 4 4 5 2" xfId="57089" xr:uid="{00000000-0005-0000-0000-0000D5930000}"/>
    <cellStyle name="Normal 5 4 4 6" xfId="26777" xr:uid="{00000000-0005-0000-0000-0000D6930000}"/>
    <cellStyle name="Normal 5 4 4 7" xfId="26778" xr:uid="{00000000-0005-0000-0000-0000D7930000}"/>
    <cellStyle name="Normal 5 4 4 8" xfId="26779" xr:uid="{00000000-0005-0000-0000-0000D8930000}"/>
    <cellStyle name="Normal 5 4 5" xfId="26780" xr:uid="{00000000-0005-0000-0000-0000D9930000}"/>
    <cellStyle name="Normal 5 4 5 2" xfId="26781" xr:uid="{00000000-0005-0000-0000-0000DA930000}"/>
    <cellStyle name="Normal 5 4 5 2 2" xfId="26782" xr:uid="{00000000-0005-0000-0000-0000DB930000}"/>
    <cellStyle name="Normal 5 4 5 2 2 2" xfId="57090" xr:uid="{00000000-0005-0000-0000-0000DC930000}"/>
    <cellStyle name="Normal 5 4 5 2 2 3" xfId="57091" xr:uid="{00000000-0005-0000-0000-0000DD930000}"/>
    <cellStyle name="Normal 5 4 5 2 3" xfId="26783" xr:uid="{00000000-0005-0000-0000-0000DE930000}"/>
    <cellStyle name="Normal 5 4 5 2 3 2" xfId="57092" xr:uid="{00000000-0005-0000-0000-0000DF930000}"/>
    <cellStyle name="Normal 5 4 5 2 4" xfId="26784" xr:uid="{00000000-0005-0000-0000-0000E0930000}"/>
    <cellStyle name="Normal 5 4 5 2 5" xfId="26785" xr:uid="{00000000-0005-0000-0000-0000E1930000}"/>
    <cellStyle name="Normal 5 4 5 2 6" xfId="26786" xr:uid="{00000000-0005-0000-0000-0000E2930000}"/>
    <cellStyle name="Normal 5 4 5 3" xfId="26787" xr:uid="{00000000-0005-0000-0000-0000E3930000}"/>
    <cellStyle name="Normal 5 4 5 3 2" xfId="57093" xr:uid="{00000000-0005-0000-0000-0000E4930000}"/>
    <cellStyle name="Normal 5 4 5 3 3" xfId="57094" xr:uid="{00000000-0005-0000-0000-0000E5930000}"/>
    <cellStyle name="Normal 5 4 5 4" xfId="26788" xr:uid="{00000000-0005-0000-0000-0000E6930000}"/>
    <cellStyle name="Normal 5 4 5 4 2" xfId="57095" xr:uid="{00000000-0005-0000-0000-0000E7930000}"/>
    <cellStyle name="Normal 5 4 5 5" xfId="26789" xr:uid="{00000000-0005-0000-0000-0000E8930000}"/>
    <cellStyle name="Normal 5 4 5 6" xfId="26790" xr:uid="{00000000-0005-0000-0000-0000E9930000}"/>
    <cellStyle name="Normal 5 4 5 7" xfId="26791" xr:uid="{00000000-0005-0000-0000-0000EA930000}"/>
    <cellStyle name="Normal 5 4 6" xfId="26792" xr:uid="{00000000-0005-0000-0000-0000EB930000}"/>
    <cellStyle name="Normal 5 4 6 2" xfId="26793" xr:uid="{00000000-0005-0000-0000-0000EC930000}"/>
    <cellStyle name="Normal 5 4 6 2 2" xfId="57096" xr:uid="{00000000-0005-0000-0000-0000ED930000}"/>
    <cellStyle name="Normal 5 4 6 2 3" xfId="57097" xr:uid="{00000000-0005-0000-0000-0000EE930000}"/>
    <cellStyle name="Normal 5 4 6 3" xfId="26794" xr:uid="{00000000-0005-0000-0000-0000EF930000}"/>
    <cellStyle name="Normal 5 4 6 3 2" xfId="57098" xr:uid="{00000000-0005-0000-0000-0000F0930000}"/>
    <cellStyle name="Normal 5 4 6 4" xfId="26795" xr:uid="{00000000-0005-0000-0000-0000F1930000}"/>
    <cellStyle name="Normal 5 4 6 5" xfId="26796" xr:uid="{00000000-0005-0000-0000-0000F2930000}"/>
    <cellStyle name="Normal 5 4 6 6" xfId="26797" xr:uid="{00000000-0005-0000-0000-0000F3930000}"/>
    <cellStyle name="Normal 5 4 6 7" xfId="26798" xr:uid="{00000000-0005-0000-0000-0000F4930000}"/>
    <cellStyle name="Normal 5 4 7" xfId="26799" xr:uid="{00000000-0005-0000-0000-0000F5930000}"/>
    <cellStyle name="Normal 5 4 7 2" xfId="57099" xr:uid="{00000000-0005-0000-0000-0000F6930000}"/>
    <cellStyle name="Normal 5 4 8" xfId="26800" xr:uid="{00000000-0005-0000-0000-0000F7930000}"/>
    <cellStyle name="Normal 5 4 9" xfId="26801" xr:uid="{00000000-0005-0000-0000-0000F8930000}"/>
    <cellStyle name="Normal 5 5" xfId="26802" xr:uid="{00000000-0005-0000-0000-0000F9930000}"/>
    <cellStyle name="Normal 5 5 10" xfId="26803" xr:uid="{00000000-0005-0000-0000-0000FA930000}"/>
    <cellStyle name="Normal 5 5 11" xfId="26804" xr:uid="{00000000-0005-0000-0000-0000FB930000}"/>
    <cellStyle name="Normal 5 5 12" xfId="26805" xr:uid="{00000000-0005-0000-0000-0000FC930000}"/>
    <cellStyle name="Normal 5 5 13" xfId="26806" xr:uid="{00000000-0005-0000-0000-0000FD930000}"/>
    <cellStyle name="Normal 5 5 14" xfId="26807" xr:uid="{00000000-0005-0000-0000-0000FE930000}"/>
    <cellStyle name="Normal 5 5 2" xfId="26808" xr:uid="{00000000-0005-0000-0000-0000FF930000}"/>
    <cellStyle name="Normal 5 5 2 2" xfId="26809" xr:uid="{00000000-0005-0000-0000-000000940000}"/>
    <cellStyle name="Normal 5 5 2 2 2" xfId="26810" xr:uid="{00000000-0005-0000-0000-000001940000}"/>
    <cellStyle name="Normal 5 5 2 2 2 2" xfId="26811" xr:uid="{00000000-0005-0000-0000-000002940000}"/>
    <cellStyle name="Normal 5 5 2 2 2 2 2" xfId="57100" xr:uid="{00000000-0005-0000-0000-000003940000}"/>
    <cellStyle name="Normal 5 5 2 2 2 2 3" xfId="57101" xr:uid="{00000000-0005-0000-0000-000004940000}"/>
    <cellStyle name="Normal 5 5 2 2 2 3" xfId="26812" xr:uid="{00000000-0005-0000-0000-000005940000}"/>
    <cellStyle name="Normal 5 5 2 2 2 3 2" xfId="57102" xr:uid="{00000000-0005-0000-0000-000006940000}"/>
    <cellStyle name="Normal 5 5 2 2 2 4" xfId="26813" xr:uid="{00000000-0005-0000-0000-000007940000}"/>
    <cellStyle name="Normal 5 5 2 2 2 5" xfId="26814" xr:uid="{00000000-0005-0000-0000-000008940000}"/>
    <cellStyle name="Normal 5 5 2 2 2 6" xfId="26815" xr:uid="{00000000-0005-0000-0000-000009940000}"/>
    <cellStyle name="Normal 5 5 2 2 3" xfId="26816" xr:uid="{00000000-0005-0000-0000-00000A940000}"/>
    <cellStyle name="Normal 5 5 2 2 3 2" xfId="57103" xr:uid="{00000000-0005-0000-0000-00000B940000}"/>
    <cellStyle name="Normal 5 5 2 2 3 3" xfId="57104" xr:uid="{00000000-0005-0000-0000-00000C940000}"/>
    <cellStyle name="Normal 5 5 2 2 4" xfId="26817" xr:uid="{00000000-0005-0000-0000-00000D940000}"/>
    <cellStyle name="Normal 5 5 2 2 4 2" xfId="57105" xr:uid="{00000000-0005-0000-0000-00000E940000}"/>
    <cellStyle name="Normal 5 5 2 2 5" xfId="26818" xr:uid="{00000000-0005-0000-0000-00000F940000}"/>
    <cellStyle name="Normal 5 5 2 2 6" xfId="26819" xr:uid="{00000000-0005-0000-0000-000010940000}"/>
    <cellStyle name="Normal 5 5 2 2 7" xfId="26820" xr:uid="{00000000-0005-0000-0000-000011940000}"/>
    <cellStyle name="Normal 5 5 2 3" xfId="26821" xr:uid="{00000000-0005-0000-0000-000012940000}"/>
    <cellStyle name="Normal 5 5 2 3 2" xfId="26822" xr:uid="{00000000-0005-0000-0000-000013940000}"/>
    <cellStyle name="Normal 5 5 2 3 2 2" xfId="57106" xr:uid="{00000000-0005-0000-0000-000014940000}"/>
    <cellStyle name="Normal 5 5 2 3 2 3" xfId="57107" xr:uid="{00000000-0005-0000-0000-000015940000}"/>
    <cellStyle name="Normal 5 5 2 3 3" xfId="26823" xr:uid="{00000000-0005-0000-0000-000016940000}"/>
    <cellStyle name="Normal 5 5 2 3 3 2" xfId="57108" xr:uid="{00000000-0005-0000-0000-000017940000}"/>
    <cellStyle name="Normal 5 5 2 3 4" xfId="26824" xr:uid="{00000000-0005-0000-0000-000018940000}"/>
    <cellStyle name="Normal 5 5 2 3 5" xfId="26825" xr:uid="{00000000-0005-0000-0000-000019940000}"/>
    <cellStyle name="Normal 5 5 2 3 6" xfId="26826" xr:uid="{00000000-0005-0000-0000-00001A940000}"/>
    <cellStyle name="Normal 5 5 2 4" xfId="26827" xr:uid="{00000000-0005-0000-0000-00001B940000}"/>
    <cellStyle name="Normal 5 5 2 4 2" xfId="57109" xr:uid="{00000000-0005-0000-0000-00001C940000}"/>
    <cellStyle name="Normal 5 5 2 4 3" xfId="57110" xr:uid="{00000000-0005-0000-0000-00001D940000}"/>
    <cellStyle name="Normal 5 5 2 5" xfId="26828" xr:uid="{00000000-0005-0000-0000-00001E940000}"/>
    <cellStyle name="Normal 5 5 2 5 2" xfId="57111" xr:uid="{00000000-0005-0000-0000-00001F940000}"/>
    <cellStyle name="Normal 5 5 2 6" xfId="26829" xr:uid="{00000000-0005-0000-0000-000020940000}"/>
    <cellStyle name="Normal 5 5 2 6 2" xfId="57112" xr:uid="{00000000-0005-0000-0000-000021940000}"/>
    <cellStyle name="Normal 5 5 2 7" xfId="26830" xr:uid="{00000000-0005-0000-0000-000022940000}"/>
    <cellStyle name="Normal 5 5 2 8" xfId="26831" xr:uid="{00000000-0005-0000-0000-000023940000}"/>
    <cellStyle name="Normal 5 5 2 9" xfId="26832" xr:uid="{00000000-0005-0000-0000-000024940000}"/>
    <cellStyle name="Normal 5 5 3" xfId="26833" xr:uid="{00000000-0005-0000-0000-000025940000}"/>
    <cellStyle name="Normal 5 5 3 2" xfId="26834" xr:uid="{00000000-0005-0000-0000-000026940000}"/>
    <cellStyle name="Normal 5 5 3 2 2" xfId="26835" xr:uid="{00000000-0005-0000-0000-000027940000}"/>
    <cellStyle name="Normal 5 5 3 2 2 2" xfId="26836" xr:uid="{00000000-0005-0000-0000-000028940000}"/>
    <cellStyle name="Normal 5 5 3 2 2 2 2" xfId="57113" xr:uid="{00000000-0005-0000-0000-000029940000}"/>
    <cellStyle name="Normal 5 5 3 2 2 2 3" xfId="57114" xr:uid="{00000000-0005-0000-0000-00002A940000}"/>
    <cellStyle name="Normal 5 5 3 2 2 3" xfId="26837" xr:uid="{00000000-0005-0000-0000-00002B940000}"/>
    <cellStyle name="Normal 5 5 3 2 2 3 2" xfId="57115" xr:uid="{00000000-0005-0000-0000-00002C940000}"/>
    <cellStyle name="Normal 5 5 3 2 2 4" xfId="26838" xr:uid="{00000000-0005-0000-0000-00002D940000}"/>
    <cellStyle name="Normal 5 5 3 2 2 5" xfId="26839" xr:uid="{00000000-0005-0000-0000-00002E940000}"/>
    <cellStyle name="Normal 5 5 3 2 2 6" xfId="26840" xr:uid="{00000000-0005-0000-0000-00002F940000}"/>
    <cellStyle name="Normal 5 5 3 2 3" xfId="26841" xr:uid="{00000000-0005-0000-0000-000030940000}"/>
    <cellStyle name="Normal 5 5 3 2 3 2" xfId="57116" xr:uid="{00000000-0005-0000-0000-000031940000}"/>
    <cellStyle name="Normal 5 5 3 2 3 3" xfId="57117" xr:uid="{00000000-0005-0000-0000-000032940000}"/>
    <cellStyle name="Normal 5 5 3 2 4" xfId="26842" xr:uid="{00000000-0005-0000-0000-000033940000}"/>
    <cellStyle name="Normal 5 5 3 2 4 2" xfId="57118" xr:uid="{00000000-0005-0000-0000-000034940000}"/>
    <cellStyle name="Normal 5 5 3 2 5" xfId="26843" xr:uid="{00000000-0005-0000-0000-000035940000}"/>
    <cellStyle name="Normal 5 5 3 2 6" xfId="26844" xr:uid="{00000000-0005-0000-0000-000036940000}"/>
    <cellStyle name="Normal 5 5 3 2 7" xfId="26845" xr:uid="{00000000-0005-0000-0000-000037940000}"/>
    <cellStyle name="Normal 5 5 3 3" xfId="26846" xr:uid="{00000000-0005-0000-0000-000038940000}"/>
    <cellStyle name="Normal 5 5 3 3 2" xfId="26847" xr:uid="{00000000-0005-0000-0000-000039940000}"/>
    <cellStyle name="Normal 5 5 3 3 2 2" xfId="57119" xr:uid="{00000000-0005-0000-0000-00003A940000}"/>
    <cellStyle name="Normal 5 5 3 3 2 3" xfId="57120" xr:uid="{00000000-0005-0000-0000-00003B940000}"/>
    <cellStyle name="Normal 5 5 3 3 3" xfId="26848" xr:uid="{00000000-0005-0000-0000-00003C940000}"/>
    <cellStyle name="Normal 5 5 3 3 3 2" xfId="57121" xr:uid="{00000000-0005-0000-0000-00003D940000}"/>
    <cellStyle name="Normal 5 5 3 3 4" xfId="26849" xr:uid="{00000000-0005-0000-0000-00003E940000}"/>
    <cellStyle name="Normal 5 5 3 3 5" xfId="26850" xr:uid="{00000000-0005-0000-0000-00003F940000}"/>
    <cellStyle name="Normal 5 5 3 3 6" xfId="26851" xr:uid="{00000000-0005-0000-0000-000040940000}"/>
    <cellStyle name="Normal 5 5 3 4" xfId="26852" xr:uid="{00000000-0005-0000-0000-000041940000}"/>
    <cellStyle name="Normal 5 5 3 4 2" xfId="57122" xr:uid="{00000000-0005-0000-0000-000042940000}"/>
    <cellStyle name="Normal 5 5 3 4 3" xfId="57123" xr:uid="{00000000-0005-0000-0000-000043940000}"/>
    <cellStyle name="Normal 5 5 3 5" xfId="26853" xr:uid="{00000000-0005-0000-0000-000044940000}"/>
    <cellStyle name="Normal 5 5 3 5 2" xfId="57124" xr:uid="{00000000-0005-0000-0000-000045940000}"/>
    <cellStyle name="Normal 5 5 3 6" xfId="26854" xr:uid="{00000000-0005-0000-0000-000046940000}"/>
    <cellStyle name="Normal 5 5 3 7" xfId="26855" xr:uid="{00000000-0005-0000-0000-000047940000}"/>
    <cellStyle name="Normal 5 5 3 8" xfId="26856" xr:uid="{00000000-0005-0000-0000-000048940000}"/>
    <cellStyle name="Normal 5 5 4" xfId="26857" xr:uid="{00000000-0005-0000-0000-000049940000}"/>
    <cellStyle name="Normal 5 5 4 2" xfId="26858" xr:uid="{00000000-0005-0000-0000-00004A940000}"/>
    <cellStyle name="Normal 5 5 4 2 2" xfId="26859" xr:uid="{00000000-0005-0000-0000-00004B940000}"/>
    <cellStyle name="Normal 5 5 4 2 2 2" xfId="57125" xr:uid="{00000000-0005-0000-0000-00004C940000}"/>
    <cellStyle name="Normal 5 5 4 2 2 3" xfId="57126" xr:uid="{00000000-0005-0000-0000-00004D940000}"/>
    <cellStyle name="Normal 5 5 4 2 3" xfId="26860" xr:uid="{00000000-0005-0000-0000-00004E940000}"/>
    <cellStyle name="Normal 5 5 4 2 3 2" xfId="57127" xr:uid="{00000000-0005-0000-0000-00004F940000}"/>
    <cellStyle name="Normal 5 5 4 2 4" xfId="26861" xr:uid="{00000000-0005-0000-0000-000050940000}"/>
    <cellStyle name="Normal 5 5 4 2 5" xfId="26862" xr:uid="{00000000-0005-0000-0000-000051940000}"/>
    <cellStyle name="Normal 5 5 4 2 6" xfId="26863" xr:uid="{00000000-0005-0000-0000-000052940000}"/>
    <cellStyle name="Normal 5 5 4 3" xfId="26864" xr:uid="{00000000-0005-0000-0000-000053940000}"/>
    <cellStyle name="Normal 5 5 4 3 2" xfId="57128" xr:uid="{00000000-0005-0000-0000-000054940000}"/>
    <cellStyle name="Normal 5 5 4 3 3" xfId="57129" xr:uid="{00000000-0005-0000-0000-000055940000}"/>
    <cellStyle name="Normal 5 5 4 4" xfId="26865" xr:uid="{00000000-0005-0000-0000-000056940000}"/>
    <cellStyle name="Normal 5 5 4 4 2" xfId="57130" xr:uid="{00000000-0005-0000-0000-000057940000}"/>
    <cellStyle name="Normal 5 5 4 5" xfId="26866" xr:uid="{00000000-0005-0000-0000-000058940000}"/>
    <cellStyle name="Normal 5 5 4 6" xfId="26867" xr:uid="{00000000-0005-0000-0000-000059940000}"/>
    <cellStyle name="Normal 5 5 4 7" xfId="26868" xr:uid="{00000000-0005-0000-0000-00005A940000}"/>
    <cellStyle name="Normal 5 5 5" xfId="26869" xr:uid="{00000000-0005-0000-0000-00005B940000}"/>
    <cellStyle name="Normal 5 5 5 2" xfId="26870" xr:uid="{00000000-0005-0000-0000-00005C940000}"/>
    <cellStyle name="Normal 5 5 5 2 2" xfId="57131" xr:uid="{00000000-0005-0000-0000-00005D940000}"/>
    <cellStyle name="Normal 5 5 5 2 3" xfId="57132" xr:uid="{00000000-0005-0000-0000-00005E940000}"/>
    <cellStyle name="Normal 5 5 5 3" xfId="26871" xr:uid="{00000000-0005-0000-0000-00005F940000}"/>
    <cellStyle name="Normal 5 5 5 3 2" xfId="57133" xr:uid="{00000000-0005-0000-0000-000060940000}"/>
    <cellStyle name="Normal 5 5 5 4" xfId="26872" xr:uid="{00000000-0005-0000-0000-000061940000}"/>
    <cellStyle name="Normal 5 5 5 5" xfId="26873" xr:uid="{00000000-0005-0000-0000-000062940000}"/>
    <cellStyle name="Normal 5 5 5 6" xfId="26874" xr:uid="{00000000-0005-0000-0000-000063940000}"/>
    <cellStyle name="Normal 5 5 6" xfId="26875" xr:uid="{00000000-0005-0000-0000-000064940000}"/>
    <cellStyle name="Normal 5 5 6 2" xfId="57134" xr:uid="{00000000-0005-0000-0000-000065940000}"/>
    <cellStyle name="Normal 5 5 6 3" xfId="57135" xr:uid="{00000000-0005-0000-0000-000066940000}"/>
    <cellStyle name="Normal 5 5 7" xfId="26876" xr:uid="{00000000-0005-0000-0000-000067940000}"/>
    <cellStyle name="Normal 5 5 7 2" xfId="57136" xr:uid="{00000000-0005-0000-0000-000068940000}"/>
    <cellStyle name="Normal 5 5 8" xfId="26877" xr:uid="{00000000-0005-0000-0000-000069940000}"/>
    <cellStyle name="Normal 5 5 8 2" xfId="57137" xr:uid="{00000000-0005-0000-0000-00006A940000}"/>
    <cellStyle name="Normal 5 5 9" xfId="26878" xr:uid="{00000000-0005-0000-0000-00006B940000}"/>
    <cellStyle name="Normal 5 6" xfId="26879" xr:uid="{00000000-0005-0000-0000-00006C940000}"/>
    <cellStyle name="Normal 5 6 10" xfId="26880" xr:uid="{00000000-0005-0000-0000-00006D940000}"/>
    <cellStyle name="Normal 5 6 2" xfId="26881" xr:uid="{00000000-0005-0000-0000-00006E940000}"/>
    <cellStyle name="Normal 5 6 2 2" xfId="26882" xr:uid="{00000000-0005-0000-0000-00006F940000}"/>
    <cellStyle name="Normal 5 6 2 2 2" xfId="26883" xr:uid="{00000000-0005-0000-0000-000070940000}"/>
    <cellStyle name="Normal 5 6 2 2 2 2" xfId="57138" xr:uid="{00000000-0005-0000-0000-000071940000}"/>
    <cellStyle name="Normal 5 6 2 2 2 3" xfId="57139" xr:uid="{00000000-0005-0000-0000-000072940000}"/>
    <cellStyle name="Normal 5 6 2 2 3" xfId="26884" xr:uid="{00000000-0005-0000-0000-000073940000}"/>
    <cellStyle name="Normal 5 6 2 2 3 2" xfId="57140" xr:uid="{00000000-0005-0000-0000-000074940000}"/>
    <cellStyle name="Normal 5 6 2 2 4" xfId="26885" xr:uid="{00000000-0005-0000-0000-000075940000}"/>
    <cellStyle name="Normal 5 6 2 2 5" xfId="26886" xr:uid="{00000000-0005-0000-0000-000076940000}"/>
    <cellStyle name="Normal 5 6 2 2 6" xfId="26887" xr:uid="{00000000-0005-0000-0000-000077940000}"/>
    <cellStyle name="Normal 5 6 2 3" xfId="26888" xr:uid="{00000000-0005-0000-0000-000078940000}"/>
    <cellStyle name="Normal 5 6 2 3 2" xfId="57141" xr:uid="{00000000-0005-0000-0000-000079940000}"/>
    <cellStyle name="Normal 5 6 2 3 3" xfId="57142" xr:uid="{00000000-0005-0000-0000-00007A940000}"/>
    <cellStyle name="Normal 5 6 2 4" xfId="26889" xr:uid="{00000000-0005-0000-0000-00007B940000}"/>
    <cellStyle name="Normal 5 6 2 4 2" xfId="57143" xr:uid="{00000000-0005-0000-0000-00007C940000}"/>
    <cellStyle name="Normal 5 6 2 5" xfId="26890" xr:uid="{00000000-0005-0000-0000-00007D940000}"/>
    <cellStyle name="Normal 5 6 2 6" xfId="26891" xr:uid="{00000000-0005-0000-0000-00007E940000}"/>
    <cellStyle name="Normal 5 6 2 7" xfId="26892" xr:uid="{00000000-0005-0000-0000-00007F940000}"/>
    <cellStyle name="Normal 5 6 3" xfId="26893" xr:uid="{00000000-0005-0000-0000-000080940000}"/>
    <cellStyle name="Normal 5 6 3 2" xfId="26894" xr:uid="{00000000-0005-0000-0000-000081940000}"/>
    <cellStyle name="Normal 5 6 3 2 2" xfId="57144" xr:uid="{00000000-0005-0000-0000-000082940000}"/>
    <cellStyle name="Normal 5 6 3 2 3" xfId="57145" xr:uid="{00000000-0005-0000-0000-000083940000}"/>
    <cellStyle name="Normal 5 6 3 3" xfId="26895" xr:uid="{00000000-0005-0000-0000-000084940000}"/>
    <cellStyle name="Normal 5 6 3 3 2" xfId="57146" xr:uid="{00000000-0005-0000-0000-000085940000}"/>
    <cellStyle name="Normal 5 6 3 4" xfId="26896" xr:uid="{00000000-0005-0000-0000-000086940000}"/>
    <cellStyle name="Normal 5 6 3 5" xfId="26897" xr:uid="{00000000-0005-0000-0000-000087940000}"/>
    <cellStyle name="Normal 5 6 3 6" xfId="26898" xr:uid="{00000000-0005-0000-0000-000088940000}"/>
    <cellStyle name="Normal 5 6 4" xfId="26899" xr:uid="{00000000-0005-0000-0000-000089940000}"/>
    <cellStyle name="Normal 5 6 4 2" xfId="57147" xr:uid="{00000000-0005-0000-0000-00008A940000}"/>
    <cellStyle name="Normal 5 6 5" xfId="26900" xr:uid="{00000000-0005-0000-0000-00008B940000}"/>
    <cellStyle name="Normal 5 6 6" xfId="26901" xr:uid="{00000000-0005-0000-0000-00008C940000}"/>
    <cellStyle name="Normal 5 6 7" xfId="26902" xr:uid="{00000000-0005-0000-0000-00008D940000}"/>
    <cellStyle name="Normal 5 6 8" xfId="26903" xr:uid="{00000000-0005-0000-0000-00008E940000}"/>
    <cellStyle name="Normal 5 6 9" xfId="26904" xr:uid="{00000000-0005-0000-0000-00008F940000}"/>
    <cellStyle name="Normal 5 7" xfId="26905" xr:uid="{00000000-0005-0000-0000-000090940000}"/>
    <cellStyle name="Normal 5 7 2" xfId="26906" xr:uid="{00000000-0005-0000-0000-000091940000}"/>
    <cellStyle name="Normal 5 7 2 2" xfId="26907" xr:uid="{00000000-0005-0000-0000-000092940000}"/>
    <cellStyle name="Normal 5 7 2 2 2" xfId="26908" xr:uid="{00000000-0005-0000-0000-000093940000}"/>
    <cellStyle name="Normal 5 7 2 2 2 2" xfId="57148" xr:uid="{00000000-0005-0000-0000-000094940000}"/>
    <cellStyle name="Normal 5 7 2 2 2 3" xfId="57149" xr:uid="{00000000-0005-0000-0000-000095940000}"/>
    <cellStyle name="Normal 5 7 2 2 3" xfId="26909" xr:uid="{00000000-0005-0000-0000-000096940000}"/>
    <cellStyle name="Normal 5 7 2 2 3 2" xfId="57150" xr:uid="{00000000-0005-0000-0000-000097940000}"/>
    <cellStyle name="Normal 5 7 2 2 4" xfId="26910" xr:uid="{00000000-0005-0000-0000-000098940000}"/>
    <cellStyle name="Normal 5 7 2 2 5" xfId="26911" xr:uid="{00000000-0005-0000-0000-000099940000}"/>
    <cellStyle name="Normal 5 7 2 2 6" xfId="26912" xr:uid="{00000000-0005-0000-0000-00009A940000}"/>
    <cellStyle name="Normal 5 7 2 3" xfId="26913" xr:uid="{00000000-0005-0000-0000-00009B940000}"/>
    <cellStyle name="Normal 5 7 2 3 2" xfId="57151" xr:uid="{00000000-0005-0000-0000-00009C940000}"/>
    <cellStyle name="Normal 5 7 2 3 3" xfId="57152" xr:uid="{00000000-0005-0000-0000-00009D940000}"/>
    <cellStyle name="Normal 5 7 2 4" xfId="26914" xr:uid="{00000000-0005-0000-0000-00009E940000}"/>
    <cellStyle name="Normal 5 7 2 4 2" xfId="57153" xr:uid="{00000000-0005-0000-0000-00009F940000}"/>
    <cellStyle name="Normal 5 7 2 5" xfId="26915" xr:uid="{00000000-0005-0000-0000-0000A0940000}"/>
    <cellStyle name="Normal 5 7 2 6" xfId="26916" xr:uid="{00000000-0005-0000-0000-0000A1940000}"/>
    <cellStyle name="Normal 5 7 2 7" xfId="26917" xr:uid="{00000000-0005-0000-0000-0000A2940000}"/>
    <cellStyle name="Normal 5 7 3" xfId="26918" xr:uid="{00000000-0005-0000-0000-0000A3940000}"/>
    <cellStyle name="Normal 5 7 3 2" xfId="26919" xr:uid="{00000000-0005-0000-0000-0000A4940000}"/>
    <cellStyle name="Normal 5 7 3 2 2" xfId="57154" xr:uid="{00000000-0005-0000-0000-0000A5940000}"/>
    <cellStyle name="Normal 5 7 3 2 3" xfId="57155" xr:uid="{00000000-0005-0000-0000-0000A6940000}"/>
    <cellStyle name="Normal 5 7 3 3" xfId="26920" xr:uid="{00000000-0005-0000-0000-0000A7940000}"/>
    <cellStyle name="Normal 5 7 3 3 2" xfId="57156" xr:uid="{00000000-0005-0000-0000-0000A8940000}"/>
    <cellStyle name="Normal 5 7 3 4" xfId="26921" xr:uid="{00000000-0005-0000-0000-0000A9940000}"/>
    <cellStyle name="Normal 5 7 3 5" xfId="26922" xr:uid="{00000000-0005-0000-0000-0000AA940000}"/>
    <cellStyle name="Normal 5 7 3 6" xfId="26923" xr:uid="{00000000-0005-0000-0000-0000AB940000}"/>
    <cellStyle name="Normal 5 7 4" xfId="26924" xr:uid="{00000000-0005-0000-0000-0000AC940000}"/>
    <cellStyle name="Normal 5 7 4 2" xfId="57157" xr:uid="{00000000-0005-0000-0000-0000AD940000}"/>
    <cellStyle name="Normal 5 7 5" xfId="26925" xr:uid="{00000000-0005-0000-0000-0000AE940000}"/>
    <cellStyle name="Normal 5 7 6" xfId="26926" xr:uid="{00000000-0005-0000-0000-0000AF940000}"/>
    <cellStyle name="Normal 5 7 7" xfId="26927" xr:uid="{00000000-0005-0000-0000-0000B0940000}"/>
    <cellStyle name="Normal 5 7 8" xfId="26928" xr:uid="{00000000-0005-0000-0000-0000B1940000}"/>
    <cellStyle name="Normal 5 7 9" xfId="26929" xr:uid="{00000000-0005-0000-0000-0000B2940000}"/>
    <cellStyle name="Normal 5 8" xfId="26930" xr:uid="{00000000-0005-0000-0000-0000B3940000}"/>
    <cellStyle name="Normal 5 8 2" xfId="26931" xr:uid="{00000000-0005-0000-0000-0000B4940000}"/>
    <cellStyle name="Normal 5 8 2 2" xfId="26932" xr:uid="{00000000-0005-0000-0000-0000B5940000}"/>
    <cellStyle name="Normal 5 8 2 2 2" xfId="57158" xr:uid="{00000000-0005-0000-0000-0000B6940000}"/>
    <cellStyle name="Normal 5 8 2 2 3" xfId="57159" xr:uid="{00000000-0005-0000-0000-0000B7940000}"/>
    <cellStyle name="Normal 5 8 2 3" xfId="26933" xr:uid="{00000000-0005-0000-0000-0000B8940000}"/>
    <cellStyle name="Normal 5 8 2 3 2" xfId="57160" xr:uid="{00000000-0005-0000-0000-0000B9940000}"/>
    <cellStyle name="Normal 5 8 2 4" xfId="26934" xr:uid="{00000000-0005-0000-0000-0000BA940000}"/>
    <cellStyle name="Normal 5 8 2 5" xfId="26935" xr:uid="{00000000-0005-0000-0000-0000BB940000}"/>
    <cellStyle name="Normal 5 8 2 6" xfId="26936" xr:uid="{00000000-0005-0000-0000-0000BC940000}"/>
    <cellStyle name="Normal 5 8 3" xfId="26937" xr:uid="{00000000-0005-0000-0000-0000BD940000}"/>
    <cellStyle name="Normal 5 8 3 2" xfId="57161" xr:uid="{00000000-0005-0000-0000-0000BE940000}"/>
    <cellStyle name="Normal 5 8 3 3" xfId="57162" xr:uid="{00000000-0005-0000-0000-0000BF940000}"/>
    <cellStyle name="Normal 5 8 4" xfId="26938" xr:uid="{00000000-0005-0000-0000-0000C0940000}"/>
    <cellStyle name="Normal 5 8 4 2" xfId="57163" xr:uid="{00000000-0005-0000-0000-0000C1940000}"/>
    <cellStyle name="Normal 5 8 5" xfId="26939" xr:uid="{00000000-0005-0000-0000-0000C2940000}"/>
    <cellStyle name="Normal 5 8 6" xfId="26940" xr:uid="{00000000-0005-0000-0000-0000C3940000}"/>
    <cellStyle name="Normal 5 8 7" xfId="26941" xr:uid="{00000000-0005-0000-0000-0000C4940000}"/>
    <cellStyle name="Normal 5 9" xfId="26942" xr:uid="{00000000-0005-0000-0000-0000C5940000}"/>
    <cellStyle name="Normal 5 9 2" xfId="26943" xr:uid="{00000000-0005-0000-0000-0000C6940000}"/>
    <cellStyle name="Normal 5_Sheet2" xfId="26944" xr:uid="{00000000-0005-0000-0000-0000C7940000}"/>
    <cellStyle name="Normal 50" xfId="26945" xr:uid="{00000000-0005-0000-0000-0000C8940000}"/>
    <cellStyle name="Normal 50 10" xfId="26946" xr:uid="{00000000-0005-0000-0000-0000C9940000}"/>
    <cellStyle name="Normal 50 10 2" xfId="26947" xr:uid="{00000000-0005-0000-0000-0000CA940000}"/>
    <cellStyle name="Normal 50 10 2 2" xfId="26948" xr:uid="{00000000-0005-0000-0000-0000CB940000}"/>
    <cellStyle name="Normal 50 10 3" xfId="26949" xr:uid="{00000000-0005-0000-0000-0000CC940000}"/>
    <cellStyle name="Normal 50 10 3 2" xfId="26950" xr:uid="{00000000-0005-0000-0000-0000CD940000}"/>
    <cellStyle name="Normal 50 10 4" xfId="26951" xr:uid="{00000000-0005-0000-0000-0000CE940000}"/>
    <cellStyle name="Normal 50 10 5" xfId="26952" xr:uid="{00000000-0005-0000-0000-0000CF940000}"/>
    <cellStyle name="Normal 50 11" xfId="26953" xr:uid="{00000000-0005-0000-0000-0000D0940000}"/>
    <cellStyle name="Normal 50 11 2" xfId="26954" xr:uid="{00000000-0005-0000-0000-0000D1940000}"/>
    <cellStyle name="Normal 50 11 2 2" xfId="26955" xr:uid="{00000000-0005-0000-0000-0000D2940000}"/>
    <cellStyle name="Normal 50 11 3" xfId="26956" xr:uid="{00000000-0005-0000-0000-0000D3940000}"/>
    <cellStyle name="Normal 50 11 4" xfId="26957" xr:uid="{00000000-0005-0000-0000-0000D4940000}"/>
    <cellStyle name="Normal 50 12" xfId="26958" xr:uid="{00000000-0005-0000-0000-0000D5940000}"/>
    <cellStyle name="Normal 50 12 2" xfId="26959" xr:uid="{00000000-0005-0000-0000-0000D6940000}"/>
    <cellStyle name="Normal 50 12 3" xfId="26960" xr:uid="{00000000-0005-0000-0000-0000D7940000}"/>
    <cellStyle name="Normal 50 13" xfId="26961" xr:uid="{00000000-0005-0000-0000-0000D8940000}"/>
    <cellStyle name="Normal 50 13 2" xfId="26962" xr:uid="{00000000-0005-0000-0000-0000D9940000}"/>
    <cellStyle name="Normal 50 13 3" xfId="26963" xr:uid="{00000000-0005-0000-0000-0000DA940000}"/>
    <cellStyle name="Normal 50 14" xfId="26964" xr:uid="{00000000-0005-0000-0000-0000DB940000}"/>
    <cellStyle name="Normal 50 15" xfId="26965" xr:uid="{00000000-0005-0000-0000-0000DC940000}"/>
    <cellStyle name="Normal 50 15 2" xfId="57164" xr:uid="{00000000-0005-0000-0000-0000DD940000}"/>
    <cellStyle name="Normal 50 16" xfId="57165" xr:uid="{00000000-0005-0000-0000-0000DE940000}"/>
    <cellStyle name="Normal 50 2" xfId="26966" xr:uid="{00000000-0005-0000-0000-0000DF940000}"/>
    <cellStyle name="Normal 50 2 10" xfId="26967" xr:uid="{00000000-0005-0000-0000-0000E0940000}"/>
    <cellStyle name="Normal 50 2 10 2" xfId="26968" xr:uid="{00000000-0005-0000-0000-0000E1940000}"/>
    <cellStyle name="Normal 50 2 10 2 2" xfId="26969" xr:uid="{00000000-0005-0000-0000-0000E2940000}"/>
    <cellStyle name="Normal 50 2 10 3" xfId="26970" xr:uid="{00000000-0005-0000-0000-0000E3940000}"/>
    <cellStyle name="Normal 50 2 11" xfId="26971" xr:uid="{00000000-0005-0000-0000-0000E4940000}"/>
    <cellStyle name="Normal 50 2 11 2" xfId="26972" xr:uid="{00000000-0005-0000-0000-0000E5940000}"/>
    <cellStyle name="Normal 50 2 12" xfId="26973" xr:uid="{00000000-0005-0000-0000-0000E6940000}"/>
    <cellStyle name="Normal 50 2 12 2" xfId="26974" xr:uid="{00000000-0005-0000-0000-0000E7940000}"/>
    <cellStyle name="Normal 50 2 13" xfId="26975" xr:uid="{00000000-0005-0000-0000-0000E8940000}"/>
    <cellStyle name="Normal 50 2 14" xfId="26976" xr:uid="{00000000-0005-0000-0000-0000E9940000}"/>
    <cellStyle name="Normal 50 2 14 2" xfId="57166" xr:uid="{00000000-0005-0000-0000-0000EA940000}"/>
    <cellStyle name="Normal 50 2 15" xfId="57167" xr:uid="{00000000-0005-0000-0000-0000EB940000}"/>
    <cellStyle name="Normal 50 2 2" xfId="26977" xr:uid="{00000000-0005-0000-0000-0000EC940000}"/>
    <cellStyle name="Normal 50 2 2 2" xfId="26978" xr:uid="{00000000-0005-0000-0000-0000ED940000}"/>
    <cellStyle name="Normal 50 2 2 2 2" xfId="26979" xr:uid="{00000000-0005-0000-0000-0000EE940000}"/>
    <cellStyle name="Normal 50 2 2 2 2 2" xfId="57168" xr:uid="{00000000-0005-0000-0000-0000EF940000}"/>
    <cellStyle name="Normal 50 2 2 2 2 3" xfId="57169" xr:uid="{00000000-0005-0000-0000-0000F0940000}"/>
    <cellStyle name="Normal 50 2 2 2 3" xfId="26980" xr:uid="{00000000-0005-0000-0000-0000F1940000}"/>
    <cellStyle name="Normal 50 2 2 2 3 2" xfId="57170" xr:uid="{00000000-0005-0000-0000-0000F2940000}"/>
    <cellStyle name="Normal 50 2 2 2 4" xfId="26981" xr:uid="{00000000-0005-0000-0000-0000F3940000}"/>
    <cellStyle name="Normal 50 2 2 2 5" xfId="26982" xr:uid="{00000000-0005-0000-0000-0000F4940000}"/>
    <cellStyle name="Normal 50 2 2 2 6" xfId="26983" xr:uid="{00000000-0005-0000-0000-0000F5940000}"/>
    <cellStyle name="Normal 50 2 2 3" xfId="26984" xr:uid="{00000000-0005-0000-0000-0000F6940000}"/>
    <cellStyle name="Normal 50 2 2 3 2" xfId="57171" xr:uid="{00000000-0005-0000-0000-0000F7940000}"/>
    <cellStyle name="Normal 50 2 2 3 3" xfId="57172" xr:uid="{00000000-0005-0000-0000-0000F8940000}"/>
    <cellStyle name="Normal 50 2 2 4" xfId="26985" xr:uid="{00000000-0005-0000-0000-0000F9940000}"/>
    <cellStyle name="Normal 50 2 2 4 2" xfId="57173" xr:uid="{00000000-0005-0000-0000-0000FA940000}"/>
    <cellStyle name="Normal 50 2 2 5" xfId="26986" xr:uid="{00000000-0005-0000-0000-0000FB940000}"/>
    <cellStyle name="Normal 50 2 2 6" xfId="26987" xr:uid="{00000000-0005-0000-0000-0000FC940000}"/>
    <cellStyle name="Normal 50 2 2 7" xfId="26988" xr:uid="{00000000-0005-0000-0000-0000FD940000}"/>
    <cellStyle name="Normal 50 2 3" xfId="26989" xr:uid="{00000000-0005-0000-0000-0000FE940000}"/>
    <cellStyle name="Normal 50 2 3 2" xfId="26990" xr:uid="{00000000-0005-0000-0000-0000FF940000}"/>
    <cellStyle name="Normal 50 2 3 2 2" xfId="57174" xr:uid="{00000000-0005-0000-0000-000000950000}"/>
    <cellStyle name="Normal 50 2 3 2 3" xfId="57175" xr:uid="{00000000-0005-0000-0000-000001950000}"/>
    <cellStyle name="Normal 50 2 3 3" xfId="26991" xr:uid="{00000000-0005-0000-0000-000002950000}"/>
    <cellStyle name="Normal 50 2 3 3 2" xfId="57176" xr:uid="{00000000-0005-0000-0000-000003950000}"/>
    <cellStyle name="Normal 50 2 3 4" xfId="26992" xr:uid="{00000000-0005-0000-0000-000004950000}"/>
    <cellStyle name="Normal 50 2 3 5" xfId="26993" xr:uid="{00000000-0005-0000-0000-000005950000}"/>
    <cellStyle name="Normal 50 2 3 6" xfId="26994" xr:uid="{00000000-0005-0000-0000-000006950000}"/>
    <cellStyle name="Normal 50 2 4" xfId="26995" xr:uid="{00000000-0005-0000-0000-000007950000}"/>
    <cellStyle name="Normal 50 2 4 2" xfId="26996" xr:uid="{00000000-0005-0000-0000-000008950000}"/>
    <cellStyle name="Normal 50 2 4 2 2" xfId="26997" xr:uid="{00000000-0005-0000-0000-000009950000}"/>
    <cellStyle name="Normal 50 2 4 2 2 2" xfId="26998" xr:uid="{00000000-0005-0000-0000-00000A950000}"/>
    <cellStyle name="Normal 50 2 4 2 3" xfId="26999" xr:uid="{00000000-0005-0000-0000-00000B950000}"/>
    <cellStyle name="Normal 50 2 4 2 3 2" xfId="27000" xr:uid="{00000000-0005-0000-0000-00000C950000}"/>
    <cellStyle name="Normal 50 2 4 2 4" xfId="27001" xr:uid="{00000000-0005-0000-0000-00000D950000}"/>
    <cellStyle name="Normal 50 2 4 3" xfId="27002" xr:uid="{00000000-0005-0000-0000-00000E950000}"/>
    <cellStyle name="Normal 50 2 4 3 2" xfId="27003" xr:uid="{00000000-0005-0000-0000-00000F950000}"/>
    <cellStyle name="Normal 50 2 4 3 2 2" xfId="27004" xr:uid="{00000000-0005-0000-0000-000010950000}"/>
    <cellStyle name="Normal 50 2 4 3 3" xfId="27005" xr:uid="{00000000-0005-0000-0000-000011950000}"/>
    <cellStyle name="Normal 50 2 4 3 3 2" xfId="27006" xr:uid="{00000000-0005-0000-0000-000012950000}"/>
    <cellStyle name="Normal 50 2 4 3 4" xfId="27007" xr:uid="{00000000-0005-0000-0000-000013950000}"/>
    <cellStyle name="Normal 50 2 4 4" xfId="27008" xr:uid="{00000000-0005-0000-0000-000014950000}"/>
    <cellStyle name="Normal 50 2 4 4 2" xfId="27009" xr:uid="{00000000-0005-0000-0000-000015950000}"/>
    <cellStyle name="Normal 50 2 4 5" xfId="27010" xr:uid="{00000000-0005-0000-0000-000016950000}"/>
    <cellStyle name="Normal 50 2 4 5 2" xfId="27011" xr:uid="{00000000-0005-0000-0000-000017950000}"/>
    <cellStyle name="Normal 50 2 4 6" xfId="27012" xr:uid="{00000000-0005-0000-0000-000018950000}"/>
    <cellStyle name="Normal 50 2 4 7" xfId="27013" xr:uid="{00000000-0005-0000-0000-000019950000}"/>
    <cellStyle name="Normal 50 2 5" xfId="27014" xr:uid="{00000000-0005-0000-0000-00001A950000}"/>
    <cellStyle name="Normal 50 2 5 2" xfId="27015" xr:uid="{00000000-0005-0000-0000-00001B950000}"/>
    <cellStyle name="Normal 50 2 5 2 2" xfId="27016" xr:uid="{00000000-0005-0000-0000-00001C950000}"/>
    <cellStyle name="Normal 50 2 5 3" xfId="27017" xr:uid="{00000000-0005-0000-0000-00001D950000}"/>
    <cellStyle name="Normal 50 2 5 3 2" xfId="27018" xr:uid="{00000000-0005-0000-0000-00001E950000}"/>
    <cellStyle name="Normal 50 2 5 4" xfId="27019" xr:uid="{00000000-0005-0000-0000-00001F950000}"/>
    <cellStyle name="Normal 50 2 5 5" xfId="27020" xr:uid="{00000000-0005-0000-0000-000020950000}"/>
    <cellStyle name="Normal 50 2 6" xfId="27021" xr:uid="{00000000-0005-0000-0000-000021950000}"/>
    <cellStyle name="Normal 50 2 6 2" xfId="27022" xr:uid="{00000000-0005-0000-0000-000022950000}"/>
    <cellStyle name="Normal 50 2 6 2 2" xfId="27023" xr:uid="{00000000-0005-0000-0000-000023950000}"/>
    <cellStyle name="Normal 50 2 6 3" xfId="27024" xr:uid="{00000000-0005-0000-0000-000024950000}"/>
    <cellStyle name="Normal 50 2 6 3 2" xfId="27025" xr:uid="{00000000-0005-0000-0000-000025950000}"/>
    <cellStyle name="Normal 50 2 6 4" xfId="27026" xr:uid="{00000000-0005-0000-0000-000026950000}"/>
    <cellStyle name="Normal 50 2 6 5" xfId="27027" xr:uid="{00000000-0005-0000-0000-000027950000}"/>
    <cellStyle name="Normal 50 2 7" xfId="27028" xr:uid="{00000000-0005-0000-0000-000028950000}"/>
    <cellStyle name="Normal 50 2 7 2" xfId="27029" xr:uid="{00000000-0005-0000-0000-000029950000}"/>
    <cellStyle name="Normal 50 2 7 2 2" xfId="27030" xr:uid="{00000000-0005-0000-0000-00002A950000}"/>
    <cellStyle name="Normal 50 2 7 3" xfId="27031" xr:uid="{00000000-0005-0000-0000-00002B950000}"/>
    <cellStyle name="Normal 50 2 7 3 2" xfId="27032" xr:uid="{00000000-0005-0000-0000-00002C950000}"/>
    <cellStyle name="Normal 50 2 7 4" xfId="27033" xr:uid="{00000000-0005-0000-0000-00002D950000}"/>
    <cellStyle name="Normal 50 2 7 5" xfId="27034" xr:uid="{00000000-0005-0000-0000-00002E950000}"/>
    <cellStyle name="Normal 50 2 8" xfId="27035" xr:uid="{00000000-0005-0000-0000-00002F950000}"/>
    <cellStyle name="Normal 50 2 8 2" xfId="27036" xr:uid="{00000000-0005-0000-0000-000030950000}"/>
    <cellStyle name="Normal 50 2 8 2 2" xfId="27037" xr:uid="{00000000-0005-0000-0000-000031950000}"/>
    <cellStyle name="Normal 50 2 8 3" xfId="27038" xr:uid="{00000000-0005-0000-0000-000032950000}"/>
    <cellStyle name="Normal 50 2 8 3 2" xfId="27039" xr:uid="{00000000-0005-0000-0000-000033950000}"/>
    <cellStyle name="Normal 50 2 8 4" xfId="27040" xr:uid="{00000000-0005-0000-0000-000034950000}"/>
    <cellStyle name="Normal 50 2 8 5" xfId="27041" xr:uid="{00000000-0005-0000-0000-000035950000}"/>
    <cellStyle name="Normal 50 2 9" xfId="27042" xr:uid="{00000000-0005-0000-0000-000036950000}"/>
    <cellStyle name="Normal 50 2 9 2" xfId="27043" xr:uid="{00000000-0005-0000-0000-000037950000}"/>
    <cellStyle name="Normal 50 2 9 2 2" xfId="27044" xr:uid="{00000000-0005-0000-0000-000038950000}"/>
    <cellStyle name="Normal 50 2 9 3" xfId="27045" xr:uid="{00000000-0005-0000-0000-000039950000}"/>
    <cellStyle name="Normal 50 2 9 3 2" xfId="27046" xr:uid="{00000000-0005-0000-0000-00003A950000}"/>
    <cellStyle name="Normal 50 2 9 4" xfId="27047" xr:uid="{00000000-0005-0000-0000-00003B950000}"/>
    <cellStyle name="Normal 50 2 9 5" xfId="27048" xr:uid="{00000000-0005-0000-0000-00003C950000}"/>
    <cellStyle name="Normal 50 3" xfId="27049" xr:uid="{00000000-0005-0000-0000-00003D950000}"/>
    <cellStyle name="Normal 50 3 2" xfId="27050" xr:uid="{00000000-0005-0000-0000-00003E950000}"/>
    <cellStyle name="Normal 50 3 2 2" xfId="27051" xr:uid="{00000000-0005-0000-0000-00003F950000}"/>
    <cellStyle name="Normal 50 3 2 2 2" xfId="57177" xr:uid="{00000000-0005-0000-0000-000040950000}"/>
    <cellStyle name="Normal 50 3 2 2 3" xfId="57178" xr:uid="{00000000-0005-0000-0000-000041950000}"/>
    <cellStyle name="Normal 50 3 2 3" xfId="27052" xr:uid="{00000000-0005-0000-0000-000042950000}"/>
    <cellStyle name="Normal 50 3 2 3 2" xfId="57179" xr:uid="{00000000-0005-0000-0000-000043950000}"/>
    <cellStyle name="Normal 50 3 2 4" xfId="27053" xr:uid="{00000000-0005-0000-0000-000044950000}"/>
    <cellStyle name="Normal 50 3 2 5" xfId="27054" xr:uid="{00000000-0005-0000-0000-000045950000}"/>
    <cellStyle name="Normal 50 3 2 6" xfId="27055" xr:uid="{00000000-0005-0000-0000-000046950000}"/>
    <cellStyle name="Normal 50 3 3" xfId="27056" xr:uid="{00000000-0005-0000-0000-000047950000}"/>
    <cellStyle name="Normal 50 3 3 2" xfId="57180" xr:uid="{00000000-0005-0000-0000-000048950000}"/>
    <cellStyle name="Normal 50 3 3 3" xfId="57181" xr:uid="{00000000-0005-0000-0000-000049950000}"/>
    <cellStyle name="Normal 50 3 4" xfId="27057" xr:uid="{00000000-0005-0000-0000-00004A950000}"/>
    <cellStyle name="Normal 50 3 4 2" xfId="57182" xr:uid="{00000000-0005-0000-0000-00004B950000}"/>
    <cellStyle name="Normal 50 3 5" xfId="27058" xr:uid="{00000000-0005-0000-0000-00004C950000}"/>
    <cellStyle name="Normal 50 3 6" xfId="27059" xr:uid="{00000000-0005-0000-0000-00004D950000}"/>
    <cellStyle name="Normal 50 3 7" xfId="27060" xr:uid="{00000000-0005-0000-0000-00004E950000}"/>
    <cellStyle name="Normal 50 4" xfId="27061" xr:uid="{00000000-0005-0000-0000-00004F950000}"/>
    <cellStyle name="Normal 50 4 2" xfId="27062" xr:uid="{00000000-0005-0000-0000-000050950000}"/>
    <cellStyle name="Normal 50 4 2 2" xfId="57183" xr:uid="{00000000-0005-0000-0000-000051950000}"/>
    <cellStyle name="Normal 50 4 2 3" xfId="57184" xr:uid="{00000000-0005-0000-0000-000052950000}"/>
    <cellStyle name="Normal 50 4 3" xfId="27063" xr:uid="{00000000-0005-0000-0000-000053950000}"/>
    <cellStyle name="Normal 50 4 3 2" xfId="57185" xr:uid="{00000000-0005-0000-0000-000054950000}"/>
    <cellStyle name="Normal 50 4 4" xfId="27064" xr:uid="{00000000-0005-0000-0000-000055950000}"/>
    <cellStyle name="Normal 50 4 5" xfId="27065" xr:uid="{00000000-0005-0000-0000-000056950000}"/>
    <cellStyle name="Normal 50 4 6" xfId="27066" xr:uid="{00000000-0005-0000-0000-000057950000}"/>
    <cellStyle name="Normal 50 5" xfId="27067" xr:uid="{00000000-0005-0000-0000-000058950000}"/>
    <cellStyle name="Normal 50 5 2" xfId="27068" xr:uid="{00000000-0005-0000-0000-000059950000}"/>
    <cellStyle name="Normal 50 5 2 2" xfId="27069" xr:uid="{00000000-0005-0000-0000-00005A950000}"/>
    <cellStyle name="Normal 50 5 2 2 2" xfId="27070" xr:uid="{00000000-0005-0000-0000-00005B950000}"/>
    <cellStyle name="Normal 50 5 2 3" xfId="27071" xr:uid="{00000000-0005-0000-0000-00005C950000}"/>
    <cellStyle name="Normal 50 5 2 3 2" xfId="27072" xr:uid="{00000000-0005-0000-0000-00005D950000}"/>
    <cellStyle name="Normal 50 5 2 4" xfId="27073" xr:uid="{00000000-0005-0000-0000-00005E950000}"/>
    <cellStyle name="Normal 50 5 3" xfId="27074" xr:uid="{00000000-0005-0000-0000-00005F950000}"/>
    <cellStyle name="Normal 50 5 3 2" xfId="27075" xr:uid="{00000000-0005-0000-0000-000060950000}"/>
    <cellStyle name="Normal 50 5 3 2 2" xfId="27076" xr:uid="{00000000-0005-0000-0000-000061950000}"/>
    <cellStyle name="Normal 50 5 3 3" xfId="27077" xr:uid="{00000000-0005-0000-0000-000062950000}"/>
    <cellStyle name="Normal 50 5 3 3 2" xfId="27078" xr:uid="{00000000-0005-0000-0000-000063950000}"/>
    <cellStyle name="Normal 50 5 3 4" xfId="27079" xr:uid="{00000000-0005-0000-0000-000064950000}"/>
    <cellStyle name="Normal 50 5 4" xfId="27080" xr:uid="{00000000-0005-0000-0000-000065950000}"/>
    <cellStyle name="Normal 50 5 4 2" xfId="27081" xr:uid="{00000000-0005-0000-0000-000066950000}"/>
    <cellStyle name="Normal 50 5 5" xfId="27082" xr:uid="{00000000-0005-0000-0000-000067950000}"/>
    <cellStyle name="Normal 50 5 5 2" xfId="27083" xr:uid="{00000000-0005-0000-0000-000068950000}"/>
    <cellStyle name="Normal 50 5 6" xfId="27084" xr:uid="{00000000-0005-0000-0000-000069950000}"/>
    <cellStyle name="Normal 50 5 7" xfId="27085" xr:uid="{00000000-0005-0000-0000-00006A950000}"/>
    <cellStyle name="Normal 50 6" xfId="27086" xr:uid="{00000000-0005-0000-0000-00006B950000}"/>
    <cellStyle name="Normal 50 6 2" xfId="27087" xr:uid="{00000000-0005-0000-0000-00006C950000}"/>
    <cellStyle name="Normal 50 6 2 2" xfId="27088" xr:uid="{00000000-0005-0000-0000-00006D950000}"/>
    <cellStyle name="Normal 50 6 3" xfId="27089" xr:uid="{00000000-0005-0000-0000-00006E950000}"/>
    <cellStyle name="Normal 50 6 3 2" xfId="27090" xr:uid="{00000000-0005-0000-0000-00006F950000}"/>
    <cellStyle name="Normal 50 6 4" xfId="27091" xr:uid="{00000000-0005-0000-0000-000070950000}"/>
    <cellStyle name="Normal 50 6 5" xfId="27092" xr:uid="{00000000-0005-0000-0000-000071950000}"/>
    <cellStyle name="Normal 50 7" xfId="27093" xr:uid="{00000000-0005-0000-0000-000072950000}"/>
    <cellStyle name="Normal 50 7 2" xfId="27094" xr:uid="{00000000-0005-0000-0000-000073950000}"/>
    <cellStyle name="Normal 50 7 2 2" xfId="27095" xr:uid="{00000000-0005-0000-0000-000074950000}"/>
    <cellStyle name="Normal 50 7 3" xfId="27096" xr:uid="{00000000-0005-0000-0000-000075950000}"/>
    <cellStyle name="Normal 50 7 3 2" xfId="27097" xr:uid="{00000000-0005-0000-0000-000076950000}"/>
    <cellStyle name="Normal 50 7 4" xfId="27098" xr:uid="{00000000-0005-0000-0000-000077950000}"/>
    <cellStyle name="Normal 50 7 5" xfId="27099" xr:uid="{00000000-0005-0000-0000-000078950000}"/>
    <cellStyle name="Normal 50 8" xfId="27100" xr:uid="{00000000-0005-0000-0000-000079950000}"/>
    <cellStyle name="Normal 50 8 2" xfId="27101" xr:uid="{00000000-0005-0000-0000-00007A950000}"/>
    <cellStyle name="Normal 50 8 2 2" xfId="27102" xr:uid="{00000000-0005-0000-0000-00007B950000}"/>
    <cellStyle name="Normal 50 8 3" xfId="27103" xr:uid="{00000000-0005-0000-0000-00007C950000}"/>
    <cellStyle name="Normal 50 8 3 2" xfId="27104" xr:uid="{00000000-0005-0000-0000-00007D950000}"/>
    <cellStyle name="Normal 50 8 4" xfId="27105" xr:uid="{00000000-0005-0000-0000-00007E950000}"/>
    <cellStyle name="Normal 50 8 5" xfId="27106" xr:uid="{00000000-0005-0000-0000-00007F950000}"/>
    <cellStyle name="Normal 50 9" xfId="27107" xr:uid="{00000000-0005-0000-0000-000080950000}"/>
    <cellStyle name="Normal 50 9 2" xfId="27108" xr:uid="{00000000-0005-0000-0000-000081950000}"/>
    <cellStyle name="Normal 50 9 2 2" xfId="27109" xr:uid="{00000000-0005-0000-0000-000082950000}"/>
    <cellStyle name="Normal 50 9 3" xfId="27110" xr:uid="{00000000-0005-0000-0000-000083950000}"/>
    <cellStyle name="Normal 50 9 3 2" xfId="27111" xr:uid="{00000000-0005-0000-0000-000084950000}"/>
    <cellStyle name="Normal 50 9 4" xfId="27112" xr:uid="{00000000-0005-0000-0000-000085950000}"/>
    <cellStyle name="Normal 50 9 5" xfId="27113" xr:uid="{00000000-0005-0000-0000-000086950000}"/>
    <cellStyle name="Normal 51" xfId="27114" xr:uid="{00000000-0005-0000-0000-000087950000}"/>
    <cellStyle name="Normal 51 10" xfId="27115" xr:uid="{00000000-0005-0000-0000-000088950000}"/>
    <cellStyle name="Normal 51 10 2" xfId="27116" xr:uid="{00000000-0005-0000-0000-000089950000}"/>
    <cellStyle name="Normal 51 10 2 2" xfId="27117" xr:uid="{00000000-0005-0000-0000-00008A950000}"/>
    <cellStyle name="Normal 51 10 3" xfId="27118" xr:uid="{00000000-0005-0000-0000-00008B950000}"/>
    <cellStyle name="Normal 51 11" xfId="27119" xr:uid="{00000000-0005-0000-0000-00008C950000}"/>
    <cellStyle name="Normal 51 11 2" xfId="27120" xr:uid="{00000000-0005-0000-0000-00008D950000}"/>
    <cellStyle name="Normal 51 12" xfId="27121" xr:uid="{00000000-0005-0000-0000-00008E950000}"/>
    <cellStyle name="Normal 51 12 2" xfId="27122" xr:uid="{00000000-0005-0000-0000-00008F950000}"/>
    <cellStyle name="Normal 51 13" xfId="27123" xr:uid="{00000000-0005-0000-0000-000090950000}"/>
    <cellStyle name="Normal 51 14" xfId="27124" xr:uid="{00000000-0005-0000-0000-000091950000}"/>
    <cellStyle name="Normal 51 14 2" xfId="57186" xr:uid="{00000000-0005-0000-0000-000092950000}"/>
    <cellStyle name="Normal 51 15" xfId="27125" xr:uid="{00000000-0005-0000-0000-000093950000}"/>
    <cellStyle name="Normal 51 2" xfId="27126" xr:uid="{00000000-0005-0000-0000-000094950000}"/>
    <cellStyle name="Normal 51 2 10" xfId="27127" xr:uid="{00000000-0005-0000-0000-000095950000}"/>
    <cellStyle name="Normal 51 2 10 2" xfId="27128" xr:uid="{00000000-0005-0000-0000-000096950000}"/>
    <cellStyle name="Normal 51 2 11" xfId="27129" xr:uid="{00000000-0005-0000-0000-000097950000}"/>
    <cellStyle name="Normal 51 2 11 2" xfId="27130" xr:uid="{00000000-0005-0000-0000-000098950000}"/>
    <cellStyle name="Normal 51 2 12" xfId="27131" xr:uid="{00000000-0005-0000-0000-000099950000}"/>
    <cellStyle name="Normal 51 2 13" xfId="27132" xr:uid="{00000000-0005-0000-0000-00009A950000}"/>
    <cellStyle name="Normal 51 2 13 2" xfId="57187" xr:uid="{00000000-0005-0000-0000-00009B950000}"/>
    <cellStyle name="Normal 51 2 14" xfId="57188" xr:uid="{00000000-0005-0000-0000-00009C950000}"/>
    <cellStyle name="Normal 51 2 2" xfId="27133" xr:uid="{00000000-0005-0000-0000-00009D950000}"/>
    <cellStyle name="Normal 51 2 2 2" xfId="27134" xr:uid="{00000000-0005-0000-0000-00009E950000}"/>
    <cellStyle name="Normal 51 2 2 2 2" xfId="57189" xr:uid="{00000000-0005-0000-0000-00009F950000}"/>
    <cellStyle name="Normal 51 2 2 2 3" xfId="57190" xr:uid="{00000000-0005-0000-0000-0000A0950000}"/>
    <cellStyle name="Normal 51 2 2 3" xfId="27135" xr:uid="{00000000-0005-0000-0000-0000A1950000}"/>
    <cellStyle name="Normal 51 2 2 3 2" xfId="57191" xr:uid="{00000000-0005-0000-0000-0000A2950000}"/>
    <cellStyle name="Normal 51 2 2 4" xfId="27136" xr:uid="{00000000-0005-0000-0000-0000A3950000}"/>
    <cellStyle name="Normal 51 2 2 5" xfId="27137" xr:uid="{00000000-0005-0000-0000-0000A4950000}"/>
    <cellStyle name="Normal 51 2 2 6" xfId="27138" xr:uid="{00000000-0005-0000-0000-0000A5950000}"/>
    <cellStyle name="Normal 51 2 3" xfId="27139" xr:uid="{00000000-0005-0000-0000-0000A6950000}"/>
    <cellStyle name="Normal 51 2 3 2" xfId="27140" xr:uid="{00000000-0005-0000-0000-0000A7950000}"/>
    <cellStyle name="Normal 51 2 3 2 2" xfId="27141" xr:uid="{00000000-0005-0000-0000-0000A8950000}"/>
    <cellStyle name="Normal 51 2 3 2 2 2" xfId="27142" xr:uid="{00000000-0005-0000-0000-0000A9950000}"/>
    <cellStyle name="Normal 51 2 3 2 3" xfId="27143" xr:uid="{00000000-0005-0000-0000-0000AA950000}"/>
    <cellStyle name="Normal 51 2 3 2 3 2" xfId="27144" xr:uid="{00000000-0005-0000-0000-0000AB950000}"/>
    <cellStyle name="Normal 51 2 3 2 4" xfId="27145" xr:uid="{00000000-0005-0000-0000-0000AC950000}"/>
    <cellStyle name="Normal 51 2 3 3" xfId="27146" xr:uid="{00000000-0005-0000-0000-0000AD950000}"/>
    <cellStyle name="Normal 51 2 3 3 2" xfId="27147" xr:uid="{00000000-0005-0000-0000-0000AE950000}"/>
    <cellStyle name="Normal 51 2 3 3 2 2" xfId="27148" xr:uid="{00000000-0005-0000-0000-0000AF950000}"/>
    <cellStyle name="Normal 51 2 3 3 3" xfId="27149" xr:uid="{00000000-0005-0000-0000-0000B0950000}"/>
    <cellStyle name="Normal 51 2 3 3 3 2" xfId="27150" xr:uid="{00000000-0005-0000-0000-0000B1950000}"/>
    <cellStyle name="Normal 51 2 3 3 4" xfId="27151" xr:uid="{00000000-0005-0000-0000-0000B2950000}"/>
    <cellStyle name="Normal 51 2 3 4" xfId="27152" xr:uid="{00000000-0005-0000-0000-0000B3950000}"/>
    <cellStyle name="Normal 51 2 3 4 2" xfId="27153" xr:uid="{00000000-0005-0000-0000-0000B4950000}"/>
    <cellStyle name="Normal 51 2 3 5" xfId="27154" xr:uid="{00000000-0005-0000-0000-0000B5950000}"/>
    <cellStyle name="Normal 51 2 3 5 2" xfId="27155" xr:uid="{00000000-0005-0000-0000-0000B6950000}"/>
    <cellStyle name="Normal 51 2 3 6" xfId="27156" xr:uid="{00000000-0005-0000-0000-0000B7950000}"/>
    <cellStyle name="Normal 51 2 3 7" xfId="27157" xr:uid="{00000000-0005-0000-0000-0000B8950000}"/>
    <cellStyle name="Normal 51 2 4" xfId="27158" xr:uid="{00000000-0005-0000-0000-0000B9950000}"/>
    <cellStyle name="Normal 51 2 4 2" xfId="27159" xr:uid="{00000000-0005-0000-0000-0000BA950000}"/>
    <cellStyle name="Normal 51 2 4 2 2" xfId="27160" xr:uid="{00000000-0005-0000-0000-0000BB950000}"/>
    <cellStyle name="Normal 51 2 4 3" xfId="27161" xr:uid="{00000000-0005-0000-0000-0000BC950000}"/>
    <cellStyle name="Normal 51 2 4 3 2" xfId="27162" xr:uid="{00000000-0005-0000-0000-0000BD950000}"/>
    <cellStyle name="Normal 51 2 4 4" xfId="27163" xr:uid="{00000000-0005-0000-0000-0000BE950000}"/>
    <cellStyle name="Normal 51 2 4 5" xfId="27164" xr:uid="{00000000-0005-0000-0000-0000BF950000}"/>
    <cellStyle name="Normal 51 2 5" xfId="27165" xr:uid="{00000000-0005-0000-0000-0000C0950000}"/>
    <cellStyle name="Normal 51 2 5 2" xfId="27166" xr:uid="{00000000-0005-0000-0000-0000C1950000}"/>
    <cellStyle name="Normal 51 2 5 2 2" xfId="27167" xr:uid="{00000000-0005-0000-0000-0000C2950000}"/>
    <cellStyle name="Normal 51 2 5 3" xfId="27168" xr:uid="{00000000-0005-0000-0000-0000C3950000}"/>
    <cellStyle name="Normal 51 2 5 3 2" xfId="27169" xr:uid="{00000000-0005-0000-0000-0000C4950000}"/>
    <cellStyle name="Normal 51 2 5 4" xfId="27170" xr:uid="{00000000-0005-0000-0000-0000C5950000}"/>
    <cellStyle name="Normal 51 2 5 5" xfId="27171" xr:uid="{00000000-0005-0000-0000-0000C6950000}"/>
    <cellStyle name="Normal 51 2 6" xfId="27172" xr:uid="{00000000-0005-0000-0000-0000C7950000}"/>
    <cellStyle name="Normal 51 2 6 2" xfId="27173" xr:uid="{00000000-0005-0000-0000-0000C8950000}"/>
    <cellStyle name="Normal 51 2 6 2 2" xfId="27174" xr:uid="{00000000-0005-0000-0000-0000C9950000}"/>
    <cellStyle name="Normal 51 2 6 3" xfId="27175" xr:uid="{00000000-0005-0000-0000-0000CA950000}"/>
    <cellStyle name="Normal 51 2 6 3 2" xfId="27176" xr:uid="{00000000-0005-0000-0000-0000CB950000}"/>
    <cellStyle name="Normal 51 2 6 4" xfId="27177" xr:uid="{00000000-0005-0000-0000-0000CC950000}"/>
    <cellStyle name="Normal 51 2 6 5" xfId="27178" xr:uid="{00000000-0005-0000-0000-0000CD950000}"/>
    <cellStyle name="Normal 51 2 7" xfId="27179" xr:uid="{00000000-0005-0000-0000-0000CE950000}"/>
    <cellStyle name="Normal 51 2 7 2" xfId="27180" xr:uid="{00000000-0005-0000-0000-0000CF950000}"/>
    <cellStyle name="Normal 51 2 7 2 2" xfId="27181" xr:uid="{00000000-0005-0000-0000-0000D0950000}"/>
    <cellStyle name="Normal 51 2 7 3" xfId="27182" xr:uid="{00000000-0005-0000-0000-0000D1950000}"/>
    <cellStyle name="Normal 51 2 7 3 2" xfId="27183" xr:uid="{00000000-0005-0000-0000-0000D2950000}"/>
    <cellStyle name="Normal 51 2 7 4" xfId="27184" xr:uid="{00000000-0005-0000-0000-0000D3950000}"/>
    <cellStyle name="Normal 51 2 7 5" xfId="27185" xr:uid="{00000000-0005-0000-0000-0000D4950000}"/>
    <cellStyle name="Normal 51 2 8" xfId="27186" xr:uid="{00000000-0005-0000-0000-0000D5950000}"/>
    <cellStyle name="Normal 51 2 8 2" xfId="27187" xr:uid="{00000000-0005-0000-0000-0000D6950000}"/>
    <cellStyle name="Normal 51 2 8 2 2" xfId="27188" xr:uid="{00000000-0005-0000-0000-0000D7950000}"/>
    <cellStyle name="Normal 51 2 8 3" xfId="27189" xr:uid="{00000000-0005-0000-0000-0000D8950000}"/>
    <cellStyle name="Normal 51 2 8 3 2" xfId="27190" xr:uid="{00000000-0005-0000-0000-0000D9950000}"/>
    <cellStyle name="Normal 51 2 8 4" xfId="27191" xr:uid="{00000000-0005-0000-0000-0000DA950000}"/>
    <cellStyle name="Normal 51 2 9" xfId="27192" xr:uid="{00000000-0005-0000-0000-0000DB950000}"/>
    <cellStyle name="Normal 51 2 9 2" xfId="27193" xr:uid="{00000000-0005-0000-0000-0000DC950000}"/>
    <cellStyle name="Normal 51 2 9 2 2" xfId="27194" xr:uid="{00000000-0005-0000-0000-0000DD950000}"/>
    <cellStyle name="Normal 51 2 9 3" xfId="27195" xr:uid="{00000000-0005-0000-0000-0000DE950000}"/>
    <cellStyle name="Normal 51 3" xfId="27196" xr:uid="{00000000-0005-0000-0000-0000DF950000}"/>
    <cellStyle name="Normal 51 3 2" xfId="27197" xr:uid="{00000000-0005-0000-0000-0000E0950000}"/>
    <cellStyle name="Normal 51 3 2 2" xfId="57192" xr:uid="{00000000-0005-0000-0000-0000E1950000}"/>
    <cellStyle name="Normal 51 3 2 3" xfId="57193" xr:uid="{00000000-0005-0000-0000-0000E2950000}"/>
    <cellStyle name="Normal 51 3 3" xfId="27198" xr:uid="{00000000-0005-0000-0000-0000E3950000}"/>
    <cellStyle name="Normal 51 3 3 2" xfId="57194" xr:uid="{00000000-0005-0000-0000-0000E4950000}"/>
    <cellStyle name="Normal 51 3 4" xfId="27199" xr:uid="{00000000-0005-0000-0000-0000E5950000}"/>
    <cellStyle name="Normal 51 3 5" xfId="27200" xr:uid="{00000000-0005-0000-0000-0000E6950000}"/>
    <cellStyle name="Normal 51 3 6" xfId="27201" xr:uid="{00000000-0005-0000-0000-0000E7950000}"/>
    <cellStyle name="Normal 51 4" xfId="27202" xr:uid="{00000000-0005-0000-0000-0000E8950000}"/>
    <cellStyle name="Normal 51 4 2" xfId="27203" xr:uid="{00000000-0005-0000-0000-0000E9950000}"/>
    <cellStyle name="Normal 51 4 2 2" xfId="27204" xr:uid="{00000000-0005-0000-0000-0000EA950000}"/>
    <cellStyle name="Normal 51 4 2 2 2" xfId="27205" xr:uid="{00000000-0005-0000-0000-0000EB950000}"/>
    <cellStyle name="Normal 51 4 2 3" xfId="27206" xr:uid="{00000000-0005-0000-0000-0000EC950000}"/>
    <cellStyle name="Normal 51 4 2 3 2" xfId="27207" xr:uid="{00000000-0005-0000-0000-0000ED950000}"/>
    <cellStyle name="Normal 51 4 2 4" xfId="27208" xr:uid="{00000000-0005-0000-0000-0000EE950000}"/>
    <cellStyle name="Normal 51 4 3" xfId="27209" xr:uid="{00000000-0005-0000-0000-0000EF950000}"/>
    <cellStyle name="Normal 51 4 3 2" xfId="27210" xr:uid="{00000000-0005-0000-0000-0000F0950000}"/>
    <cellStyle name="Normal 51 4 3 2 2" xfId="27211" xr:uid="{00000000-0005-0000-0000-0000F1950000}"/>
    <cellStyle name="Normal 51 4 3 3" xfId="27212" xr:uid="{00000000-0005-0000-0000-0000F2950000}"/>
    <cellStyle name="Normal 51 4 3 3 2" xfId="27213" xr:uid="{00000000-0005-0000-0000-0000F3950000}"/>
    <cellStyle name="Normal 51 4 3 4" xfId="27214" xr:uid="{00000000-0005-0000-0000-0000F4950000}"/>
    <cellStyle name="Normal 51 4 4" xfId="27215" xr:uid="{00000000-0005-0000-0000-0000F5950000}"/>
    <cellStyle name="Normal 51 4 4 2" xfId="27216" xr:uid="{00000000-0005-0000-0000-0000F6950000}"/>
    <cellStyle name="Normal 51 4 5" xfId="27217" xr:uid="{00000000-0005-0000-0000-0000F7950000}"/>
    <cellStyle name="Normal 51 4 5 2" xfId="27218" xr:uid="{00000000-0005-0000-0000-0000F8950000}"/>
    <cellStyle name="Normal 51 4 6" xfId="27219" xr:uid="{00000000-0005-0000-0000-0000F9950000}"/>
    <cellStyle name="Normal 51 4 7" xfId="27220" xr:uid="{00000000-0005-0000-0000-0000FA950000}"/>
    <cellStyle name="Normal 51 5" xfId="27221" xr:uid="{00000000-0005-0000-0000-0000FB950000}"/>
    <cellStyle name="Normal 51 5 2" xfId="27222" xr:uid="{00000000-0005-0000-0000-0000FC950000}"/>
    <cellStyle name="Normal 51 5 2 2" xfId="27223" xr:uid="{00000000-0005-0000-0000-0000FD950000}"/>
    <cellStyle name="Normal 51 5 3" xfId="27224" xr:uid="{00000000-0005-0000-0000-0000FE950000}"/>
    <cellStyle name="Normal 51 5 3 2" xfId="27225" xr:uid="{00000000-0005-0000-0000-0000FF950000}"/>
    <cellStyle name="Normal 51 5 4" xfId="27226" xr:uid="{00000000-0005-0000-0000-000000960000}"/>
    <cellStyle name="Normal 51 5 5" xfId="27227" xr:uid="{00000000-0005-0000-0000-000001960000}"/>
    <cellStyle name="Normal 51 6" xfId="27228" xr:uid="{00000000-0005-0000-0000-000002960000}"/>
    <cellStyle name="Normal 51 6 2" xfId="27229" xr:uid="{00000000-0005-0000-0000-000003960000}"/>
    <cellStyle name="Normal 51 6 2 2" xfId="27230" xr:uid="{00000000-0005-0000-0000-000004960000}"/>
    <cellStyle name="Normal 51 6 3" xfId="27231" xr:uid="{00000000-0005-0000-0000-000005960000}"/>
    <cellStyle name="Normal 51 6 3 2" xfId="27232" xr:uid="{00000000-0005-0000-0000-000006960000}"/>
    <cellStyle name="Normal 51 6 4" xfId="27233" xr:uid="{00000000-0005-0000-0000-000007960000}"/>
    <cellStyle name="Normal 51 6 5" xfId="27234" xr:uid="{00000000-0005-0000-0000-000008960000}"/>
    <cellStyle name="Normal 51 7" xfId="27235" xr:uid="{00000000-0005-0000-0000-000009960000}"/>
    <cellStyle name="Normal 51 7 2" xfId="27236" xr:uid="{00000000-0005-0000-0000-00000A960000}"/>
    <cellStyle name="Normal 51 7 2 2" xfId="27237" xr:uid="{00000000-0005-0000-0000-00000B960000}"/>
    <cellStyle name="Normal 51 7 3" xfId="27238" xr:uid="{00000000-0005-0000-0000-00000C960000}"/>
    <cellStyle name="Normal 51 7 3 2" xfId="27239" xr:uid="{00000000-0005-0000-0000-00000D960000}"/>
    <cellStyle name="Normal 51 7 4" xfId="27240" xr:uid="{00000000-0005-0000-0000-00000E960000}"/>
    <cellStyle name="Normal 51 7 5" xfId="27241" xr:uid="{00000000-0005-0000-0000-00000F960000}"/>
    <cellStyle name="Normal 51 8" xfId="27242" xr:uid="{00000000-0005-0000-0000-000010960000}"/>
    <cellStyle name="Normal 51 8 2" xfId="27243" xr:uid="{00000000-0005-0000-0000-000011960000}"/>
    <cellStyle name="Normal 51 8 2 2" xfId="27244" xr:uid="{00000000-0005-0000-0000-000012960000}"/>
    <cellStyle name="Normal 51 8 3" xfId="27245" xr:uid="{00000000-0005-0000-0000-000013960000}"/>
    <cellStyle name="Normal 51 8 3 2" xfId="27246" xr:uid="{00000000-0005-0000-0000-000014960000}"/>
    <cellStyle name="Normal 51 8 4" xfId="27247" xr:uid="{00000000-0005-0000-0000-000015960000}"/>
    <cellStyle name="Normal 51 8 5" xfId="27248" xr:uid="{00000000-0005-0000-0000-000016960000}"/>
    <cellStyle name="Normal 51 9" xfId="27249" xr:uid="{00000000-0005-0000-0000-000017960000}"/>
    <cellStyle name="Normal 51 9 2" xfId="27250" xr:uid="{00000000-0005-0000-0000-000018960000}"/>
    <cellStyle name="Normal 51 9 2 2" xfId="27251" xr:uid="{00000000-0005-0000-0000-000019960000}"/>
    <cellStyle name="Normal 51 9 3" xfId="27252" xr:uid="{00000000-0005-0000-0000-00001A960000}"/>
    <cellStyle name="Normal 51 9 3 2" xfId="27253" xr:uid="{00000000-0005-0000-0000-00001B960000}"/>
    <cellStyle name="Normal 51 9 4" xfId="27254" xr:uid="{00000000-0005-0000-0000-00001C960000}"/>
    <cellStyle name="Normal 52" xfId="27255" xr:uid="{00000000-0005-0000-0000-00001D960000}"/>
    <cellStyle name="Normal 52 10" xfId="27256" xr:uid="{00000000-0005-0000-0000-00001E960000}"/>
    <cellStyle name="Normal 52 10 2" xfId="27257" xr:uid="{00000000-0005-0000-0000-00001F960000}"/>
    <cellStyle name="Normal 52 11" xfId="27258" xr:uid="{00000000-0005-0000-0000-000020960000}"/>
    <cellStyle name="Normal 52 11 2" xfId="27259" xr:uid="{00000000-0005-0000-0000-000021960000}"/>
    <cellStyle name="Normal 52 12" xfId="27260" xr:uid="{00000000-0005-0000-0000-000022960000}"/>
    <cellStyle name="Normal 52 13" xfId="27261" xr:uid="{00000000-0005-0000-0000-000023960000}"/>
    <cellStyle name="Normal 52 13 2" xfId="57195" xr:uid="{00000000-0005-0000-0000-000024960000}"/>
    <cellStyle name="Normal 52 14" xfId="27262" xr:uid="{00000000-0005-0000-0000-000025960000}"/>
    <cellStyle name="Normal 52 2" xfId="27263" xr:uid="{00000000-0005-0000-0000-000026960000}"/>
    <cellStyle name="Normal 52 2 10" xfId="27264" xr:uid="{00000000-0005-0000-0000-000027960000}"/>
    <cellStyle name="Normal 52 2 10 2" xfId="27265" xr:uid="{00000000-0005-0000-0000-000028960000}"/>
    <cellStyle name="Normal 52 2 11" xfId="27266" xr:uid="{00000000-0005-0000-0000-000029960000}"/>
    <cellStyle name="Normal 52 2 12" xfId="27267" xr:uid="{00000000-0005-0000-0000-00002A960000}"/>
    <cellStyle name="Normal 52 2 2" xfId="27268" xr:uid="{00000000-0005-0000-0000-00002B960000}"/>
    <cellStyle name="Normal 52 2 2 2" xfId="27269" xr:uid="{00000000-0005-0000-0000-00002C960000}"/>
    <cellStyle name="Normal 52 2 2 2 2" xfId="27270" xr:uid="{00000000-0005-0000-0000-00002D960000}"/>
    <cellStyle name="Normal 52 2 2 2 2 2" xfId="27271" xr:uid="{00000000-0005-0000-0000-00002E960000}"/>
    <cellStyle name="Normal 52 2 2 2 3" xfId="27272" xr:uid="{00000000-0005-0000-0000-00002F960000}"/>
    <cellStyle name="Normal 52 2 2 2 3 2" xfId="27273" xr:uid="{00000000-0005-0000-0000-000030960000}"/>
    <cellStyle name="Normal 52 2 2 2 4" xfId="27274" xr:uid="{00000000-0005-0000-0000-000031960000}"/>
    <cellStyle name="Normal 52 2 2 3" xfId="27275" xr:uid="{00000000-0005-0000-0000-000032960000}"/>
    <cellStyle name="Normal 52 2 2 3 2" xfId="27276" xr:uid="{00000000-0005-0000-0000-000033960000}"/>
    <cellStyle name="Normal 52 2 2 3 2 2" xfId="27277" xr:uid="{00000000-0005-0000-0000-000034960000}"/>
    <cellStyle name="Normal 52 2 2 3 3" xfId="27278" xr:uid="{00000000-0005-0000-0000-000035960000}"/>
    <cellStyle name="Normal 52 2 2 3 3 2" xfId="27279" xr:uid="{00000000-0005-0000-0000-000036960000}"/>
    <cellStyle name="Normal 52 2 2 3 4" xfId="27280" xr:uid="{00000000-0005-0000-0000-000037960000}"/>
    <cellStyle name="Normal 52 2 2 4" xfId="27281" xr:uid="{00000000-0005-0000-0000-000038960000}"/>
    <cellStyle name="Normal 52 2 2 4 2" xfId="27282" xr:uid="{00000000-0005-0000-0000-000039960000}"/>
    <cellStyle name="Normal 52 2 2 5" xfId="27283" xr:uid="{00000000-0005-0000-0000-00003A960000}"/>
    <cellStyle name="Normal 52 2 2 5 2" xfId="27284" xr:uid="{00000000-0005-0000-0000-00003B960000}"/>
    <cellStyle name="Normal 52 2 2 6" xfId="27285" xr:uid="{00000000-0005-0000-0000-00003C960000}"/>
    <cellStyle name="Normal 52 2 3" xfId="27286" xr:uid="{00000000-0005-0000-0000-00003D960000}"/>
    <cellStyle name="Normal 52 2 3 2" xfId="27287" xr:uid="{00000000-0005-0000-0000-00003E960000}"/>
    <cellStyle name="Normal 52 2 3 2 2" xfId="27288" xr:uid="{00000000-0005-0000-0000-00003F960000}"/>
    <cellStyle name="Normal 52 2 3 3" xfId="27289" xr:uid="{00000000-0005-0000-0000-000040960000}"/>
    <cellStyle name="Normal 52 2 3 3 2" xfId="27290" xr:uid="{00000000-0005-0000-0000-000041960000}"/>
    <cellStyle name="Normal 52 2 3 4" xfId="27291" xr:uid="{00000000-0005-0000-0000-000042960000}"/>
    <cellStyle name="Normal 52 2 4" xfId="27292" xr:uid="{00000000-0005-0000-0000-000043960000}"/>
    <cellStyle name="Normal 52 2 4 2" xfId="27293" xr:uid="{00000000-0005-0000-0000-000044960000}"/>
    <cellStyle name="Normal 52 2 4 2 2" xfId="27294" xr:uid="{00000000-0005-0000-0000-000045960000}"/>
    <cellStyle name="Normal 52 2 4 3" xfId="27295" xr:uid="{00000000-0005-0000-0000-000046960000}"/>
    <cellStyle name="Normal 52 2 4 3 2" xfId="27296" xr:uid="{00000000-0005-0000-0000-000047960000}"/>
    <cellStyle name="Normal 52 2 4 4" xfId="27297" xr:uid="{00000000-0005-0000-0000-000048960000}"/>
    <cellStyle name="Normal 52 2 5" xfId="27298" xr:uid="{00000000-0005-0000-0000-000049960000}"/>
    <cellStyle name="Normal 52 2 5 2" xfId="27299" xr:uid="{00000000-0005-0000-0000-00004A960000}"/>
    <cellStyle name="Normal 52 2 5 2 2" xfId="27300" xr:uid="{00000000-0005-0000-0000-00004B960000}"/>
    <cellStyle name="Normal 52 2 5 3" xfId="27301" xr:uid="{00000000-0005-0000-0000-00004C960000}"/>
    <cellStyle name="Normal 52 2 5 3 2" xfId="27302" xr:uid="{00000000-0005-0000-0000-00004D960000}"/>
    <cellStyle name="Normal 52 2 5 4" xfId="27303" xr:uid="{00000000-0005-0000-0000-00004E960000}"/>
    <cellStyle name="Normal 52 2 6" xfId="27304" xr:uid="{00000000-0005-0000-0000-00004F960000}"/>
    <cellStyle name="Normal 52 2 6 2" xfId="27305" xr:uid="{00000000-0005-0000-0000-000050960000}"/>
    <cellStyle name="Normal 52 2 6 2 2" xfId="27306" xr:uid="{00000000-0005-0000-0000-000051960000}"/>
    <cellStyle name="Normal 52 2 6 3" xfId="27307" xr:uid="{00000000-0005-0000-0000-000052960000}"/>
    <cellStyle name="Normal 52 2 6 3 2" xfId="27308" xr:uid="{00000000-0005-0000-0000-000053960000}"/>
    <cellStyle name="Normal 52 2 6 4" xfId="27309" xr:uid="{00000000-0005-0000-0000-000054960000}"/>
    <cellStyle name="Normal 52 2 7" xfId="27310" xr:uid="{00000000-0005-0000-0000-000055960000}"/>
    <cellStyle name="Normal 52 2 7 2" xfId="27311" xr:uid="{00000000-0005-0000-0000-000056960000}"/>
    <cellStyle name="Normal 52 2 7 2 2" xfId="27312" xr:uid="{00000000-0005-0000-0000-000057960000}"/>
    <cellStyle name="Normal 52 2 7 3" xfId="27313" xr:uid="{00000000-0005-0000-0000-000058960000}"/>
    <cellStyle name="Normal 52 2 7 3 2" xfId="27314" xr:uid="{00000000-0005-0000-0000-000059960000}"/>
    <cellStyle name="Normal 52 2 7 4" xfId="27315" xr:uid="{00000000-0005-0000-0000-00005A960000}"/>
    <cellStyle name="Normal 52 2 8" xfId="27316" xr:uid="{00000000-0005-0000-0000-00005B960000}"/>
    <cellStyle name="Normal 52 2 8 2" xfId="27317" xr:uid="{00000000-0005-0000-0000-00005C960000}"/>
    <cellStyle name="Normal 52 2 8 2 2" xfId="27318" xr:uid="{00000000-0005-0000-0000-00005D960000}"/>
    <cellStyle name="Normal 52 2 8 3" xfId="27319" xr:uid="{00000000-0005-0000-0000-00005E960000}"/>
    <cellStyle name="Normal 52 2 9" xfId="27320" xr:uid="{00000000-0005-0000-0000-00005F960000}"/>
    <cellStyle name="Normal 52 2 9 2" xfId="27321" xr:uid="{00000000-0005-0000-0000-000060960000}"/>
    <cellStyle name="Normal 52 3" xfId="27322" xr:uid="{00000000-0005-0000-0000-000061960000}"/>
    <cellStyle name="Normal 52 3 2" xfId="27323" xr:uid="{00000000-0005-0000-0000-000062960000}"/>
    <cellStyle name="Normal 52 3 2 2" xfId="27324" xr:uid="{00000000-0005-0000-0000-000063960000}"/>
    <cellStyle name="Normal 52 3 2 2 2" xfId="27325" xr:uid="{00000000-0005-0000-0000-000064960000}"/>
    <cellStyle name="Normal 52 3 2 3" xfId="27326" xr:uid="{00000000-0005-0000-0000-000065960000}"/>
    <cellStyle name="Normal 52 3 2 3 2" xfId="27327" xr:uid="{00000000-0005-0000-0000-000066960000}"/>
    <cellStyle name="Normal 52 3 2 4" xfId="27328" xr:uid="{00000000-0005-0000-0000-000067960000}"/>
    <cellStyle name="Normal 52 3 3" xfId="27329" xr:uid="{00000000-0005-0000-0000-000068960000}"/>
    <cellStyle name="Normal 52 3 3 2" xfId="27330" xr:uid="{00000000-0005-0000-0000-000069960000}"/>
    <cellStyle name="Normal 52 3 3 2 2" xfId="27331" xr:uid="{00000000-0005-0000-0000-00006A960000}"/>
    <cellStyle name="Normal 52 3 3 3" xfId="27332" xr:uid="{00000000-0005-0000-0000-00006B960000}"/>
    <cellStyle name="Normal 52 3 3 3 2" xfId="27333" xr:uid="{00000000-0005-0000-0000-00006C960000}"/>
    <cellStyle name="Normal 52 3 3 4" xfId="27334" xr:uid="{00000000-0005-0000-0000-00006D960000}"/>
    <cellStyle name="Normal 52 3 4" xfId="27335" xr:uid="{00000000-0005-0000-0000-00006E960000}"/>
    <cellStyle name="Normal 52 3 4 2" xfId="27336" xr:uid="{00000000-0005-0000-0000-00006F960000}"/>
    <cellStyle name="Normal 52 3 5" xfId="27337" xr:uid="{00000000-0005-0000-0000-000070960000}"/>
    <cellStyle name="Normal 52 3 5 2" xfId="27338" xr:uid="{00000000-0005-0000-0000-000071960000}"/>
    <cellStyle name="Normal 52 3 6" xfId="27339" xr:uid="{00000000-0005-0000-0000-000072960000}"/>
    <cellStyle name="Normal 52 3 7" xfId="27340" xr:uid="{00000000-0005-0000-0000-000073960000}"/>
    <cellStyle name="Normal 52 4" xfId="27341" xr:uid="{00000000-0005-0000-0000-000074960000}"/>
    <cellStyle name="Normal 52 4 2" xfId="27342" xr:uid="{00000000-0005-0000-0000-000075960000}"/>
    <cellStyle name="Normal 52 4 2 2" xfId="27343" xr:uid="{00000000-0005-0000-0000-000076960000}"/>
    <cellStyle name="Normal 52 4 3" xfId="27344" xr:uid="{00000000-0005-0000-0000-000077960000}"/>
    <cellStyle name="Normal 52 4 3 2" xfId="27345" xr:uid="{00000000-0005-0000-0000-000078960000}"/>
    <cellStyle name="Normal 52 4 4" xfId="27346" xr:uid="{00000000-0005-0000-0000-000079960000}"/>
    <cellStyle name="Normal 52 4 5" xfId="27347" xr:uid="{00000000-0005-0000-0000-00007A960000}"/>
    <cellStyle name="Normal 52 5" xfId="27348" xr:uid="{00000000-0005-0000-0000-00007B960000}"/>
    <cellStyle name="Normal 52 5 2" xfId="27349" xr:uid="{00000000-0005-0000-0000-00007C960000}"/>
    <cellStyle name="Normal 52 5 2 2" xfId="27350" xr:uid="{00000000-0005-0000-0000-00007D960000}"/>
    <cellStyle name="Normal 52 5 3" xfId="27351" xr:uid="{00000000-0005-0000-0000-00007E960000}"/>
    <cellStyle name="Normal 52 5 3 2" xfId="27352" xr:uid="{00000000-0005-0000-0000-00007F960000}"/>
    <cellStyle name="Normal 52 5 4" xfId="27353" xr:uid="{00000000-0005-0000-0000-000080960000}"/>
    <cellStyle name="Normal 52 5 5" xfId="27354" xr:uid="{00000000-0005-0000-0000-000081960000}"/>
    <cellStyle name="Normal 52 6" xfId="27355" xr:uid="{00000000-0005-0000-0000-000082960000}"/>
    <cellStyle name="Normal 52 6 2" xfId="27356" xr:uid="{00000000-0005-0000-0000-000083960000}"/>
    <cellStyle name="Normal 52 6 2 2" xfId="27357" xr:uid="{00000000-0005-0000-0000-000084960000}"/>
    <cellStyle name="Normal 52 6 3" xfId="27358" xr:uid="{00000000-0005-0000-0000-000085960000}"/>
    <cellStyle name="Normal 52 6 3 2" xfId="27359" xr:uid="{00000000-0005-0000-0000-000086960000}"/>
    <cellStyle name="Normal 52 6 4" xfId="27360" xr:uid="{00000000-0005-0000-0000-000087960000}"/>
    <cellStyle name="Normal 52 6 5" xfId="27361" xr:uid="{00000000-0005-0000-0000-000088960000}"/>
    <cellStyle name="Normal 52 7" xfId="27362" xr:uid="{00000000-0005-0000-0000-000089960000}"/>
    <cellStyle name="Normal 52 7 2" xfId="27363" xr:uid="{00000000-0005-0000-0000-00008A960000}"/>
    <cellStyle name="Normal 52 7 2 2" xfId="27364" xr:uid="{00000000-0005-0000-0000-00008B960000}"/>
    <cellStyle name="Normal 52 7 3" xfId="27365" xr:uid="{00000000-0005-0000-0000-00008C960000}"/>
    <cellStyle name="Normal 52 7 3 2" xfId="27366" xr:uid="{00000000-0005-0000-0000-00008D960000}"/>
    <cellStyle name="Normal 52 7 4" xfId="27367" xr:uid="{00000000-0005-0000-0000-00008E960000}"/>
    <cellStyle name="Normal 52 7 5" xfId="27368" xr:uid="{00000000-0005-0000-0000-00008F960000}"/>
    <cellStyle name="Normal 52 8" xfId="27369" xr:uid="{00000000-0005-0000-0000-000090960000}"/>
    <cellStyle name="Normal 52 8 2" xfId="27370" xr:uid="{00000000-0005-0000-0000-000091960000}"/>
    <cellStyle name="Normal 52 8 2 2" xfId="27371" xr:uid="{00000000-0005-0000-0000-000092960000}"/>
    <cellStyle name="Normal 52 8 3" xfId="27372" xr:uid="{00000000-0005-0000-0000-000093960000}"/>
    <cellStyle name="Normal 52 8 3 2" xfId="27373" xr:uid="{00000000-0005-0000-0000-000094960000}"/>
    <cellStyle name="Normal 52 8 4" xfId="27374" xr:uid="{00000000-0005-0000-0000-000095960000}"/>
    <cellStyle name="Normal 52 8 5" xfId="27375" xr:uid="{00000000-0005-0000-0000-000096960000}"/>
    <cellStyle name="Normal 52 9" xfId="27376" xr:uid="{00000000-0005-0000-0000-000097960000}"/>
    <cellStyle name="Normal 52 9 2" xfId="27377" xr:uid="{00000000-0005-0000-0000-000098960000}"/>
    <cellStyle name="Normal 52 9 2 2" xfId="27378" xr:uid="{00000000-0005-0000-0000-000099960000}"/>
    <cellStyle name="Normal 52 9 3" xfId="27379" xr:uid="{00000000-0005-0000-0000-00009A960000}"/>
    <cellStyle name="Normal 53" xfId="27380" xr:uid="{00000000-0005-0000-0000-00009B960000}"/>
    <cellStyle name="Normal 53 10" xfId="27381" xr:uid="{00000000-0005-0000-0000-00009C960000}"/>
    <cellStyle name="Normal 53 10 2" xfId="27382" xr:uid="{00000000-0005-0000-0000-00009D960000}"/>
    <cellStyle name="Normal 53 11" xfId="27383" xr:uid="{00000000-0005-0000-0000-00009E960000}"/>
    <cellStyle name="Normal 53 11 2" xfId="27384" xr:uid="{00000000-0005-0000-0000-00009F960000}"/>
    <cellStyle name="Normal 53 12" xfId="27385" xr:uid="{00000000-0005-0000-0000-0000A0960000}"/>
    <cellStyle name="Normal 53 13" xfId="27386" xr:uid="{00000000-0005-0000-0000-0000A1960000}"/>
    <cellStyle name="Normal 53 14" xfId="27387" xr:uid="{00000000-0005-0000-0000-0000A2960000}"/>
    <cellStyle name="Normal 53 2" xfId="27388" xr:uid="{00000000-0005-0000-0000-0000A3960000}"/>
    <cellStyle name="Normal 53 2 10" xfId="27389" xr:uid="{00000000-0005-0000-0000-0000A4960000}"/>
    <cellStyle name="Normal 53 2 10 2" xfId="27390" xr:uid="{00000000-0005-0000-0000-0000A5960000}"/>
    <cellStyle name="Normal 53 2 11" xfId="27391" xr:uid="{00000000-0005-0000-0000-0000A6960000}"/>
    <cellStyle name="Normal 53 2 12" xfId="27392" xr:uid="{00000000-0005-0000-0000-0000A7960000}"/>
    <cellStyle name="Normal 53 2 2" xfId="27393" xr:uid="{00000000-0005-0000-0000-0000A8960000}"/>
    <cellStyle name="Normal 53 2 2 2" xfId="27394" xr:uid="{00000000-0005-0000-0000-0000A9960000}"/>
    <cellStyle name="Normal 53 2 2 2 2" xfId="27395" xr:uid="{00000000-0005-0000-0000-0000AA960000}"/>
    <cellStyle name="Normal 53 2 2 2 2 2" xfId="27396" xr:uid="{00000000-0005-0000-0000-0000AB960000}"/>
    <cellStyle name="Normal 53 2 2 2 3" xfId="27397" xr:uid="{00000000-0005-0000-0000-0000AC960000}"/>
    <cellStyle name="Normal 53 2 2 2 3 2" xfId="27398" xr:uid="{00000000-0005-0000-0000-0000AD960000}"/>
    <cellStyle name="Normal 53 2 2 2 4" xfId="27399" xr:uid="{00000000-0005-0000-0000-0000AE960000}"/>
    <cellStyle name="Normal 53 2 2 3" xfId="27400" xr:uid="{00000000-0005-0000-0000-0000AF960000}"/>
    <cellStyle name="Normal 53 2 2 3 2" xfId="27401" xr:uid="{00000000-0005-0000-0000-0000B0960000}"/>
    <cellStyle name="Normal 53 2 2 3 2 2" xfId="27402" xr:uid="{00000000-0005-0000-0000-0000B1960000}"/>
    <cellStyle name="Normal 53 2 2 3 3" xfId="27403" xr:uid="{00000000-0005-0000-0000-0000B2960000}"/>
    <cellStyle name="Normal 53 2 2 3 3 2" xfId="27404" xr:uid="{00000000-0005-0000-0000-0000B3960000}"/>
    <cellStyle name="Normal 53 2 2 3 4" xfId="27405" xr:uid="{00000000-0005-0000-0000-0000B4960000}"/>
    <cellStyle name="Normal 53 2 2 4" xfId="27406" xr:uid="{00000000-0005-0000-0000-0000B5960000}"/>
    <cellStyle name="Normal 53 2 2 4 2" xfId="27407" xr:uid="{00000000-0005-0000-0000-0000B6960000}"/>
    <cellStyle name="Normal 53 2 2 5" xfId="27408" xr:uid="{00000000-0005-0000-0000-0000B7960000}"/>
    <cellStyle name="Normal 53 2 2 5 2" xfId="27409" xr:uid="{00000000-0005-0000-0000-0000B8960000}"/>
    <cellStyle name="Normal 53 2 2 6" xfId="27410" xr:uid="{00000000-0005-0000-0000-0000B9960000}"/>
    <cellStyle name="Normal 53 2 3" xfId="27411" xr:uid="{00000000-0005-0000-0000-0000BA960000}"/>
    <cellStyle name="Normal 53 2 3 2" xfId="27412" xr:uid="{00000000-0005-0000-0000-0000BB960000}"/>
    <cellStyle name="Normal 53 2 3 2 2" xfId="27413" xr:uid="{00000000-0005-0000-0000-0000BC960000}"/>
    <cellStyle name="Normal 53 2 3 3" xfId="27414" xr:uid="{00000000-0005-0000-0000-0000BD960000}"/>
    <cellStyle name="Normal 53 2 3 3 2" xfId="27415" xr:uid="{00000000-0005-0000-0000-0000BE960000}"/>
    <cellStyle name="Normal 53 2 3 4" xfId="27416" xr:uid="{00000000-0005-0000-0000-0000BF960000}"/>
    <cellStyle name="Normal 53 2 4" xfId="27417" xr:uid="{00000000-0005-0000-0000-0000C0960000}"/>
    <cellStyle name="Normal 53 2 4 2" xfId="27418" xr:uid="{00000000-0005-0000-0000-0000C1960000}"/>
    <cellStyle name="Normal 53 2 4 2 2" xfId="27419" xr:uid="{00000000-0005-0000-0000-0000C2960000}"/>
    <cellStyle name="Normal 53 2 4 3" xfId="27420" xr:uid="{00000000-0005-0000-0000-0000C3960000}"/>
    <cellStyle name="Normal 53 2 4 3 2" xfId="27421" xr:uid="{00000000-0005-0000-0000-0000C4960000}"/>
    <cellStyle name="Normal 53 2 4 4" xfId="27422" xr:uid="{00000000-0005-0000-0000-0000C5960000}"/>
    <cellStyle name="Normal 53 2 5" xfId="27423" xr:uid="{00000000-0005-0000-0000-0000C6960000}"/>
    <cellStyle name="Normal 53 2 5 2" xfId="27424" xr:uid="{00000000-0005-0000-0000-0000C7960000}"/>
    <cellStyle name="Normal 53 2 5 2 2" xfId="27425" xr:uid="{00000000-0005-0000-0000-0000C8960000}"/>
    <cellStyle name="Normal 53 2 5 3" xfId="27426" xr:uid="{00000000-0005-0000-0000-0000C9960000}"/>
    <cellStyle name="Normal 53 2 5 3 2" xfId="27427" xr:uid="{00000000-0005-0000-0000-0000CA960000}"/>
    <cellStyle name="Normal 53 2 5 4" xfId="27428" xr:uid="{00000000-0005-0000-0000-0000CB960000}"/>
    <cellStyle name="Normal 53 2 6" xfId="27429" xr:uid="{00000000-0005-0000-0000-0000CC960000}"/>
    <cellStyle name="Normal 53 2 6 2" xfId="27430" xr:uid="{00000000-0005-0000-0000-0000CD960000}"/>
    <cellStyle name="Normal 53 2 6 2 2" xfId="27431" xr:uid="{00000000-0005-0000-0000-0000CE960000}"/>
    <cellStyle name="Normal 53 2 6 3" xfId="27432" xr:uid="{00000000-0005-0000-0000-0000CF960000}"/>
    <cellStyle name="Normal 53 2 6 3 2" xfId="27433" xr:uid="{00000000-0005-0000-0000-0000D0960000}"/>
    <cellStyle name="Normal 53 2 6 4" xfId="27434" xr:uid="{00000000-0005-0000-0000-0000D1960000}"/>
    <cellStyle name="Normal 53 2 7" xfId="27435" xr:uid="{00000000-0005-0000-0000-0000D2960000}"/>
    <cellStyle name="Normal 53 2 7 2" xfId="27436" xr:uid="{00000000-0005-0000-0000-0000D3960000}"/>
    <cellStyle name="Normal 53 2 7 2 2" xfId="27437" xr:uid="{00000000-0005-0000-0000-0000D4960000}"/>
    <cellStyle name="Normal 53 2 7 3" xfId="27438" xr:uid="{00000000-0005-0000-0000-0000D5960000}"/>
    <cellStyle name="Normal 53 2 7 3 2" xfId="27439" xr:uid="{00000000-0005-0000-0000-0000D6960000}"/>
    <cellStyle name="Normal 53 2 7 4" xfId="27440" xr:uid="{00000000-0005-0000-0000-0000D7960000}"/>
    <cellStyle name="Normal 53 2 8" xfId="27441" xr:uid="{00000000-0005-0000-0000-0000D8960000}"/>
    <cellStyle name="Normal 53 2 8 2" xfId="27442" xr:uid="{00000000-0005-0000-0000-0000D9960000}"/>
    <cellStyle name="Normal 53 2 8 2 2" xfId="27443" xr:uid="{00000000-0005-0000-0000-0000DA960000}"/>
    <cellStyle name="Normal 53 2 8 3" xfId="27444" xr:uid="{00000000-0005-0000-0000-0000DB960000}"/>
    <cellStyle name="Normal 53 2 9" xfId="27445" xr:uid="{00000000-0005-0000-0000-0000DC960000}"/>
    <cellStyle name="Normal 53 2 9 2" xfId="27446" xr:uid="{00000000-0005-0000-0000-0000DD960000}"/>
    <cellStyle name="Normal 53 3" xfId="27447" xr:uid="{00000000-0005-0000-0000-0000DE960000}"/>
    <cellStyle name="Normal 53 3 2" xfId="27448" xr:uid="{00000000-0005-0000-0000-0000DF960000}"/>
    <cellStyle name="Normal 53 3 2 2" xfId="27449" xr:uid="{00000000-0005-0000-0000-0000E0960000}"/>
    <cellStyle name="Normal 53 3 2 2 2" xfId="27450" xr:uid="{00000000-0005-0000-0000-0000E1960000}"/>
    <cellStyle name="Normal 53 3 2 3" xfId="27451" xr:uid="{00000000-0005-0000-0000-0000E2960000}"/>
    <cellStyle name="Normal 53 3 2 3 2" xfId="27452" xr:uid="{00000000-0005-0000-0000-0000E3960000}"/>
    <cellStyle name="Normal 53 3 2 4" xfId="27453" xr:uid="{00000000-0005-0000-0000-0000E4960000}"/>
    <cellStyle name="Normal 53 3 3" xfId="27454" xr:uid="{00000000-0005-0000-0000-0000E5960000}"/>
    <cellStyle name="Normal 53 3 3 2" xfId="27455" xr:uid="{00000000-0005-0000-0000-0000E6960000}"/>
    <cellStyle name="Normal 53 3 3 2 2" xfId="27456" xr:uid="{00000000-0005-0000-0000-0000E7960000}"/>
    <cellStyle name="Normal 53 3 3 3" xfId="27457" xr:uid="{00000000-0005-0000-0000-0000E8960000}"/>
    <cellStyle name="Normal 53 3 3 3 2" xfId="27458" xr:uid="{00000000-0005-0000-0000-0000E9960000}"/>
    <cellStyle name="Normal 53 3 3 4" xfId="27459" xr:uid="{00000000-0005-0000-0000-0000EA960000}"/>
    <cellStyle name="Normal 53 3 4" xfId="27460" xr:uid="{00000000-0005-0000-0000-0000EB960000}"/>
    <cellStyle name="Normal 53 3 4 2" xfId="27461" xr:uid="{00000000-0005-0000-0000-0000EC960000}"/>
    <cellStyle name="Normal 53 3 5" xfId="27462" xr:uid="{00000000-0005-0000-0000-0000ED960000}"/>
    <cellStyle name="Normal 53 3 5 2" xfId="27463" xr:uid="{00000000-0005-0000-0000-0000EE960000}"/>
    <cellStyle name="Normal 53 3 6" xfId="27464" xr:uid="{00000000-0005-0000-0000-0000EF960000}"/>
    <cellStyle name="Normal 53 4" xfId="27465" xr:uid="{00000000-0005-0000-0000-0000F0960000}"/>
    <cellStyle name="Normal 53 4 2" xfId="27466" xr:uid="{00000000-0005-0000-0000-0000F1960000}"/>
    <cellStyle name="Normal 53 4 2 2" xfId="27467" xr:uid="{00000000-0005-0000-0000-0000F2960000}"/>
    <cellStyle name="Normal 53 4 3" xfId="27468" xr:uid="{00000000-0005-0000-0000-0000F3960000}"/>
    <cellStyle name="Normal 53 4 3 2" xfId="27469" xr:uid="{00000000-0005-0000-0000-0000F4960000}"/>
    <cellStyle name="Normal 53 4 4" xfId="27470" xr:uid="{00000000-0005-0000-0000-0000F5960000}"/>
    <cellStyle name="Normal 53 5" xfId="27471" xr:uid="{00000000-0005-0000-0000-0000F6960000}"/>
    <cellStyle name="Normal 53 5 2" xfId="27472" xr:uid="{00000000-0005-0000-0000-0000F7960000}"/>
    <cellStyle name="Normal 53 5 2 2" xfId="27473" xr:uid="{00000000-0005-0000-0000-0000F8960000}"/>
    <cellStyle name="Normal 53 5 3" xfId="27474" xr:uid="{00000000-0005-0000-0000-0000F9960000}"/>
    <cellStyle name="Normal 53 5 3 2" xfId="27475" xr:uid="{00000000-0005-0000-0000-0000FA960000}"/>
    <cellStyle name="Normal 53 5 4" xfId="27476" xr:uid="{00000000-0005-0000-0000-0000FB960000}"/>
    <cellStyle name="Normal 53 6" xfId="27477" xr:uid="{00000000-0005-0000-0000-0000FC960000}"/>
    <cellStyle name="Normal 53 6 2" xfId="27478" xr:uid="{00000000-0005-0000-0000-0000FD960000}"/>
    <cellStyle name="Normal 53 6 2 2" xfId="27479" xr:uid="{00000000-0005-0000-0000-0000FE960000}"/>
    <cellStyle name="Normal 53 6 3" xfId="27480" xr:uid="{00000000-0005-0000-0000-0000FF960000}"/>
    <cellStyle name="Normal 53 6 3 2" xfId="27481" xr:uid="{00000000-0005-0000-0000-000000970000}"/>
    <cellStyle name="Normal 53 6 4" xfId="27482" xr:uid="{00000000-0005-0000-0000-000001970000}"/>
    <cellStyle name="Normal 53 7" xfId="27483" xr:uid="{00000000-0005-0000-0000-000002970000}"/>
    <cellStyle name="Normal 53 7 2" xfId="27484" xr:uid="{00000000-0005-0000-0000-000003970000}"/>
    <cellStyle name="Normal 53 7 2 2" xfId="27485" xr:uid="{00000000-0005-0000-0000-000004970000}"/>
    <cellStyle name="Normal 53 7 3" xfId="27486" xr:uid="{00000000-0005-0000-0000-000005970000}"/>
    <cellStyle name="Normal 53 7 3 2" xfId="27487" xr:uid="{00000000-0005-0000-0000-000006970000}"/>
    <cellStyle name="Normal 53 7 4" xfId="27488" xr:uid="{00000000-0005-0000-0000-000007970000}"/>
    <cellStyle name="Normal 53 8" xfId="27489" xr:uid="{00000000-0005-0000-0000-000008970000}"/>
    <cellStyle name="Normal 53 8 2" xfId="27490" xr:uid="{00000000-0005-0000-0000-000009970000}"/>
    <cellStyle name="Normal 53 8 2 2" xfId="27491" xr:uid="{00000000-0005-0000-0000-00000A970000}"/>
    <cellStyle name="Normal 53 8 3" xfId="27492" xr:uid="{00000000-0005-0000-0000-00000B970000}"/>
    <cellStyle name="Normal 53 8 3 2" xfId="27493" xr:uid="{00000000-0005-0000-0000-00000C970000}"/>
    <cellStyle name="Normal 53 8 4" xfId="27494" xr:uid="{00000000-0005-0000-0000-00000D970000}"/>
    <cellStyle name="Normal 53 9" xfId="27495" xr:uid="{00000000-0005-0000-0000-00000E970000}"/>
    <cellStyle name="Normal 53 9 2" xfId="27496" xr:uid="{00000000-0005-0000-0000-00000F970000}"/>
    <cellStyle name="Normal 53 9 2 2" xfId="27497" xr:uid="{00000000-0005-0000-0000-000010970000}"/>
    <cellStyle name="Normal 53 9 3" xfId="27498" xr:uid="{00000000-0005-0000-0000-000011970000}"/>
    <cellStyle name="Normal 54" xfId="27499" xr:uid="{00000000-0005-0000-0000-000012970000}"/>
    <cellStyle name="Normal 54 10" xfId="27500" xr:uid="{00000000-0005-0000-0000-000013970000}"/>
    <cellStyle name="Normal 54 10 2" xfId="27501" xr:uid="{00000000-0005-0000-0000-000014970000}"/>
    <cellStyle name="Normal 54 11" xfId="27502" xr:uid="{00000000-0005-0000-0000-000015970000}"/>
    <cellStyle name="Normal 54 11 2" xfId="27503" xr:uid="{00000000-0005-0000-0000-000016970000}"/>
    <cellStyle name="Normal 54 12" xfId="27504" xr:uid="{00000000-0005-0000-0000-000017970000}"/>
    <cellStyle name="Normal 54 13" xfId="27505" xr:uid="{00000000-0005-0000-0000-000018970000}"/>
    <cellStyle name="Normal 54 14" xfId="27506" xr:uid="{00000000-0005-0000-0000-000019970000}"/>
    <cellStyle name="Normal 54 2" xfId="27507" xr:uid="{00000000-0005-0000-0000-00001A970000}"/>
    <cellStyle name="Normal 54 2 10" xfId="27508" xr:uid="{00000000-0005-0000-0000-00001B970000}"/>
    <cellStyle name="Normal 54 2 10 2" xfId="27509" xr:uid="{00000000-0005-0000-0000-00001C970000}"/>
    <cellStyle name="Normal 54 2 11" xfId="27510" xr:uid="{00000000-0005-0000-0000-00001D970000}"/>
    <cellStyle name="Normal 54 2 12" xfId="27511" xr:uid="{00000000-0005-0000-0000-00001E970000}"/>
    <cellStyle name="Normal 54 2 2" xfId="27512" xr:uid="{00000000-0005-0000-0000-00001F970000}"/>
    <cellStyle name="Normal 54 2 2 2" xfId="27513" xr:uid="{00000000-0005-0000-0000-000020970000}"/>
    <cellStyle name="Normal 54 2 2 2 2" xfId="27514" xr:uid="{00000000-0005-0000-0000-000021970000}"/>
    <cellStyle name="Normal 54 2 2 2 2 2" xfId="27515" xr:uid="{00000000-0005-0000-0000-000022970000}"/>
    <cellStyle name="Normal 54 2 2 2 3" xfId="27516" xr:uid="{00000000-0005-0000-0000-000023970000}"/>
    <cellStyle name="Normal 54 2 2 2 3 2" xfId="27517" xr:uid="{00000000-0005-0000-0000-000024970000}"/>
    <cellStyle name="Normal 54 2 2 2 4" xfId="27518" xr:uid="{00000000-0005-0000-0000-000025970000}"/>
    <cellStyle name="Normal 54 2 2 3" xfId="27519" xr:uid="{00000000-0005-0000-0000-000026970000}"/>
    <cellStyle name="Normal 54 2 2 3 2" xfId="27520" xr:uid="{00000000-0005-0000-0000-000027970000}"/>
    <cellStyle name="Normal 54 2 2 3 2 2" xfId="27521" xr:uid="{00000000-0005-0000-0000-000028970000}"/>
    <cellStyle name="Normal 54 2 2 3 3" xfId="27522" xr:uid="{00000000-0005-0000-0000-000029970000}"/>
    <cellStyle name="Normal 54 2 2 3 3 2" xfId="27523" xr:uid="{00000000-0005-0000-0000-00002A970000}"/>
    <cellStyle name="Normal 54 2 2 3 4" xfId="27524" xr:uid="{00000000-0005-0000-0000-00002B970000}"/>
    <cellStyle name="Normal 54 2 2 4" xfId="27525" xr:uid="{00000000-0005-0000-0000-00002C970000}"/>
    <cellStyle name="Normal 54 2 2 4 2" xfId="27526" xr:uid="{00000000-0005-0000-0000-00002D970000}"/>
    <cellStyle name="Normal 54 2 2 5" xfId="27527" xr:uid="{00000000-0005-0000-0000-00002E970000}"/>
    <cellStyle name="Normal 54 2 2 5 2" xfId="27528" xr:uid="{00000000-0005-0000-0000-00002F970000}"/>
    <cellStyle name="Normal 54 2 2 6" xfId="27529" xr:uid="{00000000-0005-0000-0000-000030970000}"/>
    <cellStyle name="Normal 54 2 3" xfId="27530" xr:uid="{00000000-0005-0000-0000-000031970000}"/>
    <cellStyle name="Normal 54 2 3 2" xfId="27531" xr:uid="{00000000-0005-0000-0000-000032970000}"/>
    <cellStyle name="Normal 54 2 3 2 2" xfId="27532" xr:uid="{00000000-0005-0000-0000-000033970000}"/>
    <cellStyle name="Normal 54 2 3 3" xfId="27533" xr:uid="{00000000-0005-0000-0000-000034970000}"/>
    <cellStyle name="Normal 54 2 3 3 2" xfId="27534" xr:uid="{00000000-0005-0000-0000-000035970000}"/>
    <cellStyle name="Normal 54 2 3 4" xfId="27535" xr:uid="{00000000-0005-0000-0000-000036970000}"/>
    <cellStyle name="Normal 54 2 4" xfId="27536" xr:uid="{00000000-0005-0000-0000-000037970000}"/>
    <cellStyle name="Normal 54 2 4 2" xfId="27537" xr:uid="{00000000-0005-0000-0000-000038970000}"/>
    <cellStyle name="Normal 54 2 4 2 2" xfId="27538" xr:uid="{00000000-0005-0000-0000-000039970000}"/>
    <cellStyle name="Normal 54 2 4 3" xfId="27539" xr:uid="{00000000-0005-0000-0000-00003A970000}"/>
    <cellStyle name="Normal 54 2 4 3 2" xfId="27540" xr:uid="{00000000-0005-0000-0000-00003B970000}"/>
    <cellStyle name="Normal 54 2 4 4" xfId="27541" xr:uid="{00000000-0005-0000-0000-00003C970000}"/>
    <cellStyle name="Normal 54 2 5" xfId="27542" xr:uid="{00000000-0005-0000-0000-00003D970000}"/>
    <cellStyle name="Normal 54 2 5 2" xfId="27543" xr:uid="{00000000-0005-0000-0000-00003E970000}"/>
    <cellStyle name="Normal 54 2 5 2 2" xfId="27544" xr:uid="{00000000-0005-0000-0000-00003F970000}"/>
    <cellStyle name="Normal 54 2 5 3" xfId="27545" xr:uid="{00000000-0005-0000-0000-000040970000}"/>
    <cellStyle name="Normal 54 2 5 3 2" xfId="27546" xr:uid="{00000000-0005-0000-0000-000041970000}"/>
    <cellStyle name="Normal 54 2 5 4" xfId="27547" xr:uid="{00000000-0005-0000-0000-000042970000}"/>
    <cellStyle name="Normal 54 2 6" xfId="27548" xr:uid="{00000000-0005-0000-0000-000043970000}"/>
    <cellStyle name="Normal 54 2 6 2" xfId="27549" xr:uid="{00000000-0005-0000-0000-000044970000}"/>
    <cellStyle name="Normal 54 2 6 2 2" xfId="27550" xr:uid="{00000000-0005-0000-0000-000045970000}"/>
    <cellStyle name="Normal 54 2 6 3" xfId="27551" xr:uid="{00000000-0005-0000-0000-000046970000}"/>
    <cellStyle name="Normal 54 2 6 3 2" xfId="27552" xr:uid="{00000000-0005-0000-0000-000047970000}"/>
    <cellStyle name="Normal 54 2 6 4" xfId="27553" xr:uid="{00000000-0005-0000-0000-000048970000}"/>
    <cellStyle name="Normal 54 2 7" xfId="27554" xr:uid="{00000000-0005-0000-0000-000049970000}"/>
    <cellStyle name="Normal 54 2 7 2" xfId="27555" xr:uid="{00000000-0005-0000-0000-00004A970000}"/>
    <cellStyle name="Normal 54 2 7 2 2" xfId="27556" xr:uid="{00000000-0005-0000-0000-00004B970000}"/>
    <cellStyle name="Normal 54 2 7 3" xfId="27557" xr:uid="{00000000-0005-0000-0000-00004C970000}"/>
    <cellStyle name="Normal 54 2 7 3 2" xfId="27558" xr:uid="{00000000-0005-0000-0000-00004D970000}"/>
    <cellStyle name="Normal 54 2 7 4" xfId="27559" xr:uid="{00000000-0005-0000-0000-00004E970000}"/>
    <cellStyle name="Normal 54 2 8" xfId="27560" xr:uid="{00000000-0005-0000-0000-00004F970000}"/>
    <cellStyle name="Normal 54 2 8 2" xfId="27561" xr:uid="{00000000-0005-0000-0000-000050970000}"/>
    <cellStyle name="Normal 54 2 8 2 2" xfId="27562" xr:uid="{00000000-0005-0000-0000-000051970000}"/>
    <cellStyle name="Normal 54 2 8 3" xfId="27563" xr:uid="{00000000-0005-0000-0000-000052970000}"/>
    <cellStyle name="Normal 54 2 9" xfId="27564" xr:uid="{00000000-0005-0000-0000-000053970000}"/>
    <cellStyle name="Normal 54 2 9 2" xfId="27565" xr:uid="{00000000-0005-0000-0000-000054970000}"/>
    <cellStyle name="Normal 54 3" xfId="27566" xr:uid="{00000000-0005-0000-0000-000055970000}"/>
    <cellStyle name="Normal 54 3 2" xfId="27567" xr:uid="{00000000-0005-0000-0000-000056970000}"/>
    <cellStyle name="Normal 54 3 2 2" xfId="27568" xr:uid="{00000000-0005-0000-0000-000057970000}"/>
    <cellStyle name="Normal 54 3 2 2 2" xfId="27569" xr:uid="{00000000-0005-0000-0000-000058970000}"/>
    <cellStyle name="Normal 54 3 2 3" xfId="27570" xr:uid="{00000000-0005-0000-0000-000059970000}"/>
    <cellStyle name="Normal 54 3 2 3 2" xfId="27571" xr:uid="{00000000-0005-0000-0000-00005A970000}"/>
    <cellStyle name="Normal 54 3 2 4" xfId="27572" xr:uid="{00000000-0005-0000-0000-00005B970000}"/>
    <cellStyle name="Normal 54 3 3" xfId="27573" xr:uid="{00000000-0005-0000-0000-00005C970000}"/>
    <cellStyle name="Normal 54 3 3 2" xfId="27574" xr:uid="{00000000-0005-0000-0000-00005D970000}"/>
    <cellStyle name="Normal 54 3 3 2 2" xfId="27575" xr:uid="{00000000-0005-0000-0000-00005E970000}"/>
    <cellStyle name="Normal 54 3 3 3" xfId="27576" xr:uid="{00000000-0005-0000-0000-00005F970000}"/>
    <cellStyle name="Normal 54 3 3 3 2" xfId="27577" xr:uid="{00000000-0005-0000-0000-000060970000}"/>
    <cellStyle name="Normal 54 3 3 4" xfId="27578" xr:uid="{00000000-0005-0000-0000-000061970000}"/>
    <cellStyle name="Normal 54 3 4" xfId="27579" xr:uid="{00000000-0005-0000-0000-000062970000}"/>
    <cellStyle name="Normal 54 3 4 2" xfId="27580" xr:uid="{00000000-0005-0000-0000-000063970000}"/>
    <cellStyle name="Normal 54 3 5" xfId="27581" xr:uid="{00000000-0005-0000-0000-000064970000}"/>
    <cellStyle name="Normal 54 3 5 2" xfId="27582" xr:uid="{00000000-0005-0000-0000-000065970000}"/>
    <cellStyle name="Normal 54 3 6" xfId="27583" xr:uid="{00000000-0005-0000-0000-000066970000}"/>
    <cellStyle name="Normal 54 4" xfId="27584" xr:uid="{00000000-0005-0000-0000-000067970000}"/>
    <cellStyle name="Normal 54 4 2" xfId="27585" xr:uid="{00000000-0005-0000-0000-000068970000}"/>
    <cellStyle name="Normal 54 4 2 2" xfId="27586" xr:uid="{00000000-0005-0000-0000-000069970000}"/>
    <cellStyle name="Normal 54 4 3" xfId="27587" xr:uid="{00000000-0005-0000-0000-00006A970000}"/>
    <cellStyle name="Normal 54 4 3 2" xfId="27588" xr:uid="{00000000-0005-0000-0000-00006B970000}"/>
    <cellStyle name="Normal 54 4 4" xfId="27589" xr:uid="{00000000-0005-0000-0000-00006C970000}"/>
    <cellStyle name="Normal 54 5" xfId="27590" xr:uid="{00000000-0005-0000-0000-00006D970000}"/>
    <cellStyle name="Normal 54 5 2" xfId="27591" xr:uid="{00000000-0005-0000-0000-00006E970000}"/>
    <cellStyle name="Normal 54 5 2 2" xfId="27592" xr:uid="{00000000-0005-0000-0000-00006F970000}"/>
    <cellStyle name="Normal 54 5 3" xfId="27593" xr:uid="{00000000-0005-0000-0000-000070970000}"/>
    <cellStyle name="Normal 54 5 3 2" xfId="27594" xr:uid="{00000000-0005-0000-0000-000071970000}"/>
    <cellStyle name="Normal 54 5 4" xfId="27595" xr:uid="{00000000-0005-0000-0000-000072970000}"/>
    <cellStyle name="Normal 54 6" xfId="27596" xr:uid="{00000000-0005-0000-0000-000073970000}"/>
    <cellStyle name="Normal 54 6 2" xfId="27597" xr:uid="{00000000-0005-0000-0000-000074970000}"/>
    <cellStyle name="Normal 54 6 2 2" xfId="27598" xr:uid="{00000000-0005-0000-0000-000075970000}"/>
    <cellStyle name="Normal 54 6 3" xfId="27599" xr:uid="{00000000-0005-0000-0000-000076970000}"/>
    <cellStyle name="Normal 54 6 3 2" xfId="27600" xr:uid="{00000000-0005-0000-0000-000077970000}"/>
    <cellStyle name="Normal 54 6 4" xfId="27601" xr:uid="{00000000-0005-0000-0000-000078970000}"/>
    <cellStyle name="Normal 54 7" xfId="27602" xr:uid="{00000000-0005-0000-0000-000079970000}"/>
    <cellStyle name="Normal 54 7 2" xfId="27603" xr:uid="{00000000-0005-0000-0000-00007A970000}"/>
    <cellStyle name="Normal 54 7 2 2" xfId="27604" xr:uid="{00000000-0005-0000-0000-00007B970000}"/>
    <cellStyle name="Normal 54 7 3" xfId="27605" xr:uid="{00000000-0005-0000-0000-00007C970000}"/>
    <cellStyle name="Normal 54 7 3 2" xfId="27606" xr:uid="{00000000-0005-0000-0000-00007D970000}"/>
    <cellStyle name="Normal 54 7 4" xfId="27607" xr:uid="{00000000-0005-0000-0000-00007E970000}"/>
    <cellStyle name="Normal 54 8" xfId="27608" xr:uid="{00000000-0005-0000-0000-00007F970000}"/>
    <cellStyle name="Normal 54 8 2" xfId="27609" xr:uid="{00000000-0005-0000-0000-000080970000}"/>
    <cellStyle name="Normal 54 8 2 2" xfId="27610" xr:uid="{00000000-0005-0000-0000-000081970000}"/>
    <cellStyle name="Normal 54 8 3" xfId="27611" xr:uid="{00000000-0005-0000-0000-000082970000}"/>
    <cellStyle name="Normal 54 8 3 2" xfId="27612" xr:uid="{00000000-0005-0000-0000-000083970000}"/>
    <cellStyle name="Normal 54 8 4" xfId="27613" xr:uid="{00000000-0005-0000-0000-000084970000}"/>
    <cellStyle name="Normal 54 9" xfId="27614" xr:uid="{00000000-0005-0000-0000-000085970000}"/>
    <cellStyle name="Normal 54 9 2" xfId="27615" xr:uid="{00000000-0005-0000-0000-000086970000}"/>
    <cellStyle name="Normal 54 9 2 2" xfId="27616" xr:uid="{00000000-0005-0000-0000-000087970000}"/>
    <cellStyle name="Normal 54 9 3" xfId="27617" xr:uid="{00000000-0005-0000-0000-000088970000}"/>
    <cellStyle name="Normal 55" xfId="27618" xr:uid="{00000000-0005-0000-0000-000089970000}"/>
    <cellStyle name="Normal 55 10" xfId="27619" xr:uid="{00000000-0005-0000-0000-00008A970000}"/>
    <cellStyle name="Normal 55 10 2" xfId="27620" xr:uid="{00000000-0005-0000-0000-00008B970000}"/>
    <cellStyle name="Normal 55 11" xfId="27621" xr:uid="{00000000-0005-0000-0000-00008C970000}"/>
    <cellStyle name="Normal 55 11 2" xfId="27622" xr:uid="{00000000-0005-0000-0000-00008D970000}"/>
    <cellStyle name="Normal 55 12" xfId="27623" xr:uid="{00000000-0005-0000-0000-00008E970000}"/>
    <cellStyle name="Normal 55 13" xfId="27624" xr:uid="{00000000-0005-0000-0000-00008F970000}"/>
    <cellStyle name="Normal 55 14" xfId="27625" xr:uid="{00000000-0005-0000-0000-000090970000}"/>
    <cellStyle name="Normal 55 2" xfId="27626" xr:uid="{00000000-0005-0000-0000-000091970000}"/>
    <cellStyle name="Normal 55 2 10" xfId="27627" xr:uid="{00000000-0005-0000-0000-000092970000}"/>
    <cellStyle name="Normal 55 2 10 2" xfId="27628" xr:uid="{00000000-0005-0000-0000-000093970000}"/>
    <cellStyle name="Normal 55 2 11" xfId="27629" xr:uid="{00000000-0005-0000-0000-000094970000}"/>
    <cellStyle name="Normal 55 2 2" xfId="27630" xr:uid="{00000000-0005-0000-0000-000095970000}"/>
    <cellStyle name="Normal 55 2 2 2" xfId="27631" xr:uid="{00000000-0005-0000-0000-000096970000}"/>
    <cellStyle name="Normal 55 2 2 2 2" xfId="27632" xr:uid="{00000000-0005-0000-0000-000097970000}"/>
    <cellStyle name="Normal 55 2 2 2 2 2" xfId="27633" xr:uid="{00000000-0005-0000-0000-000098970000}"/>
    <cellStyle name="Normal 55 2 2 2 3" xfId="27634" xr:uid="{00000000-0005-0000-0000-000099970000}"/>
    <cellStyle name="Normal 55 2 2 2 3 2" xfId="27635" xr:uid="{00000000-0005-0000-0000-00009A970000}"/>
    <cellStyle name="Normal 55 2 2 2 4" xfId="27636" xr:uid="{00000000-0005-0000-0000-00009B970000}"/>
    <cellStyle name="Normal 55 2 2 3" xfId="27637" xr:uid="{00000000-0005-0000-0000-00009C970000}"/>
    <cellStyle name="Normal 55 2 2 3 2" xfId="27638" xr:uid="{00000000-0005-0000-0000-00009D970000}"/>
    <cellStyle name="Normal 55 2 2 3 2 2" xfId="27639" xr:uid="{00000000-0005-0000-0000-00009E970000}"/>
    <cellStyle name="Normal 55 2 2 3 3" xfId="27640" xr:uid="{00000000-0005-0000-0000-00009F970000}"/>
    <cellStyle name="Normal 55 2 2 3 3 2" xfId="27641" xr:uid="{00000000-0005-0000-0000-0000A0970000}"/>
    <cellStyle name="Normal 55 2 2 3 4" xfId="27642" xr:uid="{00000000-0005-0000-0000-0000A1970000}"/>
    <cellStyle name="Normal 55 2 2 4" xfId="27643" xr:uid="{00000000-0005-0000-0000-0000A2970000}"/>
    <cellStyle name="Normal 55 2 2 4 2" xfId="27644" xr:uid="{00000000-0005-0000-0000-0000A3970000}"/>
    <cellStyle name="Normal 55 2 2 5" xfId="27645" xr:uid="{00000000-0005-0000-0000-0000A4970000}"/>
    <cellStyle name="Normal 55 2 2 5 2" xfId="27646" xr:uid="{00000000-0005-0000-0000-0000A5970000}"/>
    <cellStyle name="Normal 55 2 2 6" xfId="27647" xr:uid="{00000000-0005-0000-0000-0000A6970000}"/>
    <cellStyle name="Normal 55 2 3" xfId="27648" xr:uid="{00000000-0005-0000-0000-0000A7970000}"/>
    <cellStyle name="Normal 55 2 3 2" xfId="27649" xr:uid="{00000000-0005-0000-0000-0000A8970000}"/>
    <cellStyle name="Normal 55 2 3 2 2" xfId="27650" xr:uid="{00000000-0005-0000-0000-0000A9970000}"/>
    <cellStyle name="Normal 55 2 3 3" xfId="27651" xr:uid="{00000000-0005-0000-0000-0000AA970000}"/>
    <cellStyle name="Normal 55 2 3 3 2" xfId="27652" xr:uid="{00000000-0005-0000-0000-0000AB970000}"/>
    <cellStyle name="Normal 55 2 3 4" xfId="27653" xr:uid="{00000000-0005-0000-0000-0000AC970000}"/>
    <cellStyle name="Normal 55 2 4" xfId="27654" xr:uid="{00000000-0005-0000-0000-0000AD970000}"/>
    <cellStyle name="Normal 55 2 4 2" xfId="27655" xr:uid="{00000000-0005-0000-0000-0000AE970000}"/>
    <cellStyle name="Normal 55 2 4 2 2" xfId="27656" xr:uid="{00000000-0005-0000-0000-0000AF970000}"/>
    <cellStyle name="Normal 55 2 4 3" xfId="27657" xr:uid="{00000000-0005-0000-0000-0000B0970000}"/>
    <cellStyle name="Normal 55 2 4 3 2" xfId="27658" xr:uid="{00000000-0005-0000-0000-0000B1970000}"/>
    <cellStyle name="Normal 55 2 4 4" xfId="27659" xr:uid="{00000000-0005-0000-0000-0000B2970000}"/>
    <cellStyle name="Normal 55 2 5" xfId="27660" xr:uid="{00000000-0005-0000-0000-0000B3970000}"/>
    <cellStyle name="Normal 55 2 5 2" xfId="27661" xr:uid="{00000000-0005-0000-0000-0000B4970000}"/>
    <cellStyle name="Normal 55 2 5 2 2" xfId="27662" xr:uid="{00000000-0005-0000-0000-0000B5970000}"/>
    <cellStyle name="Normal 55 2 5 3" xfId="27663" xr:uid="{00000000-0005-0000-0000-0000B6970000}"/>
    <cellStyle name="Normal 55 2 5 3 2" xfId="27664" xr:uid="{00000000-0005-0000-0000-0000B7970000}"/>
    <cellStyle name="Normal 55 2 5 4" xfId="27665" xr:uid="{00000000-0005-0000-0000-0000B8970000}"/>
    <cellStyle name="Normal 55 2 6" xfId="27666" xr:uid="{00000000-0005-0000-0000-0000B9970000}"/>
    <cellStyle name="Normal 55 2 6 2" xfId="27667" xr:uid="{00000000-0005-0000-0000-0000BA970000}"/>
    <cellStyle name="Normal 55 2 6 2 2" xfId="27668" xr:uid="{00000000-0005-0000-0000-0000BB970000}"/>
    <cellStyle name="Normal 55 2 6 3" xfId="27669" xr:uid="{00000000-0005-0000-0000-0000BC970000}"/>
    <cellStyle name="Normal 55 2 6 3 2" xfId="27670" xr:uid="{00000000-0005-0000-0000-0000BD970000}"/>
    <cellStyle name="Normal 55 2 6 4" xfId="27671" xr:uid="{00000000-0005-0000-0000-0000BE970000}"/>
    <cellStyle name="Normal 55 2 7" xfId="27672" xr:uid="{00000000-0005-0000-0000-0000BF970000}"/>
    <cellStyle name="Normal 55 2 7 2" xfId="27673" xr:uid="{00000000-0005-0000-0000-0000C0970000}"/>
    <cellStyle name="Normal 55 2 7 2 2" xfId="27674" xr:uid="{00000000-0005-0000-0000-0000C1970000}"/>
    <cellStyle name="Normal 55 2 7 3" xfId="27675" xr:uid="{00000000-0005-0000-0000-0000C2970000}"/>
    <cellStyle name="Normal 55 2 7 3 2" xfId="27676" xr:uid="{00000000-0005-0000-0000-0000C3970000}"/>
    <cellStyle name="Normal 55 2 7 4" xfId="27677" xr:uid="{00000000-0005-0000-0000-0000C4970000}"/>
    <cellStyle name="Normal 55 2 8" xfId="27678" xr:uid="{00000000-0005-0000-0000-0000C5970000}"/>
    <cellStyle name="Normal 55 2 8 2" xfId="27679" xr:uid="{00000000-0005-0000-0000-0000C6970000}"/>
    <cellStyle name="Normal 55 2 8 2 2" xfId="27680" xr:uid="{00000000-0005-0000-0000-0000C7970000}"/>
    <cellStyle name="Normal 55 2 8 3" xfId="27681" xr:uid="{00000000-0005-0000-0000-0000C8970000}"/>
    <cellStyle name="Normal 55 2 9" xfId="27682" xr:uid="{00000000-0005-0000-0000-0000C9970000}"/>
    <cellStyle name="Normal 55 2 9 2" xfId="27683" xr:uid="{00000000-0005-0000-0000-0000CA970000}"/>
    <cellStyle name="Normal 55 3" xfId="27684" xr:uid="{00000000-0005-0000-0000-0000CB970000}"/>
    <cellStyle name="Normal 55 3 2" xfId="27685" xr:uid="{00000000-0005-0000-0000-0000CC970000}"/>
    <cellStyle name="Normal 55 3 2 2" xfId="27686" xr:uid="{00000000-0005-0000-0000-0000CD970000}"/>
    <cellStyle name="Normal 55 3 2 2 2" xfId="27687" xr:uid="{00000000-0005-0000-0000-0000CE970000}"/>
    <cellStyle name="Normal 55 3 2 3" xfId="27688" xr:uid="{00000000-0005-0000-0000-0000CF970000}"/>
    <cellStyle name="Normal 55 3 2 3 2" xfId="27689" xr:uid="{00000000-0005-0000-0000-0000D0970000}"/>
    <cellStyle name="Normal 55 3 2 4" xfId="27690" xr:uid="{00000000-0005-0000-0000-0000D1970000}"/>
    <cellStyle name="Normal 55 3 3" xfId="27691" xr:uid="{00000000-0005-0000-0000-0000D2970000}"/>
    <cellStyle name="Normal 55 3 3 2" xfId="27692" xr:uid="{00000000-0005-0000-0000-0000D3970000}"/>
    <cellStyle name="Normal 55 3 3 2 2" xfId="27693" xr:uid="{00000000-0005-0000-0000-0000D4970000}"/>
    <cellStyle name="Normal 55 3 3 3" xfId="27694" xr:uid="{00000000-0005-0000-0000-0000D5970000}"/>
    <cellStyle name="Normal 55 3 3 3 2" xfId="27695" xr:uid="{00000000-0005-0000-0000-0000D6970000}"/>
    <cellStyle name="Normal 55 3 3 4" xfId="27696" xr:uid="{00000000-0005-0000-0000-0000D7970000}"/>
    <cellStyle name="Normal 55 3 4" xfId="27697" xr:uid="{00000000-0005-0000-0000-0000D8970000}"/>
    <cellStyle name="Normal 55 3 4 2" xfId="27698" xr:uid="{00000000-0005-0000-0000-0000D9970000}"/>
    <cellStyle name="Normal 55 3 5" xfId="27699" xr:uid="{00000000-0005-0000-0000-0000DA970000}"/>
    <cellStyle name="Normal 55 3 5 2" xfId="27700" xr:uid="{00000000-0005-0000-0000-0000DB970000}"/>
    <cellStyle name="Normal 55 3 6" xfId="27701" xr:uid="{00000000-0005-0000-0000-0000DC970000}"/>
    <cellStyle name="Normal 55 4" xfId="27702" xr:uid="{00000000-0005-0000-0000-0000DD970000}"/>
    <cellStyle name="Normal 55 4 2" xfId="27703" xr:uid="{00000000-0005-0000-0000-0000DE970000}"/>
    <cellStyle name="Normal 55 4 2 2" xfId="27704" xr:uid="{00000000-0005-0000-0000-0000DF970000}"/>
    <cellStyle name="Normal 55 4 3" xfId="27705" xr:uid="{00000000-0005-0000-0000-0000E0970000}"/>
    <cellStyle name="Normal 55 4 3 2" xfId="27706" xr:uid="{00000000-0005-0000-0000-0000E1970000}"/>
    <cellStyle name="Normal 55 4 4" xfId="27707" xr:uid="{00000000-0005-0000-0000-0000E2970000}"/>
    <cellStyle name="Normal 55 5" xfId="27708" xr:uid="{00000000-0005-0000-0000-0000E3970000}"/>
    <cellStyle name="Normal 55 5 2" xfId="27709" xr:uid="{00000000-0005-0000-0000-0000E4970000}"/>
    <cellStyle name="Normal 55 5 2 2" xfId="27710" xr:uid="{00000000-0005-0000-0000-0000E5970000}"/>
    <cellStyle name="Normal 55 5 3" xfId="27711" xr:uid="{00000000-0005-0000-0000-0000E6970000}"/>
    <cellStyle name="Normal 55 5 3 2" xfId="27712" xr:uid="{00000000-0005-0000-0000-0000E7970000}"/>
    <cellStyle name="Normal 55 5 4" xfId="27713" xr:uid="{00000000-0005-0000-0000-0000E8970000}"/>
    <cellStyle name="Normal 55 6" xfId="27714" xr:uid="{00000000-0005-0000-0000-0000E9970000}"/>
    <cellStyle name="Normal 55 6 2" xfId="27715" xr:uid="{00000000-0005-0000-0000-0000EA970000}"/>
    <cellStyle name="Normal 55 6 2 2" xfId="27716" xr:uid="{00000000-0005-0000-0000-0000EB970000}"/>
    <cellStyle name="Normal 55 6 3" xfId="27717" xr:uid="{00000000-0005-0000-0000-0000EC970000}"/>
    <cellStyle name="Normal 55 6 3 2" xfId="27718" xr:uid="{00000000-0005-0000-0000-0000ED970000}"/>
    <cellStyle name="Normal 55 6 4" xfId="27719" xr:uid="{00000000-0005-0000-0000-0000EE970000}"/>
    <cellStyle name="Normal 55 7" xfId="27720" xr:uid="{00000000-0005-0000-0000-0000EF970000}"/>
    <cellStyle name="Normal 55 7 2" xfId="27721" xr:uid="{00000000-0005-0000-0000-0000F0970000}"/>
    <cellStyle name="Normal 55 7 2 2" xfId="27722" xr:uid="{00000000-0005-0000-0000-0000F1970000}"/>
    <cellStyle name="Normal 55 7 3" xfId="27723" xr:uid="{00000000-0005-0000-0000-0000F2970000}"/>
    <cellStyle name="Normal 55 7 3 2" xfId="27724" xr:uid="{00000000-0005-0000-0000-0000F3970000}"/>
    <cellStyle name="Normal 55 7 4" xfId="27725" xr:uid="{00000000-0005-0000-0000-0000F4970000}"/>
    <cellStyle name="Normal 55 8" xfId="27726" xr:uid="{00000000-0005-0000-0000-0000F5970000}"/>
    <cellStyle name="Normal 55 8 2" xfId="27727" xr:uid="{00000000-0005-0000-0000-0000F6970000}"/>
    <cellStyle name="Normal 55 8 2 2" xfId="27728" xr:uid="{00000000-0005-0000-0000-0000F7970000}"/>
    <cellStyle name="Normal 55 8 3" xfId="27729" xr:uid="{00000000-0005-0000-0000-0000F8970000}"/>
    <cellStyle name="Normal 55 8 3 2" xfId="27730" xr:uid="{00000000-0005-0000-0000-0000F9970000}"/>
    <cellStyle name="Normal 55 8 4" xfId="27731" xr:uid="{00000000-0005-0000-0000-0000FA970000}"/>
    <cellStyle name="Normal 55 9" xfId="27732" xr:uid="{00000000-0005-0000-0000-0000FB970000}"/>
    <cellStyle name="Normal 55 9 2" xfId="27733" xr:uid="{00000000-0005-0000-0000-0000FC970000}"/>
    <cellStyle name="Normal 55 9 2 2" xfId="27734" xr:uid="{00000000-0005-0000-0000-0000FD970000}"/>
    <cellStyle name="Normal 55 9 3" xfId="27735" xr:uid="{00000000-0005-0000-0000-0000FE970000}"/>
    <cellStyle name="Normal 56" xfId="27736" xr:uid="{00000000-0005-0000-0000-0000FF970000}"/>
    <cellStyle name="Normal 56 10" xfId="27737" xr:uid="{00000000-0005-0000-0000-000000980000}"/>
    <cellStyle name="Normal 56 10 2" xfId="27738" xr:uid="{00000000-0005-0000-0000-000001980000}"/>
    <cellStyle name="Normal 56 11" xfId="27739" xr:uid="{00000000-0005-0000-0000-000002980000}"/>
    <cellStyle name="Normal 56 11 2" xfId="27740" xr:uid="{00000000-0005-0000-0000-000003980000}"/>
    <cellStyle name="Normal 56 12" xfId="27741" xr:uid="{00000000-0005-0000-0000-000004980000}"/>
    <cellStyle name="Normal 56 13" xfId="27742" xr:uid="{00000000-0005-0000-0000-000005980000}"/>
    <cellStyle name="Normal 56 14" xfId="27743" xr:uid="{00000000-0005-0000-0000-000006980000}"/>
    <cellStyle name="Normal 56 2" xfId="27744" xr:uid="{00000000-0005-0000-0000-000007980000}"/>
    <cellStyle name="Normal 56 2 10" xfId="27745" xr:uid="{00000000-0005-0000-0000-000008980000}"/>
    <cellStyle name="Normal 56 2 10 2" xfId="27746" xr:uid="{00000000-0005-0000-0000-000009980000}"/>
    <cellStyle name="Normal 56 2 11" xfId="27747" xr:uid="{00000000-0005-0000-0000-00000A980000}"/>
    <cellStyle name="Normal 56 2 12" xfId="27748" xr:uid="{00000000-0005-0000-0000-00000B980000}"/>
    <cellStyle name="Normal 56 2 2" xfId="27749" xr:uid="{00000000-0005-0000-0000-00000C980000}"/>
    <cellStyle name="Normal 56 2 2 2" xfId="27750" xr:uid="{00000000-0005-0000-0000-00000D980000}"/>
    <cellStyle name="Normal 56 2 2 2 2" xfId="27751" xr:uid="{00000000-0005-0000-0000-00000E980000}"/>
    <cellStyle name="Normal 56 2 2 2 2 2" xfId="27752" xr:uid="{00000000-0005-0000-0000-00000F980000}"/>
    <cellStyle name="Normal 56 2 2 2 3" xfId="27753" xr:uid="{00000000-0005-0000-0000-000010980000}"/>
    <cellStyle name="Normal 56 2 2 2 3 2" xfId="27754" xr:uid="{00000000-0005-0000-0000-000011980000}"/>
    <cellStyle name="Normal 56 2 2 2 4" xfId="27755" xr:uid="{00000000-0005-0000-0000-000012980000}"/>
    <cellStyle name="Normal 56 2 2 3" xfId="27756" xr:uid="{00000000-0005-0000-0000-000013980000}"/>
    <cellStyle name="Normal 56 2 2 3 2" xfId="27757" xr:uid="{00000000-0005-0000-0000-000014980000}"/>
    <cellStyle name="Normal 56 2 2 3 2 2" xfId="27758" xr:uid="{00000000-0005-0000-0000-000015980000}"/>
    <cellStyle name="Normal 56 2 2 3 3" xfId="27759" xr:uid="{00000000-0005-0000-0000-000016980000}"/>
    <cellStyle name="Normal 56 2 2 3 3 2" xfId="27760" xr:uid="{00000000-0005-0000-0000-000017980000}"/>
    <cellStyle name="Normal 56 2 2 3 4" xfId="27761" xr:uid="{00000000-0005-0000-0000-000018980000}"/>
    <cellStyle name="Normal 56 2 2 4" xfId="27762" xr:uid="{00000000-0005-0000-0000-000019980000}"/>
    <cellStyle name="Normal 56 2 2 4 2" xfId="27763" xr:uid="{00000000-0005-0000-0000-00001A980000}"/>
    <cellStyle name="Normal 56 2 2 5" xfId="27764" xr:uid="{00000000-0005-0000-0000-00001B980000}"/>
    <cellStyle name="Normal 56 2 2 5 2" xfId="27765" xr:uid="{00000000-0005-0000-0000-00001C980000}"/>
    <cellStyle name="Normal 56 2 2 6" xfId="27766" xr:uid="{00000000-0005-0000-0000-00001D980000}"/>
    <cellStyle name="Normal 56 2 3" xfId="27767" xr:uid="{00000000-0005-0000-0000-00001E980000}"/>
    <cellStyle name="Normal 56 2 3 2" xfId="27768" xr:uid="{00000000-0005-0000-0000-00001F980000}"/>
    <cellStyle name="Normal 56 2 3 2 2" xfId="27769" xr:uid="{00000000-0005-0000-0000-000020980000}"/>
    <cellStyle name="Normal 56 2 3 3" xfId="27770" xr:uid="{00000000-0005-0000-0000-000021980000}"/>
    <cellStyle name="Normal 56 2 3 3 2" xfId="27771" xr:uid="{00000000-0005-0000-0000-000022980000}"/>
    <cellStyle name="Normal 56 2 3 4" xfId="27772" xr:uid="{00000000-0005-0000-0000-000023980000}"/>
    <cellStyle name="Normal 56 2 4" xfId="27773" xr:uid="{00000000-0005-0000-0000-000024980000}"/>
    <cellStyle name="Normal 56 2 4 2" xfId="27774" xr:uid="{00000000-0005-0000-0000-000025980000}"/>
    <cellStyle name="Normal 56 2 4 2 2" xfId="27775" xr:uid="{00000000-0005-0000-0000-000026980000}"/>
    <cellStyle name="Normal 56 2 4 3" xfId="27776" xr:uid="{00000000-0005-0000-0000-000027980000}"/>
    <cellStyle name="Normal 56 2 4 3 2" xfId="27777" xr:uid="{00000000-0005-0000-0000-000028980000}"/>
    <cellStyle name="Normal 56 2 4 4" xfId="27778" xr:uid="{00000000-0005-0000-0000-000029980000}"/>
    <cellStyle name="Normal 56 2 5" xfId="27779" xr:uid="{00000000-0005-0000-0000-00002A980000}"/>
    <cellStyle name="Normal 56 2 5 2" xfId="27780" xr:uid="{00000000-0005-0000-0000-00002B980000}"/>
    <cellStyle name="Normal 56 2 5 2 2" xfId="27781" xr:uid="{00000000-0005-0000-0000-00002C980000}"/>
    <cellStyle name="Normal 56 2 5 3" xfId="27782" xr:uid="{00000000-0005-0000-0000-00002D980000}"/>
    <cellStyle name="Normal 56 2 5 3 2" xfId="27783" xr:uid="{00000000-0005-0000-0000-00002E980000}"/>
    <cellStyle name="Normal 56 2 5 4" xfId="27784" xr:uid="{00000000-0005-0000-0000-00002F980000}"/>
    <cellStyle name="Normal 56 2 6" xfId="27785" xr:uid="{00000000-0005-0000-0000-000030980000}"/>
    <cellStyle name="Normal 56 2 6 2" xfId="27786" xr:uid="{00000000-0005-0000-0000-000031980000}"/>
    <cellStyle name="Normal 56 2 6 2 2" xfId="27787" xr:uid="{00000000-0005-0000-0000-000032980000}"/>
    <cellStyle name="Normal 56 2 6 3" xfId="27788" xr:uid="{00000000-0005-0000-0000-000033980000}"/>
    <cellStyle name="Normal 56 2 6 3 2" xfId="27789" xr:uid="{00000000-0005-0000-0000-000034980000}"/>
    <cellStyle name="Normal 56 2 6 4" xfId="27790" xr:uid="{00000000-0005-0000-0000-000035980000}"/>
    <cellStyle name="Normal 56 2 7" xfId="27791" xr:uid="{00000000-0005-0000-0000-000036980000}"/>
    <cellStyle name="Normal 56 2 7 2" xfId="27792" xr:uid="{00000000-0005-0000-0000-000037980000}"/>
    <cellStyle name="Normal 56 2 7 2 2" xfId="27793" xr:uid="{00000000-0005-0000-0000-000038980000}"/>
    <cellStyle name="Normal 56 2 7 3" xfId="27794" xr:uid="{00000000-0005-0000-0000-000039980000}"/>
    <cellStyle name="Normal 56 2 7 3 2" xfId="27795" xr:uid="{00000000-0005-0000-0000-00003A980000}"/>
    <cellStyle name="Normal 56 2 7 4" xfId="27796" xr:uid="{00000000-0005-0000-0000-00003B980000}"/>
    <cellStyle name="Normal 56 2 8" xfId="27797" xr:uid="{00000000-0005-0000-0000-00003C980000}"/>
    <cellStyle name="Normal 56 2 8 2" xfId="27798" xr:uid="{00000000-0005-0000-0000-00003D980000}"/>
    <cellStyle name="Normal 56 2 8 2 2" xfId="27799" xr:uid="{00000000-0005-0000-0000-00003E980000}"/>
    <cellStyle name="Normal 56 2 8 3" xfId="27800" xr:uid="{00000000-0005-0000-0000-00003F980000}"/>
    <cellStyle name="Normal 56 2 9" xfId="27801" xr:uid="{00000000-0005-0000-0000-000040980000}"/>
    <cellStyle name="Normal 56 2 9 2" xfId="27802" xr:uid="{00000000-0005-0000-0000-000041980000}"/>
    <cellStyle name="Normal 56 3" xfId="27803" xr:uid="{00000000-0005-0000-0000-000042980000}"/>
    <cellStyle name="Normal 56 3 2" xfId="27804" xr:uid="{00000000-0005-0000-0000-000043980000}"/>
    <cellStyle name="Normal 56 3 2 2" xfId="27805" xr:uid="{00000000-0005-0000-0000-000044980000}"/>
    <cellStyle name="Normal 56 3 2 2 2" xfId="27806" xr:uid="{00000000-0005-0000-0000-000045980000}"/>
    <cellStyle name="Normal 56 3 2 3" xfId="27807" xr:uid="{00000000-0005-0000-0000-000046980000}"/>
    <cellStyle name="Normal 56 3 2 3 2" xfId="27808" xr:uid="{00000000-0005-0000-0000-000047980000}"/>
    <cellStyle name="Normal 56 3 2 4" xfId="27809" xr:uid="{00000000-0005-0000-0000-000048980000}"/>
    <cellStyle name="Normal 56 3 3" xfId="27810" xr:uid="{00000000-0005-0000-0000-000049980000}"/>
    <cellStyle name="Normal 56 3 3 2" xfId="27811" xr:uid="{00000000-0005-0000-0000-00004A980000}"/>
    <cellStyle name="Normal 56 3 3 2 2" xfId="27812" xr:uid="{00000000-0005-0000-0000-00004B980000}"/>
    <cellStyle name="Normal 56 3 3 3" xfId="27813" xr:uid="{00000000-0005-0000-0000-00004C980000}"/>
    <cellStyle name="Normal 56 3 3 3 2" xfId="27814" xr:uid="{00000000-0005-0000-0000-00004D980000}"/>
    <cellStyle name="Normal 56 3 3 4" xfId="27815" xr:uid="{00000000-0005-0000-0000-00004E980000}"/>
    <cellStyle name="Normal 56 3 4" xfId="27816" xr:uid="{00000000-0005-0000-0000-00004F980000}"/>
    <cellStyle name="Normal 56 3 4 2" xfId="27817" xr:uid="{00000000-0005-0000-0000-000050980000}"/>
    <cellStyle name="Normal 56 3 5" xfId="27818" xr:uid="{00000000-0005-0000-0000-000051980000}"/>
    <cellStyle name="Normal 56 3 5 2" xfId="27819" xr:uid="{00000000-0005-0000-0000-000052980000}"/>
    <cellStyle name="Normal 56 3 6" xfId="27820" xr:uid="{00000000-0005-0000-0000-000053980000}"/>
    <cellStyle name="Normal 56 4" xfId="27821" xr:uid="{00000000-0005-0000-0000-000054980000}"/>
    <cellStyle name="Normal 56 4 2" xfId="27822" xr:uid="{00000000-0005-0000-0000-000055980000}"/>
    <cellStyle name="Normal 56 4 2 2" xfId="27823" xr:uid="{00000000-0005-0000-0000-000056980000}"/>
    <cellStyle name="Normal 56 4 3" xfId="27824" xr:uid="{00000000-0005-0000-0000-000057980000}"/>
    <cellStyle name="Normal 56 4 3 2" xfId="27825" xr:uid="{00000000-0005-0000-0000-000058980000}"/>
    <cellStyle name="Normal 56 4 4" xfId="27826" xr:uid="{00000000-0005-0000-0000-000059980000}"/>
    <cellStyle name="Normal 56 5" xfId="27827" xr:uid="{00000000-0005-0000-0000-00005A980000}"/>
    <cellStyle name="Normal 56 5 2" xfId="27828" xr:uid="{00000000-0005-0000-0000-00005B980000}"/>
    <cellStyle name="Normal 56 5 2 2" xfId="27829" xr:uid="{00000000-0005-0000-0000-00005C980000}"/>
    <cellStyle name="Normal 56 5 3" xfId="27830" xr:uid="{00000000-0005-0000-0000-00005D980000}"/>
    <cellStyle name="Normal 56 5 3 2" xfId="27831" xr:uid="{00000000-0005-0000-0000-00005E980000}"/>
    <cellStyle name="Normal 56 5 4" xfId="27832" xr:uid="{00000000-0005-0000-0000-00005F980000}"/>
    <cellStyle name="Normal 56 6" xfId="27833" xr:uid="{00000000-0005-0000-0000-000060980000}"/>
    <cellStyle name="Normal 56 6 2" xfId="27834" xr:uid="{00000000-0005-0000-0000-000061980000}"/>
    <cellStyle name="Normal 56 6 2 2" xfId="27835" xr:uid="{00000000-0005-0000-0000-000062980000}"/>
    <cellStyle name="Normal 56 6 3" xfId="27836" xr:uid="{00000000-0005-0000-0000-000063980000}"/>
    <cellStyle name="Normal 56 6 3 2" xfId="27837" xr:uid="{00000000-0005-0000-0000-000064980000}"/>
    <cellStyle name="Normal 56 6 4" xfId="27838" xr:uid="{00000000-0005-0000-0000-000065980000}"/>
    <cellStyle name="Normal 56 7" xfId="27839" xr:uid="{00000000-0005-0000-0000-000066980000}"/>
    <cellStyle name="Normal 56 7 2" xfId="27840" xr:uid="{00000000-0005-0000-0000-000067980000}"/>
    <cellStyle name="Normal 56 7 2 2" xfId="27841" xr:uid="{00000000-0005-0000-0000-000068980000}"/>
    <cellStyle name="Normal 56 7 3" xfId="27842" xr:uid="{00000000-0005-0000-0000-000069980000}"/>
    <cellStyle name="Normal 56 7 3 2" xfId="27843" xr:uid="{00000000-0005-0000-0000-00006A980000}"/>
    <cellStyle name="Normal 56 7 4" xfId="27844" xr:uid="{00000000-0005-0000-0000-00006B980000}"/>
    <cellStyle name="Normal 56 8" xfId="27845" xr:uid="{00000000-0005-0000-0000-00006C980000}"/>
    <cellStyle name="Normal 56 8 2" xfId="27846" xr:uid="{00000000-0005-0000-0000-00006D980000}"/>
    <cellStyle name="Normal 56 8 2 2" xfId="27847" xr:uid="{00000000-0005-0000-0000-00006E980000}"/>
    <cellStyle name="Normal 56 8 3" xfId="27848" xr:uid="{00000000-0005-0000-0000-00006F980000}"/>
    <cellStyle name="Normal 56 8 3 2" xfId="27849" xr:uid="{00000000-0005-0000-0000-000070980000}"/>
    <cellStyle name="Normal 56 8 4" xfId="27850" xr:uid="{00000000-0005-0000-0000-000071980000}"/>
    <cellStyle name="Normal 56 9" xfId="27851" xr:uid="{00000000-0005-0000-0000-000072980000}"/>
    <cellStyle name="Normal 56 9 2" xfId="27852" xr:uid="{00000000-0005-0000-0000-000073980000}"/>
    <cellStyle name="Normal 56 9 2 2" xfId="27853" xr:uid="{00000000-0005-0000-0000-000074980000}"/>
    <cellStyle name="Normal 56 9 3" xfId="27854" xr:uid="{00000000-0005-0000-0000-000075980000}"/>
    <cellStyle name="Normal 57" xfId="27855" xr:uid="{00000000-0005-0000-0000-000076980000}"/>
    <cellStyle name="Normal 57 10" xfId="27856" xr:uid="{00000000-0005-0000-0000-000077980000}"/>
    <cellStyle name="Normal 57 10 2" xfId="27857" xr:uid="{00000000-0005-0000-0000-000078980000}"/>
    <cellStyle name="Normal 57 11" xfId="27858" xr:uid="{00000000-0005-0000-0000-000079980000}"/>
    <cellStyle name="Normal 57 11 2" xfId="27859" xr:uid="{00000000-0005-0000-0000-00007A980000}"/>
    <cellStyle name="Normal 57 12" xfId="27860" xr:uid="{00000000-0005-0000-0000-00007B980000}"/>
    <cellStyle name="Normal 57 13" xfId="27861" xr:uid="{00000000-0005-0000-0000-00007C980000}"/>
    <cellStyle name="Normal 57 14" xfId="27862" xr:uid="{00000000-0005-0000-0000-00007D980000}"/>
    <cellStyle name="Normal 57 2" xfId="27863" xr:uid="{00000000-0005-0000-0000-00007E980000}"/>
    <cellStyle name="Normal 57 2 10" xfId="27864" xr:uid="{00000000-0005-0000-0000-00007F980000}"/>
    <cellStyle name="Normal 57 2 10 2" xfId="27865" xr:uid="{00000000-0005-0000-0000-000080980000}"/>
    <cellStyle name="Normal 57 2 11" xfId="27866" xr:uid="{00000000-0005-0000-0000-000081980000}"/>
    <cellStyle name="Normal 57 2 12" xfId="27867" xr:uid="{00000000-0005-0000-0000-000082980000}"/>
    <cellStyle name="Normal 57 2 2" xfId="27868" xr:uid="{00000000-0005-0000-0000-000083980000}"/>
    <cellStyle name="Normal 57 2 2 2" xfId="27869" xr:uid="{00000000-0005-0000-0000-000084980000}"/>
    <cellStyle name="Normal 57 2 2 2 2" xfId="27870" xr:uid="{00000000-0005-0000-0000-000085980000}"/>
    <cellStyle name="Normal 57 2 2 2 2 2" xfId="27871" xr:uid="{00000000-0005-0000-0000-000086980000}"/>
    <cellStyle name="Normal 57 2 2 2 3" xfId="27872" xr:uid="{00000000-0005-0000-0000-000087980000}"/>
    <cellStyle name="Normal 57 2 2 2 3 2" xfId="27873" xr:uid="{00000000-0005-0000-0000-000088980000}"/>
    <cellStyle name="Normal 57 2 2 2 4" xfId="27874" xr:uid="{00000000-0005-0000-0000-000089980000}"/>
    <cellStyle name="Normal 57 2 2 3" xfId="27875" xr:uid="{00000000-0005-0000-0000-00008A980000}"/>
    <cellStyle name="Normal 57 2 2 3 2" xfId="27876" xr:uid="{00000000-0005-0000-0000-00008B980000}"/>
    <cellStyle name="Normal 57 2 2 3 2 2" xfId="27877" xr:uid="{00000000-0005-0000-0000-00008C980000}"/>
    <cellStyle name="Normal 57 2 2 3 3" xfId="27878" xr:uid="{00000000-0005-0000-0000-00008D980000}"/>
    <cellStyle name="Normal 57 2 2 3 3 2" xfId="27879" xr:uid="{00000000-0005-0000-0000-00008E980000}"/>
    <cellStyle name="Normal 57 2 2 3 4" xfId="27880" xr:uid="{00000000-0005-0000-0000-00008F980000}"/>
    <cellStyle name="Normal 57 2 2 4" xfId="27881" xr:uid="{00000000-0005-0000-0000-000090980000}"/>
    <cellStyle name="Normal 57 2 2 4 2" xfId="27882" xr:uid="{00000000-0005-0000-0000-000091980000}"/>
    <cellStyle name="Normal 57 2 2 5" xfId="27883" xr:uid="{00000000-0005-0000-0000-000092980000}"/>
    <cellStyle name="Normal 57 2 2 5 2" xfId="27884" xr:uid="{00000000-0005-0000-0000-000093980000}"/>
    <cellStyle name="Normal 57 2 2 6" xfId="27885" xr:uid="{00000000-0005-0000-0000-000094980000}"/>
    <cellStyle name="Normal 57 2 3" xfId="27886" xr:uid="{00000000-0005-0000-0000-000095980000}"/>
    <cellStyle name="Normal 57 2 3 2" xfId="27887" xr:uid="{00000000-0005-0000-0000-000096980000}"/>
    <cellStyle name="Normal 57 2 3 2 2" xfId="27888" xr:uid="{00000000-0005-0000-0000-000097980000}"/>
    <cellStyle name="Normal 57 2 3 3" xfId="27889" xr:uid="{00000000-0005-0000-0000-000098980000}"/>
    <cellStyle name="Normal 57 2 3 3 2" xfId="27890" xr:uid="{00000000-0005-0000-0000-000099980000}"/>
    <cellStyle name="Normal 57 2 3 4" xfId="27891" xr:uid="{00000000-0005-0000-0000-00009A980000}"/>
    <cellStyle name="Normal 57 2 4" xfId="27892" xr:uid="{00000000-0005-0000-0000-00009B980000}"/>
    <cellStyle name="Normal 57 2 4 2" xfId="27893" xr:uid="{00000000-0005-0000-0000-00009C980000}"/>
    <cellStyle name="Normal 57 2 4 2 2" xfId="27894" xr:uid="{00000000-0005-0000-0000-00009D980000}"/>
    <cellStyle name="Normal 57 2 4 3" xfId="27895" xr:uid="{00000000-0005-0000-0000-00009E980000}"/>
    <cellStyle name="Normal 57 2 4 3 2" xfId="27896" xr:uid="{00000000-0005-0000-0000-00009F980000}"/>
    <cellStyle name="Normal 57 2 4 4" xfId="27897" xr:uid="{00000000-0005-0000-0000-0000A0980000}"/>
    <cellStyle name="Normal 57 2 5" xfId="27898" xr:uid="{00000000-0005-0000-0000-0000A1980000}"/>
    <cellStyle name="Normal 57 2 5 2" xfId="27899" xr:uid="{00000000-0005-0000-0000-0000A2980000}"/>
    <cellStyle name="Normal 57 2 5 2 2" xfId="27900" xr:uid="{00000000-0005-0000-0000-0000A3980000}"/>
    <cellStyle name="Normal 57 2 5 3" xfId="27901" xr:uid="{00000000-0005-0000-0000-0000A4980000}"/>
    <cellStyle name="Normal 57 2 5 3 2" xfId="27902" xr:uid="{00000000-0005-0000-0000-0000A5980000}"/>
    <cellStyle name="Normal 57 2 5 4" xfId="27903" xr:uid="{00000000-0005-0000-0000-0000A6980000}"/>
    <cellStyle name="Normal 57 2 6" xfId="27904" xr:uid="{00000000-0005-0000-0000-0000A7980000}"/>
    <cellStyle name="Normal 57 2 6 2" xfId="27905" xr:uid="{00000000-0005-0000-0000-0000A8980000}"/>
    <cellStyle name="Normal 57 2 6 2 2" xfId="27906" xr:uid="{00000000-0005-0000-0000-0000A9980000}"/>
    <cellStyle name="Normal 57 2 6 3" xfId="27907" xr:uid="{00000000-0005-0000-0000-0000AA980000}"/>
    <cellStyle name="Normal 57 2 6 3 2" xfId="27908" xr:uid="{00000000-0005-0000-0000-0000AB980000}"/>
    <cellStyle name="Normal 57 2 6 4" xfId="27909" xr:uid="{00000000-0005-0000-0000-0000AC980000}"/>
    <cellStyle name="Normal 57 2 7" xfId="27910" xr:uid="{00000000-0005-0000-0000-0000AD980000}"/>
    <cellStyle name="Normal 57 2 7 2" xfId="27911" xr:uid="{00000000-0005-0000-0000-0000AE980000}"/>
    <cellStyle name="Normal 57 2 7 2 2" xfId="27912" xr:uid="{00000000-0005-0000-0000-0000AF980000}"/>
    <cellStyle name="Normal 57 2 7 3" xfId="27913" xr:uid="{00000000-0005-0000-0000-0000B0980000}"/>
    <cellStyle name="Normal 57 2 7 3 2" xfId="27914" xr:uid="{00000000-0005-0000-0000-0000B1980000}"/>
    <cellStyle name="Normal 57 2 7 4" xfId="27915" xr:uid="{00000000-0005-0000-0000-0000B2980000}"/>
    <cellStyle name="Normal 57 2 8" xfId="27916" xr:uid="{00000000-0005-0000-0000-0000B3980000}"/>
    <cellStyle name="Normal 57 2 8 2" xfId="27917" xr:uid="{00000000-0005-0000-0000-0000B4980000}"/>
    <cellStyle name="Normal 57 2 8 2 2" xfId="27918" xr:uid="{00000000-0005-0000-0000-0000B5980000}"/>
    <cellStyle name="Normal 57 2 8 3" xfId="27919" xr:uid="{00000000-0005-0000-0000-0000B6980000}"/>
    <cellStyle name="Normal 57 2 9" xfId="27920" xr:uid="{00000000-0005-0000-0000-0000B7980000}"/>
    <cellStyle name="Normal 57 2 9 2" xfId="27921" xr:uid="{00000000-0005-0000-0000-0000B8980000}"/>
    <cellStyle name="Normal 57 3" xfId="27922" xr:uid="{00000000-0005-0000-0000-0000B9980000}"/>
    <cellStyle name="Normal 57 3 2" xfId="27923" xr:uid="{00000000-0005-0000-0000-0000BA980000}"/>
    <cellStyle name="Normal 57 3 2 2" xfId="27924" xr:uid="{00000000-0005-0000-0000-0000BB980000}"/>
    <cellStyle name="Normal 57 3 2 2 2" xfId="27925" xr:uid="{00000000-0005-0000-0000-0000BC980000}"/>
    <cellStyle name="Normal 57 3 2 3" xfId="27926" xr:uid="{00000000-0005-0000-0000-0000BD980000}"/>
    <cellStyle name="Normal 57 3 2 3 2" xfId="27927" xr:uid="{00000000-0005-0000-0000-0000BE980000}"/>
    <cellStyle name="Normal 57 3 2 4" xfId="27928" xr:uid="{00000000-0005-0000-0000-0000BF980000}"/>
    <cellStyle name="Normal 57 3 3" xfId="27929" xr:uid="{00000000-0005-0000-0000-0000C0980000}"/>
    <cellStyle name="Normal 57 3 3 2" xfId="27930" xr:uid="{00000000-0005-0000-0000-0000C1980000}"/>
    <cellStyle name="Normal 57 3 3 2 2" xfId="27931" xr:uid="{00000000-0005-0000-0000-0000C2980000}"/>
    <cellStyle name="Normal 57 3 3 3" xfId="27932" xr:uid="{00000000-0005-0000-0000-0000C3980000}"/>
    <cellStyle name="Normal 57 3 3 3 2" xfId="27933" xr:uid="{00000000-0005-0000-0000-0000C4980000}"/>
    <cellStyle name="Normal 57 3 3 4" xfId="27934" xr:uid="{00000000-0005-0000-0000-0000C5980000}"/>
    <cellStyle name="Normal 57 3 4" xfId="27935" xr:uid="{00000000-0005-0000-0000-0000C6980000}"/>
    <cellStyle name="Normal 57 3 4 2" xfId="27936" xr:uid="{00000000-0005-0000-0000-0000C7980000}"/>
    <cellStyle name="Normal 57 3 5" xfId="27937" xr:uid="{00000000-0005-0000-0000-0000C8980000}"/>
    <cellStyle name="Normal 57 3 5 2" xfId="27938" xr:uid="{00000000-0005-0000-0000-0000C9980000}"/>
    <cellStyle name="Normal 57 3 6" xfId="27939" xr:uid="{00000000-0005-0000-0000-0000CA980000}"/>
    <cellStyle name="Normal 57 4" xfId="27940" xr:uid="{00000000-0005-0000-0000-0000CB980000}"/>
    <cellStyle name="Normal 57 4 2" xfId="27941" xr:uid="{00000000-0005-0000-0000-0000CC980000}"/>
    <cellStyle name="Normal 57 4 2 2" xfId="27942" xr:uid="{00000000-0005-0000-0000-0000CD980000}"/>
    <cellStyle name="Normal 57 4 3" xfId="27943" xr:uid="{00000000-0005-0000-0000-0000CE980000}"/>
    <cellStyle name="Normal 57 4 3 2" xfId="27944" xr:uid="{00000000-0005-0000-0000-0000CF980000}"/>
    <cellStyle name="Normal 57 4 4" xfId="27945" xr:uid="{00000000-0005-0000-0000-0000D0980000}"/>
    <cellStyle name="Normal 57 5" xfId="27946" xr:uid="{00000000-0005-0000-0000-0000D1980000}"/>
    <cellStyle name="Normal 57 5 2" xfId="27947" xr:uid="{00000000-0005-0000-0000-0000D2980000}"/>
    <cellStyle name="Normal 57 5 2 2" xfId="27948" xr:uid="{00000000-0005-0000-0000-0000D3980000}"/>
    <cellStyle name="Normal 57 5 3" xfId="27949" xr:uid="{00000000-0005-0000-0000-0000D4980000}"/>
    <cellStyle name="Normal 57 5 3 2" xfId="27950" xr:uid="{00000000-0005-0000-0000-0000D5980000}"/>
    <cellStyle name="Normal 57 5 4" xfId="27951" xr:uid="{00000000-0005-0000-0000-0000D6980000}"/>
    <cellStyle name="Normal 57 6" xfId="27952" xr:uid="{00000000-0005-0000-0000-0000D7980000}"/>
    <cellStyle name="Normal 57 6 2" xfId="27953" xr:uid="{00000000-0005-0000-0000-0000D8980000}"/>
    <cellStyle name="Normal 57 6 2 2" xfId="27954" xr:uid="{00000000-0005-0000-0000-0000D9980000}"/>
    <cellStyle name="Normal 57 6 3" xfId="27955" xr:uid="{00000000-0005-0000-0000-0000DA980000}"/>
    <cellStyle name="Normal 57 6 3 2" xfId="27956" xr:uid="{00000000-0005-0000-0000-0000DB980000}"/>
    <cellStyle name="Normal 57 6 4" xfId="27957" xr:uid="{00000000-0005-0000-0000-0000DC980000}"/>
    <cellStyle name="Normal 57 7" xfId="27958" xr:uid="{00000000-0005-0000-0000-0000DD980000}"/>
    <cellStyle name="Normal 57 7 2" xfId="27959" xr:uid="{00000000-0005-0000-0000-0000DE980000}"/>
    <cellStyle name="Normal 57 7 2 2" xfId="27960" xr:uid="{00000000-0005-0000-0000-0000DF980000}"/>
    <cellStyle name="Normal 57 7 3" xfId="27961" xr:uid="{00000000-0005-0000-0000-0000E0980000}"/>
    <cellStyle name="Normal 57 7 3 2" xfId="27962" xr:uid="{00000000-0005-0000-0000-0000E1980000}"/>
    <cellStyle name="Normal 57 7 4" xfId="27963" xr:uid="{00000000-0005-0000-0000-0000E2980000}"/>
    <cellStyle name="Normal 57 8" xfId="27964" xr:uid="{00000000-0005-0000-0000-0000E3980000}"/>
    <cellStyle name="Normal 57 8 2" xfId="27965" xr:uid="{00000000-0005-0000-0000-0000E4980000}"/>
    <cellStyle name="Normal 57 8 2 2" xfId="27966" xr:uid="{00000000-0005-0000-0000-0000E5980000}"/>
    <cellStyle name="Normal 57 8 3" xfId="27967" xr:uid="{00000000-0005-0000-0000-0000E6980000}"/>
    <cellStyle name="Normal 57 8 3 2" xfId="27968" xr:uid="{00000000-0005-0000-0000-0000E7980000}"/>
    <cellStyle name="Normal 57 8 4" xfId="27969" xr:uid="{00000000-0005-0000-0000-0000E8980000}"/>
    <cellStyle name="Normal 57 9" xfId="27970" xr:uid="{00000000-0005-0000-0000-0000E9980000}"/>
    <cellStyle name="Normal 57 9 2" xfId="27971" xr:uid="{00000000-0005-0000-0000-0000EA980000}"/>
    <cellStyle name="Normal 57 9 2 2" xfId="27972" xr:uid="{00000000-0005-0000-0000-0000EB980000}"/>
    <cellStyle name="Normal 57 9 3" xfId="27973" xr:uid="{00000000-0005-0000-0000-0000EC980000}"/>
    <cellStyle name="Normal 58" xfId="27974" xr:uid="{00000000-0005-0000-0000-0000ED980000}"/>
    <cellStyle name="Normal 58 10" xfId="27975" xr:uid="{00000000-0005-0000-0000-0000EE980000}"/>
    <cellStyle name="Normal 58 10 2" xfId="27976" xr:uid="{00000000-0005-0000-0000-0000EF980000}"/>
    <cellStyle name="Normal 58 11" xfId="27977" xr:uid="{00000000-0005-0000-0000-0000F0980000}"/>
    <cellStyle name="Normal 58 11 2" xfId="27978" xr:uid="{00000000-0005-0000-0000-0000F1980000}"/>
    <cellStyle name="Normal 58 12" xfId="27979" xr:uid="{00000000-0005-0000-0000-0000F2980000}"/>
    <cellStyle name="Normal 58 13" xfId="27980" xr:uid="{00000000-0005-0000-0000-0000F3980000}"/>
    <cellStyle name="Normal 58 14" xfId="27981" xr:uid="{00000000-0005-0000-0000-0000F4980000}"/>
    <cellStyle name="Normal 58 2" xfId="27982" xr:uid="{00000000-0005-0000-0000-0000F5980000}"/>
    <cellStyle name="Normal 58 2 10" xfId="27983" xr:uid="{00000000-0005-0000-0000-0000F6980000}"/>
    <cellStyle name="Normal 58 2 10 2" xfId="27984" xr:uid="{00000000-0005-0000-0000-0000F7980000}"/>
    <cellStyle name="Normal 58 2 11" xfId="27985" xr:uid="{00000000-0005-0000-0000-0000F8980000}"/>
    <cellStyle name="Normal 58 2 2" xfId="27986" xr:uid="{00000000-0005-0000-0000-0000F9980000}"/>
    <cellStyle name="Normal 58 2 2 2" xfId="27987" xr:uid="{00000000-0005-0000-0000-0000FA980000}"/>
    <cellStyle name="Normal 58 2 2 2 2" xfId="27988" xr:uid="{00000000-0005-0000-0000-0000FB980000}"/>
    <cellStyle name="Normal 58 2 2 2 2 2" xfId="27989" xr:uid="{00000000-0005-0000-0000-0000FC980000}"/>
    <cellStyle name="Normal 58 2 2 2 3" xfId="27990" xr:uid="{00000000-0005-0000-0000-0000FD980000}"/>
    <cellStyle name="Normal 58 2 2 2 3 2" xfId="27991" xr:uid="{00000000-0005-0000-0000-0000FE980000}"/>
    <cellStyle name="Normal 58 2 2 2 4" xfId="27992" xr:uid="{00000000-0005-0000-0000-0000FF980000}"/>
    <cellStyle name="Normal 58 2 2 3" xfId="27993" xr:uid="{00000000-0005-0000-0000-000000990000}"/>
    <cellStyle name="Normal 58 2 2 3 2" xfId="27994" xr:uid="{00000000-0005-0000-0000-000001990000}"/>
    <cellStyle name="Normal 58 2 2 3 2 2" xfId="27995" xr:uid="{00000000-0005-0000-0000-000002990000}"/>
    <cellStyle name="Normal 58 2 2 3 3" xfId="27996" xr:uid="{00000000-0005-0000-0000-000003990000}"/>
    <cellStyle name="Normal 58 2 2 3 3 2" xfId="27997" xr:uid="{00000000-0005-0000-0000-000004990000}"/>
    <cellStyle name="Normal 58 2 2 3 4" xfId="27998" xr:uid="{00000000-0005-0000-0000-000005990000}"/>
    <cellStyle name="Normal 58 2 2 4" xfId="27999" xr:uid="{00000000-0005-0000-0000-000006990000}"/>
    <cellStyle name="Normal 58 2 2 4 2" xfId="28000" xr:uid="{00000000-0005-0000-0000-000007990000}"/>
    <cellStyle name="Normal 58 2 2 5" xfId="28001" xr:uid="{00000000-0005-0000-0000-000008990000}"/>
    <cellStyle name="Normal 58 2 2 5 2" xfId="28002" xr:uid="{00000000-0005-0000-0000-000009990000}"/>
    <cellStyle name="Normal 58 2 2 6" xfId="28003" xr:uid="{00000000-0005-0000-0000-00000A990000}"/>
    <cellStyle name="Normal 58 2 3" xfId="28004" xr:uid="{00000000-0005-0000-0000-00000B990000}"/>
    <cellStyle name="Normal 58 2 3 2" xfId="28005" xr:uid="{00000000-0005-0000-0000-00000C990000}"/>
    <cellStyle name="Normal 58 2 3 2 2" xfId="28006" xr:uid="{00000000-0005-0000-0000-00000D990000}"/>
    <cellStyle name="Normal 58 2 3 3" xfId="28007" xr:uid="{00000000-0005-0000-0000-00000E990000}"/>
    <cellStyle name="Normal 58 2 3 3 2" xfId="28008" xr:uid="{00000000-0005-0000-0000-00000F990000}"/>
    <cellStyle name="Normal 58 2 3 4" xfId="28009" xr:uid="{00000000-0005-0000-0000-000010990000}"/>
    <cellStyle name="Normal 58 2 4" xfId="28010" xr:uid="{00000000-0005-0000-0000-000011990000}"/>
    <cellStyle name="Normal 58 2 4 2" xfId="28011" xr:uid="{00000000-0005-0000-0000-000012990000}"/>
    <cellStyle name="Normal 58 2 4 2 2" xfId="28012" xr:uid="{00000000-0005-0000-0000-000013990000}"/>
    <cellStyle name="Normal 58 2 4 3" xfId="28013" xr:uid="{00000000-0005-0000-0000-000014990000}"/>
    <cellStyle name="Normal 58 2 4 3 2" xfId="28014" xr:uid="{00000000-0005-0000-0000-000015990000}"/>
    <cellStyle name="Normal 58 2 4 4" xfId="28015" xr:uid="{00000000-0005-0000-0000-000016990000}"/>
    <cellStyle name="Normal 58 2 5" xfId="28016" xr:uid="{00000000-0005-0000-0000-000017990000}"/>
    <cellStyle name="Normal 58 2 5 2" xfId="28017" xr:uid="{00000000-0005-0000-0000-000018990000}"/>
    <cellStyle name="Normal 58 2 5 2 2" xfId="28018" xr:uid="{00000000-0005-0000-0000-000019990000}"/>
    <cellStyle name="Normal 58 2 5 3" xfId="28019" xr:uid="{00000000-0005-0000-0000-00001A990000}"/>
    <cellStyle name="Normal 58 2 5 3 2" xfId="28020" xr:uid="{00000000-0005-0000-0000-00001B990000}"/>
    <cellStyle name="Normal 58 2 5 4" xfId="28021" xr:uid="{00000000-0005-0000-0000-00001C990000}"/>
    <cellStyle name="Normal 58 2 6" xfId="28022" xr:uid="{00000000-0005-0000-0000-00001D990000}"/>
    <cellStyle name="Normal 58 2 6 2" xfId="28023" xr:uid="{00000000-0005-0000-0000-00001E990000}"/>
    <cellStyle name="Normal 58 2 6 2 2" xfId="28024" xr:uid="{00000000-0005-0000-0000-00001F990000}"/>
    <cellStyle name="Normal 58 2 6 3" xfId="28025" xr:uid="{00000000-0005-0000-0000-000020990000}"/>
    <cellStyle name="Normal 58 2 6 3 2" xfId="28026" xr:uid="{00000000-0005-0000-0000-000021990000}"/>
    <cellStyle name="Normal 58 2 6 4" xfId="28027" xr:uid="{00000000-0005-0000-0000-000022990000}"/>
    <cellStyle name="Normal 58 2 7" xfId="28028" xr:uid="{00000000-0005-0000-0000-000023990000}"/>
    <cellStyle name="Normal 58 2 7 2" xfId="28029" xr:uid="{00000000-0005-0000-0000-000024990000}"/>
    <cellStyle name="Normal 58 2 7 2 2" xfId="28030" xr:uid="{00000000-0005-0000-0000-000025990000}"/>
    <cellStyle name="Normal 58 2 7 3" xfId="28031" xr:uid="{00000000-0005-0000-0000-000026990000}"/>
    <cellStyle name="Normal 58 2 7 3 2" xfId="28032" xr:uid="{00000000-0005-0000-0000-000027990000}"/>
    <cellStyle name="Normal 58 2 7 4" xfId="28033" xr:uid="{00000000-0005-0000-0000-000028990000}"/>
    <cellStyle name="Normal 58 2 8" xfId="28034" xr:uid="{00000000-0005-0000-0000-000029990000}"/>
    <cellStyle name="Normal 58 2 8 2" xfId="28035" xr:uid="{00000000-0005-0000-0000-00002A990000}"/>
    <cellStyle name="Normal 58 2 8 2 2" xfId="28036" xr:uid="{00000000-0005-0000-0000-00002B990000}"/>
    <cellStyle name="Normal 58 2 8 3" xfId="28037" xr:uid="{00000000-0005-0000-0000-00002C990000}"/>
    <cellStyle name="Normal 58 2 9" xfId="28038" xr:uid="{00000000-0005-0000-0000-00002D990000}"/>
    <cellStyle name="Normal 58 2 9 2" xfId="28039" xr:uid="{00000000-0005-0000-0000-00002E990000}"/>
    <cellStyle name="Normal 58 3" xfId="28040" xr:uid="{00000000-0005-0000-0000-00002F990000}"/>
    <cellStyle name="Normal 58 3 2" xfId="28041" xr:uid="{00000000-0005-0000-0000-000030990000}"/>
    <cellStyle name="Normal 58 3 2 2" xfId="28042" xr:uid="{00000000-0005-0000-0000-000031990000}"/>
    <cellStyle name="Normal 58 3 2 2 2" xfId="28043" xr:uid="{00000000-0005-0000-0000-000032990000}"/>
    <cellStyle name="Normal 58 3 2 3" xfId="28044" xr:uid="{00000000-0005-0000-0000-000033990000}"/>
    <cellStyle name="Normal 58 3 2 3 2" xfId="28045" xr:uid="{00000000-0005-0000-0000-000034990000}"/>
    <cellStyle name="Normal 58 3 2 4" xfId="28046" xr:uid="{00000000-0005-0000-0000-000035990000}"/>
    <cellStyle name="Normal 58 3 3" xfId="28047" xr:uid="{00000000-0005-0000-0000-000036990000}"/>
    <cellStyle name="Normal 58 3 3 2" xfId="28048" xr:uid="{00000000-0005-0000-0000-000037990000}"/>
    <cellStyle name="Normal 58 3 3 2 2" xfId="28049" xr:uid="{00000000-0005-0000-0000-000038990000}"/>
    <cellStyle name="Normal 58 3 3 3" xfId="28050" xr:uid="{00000000-0005-0000-0000-000039990000}"/>
    <cellStyle name="Normal 58 3 3 3 2" xfId="28051" xr:uid="{00000000-0005-0000-0000-00003A990000}"/>
    <cellStyle name="Normal 58 3 3 4" xfId="28052" xr:uid="{00000000-0005-0000-0000-00003B990000}"/>
    <cellStyle name="Normal 58 3 4" xfId="28053" xr:uid="{00000000-0005-0000-0000-00003C990000}"/>
    <cellStyle name="Normal 58 3 4 2" xfId="28054" xr:uid="{00000000-0005-0000-0000-00003D990000}"/>
    <cellStyle name="Normal 58 3 5" xfId="28055" xr:uid="{00000000-0005-0000-0000-00003E990000}"/>
    <cellStyle name="Normal 58 3 5 2" xfId="28056" xr:uid="{00000000-0005-0000-0000-00003F990000}"/>
    <cellStyle name="Normal 58 3 6" xfId="28057" xr:uid="{00000000-0005-0000-0000-000040990000}"/>
    <cellStyle name="Normal 58 4" xfId="28058" xr:uid="{00000000-0005-0000-0000-000041990000}"/>
    <cellStyle name="Normal 58 4 2" xfId="28059" xr:uid="{00000000-0005-0000-0000-000042990000}"/>
    <cellStyle name="Normal 58 4 2 2" xfId="28060" xr:uid="{00000000-0005-0000-0000-000043990000}"/>
    <cellStyle name="Normal 58 4 3" xfId="28061" xr:uid="{00000000-0005-0000-0000-000044990000}"/>
    <cellStyle name="Normal 58 4 3 2" xfId="28062" xr:uid="{00000000-0005-0000-0000-000045990000}"/>
    <cellStyle name="Normal 58 4 4" xfId="28063" xr:uid="{00000000-0005-0000-0000-000046990000}"/>
    <cellStyle name="Normal 58 5" xfId="28064" xr:uid="{00000000-0005-0000-0000-000047990000}"/>
    <cellStyle name="Normal 58 5 2" xfId="28065" xr:uid="{00000000-0005-0000-0000-000048990000}"/>
    <cellStyle name="Normal 58 5 2 2" xfId="28066" xr:uid="{00000000-0005-0000-0000-000049990000}"/>
    <cellStyle name="Normal 58 5 3" xfId="28067" xr:uid="{00000000-0005-0000-0000-00004A990000}"/>
    <cellStyle name="Normal 58 5 3 2" xfId="28068" xr:uid="{00000000-0005-0000-0000-00004B990000}"/>
    <cellStyle name="Normal 58 5 4" xfId="28069" xr:uid="{00000000-0005-0000-0000-00004C990000}"/>
    <cellStyle name="Normal 58 6" xfId="28070" xr:uid="{00000000-0005-0000-0000-00004D990000}"/>
    <cellStyle name="Normal 58 6 2" xfId="28071" xr:uid="{00000000-0005-0000-0000-00004E990000}"/>
    <cellStyle name="Normal 58 6 2 2" xfId="28072" xr:uid="{00000000-0005-0000-0000-00004F990000}"/>
    <cellStyle name="Normal 58 6 3" xfId="28073" xr:uid="{00000000-0005-0000-0000-000050990000}"/>
    <cellStyle name="Normal 58 6 3 2" xfId="28074" xr:uid="{00000000-0005-0000-0000-000051990000}"/>
    <cellStyle name="Normal 58 6 4" xfId="28075" xr:uid="{00000000-0005-0000-0000-000052990000}"/>
    <cellStyle name="Normal 58 7" xfId="28076" xr:uid="{00000000-0005-0000-0000-000053990000}"/>
    <cellStyle name="Normal 58 7 2" xfId="28077" xr:uid="{00000000-0005-0000-0000-000054990000}"/>
    <cellStyle name="Normal 58 7 2 2" xfId="28078" xr:uid="{00000000-0005-0000-0000-000055990000}"/>
    <cellStyle name="Normal 58 7 3" xfId="28079" xr:uid="{00000000-0005-0000-0000-000056990000}"/>
    <cellStyle name="Normal 58 7 3 2" xfId="28080" xr:uid="{00000000-0005-0000-0000-000057990000}"/>
    <cellStyle name="Normal 58 7 4" xfId="28081" xr:uid="{00000000-0005-0000-0000-000058990000}"/>
    <cellStyle name="Normal 58 8" xfId="28082" xr:uid="{00000000-0005-0000-0000-000059990000}"/>
    <cellStyle name="Normal 58 8 2" xfId="28083" xr:uid="{00000000-0005-0000-0000-00005A990000}"/>
    <cellStyle name="Normal 58 8 2 2" xfId="28084" xr:uid="{00000000-0005-0000-0000-00005B990000}"/>
    <cellStyle name="Normal 58 8 3" xfId="28085" xr:uid="{00000000-0005-0000-0000-00005C990000}"/>
    <cellStyle name="Normal 58 8 3 2" xfId="28086" xr:uid="{00000000-0005-0000-0000-00005D990000}"/>
    <cellStyle name="Normal 58 8 4" xfId="28087" xr:uid="{00000000-0005-0000-0000-00005E990000}"/>
    <cellStyle name="Normal 58 9" xfId="28088" xr:uid="{00000000-0005-0000-0000-00005F990000}"/>
    <cellStyle name="Normal 58 9 2" xfId="28089" xr:uid="{00000000-0005-0000-0000-000060990000}"/>
    <cellStyle name="Normal 58 9 2 2" xfId="28090" xr:uid="{00000000-0005-0000-0000-000061990000}"/>
    <cellStyle name="Normal 58 9 3" xfId="28091" xr:uid="{00000000-0005-0000-0000-000062990000}"/>
    <cellStyle name="Normal 59" xfId="28092" xr:uid="{00000000-0005-0000-0000-000063990000}"/>
    <cellStyle name="Normal 59 10" xfId="28093" xr:uid="{00000000-0005-0000-0000-000064990000}"/>
    <cellStyle name="Normal 59 10 2" xfId="28094" xr:uid="{00000000-0005-0000-0000-000065990000}"/>
    <cellStyle name="Normal 59 11" xfId="28095" xr:uid="{00000000-0005-0000-0000-000066990000}"/>
    <cellStyle name="Normal 59 11 2" xfId="28096" xr:uid="{00000000-0005-0000-0000-000067990000}"/>
    <cellStyle name="Normal 59 12" xfId="28097" xr:uid="{00000000-0005-0000-0000-000068990000}"/>
    <cellStyle name="Normal 59 13" xfId="28098" xr:uid="{00000000-0005-0000-0000-000069990000}"/>
    <cellStyle name="Normal 59 2" xfId="28099" xr:uid="{00000000-0005-0000-0000-00006A990000}"/>
    <cellStyle name="Normal 59 2 10" xfId="28100" xr:uid="{00000000-0005-0000-0000-00006B990000}"/>
    <cellStyle name="Normal 59 2 10 2" xfId="28101" xr:uid="{00000000-0005-0000-0000-00006C990000}"/>
    <cellStyle name="Normal 59 2 11" xfId="28102" xr:uid="{00000000-0005-0000-0000-00006D990000}"/>
    <cellStyle name="Normal 59 2 2" xfId="28103" xr:uid="{00000000-0005-0000-0000-00006E990000}"/>
    <cellStyle name="Normal 59 2 2 2" xfId="28104" xr:uid="{00000000-0005-0000-0000-00006F990000}"/>
    <cellStyle name="Normal 59 2 2 2 2" xfId="28105" xr:uid="{00000000-0005-0000-0000-000070990000}"/>
    <cellStyle name="Normal 59 2 2 2 2 2" xfId="28106" xr:uid="{00000000-0005-0000-0000-000071990000}"/>
    <cellStyle name="Normal 59 2 2 2 3" xfId="28107" xr:uid="{00000000-0005-0000-0000-000072990000}"/>
    <cellStyle name="Normal 59 2 2 2 3 2" xfId="28108" xr:uid="{00000000-0005-0000-0000-000073990000}"/>
    <cellStyle name="Normal 59 2 2 2 4" xfId="28109" xr:uid="{00000000-0005-0000-0000-000074990000}"/>
    <cellStyle name="Normal 59 2 2 3" xfId="28110" xr:uid="{00000000-0005-0000-0000-000075990000}"/>
    <cellStyle name="Normal 59 2 2 3 2" xfId="28111" xr:uid="{00000000-0005-0000-0000-000076990000}"/>
    <cellStyle name="Normal 59 2 2 3 2 2" xfId="28112" xr:uid="{00000000-0005-0000-0000-000077990000}"/>
    <cellStyle name="Normal 59 2 2 3 3" xfId="28113" xr:uid="{00000000-0005-0000-0000-000078990000}"/>
    <cellStyle name="Normal 59 2 2 3 3 2" xfId="28114" xr:uid="{00000000-0005-0000-0000-000079990000}"/>
    <cellStyle name="Normal 59 2 2 3 4" xfId="28115" xr:uid="{00000000-0005-0000-0000-00007A990000}"/>
    <cellStyle name="Normal 59 2 2 4" xfId="28116" xr:uid="{00000000-0005-0000-0000-00007B990000}"/>
    <cellStyle name="Normal 59 2 2 4 2" xfId="28117" xr:uid="{00000000-0005-0000-0000-00007C990000}"/>
    <cellStyle name="Normal 59 2 2 5" xfId="28118" xr:uid="{00000000-0005-0000-0000-00007D990000}"/>
    <cellStyle name="Normal 59 2 2 5 2" xfId="28119" xr:uid="{00000000-0005-0000-0000-00007E990000}"/>
    <cellStyle name="Normal 59 2 2 6" xfId="28120" xr:uid="{00000000-0005-0000-0000-00007F990000}"/>
    <cellStyle name="Normal 59 2 3" xfId="28121" xr:uid="{00000000-0005-0000-0000-000080990000}"/>
    <cellStyle name="Normal 59 2 3 2" xfId="28122" xr:uid="{00000000-0005-0000-0000-000081990000}"/>
    <cellStyle name="Normal 59 2 3 2 2" xfId="28123" xr:uid="{00000000-0005-0000-0000-000082990000}"/>
    <cellStyle name="Normal 59 2 3 3" xfId="28124" xr:uid="{00000000-0005-0000-0000-000083990000}"/>
    <cellStyle name="Normal 59 2 3 3 2" xfId="28125" xr:uid="{00000000-0005-0000-0000-000084990000}"/>
    <cellStyle name="Normal 59 2 3 4" xfId="28126" xr:uid="{00000000-0005-0000-0000-000085990000}"/>
    <cellStyle name="Normal 59 2 4" xfId="28127" xr:uid="{00000000-0005-0000-0000-000086990000}"/>
    <cellStyle name="Normal 59 2 4 2" xfId="28128" xr:uid="{00000000-0005-0000-0000-000087990000}"/>
    <cellStyle name="Normal 59 2 4 2 2" xfId="28129" xr:uid="{00000000-0005-0000-0000-000088990000}"/>
    <cellStyle name="Normal 59 2 4 3" xfId="28130" xr:uid="{00000000-0005-0000-0000-000089990000}"/>
    <cellStyle name="Normal 59 2 4 3 2" xfId="28131" xr:uid="{00000000-0005-0000-0000-00008A990000}"/>
    <cellStyle name="Normal 59 2 4 4" xfId="28132" xr:uid="{00000000-0005-0000-0000-00008B990000}"/>
    <cellStyle name="Normal 59 2 5" xfId="28133" xr:uid="{00000000-0005-0000-0000-00008C990000}"/>
    <cellStyle name="Normal 59 2 5 2" xfId="28134" xr:uid="{00000000-0005-0000-0000-00008D990000}"/>
    <cellStyle name="Normal 59 2 5 2 2" xfId="28135" xr:uid="{00000000-0005-0000-0000-00008E990000}"/>
    <cellStyle name="Normal 59 2 5 3" xfId="28136" xr:uid="{00000000-0005-0000-0000-00008F990000}"/>
    <cellStyle name="Normal 59 2 5 3 2" xfId="28137" xr:uid="{00000000-0005-0000-0000-000090990000}"/>
    <cellStyle name="Normal 59 2 5 4" xfId="28138" xr:uid="{00000000-0005-0000-0000-000091990000}"/>
    <cellStyle name="Normal 59 2 6" xfId="28139" xr:uid="{00000000-0005-0000-0000-000092990000}"/>
    <cellStyle name="Normal 59 2 6 2" xfId="28140" xr:uid="{00000000-0005-0000-0000-000093990000}"/>
    <cellStyle name="Normal 59 2 6 2 2" xfId="28141" xr:uid="{00000000-0005-0000-0000-000094990000}"/>
    <cellStyle name="Normal 59 2 6 3" xfId="28142" xr:uid="{00000000-0005-0000-0000-000095990000}"/>
    <cellStyle name="Normal 59 2 6 3 2" xfId="28143" xr:uid="{00000000-0005-0000-0000-000096990000}"/>
    <cellStyle name="Normal 59 2 6 4" xfId="28144" xr:uid="{00000000-0005-0000-0000-000097990000}"/>
    <cellStyle name="Normal 59 2 7" xfId="28145" xr:uid="{00000000-0005-0000-0000-000098990000}"/>
    <cellStyle name="Normal 59 2 7 2" xfId="28146" xr:uid="{00000000-0005-0000-0000-000099990000}"/>
    <cellStyle name="Normal 59 2 7 2 2" xfId="28147" xr:uid="{00000000-0005-0000-0000-00009A990000}"/>
    <cellStyle name="Normal 59 2 7 3" xfId="28148" xr:uid="{00000000-0005-0000-0000-00009B990000}"/>
    <cellStyle name="Normal 59 2 7 3 2" xfId="28149" xr:uid="{00000000-0005-0000-0000-00009C990000}"/>
    <cellStyle name="Normal 59 2 7 4" xfId="28150" xr:uid="{00000000-0005-0000-0000-00009D990000}"/>
    <cellStyle name="Normal 59 2 8" xfId="28151" xr:uid="{00000000-0005-0000-0000-00009E990000}"/>
    <cellStyle name="Normal 59 2 8 2" xfId="28152" xr:uid="{00000000-0005-0000-0000-00009F990000}"/>
    <cellStyle name="Normal 59 2 8 2 2" xfId="28153" xr:uid="{00000000-0005-0000-0000-0000A0990000}"/>
    <cellStyle name="Normal 59 2 8 3" xfId="28154" xr:uid="{00000000-0005-0000-0000-0000A1990000}"/>
    <cellStyle name="Normal 59 2 9" xfId="28155" xr:uid="{00000000-0005-0000-0000-0000A2990000}"/>
    <cellStyle name="Normal 59 2 9 2" xfId="28156" xr:uid="{00000000-0005-0000-0000-0000A3990000}"/>
    <cellStyle name="Normal 59 3" xfId="28157" xr:uid="{00000000-0005-0000-0000-0000A4990000}"/>
    <cellStyle name="Normal 59 3 2" xfId="28158" xr:uid="{00000000-0005-0000-0000-0000A5990000}"/>
    <cellStyle name="Normal 59 3 2 2" xfId="28159" xr:uid="{00000000-0005-0000-0000-0000A6990000}"/>
    <cellStyle name="Normal 59 3 2 2 2" xfId="28160" xr:uid="{00000000-0005-0000-0000-0000A7990000}"/>
    <cellStyle name="Normal 59 3 2 3" xfId="28161" xr:uid="{00000000-0005-0000-0000-0000A8990000}"/>
    <cellStyle name="Normal 59 3 2 3 2" xfId="28162" xr:uid="{00000000-0005-0000-0000-0000A9990000}"/>
    <cellStyle name="Normal 59 3 2 4" xfId="28163" xr:uid="{00000000-0005-0000-0000-0000AA990000}"/>
    <cellStyle name="Normal 59 3 3" xfId="28164" xr:uid="{00000000-0005-0000-0000-0000AB990000}"/>
    <cellStyle name="Normal 59 3 3 2" xfId="28165" xr:uid="{00000000-0005-0000-0000-0000AC990000}"/>
    <cellStyle name="Normal 59 3 3 2 2" xfId="28166" xr:uid="{00000000-0005-0000-0000-0000AD990000}"/>
    <cellStyle name="Normal 59 3 3 3" xfId="28167" xr:uid="{00000000-0005-0000-0000-0000AE990000}"/>
    <cellStyle name="Normal 59 3 3 3 2" xfId="28168" xr:uid="{00000000-0005-0000-0000-0000AF990000}"/>
    <cellStyle name="Normal 59 3 3 4" xfId="28169" xr:uid="{00000000-0005-0000-0000-0000B0990000}"/>
    <cellStyle name="Normal 59 3 4" xfId="28170" xr:uid="{00000000-0005-0000-0000-0000B1990000}"/>
    <cellStyle name="Normal 59 3 4 2" xfId="28171" xr:uid="{00000000-0005-0000-0000-0000B2990000}"/>
    <cellStyle name="Normal 59 3 5" xfId="28172" xr:uid="{00000000-0005-0000-0000-0000B3990000}"/>
    <cellStyle name="Normal 59 3 5 2" xfId="28173" xr:uid="{00000000-0005-0000-0000-0000B4990000}"/>
    <cellStyle name="Normal 59 3 6" xfId="28174" xr:uid="{00000000-0005-0000-0000-0000B5990000}"/>
    <cellStyle name="Normal 59 4" xfId="28175" xr:uid="{00000000-0005-0000-0000-0000B6990000}"/>
    <cellStyle name="Normal 59 4 2" xfId="28176" xr:uid="{00000000-0005-0000-0000-0000B7990000}"/>
    <cellStyle name="Normal 59 4 2 2" xfId="28177" xr:uid="{00000000-0005-0000-0000-0000B8990000}"/>
    <cellStyle name="Normal 59 4 3" xfId="28178" xr:uid="{00000000-0005-0000-0000-0000B9990000}"/>
    <cellStyle name="Normal 59 4 3 2" xfId="28179" xr:uid="{00000000-0005-0000-0000-0000BA990000}"/>
    <cellStyle name="Normal 59 4 4" xfId="28180" xr:uid="{00000000-0005-0000-0000-0000BB990000}"/>
    <cellStyle name="Normal 59 5" xfId="28181" xr:uid="{00000000-0005-0000-0000-0000BC990000}"/>
    <cellStyle name="Normal 59 5 2" xfId="28182" xr:uid="{00000000-0005-0000-0000-0000BD990000}"/>
    <cellStyle name="Normal 59 5 2 2" xfId="28183" xr:uid="{00000000-0005-0000-0000-0000BE990000}"/>
    <cellStyle name="Normal 59 5 3" xfId="28184" xr:uid="{00000000-0005-0000-0000-0000BF990000}"/>
    <cellStyle name="Normal 59 5 3 2" xfId="28185" xr:uid="{00000000-0005-0000-0000-0000C0990000}"/>
    <cellStyle name="Normal 59 5 4" xfId="28186" xr:uid="{00000000-0005-0000-0000-0000C1990000}"/>
    <cellStyle name="Normal 59 6" xfId="28187" xr:uid="{00000000-0005-0000-0000-0000C2990000}"/>
    <cellStyle name="Normal 59 6 2" xfId="28188" xr:uid="{00000000-0005-0000-0000-0000C3990000}"/>
    <cellStyle name="Normal 59 6 2 2" xfId="28189" xr:uid="{00000000-0005-0000-0000-0000C4990000}"/>
    <cellStyle name="Normal 59 6 3" xfId="28190" xr:uid="{00000000-0005-0000-0000-0000C5990000}"/>
    <cellStyle name="Normal 59 6 3 2" xfId="28191" xr:uid="{00000000-0005-0000-0000-0000C6990000}"/>
    <cellStyle name="Normal 59 6 4" xfId="28192" xr:uid="{00000000-0005-0000-0000-0000C7990000}"/>
    <cellStyle name="Normal 59 7" xfId="28193" xr:uid="{00000000-0005-0000-0000-0000C8990000}"/>
    <cellStyle name="Normal 59 7 2" xfId="28194" xr:uid="{00000000-0005-0000-0000-0000C9990000}"/>
    <cellStyle name="Normal 59 7 2 2" xfId="28195" xr:uid="{00000000-0005-0000-0000-0000CA990000}"/>
    <cellStyle name="Normal 59 7 3" xfId="28196" xr:uid="{00000000-0005-0000-0000-0000CB990000}"/>
    <cellStyle name="Normal 59 7 3 2" xfId="28197" xr:uid="{00000000-0005-0000-0000-0000CC990000}"/>
    <cellStyle name="Normal 59 7 4" xfId="28198" xr:uid="{00000000-0005-0000-0000-0000CD990000}"/>
    <cellStyle name="Normal 59 8" xfId="28199" xr:uid="{00000000-0005-0000-0000-0000CE990000}"/>
    <cellStyle name="Normal 59 8 2" xfId="28200" xr:uid="{00000000-0005-0000-0000-0000CF990000}"/>
    <cellStyle name="Normal 59 8 2 2" xfId="28201" xr:uid="{00000000-0005-0000-0000-0000D0990000}"/>
    <cellStyle name="Normal 59 8 3" xfId="28202" xr:uid="{00000000-0005-0000-0000-0000D1990000}"/>
    <cellStyle name="Normal 59 8 3 2" xfId="28203" xr:uid="{00000000-0005-0000-0000-0000D2990000}"/>
    <cellStyle name="Normal 59 8 4" xfId="28204" xr:uid="{00000000-0005-0000-0000-0000D3990000}"/>
    <cellStyle name="Normal 59 9" xfId="28205" xr:uid="{00000000-0005-0000-0000-0000D4990000}"/>
    <cellStyle name="Normal 59 9 2" xfId="28206" xr:uid="{00000000-0005-0000-0000-0000D5990000}"/>
    <cellStyle name="Normal 59 9 2 2" xfId="28207" xr:uid="{00000000-0005-0000-0000-0000D6990000}"/>
    <cellStyle name="Normal 59 9 3" xfId="28208" xr:uid="{00000000-0005-0000-0000-0000D7990000}"/>
    <cellStyle name="Normal 6" xfId="28209" xr:uid="{00000000-0005-0000-0000-0000D8990000}"/>
    <cellStyle name="Normal 6 10" xfId="28210" xr:uid="{00000000-0005-0000-0000-0000D9990000}"/>
    <cellStyle name="Normal 6 10 2" xfId="28211" xr:uid="{00000000-0005-0000-0000-0000DA990000}"/>
    <cellStyle name="Normal 6 10 2 2" xfId="28212" xr:uid="{00000000-0005-0000-0000-0000DB990000}"/>
    <cellStyle name="Normal 6 10 2 2 2" xfId="28213" xr:uid="{00000000-0005-0000-0000-0000DC990000}"/>
    <cellStyle name="Normal 6 10 2 2 2 2" xfId="57196" xr:uid="{00000000-0005-0000-0000-0000DD990000}"/>
    <cellStyle name="Normal 6 10 2 2 2 3" xfId="57197" xr:uid="{00000000-0005-0000-0000-0000DE990000}"/>
    <cellStyle name="Normal 6 10 2 2 3" xfId="28214" xr:uid="{00000000-0005-0000-0000-0000DF990000}"/>
    <cellStyle name="Normal 6 10 2 2 3 2" xfId="57198" xr:uid="{00000000-0005-0000-0000-0000E0990000}"/>
    <cellStyle name="Normal 6 10 2 2 4" xfId="28215" xr:uid="{00000000-0005-0000-0000-0000E1990000}"/>
    <cellStyle name="Normal 6 10 2 2 5" xfId="28216" xr:uid="{00000000-0005-0000-0000-0000E2990000}"/>
    <cellStyle name="Normal 6 10 2 2 6" xfId="28217" xr:uid="{00000000-0005-0000-0000-0000E3990000}"/>
    <cellStyle name="Normal 6 10 2 3" xfId="28218" xr:uid="{00000000-0005-0000-0000-0000E4990000}"/>
    <cellStyle name="Normal 6 10 2 3 2" xfId="57199" xr:uid="{00000000-0005-0000-0000-0000E5990000}"/>
    <cellStyle name="Normal 6 10 2 3 3" xfId="57200" xr:uid="{00000000-0005-0000-0000-0000E6990000}"/>
    <cellStyle name="Normal 6 10 2 4" xfId="28219" xr:uid="{00000000-0005-0000-0000-0000E7990000}"/>
    <cellStyle name="Normal 6 10 2 4 2" xfId="57201" xr:uid="{00000000-0005-0000-0000-0000E8990000}"/>
    <cellStyle name="Normal 6 10 2 5" xfId="28220" xr:uid="{00000000-0005-0000-0000-0000E9990000}"/>
    <cellStyle name="Normal 6 10 2 6" xfId="28221" xr:uid="{00000000-0005-0000-0000-0000EA990000}"/>
    <cellStyle name="Normal 6 10 2 7" xfId="28222" xr:uid="{00000000-0005-0000-0000-0000EB990000}"/>
    <cellStyle name="Normal 6 10 3" xfId="28223" xr:uid="{00000000-0005-0000-0000-0000EC990000}"/>
    <cellStyle name="Normal 6 10 3 2" xfId="28224" xr:uid="{00000000-0005-0000-0000-0000ED990000}"/>
    <cellStyle name="Normal 6 10 3 2 2" xfId="57202" xr:uid="{00000000-0005-0000-0000-0000EE990000}"/>
    <cellStyle name="Normal 6 10 3 2 3" xfId="57203" xr:uid="{00000000-0005-0000-0000-0000EF990000}"/>
    <cellStyle name="Normal 6 10 3 3" xfId="28225" xr:uid="{00000000-0005-0000-0000-0000F0990000}"/>
    <cellStyle name="Normal 6 10 3 3 2" xfId="57204" xr:uid="{00000000-0005-0000-0000-0000F1990000}"/>
    <cellStyle name="Normal 6 10 3 4" xfId="28226" xr:uid="{00000000-0005-0000-0000-0000F2990000}"/>
    <cellStyle name="Normal 6 10 3 5" xfId="28227" xr:uid="{00000000-0005-0000-0000-0000F3990000}"/>
    <cellStyle name="Normal 6 10 3 6" xfId="28228" xr:uid="{00000000-0005-0000-0000-0000F4990000}"/>
    <cellStyle name="Normal 6 10 4" xfId="28229" xr:uid="{00000000-0005-0000-0000-0000F5990000}"/>
    <cellStyle name="Normal 6 10 4 2" xfId="57205" xr:uid="{00000000-0005-0000-0000-0000F6990000}"/>
    <cellStyle name="Normal 6 10 4 3" xfId="57206" xr:uid="{00000000-0005-0000-0000-0000F7990000}"/>
    <cellStyle name="Normal 6 10 5" xfId="28230" xr:uid="{00000000-0005-0000-0000-0000F8990000}"/>
    <cellStyle name="Normal 6 10 5 2" xfId="57207" xr:uid="{00000000-0005-0000-0000-0000F9990000}"/>
    <cellStyle name="Normal 6 10 6" xfId="28231" xr:uid="{00000000-0005-0000-0000-0000FA990000}"/>
    <cellStyle name="Normal 6 10 7" xfId="28232" xr:uid="{00000000-0005-0000-0000-0000FB990000}"/>
    <cellStyle name="Normal 6 10 8" xfId="28233" xr:uid="{00000000-0005-0000-0000-0000FC990000}"/>
    <cellStyle name="Normal 6 10 9" xfId="28234" xr:uid="{00000000-0005-0000-0000-0000FD990000}"/>
    <cellStyle name="Normal 6 11" xfId="28235" xr:uid="{00000000-0005-0000-0000-0000FE990000}"/>
    <cellStyle name="Normal 6 11 2" xfId="28236" xr:uid="{00000000-0005-0000-0000-0000FF990000}"/>
    <cellStyle name="Normal 6 11 2 2" xfId="28237" xr:uid="{00000000-0005-0000-0000-0000009A0000}"/>
    <cellStyle name="Normal 6 11 2 2 2" xfId="28238" xr:uid="{00000000-0005-0000-0000-0000019A0000}"/>
    <cellStyle name="Normal 6 11 2 2 2 2" xfId="57208" xr:uid="{00000000-0005-0000-0000-0000029A0000}"/>
    <cellStyle name="Normal 6 11 2 2 2 3" xfId="57209" xr:uid="{00000000-0005-0000-0000-0000039A0000}"/>
    <cellStyle name="Normal 6 11 2 2 3" xfId="28239" xr:uid="{00000000-0005-0000-0000-0000049A0000}"/>
    <cellStyle name="Normal 6 11 2 2 3 2" xfId="57210" xr:uid="{00000000-0005-0000-0000-0000059A0000}"/>
    <cellStyle name="Normal 6 11 2 2 4" xfId="28240" xr:uid="{00000000-0005-0000-0000-0000069A0000}"/>
    <cellStyle name="Normal 6 11 2 2 5" xfId="28241" xr:uid="{00000000-0005-0000-0000-0000079A0000}"/>
    <cellStyle name="Normal 6 11 2 2 6" xfId="28242" xr:uid="{00000000-0005-0000-0000-0000089A0000}"/>
    <cellStyle name="Normal 6 11 2 3" xfId="28243" xr:uid="{00000000-0005-0000-0000-0000099A0000}"/>
    <cellStyle name="Normal 6 11 2 3 2" xfId="57211" xr:uid="{00000000-0005-0000-0000-00000A9A0000}"/>
    <cellStyle name="Normal 6 11 2 3 3" xfId="57212" xr:uid="{00000000-0005-0000-0000-00000B9A0000}"/>
    <cellStyle name="Normal 6 11 2 4" xfId="28244" xr:uid="{00000000-0005-0000-0000-00000C9A0000}"/>
    <cellStyle name="Normal 6 11 2 4 2" xfId="57213" xr:uid="{00000000-0005-0000-0000-00000D9A0000}"/>
    <cellStyle name="Normal 6 11 2 5" xfId="28245" xr:uid="{00000000-0005-0000-0000-00000E9A0000}"/>
    <cellStyle name="Normal 6 11 2 6" xfId="28246" xr:uid="{00000000-0005-0000-0000-00000F9A0000}"/>
    <cellStyle name="Normal 6 11 2 7" xfId="28247" xr:uid="{00000000-0005-0000-0000-0000109A0000}"/>
    <cellStyle name="Normal 6 11 3" xfId="28248" xr:uid="{00000000-0005-0000-0000-0000119A0000}"/>
    <cellStyle name="Normal 6 11 3 2" xfId="28249" xr:uid="{00000000-0005-0000-0000-0000129A0000}"/>
    <cellStyle name="Normal 6 11 3 2 2" xfId="57214" xr:uid="{00000000-0005-0000-0000-0000139A0000}"/>
    <cellStyle name="Normal 6 11 3 2 3" xfId="57215" xr:uid="{00000000-0005-0000-0000-0000149A0000}"/>
    <cellStyle name="Normal 6 11 3 3" xfId="28250" xr:uid="{00000000-0005-0000-0000-0000159A0000}"/>
    <cellStyle name="Normal 6 11 3 3 2" xfId="57216" xr:uid="{00000000-0005-0000-0000-0000169A0000}"/>
    <cellStyle name="Normal 6 11 3 4" xfId="28251" xr:uid="{00000000-0005-0000-0000-0000179A0000}"/>
    <cellStyle name="Normal 6 11 3 5" xfId="28252" xr:uid="{00000000-0005-0000-0000-0000189A0000}"/>
    <cellStyle name="Normal 6 11 3 6" xfId="28253" xr:uid="{00000000-0005-0000-0000-0000199A0000}"/>
    <cellStyle name="Normal 6 11 4" xfId="28254" xr:uid="{00000000-0005-0000-0000-00001A9A0000}"/>
    <cellStyle name="Normal 6 11 4 2" xfId="57217" xr:uid="{00000000-0005-0000-0000-00001B9A0000}"/>
    <cellStyle name="Normal 6 11 4 3" xfId="57218" xr:uid="{00000000-0005-0000-0000-00001C9A0000}"/>
    <cellStyle name="Normal 6 11 5" xfId="28255" xr:uid="{00000000-0005-0000-0000-00001D9A0000}"/>
    <cellStyle name="Normal 6 11 5 2" xfId="57219" xr:uid="{00000000-0005-0000-0000-00001E9A0000}"/>
    <cellStyle name="Normal 6 11 6" xfId="28256" xr:uid="{00000000-0005-0000-0000-00001F9A0000}"/>
    <cellStyle name="Normal 6 11 7" xfId="28257" xr:uid="{00000000-0005-0000-0000-0000209A0000}"/>
    <cellStyle name="Normal 6 11 8" xfId="28258" xr:uid="{00000000-0005-0000-0000-0000219A0000}"/>
    <cellStyle name="Normal 6 12" xfId="28259" xr:uid="{00000000-0005-0000-0000-0000229A0000}"/>
    <cellStyle name="Normal 6 12 2" xfId="28260" xr:uid="{00000000-0005-0000-0000-0000239A0000}"/>
    <cellStyle name="Normal 6 12 2 2" xfId="28261" xr:uid="{00000000-0005-0000-0000-0000249A0000}"/>
    <cellStyle name="Normal 6 12 2 2 2" xfId="28262" xr:uid="{00000000-0005-0000-0000-0000259A0000}"/>
    <cellStyle name="Normal 6 12 2 2 2 2" xfId="57220" xr:uid="{00000000-0005-0000-0000-0000269A0000}"/>
    <cellStyle name="Normal 6 12 2 2 2 3" xfId="57221" xr:uid="{00000000-0005-0000-0000-0000279A0000}"/>
    <cellStyle name="Normal 6 12 2 2 3" xfId="28263" xr:uid="{00000000-0005-0000-0000-0000289A0000}"/>
    <cellStyle name="Normal 6 12 2 2 3 2" xfId="57222" xr:uid="{00000000-0005-0000-0000-0000299A0000}"/>
    <cellStyle name="Normal 6 12 2 2 4" xfId="28264" xr:uid="{00000000-0005-0000-0000-00002A9A0000}"/>
    <cellStyle name="Normal 6 12 2 2 5" xfId="28265" xr:uid="{00000000-0005-0000-0000-00002B9A0000}"/>
    <cellStyle name="Normal 6 12 2 2 6" xfId="28266" xr:uid="{00000000-0005-0000-0000-00002C9A0000}"/>
    <cellStyle name="Normal 6 12 2 3" xfId="28267" xr:uid="{00000000-0005-0000-0000-00002D9A0000}"/>
    <cellStyle name="Normal 6 12 2 3 2" xfId="57223" xr:uid="{00000000-0005-0000-0000-00002E9A0000}"/>
    <cellStyle name="Normal 6 12 2 3 3" xfId="57224" xr:uid="{00000000-0005-0000-0000-00002F9A0000}"/>
    <cellStyle name="Normal 6 12 2 4" xfId="28268" xr:uid="{00000000-0005-0000-0000-0000309A0000}"/>
    <cellStyle name="Normal 6 12 2 4 2" xfId="57225" xr:uid="{00000000-0005-0000-0000-0000319A0000}"/>
    <cellStyle name="Normal 6 12 2 5" xfId="28269" xr:uid="{00000000-0005-0000-0000-0000329A0000}"/>
    <cellStyle name="Normal 6 12 2 6" xfId="28270" xr:uid="{00000000-0005-0000-0000-0000339A0000}"/>
    <cellStyle name="Normal 6 12 2 7" xfId="28271" xr:uid="{00000000-0005-0000-0000-0000349A0000}"/>
    <cellStyle name="Normal 6 12 3" xfId="28272" xr:uid="{00000000-0005-0000-0000-0000359A0000}"/>
    <cellStyle name="Normal 6 12 3 2" xfId="28273" xr:uid="{00000000-0005-0000-0000-0000369A0000}"/>
    <cellStyle name="Normal 6 12 3 2 2" xfId="57226" xr:uid="{00000000-0005-0000-0000-0000379A0000}"/>
    <cellStyle name="Normal 6 12 3 2 3" xfId="57227" xr:uid="{00000000-0005-0000-0000-0000389A0000}"/>
    <cellStyle name="Normal 6 12 3 3" xfId="28274" xr:uid="{00000000-0005-0000-0000-0000399A0000}"/>
    <cellStyle name="Normal 6 12 3 3 2" xfId="57228" xr:uid="{00000000-0005-0000-0000-00003A9A0000}"/>
    <cellStyle name="Normal 6 12 3 4" xfId="28275" xr:uid="{00000000-0005-0000-0000-00003B9A0000}"/>
    <cellStyle name="Normal 6 12 3 5" xfId="28276" xr:uid="{00000000-0005-0000-0000-00003C9A0000}"/>
    <cellStyle name="Normal 6 12 3 6" xfId="28277" xr:uid="{00000000-0005-0000-0000-00003D9A0000}"/>
    <cellStyle name="Normal 6 12 4" xfId="28278" xr:uid="{00000000-0005-0000-0000-00003E9A0000}"/>
    <cellStyle name="Normal 6 12 4 2" xfId="57229" xr:uid="{00000000-0005-0000-0000-00003F9A0000}"/>
    <cellStyle name="Normal 6 12 4 3" xfId="57230" xr:uid="{00000000-0005-0000-0000-0000409A0000}"/>
    <cellStyle name="Normal 6 12 5" xfId="28279" xr:uid="{00000000-0005-0000-0000-0000419A0000}"/>
    <cellStyle name="Normal 6 12 5 2" xfId="57231" xr:uid="{00000000-0005-0000-0000-0000429A0000}"/>
    <cellStyle name="Normal 6 12 6" xfId="28280" xr:uid="{00000000-0005-0000-0000-0000439A0000}"/>
    <cellStyle name="Normal 6 12 7" xfId="28281" xr:uid="{00000000-0005-0000-0000-0000449A0000}"/>
    <cellStyle name="Normal 6 12 8" xfId="28282" xr:uid="{00000000-0005-0000-0000-0000459A0000}"/>
    <cellStyle name="Normal 6 13" xfId="28283" xr:uid="{00000000-0005-0000-0000-0000469A0000}"/>
    <cellStyle name="Normal 6 13 2" xfId="28284" xr:uid="{00000000-0005-0000-0000-0000479A0000}"/>
    <cellStyle name="Normal 6 13 2 2" xfId="28285" xr:uid="{00000000-0005-0000-0000-0000489A0000}"/>
    <cellStyle name="Normal 6 13 2 2 2" xfId="57232" xr:uid="{00000000-0005-0000-0000-0000499A0000}"/>
    <cellStyle name="Normal 6 13 2 2 3" xfId="57233" xr:uid="{00000000-0005-0000-0000-00004A9A0000}"/>
    <cellStyle name="Normal 6 13 2 3" xfId="28286" xr:uid="{00000000-0005-0000-0000-00004B9A0000}"/>
    <cellStyle name="Normal 6 13 2 3 2" xfId="57234" xr:uid="{00000000-0005-0000-0000-00004C9A0000}"/>
    <cellStyle name="Normal 6 13 2 4" xfId="28287" xr:uid="{00000000-0005-0000-0000-00004D9A0000}"/>
    <cellStyle name="Normal 6 13 2 5" xfId="28288" xr:uid="{00000000-0005-0000-0000-00004E9A0000}"/>
    <cellStyle name="Normal 6 13 2 6" xfId="28289" xr:uid="{00000000-0005-0000-0000-00004F9A0000}"/>
    <cellStyle name="Normal 6 13 3" xfId="28290" xr:uid="{00000000-0005-0000-0000-0000509A0000}"/>
    <cellStyle name="Normal 6 13 3 2" xfId="57235" xr:uid="{00000000-0005-0000-0000-0000519A0000}"/>
    <cellStyle name="Normal 6 13 3 3" xfId="57236" xr:uid="{00000000-0005-0000-0000-0000529A0000}"/>
    <cellStyle name="Normal 6 13 4" xfId="28291" xr:uid="{00000000-0005-0000-0000-0000539A0000}"/>
    <cellStyle name="Normal 6 13 4 2" xfId="57237" xr:uid="{00000000-0005-0000-0000-0000549A0000}"/>
    <cellStyle name="Normal 6 13 5" xfId="28292" xr:uid="{00000000-0005-0000-0000-0000559A0000}"/>
    <cellStyle name="Normal 6 13 6" xfId="28293" xr:uid="{00000000-0005-0000-0000-0000569A0000}"/>
    <cellStyle name="Normal 6 13 7" xfId="28294" xr:uid="{00000000-0005-0000-0000-0000579A0000}"/>
    <cellStyle name="Normal 6 14" xfId="28295" xr:uid="{00000000-0005-0000-0000-0000589A0000}"/>
    <cellStyle name="Normal 6 14 2" xfId="28296" xr:uid="{00000000-0005-0000-0000-0000599A0000}"/>
    <cellStyle name="Normal 6 14 2 2" xfId="57238" xr:uid="{00000000-0005-0000-0000-00005A9A0000}"/>
    <cellStyle name="Normal 6 14 2 3" xfId="57239" xr:uid="{00000000-0005-0000-0000-00005B9A0000}"/>
    <cellStyle name="Normal 6 14 3" xfId="28297" xr:uid="{00000000-0005-0000-0000-00005C9A0000}"/>
    <cellStyle name="Normal 6 14 3 2" xfId="57240" xr:uid="{00000000-0005-0000-0000-00005D9A0000}"/>
    <cellStyle name="Normal 6 14 4" xfId="28298" xr:uid="{00000000-0005-0000-0000-00005E9A0000}"/>
    <cellStyle name="Normal 6 14 5" xfId="28299" xr:uid="{00000000-0005-0000-0000-00005F9A0000}"/>
    <cellStyle name="Normal 6 14 6" xfId="28300" xr:uid="{00000000-0005-0000-0000-0000609A0000}"/>
    <cellStyle name="Normal 6 15" xfId="28301" xr:uid="{00000000-0005-0000-0000-0000619A0000}"/>
    <cellStyle name="Normal 6 15 2" xfId="57241" xr:uid="{00000000-0005-0000-0000-0000629A0000}"/>
    <cellStyle name="Normal 6 15 3" xfId="57242" xr:uid="{00000000-0005-0000-0000-0000639A0000}"/>
    <cellStyle name="Normal 6 16" xfId="28302" xr:uid="{00000000-0005-0000-0000-0000649A0000}"/>
    <cellStyle name="Normal 6 16 2" xfId="57243" xr:uid="{00000000-0005-0000-0000-0000659A0000}"/>
    <cellStyle name="Normal 6 17" xfId="28303" xr:uid="{00000000-0005-0000-0000-0000669A0000}"/>
    <cellStyle name="Normal 6 17 2" xfId="57244" xr:uid="{00000000-0005-0000-0000-0000679A0000}"/>
    <cellStyle name="Normal 6 18" xfId="28304" xr:uid="{00000000-0005-0000-0000-0000689A0000}"/>
    <cellStyle name="Normal 6 19" xfId="28305" xr:uid="{00000000-0005-0000-0000-0000699A0000}"/>
    <cellStyle name="Normal 6 2" xfId="28306" xr:uid="{00000000-0005-0000-0000-00006A9A0000}"/>
    <cellStyle name="Normal 6 2 10" xfId="28307" xr:uid="{00000000-0005-0000-0000-00006B9A0000}"/>
    <cellStyle name="Normal 6 2 10 2" xfId="28308" xr:uid="{00000000-0005-0000-0000-00006C9A0000}"/>
    <cellStyle name="Normal 6 2 10 2 2" xfId="28309" xr:uid="{00000000-0005-0000-0000-00006D9A0000}"/>
    <cellStyle name="Normal 6 2 10 2 2 2" xfId="28310" xr:uid="{00000000-0005-0000-0000-00006E9A0000}"/>
    <cellStyle name="Normal 6 2 10 2 2 2 2" xfId="57245" xr:uid="{00000000-0005-0000-0000-00006F9A0000}"/>
    <cellStyle name="Normal 6 2 10 2 2 2 3" xfId="57246" xr:uid="{00000000-0005-0000-0000-0000709A0000}"/>
    <cellStyle name="Normal 6 2 10 2 2 3" xfId="28311" xr:uid="{00000000-0005-0000-0000-0000719A0000}"/>
    <cellStyle name="Normal 6 2 10 2 2 3 2" xfId="57247" xr:uid="{00000000-0005-0000-0000-0000729A0000}"/>
    <cellStyle name="Normal 6 2 10 2 2 4" xfId="28312" xr:uid="{00000000-0005-0000-0000-0000739A0000}"/>
    <cellStyle name="Normal 6 2 10 2 2 5" xfId="28313" xr:uid="{00000000-0005-0000-0000-0000749A0000}"/>
    <cellStyle name="Normal 6 2 10 2 2 6" xfId="28314" xr:uid="{00000000-0005-0000-0000-0000759A0000}"/>
    <cellStyle name="Normal 6 2 10 2 3" xfId="28315" xr:uid="{00000000-0005-0000-0000-0000769A0000}"/>
    <cellStyle name="Normal 6 2 10 2 3 2" xfId="57248" xr:uid="{00000000-0005-0000-0000-0000779A0000}"/>
    <cellStyle name="Normal 6 2 10 2 3 3" xfId="57249" xr:uid="{00000000-0005-0000-0000-0000789A0000}"/>
    <cellStyle name="Normal 6 2 10 2 4" xfId="28316" xr:uid="{00000000-0005-0000-0000-0000799A0000}"/>
    <cellStyle name="Normal 6 2 10 2 4 2" xfId="57250" xr:uid="{00000000-0005-0000-0000-00007A9A0000}"/>
    <cellStyle name="Normal 6 2 10 2 5" xfId="28317" xr:uid="{00000000-0005-0000-0000-00007B9A0000}"/>
    <cellStyle name="Normal 6 2 10 2 6" xfId="28318" xr:uid="{00000000-0005-0000-0000-00007C9A0000}"/>
    <cellStyle name="Normal 6 2 10 2 7" xfId="28319" xr:uid="{00000000-0005-0000-0000-00007D9A0000}"/>
    <cellStyle name="Normal 6 2 10 3" xfId="28320" xr:uid="{00000000-0005-0000-0000-00007E9A0000}"/>
    <cellStyle name="Normal 6 2 10 3 2" xfId="28321" xr:uid="{00000000-0005-0000-0000-00007F9A0000}"/>
    <cellStyle name="Normal 6 2 10 3 2 2" xfId="57251" xr:uid="{00000000-0005-0000-0000-0000809A0000}"/>
    <cellStyle name="Normal 6 2 10 3 2 3" xfId="57252" xr:uid="{00000000-0005-0000-0000-0000819A0000}"/>
    <cellStyle name="Normal 6 2 10 3 3" xfId="28322" xr:uid="{00000000-0005-0000-0000-0000829A0000}"/>
    <cellStyle name="Normal 6 2 10 3 3 2" xfId="57253" xr:uid="{00000000-0005-0000-0000-0000839A0000}"/>
    <cellStyle name="Normal 6 2 10 3 4" xfId="28323" xr:uid="{00000000-0005-0000-0000-0000849A0000}"/>
    <cellStyle name="Normal 6 2 10 3 5" xfId="28324" xr:uid="{00000000-0005-0000-0000-0000859A0000}"/>
    <cellStyle name="Normal 6 2 10 3 6" xfId="28325" xr:uid="{00000000-0005-0000-0000-0000869A0000}"/>
    <cellStyle name="Normal 6 2 10 4" xfId="28326" xr:uid="{00000000-0005-0000-0000-0000879A0000}"/>
    <cellStyle name="Normal 6 2 10 4 2" xfId="57254" xr:uid="{00000000-0005-0000-0000-0000889A0000}"/>
    <cellStyle name="Normal 6 2 10 4 3" xfId="57255" xr:uid="{00000000-0005-0000-0000-0000899A0000}"/>
    <cellStyle name="Normal 6 2 10 5" xfId="28327" xr:uid="{00000000-0005-0000-0000-00008A9A0000}"/>
    <cellStyle name="Normal 6 2 10 5 2" xfId="57256" xr:uid="{00000000-0005-0000-0000-00008B9A0000}"/>
    <cellStyle name="Normal 6 2 10 6" xfId="28328" xr:uid="{00000000-0005-0000-0000-00008C9A0000}"/>
    <cellStyle name="Normal 6 2 10 7" xfId="28329" xr:uid="{00000000-0005-0000-0000-00008D9A0000}"/>
    <cellStyle name="Normal 6 2 10 8" xfId="28330" xr:uid="{00000000-0005-0000-0000-00008E9A0000}"/>
    <cellStyle name="Normal 6 2 11" xfId="28331" xr:uid="{00000000-0005-0000-0000-00008F9A0000}"/>
    <cellStyle name="Normal 6 2 11 2" xfId="28332" xr:uid="{00000000-0005-0000-0000-0000909A0000}"/>
    <cellStyle name="Normal 6 2 11 2 2" xfId="28333" xr:uid="{00000000-0005-0000-0000-0000919A0000}"/>
    <cellStyle name="Normal 6 2 11 2 2 2" xfId="28334" xr:uid="{00000000-0005-0000-0000-0000929A0000}"/>
    <cellStyle name="Normal 6 2 11 2 2 2 2" xfId="57257" xr:uid="{00000000-0005-0000-0000-0000939A0000}"/>
    <cellStyle name="Normal 6 2 11 2 2 2 3" xfId="57258" xr:uid="{00000000-0005-0000-0000-0000949A0000}"/>
    <cellStyle name="Normal 6 2 11 2 2 3" xfId="28335" xr:uid="{00000000-0005-0000-0000-0000959A0000}"/>
    <cellStyle name="Normal 6 2 11 2 2 3 2" xfId="57259" xr:uid="{00000000-0005-0000-0000-0000969A0000}"/>
    <cellStyle name="Normal 6 2 11 2 2 4" xfId="28336" xr:uid="{00000000-0005-0000-0000-0000979A0000}"/>
    <cellStyle name="Normal 6 2 11 2 2 5" xfId="28337" xr:uid="{00000000-0005-0000-0000-0000989A0000}"/>
    <cellStyle name="Normal 6 2 11 2 2 6" xfId="28338" xr:uid="{00000000-0005-0000-0000-0000999A0000}"/>
    <cellStyle name="Normal 6 2 11 2 3" xfId="28339" xr:uid="{00000000-0005-0000-0000-00009A9A0000}"/>
    <cellStyle name="Normal 6 2 11 2 3 2" xfId="57260" xr:uid="{00000000-0005-0000-0000-00009B9A0000}"/>
    <cellStyle name="Normal 6 2 11 2 3 3" xfId="57261" xr:uid="{00000000-0005-0000-0000-00009C9A0000}"/>
    <cellStyle name="Normal 6 2 11 2 4" xfId="28340" xr:uid="{00000000-0005-0000-0000-00009D9A0000}"/>
    <cellStyle name="Normal 6 2 11 2 4 2" xfId="57262" xr:uid="{00000000-0005-0000-0000-00009E9A0000}"/>
    <cellStyle name="Normal 6 2 11 2 5" xfId="28341" xr:uid="{00000000-0005-0000-0000-00009F9A0000}"/>
    <cellStyle name="Normal 6 2 11 2 6" xfId="28342" xr:uid="{00000000-0005-0000-0000-0000A09A0000}"/>
    <cellStyle name="Normal 6 2 11 2 7" xfId="28343" xr:uid="{00000000-0005-0000-0000-0000A19A0000}"/>
    <cellStyle name="Normal 6 2 11 3" xfId="28344" xr:uid="{00000000-0005-0000-0000-0000A29A0000}"/>
    <cellStyle name="Normal 6 2 11 3 2" xfId="28345" xr:uid="{00000000-0005-0000-0000-0000A39A0000}"/>
    <cellStyle name="Normal 6 2 11 3 2 2" xfId="57263" xr:uid="{00000000-0005-0000-0000-0000A49A0000}"/>
    <cellStyle name="Normal 6 2 11 3 2 3" xfId="57264" xr:uid="{00000000-0005-0000-0000-0000A59A0000}"/>
    <cellStyle name="Normal 6 2 11 3 3" xfId="28346" xr:uid="{00000000-0005-0000-0000-0000A69A0000}"/>
    <cellStyle name="Normal 6 2 11 3 3 2" xfId="57265" xr:uid="{00000000-0005-0000-0000-0000A79A0000}"/>
    <cellStyle name="Normal 6 2 11 3 4" xfId="28347" xr:uid="{00000000-0005-0000-0000-0000A89A0000}"/>
    <cellStyle name="Normal 6 2 11 3 5" xfId="28348" xr:uid="{00000000-0005-0000-0000-0000A99A0000}"/>
    <cellStyle name="Normal 6 2 11 3 6" xfId="28349" xr:uid="{00000000-0005-0000-0000-0000AA9A0000}"/>
    <cellStyle name="Normal 6 2 11 4" xfId="28350" xr:uid="{00000000-0005-0000-0000-0000AB9A0000}"/>
    <cellStyle name="Normal 6 2 11 4 2" xfId="57266" xr:uid="{00000000-0005-0000-0000-0000AC9A0000}"/>
    <cellStyle name="Normal 6 2 11 4 3" xfId="57267" xr:uid="{00000000-0005-0000-0000-0000AD9A0000}"/>
    <cellStyle name="Normal 6 2 11 5" xfId="28351" xr:uid="{00000000-0005-0000-0000-0000AE9A0000}"/>
    <cellStyle name="Normal 6 2 11 5 2" xfId="57268" xr:uid="{00000000-0005-0000-0000-0000AF9A0000}"/>
    <cellStyle name="Normal 6 2 11 6" xfId="28352" xr:uid="{00000000-0005-0000-0000-0000B09A0000}"/>
    <cellStyle name="Normal 6 2 11 7" xfId="28353" xr:uid="{00000000-0005-0000-0000-0000B19A0000}"/>
    <cellStyle name="Normal 6 2 11 8" xfId="28354" xr:uid="{00000000-0005-0000-0000-0000B29A0000}"/>
    <cellStyle name="Normal 6 2 12" xfId="28355" xr:uid="{00000000-0005-0000-0000-0000B39A0000}"/>
    <cellStyle name="Normal 6 2 12 2" xfId="28356" xr:uid="{00000000-0005-0000-0000-0000B49A0000}"/>
    <cellStyle name="Normal 6 2 12 2 2" xfId="28357" xr:uid="{00000000-0005-0000-0000-0000B59A0000}"/>
    <cellStyle name="Normal 6 2 12 2 2 2" xfId="57269" xr:uid="{00000000-0005-0000-0000-0000B69A0000}"/>
    <cellStyle name="Normal 6 2 12 2 2 3" xfId="57270" xr:uid="{00000000-0005-0000-0000-0000B79A0000}"/>
    <cellStyle name="Normal 6 2 12 2 3" xfId="28358" xr:uid="{00000000-0005-0000-0000-0000B89A0000}"/>
    <cellStyle name="Normal 6 2 12 2 3 2" xfId="57271" xr:uid="{00000000-0005-0000-0000-0000B99A0000}"/>
    <cellStyle name="Normal 6 2 12 2 4" xfId="28359" xr:uid="{00000000-0005-0000-0000-0000BA9A0000}"/>
    <cellStyle name="Normal 6 2 12 2 5" xfId="28360" xr:uid="{00000000-0005-0000-0000-0000BB9A0000}"/>
    <cellStyle name="Normal 6 2 12 2 6" xfId="28361" xr:uid="{00000000-0005-0000-0000-0000BC9A0000}"/>
    <cellStyle name="Normal 6 2 12 3" xfId="28362" xr:uid="{00000000-0005-0000-0000-0000BD9A0000}"/>
    <cellStyle name="Normal 6 2 12 3 2" xfId="57272" xr:uid="{00000000-0005-0000-0000-0000BE9A0000}"/>
    <cellStyle name="Normal 6 2 12 3 3" xfId="57273" xr:uid="{00000000-0005-0000-0000-0000BF9A0000}"/>
    <cellStyle name="Normal 6 2 12 4" xfId="28363" xr:uid="{00000000-0005-0000-0000-0000C09A0000}"/>
    <cellStyle name="Normal 6 2 12 4 2" xfId="57274" xr:uid="{00000000-0005-0000-0000-0000C19A0000}"/>
    <cellStyle name="Normal 6 2 12 5" xfId="28364" xr:uid="{00000000-0005-0000-0000-0000C29A0000}"/>
    <cellStyle name="Normal 6 2 12 6" xfId="28365" xr:uid="{00000000-0005-0000-0000-0000C39A0000}"/>
    <cellStyle name="Normal 6 2 12 7" xfId="28366" xr:uid="{00000000-0005-0000-0000-0000C49A0000}"/>
    <cellStyle name="Normal 6 2 13" xfId="28367" xr:uid="{00000000-0005-0000-0000-0000C59A0000}"/>
    <cellStyle name="Normal 6 2 13 2" xfId="28368" xr:uid="{00000000-0005-0000-0000-0000C69A0000}"/>
    <cellStyle name="Normal 6 2 13 2 2" xfId="57275" xr:uid="{00000000-0005-0000-0000-0000C79A0000}"/>
    <cellStyle name="Normal 6 2 13 2 3" xfId="57276" xr:uid="{00000000-0005-0000-0000-0000C89A0000}"/>
    <cellStyle name="Normal 6 2 13 3" xfId="28369" xr:uid="{00000000-0005-0000-0000-0000C99A0000}"/>
    <cellStyle name="Normal 6 2 13 3 2" xfId="57277" xr:uid="{00000000-0005-0000-0000-0000CA9A0000}"/>
    <cellStyle name="Normal 6 2 13 4" xfId="28370" xr:uid="{00000000-0005-0000-0000-0000CB9A0000}"/>
    <cellStyle name="Normal 6 2 13 5" xfId="28371" xr:uid="{00000000-0005-0000-0000-0000CC9A0000}"/>
    <cellStyle name="Normal 6 2 13 6" xfId="28372" xr:uid="{00000000-0005-0000-0000-0000CD9A0000}"/>
    <cellStyle name="Normal 6 2 14" xfId="28373" xr:uid="{00000000-0005-0000-0000-0000CE9A0000}"/>
    <cellStyle name="Normal 6 2 14 2" xfId="57278" xr:uid="{00000000-0005-0000-0000-0000CF9A0000}"/>
    <cellStyle name="Normal 6 2 14 3" xfId="57279" xr:uid="{00000000-0005-0000-0000-0000D09A0000}"/>
    <cellStyle name="Normal 6 2 15" xfId="28374" xr:uid="{00000000-0005-0000-0000-0000D19A0000}"/>
    <cellStyle name="Normal 6 2 15 2" xfId="57280" xr:uid="{00000000-0005-0000-0000-0000D29A0000}"/>
    <cellStyle name="Normal 6 2 16" xfId="28375" xr:uid="{00000000-0005-0000-0000-0000D39A0000}"/>
    <cellStyle name="Normal 6 2 16 2" xfId="57281" xr:uid="{00000000-0005-0000-0000-0000D49A0000}"/>
    <cellStyle name="Normal 6 2 17" xfId="28376" xr:uid="{00000000-0005-0000-0000-0000D59A0000}"/>
    <cellStyle name="Normal 6 2 18" xfId="28377" xr:uid="{00000000-0005-0000-0000-0000D69A0000}"/>
    <cellStyle name="Normal 6 2 19" xfId="28378" xr:uid="{00000000-0005-0000-0000-0000D79A0000}"/>
    <cellStyle name="Normal 6 2 2" xfId="28379" xr:uid="{00000000-0005-0000-0000-0000D89A0000}"/>
    <cellStyle name="Normal 6 2 2 10" xfId="28380" xr:uid="{00000000-0005-0000-0000-0000D99A0000}"/>
    <cellStyle name="Normal 6 2 2 10 2" xfId="28381" xr:uid="{00000000-0005-0000-0000-0000DA9A0000}"/>
    <cellStyle name="Normal 6 2 2 10 2 2" xfId="28382" xr:uid="{00000000-0005-0000-0000-0000DB9A0000}"/>
    <cellStyle name="Normal 6 2 2 10 2 2 2" xfId="57282" xr:uid="{00000000-0005-0000-0000-0000DC9A0000}"/>
    <cellStyle name="Normal 6 2 2 10 2 2 3" xfId="57283" xr:uid="{00000000-0005-0000-0000-0000DD9A0000}"/>
    <cellStyle name="Normal 6 2 2 10 2 3" xfId="28383" xr:uid="{00000000-0005-0000-0000-0000DE9A0000}"/>
    <cellStyle name="Normal 6 2 2 10 2 3 2" xfId="57284" xr:uid="{00000000-0005-0000-0000-0000DF9A0000}"/>
    <cellStyle name="Normal 6 2 2 10 2 4" xfId="28384" xr:uid="{00000000-0005-0000-0000-0000E09A0000}"/>
    <cellStyle name="Normal 6 2 2 10 2 5" xfId="28385" xr:uid="{00000000-0005-0000-0000-0000E19A0000}"/>
    <cellStyle name="Normal 6 2 2 10 2 6" xfId="28386" xr:uid="{00000000-0005-0000-0000-0000E29A0000}"/>
    <cellStyle name="Normal 6 2 2 10 3" xfId="28387" xr:uid="{00000000-0005-0000-0000-0000E39A0000}"/>
    <cellStyle name="Normal 6 2 2 10 3 2" xfId="57285" xr:uid="{00000000-0005-0000-0000-0000E49A0000}"/>
    <cellStyle name="Normal 6 2 2 10 3 3" xfId="57286" xr:uid="{00000000-0005-0000-0000-0000E59A0000}"/>
    <cellStyle name="Normal 6 2 2 10 4" xfId="28388" xr:uid="{00000000-0005-0000-0000-0000E69A0000}"/>
    <cellStyle name="Normal 6 2 2 10 4 2" xfId="57287" xr:uid="{00000000-0005-0000-0000-0000E79A0000}"/>
    <cellStyle name="Normal 6 2 2 10 5" xfId="28389" xr:uid="{00000000-0005-0000-0000-0000E89A0000}"/>
    <cellStyle name="Normal 6 2 2 10 6" xfId="28390" xr:uid="{00000000-0005-0000-0000-0000E99A0000}"/>
    <cellStyle name="Normal 6 2 2 10 7" xfId="28391" xr:uid="{00000000-0005-0000-0000-0000EA9A0000}"/>
    <cellStyle name="Normal 6 2 2 11" xfId="28392" xr:uid="{00000000-0005-0000-0000-0000EB9A0000}"/>
    <cellStyle name="Normal 6 2 2 11 2" xfId="28393" xr:uid="{00000000-0005-0000-0000-0000EC9A0000}"/>
    <cellStyle name="Normal 6 2 2 11 2 2" xfId="57288" xr:uid="{00000000-0005-0000-0000-0000ED9A0000}"/>
    <cellStyle name="Normal 6 2 2 11 2 3" xfId="57289" xr:uid="{00000000-0005-0000-0000-0000EE9A0000}"/>
    <cellStyle name="Normal 6 2 2 11 3" xfId="28394" xr:uid="{00000000-0005-0000-0000-0000EF9A0000}"/>
    <cellStyle name="Normal 6 2 2 11 3 2" xfId="57290" xr:uid="{00000000-0005-0000-0000-0000F09A0000}"/>
    <cellStyle name="Normal 6 2 2 11 4" xfId="28395" xr:uid="{00000000-0005-0000-0000-0000F19A0000}"/>
    <cellStyle name="Normal 6 2 2 11 5" xfId="28396" xr:uid="{00000000-0005-0000-0000-0000F29A0000}"/>
    <cellStyle name="Normal 6 2 2 11 6" xfId="28397" xr:uid="{00000000-0005-0000-0000-0000F39A0000}"/>
    <cellStyle name="Normal 6 2 2 12" xfId="28398" xr:uid="{00000000-0005-0000-0000-0000F49A0000}"/>
    <cellStyle name="Normal 6 2 2 12 2" xfId="57291" xr:uid="{00000000-0005-0000-0000-0000F59A0000}"/>
    <cellStyle name="Normal 6 2 2 12 3" xfId="57292" xr:uid="{00000000-0005-0000-0000-0000F69A0000}"/>
    <cellStyle name="Normal 6 2 2 13" xfId="28399" xr:uid="{00000000-0005-0000-0000-0000F79A0000}"/>
    <cellStyle name="Normal 6 2 2 13 2" xfId="57293" xr:uid="{00000000-0005-0000-0000-0000F89A0000}"/>
    <cellStyle name="Normal 6 2 2 14" xfId="28400" xr:uid="{00000000-0005-0000-0000-0000F99A0000}"/>
    <cellStyle name="Normal 6 2 2 14 2" xfId="57294" xr:uid="{00000000-0005-0000-0000-0000FA9A0000}"/>
    <cellStyle name="Normal 6 2 2 15" xfId="28401" xr:uid="{00000000-0005-0000-0000-0000FB9A0000}"/>
    <cellStyle name="Normal 6 2 2 16" xfId="28402" xr:uid="{00000000-0005-0000-0000-0000FC9A0000}"/>
    <cellStyle name="Normal 6 2 2 17" xfId="28403" xr:uid="{00000000-0005-0000-0000-0000FD9A0000}"/>
    <cellStyle name="Normal 6 2 2 18" xfId="28404" xr:uid="{00000000-0005-0000-0000-0000FE9A0000}"/>
    <cellStyle name="Normal 6 2 2 19" xfId="28405" xr:uid="{00000000-0005-0000-0000-0000FF9A0000}"/>
    <cellStyle name="Normal 6 2 2 2" xfId="28406" xr:uid="{00000000-0005-0000-0000-0000009B0000}"/>
    <cellStyle name="Normal 6 2 2 2 10" xfId="28407" xr:uid="{00000000-0005-0000-0000-0000019B0000}"/>
    <cellStyle name="Normal 6 2 2 2 11" xfId="28408" xr:uid="{00000000-0005-0000-0000-0000029B0000}"/>
    <cellStyle name="Normal 6 2 2 2 12" xfId="28409" xr:uid="{00000000-0005-0000-0000-0000039B0000}"/>
    <cellStyle name="Normal 6 2 2 2 13" xfId="28410" xr:uid="{00000000-0005-0000-0000-0000049B0000}"/>
    <cellStyle name="Normal 6 2 2 2 14" xfId="28411" xr:uid="{00000000-0005-0000-0000-0000059B0000}"/>
    <cellStyle name="Normal 6 2 2 2 15" xfId="28412" xr:uid="{00000000-0005-0000-0000-0000069B0000}"/>
    <cellStyle name="Normal 6 2 2 2 2" xfId="28413" xr:uid="{00000000-0005-0000-0000-0000079B0000}"/>
    <cellStyle name="Normal 6 2 2 2 2 10" xfId="28414" xr:uid="{00000000-0005-0000-0000-0000089B0000}"/>
    <cellStyle name="Normal 6 2 2 2 2 11" xfId="28415" xr:uid="{00000000-0005-0000-0000-0000099B0000}"/>
    <cellStyle name="Normal 6 2 2 2 2 12" xfId="28416" xr:uid="{00000000-0005-0000-0000-00000A9B0000}"/>
    <cellStyle name="Normal 6 2 2 2 2 13" xfId="28417" xr:uid="{00000000-0005-0000-0000-00000B9B0000}"/>
    <cellStyle name="Normal 6 2 2 2 2 14" xfId="28418" xr:uid="{00000000-0005-0000-0000-00000C9B0000}"/>
    <cellStyle name="Normal 6 2 2 2 2 2" xfId="28419" xr:uid="{00000000-0005-0000-0000-00000D9B0000}"/>
    <cellStyle name="Normal 6 2 2 2 2 2 2" xfId="28420" xr:uid="{00000000-0005-0000-0000-00000E9B0000}"/>
    <cellStyle name="Normal 6 2 2 2 2 2 2 2" xfId="28421" xr:uid="{00000000-0005-0000-0000-00000F9B0000}"/>
    <cellStyle name="Normal 6 2 2 2 2 2 2 2 2" xfId="28422" xr:uid="{00000000-0005-0000-0000-0000109B0000}"/>
    <cellStyle name="Normal 6 2 2 2 2 2 2 2 2 2" xfId="57295" xr:uid="{00000000-0005-0000-0000-0000119B0000}"/>
    <cellStyle name="Normal 6 2 2 2 2 2 2 2 2 3" xfId="57296" xr:uid="{00000000-0005-0000-0000-0000129B0000}"/>
    <cellStyle name="Normal 6 2 2 2 2 2 2 2 3" xfId="28423" xr:uid="{00000000-0005-0000-0000-0000139B0000}"/>
    <cellStyle name="Normal 6 2 2 2 2 2 2 2 3 2" xfId="57297" xr:uid="{00000000-0005-0000-0000-0000149B0000}"/>
    <cellStyle name="Normal 6 2 2 2 2 2 2 2 4" xfId="28424" xr:uid="{00000000-0005-0000-0000-0000159B0000}"/>
    <cellStyle name="Normal 6 2 2 2 2 2 2 2 5" xfId="28425" xr:uid="{00000000-0005-0000-0000-0000169B0000}"/>
    <cellStyle name="Normal 6 2 2 2 2 2 2 2 6" xfId="28426" xr:uid="{00000000-0005-0000-0000-0000179B0000}"/>
    <cellStyle name="Normal 6 2 2 2 2 2 2 3" xfId="28427" xr:uid="{00000000-0005-0000-0000-0000189B0000}"/>
    <cellStyle name="Normal 6 2 2 2 2 2 2 3 2" xfId="57298" xr:uid="{00000000-0005-0000-0000-0000199B0000}"/>
    <cellStyle name="Normal 6 2 2 2 2 2 2 3 3" xfId="57299" xr:uid="{00000000-0005-0000-0000-00001A9B0000}"/>
    <cellStyle name="Normal 6 2 2 2 2 2 2 4" xfId="28428" xr:uid="{00000000-0005-0000-0000-00001B9B0000}"/>
    <cellStyle name="Normal 6 2 2 2 2 2 2 4 2" xfId="57300" xr:uid="{00000000-0005-0000-0000-00001C9B0000}"/>
    <cellStyle name="Normal 6 2 2 2 2 2 2 5" xfId="28429" xr:uid="{00000000-0005-0000-0000-00001D9B0000}"/>
    <cellStyle name="Normal 6 2 2 2 2 2 2 6" xfId="28430" xr:uid="{00000000-0005-0000-0000-00001E9B0000}"/>
    <cellStyle name="Normal 6 2 2 2 2 2 2 7" xfId="28431" xr:uid="{00000000-0005-0000-0000-00001F9B0000}"/>
    <cellStyle name="Normal 6 2 2 2 2 2 3" xfId="28432" xr:uid="{00000000-0005-0000-0000-0000209B0000}"/>
    <cellStyle name="Normal 6 2 2 2 2 2 3 2" xfId="28433" xr:uid="{00000000-0005-0000-0000-0000219B0000}"/>
    <cellStyle name="Normal 6 2 2 2 2 2 3 2 2" xfId="57301" xr:uid="{00000000-0005-0000-0000-0000229B0000}"/>
    <cellStyle name="Normal 6 2 2 2 2 2 3 2 3" xfId="57302" xr:uid="{00000000-0005-0000-0000-0000239B0000}"/>
    <cellStyle name="Normal 6 2 2 2 2 2 3 3" xfId="28434" xr:uid="{00000000-0005-0000-0000-0000249B0000}"/>
    <cellStyle name="Normal 6 2 2 2 2 2 3 3 2" xfId="57303" xr:uid="{00000000-0005-0000-0000-0000259B0000}"/>
    <cellStyle name="Normal 6 2 2 2 2 2 3 4" xfId="28435" xr:uid="{00000000-0005-0000-0000-0000269B0000}"/>
    <cellStyle name="Normal 6 2 2 2 2 2 3 5" xfId="28436" xr:uid="{00000000-0005-0000-0000-0000279B0000}"/>
    <cellStyle name="Normal 6 2 2 2 2 2 3 6" xfId="28437" xr:uid="{00000000-0005-0000-0000-0000289B0000}"/>
    <cellStyle name="Normal 6 2 2 2 2 2 4" xfId="28438" xr:uid="{00000000-0005-0000-0000-0000299B0000}"/>
    <cellStyle name="Normal 6 2 2 2 2 2 4 2" xfId="57304" xr:uid="{00000000-0005-0000-0000-00002A9B0000}"/>
    <cellStyle name="Normal 6 2 2 2 2 2 4 3" xfId="57305" xr:uid="{00000000-0005-0000-0000-00002B9B0000}"/>
    <cellStyle name="Normal 6 2 2 2 2 2 5" xfId="28439" xr:uid="{00000000-0005-0000-0000-00002C9B0000}"/>
    <cellStyle name="Normal 6 2 2 2 2 2 5 2" xfId="57306" xr:uid="{00000000-0005-0000-0000-00002D9B0000}"/>
    <cellStyle name="Normal 6 2 2 2 2 2 6" xfId="28440" xr:uid="{00000000-0005-0000-0000-00002E9B0000}"/>
    <cellStyle name="Normal 6 2 2 2 2 2 7" xfId="28441" xr:uid="{00000000-0005-0000-0000-00002F9B0000}"/>
    <cellStyle name="Normal 6 2 2 2 2 2 8" xfId="28442" xr:uid="{00000000-0005-0000-0000-0000309B0000}"/>
    <cellStyle name="Normal 6 2 2 2 2 2 9" xfId="28443" xr:uid="{00000000-0005-0000-0000-0000319B0000}"/>
    <cellStyle name="Normal 6 2 2 2 2 3" xfId="28444" xr:uid="{00000000-0005-0000-0000-0000329B0000}"/>
    <cellStyle name="Normal 6 2 2 2 2 3 2" xfId="28445" xr:uid="{00000000-0005-0000-0000-0000339B0000}"/>
    <cellStyle name="Normal 6 2 2 2 2 3 2 2" xfId="28446" xr:uid="{00000000-0005-0000-0000-0000349B0000}"/>
    <cellStyle name="Normal 6 2 2 2 2 3 2 2 2" xfId="28447" xr:uid="{00000000-0005-0000-0000-0000359B0000}"/>
    <cellStyle name="Normal 6 2 2 2 2 3 2 2 2 2" xfId="57307" xr:uid="{00000000-0005-0000-0000-0000369B0000}"/>
    <cellStyle name="Normal 6 2 2 2 2 3 2 2 2 3" xfId="57308" xr:uid="{00000000-0005-0000-0000-0000379B0000}"/>
    <cellStyle name="Normal 6 2 2 2 2 3 2 2 3" xfId="28448" xr:uid="{00000000-0005-0000-0000-0000389B0000}"/>
    <cellStyle name="Normal 6 2 2 2 2 3 2 2 3 2" xfId="57309" xr:uid="{00000000-0005-0000-0000-0000399B0000}"/>
    <cellStyle name="Normal 6 2 2 2 2 3 2 2 4" xfId="28449" xr:uid="{00000000-0005-0000-0000-00003A9B0000}"/>
    <cellStyle name="Normal 6 2 2 2 2 3 2 2 5" xfId="28450" xr:uid="{00000000-0005-0000-0000-00003B9B0000}"/>
    <cellStyle name="Normal 6 2 2 2 2 3 2 2 6" xfId="28451" xr:uid="{00000000-0005-0000-0000-00003C9B0000}"/>
    <cellStyle name="Normal 6 2 2 2 2 3 2 3" xfId="28452" xr:uid="{00000000-0005-0000-0000-00003D9B0000}"/>
    <cellStyle name="Normal 6 2 2 2 2 3 2 3 2" xfId="57310" xr:uid="{00000000-0005-0000-0000-00003E9B0000}"/>
    <cellStyle name="Normal 6 2 2 2 2 3 2 3 3" xfId="57311" xr:uid="{00000000-0005-0000-0000-00003F9B0000}"/>
    <cellStyle name="Normal 6 2 2 2 2 3 2 4" xfId="28453" xr:uid="{00000000-0005-0000-0000-0000409B0000}"/>
    <cellStyle name="Normal 6 2 2 2 2 3 2 4 2" xfId="57312" xr:uid="{00000000-0005-0000-0000-0000419B0000}"/>
    <cellStyle name="Normal 6 2 2 2 2 3 2 5" xfId="28454" xr:uid="{00000000-0005-0000-0000-0000429B0000}"/>
    <cellStyle name="Normal 6 2 2 2 2 3 2 6" xfId="28455" xr:uid="{00000000-0005-0000-0000-0000439B0000}"/>
    <cellStyle name="Normal 6 2 2 2 2 3 2 7" xfId="28456" xr:uid="{00000000-0005-0000-0000-0000449B0000}"/>
    <cellStyle name="Normal 6 2 2 2 2 3 3" xfId="28457" xr:uid="{00000000-0005-0000-0000-0000459B0000}"/>
    <cellStyle name="Normal 6 2 2 2 2 3 3 2" xfId="28458" xr:uid="{00000000-0005-0000-0000-0000469B0000}"/>
    <cellStyle name="Normal 6 2 2 2 2 3 3 2 2" xfId="57313" xr:uid="{00000000-0005-0000-0000-0000479B0000}"/>
    <cellStyle name="Normal 6 2 2 2 2 3 3 2 3" xfId="57314" xr:uid="{00000000-0005-0000-0000-0000489B0000}"/>
    <cellStyle name="Normal 6 2 2 2 2 3 3 3" xfId="28459" xr:uid="{00000000-0005-0000-0000-0000499B0000}"/>
    <cellStyle name="Normal 6 2 2 2 2 3 3 3 2" xfId="57315" xr:uid="{00000000-0005-0000-0000-00004A9B0000}"/>
    <cellStyle name="Normal 6 2 2 2 2 3 3 4" xfId="28460" xr:uid="{00000000-0005-0000-0000-00004B9B0000}"/>
    <cellStyle name="Normal 6 2 2 2 2 3 3 5" xfId="28461" xr:uid="{00000000-0005-0000-0000-00004C9B0000}"/>
    <cellStyle name="Normal 6 2 2 2 2 3 3 6" xfId="28462" xr:uid="{00000000-0005-0000-0000-00004D9B0000}"/>
    <cellStyle name="Normal 6 2 2 2 2 3 4" xfId="28463" xr:uid="{00000000-0005-0000-0000-00004E9B0000}"/>
    <cellStyle name="Normal 6 2 2 2 2 3 4 2" xfId="57316" xr:uid="{00000000-0005-0000-0000-00004F9B0000}"/>
    <cellStyle name="Normal 6 2 2 2 2 3 4 3" xfId="57317" xr:uid="{00000000-0005-0000-0000-0000509B0000}"/>
    <cellStyle name="Normal 6 2 2 2 2 3 5" xfId="28464" xr:uid="{00000000-0005-0000-0000-0000519B0000}"/>
    <cellStyle name="Normal 6 2 2 2 2 3 5 2" xfId="57318" xr:uid="{00000000-0005-0000-0000-0000529B0000}"/>
    <cellStyle name="Normal 6 2 2 2 2 3 6" xfId="28465" xr:uid="{00000000-0005-0000-0000-0000539B0000}"/>
    <cellStyle name="Normal 6 2 2 2 2 3 7" xfId="28466" xr:uid="{00000000-0005-0000-0000-0000549B0000}"/>
    <cellStyle name="Normal 6 2 2 2 2 3 8" xfId="28467" xr:uid="{00000000-0005-0000-0000-0000559B0000}"/>
    <cellStyle name="Normal 6 2 2 2 2 4" xfId="28468" xr:uid="{00000000-0005-0000-0000-0000569B0000}"/>
    <cellStyle name="Normal 6 2 2 2 2 4 2" xfId="28469" xr:uid="{00000000-0005-0000-0000-0000579B0000}"/>
    <cellStyle name="Normal 6 2 2 2 2 4 2 2" xfId="28470" xr:uid="{00000000-0005-0000-0000-0000589B0000}"/>
    <cellStyle name="Normal 6 2 2 2 2 4 2 2 2" xfId="57319" xr:uid="{00000000-0005-0000-0000-0000599B0000}"/>
    <cellStyle name="Normal 6 2 2 2 2 4 2 2 3" xfId="57320" xr:uid="{00000000-0005-0000-0000-00005A9B0000}"/>
    <cellStyle name="Normal 6 2 2 2 2 4 2 3" xfId="28471" xr:uid="{00000000-0005-0000-0000-00005B9B0000}"/>
    <cellStyle name="Normal 6 2 2 2 2 4 2 3 2" xfId="57321" xr:uid="{00000000-0005-0000-0000-00005C9B0000}"/>
    <cellStyle name="Normal 6 2 2 2 2 4 2 4" xfId="28472" xr:uid="{00000000-0005-0000-0000-00005D9B0000}"/>
    <cellStyle name="Normal 6 2 2 2 2 4 2 5" xfId="28473" xr:uid="{00000000-0005-0000-0000-00005E9B0000}"/>
    <cellStyle name="Normal 6 2 2 2 2 4 2 6" xfId="28474" xr:uid="{00000000-0005-0000-0000-00005F9B0000}"/>
    <cellStyle name="Normal 6 2 2 2 2 4 3" xfId="28475" xr:uid="{00000000-0005-0000-0000-0000609B0000}"/>
    <cellStyle name="Normal 6 2 2 2 2 4 3 2" xfId="57322" xr:uid="{00000000-0005-0000-0000-0000619B0000}"/>
    <cellStyle name="Normal 6 2 2 2 2 4 3 3" xfId="57323" xr:uid="{00000000-0005-0000-0000-0000629B0000}"/>
    <cellStyle name="Normal 6 2 2 2 2 4 4" xfId="28476" xr:uid="{00000000-0005-0000-0000-0000639B0000}"/>
    <cellStyle name="Normal 6 2 2 2 2 4 4 2" xfId="57324" xr:uid="{00000000-0005-0000-0000-0000649B0000}"/>
    <cellStyle name="Normal 6 2 2 2 2 4 5" xfId="28477" xr:uid="{00000000-0005-0000-0000-0000659B0000}"/>
    <cellStyle name="Normal 6 2 2 2 2 4 6" xfId="28478" xr:uid="{00000000-0005-0000-0000-0000669B0000}"/>
    <cellStyle name="Normal 6 2 2 2 2 4 7" xfId="28479" xr:uid="{00000000-0005-0000-0000-0000679B0000}"/>
    <cellStyle name="Normal 6 2 2 2 2 5" xfId="28480" xr:uid="{00000000-0005-0000-0000-0000689B0000}"/>
    <cellStyle name="Normal 6 2 2 2 2 5 2" xfId="28481" xr:uid="{00000000-0005-0000-0000-0000699B0000}"/>
    <cellStyle name="Normal 6 2 2 2 2 5 2 2" xfId="57325" xr:uid="{00000000-0005-0000-0000-00006A9B0000}"/>
    <cellStyle name="Normal 6 2 2 2 2 5 2 3" xfId="57326" xr:uid="{00000000-0005-0000-0000-00006B9B0000}"/>
    <cellStyle name="Normal 6 2 2 2 2 5 3" xfId="28482" xr:uid="{00000000-0005-0000-0000-00006C9B0000}"/>
    <cellStyle name="Normal 6 2 2 2 2 5 3 2" xfId="57327" xr:uid="{00000000-0005-0000-0000-00006D9B0000}"/>
    <cellStyle name="Normal 6 2 2 2 2 5 4" xfId="28483" xr:uid="{00000000-0005-0000-0000-00006E9B0000}"/>
    <cellStyle name="Normal 6 2 2 2 2 5 5" xfId="28484" xr:uid="{00000000-0005-0000-0000-00006F9B0000}"/>
    <cellStyle name="Normal 6 2 2 2 2 5 6" xfId="28485" xr:uid="{00000000-0005-0000-0000-0000709B0000}"/>
    <cellStyle name="Normal 6 2 2 2 2 6" xfId="28486" xr:uid="{00000000-0005-0000-0000-0000719B0000}"/>
    <cellStyle name="Normal 6 2 2 2 2 6 2" xfId="57328" xr:uid="{00000000-0005-0000-0000-0000729B0000}"/>
    <cellStyle name="Normal 6 2 2 2 2 6 3" xfId="57329" xr:uid="{00000000-0005-0000-0000-0000739B0000}"/>
    <cellStyle name="Normal 6 2 2 2 2 7" xfId="28487" xr:uid="{00000000-0005-0000-0000-0000749B0000}"/>
    <cellStyle name="Normal 6 2 2 2 2 7 2" xfId="57330" xr:uid="{00000000-0005-0000-0000-0000759B0000}"/>
    <cellStyle name="Normal 6 2 2 2 2 8" xfId="28488" xr:uid="{00000000-0005-0000-0000-0000769B0000}"/>
    <cellStyle name="Normal 6 2 2 2 2 9" xfId="28489" xr:uid="{00000000-0005-0000-0000-0000779B0000}"/>
    <cellStyle name="Normal 6 2 2 2 3" xfId="28490" xr:uid="{00000000-0005-0000-0000-0000789B0000}"/>
    <cellStyle name="Normal 6 2 2 2 3 2" xfId="28491" xr:uid="{00000000-0005-0000-0000-0000799B0000}"/>
    <cellStyle name="Normal 6 2 2 2 3 2 2" xfId="28492" xr:uid="{00000000-0005-0000-0000-00007A9B0000}"/>
    <cellStyle name="Normal 6 2 2 2 3 2 2 2" xfId="28493" xr:uid="{00000000-0005-0000-0000-00007B9B0000}"/>
    <cellStyle name="Normal 6 2 2 2 3 2 2 2 2" xfId="57331" xr:uid="{00000000-0005-0000-0000-00007C9B0000}"/>
    <cellStyle name="Normal 6 2 2 2 3 2 2 2 3" xfId="57332" xr:uid="{00000000-0005-0000-0000-00007D9B0000}"/>
    <cellStyle name="Normal 6 2 2 2 3 2 2 3" xfId="28494" xr:uid="{00000000-0005-0000-0000-00007E9B0000}"/>
    <cellStyle name="Normal 6 2 2 2 3 2 2 3 2" xfId="57333" xr:uid="{00000000-0005-0000-0000-00007F9B0000}"/>
    <cellStyle name="Normal 6 2 2 2 3 2 2 4" xfId="28495" xr:uid="{00000000-0005-0000-0000-0000809B0000}"/>
    <cellStyle name="Normal 6 2 2 2 3 2 2 5" xfId="28496" xr:uid="{00000000-0005-0000-0000-0000819B0000}"/>
    <cellStyle name="Normal 6 2 2 2 3 2 2 6" xfId="28497" xr:uid="{00000000-0005-0000-0000-0000829B0000}"/>
    <cellStyle name="Normal 6 2 2 2 3 2 3" xfId="28498" xr:uid="{00000000-0005-0000-0000-0000839B0000}"/>
    <cellStyle name="Normal 6 2 2 2 3 2 3 2" xfId="57334" xr:uid="{00000000-0005-0000-0000-0000849B0000}"/>
    <cellStyle name="Normal 6 2 2 2 3 2 3 3" xfId="57335" xr:uid="{00000000-0005-0000-0000-0000859B0000}"/>
    <cellStyle name="Normal 6 2 2 2 3 2 4" xfId="28499" xr:uid="{00000000-0005-0000-0000-0000869B0000}"/>
    <cellStyle name="Normal 6 2 2 2 3 2 4 2" xfId="57336" xr:uid="{00000000-0005-0000-0000-0000879B0000}"/>
    <cellStyle name="Normal 6 2 2 2 3 2 5" xfId="28500" xr:uid="{00000000-0005-0000-0000-0000889B0000}"/>
    <cellStyle name="Normal 6 2 2 2 3 2 6" xfId="28501" xr:uid="{00000000-0005-0000-0000-0000899B0000}"/>
    <cellStyle name="Normal 6 2 2 2 3 2 7" xfId="28502" xr:uid="{00000000-0005-0000-0000-00008A9B0000}"/>
    <cellStyle name="Normal 6 2 2 2 3 3" xfId="28503" xr:uid="{00000000-0005-0000-0000-00008B9B0000}"/>
    <cellStyle name="Normal 6 2 2 2 3 3 2" xfId="28504" xr:uid="{00000000-0005-0000-0000-00008C9B0000}"/>
    <cellStyle name="Normal 6 2 2 2 3 3 2 2" xfId="57337" xr:uid="{00000000-0005-0000-0000-00008D9B0000}"/>
    <cellStyle name="Normal 6 2 2 2 3 3 2 3" xfId="57338" xr:uid="{00000000-0005-0000-0000-00008E9B0000}"/>
    <cellStyle name="Normal 6 2 2 2 3 3 3" xfId="28505" xr:uid="{00000000-0005-0000-0000-00008F9B0000}"/>
    <cellStyle name="Normal 6 2 2 2 3 3 3 2" xfId="57339" xr:uid="{00000000-0005-0000-0000-0000909B0000}"/>
    <cellStyle name="Normal 6 2 2 2 3 3 4" xfId="28506" xr:uid="{00000000-0005-0000-0000-0000919B0000}"/>
    <cellStyle name="Normal 6 2 2 2 3 3 5" xfId="28507" xr:uid="{00000000-0005-0000-0000-0000929B0000}"/>
    <cellStyle name="Normal 6 2 2 2 3 3 6" xfId="28508" xr:uid="{00000000-0005-0000-0000-0000939B0000}"/>
    <cellStyle name="Normal 6 2 2 2 3 4" xfId="28509" xr:uid="{00000000-0005-0000-0000-0000949B0000}"/>
    <cellStyle name="Normal 6 2 2 2 3 4 2" xfId="57340" xr:uid="{00000000-0005-0000-0000-0000959B0000}"/>
    <cellStyle name="Normal 6 2 2 2 3 4 3" xfId="57341" xr:uid="{00000000-0005-0000-0000-0000969B0000}"/>
    <cellStyle name="Normal 6 2 2 2 3 5" xfId="28510" xr:uid="{00000000-0005-0000-0000-0000979B0000}"/>
    <cellStyle name="Normal 6 2 2 2 3 5 2" xfId="57342" xr:uid="{00000000-0005-0000-0000-0000989B0000}"/>
    <cellStyle name="Normal 6 2 2 2 3 6" xfId="28511" xr:uid="{00000000-0005-0000-0000-0000999B0000}"/>
    <cellStyle name="Normal 6 2 2 2 3 7" xfId="28512" xr:uid="{00000000-0005-0000-0000-00009A9B0000}"/>
    <cellStyle name="Normal 6 2 2 2 3 8" xfId="28513" xr:uid="{00000000-0005-0000-0000-00009B9B0000}"/>
    <cellStyle name="Normal 6 2 2 2 3 9" xfId="28514" xr:uid="{00000000-0005-0000-0000-00009C9B0000}"/>
    <cellStyle name="Normal 6 2 2 2 4" xfId="28515" xr:uid="{00000000-0005-0000-0000-00009D9B0000}"/>
    <cellStyle name="Normal 6 2 2 2 4 2" xfId="28516" xr:uid="{00000000-0005-0000-0000-00009E9B0000}"/>
    <cellStyle name="Normal 6 2 2 2 4 2 2" xfId="28517" xr:uid="{00000000-0005-0000-0000-00009F9B0000}"/>
    <cellStyle name="Normal 6 2 2 2 4 2 2 2" xfId="28518" xr:uid="{00000000-0005-0000-0000-0000A09B0000}"/>
    <cellStyle name="Normal 6 2 2 2 4 2 2 2 2" xfId="57343" xr:uid="{00000000-0005-0000-0000-0000A19B0000}"/>
    <cellStyle name="Normal 6 2 2 2 4 2 2 2 3" xfId="57344" xr:uid="{00000000-0005-0000-0000-0000A29B0000}"/>
    <cellStyle name="Normal 6 2 2 2 4 2 2 3" xfId="28519" xr:uid="{00000000-0005-0000-0000-0000A39B0000}"/>
    <cellStyle name="Normal 6 2 2 2 4 2 2 3 2" xfId="57345" xr:uid="{00000000-0005-0000-0000-0000A49B0000}"/>
    <cellStyle name="Normal 6 2 2 2 4 2 2 4" xfId="28520" xr:uid="{00000000-0005-0000-0000-0000A59B0000}"/>
    <cellStyle name="Normal 6 2 2 2 4 2 2 5" xfId="28521" xr:uid="{00000000-0005-0000-0000-0000A69B0000}"/>
    <cellStyle name="Normal 6 2 2 2 4 2 2 6" xfId="28522" xr:uid="{00000000-0005-0000-0000-0000A79B0000}"/>
    <cellStyle name="Normal 6 2 2 2 4 2 3" xfId="28523" xr:uid="{00000000-0005-0000-0000-0000A89B0000}"/>
    <cellStyle name="Normal 6 2 2 2 4 2 3 2" xfId="57346" xr:uid="{00000000-0005-0000-0000-0000A99B0000}"/>
    <cellStyle name="Normal 6 2 2 2 4 2 3 3" xfId="57347" xr:uid="{00000000-0005-0000-0000-0000AA9B0000}"/>
    <cellStyle name="Normal 6 2 2 2 4 2 4" xfId="28524" xr:uid="{00000000-0005-0000-0000-0000AB9B0000}"/>
    <cellStyle name="Normal 6 2 2 2 4 2 4 2" xfId="57348" xr:uid="{00000000-0005-0000-0000-0000AC9B0000}"/>
    <cellStyle name="Normal 6 2 2 2 4 2 5" xfId="28525" xr:uid="{00000000-0005-0000-0000-0000AD9B0000}"/>
    <cellStyle name="Normal 6 2 2 2 4 2 6" xfId="28526" xr:uid="{00000000-0005-0000-0000-0000AE9B0000}"/>
    <cellStyle name="Normal 6 2 2 2 4 2 7" xfId="28527" xr:uid="{00000000-0005-0000-0000-0000AF9B0000}"/>
    <cellStyle name="Normal 6 2 2 2 4 3" xfId="28528" xr:uid="{00000000-0005-0000-0000-0000B09B0000}"/>
    <cellStyle name="Normal 6 2 2 2 4 3 2" xfId="28529" xr:uid="{00000000-0005-0000-0000-0000B19B0000}"/>
    <cellStyle name="Normal 6 2 2 2 4 3 2 2" xfId="57349" xr:uid="{00000000-0005-0000-0000-0000B29B0000}"/>
    <cellStyle name="Normal 6 2 2 2 4 3 2 3" xfId="57350" xr:uid="{00000000-0005-0000-0000-0000B39B0000}"/>
    <cellStyle name="Normal 6 2 2 2 4 3 3" xfId="28530" xr:uid="{00000000-0005-0000-0000-0000B49B0000}"/>
    <cellStyle name="Normal 6 2 2 2 4 3 3 2" xfId="57351" xr:uid="{00000000-0005-0000-0000-0000B59B0000}"/>
    <cellStyle name="Normal 6 2 2 2 4 3 4" xfId="28531" xr:uid="{00000000-0005-0000-0000-0000B69B0000}"/>
    <cellStyle name="Normal 6 2 2 2 4 3 5" xfId="28532" xr:uid="{00000000-0005-0000-0000-0000B79B0000}"/>
    <cellStyle name="Normal 6 2 2 2 4 3 6" xfId="28533" xr:uid="{00000000-0005-0000-0000-0000B89B0000}"/>
    <cellStyle name="Normal 6 2 2 2 4 4" xfId="28534" xr:uid="{00000000-0005-0000-0000-0000B99B0000}"/>
    <cellStyle name="Normal 6 2 2 2 4 4 2" xfId="57352" xr:uid="{00000000-0005-0000-0000-0000BA9B0000}"/>
    <cellStyle name="Normal 6 2 2 2 4 4 3" xfId="57353" xr:uid="{00000000-0005-0000-0000-0000BB9B0000}"/>
    <cellStyle name="Normal 6 2 2 2 4 5" xfId="28535" xr:uid="{00000000-0005-0000-0000-0000BC9B0000}"/>
    <cellStyle name="Normal 6 2 2 2 4 5 2" xfId="57354" xr:uid="{00000000-0005-0000-0000-0000BD9B0000}"/>
    <cellStyle name="Normal 6 2 2 2 4 6" xfId="28536" xr:uid="{00000000-0005-0000-0000-0000BE9B0000}"/>
    <cellStyle name="Normal 6 2 2 2 4 7" xfId="28537" xr:uid="{00000000-0005-0000-0000-0000BF9B0000}"/>
    <cellStyle name="Normal 6 2 2 2 4 8" xfId="28538" xr:uid="{00000000-0005-0000-0000-0000C09B0000}"/>
    <cellStyle name="Normal 6 2 2 2 5" xfId="28539" xr:uid="{00000000-0005-0000-0000-0000C19B0000}"/>
    <cellStyle name="Normal 6 2 2 2 5 2" xfId="28540" xr:uid="{00000000-0005-0000-0000-0000C29B0000}"/>
    <cellStyle name="Normal 6 2 2 2 5 2 2" xfId="28541" xr:uid="{00000000-0005-0000-0000-0000C39B0000}"/>
    <cellStyle name="Normal 6 2 2 2 5 2 2 2" xfId="57355" xr:uid="{00000000-0005-0000-0000-0000C49B0000}"/>
    <cellStyle name="Normal 6 2 2 2 5 2 2 3" xfId="57356" xr:uid="{00000000-0005-0000-0000-0000C59B0000}"/>
    <cellStyle name="Normal 6 2 2 2 5 2 3" xfId="28542" xr:uid="{00000000-0005-0000-0000-0000C69B0000}"/>
    <cellStyle name="Normal 6 2 2 2 5 2 3 2" xfId="57357" xr:uid="{00000000-0005-0000-0000-0000C79B0000}"/>
    <cellStyle name="Normal 6 2 2 2 5 2 4" xfId="28543" xr:uid="{00000000-0005-0000-0000-0000C89B0000}"/>
    <cellStyle name="Normal 6 2 2 2 5 2 5" xfId="28544" xr:uid="{00000000-0005-0000-0000-0000C99B0000}"/>
    <cellStyle name="Normal 6 2 2 2 5 2 6" xfId="28545" xr:uid="{00000000-0005-0000-0000-0000CA9B0000}"/>
    <cellStyle name="Normal 6 2 2 2 5 3" xfId="28546" xr:uid="{00000000-0005-0000-0000-0000CB9B0000}"/>
    <cellStyle name="Normal 6 2 2 2 5 3 2" xfId="57358" xr:uid="{00000000-0005-0000-0000-0000CC9B0000}"/>
    <cellStyle name="Normal 6 2 2 2 5 3 3" xfId="57359" xr:uid="{00000000-0005-0000-0000-0000CD9B0000}"/>
    <cellStyle name="Normal 6 2 2 2 5 4" xfId="28547" xr:uid="{00000000-0005-0000-0000-0000CE9B0000}"/>
    <cellStyle name="Normal 6 2 2 2 5 4 2" xfId="57360" xr:uid="{00000000-0005-0000-0000-0000CF9B0000}"/>
    <cellStyle name="Normal 6 2 2 2 5 5" xfId="28548" xr:uid="{00000000-0005-0000-0000-0000D09B0000}"/>
    <cellStyle name="Normal 6 2 2 2 5 6" xfId="28549" xr:uid="{00000000-0005-0000-0000-0000D19B0000}"/>
    <cellStyle name="Normal 6 2 2 2 5 7" xfId="28550" xr:uid="{00000000-0005-0000-0000-0000D29B0000}"/>
    <cellStyle name="Normal 6 2 2 2 6" xfId="28551" xr:uid="{00000000-0005-0000-0000-0000D39B0000}"/>
    <cellStyle name="Normal 6 2 2 2 6 2" xfId="28552" xr:uid="{00000000-0005-0000-0000-0000D49B0000}"/>
    <cellStyle name="Normal 6 2 2 2 6 2 2" xfId="57361" xr:uid="{00000000-0005-0000-0000-0000D59B0000}"/>
    <cellStyle name="Normal 6 2 2 2 6 2 3" xfId="57362" xr:uid="{00000000-0005-0000-0000-0000D69B0000}"/>
    <cellStyle name="Normal 6 2 2 2 6 3" xfId="28553" xr:uid="{00000000-0005-0000-0000-0000D79B0000}"/>
    <cellStyle name="Normal 6 2 2 2 6 3 2" xfId="57363" xr:uid="{00000000-0005-0000-0000-0000D89B0000}"/>
    <cellStyle name="Normal 6 2 2 2 6 4" xfId="28554" xr:uid="{00000000-0005-0000-0000-0000D99B0000}"/>
    <cellStyle name="Normal 6 2 2 2 6 5" xfId="28555" xr:uid="{00000000-0005-0000-0000-0000DA9B0000}"/>
    <cellStyle name="Normal 6 2 2 2 6 6" xfId="28556" xr:uid="{00000000-0005-0000-0000-0000DB9B0000}"/>
    <cellStyle name="Normal 6 2 2 2 7" xfId="28557" xr:uid="{00000000-0005-0000-0000-0000DC9B0000}"/>
    <cellStyle name="Normal 6 2 2 2 7 2" xfId="57364" xr:uid="{00000000-0005-0000-0000-0000DD9B0000}"/>
    <cellStyle name="Normal 6 2 2 2 7 3" xfId="57365" xr:uid="{00000000-0005-0000-0000-0000DE9B0000}"/>
    <cellStyle name="Normal 6 2 2 2 8" xfId="28558" xr:uid="{00000000-0005-0000-0000-0000DF9B0000}"/>
    <cellStyle name="Normal 6 2 2 2 8 2" xfId="57366" xr:uid="{00000000-0005-0000-0000-0000E09B0000}"/>
    <cellStyle name="Normal 6 2 2 2 9" xfId="28559" xr:uid="{00000000-0005-0000-0000-0000E19B0000}"/>
    <cellStyle name="Normal 6 2 2 2 9 2" xfId="57367" xr:uid="{00000000-0005-0000-0000-0000E29B0000}"/>
    <cellStyle name="Normal 6 2 2 20" xfId="28560" xr:uid="{00000000-0005-0000-0000-0000E39B0000}"/>
    <cellStyle name="Normal 6 2 2 3" xfId="28561" xr:uid="{00000000-0005-0000-0000-0000E49B0000}"/>
    <cellStyle name="Normal 6 2 2 3 10" xfId="28562" xr:uid="{00000000-0005-0000-0000-0000E59B0000}"/>
    <cellStyle name="Normal 6 2 2 3 11" xfId="28563" xr:uid="{00000000-0005-0000-0000-0000E69B0000}"/>
    <cellStyle name="Normal 6 2 2 3 12" xfId="28564" xr:uid="{00000000-0005-0000-0000-0000E79B0000}"/>
    <cellStyle name="Normal 6 2 2 3 13" xfId="28565" xr:uid="{00000000-0005-0000-0000-0000E89B0000}"/>
    <cellStyle name="Normal 6 2 2 3 14" xfId="28566" xr:uid="{00000000-0005-0000-0000-0000E99B0000}"/>
    <cellStyle name="Normal 6 2 2 3 15" xfId="28567" xr:uid="{00000000-0005-0000-0000-0000EA9B0000}"/>
    <cellStyle name="Normal 6 2 2 3 2" xfId="28568" xr:uid="{00000000-0005-0000-0000-0000EB9B0000}"/>
    <cellStyle name="Normal 6 2 2 3 2 10" xfId="28569" xr:uid="{00000000-0005-0000-0000-0000EC9B0000}"/>
    <cellStyle name="Normal 6 2 2 3 2 11" xfId="28570" xr:uid="{00000000-0005-0000-0000-0000ED9B0000}"/>
    <cellStyle name="Normal 6 2 2 3 2 12" xfId="28571" xr:uid="{00000000-0005-0000-0000-0000EE9B0000}"/>
    <cellStyle name="Normal 6 2 2 3 2 13" xfId="28572" xr:uid="{00000000-0005-0000-0000-0000EF9B0000}"/>
    <cellStyle name="Normal 6 2 2 3 2 14" xfId="28573" xr:uid="{00000000-0005-0000-0000-0000F09B0000}"/>
    <cellStyle name="Normal 6 2 2 3 2 2" xfId="28574" xr:uid="{00000000-0005-0000-0000-0000F19B0000}"/>
    <cellStyle name="Normal 6 2 2 3 2 2 2" xfId="28575" xr:uid="{00000000-0005-0000-0000-0000F29B0000}"/>
    <cellStyle name="Normal 6 2 2 3 2 2 2 2" xfId="28576" xr:uid="{00000000-0005-0000-0000-0000F39B0000}"/>
    <cellStyle name="Normal 6 2 2 3 2 2 2 2 2" xfId="28577" xr:uid="{00000000-0005-0000-0000-0000F49B0000}"/>
    <cellStyle name="Normal 6 2 2 3 2 2 2 2 2 2" xfId="57368" xr:uid="{00000000-0005-0000-0000-0000F59B0000}"/>
    <cellStyle name="Normal 6 2 2 3 2 2 2 2 2 3" xfId="57369" xr:uid="{00000000-0005-0000-0000-0000F69B0000}"/>
    <cellStyle name="Normal 6 2 2 3 2 2 2 2 3" xfId="28578" xr:uid="{00000000-0005-0000-0000-0000F79B0000}"/>
    <cellStyle name="Normal 6 2 2 3 2 2 2 2 3 2" xfId="57370" xr:uid="{00000000-0005-0000-0000-0000F89B0000}"/>
    <cellStyle name="Normal 6 2 2 3 2 2 2 2 4" xfId="28579" xr:uid="{00000000-0005-0000-0000-0000F99B0000}"/>
    <cellStyle name="Normal 6 2 2 3 2 2 2 2 5" xfId="28580" xr:uid="{00000000-0005-0000-0000-0000FA9B0000}"/>
    <cellStyle name="Normal 6 2 2 3 2 2 2 2 6" xfId="28581" xr:uid="{00000000-0005-0000-0000-0000FB9B0000}"/>
    <cellStyle name="Normal 6 2 2 3 2 2 2 3" xfId="28582" xr:uid="{00000000-0005-0000-0000-0000FC9B0000}"/>
    <cellStyle name="Normal 6 2 2 3 2 2 2 3 2" xfId="57371" xr:uid="{00000000-0005-0000-0000-0000FD9B0000}"/>
    <cellStyle name="Normal 6 2 2 3 2 2 2 3 3" xfId="57372" xr:uid="{00000000-0005-0000-0000-0000FE9B0000}"/>
    <cellStyle name="Normal 6 2 2 3 2 2 2 4" xfId="28583" xr:uid="{00000000-0005-0000-0000-0000FF9B0000}"/>
    <cellStyle name="Normal 6 2 2 3 2 2 2 4 2" xfId="57373" xr:uid="{00000000-0005-0000-0000-0000009C0000}"/>
    <cellStyle name="Normal 6 2 2 3 2 2 2 5" xfId="28584" xr:uid="{00000000-0005-0000-0000-0000019C0000}"/>
    <cellStyle name="Normal 6 2 2 3 2 2 2 6" xfId="28585" xr:uid="{00000000-0005-0000-0000-0000029C0000}"/>
    <cellStyle name="Normal 6 2 2 3 2 2 2 7" xfId="28586" xr:uid="{00000000-0005-0000-0000-0000039C0000}"/>
    <cellStyle name="Normal 6 2 2 3 2 2 3" xfId="28587" xr:uid="{00000000-0005-0000-0000-0000049C0000}"/>
    <cellStyle name="Normal 6 2 2 3 2 2 3 2" xfId="28588" xr:uid="{00000000-0005-0000-0000-0000059C0000}"/>
    <cellStyle name="Normal 6 2 2 3 2 2 3 2 2" xfId="57374" xr:uid="{00000000-0005-0000-0000-0000069C0000}"/>
    <cellStyle name="Normal 6 2 2 3 2 2 3 2 3" xfId="57375" xr:uid="{00000000-0005-0000-0000-0000079C0000}"/>
    <cellStyle name="Normal 6 2 2 3 2 2 3 3" xfId="28589" xr:uid="{00000000-0005-0000-0000-0000089C0000}"/>
    <cellStyle name="Normal 6 2 2 3 2 2 3 3 2" xfId="57376" xr:uid="{00000000-0005-0000-0000-0000099C0000}"/>
    <cellStyle name="Normal 6 2 2 3 2 2 3 4" xfId="28590" xr:uid="{00000000-0005-0000-0000-00000A9C0000}"/>
    <cellStyle name="Normal 6 2 2 3 2 2 3 5" xfId="28591" xr:uid="{00000000-0005-0000-0000-00000B9C0000}"/>
    <cellStyle name="Normal 6 2 2 3 2 2 3 6" xfId="28592" xr:uid="{00000000-0005-0000-0000-00000C9C0000}"/>
    <cellStyle name="Normal 6 2 2 3 2 2 4" xfId="28593" xr:uid="{00000000-0005-0000-0000-00000D9C0000}"/>
    <cellStyle name="Normal 6 2 2 3 2 2 4 2" xfId="57377" xr:uid="{00000000-0005-0000-0000-00000E9C0000}"/>
    <cellStyle name="Normal 6 2 2 3 2 2 4 3" xfId="57378" xr:uid="{00000000-0005-0000-0000-00000F9C0000}"/>
    <cellStyle name="Normal 6 2 2 3 2 2 5" xfId="28594" xr:uid="{00000000-0005-0000-0000-0000109C0000}"/>
    <cellStyle name="Normal 6 2 2 3 2 2 5 2" xfId="57379" xr:uid="{00000000-0005-0000-0000-0000119C0000}"/>
    <cellStyle name="Normal 6 2 2 3 2 2 6" xfId="28595" xr:uid="{00000000-0005-0000-0000-0000129C0000}"/>
    <cellStyle name="Normal 6 2 2 3 2 2 7" xfId="28596" xr:uid="{00000000-0005-0000-0000-0000139C0000}"/>
    <cellStyle name="Normal 6 2 2 3 2 2 8" xfId="28597" xr:uid="{00000000-0005-0000-0000-0000149C0000}"/>
    <cellStyle name="Normal 6 2 2 3 2 2 9" xfId="28598" xr:uid="{00000000-0005-0000-0000-0000159C0000}"/>
    <cellStyle name="Normal 6 2 2 3 2 3" xfId="28599" xr:uid="{00000000-0005-0000-0000-0000169C0000}"/>
    <cellStyle name="Normal 6 2 2 3 2 3 2" xfId="28600" xr:uid="{00000000-0005-0000-0000-0000179C0000}"/>
    <cellStyle name="Normal 6 2 2 3 2 3 2 2" xfId="28601" xr:uid="{00000000-0005-0000-0000-0000189C0000}"/>
    <cellStyle name="Normal 6 2 2 3 2 3 2 2 2" xfId="28602" xr:uid="{00000000-0005-0000-0000-0000199C0000}"/>
    <cellStyle name="Normal 6 2 2 3 2 3 2 2 2 2" xfId="57380" xr:uid="{00000000-0005-0000-0000-00001A9C0000}"/>
    <cellStyle name="Normal 6 2 2 3 2 3 2 2 2 3" xfId="57381" xr:uid="{00000000-0005-0000-0000-00001B9C0000}"/>
    <cellStyle name="Normal 6 2 2 3 2 3 2 2 3" xfId="28603" xr:uid="{00000000-0005-0000-0000-00001C9C0000}"/>
    <cellStyle name="Normal 6 2 2 3 2 3 2 2 3 2" xfId="57382" xr:uid="{00000000-0005-0000-0000-00001D9C0000}"/>
    <cellStyle name="Normal 6 2 2 3 2 3 2 2 4" xfId="28604" xr:uid="{00000000-0005-0000-0000-00001E9C0000}"/>
    <cellStyle name="Normal 6 2 2 3 2 3 2 2 5" xfId="28605" xr:uid="{00000000-0005-0000-0000-00001F9C0000}"/>
    <cellStyle name="Normal 6 2 2 3 2 3 2 2 6" xfId="28606" xr:uid="{00000000-0005-0000-0000-0000209C0000}"/>
    <cellStyle name="Normal 6 2 2 3 2 3 2 3" xfId="28607" xr:uid="{00000000-0005-0000-0000-0000219C0000}"/>
    <cellStyle name="Normal 6 2 2 3 2 3 2 3 2" xfId="57383" xr:uid="{00000000-0005-0000-0000-0000229C0000}"/>
    <cellStyle name="Normal 6 2 2 3 2 3 2 3 3" xfId="57384" xr:uid="{00000000-0005-0000-0000-0000239C0000}"/>
    <cellStyle name="Normal 6 2 2 3 2 3 2 4" xfId="28608" xr:uid="{00000000-0005-0000-0000-0000249C0000}"/>
    <cellStyle name="Normal 6 2 2 3 2 3 2 4 2" xfId="57385" xr:uid="{00000000-0005-0000-0000-0000259C0000}"/>
    <cellStyle name="Normal 6 2 2 3 2 3 2 5" xfId="28609" xr:uid="{00000000-0005-0000-0000-0000269C0000}"/>
    <cellStyle name="Normal 6 2 2 3 2 3 2 6" xfId="28610" xr:uid="{00000000-0005-0000-0000-0000279C0000}"/>
    <cellStyle name="Normal 6 2 2 3 2 3 2 7" xfId="28611" xr:uid="{00000000-0005-0000-0000-0000289C0000}"/>
    <cellStyle name="Normal 6 2 2 3 2 3 3" xfId="28612" xr:uid="{00000000-0005-0000-0000-0000299C0000}"/>
    <cellStyle name="Normal 6 2 2 3 2 3 3 2" xfId="28613" xr:uid="{00000000-0005-0000-0000-00002A9C0000}"/>
    <cellStyle name="Normal 6 2 2 3 2 3 3 2 2" xfId="57386" xr:uid="{00000000-0005-0000-0000-00002B9C0000}"/>
    <cellStyle name="Normal 6 2 2 3 2 3 3 2 3" xfId="57387" xr:uid="{00000000-0005-0000-0000-00002C9C0000}"/>
    <cellStyle name="Normal 6 2 2 3 2 3 3 3" xfId="28614" xr:uid="{00000000-0005-0000-0000-00002D9C0000}"/>
    <cellStyle name="Normal 6 2 2 3 2 3 3 3 2" xfId="57388" xr:uid="{00000000-0005-0000-0000-00002E9C0000}"/>
    <cellStyle name="Normal 6 2 2 3 2 3 3 4" xfId="28615" xr:uid="{00000000-0005-0000-0000-00002F9C0000}"/>
    <cellStyle name="Normal 6 2 2 3 2 3 3 5" xfId="28616" xr:uid="{00000000-0005-0000-0000-0000309C0000}"/>
    <cellStyle name="Normal 6 2 2 3 2 3 3 6" xfId="28617" xr:uid="{00000000-0005-0000-0000-0000319C0000}"/>
    <cellStyle name="Normal 6 2 2 3 2 3 4" xfId="28618" xr:uid="{00000000-0005-0000-0000-0000329C0000}"/>
    <cellStyle name="Normal 6 2 2 3 2 3 4 2" xfId="57389" xr:uid="{00000000-0005-0000-0000-0000339C0000}"/>
    <cellStyle name="Normal 6 2 2 3 2 3 4 3" xfId="57390" xr:uid="{00000000-0005-0000-0000-0000349C0000}"/>
    <cellStyle name="Normal 6 2 2 3 2 3 5" xfId="28619" xr:uid="{00000000-0005-0000-0000-0000359C0000}"/>
    <cellStyle name="Normal 6 2 2 3 2 3 5 2" xfId="57391" xr:uid="{00000000-0005-0000-0000-0000369C0000}"/>
    <cellStyle name="Normal 6 2 2 3 2 3 6" xfId="28620" xr:uid="{00000000-0005-0000-0000-0000379C0000}"/>
    <cellStyle name="Normal 6 2 2 3 2 3 7" xfId="28621" xr:uid="{00000000-0005-0000-0000-0000389C0000}"/>
    <cellStyle name="Normal 6 2 2 3 2 3 8" xfId="28622" xr:uid="{00000000-0005-0000-0000-0000399C0000}"/>
    <cellStyle name="Normal 6 2 2 3 2 4" xfId="28623" xr:uid="{00000000-0005-0000-0000-00003A9C0000}"/>
    <cellStyle name="Normal 6 2 2 3 2 4 2" xfId="28624" xr:uid="{00000000-0005-0000-0000-00003B9C0000}"/>
    <cellStyle name="Normal 6 2 2 3 2 4 2 2" xfId="28625" xr:uid="{00000000-0005-0000-0000-00003C9C0000}"/>
    <cellStyle name="Normal 6 2 2 3 2 4 2 2 2" xfId="57392" xr:uid="{00000000-0005-0000-0000-00003D9C0000}"/>
    <cellStyle name="Normal 6 2 2 3 2 4 2 2 3" xfId="57393" xr:uid="{00000000-0005-0000-0000-00003E9C0000}"/>
    <cellStyle name="Normal 6 2 2 3 2 4 2 3" xfId="28626" xr:uid="{00000000-0005-0000-0000-00003F9C0000}"/>
    <cellStyle name="Normal 6 2 2 3 2 4 2 3 2" xfId="57394" xr:uid="{00000000-0005-0000-0000-0000409C0000}"/>
    <cellStyle name="Normal 6 2 2 3 2 4 2 4" xfId="28627" xr:uid="{00000000-0005-0000-0000-0000419C0000}"/>
    <cellStyle name="Normal 6 2 2 3 2 4 2 5" xfId="28628" xr:uid="{00000000-0005-0000-0000-0000429C0000}"/>
    <cellStyle name="Normal 6 2 2 3 2 4 2 6" xfId="28629" xr:uid="{00000000-0005-0000-0000-0000439C0000}"/>
    <cellStyle name="Normal 6 2 2 3 2 4 3" xfId="28630" xr:uid="{00000000-0005-0000-0000-0000449C0000}"/>
    <cellStyle name="Normal 6 2 2 3 2 4 3 2" xfId="57395" xr:uid="{00000000-0005-0000-0000-0000459C0000}"/>
    <cellStyle name="Normal 6 2 2 3 2 4 3 3" xfId="57396" xr:uid="{00000000-0005-0000-0000-0000469C0000}"/>
    <cellStyle name="Normal 6 2 2 3 2 4 4" xfId="28631" xr:uid="{00000000-0005-0000-0000-0000479C0000}"/>
    <cellStyle name="Normal 6 2 2 3 2 4 4 2" xfId="57397" xr:uid="{00000000-0005-0000-0000-0000489C0000}"/>
    <cellStyle name="Normal 6 2 2 3 2 4 5" xfId="28632" xr:uid="{00000000-0005-0000-0000-0000499C0000}"/>
    <cellStyle name="Normal 6 2 2 3 2 4 6" xfId="28633" xr:uid="{00000000-0005-0000-0000-00004A9C0000}"/>
    <cellStyle name="Normal 6 2 2 3 2 4 7" xfId="28634" xr:uid="{00000000-0005-0000-0000-00004B9C0000}"/>
    <cellStyle name="Normal 6 2 2 3 2 5" xfId="28635" xr:uid="{00000000-0005-0000-0000-00004C9C0000}"/>
    <cellStyle name="Normal 6 2 2 3 2 5 2" xfId="28636" xr:uid="{00000000-0005-0000-0000-00004D9C0000}"/>
    <cellStyle name="Normal 6 2 2 3 2 5 2 2" xfId="57398" xr:uid="{00000000-0005-0000-0000-00004E9C0000}"/>
    <cellStyle name="Normal 6 2 2 3 2 5 2 3" xfId="57399" xr:uid="{00000000-0005-0000-0000-00004F9C0000}"/>
    <cellStyle name="Normal 6 2 2 3 2 5 3" xfId="28637" xr:uid="{00000000-0005-0000-0000-0000509C0000}"/>
    <cellStyle name="Normal 6 2 2 3 2 5 3 2" xfId="57400" xr:uid="{00000000-0005-0000-0000-0000519C0000}"/>
    <cellStyle name="Normal 6 2 2 3 2 5 4" xfId="28638" xr:uid="{00000000-0005-0000-0000-0000529C0000}"/>
    <cellStyle name="Normal 6 2 2 3 2 5 5" xfId="28639" xr:uid="{00000000-0005-0000-0000-0000539C0000}"/>
    <cellStyle name="Normal 6 2 2 3 2 5 6" xfId="28640" xr:uid="{00000000-0005-0000-0000-0000549C0000}"/>
    <cellStyle name="Normal 6 2 2 3 2 6" xfId="28641" xr:uid="{00000000-0005-0000-0000-0000559C0000}"/>
    <cellStyle name="Normal 6 2 2 3 2 6 2" xfId="57401" xr:uid="{00000000-0005-0000-0000-0000569C0000}"/>
    <cellStyle name="Normal 6 2 2 3 2 6 3" xfId="57402" xr:uid="{00000000-0005-0000-0000-0000579C0000}"/>
    <cellStyle name="Normal 6 2 2 3 2 7" xfId="28642" xr:uid="{00000000-0005-0000-0000-0000589C0000}"/>
    <cellStyle name="Normal 6 2 2 3 2 7 2" xfId="57403" xr:uid="{00000000-0005-0000-0000-0000599C0000}"/>
    <cellStyle name="Normal 6 2 2 3 2 8" xfId="28643" xr:uid="{00000000-0005-0000-0000-00005A9C0000}"/>
    <cellStyle name="Normal 6 2 2 3 2 9" xfId="28644" xr:uid="{00000000-0005-0000-0000-00005B9C0000}"/>
    <cellStyle name="Normal 6 2 2 3 3" xfId="28645" xr:uid="{00000000-0005-0000-0000-00005C9C0000}"/>
    <cellStyle name="Normal 6 2 2 3 3 2" xfId="28646" xr:uid="{00000000-0005-0000-0000-00005D9C0000}"/>
    <cellStyle name="Normal 6 2 2 3 3 2 2" xfId="28647" xr:uid="{00000000-0005-0000-0000-00005E9C0000}"/>
    <cellStyle name="Normal 6 2 2 3 3 2 2 2" xfId="28648" xr:uid="{00000000-0005-0000-0000-00005F9C0000}"/>
    <cellStyle name="Normal 6 2 2 3 3 2 2 2 2" xfId="57404" xr:uid="{00000000-0005-0000-0000-0000609C0000}"/>
    <cellStyle name="Normal 6 2 2 3 3 2 2 2 3" xfId="57405" xr:uid="{00000000-0005-0000-0000-0000619C0000}"/>
    <cellStyle name="Normal 6 2 2 3 3 2 2 3" xfId="28649" xr:uid="{00000000-0005-0000-0000-0000629C0000}"/>
    <cellStyle name="Normal 6 2 2 3 3 2 2 3 2" xfId="57406" xr:uid="{00000000-0005-0000-0000-0000639C0000}"/>
    <cellStyle name="Normal 6 2 2 3 3 2 2 4" xfId="28650" xr:uid="{00000000-0005-0000-0000-0000649C0000}"/>
    <cellStyle name="Normal 6 2 2 3 3 2 2 5" xfId="28651" xr:uid="{00000000-0005-0000-0000-0000659C0000}"/>
    <cellStyle name="Normal 6 2 2 3 3 2 2 6" xfId="28652" xr:uid="{00000000-0005-0000-0000-0000669C0000}"/>
    <cellStyle name="Normal 6 2 2 3 3 2 3" xfId="28653" xr:uid="{00000000-0005-0000-0000-0000679C0000}"/>
    <cellStyle name="Normal 6 2 2 3 3 2 3 2" xfId="57407" xr:uid="{00000000-0005-0000-0000-0000689C0000}"/>
    <cellStyle name="Normal 6 2 2 3 3 2 3 3" xfId="57408" xr:uid="{00000000-0005-0000-0000-0000699C0000}"/>
    <cellStyle name="Normal 6 2 2 3 3 2 4" xfId="28654" xr:uid="{00000000-0005-0000-0000-00006A9C0000}"/>
    <cellStyle name="Normal 6 2 2 3 3 2 4 2" xfId="57409" xr:uid="{00000000-0005-0000-0000-00006B9C0000}"/>
    <cellStyle name="Normal 6 2 2 3 3 2 5" xfId="28655" xr:uid="{00000000-0005-0000-0000-00006C9C0000}"/>
    <cellStyle name="Normal 6 2 2 3 3 2 6" xfId="28656" xr:uid="{00000000-0005-0000-0000-00006D9C0000}"/>
    <cellStyle name="Normal 6 2 2 3 3 2 7" xfId="28657" xr:uid="{00000000-0005-0000-0000-00006E9C0000}"/>
    <cellStyle name="Normal 6 2 2 3 3 3" xfId="28658" xr:uid="{00000000-0005-0000-0000-00006F9C0000}"/>
    <cellStyle name="Normal 6 2 2 3 3 3 2" xfId="28659" xr:uid="{00000000-0005-0000-0000-0000709C0000}"/>
    <cellStyle name="Normal 6 2 2 3 3 3 2 2" xfId="57410" xr:uid="{00000000-0005-0000-0000-0000719C0000}"/>
    <cellStyle name="Normal 6 2 2 3 3 3 2 3" xfId="57411" xr:uid="{00000000-0005-0000-0000-0000729C0000}"/>
    <cellStyle name="Normal 6 2 2 3 3 3 3" xfId="28660" xr:uid="{00000000-0005-0000-0000-0000739C0000}"/>
    <cellStyle name="Normal 6 2 2 3 3 3 3 2" xfId="57412" xr:uid="{00000000-0005-0000-0000-0000749C0000}"/>
    <cellStyle name="Normal 6 2 2 3 3 3 4" xfId="28661" xr:uid="{00000000-0005-0000-0000-0000759C0000}"/>
    <cellStyle name="Normal 6 2 2 3 3 3 5" xfId="28662" xr:uid="{00000000-0005-0000-0000-0000769C0000}"/>
    <cellStyle name="Normal 6 2 2 3 3 3 6" xfId="28663" xr:uid="{00000000-0005-0000-0000-0000779C0000}"/>
    <cellStyle name="Normal 6 2 2 3 3 4" xfId="28664" xr:uid="{00000000-0005-0000-0000-0000789C0000}"/>
    <cellStyle name="Normal 6 2 2 3 3 4 2" xfId="57413" xr:uid="{00000000-0005-0000-0000-0000799C0000}"/>
    <cellStyle name="Normal 6 2 2 3 3 4 3" xfId="57414" xr:uid="{00000000-0005-0000-0000-00007A9C0000}"/>
    <cellStyle name="Normal 6 2 2 3 3 5" xfId="28665" xr:uid="{00000000-0005-0000-0000-00007B9C0000}"/>
    <cellStyle name="Normal 6 2 2 3 3 5 2" xfId="57415" xr:uid="{00000000-0005-0000-0000-00007C9C0000}"/>
    <cellStyle name="Normal 6 2 2 3 3 6" xfId="28666" xr:uid="{00000000-0005-0000-0000-00007D9C0000}"/>
    <cellStyle name="Normal 6 2 2 3 3 7" xfId="28667" xr:uid="{00000000-0005-0000-0000-00007E9C0000}"/>
    <cellStyle name="Normal 6 2 2 3 3 8" xfId="28668" xr:uid="{00000000-0005-0000-0000-00007F9C0000}"/>
    <cellStyle name="Normal 6 2 2 3 3 9" xfId="28669" xr:uid="{00000000-0005-0000-0000-0000809C0000}"/>
    <cellStyle name="Normal 6 2 2 3 4" xfId="28670" xr:uid="{00000000-0005-0000-0000-0000819C0000}"/>
    <cellStyle name="Normal 6 2 2 3 4 2" xfId="28671" xr:uid="{00000000-0005-0000-0000-0000829C0000}"/>
    <cellStyle name="Normal 6 2 2 3 4 2 2" xfId="28672" xr:uid="{00000000-0005-0000-0000-0000839C0000}"/>
    <cellStyle name="Normal 6 2 2 3 4 2 2 2" xfId="28673" xr:uid="{00000000-0005-0000-0000-0000849C0000}"/>
    <cellStyle name="Normal 6 2 2 3 4 2 2 2 2" xfId="57416" xr:uid="{00000000-0005-0000-0000-0000859C0000}"/>
    <cellStyle name="Normal 6 2 2 3 4 2 2 2 3" xfId="57417" xr:uid="{00000000-0005-0000-0000-0000869C0000}"/>
    <cellStyle name="Normal 6 2 2 3 4 2 2 3" xfId="28674" xr:uid="{00000000-0005-0000-0000-0000879C0000}"/>
    <cellStyle name="Normal 6 2 2 3 4 2 2 3 2" xfId="57418" xr:uid="{00000000-0005-0000-0000-0000889C0000}"/>
    <cellStyle name="Normal 6 2 2 3 4 2 2 4" xfId="28675" xr:uid="{00000000-0005-0000-0000-0000899C0000}"/>
    <cellStyle name="Normal 6 2 2 3 4 2 2 5" xfId="28676" xr:uid="{00000000-0005-0000-0000-00008A9C0000}"/>
    <cellStyle name="Normal 6 2 2 3 4 2 2 6" xfId="28677" xr:uid="{00000000-0005-0000-0000-00008B9C0000}"/>
    <cellStyle name="Normal 6 2 2 3 4 2 3" xfId="28678" xr:uid="{00000000-0005-0000-0000-00008C9C0000}"/>
    <cellStyle name="Normal 6 2 2 3 4 2 3 2" xfId="57419" xr:uid="{00000000-0005-0000-0000-00008D9C0000}"/>
    <cellStyle name="Normal 6 2 2 3 4 2 3 3" xfId="57420" xr:uid="{00000000-0005-0000-0000-00008E9C0000}"/>
    <cellStyle name="Normal 6 2 2 3 4 2 4" xfId="28679" xr:uid="{00000000-0005-0000-0000-00008F9C0000}"/>
    <cellStyle name="Normal 6 2 2 3 4 2 4 2" xfId="57421" xr:uid="{00000000-0005-0000-0000-0000909C0000}"/>
    <cellStyle name="Normal 6 2 2 3 4 2 5" xfId="28680" xr:uid="{00000000-0005-0000-0000-0000919C0000}"/>
    <cellStyle name="Normal 6 2 2 3 4 2 6" xfId="28681" xr:uid="{00000000-0005-0000-0000-0000929C0000}"/>
    <cellStyle name="Normal 6 2 2 3 4 2 7" xfId="28682" xr:uid="{00000000-0005-0000-0000-0000939C0000}"/>
    <cellStyle name="Normal 6 2 2 3 4 3" xfId="28683" xr:uid="{00000000-0005-0000-0000-0000949C0000}"/>
    <cellStyle name="Normal 6 2 2 3 4 3 2" xfId="28684" xr:uid="{00000000-0005-0000-0000-0000959C0000}"/>
    <cellStyle name="Normal 6 2 2 3 4 3 2 2" xfId="57422" xr:uid="{00000000-0005-0000-0000-0000969C0000}"/>
    <cellStyle name="Normal 6 2 2 3 4 3 2 3" xfId="57423" xr:uid="{00000000-0005-0000-0000-0000979C0000}"/>
    <cellStyle name="Normal 6 2 2 3 4 3 3" xfId="28685" xr:uid="{00000000-0005-0000-0000-0000989C0000}"/>
    <cellStyle name="Normal 6 2 2 3 4 3 3 2" xfId="57424" xr:uid="{00000000-0005-0000-0000-0000999C0000}"/>
    <cellStyle name="Normal 6 2 2 3 4 3 4" xfId="28686" xr:uid="{00000000-0005-0000-0000-00009A9C0000}"/>
    <cellStyle name="Normal 6 2 2 3 4 3 5" xfId="28687" xr:uid="{00000000-0005-0000-0000-00009B9C0000}"/>
    <cellStyle name="Normal 6 2 2 3 4 3 6" xfId="28688" xr:uid="{00000000-0005-0000-0000-00009C9C0000}"/>
    <cellStyle name="Normal 6 2 2 3 4 4" xfId="28689" xr:uid="{00000000-0005-0000-0000-00009D9C0000}"/>
    <cellStyle name="Normal 6 2 2 3 4 4 2" xfId="57425" xr:uid="{00000000-0005-0000-0000-00009E9C0000}"/>
    <cellStyle name="Normal 6 2 2 3 4 4 3" xfId="57426" xr:uid="{00000000-0005-0000-0000-00009F9C0000}"/>
    <cellStyle name="Normal 6 2 2 3 4 5" xfId="28690" xr:uid="{00000000-0005-0000-0000-0000A09C0000}"/>
    <cellStyle name="Normal 6 2 2 3 4 5 2" xfId="57427" xr:uid="{00000000-0005-0000-0000-0000A19C0000}"/>
    <cellStyle name="Normal 6 2 2 3 4 6" xfId="28691" xr:uid="{00000000-0005-0000-0000-0000A29C0000}"/>
    <cellStyle name="Normal 6 2 2 3 4 7" xfId="28692" xr:uid="{00000000-0005-0000-0000-0000A39C0000}"/>
    <cellStyle name="Normal 6 2 2 3 4 8" xfId="28693" xr:uid="{00000000-0005-0000-0000-0000A49C0000}"/>
    <cellStyle name="Normal 6 2 2 3 5" xfId="28694" xr:uid="{00000000-0005-0000-0000-0000A59C0000}"/>
    <cellStyle name="Normal 6 2 2 3 5 2" xfId="28695" xr:uid="{00000000-0005-0000-0000-0000A69C0000}"/>
    <cellStyle name="Normal 6 2 2 3 5 2 2" xfId="28696" xr:uid="{00000000-0005-0000-0000-0000A79C0000}"/>
    <cellStyle name="Normal 6 2 2 3 5 2 2 2" xfId="57428" xr:uid="{00000000-0005-0000-0000-0000A89C0000}"/>
    <cellStyle name="Normal 6 2 2 3 5 2 2 3" xfId="57429" xr:uid="{00000000-0005-0000-0000-0000A99C0000}"/>
    <cellStyle name="Normal 6 2 2 3 5 2 3" xfId="28697" xr:uid="{00000000-0005-0000-0000-0000AA9C0000}"/>
    <cellStyle name="Normal 6 2 2 3 5 2 3 2" xfId="57430" xr:uid="{00000000-0005-0000-0000-0000AB9C0000}"/>
    <cellStyle name="Normal 6 2 2 3 5 2 4" xfId="28698" xr:uid="{00000000-0005-0000-0000-0000AC9C0000}"/>
    <cellStyle name="Normal 6 2 2 3 5 2 5" xfId="28699" xr:uid="{00000000-0005-0000-0000-0000AD9C0000}"/>
    <cellStyle name="Normal 6 2 2 3 5 2 6" xfId="28700" xr:uid="{00000000-0005-0000-0000-0000AE9C0000}"/>
    <cellStyle name="Normal 6 2 2 3 5 3" xfId="28701" xr:uid="{00000000-0005-0000-0000-0000AF9C0000}"/>
    <cellStyle name="Normal 6 2 2 3 5 3 2" xfId="57431" xr:uid="{00000000-0005-0000-0000-0000B09C0000}"/>
    <cellStyle name="Normal 6 2 2 3 5 3 3" xfId="57432" xr:uid="{00000000-0005-0000-0000-0000B19C0000}"/>
    <cellStyle name="Normal 6 2 2 3 5 4" xfId="28702" xr:uid="{00000000-0005-0000-0000-0000B29C0000}"/>
    <cellStyle name="Normal 6 2 2 3 5 4 2" xfId="57433" xr:uid="{00000000-0005-0000-0000-0000B39C0000}"/>
    <cellStyle name="Normal 6 2 2 3 5 5" xfId="28703" xr:uid="{00000000-0005-0000-0000-0000B49C0000}"/>
    <cellStyle name="Normal 6 2 2 3 5 6" xfId="28704" xr:uid="{00000000-0005-0000-0000-0000B59C0000}"/>
    <cellStyle name="Normal 6 2 2 3 5 7" xfId="28705" xr:uid="{00000000-0005-0000-0000-0000B69C0000}"/>
    <cellStyle name="Normal 6 2 2 3 6" xfId="28706" xr:uid="{00000000-0005-0000-0000-0000B79C0000}"/>
    <cellStyle name="Normal 6 2 2 3 6 2" xfId="28707" xr:uid="{00000000-0005-0000-0000-0000B89C0000}"/>
    <cellStyle name="Normal 6 2 2 3 6 2 2" xfId="57434" xr:uid="{00000000-0005-0000-0000-0000B99C0000}"/>
    <cellStyle name="Normal 6 2 2 3 6 2 3" xfId="57435" xr:uid="{00000000-0005-0000-0000-0000BA9C0000}"/>
    <cellStyle name="Normal 6 2 2 3 6 3" xfId="28708" xr:uid="{00000000-0005-0000-0000-0000BB9C0000}"/>
    <cellStyle name="Normal 6 2 2 3 6 3 2" xfId="57436" xr:uid="{00000000-0005-0000-0000-0000BC9C0000}"/>
    <cellStyle name="Normal 6 2 2 3 6 4" xfId="28709" xr:uid="{00000000-0005-0000-0000-0000BD9C0000}"/>
    <cellStyle name="Normal 6 2 2 3 6 5" xfId="28710" xr:uid="{00000000-0005-0000-0000-0000BE9C0000}"/>
    <cellStyle name="Normal 6 2 2 3 6 6" xfId="28711" xr:uid="{00000000-0005-0000-0000-0000BF9C0000}"/>
    <cellStyle name="Normal 6 2 2 3 7" xfId="28712" xr:uid="{00000000-0005-0000-0000-0000C09C0000}"/>
    <cellStyle name="Normal 6 2 2 3 7 2" xfId="57437" xr:uid="{00000000-0005-0000-0000-0000C19C0000}"/>
    <cellStyle name="Normal 6 2 2 3 7 3" xfId="57438" xr:uid="{00000000-0005-0000-0000-0000C29C0000}"/>
    <cellStyle name="Normal 6 2 2 3 8" xfId="28713" xr:uid="{00000000-0005-0000-0000-0000C39C0000}"/>
    <cellStyle name="Normal 6 2 2 3 8 2" xfId="57439" xr:uid="{00000000-0005-0000-0000-0000C49C0000}"/>
    <cellStyle name="Normal 6 2 2 3 9" xfId="28714" xr:uid="{00000000-0005-0000-0000-0000C59C0000}"/>
    <cellStyle name="Normal 6 2 2 4" xfId="28715" xr:uid="{00000000-0005-0000-0000-0000C69C0000}"/>
    <cellStyle name="Normal 6 2 2 4 10" xfId="28716" xr:uid="{00000000-0005-0000-0000-0000C79C0000}"/>
    <cellStyle name="Normal 6 2 2 4 11" xfId="28717" xr:uid="{00000000-0005-0000-0000-0000C89C0000}"/>
    <cellStyle name="Normal 6 2 2 4 12" xfId="28718" xr:uid="{00000000-0005-0000-0000-0000C99C0000}"/>
    <cellStyle name="Normal 6 2 2 4 13" xfId="28719" xr:uid="{00000000-0005-0000-0000-0000CA9C0000}"/>
    <cellStyle name="Normal 6 2 2 4 14" xfId="28720" xr:uid="{00000000-0005-0000-0000-0000CB9C0000}"/>
    <cellStyle name="Normal 6 2 2 4 2" xfId="28721" xr:uid="{00000000-0005-0000-0000-0000CC9C0000}"/>
    <cellStyle name="Normal 6 2 2 4 2 2" xfId="28722" xr:uid="{00000000-0005-0000-0000-0000CD9C0000}"/>
    <cellStyle name="Normal 6 2 2 4 2 2 2" xfId="28723" xr:uid="{00000000-0005-0000-0000-0000CE9C0000}"/>
    <cellStyle name="Normal 6 2 2 4 2 2 2 2" xfId="28724" xr:uid="{00000000-0005-0000-0000-0000CF9C0000}"/>
    <cellStyle name="Normal 6 2 2 4 2 2 2 2 2" xfId="57440" xr:uid="{00000000-0005-0000-0000-0000D09C0000}"/>
    <cellStyle name="Normal 6 2 2 4 2 2 2 2 3" xfId="57441" xr:uid="{00000000-0005-0000-0000-0000D19C0000}"/>
    <cellStyle name="Normal 6 2 2 4 2 2 2 3" xfId="28725" xr:uid="{00000000-0005-0000-0000-0000D29C0000}"/>
    <cellStyle name="Normal 6 2 2 4 2 2 2 3 2" xfId="57442" xr:uid="{00000000-0005-0000-0000-0000D39C0000}"/>
    <cellStyle name="Normal 6 2 2 4 2 2 2 4" xfId="28726" xr:uid="{00000000-0005-0000-0000-0000D49C0000}"/>
    <cellStyle name="Normal 6 2 2 4 2 2 2 5" xfId="28727" xr:uid="{00000000-0005-0000-0000-0000D59C0000}"/>
    <cellStyle name="Normal 6 2 2 4 2 2 2 6" xfId="28728" xr:uid="{00000000-0005-0000-0000-0000D69C0000}"/>
    <cellStyle name="Normal 6 2 2 4 2 2 3" xfId="28729" xr:uid="{00000000-0005-0000-0000-0000D79C0000}"/>
    <cellStyle name="Normal 6 2 2 4 2 2 3 2" xfId="57443" xr:uid="{00000000-0005-0000-0000-0000D89C0000}"/>
    <cellStyle name="Normal 6 2 2 4 2 2 3 3" xfId="57444" xr:uid="{00000000-0005-0000-0000-0000D99C0000}"/>
    <cellStyle name="Normal 6 2 2 4 2 2 4" xfId="28730" xr:uid="{00000000-0005-0000-0000-0000DA9C0000}"/>
    <cellStyle name="Normal 6 2 2 4 2 2 4 2" xfId="57445" xr:uid="{00000000-0005-0000-0000-0000DB9C0000}"/>
    <cellStyle name="Normal 6 2 2 4 2 2 5" xfId="28731" xr:uid="{00000000-0005-0000-0000-0000DC9C0000}"/>
    <cellStyle name="Normal 6 2 2 4 2 2 6" xfId="28732" xr:uid="{00000000-0005-0000-0000-0000DD9C0000}"/>
    <cellStyle name="Normal 6 2 2 4 2 2 7" xfId="28733" xr:uid="{00000000-0005-0000-0000-0000DE9C0000}"/>
    <cellStyle name="Normal 6 2 2 4 2 3" xfId="28734" xr:uid="{00000000-0005-0000-0000-0000DF9C0000}"/>
    <cellStyle name="Normal 6 2 2 4 2 3 2" xfId="28735" xr:uid="{00000000-0005-0000-0000-0000E09C0000}"/>
    <cellStyle name="Normal 6 2 2 4 2 3 2 2" xfId="57446" xr:uid="{00000000-0005-0000-0000-0000E19C0000}"/>
    <cellStyle name="Normal 6 2 2 4 2 3 2 3" xfId="57447" xr:uid="{00000000-0005-0000-0000-0000E29C0000}"/>
    <cellStyle name="Normal 6 2 2 4 2 3 3" xfId="28736" xr:uid="{00000000-0005-0000-0000-0000E39C0000}"/>
    <cellStyle name="Normal 6 2 2 4 2 3 3 2" xfId="57448" xr:uid="{00000000-0005-0000-0000-0000E49C0000}"/>
    <cellStyle name="Normal 6 2 2 4 2 3 4" xfId="28737" xr:uid="{00000000-0005-0000-0000-0000E59C0000}"/>
    <cellStyle name="Normal 6 2 2 4 2 3 5" xfId="28738" xr:uid="{00000000-0005-0000-0000-0000E69C0000}"/>
    <cellStyle name="Normal 6 2 2 4 2 3 6" xfId="28739" xr:uid="{00000000-0005-0000-0000-0000E79C0000}"/>
    <cellStyle name="Normal 6 2 2 4 2 4" xfId="28740" xr:uid="{00000000-0005-0000-0000-0000E89C0000}"/>
    <cellStyle name="Normal 6 2 2 4 2 4 2" xfId="57449" xr:uid="{00000000-0005-0000-0000-0000E99C0000}"/>
    <cellStyle name="Normal 6 2 2 4 2 4 3" xfId="57450" xr:uid="{00000000-0005-0000-0000-0000EA9C0000}"/>
    <cellStyle name="Normal 6 2 2 4 2 5" xfId="28741" xr:uid="{00000000-0005-0000-0000-0000EB9C0000}"/>
    <cellStyle name="Normal 6 2 2 4 2 5 2" xfId="57451" xr:uid="{00000000-0005-0000-0000-0000EC9C0000}"/>
    <cellStyle name="Normal 6 2 2 4 2 6" xfId="28742" xr:uid="{00000000-0005-0000-0000-0000ED9C0000}"/>
    <cellStyle name="Normal 6 2 2 4 2 7" xfId="28743" xr:uid="{00000000-0005-0000-0000-0000EE9C0000}"/>
    <cellStyle name="Normal 6 2 2 4 2 8" xfId="28744" xr:uid="{00000000-0005-0000-0000-0000EF9C0000}"/>
    <cellStyle name="Normal 6 2 2 4 2 9" xfId="28745" xr:uid="{00000000-0005-0000-0000-0000F09C0000}"/>
    <cellStyle name="Normal 6 2 2 4 3" xfId="28746" xr:uid="{00000000-0005-0000-0000-0000F19C0000}"/>
    <cellStyle name="Normal 6 2 2 4 3 2" xfId="28747" xr:uid="{00000000-0005-0000-0000-0000F29C0000}"/>
    <cellStyle name="Normal 6 2 2 4 3 2 2" xfId="28748" xr:uid="{00000000-0005-0000-0000-0000F39C0000}"/>
    <cellStyle name="Normal 6 2 2 4 3 2 2 2" xfId="28749" xr:uid="{00000000-0005-0000-0000-0000F49C0000}"/>
    <cellStyle name="Normal 6 2 2 4 3 2 2 2 2" xfId="57452" xr:uid="{00000000-0005-0000-0000-0000F59C0000}"/>
    <cellStyle name="Normal 6 2 2 4 3 2 2 2 3" xfId="57453" xr:uid="{00000000-0005-0000-0000-0000F69C0000}"/>
    <cellStyle name="Normal 6 2 2 4 3 2 2 3" xfId="28750" xr:uid="{00000000-0005-0000-0000-0000F79C0000}"/>
    <cellStyle name="Normal 6 2 2 4 3 2 2 3 2" xfId="57454" xr:uid="{00000000-0005-0000-0000-0000F89C0000}"/>
    <cellStyle name="Normal 6 2 2 4 3 2 2 4" xfId="28751" xr:uid="{00000000-0005-0000-0000-0000F99C0000}"/>
    <cellStyle name="Normal 6 2 2 4 3 2 2 5" xfId="28752" xr:uid="{00000000-0005-0000-0000-0000FA9C0000}"/>
    <cellStyle name="Normal 6 2 2 4 3 2 2 6" xfId="28753" xr:uid="{00000000-0005-0000-0000-0000FB9C0000}"/>
    <cellStyle name="Normal 6 2 2 4 3 2 3" xfId="28754" xr:uid="{00000000-0005-0000-0000-0000FC9C0000}"/>
    <cellStyle name="Normal 6 2 2 4 3 2 3 2" xfId="57455" xr:uid="{00000000-0005-0000-0000-0000FD9C0000}"/>
    <cellStyle name="Normal 6 2 2 4 3 2 3 3" xfId="57456" xr:uid="{00000000-0005-0000-0000-0000FE9C0000}"/>
    <cellStyle name="Normal 6 2 2 4 3 2 4" xfId="28755" xr:uid="{00000000-0005-0000-0000-0000FF9C0000}"/>
    <cellStyle name="Normal 6 2 2 4 3 2 4 2" xfId="57457" xr:uid="{00000000-0005-0000-0000-0000009D0000}"/>
    <cellStyle name="Normal 6 2 2 4 3 2 5" xfId="28756" xr:uid="{00000000-0005-0000-0000-0000019D0000}"/>
    <cellStyle name="Normal 6 2 2 4 3 2 6" xfId="28757" xr:uid="{00000000-0005-0000-0000-0000029D0000}"/>
    <cellStyle name="Normal 6 2 2 4 3 2 7" xfId="28758" xr:uid="{00000000-0005-0000-0000-0000039D0000}"/>
    <cellStyle name="Normal 6 2 2 4 3 3" xfId="28759" xr:uid="{00000000-0005-0000-0000-0000049D0000}"/>
    <cellStyle name="Normal 6 2 2 4 3 3 2" xfId="28760" xr:uid="{00000000-0005-0000-0000-0000059D0000}"/>
    <cellStyle name="Normal 6 2 2 4 3 3 2 2" xfId="57458" xr:uid="{00000000-0005-0000-0000-0000069D0000}"/>
    <cellStyle name="Normal 6 2 2 4 3 3 2 3" xfId="57459" xr:uid="{00000000-0005-0000-0000-0000079D0000}"/>
    <cellStyle name="Normal 6 2 2 4 3 3 3" xfId="28761" xr:uid="{00000000-0005-0000-0000-0000089D0000}"/>
    <cellStyle name="Normal 6 2 2 4 3 3 3 2" xfId="57460" xr:uid="{00000000-0005-0000-0000-0000099D0000}"/>
    <cellStyle name="Normal 6 2 2 4 3 3 4" xfId="28762" xr:uid="{00000000-0005-0000-0000-00000A9D0000}"/>
    <cellStyle name="Normal 6 2 2 4 3 3 5" xfId="28763" xr:uid="{00000000-0005-0000-0000-00000B9D0000}"/>
    <cellStyle name="Normal 6 2 2 4 3 3 6" xfId="28764" xr:uid="{00000000-0005-0000-0000-00000C9D0000}"/>
    <cellStyle name="Normal 6 2 2 4 3 4" xfId="28765" xr:uid="{00000000-0005-0000-0000-00000D9D0000}"/>
    <cellStyle name="Normal 6 2 2 4 3 4 2" xfId="57461" xr:uid="{00000000-0005-0000-0000-00000E9D0000}"/>
    <cellStyle name="Normal 6 2 2 4 3 4 3" xfId="57462" xr:uid="{00000000-0005-0000-0000-00000F9D0000}"/>
    <cellStyle name="Normal 6 2 2 4 3 5" xfId="28766" xr:uid="{00000000-0005-0000-0000-0000109D0000}"/>
    <cellStyle name="Normal 6 2 2 4 3 5 2" xfId="57463" xr:uid="{00000000-0005-0000-0000-0000119D0000}"/>
    <cellStyle name="Normal 6 2 2 4 3 6" xfId="28767" xr:uid="{00000000-0005-0000-0000-0000129D0000}"/>
    <cellStyle name="Normal 6 2 2 4 3 7" xfId="28768" xr:uid="{00000000-0005-0000-0000-0000139D0000}"/>
    <cellStyle name="Normal 6 2 2 4 3 8" xfId="28769" xr:uid="{00000000-0005-0000-0000-0000149D0000}"/>
    <cellStyle name="Normal 6 2 2 4 4" xfId="28770" xr:uid="{00000000-0005-0000-0000-0000159D0000}"/>
    <cellStyle name="Normal 6 2 2 4 4 2" xfId="28771" xr:uid="{00000000-0005-0000-0000-0000169D0000}"/>
    <cellStyle name="Normal 6 2 2 4 4 2 2" xfId="28772" xr:uid="{00000000-0005-0000-0000-0000179D0000}"/>
    <cellStyle name="Normal 6 2 2 4 4 2 2 2" xfId="57464" xr:uid="{00000000-0005-0000-0000-0000189D0000}"/>
    <cellStyle name="Normal 6 2 2 4 4 2 2 3" xfId="57465" xr:uid="{00000000-0005-0000-0000-0000199D0000}"/>
    <cellStyle name="Normal 6 2 2 4 4 2 3" xfId="28773" xr:uid="{00000000-0005-0000-0000-00001A9D0000}"/>
    <cellStyle name="Normal 6 2 2 4 4 2 3 2" xfId="57466" xr:uid="{00000000-0005-0000-0000-00001B9D0000}"/>
    <cellStyle name="Normal 6 2 2 4 4 2 4" xfId="28774" xr:uid="{00000000-0005-0000-0000-00001C9D0000}"/>
    <cellStyle name="Normal 6 2 2 4 4 2 5" xfId="28775" xr:uid="{00000000-0005-0000-0000-00001D9D0000}"/>
    <cellStyle name="Normal 6 2 2 4 4 2 6" xfId="28776" xr:uid="{00000000-0005-0000-0000-00001E9D0000}"/>
    <cellStyle name="Normal 6 2 2 4 4 3" xfId="28777" xr:uid="{00000000-0005-0000-0000-00001F9D0000}"/>
    <cellStyle name="Normal 6 2 2 4 4 3 2" xfId="57467" xr:uid="{00000000-0005-0000-0000-0000209D0000}"/>
    <cellStyle name="Normal 6 2 2 4 4 3 3" xfId="57468" xr:uid="{00000000-0005-0000-0000-0000219D0000}"/>
    <cellStyle name="Normal 6 2 2 4 4 4" xfId="28778" xr:uid="{00000000-0005-0000-0000-0000229D0000}"/>
    <cellStyle name="Normal 6 2 2 4 4 4 2" xfId="57469" xr:uid="{00000000-0005-0000-0000-0000239D0000}"/>
    <cellStyle name="Normal 6 2 2 4 4 5" xfId="28779" xr:uid="{00000000-0005-0000-0000-0000249D0000}"/>
    <cellStyle name="Normal 6 2 2 4 4 6" xfId="28780" xr:uid="{00000000-0005-0000-0000-0000259D0000}"/>
    <cellStyle name="Normal 6 2 2 4 4 7" xfId="28781" xr:uid="{00000000-0005-0000-0000-0000269D0000}"/>
    <cellStyle name="Normal 6 2 2 4 5" xfId="28782" xr:uid="{00000000-0005-0000-0000-0000279D0000}"/>
    <cellStyle name="Normal 6 2 2 4 5 2" xfId="28783" xr:uid="{00000000-0005-0000-0000-0000289D0000}"/>
    <cellStyle name="Normal 6 2 2 4 5 2 2" xfId="57470" xr:uid="{00000000-0005-0000-0000-0000299D0000}"/>
    <cellStyle name="Normal 6 2 2 4 5 2 3" xfId="57471" xr:uid="{00000000-0005-0000-0000-00002A9D0000}"/>
    <cellStyle name="Normal 6 2 2 4 5 3" xfId="28784" xr:uid="{00000000-0005-0000-0000-00002B9D0000}"/>
    <cellStyle name="Normal 6 2 2 4 5 3 2" xfId="57472" xr:uid="{00000000-0005-0000-0000-00002C9D0000}"/>
    <cellStyle name="Normal 6 2 2 4 5 4" xfId="28785" xr:uid="{00000000-0005-0000-0000-00002D9D0000}"/>
    <cellStyle name="Normal 6 2 2 4 5 5" xfId="28786" xr:uid="{00000000-0005-0000-0000-00002E9D0000}"/>
    <cellStyle name="Normal 6 2 2 4 5 6" xfId="28787" xr:uid="{00000000-0005-0000-0000-00002F9D0000}"/>
    <cellStyle name="Normal 6 2 2 4 6" xfId="28788" xr:uid="{00000000-0005-0000-0000-0000309D0000}"/>
    <cellStyle name="Normal 6 2 2 4 6 2" xfId="57473" xr:uid="{00000000-0005-0000-0000-0000319D0000}"/>
    <cellStyle name="Normal 6 2 2 4 6 3" xfId="57474" xr:uid="{00000000-0005-0000-0000-0000329D0000}"/>
    <cellStyle name="Normal 6 2 2 4 7" xfId="28789" xr:uid="{00000000-0005-0000-0000-0000339D0000}"/>
    <cellStyle name="Normal 6 2 2 4 7 2" xfId="57475" xr:uid="{00000000-0005-0000-0000-0000349D0000}"/>
    <cellStyle name="Normal 6 2 2 4 8" xfId="28790" xr:uid="{00000000-0005-0000-0000-0000359D0000}"/>
    <cellStyle name="Normal 6 2 2 4 9" xfId="28791" xr:uid="{00000000-0005-0000-0000-0000369D0000}"/>
    <cellStyle name="Normal 6 2 2 5" xfId="28792" xr:uid="{00000000-0005-0000-0000-0000379D0000}"/>
    <cellStyle name="Normal 6 2 2 5 10" xfId="28793" xr:uid="{00000000-0005-0000-0000-0000389D0000}"/>
    <cellStyle name="Normal 6 2 2 5 11" xfId="28794" xr:uid="{00000000-0005-0000-0000-0000399D0000}"/>
    <cellStyle name="Normal 6 2 2 5 12" xfId="28795" xr:uid="{00000000-0005-0000-0000-00003A9D0000}"/>
    <cellStyle name="Normal 6 2 2 5 13" xfId="28796" xr:uid="{00000000-0005-0000-0000-00003B9D0000}"/>
    <cellStyle name="Normal 6 2 2 5 14" xfId="28797" xr:uid="{00000000-0005-0000-0000-00003C9D0000}"/>
    <cellStyle name="Normal 6 2 2 5 2" xfId="28798" xr:uid="{00000000-0005-0000-0000-00003D9D0000}"/>
    <cellStyle name="Normal 6 2 2 5 2 2" xfId="28799" xr:uid="{00000000-0005-0000-0000-00003E9D0000}"/>
    <cellStyle name="Normal 6 2 2 5 2 2 2" xfId="28800" xr:uid="{00000000-0005-0000-0000-00003F9D0000}"/>
    <cellStyle name="Normal 6 2 2 5 2 2 2 2" xfId="28801" xr:uid="{00000000-0005-0000-0000-0000409D0000}"/>
    <cellStyle name="Normal 6 2 2 5 2 2 2 2 2" xfId="57476" xr:uid="{00000000-0005-0000-0000-0000419D0000}"/>
    <cellStyle name="Normal 6 2 2 5 2 2 2 2 3" xfId="57477" xr:uid="{00000000-0005-0000-0000-0000429D0000}"/>
    <cellStyle name="Normal 6 2 2 5 2 2 2 3" xfId="28802" xr:uid="{00000000-0005-0000-0000-0000439D0000}"/>
    <cellStyle name="Normal 6 2 2 5 2 2 2 3 2" xfId="57478" xr:uid="{00000000-0005-0000-0000-0000449D0000}"/>
    <cellStyle name="Normal 6 2 2 5 2 2 2 4" xfId="28803" xr:uid="{00000000-0005-0000-0000-0000459D0000}"/>
    <cellStyle name="Normal 6 2 2 5 2 2 2 5" xfId="28804" xr:uid="{00000000-0005-0000-0000-0000469D0000}"/>
    <cellStyle name="Normal 6 2 2 5 2 2 2 6" xfId="28805" xr:uid="{00000000-0005-0000-0000-0000479D0000}"/>
    <cellStyle name="Normal 6 2 2 5 2 2 3" xfId="28806" xr:uid="{00000000-0005-0000-0000-0000489D0000}"/>
    <cellStyle name="Normal 6 2 2 5 2 2 3 2" xfId="57479" xr:uid="{00000000-0005-0000-0000-0000499D0000}"/>
    <cellStyle name="Normal 6 2 2 5 2 2 3 3" xfId="57480" xr:uid="{00000000-0005-0000-0000-00004A9D0000}"/>
    <cellStyle name="Normal 6 2 2 5 2 2 4" xfId="28807" xr:uid="{00000000-0005-0000-0000-00004B9D0000}"/>
    <cellStyle name="Normal 6 2 2 5 2 2 4 2" xfId="57481" xr:uid="{00000000-0005-0000-0000-00004C9D0000}"/>
    <cellStyle name="Normal 6 2 2 5 2 2 5" xfId="28808" xr:uid="{00000000-0005-0000-0000-00004D9D0000}"/>
    <cellStyle name="Normal 6 2 2 5 2 2 6" xfId="28809" xr:uid="{00000000-0005-0000-0000-00004E9D0000}"/>
    <cellStyle name="Normal 6 2 2 5 2 2 7" xfId="28810" xr:uid="{00000000-0005-0000-0000-00004F9D0000}"/>
    <cellStyle name="Normal 6 2 2 5 2 3" xfId="28811" xr:uid="{00000000-0005-0000-0000-0000509D0000}"/>
    <cellStyle name="Normal 6 2 2 5 2 3 2" xfId="28812" xr:uid="{00000000-0005-0000-0000-0000519D0000}"/>
    <cellStyle name="Normal 6 2 2 5 2 3 2 2" xfId="57482" xr:uid="{00000000-0005-0000-0000-0000529D0000}"/>
    <cellStyle name="Normal 6 2 2 5 2 3 2 3" xfId="57483" xr:uid="{00000000-0005-0000-0000-0000539D0000}"/>
    <cellStyle name="Normal 6 2 2 5 2 3 3" xfId="28813" xr:uid="{00000000-0005-0000-0000-0000549D0000}"/>
    <cellStyle name="Normal 6 2 2 5 2 3 3 2" xfId="57484" xr:uid="{00000000-0005-0000-0000-0000559D0000}"/>
    <cellStyle name="Normal 6 2 2 5 2 3 4" xfId="28814" xr:uid="{00000000-0005-0000-0000-0000569D0000}"/>
    <cellStyle name="Normal 6 2 2 5 2 3 5" xfId="28815" xr:uid="{00000000-0005-0000-0000-0000579D0000}"/>
    <cellStyle name="Normal 6 2 2 5 2 3 6" xfId="28816" xr:uid="{00000000-0005-0000-0000-0000589D0000}"/>
    <cellStyle name="Normal 6 2 2 5 2 4" xfId="28817" xr:uid="{00000000-0005-0000-0000-0000599D0000}"/>
    <cellStyle name="Normal 6 2 2 5 2 4 2" xfId="57485" xr:uid="{00000000-0005-0000-0000-00005A9D0000}"/>
    <cellStyle name="Normal 6 2 2 5 2 4 3" xfId="57486" xr:uid="{00000000-0005-0000-0000-00005B9D0000}"/>
    <cellStyle name="Normal 6 2 2 5 2 5" xfId="28818" xr:uid="{00000000-0005-0000-0000-00005C9D0000}"/>
    <cellStyle name="Normal 6 2 2 5 2 5 2" xfId="57487" xr:uid="{00000000-0005-0000-0000-00005D9D0000}"/>
    <cellStyle name="Normal 6 2 2 5 2 6" xfId="28819" xr:uid="{00000000-0005-0000-0000-00005E9D0000}"/>
    <cellStyle name="Normal 6 2 2 5 2 7" xfId="28820" xr:uid="{00000000-0005-0000-0000-00005F9D0000}"/>
    <cellStyle name="Normal 6 2 2 5 2 8" xfId="28821" xr:uid="{00000000-0005-0000-0000-0000609D0000}"/>
    <cellStyle name="Normal 6 2 2 5 2 9" xfId="28822" xr:uid="{00000000-0005-0000-0000-0000619D0000}"/>
    <cellStyle name="Normal 6 2 2 5 3" xfId="28823" xr:uid="{00000000-0005-0000-0000-0000629D0000}"/>
    <cellStyle name="Normal 6 2 2 5 3 2" xfId="28824" xr:uid="{00000000-0005-0000-0000-0000639D0000}"/>
    <cellStyle name="Normal 6 2 2 5 3 2 2" xfId="28825" xr:uid="{00000000-0005-0000-0000-0000649D0000}"/>
    <cellStyle name="Normal 6 2 2 5 3 2 2 2" xfId="28826" xr:uid="{00000000-0005-0000-0000-0000659D0000}"/>
    <cellStyle name="Normal 6 2 2 5 3 2 2 2 2" xfId="57488" xr:uid="{00000000-0005-0000-0000-0000669D0000}"/>
    <cellStyle name="Normal 6 2 2 5 3 2 2 2 3" xfId="57489" xr:uid="{00000000-0005-0000-0000-0000679D0000}"/>
    <cellStyle name="Normal 6 2 2 5 3 2 2 3" xfId="28827" xr:uid="{00000000-0005-0000-0000-0000689D0000}"/>
    <cellStyle name="Normal 6 2 2 5 3 2 2 3 2" xfId="57490" xr:uid="{00000000-0005-0000-0000-0000699D0000}"/>
    <cellStyle name="Normal 6 2 2 5 3 2 2 4" xfId="28828" xr:uid="{00000000-0005-0000-0000-00006A9D0000}"/>
    <cellStyle name="Normal 6 2 2 5 3 2 2 5" xfId="28829" xr:uid="{00000000-0005-0000-0000-00006B9D0000}"/>
    <cellStyle name="Normal 6 2 2 5 3 2 2 6" xfId="28830" xr:uid="{00000000-0005-0000-0000-00006C9D0000}"/>
    <cellStyle name="Normal 6 2 2 5 3 2 3" xfId="28831" xr:uid="{00000000-0005-0000-0000-00006D9D0000}"/>
    <cellStyle name="Normal 6 2 2 5 3 2 3 2" xfId="57491" xr:uid="{00000000-0005-0000-0000-00006E9D0000}"/>
    <cellStyle name="Normal 6 2 2 5 3 2 3 3" xfId="57492" xr:uid="{00000000-0005-0000-0000-00006F9D0000}"/>
    <cellStyle name="Normal 6 2 2 5 3 2 4" xfId="28832" xr:uid="{00000000-0005-0000-0000-0000709D0000}"/>
    <cellStyle name="Normal 6 2 2 5 3 2 4 2" xfId="57493" xr:uid="{00000000-0005-0000-0000-0000719D0000}"/>
    <cellStyle name="Normal 6 2 2 5 3 2 5" xfId="28833" xr:uid="{00000000-0005-0000-0000-0000729D0000}"/>
    <cellStyle name="Normal 6 2 2 5 3 2 6" xfId="28834" xr:uid="{00000000-0005-0000-0000-0000739D0000}"/>
    <cellStyle name="Normal 6 2 2 5 3 2 7" xfId="28835" xr:uid="{00000000-0005-0000-0000-0000749D0000}"/>
    <cellStyle name="Normal 6 2 2 5 3 3" xfId="28836" xr:uid="{00000000-0005-0000-0000-0000759D0000}"/>
    <cellStyle name="Normal 6 2 2 5 3 3 2" xfId="28837" xr:uid="{00000000-0005-0000-0000-0000769D0000}"/>
    <cellStyle name="Normal 6 2 2 5 3 3 2 2" xfId="57494" xr:uid="{00000000-0005-0000-0000-0000779D0000}"/>
    <cellStyle name="Normal 6 2 2 5 3 3 2 3" xfId="57495" xr:uid="{00000000-0005-0000-0000-0000789D0000}"/>
    <cellStyle name="Normal 6 2 2 5 3 3 3" xfId="28838" xr:uid="{00000000-0005-0000-0000-0000799D0000}"/>
    <cellStyle name="Normal 6 2 2 5 3 3 3 2" xfId="57496" xr:uid="{00000000-0005-0000-0000-00007A9D0000}"/>
    <cellStyle name="Normal 6 2 2 5 3 3 4" xfId="28839" xr:uid="{00000000-0005-0000-0000-00007B9D0000}"/>
    <cellStyle name="Normal 6 2 2 5 3 3 5" xfId="28840" xr:uid="{00000000-0005-0000-0000-00007C9D0000}"/>
    <cellStyle name="Normal 6 2 2 5 3 3 6" xfId="28841" xr:uid="{00000000-0005-0000-0000-00007D9D0000}"/>
    <cellStyle name="Normal 6 2 2 5 3 4" xfId="28842" xr:uid="{00000000-0005-0000-0000-00007E9D0000}"/>
    <cellStyle name="Normal 6 2 2 5 3 4 2" xfId="57497" xr:uid="{00000000-0005-0000-0000-00007F9D0000}"/>
    <cellStyle name="Normal 6 2 2 5 3 4 3" xfId="57498" xr:uid="{00000000-0005-0000-0000-0000809D0000}"/>
    <cellStyle name="Normal 6 2 2 5 3 5" xfId="28843" xr:uid="{00000000-0005-0000-0000-0000819D0000}"/>
    <cellStyle name="Normal 6 2 2 5 3 5 2" xfId="57499" xr:uid="{00000000-0005-0000-0000-0000829D0000}"/>
    <cellStyle name="Normal 6 2 2 5 3 6" xfId="28844" xr:uid="{00000000-0005-0000-0000-0000839D0000}"/>
    <cellStyle name="Normal 6 2 2 5 3 7" xfId="28845" xr:uid="{00000000-0005-0000-0000-0000849D0000}"/>
    <cellStyle name="Normal 6 2 2 5 3 8" xfId="28846" xr:uid="{00000000-0005-0000-0000-0000859D0000}"/>
    <cellStyle name="Normal 6 2 2 5 4" xfId="28847" xr:uid="{00000000-0005-0000-0000-0000869D0000}"/>
    <cellStyle name="Normal 6 2 2 5 4 2" xfId="28848" xr:uid="{00000000-0005-0000-0000-0000879D0000}"/>
    <cellStyle name="Normal 6 2 2 5 4 2 2" xfId="28849" xr:uid="{00000000-0005-0000-0000-0000889D0000}"/>
    <cellStyle name="Normal 6 2 2 5 4 2 2 2" xfId="57500" xr:uid="{00000000-0005-0000-0000-0000899D0000}"/>
    <cellStyle name="Normal 6 2 2 5 4 2 2 3" xfId="57501" xr:uid="{00000000-0005-0000-0000-00008A9D0000}"/>
    <cellStyle name="Normal 6 2 2 5 4 2 3" xfId="28850" xr:uid="{00000000-0005-0000-0000-00008B9D0000}"/>
    <cellStyle name="Normal 6 2 2 5 4 2 3 2" xfId="57502" xr:uid="{00000000-0005-0000-0000-00008C9D0000}"/>
    <cellStyle name="Normal 6 2 2 5 4 2 4" xfId="28851" xr:uid="{00000000-0005-0000-0000-00008D9D0000}"/>
    <cellStyle name="Normal 6 2 2 5 4 2 5" xfId="28852" xr:uid="{00000000-0005-0000-0000-00008E9D0000}"/>
    <cellStyle name="Normal 6 2 2 5 4 2 6" xfId="28853" xr:uid="{00000000-0005-0000-0000-00008F9D0000}"/>
    <cellStyle name="Normal 6 2 2 5 4 3" xfId="28854" xr:uid="{00000000-0005-0000-0000-0000909D0000}"/>
    <cellStyle name="Normal 6 2 2 5 4 3 2" xfId="57503" xr:uid="{00000000-0005-0000-0000-0000919D0000}"/>
    <cellStyle name="Normal 6 2 2 5 4 3 3" xfId="57504" xr:uid="{00000000-0005-0000-0000-0000929D0000}"/>
    <cellStyle name="Normal 6 2 2 5 4 4" xfId="28855" xr:uid="{00000000-0005-0000-0000-0000939D0000}"/>
    <cellStyle name="Normal 6 2 2 5 4 4 2" xfId="57505" xr:uid="{00000000-0005-0000-0000-0000949D0000}"/>
    <cellStyle name="Normal 6 2 2 5 4 5" xfId="28856" xr:uid="{00000000-0005-0000-0000-0000959D0000}"/>
    <cellStyle name="Normal 6 2 2 5 4 6" xfId="28857" xr:uid="{00000000-0005-0000-0000-0000969D0000}"/>
    <cellStyle name="Normal 6 2 2 5 4 7" xfId="28858" xr:uid="{00000000-0005-0000-0000-0000979D0000}"/>
    <cellStyle name="Normal 6 2 2 5 5" xfId="28859" xr:uid="{00000000-0005-0000-0000-0000989D0000}"/>
    <cellStyle name="Normal 6 2 2 5 5 2" xfId="28860" xr:uid="{00000000-0005-0000-0000-0000999D0000}"/>
    <cellStyle name="Normal 6 2 2 5 5 2 2" xfId="57506" xr:uid="{00000000-0005-0000-0000-00009A9D0000}"/>
    <cellStyle name="Normal 6 2 2 5 5 2 3" xfId="57507" xr:uid="{00000000-0005-0000-0000-00009B9D0000}"/>
    <cellStyle name="Normal 6 2 2 5 5 3" xfId="28861" xr:uid="{00000000-0005-0000-0000-00009C9D0000}"/>
    <cellStyle name="Normal 6 2 2 5 5 3 2" xfId="57508" xr:uid="{00000000-0005-0000-0000-00009D9D0000}"/>
    <cellStyle name="Normal 6 2 2 5 5 4" xfId="28862" xr:uid="{00000000-0005-0000-0000-00009E9D0000}"/>
    <cellStyle name="Normal 6 2 2 5 5 5" xfId="28863" xr:uid="{00000000-0005-0000-0000-00009F9D0000}"/>
    <cellStyle name="Normal 6 2 2 5 5 6" xfId="28864" xr:uid="{00000000-0005-0000-0000-0000A09D0000}"/>
    <cellStyle name="Normal 6 2 2 5 6" xfId="28865" xr:uid="{00000000-0005-0000-0000-0000A19D0000}"/>
    <cellStyle name="Normal 6 2 2 5 6 2" xfId="57509" xr:uid="{00000000-0005-0000-0000-0000A29D0000}"/>
    <cellStyle name="Normal 6 2 2 5 6 3" xfId="57510" xr:uid="{00000000-0005-0000-0000-0000A39D0000}"/>
    <cellStyle name="Normal 6 2 2 5 7" xfId="28866" xr:uid="{00000000-0005-0000-0000-0000A49D0000}"/>
    <cellStyle name="Normal 6 2 2 5 7 2" xfId="57511" xr:uid="{00000000-0005-0000-0000-0000A59D0000}"/>
    <cellStyle name="Normal 6 2 2 5 8" xfId="28867" xr:uid="{00000000-0005-0000-0000-0000A69D0000}"/>
    <cellStyle name="Normal 6 2 2 5 9" xfId="28868" xr:uid="{00000000-0005-0000-0000-0000A79D0000}"/>
    <cellStyle name="Normal 6 2 2 6" xfId="28869" xr:uid="{00000000-0005-0000-0000-0000A89D0000}"/>
    <cellStyle name="Normal 6 2 2 6 10" xfId="28870" xr:uid="{00000000-0005-0000-0000-0000A99D0000}"/>
    <cellStyle name="Normal 6 2 2 6 11" xfId="28871" xr:uid="{00000000-0005-0000-0000-0000AA9D0000}"/>
    <cellStyle name="Normal 6 2 2 6 12" xfId="28872" xr:uid="{00000000-0005-0000-0000-0000AB9D0000}"/>
    <cellStyle name="Normal 6 2 2 6 13" xfId="28873" xr:uid="{00000000-0005-0000-0000-0000AC9D0000}"/>
    <cellStyle name="Normal 6 2 2 6 2" xfId="28874" xr:uid="{00000000-0005-0000-0000-0000AD9D0000}"/>
    <cellStyle name="Normal 6 2 2 6 2 2" xfId="28875" xr:uid="{00000000-0005-0000-0000-0000AE9D0000}"/>
    <cellStyle name="Normal 6 2 2 6 2 2 2" xfId="28876" xr:uid="{00000000-0005-0000-0000-0000AF9D0000}"/>
    <cellStyle name="Normal 6 2 2 6 2 2 2 2" xfId="28877" xr:uid="{00000000-0005-0000-0000-0000B09D0000}"/>
    <cellStyle name="Normal 6 2 2 6 2 2 2 2 2" xfId="57512" xr:uid="{00000000-0005-0000-0000-0000B19D0000}"/>
    <cellStyle name="Normal 6 2 2 6 2 2 2 2 3" xfId="57513" xr:uid="{00000000-0005-0000-0000-0000B29D0000}"/>
    <cellStyle name="Normal 6 2 2 6 2 2 2 3" xfId="28878" xr:uid="{00000000-0005-0000-0000-0000B39D0000}"/>
    <cellStyle name="Normal 6 2 2 6 2 2 2 3 2" xfId="57514" xr:uid="{00000000-0005-0000-0000-0000B49D0000}"/>
    <cellStyle name="Normal 6 2 2 6 2 2 2 4" xfId="28879" xr:uid="{00000000-0005-0000-0000-0000B59D0000}"/>
    <cellStyle name="Normal 6 2 2 6 2 2 2 5" xfId="28880" xr:uid="{00000000-0005-0000-0000-0000B69D0000}"/>
    <cellStyle name="Normal 6 2 2 6 2 2 2 6" xfId="28881" xr:uid="{00000000-0005-0000-0000-0000B79D0000}"/>
    <cellStyle name="Normal 6 2 2 6 2 2 3" xfId="28882" xr:uid="{00000000-0005-0000-0000-0000B89D0000}"/>
    <cellStyle name="Normal 6 2 2 6 2 2 3 2" xfId="57515" xr:uid="{00000000-0005-0000-0000-0000B99D0000}"/>
    <cellStyle name="Normal 6 2 2 6 2 2 3 3" xfId="57516" xr:uid="{00000000-0005-0000-0000-0000BA9D0000}"/>
    <cellStyle name="Normal 6 2 2 6 2 2 4" xfId="28883" xr:uid="{00000000-0005-0000-0000-0000BB9D0000}"/>
    <cellStyle name="Normal 6 2 2 6 2 2 4 2" xfId="57517" xr:uid="{00000000-0005-0000-0000-0000BC9D0000}"/>
    <cellStyle name="Normal 6 2 2 6 2 2 5" xfId="28884" xr:uid="{00000000-0005-0000-0000-0000BD9D0000}"/>
    <cellStyle name="Normal 6 2 2 6 2 2 6" xfId="28885" xr:uid="{00000000-0005-0000-0000-0000BE9D0000}"/>
    <cellStyle name="Normal 6 2 2 6 2 2 7" xfId="28886" xr:uid="{00000000-0005-0000-0000-0000BF9D0000}"/>
    <cellStyle name="Normal 6 2 2 6 2 3" xfId="28887" xr:uid="{00000000-0005-0000-0000-0000C09D0000}"/>
    <cellStyle name="Normal 6 2 2 6 2 3 2" xfId="28888" xr:uid="{00000000-0005-0000-0000-0000C19D0000}"/>
    <cellStyle name="Normal 6 2 2 6 2 3 2 2" xfId="57518" xr:uid="{00000000-0005-0000-0000-0000C29D0000}"/>
    <cellStyle name="Normal 6 2 2 6 2 3 2 3" xfId="57519" xr:uid="{00000000-0005-0000-0000-0000C39D0000}"/>
    <cellStyle name="Normal 6 2 2 6 2 3 3" xfId="28889" xr:uid="{00000000-0005-0000-0000-0000C49D0000}"/>
    <cellStyle name="Normal 6 2 2 6 2 3 3 2" xfId="57520" xr:uid="{00000000-0005-0000-0000-0000C59D0000}"/>
    <cellStyle name="Normal 6 2 2 6 2 3 4" xfId="28890" xr:uid="{00000000-0005-0000-0000-0000C69D0000}"/>
    <cellStyle name="Normal 6 2 2 6 2 3 5" xfId="28891" xr:uid="{00000000-0005-0000-0000-0000C79D0000}"/>
    <cellStyle name="Normal 6 2 2 6 2 3 6" xfId="28892" xr:uid="{00000000-0005-0000-0000-0000C89D0000}"/>
    <cellStyle name="Normal 6 2 2 6 2 4" xfId="28893" xr:uid="{00000000-0005-0000-0000-0000C99D0000}"/>
    <cellStyle name="Normal 6 2 2 6 2 4 2" xfId="57521" xr:uid="{00000000-0005-0000-0000-0000CA9D0000}"/>
    <cellStyle name="Normal 6 2 2 6 2 4 3" xfId="57522" xr:uid="{00000000-0005-0000-0000-0000CB9D0000}"/>
    <cellStyle name="Normal 6 2 2 6 2 5" xfId="28894" xr:uid="{00000000-0005-0000-0000-0000CC9D0000}"/>
    <cellStyle name="Normal 6 2 2 6 2 5 2" xfId="57523" xr:uid="{00000000-0005-0000-0000-0000CD9D0000}"/>
    <cellStyle name="Normal 6 2 2 6 2 6" xfId="28895" xr:uid="{00000000-0005-0000-0000-0000CE9D0000}"/>
    <cellStyle name="Normal 6 2 2 6 2 7" xfId="28896" xr:uid="{00000000-0005-0000-0000-0000CF9D0000}"/>
    <cellStyle name="Normal 6 2 2 6 2 8" xfId="28897" xr:uid="{00000000-0005-0000-0000-0000D09D0000}"/>
    <cellStyle name="Normal 6 2 2 6 2 9" xfId="28898" xr:uid="{00000000-0005-0000-0000-0000D19D0000}"/>
    <cellStyle name="Normal 6 2 2 6 3" xfId="28899" xr:uid="{00000000-0005-0000-0000-0000D29D0000}"/>
    <cellStyle name="Normal 6 2 2 6 3 2" xfId="28900" xr:uid="{00000000-0005-0000-0000-0000D39D0000}"/>
    <cellStyle name="Normal 6 2 2 6 3 2 2" xfId="28901" xr:uid="{00000000-0005-0000-0000-0000D49D0000}"/>
    <cellStyle name="Normal 6 2 2 6 3 2 2 2" xfId="57524" xr:uid="{00000000-0005-0000-0000-0000D59D0000}"/>
    <cellStyle name="Normal 6 2 2 6 3 2 2 3" xfId="57525" xr:uid="{00000000-0005-0000-0000-0000D69D0000}"/>
    <cellStyle name="Normal 6 2 2 6 3 2 3" xfId="28902" xr:uid="{00000000-0005-0000-0000-0000D79D0000}"/>
    <cellStyle name="Normal 6 2 2 6 3 2 3 2" xfId="57526" xr:uid="{00000000-0005-0000-0000-0000D89D0000}"/>
    <cellStyle name="Normal 6 2 2 6 3 2 4" xfId="28903" xr:uid="{00000000-0005-0000-0000-0000D99D0000}"/>
    <cellStyle name="Normal 6 2 2 6 3 2 5" xfId="28904" xr:uid="{00000000-0005-0000-0000-0000DA9D0000}"/>
    <cellStyle name="Normal 6 2 2 6 3 2 6" xfId="28905" xr:uid="{00000000-0005-0000-0000-0000DB9D0000}"/>
    <cellStyle name="Normal 6 2 2 6 3 3" xfId="28906" xr:uid="{00000000-0005-0000-0000-0000DC9D0000}"/>
    <cellStyle name="Normal 6 2 2 6 3 3 2" xfId="57527" xr:uid="{00000000-0005-0000-0000-0000DD9D0000}"/>
    <cellStyle name="Normal 6 2 2 6 3 3 3" xfId="57528" xr:uid="{00000000-0005-0000-0000-0000DE9D0000}"/>
    <cellStyle name="Normal 6 2 2 6 3 4" xfId="28907" xr:uid="{00000000-0005-0000-0000-0000DF9D0000}"/>
    <cellStyle name="Normal 6 2 2 6 3 4 2" xfId="57529" xr:uid="{00000000-0005-0000-0000-0000E09D0000}"/>
    <cellStyle name="Normal 6 2 2 6 3 5" xfId="28908" xr:uid="{00000000-0005-0000-0000-0000E19D0000}"/>
    <cellStyle name="Normal 6 2 2 6 3 6" xfId="28909" xr:uid="{00000000-0005-0000-0000-0000E29D0000}"/>
    <cellStyle name="Normal 6 2 2 6 3 7" xfId="28910" xr:uid="{00000000-0005-0000-0000-0000E39D0000}"/>
    <cellStyle name="Normal 6 2 2 6 4" xfId="28911" xr:uid="{00000000-0005-0000-0000-0000E49D0000}"/>
    <cellStyle name="Normal 6 2 2 6 4 2" xfId="28912" xr:uid="{00000000-0005-0000-0000-0000E59D0000}"/>
    <cellStyle name="Normal 6 2 2 6 4 2 2" xfId="57530" xr:uid="{00000000-0005-0000-0000-0000E69D0000}"/>
    <cellStyle name="Normal 6 2 2 6 4 2 3" xfId="57531" xr:uid="{00000000-0005-0000-0000-0000E79D0000}"/>
    <cellStyle name="Normal 6 2 2 6 4 3" xfId="28913" xr:uid="{00000000-0005-0000-0000-0000E89D0000}"/>
    <cellStyle name="Normal 6 2 2 6 4 3 2" xfId="57532" xr:uid="{00000000-0005-0000-0000-0000E99D0000}"/>
    <cellStyle name="Normal 6 2 2 6 4 4" xfId="28914" xr:uid="{00000000-0005-0000-0000-0000EA9D0000}"/>
    <cellStyle name="Normal 6 2 2 6 4 5" xfId="28915" xr:uid="{00000000-0005-0000-0000-0000EB9D0000}"/>
    <cellStyle name="Normal 6 2 2 6 4 6" xfId="28916" xr:uid="{00000000-0005-0000-0000-0000EC9D0000}"/>
    <cellStyle name="Normal 6 2 2 6 5" xfId="28917" xr:uid="{00000000-0005-0000-0000-0000ED9D0000}"/>
    <cellStyle name="Normal 6 2 2 6 5 2" xfId="57533" xr:uid="{00000000-0005-0000-0000-0000EE9D0000}"/>
    <cellStyle name="Normal 6 2 2 6 5 3" xfId="57534" xr:uid="{00000000-0005-0000-0000-0000EF9D0000}"/>
    <cellStyle name="Normal 6 2 2 6 6" xfId="28918" xr:uid="{00000000-0005-0000-0000-0000F09D0000}"/>
    <cellStyle name="Normal 6 2 2 6 6 2" xfId="57535" xr:uid="{00000000-0005-0000-0000-0000F19D0000}"/>
    <cellStyle name="Normal 6 2 2 6 7" xfId="28919" xr:uid="{00000000-0005-0000-0000-0000F29D0000}"/>
    <cellStyle name="Normal 6 2 2 6 8" xfId="28920" xr:uid="{00000000-0005-0000-0000-0000F39D0000}"/>
    <cellStyle name="Normal 6 2 2 6 9" xfId="28921" xr:uid="{00000000-0005-0000-0000-0000F49D0000}"/>
    <cellStyle name="Normal 6 2 2 7" xfId="28922" xr:uid="{00000000-0005-0000-0000-0000F59D0000}"/>
    <cellStyle name="Normal 6 2 2 7 2" xfId="28923" xr:uid="{00000000-0005-0000-0000-0000F69D0000}"/>
    <cellStyle name="Normal 6 2 2 7 2 2" xfId="28924" xr:uid="{00000000-0005-0000-0000-0000F79D0000}"/>
    <cellStyle name="Normal 6 2 2 7 2 2 2" xfId="28925" xr:uid="{00000000-0005-0000-0000-0000F89D0000}"/>
    <cellStyle name="Normal 6 2 2 7 2 2 2 2" xfId="57536" xr:uid="{00000000-0005-0000-0000-0000F99D0000}"/>
    <cellStyle name="Normal 6 2 2 7 2 2 2 3" xfId="57537" xr:uid="{00000000-0005-0000-0000-0000FA9D0000}"/>
    <cellStyle name="Normal 6 2 2 7 2 2 3" xfId="28926" xr:uid="{00000000-0005-0000-0000-0000FB9D0000}"/>
    <cellStyle name="Normal 6 2 2 7 2 2 3 2" xfId="57538" xr:uid="{00000000-0005-0000-0000-0000FC9D0000}"/>
    <cellStyle name="Normal 6 2 2 7 2 2 4" xfId="28927" xr:uid="{00000000-0005-0000-0000-0000FD9D0000}"/>
    <cellStyle name="Normal 6 2 2 7 2 2 5" xfId="28928" xr:uid="{00000000-0005-0000-0000-0000FE9D0000}"/>
    <cellStyle name="Normal 6 2 2 7 2 2 6" xfId="28929" xr:uid="{00000000-0005-0000-0000-0000FF9D0000}"/>
    <cellStyle name="Normal 6 2 2 7 2 3" xfId="28930" xr:uid="{00000000-0005-0000-0000-0000009E0000}"/>
    <cellStyle name="Normal 6 2 2 7 2 3 2" xfId="57539" xr:uid="{00000000-0005-0000-0000-0000019E0000}"/>
    <cellStyle name="Normal 6 2 2 7 2 3 3" xfId="57540" xr:uid="{00000000-0005-0000-0000-0000029E0000}"/>
    <cellStyle name="Normal 6 2 2 7 2 4" xfId="28931" xr:uid="{00000000-0005-0000-0000-0000039E0000}"/>
    <cellStyle name="Normal 6 2 2 7 2 4 2" xfId="57541" xr:uid="{00000000-0005-0000-0000-0000049E0000}"/>
    <cellStyle name="Normal 6 2 2 7 2 5" xfId="28932" xr:uid="{00000000-0005-0000-0000-0000059E0000}"/>
    <cellStyle name="Normal 6 2 2 7 2 6" xfId="28933" xr:uid="{00000000-0005-0000-0000-0000069E0000}"/>
    <cellStyle name="Normal 6 2 2 7 2 7" xfId="28934" xr:uid="{00000000-0005-0000-0000-0000079E0000}"/>
    <cellStyle name="Normal 6 2 2 7 3" xfId="28935" xr:uid="{00000000-0005-0000-0000-0000089E0000}"/>
    <cellStyle name="Normal 6 2 2 7 3 2" xfId="28936" xr:uid="{00000000-0005-0000-0000-0000099E0000}"/>
    <cellStyle name="Normal 6 2 2 7 3 2 2" xfId="57542" xr:uid="{00000000-0005-0000-0000-00000A9E0000}"/>
    <cellStyle name="Normal 6 2 2 7 3 2 3" xfId="57543" xr:uid="{00000000-0005-0000-0000-00000B9E0000}"/>
    <cellStyle name="Normal 6 2 2 7 3 3" xfId="28937" xr:uid="{00000000-0005-0000-0000-00000C9E0000}"/>
    <cellStyle name="Normal 6 2 2 7 3 3 2" xfId="57544" xr:uid="{00000000-0005-0000-0000-00000D9E0000}"/>
    <cellStyle name="Normal 6 2 2 7 3 4" xfId="28938" xr:uid="{00000000-0005-0000-0000-00000E9E0000}"/>
    <cellStyle name="Normal 6 2 2 7 3 5" xfId="28939" xr:uid="{00000000-0005-0000-0000-00000F9E0000}"/>
    <cellStyle name="Normal 6 2 2 7 3 6" xfId="28940" xr:uid="{00000000-0005-0000-0000-0000109E0000}"/>
    <cellStyle name="Normal 6 2 2 7 4" xfId="28941" xr:uid="{00000000-0005-0000-0000-0000119E0000}"/>
    <cellStyle name="Normal 6 2 2 7 4 2" xfId="57545" xr:uid="{00000000-0005-0000-0000-0000129E0000}"/>
    <cellStyle name="Normal 6 2 2 7 4 3" xfId="57546" xr:uid="{00000000-0005-0000-0000-0000139E0000}"/>
    <cellStyle name="Normal 6 2 2 7 5" xfId="28942" xr:uid="{00000000-0005-0000-0000-0000149E0000}"/>
    <cellStyle name="Normal 6 2 2 7 5 2" xfId="57547" xr:uid="{00000000-0005-0000-0000-0000159E0000}"/>
    <cellStyle name="Normal 6 2 2 7 6" xfId="28943" xr:uid="{00000000-0005-0000-0000-0000169E0000}"/>
    <cellStyle name="Normal 6 2 2 7 7" xfId="28944" xr:uid="{00000000-0005-0000-0000-0000179E0000}"/>
    <cellStyle name="Normal 6 2 2 7 8" xfId="28945" xr:uid="{00000000-0005-0000-0000-0000189E0000}"/>
    <cellStyle name="Normal 6 2 2 7 9" xfId="28946" xr:uid="{00000000-0005-0000-0000-0000199E0000}"/>
    <cellStyle name="Normal 6 2 2 8" xfId="28947" xr:uid="{00000000-0005-0000-0000-00001A9E0000}"/>
    <cellStyle name="Normal 6 2 2 8 2" xfId="28948" xr:uid="{00000000-0005-0000-0000-00001B9E0000}"/>
    <cellStyle name="Normal 6 2 2 8 2 2" xfId="28949" xr:uid="{00000000-0005-0000-0000-00001C9E0000}"/>
    <cellStyle name="Normal 6 2 2 8 2 2 2" xfId="28950" xr:uid="{00000000-0005-0000-0000-00001D9E0000}"/>
    <cellStyle name="Normal 6 2 2 8 2 2 2 2" xfId="57548" xr:uid="{00000000-0005-0000-0000-00001E9E0000}"/>
    <cellStyle name="Normal 6 2 2 8 2 2 2 3" xfId="57549" xr:uid="{00000000-0005-0000-0000-00001F9E0000}"/>
    <cellStyle name="Normal 6 2 2 8 2 2 3" xfId="28951" xr:uid="{00000000-0005-0000-0000-0000209E0000}"/>
    <cellStyle name="Normal 6 2 2 8 2 2 3 2" xfId="57550" xr:uid="{00000000-0005-0000-0000-0000219E0000}"/>
    <cellStyle name="Normal 6 2 2 8 2 2 4" xfId="28952" xr:uid="{00000000-0005-0000-0000-0000229E0000}"/>
    <cellStyle name="Normal 6 2 2 8 2 2 5" xfId="28953" xr:uid="{00000000-0005-0000-0000-0000239E0000}"/>
    <cellStyle name="Normal 6 2 2 8 2 2 6" xfId="28954" xr:uid="{00000000-0005-0000-0000-0000249E0000}"/>
    <cellStyle name="Normal 6 2 2 8 2 3" xfId="28955" xr:uid="{00000000-0005-0000-0000-0000259E0000}"/>
    <cellStyle name="Normal 6 2 2 8 2 3 2" xfId="57551" xr:uid="{00000000-0005-0000-0000-0000269E0000}"/>
    <cellStyle name="Normal 6 2 2 8 2 3 3" xfId="57552" xr:uid="{00000000-0005-0000-0000-0000279E0000}"/>
    <cellStyle name="Normal 6 2 2 8 2 4" xfId="28956" xr:uid="{00000000-0005-0000-0000-0000289E0000}"/>
    <cellStyle name="Normal 6 2 2 8 2 4 2" xfId="57553" xr:uid="{00000000-0005-0000-0000-0000299E0000}"/>
    <cellStyle name="Normal 6 2 2 8 2 5" xfId="28957" xr:uid="{00000000-0005-0000-0000-00002A9E0000}"/>
    <cellStyle name="Normal 6 2 2 8 2 6" xfId="28958" xr:uid="{00000000-0005-0000-0000-00002B9E0000}"/>
    <cellStyle name="Normal 6 2 2 8 2 7" xfId="28959" xr:uid="{00000000-0005-0000-0000-00002C9E0000}"/>
    <cellStyle name="Normal 6 2 2 8 3" xfId="28960" xr:uid="{00000000-0005-0000-0000-00002D9E0000}"/>
    <cellStyle name="Normal 6 2 2 8 3 2" xfId="28961" xr:uid="{00000000-0005-0000-0000-00002E9E0000}"/>
    <cellStyle name="Normal 6 2 2 8 3 2 2" xfId="57554" xr:uid="{00000000-0005-0000-0000-00002F9E0000}"/>
    <cellStyle name="Normal 6 2 2 8 3 2 3" xfId="57555" xr:uid="{00000000-0005-0000-0000-0000309E0000}"/>
    <cellStyle name="Normal 6 2 2 8 3 3" xfId="28962" xr:uid="{00000000-0005-0000-0000-0000319E0000}"/>
    <cellStyle name="Normal 6 2 2 8 3 3 2" xfId="57556" xr:uid="{00000000-0005-0000-0000-0000329E0000}"/>
    <cellStyle name="Normal 6 2 2 8 3 4" xfId="28963" xr:uid="{00000000-0005-0000-0000-0000339E0000}"/>
    <cellStyle name="Normal 6 2 2 8 3 5" xfId="28964" xr:uid="{00000000-0005-0000-0000-0000349E0000}"/>
    <cellStyle name="Normal 6 2 2 8 3 6" xfId="28965" xr:uid="{00000000-0005-0000-0000-0000359E0000}"/>
    <cellStyle name="Normal 6 2 2 8 4" xfId="28966" xr:uid="{00000000-0005-0000-0000-0000369E0000}"/>
    <cellStyle name="Normal 6 2 2 8 4 2" xfId="57557" xr:uid="{00000000-0005-0000-0000-0000379E0000}"/>
    <cellStyle name="Normal 6 2 2 8 4 3" xfId="57558" xr:uid="{00000000-0005-0000-0000-0000389E0000}"/>
    <cellStyle name="Normal 6 2 2 8 5" xfId="28967" xr:uid="{00000000-0005-0000-0000-0000399E0000}"/>
    <cellStyle name="Normal 6 2 2 8 5 2" xfId="57559" xr:uid="{00000000-0005-0000-0000-00003A9E0000}"/>
    <cellStyle name="Normal 6 2 2 8 6" xfId="28968" xr:uid="{00000000-0005-0000-0000-00003B9E0000}"/>
    <cellStyle name="Normal 6 2 2 8 7" xfId="28969" xr:uid="{00000000-0005-0000-0000-00003C9E0000}"/>
    <cellStyle name="Normal 6 2 2 8 8" xfId="28970" xr:uid="{00000000-0005-0000-0000-00003D9E0000}"/>
    <cellStyle name="Normal 6 2 2 9" xfId="28971" xr:uid="{00000000-0005-0000-0000-00003E9E0000}"/>
    <cellStyle name="Normal 6 2 2 9 2" xfId="28972" xr:uid="{00000000-0005-0000-0000-00003F9E0000}"/>
    <cellStyle name="Normal 6 2 2 9 2 2" xfId="28973" xr:uid="{00000000-0005-0000-0000-0000409E0000}"/>
    <cellStyle name="Normal 6 2 2 9 2 2 2" xfId="28974" xr:uid="{00000000-0005-0000-0000-0000419E0000}"/>
    <cellStyle name="Normal 6 2 2 9 2 2 2 2" xfId="57560" xr:uid="{00000000-0005-0000-0000-0000429E0000}"/>
    <cellStyle name="Normal 6 2 2 9 2 2 2 3" xfId="57561" xr:uid="{00000000-0005-0000-0000-0000439E0000}"/>
    <cellStyle name="Normal 6 2 2 9 2 2 3" xfId="28975" xr:uid="{00000000-0005-0000-0000-0000449E0000}"/>
    <cellStyle name="Normal 6 2 2 9 2 2 3 2" xfId="57562" xr:uid="{00000000-0005-0000-0000-0000459E0000}"/>
    <cellStyle name="Normal 6 2 2 9 2 2 4" xfId="28976" xr:uid="{00000000-0005-0000-0000-0000469E0000}"/>
    <cellStyle name="Normal 6 2 2 9 2 2 5" xfId="28977" xr:uid="{00000000-0005-0000-0000-0000479E0000}"/>
    <cellStyle name="Normal 6 2 2 9 2 2 6" xfId="28978" xr:uid="{00000000-0005-0000-0000-0000489E0000}"/>
    <cellStyle name="Normal 6 2 2 9 2 3" xfId="28979" xr:uid="{00000000-0005-0000-0000-0000499E0000}"/>
    <cellStyle name="Normal 6 2 2 9 2 3 2" xfId="57563" xr:uid="{00000000-0005-0000-0000-00004A9E0000}"/>
    <cellStyle name="Normal 6 2 2 9 2 3 3" xfId="57564" xr:uid="{00000000-0005-0000-0000-00004B9E0000}"/>
    <cellStyle name="Normal 6 2 2 9 2 4" xfId="28980" xr:uid="{00000000-0005-0000-0000-00004C9E0000}"/>
    <cellStyle name="Normal 6 2 2 9 2 4 2" xfId="57565" xr:uid="{00000000-0005-0000-0000-00004D9E0000}"/>
    <cellStyle name="Normal 6 2 2 9 2 5" xfId="28981" xr:uid="{00000000-0005-0000-0000-00004E9E0000}"/>
    <cellStyle name="Normal 6 2 2 9 2 6" xfId="28982" xr:uid="{00000000-0005-0000-0000-00004F9E0000}"/>
    <cellStyle name="Normal 6 2 2 9 2 7" xfId="28983" xr:uid="{00000000-0005-0000-0000-0000509E0000}"/>
    <cellStyle name="Normal 6 2 2 9 3" xfId="28984" xr:uid="{00000000-0005-0000-0000-0000519E0000}"/>
    <cellStyle name="Normal 6 2 2 9 3 2" xfId="28985" xr:uid="{00000000-0005-0000-0000-0000529E0000}"/>
    <cellStyle name="Normal 6 2 2 9 3 2 2" xfId="57566" xr:uid="{00000000-0005-0000-0000-0000539E0000}"/>
    <cellStyle name="Normal 6 2 2 9 3 2 3" xfId="57567" xr:uid="{00000000-0005-0000-0000-0000549E0000}"/>
    <cellStyle name="Normal 6 2 2 9 3 3" xfId="28986" xr:uid="{00000000-0005-0000-0000-0000559E0000}"/>
    <cellStyle name="Normal 6 2 2 9 3 3 2" xfId="57568" xr:uid="{00000000-0005-0000-0000-0000569E0000}"/>
    <cellStyle name="Normal 6 2 2 9 3 4" xfId="28987" xr:uid="{00000000-0005-0000-0000-0000579E0000}"/>
    <cellStyle name="Normal 6 2 2 9 3 5" xfId="28988" xr:uid="{00000000-0005-0000-0000-0000589E0000}"/>
    <cellStyle name="Normal 6 2 2 9 3 6" xfId="28989" xr:uid="{00000000-0005-0000-0000-0000599E0000}"/>
    <cellStyle name="Normal 6 2 2 9 4" xfId="28990" xr:uid="{00000000-0005-0000-0000-00005A9E0000}"/>
    <cellStyle name="Normal 6 2 2 9 4 2" xfId="57569" xr:uid="{00000000-0005-0000-0000-00005B9E0000}"/>
    <cellStyle name="Normal 6 2 2 9 4 3" xfId="57570" xr:uid="{00000000-0005-0000-0000-00005C9E0000}"/>
    <cellStyle name="Normal 6 2 2 9 5" xfId="28991" xr:uid="{00000000-0005-0000-0000-00005D9E0000}"/>
    <cellStyle name="Normal 6 2 2 9 5 2" xfId="57571" xr:uid="{00000000-0005-0000-0000-00005E9E0000}"/>
    <cellStyle name="Normal 6 2 2 9 6" xfId="28992" xr:uid="{00000000-0005-0000-0000-00005F9E0000}"/>
    <cellStyle name="Normal 6 2 2 9 7" xfId="28993" xr:uid="{00000000-0005-0000-0000-0000609E0000}"/>
    <cellStyle name="Normal 6 2 2 9 8" xfId="28994" xr:uid="{00000000-0005-0000-0000-0000619E0000}"/>
    <cellStyle name="Normal 6 2 20" xfId="28995" xr:uid="{00000000-0005-0000-0000-0000629E0000}"/>
    <cellStyle name="Normal 6 2 21" xfId="28996" xr:uid="{00000000-0005-0000-0000-0000639E0000}"/>
    <cellStyle name="Normal 6 2 22" xfId="28997" xr:uid="{00000000-0005-0000-0000-0000649E0000}"/>
    <cellStyle name="Normal 6 2 3" xfId="28998" xr:uid="{00000000-0005-0000-0000-0000659E0000}"/>
    <cellStyle name="Normal 6 2 3 10" xfId="28999" xr:uid="{00000000-0005-0000-0000-0000669E0000}"/>
    <cellStyle name="Normal 6 2 3 10 2" xfId="29000" xr:uid="{00000000-0005-0000-0000-0000679E0000}"/>
    <cellStyle name="Normal 6 2 3 10 2 2" xfId="29001" xr:uid="{00000000-0005-0000-0000-0000689E0000}"/>
    <cellStyle name="Normal 6 2 3 10 2 2 2" xfId="57572" xr:uid="{00000000-0005-0000-0000-0000699E0000}"/>
    <cellStyle name="Normal 6 2 3 10 2 2 3" xfId="57573" xr:uid="{00000000-0005-0000-0000-00006A9E0000}"/>
    <cellStyle name="Normal 6 2 3 10 2 3" xfId="29002" xr:uid="{00000000-0005-0000-0000-00006B9E0000}"/>
    <cellStyle name="Normal 6 2 3 10 2 3 2" xfId="57574" xr:uid="{00000000-0005-0000-0000-00006C9E0000}"/>
    <cellStyle name="Normal 6 2 3 10 2 4" xfId="29003" xr:uid="{00000000-0005-0000-0000-00006D9E0000}"/>
    <cellStyle name="Normal 6 2 3 10 2 5" xfId="29004" xr:uid="{00000000-0005-0000-0000-00006E9E0000}"/>
    <cellStyle name="Normal 6 2 3 10 2 6" xfId="29005" xr:uid="{00000000-0005-0000-0000-00006F9E0000}"/>
    <cellStyle name="Normal 6 2 3 10 3" xfId="29006" xr:uid="{00000000-0005-0000-0000-0000709E0000}"/>
    <cellStyle name="Normal 6 2 3 10 3 2" xfId="57575" xr:uid="{00000000-0005-0000-0000-0000719E0000}"/>
    <cellStyle name="Normal 6 2 3 10 3 3" xfId="57576" xr:uid="{00000000-0005-0000-0000-0000729E0000}"/>
    <cellStyle name="Normal 6 2 3 10 4" xfId="29007" xr:uid="{00000000-0005-0000-0000-0000739E0000}"/>
    <cellStyle name="Normal 6 2 3 10 4 2" xfId="57577" xr:uid="{00000000-0005-0000-0000-0000749E0000}"/>
    <cellStyle name="Normal 6 2 3 10 5" xfId="29008" xr:uid="{00000000-0005-0000-0000-0000759E0000}"/>
    <cellStyle name="Normal 6 2 3 10 6" xfId="29009" xr:uid="{00000000-0005-0000-0000-0000769E0000}"/>
    <cellStyle name="Normal 6 2 3 10 7" xfId="29010" xr:uid="{00000000-0005-0000-0000-0000779E0000}"/>
    <cellStyle name="Normal 6 2 3 11" xfId="29011" xr:uid="{00000000-0005-0000-0000-0000789E0000}"/>
    <cellStyle name="Normal 6 2 3 11 2" xfId="29012" xr:uid="{00000000-0005-0000-0000-0000799E0000}"/>
    <cellStyle name="Normal 6 2 3 11 2 2" xfId="57578" xr:uid="{00000000-0005-0000-0000-00007A9E0000}"/>
    <cellStyle name="Normal 6 2 3 11 2 3" xfId="57579" xr:uid="{00000000-0005-0000-0000-00007B9E0000}"/>
    <cellStyle name="Normal 6 2 3 11 3" xfId="29013" xr:uid="{00000000-0005-0000-0000-00007C9E0000}"/>
    <cellStyle name="Normal 6 2 3 11 3 2" xfId="57580" xr:uid="{00000000-0005-0000-0000-00007D9E0000}"/>
    <cellStyle name="Normal 6 2 3 11 4" xfId="29014" xr:uid="{00000000-0005-0000-0000-00007E9E0000}"/>
    <cellStyle name="Normal 6 2 3 11 5" xfId="29015" xr:uid="{00000000-0005-0000-0000-00007F9E0000}"/>
    <cellStyle name="Normal 6 2 3 11 6" xfId="29016" xr:uid="{00000000-0005-0000-0000-0000809E0000}"/>
    <cellStyle name="Normal 6 2 3 12" xfId="29017" xr:uid="{00000000-0005-0000-0000-0000819E0000}"/>
    <cellStyle name="Normal 6 2 3 12 2" xfId="57581" xr:uid="{00000000-0005-0000-0000-0000829E0000}"/>
    <cellStyle name="Normal 6 2 3 12 3" xfId="57582" xr:uid="{00000000-0005-0000-0000-0000839E0000}"/>
    <cellStyle name="Normal 6 2 3 13" xfId="29018" xr:uid="{00000000-0005-0000-0000-0000849E0000}"/>
    <cellStyle name="Normal 6 2 3 13 2" xfId="57583" xr:uid="{00000000-0005-0000-0000-0000859E0000}"/>
    <cellStyle name="Normal 6 2 3 14" xfId="29019" xr:uid="{00000000-0005-0000-0000-0000869E0000}"/>
    <cellStyle name="Normal 6 2 3 14 2" xfId="57584" xr:uid="{00000000-0005-0000-0000-0000879E0000}"/>
    <cellStyle name="Normal 6 2 3 15" xfId="29020" xr:uid="{00000000-0005-0000-0000-0000889E0000}"/>
    <cellStyle name="Normal 6 2 3 16" xfId="29021" xr:uid="{00000000-0005-0000-0000-0000899E0000}"/>
    <cellStyle name="Normal 6 2 3 17" xfId="29022" xr:uid="{00000000-0005-0000-0000-00008A9E0000}"/>
    <cellStyle name="Normal 6 2 3 18" xfId="29023" xr:uid="{00000000-0005-0000-0000-00008B9E0000}"/>
    <cellStyle name="Normal 6 2 3 19" xfId="29024" xr:uid="{00000000-0005-0000-0000-00008C9E0000}"/>
    <cellStyle name="Normal 6 2 3 2" xfId="29025" xr:uid="{00000000-0005-0000-0000-00008D9E0000}"/>
    <cellStyle name="Normal 6 2 3 2 10" xfId="29026" xr:uid="{00000000-0005-0000-0000-00008E9E0000}"/>
    <cellStyle name="Normal 6 2 3 2 11" xfId="29027" xr:uid="{00000000-0005-0000-0000-00008F9E0000}"/>
    <cellStyle name="Normal 6 2 3 2 12" xfId="29028" xr:uid="{00000000-0005-0000-0000-0000909E0000}"/>
    <cellStyle name="Normal 6 2 3 2 13" xfId="29029" xr:uid="{00000000-0005-0000-0000-0000919E0000}"/>
    <cellStyle name="Normal 6 2 3 2 14" xfId="29030" xr:uid="{00000000-0005-0000-0000-0000929E0000}"/>
    <cellStyle name="Normal 6 2 3 2 15" xfId="29031" xr:uid="{00000000-0005-0000-0000-0000939E0000}"/>
    <cellStyle name="Normal 6 2 3 2 2" xfId="29032" xr:uid="{00000000-0005-0000-0000-0000949E0000}"/>
    <cellStyle name="Normal 6 2 3 2 2 10" xfId="29033" xr:uid="{00000000-0005-0000-0000-0000959E0000}"/>
    <cellStyle name="Normal 6 2 3 2 2 11" xfId="29034" xr:uid="{00000000-0005-0000-0000-0000969E0000}"/>
    <cellStyle name="Normal 6 2 3 2 2 12" xfId="29035" xr:uid="{00000000-0005-0000-0000-0000979E0000}"/>
    <cellStyle name="Normal 6 2 3 2 2 13" xfId="29036" xr:uid="{00000000-0005-0000-0000-0000989E0000}"/>
    <cellStyle name="Normal 6 2 3 2 2 14" xfId="29037" xr:uid="{00000000-0005-0000-0000-0000999E0000}"/>
    <cellStyle name="Normal 6 2 3 2 2 2" xfId="29038" xr:uid="{00000000-0005-0000-0000-00009A9E0000}"/>
    <cellStyle name="Normal 6 2 3 2 2 2 2" xfId="29039" xr:uid="{00000000-0005-0000-0000-00009B9E0000}"/>
    <cellStyle name="Normal 6 2 3 2 2 2 2 2" xfId="29040" xr:uid="{00000000-0005-0000-0000-00009C9E0000}"/>
    <cellStyle name="Normal 6 2 3 2 2 2 2 2 2" xfId="29041" xr:uid="{00000000-0005-0000-0000-00009D9E0000}"/>
    <cellStyle name="Normal 6 2 3 2 2 2 2 2 2 2" xfId="57585" xr:uid="{00000000-0005-0000-0000-00009E9E0000}"/>
    <cellStyle name="Normal 6 2 3 2 2 2 2 2 2 3" xfId="57586" xr:uid="{00000000-0005-0000-0000-00009F9E0000}"/>
    <cellStyle name="Normal 6 2 3 2 2 2 2 2 3" xfId="29042" xr:uid="{00000000-0005-0000-0000-0000A09E0000}"/>
    <cellStyle name="Normal 6 2 3 2 2 2 2 2 3 2" xfId="57587" xr:uid="{00000000-0005-0000-0000-0000A19E0000}"/>
    <cellStyle name="Normal 6 2 3 2 2 2 2 2 4" xfId="29043" xr:uid="{00000000-0005-0000-0000-0000A29E0000}"/>
    <cellStyle name="Normal 6 2 3 2 2 2 2 2 5" xfId="29044" xr:uid="{00000000-0005-0000-0000-0000A39E0000}"/>
    <cellStyle name="Normal 6 2 3 2 2 2 2 2 6" xfId="29045" xr:uid="{00000000-0005-0000-0000-0000A49E0000}"/>
    <cellStyle name="Normal 6 2 3 2 2 2 2 3" xfId="29046" xr:uid="{00000000-0005-0000-0000-0000A59E0000}"/>
    <cellStyle name="Normal 6 2 3 2 2 2 2 3 2" xfId="57588" xr:uid="{00000000-0005-0000-0000-0000A69E0000}"/>
    <cellStyle name="Normal 6 2 3 2 2 2 2 3 3" xfId="57589" xr:uid="{00000000-0005-0000-0000-0000A79E0000}"/>
    <cellStyle name="Normal 6 2 3 2 2 2 2 4" xfId="29047" xr:uid="{00000000-0005-0000-0000-0000A89E0000}"/>
    <cellStyle name="Normal 6 2 3 2 2 2 2 4 2" xfId="57590" xr:uid="{00000000-0005-0000-0000-0000A99E0000}"/>
    <cellStyle name="Normal 6 2 3 2 2 2 2 5" xfId="29048" xr:uid="{00000000-0005-0000-0000-0000AA9E0000}"/>
    <cellStyle name="Normal 6 2 3 2 2 2 2 6" xfId="29049" xr:uid="{00000000-0005-0000-0000-0000AB9E0000}"/>
    <cellStyle name="Normal 6 2 3 2 2 2 2 7" xfId="29050" xr:uid="{00000000-0005-0000-0000-0000AC9E0000}"/>
    <cellStyle name="Normal 6 2 3 2 2 2 3" xfId="29051" xr:uid="{00000000-0005-0000-0000-0000AD9E0000}"/>
    <cellStyle name="Normal 6 2 3 2 2 2 3 2" xfId="29052" xr:uid="{00000000-0005-0000-0000-0000AE9E0000}"/>
    <cellStyle name="Normal 6 2 3 2 2 2 3 2 2" xfId="57591" xr:uid="{00000000-0005-0000-0000-0000AF9E0000}"/>
    <cellStyle name="Normal 6 2 3 2 2 2 3 2 3" xfId="57592" xr:uid="{00000000-0005-0000-0000-0000B09E0000}"/>
    <cellStyle name="Normal 6 2 3 2 2 2 3 3" xfId="29053" xr:uid="{00000000-0005-0000-0000-0000B19E0000}"/>
    <cellStyle name="Normal 6 2 3 2 2 2 3 3 2" xfId="57593" xr:uid="{00000000-0005-0000-0000-0000B29E0000}"/>
    <cellStyle name="Normal 6 2 3 2 2 2 3 4" xfId="29054" xr:uid="{00000000-0005-0000-0000-0000B39E0000}"/>
    <cellStyle name="Normal 6 2 3 2 2 2 3 5" xfId="29055" xr:uid="{00000000-0005-0000-0000-0000B49E0000}"/>
    <cellStyle name="Normal 6 2 3 2 2 2 3 6" xfId="29056" xr:uid="{00000000-0005-0000-0000-0000B59E0000}"/>
    <cellStyle name="Normal 6 2 3 2 2 2 4" xfId="29057" xr:uid="{00000000-0005-0000-0000-0000B69E0000}"/>
    <cellStyle name="Normal 6 2 3 2 2 2 4 2" xfId="57594" xr:uid="{00000000-0005-0000-0000-0000B79E0000}"/>
    <cellStyle name="Normal 6 2 3 2 2 2 4 3" xfId="57595" xr:uid="{00000000-0005-0000-0000-0000B89E0000}"/>
    <cellStyle name="Normal 6 2 3 2 2 2 5" xfId="29058" xr:uid="{00000000-0005-0000-0000-0000B99E0000}"/>
    <cellStyle name="Normal 6 2 3 2 2 2 5 2" xfId="57596" xr:uid="{00000000-0005-0000-0000-0000BA9E0000}"/>
    <cellStyle name="Normal 6 2 3 2 2 2 6" xfId="29059" xr:uid="{00000000-0005-0000-0000-0000BB9E0000}"/>
    <cellStyle name="Normal 6 2 3 2 2 2 7" xfId="29060" xr:uid="{00000000-0005-0000-0000-0000BC9E0000}"/>
    <cellStyle name="Normal 6 2 3 2 2 2 8" xfId="29061" xr:uid="{00000000-0005-0000-0000-0000BD9E0000}"/>
    <cellStyle name="Normal 6 2 3 2 2 2 9" xfId="29062" xr:uid="{00000000-0005-0000-0000-0000BE9E0000}"/>
    <cellStyle name="Normal 6 2 3 2 2 3" xfId="29063" xr:uid="{00000000-0005-0000-0000-0000BF9E0000}"/>
    <cellStyle name="Normal 6 2 3 2 2 3 2" xfId="29064" xr:uid="{00000000-0005-0000-0000-0000C09E0000}"/>
    <cellStyle name="Normal 6 2 3 2 2 3 2 2" xfId="29065" xr:uid="{00000000-0005-0000-0000-0000C19E0000}"/>
    <cellStyle name="Normal 6 2 3 2 2 3 2 2 2" xfId="29066" xr:uid="{00000000-0005-0000-0000-0000C29E0000}"/>
    <cellStyle name="Normal 6 2 3 2 2 3 2 2 2 2" xfId="57597" xr:uid="{00000000-0005-0000-0000-0000C39E0000}"/>
    <cellStyle name="Normal 6 2 3 2 2 3 2 2 2 3" xfId="57598" xr:uid="{00000000-0005-0000-0000-0000C49E0000}"/>
    <cellStyle name="Normal 6 2 3 2 2 3 2 2 3" xfId="29067" xr:uid="{00000000-0005-0000-0000-0000C59E0000}"/>
    <cellStyle name="Normal 6 2 3 2 2 3 2 2 3 2" xfId="57599" xr:uid="{00000000-0005-0000-0000-0000C69E0000}"/>
    <cellStyle name="Normal 6 2 3 2 2 3 2 2 4" xfId="29068" xr:uid="{00000000-0005-0000-0000-0000C79E0000}"/>
    <cellStyle name="Normal 6 2 3 2 2 3 2 2 5" xfId="29069" xr:uid="{00000000-0005-0000-0000-0000C89E0000}"/>
    <cellStyle name="Normal 6 2 3 2 2 3 2 2 6" xfId="29070" xr:uid="{00000000-0005-0000-0000-0000C99E0000}"/>
    <cellStyle name="Normal 6 2 3 2 2 3 2 3" xfId="29071" xr:uid="{00000000-0005-0000-0000-0000CA9E0000}"/>
    <cellStyle name="Normal 6 2 3 2 2 3 2 3 2" xfId="57600" xr:uid="{00000000-0005-0000-0000-0000CB9E0000}"/>
    <cellStyle name="Normal 6 2 3 2 2 3 2 3 3" xfId="57601" xr:uid="{00000000-0005-0000-0000-0000CC9E0000}"/>
    <cellStyle name="Normal 6 2 3 2 2 3 2 4" xfId="29072" xr:uid="{00000000-0005-0000-0000-0000CD9E0000}"/>
    <cellStyle name="Normal 6 2 3 2 2 3 2 4 2" xfId="57602" xr:uid="{00000000-0005-0000-0000-0000CE9E0000}"/>
    <cellStyle name="Normal 6 2 3 2 2 3 2 5" xfId="29073" xr:uid="{00000000-0005-0000-0000-0000CF9E0000}"/>
    <cellStyle name="Normal 6 2 3 2 2 3 2 6" xfId="29074" xr:uid="{00000000-0005-0000-0000-0000D09E0000}"/>
    <cellStyle name="Normal 6 2 3 2 2 3 2 7" xfId="29075" xr:uid="{00000000-0005-0000-0000-0000D19E0000}"/>
    <cellStyle name="Normal 6 2 3 2 2 3 3" xfId="29076" xr:uid="{00000000-0005-0000-0000-0000D29E0000}"/>
    <cellStyle name="Normal 6 2 3 2 2 3 3 2" xfId="29077" xr:uid="{00000000-0005-0000-0000-0000D39E0000}"/>
    <cellStyle name="Normal 6 2 3 2 2 3 3 2 2" xfId="57603" xr:uid="{00000000-0005-0000-0000-0000D49E0000}"/>
    <cellStyle name="Normal 6 2 3 2 2 3 3 2 3" xfId="57604" xr:uid="{00000000-0005-0000-0000-0000D59E0000}"/>
    <cellStyle name="Normal 6 2 3 2 2 3 3 3" xfId="29078" xr:uid="{00000000-0005-0000-0000-0000D69E0000}"/>
    <cellStyle name="Normal 6 2 3 2 2 3 3 3 2" xfId="57605" xr:uid="{00000000-0005-0000-0000-0000D79E0000}"/>
    <cellStyle name="Normal 6 2 3 2 2 3 3 4" xfId="29079" xr:uid="{00000000-0005-0000-0000-0000D89E0000}"/>
    <cellStyle name="Normal 6 2 3 2 2 3 3 5" xfId="29080" xr:uid="{00000000-0005-0000-0000-0000D99E0000}"/>
    <cellStyle name="Normal 6 2 3 2 2 3 3 6" xfId="29081" xr:uid="{00000000-0005-0000-0000-0000DA9E0000}"/>
    <cellStyle name="Normal 6 2 3 2 2 3 4" xfId="29082" xr:uid="{00000000-0005-0000-0000-0000DB9E0000}"/>
    <cellStyle name="Normal 6 2 3 2 2 3 4 2" xfId="57606" xr:uid="{00000000-0005-0000-0000-0000DC9E0000}"/>
    <cellStyle name="Normal 6 2 3 2 2 3 4 3" xfId="57607" xr:uid="{00000000-0005-0000-0000-0000DD9E0000}"/>
    <cellStyle name="Normal 6 2 3 2 2 3 5" xfId="29083" xr:uid="{00000000-0005-0000-0000-0000DE9E0000}"/>
    <cellStyle name="Normal 6 2 3 2 2 3 5 2" xfId="57608" xr:uid="{00000000-0005-0000-0000-0000DF9E0000}"/>
    <cellStyle name="Normal 6 2 3 2 2 3 6" xfId="29084" xr:uid="{00000000-0005-0000-0000-0000E09E0000}"/>
    <cellStyle name="Normal 6 2 3 2 2 3 7" xfId="29085" xr:uid="{00000000-0005-0000-0000-0000E19E0000}"/>
    <cellStyle name="Normal 6 2 3 2 2 3 8" xfId="29086" xr:uid="{00000000-0005-0000-0000-0000E29E0000}"/>
    <cellStyle name="Normal 6 2 3 2 2 4" xfId="29087" xr:uid="{00000000-0005-0000-0000-0000E39E0000}"/>
    <cellStyle name="Normal 6 2 3 2 2 4 2" xfId="29088" xr:uid="{00000000-0005-0000-0000-0000E49E0000}"/>
    <cellStyle name="Normal 6 2 3 2 2 4 2 2" xfId="29089" xr:uid="{00000000-0005-0000-0000-0000E59E0000}"/>
    <cellStyle name="Normal 6 2 3 2 2 4 2 2 2" xfId="57609" xr:uid="{00000000-0005-0000-0000-0000E69E0000}"/>
    <cellStyle name="Normal 6 2 3 2 2 4 2 2 3" xfId="57610" xr:uid="{00000000-0005-0000-0000-0000E79E0000}"/>
    <cellStyle name="Normal 6 2 3 2 2 4 2 3" xfId="29090" xr:uid="{00000000-0005-0000-0000-0000E89E0000}"/>
    <cellStyle name="Normal 6 2 3 2 2 4 2 3 2" xfId="57611" xr:uid="{00000000-0005-0000-0000-0000E99E0000}"/>
    <cellStyle name="Normal 6 2 3 2 2 4 2 4" xfId="29091" xr:uid="{00000000-0005-0000-0000-0000EA9E0000}"/>
    <cellStyle name="Normal 6 2 3 2 2 4 2 5" xfId="29092" xr:uid="{00000000-0005-0000-0000-0000EB9E0000}"/>
    <cellStyle name="Normal 6 2 3 2 2 4 2 6" xfId="29093" xr:uid="{00000000-0005-0000-0000-0000EC9E0000}"/>
    <cellStyle name="Normal 6 2 3 2 2 4 3" xfId="29094" xr:uid="{00000000-0005-0000-0000-0000ED9E0000}"/>
    <cellStyle name="Normal 6 2 3 2 2 4 3 2" xfId="57612" xr:uid="{00000000-0005-0000-0000-0000EE9E0000}"/>
    <cellStyle name="Normal 6 2 3 2 2 4 3 3" xfId="57613" xr:uid="{00000000-0005-0000-0000-0000EF9E0000}"/>
    <cellStyle name="Normal 6 2 3 2 2 4 4" xfId="29095" xr:uid="{00000000-0005-0000-0000-0000F09E0000}"/>
    <cellStyle name="Normal 6 2 3 2 2 4 4 2" xfId="57614" xr:uid="{00000000-0005-0000-0000-0000F19E0000}"/>
    <cellStyle name="Normal 6 2 3 2 2 4 5" xfId="29096" xr:uid="{00000000-0005-0000-0000-0000F29E0000}"/>
    <cellStyle name="Normal 6 2 3 2 2 4 6" xfId="29097" xr:uid="{00000000-0005-0000-0000-0000F39E0000}"/>
    <cellStyle name="Normal 6 2 3 2 2 4 7" xfId="29098" xr:uid="{00000000-0005-0000-0000-0000F49E0000}"/>
    <cellStyle name="Normal 6 2 3 2 2 5" xfId="29099" xr:uid="{00000000-0005-0000-0000-0000F59E0000}"/>
    <cellStyle name="Normal 6 2 3 2 2 5 2" xfId="29100" xr:uid="{00000000-0005-0000-0000-0000F69E0000}"/>
    <cellStyle name="Normal 6 2 3 2 2 5 2 2" xfId="57615" xr:uid="{00000000-0005-0000-0000-0000F79E0000}"/>
    <cellStyle name="Normal 6 2 3 2 2 5 2 3" xfId="57616" xr:uid="{00000000-0005-0000-0000-0000F89E0000}"/>
    <cellStyle name="Normal 6 2 3 2 2 5 3" xfId="29101" xr:uid="{00000000-0005-0000-0000-0000F99E0000}"/>
    <cellStyle name="Normal 6 2 3 2 2 5 3 2" xfId="57617" xr:uid="{00000000-0005-0000-0000-0000FA9E0000}"/>
    <cellStyle name="Normal 6 2 3 2 2 5 4" xfId="29102" xr:uid="{00000000-0005-0000-0000-0000FB9E0000}"/>
    <cellStyle name="Normal 6 2 3 2 2 5 5" xfId="29103" xr:uid="{00000000-0005-0000-0000-0000FC9E0000}"/>
    <cellStyle name="Normal 6 2 3 2 2 5 6" xfId="29104" xr:uid="{00000000-0005-0000-0000-0000FD9E0000}"/>
    <cellStyle name="Normal 6 2 3 2 2 6" xfId="29105" xr:uid="{00000000-0005-0000-0000-0000FE9E0000}"/>
    <cellStyle name="Normal 6 2 3 2 2 6 2" xfId="57618" xr:uid="{00000000-0005-0000-0000-0000FF9E0000}"/>
    <cellStyle name="Normal 6 2 3 2 2 6 3" xfId="57619" xr:uid="{00000000-0005-0000-0000-0000009F0000}"/>
    <cellStyle name="Normal 6 2 3 2 2 7" xfId="29106" xr:uid="{00000000-0005-0000-0000-0000019F0000}"/>
    <cellStyle name="Normal 6 2 3 2 2 7 2" xfId="57620" xr:uid="{00000000-0005-0000-0000-0000029F0000}"/>
    <cellStyle name="Normal 6 2 3 2 2 8" xfId="29107" xr:uid="{00000000-0005-0000-0000-0000039F0000}"/>
    <cellStyle name="Normal 6 2 3 2 2 9" xfId="29108" xr:uid="{00000000-0005-0000-0000-0000049F0000}"/>
    <cellStyle name="Normal 6 2 3 2 3" xfId="29109" xr:uid="{00000000-0005-0000-0000-0000059F0000}"/>
    <cellStyle name="Normal 6 2 3 2 3 2" xfId="29110" xr:uid="{00000000-0005-0000-0000-0000069F0000}"/>
    <cellStyle name="Normal 6 2 3 2 3 2 2" xfId="29111" xr:uid="{00000000-0005-0000-0000-0000079F0000}"/>
    <cellStyle name="Normal 6 2 3 2 3 2 2 2" xfId="29112" xr:uid="{00000000-0005-0000-0000-0000089F0000}"/>
    <cellStyle name="Normal 6 2 3 2 3 2 2 2 2" xfId="57621" xr:uid="{00000000-0005-0000-0000-0000099F0000}"/>
    <cellStyle name="Normal 6 2 3 2 3 2 2 2 3" xfId="57622" xr:uid="{00000000-0005-0000-0000-00000A9F0000}"/>
    <cellStyle name="Normal 6 2 3 2 3 2 2 3" xfId="29113" xr:uid="{00000000-0005-0000-0000-00000B9F0000}"/>
    <cellStyle name="Normal 6 2 3 2 3 2 2 3 2" xfId="57623" xr:uid="{00000000-0005-0000-0000-00000C9F0000}"/>
    <cellStyle name="Normal 6 2 3 2 3 2 2 4" xfId="29114" xr:uid="{00000000-0005-0000-0000-00000D9F0000}"/>
    <cellStyle name="Normal 6 2 3 2 3 2 2 5" xfId="29115" xr:uid="{00000000-0005-0000-0000-00000E9F0000}"/>
    <cellStyle name="Normal 6 2 3 2 3 2 2 6" xfId="29116" xr:uid="{00000000-0005-0000-0000-00000F9F0000}"/>
    <cellStyle name="Normal 6 2 3 2 3 2 3" xfId="29117" xr:uid="{00000000-0005-0000-0000-0000109F0000}"/>
    <cellStyle name="Normal 6 2 3 2 3 2 3 2" xfId="57624" xr:uid="{00000000-0005-0000-0000-0000119F0000}"/>
    <cellStyle name="Normal 6 2 3 2 3 2 3 3" xfId="57625" xr:uid="{00000000-0005-0000-0000-0000129F0000}"/>
    <cellStyle name="Normal 6 2 3 2 3 2 4" xfId="29118" xr:uid="{00000000-0005-0000-0000-0000139F0000}"/>
    <cellStyle name="Normal 6 2 3 2 3 2 4 2" xfId="57626" xr:uid="{00000000-0005-0000-0000-0000149F0000}"/>
    <cellStyle name="Normal 6 2 3 2 3 2 5" xfId="29119" xr:uid="{00000000-0005-0000-0000-0000159F0000}"/>
    <cellStyle name="Normal 6 2 3 2 3 2 6" xfId="29120" xr:uid="{00000000-0005-0000-0000-0000169F0000}"/>
    <cellStyle name="Normal 6 2 3 2 3 2 7" xfId="29121" xr:uid="{00000000-0005-0000-0000-0000179F0000}"/>
    <cellStyle name="Normal 6 2 3 2 3 3" xfId="29122" xr:uid="{00000000-0005-0000-0000-0000189F0000}"/>
    <cellStyle name="Normal 6 2 3 2 3 3 2" xfId="29123" xr:uid="{00000000-0005-0000-0000-0000199F0000}"/>
    <cellStyle name="Normal 6 2 3 2 3 3 2 2" xfId="57627" xr:uid="{00000000-0005-0000-0000-00001A9F0000}"/>
    <cellStyle name="Normal 6 2 3 2 3 3 2 3" xfId="57628" xr:uid="{00000000-0005-0000-0000-00001B9F0000}"/>
    <cellStyle name="Normal 6 2 3 2 3 3 3" xfId="29124" xr:uid="{00000000-0005-0000-0000-00001C9F0000}"/>
    <cellStyle name="Normal 6 2 3 2 3 3 3 2" xfId="57629" xr:uid="{00000000-0005-0000-0000-00001D9F0000}"/>
    <cellStyle name="Normal 6 2 3 2 3 3 4" xfId="29125" xr:uid="{00000000-0005-0000-0000-00001E9F0000}"/>
    <cellStyle name="Normal 6 2 3 2 3 3 5" xfId="29126" xr:uid="{00000000-0005-0000-0000-00001F9F0000}"/>
    <cellStyle name="Normal 6 2 3 2 3 3 6" xfId="29127" xr:uid="{00000000-0005-0000-0000-0000209F0000}"/>
    <cellStyle name="Normal 6 2 3 2 3 4" xfId="29128" xr:uid="{00000000-0005-0000-0000-0000219F0000}"/>
    <cellStyle name="Normal 6 2 3 2 3 4 2" xfId="57630" xr:uid="{00000000-0005-0000-0000-0000229F0000}"/>
    <cellStyle name="Normal 6 2 3 2 3 4 3" xfId="57631" xr:uid="{00000000-0005-0000-0000-0000239F0000}"/>
    <cellStyle name="Normal 6 2 3 2 3 5" xfId="29129" xr:uid="{00000000-0005-0000-0000-0000249F0000}"/>
    <cellStyle name="Normal 6 2 3 2 3 5 2" xfId="57632" xr:uid="{00000000-0005-0000-0000-0000259F0000}"/>
    <cellStyle name="Normal 6 2 3 2 3 6" xfId="29130" xr:uid="{00000000-0005-0000-0000-0000269F0000}"/>
    <cellStyle name="Normal 6 2 3 2 3 7" xfId="29131" xr:uid="{00000000-0005-0000-0000-0000279F0000}"/>
    <cellStyle name="Normal 6 2 3 2 3 8" xfId="29132" xr:uid="{00000000-0005-0000-0000-0000289F0000}"/>
    <cellStyle name="Normal 6 2 3 2 3 9" xfId="29133" xr:uid="{00000000-0005-0000-0000-0000299F0000}"/>
    <cellStyle name="Normal 6 2 3 2 4" xfId="29134" xr:uid="{00000000-0005-0000-0000-00002A9F0000}"/>
    <cellStyle name="Normal 6 2 3 2 4 2" xfId="29135" xr:uid="{00000000-0005-0000-0000-00002B9F0000}"/>
    <cellStyle name="Normal 6 2 3 2 4 2 2" xfId="29136" xr:uid="{00000000-0005-0000-0000-00002C9F0000}"/>
    <cellStyle name="Normal 6 2 3 2 4 2 2 2" xfId="29137" xr:uid="{00000000-0005-0000-0000-00002D9F0000}"/>
    <cellStyle name="Normal 6 2 3 2 4 2 2 2 2" xfId="57633" xr:uid="{00000000-0005-0000-0000-00002E9F0000}"/>
    <cellStyle name="Normal 6 2 3 2 4 2 2 2 3" xfId="57634" xr:uid="{00000000-0005-0000-0000-00002F9F0000}"/>
    <cellStyle name="Normal 6 2 3 2 4 2 2 3" xfId="29138" xr:uid="{00000000-0005-0000-0000-0000309F0000}"/>
    <cellStyle name="Normal 6 2 3 2 4 2 2 3 2" xfId="57635" xr:uid="{00000000-0005-0000-0000-0000319F0000}"/>
    <cellStyle name="Normal 6 2 3 2 4 2 2 4" xfId="29139" xr:uid="{00000000-0005-0000-0000-0000329F0000}"/>
    <cellStyle name="Normal 6 2 3 2 4 2 2 5" xfId="29140" xr:uid="{00000000-0005-0000-0000-0000339F0000}"/>
    <cellStyle name="Normal 6 2 3 2 4 2 2 6" xfId="29141" xr:uid="{00000000-0005-0000-0000-0000349F0000}"/>
    <cellStyle name="Normal 6 2 3 2 4 2 3" xfId="29142" xr:uid="{00000000-0005-0000-0000-0000359F0000}"/>
    <cellStyle name="Normal 6 2 3 2 4 2 3 2" xfId="57636" xr:uid="{00000000-0005-0000-0000-0000369F0000}"/>
    <cellStyle name="Normal 6 2 3 2 4 2 3 3" xfId="57637" xr:uid="{00000000-0005-0000-0000-0000379F0000}"/>
    <cellStyle name="Normal 6 2 3 2 4 2 4" xfId="29143" xr:uid="{00000000-0005-0000-0000-0000389F0000}"/>
    <cellStyle name="Normal 6 2 3 2 4 2 4 2" xfId="57638" xr:uid="{00000000-0005-0000-0000-0000399F0000}"/>
    <cellStyle name="Normal 6 2 3 2 4 2 5" xfId="29144" xr:uid="{00000000-0005-0000-0000-00003A9F0000}"/>
    <cellStyle name="Normal 6 2 3 2 4 2 6" xfId="29145" xr:uid="{00000000-0005-0000-0000-00003B9F0000}"/>
    <cellStyle name="Normal 6 2 3 2 4 2 7" xfId="29146" xr:uid="{00000000-0005-0000-0000-00003C9F0000}"/>
    <cellStyle name="Normal 6 2 3 2 4 3" xfId="29147" xr:uid="{00000000-0005-0000-0000-00003D9F0000}"/>
    <cellStyle name="Normal 6 2 3 2 4 3 2" xfId="29148" xr:uid="{00000000-0005-0000-0000-00003E9F0000}"/>
    <cellStyle name="Normal 6 2 3 2 4 3 2 2" xfId="57639" xr:uid="{00000000-0005-0000-0000-00003F9F0000}"/>
    <cellStyle name="Normal 6 2 3 2 4 3 2 3" xfId="57640" xr:uid="{00000000-0005-0000-0000-0000409F0000}"/>
    <cellStyle name="Normal 6 2 3 2 4 3 3" xfId="29149" xr:uid="{00000000-0005-0000-0000-0000419F0000}"/>
    <cellStyle name="Normal 6 2 3 2 4 3 3 2" xfId="57641" xr:uid="{00000000-0005-0000-0000-0000429F0000}"/>
    <cellStyle name="Normal 6 2 3 2 4 3 4" xfId="29150" xr:uid="{00000000-0005-0000-0000-0000439F0000}"/>
    <cellStyle name="Normal 6 2 3 2 4 3 5" xfId="29151" xr:uid="{00000000-0005-0000-0000-0000449F0000}"/>
    <cellStyle name="Normal 6 2 3 2 4 3 6" xfId="29152" xr:uid="{00000000-0005-0000-0000-0000459F0000}"/>
    <cellStyle name="Normal 6 2 3 2 4 4" xfId="29153" xr:uid="{00000000-0005-0000-0000-0000469F0000}"/>
    <cellStyle name="Normal 6 2 3 2 4 4 2" xfId="57642" xr:uid="{00000000-0005-0000-0000-0000479F0000}"/>
    <cellStyle name="Normal 6 2 3 2 4 4 3" xfId="57643" xr:uid="{00000000-0005-0000-0000-0000489F0000}"/>
    <cellStyle name="Normal 6 2 3 2 4 5" xfId="29154" xr:uid="{00000000-0005-0000-0000-0000499F0000}"/>
    <cellStyle name="Normal 6 2 3 2 4 5 2" xfId="57644" xr:uid="{00000000-0005-0000-0000-00004A9F0000}"/>
    <cellStyle name="Normal 6 2 3 2 4 6" xfId="29155" xr:uid="{00000000-0005-0000-0000-00004B9F0000}"/>
    <cellStyle name="Normal 6 2 3 2 4 7" xfId="29156" xr:uid="{00000000-0005-0000-0000-00004C9F0000}"/>
    <cellStyle name="Normal 6 2 3 2 4 8" xfId="29157" xr:uid="{00000000-0005-0000-0000-00004D9F0000}"/>
    <cellStyle name="Normal 6 2 3 2 5" xfId="29158" xr:uid="{00000000-0005-0000-0000-00004E9F0000}"/>
    <cellStyle name="Normal 6 2 3 2 5 2" xfId="29159" xr:uid="{00000000-0005-0000-0000-00004F9F0000}"/>
    <cellStyle name="Normal 6 2 3 2 5 2 2" xfId="29160" xr:uid="{00000000-0005-0000-0000-0000509F0000}"/>
    <cellStyle name="Normal 6 2 3 2 5 2 2 2" xfId="57645" xr:uid="{00000000-0005-0000-0000-0000519F0000}"/>
    <cellStyle name="Normal 6 2 3 2 5 2 2 3" xfId="57646" xr:uid="{00000000-0005-0000-0000-0000529F0000}"/>
    <cellStyle name="Normal 6 2 3 2 5 2 3" xfId="29161" xr:uid="{00000000-0005-0000-0000-0000539F0000}"/>
    <cellStyle name="Normal 6 2 3 2 5 2 3 2" xfId="57647" xr:uid="{00000000-0005-0000-0000-0000549F0000}"/>
    <cellStyle name="Normal 6 2 3 2 5 2 4" xfId="29162" xr:uid="{00000000-0005-0000-0000-0000559F0000}"/>
    <cellStyle name="Normal 6 2 3 2 5 2 5" xfId="29163" xr:uid="{00000000-0005-0000-0000-0000569F0000}"/>
    <cellStyle name="Normal 6 2 3 2 5 2 6" xfId="29164" xr:uid="{00000000-0005-0000-0000-0000579F0000}"/>
    <cellStyle name="Normal 6 2 3 2 5 3" xfId="29165" xr:uid="{00000000-0005-0000-0000-0000589F0000}"/>
    <cellStyle name="Normal 6 2 3 2 5 3 2" xfId="57648" xr:uid="{00000000-0005-0000-0000-0000599F0000}"/>
    <cellStyle name="Normal 6 2 3 2 5 3 3" xfId="57649" xr:uid="{00000000-0005-0000-0000-00005A9F0000}"/>
    <cellStyle name="Normal 6 2 3 2 5 4" xfId="29166" xr:uid="{00000000-0005-0000-0000-00005B9F0000}"/>
    <cellStyle name="Normal 6 2 3 2 5 4 2" xfId="57650" xr:uid="{00000000-0005-0000-0000-00005C9F0000}"/>
    <cellStyle name="Normal 6 2 3 2 5 5" xfId="29167" xr:uid="{00000000-0005-0000-0000-00005D9F0000}"/>
    <cellStyle name="Normal 6 2 3 2 5 6" xfId="29168" xr:uid="{00000000-0005-0000-0000-00005E9F0000}"/>
    <cellStyle name="Normal 6 2 3 2 5 7" xfId="29169" xr:uid="{00000000-0005-0000-0000-00005F9F0000}"/>
    <cellStyle name="Normal 6 2 3 2 6" xfId="29170" xr:uid="{00000000-0005-0000-0000-0000609F0000}"/>
    <cellStyle name="Normal 6 2 3 2 6 2" xfId="29171" xr:uid="{00000000-0005-0000-0000-0000619F0000}"/>
    <cellStyle name="Normal 6 2 3 2 6 2 2" xfId="57651" xr:uid="{00000000-0005-0000-0000-0000629F0000}"/>
    <cellStyle name="Normal 6 2 3 2 6 2 3" xfId="57652" xr:uid="{00000000-0005-0000-0000-0000639F0000}"/>
    <cellStyle name="Normal 6 2 3 2 6 3" xfId="29172" xr:uid="{00000000-0005-0000-0000-0000649F0000}"/>
    <cellStyle name="Normal 6 2 3 2 6 3 2" xfId="57653" xr:uid="{00000000-0005-0000-0000-0000659F0000}"/>
    <cellStyle name="Normal 6 2 3 2 6 4" xfId="29173" xr:uid="{00000000-0005-0000-0000-0000669F0000}"/>
    <cellStyle name="Normal 6 2 3 2 6 5" xfId="29174" xr:uid="{00000000-0005-0000-0000-0000679F0000}"/>
    <cellStyle name="Normal 6 2 3 2 6 6" xfId="29175" xr:uid="{00000000-0005-0000-0000-0000689F0000}"/>
    <cellStyle name="Normal 6 2 3 2 7" xfId="29176" xr:uid="{00000000-0005-0000-0000-0000699F0000}"/>
    <cellStyle name="Normal 6 2 3 2 7 2" xfId="57654" xr:uid="{00000000-0005-0000-0000-00006A9F0000}"/>
    <cellStyle name="Normal 6 2 3 2 7 3" xfId="57655" xr:uid="{00000000-0005-0000-0000-00006B9F0000}"/>
    <cellStyle name="Normal 6 2 3 2 8" xfId="29177" xr:uid="{00000000-0005-0000-0000-00006C9F0000}"/>
    <cellStyle name="Normal 6 2 3 2 8 2" xfId="57656" xr:uid="{00000000-0005-0000-0000-00006D9F0000}"/>
    <cellStyle name="Normal 6 2 3 2 9" xfId="29178" xr:uid="{00000000-0005-0000-0000-00006E9F0000}"/>
    <cellStyle name="Normal 6 2 3 2 9 2" xfId="57657" xr:uid="{00000000-0005-0000-0000-00006F9F0000}"/>
    <cellStyle name="Normal 6 2 3 20" xfId="29179" xr:uid="{00000000-0005-0000-0000-0000709F0000}"/>
    <cellStyle name="Normal 6 2 3 3" xfId="29180" xr:uid="{00000000-0005-0000-0000-0000719F0000}"/>
    <cellStyle name="Normal 6 2 3 3 10" xfId="29181" xr:uid="{00000000-0005-0000-0000-0000729F0000}"/>
    <cellStyle name="Normal 6 2 3 3 11" xfId="29182" xr:uid="{00000000-0005-0000-0000-0000739F0000}"/>
    <cellStyle name="Normal 6 2 3 3 12" xfId="29183" xr:uid="{00000000-0005-0000-0000-0000749F0000}"/>
    <cellStyle name="Normal 6 2 3 3 13" xfId="29184" xr:uid="{00000000-0005-0000-0000-0000759F0000}"/>
    <cellStyle name="Normal 6 2 3 3 14" xfId="29185" xr:uid="{00000000-0005-0000-0000-0000769F0000}"/>
    <cellStyle name="Normal 6 2 3 3 15" xfId="29186" xr:uid="{00000000-0005-0000-0000-0000779F0000}"/>
    <cellStyle name="Normal 6 2 3 3 2" xfId="29187" xr:uid="{00000000-0005-0000-0000-0000789F0000}"/>
    <cellStyle name="Normal 6 2 3 3 2 10" xfId="29188" xr:uid="{00000000-0005-0000-0000-0000799F0000}"/>
    <cellStyle name="Normal 6 2 3 3 2 11" xfId="29189" xr:uid="{00000000-0005-0000-0000-00007A9F0000}"/>
    <cellStyle name="Normal 6 2 3 3 2 12" xfId="29190" xr:uid="{00000000-0005-0000-0000-00007B9F0000}"/>
    <cellStyle name="Normal 6 2 3 3 2 13" xfId="29191" xr:uid="{00000000-0005-0000-0000-00007C9F0000}"/>
    <cellStyle name="Normal 6 2 3 3 2 14" xfId="29192" xr:uid="{00000000-0005-0000-0000-00007D9F0000}"/>
    <cellStyle name="Normal 6 2 3 3 2 2" xfId="29193" xr:uid="{00000000-0005-0000-0000-00007E9F0000}"/>
    <cellStyle name="Normal 6 2 3 3 2 2 2" xfId="29194" xr:uid="{00000000-0005-0000-0000-00007F9F0000}"/>
    <cellStyle name="Normal 6 2 3 3 2 2 2 2" xfId="29195" xr:uid="{00000000-0005-0000-0000-0000809F0000}"/>
    <cellStyle name="Normal 6 2 3 3 2 2 2 2 2" xfId="29196" xr:uid="{00000000-0005-0000-0000-0000819F0000}"/>
    <cellStyle name="Normal 6 2 3 3 2 2 2 2 2 2" xfId="57658" xr:uid="{00000000-0005-0000-0000-0000829F0000}"/>
    <cellStyle name="Normal 6 2 3 3 2 2 2 2 2 3" xfId="57659" xr:uid="{00000000-0005-0000-0000-0000839F0000}"/>
    <cellStyle name="Normal 6 2 3 3 2 2 2 2 3" xfId="29197" xr:uid="{00000000-0005-0000-0000-0000849F0000}"/>
    <cellStyle name="Normal 6 2 3 3 2 2 2 2 3 2" xfId="57660" xr:uid="{00000000-0005-0000-0000-0000859F0000}"/>
    <cellStyle name="Normal 6 2 3 3 2 2 2 2 4" xfId="29198" xr:uid="{00000000-0005-0000-0000-0000869F0000}"/>
    <cellStyle name="Normal 6 2 3 3 2 2 2 2 5" xfId="29199" xr:uid="{00000000-0005-0000-0000-0000879F0000}"/>
    <cellStyle name="Normal 6 2 3 3 2 2 2 2 6" xfId="29200" xr:uid="{00000000-0005-0000-0000-0000889F0000}"/>
    <cellStyle name="Normal 6 2 3 3 2 2 2 3" xfId="29201" xr:uid="{00000000-0005-0000-0000-0000899F0000}"/>
    <cellStyle name="Normal 6 2 3 3 2 2 2 3 2" xfId="57661" xr:uid="{00000000-0005-0000-0000-00008A9F0000}"/>
    <cellStyle name="Normal 6 2 3 3 2 2 2 3 3" xfId="57662" xr:uid="{00000000-0005-0000-0000-00008B9F0000}"/>
    <cellStyle name="Normal 6 2 3 3 2 2 2 4" xfId="29202" xr:uid="{00000000-0005-0000-0000-00008C9F0000}"/>
    <cellStyle name="Normal 6 2 3 3 2 2 2 4 2" xfId="57663" xr:uid="{00000000-0005-0000-0000-00008D9F0000}"/>
    <cellStyle name="Normal 6 2 3 3 2 2 2 5" xfId="29203" xr:uid="{00000000-0005-0000-0000-00008E9F0000}"/>
    <cellStyle name="Normal 6 2 3 3 2 2 2 6" xfId="29204" xr:uid="{00000000-0005-0000-0000-00008F9F0000}"/>
    <cellStyle name="Normal 6 2 3 3 2 2 2 7" xfId="29205" xr:uid="{00000000-0005-0000-0000-0000909F0000}"/>
    <cellStyle name="Normal 6 2 3 3 2 2 3" xfId="29206" xr:uid="{00000000-0005-0000-0000-0000919F0000}"/>
    <cellStyle name="Normal 6 2 3 3 2 2 3 2" xfId="29207" xr:uid="{00000000-0005-0000-0000-0000929F0000}"/>
    <cellStyle name="Normal 6 2 3 3 2 2 3 2 2" xfId="57664" xr:uid="{00000000-0005-0000-0000-0000939F0000}"/>
    <cellStyle name="Normal 6 2 3 3 2 2 3 2 3" xfId="57665" xr:uid="{00000000-0005-0000-0000-0000949F0000}"/>
    <cellStyle name="Normal 6 2 3 3 2 2 3 3" xfId="29208" xr:uid="{00000000-0005-0000-0000-0000959F0000}"/>
    <cellStyle name="Normal 6 2 3 3 2 2 3 3 2" xfId="57666" xr:uid="{00000000-0005-0000-0000-0000969F0000}"/>
    <cellStyle name="Normal 6 2 3 3 2 2 3 4" xfId="29209" xr:uid="{00000000-0005-0000-0000-0000979F0000}"/>
    <cellStyle name="Normal 6 2 3 3 2 2 3 5" xfId="29210" xr:uid="{00000000-0005-0000-0000-0000989F0000}"/>
    <cellStyle name="Normal 6 2 3 3 2 2 3 6" xfId="29211" xr:uid="{00000000-0005-0000-0000-0000999F0000}"/>
    <cellStyle name="Normal 6 2 3 3 2 2 4" xfId="29212" xr:uid="{00000000-0005-0000-0000-00009A9F0000}"/>
    <cellStyle name="Normal 6 2 3 3 2 2 4 2" xfId="57667" xr:uid="{00000000-0005-0000-0000-00009B9F0000}"/>
    <cellStyle name="Normal 6 2 3 3 2 2 4 3" xfId="57668" xr:uid="{00000000-0005-0000-0000-00009C9F0000}"/>
    <cellStyle name="Normal 6 2 3 3 2 2 5" xfId="29213" xr:uid="{00000000-0005-0000-0000-00009D9F0000}"/>
    <cellStyle name="Normal 6 2 3 3 2 2 5 2" xfId="57669" xr:uid="{00000000-0005-0000-0000-00009E9F0000}"/>
    <cellStyle name="Normal 6 2 3 3 2 2 6" xfId="29214" xr:uid="{00000000-0005-0000-0000-00009F9F0000}"/>
    <cellStyle name="Normal 6 2 3 3 2 2 7" xfId="29215" xr:uid="{00000000-0005-0000-0000-0000A09F0000}"/>
    <cellStyle name="Normal 6 2 3 3 2 2 8" xfId="29216" xr:uid="{00000000-0005-0000-0000-0000A19F0000}"/>
    <cellStyle name="Normal 6 2 3 3 2 2 9" xfId="29217" xr:uid="{00000000-0005-0000-0000-0000A29F0000}"/>
    <cellStyle name="Normal 6 2 3 3 2 3" xfId="29218" xr:uid="{00000000-0005-0000-0000-0000A39F0000}"/>
    <cellStyle name="Normal 6 2 3 3 2 3 2" xfId="29219" xr:uid="{00000000-0005-0000-0000-0000A49F0000}"/>
    <cellStyle name="Normal 6 2 3 3 2 3 2 2" xfId="29220" xr:uid="{00000000-0005-0000-0000-0000A59F0000}"/>
    <cellStyle name="Normal 6 2 3 3 2 3 2 2 2" xfId="29221" xr:uid="{00000000-0005-0000-0000-0000A69F0000}"/>
    <cellStyle name="Normal 6 2 3 3 2 3 2 2 2 2" xfId="57670" xr:uid="{00000000-0005-0000-0000-0000A79F0000}"/>
    <cellStyle name="Normal 6 2 3 3 2 3 2 2 2 3" xfId="57671" xr:uid="{00000000-0005-0000-0000-0000A89F0000}"/>
    <cellStyle name="Normal 6 2 3 3 2 3 2 2 3" xfId="29222" xr:uid="{00000000-0005-0000-0000-0000A99F0000}"/>
    <cellStyle name="Normal 6 2 3 3 2 3 2 2 3 2" xfId="57672" xr:uid="{00000000-0005-0000-0000-0000AA9F0000}"/>
    <cellStyle name="Normal 6 2 3 3 2 3 2 2 4" xfId="29223" xr:uid="{00000000-0005-0000-0000-0000AB9F0000}"/>
    <cellStyle name="Normal 6 2 3 3 2 3 2 2 5" xfId="29224" xr:uid="{00000000-0005-0000-0000-0000AC9F0000}"/>
    <cellStyle name="Normal 6 2 3 3 2 3 2 2 6" xfId="29225" xr:uid="{00000000-0005-0000-0000-0000AD9F0000}"/>
    <cellStyle name="Normal 6 2 3 3 2 3 2 3" xfId="29226" xr:uid="{00000000-0005-0000-0000-0000AE9F0000}"/>
    <cellStyle name="Normal 6 2 3 3 2 3 2 3 2" xfId="57673" xr:uid="{00000000-0005-0000-0000-0000AF9F0000}"/>
    <cellStyle name="Normal 6 2 3 3 2 3 2 3 3" xfId="57674" xr:uid="{00000000-0005-0000-0000-0000B09F0000}"/>
    <cellStyle name="Normal 6 2 3 3 2 3 2 4" xfId="29227" xr:uid="{00000000-0005-0000-0000-0000B19F0000}"/>
    <cellStyle name="Normal 6 2 3 3 2 3 2 4 2" xfId="57675" xr:uid="{00000000-0005-0000-0000-0000B29F0000}"/>
    <cellStyle name="Normal 6 2 3 3 2 3 2 5" xfId="29228" xr:uid="{00000000-0005-0000-0000-0000B39F0000}"/>
    <cellStyle name="Normal 6 2 3 3 2 3 2 6" xfId="29229" xr:uid="{00000000-0005-0000-0000-0000B49F0000}"/>
    <cellStyle name="Normal 6 2 3 3 2 3 2 7" xfId="29230" xr:uid="{00000000-0005-0000-0000-0000B59F0000}"/>
    <cellStyle name="Normal 6 2 3 3 2 3 3" xfId="29231" xr:uid="{00000000-0005-0000-0000-0000B69F0000}"/>
    <cellStyle name="Normal 6 2 3 3 2 3 3 2" xfId="29232" xr:uid="{00000000-0005-0000-0000-0000B79F0000}"/>
    <cellStyle name="Normal 6 2 3 3 2 3 3 2 2" xfId="57676" xr:uid="{00000000-0005-0000-0000-0000B89F0000}"/>
    <cellStyle name="Normal 6 2 3 3 2 3 3 2 3" xfId="57677" xr:uid="{00000000-0005-0000-0000-0000B99F0000}"/>
    <cellStyle name="Normal 6 2 3 3 2 3 3 3" xfId="29233" xr:uid="{00000000-0005-0000-0000-0000BA9F0000}"/>
    <cellStyle name="Normal 6 2 3 3 2 3 3 3 2" xfId="57678" xr:uid="{00000000-0005-0000-0000-0000BB9F0000}"/>
    <cellStyle name="Normal 6 2 3 3 2 3 3 4" xfId="29234" xr:uid="{00000000-0005-0000-0000-0000BC9F0000}"/>
    <cellStyle name="Normal 6 2 3 3 2 3 3 5" xfId="29235" xr:uid="{00000000-0005-0000-0000-0000BD9F0000}"/>
    <cellStyle name="Normal 6 2 3 3 2 3 3 6" xfId="29236" xr:uid="{00000000-0005-0000-0000-0000BE9F0000}"/>
    <cellStyle name="Normal 6 2 3 3 2 3 4" xfId="29237" xr:uid="{00000000-0005-0000-0000-0000BF9F0000}"/>
    <cellStyle name="Normal 6 2 3 3 2 3 4 2" xfId="57679" xr:uid="{00000000-0005-0000-0000-0000C09F0000}"/>
    <cellStyle name="Normal 6 2 3 3 2 3 4 3" xfId="57680" xr:uid="{00000000-0005-0000-0000-0000C19F0000}"/>
    <cellStyle name="Normal 6 2 3 3 2 3 5" xfId="29238" xr:uid="{00000000-0005-0000-0000-0000C29F0000}"/>
    <cellStyle name="Normal 6 2 3 3 2 3 5 2" xfId="57681" xr:uid="{00000000-0005-0000-0000-0000C39F0000}"/>
    <cellStyle name="Normal 6 2 3 3 2 3 6" xfId="29239" xr:uid="{00000000-0005-0000-0000-0000C49F0000}"/>
    <cellStyle name="Normal 6 2 3 3 2 3 7" xfId="29240" xr:uid="{00000000-0005-0000-0000-0000C59F0000}"/>
    <cellStyle name="Normal 6 2 3 3 2 3 8" xfId="29241" xr:uid="{00000000-0005-0000-0000-0000C69F0000}"/>
    <cellStyle name="Normal 6 2 3 3 2 4" xfId="29242" xr:uid="{00000000-0005-0000-0000-0000C79F0000}"/>
    <cellStyle name="Normal 6 2 3 3 2 4 2" xfId="29243" xr:uid="{00000000-0005-0000-0000-0000C89F0000}"/>
    <cellStyle name="Normal 6 2 3 3 2 4 2 2" xfId="29244" xr:uid="{00000000-0005-0000-0000-0000C99F0000}"/>
    <cellStyle name="Normal 6 2 3 3 2 4 2 2 2" xfId="57682" xr:uid="{00000000-0005-0000-0000-0000CA9F0000}"/>
    <cellStyle name="Normal 6 2 3 3 2 4 2 2 3" xfId="57683" xr:uid="{00000000-0005-0000-0000-0000CB9F0000}"/>
    <cellStyle name="Normal 6 2 3 3 2 4 2 3" xfId="29245" xr:uid="{00000000-0005-0000-0000-0000CC9F0000}"/>
    <cellStyle name="Normal 6 2 3 3 2 4 2 3 2" xfId="57684" xr:uid="{00000000-0005-0000-0000-0000CD9F0000}"/>
    <cellStyle name="Normal 6 2 3 3 2 4 2 4" xfId="29246" xr:uid="{00000000-0005-0000-0000-0000CE9F0000}"/>
    <cellStyle name="Normal 6 2 3 3 2 4 2 5" xfId="29247" xr:uid="{00000000-0005-0000-0000-0000CF9F0000}"/>
    <cellStyle name="Normal 6 2 3 3 2 4 2 6" xfId="29248" xr:uid="{00000000-0005-0000-0000-0000D09F0000}"/>
    <cellStyle name="Normal 6 2 3 3 2 4 3" xfId="29249" xr:uid="{00000000-0005-0000-0000-0000D19F0000}"/>
    <cellStyle name="Normal 6 2 3 3 2 4 3 2" xfId="57685" xr:uid="{00000000-0005-0000-0000-0000D29F0000}"/>
    <cellStyle name="Normal 6 2 3 3 2 4 3 3" xfId="57686" xr:uid="{00000000-0005-0000-0000-0000D39F0000}"/>
    <cellStyle name="Normal 6 2 3 3 2 4 4" xfId="29250" xr:uid="{00000000-0005-0000-0000-0000D49F0000}"/>
    <cellStyle name="Normal 6 2 3 3 2 4 4 2" xfId="57687" xr:uid="{00000000-0005-0000-0000-0000D59F0000}"/>
    <cellStyle name="Normal 6 2 3 3 2 4 5" xfId="29251" xr:uid="{00000000-0005-0000-0000-0000D69F0000}"/>
    <cellStyle name="Normal 6 2 3 3 2 4 6" xfId="29252" xr:uid="{00000000-0005-0000-0000-0000D79F0000}"/>
    <cellStyle name="Normal 6 2 3 3 2 4 7" xfId="29253" xr:uid="{00000000-0005-0000-0000-0000D89F0000}"/>
    <cellStyle name="Normal 6 2 3 3 2 5" xfId="29254" xr:uid="{00000000-0005-0000-0000-0000D99F0000}"/>
    <cellStyle name="Normal 6 2 3 3 2 5 2" xfId="29255" xr:uid="{00000000-0005-0000-0000-0000DA9F0000}"/>
    <cellStyle name="Normal 6 2 3 3 2 5 2 2" xfId="57688" xr:uid="{00000000-0005-0000-0000-0000DB9F0000}"/>
    <cellStyle name="Normal 6 2 3 3 2 5 2 3" xfId="57689" xr:uid="{00000000-0005-0000-0000-0000DC9F0000}"/>
    <cellStyle name="Normal 6 2 3 3 2 5 3" xfId="29256" xr:uid="{00000000-0005-0000-0000-0000DD9F0000}"/>
    <cellStyle name="Normal 6 2 3 3 2 5 3 2" xfId="57690" xr:uid="{00000000-0005-0000-0000-0000DE9F0000}"/>
    <cellStyle name="Normal 6 2 3 3 2 5 4" xfId="29257" xr:uid="{00000000-0005-0000-0000-0000DF9F0000}"/>
    <cellStyle name="Normal 6 2 3 3 2 5 5" xfId="29258" xr:uid="{00000000-0005-0000-0000-0000E09F0000}"/>
    <cellStyle name="Normal 6 2 3 3 2 5 6" xfId="29259" xr:uid="{00000000-0005-0000-0000-0000E19F0000}"/>
    <cellStyle name="Normal 6 2 3 3 2 6" xfId="29260" xr:uid="{00000000-0005-0000-0000-0000E29F0000}"/>
    <cellStyle name="Normal 6 2 3 3 2 6 2" xfId="57691" xr:uid="{00000000-0005-0000-0000-0000E39F0000}"/>
    <cellStyle name="Normal 6 2 3 3 2 6 3" xfId="57692" xr:uid="{00000000-0005-0000-0000-0000E49F0000}"/>
    <cellStyle name="Normal 6 2 3 3 2 7" xfId="29261" xr:uid="{00000000-0005-0000-0000-0000E59F0000}"/>
    <cellStyle name="Normal 6 2 3 3 2 7 2" xfId="57693" xr:uid="{00000000-0005-0000-0000-0000E69F0000}"/>
    <cellStyle name="Normal 6 2 3 3 2 8" xfId="29262" xr:uid="{00000000-0005-0000-0000-0000E79F0000}"/>
    <cellStyle name="Normal 6 2 3 3 2 9" xfId="29263" xr:uid="{00000000-0005-0000-0000-0000E89F0000}"/>
    <cellStyle name="Normal 6 2 3 3 3" xfId="29264" xr:uid="{00000000-0005-0000-0000-0000E99F0000}"/>
    <cellStyle name="Normal 6 2 3 3 3 2" xfId="29265" xr:uid="{00000000-0005-0000-0000-0000EA9F0000}"/>
    <cellStyle name="Normal 6 2 3 3 3 2 2" xfId="29266" xr:uid="{00000000-0005-0000-0000-0000EB9F0000}"/>
    <cellStyle name="Normal 6 2 3 3 3 2 2 2" xfId="29267" xr:uid="{00000000-0005-0000-0000-0000EC9F0000}"/>
    <cellStyle name="Normal 6 2 3 3 3 2 2 2 2" xfId="57694" xr:uid="{00000000-0005-0000-0000-0000ED9F0000}"/>
    <cellStyle name="Normal 6 2 3 3 3 2 2 2 3" xfId="57695" xr:uid="{00000000-0005-0000-0000-0000EE9F0000}"/>
    <cellStyle name="Normal 6 2 3 3 3 2 2 3" xfId="29268" xr:uid="{00000000-0005-0000-0000-0000EF9F0000}"/>
    <cellStyle name="Normal 6 2 3 3 3 2 2 3 2" xfId="57696" xr:uid="{00000000-0005-0000-0000-0000F09F0000}"/>
    <cellStyle name="Normal 6 2 3 3 3 2 2 4" xfId="29269" xr:uid="{00000000-0005-0000-0000-0000F19F0000}"/>
    <cellStyle name="Normal 6 2 3 3 3 2 2 5" xfId="29270" xr:uid="{00000000-0005-0000-0000-0000F29F0000}"/>
    <cellStyle name="Normal 6 2 3 3 3 2 2 6" xfId="29271" xr:uid="{00000000-0005-0000-0000-0000F39F0000}"/>
    <cellStyle name="Normal 6 2 3 3 3 2 3" xfId="29272" xr:uid="{00000000-0005-0000-0000-0000F49F0000}"/>
    <cellStyle name="Normal 6 2 3 3 3 2 3 2" xfId="57697" xr:uid="{00000000-0005-0000-0000-0000F59F0000}"/>
    <cellStyle name="Normal 6 2 3 3 3 2 3 3" xfId="57698" xr:uid="{00000000-0005-0000-0000-0000F69F0000}"/>
    <cellStyle name="Normal 6 2 3 3 3 2 4" xfId="29273" xr:uid="{00000000-0005-0000-0000-0000F79F0000}"/>
    <cellStyle name="Normal 6 2 3 3 3 2 4 2" xfId="57699" xr:uid="{00000000-0005-0000-0000-0000F89F0000}"/>
    <cellStyle name="Normal 6 2 3 3 3 2 5" xfId="29274" xr:uid="{00000000-0005-0000-0000-0000F99F0000}"/>
    <cellStyle name="Normal 6 2 3 3 3 2 6" xfId="29275" xr:uid="{00000000-0005-0000-0000-0000FA9F0000}"/>
    <cellStyle name="Normal 6 2 3 3 3 2 7" xfId="29276" xr:uid="{00000000-0005-0000-0000-0000FB9F0000}"/>
    <cellStyle name="Normal 6 2 3 3 3 3" xfId="29277" xr:uid="{00000000-0005-0000-0000-0000FC9F0000}"/>
    <cellStyle name="Normal 6 2 3 3 3 3 2" xfId="29278" xr:uid="{00000000-0005-0000-0000-0000FD9F0000}"/>
    <cellStyle name="Normal 6 2 3 3 3 3 2 2" xfId="57700" xr:uid="{00000000-0005-0000-0000-0000FE9F0000}"/>
    <cellStyle name="Normal 6 2 3 3 3 3 2 3" xfId="57701" xr:uid="{00000000-0005-0000-0000-0000FF9F0000}"/>
    <cellStyle name="Normal 6 2 3 3 3 3 3" xfId="29279" xr:uid="{00000000-0005-0000-0000-000000A00000}"/>
    <cellStyle name="Normal 6 2 3 3 3 3 3 2" xfId="57702" xr:uid="{00000000-0005-0000-0000-000001A00000}"/>
    <cellStyle name="Normal 6 2 3 3 3 3 4" xfId="29280" xr:uid="{00000000-0005-0000-0000-000002A00000}"/>
    <cellStyle name="Normal 6 2 3 3 3 3 5" xfId="29281" xr:uid="{00000000-0005-0000-0000-000003A00000}"/>
    <cellStyle name="Normal 6 2 3 3 3 3 6" xfId="29282" xr:uid="{00000000-0005-0000-0000-000004A00000}"/>
    <cellStyle name="Normal 6 2 3 3 3 4" xfId="29283" xr:uid="{00000000-0005-0000-0000-000005A00000}"/>
    <cellStyle name="Normal 6 2 3 3 3 4 2" xfId="57703" xr:uid="{00000000-0005-0000-0000-000006A00000}"/>
    <cellStyle name="Normal 6 2 3 3 3 4 3" xfId="57704" xr:uid="{00000000-0005-0000-0000-000007A00000}"/>
    <cellStyle name="Normal 6 2 3 3 3 5" xfId="29284" xr:uid="{00000000-0005-0000-0000-000008A00000}"/>
    <cellStyle name="Normal 6 2 3 3 3 5 2" xfId="57705" xr:uid="{00000000-0005-0000-0000-000009A00000}"/>
    <cellStyle name="Normal 6 2 3 3 3 6" xfId="29285" xr:uid="{00000000-0005-0000-0000-00000AA00000}"/>
    <cellStyle name="Normal 6 2 3 3 3 7" xfId="29286" xr:uid="{00000000-0005-0000-0000-00000BA00000}"/>
    <cellStyle name="Normal 6 2 3 3 3 8" xfId="29287" xr:uid="{00000000-0005-0000-0000-00000CA00000}"/>
    <cellStyle name="Normal 6 2 3 3 3 9" xfId="29288" xr:uid="{00000000-0005-0000-0000-00000DA00000}"/>
    <cellStyle name="Normal 6 2 3 3 4" xfId="29289" xr:uid="{00000000-0005-0000-0000-00000EA00000}"/>
    <cellStyle name="Normal 6 2 3 3 4 2" xfId="29290" xr:uid="{00000000-0005-0000-0000-00000FA00000}"/>
    <cellStyle name="Normal 6 2 3 3 4 2 2" xfId="29291" xr:uid="{00000000-0005-0000-0000-000010A00000}"/>
    <cellStyle name="Normal 6 2 3 3 4 2 2 2" xfId="29292" xr:uid="{00000000-0005-0000-0000-000011A00000}"/>
    <cellStyle name="Normal 6 2 3 3 4 2 2 2 2" xfId="57706" xr:uid="{00000000-0005-0000-0000-000012A00000}"/>
    <cellStyle name="Normal 6 2 3 3 4 2 2 2 3" xfId="57707" xr:uid="{00000000-0005-0000-0000-000013A00000}"/>
    <cellStyle name="Normal 6 2 3 3 4 2 2 3" xfId="29293" xr:uid="{00000000-0005-0000-0000-000014A00000}"/>
    <cellStyle name="Normal 6 2 3 3 4 2 2 3 2" xfId="57708" xr:uid="{00000000-0005-0000-0000-000015A00000}"/>
    <cellStyle name="Normal 6 2 3 3 4 2 2 4" xfId="29294" xr:uid="{00000000-0005-0000-0000-000016A00000}"/>
    <cellStyle name="Normal 6 2 3 3 4 2 2 5" xfId="29295" xr:uid="{00000000-0005-0000-0000-000017A00000}"/>
    <cellStyle name="Normal 6 2 3 3 4 2 2 6" xfId="29296" xr:uid="{00000000-0005-0000-0000-000018A00000}"/>
    <cellStyle name="Normal 6 2 3 3 4 2 3" xfId="29297" xr:uid="{00000000-0005-0000-0000-000019A00000}"/>
    <cellStyle name="Normal 6 2 3 3 4 2 3 2" xfId="57709" xr:uid="{00000000-0005-0000-0000-00001AA00000}"/>
    <cellStyle name="Normal 6 2 3 3 4 2 3 3" xfId="57710" xr:uid="{00000000-0005-0000-0000-00001BA00000}"/>
    <cellStyle name="Normal 6 2 3 3 4 2 4" xfId="29298" xr:uid="{00000000-0005-0000-0000-00001CA00000}"/>
    <cellStyle name="Normal 6 2 3 3 4 2 4 2" xfId="57711" xr:uid="{00000000-0005-0000-0000-00001DA00000}"/>
    <cellStyle name="Normal 6 2 3 3 4 2 5" xfId="29299" xr:uid="{00000000-0005-0000-0000-00001EA00000}"/>
    <cellStyle name="Normal 6 2 3 3 4 2 6" xfId="29300" xr:uid="{00000000-0005-0000-0000-00001FA00000}"/>
    <cellStyle name="Normal 6 2 3 3 4 2 7" xfId="29301" xr:uid="{00000000-0005-0000-0000-000020A00000}"/>
    <cellStyle name="Normal 6 2 3 3 4 3" xfId="29302" xr:uid="{00000000-0005-0000-0000-000021A00000}"/>
    <cellStyle name="Normal 6 2 3 3 4 3 2" xfId="29303" xr:uid="{00000000-0005-0000-0000-000022A00000}"/>
    <cellStyle name="Normal 6 2 3 3 4 3 2 2" xfId="57712" xr:uid="{00000000-0005-0000-0000-000023A00000}"/>
    <cellStyle name="Normal 6 2 3 3 4 3 2 3" xfId="57713" xr:uid="{00000000-0005-0000-0000-000024A00000}"/>
    <cellStyle name="Normal 6 2 3 3 4 3 3" xfId="29304" xr:uid="{00000000-0005-0000-0000-000025A00000}"/>
    <cellStyle name="Normal 6 2 3 3 4 3 3 2" xfId="57714" xr:uid="{00000000-0005-0000-0000-000026A00000}"/>
    <cellStyle name="Normal 6 2 3 3 4 3 4" xfId="29305" xr:uid="{00000000-0005-0000-0000-000027A00000}"/>
    <cellStyle name="Normal 6 2 3 3 4 3 5" xfId="29306" xr:uid="{00000000-0005-0000-0000-000028A00000}"/>
    <cellStyle name="Normal 6 2 3 3 4 3 6" xfId="29307" xr:uid="{00000000-0005-0000-0000-000029A00000}"/>
    <cellStyle name="Normal 6 2 3 3 4 4" xfId="29308" xr:uid="{00000000-0005-0000-0000-00002AA00000}"/>
    <cellStyle name="Normal 6 2 3 3 4 4 2" xfId="57715" xr:uid="{00000000-0005-0000-0000-00002BA00000}"/>
    <cellStyle name="Normal 6 2 3 3 4 4 3" xfId="57716" xr:uid="{00000000-0005-0000-0000-00002CA00000}"/>
    <cellStyle name="Normal 6 2 3 3 4 5" xfId="29309" xr:uid="{00000000-0005-0000-0000-00002DA00000}"/>
    <cellStyle name="Normal 6 2 3 3 4 5 2" xfId="57717" xr:uid="{00000000-0005-0000-0000-00002EA00000}"/>
    <cellStyle name="Normal 6 2 3 3 4 6" xfId="29310" xr:uid="{00000000-0005-0000-0000-00002FA00000}"/>
    <cellStyle name="Normal 6 2 3 3 4 7" xfId="29311" xr:uid="{00000000-0005-0000-0000-000030A00000}"/>
    <cellStyle name="Normal 6 2 3 3 4 8" xfId="29312" xr:uid="{00000000-0005-0000-0000-000031A00000}"/>
    <cellStyle name="Normal 6 2 3 3 5" xfId="29313" xr:uid="{00000000-0005-0000-0000-000032A00000}"/>
    <cellStyle name="Normal 6 2 3 3 5 2" xfId="29314" xr:uid="{00000000-0005-0000-0000-000033A00000}"/>
    <cellStyle name="Normal 6 2 3 3 5 2 2" xfId="29315" xr:uid="{00000000-0005-0000-0000-000034A00000}"/>
    <cellStyle name="Normal 6 2 3 3 5 2 2 2" xfId="57718" xr:uid="{00000000-0005-0000-0000-000035A00000}"/>
    <cellStyle name="Normal 6 2 3 3 5 2 2 3" xfId="57719" xr:uid="{00000000-0005-0000-0000-000036A00000}"/>
    <cellStyle name="Normal 6 2 3 3 5 2 3" xfId="29316" xr:uid="{00000000-0005-0000-0000-000037A00000}"/>
    <cellStyle name="Normal 6 2 3 3 5 2 3 2" xfId="57720" xr:uid="{00000000-0005-0000-0000-000038A00000}"/>
    <cellStyle name="Normal 6 2 3 3 5 2 4" xfId="29317" xr:uid="{00000000-0005-0000-0000-000039A00000}"/>
    <cellStyle name="Normal 6 2 3 3 5 2 5" xfId="29318" xr:uid="{00000000-0005-0000-0000-00003AA00000}"/>
    <cellStyle name="Normal 6 2 3 3 5 2 6" xfId="29319" xr:uid="{00000000-0005-0000-0000-00003BA00000}"/>
    <cellStyle name="Normal 6 2 3 3 5 3" xfId="29320" xr:uid="{00000000-0005-0000-0000-00003CA00000}"/>
    <cellStyle name="Normal 6 2 3 3 5 3 2" xfId="57721" xr:uid="{00000000-0005-0000-0000-00003DA00000}"/>
    <cellStyle name="Normal 6 2 3 3 5 3 3" xfId="57722" xr:uid="{00000000-0005-0000-0000-00003EA00000}"/>
    <cellStyle name="Normal 6 2 3 3 5 4" xfId="29321" xr:uid="{00000000-0005-0000-0000-00003FA00000}"/>
    <cellStyle name="Normal 6 2 3 3 5 4 2" xfId="57723" xr:uid="{00000000-0005-0000-0000-000040A00000}"/>
    <cellStyle name="Normal 6 2 3 3 5 5" xfId="29322" xr:uid="{00000000-0005-0000-0000-000041A00000}"/>
    <cellStyle name="Normal 6 2 3 3 5 6" xfId="29323" xr:uid="{00000000-0005-0000-0000-000042A00000}"/>
    <cellStyle name="Normal 6 2 3 3 5 7" xfId="29324" xr:uid="{00000000-0005-0000-0000-000043A00000}"/>
    <cellStyle name="Normal 6 2 3 3 6" xfId="29325" xr:uid="{00000000-0005-0000-0000-000044A00000}"/>
    <cellStyle name="Normal 6 2 3 3 6 2" xfId="29326" xr:uid="{00000000-0005-0000-0000-000045A00000}"/>
    <cellStyle name="Normal 6 2 3 3 6 2 2" xfId="57724" xr:uid="{00000000-0005-0000-0000-000046A00000}"/>
    <cellStyle name="Normal 6 2 3 3 6 2 3" xfId="57725" xr:uid="{00000000-0005-0000-0000-000047A00000}"/>
    <cellStyle name="Normal 6 2 3 3 6 3" xfId="29327" xr:uid="{00000000-0005-0000-0000-000048A00000}"/>
    <cellStyle name="Normal 6 2 3 3 6 3 2" xfId="57726" xr:uid="{00000000-0005-0000-0000-000049A00000}"/>
    <cellStyle name="Normal 6 2 3 3 6 4" xfId="29328" xr:uid="{00000000-0005-0000-0000-00004AA00000}"/>
    <cellStyle name="Normal 6 2 3 3 6 5" xfId="29329" xr:uid="{00000000-0005-0000-0000-00004BA00000}"/>
    <cellStyle name="Normal 6 2 3 3 6 6" xfId="29330" xr:uid="{00000000-0005-0000-0000-00004CA00000}"/>
    <cellStyle name="Normal 6 2 3 3 7" xfId="29331" xr:uid="{00000000-0005-0000-0000-00004DA00000}"/>
    <cellStyle name="Normal 6 2 3 3 7 2" xfId="57727" xr:uid="{00000000-0005-0000-0000-00004EA00000}"/>
    <cellStyle name="Normal 6 2 3 3 7 3" xfId="57728" xr:uid="{00000000-0005-0000-0000-00004FA00000}"/>
    <cellStyle name="Normal 6 2 3 3 8" xfId="29332" xr:uid="{00000000-0005-0000-0000-000050A00000}"/>
    <cellStyle name="Normal 6 2 3 3 8 2" xfId="57729" xr:uid="{00000000-0005-0000-0000-000051A00000}"/>
    <cellStyle name="Normal 6 2 3 3 9" xfId="29333" xr:uid="{00000000-0005-0000-0000-000052A00000}"/>
    <cellStyle name="Normal 6 2 3 4" xfId="29334" xr:uid="{00000000-0005-0000-0000-000053A00000}"/>
    <cellStyle name="Normal 6 2 3 4 10" xfId="29335" xr:uid="{00000000-0005-0000-0000-000054A00000}"/>
    <cellStyle name="Normal 6 2 3 4 11" xfId="29336" xr:uid="{00000000-0005-0000-0000-000055A00000}"/>
    <cellStyle name="Normal 6 2 3 4 12" xfId="29337" xr:uid="{00000000-0005-0000-0000-000056A00000}"/>
    <cellStyle name="Normal 6 2 3 4 13" xfId="29338" xr:uid="{00000000-0005-0000-0000-000057A00000}"/>
    <cellStyle name="Normal 6 2 3 4 14" xfId="29339" xr:uid="{00000000-0005-0000-0000-000058A00000}"/>
    <cellStyle name="Normal 6 2 3 4 2" xfId="29340" xr:uid="{00000000-0005-0000-0000-000059A00000}"/>
    <cellStyle name="Normal 6 2 3 4 2 2" xfId="29341" xr:uid="{00000000-0005-0000-0000-00005AA00000}"/>
    <cellStyle name="Normal 6 2 3 4 2 2 2" xfId="29342" xr:uid="{00000000-0005-0000-0000-00005BA00000}"/>
    <cellStyle name="Normal 6 2 3 4 2 2 2 2" xfId="29343" xr:uid="{00000000-0005-0000-0000-00005CA00000}"/>
    <cellStyle name="Normal 6 2 3 4 2 2 2 2 2" xfId="57730" xr:uid="{00000000-0005-0000-0000-00005DA00000}"/>
    <cellStyle name="Normal 6 2 3 4 2 2 2 2 3" xfId="57731" xr:uid="{00000000-0005-0000-0000-00005EA00000}"/>
    <cellStyle name="Normal 6 2 3 4 2 2 2 3" xfId="29344" xr:uid="{00000000-0005-0000-0000-00005FA00000}"/>
    <cellStyle name="Normal 6 2 3 4 2 2 2 3 2" xfId="57732" xr:uid="{00000000-0005-0000-0000-000060A00000}"/>
    <cellStyle name="Normal 6 2 3 4 2 2 2 4" xfId="29345" xr:uid="{00000000-0005-0000-0000-000061A00000}"/>
    <cellStyle name="Normal 6 2 3 4 2 2 2 5" xfId="29346" xr:uid="{00000000-0005-0000-0000-000062A00000}"/>
    <cellStyle name="Normal 6 2 3 4 2 2 2 6" xfId="29347" xr:uid="{00000000-0005-0000-0000-000063A00000}"/>
    <cellStyle name="Normal 6 2 3 4 2 2 3" xfId="29348" xr:uid="{00000000-0005-0000-0000-000064A00000}"/>
    <cellStyle name="Normal 6 2 3 4 2 2 3 2" xfId="57733" xr:uid="{00000000-0005-0000-0000-000065A00000}"/>
    <cellStyle name="Normal 6 2 3 4 2 2 3 3" xfId="57734" xr:uid="{00000000-0005-0000-0000-000066A00000}"/>
    <cellStyle name="Normal 6 2 3 4 2 2 4" xfId="29349" xr:uid="{00000000-0005-0000-0000-000067A00000}"/>
    <cellStyle name="Normal 6 2 3 4 2 2 4 2" xfId="57735" xr:uid="{00000000-0005-0000-0000-000068A00000}"/>
    <cellStyle name="Normal 6 2 3 4 2 2 5" xfId="29350" xr:uid="{00000000-0005-0000-0000-000069A00000}"/>
    <cellStyle name="Normal 6 2 3 4 2 2 6" xfId="29351" xr:uid="{00000000-0005-0000-0000-00006AA00000}"/>
    <cellStyle name="Normal 6 2 3 4 2 2 7" xfId="29352" xr:uid="{00000000-0005-0000-0000-00006BA00000}"/>
    <cellStyle name="Normal 6 2 3 4 2 3" xfId="29353" xr:uid="{00000000-0005-0000-0000-00006CA00000}"/>
    <cellStyle name="Normal 6 2 3 4 2 3 2" xfId="29354" xr:uid="{00000000-0005-0000-0000-00006DA00000}"/>
    <cellStyle name="Normal 6 2 3 4 2 3 2 2" xfId="57736" xr:uid="{00000000-0005-0000-0000-00006EA00000}"/>
    <cellStyle name="Normal 6 2 3 4 2 3 2 3" xfId="57737" xr:uid="{00000000-0005-0000-0000-00006FA00000}"/>
    <cellStyle name="Normal 6 2 3 4 2 3 3" xfId="29355" xr:uid="{00000000-0005-0000-0000-000070A00000}"/>
    <cellStyle name="Normal 6 2 3 4 2 3 3 2" xfId="57738" xr:uid="{00000000-0005-0000-0000-000071A00000}"/>
    <cellStyle name="Normal 6 2 3 4 2 3 4" xfId="29356" xr:uid="{00000000-0005-0000-0000-000072A00000}"/>
    <cellStyle name="Normal 6 2 3 4 2 3 5" xfId="29357" xr:uid="{00000000-0005-0000-0000-000073A00000}"/>
    <cellStyle name="Normal 6 2 3 4 2 3 6" xfId="29358" xr:uid="{00000000-0005-0000-0000-000074A00000}"/>
    <cellStyle name="Normal 6 2 3 4 2 4" xfId="29359" xr:uid="{00000000-0005-0000-0000-000075A00000}"/>
    <cellStyle name="Normal 6 2 3 4 2 4 2" xfId="57739" xr:uid="{00000000-0005-0000-0000-000076A00000}"/>
    <cellStyle name="Normal 6 2 3 4 2 4 3" xfId="57740" xr:uid="{00000000-0005-0000-0000-000077A00000}"/>
    <cellStyle name="Normal 6 2 3 4 2 5" xfId="29360" xr:uid="{00000000-0005-0000-0000-000078A00000}"/>
    <cellStyle name="Normal 6 2 3 4 2 5 2" xfId="57741" xr:uid="{00000000-0005-0000-0000-000079A00000}"/>
    <cellStyle name="Normal 6 2 3 4 2 6" xfId="29361" xr:uid="{00000000-0005-0000-0000-00007AA00000}"/>
    <cellStyle name="Normal 6 2 3 4 2 7" xfId="29362" xr:uid="{00000000-0005-0000-0000-00007BA00000}"/>
    <cellStyle name="Normal 6 2 3 4 2 8" xfId="29363" xr:uid="{00000000-0005-0000-0000-00007CA00000}"/>
    <cellStyle name="Normal 6 2 3 4 2 9" xfId="29364" xr:uid="{00000000-0005-0000-0000-00007DA00000}"/>
    <cellStyle name="Normal 6 2 3 4 3" xfId="29365" xr:uid="{00000000-0005-0000-0000-00007EA00000}"/>
    <cellStyle name="Normal 6 2 3 4 3 2" xfId="29366" xr:uid="{00000000-0005-0000-0000-00007FA00000}"/>
    <cellStyle name="Normal 6 2 3 4 3 2 2" xfId="29367" xr:uid="{00000000-0005-0000-0000-000080A00000}"/>
    <cellStyle name="Normal 6 2 3 4 3 2 2 2" xfId="29368" xr:uid="{00000000-0005-0000-0000-000081A00000}"/>
    <cellStyle name="Normal 6 2 3 4 3 2 2 2 2" xfId="57742" xr:uid="{00000000-0005-0000-0000-000082A00000}"/>
    <cellStyle name="Normal 6 2 3 4 3 2 2 2 3" xfId="57743" xr:uid="{00000000-0005-0000-0000-000083A00000}"/>
    <cellStyle name="Normal 6 2 3 4 3 2 2 3" xfId="29369" xr:uid="{00000000-0005-0000-0000-000084A00000}"/>
    <cellStyle name="Normal 6 2 3 4 3 2 2 3 2" xfId="57744" xr:uid="{00000000-0005-0000-0000-000085A00000}"/>
    <cellStyle name="Normal 6 2 3 4 3 2 2 4" xfId="29370" xr:uid="{00000000-0005-0000-0000-000086A00000}"/>
    <cellStyle name="Normal 6 2 3 4 3 2 2 5" xfId="29371" xr:uid="{00000000-0005-0000-0000-000087A00000}"/>
    <cellStyle name="Normal 6 2 3 4 3 2 2 6" xfId="29372" xr:uid="{00000000-0005-0000-0000-000088A00000}"/>
    <cellStyle name="Normal 6 2 3 4 3 2 3" xfId="29373" xr:uid="{00000000-0005-0000-0000-000089A00000}"/>
    <cellStyle name="Normal 6 2 3 4 3 2 3 2" xfId="57745" xr:uid="{00000000-0005-0000-0000-00008AA00000}"/>
    <cellStyle name="Normal 6 2 3 4 3 2 3 3" xfId="57746" xr:uid="{00000000-0005-0000-0000-00008BA00000}"/>
    <cellStyle name="Normal 6 2 3 4 3 2 4" xfId="29374" xr:uid="{00000000-0005-0000-0000-00008CA00000}"/>
    <cellStyle name="Normal 6 2 3 4 3 2 4 2" xfId="57747" xr:uid="{00000000-0005-0000-0000-00008DA00000}"/>
    <cellStyle name="Normal 6 2 3 4 3 2 5" xfId="29375" xr:uid="{00000000-0005-0000-0000-00008EA00000}"/>
    <cellStyle name="Normal 6 2 3 4 3 2 6" xfId="29376" xr:uid="{00000000-0005-0000-0000-00008FA00000}"/>
    <cellStyle name="Normal 6 2 3 4 3 2 7" xfId="29377" xr:uid="{00000000-0005-0000-0000-000090A00000}"/>
    <cellStyle name="Normal 6 2 3 4 3 3" xfId="29378" xr:uid="{00000000-0005-0000-0000-000091A00000}"/>
    <cellStyle name="Normal 6 2 3 4 3 3 2" xfId="29379" xr:uid="{00000000-0005-0000-0000-000092A00000}"/>
    <cellStyle name="Normal 6 2 3 4 3 3 2 2" xfId="57748" xr:uid="{00000000-0005-0000-0000-000093A00000}"/>
    <cellStyle name="Normal 6 2 3 4 3 3 2 3" xfId="57749" xr:uid="{00000000-0005-0000-0000-000094A00000}"/>
    <cellStyle name="Normal 6 2 3 4 3 3 3" xfId="29380" xr:uid="{00000000-0005-0000-0000-000095A00000}"/>
    <cellStyle name="Normal 6 2 3 4 3 3 3 2" xfId="57750" xr:uid="{00000000-0005-0000-0000-000096A00000}"/>
    <cellStyle name="Normal 6 2 3 4 3 3 4" xfId="29381" xr:uid="{00000000-0005-0000-0000-000097A00000}"/>
    <cellStyle name="Normal 6 2 3 4 3 3 5" xfId="29382" xr:uid="{00000000-0005-0000-0000-000098A00000}"/>
    <cellStyle name="Normal 6 2 3 4 3 3 6" xfId="29383" xr:uid="{00000000-0005-0000-0000-000099A00000}"/>
    <cellStyle name="Normal 6 2 3 4 3 4" xfId="29384" xr:uid="{00000000-0005-0000-0000-00009AA00000}"/>
    <cellStyle name="Normal 6 2 3 4 3 4 2" xfId="57751" xr:uid="{00000000-0005-0000-0000-00009BA00000}"/>
    <cellStyle name="Normal 6 2 3 4 3 4 3" xfId="57752" xr:uid="{00000000-0005-0000-0000-00009CA00000}"/>
    <cellStyle name="Normal 6 2 3 4 3 5" xfId="29385" xr:uid="{00000000-0005-0000-0000-00009DA00000}"/>
    <cellStyle name="Normal 6 2 3 4 3 5 2" xfId="57753" xr:uid="{00000000-0005-0000-0000-00009EA00000}"/>
    <cellStyle name="Normal 6 2 3 4 3 6" xfId="29386" xr:uid="{00000000-0005-0000-0000-00009FA00000}"/>
    <cellStyle name="Normal 6 2 3 4 3 7" xfId="29387" xr:uid="{00000000-0005-0000-0000-0000A0A00000}"/>
    <cellStyle name="Normal 6 2 3 4 3 8" xfId="29388" xr:uid="{00000000-0005-0000-0000-0000A1A00000}"/>
    <cellStyle name="Normal 6 2 3 4 4" xfId="29389" xr:uid="{00000000-0005-0000-0000-0000A2A00000}"/>
    <cellStyle name="Normal 6 2 3 4 4 2" xfId="29390" xr:uid="{00000000-0005-0000-0000-0000A3A00000}"/>
    <cellStyle name="Normal 6 2 3 4 4 2 2" xfId="29391" xr:uid="{00000000-0005-0000-0000-0000A4A00000}"/>
    <cellStyle name="Normal 6 2 3 4 4 2 2 2" xfId="57754" xr:uid="{00000000-0005-0000-0000-0000A5A00000}"/>
    <cellStyle name="Normal 6 2 3 4 4 2 2 3" xfId="57755" xr:uid="{00000000-0005-0000-0000-0000A6A00000}"/>
    <cellStyle name="Normal 6 2 3 4 4 2 3" xfId="29392" xr:uid="{00000000-0005-0000-0000-0000A7A00000}"/>
    <cellStyle name="Normal 6 2 3 4 4 2 3 2" xfId="57756" xr:uid="{00000000-0005-0000-0000-0000A8A00000}"/>
    <cellStyle name="Normal 6 2 3 4 4 2 4" xfId="29393" xr:uid="{00000000-0005-0000-0000-0000A9A00000}"/>
    <cellStyle name="Normal 6 2 3 4 4 2 5" xfId="29394" xr:uid="{00000000-0005-0000-0000-0000AAA00000}"/>
    <cellStyle name="Normal 6 2 3 4 4 2 6" xfId="29395" xr:uid="{00000000-0005-0000-0000-0000ABA00000}"/>
    <cellStyle name="Normal 6 2 3 4 4 3" xfId="29396" xr:uid="{00000000-0005-0000-0000-0000ACA00000}"/>
    <cellStyle name="Normal 6 2 3 4 4 3 2" xfId="57757" xr:uid="{00000000-0005-0000-0000-0000ADA00000}"/>
    <cellStyle name="Normal 6 2 3 4 4 3 3" xfId="57758" xr:uid="{00000000-0005-0000-0000-0000AEA00000}"/>
    <cellStyle name="Normal 6 2 3 4 4 4" xfId="29397" xr:uid="{00000000-0005-0000-0000-0000AFA00000}"/>
    <cellStyle name="Normal 6 2 3 4 4 4 2" xfId="57759" xr:uid="{00000000-0005-0000-0000-0000B0A00000}"/>
    <cellStyle name="Normal 6 2 3 4 4 5" xfId="29398" xr:uid="{00000000-0005-0000-0000-0000B1A00000}"/>
    <cellStyle name="Normal 6 2 3 4 4 6" xfId="29399" xr:uid="{00000000-0005-0000-0000-0000B2A00000}"/>
    <cellStyle name="Normal 6 2 3 4 4 7" xfId="29400" xr:uid="{00000000-0005-0000-0000-0000B3A00000}"/>
    <cellStyle name="Normal 6 2 3 4 5" xfId="29401" xr:uid="{00000000-0005-0000-0000-0000B4A00000}"/>
    <cellStyle name="Normal 6 2 3 4 5 2" xfId="29402" xr:uid="{00000000-0005-0000-0000-0000B5A00000}"/>
    <cellStyle name="Normal 6 2 3 4 5 2 2" xfId="57760" xr:uid="{00000000-0005-0000-0000-0000B6A00000}"/>
    <cellStyle name="Normal 6 2 3 4 5 2 3" xfId="57761" xr:uid="{00000000-0005-0000-0000-0000B7A00000}"/>
    <cellStyle name="Normal 6 2 3 4 5 3" xfId="29403" xr:uid="{00000000-0005-0000-0000-0000B8A00000}"/>
    <cellStyle name="Normal 6 2 3 4 5 3 2" xfId="57762" xr:uid="{00000000-0005-0000-0000-0000B9A00000}"/>
    <cellStyle name="Normal 6 2 3 4 5 4" xfId="29404" xr:uid="{00000000-0005-0000-0000-0000BAA00000}"/>
    <cellStyle name="Normal 6 2 3 4 5 5" xfId="29405" xr:uid="{00000000-0005-0000-0000-0000BBA00000}"/>
    <cellStyle name="Normal 6 2 3 4 5 6" xfId="29406" xr:uid="{00000000-0005-0000-0000-0000BCA00000}"/>
    <cellStyle name="Normal 6 2 3 4 6" xfId="29407" xr:uid="{00000000-0005-0000-0000-0000BDA00000}"/>
    <cellStyle name="Normal 6 2 3 4 6 2" xfId="57763" xr:uid="{00000000-0005-0000-0000-0000BEA00000}"/>
    <cellStyle name="Normal 6 2 3 4 6 3" xfId="57764" xr:uid="{00000000-0005-0000-0000-0000BFA00000}"/>
    <cellStyle name="Normal 6 2 3 4 7" xfId="29408" xr:uid="{00000000-0005-0000-0000-0000C0A00000}"/>
    <cellStyle name="Normal 6 2 3 4 7 2" xfId="57765" xr:uid="{00000000-0005-0000-0000-0000C1A00000}"/>
    <cellStyle name="Normal 6 2 3 4 8" xfId="29409" xr:uid="{00000000-0005-0000-0000-0000C2A00000}"/>
    <cellStyle name="Normal 6 2 3 4 9" xfId="29410" xr:uid="{00000000-0005-0000-0000-0000C3A00000}"/>
    <cellStyle name="Normal 6 2 3 5" xfId="29411" xr:uid="{00000000-0005-0000-0000-0000C4A00000}"/>
    <cellStyle name="Normal 6 2 3 5 10" xfId="29412" xr:uid="{00000000-0005-0000-0000-0000C5A00000}"/>
    <cellStyle name="Normal 6 2 3 5 11" xfId="29413" xr:uid="{00000000-0005-0000-0000-0000C6A00000}"/>
    <cellStyle name="Normal 6 2 3 5 12" xfId="29414" xr:uid="{00000000-0005-0000-0000-0000C7A00000}"/>
    <cellStyle name="Normal 6 2 3 5 13" xfId="29415" xr:uid="{00000000-0005-0000-0000-0000C8A00000}"/>
    <cellStyle name="Normal 6 2 3 5 14" xfId="29416" xr:uid="{00000000-0005-0000-0000-0000C9A00000}"/>
    <cellStyle name="Normal 6 2 3 5 2" xfId="29417" xr:uid="{00000000-0005-0000-0000-0000CAA00000}"/>
    <cellStyle name="Normal 6 2 3 5 2 2" xfId="29418" xr:uid="{00000000-0005-0000-0000-0000CBA00000}"/>
    <cellStyle name="Normal 6 2 3 5 2 2 2" xfId="29419" xr:uid="{00000000-0005-0000-0000-0000CCA00000}"/>
    <cellStyle name="Normal 6 2 3 5 2 2 2 2" xfId="29420" xr:uid="{00000000-0005-0000-0000-0000CDA00000}"/>
    <cellStyle name="Normal 6 2 3 5 2 2 2 2 2" xfId="57766" xr:uid="{00000000-0005-0000-0000-0000CEA00000}"/>
    <cellStyle name="Normal 6 2 3 5 2 2 2 2 3" xfId="57767" xr:uid="{00000000-0005-0000-0000-0000CFA00000}"/>
    <cellStyle name="Normal 6 2 3 5 2 2 2 3" xfId="29421" xr:uid="{00000000-0005-0000-0000-0000D0A00000}"/>
    <cellStyle name="Normal 6 2 3 5 2 2 2 3 2" xfId="57768" xr:uid="{00000000-0005-0000-0000-0000D1A00000}"/>
    <cellStyle name="Normal 6 2 3 5 2 2 2 4" xfId="29422" xr:uid="{00000000-0005-0000-0000-0000D2A00000}"/>
    <cellStyle name="Normal 6 2 3 5 2 2 2 5" xfId="29423" xr:uid="{00000000-0005-0000-0000-0000D3A00000}"/>
    <cellStyle name="Normal 6 2 3 5 2 2 2 6" xfId="29424" xr:uid="{00000000-0005-0000-0000-0000D4A00000}"/>
    <cellStyle name="Normal 6 2 3 5 2 2 3" xfId="29425" xr:uid="{00000000-0005-0000-0000-0000D5A00000}"/>
    <cellStyle name="Normal 6 2 3 5 2 2 3 2" xfId="57769" xr:uid="{00000000-0005-0000-0000-0000D6A00000}"/>
    <cellStyle name="Normal 6 2 3 5 2 2 3 3" xfId="57770" xr:uid="{00000000-0005-0000-0000-0000D7A00000}"/>
    <cellStyle name="Normal 6 2 3 5 2 2 4" xfId="29426" xr:uid="{00000000-0005-0000-0000-0000D8A00000}"/>
    <cellStyle name="Normal 6 2 3 5 2 2 4 2" xfId="57771" xr:uid="{00000000-0005-0000-0000-0000D9A00000}"/>
    <cellStyle name="Normal 6 2 3 5 2 2 5" xfId="29427" xr:uid="{00000000-0005-0000-0000-0000DAA00000}"/>
    <cellStyle name="Normal 6 2 3 5 2 2 6" xfId="29428" xr:uid="{00000000-0005-0000-0000-0000DBA00000}"/>
    <cellStyle name="Normal 6 2 3 5 2 2 7" xfId="29429" xr:uid="{00000000-0005-0000-0000-0000DCA00000}"/>
    <cellStyle name="Normal 6 2 3 5 2 3" xfId="29430" xr:uid="{00000000-0005-0000-0000-0000DDA00000}"/>
    <cellStyle name="Normal 6 2 3 5 2 3 2" xfId="29431" xr:uid="{00000000-0005-0000-0000-0000DEA00000}"/>
    <cellStyle name="Normal 6 2 3 5 2 3 2 2" xfId="57772" xr:uid="{00000000-0005-0000-0000-0000DFA00000}"/>
    <cellStyle name="Normal 6 2 3 5 2 3 2 3" xfId="57773" xr:uid="{00000000-0005-0000-0000-0000E0A00000}"/>
    <cellStyle name="Normal 6 2 3 5 2 3 3" xfId="29432" xr:uid="{00000000-0005-0000-0000-0000E1A00000}"/>
    <cellStyle name="Normal 6 2 3 5 2 3 3 2" xfId="57774" xr:uid="{00000000-0005-0000-0000-0000E2A00000}"/>
    <cellStyle name="Normal 6 2 3 5 2 3 4" xfId="29433" xr:uid="{00000000-0005-0000-0000-0000E3A00000}"/>
    <cellStyle name="Normal 6 2 3 5 2 3 5" xfId="29434" xr:uid="{00000000-0005-0000-0000-0000E4A00000}"/>
    <cellStyle name="Normal 6 2 3 5 2 3 6" xfId="29435" xr:uid="{00000000-0005-0000-0000-0000E5A00000}"/>
    <cellStyle name="Normal 6 2 3 5 2 4" xfId="29436" xr:uid="{00000000-0005-0000-0000-0000E6A00000}"/>
    <cellStyle name="Normal 6 2 3 5 2 4 2" xfId="57775" xr:uid="{00000000-0005-0000-0000-0000E7A00000}"/>
    <cellStyle name="Normal 6 2 3 5 2 4 3" xfId="57776" xr:uid="{00000000-0005-0000-0000-0000E8A00000}"/>
    <cellStyle name="Normal 6 2 3 5 2 5" xfId="29437" xr:uid="{00000000-0005-0000-0000-0000E9A00000}"/>
    <cellStyle name="Normal 6 2 3 5 2 5 2" xfId="57777" xr:uid="{00000000-0005-0000-0000-0000EAA00000}"/>
    <cellStyle name="Normal 6 2 3 5 2 6" xfId="29438" xr:uid="{00000000-0005-0000-0000-0000EBA00000}"/>
    <cellStyle name="Normal 6 2 3 5 2 7" xfId="29439" xr:uid="{00000000-0005-0000-0000-0000ECA00000}"/>
    <cellStyle name="Normal 6 2 3 5 2 8" xfId="29440" xr:uid="{00000000-0005-0000-0000-0000EDA00000}"/>
    <cellStyle name="Normal 6 2 3 5 2 9" xfId="29441" xr:uid="{00000000-0005-0000-0000-0000EEA00000}"/>
    <cellStyle name="Normal 6 2 3 5 3" xfId="29442" xr:uid="{00000000-0005-0000-0000-0000EFA00000}"/>
    <cellStyle name="Normal 6 2 3 5 3 2" xfId="29443" xr:uid="{00000000-0005-0000-0000-0000F0A00000}"/>
    <cellStyle name="Normal 6 2 3 5 3 2 2" xfId="29444" xr:uid="{00000000-0005-0000-0000-0000F1A00000}"/>
    <cellStyle name="Normal 6 2 3 5 3 2 2 2" xfId="29445" xr:uid="{00000000-0005-0000-0000-0000F2A00000}"/>
    <cellStyle name="Normal 6 2 3 5 3 2 2 2 2" xfId="57778" xr:uid="{00000000-0005-0000-0000-0000F3A00000}"/>
    <cellStyle name="Normal 6 2 3 5 3 2 2 2 3" xfId="57779" xr:uid="{00000000-0005-0000-0000-0000F4A00000}"/>
    <cellStyle name="Normal 6 2 3 5 3 2 2 3" xfId="29446" xr:uid="{00000000-0005-0000-0000-0000F5A00000}"/>
    <cellStyle name="Normal 6 2 3 5 3 2 2 3 2" xfId="57780" xr:uid="{00000000-0005-0000-0000-0000F6A00000}"/>
    <cellStyle name="Normal 6 2 3 5 3 2 2 4" xfId="29447" xr:uid="{00000000-0005-0000-0000-0000F7A00000}"/>
    <cellStyle name="Normal 6 2 3 5 3 2 2 5" xfId="29448" xr:uid="{00000000-0005-0000-0000-0000F8A00000}"/>
    <cellStyle name="Normal 6 2 3 5 3 2 2 6" xfId="29449" xr:uid="{00000000-0005-0000-0000-0000F9A00000}"/>
    <cellStyle name="Normal 6 2 3 5 3 2 3" xfId="29450" xr:uid="{00000000-0005-0000-0000-0000FAA00000}"/>
    <cellStyle name="Normal 6 2 3 5 3 2 3 2" xfId="57781" xr:uid="{00000000-0005-0000-0000-0000FBA00000}"/>
    <cellStyle name="Normal 6 2 3 5 3 2 3 3" xfId="57782" xr:uid="{00000000-0005-0000-0000-0000FCA00000}"/>
    <cellStyle name="Normal 6 2 3 5 3 2 4" xfId="29451" xr:uid="{00000000-0005-0000-0000-0000FDA00000}"/>
    <cellStyle name="Normal 6 2 3 5 3 2 4 2" xfId="57783" xr:uid="{00000000-0005-0000-0000-0000FEA00000}"/>
    <cellStyle name="Normal 6 2 3 5 3 2 5" xfId="29452" xr:uid="{00000000-0005-0000-0000-0000FFA00000}"/>
    <cellStyle name="Normal 6 2 3 5 3 2 6" xfId="29453" xr:uid="{00000000-0005-0000-0000-000000A10000}"/>
    <cellStyle name="Normal 6 2 3 5 3 2 7" xfId="29454" xr:uid="{00000000-0005-0000-0000-000001A10000}"/>
    <cellStyle name="Normal 6 2 3 5 3 3" xfId="29455" xr:uid="{00000000-0005-0000-0000-000002A10000}"/>
    <cellStyle name="Normal 6 2 3 5 3 3 2" xfId="29456" xr:uid="{00000000-0005-0000-0000-000003A10000}"/>
    <cellStyle name="Normal 6 2 3 5 3 3 2 2" xfId="57784" xr:uid="{00000000-0005-0000-0000-000004A10000}"/>
    <cellStyle name="Normal 6 2 3 5 3 3 2 3" xfId="57785" xr:uid="{00000000-0005-0000-0000-000005A10000}"/>
    <cellStyle name="Normal 6 2 3 5 3 3 3" xfId="29457" xr:uid="{00000000-0005-0000-0000-000006A10000}"/>
    <cellStyle name="Normal 6 2 3 5 3 3 3 2" xfId="57786" xr:uid="{00000000-0005-0000-0000-000007A10000}"/>
    <cellStyle name="Normal 6 2 3 5 3 3 4" xfId="29458" xr:uid="{00000000-0005-0000-0000-000008A10000}"/>
    <cellStyle name="Normal 6 2 3 5 3 3 5" xfId="29459" xr:uid="{00000000-0005-0000-0000-000009A10000}"/>
    <cellStyle name="Normal 6 2 3 5 3 3 6" xfId="29460" xr:uid="{00000000-0005-0000-0000-00000AA10000}"/>
    <cellStyle name="Normal 6 2 3 5 3 4" xfId="29461" xr:uid="{00000000-0005-0000-0000-00000BA10000}"/>
    <cellStyle name="Normal 6 2 3 5 3 4 2" xfId="57787" xr:uid="{00000000-0005-0000-0000-00000CA10000}"/>
    <cellStyle name="Normal 6 2 3 5 3 4 3" xfId="57788" xr:uid="{00000000-0005-0000-0000-00000DA10000}"/>
    <cellStyle name="Normal 6 2 3 5 3 5" xfId="29462" xr:uid="{00000000-0005-0000-0000-00000EA10000}"/>
    <cellStyle name="Normal 6 2 3 5 3 5 2" xfId="57789" xr:uid="{00000000-0005-0000-0000-00000FA10000}"/>
    <cellStyle name="Normal 6 2 3 5 3 6" xfId="29463" xr:uid="{00000000-0005-0000-0000-000010A10000}"/>
    <cellStyle name="Normal 6 2 3 5 3 7" xfId="29464" xr:uid="{00000000-0005-0000-0000-000011A10000}"/>
    <cellStyle name="Normal 6 2 3 5 3 8" xfId="29465" xr:uid="{00000000-0005-0000-0000-000012A10000}"/>
    <cellStyle name="Normal 6 2 3 5 4" xfId="29466" xr:uid="{00000000-0005-0000-0000-000013A10000}"/>
    <cellStyle name="Normal 6 2 3 5 4 2" xfId="29467" xr:uid="{00000000-0005-0000-0000-000014A10000}"/>
    <cellStyle name="Normal 6 2 3 5 4 2 2" xfId="29468" xr:uid="{00000000-0005-0000-0000-000015A10000}"/>
    <cellStyle name="Normal 6 2 3 5 4 2 2 2" xfId="57790" xr:uid="{00000000-0005-0000-0000-000016A10000}"/>
    <cellStyle name="Normal 6 2 3 5 4 2 2 3" xfId="57791" xr:uid="{00000000-0005-0000-0000-000017A10000}"/>
    <cellStyle name="Normal 6 2 3 5 4 2 3" xfId="29469" xr:uid="{00000000-0005-0000-0000-000018A10000}"/>
    <cellStyle name="Normal 6 2 3 5 4 2 3 2" xfId="57792" xr:uid="{00000000-0005-0000-0000-000019A10000}"/>
    <cellStyle name="Normal 6 2 3 5 4 2 4" xfId="29470" xr:uid="{00000000-0005-0000-0000-00001AA10000}"/>
    <cellStyle name="Normal 6 2 3 5 4 2 5" xfId="29471" xr:uid="{00000000-0005-0000-0000-00001BA10000}"/>
    <cellStyle name="Normal 6 2 3 5 4 2 6" xfId="29472" xr:uid="{00000000-0005-0000-0000-00001CA10000}"/>
    <cellStyle name="Normal 6 2 3 5 4 3" xfId="29473" xr:uid="{00000000-0005-0000-0000-00001DA10000}"/>
    <cellStyle name="Normal 6 2 3 5 4 3 2" xfId="57793" xr:uid="{00000000-0005-0000-0000-00001EA10000}"/>
    <cellStyle name="Normal 6 2 3 5 4 3 3" xfId="57794" xr:uid="{00000000-0005-0000-0000-00001FA10000}"/>
    <cellStyle name="Normal 6 2 3 5 4 4" xfId="29474" xr:uid="{00000000-0005-0000-0000-000020A10000}"/>
    <cellStyle name="Normal 6 2 3 5 4 4 2" xfId="57795" xr:uid="{00000000-0005-0000-0000-000021A10000}"/>
    <cellStyle name="Normal 6 2 3 5 4 5" xfId="29475" xr:uid="{00000000-0005-0000-0000-000022A10000}"/>
    <cellStyle name="Normal 6 2 3 5 4 6" xfId="29476" xr:uid="{00000000-0005-0000-0000-000023A10000}"/>
    <cellStyle name="Normal 6 2 3 5 4 7" xfId="29477" xr:uid="{00000000-0005-0000-0000-000024A10000}"/>
    <cellStyle name="Normal 6 2 3 5 5" xfId="29478" xr:uid="{00000000-0005-0000-0000-000025A10000}"/>
    <cellStyle name="Normal 6 2 3 5 5 2" xfId="29479" xr:uid="{00000000-0005-0000-0000-000026A10000}"/>
    <cellStyle name="Normal 6 2 3 5 5 2 2" xfId="57796" xr:uid="{00000000-0005-0000-0000-000027A10000}"/>
    <cellStyle name="Normal 6 2 3 5 5 2 3" xfId="57797" xr:uid="{00000000-0005-0000-0000-000028A10000}"/>
    <cellStyle name="Normal 6 2 3 5 5 3" xfId="29480" xr:uid="{00000000-0005-0000-0000-000029A10000}"/>
    <cellStyle name="Normal 6 2 3 5 5 3 2" xfId="57798" xr:uid="{00000000-0005-0000-0000-00002AA10000}"/>
    <cellStyle name="Normal 6 2 3 5 5 4" xfId="29481" xr:uid="{00000000-0005-0000-0000-00002BA10000}"/>
    <cellStyle name="Normal 6 2 3 5 5 5" xfId="29482" xr:uid="{00000000-0005-0000-0000-00002CA10000}"/>
    <cellStyle name="Normal 6 2 3 5 5 6" xfId="29483" xr:uid="{00000000-0005-0000-0000-00002DA10000}"/>
    <cellStyle name="Normal 6 2 3 5 6" xfId="29484" xr:uid="{00000000-0005-0000-0000-00002EA10000}"/>
    <cellStyle name="Normal 6 2 3 5 6 2" xfId="57799" xr:uid="{00000000-0005-0000-0000-00002FA10000}"/>
    <cellStyle name="Normal 6 2 3 5 6 3" xfId="57800" xr:uid="{00000000-0005-0000-0000-000030A10000}"/>
    <cellStyle name="Normal 6 2 3 5 7" xfId="29485" xr:uid="{00000000-0005-0000-0000-000031A10000}"/>
    <cellStyle name="Normal 6 2 3 5 7 2" xfId="57801" xr:uid="{00000000-0005-0000-0000-000032A10000}"/>
    <cellStyle name="Normal 6 2 3 5 8" xfId="29486" xr:uid="{00000000-0005-0000-0000-000033A10000}"/>
    <cellStyle name="Normal 6 2 3 5 9" xfId="29487" xr:uid="{00000000-0005-0000-0000-000034A10000}"/>
    <cellStyle name="Normal 6 2 3 6" xfId="29488" xr:uid="{00000000-0005-0000-0000-000035A10000}"/>
    <cellStyle name="Normal 6 2 3 6 10" xfId="29489" xr:uid="{00000000-0005-0000-0000-000036A10000}"/>
    <cellStyle name="Normal 6 2 3 6 11" xfId="29490" xr:uid="{00000000-0005-0000-0000-000037A10000}"/>
    <cellStyle name="Normal 6 2 3 6 12" xfId="29491" xr:uid="{00000000-0005-0000-0000-000038A10000}"/>
    <cellStyle name="Normal 6 2 3 6 13" xfId="29492" xr:uid="{00000000-0005-0000-0000-000039A10000}"/>
    <cellStyle name="Normal 6 2 3 6 2" xfId="29493" xr:uid="{00000000-0005-0000-0000-00003AA10000}"/>
    <cellStyle name="Normal 6 2 3 6 2 2" xfId="29494" xr:uid="{00000000-0005-0000-0000-00003BA10000}"/>
    <cellStyle name="Normal 6 2 3 6 2 2 2" xfId="29495" xr:uid="{00000000-0005-0000-0000-00003CA10000}"/>
    <cellStyle name="Normal 6 2 3 6 2 2 2 2" xfId="29496" xr:uid="{00000000-0005-0000-0000-00003DA10000}"/>
    <cellStyle name="Normal 6 2 3 6 2 2 2 2 2" xfId="57802" xr:uid="{00000000-0005-0000-0000-00003EA10000}"/>
    <cellStyle name="Normal 6 2 3 6 2 2 2 2 3" xfId="57803" xr:uid="{00000000-0005-0000-0000-00003FA10000}"/>
    <cellStyle name="Normal 6 2 3 6 2 2 2 3" xfId="29497" xr:uid="{00000000-0005-0000-0000-000040A10000}"/>
    <cellStyle name="Normal 6 2 3 6 2 2 2 3 2" xfId="57804" xr:uid="{00000000-0005-0000-0000-000041A10000}"/>
    <cellStyle name="Normal 6 2 3 6 2 2 2 4" xfId="29498" xr:uid="{00000000-0005-0000-0000-000042A10000}"/>
    <cellStyle name="Normal 6 2 3 6 2 2 2 5" xfId="29499" xr:uid="{00000000-0005-0000-0000-000043A10000}"/>
    <cellStyle name="Normal 6 2 3 6 2 2 2 6" xfId="29500" xr:uid="{00000000-0005-0000-0000-000044A10000}"/>
    <cellStyle name="Normal 6 2 3 6 2 2 3" xfId="29501" xr:uid="{00000000-0005-0000-0000-000045A10000}"/>
    <cellStyle name="Normal 6 2 3 6 2 2 3 2" xfId="57805" xr:uid="{00000000-0005-0000-0000-000046A10000}"/>
    <cellStyle name="Normal 6 2 3 6 2 2 3 3" xfId="57806" xr:uid="{00000000-0005-0000-0000-000047A10000}"/>
    <cellStyle name="Normal 6 2 3 6 2 2 4" xfId="29502" xr:uid="{00000000-0005-0000-0000-000048A10000}"/>
    <cellStyle name="Normal 6 2 3 6 2 2 4 2" xfId="57807" xr:uid="{00000000-0005-0000-0000-000049A10000}"/>
    <cellStyle name="Normal 6 2 3 6 2 2 5" xfId="29503" xr:uid="{00000000-0005-0000-0000-00004AA10000}"/>
    <cellStyle name="Normal 6 2 3 6 2 2 6" xfId="29504" xr:uid="{00000000-0005-0000-0000-00004BA10000}"/>
    <cellStyle name="Normal 6 2 3 6 2 2 7" xfId="29505" xr:uid="{00000000-0005-0000-0000-00004CA10000}"/>
    <cellStyle name="Normal 6 2 3 6 2 3" xfId="29506" xr:uid="{00000000-0005-0000-0000-00004DA10000}"/>
    <cellStyle name="Normal 6 2 3 6 2 3 2" xfId="29507" xr:uid="{00000000-0005-0000-0000-00004EA10000}"/>
    <cellStyle name="Normal 6 2 3 6 2 3 2 2" xfId="57808" xr:uid="{00000000-0005-0000-0000-00004FA10000}"/>
    <cellStyle name="Normal 6 2 3 6 2 3 2 3" xfId="57809" xr:uid="{00000000-0005-0000-0000-000050A10000}"/>
    <cellStyle name="Normal 6 2 3 6 2 3 3" xfId="29508" xr:uid="{00000000-0005-0000-0000-000051A10000}"/>
    <cellStyle name="Normal 6 2 3 6 2 3 3 2" xfId="57810" xr:uid="{00000000-0005-0000-0000-000052A10000}"/>
    <cellStyle name="Normal 6 2 3 6 2 3 4" xfId="29509" xr:uid="{00000000-0005-0000-0000-000053A10000}"/>
    <cellStyle name="Normal 6 2 3 6 2 3 5" xfId="29510" xr:uid="{00000000-0005-0000-0000-000054A10000}"/>
    <cellStyle name="Normal 6 2 3 6 2 3 6" xfId="29511" xr:uid="{00000000-0005-0000-0000-000055A10000}"/>
    <cellStyle name="Normal 6 2 3 6 2 4" xfId="29512" xr:uid="{00000000-0005-0000-0000-000056A10000}"/>
    <cellStyle name="Normal 6 2 3 6 2 4 2" xfId="57811" xr:uid="{00000000-0005-0000-0000-000057A10000}"/>
    <cellStyle name="Normal 6 2 3 6 2 4 3" xfId="57812" xr:uid="{00000000-0005-0000-0000-000058A10000}"/>
    <cellStyle name="Normal 6 2 3 6 2 5" xfId="29513" xr:uid="{00000000-0005-0000-0000-000059A10000}"/>
    <cellStyle name="Normal 6 2 3 6 2 5 2" xfId="57813" xr:uid="{00000000-0005-0000-0000-00005AA10000}"/>
    <cellStyle name="Normal 6 2 3 6 2 6" xfId="29514" xr:uid="{00000000-0005-0000-0000-00005BA10000}"/>
    <cellStyle name="Normal 6 2 3 6 2 7" xfId="29515" xr:uid="{00000000-0005-0000-0000-00005CA10000}"/>
    <cellStyle name="Normal 6 2 3 6 2 8" xfId="29516" xr:uid="{00000000-0005-0000-0000-00005DA10000}"/>
    <cellStyle name="Normal 6 2 3 6 2 9" xfId="29517" xr:uid="{00000000-0005-0000-0000-00005EA10000}"/>
    <cellStyle name="Normal 6 2 3 6 3" xfId="29518" xr:uid="{00000000-0005-0000-0000-00005FA10000}"/>
    <cellStyle name="Normal 6 2 3 6 3 2" xfId="29519" xr:uid="{00000000-0005-0000-0000-000060A10000}"/>
    <cellStyle name="Normal 6 2 3 6 3 2 2" xfId="29520" xr:uid="{00000000-0005-0000-0000-000061A10000}"/>
    <cellStyle name="Normal 6 2 3 6 3 2 2 2" xfId="57814" xr:uid="{00000000-0005-0000-0000-000062A10000}"/>
    <cellStyle name="Normal 6 2 3 6 3 2 2 3" xfId="57815" xr:uid="{00000000-0005-0000-0000-000063A10000}"/>
    <cellStyle name="Normal 6 2 3 6 3 2 3" xfId="29521" xr:uid="{00000000-0005-0000-0000-000064A10000}"/>
    <cellStyle name="Normal 6 2 3 6 3 2 3 2" xfId="57816" xr:uid="{00000000-0005-0000-0000-000065A10000}"/>
    <cellStyle name="Normal 6 2 3 6 3 2 4" xfId="29522" xr:uid="{00000000-0005-0000-0000-000066A10000}"/>
    <cellStyle name="Normal 6 2 3 6 3 2 5" xfId="29523" xr:uid="{00000000-0005-0000-0000-000067A10000}"/>
    <cellStyle name="Normal 6 2 3 6 3 2 6" xfId="29524" xr:uid="{00000000-0005-0000-0000-000068A10000}"/>
    <cellStyle name="Normal 6 2 3 6 3 3" xfId="29525" xr:uid="{00000000-0005-0000-0000-000069A10000}"/>
    <cellStyle name="Normal 6 2 3 6 3 3 2" xfId="57817" xr:uid="{00000000-0005-0000-0000-00006AA10000}"/>
    <cellStyle name="Normal 6 2 3 6 3 3 3" xfId="57818" xr:uid="{00000000-0005-0000-0000-00006BA10000}"/>
    <cellStyle name="Normal 6 2 3 6 3 4" xfId="29526" xr:uid="{00000000-0005-0000-0000-00006CA10000}"/>
    <cellStyle name="Normal 6 2 3 6 3 4 2" xfId="57819" xr:uid="{00000000-0005-0000-0000-00006DA10000}"/>
    <cellStyle name="Normal 6 2 3 6 3 5" xfId="29527" xr:uid="{00000000-0005-0000-0000-00006EA10000}"/>
    <cellStyle name="Normal 6 2 3 6 3 6" xfId="29528" xr:uid="{00000000-0005-0000-0000-00006FA10000}"/>
    <cellStyle name="Normal 6 2 3 6 3 7" xfId="29529" xr:uid="{00000000-0005-0000-0000-000070A10000}"/>
    <cellStyle name="Normal 6 2 3 6 4" xfId="29530" xr:uid="{00000000-0005-0000-0000-000071A10000}"/>
    <cellStyle name="Normal 6 2 3 6 4 2" xfId="29531" xr:uid="{00000000-0005-0000-0000-000072A10000}"/>
    <cellStyle name="Normal 6 2 3 6 4 2 2" xfId="57820" xr:uid="{00000000-0005-0000-0000-000073A10000}"/>
    <cellStyle name="Normal 6 2 3 6 4 2 3" xfId="57821" xr:uid="{00000000-0005-0000-0000-000074A10000}"/>
    <cellStyle name="Normal 6 2 3 6 4 3" xfId="29532" xr:uid="{00000000-0005-0000-0000-000075A10000}"/>
    <cellStyle name="Normal 6 2 3 6 4 3 2" xfId="57822" xr:uid="{00000000-0005-0000-0000-000076A10000}"/>
    <cellStyle name="Normal 6 2 3 6 4 4" xfId="29533" xr:uid="{00000000-0005-0000-0000-000077A10000}"/>
    <cellStyle name="Normal 6 2 3 6 4 5" xfId="29534" xr:uid="{00000000-0005-0000-0000-000078A10000}"/>
    <cellStyle name="Normal 6 2 3 6 4 6" xfId="29535" xr:uid="{00000000-0005-0000-0000-000079A10000}"/>
    <cellStyle name="Normal 6 2 3 6 5" xfId="29536" xr:uid="{00000000-0005-0000-0000-00007AA10000}"/>
    <cellStyle name="Normal 6 2 3 6 5 2" xfId="57823" xr:uid="{00000000-0005-0000-0000-00007BA10000}"/>
    <cellStyle name="Normal 6 2 3 6 5 3" xfId="57824" xr:uid="{00000000-0005-0000-0000-00007CA10000}"/>
    <cellStyle name="Normal 6 2 3 6 6" xfId="29537" xr:uid="{00000000-0005-0000-0000-00007DA10000}"/>
    <cellStyle name="Normal 6 2 3 6 6 2" xfId="57825" xr:uid="{00000000-0005-0000-0000-00007EA10000}"/>
    <cellStyle name="Normal 6 2 3 6 7" xfId="29538" xr:uid="{00000000-0005-0000-0000-00007FA10000}"/>
    <cellStyle name="Normal 6 2 3 6 8" xfId="29539" xr:uid="{00000000-0005-0000-0000-000080A10000}"/>
    <cellStyle name="Normal 6 2 3 6 9" xfId="29540" xr:uid="{00000000-0005-0000-0000-000081A10000}"/>
    <cellStyle name="Normal 6 2 3 7" xfId="29541" xr:uid="{00000000-0005-0000-0000-000082A10000}"/>
    <cellStyle name="Normal 6 2 3 7 2" xfId="29542" xr:uid="{00000000-0005-0000-0000-000083A10000}"/>
    <cellStyle name="Normal 6 2 3 7 2 2" xfId="29543" xr:uid="{00000000-0005-0000-0000-000084A10000}"/>
    <cellStyle name="Normal 6 2 3 7 2 2 2" xfId="29544" xr:uid="{00000000-0005-0000-0000-000085A10000}"/>
    <cellStyle name="Normal 6 2 3 7 2 2 2 2" xfId="57826" xr:uid="{00000000-0005-0000-0000-000086A10000}"/>
    <cellStyle name="Normal 6 2 3 7 2 2 2 3" xfId="57827" xr:uid="{00000000-0005-0000-0000-000087A10000}"/>
    <cellStyle name="Normal 6 2 3 7 2 2 3" xfId="29545" xr:uid="{00000000-0005-0000-0000-000088A10000}"/>
    <cellStyle name="Normal 6 2 3 7 2 2 3 2" xfId="57828" xr:uid="{00000000-0005-0000-0000-000089A10000}"/>
    <cellStyle name="Normal 6 2 3 7 2 2 4" xfId="29546" xr:uid="{00000000-0005-0000-0000-00008AA10000}"/>
    <cellStyle name="Normal 6 2 3 7 2 2 5" xfId="29547" xr:uid="{00000000-0005-0000-0000-00008BA10000}"/>
    <cellStyle name="Normal 6 2 3 7 2 2 6" xfId="29548" xr:uid="{00000000-0005-0000-0000-00008CA10000}"/>
    <cellStyle name="Normal 6 2 3 7 2 3" xfId="29549" xr:uid="{00000000-0005-0000-0000-00008DA10000}"/>
    <cellStyle name="Normal 6 2 3 7 2 3 2" xfId="57829" xr:uid="{00000000-0005-0000-0000-00008EA10000}"/>
    <cellStyle name="Normal 6 2 3 7 2 3 3" xfId="57830" xr:uid="{00000000-0005-0000-0000-00008FA10000}"/>
    <cellStyle name="Normal 6 2 3 7 2 4" xfId="29550" xr:uid="{00000000-0005-0000-0000-000090A10000}"/>
    <cellStyle name="Normal 6 2 3 7 2 4 2" xfId="57831" xr:uid="{00000000-0005-0000-0000-000091A10000}"/>
    <cellStyle name="Normal 6 2 3 7 2 5" xfId="29551" xr:uid="{00000000-0005-0000-0000-000092A10000}"/>
    <cellStyle name="Normal 6 2 3 7 2 6" xfId="29552" xr:uid="{00000000-0005-0000-0000-000093A10000}"/>
    <cellStyle name="Normal 6 2 3 7 2 7" xfId="29553" xr:uid="{00000000-0005-0000-0000-000094A10000}"/>
    <cellStyle name="Normal 6 2 3 7 3" xfId="29554" xr:uid="{00000000-0005-0000-0000-000095A10000}"/>
    <cellStyle name="Normal 6 2 3 7 3 2" xfId="29555" xr:uid="{00000000-0005-0000-0000-000096A10000}"/>
    <cellStyle name="Normal 6 2 3 7 3 2 2" xfId="57832" xr:uid="{00000000-0005-0000-0000-000097A10000}"/>
    <cellStyle name="Normal 6 2 3 7 3 2 3" xfId="57833" xr:uid="{00000000-0005-0000-0000-000098A10000}"/>
    <cellStyle name="Normal 6 2 3 7 3 3" xfId="29556" xr:uid="{00000000-0005-0000-0000-000099A10000}"/>
    <cellStyle name="Normal 6 2 3 7 3 3 2" xfId="57834" xr:uid="{00000000-0005-0000-0000-00009AA10000}"/>
    <cellStyle name="Normal 6 2 3 7 3 4" xfId="29557" xr:uid="{00000000-0005-0000-0000-00009BA10000}"/>
    <cellStyle name="Normal 6 2 3 7 3 5" xfId="29558" xr:uid="{00000000-0005-0000-0000-00009CA10000}"/>
    <cellStyle name="Normal 6 2 3 7 3 6" xfId="29559" xr:uid="{00000000-0005-0000-0000-00009DA10000}"/>
    <cellStyle name="Normal 6 2 3 7 4" xfId="29560" xr:uid="{00000000-0005-0000-0000-00009EA10000}"/>
    <cellStyle name="Normal 6 2 3 7 4 2" xfId="57835" xr:uid="{00000000-0005-0000-0000-00009FA10000}"/>
    <cellStyle name="Normal 6 2 3 7 4 3" xfId="57836" xr:uid="{00000000-0005-0000-0000-0000A0A10000}"/>
    <cellStyle name="Normal 6 2 3 7 5" xfId="29561" xr:uid="{00000000-0005-0000-0000-0000A1A10000}"/>
    <cellStyle name="Normal 6 2 3 7 5 2" xfId="57837" xr:uid="{00000000-0005-0000-0000-0000A2A10000}"/>
    <cellStyle name="Normal 6 2 3 7 6" xfId="29562" xr:uid="{00000000-0005-0000-0000-0000A3A10000}"/>
    <cellStyle name="Normal 6 2 3 7 7" xfId="29563" xr:uid="{00000000-0005-0000-0000-0000A4A10000}"/>
    <cellStyle name="Normal 6 2 3 7 8" xfId="29564" xr:uid="{00000000-0005-0000-0000-0000A5A10000}"/>
    <cellStyle name="Normal 6 2 3 7 9" xfId="29565" xr:uid="{00000000-0005-0000-0000-0000A6A10000}"/>
    <cellStyle name="Normal 6 2 3 8" xfId="29566" xr:uid="{00000000-0005-0000-0000-0000A7A10000}"/>
    <cellStyle name="Normal 6 2 3 8 2" xfId="29567" xr:uid="{00000000-0005-0000-0000-0000A8A10000}"/>
    <cellStyle name="Normal 6 2 3 8 2 2" xfId="29568" xr:uid="{00000000-0005-0000-0000-0000A9A10000}"/>
    <cellStyle name="Normal 6 2 3 8 2 2 2" xfId="29569" xr:uid="{00000000-0005-0000-0000-0000AAA10000}"/>
    <cellStyle name="Normal 6 2 3 8 2 2 2 2" xfId="57838" xr:uid="{00000000-0005-0000-0000-0000ABA10000}"/>
    <cellStyle name="Normal 6 2 3 8 2 2 2 3" xfId="57839" xr:uid="{00000000-0005-0000-0000-0000ACA10000}"/>
    <cellStyle name="Normal 6 2 3 8 2 2 3" xfId="29570" xr:uid="{00000000-0005-0000-0000-0000ADA10000}"/>
    <cellStyle name="Normal 6 2 3 8 2 2 3 2" xfId="57840" xr:uid="{00000000-0005-0000-0000-0000AEA10000}"/>
    <cellStyle name="Normal 6 2 3 8 2 2 4" xfId="29571" xr:uid="{00000000-0005-0000-0000-0000AFA10000}"/>
    <cellStyle name="Normal 6 2 3 8 2 2 5" xfId="29572" xr:uid="{00000000-0005-0000-0000-0000B0A10000}"/>
    <cellStyle name="Normal 6 2 3 8 2 2 6" xfId="29573" xr:uid="{00000000-0005-0000-0000-0000B1A10000}"/>
    <cellStyle name="Normal 6 2 3 8 2 3" xfId="29574" xr:uid="{00000000-0005-0000-0000-0000B2A10000}"/>
    <cellStyle name="Normal 6 2 3 8 2 3 2" xfId="57841" xr:uid="{00000000-0005-0000-0000-0000B3A10000}"/>
    <cellStyle name="Normal 6 2 3 8 2 3 3" xfId="57842" xr:uid="{00000000-0005-0000-0000-0000B4A10000}"/>
    <cellStyle name="Normal 6 2 3 8 2 4" xfId="29575" xr:uid="{00000000-0005-0000-0000-0000B5A10000}"/>
    <cellStyle name="Normal 6 2 3 8 2 4 2" xfId="57843" xr:uid="{00000000-0005-0000-0000-0000B6A10000}"/>
    <cellStyle name="Normal 6 2 3 8 2 5" xfId="29576" xr:uid="{00000000-0005-0000-0000-0000B7A10000}"/>
    <cellStyle name="Normal 6 2 3 8 2 6" xfId="29577" xr:uid="{00000000-0005-0000-0000-0000B8A10000}"/>
    <cellStyle name="Normal 6 2 3 8 2 7" xfId="29578" xr:uid="{00000000-0005-0000-0000-0000B9A10000}"/>
    <cellStyle name="Normal 6 2 3 8 3" xfId="29579" xr:uid="{00000000-0005-0000-0000-0000BAA10000}"/>
    <cellStyle name="Normal 6 2 3 8 3 2" xfId="29580" xr:uid="{00000000-0005-0000-0000-0000BBA10000}"/>
    <cellStyle name="Normal 6 2 3 8 3 2 2" xfId="57844" xr:uid="{00000000-0005-0000-0000-0000BCA10000}"/>
    <cellStyle name="Normal 6 2 3 8 3 2 3" xfId="57845" xr:uid="{00000000-0005-0000-0000-0000BDA10000}"/>
    <cellStyle name="Normal 6 2 3 8 3 3" xfId="29581" xr:uid="{00000000-0005-0000-0000-0000BEA10000}"/>
    <cellStyle name="Normal 6 2 3 8 3 3 2" xfId="57846" xr:uid="{00000000-0005-0000-0000-0000BFA10000}"/>
    <cellStyle name="Normal 6 2 3 8 3 4" xfId="29582" xr:uid="{00000000-0005-0000-0000-0000C0A10000}"/>
    <cellStyle name="Normal 6 2 3 8 3 5" xfId="29583" xr:uid="{00000000-0005-0000-0000-0000C1A10000}"/>
    <cellStyle name="Normal 6 2 3 8 3 6" xfId="29584" xr:uid="{00000000-0005-0000-0000-0000C2A10000}"/>
    <cellStyle name="Normal 6 2 3 8 4" xfId="29585" xr:uid="{00000000-0005-0000-0000-0000C3A10000}"/>
    <cellStyle name="Normal 6 2 3 8 4 2" xfId="57847" xr:uid="{00000000-0005-0000-0000-0000C4A10000}"/>
    <cellStyle name="Normal 6 2 3 8 4 3" xfId="57848" xr:uid="{00000000-0005-0000-0000-0000C5A10000}"/>
    <cellStyle name="Normal 6 2 3 8 5" xfId="29586" xr:uid="{00000000-0005-0000-0000-0000C6A10000}"/>
    <cellStyle name="Normal 6 2 3 8 5 2" xfId="57849" xr:uid="{00000000-0005-0000-0000-0000C7A10000}"/>
    <cellStyle name="Normal 6 2 3 8 6" xfId="29587" xr:uid="{00000000-0005-0000-0000-0000C8A10000}"/>
    <cellStyle name="Normal 6 2 3 8 7" xfId="29588" xr:uid="{00000000-0005-0000-0000-0000C9A10000}"/>
    <cellStyle name="Normal 6 2 3 8 8" xfId="29589" xr:uid="{00000000-0005-0000-0000-0000CAA10000}"/>
    <cellStyle name="Normal 6 2 3 9" xfId="29590" xr:uid="{00000000-0005-0000-0000-0000CBA10000}"/>
    <cellStyle name="Normal 6 2 3 9 2" xfId="29591" xr:uid="{00000000-0005-0000-0000-0000CCA10000}"/>
    <cellStyle name="Normal 6 2 3 9 2 2" xfId="29592" xr:uid="{00000000-0005-0000-0000-0000CDA10000}"/>
    <cellStyle name="Normal 6 2 3 9 2 2 2" xfId="29593" xr:uid="{00000000-0005-0000-0000-0000CEA10000}"/>
    <cellStyle name="Normal 6 2 3 9 2 2 2 2" xfId="57850" xr:uid="{00000000-0005-0000-0000-0000CFA10000}"/>
    <cellStyle name="Normal 6 2 3 9 2 2 2 3" xfId="57851" xr:uid="{00000000-0005-0000-0000-0000D0A10000}"/>
    <cellStyle name="Normal 6 2 3 9 2 2 3" xfId="29594" xr:uid="{00000000-0005-0000-0000-0000D1A10000}"/>
    <cellStyle name="Normal 6 2 3 9 2 2 3 2" xfId="57852" xr:uid="{00000000-0005-0000-0000-0000D2A10000}"/>
    <cellStyle name="Normal 6 2 3 9 2 2 4" xfId="29595" xr:uid="{00000000-0005-0000-0000-0000D3A10000}"/>
    <cellStyle name="Normal 6 2 3 9 2 2 5" xfId="29596" xr:uid="{00000000-0005-0000-0000-0000D4A10000}"/>
    <cellStyle name="Normal 6 2 3 9 2 2 6" xfId="29597" xr:uid="{00000000-0005-0000-0000-0000D5A10000}"/>
    <cellStyle name="Normal 6 2 3 9 2 3" xfId="29598" xr:uid="{00000000-0005-0000-0000-0000D6A10000}"/>
    <cellStyle name="Normal 6 2 3 9 2 3 2" xfId="57853" xr:uid="{00000000-0005-0000-0000-0000D7A10000}"/>
    <cellStyle name="Normal 6 2 3 9 2 3 3" xfId="57854" xr:uid="{00000000-0005-0000-0000-0000D8A10000}"/>
    <cellStyle name="Normal 6 2 3 9 2 4" xfId="29599" xr:uid="{00000000-0005-0000-0000-0000D9A10000}"/>
    <cellStyle name="Normal 6 2 3 9 2 4 2" xfId="57855" xr:uid="{00000000-0005-0000-0000-0000DAA10000}"/>
    <cellStyle name="Normal 6 2 3 9 2 5" xfId="29600" xr:uid="{00000000-0005-0000-0000-0000DBA10000}"/>
    <cellStyle name="Normal 6 2 3 9 2 6" xfId="29601" xr:uid="{00000000-0005-0000-0000-0000DCA10000}"/>
    <cellStyle name="Normal 6 2 3 9 2 7" xfId="29602" xr:uid="{00000000-0005-0000-0000-0000DDA10000}"/>
    <cellStyle name="Normal 6 2 3 9 3" xfId="29603" xr:uid="{00000000-0005-0000-0000-0000DEA10000}"/>
    <cellStyle name="Normal 6 2 3 9 3 2" xfId="29604" xr:uid="{00000000-0005-0000-0000-0000DFA10000}"/>
    <cellStyle name="Normal 6 2 3 9 3 2 2" xfId="57856" xr:uid="{00000000-0005-0000-0000-0000E0A10000}"/>
    <cellStyle name="Normal 6 2 3 9 3 2 3" xfId="57857" xr:uid="{00000000-0005-0000-0000-0000E1A10000}"/>
    <cellStyle name="Normal 6 2 3 9 3 3" xfId="29605" xr:uid="{00000000-0005-0000-0000-0000E2A10000}"/>
    <cellStyle name="Normal 6 2 3 9 3 3 2" xfId="57858" xr:uid="{00000000-0005-0000-0000-0000E3A10000}"/>
    <cellStyle name="Normal 6 2 3 9 3 4" xfId="29606" xr:uid="{00000000-0005-0000-0000-0000E4A10000}"/>
    <cellStyle name="Normal 6 2 3 9 3 5" xfId="29607" xr:uid="{00000000-0005-0000-0000-0000E5A10000}"/>
    <cellStyle name="Normal 6 2 3 9 3 6" xfId="29608" xr:uid="{00000000-0005-0000-0000-0000E6A10000}"/>
    <cellStyle name="Normal 6 2 3 9 4" xfId="29609" xr:uid="{00000000-0005-0000-0000-0000E7A10000}"/>
    <cellStyle name="Normal 6 2 3 9 4 2" xfId="57859" xr:uid="{00000000-0005-0000-0000-0000E8A10000}"/>
    <cellStyle name="Normal 6 2 3 9 4 3" xfId="57860" xr:uid="{00000000-0005-0000-0000-0000E9A10000}"/>
    <cellStyle name="Normal 6 2 3 9 5" xfId="29610" xr:uid="{00000000-0005-0000-0000-0000EAA10000}"/>
    <cellStyle name="Normal 6 2 3 9 5 2" xfId="57861" xr:uid="{00000000-0005-0000-0000-0000EBA10000}"/>
    <cellStyle name="Normal 6 2 3 9 6" xfId="29611" xr:uid="{00000000-0005-0000-0000-0000ECA10000}"/>
    <cellStyle name="Normal 6 2 3 9 7" xfId="29612" xr:uid="{00000000-0005-0000-0000-0000EDA10000}"/>
    <cellStyle name="Normal 6 2 3 9 8" xfId="29613" xr:uid="{00000000-0005-0000-0000-0000EEA10000}"/>
    <cellStyle name="Normal 6 2 4" xfId="29614" xr:uid="{00000000-0005-0000-0000-0000EFA10000}"/>
    <cellStyle name="Normal 6 2 4 10" xfId="29615" xr:uid="{00000000-0005-0000-0000-0000F0A10000}"/>
    <cellStyle name="Normal 6 2 4 11" xfId="29616" xr:uid="{00000000-0005-0000-0000-0000F1A10000}"/>
    <cellStyle name="Normal 6 2 4 12" xfId="29617" xr:uid="{00000000-0005-0000-0000-0000F2A10000}"/>
    <cellStyle name="Normal 6 2 4 13" xfId="29618" xr:uid="{00000000-0005-0000-0000-0000F3A10000}"/>
    <cellStyle name="Normal 6 2 4 14" xfId="29619" xr:uid="{00000000-0005-0000-0000-0000F4A10000}"/>
    <cellStyle name="Normal 6 2 4 15" xfId="29620" xr:uid="{00000000-0005-0000-0000-0000F5A10000}"/>
    <cellStyle name="Normal 6 2 4 2" xfId="29621" xr:uid="{00000000-0005-0000-0000-0000F6A10000}"/>
    <cellStyle name="Normal 6 2 4 2 10" xfId="29622" xr:uid="{00000000-0005-0000-0000-0000F7A10000}"/>
    <cellStyle name="Normal 6 2 4 2 11" xfId="29623" xr:uid="{00000000-0005-0000-0000-0000F8A10000}"/>
    <cellStyle name="Normal 6 2 4 2 12" xfId="29624" xr:uid="{00000000-0005-0000-0000-0000F9A10000}"/>
    <cellStyle name="Normal 6 2 4 2 13" xfId="29625" xr:uid="{00000000-0005-0000-0000-0000FAA10000}"/>
    <cellStyle name="Normal 6 2 4 2 14" xfId="29626" xr:uid="{00000000-0005-0000-0000-0000FBA10000}"/>
    <cellStyle name="Normal 6 2 4 2 2" xfId="29627" xr:uid="{00000000-0005-0000-0000-0000FCA10000}"/>
    <cellStyle name="Normal 6 2 4 2 2 2" xfId="29628" xr:uid="{00000000-0005-0000-0000-0000FDA10000}"/>
    <cellStyle name="Normal 6 2 4 2 2 2 2" xfId="29629" xr:uid="{00000000-0005-0000-0000-0000FEA10000}"/>
    <cellStyle name="Normal 6 2 4 2 2 2 2 2" xfId="29630" xr:uid="{00000000-0005-0000-0000-0000FFA10000}"/>
    <cellStyle name="Normal 6 2 4 2 2 2 2 2 2" xfId="57862" xr:uid="{00000000-0005-0000-0000-000000A20000}"/>
    <cellStyle name="Normal 6 2 4 2 2 2 2 2 3" xfId="57863" xr:uid="{00000000-0005-0000-0000-000001A20000}"/>
    <cellStyle name="Normal 6 2 4 2 2 2 2 3" xfId="29631" xr:uid="{00000000-0005-0000-0000-000002A20000}"/>
    <cellStyle name="Normal 6 2 4 2 2 2 2 3 2" xfId="57864" xr:uid="{00000000-0005-0000-0000-000003A20000}"/>
    <cellStyle name="Normal 6 2 4 2 2 2 2 4" xfId="29632" xr:uid="{00000000-0005-0000-0000-000004A20000}"/>
    <cellStyle name="Normal 6 2 4 2 2 2 2 5" xfId="29633" xr:uid="{00000000-0005-0000-0000-000005A20000}"/>
    <cellStyle name="Normal 6 2 4 2 2 2 2 6" xfId="29634" xr:uid="{00000000-0005-0000-0000-000006A20000}"/>
    <cellStyle name="Normal 6 2 4 2 2 2 3" xfId="29635" xr:uid="{00000000-0005-0000-0000-000007A20000}"/>
    <cellStyle name="Normal 6 2 4 2 2 2 3 2" xfId="57865" xr:uid="{00000000-0005-0000-0000-000008A20000}"/>
    <cellStyle name="Normal 6 2 4 2 2 2 3 3" xfId="57866" xr:uid="{00000000-0005-0000-0000-000009A20000}"/>
    <cellStyle name="Normal 6 2 4 2 2 2 4" xfId="29636" xr:uid="{00000000-0005-0000-0000-00000AA20000}"/>
    <cellStyle name="Normal 6 2 4 2 2 2 4 2" xfId="57867" xr:uid="{00000000-0005-0000-0000-00000BA20000}"/>
    <cellStyle name="Normal 6 2 4 2 2 2 5" xfId="29637" xr:uid="{00000000-0005-0000-0000-00000CA20000}"/>
    <cellStyle name="Normal 6 2 4 2 2 2 6" xfId="29638" xr:uid="{00000000-0005-0000-0000-00000DA20000}"/>
    <cellStyle name="Normal 6 2 4 2 2 2 7" xfId="29639" xr:uid="{00000000-0005-0000-0000-00000EA20000}"/>
    <cellStyle name="Normal 6 2 4 2 2 3" xfId="29640" xr:uid="{00000000-0005-0000-0000-00000FA20000}"/>
    <cellStyle name="Normal 6 2 4 2 2 3 2" xfId="29641" xr:uid="{00000000-0005-0000-0000-000010A20000}"/>
    <cellStyle name="Normal 6 2 4 2 2 3 2 2" xfId="57868" xr:uid="{00000000-0005-0000-0000-000011A20000}"/>
    <cellStyle name="Normal 6 2 4 2 2 3 2 3" xfId="57869" xr:uid="{00000000-0005-0000-0000-000012A20000}"/>
    <cellStyle name="Normal 6 2 4 2 2 3 3" xfId="29642" xr:uid="{00000000-0005-0000-0000-000013A20000}"/>
    <cellStyle name="Normal 6 2 4 2 2 3 3 2" xfId="57870" xr:uid="{00000000-0005-0000-0000-000014A20000}"/>
    <cellStyle name="Normal 6 2 4 2 2 3 4" xfId="29643" xr:uid="{00000000-0005-0000-0000-000015A20000}"/>
    <cellStyle name="Normal 6 2 4 2 2 3 5" xfId="29644" xr:uid="{00000000-0005-0000-0000-000016A20000}"/>
    <cellStyle name="Normal 6 2 4 2 2 3 6" xfId="29645" xr:uid="{00000000-0005-0000-0000-000017A20000}"/>
    <cellStyle name="Normal 6 2 4 2 2 4" xfId="29646" xr:uid="{00000000-0005-0000-0000-000018A20000}"/>
    <cellStyle name="Normal 6 2 4 2 2 4 2" xfId="57871" xr:uid="{00000000-0005-0000-0000-000019A20000}"/>
    <cellStyle name="Normal 6 2 4 2 2 4 3" xfId="57872" xr:uid="{00000000-0005-0000-0000-00001AA20000}"/>
    <cellStyle name="Normal 6 2 4 2 2 5" xfId="29647" xr:uid="{00000000-0005-0000-0000-00001BA20000}"/>
    <cellStyle name="Normal 6 2 4 2 2 5 2" xfId="57873" xr:uid="{00000000-0005-0000-0000-00001CA20000}"/>
    <cellStyle name="Normal 6 2 4 2 2 6" xfId="29648" xr:uid="{00000000-0005-0000-0000-00001DA20000}"/>
    <cellStyle name="Normal 6 2 4 2 2 7" xfId="29649" xr:uid="{00000000-0005-0000-0000-00001EA20000}"/>
    <cellStyle name="Normal 6 2 4 2 2 8" xfId="29650" xr:uid="{00000000-0005-0000-0000-00001FA20000}"/>
    <cellStyle name="Normal 6 2 4 2 2 9" xfId="29651" xr:uid="{00000000-0005-0000-0000-000020A20000}"/>
    <cellStyle name="Normal 6 2 4 2 3" xfId="29652" xr:uid="{00000000-0005-0000-0000-000021A20000}"/>
    <cellStyle name="Normal 6 2 4 2 3 2" xfId="29653" xr:uid="{00000000-0005-0000-0000-000022A20000}"/>
    <cellStyle name="Normal 6 2 4 2 3 2 2" xfId="29654" xr:uid="{00000000-0005-0000-0000-000023A20000}"/>
    <cellStyle name="Normal 6 2 4 2 3 2 2 2" xfId="29655" xr:uid="{00000000-0005-0000-0000-000024A20000}"/>
    <cellStyle name="Normal 6 2 4 2 3 2 2 2 2" xfId="57874" xr:uid="{00000000-0005-0000-0000-000025A20000}"/>
    <cellStyle name="Normal 6 2 4 2 3 2 2 2 3" xfId="57875" xr:uid="{00000000-0005-0000-0000-000026A20000}"/>
    <cellStyle name="Normal 6 2 4 2 3 2 2 3" xfId="29656" xr:uid="{00000000-0005-0000-0000-000027A20000}"/>
    <cellStyle name="Normal 6 2 4 2 3 2 2 3 2" xfId="57876" xr:uid="{00000000-0005-0000-0000-000028A20000}"/>
    <cellStyle name="Normal 6 2 4 2 3 2 2 4" xfId="29657" xr:uid="{00000000-0005-0000-0000-000029A20000}"/>
    <cellStyle name="Normal 6 2 4 2 3 2 2 5" xfId="29658" xr:uid="{00000000-0005-0000-0000-00002AA20000}"/>
    <cellStyle name="Normal 6 2 4 2 3 2 2 6" xfId="29659" xr:uid="{00000000-0005-0000-0000-00002BA20000}"/>
    <cellStyle name="Normal 6 2 4 2 3 2 3" xfId="29660" xr:uid="{00000000-0005-0000-0000-00002CA20000}"/>
    <cellStyle name="Normal 6 2 4 2 3 2 3 2" xfId="57877" xr:uid="{00000000-0005-0000-0000-00002DA20000}"/>
    <cellStyle name="Normal 6 2 4 2 3 2 3 3" xfId="57878" xr:uid="{00000000-0005-0000-0000-00002EA20000}"/>
    <cellStyle name="Normal 6 2 4 2 3 2 4" xfId="29661" xr:uid="{00000000-0005-0000-0000-00002FA20000}"/>
    <cellStyle name="Normal 6 2 4 2 3 2 4 2" xfId="57879" xr:uid="{00000000-0005-0000-0000-000030A20000}"/>
    <cellStyle name="Normal 6 2 4 2 3 2 5" xfId="29662" xr:uid="{00000000-0005-0000-0000-000031A20000}"/>
    <cellStyle name="Normal 6 2 4 2 3 2 6" xfId="29663" xr:uid="{00000000-0005-0000-0000-000032A20000}"/>
    <cellStyle name="Normal 6 2 4 2 3 2 7" xfId="29664" xr:uid="{00000000-0005-0000-0000-000033A20000}"/>
    <cellStyle name="Normal 6 2 4 2 3 3" xfId="29665" xr:uid="{00000000-0005-0000-0000-000034A20000}"/>
    <cellStyle name="Normal 6 2 4 2 3 3 2" xfId="29666" xr:uid="{00000000-0005-0000-0000-000035A20000}"/>
    <cellStyle name="Normal 6 2 4 2 3 3 2 2" xfId="57880" xr:uid="{00000000-0005-0000-0000-000036A20000}"/>
    <cellStyle name="Normal 6 2 4 2 3 3 2 3" xfId="57881" xr:uid="{00000000-0005-0000-0000-000037A20000}"/>
    <cellStyle name="Normal 6 2 4 2 3 3 3" xfId="29667" xr:uid="{00000000-0005-0000-0000-000038A20000}"/>
    <cellStyle name="Normal 6 2 4 2 3 3 3 2" xfId="57882" xr:uid="{00000000-0005-0000-0000-000039A20000}"/>
    <cellStyle name="Normal 6 2 4 2 3 3 4" xfId="29668" xr:uid="{00000000-0005-0000-0000-00003AA20000}"/>
    <cellStyle name="Normal 6 2 4 2 3 3 5" xfId="29669" xr:uid="{00000000-0005-0000-0000-00003BA20000}"/>
    <cellStyle name="Normal 6 2 4 2 3 3 6" xfId="29670" xr:uid="{00000000-0005-0000-0000-00003CA20000}"/>
    <cellStyle name="Normal 6 2 4 2 3 4" xfId="29671" xr:uid="{00000000-0005-0000-0000-00003DA20000}"/>
    <cellStyle name="Normal 6 2 4 2 3 4 2" xfId="57883" xr:uid="{00000000-0005-0000-0000-00003EA20000}"/>
    <cellStyle name="Normal 6 2 4 2 3 4 3" xfId="57884" xr:uid="{00000000-0005-0000-0000-00003FA20000}"/>
    <cellStyle name="Normal 6 2 4 2 3 5" xfId="29672" xr:uid="{00000000-0005-0000-0000-000040A20000}"/>
    <cellStyle name="Normal 6 2 4 2 3 5 2" xfId="57885" xr:uid="{00000000-0005-0000-0000-000041A20000}"/>
    <cellStyle name="Normal 6 2 4 2 3 6" xfId="29673" xr:uid="{00000000-0005-0000-0000-000042A20000}"/>
    <cellStyle name="Normal 6 2 4 2 3 7" xfId="29674" xr:uid="{00000000-0005-0000-0000-000043A20000}"/>
    <cellStyle name="Normal 6 2 4 2 3 8" xfId="29675" xr:uid="{00000000-0005-0000-0000-000044A20000}"/>
    <cellStyle name="Normal 6 2 4 2 4" xfId="29676" xr:uid="{00000000-0005-0000-0000-000045A20000}"/>
    <cellStyle name="Normal 6 2 4 2 4 2" xfId="29677" xr:uid="{00000000-0005-0000-0000-000046A20000}"/>
    <cellStyle name="Normal 6 2 4 2 4 2 2" xfId="29678" xr:uid="{00000000-0005-0000-0000-000047A20000}"/>
    <cellStyle name="Normal 6 2 4 2 4 2 2 2" xfId="57886" xr:uid="{00000000-0005-0000-0000-000048A20000}"/>
    <cellStyle name="Normal 6 2 4 2 4 2 2 3" xfId="57887" xr:uid="{00000000-0005-0000-0000-000049A20000}"/>
    <cellStyle name="Normal 6 2 4 2 4 2 3" xfId="29679" xr:uid="{00000000-0005-0000-0000-00004AA20000}"/>
    <cellStyle name="Normal 6 2 4 2 4 2 3 2" xfId="57888" xr:uid="{00000000-0005-0000-0000-00004BA20000}"/>
    <cellStyle name="Normal 6 2 4 2 4 2 4" xfId="29680" xr:uid="{00000000-0005-0000-0000-00004CA20000}"/>
    <cellStyle name="Normal 6 2 4 2 4 2 5" xfId="29681" xr:uid="{00000000-0005-0000-0000-00004DA20000}"/>
    <cellStyle name="Normal 6 2 4 2 4 2 6" xfId="29682" xr:uid="{00000000-0005-0000-0000-00004EA20000}"/>
    <cellStyle name="Normal 6 2 4 2 4 3" xfId="29683" xr:uid="{00000000-0005-0000-0000-00004FA20000}"/>
    <cellStyle name="Normal 6 2 4 2 4 3 2" xfId="57889" xr:uid="{00000000-0005-0000-0000-000050A20000}"/>
    <cellStyle name="Normal 6 2 4 2 4 3 3" xfId="57890" xr:uid="{00000000-0005-0000-0000-000051A20000}"/>
    <cellStyle name="Normal 6 2 4 2 4 4" xfId="29684" xr:uid="{00000000-0005-0000-0000-000052A20000}"/>
    <cellStyle name="Normal 6 2 4 2 4 4 2" xfId="57891" xr:uid="{00000000-0005-0000-0000-000053A20000}"/>
    <cellStyle name="Normal 6 2 4 2 4 5" xfId="29685" xr:uid="{00000000-0005-0000-0000-000054A20000}"/>
    <cellStyle name="Normal 6 2 4 2 4 6" xfId="29686" xr:uid="{00000000-0005-0000-0000-000055A20000}"/>
    <cellStyle name="Normal 6 2 4 2 4 7" xfId="29687" xr:uid="{00000000-0005-0000-0000-000056A20000}"/>
    <cellStyle name="Normal 6 2 4 2 5" xfId="29688" xr:uid="{00000000-0005-0000-0000-000057A20000}"/>
    <cellStyle name="Normal 6 2 4 2 5 2" xfId="29689" xr:uid="{00000000-0005-0000-0000-000058A20000}"/>
    <cellStyle name="Normal 6 2 4 2 5 2 2" xfId="57892" xr:uid="{00000000-0005-0000-0000-000059A20000}"/>
    <cellStyle name="Normal 6 2 4 2 5 2 3" xfId="57893" xr:uid="{00000000-0005-0000-0000-00005AA20000}"/>
    <cellStyle name="Normal 6 2 4 2 5 3" xfId="29690" xr:uid="{00000000-0005-0000-0000-00005BA20000}"/>
    <cellStyle name="Normal 6 2 4 2 5 3 2" xfId="57894" xr:uid="{00000000-0005-0000-0000-00005CA20000}"/>
    <cellStyle name="Normal 6 2 4 2 5 4" xfId="29691" xr:uid="{00000000-0005-0000-0000-00005DA20000}"/>
    <cellStyle name="Normal 6 2 4 2 5 5" xfId="29692" xr:uid="{00000000-0005-0000-0000-00005EA20000}"/>
    <cellStyle name="Normal 6 2 4 2 5 6" xfId="29693" xr:uid="{00000000-0005-0000-0000-00005FA20000}"/>
    <cellStyle name="Normal 6 2 4 2 6" xfId="29694" xr:uid="{00000000-0005-0000-0000-000060A20000}"/>
    <cellStyle name="Normal 6 2 4 2 6 2" xfId="57895" xr:uid="{00000000-0005-0000-0000-000061A20000}"/>
    <cellStyle name="Normal 6 2 4 2 6 3" xfId="57896" xr:uid="{00000000-0005-0000-0000-000062A20000}"/>
    <cellStyle name="Normal 6 2 4 2 7" xfId="29695" xr:uid="{00000000-0005-0000-0000-000063A20000}"/>
    <cellStyle name="Normal 6 2 4 2 7 2" xfId="57897" xr:uid="{00000000-0005-0000-0000-000064A20000}"/>
    <cellStyle name="Normal 6 2 4 2 8" xfId="29696" xr:uid="{00000000-0005-0000-0000-000065A20000}"/>
    <cellStyle name="Normal 6 2 4 2 8 2" xfId="57898" xr:uid="{00000000-0005-0000-0000-000066A20000}"/>
    <cellStyle name="Normal 6 2 4 2 9" xfId="29697" xr:uid="{00000000-0005-0000-0000-000067A20000}"/>
    <cellStyle name="Normal 6 2 4 3" xfId="29698" xr:uid="{00000000-0005-0000-0000-000068A20000}"/>
    <cellStyle name="Normal 6 2 4 3 2" xfId="29699" xr:uid="{00000000-0005-0000-0000-000069A20000}"/>
    <cellStyle name="Normal 6 2 4 3 2 2" xfId="29700" xr:uid="{00000000-0005-0000-0000-00006AA20000}"/>
    <cellStyle name="Normal 6 2 4 3 2 2 2" xfId="29701" xr:uid="{00000000-0005-0000-0000-00006BA20000}"/>
    <cellStyle name="Normal 6 2 4 3 2 2 2 2" xfId="57899" xr:uid="{00000000-0005-0000-0000-00006CA20000}"/>
    <cellStyle name="Normal 6 2 4 3 2 2 2 3" xfId="57900" xr:uid="{00000000-0005-0000-0000-00006DA20000}"/>
    <cellStyle name="Normal 6 2 4 3 2 2 3" xfId="29702" xr:uid="{00000000-0005-0000-0000-00006EA20000}"/>
    <cellStyle name="Normal 6 2 4 3 2 2 3 2" xfId="57901" xr:uid="{00000000-0005-0000-0000-00006FA20000}"/>
    <cellStyle name="Normal 6 2 4 3 2 2 4" xfId="29703" xr:uid="{00000000-0005-0000-0000-000070A20000}"/>
    <cellStyle name="Normal 6 2 4 3 2 2 5" xfId="29704" xr:uid="{00000000-0005-0000-0000-000071A20000}"/>
    <cellStyle name="Normal 6 2 4 3 2 2 6" xfId="29705" xr:uid="{00000000-0005-0000-0000-000072A20000}"/>
    <cellStyle name="Normal 6 2 4 3 2 3" xfId="29706" xr:uid="{00000000-0005-0000-0000-000073A20000}"/>
    <cellStyle name="Normal 6 2 4 3 2 3 2" xfId="57902" xr:uid="{00000000-0005-0000-0000-000074A20000}"/>
    <cellStyle name="Normal 6 2 4 3 2 3 3" xfId="57903" xr:uid="{00000000-0005-0000-0000-000075A20000}"/>
    <cellStyle name="Normal 6 2 4 3 2 4" xfId="29707" xr:uid="{00000000-0005-0000-0000-000076A20000}"/>
    <cellStyle name="Normal 6 2 4 3 2 4 2" xfId="57904" xr:uid="{00000000-0005-0000-0000-000077A20000}"/>
    <cellStyle name="Normal 6 2 4 3 2 5" xfId="29708" xr:uid="{00000000-0005-0000-0000-000078A20000}"/>
    <cellStyle name="Normal 6 2 4 3 2 6" xfId="29709" xr:uid="{00000000-0005-0000-0000-000079A20000}"/>
    <cellStyle name="Normal 6 2 4 3 2 7" xfId="29710" xr:uid="{00000000-0005-0000-0000-00007AA20000}"/>
    <cellStyle name="Normal 6 2 4 3 3" xfId="29711" xr:uid="{00000000-0005-0000-0000-00007BA20000}"/>
    <cellStyle name="Normal 6 2 4 3 3 2" xfId="29712" xr:uid="{00000000-0005-0000-0000-00007CA20000}"/>
    <cellStyle name="Normal 6 2 4 3 3 2 2" xfId="57905" xr:uid="{00000000-0005-0000-0000-00007DA20000}"/>
    <cellStyle name="Normal 6 2 4 3 3 2 3" xfId="57906" xr:uid="{00000000-0005-0000-0000-00007EA20000}"/>
    <cellStyle name="Normal 6 2 4 3 3 3" xfId="29713" xr:uid="{00000000-0005-0000-0000-00007FA20000}"/>
    <cellStyle name="Normal 6 2 4 3 3 3 2" xfId="57907" xr:uid="{00000000-0005-0000-0000-000080A20000}"/>
    <cellStyle name="Normal 6 2 4 3 3 4" xfId="29714" xr:uid="{00000000-0005-0000-0000-000081A20000}"/>
    <cellStyle name="Normal 6 2 4 3 3 5" xfId="29715" xr:uid="{00000000-0005-0000-0000-000082A20000}"/>
    <cellStyle name="Normal 6 2 4 3 3 6" xfId="29716" xr:uid="{00000000-0005-0000-0000-000083A20000}"/>
    <cellStyle name="Normal 6 2 4 3 4" xfId="29717" xr:uid="{00000000-0005-0000-0000-000084A20000}"/>
    <cellStyle name="Normal 6 2 4 3 4 2" xfId="57908" xr:uid="{00000000-0005-0000-0000-000085A20000}"/>
    <cellStyle name="Normal 6 2 4 3 4 3" xfId="57909" xr:uid="{00000000-0005-0000-0000-000086A20000}"/>
    <cellStyle name="Normal 6 2 4 3 5" xfId="29718" xr:uid="{00000000-0005-0000-0000-000087A20000}"/>
    <cellStyle name="Normal 6 2 4 3 5 2" xfId="57910" xr:uid="{00000000-0005-0000-0000-000088A20000}"/>
    <cellStyle name="Normal 6 2 4 3 6" xfId="29719" xr:uid="{00000000-0005-0000-0000-000089A20000}"/>
    <cellStyle name="Normal 6 2 4 3 7" xfId="29720" xr:uid="{00000000-0005-0000-0000-00008AA20000}"/>
    <cellStyle name="Normal 6 2 4 3 8" xfId="29721" xr:uid="{00000000-0005-0000-0000-00008BA20000}"/>
    <cellStyle name="Normal 6 2 4 3 9" xfId="29722" xr:uid="{00000000-0005-0000-0000-00008CA20000}"/>
    <cellStyle name="Normal 6 2 4 4" xfId="29723" xr:uid="{00000000-0005-0000-0000-00008DA20000}"/>
    <cellStyle name="Normal 6 2 4 4 2" xfId="29724" xr:uid="{00000000-0005-0000-0000-00008EA20000}"/>
    <cellStyle name="Normal 6 2 4 4 2 2" xfId="29725" xr:uid="{00000000-0005-0000-0000-00008FA20000}"/>
    <cellStyle name="Normal 6 2 4 4 2 2 2" xfId="29726" xr:uid="{00000000-0005-0000-0000-000090A20000}"/>
    <cellStyle name="Normal 6 2 4 4 2 2 2 2" xfId="57911" xr:uid="{00000000-0005-0000-0000-000091A20000}"/>
    <cellStyle name="Normal 6 2 4 4 2 2 2 3" xfId="57912" xr:uid="{00000000-0005-0000-0000-000092A20000}"/>
    <cellStyle name="Normal 6 2 4 4 2 2 3" xfId="29727" xr:uid="{00000000-0005-0000-0000-000093A20000}"/>
    <cellStyle name="Normal 6 2 4 4 2 2 3 2" xfId="57913" xr:uid="{00000000-0005-0000-0000-000094A20000}"/>
    <cellStyle name="Normal 6 2 4 4 2 2 4" xfId="29728" xr:uid="{00000000-0005-0000-0000-000095A20000}"/>
    <cellStyle name="Normal 6 2 4 4 2 2 5" xfId="29729" xr:uid="{00000000-0005-0000-0000-000096A20000}"/>
    <cellStyle name="Normal 6 2 4 4 2 2 6" xfId="29730" xr:uid="{00000000-0005-0000-0000-000097A20000}"/>
    <cellStyle name="Normal 6 2 4 4 2 3" xfId="29731" xr:uid="{00000000-0005-0000-0000-000098A20000}"/>
    <cellStyle name="Normal 6 2 4 4 2 3 2" xfId="57914" xr:uid="{00000000-0005-0000-0000-000099A20000}"/>
    <cellStyle name="Normal 6 2 4 4 2 3 3" xfId="57915" xr:uid="{00000000-0005-0000-0000-00009AA20000}"/>
    <cellStyle name="Normal 6 2 4 4 2 4" xfId="29732" xr:uid="{00000000-0005-0000-0000-00009BA20000}"/>
    <cellStyle name="Normal 6 2 4 4 2 4 2" xfId="57916" xr:uid="{00000000-0005-0000-0000-00009CA20000}"/>
    <cellStyle name="Normal 6 2 4 4 2 5" xfId="29733" xr:uid="{00000000-0005-0000-0000-00009DA20000}"/>
    <cellStyle name="Normal 6 2 4 4 2 6" xfId="29734" xr:uid="{00000000-0005-0000-0000-00009EA20000}"/>
    <cellStyle name="Normal 6 2 4 4 2 7" xfId="29735" xr:uid="{00000000-0005-0000-0000-00009FA20000}"/>
    <cellStyle name="Normal 6 2 4 4 3" xfId="29736" xr:uid="{00000000-0005-0000-0000-0000A0A20000}"/>
    <cellStyle name="Normal 6 2 4 4 3 2" xfId="29737" xr:uid="{00000000-0005-0000-0000-0000A1A20000}"/>
    <cellStyle name="Normal 6 2 4 4 3 2 2" xfId="57917" xr:uid="{00000000-0005-0000-0000-0000A2A20000}"/>
    <cellStyle name="Normal 6 2 4 4 3 2 3" xfId="57918" xr:uid="{00000000-0005-0000-0000-0000A3A20000}"/>
    <cellStyle name="Normal 6 2 4 4 3 3" xfId="29738" xr:uid="{00000000-0005-0000-0000-0000A4A20000}"/>
    <cellStyle name="Normal 6 2 4 4 3 3 2" xfId="57919" xr:uid="{00000000-0005-0000-0000-0000A5A20000}"/>
    <cellStyle name="Normal 6 2 4 4 3 4" xfId="29739" xr:uid="{00000000-0005-0000-0000-0000A6A20000}"/>
    <cellStyle name="Normal 6 2 4 4 3 5" xfId="29740" xr:uid="{00000000-0005-0000-0000-0000A7A20000}"/>
    <cellStyle name="Normal 6 2 4 4 3 6" xfId="29741" xr:uid="{00000000-0005-0000-0000-0000A8A20000}"/>
    <cellStyle name="Normal 6 2 4 4 4" xfId="29742" xr:uid="{00000000-0005-0000-0000-0000A9A20000}"/>
    <cellStyle name="Normal 6 2 4 4 4 2" xfId="57920" xr:uid="{00000000-0005-0000-0000-0000AAA20000}"/>
    <cellStyle name="Normal 6 2 4 4 4 3" xfId="57921" xr:uid="{00000000-0005-0000-0000-0000ABA20000}"/>
    <cellStyle name="Normal 6 2 4 4 5" xfId="29743" xr:uid="{00000000-0005-0000-0000-0000ACA20000}"/>
    <cellStyle name="Normal 6 2 4 4 5 2" xfId="57922" xr:uid="{00000000-0005-0000-0000-0000ADA20000}"/>
    <cellStyle name="Normal 6 2 4 4 6" xfId="29744" xr:uid="{00000000-0005-0000-0000-0000AEA20000}"/>
    <cellStyle name="Normal 6 2 4 4 7" xfId="29745" xr:uid="{00000000-0005-0000-0000-0000AFA20000}"/>
    <cellStyle name="Normal 6 2 4 4 8" xfId="29746" xr:uid="{00000000-0005-0000-0000-0000B0A20000}"/>
    <cellStyle name="Normal 6 2 4 5" xfId="29747" xr:uid="{00000000-0005-0000-0000-0000B1A20000}"/>
    <cellStyle name="Normal 6 2 4 5 2" xfId="29748" xr:uid="{00000000-0005-0000-0000-0000B2A20000}"/>
    <cellStyle name="Normal 6 2 4 5 2 2" xfId="29749" xr:uid="{00000000-0005-0000-0000-0000B3A20000}"/>
    <cellStyle name="Normal 6 2 4 5 2 2 2" xfId="57923" xr:uid="{00000000-0005-0000-0000-0000B4A20000}"/>
    <cellStyle name="Normal 6 2 4 5 2 2 3" xfId="57924" xr:uid="{00000000-0005-0000-0000-0000B5A20000}"/>
    <cellStyle name="Normal 6 2 4 5 2 3" xfId="29750" xr:uid="{00000000-0005-0000-0000-0000B6A20000}"/>
    <cellStyle name="Normal 6 2 4 5 2 3 2" xfId="57925" xr:uid="{00000000-0005-0000-0000-0000B7A20000}"/>
    <cellStyle name="Normal 6 2 4 5 2 4" xfId="29751" xr:uid="{00000000-0005-0000-0000-0000B8A20000}"/>
    <cellStyle name="Normal 6 2 4 5 2 5" xfId="29752" xr:uid="{00000000-0005-0000-0000-0000B9A20000}"/>
    <cellStyle name="Normal 6 2 4 5 2 6" xfId="29753" xr:uid="{00000000-0005-0000-0000-0000BAA20000}"/>
    <cellStyle name="Normal 6 2 4 5 3" xfId="29754" xr:uid="{00000000-0005-0000-0000-0000BBA20000}"/>
    <cellStyle name="Normal 6 2 4 5 3 2" xfId="57926" xr:uid="{00000000-0005-0000-0000-0000BCA20000}"/>
    <cellStyle name="Normal 6 2 4 5 3 3" xfId="57927" xr:uid="{00000000-0005-0000-0000-0000BDA20000}"/>
    <cellStyle name="Normal 6 2 4 5 4" xfId="29755" xr:uid="{00000000-0005-0000-0000-0000BEA20000}"/>
    <cellStyle name="Normal 6 2 4 5 4 2" xfId="57928" xr:uid="{00000000-0005-0000-0000-0000BFA20000}"/>
    <cellStyle name="Normal 6 2 4 5 5" xfId="29756" xr:uid="{00000000-0005-0000-0000-0000C0A20000}"/>
    <cellStyle name="Normal 6 2 4 5 6" xfId="29757" xr:uid="{00000000-0005-0000-0000-0000C1A20000}"/>
    <cellStyle name="Normal 6 2 4 5 7" xfId="29758" xr:uid="{00000000-0005-0000-0000-0000C2A20000}"/>
    <cellStyle name="Normal 6 2 4 6" xfId="29759" xr:uid="{00000000-0005-0000-0000-0000C3A20000}"/>
    <cellStyle name="Normal 6 2 4 6 2" xfId="29760" xr:uid="{00000000-0005-0000-0000-0000C4A20000}"/>
    <cellStyle name="Normal 6 2 4 6 2 2" xfId="57929" xr:uid="{00000000-0005-0000-0000-0000C5A20000}"/>
    <cellStyle name="Normal 6 2 4 6 2 3" xfId="57930" xr:uid="{00000000-0005-0000-0000-0000C6A20000}"/>
    <cellStyle name="Normal 6 2 4 6 3" xfId="29761" xr:uid="{00000000-0005-0000-0000-0000C7A20000}"/>
    <cellStyle name="Normal 6 2 4 6 3 2" xfId="57931" xr:uid="{00000000-0005-0000-0000-0000C8A20000}"/>
    <cellStyle name="Normal 6 2 4 6 4" xfId="29762" xr:uid="{00000000-0005-0000-0000-0000C9A20000}"/>
    <cellStyle name="Normal 6 2 4 6 5" xfId="29763" xr:uid="{00000000-0005-0000-0000-0000CAA20000}"/>
    <cellStyle name="Normal 6 2 4 6 6" xfId="29764" xr:uid="{00000000-0005-0000-0000-0000CBA20000}"/>
    <cellStyle name="Normal 6 2 4 7" xfId="29765" xr:uid="{00000000-0005-0000-0000-0000CCA20000}"/>
    <cellStyle name="Normal 6 2 4 7 2" xfId="57932" xr:uid="{00000000-0005-0000-0000-0000CDA20000}"/>
    <cellStyle name="Normal 6 2 4 7 3" xfId="57933" xr:uid="{00000000-0005-0000-0000-0000CEA20000}"/>
    <cellStyle name="Normal 6 2 4 8" xfId="29766" xr:uid="{00000000-0005-0000-0000-0000CFA20000}"/>
    <cellStyle name="Normal 6 2 4 8 2" xfId="57934" xr:uid="{00000000-0005-0000-0000-0000D0A20000}"/>
    <cellStyle name="Normal 6 2 4 9" xfId="29767" xr:uid="{00000000-0005-0000-0000-0000D1A20000}"/>
    <cellStyle name="Normal 6 2 4 9 2" xfId="57935" xr:uid="{00000000-0005-0000-0000-0000D2A20000}"/>
    <cellStyle name="Normal 6 2 5" xfId="29768" xr:uid="{00000000-0005-0000-0000-0000D3A20000}"/>
    <cellStyle name="Normal 6 2 5 10" xfId="29769" xr:uid="{00000000-0005-0000-0000-0000D4A20000}"/>
    <cellStyle name="Normal 6 2 5 11" xfId="29770" xr:uid="{00000000-0005-0000-0000-0000D5A20000}"/>
    <cellStyle name="Normal 6 2 5 12" xfId="29771" xr:uid="{00000000-0005-0000-0000-0000D6A20000}"/>
    <cellStyle name="Normal 6 2 5 13" xfId="29772" xr:uid="{00000000-0005-0000-0000-0000D7A20000}"/>
    <cellStyle name="Normal 6 2 5 14" xfId="29773" xr:uid="{00000000-0005-0000-0000-0000D8A20000}"/>
    <cellStyle name="Normal 6 2 5 15" xfId="29774" xr:uid="{00000000-0005-0000-0000-0000D9A20000}"/>
    <cellStyle name="Normal 6 2 5 2" xfId="29775" xr:uid="{00000000-0005-0000-0000-0000DAA20000}"/>
    <cellStyle name="Normal 6 2 5 2 10" xfId="29776" xr:uid="{00000000-0005-0000-0000-0000DBA20000}"/>
    <cellStyle name="Normal 6 2 5 2 11" xfId="29777" xr:uid="{00000000-0005-0000-0000-0000DCA20000}"/>
    <cellStyle name="Normal 6 2 5 2 12" xfId="29778" xr:uid="{00000000-0005-0000-0000-0000DDA20000}"/>
    <cellStyle name="Normal 6 2 5 2 13" xfId="29779" xr:uid="{00000000-0005-0000-0000-0000DEA20000}"/>
    <cellStyle name="Normal 6 2 5 2 14" xfId="29780" xr:uid="{00000000-0005-0000-0000-0000DFA20000}"/>
    <cellStyle name="Normal 6 2 5 2 2" xfId="29781" xr:uid="{00000000-0005-0000-0000-0000E0A20000}"/>
    <cellStyle name="Normal 6 2 5 2 2 2" xfId="29782" xr:uid="{00000000-0005-0000-0000-0000E1A20000}"/>
    <cellStyle name="Normal 6 2 5 2 2 2 2" xfId="29783" xr:uid="{00000000-0005-0000-0000-0000E2A20000}"/>
    <cellStyle name="Normal 6 2 5 2 2 2 2 2" xfId="29784" xr:uid="{00000000-0005-0000-0000-0000E3A20000}"/>
    <cellStyle name="Normal 6 2 5 2 2 2 2 2 2" xfId="57936" xr:uid="{00000000-0005-0000-0000-0000E4A20000}"/>
    <cellStyle name="Normal 6 2 5 2 2 2 2 2 3" xfId="57937" xr:uid="{00000000-0005-0000-0000-0000E5A20000}"/>
    <cellStyle name="Normal 6 2 5 2 2 2 2 3" xfId="29785" xr:uid="{00000000-0005-0000-0000-0000E6A20000}"/>
    <cellStyle name="Normal 6 2 5 2 2 2 2 3 2" xfId="57938" xr:uid="{00000000-0005-0000-0000-0000E7A20000}"/>
    <cellStyle name="Normal 6 2 5 2 2 2 2 4" xfId="29786" xr:uid="{00000000-0005-0000-0000-0000E8A20000}"/>
    <cellStyle name="Normal 6 2 5 2 2 2 2 5" xfId="29787" xr:uid="{00000000-0005-0000-0000-0000E9A20000}"/>
    <cellStyle name="Normal 6 2 5 2 2 2 2 6" xfId="29788" xr:uid="{00000000-0005-0000-0000-0000EAA20000}"/>
    <cellStyle name="Normal 6 2 5 2 2 2 3" xfId="29789" xr:uid="{00000000-0005-0000-0000-0000EBA20000}"/>
    <cellStyle name="Normal 6 2 5 2 2 2 3 2" xfId="57939" xr:uid="{00000000-0005-0000-0000-0000ECA20000}"/>
    <cellStyle name="Normal 6 2 5 2 2 2 3 3" xfId="57940" xr:uid="{00000000-0005-0000-0000-0000EDA20000}"/>
    <cellStyle name="Normal 6 2 5 2 2 2 4" xfId="29790" xr:uid="{00000000-0005-0000-0000-0000EEA20000}"/>
    <cellStyle name="Normal 6 2 5 2 2 2 4 2" xfId="57941" xr:uid="{00000000-0005-0000-0000-0000EFA20000}"/>
    <cellStyle name="Normal 6 2 5 2 2 2 5" xfId="29791" xr:uid="{00000000-0005-0000-0000-0000F0A20000}"/>
    <cellStyle name="Normal 6 2 5 2 2 2 6" xfId="29792" xr:uid="{00000000-0005-0000-0000-0000F1A20000}"/>
    <cellStyle name="Normal 6 2 5 2 2 2 7" xfId="29793" xr:uid="{00000000-0005-0000-0000-0000F2A20000}"/>
    <cellStyle name="Normal 6 2 5 2 2 3" xfId="29794" xr:uid="{00000000-0005-0000-0000-0000F3A20000}"/>
    <cellStyle name="Normal 6 2 5 2 2 3 2" xfId="29795" xr:uid="{00000000-0005-0000-0000-0000F4A20000}"/>
    <cellStyle name="Normal 6 2 5 2 2 3 2 2" xfId="57942" xr:uid="{00000000-0005-0000-0000-0000F5A20000}"/>
    <cellStyle name="Normal 6 2 5 2 2 3 2 3" xfId="57943" xr:uid="{00000000-0005-0000-0000-0000F6A20000}"/>
    <cellStyle name="Normal 6 2 5 2 2 3 3" xfId="29796" xr:uid="{00000000-0005-0000-0000-0000F7A20000}"/>
    <cellStyle name="Normal 6 2 5 2 2 3 3 2" xfId="57944" xr:uid="{00000000-0005-0000-0000-0000F8A20000}"/>
    <cellStyle name="Normal 6 2 5 2 2 3 4" xfId="29797" xr:uid="{00000000-0005-0000-0000-0000F9A20000}"/>
    <cellStyle name="Normal 6 2 5 2 2 3 5" xfId="29798" xr:uid="{00000000-0005-0000-0000-0000FAA20000}"/>
    <cellStyle name="Normal 6 2 5 2 2 3 6" xfId="29799" xr:uid="{00000000-0005-0000-0000-0000FBA20000}"/>
    <cellStyle name="Normal 6 2 5 2 2 4" xfId="29800" xr:uid="{00000000-0005-0000-0000-0000FCA20000}"/>
    <cellStyle name="Normal 6 2 5 2 2 4 2" xfId="57945" xr:uid="{00000000-0005-0000-0000-0000FDA20000}"/>
    <cellStyle name="Normal 6 2 5 2 2 4 3" xfId="57946" xr:uid="{00000000-0005-0000-0000-0000FEA20000}"/>
    <cellStyle name="Normal 6 2 5 2 2 5" xfId="29801" xr:uid="{00000000-0005-0000-0000-0000FFA20000}"/>
    <cellStyle name="Normal 6 2 5 2 2 5 2" xfId="57947" xr:uid="{00000000-0005-0000-0000-000000A30000}"/>
    <cellStyle name="Normal 6 2 5 2 2 6" xfId="29802" xr:uid="{00000000-0005-0000-0000-000001A30000}"/>
    <cellStyle name="Normal 6 2 5 2 2 7" xfId="29803" xr:uid="{00000000-0005-0000-0000-000002A30000}"/>
    <cellStyle name="Normal 6 2 5 2 2 8" xfId="29804" xr:uid="{00000000-0005-0000-0000-000003A30000}"/>
    <cellStyle name="Normal 6 2 5 2 2 9" xfId="29805" xr:uid="{00000000-0005-0000-0000-000004A30000}"/>
    <cellStyle name="Normal 6 2 5 2 3" xfId="29806" xr:uid="{00000000-0005-0000-0000-000005A30000}"/>
    <cellStyle name="Normal 6 2 5 2 3 2" xfId="29807" xr:uid="{00000000-0005-0000-0000-000006A30000}"/>
    <cellStyle name="Normal 6 2 5 2 3 2 2" xfId="29808" xr:uid="{00000000-0005-0000-0000-000007A30000}"/>
    <cellStyle name="Normal 6 2 5 2 3 2 2 2" xfId="29809" xr:uid="{00000000-0005-0000-0000-000008A30000}"/>
    <cellStyle name="Normal 6 2 5 2 3 2 2 2 2" xfId="57948" xr:uid="{00000000-0005-0000-0000-000009A30000}"/>
    <cellStyle name="Normal 6 2 5 2 3 2 2 2 3" xfId="57949" xr:uid="{00000000-0005-0000-0000-00000AA30000}"/>
    <cellStyle name="Normal 6 2 5 2 3 2 2 3" xfId="29810" xr:uid="{00000000-0005-0000-0000-00000BA30000}"/>
    <cellStyle name="Normal 6 2 5 2 3 2 2 3 2" xfId="57950" xr:uid="{00000000-0005-0000-0000-00000CA30000}"/>
    <cellStyle name="Normal 6 2 5 2 3 2 2 4" xfId="29811" xr:uid="{00000000-0005-0000-0000-00000DA30000}"/>
    <cellStyle name="Normal 6 2 5 2 3 2 2 5" xfId="29812" xr:uid="{00000000-0005-0000-0000-00000EA30000}"/>
    <cellStyle name="Normal 6 2 5 2 3 2 2 6" xfId="29813" xr:uid="{00000000-0005-0000-0000-00000FA30000}"/>
    <cellStyle name="Normal 6 2 5 2 3 2 3" xfId="29814" xr:uid="{00000000-0005-0000-0000-000010A30000}"/>
    <cellStyle name="Normal 6 2 5 2 3 2 3 2" xfId="57951" xr:uid="{00000000-0005-0000-0000-000011A30000}"/>
    <cellStyle name="Normal 6 2 5 2 3 2 3 3" xfId="57952" xr:uid="{00000000-0005-0000-0000-000012A30000}"/>
    <cellStyle name="Normal 6 2 5 2 3 2 4" xfId="29815" xr:uid="{00000000-0005-0000-0000-000013A30000}"/>
    <cellStyle name="Normal 6 2 5 2 3 2 4 2" xfId="57953" xr:uid="{00000000-0005-0000-0000-000014A30000}"/>
    <cellStyle name="Normal 6 2 5 2 3 2 5" xfId="29816" xr:uid="{00000000-0005-0000-0000-000015A30000}"/>
    <cellStyle name="Normal 6 2 5 2 3 2 6" xfId="29817" xr:uid="{00000000-0005-0000-0000-000016A30000}"/>
    <cellStyle name="Normal 6 2 5 2 3 2 7" xfId="29818" xr:uid="{00000000-0005-0000-0000-000017A30000}"/>
    <cellStyle name="Normal 6 2 5 2 3 3" xfId="29819" xr:uid="{00000000-0005-0000-0000-000018A30000}"/>
    <cellStyle name="Normal 6 2 5 2 3 3 2" xfId="29820" xr:uid="{00000000-0005-0000-0000-000019A30000}"/>
    <cellStyle name="Normal 6 2 5 2 3 3 2 2" xfId="57954" xr:uid="{00000000-0005-0000-0000-00001AA30000}"/>
    <cellStyle name="Normal 6 2 5 2 3 3 2 3" xfId="57955" xr:uid="{00000000-0005-0000-0000-00001BA30000}"/>
    <cellStyle name="Normal 6 2 5 2 3 3 3" xfId="29821" xr:uid="{00000000-0005-0000-0000-00001CA30000}"/>
    <cellStyle name="Normal 6 2 5 2 3 3 3 2" xfId="57956" xr:uid="{00000000-0005-0000-0000-00001DA30000}"/>
    <cellStyle name="Normal 6 2 5 2 3 3 4" xfId="29822" xr:uid="{00000000-0005-0000-0000-00001EA30000}"/>
    <cellStyle name="Normal 6 2 5 2 3 3 5" xfId="29823" xr:uid="{00000000-0005-0000-0000-00001FA30000}"/>
    <cellStyle name="Normal 6 2 5 2 3 3 6" xfId="29824" xr:uid="{00000000-0005-0000-0000-000020A30000}"/>
    <cellStyle name="Normal 6 2 5 2 3 4" xfId="29825" xr:uid="{00000000-0005-0000-0000-000021A30000}"/>
    <cellStyle name="Normal 6 2 5 2 3 4 2" xfId="57957" xr:uid="{00000000-0005-0000-0000-000022A30000}"/>
    <cellStyle name="Normal 6 2 5 2 3 4 3" xfId="57958" xr:uid="{00000000-0005-0000-0000-000023A30000}"/>
    <cellStyle name="Normal 6 2 5 2 3 5" xfId="29826" xr:uid="{00000000-0005-0000-0000-000024A30000}"/>
    <cellStyle name="Normal 6 2 5 2 3 5 2" xfId="57959" xr:uid="{00000000-0005-0000-0000-000025A30000}"/>
    <cellStyle name="Normal 6 2 5 2 3 6" xfId="29827" xr:uid="{00000000-0005-0000-0000-000026A30000}"/>
    <cellStyle name="Normal 6 2 5 2 3 7" xfId="29828" xr:uid="{00000000-0005-0000-0000-000027A30000}"/>
    <cellStyle name="Normal 6 2 5 2 3 8" xfId="29829" xr:uid="{00000000-0005-0000-0000-000028A30000}"/>
    <cellStyle name="Normal 6 2 5 2 4" xfId="29830" xr:uid="{00000000-0005-0000-0000-000029A30000}"/>
    <cellStyle name="Normal 6 2 5 2 4 2" xfId="29831" xr:uid="{00000000-0005-0000-0000-00002AA30000}"/>
    <cellStyle name="Normal 6 2 5 2 4 2 2" xfId="29832" xr:uid="{00000000-0005-0000-0000-00002BA30000}"/>
    <cellStyle name="Normal 6 2 5 2 4 2 2 2" xfId="57960" xr:uid="{00000000-0005-0000-0000-00002CA30000}"/>
    <cellStyle name="Normal 6 2 5 2 4 2 2 3" xfId="57961" xr:uid="{00000000-0005-0000-0000-00002DA30000}"/>
    <cellStyle name="Normal 6 2 5 2 4 2 3" xfId="29833" xr:uid="{00000000-0005-0000-0000-00002EA30000}"/>
    <cellStyle name="Normal 6 2 5 2 4 2 3 2" xfId="57962" xr:uid="{00000000-0005-0000-0000-00002FA30000}"/>
    <cellStyle name="Normal 6 2 5 2 4 2 4" xfId="29834" xr:uid="{00000000-0005-0000-0000-000030A30000}"/>
    <cellStyle name="Normal 6 2 5 2 4 2 5" xfId="29835" xr:uid="{00000000-0005-0000-0000-000031A30000}"/>
    <cellStyle name="Normal 6 2 5 2 4 2 6" xfId="29836" xr:uid="{00000000-0005-0000-0000-000032A30000}"/>
    <cellStyle name="Normal 6 2 5 2 4 3" xfId="29837" xr:uid="{00000000-0005-0000-0000-000033A30000}"/>
    <cellStyle name="Normal 6 2 5 2 4 3 2" xfId="57963" xr:uid="{00000000-0005-0000-0000-000034A30000}"/>
    <cellStyle name="Normal 6 2 5 2 4 3 3" xfId="57964" xr:uid="{00000000-0005-0000-0000-000035A30000}"/>
    <cellStyle name="Normal 6 2 5 2 4 4" xfId="29838" xr:uid="{00000000-0005-0000-0000-000036A30000}"/>
    <cellStyle name="Normal 6 2 5 2 4 4 2" xfId="57965" xr:uid="{00000000-0005-0000-0000-000037A30000}"/>
    <cellStyle name="Normal 6 2 5 2 4 5" xfId="29839" xr:uid="{00000000-0005-0000-0000-000038A30000}"/>
    <cellStyle name="Normal 6 2 5 2 4 6" xfId="29840" xr:uid="{00000000-0005-0000-0000-000039A30000}"/>
    <cellStyle name="Normal 6 2 5 2 4 7" xfId="29841" xr:uid="{00000000-0005-0000-0000-00003AA30000}"/>
    <cellStyle name="Normal 6 2 5 2 5" xfId="29842" xr:uid="{00000000-0005-0000-0000-00003BA30000}"/>
    <cellStyle name="Normal 6 2 5 2 5 2" xfId="29843" xr:uid="{00000000-0005-0000-0000-00003CA30000}"/>
    <cellStyle name="Normal 6 2 5 2 5 2 2" xfId="57966" xr:uid="{00000000-0005-0000-0000-00003DA30000}"/>
    <cellStyle name="Normal 6 2 5 2 5 2 3" xfId="57967" xr:uid="{00000000-0005-0000-0000-00003EA30000}"/>
    <cellStyle name="Normal 6 2 5 2 5 3" xfId="29844" xr:uid="{00000000-0005-0000-0000-00003FA30000}"/>
    <cellStyle name="Normal 6 2 5 2 5 3 2" xfId="57968" xr:uid="{00000000-0005-0000-0000-000040A30000}"/>
    <cellStyle name="Normal 6 2 5 2 5 4" xfId="29845" xr:uid="{00000000-0005-0000-0000-000041A30000}"/>
    <cellStyle name="Normal 6 2 5 2 5 5" xfId="29846" xr:uid="{00000000-0005-0000-0000-000042A30000}"/>
    <cellStyle name="Normal 6 2 5 2 5 6" xfId="29847" xr:uid="{00000000-0005-0000-0000-000043A30000}"/>
    <cellStyle name="Normal 6 2 5 2 6" xfId="29848" xr:uid="{00000000-0005-0000-0000-000044A30000}"/>
    <cellStyle name="Normal 6 2 5 2 6 2" xfId="57969" xr:uid="{00000000-0005-0000-0000-000045A30000}"/>
    <cellStyle name="Normal 6 2 5 2 6 3" xfId="57970" xr:uid="{00000000-0005-0000-0000-000046A30000}"/>
    <cellStyle name="Normal 6 2 5 2 7" xfId="29849" xr:uid="{00000000-0005-0000-0000-000047A30000}"/>
    <cellStyle name="Normal 6 2 5 2 7 2" xfId="57971" xr:uid="{00000000-0005-0000-0000-000048A30000}"/>
    <cellStyle name="Normal 6 2 5 2 8" xfId="29850" xr:uid="{00000000-0005-0000-0000-000049A30000}"/>
    <cellStyle name="Normal 6 2 5 2 9" xfId="29851" xr:uid="{00000000-0005-0000-0000-00004AA30000}"/>
    <cellStyle name="Normal 6 2 5 3" xfId="29852" xr:uid="{00000000-0005-0000-0000-00004BA30000}"/>
    <cellStyle name="Normal 6 2 5 3 2" xfId="29853" xr:uid="{00000000-0005-0000-0000-00004CA30000}"/>
    <cellStyle name="Normal 6 2 5 3 2 2" xfId="29854" xr:uid="{00000000-0005-0000-0000-00004DA30000}"/>
    <cellStyle name="Normal 6 2 5 3 2 2 2" xfId="29855" xr:uid="{00000000-0005-0000-0000-00004EA30000}"/>
    <cellStyle name="Normal 6 2 5 3 2 2 2 2" xfId="57972" xr:uid="{00000000-0005-0000-0000-00004FA30000}"/>
    <cellStyle name="Normal 6 2 5 3 2 2 2 3" xfId="57973" xr:uid="{00000000-0005-0000-0000-000050A30000}"/>
    <cellStyle name="Normal 6 2 5 3 2 2 3" xfId="29856" xr:uid="{00000000-0005-0000-0000-000051A30000}"/>
    <cellStyle name="Normal 6 2 5 3 2 2 3 2" xfId="57974" xr:uid="{00000000-0005-0000-0000-000052A30000}"/>
    <cellStyle name="Normal 6 2 5 3 2 2 4" xfId="29857" xr:uid="{00000000-0005-0000-0000-000053A30000}"/>
    <cellStyle name="Normal 6 2 5 3 2 2 5" xfId="29858" xr:uid="{00000000-0005-0000-0000-000054A30000}"/>
    <cellStyle name="Normal 6 2 5 3 2 2 6" xfId="29859" xr:uid="{00000000-0005-0000-0000-000055A30000}"/>
    <cellStyle name="Normal 6 2 5 3 2 3" xfId="29860" xr:uid="{00000000-0005-0000-0000-000056A30000}"/>
    <cellStyle name="Normal 6 2 5 3 2 3 2" xfId="57975" xr:uid="{00000000-0005-0000-0000-000057A30000}"/>
    <cellStyle name="Normal 6 2 5 3 2 3 3" xfId="57976" xr:uid="{00000000-0005-0000-0000-000058A30000}"/>
    <cellStyle name="Normal 6 2 5 3 2 4" xfId="29861" xr:uid="{00000000-0005-0000-0000-000059A30000}"/>
    <cellStyle name="Normal 6 2 5 3 2 4 2" xfId="57977" xr:uid="{00000000-0005-0000-0000-00005AA30000}"/>
    <cellStyle name="Normal 6 2 5 3 2 5" xfId="29862" xr:uid="{00000000-0005-0000-0000-00005BA30000}"/>
    <cellStyle name="Normal 6 2 5 3 2 6" xfId="29863" xr:uid="{00000000-0005-0000-0000-00005CA30000}"/>
    <cellStyle name="Normal 6 2 5 3 2 7" xfId="29864" xr:uid="{00000000-0005-0000-0000-00005DA30000}"/>
    <cellStyle name="Normal 6 2 5 3 3" xfId="29865" xr:uid="{00000000-0005-0000-0000-00005EA30000}"/>
    <cellStyle name="Normal 6 2 5 3 3 2" xfId="29866" xr:uid="{00000000-0005-0000-0000-00005FA30000}"/>
    <cellStyle name="Normal 6 2 5 3 3 2 2" xfId="57978" xr:uid="{00000000-0005-0000-0000-000060A30000}"/>
    <cellStyle name="Normal 6 2 5 3 3 2 3" xfId="57979" xr:uid="{00000000-0005-0000-0000-000061A30000}"/>
    <cellStyle name="Normal 6 2 5 3 3 3" xfId="29867" xr:uid="{00000000-0005-0000-0000-000062A30000}"/>
    <cellStyle name="Normal 6 2 5 3 3 3 2" xfId="57980" xr:uid="{00000000-0005-0000-0000-000063A30000}"/>
    <cellStyle name="Normal 6 2 5 3 3 4" xfId="29868" xr:uid="{00000000-0005-0000-0000-000064A30000}"/>
    <cellStyle name="Normal 6 2 5 3 3 5" xfId="29869" xr:uid="{00000000-0005-0000-0000-000065A30000}"/>
    <cellStyle name="Normal 6 2 5 3 3 6" xfId="29870" xr:uid="{00000000-0005-0000-0000-000066A30000}"/>
    <cellStyle name="Normal 6 2 5 3 4" xfId="29871" xr:uid="{00000000-0005-0000-0000-000067A30000}"/>
    <cellStyle name="Normal 6 2 5 3 4 2" xfId="57981" xr:uid="{00000000-0005-0000-0000-000068A30000}"/>
    <cellStyle name="Normal 6 2 5 3 4 3" xfId="57982" xr:uid="{00000000-0005-0000-0000-000069A30000}"/>
    <cellStyle name="Normal 6 2 5 3 5" xfId="29872" xr:uid="{00000000-0005-0000-0000-00006AA30000}"/>
    <cellStyle name="Normal 6 2 5 3 5 2" xfId="57983" xr:uid="{00000000-0005-0000-0000-00006BA30000}"/>
    <cellStyle name="Normal 6 2 5 3 6" xfId="29873" xr:uid="{00000000-0005-0000-0000-00006CA30000}"/>
    <cellStyle name="Normal 6 2 5 3 7" xfId="29874" xr:uid="{00000000-0005-0000-0000-00006DA30000}"/>
    <cellStyle name="Normal 6 2 5 3 8" xfId="29875" xr:uid="{00000000-0005-0000-0000-00006EA30000}"/>
    <cellStyle name="Normal 6 2 5 3 9" xfId="29876" xr:uid="{00000000-0005-0000-0000-00006FA30000}"/>
    <cellStyle name="Normal 6 2 5 4" xfId="29877" xr:uid="{00000000-0005-0000-0000-000070A30000}"/>
    <cellStyle name="Normal 6 2 5 4 2" xfId="29878" xr:uid="{00000000-0005-0000-0000-000071A30000}"/>
    <cellStyle name="Normal 6 2 5 4 2 2" xfId="29879" xr:uid="{00000000-0005-0000-0000-000072A30000}"/>
    <cellStyle name="Normal 6 2 5 4 2 2 2" xfId="29880" xr:uid="{00000000-0005-0000-0000-000073A30000}"/>
    <cellStyle name="Normal 6 2 5 4 2 2 2 2" xfId="57984" xr:uid="{00000000-0005-0000-0000-000074A30000}"/>
    <cellStyle name="Normal 6 2 5 4 2 2 2 3" xfId="57985" xr:uid="{00000000-0005-0000-0000-000075A30000}"/>
    <cellStyle name="Normal 6 2 5 4 2 2 3" xfId="29881" xr:uid="{00000000-0005-0000-0000-000076A30000}"/>
    <cellStyle name="Normal 6 2 5 4 2 2 3 2" xfId="57986" xr:uid="{00000000-0005-0000-0000-000077A30000}"/>
    <cellStyle name="Normal 6 2 5 4 2 2 4" xfId="29882" xr:uid="{00000000-0005-0000-0000-000078A30000}"/>
    <cellStyle name="Normal 6 2 5 4 2 2 5" xfId="29883" xr:uid="{00000000-0005-0000-0000-000079A30000}"/>
    <cellStyle name="Normal 6 2 5 4 2 2 6" xfId="29884" xr:uid="{00000000-0005-0000-0000-00007AA30000}"/>
    <cellStyle name="Normal 6 2 5 4 2 3" xfId="29885" xr:uid="{00000000-0005-0000-0000-00007BA30000}"/>
    <cellStyle name="Normal 6 2 5 4 2 3 2" xfId="57987" xr:uid="{00000000-0005-0000-0000-00007CA30000}"/>
    <cellStyle name="Normal 6 2 5 4 2 3 3" xfId="57988" xr:uid="{00000000-0005-0000-0000-00007DA30000}"/>
    <cellStyle name="Normal 6 2 5 4 2 4" xfId="29886" xr:uid="{00000000-0005-0000-0000-00007EA30000}"/>
    <cellStyle name="Normal 6 2 5 4 2 4 2" xfId="57989" xr:uid="{00000000-0005-0000-0000-00007FA30000}"/>
    <cellStyle name="Normal 6 2 5 4 2 5" xfId="29887" xr:uid="{00000000-0005-0000-0000-000080A30000}"/>
    <cellStyle name="Normal 6 2 5 4 2 6" xfId="29888" xr:uid="{00000000-0005-0000-0000-000081A30000}"/>
    <cellStyle name="Normal 6 2 5 4 2 7" xfId="29889" xr:uid="{00000000-0005-0000-0000-000082A30000}"/>
    <cellStyle name="Normal 6 2 5 4 3" xfId="29890" xr:uid="{00000000-0005-0000-0000-000083A30000}"/>
    <cellStyle name="Normal 6 2 5 4 3 2" xfId="29891" xr:uid="{00000000-0005-0000-0000-000084A30000}"/>
    <cellStyle name="Normal 6 2 5 4 3 2 2" xfId="57990" xr:uid="{00000000-0005-0000-0000-000085A30000}"/>
    <cellStyle name="Normal 6 2 5 4 3 2 3" xfId="57991" xr:uid="{00000000-0005-0000-0000-000086A30000}"/>
    <cellStyle name="Normal 6 2 5 4 3 3" xfId="29892" xr:uid="{00000000-0005-0000-0000-000087A30000}"/>
    <cellStyle name="Normal 6 2 5 4 3 3 2" xfId="57992" xr:uid="{00000000-0005-0000-0000-000088A30000}"/>
    <cellStyle name="Normal 6 2 5 4 3 4" xfId="29893" xr:uid="{00000000-0005-0000-0000-000089A30000}"/>
    <cellStyle name="Normal 6 2 5 4 3 5" xfId="29894" xr:uid="{00000000-0005-0000-0000-00008AA30000}"/>
    <cellStyle name="Normal 6 2 5 4 3 6" xfId="29895" xr:uid="{00000000-0005-0000-0000-00008BA30000}"/>
    <cellStyle name="Normal 6 2 5 4 4" xfId="29896" xr:uid="{00000000-0005-0000-0000-00008CA30000}"/>
    <cellStyle name="Normal 6 2 5 4 4 2" xfId="57993" xr:uid="{00000000-0005-0000-0000-00008DA30000}"/>
    <cellStyle name="Normal 6 2 5 4 4 3" xfId="57994" xr:uid="{00000000-0005-0000-0000-00008EA30000}"/>
    <cellStyle name="Normal 6 2 5 4 5" xfId="29897" xr:uid="{00000000-0005-0000-0000-00008FA30000}"/>
    <cellStyle name="Normal 6 2 5 4 5 2" xfId="57995" xr:uid="{00000000-0005-0000-0000-000090A30000}"/>
    <cellStyle name="Normal 6 2 5 4 6" xfId="29898" xr:uid="{00000000-0005-0000-0000-000091A30000}"/>
    <cellStyle name="Normal 6 2 5 4 7" xfId="29899" xr:uid="{00000000-0005-0000-0000-000092A30000}"/>
    <cellStyle name="Normal 6 2 5 4 8" xfId="29900" xr:uid="{00000000-0005-0000-0000-000093A30000}"/>
    <cellStyle name="Normal 6 2 5 5" xfId="29901" xr:uid="{00000000-0005-0000-0000-000094A30000}"/>
    <cellStyle name="Normal 6 2 5 5 2" xfId="29902" xr:uid="{00000000-0005-0000-0000-000095A30000}"/>
    <cellStyle name="Normal 6 2 5 5 2 2" xfId="29903" xr:uid="{00000000-0005-0000-0000-000096A30000}"/>
    <cellStyle name="Normal 6 2 5 5 2 2 2" xfId="57996" xr:uid="{00000000-0005-0000-0000-000097A30000}"/>
    <cellStyle name="Normal 6 2 5 5 2 2 3" xfId="57997" xr:uid="{00000000-0005-0000-0000-000098A30000}"/>
    <cellStyle name="Normal 6 2 5 5 2 3" xfId="29904" xr:uid="{00000000-0005-0000-0000-000099A30000}"/>
    <cellStyle name="Normal 6 2 5 5 2 3 2" xfId="57998" xr:uid="{00000000-0005-0000-0000-00009AA30000}"/>
    <cellStyle name="Normal 6 2 5 5 2 4" xfId="29905" xr:uid="{00000000-0005-0000-0000-00009BA30000}"/>
    <cellStyle name="Normal 6 2 5 5 2 5" xfId="29906" xr:uid="{00000000-0005-0000-0000-00009CA30000}"/>
    <cellStyle name="Normal 6 2 5 5 2 6" xfId="29907" xr:uid="{00000000-0005-0000-0000-00009DA30000}"/>
    <cellStyle name="Normal 6 2 5 5 3" xfId="29908" xr:uid="{00000000-0005-0000-0000-00009EA30000}"/>
    <cellStyle name="Normal 6 2 5 5 3 2" xfId="57999" xr:uid="{00000000-0005-0000-0000-00009FA30000}"/>
    <cellStyle name="Normal 6 2 5 5 3 3" xfId="58000" xr:uid="{00000000-0005-0000-0000-0000A0A30000}"/>
    <cellStyle name="Normal 6 2 5 5 4" xfId="29909" xr:uid="{00000000-0005-0000-0000-0000A1A30000}"/>
    <cellStyle name="Normal 6 2 5 5 4 2" xfId="58001" xr:uid="{00000000-0005-0000-0000-0000A2A30000}"/>
    <cellStyle name="Normal 6 2 5 5 5" xfId="29910" xr:uid="{00000000-0005-0000-0000-0000A3A30000}"/>
    <cellStyle name="Normal 6 2 5 5 6" xfId="29911" xr:uid="{00000000-0005-0000-0000-0000A4A30000}"/>
    <cellStyle name="Normal 6 2 5 5 7" xfId="29912" xr:uid="{00000000-0005-0000-0000-0000A5A30000}"/>
    <cellStyle name="Normal 6 2 5 6" xfId="29913" xr:uid="{00000000-0005-0000-0000-0000A6A30000}"/>
    <cellStyle name="Normal 6 2 5 6 2" xfId="29914" xr:uid="{00000000-0005-0000-0000-0000A7A30000}"/>
    <cellStyle name="Normal 6 2 5 6 2 2" xfId="58002" xr:uid="{00000000-0005-0000-0000-0000A8A30000}"/>
    <cellStyle name="Normal 6 2 5 6 2 3" xfId="58003" xr:uid="{00000000-0005-0000-0000-0000A9A30000}"/>
    <cellStyle name="Normal 6 2 5 6 3" xfId="29915" xr:uid="{00000000-0005-0000-0000-0000AAA30000}"/>
    <cellStyle name="Normal 6 2 5 6 3 2" xfId="58004" xr:uid="{00000000-0005-0000-0000-0000ABA30000}"/>
    <cellStyle name="Normal 6 2 5 6 4" xfId="29916" xr:uid="{00000000-0005-0000-0000-0000ACA30000}"/>
    <cellStyle name="Normal 6 2 5 6 5" xfId="29917" xr:uid="{00000000-0005-0000-0000-0000ADA30000}"/>
    <cellStyle name="Normal 6 2 5 6 6" xfId="29918" xr:uid="{00000000-0005-0000-0000-0000AEA30000}"/>
    <cellStyle name="Normal 6 2 5 7" xfId="29919" xr:uid="{00000000-0005-0000-0000-0000AFA30000}"/>
    <cellStyle name="Normal 6 2 5 7 2" xfId="58005" xr:uid="{00000000-0005-0000-0000-0000B0A30000}"/>
    <cellStyle name="Normal 6 2 5 7 3" xfId="58006" xr:uid="{00000000-0005-0000-0000-0000B1A30000}"/>
    <cellStyle name="Normal 6 2 5 8" xfId="29920" xr:uid="{00000000-0005-0000-0000-0000B2A30000}"/>
    <cellStyle name="Normal 6 2 5 8 2" xfId="58007" xr:uid="{00000000-0005-0000-0000-0000B3A30000}"/>
    <cellStyle name="Normal 6 2 5 9" xfId="29921" xr:uid="{00000000-0005-0000-0000-0000B4A30000}"/>
    <cellStyle name="Normal 6 2 5 9 2" xfId="58008" xr:uid="{00000000-0005-0000-0000-0000B5A30000}"/>
    <cellStyle name="Normal 6 2 6" xfId="29922" xr:uid="{00000000-0005-0000-0000-0000B6A30000}"/>
    <cellStyle name="Normal 6 2 6 10" xfId="29923" xr:uid="{00000000-0005-0000-0000-0000B7A30000}"/>
    <cellStyle name="Normal 6 2 6 11" xfId="29924" xr:uid="{00000000-0005-0000-0000-0000B8A30000}"/>
    <cellStyle name="Normal 6 2 6 12" xfId="29925" xr:uid="{00000000-0005-0000-0000-0000B9A30000}"/>
    <cellStyle name="Normal 6 2 6 13" xfId="29926" xr:uid="{00000000-0005-0000-0000-0000BAA30000}"/>
    <cellStyle name="Normal 6 2 6 14" xfId="29927" xr:uid="{00000000-0005-0000-0000-0000BBA30000}"/>
    <cellStyle name="Normal 6 2 6 2" xfId="29928" xr:uid="{00000000-0005-0000-0000-0000BCA30000}"/>
    <cellStyle name="Normal 6 2 6 2 2" xfId="29929" xr:uid="{00000000-0005-0000-0000-0000BDA30000}"/>
    <cellStyle name="Normal 6 2 6 2 2 2" xfId="29930" xr:uid="{00000000-0005-0000-0000-0000BEA30000}"/>
    <cellStyle name="Normal 6 2 6 2 2 2 2" xfId="29931" xr:uid="{00000000-0005-0000-0000-0000BFA30000}"/>
    <cellStyle name="Normal 6 2 6 2 2 2 2 2" xfId="58009" xr:uid="{00000000-0005-0000-0000-0000C0A30000}"/>
    <cellStyle name="Normal 6 2 6 2 2 2 2 3" xfId="58010" xr:uid="{00000000-0005-0000-0000-0000C1A30000}"/>
    <cellStyle name="Normal 6 2 6 2 2 2 3" xfId="29932" xr:uid="{00000000-0005-0000-0000-0000C2A30000}"/>
    <cellStyle name="Normal 6 2 6 2 2 2 3 2" xfId="58011" xr:uid="{00000000-0005-0000-0000-0000C3A30000}"/>
    <cellStyle name="Normal 6 2 6 2 2 2 4" xfId="29933" xr:uid="{00000000-0005-0000-0000-0000C4A30000}"/>
    <cellStyle name="Normal 6 2 6 2 2 2 5" xfId="29934" xr:uid="{00000000-0005-0000-0000-0000C5A30000}"/>
    <cellStyle name="Normal 6 2 6 2 2 2 6" xfId="29935" xr:uid="{00000000-0005-0000-0000-0000C6A30000}"/>
    <cellStyle name="Normal 6 2 6 2 2 3" xfId="29936" xr:uid="{00000000-0005-0000-0000-0000C7A30000}"/>
    <cellStyle name="Normal 6 2 6 2 2 3 2" xfId="58012" xr:uid="{00000000-0005-0000-0000-0000C8A30000}"/>
    <cellStyle name="Normal 6 2 6 2 2 3 3" xfId="58013" xr:uid="{00000000-0005-0000-0000-0000C9A30000}"/>
    <cellStyle name="Normal 6 2 6 2 2 4" xfId="29937" xr:uid="{00000000-0005-0000-0000-0000CAA30000}"/>
    <cellStyle name="Normal 6 2 6 2 2 4 2" xfId="58014" xr:uid="{00000000-0005-0000-0000-0000CBA30000}"/>
    <cellStyle name="Normal 6 2 6 2 2 5" xfId="29938" xr:uid="{00000000-0005-0000-0000-0000CCA30000}"/>
    <cellStyle name="Normal 6 2 6 2 2 6" xfId="29939" xr:uid="{00000000-0005-0000-0000-0000CDA30000}"/>
    <cellStyle name="Normal 6 2 6 2 2 7" xfId="29940" xr:uid="{00000000-0005-0000-0000-0000CEA30000}"/>
    <cellStyle name="Normal 6 2 6 2 3" xfId="29941" xr:uid="{00000000-0005-0000-0000-0000CFA30000}"/>
    <cellStyle name="Normal 6 2 6 2 3 2" xfId="29942" xr:uid="{00000000-0005-0000-0000-0000D0A30000}"/>
    <cellStyle name="Normal 6 2 6 2 3 2 2" xfId="58015" xr:uid="{00000000-0005-0000-0000-0000D1A30000}"/>
    <cellStyle name="Normal 6 2 6 2 3 2 3" xfId="58016" xr:uid="{00000000-0005-0000-0000-0000D2A30000}"/>
    <cellStyle name="Normal 6 2 6 2 3 3" xfId="29943" xr:uid="{00000000-0005-0000-0000-0000D3A30000}"/>
    <cellStyle name="Normal 6 2 6 2 3 3 2" xfId="58017" xr:uid="{00000000-0005-0000-0000-0000D4A30000}"/>
    <cellStyle name="Normal 6 2 6 2 3 4" xfId="29944" xr:uid="{00000000-0005-0000-0000-0000D5A30000}"/>
    <cellStyle name="Normal 6 2 6 2 3 5" xfId="29945" xr:uid="{00000000-0005-0000-0000-0000D6A30000}"/>
    <cellStyle name="Normal 6 2 6 2 3 6" xfId="29946" xr:uid="{00000000-0005-0000-0000-0000D7A30000}"/>
    <cellStyle name="Normal 6 2 6 2 4" xfId="29947" xr:uid="{00000000-0005-0000-0000-0000D8A30000}"/>
    <cellStyle name="Normal 6 2 6 2 4 2" xfId="58018" xr:uid="{00000000-0005-0000-0000-0000D9A30000}"/>
    <cellStyle name="Normal 6 2 6 2 4 3" xfId="58019" xr:uid="{00000000-0005-0000-0000-0000DAA30000}"/>
    <cellStyle name="Normal 6 2 6 2 5" xfId="29948" xr:uid="{00000000-0005-0000-0000-0000DBA30000}"/>
    <cellStyle name="Normal 6 2 6 2 5 2" xfId="58020" xr:uid="{00000000-0005-0000-0000-0000DCA30000}"/>
    <cellStyle name="Normal 6 2 6 2 6" xfId="29949" xr:uid="{00000000-0005-0000-0000-0000DDA30000}"/>
    <cellStyle name="Normal 6 2 6 2 7" xfId="29950" xr:uid="{00000000-0005-0000-0000-0000DEA30000}"/>
    <cellStyle name="Normal 6 2 6 2 8" xfId="29951" xr:uid="{00000000-0005-0000-0000-0000DFA30000}"/>
    <cellStyle name="Normal 6 2 6 2 9" xfId="29952" xr:uid="{00000000-0005-0000-0000-0000E0A30000}"/>
    <cellStyle name="Normal 6 2 6 3" xfId="29953" xr:uid="{00000000-0005-0000-0000-0000E1A30000}"/>
    <cellStyle name="Normal 6 2 6 3 2" xfId="29954" xr:uid="{00000000-0005-0000-0000-0000E2A30000}"/>
    <cellStyle name="Normal 6 2 6 3 2 2" xfId="29955" xr:uid="{00000000-0005-0000-0000-0000E3A30000}"/>
    <cellStyle name="Normal 6 2 6 3 2 2 2" xfId="29956" xr:uid="{00000000-0005-0000-0000-0000E4A30000}"/>
    <cellStyle name="Normal 6 2 6 3 2 2 2 2" xfId="58021" xr:uid="{00000000-0005-0000-0000-0000E5A30000}"/>
    <cellStyle name="Normal 6 2 6 3 2 2 2 3" xfId="58022" xr:uid="{00000000-0005-0000-0000-0000E6A30000}"/>
    <cellStyle name="Normal 6 2 6 3 2 2 3" xfId="29957" xr:uid="{00000000-0005-0000-0000-0000E7A30000}"/>
    <cellStyle name="Normal 6 2 6 3 2 2 3 2" xfId="58023" xr:uid="{00000000-0005-0000-0000-0000E8A30000}"/>
    <cellStyle name="Normal 6 2 6 3 2 2 4" xfId="29958" xr:uid="{00000000-0005-0000-0000-0000E9A30000}"/>
    <cellStyle name="Normal 6 2 6 3 2 2 5" xfId="29959" xr:uid="{00000000-0005-0000-0000-0000EAA30000}"/>
    <cellStyle name="Normal 6 2 6 3 2 2 6" xfId="29960" xr:uid="{00000000-0005-0000-0000-0000EBA30000}"/>
    <cellStyle name="Normal 6 2 6 3 2 3" xfId="29961" xr:uid="{00000000-0005-0000-0000-0000ECA30000}"/>
    <cellStyle name="Normal 6 2 6 3 2 3 2" xfId="58024" xr:uid="{00000000-0005-0000-0000-0000EDA30000}"/>
    <cellStyle name="Normal 6 2 6 3 2 3 3" xfId="58025" xr:uid="{00000000-0005-0000-0000-0000EEA30000}"/>
    <cellStyle name="Normal 6 2 6 3 2 4" xfId="29962" xr:uid="{00000000-0005-0000-0000-0000EFA30000}"/>
    <cellStyle name="Normal 6 2 6 3 2 4 2" xfId="58026" xr:uid="{00000000-0005-0000-0000-0000F0A30000}"/>
    <cellStyle name="Normal 6 2 6 3 2 5" xfId="29963" xr:uid="{00000000-0005-0000-0000-0000F1A30000}"/>
    <cellStyle name="Normal 6 2 6 3 2 6" xfId="29964" xr:uid="{00000000-0005-0000-0000-0000F2A30000}"/>
    <cellStyle name="Normal 6 2 6 3 2 7" xfId="29965" xr:uid="{00000000-0005-0000-0000-0000F3A30000}"/>
    <cellStyle name="Normal 6 2 6 3 3" xfId="29966" xr:uid="{00000000-0005-0000-0000-0000F4A30000}"/>
    <cellStyle name="Normal 6 2 6 3 3 2" xfId="29967" xr:uid="{00000000-0005-0000-0000-0000F5A30000}"/>
    <cellStyle name="Normal 6 2 6 3 3 2 2" xfId="58027" xr:uid="{00000000-0005-0000-0000-0000F6A30000}"/>
    <cellStyle name="Normal 6 2 6 3 3 2 3" xfId="58028" xr:uid="{00000000-0005-0000-0000-0000F7A30000}"/>
    <cellStyle name="Normal 6 2 6 3 3 3" xfId="29968" xr:uid="{00000000-0005-0000-0000-0000F8A30000}"/>
    <cellStyle name="Normal 6 2 6 3 3 3 2" xfId="58029" xr:uid="{00000000-0005-0000-0000-0000F9A30000}"/>
    <cellStyle name="Normal 6 2 6 3 3 4" xfId="29969" xr:uid="{00000000-0005-0000-0000-0000FAA30000}"/>
    <cellStyle name="Normal 6 2 6 3 3 5" xfId="29970" xr:uid="{00000000-0005-0000-0000-0000FBA30000}"/>
    <cellStyle name="Normal 6 2 6 3 3 6" xfId="29971" xr:uid="{00000000-0005-0000-0000-0000FCA30000}"/>
    <cellStyle name="Normal 6 2 6 3 4" xfId="29972" xr:uid="{00000000-0005-0000-0000-0000FDA30000}"/>
    <cellStyle name="Normal 6 2 6 3 4 2" xfId="58030" xr:uid="{00000000-0005-0000-0000-0000FEA30000}"/>
    <cellStyle name="Normal 6 2 6 3 4 3" xfId="58031" xr:uid="{00000000-0005-0000-0000-0000FFA30000}"/>
    <cellStyle name="Normal 6 2 6 3 5" xfId="29973" xr:uid="{00000000-0005-0000-0000-000000A40000}"/>
    <cellStyle name="Normal 6 2 6 3 5 2" xfId="58032" xr:uid="{00000000-0005-0000-0000-000001A40000}"/>
    <cellStyle name="Normal 6 2 6 3 6" xfId="29974" xr:uid="{00000000-0005-0000-0000-000002A40000}"/>
    <cellStyle name="Normal 6 2 6 3 7" xfId="29975" xr:uid="{00000000-0005-0000-0000-000003A40000}"/>
    <cellStyle name="Normal 6 2 6 3 8" xfId="29976" xr:uid="{00000000-0005-0000-0000-000004A40000}"/>
    <cellStyle name="Normal 6 2 6 4" xfId="29977" xr:uid="{00000000-0005-0000-0000-000005A40000}"/>
    <cellStyle name="Normal 6 2 6 4 2" xfId="29978" xr:uid="{00000000-0005-0000-0000-000006A40000}"/>
    <cellStyle name="Normal 6 2 6 4 2 2" xfId="29979" xr:uid="{00000000-0005-0000-0000-000007A40000}"/>
    <cellStyle name="Normal 6 2 6 4 2 2 2" xfId="58033" xr:uid="{00000000-0005-0000-0000-000008A40000}"/>
    <cellStyle name="Normal 6 2 6 4 2 2 3" xfId="58034" xr:uid="{00000000-0005-0000-0000-000009A40000}"/>
    <cellStyle name="Normal 6 2 6 4 2 3" xfId="29980" xr:uid="{00000000-0005-0000-0000-00000AA40000}"/>
    <cellStyle name="Normal 6 2 6 4 2 3 2" xfId="58035" xr:uid="{00000000-0005-0000-0000-00000BA40000}"/>
    <cellStyle name="Normal 6 2 6 4 2 4" xfId="29981" xr:uid="{00000000-0005-0000-0000-00000CA40000}"/>
    <cellStyle name="Normal 6 2 6 4 2 5" xfId="29982" xr:uid="{00000000-0005-0000-0000-00000DA40000}"/>
    <cellStyle name="Normal 6 2 6 4 2 6" xfId="29983" xr:uid="{00000000-0005-0000-0000-00000EA40000}"/>
    <cellStyle name="Normal 6 2 6 4 3" xfId="29984" xr:uid="{00000000-0005-0000-0000-00000FA40000}"/>
    <cellStyle name="Normal 6 2 6 4 3 2" xfId="58036" xr:uid="{00000000-0005-0000-0000-000010A40000}"/>
    <cellStyle name="Normal 6 2 6 4 3 3" xfId="58037" xr:uid="{00000000-0005-0000-0000-000011A40000}"/>
    <cellStyle name="Normal 6 2 6 4 4" xfId="29985" xr:uid="{00000000-0005-0000-0000-000012A40000}"/>
    <cellStyle name="Normal 6 2 6 4 4 2" xfId="58038" xr:uid="{00000000-0005-0000-0000-000013A40000}"/>
    <cellStyle name="Normal 6 2 6 4 5" xfId="29986" xr:uid="{00000000-0005-0000-0000-000014A40000}"/>
    <cellStyle name="Normal 6 2 6 4 6" xfId="29987" xr:uid="{00000000-0005-0000-0000-000015A40000}"/>
    <cellStyle name="Normal 6 2 6 4 7" xfId="29988" xr:uid="{00000000-0005-0000-0000-000016A40000}"/>
    <cellStyle name="Normal 6 2 6 5" xfId="29989" xr:uid="{00000000-0005-0000-0000-000017A40000}"/>
    <cellStyle name="Normal 6 2 6 5 2" xfId="29990" xr:uid="{00000000-0005-0000-0000-000018A40000}"/>
    <cellStyle name="Normal 6 2 6 5 2 2" xfId="58039" xr:uid="{00000000-0005-0000-0000-000019A40000}"/>
    <cellStyle name="Normal 6 2 6 5 2 3" xfId="58040" xr:uid="{00000000-0005-0000-0000-00001AA40000}"/>
    <cellStyle name="Normal 6 2 6 5 3" xfId="29991" xr:uid="{00000000-0005-0000-0000-00001BA40000}"/>
    <cellStyle name="Normal 6 2 6 5 3 2" xfId="58041" xr:uid="{00000000-0005-0000-0000-00001CA40000}"/>
    <cellStyle name="Normal 6 2 6 5 4" xfId="29992" xr:uid="{00000000-0005-0000-0000-00001DA40000}"/>
    <cellStyle name="Normal 6 2 6 5 5" xfId="29993" xr:uid="{00000000-0005-0000-0000-00001EA40000}"/>
    <cellStyle name="Normal 6 2 6 5 6" xfId="29994" xr:uid="{00000000-0005-0000-0000-00001FA40000}"/>
    <cellStyle name="Normal 6 2 6 6" xfId="29995" xr:uid="{00000000-0005-0000-0000-000020A40000}"/>
    <cellStyle name="Normal 6 2 6 6 2" xfId="58042" xr:uid="{00000000-0005-0000-0000-000021A40000}"/>
    <cellStyle name="Normal 6 2 6 6 3" xfId="58043" xr:uid="{00000000-0005-0000-0000-000022A40000}"/>
    <cellStyle name="Normal 6 2 6 7" xfId="29996" xr:uid="{00000000-0005-0000-0000-000023A40000}"/>
    <cellStyle name="Normal 6 2 6 7 2" xfId="58044" xr:uid="{00000000-0005-0000-0000-000024A40000}"/>
    <cellStyle name="Normal 6 2 6 8" xfId="29997" xr:uid="{00000000-0005-0000-0000-000025A40000}"/>
    <cellStyle name="Normal 6 2 6 9" xfId="29998" xr:uid="{00000000-0005-0000-0000-000026A40000}"/>
    <cellStyle name="Normal 6 2 7" xfId="29999" xr:uid="{00000000-0005-0000-0000-000027A40000}"/>
    <cellStyle name="Normal 6 2 7 10" xfId="30000" xr:uid="{00000000-0005-0000-0000-000028A40000}"/>
    <cellStyle name="Normal 6 2 7 11" xfId="30001" xr:uid="{00000000-0005-0000-0000-000029A40000}"/>
    <cellStyle name="Normal 6 2 7 12" xfId="30002" xr:uid="{00000000-0005-0000-0000-00002AA40000}"/>
    <cellStyle name="Normal 6 2 7 13" xfId="30003" xr:uid="{00000000-0005-0000-0000-00002BA40000}"/>
    <cellStyle name="Normal 6 2 7 14" xfId="30004" xr:uid="{00000000-0005-0000-0000-00002CA40000}"/>
    <cellStyle name="Normal 6 2 7 2" xfId="30005" xr:uid="{00000000-0005-0000-0000-00002DA40000}"/>
    <cellStyle name="Normal 6 2 7 2 2" xfId="30006" xr:uid="{00000000-0005-0000-0000-00002EA40000}"/>
    <cellStyle name="Normal 6 2 7 2 2 2" xfId="30007" xr:uid="{00000000-0005-0000-0000-00002FA40000}"/>
    <cellStyle name="Normal 6 2 7 2 2 2 2" xfId="30008" xr:uid="{00000000-0005-0000-0000-000030A40000}"/>
    <cellStyle name="Normal 6 2 7 2 2 2 2 2" xfId="58045" xr:uid="{00000000-0005-0000-0000-000031A40000}"/>
    <cellStyle name="Normal 6 2 7 2 2 2 2 3" xfId="58046" xr:uid="{00000000-0005-0000-0000-000032A40000}"/>
    <cellStyle name="Normal 6 2 7 2 2 2 3" xfId="30009" xr:uid="{00000000-0005-0000-0000-000033A40000}"/>
    <cellStyle name="Normal 6 2 7 2 2 2 3 2" xfId="58047" xr:uid="{00000000-0005-0000-0000-000034A40000}"/>
    <cellStyle name="Normal 6 2 7 2 2 2 4" xfId="30010" xr:uid="{00000000-0005-0000-0000-000035A40000}"/>
    <cellStyle name="Normal 6 2 7 2 2 2 5" xfId="30011" xr:uid="{00000000-0005-0000-0000-000036A40000}"/>
    <cellStyle name="Normal 6 2 7 2 2 2 6" xfId="30012" xr:uid="{00000000-0005-0000-0000-000037A40000}"/>
    <cellStyle name="Normal 6 2 7 2 2 3" xfId="30013" xr:uid="{00000000-0005-0000-0000-000038A40000}"/>
    <cellStyle name="Normal 6 2 7 2 2 3 2" xfId="58048" xr:uid="{00000000-0005-0000-0000-000039A40000}"/>
    <cellStyle name="Normal 6 2 7 2 2 3 3" xfId="58049" xr:uid="{00000000-0005-0000-0000-00003AA40000}"/>
    <cellStyle name="Normal 6 2 7 2 2 4" xfId="30014" xr:uid="{00000000-0005-0000-0000-00003BA40000}"/>
    <cellStyle name="Normal 6 2 7 2 2 4 2" xfId="58050" xr:uid="{00000000-0005-0000-0000-00003CA40000}"/>
    <cellStyle name="Normal 6 2 7 2 2 5" xfId="30015" xr:uid="{00000000-0005-0000-0000-00003DA40000}"/>
    <cellStyle name="Normal 6 2 7 2 2 6" xfId="30016" xr:uid="{00000000-0005-0000-0000-00003EA40000}"/>
    <cellStyle name="Normal 6 2 7 2 2 7" xfId="30017" xr:uid="{00000000-0005-0000-0000-00003FA40000}"/>
    <cellStyle name="Normal 6 2 7 2 3" xfId="30018" xr:uid="{00000000-0005-0000-0000-000040A40000}"/>
    <cellStyle name="Normal 6 2 7 2 3 2" xfId="30019" xr:uid="{00000000-0005-0000-0000-000041A40000}"/>
    <cellStyle name="Normal 6 2 7 2 3 2 2" xfId="58051" xr:uid="{00000000-0005-0000-0000-000042A40000}"/>
    <cellStyle name="Normal 6 2 7 2 3 2 3" xfId="58052" xr:uid="{00000000-0005-0000-0000-000043A40000}"/>
    <cellStyle name="Normal 6 2 7 2 3 3" xfId="30020" xr:uid="{00000000-0005-0000-0000-000044A40000}"/>
    <cellStyle name="Normal 6 2 7 2 3 3 2" xfId="58053" xr:uid="{00000000-0005-0000-0000-000045A40000}"/>
    <cellStyle name="Normal 6 2 7 2 3 4" xfId="30021" xr:uid="{00000000-0005-0000-0000-000046A40000}"/>
    <cellStyle name="Normal 6 2 7 2 3 5" xfId="30022" xr:uid="{00000000-0005-0000-0000-000047A40000}"/>
    <cellStyle name="Normal 6 2 7 2 3 6" xfId="30023" xr:uid="{00000000-0005-0000-0000-000048A40000}"/>
    <cellStyle name="Normal 6 2 7 2 4" xfId="30024" xr:uid="{00000000-0005-0000-0000-000049A40000}"/>
    <cellStyle name="Normal 6 2 7 2 4 2" xfId="58054" xr:uid="{00000000-0005-0000-0000-00004AA40000}"/>
    <cellStyle name="Normal 6 2 7 2 4 3" xfId="58055" xr:uid="{00000000-0005-0000-0000-00004BA40000}"/>
    <cellStyle name="Normal 6 2 7 2 5" xfId="30025" xr:uid="{00000000-0005-0000-0000-00004CA40000}"/>
    <cellStyle name="Normal 6 2 7 2 5 2" xfId="58056" xr:uid="{00000000-0005-0000-0000-00004DA40000}"/>
    <cellStyle name="Normal 6 2 7 2 6" xfId="30026" xr:uid="{00000000-0005-0000-0000-00004EA40000}"/>
    <cellStyle name="Normal 6 2 7 2 7" xfId="30027" xr:uid="{00000000-0005-0000-0000-00004FA40000}"/>
    <cellStyle name="Normal 6 2 7 2 8" xfId="30028" xr:uid="{00000000-0005-0000-0000-000050A40000}"/>
    <cellStyle name="Normal 6 2 7 2 9" xfId="30029" xr:uid="{00000000-0005-0000-0000-000051A40000}"/>
    <cellStyle name="Normal 6 2 7 3" xfId="30030" xr:uid="{00000000-0005-0000-0000-000052A40000}"/>
    <cellStyle name="Normal 6 2 7 3 2" xfId="30031" xr:uid="{00000000-0005-0000-0000-000053A40000}"/>
    <cellStyle name="Normal 6 2 7 3 2 2" xfId="30032" xr:uid="{00000000-0005-0000-0000-000054A40000}"/>
    <cellStyle name="Normal 6 2 7 3 2 2 2" xfId="30033" xr:uid="{00000000-0005-0000-0000-000055A40000}"/>
    <cellStyle name="Normal 6 2 7 3 2 2 2 2" xfId="58057" xr:uid="{00000000-0005-0000-0000-000056A40000}"/>
    <cellStyle name="Normal 6 2 7 3 2 2 2 3" xfId="58058" xr:uid="{00000000-0005-0000-0000-000057A40000}"/>
    <cellStyle name="Normal 6 2 7 3 2 2 3" xfId="30034" xr:uid="{00000000-0005-0000-0000-000058A40000}"/>
    <cellStyle name="Normal 6 2 7 3 2 2 3 2" xfId="58059" xr:uid="{00000000-0005-0000-0000-000059A40000}"/>
    <cellStyle name="Normal 6 2 7 3 2 2 4" xfId="30035" xr:uid="{00000000-0005-0000-0000-00005AA40000}"/>
    <cellStyle name="Normal 6 2 7 3 2 2 5" xfId="30036" xr:uid="{00000000-0005-0000-0000-00005BA40000}"/>
    <cellStyle name="Normal 6 2 7 3 2 2 6" xfId="30037" xr:uid="{00000000-0005-0000-0000-00005CA40000}"/>
    <cellStyle name="Normal 6 2 7 3 2 3" xfId="30038" xr:uid="{00000000-0005-0000-0000-00005DA40000}"/>
    <cellStyle name="Normal 6 2 7 3 2 3 2" xfId="58060" xr:uid="{00000000-0005-0000-0000-00005EA40000}"/>
    <cellStyle name="Normal 6 2 7 3 2 3 3" xfId="58061" xr:uid="{00000000-0005-0000-0000-00005FA40000}"/>
    <cellStyle name="Normal 6 2 7 3 2 4" xfId="30039" xr:uid="{00000000-0005-0000-0000-000060A40000}"/>
    <cellStyle name="Normal 6 2 7 3 2 4 2" xfId="58062" xr:uid="{00000000-0005-0000-0000-000061A40000}"/>
    <cellStyle name="Normal 6 2 7 3 2 5" xfId="30040" xr:uid="{00000000-0005-0000-0000-000062A40000}"/>
    <cellStyle name="Normal 6 2 7 3 2 6" xfId="30041" xr:uid="{00000000-0005-0000-0000-000063A40000}"/>
    <cellStyle name="Normal 6 2 7 3 2 7" xfId="30042" xr:uid="{00000000-0005-0000-0000-000064A40000}"/>
    <cellStyle name="Normal 6 2 7 3 3" xfId="30043" xr:uid="{00000000-0005-0000-0000-000065A40000}"/>
    <cellStyle name="Normal 6 2 7 3 3 2" xfId="30044" xr:uid="{00000000-0005-0000-0000-000066A40000}"/>
    <cellStyle name="Normal 6 2 7 3 3 2 2" xfId="58063" xr:uid="{00000000-0005-0000-0000-000067A40000}"/>
    <cellStyle name="Normal 6 2 7 3 3 2 3" xfId="58064" xr:uid="{00000000-0005-0000-0000-000068A40000}"/>
    <cellStyle name="Normal 6 2 7 3 3 3" xfId="30045" xr:uid="{00000000-0005-0000-0000-000069A40000}"/>
    <cellStyle name="Normal 6 2 7 3 3 3 2" xfId="58065" xr:uid="{00000000-0005-0000-0000-00006AA40000}"/>
    <cellStyle name="Normal 6 2 7 3 3 4" xfId="30046" xr:uid="{00000000-0005-0000-0000-00006BA40000}"/>
    <cellStyle name="Normal 6 2 7 3 3 5" xfId="30047" xr:uid="{00000000-0005-0000-0000-00006CA40000}"/>
    <cellStyle name="Normal 6 2 7 3 3 6" xfId="30048" xr:uid="{00000000-0005-0000-0000-00006DA40000}"/>
    <cellStyle name="Normal 6 2 7 3 4" xfId="30049" xr:uid="{00000000-0005-0000-0000-00006EA40000}"/>
    <cellStyle name="Normal 6 2 7 3 4 2" xfId="58066" xr:uid="{00000000-0005-0000-0000-00006FA40000}"/>
    <cellStyle name="Normal 6 2 7 3 4 3" xfId="58067" xr:uid="{00000000-0005-0000-0000-000070A40000}"/>
    <cellStyle name="Normal 6 2 7 3 5" xfId="30050" xr:uid="{00000000-0005-0000-0000-000071A40000}"/>
    <cellStyle name="Normal 6 2 7 3 5 2" xfId="58068" xr:uid="{00000000-0005-0000-0000-000072A40000}"/>
    <cellStyle name="Normal 6 2 7 3 6" xfId="30051" xr:uid="{00000000-0005-0000-0000-000073A40000}"/>
    <cellStyle name="Normal 6 2 7 3 7" xfId="30052" xr:uid="{00000000-0005-0000-0000-000074A40000}"/>
    <cellStyle name="Normal 6 2 7 3 8" xfId="30053" xr:uid="{00000000-0005-0000-0000-000075A40000}"/>
    <cellStyle name="Normal 6 2 7 4" xfId="30054" xr:uid="{00000000-0005-0000-0000-000076A40000}"/>
    <cellStyle name="Normal 6 2 7 4 2" xfId="30055" xr:uid="{00000000-0005-0000-0000-000077A40000}"/>
    <cellStyle name="Normal 6 2 7 4 2 2" xfId="30056" xr:uid="{00000000-0005-0000-0000-000078A40000}"/>
    <cellStyle name="Normal 6 2 7 4 2 2 2" xfId="58069" xr:uid="{00000000-0005-0000-0000-000079A40000}"/>
    <cellStyle name="Normal 6 2 7 4 2 2 3" xfId="58070" xr:uid="{00000000-0005-0000-0000-00007AA40000}"/>
    <cellStyle name="Normal 6 2 7 4 2 3" xfId="30057" xr:uid="{00000000-0005-0000-0000-00007BA40000}"/>
    <cellStyle name="Normal 6 2 7 4 2 3 2" xfId="58071" xr:uid="{00000000-0005-0000-0000-00007CA40000}"/>
    <cellStyle name="Normal 6 2 7 4 2 4" xfId="30058" xr:uid="{00000000-0005-0000-0000-00007DA40000}"/>
    <cellStyle name="Normal 6 2 7 4 2 5" xfId="30059" xr:uid="{00000000-0005-0000-0000-00007EA40000}"/>
    <cellStyle name="Normal 6 2 7 4 2 6" xfId="30060" xr:uid="{00000000-0005-0000-0000-00007FA40000}"/>
    <cellStyle name="Normal 6 2 7 4 3" xfId="30061" xr:uid="{00000000-0005-0000-0000-000080A40000}"/>
    <cellStyle name="Normal 6 2 7 4 3 2" xfId="58072" xr:uid="{00000000-0005-0000-0000-000081A40000}"/>
    <cellStyle name="Normal 6 2 7 4 3 3" xfId="58073" xr:uid="{00000000-0005-0000-0000-000082A40000}"/>
    <cellStyle name="Normal 6 2 7 4 4" xfId="30062" xr:uid="{00000000-0005-0000-0000-000083A40000}"/>
    <cellStyle name="Normal 6 2 7 4 4 2" xfId="58074" xr:uid="{00000000-0005-0000-0000-000084A40000}"/>
    <cellStyle name="Normal 6 2 7 4 5" xfId="30063" xr:uid="{00000000-0005-0000-0000-000085A40000}"/>
    <cellStyle name="Normal 6 2 7 4 6" xfId="30064" xr:uid="{00000000-0005-0000-0000-000086A40000}"/>
    <cellStyle name="Normal 6 2 7 4 7" xfId="30065" xr:uid="{00000000-0005-0000-0000-000087A40000}"/>
    <cellStyle name="Normal 6 2 7 5" xfId="30066" xr:uid="{00000000-0005-0000-0000-000088A40000}"/>
    <cellStyle name="Normal 6 2 7 5 2" xfId="30067" xr:uid="{00000000-0005-0000-0000-000089A40000}"/>
    <cellStyle name="Normal 6 2 7 5 2 2" xfId="58075" xr:uid="{00000000-0005-0000-0000-00008AA40000}"/>
    <cellStyle name="Normal 6 2 7 5 2 3" xfId="58076" xr:uid="{00000000-0005-0000-0000-00008BA40000}"/>
    <cellStyle name="Normal 6 2 7 5 3" xfId="30068" xr:uid="{00000000-0005-0000-0000-00008CA40000}"/>
    <cellStyle name="Normal 6 2 7 5 3 2" xfId="58077" xr:uid="{00000000-0005-0000-0000-00008DA40000}"/>
    <cellStyle name="Normal 6 2 7 5 4" xfId="30069" xr:uid="{00000000-0005-0000-0000-00008EA40000}"/>
    <cellStyle name="Normal 6 2 7 5 5" xfId="30070" xr:uid="{00000000-0005-0000-0000-00008FA40000}"/>
    <cellStyle name="Normal 6 2 7 5 6" xfId="30071" xr:uid="{00000000-0005-0000-0000-000090A40000}"/>
    <cellStyle name="Normal 6 2 7 6" xfId="30072" xr:uid="{00000000-0005-0000-0000-000091A40000}"/>
    <cellStyle name="Normal 6 2 7 6 2" xfId="58078" xr:uid="{00000000-0005-0000-0000-000092A40000}"/>
    <cellStyle name="Normal 6 2 7 6 3" xfId="58079" xr:uid="{00000000-0005-0000-0000-000093A40000}"/>
    <cellStyle name="Normal 6 2 7 7" xfId="30073" xr:uid="{00000000-0005-0000-0000-000094A40000}"/>
    <cellStyle name="Normal 6 2 7 7 2" xfId="58080" xr:uid="{00000000-0005-0000-0000-000095A40000}"/>
    <cellStyle name="Normal 6 2 7 8" xfId="30074" xr:uid="{00000000-0005-0000-0000-000096A40000}"/>
    <cellStyle name="Normal 6 2 7 9" xfId="30075" xr:uid="{00000000-0005-0000-0000-000097A40000}"/>
    <cellStyle name="Normal 6 2 8" xfId="30076" xr:uid="{00000000-0005-0000-0000-000098A40000}"/>
    <cellStyle name="Normal 6 2 8 10" xfId="30077" xr:uid="{00000000-0005-0000-0000-000099A40000}"/>
    <cellStyle name="Normal 6 2 8 11" xfId="30078" xr:uid="{00000000-0005-0000-0000-00009AA40000}"/>
    <cellStyle name="Normal 6 2 8 12" xfId="30079" xr:uid="{00000000-0005-0000-0000-00009BA40000}"/>
    <cellStyle name="Normal 6 2 8 13" xfId="30080" xr:uid="{00000000-0005-0000-0000-00009CA40000}"/>
    <cellStyle name="Normal 6 2 8 2" xfId="30081" xr:uid="{00000000-0005-0000-0000-00009DA40000}"/>
    <cellStyle name="Normal 6 2 8 2 2" xfId="30082" xr:uid="{00000000-0005-0000-0000-00009EA40000}"/>
    <cellStyle name="Normal 6 2 8 2 2 2" xfId="30083" xr:uid="{00000000-0005-0000-0000-00009FA40000}"/>
    <cellStyle name="Normal 6 2 8 2 2 2 2" xfId="30084" xr:uid="{00000000-0005-0000-0000-0000A0A40000}"/>
    <cellStyle name="Normal 6 2 8 2 2 2 2 2" xfId="58081" xr:uid="{00000000-0005-0000-0000-0000A1A40000}"/>
    <cellStyle name="Normal 6 2 8 2 2 2 2 3" xfId="58082" xr:uid="{00000000-0005-0000-0000-0000A2A40000}"/>
    <cellStyle name="Normal 6 2 8 2 2 2 3" xfId="30085" xr:uid="{00000000-0005-0000-0000-0000A3A40000}"/>
    <cellStyle name="Normal 6 2 8 2 2 2 3 2" xfId="58083" xr:uid="{00000000-0005-0000-0000-0000A4A40000}"/>
    <cellStyle name="Normal 6 2 8 2 2 2 4" xfId="30086" xr:uid="{00000000-0005-0000-0000-0000A5A40000}"/>
    <cellStyle name="Normal 6 2 8 2 2 2 5" xfId="30087" xr:uid="{00000000-0005-0000-0000-0000A6A40000}"/>
    <cellStyle name="Normal 6 2 8 2 2 2 6" xfId="30088" xr:uid="{00000000-0005-0000-0000-0000A7A40000}"/>
    <cellStyle name="Normal 6 2 8 2 2 3" xfId="30089" xr:uid="{00000000-0005-0000-0000-0000A8A40000}"/>
    <cellStyle name="Normal 6 2 8 2 2 3 2" xfId="58084" xr:uid="{00000000-0005-0000-0000-0000A9A40000}"/>
    <cellStyle name="Normal 6 2 8 2 2 3 3" xfId="58085" xr:uid="{00000000-0005-0000-0000-0000AAA40000}"/>
    <cellStyle name="Normal 6 2 8 2 2 4" xfId="30090" xr:uid="{00000000-0005-0000-0000-0000ABA40000}"/>
    <cellStyle name="Normal 6 2 8 2 2 4 2" xfId="58086" xr:uid="{00000000-0005-0000-0000-0000ACA40000}"/>
    <cellStyle name="Normal 6 2 8 2 2 5" xfId="30091" xr:uid="{00000000-0005-0000-0000-0000ADA40000}"/>
    <cellStyle name="Normal 6 2 8 2 2 6" xfId="30092" xr:uid="{00000000-0005-0000-0000-0000AEA40000}"/>
    <cellStyle name="Normal 6 2 8 2 2 7" xfId="30093" xr:uid="{00000000-0005-0000-0000-0000AFA40000}"/>
    <cellStyle name="Normal 6 2 8 2 3" xfId="30094" xr:uid="{00000000-0005-0000-0000-0000B0A40000}"/>
    <cellStyle name="Normal 6 2 8 2 3 2" xfId="30095" xr:uid="{00000000-0005-0000-0000-0000B1A40000}"/>
    <cellStyle name="Normal 6 2 8 2 3 2 2" xfId="58087" xr:uid="{00000000-0005-0000-0000-0000B2A40000}"/>
    <cellStyle name="Normal 6 2 8 2 3 2 3" xfId="58088" xr:uid="{00000000-0005-0000-0000-0000B3A40000}"/>
    <cellStyle name="Normal 6 2 8 2 3 3" xfId="30096" xr:uid="{00000000-0005-0000-0000-0000B4A40000}"/>
    <cellStyle name="Normal 6 2 8 2 3 3 2" xfId="58089" xr:uid="{00000000-0005-0000-0000-0000B5A40000}"/>
    <cellStyle name="Normal 6 2 8 2 3 4" xfId="30097" xr:uid="{00000000-0005-0000-0000-0000B6A40000}"/>
    <cellStyle name="Normal 6 2 8 2 3 5" xfId="30098" xr:uid="{00000000-0005-0000-0000-0000B7A40000}"/>
    <cellStyle name="Normal 6 2 8 2 3 6" xfId="30099" xr:uid="{00000000-0005-0000-0000-0000B8A40000}"/>
    <cellStyle name="Normal 6 2 8 2 4" xfId="30100" xr:uid="{00000000-0005-0000-0000-0000B9A40000}"/>
    <cellStyle name="Normal 6 2 8 2 4 2" xfId="58090" xr:uid="{00000000-0005-0000-0000-0000BAA40000}"/>
    <cellStyle name="Normal 6 2 8 2 4 3" xfId="58091" xr:uid="{00000000-0005-0000-0000-0000BBA40000}"/>
    <cellStyle name="Normal 6 2 8 2 5" xfId="30101" xr:uid="{00000000-0005-0000-0000-0000BCA40000}"/>
    <cellStyle name="Normal 6 2 8 2 5 2" xfId="58092" xr:uid="{00000000-0005-0000-0000-0000BDA40000}"/>
    <cellStyle name="Normal 6 2 8 2 6" xfId="30102" xr:uid="{00000000-0005-0000-0000-0000BEA40000}"/>
    <cellStyle name="Normal 6 2 8 2 7" xfId="30103" xr:uid="{00000000-0005-0000-0000-0000BFA40000}"/>
    <cellStyle name="Normal 6 2 8 2 8" xfId="30104" xr:uid="{00000000-0005-0000-0000-0000C0A40000}"/>
    <cellStyle name="Normal 6 2 8 2 9" xfId="30105" xr:uid="{00000000-0005-0000-0000-0000C1A40000}"/>
    <cellStyle name="Normal 6 2 8 3" xfId="30106" xr:uid="{00000000-0005-0000-0000-0000C2A40000}"/>
    <cellStyle name="Normal 6 2 8 3 2" xfId="30107" xr:uid="{00000000-0005-0000-0000-0000C3A40000}"/>
    <cellStyle name="Normal 6 2 8 3 2 2" xfId="30108" xr:uid="{00000000-0005-0000-0000-0000C4A40000}"/>
    <cellStyle name="Normal 6 2 8 3 2 2 2" xfId="58093" xr:uid="{00000000-0005-0000-0000-0000C5A40000}"/>
    <cellStyle name="Normal 6 2 8 3 2 2 3" xfId="58094" xr:uid="{00000000-0005-0000-0000-0000C6A40000}"/>
    <cellStyle name="Normal 6 2 8 3 2 3" xfId="30109" xr:uid="{00000000-0005-0000-0000-0000C7A40000}"/>
    <cellStyle name="Normal 6 2 8 3 2 3 2" xfId="58095" xr:uid="{00000000-0005-0000-0000-0000C8A40000}"/>
    <cellStyle name="Normal 6 2 8 3 2 4" xfId="30110" xr:uid="{00000000-0005-0000-0000-0000C9A40000}"/>
    <cellStyle name="Normal 6 2 8 3 2 5" xfId="30111" xr:uid="{00000000-0005-0000-0000-0000CAA40000}"/>
    <cellStyle name="Normal 6 2 8 3 2 6" xfId="30112" xr:uid="{00000000-0005-0000-0000-0000CBA40000}"/>
    <cellStyle name="Normal 6 2 8 3 3" xfId="30113" xr:uid="{00000000-0005-0000-0000-0000CCA40000}"/>
    <cellStyle name="Normal 6 2 8 3 3 2" xfId="58096" xr:uid="{00000000-0005-0000-0000-0000CDA40000}"/>
    <cellStyle name="Normal 6 2 8 3 3 3" xfId="58097" xr:uid="{00000000-0005-0000-0000-0000CEA40000}"/>
    <cellStyle name="Normal 6 2 8 3 4" xfId="30114" xr:uid="{00000000-0005-0000-0000-0000CFA40000}"/>
    <cellStyle name="Normal 6 2 8 3 4 2" xfId="58098" xr:uid="{00000000-0005-0000-0000-0000D0A40000}"/>
    <cellStyle name="Normal 6 2 8 3 5" xfId="30115" xr:uid="{00000000-0005-0000-0000-0000D1A40000}"/>
    <cellStyle name="Normal 6 2 8 3 6" xfId="30116" xr:uid="{00000000-0005-0000-0000-0000D2A40000}"/>
    <cellStyle name="Normal 6 2 8 3 7" xfId="30117" xr:uid="{00000000-0005-0000-0000-0000D3A40000}"/>
    <cellStyle name="Normal 6 2 8 4" xfId="30118" xr:uid="{00000000-0005-0000-0000-0000D4A40000}"/>
    <cellStyle name="Normal 6 2 8 4 2" xfId="30119" xr:uid="{00000000-0005-0000-0000-0000D5A40000}"/>
    <cellStyle name="Normal 6 2 8 4 2 2" xfId="58099" xr:uid="{00000000-0005-0000-0000-0000D6A40000}"/>
    <cellStyle name="Normal 6 2 8 4 2 3" xfId="58100" xr:uid="{00000000-0005-0000-0000-0000D7A40000}"/>
    <cellStyle name="Normal 6 2 8 4 3" xfId="30120" xr:uid="{00000000-0005-0000-0000-0000D8A40000}"/>
    <cellStyle name="Normal 6 2 8 4 3 2" xfId="58101" xr:uid="{00000000-0005-0000-0000-0000D9A40000}"/>
    <cellStyle name="Normal 6 2 8 4 4" xfId="30121" xr:uid="{00000000-0005-0000-0000-0000DAA40000}"/>
    <cellStyle name="Normal 6 2 8 4 5" xfId="30122" xr:uid="{00000000-0005-0000-0000-0000DBA40000}"/>
    <cellStyle name="Normal 6 2 8 4 6" xfId="30123" xr:uid="{00000000-0005-0000-0000-0000DCA40000}"/>
    <cellStyle name="Normal 6 2 8 5" xfId="30124" xr:uid="{00000000-0005-0000-0000-0000DDA40000}"/>
    <cellStyle name="Normal 6 2 8 5 2" xfId="58102" xr:uid="{00000000-0005-0000-0000-0000DEA40000}"/>
    <cellStyle name="Normal 6 2 8 5 3" xfId="58103" xr:uid="{00000000-0005-0000-0000-0000DFA40000}"/>
    <cellStyle name="Normal 6 2 8 6" xfId="30125" xr:uid="{00000000-0005-0000-0000-0000E0A40000}"/>
    <cellStyle name="Normal 6 2 8 6 2" xfId="58104" xr:uid="{00000000-0005-0000-0000-0000E1A40000}"/>
    <cellStyle name="Normal 6 2 8 7" xfId="30126" xr:uid="{00000000-0005-0000-0000-0000E2A40000}"/>
    <cellStyle name="Normal 6 2 8 8" xfId="30127" xr:uid="{00000000-0005-0000-0000-0000E3A40000}"/>
    <cellStyle name="Normal 6 2 8 9" xfId="30128" xr:uid="{00000000-0005-0000-0000-0000E4A40000}"/>
    <cellStyle name="Normal 6 2 9" xfId="30129" xr:uid="{00000000-0005-0000-0000-0000E5A40000}"/>
    <cellStyle name="Normal 6 2 9 2" xfId="30130" xr:uid="{00000000-0005-0000-0000-0000E6A40000}"/>
    <cellStyle name="Normal 6 2 9 2 2" xfId="30131" xr:uid="{00000000-0005-0000-0000-0000E7A40000}"/>
    <cellStyle name="Normal 6 2 9 2 2 2" xfId="30132" xr:uid="{00000000-0005-0000-0000-0000E8A40000}"/>
    <cellStyle name="Normal 6 2 9 2 2 2 2" xfId="58105" xr:uid="{00000000-0005-0000-0000-0000E9A40000}"/>
    <cellStyle name="Normal 6 2 9 2 2 2 3" xfId="58106" xr:uid="{00000000-0005-0000-0000-0000EAA40000}"/>
    <cellStyle name="Normal 6 2 9 2 2 3" xfId="30133" xr:uid="{00000000-0005-0000-0000-0000EBA40000}"/>
    <cellStyle name="Normal 6 2 9 2 2 3 2" xfId="58107" xr:uid="{00000000-0005-0000-0000-0000ECA40000}"/>
    <cellStyle name="Normal 6 2 9 2 2 4" xfId="30134" xr:uid="{00000000-0005-0000-0000-0000EDA40000}"/>
    <cellStyle name="Normal 6 2 9 2 2 5" xfId="30135" xr:uid="{00000000-0005-0000-0000-0000EEA40000}"/>
    <cellStyle name="Normal 6 2 9 2 2 6" xfId="30136" xr:uid="{00000000-0005-0000-0000-0000EFA40000}"/>
    <cellStyle name="Normal 6 2 9 2 3" xfId="30137" xr:uid="{00000000-0005-0000-0000-0000F0A40000}"/>
    <cellStyle name="Normal 6 2 9 2 3 2" xfId="58108" xr:uid="{00000000-0005-0000-0000-0000F1A40000}"/>
    <cellStyle name="Normal 6 2 9 2 3 3" xfId="58109" xr:uid="{00000000-0005-0000-0000-0000F2A40000}"/>
    <cellStyle name="Normal 6 2 9 2 4" xfId="30138" xr:uid="{00000000-0005-0000-0000-0000F3A40000}"/>
    <cellStyle name="Normal 6 2 9 2 4 2" xfId="58110" xr:uid="{00000000-0005-0000-0000-0000F4A40000}"/>
    <cellStyle name="Normal 6 2 9 2 5" xfId="30139" xr:uid="{00000000-0005-0000-0000-0000F5A40000}"/>
    <cellStyle name="Normal 6 2 9 2 6" xfId="30140" xr:uid="{00000000-0005-0000-0000-0000F6A40000}"/>
    <cellStyle name="Normal 6 2 9 2 7" xfId="30141" xr:uid="{00000000-0005-0000-0000-0000F7A40000}"/>
    <cellStyle name="Normal 6 2 9 3" xfId="30142" xr:uid="{00000000-0005-0000-0000-0000F8A40000}"/>
    <cellStyle name="Normal 6 2 9 3 2" xfId="30143" xr:uid="{00000000-0005-0000-0000-0000F9A40000}"/>
    <cellStyle name="Normal 6 2 9 3 2 2" xfId="58111" xr:uid="{00000000-0005-0000-0000-0000FAA40000}"/>
    <cellStyle name="Normal 6 2 9 3 2 3" xfId="58112" xr:uid="{00000000-0005-0000-0000-0000FBA40000}"/>
    <cellStyle name="Normal 6 2 9 3 3" xfId="30144" xr:uid="{00000000-0005-0000-0000-0000FCA40000}"/>
    <cellStyle name="Normal 6 2 9 3 3 2" xfId="58113" xr:uid="{00000000-0005-0000-0000-0000FDA40000}"/>
    <cellStyle name="Normal 6 2 9 3 4" xfId="30145" xr:uid="{00000000-0005-0000-0000-0000FEA40000}"/>
    <cellStyle name="Normal 6 2 9 3 5" xfId="30146" xr:uid="{00000000-0005-0000-0000-0000FFA40000}"/>
    <cellStyle name="Normal 6 2 9 3 6" xfId="30147" xr:uid="{00000000-0005-0000-0000-000000A50000}"/>
    <cellStyle name="Normal 6 2 9 4" xfId="30148" xr:uid="{00000000-0005-0000-0000-000001A50000}"/>
    <cellStyle name="Normal 6 2 9 4 2" xfId="58114" xr:uid="{00000000-0005-0000-0000-000002A50000}"/>
    <cellStyle name="Normal 6 2 9 4 3" xfId="58115" xr:uid="{00000000-0005-0000-0000-000003A50000}"/>
    <cellStyle name="Normal 6 2 9 5" xfId="30149" xr:uid="{00000000-0005-0000-0000-000004A50000}"/>
    <cellStyle name="Normal 6 2 9 5 2" xfId="58116" xr:uid="{00000000-0005-0000-0000-000005A50000}"/>
    <cellStyle name="Normal 6 2 9 6" xfId="30150" xr:uid="{00000000-0005-0000-0000-000006A50000}"/>
    <cellStyle name="Normal 6 2 9 7" xfId="30151" xr:uid="{00000000-0005-0000-0000-000007A50000}"/>
    <cellStyle name="Normal 6 2 9 8" xfId="30152" xr:uid="{00000000-0005-0000-0000-000008A50000}"/>
    <cellStyle name="Normal 6 2 9 9" xfId="30153" xr:uid="{00000000-0005-0000-0000-000009A50000}"/>
    <cellStyle name="Normal 6 20" xfId="30154" xr:uid="{00000000-0005-0000-0000-00000AA50000}"/>
    <cellStyle name="Normal 6 21" xfId="30155" xr:uid="{00000000-0005-0000-0000-00000BA50000}"/>
    <cellStyle name="Normal 6 22" xfId="30156" xr:uid="{00000000-0005-0000-0000-00000CA50000}"/>
    <cellStyle name="Normal 6 23" xfId="30157" xr:uid="{00000000-0005-0000-0000-00000DA50000}"/>
    <cellStyle name="Normal 6 3" xfId="30158" xr:uid="{00000000-0005-0000-0000-00000EA50000}"/>
    <cellStyle name="Normal 6 3 10" xfId="30159" xr:uid="{00000000-0005-0000-0000-00000FA50000}"/>
    <cellStyle name="Normal 6 3 10 2" xfId="30160" xr:uid="{00000000-0005-0000-0000-000010A50000}"/>
    <cellStyle name="Normal 6 3 10 2 2" xfId="30161" xr:uid="{00000000-0005-0000-0000-000011A50000}"/>
    <cellStyle name="Normal 6 3 10 2 2 2" xfId="58117" xr:uid="{00000000-0005-0000-0000-000012A50000}"/>
    <cellStyle name="Normal 6 3 10 2 2 3" xfId="58118" xr:uid="{00000000-0005-0000-0000-000013A50000}"/>
    <cellStyle name="Normal 6 3 10 2 3" xfId="30162" xr:uid="{00000000-0005-0000-0000-000014A50000}"/>
    <cellStyle name="Normal 6 3 10 2 3 2" xfId="58119" xr:uid="{00000000-0005-0000-0000-000015A50000}"/>
    <cellStyle name="Normal 6 3 10 2 4" xfId="30163" xr:uid="{00000000-0005-0000-0000-000016A50000}"/>
    <cellStyle name="Normal 6 3 10 2 5" xfId="30164" xr:uid="{00000000-0005-0000-0000-000017A50000}"/>
    <cellStyle name="Normal 6 3 10 2 6" xfId="30165" xr:uid="{00000000-0005-0000-0000-000018A50000}"/>
    <cellStyle name="Normal 6 3 10 3" xfId="30166" xr:uid="{00000000-0005-0000-0000-000019A50000}"/>
    <cellStyle name="Normal 6 3 10 3 2" xfId="58120" xr:uid="{00000000-0005-0000-0000-00001AA50000}"/>
    <cellStyle name="Normal 6 3 10 3 3" xfId="58121" xr:uid="{00000000-0005-0000-0000-00001BA50000}"/>
    <cellStyle name="Normal 6 3 10 4" xfId="30167" xr:uid="{00000000-0005-0000-0000-00001CA50000}"/>
    <cellStyle name="Normal 6 3 10 4 2" xfId="58122" xr:uid="{00000000-0005-0000-0000-00001DA50000}"/>
    <cellStyle name="Normal 6 3 10 5" xfId="30168" xr:uid="{00000000-0005-0000-0000-00001EA50000}"/>
    <cellStyle name="Normal 6 3 10 6" xfId="30169" xr:uid="{00000000-0005-0000-0000-00001FA50000}"/>
    <cellStyle name="Normal 6 3 10 7" xfId="30170" xr:uid="{00000000-0005-0000-0000-000020A50000}"/>
    <cellStyle name="Normal 6 3 11" xfId="30171" xr:uid="{00000000-0005-0000-0000-000021A50000}"/>
    <cellStyle name="Normal 6 3 11 2" xfId="30172" xr:uid="{00000000-0005-0000-0000-000022A50000}"/>
    <cellStyle name="Normal 6 3 11 2 2" xfId="58123" xr:uid="{00000000-0005-0000-0000-000023A50000}"/>
    <cellStyle name="Normal 6 3 11 2 3" xfId="58124" xr:uid="{00000000-0005-0000-0000-000024A50000}"/>
    <cellStyle name="Normal 6 3 11 3" xfId="30173" xr:uid="{00000000-0005-0000-0000-000025A50000}"/>
    <cellStyle name="Normal 6 3 11 3 2" xfId="58125" xr:uid="{00000000-0005-0000-0000-000026A50000}"/>
    <cellStyle name="Normal 6 3 11 4" xfId="30174" xr:uid="{00000000-0005-0000-0000-000027A50000}"/>
    <cellStyle name="Normal 6 3 11 5" xfId="30175" xr:uid="{00000000-0005-0000-0000-000028A50000}"/>
    <cellStyle name="Normal 6 3 11 6" xfId="30176" xr:uid="{00000000-0005-0000-0000-000029A50000}"/>
    <cellStyle name="Normal 6 3 12" xfId="30177" xr:uid="{00000000-0005-0000-0000-00002AA50000}"/>
    <cellStyle name="Normal 6 3 12 2" xfId="30178" xr:uid="{00000000-0005-0000-0000-00002BA50000}"/>
    <cellStyle name="Normal 6 3 12 3" xfId="30179" xr:uid="{00000000-0005-0000-0000-00002CA50000}"/>
    <cellStyle name="Normal 6 3 12 4" xfId="30180" xr:uid="{00000000-0005-0000-0000-00002DA50000}"/>
    <cellStyle name="Normal 6 3 12 5" xfId="30181" xr:uid="{00000000-0005-0000-0000-00002EA50000}"/>
    <cellStyle name="Normal 6 3 13" xfId="30182" xr:uid="{00000000-0005-0000-0000-00002FA50000}"/>
    <cellStyle name="Normal 6 3 13 2" xfId="30183" xr:uid="{00000000-0005-0000-0000-000030A50000}"/>
    <cellStyle name="Normal 6 3 14" xfId="30184" xr:uid="{00000000-0005-0000-0000-000031A50000}"/>
    <cellStyle name="Normal 6 3 14 2" xfId="58126" xr:uid="{00000000-0005-0000-0000-000032A50000}"/>
    <cellStyle name="Normal 6 3 15" xfId="30185" xr:uid="{00000000-0005-0000-0000-000033A50000}"/>
    <cellStyle name="Normal 6 3 16" xfId="30186" xr:uid="{00000000-0005-0000-0000-000034A50000}"/>
    <cellStyle name="Normal 6 3 17" xfId="30187" xr:uid="{00000000-0005-0000-0000-000035A50000}"/>
    <cellStyle name="Normal 6 3 18" xfId="30188" xr:uid="{00000000-0005-0000-0000-000036A50000}"/>
    <cellStyle name="Normal 6 3 2" xfId="30189" xr:uid="{00000000-0005-0000-0000-000037A50000}"/>
    <cellStyle name="Normal 6 3 2 10" xfId="30190" xr:uid="{00000000-0005-0000-0000-000038A50000}"/>
    <cellStyle name="Normal 6 3 2 11" xfId="30191" xr:uid="{00000000-0005-0000-0000-000039A50000}"/>
    <cellStyle name="Normal 6 3 2 12" xfId="30192" xr:uid="{00000000-0005-0000-0000-00003AA50000}"/>
    <cellStyle name="Normal 6 3 2 13" xfId="30193" xr:uid="{00000000-0005-0000-0000-00003BA50000}"/>
    <cellStyle name="Normal 6 3 2 14" xfId="30194" xr:uid="{00000000-0005-0000-0000-00003CA50000}"/>
    <cellStyle name="Normal 6 3 2 15" xfId="30195" xr:uid="{00000000-0005-0000-0000-00003DA50000}"/>
    <cellStyle name="Normal 6 3 2 2" xfId="30196" xr:uid="{00000000-0005-0000-0000-00003EA50000}"/>
    <cellStyle name="Normal 6 3 2 2 10" xfId="30197" xr:uid="{00000000-0005-0000-0000-00003FA50000}"/>
    <cellStyle name="Normal 6 3 2 2 11" xfId="30198" xr:uid="{00000000-0005-0000-0000-000040A50000}"/>
    <cellStyle name="Normal 6 3 2 2 12" xfId="30199" xr:uid="{00000000-0005-0000-0000-000041A50000}"/>
    <cellStyle name="Normal 6 3 2 2 13" xfId="30200" xr:uid="{00000000-0005-0000-0000-000042A50000}"/>
    <cellStyle name="Normal 6 3 2 2 14" xfId="30201" xr:uid="{00000000-0005-0000-0000-000043A50000}"/>
    <cellStyle name="Normal 6 3 2 2 2" xfId="30202" xr:uid="{00000000-0005-0000-0000-000044A50000}"/>
    <cellStyle name="Normal 6 3 2 2 2 2" xfId="30203" xr:uid="{00000000-0005-0000-0000-000045A50000}"/>
    <cellStyle name="Normal 6 3 2 2 2 2 2" xfId="30204" xr:uid="{00000000-0005-0000-0000-000046A50000}"/>
    <cellStyle name="Normal 6 3 2 2 2 2 2 2" xfId="30205" xr:uid="{00000000-0005-0000-0000-000047A50000}"/>
    <cellStyle name="Normal 6 3 2 2 2 2 2 2 2" xfId="58127" xr:uid="{00000000-0005-0000-0000-000048A50000}"/>
    <cellStyle name="Normal 6 3 2 2 2 2 2 2 3" xfId="58128" xr:uid="{00000000-0005-0000-0000-000049A50000}"/>
    <cellStyle name="Normal 6 3 2 2 2 2 2 3" xfId="30206" xr:uid="{00000000-0005-0000-0000-00004AA50000}"/>
    <cellStyle name="Normal 6 3 2 2 2 2 2 3 2" xfId="58129" xr:uid="{00000000-0005-0000-0000-00004BA50000}"/>
    <cellStyle name="Normal 6 3 2 2 2 2 2 4" xfId="30207" xr:uid="{00000000-0005-0000-0000-00004CA50000}"/>
    <cellStyle name="Normal 6 3 2 2 2 2 2 5" xfId="30208" xr:uid="{00000000-0005-0000-0000-00004DA50000}"/>
    <cellStyle name="Normal 6 3 2 2 2 2 2 6" xfId="30209" xr:uid="{00000000-0005-0000-0000-00004EA50000}"/>
    <cellStyle name="Normal 6 3 2 2 2 2 3" xfId="30210" xr:uid="{00000000-0005-0000-0000-00004FA50000}"/>
    <cellStyle name="Normal 6 3 2 2 2 2 3 2" xfId="58130" xr:uid="{00000000-0005-0000-0000-000050A50000}"/>
    <cellStyle name="Normal 6 3 2 2 2 2 3 3" xfId="58131" xr:uid="{00000000-0005-0000-0000-000051A50000}"/>
    <cellStyle name="Normal 6 3 2 2 2 2 4" xfId="30211" xr:uid="{00000000-0005-0000-0000-000052A50000}"/>
    <cellStyle name="Normal 6 3 2 2 2 2 4 2" xfId="58132" xr:uid="{00000000-0005-0000-0000-000053A50000}"/>
    <cellStyle name="Normal 6 3 2 2 2 2 5" xfId="30212" xr:uid="{00000000-0005-0000-0000-000054A50000}"/>
    <cellStyle name="Normal 6 3 2 2 2 2 6" xfId="30213" xr:uid="{00000000-0005-0000-0000-000055A50000}"/>
    <cellStyle name="Normal 6 3 2 2 2 2 7" xfId="30214" xr:uid="{00000000-0005-0000-0000-000056A50000}"/>
    <cellStyle name="Normal 6 3 2 2 2 3" xfId="30215" xr:uid="{00000000-0005-0000-0000-000057A50000}"/>
    <cellStyle name="Normal 6 3 2 2 2 3 2" xfId="30216" xr:uid="{00000000-0005-0000-0000-000058A50000}"/>
    <cellStyle name="Normal 6 3 2 2 2 3 2 2" xfId="58133" xr:uid="{00000000-0005-0000-0000-000059A50000}"/>
    <cellStyle name="Normal 6 3 2 2 2 3 2 3" xfId="58134" xr:uid="{00000000-0005-0000-0000-00005AA50000}"/>
    <cellStyle name="Normal 6 3 2 2 2 3 3" xfId="30217" xr:uid="{00000000-0005-0000-0000-00005BA50000}"/>
    <cellStyle name="Normal 6 3 2 2 2 3 3 2" xfId="58135" xr:uid="{00000000-0005-0000-0000-00005CA50000}"/>
    <cellStyle name="Normal 6 3 2 2 2 3 4" xfId="30218" xr:uid="{00000000-0005-0000-0000-00005DA50000}"/>
    <cellStyle name="Normal 6 3 2 2 2 3 5" xfId="30219" xr:uid="{00000000-0005-0000-0000-00005EA50000}"/>
    <cellStyle name="Normal 6 3 2 2 2 3 6" xfId="30220" xr:uid="{00000000-0005-0000-0000-00005FA50000}"/>
    <cellStyle name="Normal 6 3 2 2 2 4" xfId="30221" xr:uid="{00000000-0005-0000-0000-000060A50000}"/>
    <cellStyle name="Normal 6 3 2 2 2 4 2" xfId="58136" xr:uid="{00000000-0005-0000-0000-000061A50000}"/>
    <cellStyle name="Normal 6 3 2 2 2 4 3" xfId="58137" xr:uid="{00000000-0005-0000-0000-000062A50000}"/>
    <cellStyle name="Normal 6 3 2 2 2 5" xfId="30222" xr:uid="{00000000-0005-0000-0000-000063A50000}"/>
    <cellStyle name="Normal 6 3 2 2 2 5 2" xfId="58138" xr:uid="{00000000-0005-0000-0000-000064A50000}"/>
    <cellStyle name="Normal 6 3 2 2 2 6" xfId="30223" xr:uid="{00000000-0005-0000-0000-000065A50000}"/>
    <cellStyle name="Normal 6 3 2 2 2 7" xfId="30224" xr:uid="{00000000-0005-0000-0000-000066A50000}"/>
    <cellStyle name="Normal 6 3 2 2 2 8" xfId="30225" xr:uid="{00000000-0005-0000-0000-000067A50000}"/>
    <cellStyle name="Normal 6 3 2 2 2 9" xfId="30226" xr:uid="{00000000-0005-0000-0000-000068A50000}"/>
    <cellStyle name="Normal 6 3 2 2 3" xfId="30227" xr:uid="{00000000-0005-0000-0000-000069A50000}"/>
    <cellStyle name="Normal 6 3 2 2 3 2" xfId="30228" xr:uid="{00000000-0005-0000-0000-00006AA50000}"/>
    <cellStyle name="Normal 6 3 2 2 3 2 2" xfId="30229" xr:uid="{00000000-0005-0000-0000-00006BA50000}"/>
    <cellStyle name="Normal 6 3 2 2 3 2 2 2" xfId="30230" xr:uid="{00000000-0005-0000-0000-00006CA50000}"/>
    <cellStyle name="Normal 6 3 2 2 3 2 2 2 2" xfId="58139" xr:uid="{00000000-0005-0000-0000-00006DA50000}"/>
    <cellStyle name="Normal 6 3 2 2 3 2 2 2 3" xfId="58140" xr:uid="{00000000-0005-0000-0000-00006EA50000}"/>
    <cellStyle name="Normal 6 3 2 2 3 2 2 3" xfId="30231" xr:uid="{00000000-0005-0000-0000-00006FA50000}"/>
    <cellStyle name="Normal 6 3 2 2 3 2 2 3 2" xfId="58141" xr:uid="{00000000-0005-0000-0000-000070A50000}"/>
    <cellStyle name="Normal 6 3 2 2 3 2 2 4" xfId="30232" xr:uid="{00000000-0005-0000-0000-000071A50000}"/>
    <cellStyle name="Normal 6 3 2 2 3 2 2 5" xfId="30233" xr:uid="{00000000-0005-0000-0000-000072A50000}"/>
    <cellStyle name="Normal 6 3 2 2 3 2 2 6" xfId="30234" xr:uid="{00000000-0005-0000-0000-000073A50000}"/>
    <cellStyle name="Normal 6 3 2 2 3 2 3" xfId="30235" xr:uid="{00000000-0005-0000-0000-000074A50000}"/>
    <cellStyle name="Normal 6 3 2 2 3 2 3 2" xfId="58142" xr:uid="{00000000-0005-0000-0000-000075A50000}"/>
    <cellStyle name="Normal 6 3 2 2 3 2 3 3" xfId="58143" xr:uid="{00000000-0005-0000-0000-000076A50000}"/>
    <cellStyle name="Normal 6 3 2 2 3 2 4" xfId="30236" xr:uid="{00000000-0005-0000-0000-000077A50000}"/>
    <cellStyle name="Normal 6 3 2 2 3 2 4 2" xfId="58144" xr:uid="{00000000-0005-0000-0000-000078A50000}"/>
    <cellStyle name="Normal 6 3 2 2 3 2 5" xfId="30237" xr:uid="{00000000-0005-0000-0000-000079A50000}"/>
    <cellStyle name="Normal 6 3 2 2 3 2 6" xfId="30238" xr:uid="{00000000-0005-0000-0000-00007AA50000}"/>
    <cellStyle name="Normal 6 3 2 2 3 2 7" xfId="30239" xr:uid="{00000000-0005-0000-0000-00007BA50000}"/>
    <cellStyle name="Normal 6 3 2 2 3 3" xfId="30240" xr:uid="{00000000-0005-0000-0000-00007CA50000}"/>
    <cellStyle name="Normal 6 3 2 2 3 3 2" xfId="30241" xr:uid="{00000000-0005-0000-0000-00007DA50000}"/>
    <cellStyle name="Normal 6 3 2 2 3 3 2 2" xfId="58145" xr:uid="{00000000-0005-0000-0000-00007EA50000}"/>
    <cellStyle name="Normal 6 3 2 2 3 3 2 3" xfId="58146" xr:uid="{00000000-0005-0000-0000-00007FA50000}"/>
    <cellStyle name="Normal 6 3 2 2 3 3 3" xfId="30242" xr:uid="{00000000-0005-0000-0000-000080A50000}"/>
    <cellStyle name="Normal 6 3 2 2 3 3 3 2" xfId="58147" xr:uid="{00000000-0005-0000-0000-000081A50000}"/>
    <cellStyle name="Normal 6 3 2 2 3 3 4" xfId="30243" xr:uid="{00000000-0005-0000-0000-000082A50000}"/>
    <cellStyle name="Normal 6 3 2 2 3 3 5" xfId="30244" xr:uid="{00000000-0005-0000-0000-000083A50000}"/>
    <cellStyle name="Normal 6 3 2 2 3 3 6" xfId="30245" xr:uid="{00000000-0005-0000-0000-000084A50000}"/>
    <cellStyle name="Normal 6 3 2 2 3 4" xfId="30246" xr:uid="{00000000-0005-0000-0000-000085A50000}"/>
    <cellStyle name="Normal 6 3 2 2 3 4 2" xfId="58148" xr:uid="{00000000-0005-0000-0000-000086A50000}"/>
    <cellStyle name="Normal 6 3 2 2 3 4 3" xfId="58149" xr:uid="{00000000-0005-0000-0000-000087A50000}"/>
    <cellStyle name="Normal 6 3 2 2 3 5" xfId="30247" xr:uid="{00000000-0005-0000-0000-000088A50000}"/>
    <cellStyle name="Normal 6 3 2 2 3 5 2" xfId="58150" xr:uid="{00000000-0005-0000-0000-000089A50000}"/>
    <cellStyle name="Normal 6 3 2 2 3 6" xfId="30248" xr:uid="{00000000-0005-0000-0000-00008AA50000}"/>
    <cellStyle name="Normal 6 3 2 2 3 7" xfId="30249" xr:uid="{00000000-0005-0000-0000-00008BA50000}"/>
    <cellStyle name="Normal 6 3 2 2 3 8" xfId="30250" xr:uid="{00000000-0005-0000-0000-00008CA50000}"/>
    <cellStyle name="Normal 6 3 2 2 4" xfId="30251" xr:uid="{00000000-0005-0000-0000-00008DA50000}"/>
    <cellStyle name="Normal 6 3 2 2 4 2" xfId="30252" xr:uid="{00000000-0005-0000-0000-00008EA50000}"/>
    <cellStyle name="Normal 6 3 2 2 4 2 2" xfId="30253" xr:uid="{00000000-0005-0000-0000-00008FA50000}"/>
    <cellStyle name="Normal 6 3 2 2 4 2 2 2" xfId="58151" xr:uid="{00000000-0005-0000-0000-000090A50000}"/>
    <cellStyle name="Normal 6 3 2 2 4 2 2 3" xfId="58152" xr:uid="{00000000-0005-0000-0000-000091A50000}"/>
    <cellStyle name="Normal 6 3 2 2 4 2 3" xfId="30254" xr:uid="{00000000-0005-0000-0000-000092A50000}"/>
    <cellStyle name="Normal 6 3 2 2 4 2 3 2" xfId="58153" xr:uid="{00000000-0005-0000-0000-000093A50000}"/>
    <cellStyle name="Normal 6 3 2 2 4 2 4" xfId="30255" xr:uid="{00000000-0005-0000-0000-000094A50000}"/>
    <cellStyle name="Normal 6 3 2 2 4 2 5" xfId="30256" xr:uid="{00000000-0005-0000-0000-000095A50000}"/>
    <cellStyle name="Normal 6 3 2 2 4 2 6" xfId="30257" xr:uid="{00000000-0005-0000-0000-000096A50000}"/>
    <cellStyle name="Normal 6 3 2 2 4 3" xfId="30258" xr:uid="{00000000-0005-0000-0000-000097A50000}"/>
    <cellStyle name="Normal 6 3 2 2 4 3 2" xfId="58154" xr:uid="{00000000-0005-0000-0000-000098A50000}"/>
    <cellStyle name="Normal 6 3 2 2 4 3 3" xfId="58155" xr:uid="{00000000-0005-0000-0000-000099A50000}"/>
    <cellStyle name="Normal 6 3 2 2 4 4" xfId="30259" xr:uid="{00000000-0005-0000-0000-00009AA50000}"/>
    <cellStyle name="Normal 6 3 2 2 4 4 2" xfId="58156" xr:uid="{00000000-0005-0000-0000-00009BA50000}"/>
    <cellStyle name="Normal 6 3 2 2 4 5" xfId="30260" xr:uid="{00000000-0005-0000-0000-00009CA50000}"/>
    <cellStyle name="Normal 6 3 2 2 4 6" xfId="30261" xr:uid="{00000000-0005-0000-0000-00009DA50000}"/>
    <cellStyle name="Normal 6 3 2 2 4 7" xfId="30262" xr:uid="{00000000-0005-0000-0000-00009EA50000}"/>
    <cellStyle name="Normal 6 3 2 2 5" xfId="30263" xr:uid="{00000000-0005-0000-0000-00009FA50000}"/>
    <cellStyle name="Normal 6 3 2 2 5 2" xfId="30264" xr:uid="{00000000-0005-0000-0000-0000A0A50000}"/>
    <cellStyle name="Normal 6 3 2 2 5 2 2" xfId="58157" xr:uid="{00000000-0005-0000-0000-0000A1A50000}"/>
    <cellStyle name="Normal 6 3 2 2 5 2 3" xfId="58158" xr:uid="{00000000-0005-0000-0000-0000A2A50000}"/>
    <cellStyle name="Normal 6 3 2 2 5 3" xfId="30265" xr:uid="{00000000-0005-0000-0000-0000A3A50000}"/>
    <cellStyle name="Normal 6 3 2 2 5 3 2" xfId="58159" xr:uid="{00000000-0005-0000-0000-0000A4A50000}"/>
    <cellStyle name="Normal 6 3 2 2 5 4" xfId="30266" xr:uid="{00000000-0005-0000-0000-0000A5A50000}"/>
    <cellStyle name="Normal 6 3 2 2 5 5" xfId="30267" xr:uid="{00000000-0005-0000-0000-0000A6A50000}"/>
    <cellStyle name="Normal 6 3 2 2 5 6" xfId="30268" xr:uid="{00000000-0005-0000-0000-0000A7A50000}"/>
    <cellStyle name="Normal 6 3 2 2 6" xfId="30269" xr:uid="{00000000-0005-0000-0000-0000A8A50000}"/>
    <cellStyle name="Normal 6 3 2 2 6 2" xfId="58160" xr:uid="{00000000-0005-0000-0000-0000A9A50000}"/>
    <cellStyle name="Normal 6 3 2 2 6 3" xfId="58161" xr:uid="{00000000-0005-0000-0000-0000AAA50000}"/>
    <cellStyle name="Normal 6 3 2 2 7" xfId="30270" xr:uid="{00000000-0005-0000-0000-0000ABA50000}"/>
    <cellStyle name="Normal 6 3 2 2 7 2" xfId="58162" xr:uid="{00000000-0005-0000-0000-0000ACA50000}"/>
    <cellStyle name="Normal 6 3 2 2 8" xfId="30271" xr:uid="{00000000-0005-0000-0000-0000ADA50000}"/>
    <cellStyle name="Normal 6 3 2 2 9" xfId="30272" xr:uid="{00000000-0005-0000-0000-0000AEA50000}"/>
    <cellStyle name="Normal 6 3 2 3" xfId="30273" xr:uid="{00000000-0005-0000-0000-0000AFA50000}"/>
    <cellStyle name="Normal 6 3 2 3 2" xfId="30274" xr:uid="{00000000-0005-0000-0000-0000B0A50000}"/>
    <cellStyle name="Normal 6 3 2 3 2 2" xfId="30275" xr:uid="{00000000-0005-0000-0000-0000B1A50000}"/>
    <cellStyle name="Normal 6 3 2 3 2 2 2" xfId="30276" xr:uid="{00000000-0005-0000-0000-0000B2A50000}"/>
    <cellStyle name="Normal 6 3 2 3 2 2 2 2" xfId="58163" xr:uid="{00000000-0005-0000-0000-0000B3A50000}"/>
    <cellStyle name="Normal 6 3 2 3 2 2 2 3" xfId="58164" xr:uid="{00000000-0005-0000-0000-0000B4A50000}"/>
    <cellStyle name="Normal 6 3 2 3 2 2 3" xfId="30277" xr:uid="{00000000-0005-0000-0000-0000B5A50000}"/>
    <cellStyle name="Normal 6 3 2 3 2 2 3 2" xfId="58165" xr:uid="{00000000-0005-0000-0000-0000B6A50000}"/>
    <cellStyle name="Normal 6 3 2 3 2 2 4" xfId="30278" xr:uid="{00000000-0005-0000-0000-0000B7A50000}"/>
    <cellStyle name="Normal 6 3 2 3 2 2 5" xfId="30279" xr:uid="{00000000-0005-0000-0000-0000B8A50000}"/>
    <cellStyle name="Normal 6 3 2 3 2 2 6" xfId="30280" xr:uid="{00000000-0005-0000-0000-0000B9A50000}"/>
    <cellStyle name="Normal 6 3 2 3 2 3" xfId="30281" xr:uid="{00000000-0005-0000-0000-0000BAA50000}"/>
    <cellStyle name="Normal 6 3 2 3 2 3 2" xfId="58166" xr:uid="{00000000-0005-0000-0000-0000BBA50000}"/>
    <cellStyle name="Normal 6 3 2 3 2 3 3" xfId="58167" xr:uid="{00000000-0005-0000-0000-0000BCA50000}"/>
    <cellStyle name="Normal 6 3 2 3 2 4" xfId="30282" xr:uid="{00000000-0005-0000-0000-0000BDA50000}"/>
    <cellStyle name="Normal 6 3 2 3 2 4 2" xfId="58168" xr:uid="{00000000-0005-0000-0000-0000BEA50000}"/>
    <cellStyle name="Normal 6 3 2 3 2 5" xfId="30283" xr:uid="{00000000-0005-0000-0000-0000BFA50000}"/>
    <cellStyle name="Normal 6 3 2 3 2 6" xfId="30284" xr:uid="{00000000-0005-0000-0000-0000C0A50000}"/>
    <cellStyle name="Normal 6 3 2 3 2 7" xfId="30285" xr:uid="{00000000-0005-0000-0000-0000C1A50000}"/>
    <cellStyle name="Normal 6 3 2 3 3" xfId="30286" xr:uid="{00000000-0005-0000-0000-0000C2A50000}"/>
    <cellStyle name="Normal 6 3 2 3 3 2" xfId="30287" xr:uid="{00000000-0005-0000-0000-0000C3A50000}"/>
    <cellStyle name="Normal 6 3 2 3 3 2 2" xfId="58169" xr:uid="{00000000-0005-0000-0000-0000C4A50000}"/>
    <cellStyle name="Normal 6 3 2 3 3 2 3" xfId="58170" xr:uid="{00000000-0005-0000-0000-0000C5A50000}"/>
    <cellStyle name="Normal 6 3 2 3 3 3" xfId="30288" xr:uid="{00000000-0005-0000-0000-0000C6A50000}"/>
    <cellStyle name="Normal 6 3 2 3 3 3 2" xfId="58171" xr:uid="{00000000-0005-0000-0000-0000C7A50000}"/>
    <cellStyle name="Normal 6 3 2 3 3 4" xfId="30289" xr:uid="{00000000-0005-0000-0000-0000C8A50000}"/>
    <cellStyle name="Normal 6 3 2 3 3 5" xfId="30290" xr:uid="{00000000-0005-0000-0000-0000C9A50000}"/>
    <cellStyle name="Normal 6 3 2 3 3 6" xfId="30291" xr:uid="{00000000-0005-0000-0000-0000CAA50000}"/>
    <cellStyle name="Normal 6 3 2 3 4" xfId="30292" xr:uid="{00000000-0005-0000-0000-0000CBA50000}"/>
    <cellStyle name="Normal 6 3 2 3 4 2" xfId="58172" xr:uid="{00000000-0005-0000-0000-0000CCA50000}"/>
    <cellStyle name="Normal 6 3 2 3 4 3" xfId="58173" xr:uid="{00000000-0005-0000-0000-0000CDA50000}"/>
    <cellStyle name="Normal 6 3 2 3 5" xfId="30293" xr:uid="{00000000-0005-0000-0000-0000CEA50000}"/>
    <cellStyle name="Normal 6 3 2 3 5 2" xfId="58174" xr:uid="{00000000-0005-0000-0000-0000CFA50000}"/>
    <cellStyle name="Normal 6 3 2 3 6" xfId="30294" xr:uid="{00000000-0005-0000-0000-0000D0A50000}"/>
    <cellStyle name="Normal 6 3 2 3 7" xfId="30295" xr:uid="{00000000-0005-0000-0000-0000D1A50000}"/>
    <cellStyle name="Normal 6 3 2 3 8" xfId="30296" xr:uid="{00000000-0005-0000-0000-0000D2A50000}"/>
    <cellStyle name="Normal 6 3 2 3 9" xfId="30297" xr:uid="{00000000-0005-0000-0000-0000D3A50000}"/>
    <cellStyle name="Normal 6 3 2 4" xfId="30298" xr:uid="{00000000-0005-0000-0000-0000D4A50000}"/>
    <cellStyle name="Normal 6 3 2 4 2" xfId="30299" xr:uid="{00000000-0005-0000-0000-0000D5A50000}"/>
    <cellStyle name="Normal 6 3 2 4 2 2" xfId="30300" xr:uid="{00000000-0005-0000-0000-0000D6A50000}"/>
    <cellStyle name="Normal 6 3 2 4 2 2 2" xfId="30301" xr:uid="{00000000-0005-0000-0000-0000D7A50000}"/>
    <cellStyle name="Normal 6 3 2 4 2 2 2 2" xfId="58175" xr:uid="{00000000-0005-0000-0000-0000D8A50000}"/>
    <cellStyle name="Normal 6 3 2 4 2 2 2 3" xfId="58176" xr:uid="{00000000-0005-0000-0000-0000D9A50000}"/>
    <cellStyle name="Normal 6 3 2 4 2 2 3" xfId="30302" xr:uid="{00000000-0005-0000-0000-0000DAA50000}"/>
    <cellStyle name="Normal 6 3 2 4 2 2 3 2" xfId="58177" xr:uid="{00000000-0005-0000-0000-0000DBA50000}"/>
    <cellStyle name="Normal 6 3 2 4 2 2 4" xfId="30303" xr:uid="{00000000-0005-0000-0000-0000DCA50000}"/>
    <cellStyle name="Normal 6 3 2 4 2 2 5" xfId="30304" xr:uid="{00000000-0005-0000-0000-0000DDA50000}"/>
    <cellStyle name="Normal 6 3 2 4 2 2 6" xfId="30305" xr:uid="{00000000-0005-0000-0000-0000DEA50000}"/>
    <cellStyle name="Normal 6 3 2 4 2 3" xfId="30306" xr:uid="{00000000-0005-0000-0000-0000DFA50000}"/>
    <cellStyle name="Normal 6 3 2 4 2 3 2" xfId="58178" xr:uid="{00000000-0005-0000-0000-0000E0A50000}"/>
    <cellStyle name="Normal 6 3 2 4 2 3 3" xfId="58179" xr:uid="{00000000-0005-0000-0000-0000E1A50000}"/>
    <cellStyle name="Normal 6 3 2 4 2 4" xfId="30307" xr:uid="{00000000-0005-0000-0000-0000E2A50000}"/>
    <cellStyle name="Normal 6 3 2 4 2 4 2" xfId="58180" xr:uid="{00000000-0005-0000-0000-0000E3A50000}"/>
    <cellStyle name="Normal 6 3 2 4 2 5" xfId="30308" xr:uid="{00000000-0005-0000-0000-0000E4A50000}"/>
    <cellStyle name="Normal 6 3 2 4 2 6" xfId="30309" xr:uid="{00000000-0005-0000-0000-0000E5A50000}"/>
    <cellStyle name="Normal 6 3 2 4 2 7" xfId="30310" xr:uid="{00000000-0005-0000-0000-0000E6A50000}"/>
    <cellStyle name="Normal 6 3 2 4 3" xfId="30311" xr:uid="{00000000-0005-0000-0000-0000E7A50000}"/>
    <cellStyle name="Normal 6 3 2 4 3 2" xfId="30312" xr:uid="{00000000-0005-0000-0000-0000E8A50000}"/>
    <cellStyle name="Normal 6 3 2 4 3 2 2" xfId="58181" xr:uid="{00000000-0005-0000-0000-0000E9A50000}"/>
    <cellStyle name="Normal 6 3 2 4 3 2 3" xfId="58182" xr:uid="{00000000-0005-0000-0000-0000EAA50000}"/>
    <cellStyle name="Normal 6 3 2 4 3 3" xfId="30313" xr:uid="{00000000-0005-0000-0000-0000EBA50000}"/>
    <cellStyle name="Normal 6 3 2 4 3 3 2" xfId="58183" xr:uid="{00000000-0005-0000-0000-0000ECA50000}"/>
    <cellStyle name="Normal 6 3 2 4 3 4" xfId="30314" xr:uid="{00000000-0005-0000-0000-0000EDA50000}"/>
    <cellStyle name="Normal 6 3 2 4 3 5" xfId="30315" xr:uid="{00000000-0005-0000-0000-0000EEA50000}"/>
    <cellStyle name="Normal 6 3 2 4 3 6" xfId="30316" xr:uid="{00000000-0005-0000-0000-0000EFA50000}"/>
    <cellStyle name="Normal 6 3 2 4 4" xfId="30317" xr:uid="{00000000-0005-0000-0000-0000F0A50000}"/>
    <cellStyle name="Normal 6 3 2 4 4 2" xfId="58184" xr:uid="{00000000-0005-0000-0000-0000F1A50000}"/>
    <cellStyle name="Normal 6 3 2 4 4 3" xfId="58185" xr:uid="{00000000-0005-0000-0000-0000F2A50000}"/>
    <cellStyle name="Normal 6 3 2 4 5" xfId="30318" xr:uid="{00000000-0005-0000-0000-0000F3A50000}"/>
    <cellStyle name="Normal 6 3 2 4 5 2" xfId="58186" xr:uid="{00000000-0005-0000-0000-0000F4A50000}"/>
    <cellStyle name="Normal 6 3 2 4 6" xfId="30319" xr:uid="{00000000-0005-0000-0000-0000F5A50000}"/>
    <cellStyle name="Normal 6 3 2 4 7" xfId="30320" xr:uid="{00000000-0005-0000-0000-0000F6A50000}"/>
    <cellStyle name="Normal 6 3 2 4 8" xfId="30321" xr:uid="{00000000-0005-0000-0000-0000F7A50000}"/>
    <cellStyle name="Normal 6 3 2 5" xfId="30322" xr:uid="{00000000-0005-0000-0000-0000F8A50000}"/>
    <cellStyle name="Normal 6 3 2 5 2" xfId="30323" xr:uid="{00000000-0005-0000-0000-0000F9A50000}"/>
    <cellStyle name="Normal 6 3 2 5 2 2" xfId="30324" xr:uid="{00000000-0005-0000-0000-0000FAA50000}"/>
    <cellStyle name="Normal 6 3 2 5 2 2 2" xfId="58187" xr:uid="{00000000-0005-0000-0000-0000FBA50000}"/>
    <cellStyle name="Normal 6 3 2 5 2 2 3" xfId="58188" xr:uid="{00000000-0005-0000-0000-0000FCA50000}"/>
    <cellStyle name="Normal 6 3 2 5 2 3" xfId="30325" xr:uid="{00000000-0005-0000-0000-0000FDA50000}"/>
    <cellStyle name="Normal 6 3 2 5 2 3 2" xfId="58189" xr:uid="{00000000-0005-0000-0000-0000FEA50000}"/>
    <cellStyle name="Normal 6 3 2 5 2 4" xfId="30326" xr:uid="{00000000-0005-0000-0000-0000FFA50000}"/>
    <cellStyle name="Normal 6 3 2 5 2 5" xfId="30327" xr:uid="{00000000-0005-0000-0000-000000A60000}"/>
    <cellStyle name="Normal 6 3 2 5 2 6" xfId="30328" xr:uid="{00000000-0005-0000-0000-000001A60000}"/>
    <cellStyle name="Normal 6 3 2 5 3" xfId="30329" xr:uid="{00000000-0005-0000-0000-000002A60000}"/>
    <cellStyle name="Normal 6 3 2 5 3 2" xfId="58190" xr:uid="{00000000-0005-0000-0000-000003A60000}"/>
    <cellStyle name="Normal 6 3 2 5 3 3" xfId="58191" xr:uid="{00000000-0005-0000-0000-000004A60000}"/>
    <cellStyle name="Normal 6 3 2 5 4" xfId="30330" xr:uid="{00000000-0005-0000-0000-000005A60000}"/>
    <cellStyle name="Normal 6 3 2 5 4 2" xfId="58192" xr:uid="{00000000-0005-0000-0000-000006A60000}"/>
    <cellStyle name="Normal 6 3 2 5 5" xfId="30331" xr:uid="{00000000-0005-0000-0000-000007A60000}"/>
    <cellStyle name="Normal 6 3 2 5 6" xfId="30332" xr:uid="{00000000-0005-0000-0000-000008A60000}"/>
    <cellStyle name="Normal 6 3 2 5 7" xfId="30333" xr:uid="{00000000-0005-0000-0000-000009A60000}"/>
    <cellStyle name="Normal 6 3 2 6" xfId="30334" xr:uid="{00000000-0005-0000-0000-00000AA60000}"/>
    <cellStyle name="Normal 6 3 2 6 2" xfId="30335" xr:uid="{00000000-0005-0000-0000-00000BA60000}"/>
    <cellStyle name="Normal 6 3 2 6 2 2" xfId="58193" xr:uid="{00000000-0005-0000-0000-00000CA60000}"/>
    <cellStyle name="Normal 6 3 2 6 2 3" xfId="58194" xr:uid="{00000000-0005-0000-0000-00000DA60000}"/>
    <cellStyle name="Normal 6 3 2 6 3" xfId="30336" xr:uid="{00000000-0005-0000-0000-00000EA60000}"/>
    <cellStyle name="Normal 6 3 2 6 3 2" xfId="58195" xr:uid="{00000000-0005-0000-0000-00000FA60000}"/>
    <cellStyle name="Normal 6 3 2 6 4" xfId="30337" xr:uid="{00000000-0005-0000-0000-000010A60000}"/>
    <cellStyle name="Normal 6 3 2 6 5" xfId="30338" xr:uid="{00000000-0005-0000-0000-000011A60000}"/>
    <cellStyle name="Normal 6 3 2 6 6" xfId="30339" xr:uid="{00000000-0005-0000-0000-000012A60000}"/>
    <cellStyle name="Normal 6 3 2 7" xfId="30340" xr:uid="{00000000-0005-0000-0000-000013A60000}"/>
    <cellStyle name="Normal 6 3 2 7 2" xfId="58196" xr:uid="{00000000-0005-0000-0000-000014A60000}"/>
    <cellStyle name="Normal 6 3 2 7 3" xfId="58197" xr:uid="{00000000-0005-0000-0000-000015A60000}"/>
    <cellStyle name="Normal 6 3 2 8" xfId="30341" xr:uid="{00000000-0005-0000-0000-000016A60000}"/>
    <cellStyle name="Normal 6 3 2 8 2" xfId="58198" xr:uid="{00000000-0005-0000-0000-000017A60000}"/>
    <cellStyle name="Normal 6 3 2 9" xfId="30342" xr:uid="{00000000-0005-0000-0000-000018A60000}"/>
    <cellStyle name="Normal 6 3 2 9 2" xfId="58199" xr:uid="{00000000-0005-0000-0000-000019A60000}"/>
    <cellStyle name="Normal 6 3 3" xfId="30343" xr:uid="{00000000-0005-0000-0000-00001AA60000}"/>
    <cellStyle name="Normal 6 3 3 10" xfId="30344" xr:uid="{00000000-0005-0000-0000-00001BA60000}"/>
    <cellStyle name="Normal 6 3 3 11" xfId="30345" xr:uid="{00000000-0005-0000-0000-00001CA60000}"/>
    <cellStyle name="Normal 6 3 3 12" xfId="30346" xr:uid="{00000000-0005-0000-0000-00001DA60000}"/>
    <cellStyle name="Normal 6 3 3 13" xfId="30347" xr:uid="{00000000-0005-0000-0000-00001EA60000}"/>
    <cellStyle name="Normal 6 3 3 14" xfId="30348" xr:uid="{00000000-0005-0000-0000-00001FA60000}"/>
    <cellStyle name="Normal 6 3 3 15" xfId="30349" xr:uid="{00000000-0005-0000-0000-000020A60000}"/>
    <cellStyle name="Normal 6 3 3 16" xfId="30350" xr:uid="{00000000-0005-0000-0000-000021A60000}"/>
    <cellStyle name="Normal 6 3 3 2" xfId="30351" xr:uid="{00000000-0005-0000-0000-000022A60000}"/>
    <cellStyle name="Normal 6 3 3 2 10" xfId="30352" xr:uid="{00000000-0005-0000-0000-000023A60000}"/>
    <cellStyle name="Normal 6 3 3 2 11" xfId="30353" xr:uid="{00000000-0005-0000-0000-000024A60000}"/>
    <cellStyle name="Normal 6 3 3 2 12" xfId="30354" xr:uid="{00000000-0005-0000-0000-000025A60000}"/>
    <cellStyle name="Normal 6 3 3 2 13" xfId="30355" xr:uid="{00000000-0005-0000-0000-000026A60000}"/>
    <cellStyle name="Normal 6 3 3 2 14" xfId="30356" xr:uid="{00000000-0005-0000-0000-000027A60000}"/>
    <cellStyle name="Normal 6 3 3 2 2" xfId="30357" xr:uid="{00000000-0005-0000-0000-000028A60000}"/>
    <cellStyle name="Normal 6 3 3 2 2 2" xfId="30358" xr:uid="{00000000-0005-0000-0000-000029A60000}"/>
    <cellStyle name="Normal 6 3 3 2 2 2 2" xfId="30359" xr:uid="{00000000-0005-0000-0000-00002AA60000}"/>
    <cellStyle name="Normal 6 3 3 2 2 2 2 2" xfId="30360" xr:uid="{00000000-0005-0000-0000-00002BA60000}"/>
    <cellStyle name="Normal 6 3 3 2 2 2 2 2 2" xfId="58200" xr:uid="{00000000-0005-0000-0000-00002CA60000}"/>
    <cellStyle name="Normal 6 3 3 2 2 2 2 2 3" xfId="58201" xr:uid="{00000000-0005-0000-0000-00002DA60000}"/>
    <cellStyle name="Normal 6 3 3 2 2 2 2 3" xfId="30361" xr:uid="{00000000-0005-0000-0000-00002EA60000}"/>
    <cellStyle name="Normal 6 3 3 2 2 2 2 3 2" xfId="58202" xr:uid="{00000000-0005-0000-0000-00002FA60000}"/>
    <cellStyle name="Normal 6 3 3 2 2 2 2 4" xfId="30362" xr:uid="{00000000-0005-0000-0000-000030A60000}"/>
    <cellStyle name="Normal 6 3 3 2 2 2 2 5" xfId="30363" xr:uid="{00000000-0005-0000-0000-000031A60000}"/>
    <cellStyle name="Normal 6 3 3 2 2 2 2 6" xfId="30364" xr:uid="{00000000-0005-0000-0000-000032A60000}"/>
    <cellStyle name="Normal 6 3 3 2 2 2 3" xfId="30365" xr:uid="{00000000-0005-0000-0000-000033A60000}"/>
    <cellStyle name="Normal 6 3 3 2 2 2 3 2" xfId="58203" xr:uid="{00000000-0005-0000-0000-000034A60000}"/>
    <cellStyle name="Normal 6 3 3 2 2 2 3 3" xfId="58204" xr:uid="{00000000-0005-0000-0000-000035A60000}"/>
    <cellStyle name="Normal 6 3 3 2 2 2 4" xfId="30366" xr:uid="{00000000-0005-0000-0000-000036A60000}"/>
    <cellStyle name="Normal 6 3 3 2 2 2 4 2" xfId="58205" xr:uid="{00000000-0005-0000-0000-000037A60000}"/>
    <cellStyle name="Normal 6 3 3 2 2 2 5" xfId="30367" xr:uid="{00000000-0005-0000-0000-000038A60000}"/>
    <cellStyle name="Normal 6 3 3 2 2 2 6" xfId="30368" xr:uid="{00000000-0005-0000-0000-000039A60000}"/>
    <cellStyle name="Normal 6 3 3 2 2 2 7" xfId="30369" xr:uid="{00000000-0005-0000-0000-00003AA60000}"/>
    <cellStyle name="Normal 6 3 3 2 2 3" xfId="30370" xr:uid="{00000000-0005-0000-0000-00003BA60000}"/>
    <cellStyle name="Normal 6 3 3 2 2 3 2" xfId="30371" xr:uid="{00000000-0005-0000-0000-00003CA60000}"/>
    <cellStyle name="Normal 6 3 3 2 2 3 2 2" xfId="58206" xr:uid="{00000000-0005-0000-0000-00003DA60000}"/>
    <cellStyle name="Normal 6 3 3 2 2 3 2 3" xfId="58207" xr:uid="{00000000-0005-0000-0000-00003EA60000}"/>
    <cellStyle name="Normal 6 3 3 2 2 3 3" xfId="30372" xr:uid="{00000000-0005-0000-0000-00003FA60000}"/>
    <cellStyle name="Normal 6 3 3 2 2 3 3 2" xfId="58208" xr:uid="{00000000-0005-0000-0000-000040A60000}"/>
    <cellStyle name="Normal 6 3 3 2 2 3 4" xfId="30373" xr:uid="{00000000-0005-0000-0000-000041A60000}"/>
    <cellStyle name="Normal 6 3 3 2 2 3 5" xfId="30374" xr:uid="{00000000-0005-0000-0000-000042A60000}"/>
    <cellStyle name="Normal 6 3 3 2 2 3 6" xfId="30375" xr:uid="{00000000-0005-0000-0000-000043A60000}"/>
    <cellStyle name="Normal 6 3 3 2 2 4" xfId="30376" xr:uid="{00000000-0005-0000-0000-000044A60000}"/>
    <cellStyle name="Normal 6 3 3 2 2 4 2" xfId="58209" xr:uid="{00000000-0005-0000-0000-000045A60000}"/>
    <cellStyle name="Normal 6 3 3 2 2 4 3" xfId="58210" xr:uid="{00000000-0005-0000-0000-000046A60000}"/>
    <cellStyle name="Normal 6 3 3 2 2 5" xfId="30377" xr:uid="{00000000-0005-0000-0000-000047A60000}"/>
    <cellStyle name="Normal 6 3 3 2 2 5 2" xfId="58211" xr:uid="{00000000-0005-0000-0000-000048A60000}"/>
    <cellStyle name="Normal 6 3 3 2 2 6" xfId="30378" xr:uid="{00000000-0005-0000-0000-000049A60000}"/>
    <cellStyle name="Normal 6 3 3 2 2 7" xfId="30379" xr:uid="{00000000-0005-0000-0000-00004AA60000}"/>
    <cellStyle name="Normal 6 3 3 2 2 8" xfId="30380" xr:uid="{00000000-0005-0000-0000-00004BA60000}"/>
    <cellStyle name="Normal 6 3 3 2 2 9" xfId="30381" xr:uid="{00000000-0005-0000-0000-00004CA60000}"/>
    <cellStyle name="Normal 6 3 3 2 3" xfId="30382" xr:uid="{00000000-0005-0000-0000-00004DA60000}"/>
    <cellStyle name="Normal 6 3 3 2 3 2" xfId="30383" xr:uid="{00000000-0005-0000-0000-00004EA60000}"/>
    <cellStyle name="Normal 6 3 3 2 3 2 2" xfId="30384" xr:uid="{00000000-0005-0000-0000-00004FA60000}"/>
    <cellStyle name="Normal 6 3 3 2 3 2 2 2" xfId="30385" xr:uid="{00000000-0005-0000-0000-000050A60000}"/>
    <cellStyle name="Normal 6 3 3 2 3 2 2 2 2" xfId="58212" xr:uid="{00000000-0005-0000-0000-000051A60000}"/>
    <cellStyle name="Normal 6 3 3 2 3 2 2 2 3" xfId="58213" xr:uid="{00000000-0005-0000-0000-000052A60000}"/>
    <cellStyle name="Normal 6 3 3 2 3 2 2 3" xfId="30386" xr:uid="{00000000-0005-0000-0000-000053A60000}"/>
    <cellStyle name="Normal 6 3 3 2 3 2 2 3 2" xfId="58214" xr:uid="{00000000-0005-0000-0000-000054A60000}"/>
    <cellStyle name="Normal 6 3 3 2 3 2 2 4" xfId="30387" xr:uid="{00000000-0005-0000-0000-000055A60000}"/>
    <cellStyle name="Normal 6 3 3 2 3 2 2 5" xfId="30388" xr:uid="{00000000-0005-0000-0000-000056A60000}"/>
    <cellStyle name="Normal 6 3 3 2 3 2 2 6" xfId="30389" xr:uid="{00000000-0005-0000-0000-000057A60000}"/>
    <cellStyle name="Normal 6 3 3 2 3 2 3" xfId="30390" xr:uid="{00000000-0005-0000-0000-000058A60000}"/>
    <cellStyle name="Normal 6 3 3 2 3 2 3 2" xfId="58215" xr:uid="{00000000-0005-0000-0000-000059A60000}"/>
    <cellStyle name="Normal 6 3 3 2 3 2 3 3" xfId="58216" xr:uid="{00000000-0005-0000-0000-00005AA60000}"/>
    <cellStyle name="Normal 6 3 3 2 3 2 4" xfId="30391" xr:uid="{00000000-0005-0000-0000-00005BA60000}"/>
    <cellStyle name="Normal 6 3 3 2 3 2 4 2" xfId="58217" xr:uid="{00000000-0005-0000-0000-00005CA60000}"/>
    <cellStyle name="Normal 6 3 3 2 3 2 5" xfId="30392" xr:uid="{00000000-0005-0000-0000-00005DA60000}"/>
    <cellStyle name="Normal 6 3 3 2 3 2 6" xfId="30393" xr:uid="{00000000-0005-0000-0000-00005EA60000}"/>
    <cellStyle name="Normal 6 3 3 2 3 2 7" xfId="30394" xr:uid="{00000000-0005-0000-0000-00005FA60000}"/>
    <cellStyle name="Normal 6 3 3 2 3 3" xfId="30395" xr:uid="{00000000-0005-0000-0000-000060A60000}"/>
    <cellStyle name="Normal 6 3 3 2 3 3 2" xfId="30396" xr:uid="{00000000-0005-0000-0000-000061A60000}"/>
    <cellStyle name="Normal 6 3 3 2 3 3 2 2" xfId="58218" xr:uid="{00000000-0005-0000-0000-000062A60000}"/>
    <cellStyle name="Normal 6 3 3 2 3 3 2 3" xfId="58219" xr:uid="{00000000-0005-0000-0000-000063A60000}"/>
    <cellStyle name="Normal 6 3 3 2 3 3 3" xfId="30397" xr:uid="{00000000-0005-0000-0000-000064A60000}"/>
    <cellStyle name="Normal 6 3 3 2 3 3 3 2" xfId="58220" xr:uid="{00000000-0005-0000-0000-000065A60000}"/>
    <cellStyle name="Normal 6 3 3 2 3 3 4" xfId="30398" xr:uid="{00000000-0005-0000-0000-000066A60000}"/>
    <cellStyle name="Normal 6 3 3 2 3 3 5" xfId="30399" xr:uid="{00000000-0005-0000-0000-000067A60000}"/>
    <cellStyle name="Normal 6 3 3 2 3 3 6" xfId="30400" xr:uid="{00000000-0005-0000-0000-000068A60000}"/>
    <cellStyle name="Normal 6 3 3 2 3 4" xfId="30401" xr:uid="{00000000-0005-0000-0000-000069A60000}"/>
    <cellStyle name="Normal 6 3 3 2 3 4 2" xfId="58221" xr:uid="{00000000-0005-0000-0000-00006AA60000}"/>
    <cellStyle name="Normal 6 3 3 2 3 4 3" xfId="58222" xr:uid="{00000000-0005-0000-0000-00006BA60000}"/>
    <cellStyle name="Normal 6 3 3 2 3 5" xfId="30402" xr:uid="{00000000-0005-0000-0000-00006CA60000}"/>
    <cellStyle name="Normal 6 3 3 2 3 5 2" xfId="58223" xr:uid="{00000000-0005-0000-0000-00006DA60000}"/>
    <cellStyle name="Normal 6 3 3 2 3 6" xfId="30403" xr:uid="{00000000-0005-0000-0000-00006EA60000}"/>
    <cellStyle name="Normal 6 3 3 2 3 7" xfId="30404" xr:uid="{00000000-0005-0000-0000-00006FA60000}"/>
    <cellStyle name="Normal 6 3 3 2 3 8" xfId="30405" xr:uid="{00000000-0005-0000-0000-000070A60000}"/>
    <cellStyle name="Normal 6 3 3 2 4" xfId="30406" xr:uid="{00000000-0005-0000-0000-000071A60000}"/>
    <cellStyle name="Normal 6 3 3 2 4 2" xfId="30407" xr:uid="{00000000-0005-0000-0000-000072A60000}"/>
    <cellStyle name="Normal 6 3 3 2 4 2 2" xfId="30408" xr:uid="{00000000-0005-0000-0000-000073A60000}"/>
    <cellStyle name="Normal 6 3 3 2 4 2 2 2" xfId="58224" xr:uid="{00000000-0005-0000-0000-000074A60000}"/>
    <cellStyle name="Normal 6 3 3 2 4 2 2 3" xfId="58225" xr:uid="{00000000-0005-0000-0000-000075A60000}"/>
    <cellStyle name="Normal 6 3 3 2 4 2 3" xfId="30409" xr:uid="{00000000-0005-0000-0000-000076A60000}"/>
    <cellStyle name="Normal 6 3 3 2 4 2 3 2" xfId="58226" xr:uid="{00000000-0005-0000-0000-000077A60000}"/>
    <cellStyle name="Normal 6 3 3 2 4 2 4" xfId="30410" xr:uid="{00000000-0005-0000-0000-000078A60000}"/>
    <cellStyle name="Normal 6 3 3 2 4 2 5" xfId="30411" xr:uid="{00000000-0005-0000-0000-000079A60000}"/>
    <cellStyle name="Normal 6 3 3 2 4 2 6" xfId="30412" xr:uid="{00000000-0005-0000-0000-00007AA60000}"/>
    <cellStyle name="Normal 6 3 3 2 4 3" xfId="30413" xr:uid="{00000000-0005-0000-0000-00007BA60000}"/>
    <cellStyle name="Normal 6 3 3 2 4 3 2" xfId="58227" xr:uid="{00000000-0005-0000-0000-00007CA60000}"/>
    <cellStyle name="Normal 6 3 3 2 4 3 3" xfId="58228" xr:uid="{00000000-0005-0000-0000-00007DA60000}"/>
    <cellStyle name="Normal 6 3 3 2 4 4" xfId="30414" xr:uid="{00000000-0005-0000-0000-00007EA60000}"/>
    <cellStyle name="Normal 6 3 3 2 4 4 2" xfId="58229" xr:uid="{00000000-0005-0000-0000-00007FA60000}"/>
    <cellStyle name="Normal 6 3 3 2 4 5" xfId="30415" xr:uid="{00000000-0005-0000-0000-000080A60000}"/>
    <cellStyle name="Normal 6 3 3 2 4 6" xfId="30416" xr:uid="{00000000-0005-0000-0000-000081A60000}"/>
    <cellStyle name="Normal 6 3 3 2 4 7" xfId="30417" xr:uid="{00000000-0005-0000-0000-000082A60000}"/>
    <cellStyle name="Normal 6 3 3 2 5" xfId="30418" xr:uid="{00000000-0005-0000-0000-000083A60000}"/>
    <cellStyle name="Normal 6 3 3 2 5 2" xfId="30419" xr:uid="{00000000-0005-0000-0000-000084A60000}"/>
    <cellStyle name="Normal 6 3 3 2 5 2 2" xfId="58230" xr:uid="{00000000-0005-0000-0000-000085A60000}"/>
    <cellStyle name="Normal 6 3 3 2 5 2 3" xfId="58231" xr:uid="{00000000-0005-0000-0000-000086A60000}"/>
    <cellStyle name="Normal 6 3 3 2 5 3" xfId="30420" xr:uid="{00000000-0005-0000-0000-000087A60000}"/>
    <cellStyle name="Normal 6 3 3 2 5 3 2" xfId="58232" xr:uid="{00000000-0005-0000-0000-000088A60000}"/>
    <cellStyle name="Normal 6 3 3 2 5 4" xfId="30421" xr:uid="{00000000-0005-0000-0000-000089A60000}"/>
    <cellStyle name="Normal 6 3 3 2 5 5" xfId="30422" xr:uid="{00000000-0005-0000-0000-00008AA60000}"/>
    <cellStyle name="Normal 6 3 3 2 5 6" xfId="30423" xr:uid="{00000000-0005-0000-0000-00008BA60000}"/>
    <cellStyle name="Normal 6 3 3 2 6" xfId="30424" xr:uid="{00000000-0005-0000-0000-00008CA60000}"/>
    <cellStyle name="Normal 6 3 3 2 6 2" xfId="58233" xr:uid="{00000000-0005-0000-0000-00008DA60000}"/>
    <cellStyle name="Normal 6 3 3 2 6 3" xfId="58234" xr:uid="{00000000-0005-0000-0000-00008EA60000}"/>
    <cellStyle name="Normal 6 3 3 2 7" xfId="30425" xr:uid="{00000000-0005-0000-0000-00008FA60000}"/>
    <cellStyle name="Normal 6 3 3 2 7 2" xfId="58235" xr:uid="{00000000-0005-0000-0000-000090A60000}"/>
    <cellStyle name="Normal 6 3 3 2 8" xfId="30426" xr:uid="{00000000-0005-0000-0000-000091A60000}"/>
    <cellStyle name="Normal 6 3 3 2 9" xfId="30427" xr:uid="{00000000-0005-0000-0000-000092A60000}"/>
    <cellStyle name="Normal 6 3 3 3" xfId="30428" xr:uid="{00000000-0005-0000-0000-000093A60000}"/>
    <cellStyle name="Normal 6 3 3 3 2" xfId="30429" xr:uid="{00000000-0005-0000-0000-000094A60000}"/>
    <cellStyle name="Normal 6 3 3 3 2 2" xfId="30430" xr:uid="{00000000-0005-0000-0000-000095A60000}"/>
    <cellStyle name="Normal 6 3 3 3 2 2 2" xfId="30431" xr:uid="{00000000-0005-0000-0000-000096A60000}"/>
    <cellStyle name="Normal 6 3 3 3 2 2 2 2" xfId="58236" xr:uid="{00000000-0005-0000-0000-000097A60000}"/>
    <cellStyle name="Normal 6 3 3 3 2 2 2 3" xfId="58237" xr:uid="{00000000-0005-0000-0000-000098A60000}"/>
    <cellStyle name="Normal 6 3 3 3 2 2 3" xfId="30432" xr:uid="{00000000-0005-0000-0000-000099A60000}"/>
    <cellStyle name="Normal 6 3 3 3 2 2 3 2" xfId="58238" xr:uid="{00000000-0005-0000-0000-00009AA60000}"/>
    <cellStyle name="Normal 6 3 3 3 2 2 4" xfId="30433" xr:uid="{00000000-0005-0000-0000-00009BA60000}"/>
    <cellStyle name="Normal 6 3 3 3 2 2 5" xfId="30434" xr:uid="{00000000-0005-0000-0000-00009CA60000}"/>
    <cellStyle name="Normal 6 3 3 3 2 2 6" xfId="30435" xr:uid="{00000000-0005-0000-0000-00009DA60000}"/>
    <cellStyle name="Normal 6 3 3 3 2 3" xfId="30436" xr:uid="{00000000-0005-0000-0000-00009EA60000}"/>
    <cellStyle name="Normal 6 3 3 3 2 3 2" xfId="58239" xr:uid="{00000000-0005-0000-0000-00009FA60000}"/>
    <cellStyle name="Normal 6 3 3 3 2 3 3" xfId="58240" xr:uid="{00000000-0005-0000-0000-0000A0A60000}"/>
    <cellStyle name="Normal 6 3 3 3 2 4" xfId="30437" xr:uid="{00000000-0005-0000-0000-0000A1A60000}"/>
    <cellStyle name="Normal 6 3 3 3 2 4 2" xfId="58241" xr:uid="{00000000-0005-0000-0000-0000A2A60000}"/>
    <cellStyle name="Normal 6 3 3 3 2 5" xfId="30438" xr:uid="{00000000-0005-0000-0000-0000A3A60000}"/>
    <cellStyle name="Normal 6 3 3 3 2 6" xfId="30439" xr:uid="{00000000-0005-0000-0000-0000A4A60000}"/>
    <cellStyle name="Normal 6 3 3 3 2 7" xfId="30440" xr:uid="{00000000-0005-0000-0000-0000A5A60000}"/>
    <cellStyle name="Normal 6 3 3 3 3" xfId="30441" xr:uid="{00000000-0005-0000-0000-0000A6A60000}"/>
    <cellStyle name="Normal 6 3 3 3 3 2" xfId="30442" xr:uid="{00000000-0005-0000-0000-0000A7A60000}"/>
    <cellStyle name="Normal 6 3 3 3 3 2 2" xfId="58242" xr:uid="{00000000-0005-0000-0000-0000A8A60000}"/>
    <cellStyle name="Normal 6 3 3 3 3 2 3" xfId="58243" xr:uid="{00000000-0005-0000-0000-0000A9A60000}"/>
    <cellStyle name="Normal 6 3 3 3 3 3" xfId="30443" xr:uid="{00000000-0005-0000-0000-0000AAA60000}"/>
    <cellStyle name="Normal 6 3 3 3 3 3 2" xfId="58244" xr:uid="{00000000-0005-0000-0000-0000ABA60000}"/>
    <cellStyle name="Normal 6 3 3 3 3 4" xfId="30444" xr:uid="{00000000-0005-0000-0000-0000ACA60000}"/>
    <cellStyle name="Normal 6 3 3 3 3 5" xfId="30445" xr:uid="{00000000-0005-0000-0000-0000ADA60000}"/>
    <cellStyle name="Normal 6 3 3 3 3 6" xfId="30446" xr:uid="{00000000-0005-0000-0000-0000AEA60000}"/>
    <cellStyle name="Normal 6 3 3 3 4" xfId="30447" xr:uid="{00000000-0005-0000-0000-0000AFA60000}"/>
    <cellStyle name="Normal 6 3 3 3 4 2" xfId="58245" xr:uid="{00000000-0005-0000-0000-0000B0A60000}"/>
    <cellStyle name="Normal 6 3 3 3 4 3" xfId="58246" xr:uid="{00000000-0005-0000-0000-0000B1A60000}"/>
    <cellStyle name="Normal 6 3 3 3 5" xfId="30448" xr:uid="{00000000-0005-0000-0000-0000B2A60000}"/>
    <cellStyle name="Normal 6 3 3 3 5 2" xfId="58247" xr:uid="{00000000-0005-0000-0000-0000B3A60000}"/>
    <cellStyle name="Normal 6 3 3 3 6" xfId="30449" xr:uid="{00000000-0005-0000-0000-0000B4A60000}"/>
    <cellStyle name="Normal 6 3 3 3 7" xfId="30450" xr:uid="{00000000-0005-0000-0000-0000B5A60000}"/>
    <cellStyle name="Normal 6 3 3 3 8" xfId="30451" xr:uid="{00000000-0005-0000-0000-0000B6A60000}"/>
    <cellStyle name="Normal 6 3 3 3 9" xfId="30452" xr:uid="{00000000-0005-0000-0000-0000B7A60000}"/>
    <cellStyle name="Normal 6 3 3 4" xfId="30453" xr:uid="{00000000-0005-0000-0000-0000B8A60000}"/>
    <cellStyle name="Normal 6 3 3 4 2" xfId="30454" xr:uid="{00000000-0005-0000-0000-0000B9A60000}"/>
    <cellStyle name="Normal 6 3 3 4 2 2" xfId="30455" xr:uid="{00000000-0005-0000-0000-0000BAA60000}"/>
    <cellStyle name="Normal 6 3 3 4 2 2 2" xfId="30456" xr:uid="{00000000-0005-0000-0000-0000BBA60000}"/>
    <cellStyle name="Normal 6 3 3 4 2 2 2 2" xfId="58248" xr:uid="{00000000-0005-0000-0000-0000BCA60000}"/>
    <cellStyle name="Normal 6 3 3 4 2 2 2 3" xfId="58249" xr:uid="{00000000-0005-0000-0000-0000BDA60000}"/>
    <cellStyle name="Normal 6 3 3 4 2 2 3" xfId="30457" xr:uid="{00000000-0005-0000-0000-0000BEA60000}"/>
    <cellStyle name="Normal 6 3 3 4 2 2 3 2" xfId="58250" xr:uid="{00000000-0005-0000-0000-0000BFA60000}"/>
    <cellStyle name="Normal 6 3 3 4 2 2 4" xfId="30458" xr:uid="{00000000-0005-0000-0000-0000C0A60000}"/>
    <cellStyle name="Normal 6 3 3 4 2 2 5" xfId="30459" xr:uid="{00000000-0005-0000-0000-0000C1A60000}"/>
    <cellStyle name="Normal 6 3 3 4 2 2 6" xfId="30460" xr:uid="{00000000-0005-0000-0000-0000C2A60000}"/>
    <cellStyle name="Normal 6 3 3 4 2 3" xfId="30461" xr:uid="{00000000-0005-0000-0000-0000C3A60000}"/>
    <cellStyle name="Normal 6 3 3 4 2 3 2" xfId="58251" xr:uid="{00000000-0005-0000-0000-0000C4A60000}"/>
    <cellStyle name="Normal 6 3 3 4 2 3 3" xfId="58252" xr:uid="{00000000-0005-0000-0000-0000C5A60000}"/>
    <cellStyle name="Normal 6 3 3 4 2 4" xfId="30462" xr:uid="{00000000-0005-0000-0000-0000C6A60000}"/>
    <cellStyle name="Normal 6 3 3 4 2 4 2" xfId="58253" xr:uid="{00000000-0005-0000-0000-0000C7A60000}"/>
    <cellStyle name="Normal 6 3 3 4 2 5" xfId="30463" xr:uid="{00000000-0005-0000-0000-0000C8A60000}"/>
    <cellStyle name="Normal 6 3 3 4 2 6" xfId="30464" xr:uid="{00000000-0005-0000-0000-0000C9A60000}"/>
    <cellStyle name="Normal 6 3 3 4 2 7" xfId="30465" xr:uid="{00000000-0005-0000-0000-0000CAA60000}"/>
    <cellStyle name="Normal 6 3 3 4 3" xfId="30466" xr:uid="{00000000-0005-0000-0000-0000CBA60000}"/>
    <cellStyle name="Normal 6 3 3 4 3 2" xfId="30467" xr:uid="{00000000-0005-0000-0000-0000CCA60000}"/>
    <cellStyle name="Normal 6 3 3 4 3 2 2" xfId="58254" xr:uid="{00000000-0005-0000-0000-0000CDA60000}"/>
    <cellStyle name="Normal 6 3 3 4 3 2 3" xfId="58255" xr:uid="{00000000-0005-0000-0000-0000CEA60000}"/>
    <cellStyle name="Normal 6 3 3 4 3 3" xfId="30468" xr:uid="{00000000-0005-0000-0000-0000CFA60000}"/>
    <cellStyle name="Normal 6 3 3 4 3 3 2" xfId="58256" xr:uid="{00000000-0005-0000-0000-0000D0A60000}"/>
    <cellStyle name="Normal 6 3 3 4 3 4" xfId="30469" xr:uid="{00000000-0005-0000-0000-0000D1A60000}"/>
    <cellStyle name="Normal 6 3 3 4 3 5" xfId="30470" xr:uid="{00000000-0005-0000-0000-0000D2A60000}"/>
    <cellStyle name="Normal 6 3 3 4 3 6" xfId="30471" xr:uid="{00000000-0005-0000-0000-0000D3A60000}"/>
    <cellStyle name="Normal 6 3 3 4 4" xfId="30472" xr:uid="{00000000-0005-0000-0000-0000D4A60000}"/>
    <cellStyle name="Normal 6 3 3 4 4 2" xfId="58257" xr:uid="{00000000-0005-0000-0000-0000D5A60000}"/>
    <cellStyle name="Normal 6 3 3 4 4 3" xfId="58258" xr:uid="{00000000-0005-0000-0000-0000D6A60000}"/>
    <cellStyle name="Normal 6 3 3 4 5" xfId="30473" xr:uid="{00000000-0005-0000-0000-0000D7A60000}"/>
    <cellStyle name="Normal 6 3 3 4 5 2" xfId="58259" xr:uid="{00000000-0005-0000-0000-0000D8A60000}"/>
    <cellStyle name="Normal 6 3 3 4 6" xfId="30474" xr:uid="{00000000-0005-0000-0000-0000D9A60000}"/>
    <cellStyle name="Normal 6 3 3 4 7" xfId="30475" xr:uid="{00000000-0005-0000-0000-0000DAA60000}"/>
    <cellStyle name="Normal 6 3 3 4 8" xfId="30476" xr:uid="{00000000-0005-0000-0000-0000DBA60000}"/>
    <cellStyle name="Normal 6 3 3 5" xfId="30477" xr:uid="{00000000-0005-0000-0000-0000DCA60000}"/>
    <cellStyle name="Normal 6 3 3 5 2" xfId="30478" xr:uid="{00000000-0005-0000-0000-0000DDA60000}"/>
    <cellStyle name="Normal 6 3 3 5 2 2" xfId="30479" xr:uid="{00000000-0005-0000-0000-0000DEA60000}"/>
    <cellStyle name="Normal 6 3 3 5 2 2 2" xfId="58260" xr:uid="{00000000-0005-0000-0000-0000DFA60000}"/>
    <cellStyle name="Normal 6 3 3 5 2 2 3" xfId="58261" xr:uid="{00000000-0005-0000-0000-0000E0A60000}"/>
    <cellStyle name="Normal 6 3 3 5 2 3" xfId="30480" xr:uid="{00000000-0005-0000-0000-0000E1A60000}"/>
    <cellStyle name="Normal 6 3 3 5 2 3 2" xfId="58262" xr:uid="{00000000-0005-0000-0000-0000E2A60000}"/>
    <cellStyle name="Normal 6 3 3 5 2 4" xfId="30481" xr:uid="{00000000-0005-0000-0000-0000E3A60000}"/>
    <cellStyle name="Normal 6 3 3 5 2 5" xfId="30482" xr:uid="{00000000-0005-0000-0000-0000E4A60000}"/>
    <cellStyle name="Normal 6 3 3 5 2 6" xfId="30483" xr:uid="{00000000-0005-0000-0000-0000E5A60000}"/>
    <cellStyle name="Normal 6 3 3 5 3" xfId="30484" xr:uid="{00000000-0005-0000-0000-0000E6A60000}"/>
    <cellStyle name="Normal 6 3 3 5 3 2" xfId="58263" xr:uid="{00000000-0005-0000-0000-0000E7A60000}"/>
    <cellStyle name="Normal 6 3 3 5 3 3" xfId="58264" xr:uid="{00000000-0005-0000-0000-0000E8A60000}"/>
    <cellStyle name="Normal 6 3 3 5 4" xfId="30485" xr:uid="{00000000-0005-0000-0000-0000E9A60000}"/>
    <cellStyle name="Normal 6 3 3 5 4 2" xfId="58265" xr:uid="{00000000-0005-0000-0000-0000EAA60000}"/>
    <cellStyle name="Normal 6 3 3 5 5" xfId="30486" xr:uid="{00000000-0005-0000-0000-0000EBA60000}"/>
    <cellStyle name="Normal 6 3 3 5 6" xfId="30487" xr:uid="{00000000-0005-0000-0000-0000ECA60000}"/>
    <cellStyle name="Normal 6 3 3 5 7" xfId="30488" xr:uid="{00000000-0005-0000-0000-0000EDA60000}"/>
    <cellStyle name="Normal 6 3 3 6" xfId="30489" xr:uid="{00000000-0005-0000-0000-0000EEA60000}"/>
    <cellStyle name="Normal 6 3 3 6 2" xfId="30490" xr:uid="{00000000-0005-0000-0000-0000EFA60000}"/>
    <cellStyle name="Normal 6 3 3 6 2 2" xfId="58266" xr:uid="{00000000-0005-0000-0000-0000F0A60000}"/>
    <cellStyle name="Normal 6 3 3 6 2 3" xfId="58267" xr:uid="{00000000-0005-0000-0000-0000F1A60000}"/>
    <cellStyle name="Normal 6 3 3 6 3" xfId="30491" xr:uid="{00000000-0005-0000-0000-0000F2A60000}"/>
    <cellStyle name="Normal 6 3 3 6 3 2" xfId="58268" xr:uid="{00000000-0005-0000-0000-0000F3A60000}"/>
    <cellStyle name="Normal 6 3 3 6 4" xfId="30492" xr:uid="{00000000-0005-0000-0000-0000F4A60000}"/>
    <cellStyle name="Normal 6 3 3 6 5" xfId="30493" xr:uid="{00000000-0005-0000-0000-0000F5A60000}"/>
    <cellStyle name="Normal 6 3 3 6 6" xfId="30494" xr:uid="{00000000-0005-0000-0000-0000F6A60000}"/>
    <cellStyle name="Normal 6 3 3 7" xfId="30495" xr:uid="{00000000-0005-0000-0000-0000F7A60000}"/>
    <cellStyle name="Normal 6 3 3 7 2" xfId="58269" xr:uid="{00000000-0005-0000-0000-0000F8A60000}"/>
    <cellStyle name="Normal 6 3 3 8" xfId="30496" xr:uid="{00000000-0005-0000-0000-0000F9A60000}"/>
    <cellStyle name="Normal 6 3 3 9" xfId="30497" xr:uid="{00000000-0005-0000-0000-0000FAA60000}"/>
    <cellStyle name="Normal 6 3 4" xfId="30498" xr:uid="{00000000-0005-0000-0000-0000FBA60000}"/>
    <cellStyle name="Normal 6 3 4 10" xfId="30499" xr:uid="{00000000-0005-0000-0000-0000FCA60000}"/>
    <cellStyle name="Normal 6 3 4 11" xfId="30500" xr:uid="{00000000-0005-0000-0000-0000FDA60000}"/>
    <cellStyle name="Normal 6 3 4 12" xfId="30501" xr:uid="{00000000-0005-0000-0000-0000FEA60000}"/>
    <cellStyle name="Normal 6 3 4 13" xfId="30502" xr:uid="{00000000-0005-0000-0000-0000FFA60000}"/>
    <cellStyle name="Normal 6 3 4 14" xfId="30503" xr:uid="{00000000-0005-0000-0000-000000A70000}"/>
    <cellStyle name="Normal 6 3 4 2" xfId="30504" xr:uid="{00000000-0005-0000-0000-000001A70000}"/>
    <cellStyle name="Normal 6 3 4 2 2" xfId="30505" xr:uid="{00000000-0005-0000-0000-000002A70000}"/>
    <cellStyle name="Normal 6 3 4 2 2 2" xfId="30506" xr:uid="{00000000-0005-0000-0000-000003A70000}"/>
    <cellStyle name="Normal 6 3 4 2 2 2 2" xfId="30507" xr:uid="{00000000-0005-0000-0000-000004A70000}"/>
    <cellStyle name="Normal 6 3 4 2 2 2 2 2" xfId="58270" xr:uid="{00000000-0005-0000-0000-000005A70000}"/>
    <cellStyle name="Normal 6 3 4 2 2 2 2 3" xfId="58271" xr:uid="{00000000-0005-0000-0000-000006A70000}"/>
    <cellStyle name="Normal 6 3 4 2 2 2 3" xfId="30508" xr:uid="{00000000-0005-0000-0000-000007A70000}"/>
    <cellStyle name="Normal 6 3 4 2 2 2 3 2" xfId="58272" xr:uid="{00000000-0005-0000-0000-000008A70000}"/>
    <cellStyle name="Normal 6 3 4 2 2 2 4" xfId="30509" xr:uid="{00000000-0005-0000-0000-000009A70000}"/>
    <cellStyle name="Normal 6 3 4 2 2 2 5" xfId="30510" xr:uid="{00000000-0005-0000-0000-00000AA70000}"/>
    <cellStyle name="Normal 6 3 4 2 2 2 6" xfId="30511" xr:uid="{00000000-0005-0000-0000-00000BA70000}"/>
    <cellStyle name="Normal 6 3 4 2 2 3" xfId="30512" xr:uid="{00000000-0005-0000-0000-00000CA70000}"/>
    <cellStyle name="Normal 6 3 4 2 2 3 2" xfId="58273" xr:uid="{00000000-0005-0000-0000-00000DA70000}"/>
    <cellStyle name="Normal 6 3 4 2 2 3 3" xfId="58274" xr:uid="{00000000-0005-0000-0000-00000EA70000}"/>
    <cellStyle name="Normal 6 3 4 2 2 4" xfId="30513" xr:uid="{00000000-0005-0000-0000-00000FA70000}"/>
    <cellStyle name="Normal 6 3 4 2 2 4 2" xfId="58275" xr:uid="{00000000-0005-0000-0000-000010A70000}"/>
    <cellStyle name="Normal 6 3 4 2 2 5" xfId="30514" xr:uid="{00000000-0005-0000-0000-000011A70000}"/>
    <cellStyle name="Normal 6 3 4 2 2 6" xfId="30515" xr:uid="{00000000-0005-0000-0000-000012A70000}"/>
    <cellStyle name="Normal 6 3 4 2 2 7" xfId="30516" xr:uid="{00000000-0005-0000-0000-000013A70000}"/>
    <cellStyle name="Normal 6 3 4 2 3" xfId="30517" xr:uid="{00000000-0005-0000-0000-000014A70000}"/>
    <cellStyle name="Normal 6 3 4 2 3 2" xfId="30518" xr:uid="{00000000-0005-0000-0000-000015A70000}"/>
    <cellStyle name="Normal 6 3 4 2 3 2 2" xfId="58276" xr:uid="{00000000-0005-0000-0000-000016A70000}"/>
    <cellStyle name="Normal 6 3 4 2 3 2 3" xfId="58277" xr:uid="{00000000-0005-0000-0000-000017A70000}"/>
    <cellStyle name="Normal 6 3 4 2 3 3" xfId="30519" xr:uid="{00000000-0005-0000-0000-000018A70000}"/>
    <cellStyle name="Normal 6 3 4 2 3 3 2" xfId="58278" xr:uid="{00000000-0005-0000-0000-000019A70000}"/>
    <cellStyle name="Normal 6 3 4 2 3 4" xfId="30520" xr:uid="{00000000-0005-0000-0000-00001AA70000}"/>
    <cellStyle name="Normal 6 3 4 2 3 5" xfId="30521" xr:uid="{00000000-0005-0000-0000-00001BA70000}"/>
    <cellStyle name="Normal 6 3 4 2 3 6" xfId="30522" xr:uid="{00000000-0005-0000-0000-00001CA70000}"/>
    <cellStyle name="Normal 6 3 4 2 4" xfId="30523" xr:uid="{00000000-0005-0000-0000-00001DA70000}"/>
    <cellStyle name="Normal 6 3 4 2 4 2" xfId="58279" xr:uid="{00000000-0005-0000-0000-00001EA70000}"/>
    <cellStyle name="Normal 6 3 4 2 4 3" xfId="58280" xr:uid="{00000000-0005-0000-0000-00001FA70000}"/>
    <cellStyle name="Normal 6 3 4 2 5" xfId="30524" xr:uid="{00000000-0005-0000-0000-000020A70000}"/>
    <cellStyle name="Normal 6 3 4 2 5 2" xfId="58281" xr:uid="{00000000-0005-0000-0000-000021A70000}"/>
    <cellStyle name="Normal 6 3 4 2 6" xfId="30525" xr:uid="{00000000-0005-0000-0000-000022A70000}"/>
    <cellStyle name="Normal 6 3 4 2 7" xfId="30526" xr:uid="{00000000-0005-0000-0000-000023A70000}"/>
    <cellStyle name="Normal 6 3 4 2 8" xfId="30527" xr:uid="{00000000-0005-0000-0000-000024A70000}"/>
    <cellStyle name="Normal 6 3 4 2 9" xfId="30528" xr:uid="{00000000-0005-0000-0000-000025A70000}"/>
    <cellStyle name="Normal 6 3 4 3" xfId="30529" xr:uid="{00000000-0005-0000-0000-000026A70000}"/>
    <cellStyle name="Normal 6 3 4 3 2" xfId="30530" xr:uid="{00000000-0005-0000-0000-000027A70000}"/>
    <cellStyle name="Normal 6 3 4 3 2 2" xfId="30531" xr:uid="{00000000-0005-0000-0000-000028A70000}"/>
    <cellStyle name="Normal 6 3 4 3 2 2 2" xfId="30532" xr:uid="{00000000-0005-0000-0000-000029A70000}"/>
    <cellStyle name="Normal 6 3 4 3 2 2 2 2" xfId="58282" xr:uid="{00000000-0005-0000-0000-00002AA70000}"/>
    <cellStyle name="Normal 6 3 4 3 2 2 2 3" xfId="58283" xr:uid="{00000000-0005-0000-0000-00002BA70000}"/>
    <cellStyle name="Normal 6 3 4 3 2 2 3" xfId="30533" xr:uid="{00000000-0005-0000-0000-00002CA70000}"/>
    <cellStyle name="Normal 6 3 4 3 2 2 3 2" xfId="58284" xr:uid="{00000000-0005-0000-0000-00002DA70000}"/>
    <cellStyle name="Normal 6 3 4 3 2 2 4" xfId="30534" xr:uid="{00000000-0005-0000-0000-00002EA70000}"/>
    <cellStyle name="Normal 6 3 4 3 2 2 5" xfId="30535" xr:uid="{00000000-0005-0000-0000-00002FA70000}"/>
    <cellStyle name="Normal 6 3 4 3 2 2 6" xfId="30536" xr:uid="{00000000-0005-0000-0000-000030A70000}"/>
    <cellStyle name="Normal 6 3 4 3 2 3" xfId="30537" xr:uid="{00000000-0005-0000-0000-000031A70000}"/>
    <cellStyle name="Normal 6 3 4 3 2 3 2" xfId="58285" xr:uid="{00000000-0005-0000-0000-000032A70000}"/>
    <cellStyle name="Normal 6 3 4 3 2 3 3" xfId="58286" xr:uid="{00000000-0005-0000-0000-000033A70000}"/>
    <cellStyle name="Normal 6 3 4 3 2 4" xfId="30538" xr:uid="{00000000-0005-0000-0000-000034A70000}"/>
    <cellStyle name="Normal 6 3 4 3 2 4 2" xfId="58287" xr:uid="{00000000-0005-0000-0000-000035A70000}"/>
    <cellStyle name="Normal 6 3 4 3 2 5" xfId="30539" xr:uid="{00000000-0005-0000-0000-000036A70000}"/>
    <cellStyle name="Normal 6 3 4 3 2 6" xfId="30540" xr:uid="{00000000-0005-0000-0000-000037A70000}"/>
    <cellStyle name="Normal 6 3 4 3 2 7" xfId="30541" xr:uid="{00000000-0005-0000-0000-000038A70000}"/>
    <cellStyle name="Normal 6 3 4 3 3" xfId="30542" xr:uid="{00000000-0005-0000-0000-000039A70000}"/>
    <cellStyle name="Normal 6 3 4 3 3 2" xfId="30543" xr:uid="{00000000-0005-0000-0000-00003AA70000}"/>
    <cellStyle name="Normal 6 3 4 3 3 2 2" xfId="58288" xr:uid="{00000000-0005-0000-0000-00003BA70000}"/>
    <cellStyle name="Normal 6 3 4 3 3 2 3" xfId="58289" xr:uid="{00000000-0005-0000-0000-00003CA70000}"/>
    <cellStyle name="Normal 6 3 4 3 3 3" xfId="30544" xr:uid="{00000000-0005-0000-0000-00003DA70000}"/>
    <cellStyle name="Normal 6 3 4 3 3 3 2" xfId="58290" xr:uid="{00000000-0005-0000-0000-00003EA70000}"/>
    <cellStyle name="Normal 6 3 4 3 3 4" xfId="30545" xr:uid="{00000000-0005-0000-0000-00003FA70000}"/>
    <cellStyle name="Normal 6 3 4 3 3 5" xfId="30546" xr:uid="{00000000-0005-0000-0000-000040A70000}"/>
    <cellStyle name="Normal 6 3 4 3 3 6" xfId="30547" xr:uid="{00000000-0005-0000-0000-000041A70000}"/>
    <cellStyle name="Normal 6 3 4 3 4" xfId="30548" xr:uid="{00000000-0005-0000-0000-000042A70000}"/>
    <cellStyle name="Normal 6 3 4 3 4 2" xfId="58291" xr:uid="{00000000-0005-0000-0000-000043A70000}"/>
    <cellStyle name="Normal 6 3 4 3 4 3" xfId="58292" xr:uid="{00000000-0005-0000-0000-000044A70000}"/>
    <cellStyle name="Normal 6 3 4 3 5" xfId="30549" xr:uid="{00000000-0005-0000-0000-000045A70000}"/>
    <cellStyle name="Normal 6 3 4 3 5 2" xfId="58293" xr:uid="{00000000-0005-0000-0000-000046A70000}"/>
    <cellStyle name="Normal 6 3 4 3 6" xfId="30550" xr:uid="{00000000-0005-0000-0000-000047A70000}"/>
    <cellStyle name="Normal 6 3 4 3 7" xfId="30551" xr:uid="{00000000-0005-0000-0000-000048A70000}"/>
    <cellStyle name="Normal 6 3 4 3 8" xfId="30552" xr:uid="{00000000-0005-0000-0000-000049A70000}"/>
    <cellStyle name="Normal 6 3 4 4" xfId="30553" xr:uid="{00000000-0005-0000-0000-00004AA70000}"/>
    <cellStyle name="Normal 6 3 4 4 2" xfId="30554" xr:uid="{00000000-0005-0000-0000-00004BA70000}"/>
    <cellStyle name="Normal 6 3 4 4 2 2" xfId="30555" xr:uid="{00000000-0005-0000-0000-00004CA70000}"/>
    <cellStyle name="Normal 6 3 4 4 2 2 2" xfId="58294" xr:uid="{00000000-0005-0000-0000-00004DA70000}"/>
    <cellStyle name="Normal 6 3 4 4 2 2 3" xfId="58295" xr:uid="{00000000-0005-0000-0000-00004EA70000}"/>
    <cellStyle name="Normal 6 3 4 4 2 3" xfId="30556" xr:uid="{00000000-0005-0000-0000-00004FA70000}"/>
    <cellStyle name="Normal 6 3 4 4 2 3 2" xfId="58296" xr:uid="{00000000-0005-0000-0000-000050A70000}"/>
    <cellStyle name="Normal 6 3 4 4 2 4" xfId="30557" xr:uid="{00000000-0005-0000-0000-000051A70000}"/>
    <cellStyle name="Normal 6 3 4 4 2 5" xfId="30558" xr:uid="{00000000-0005-0000-0000-000052A70000}"/>
    <cellStyle name="Normal 6 3 4 4 2 6" xfId="30559" xr:uid="{00000000-0005-0000-0000-000053A70000}"/>
    <cellStyle name="Normal 6 3 4 4 3" xfId="30560" xr:uid="{00000000-0005-0000-0000-000054A70000}"/>
    <cellStyle name="Normal 6 3 4 4 3 2" xfId="58297" xr:uid="{00000000-0005-0000-0000-000055A70000}"/>
    <cellStyle name="Normal 6 3 4 4 3 3" xfId="58298" xr:uid="{00000000-0005-0000-0000-000056A70000}"/>
    <cellStyle name="Normal 6 3 4 4 4" xfId="30561" xr:uid="{00000000-0005-0000-0000-000057A70000}"/>
    <cellStyle name="Normal 6 3 4 4 4 2" xfId="58299" xr:uid="{00000000-0005-0000-0000-000058A70000}"/>
    <cellStyle name="Normal 6 3 4 4 5" xfId="30562" xr:uid="{00000000-0005-0000-0000-000059A70000}"/>
    <cellStyle name="Normal 6 3 4 4 6" xfId="30563" xr:uid="{00000000-0005-0000-0000-00005AA70000}"/>
    <cellStyle name="Normal 6 3 4 4 7" xfId="30564" xr:uid="{00000000-0005-0000-0000-00005BA70000}"/>
    <cellStyle name="Normal 6 3 4 5" xfId="30565" xr:uid="{00000000-0005-0000-0000-00005CA70000}"/>
    <cellStyle name="Normal 6 3 4 5 2" xfId="30566" xr:uid="{00000000-0005-0000-0000-00005DA70000}"/>
    <cellStyle name="Normal 6 3 4 5 2 2" xfId="58300" xr:uid="{00000000-0005-0000-0000-00005EA70000}"/>
    <cellStyle name="Normal 6 3 4 5 2 3" xfId="58301" xr:uid="{00000000-0005-0000-0000-00005FA70000}"/>
    <cellStyle name="Normal 6 3 4 5 3" xfId="30567" xr:uid="{00000000-0005-0000-0000-000060A70000}"/>
    <cellStyle name="Normal 6 3 4 5 3 2" xfId="58302" xr:uid="{00000000-0005-0000-0000-000061A70000}"/>
    <cellStyle name="Normal 6 3 4 5 4" xfId="30568" xr:uid="{00000000-0005-0000-0000-000062A70000}"/>
    <cellStyle name="Normal 6 3 4 5 5" xfId="30569" xr:uid="{00000000-0005-0000-0000-000063A70000}"/>
    <cellStyle name="Normal 6 3 4 5 6" xfId="30570" xr:uid="{00000000-0005-0000-0000-000064A70000}"/>
    <cellStyle name="Normal 6 3 4 6" xfId="30571" xr:uid="{00000000-0005-0000-0000-000065A70000}"/>
    <cellStyle name="Normal 6 3 4 6 2" xfId="58303" xr:uid="{00000000-0005-0000-0000-000066A70000}"/>
    <cellStyle name="Normal 6 3 4 6 3" xfId="58304" xr:uid="{00000000-0005-0000-0000-000067A70000}"/>
    <cellStyle name="Normal 6 3 4 7" xfId="30572" xr:uid="{00000000-0005-0000-0000-000068A70000}"/>
    <cellStyle name="Normal 6 3 4 7 2" xfId="58305" xr:uid="{00000000-0005-0000-0000-000069A70000}"/>
    <cellStyle name="Normal 6 3 4 8" xfId="30573" xr:uid="{00000000-0005-0000-0000-00006AA70000}"/>
    <cellStyle name="Normal 6 3 4 9" xfId="30574" xr:uid="{00000000-0005-0000-0000-00006BA70000}"/>
    <cellStyle name="Normal 6 3 5" xfId="30575" xr:uid="{00000000-0005-0000-0000-00006CA70000}"/>
    <cellStyle name="Normal 6 3 5 10" xfId="30576" xr:uid="{00000000-0005-0000-0000-00006DA70000}"/>
    <cellStyle name="Normal 6 3 5 11" xfId="30577" xr:uid="{00000000-0005-0000-0000-00006EA70000}"/>
    <cellStyle name="Normal 6 3 5 12" xfId="30578" xr:uid="{00000000-0005-0000-0000-00006FA70000}"/>
    <cellStyle name="Normal 6 3 5 13" xfId="30579" xr:uid="{00000000-0005-0000-0000-000070A70000}"/>
    <cellStyle name="Normal 6 3 5 14" xfId="30580" xr:uid="{00000000-0005-0000-0000-000071A70000}"/>
    <cellStyle name="Normal 6 3 5 2" xfId="30581" xr:uid="{00000000-0005-0000-0000-000072A70000}"/>
    <cellStyle name="Normal 6 3 5 2 2" xfId="30582" xr:uid="{00000000-0005-0000-0000-000073A70000}"/>
    <cellStyle name="Normal 6 3 5 2 2 2" xfId="30583" xr:uid="{00000000-0005-0000-0000-000074A70000}"/>
    <cellStyle name="Normal 6 3 5 2 2 2 2" xfId="30584" xr:uid="{00000000-0005-0000-0000-000075A70000}"/>
    <cellStyle name="Normal 6 3 5 2 2 2 2 2" xfId="58306" xr:uid="{00000000-0005-0000-0000-000076A70000}"/>
    <cellStyle name="Normal 6 3 5 2 2 2 2 3" xfId="58307" xr:uid="{00000000-0005-0000-0000-000077A70000}"/>
    <cellStyle name="Normal 6 3 5 2 2 2 3" xfId="30585" xr:uid="{00000000-0005-0000-0000-000078A70000}"/>
    <cellStyle name="Normal 6 3 5 2 2 2 3 2" xfId="58308" xr:uid="{00000000-0005-0000-0000-000079A70000}"/>
    <cellStyle name="Normal 6 3 5 2 2 2 4" xfId="30586" xr:uid="{00000000-0005-0000-0000-00007AA70000}"/>
    <cellStyle name="Normal 6 3 5 2 2 2 5" xfId="30587" xr:uid="{00000000-0005-0000-0000-00007BA70000}"/>
    <cellStyle name="Normal 6 3 5 2 2 2 6" xfId="30588" xr:uid="{00000000-0005-0000-0000-00007CA70000}"/>
    <cellStyle name="Normal 6 3 5 2 2 3" xfId="30589" xr:uid="{00000000-0005-0000-0000-00007DA70000}"/>
    <cellStyle name="Normal 6 3 5 2 2 3 2" xfId="58309" xr:uid="{00000000-0005-0000-0000-00007EA70000}"/>
    <cellStyle name="Normal 6 3 5 2 2 3 3" xfId="58310" xr:uid="{00000000-0005-0000-0000-00007FA70000}"/>
    <cellStyle name="Normal 6 3 5 2 2 4" xfId="30590" xr:uid="{00000000-0005-0000-0000-000080A70000}"/>
    <cellStyle name="Normal 6 3 5 2 2 4 2" xfId="58311" xr:uid="{00000000-0005-0000-0000-000081A70000}"/>
    <cellStyle name="Normal 6 3 5 2 2 5" xfId="30591" xr:uid="{00000000-0005-0000-0000-000082A70000}"/>
    <cellStyle name="Normal 6 3 5 2 2 6" xfId="30592" xr:uid="{00000000-0005-0000-0000-000083A70000}"/>
    <cellStyle name="Normal 6 3 5 2 2 7" xfId="30593" xr:uid="{00000000-0005-0000-0000-000084A70000}"/>
    <cellStyle name="Normal 6 3 5 2 3" xfId="30594" xr:uid="{00000000-0005-0000-0000-000085A70000}"/>
    <cellStyle name="Normal 6 3 5 2 3 2" xfId="30595" xr:uid="{00000000-0005-0000-0000-000086A70000}"/>
    <cellStyle name="Normal 6 3 5 2 3 2 2" xfId="58312" xr:uid="{00000000-0005-0000-0000-000087A70000}"/>
    <cellStyle name="Normal 6 3 5 2 3 2 3" xfId="58313" xr:uid="{00000000-0005-0000-0000-000088A70000}"/>
    <cellStyle name="Normal 6 3 5 2 3 3" xfId="30596" xr:uid="{00000000-0005-0000-0000-000089A70000}"/>
    <cellStyle name="Normal 6 3 5 2 3 3 2" xfId="58314" xr:uid="{00000000-0005-0000-0000-00008AA70000}"/>
    <cellStyle name="Normal 6 3 5 2 3 4" xfId="30597" xr:uid="{00000000-0005-0000-0000-00008BA70000}"/>
    <cellStyle name="Normal 6 3 5 2 3 5" xfId="30598" xr:uid="{00000000-0005-0000-0000-00008CA70000}"/>
    <cellStyle name="Normal 6 3 5 2 3 6" xfId="30599" xr:uid="{00000000-0005-0000-0000-00008DA70000}"/>
    <cellStyle name="Normal 6 3 5 2 4" xfId="30600" xr:uid="{00000000-0005-0000-0000-00008EA70000}"/>
    <cellStyle name="Normal 6 3 5 2 4 2" xfId="58315" xr:uid="{00000000-0005-0000-0000-00008FA70000}"/>
    <cellStyle name="Normal 6 3 5 2 4 3" xfId="58316" xr:uid="{00000000-0005-0000-0000-000090A70000}"/>
    <cellStyle name="Normal 6 3 5 2 5" xfId="30601" xr:uid="{00000000-0005-0000-0000-000091A70000}"/>
    <cellStyle name="Normal 6 3 5 2 5 2" xfId="58317" xr:uid="{00000000-0005-0000-0000-000092A70000}"/>
    <cellStyle name="Normal 6 3 5 2 6" xfId="30602" xr:uid="{00000000-0005-0000-0000-000093A70000}"/>
    <cellStyle name="Normal 6 3 5 2 7" xfId="30603" xr:uid="{00000000-0005-0000-0000-000094A70000}"/>
    <cellStyle name="Normal 6 3 5 2 8" xfId="30604" xr:uid="{00000000-0005-0000-0000-000095A70000}"/>
    <cellStyle name="Normal 6 3 5 2 9" xfId="30605" xr:uid="{00000000-0005-0000-0000-000096A70000}"/>
    <cellStyle name="Normal 6 3 5 3" xfId="30606" xr:uid="{00000000-0005-0000-0000-000097A70000}"/>
    <cellStyle name="Normal 6 3 5 3 2" xfId="30607" xr:uid="{00000000-0005-0000-0000-000098A70000}"/>
    <cellStyle name="Normal 6 3 5 3 2 2" xfId="30608" xr:uid="{00000000-0005-0000-0000-000099A70000}"/>
    <cellStyle name="Normal 6 3 5 3 2 2 2" xfId="30609" xr:uid="{00000000-0005-0000-0000-00009AA70000}"/>
    <cellStyle name="Normal 6 3 5 3 2 2 2 2" xfId="58318" xr:uid="{00000000-0005-0000-0000-00009BA70000}"/>
    <cellStyle name="Normal 6 3 5 3 2 2 2 3" xfId="58319" xr:uid="{00000000-0005-0000-0000-00009CA70000}"/>
    <cellStyle name="Normal 6 3 5 3 2 2 3" xfId="30610" xr:uid="{00000000-0005-0000-0000-00009DA70000}"/>
    <cellStyle name="Normal 6 3 5 3 2 2 3 2" xfId="58320" xr:uid="{00000000-0005-0000-0000-00009EA70000}"/>
    <cellStyle name="Normal 6 3 5 3 2 2 4" xfId="30611" xr:uid="{00000000-0005-0000-0000-00009FA70000}"/>
    <cellStyle name="Normal 6 3 5 3 2 2 5" xfId="30612" xr:uid="{00000000-0005-0000-0000-0000A0A70000}"/>
    <cellStyle name="Normal 6 3 5 3 2 2 6" xfId="30613" xr:uid="{00000000-0005-0000-0000-0000A1A70000}"/>
    <cellStyle name="Normal 6 3 5 3 2 3" xfId="30614" xr:uid="{00000000-0005-0000-0000-0000A2A70000}"/>
    <cellStyle name="Normal 6 3 5 3 2 3 2" xfId="58321" xr:uid="{00000000-0005-0000-0000-0000A3A70000}"/>
    <cellStyle name="Normal 6 3 5 3 2 3 3" xfId="58322" xr:uid="{00000000-0005-0000-0000-0000A4A70000}"/>
    <cellStyle name="Normal 6 3 5 3 2 4" xfId="30615" xr:uid="{00000000-0005-0000-0000-0000A5A70000}"/>
    <cellStyle name="Normal 6 3 5 3 2 4 2" xfId="58323" xr:uid="{00000000-0005-0000-0000-0000A6A70000}"/>
    <cellStyle name="Normal 6 3 5 3 2 5" xfId="30616" xr:uid="{00000000-0005-0000-0000-0000A7A70000}"/>
    <cellStyle name="Normal 6 3 5 3 2 6" xfId="30617" xr:uid="{00000000-0005-0000-0000-0000A8A70000}"/>
    <cellStyle name="Normal 6 3 5 3 2 7" xfId="30618" xr:uid="{00000000-0005-0000-0000-0000A9A70000}"/>
    <cellStyle name="Normal 6 3 5 3 3" xfId="30619" xr:uid="{00000000-0005-0000-0000-0000AAA70000}"/>
    <cellStyle name="Normal 6 3 5 3 3 2" xfId="30620" xr:uid="{00000000-0005-0000-0000-0000ABA70000}"/>
    <cellStyle name="Normal 6 3 5 3 3 2 2" xfId="58324" xr:uid="{00000000-0005-0000-0000-0000ACA70000}"/>
    <cellStyle name="Normal 6 3 5 3 3 2 3" xfId="58325" xr:uid="{00000000-0005-0000-0000-0000ADA70000}"/>
    <cellStyle name="Normal 6 3 5 3 3 3" xfId="30621" xr:uid="{00000000-0005-0000-0000-0000AEA70000}"/>
    <cellStyle name="Normal 6 3 5 3 3 3 2" xfId="58326" xr:uid="{00000000-0005-0000-0000-0000AFA70000}"/>
    <cellStyle name="Normal 6 3 5 3 3 4" xfId="30622" xr:uid="{00000000-0005-0000-0000-0000B0A70000}"/>
    <cellStyle name="Normal 6 3 5 3 3 5" xfId="30623" xr:uid="{00000000-0005-0000-0000-0000B1A70000}"/>
    <cellStyle name="Normal 6 3 5 3 3 6" xfId="30624" xr:uid="{00000000-0005-0000-0000-0000B2A70000}"/>
    <cellStyle name="Normal 6 3 5 3 4" xfId="30625" xr:uid="{00000000-0005-0000-0000-0000B3A70000}"/>
    <cellStyle name="Normal 6 3 5 3 4 2" xfId="58327" xr:uid="{00000000-0005-0000-0000-0000B4A70000}"/>
    <cellStyle name="Normal 6 3 5 3 4 3" xfId="58328" xr:uid="{00000000-0005-0000-0000-0000B5A70000}"/>
    <cellStyle name="Normal 6 3 5 3 5" xfId="30626" xr:uid="{00000000-0005-0000-0000-0000B6A70000}"/>
    <cellStyle name="Normal 6 3 5 3 5 2" xfId="58329" xr:uid="{00000000-0005-0000-0000-0000B7A70000}"/>
    <cellStyle name="Normal 6 3 5 3 6" xfId="30627" xr:uid="{00000000-0005-0000-0000-0000B8A70000}"/>
    <cellStyle name="Normal 6 3 5 3 7" xfId="30628" xr:uid="{00000000-0005-0000-0000-0000B9A70000}"/>
    <cellStyle name="Normal 6 3 5 3 8" xfId="30629" xr:uid="{00000000-0005-0000-0000-0000BAA70000}"/>
    <cellStyle name="Normal 6 3 5 4" xfId="30630" xr:uid="{00000000-0005-0000-0000-0000BBA70000}"/>
    <cellStyle name="Normal 6 3 5 4 2" xfId="30631" xr:uid="{00000000-0005-0000-0000-0000BCA70000}"/>
    <cellStyle name="Normal 6 3 5 4 2 2" xfId="30632" xr:uid="{00000000-0005-0000-0000-0000BDA70000}"/>
    <cellStyle name="Normal 6 3 5 4 2 2 2" xfId="58330" xr:uid="{00000000-0005-0000-0000-0000BEA70000}"/>
    <cellStyle name="Normal 6 3 5 4 2 2 3" xfId="58331" xr:uid="{00000000-0005-0000-0000-0000BFA70000}"/>
    <cellStyle name="Normal 6 3 5 4 2 3" xfId="30633" xr:uid="{00000000-0005-0000-0000-0000C0A70000}"/>
    <cellStyle name="Normal 6 3 5 4 2 3 2" xfId="58332" xr:uid="{00000000-0005-0000-0000-0000C1A70000}"/>
    <cellStyle name="Normal 6 3 5 4 2 4" xfId="30634" xr:uid="{00000000-0005-0000-0000-0000C2A70000}"/>
    <cellStyle name="Normal 6 3 5 4 2 5" xfId="30635" xr:uid="{00000000-0005-0000-0000-0000C3A70000}"/>
    <cellStyle name="Normal 6 3 5 4 2 6" xfId="30636" xr:uid="{00000000-0005-0000-0000-0000C4A70000}"/>
    <cellStyle name="Normal 6 3 5 4 3" xfId="30637" xr:uid="{00000000-0005-0000-0000-0000C5A70000}"/>
    <cellStyle name="Normal 6 3 5 4 3 2" xfId="58333" xr:uid="{00000000-0005-0000-0000-0000C6A70000}"/>
    <cellStyle name="Normal 6 3 5 4 3 3" xfId="58334" xr:uid="{00000000-0005-0000-0000-0000C7A70000}"/>
    <cellStyle name="Normal 6 3 5 4 4" xfId="30638" xr:uid="{00000000-0005-0000-0000-0000C8A70000}"/>
    <cellStyle name="Normal 6 3 5 4 4 2" xfId="58335" xr:uid="{00000000-0005-0000-0000-0000C9A70000}"/>
    <cellStyle name="Normal 6 3 5 4 5" xfId="30639" xr:uid="{00000000-0005-0000-0000-0000CAA70000}"/>
    <cellStyle name="Normal 6 3 5 4 6" xfId="30640" xr:uid="{00000000-0005-0000-0000-0000CBA70000}"/>
    <cellStyle name="Normal 6 3 5 4 7" xfId="30641" xr:uid="{00000000-0005-0000-0000-0000CCA70000}"/>
    <cellStyle name="Normal 6 3 5 5" xfId="30642" xr:uid="{00000000-0005-0000-0000-0000CDA70000}"/>
    <cellStyle name="Normal 6 3 5 5 2" xfId="30643" xr:uid="{00000000-0005-0000-0000-0000CEA70000}"/>
    <cellStyle name="Normal 6 3 5 5 2 2" xfId="58336" xr:uid="{00000000-0005-0000-0000-0000CFA70000}"/>
    <cellStyle name="Normal 6 3 5 5 2 3" xfId="58337" xr:uid="{00000000-0005-0000-0000-0000D0A70000}"/>
    <cellStyle name="Normal 6 3 5 5 3" xfId="30644" xr:uid="{00000000-0005-0000-0000-0000D1A70000}"/>
    <cellStyle name="Normal 6 3 5 5 3 2" xfId="58338" xr:uid="{00000000-0005-0000-0000-0000D2A70000}"/>
    <cellStyle name="Normal 6 3 5 5 4" xfId="30645" xr:uid="{00000000-0005-0000-0000-0000D3A70000}"/>
    <cellStyle name="Normal 6 3 5 5 5" xfId="30646" xr:uid="{00000000-0005-0000-0000-0000D4A70000}"/>
    <cellStyle name="Normal 6 3 5 5 6" xfId="30647" xr:uid="{00000000-0005-0000-0000-0000D5A70000}"/>
    <cellStyle name="Normal 6 3 5 6" xfId="30648" xr:uid="{00000000-0005-0000-0000-0000D6A70000}"/>
    <cellStyle name="Normal 6 3 5 6 2" xfId="58339" xr:uid="{00000000-0005-0000-0000-0000D7A70000}"/>
    <cellStyle name="Normal 6 3 5 6 3" xfId="58340" xr:uid="{00000000-0005-0000-0000-0000D8A70000}"/>
    <cellStyle name="Normal 6 3 5 7" xfId="30649" xr:uid="{00000000-0005-0000-0000-0000D9A70000}"/>
    <cellStyle name="Normal 6 3 5 7 2" xfId="58341" xr:uid="{00000000-0005-0000-0000-0000DAA70000}"/>
    <cellStyle name="Normal 6 3 5 8" xfId="30650" xr:uid="{00000000-0005-0000-0000-0000DBA70000}"/>
    <cellStyle name="Normal 6 3 5 9" xfId="30651" xr:uid="{00000000-0005-0000-0000-0000DCA70000}"/>
    <cellStyle name="Normal 6 3 6" xfId="30652" xr:uid="{00000000-0005-0000-0000-0000DDA70000}"/>
    <cellStyle name="Normal 6 3 6 10" xfId="30653" xr:uid="{00000000-0005-0000-0000-0000DEA70000}"/>
    <cellStyle name="Normal 6 3 6 11" xfId="30654" xr:uid="{00000000-0005-0000-0000-0000DFA70000}"/>
    <cellStyle name="Normal 6 3 6 12" xfId="30655" xr:uid="{00000000-0005-0000-0000-0000E0A70000}"/>
    <cellStyle name="Normal 6 3 6 13" xfId="30656" xr:uid="{00000000-0005-0000-0000-0000E1A70000}"/>
    <cellStyle name="Normal 6 3 6 2" xfId="30657" xr:uid="{00000000-0005-0000-0000-0000E2A70000}"/>
    <cellStyle name="Normal 6 3 6 2 2" xfId="30658" xr:uid="{00000000-0005-0000-0000-0000E3A70000}"/>
    <cellStyle name="Normal 6 3 6 2 2 2" xfId="30659" xr:uid="{00000000-0005-0000-0000-0000E4A70000}"/>
    <cellStyle name="Normal 6 3 6 2 2 2 2" xfId="30660" xr:uid="{00000000-0005-0000-0000-0000E5A70000}"/>
    <cellStyle name="Normal 6 3 6 2 2 2 2 2" xfId="58342" xr:uid="{00000000-0005-0000-0000-0000E6A70000}"/>
    <cellStyle name="Normal 6 3 6 2 2 2 2 3" xfId="58343" xr:uid="{00000000-0005-0000-0000-0000E7A70000}"/>
    <cellStyle name="Normal 6 3 6 2 2 2 3" xfId="30661" xr:uid="{00000000-0005-0000-0000-0000E8A70000}"/>
    <cellStyle name="Normal 6 3 6 2 2 2 3 2" xfId="58344" xr:uid="{00000000-0005-0000-0000-0000E9A70000}"/>
    <cellStyle name="Normal 6 3 6 2 2 2 4" xfId="30662" xr:uid="{00000000-0005-0000-0000-0000EAA70000}"/>
    <cellStyle name="Normal 6 3 6 2 2 2 5" xfId="30663" xr:uid="{00000000-0005-0000-0000-0000EBA70000}"/>
    <cellStyle name="Normal 6 3 6 2 2 2 6" xfId="30664" xr:uid="{00000000-0005-0000-0000-0000ECA70000}"/>
    <cellStyle name="Normal 6 3 6 2 2 3" xfId="30665" xr:uid="{00000000-0005-0000-0000-0000EDA70000}"/>
    <cellStyle name="Normal 6 3 6 2 2 3 2" xfId="58345" xr:uid="{00000000-0005-0000-0000-0000EEA70000}"/>
    <cellStyle name="Normal 6 3 6 2 2 3 3" xfId="58346" xr:uid="{00000000-0005-0000-0000-0000EFA70000}"/>
    <cellStyle name="Normal 6 3 6 2 2 4" xfId="30666" xr:uid="{00000000-0005-0000-0000-0000F0A70000}"/>
    <cellStyle name="Normal 6 3 6 2 2 4 2" xfId="58347" xr:uid="{00000000-0005-0000-0000-0000F1A70000}"/>
    <cellStyle name="Normal 6 3 6 2 2 5" xfId="30667" xr:uid="{00000000-0005-0000-0000-0000F2A70000}"/>
    <cellStyle name="Normal 6 3 6 2 2 6" xfId="30668" xr:uid="{00000000-0005-0000-0000-0000F3A70000}"/>
    <cellStyle name="Normal 6 3 6 2 2 7" xfId="30669" xr:uid="{00000000-0005-0000-0000-0000F4A70000}"/>
    <cellStyle name="Normal 6 3 6 2 3" xfId="30670" xr:uid="{00000000-0005-0000-0000-0000F5A70000}"/>
    <cellStyle name="Normal 6 3 6 2 3 2" xfId="30671" xr:uid="{00000000-0005-0000-0000-0000F6A70000}"/>
    <cellStyle name="Normal 6 3 6 2 3 2 2" xfId="58348" xr:uid="{00000000-0005-0000-0000-0000F7A70000}"/>
    <cellStyle name="Normal 6 3 6 2 3 2 3" xfId="58349" xr:uid="{00000000-0005-0000-0000-0000F8A70000}"/>
    <cellStyle name="Normal 6 3 6 2 3 3" xfId="30672" xr:uid="{00000000-0005-0000-0000-0000F9A70000}"/>
    <cellStyle name="Normal 6 3 6 2 3 3 2" xfId="58350" xr:uid="{00000000-0005-0000-0000-0000FAA70000}"/>
    <cellStyle name="Normal 6 3 6 2 3 4" xfId="30673" xr:uid="{00000000-0005-0000-0000-0000FBA70000}"/>
    <cellStyle name="Normal 6 3 6 2 3 5" xfId="30674" xr:uid="{00000000-0005-0000-0000-0000FCA70000}"/>
    <cellStyle name="Normal 6 3 6 2 3 6" xfId="30675" xr:uid="{00000000-0005-0000-0000-0000FDA70000}"/>
    <cellStyle name="Normal 6 3 6 2 4" xfId="30676" xr:uid="{00000000-0005-0000-0000-0000FEA70000}"/>
    <cellStyle name="Normal 6 3 6 2 4 2" xfId="58351" xr:uid="{00000000-0005-0000-0000-0000FFA70000}"/>
    <cellStyle name="Normal 6 3 6 2 4 3" xfId="58352" xr:uid="{00000000-0005-0000-0000-000000A80000}"/>
    <cellStyle name="Normal 6 3 6 2 5" xfId="30677" xr:uid="{00000000-0005-0000-0000-000001A80000}"/>
    <cellStyle name="Normal 6 3 6 2 5 2" xfId="58353" xr:uid="{00000000-0005-0000-0000-000002A80000}"/>
    <cellStyle name="Normal 6 3 6 2 6" xfId="30678" xr:uid="{00000000-0005-0000-0000-000003A80000}"/>
    <cellStyle name="Normal 6 3 6 2 7" xfId="30679" xr:uid="{00000000-0005-0000-0000-000004A80000}"/>
    <cellStyle name="Normal 6 3 6 2 8" xfId="30680" xr:uid="{00000000-0005-0000-0000-000005A80000}"/>
    <cellStyle name="Normal 6 3 6 2 9" xfId="30681" xr:uid="{00000000-0005-0000-0000-000006A80000}"/>
    <cellStyle name="Normal 6 3 6 3" xfId="30682" xr:uid="{00000000-0005-0000-0000-000007A80000}"/>
    <cellStyle name="Normal 6 3 6 3 2" xfId="30683" xr:uid="{00000000-0005-0000-0000-000008A80000}"/>
    <cellStyle name="Normal 6 3 6 3 2 2" xfId="30684" xr:uid="{00000000-0005-0000-0000-000009A80000}"/>
    <cellStyle name="Normal 6 3 6 3 2 2 2" xfId="58354" xr:uid="{00000000-0005-0000-0000-00000AA80000}"/>
    <cellStyle name="Normal 6 3 6 3 2 2 3" xfId="58355" xr:uid="{00000000-0005-0000-0000-00000BA80000}"/>
    <cellStyle name="Normal 6 3 6 3 2 3" xfId="30685" xr:uid="{00000000-0005-0000-0000-00000CA80000}"/>
    <cellStyle name="Normal 6 3 6 3 2 3 2" xfId="58356" xr:uid="{00000000-0005-0000-0000-00000DA80000}"/>
    <cellStyle name="Normal 6 3 6 3 2 4" xfId="30686" xr:uid="{00000000-0005-0000-0000-00000EA80000}"/>
    <cellStyle name="Normal 6 3 6 3 2 5" xfId="30687" xr:uid="{00000000-0005-0000-0000-00000FA80000}"/>
    <cellStyle name="Normal 6 3 6 3 2 6" xfId="30688" xr:uid="{00000000-0005-0000-0000-000010A80000}"/>
    <cellStyle name="Normal 6 3 6 3 3" xfId="30689" xr:uid="{00000000-0005-0000-0000-000011A80000}"/>
    <cellStyle name="Normal 6 3 6 3 3 2" xfId="58357" xr:uid="{00000000-0005-0000-0000-000012A80000}"/>
    <cellStyle name="Normal 6 3 6 3 3 3" xfId="58358" xr:uid="{00000000-0005-0000-0000-000013A80000}"/>
    <cellStyle name="Normal 6 3 6 3 4" xfId="30690" xr:uid="{00000000-0005-0000-0000-000014A80000}"/>
    <cellStyle name="Normal 6 3 6 3 4 2" xfId="58359" xr:uid="{00000000-0005-0000-0000-000015A80000}"/>
    <cellStyle name="Normal 6 3 6 3 5" xfId="30691" xr:uid="{00000000-0005-0000-0000-000016A80000}"/>
    <cellStyle name="Normal 6 3 6 3 6" xfId="30692" xr:uid="{00000000-0005-0000-0000-000017A80000}"/>
    <cellStyle name="Normal 6 3 6 3 7" xfId="30693" xr:uid="{00000000-0005-0000-0000-000018A80000}"/>
    <cellStyle name="Normal 6 3 6 4" xfId="30694" xr:uid="{00000000-0005-0000-0000-000019A80000}"/>
    <cellStyle name="Normal 6 3 6 4 2" xfId="30695" xr:uid="{00000000-0005-0000-0000-00001AA80000}"/>
    <cellStyle name="Normal 6 3 6 4 2 2" xfId="58360" xr:uid="{00000000-0005-0000-0000-00001BA80000}"/>
    <cellStyle name="Normal 6 3 6 4 2 3" xfId="58361" xr:uid="{00000000-0005-0000-0000-00001CA80000}"/>
    <cellStyle name="Normal 6 3 6 4 3" xfId="30696" xr:uid="{00000000-0005-0000-0000-00001DA80000}"/>
    <cellStyle name="Normal 6 3 6 4 3 2" xfId="58362" xr:uid="{00000000-0005-0000-0000-00001EA80000}"/>
    <cellStyle name="Normal 6 3 6 4 4" xfId="30697" xr:uid="{00000000-0005-0000-0000-00001FA80000}"/>
    <cellStyle name="Normal 6 3 6 4 5" xfId="30698" xr:uid="{00000000-0005-0000-0000-000020A80000}"/>
    <cellStyle name="Normal 6 3 6 4 6" xfId="30699" xr:uid="{00000000-0005-0000-0000-000021A80000}"/>
    <cellStyle name="Normal 6 3 6 5" xfId="30700" xr:uid="{00000000-0005-0000-0000-000022A80000}"/>
    <cellStyle name="Normal 6 3 6 5 2" xfId="58363" xr:uid="{00000000-0005-0000-0000-000023A80000}"/>
    <cellStyle name="Normal 6 3 6 5 3" xfId="58364" xr:uid="{00000000-0005-0000-0000-000024A80000}"/>
    <cellStyle name="Normal 6 3 6 6" xfId="30701" xr:uid="{00000000-0005-0000-0000-000025A80000}"/>
    <cellStyle name="Normal 6 3 6 6 2" xfId="58365" xr:uid="{00000000-0005-0000-0000-000026A80000}"/>
    <cellStyle name="Normal 6 3 6 7" xfId="30702" xr:uid="{00000000-0005-0000-0000-000027A80000}"/>
    <cellStyle name="Normal 6 3 6 8" xfId="30703" xr:uid="{00000000-0005-0000-0000-000028A80000}"/>
    <cellStyle name="Normal 6 3 6 9" xfId="30704" xr:uid="{00000000-0005-0000-0000-000029A80000}"/>
    <cellStyle name="Normal 6 3 7" xfId="30705" xr:uid="{00000000-0005-0000-0000-00002AA80000}"/>
    <cellStyle name="Normal 6 3 7 2" xfId="30706" xr:uid="{00000000-0005-0000-0000-00002BA80000}"/>
    <cellStyle name="Normal 6 3 7 2 2" xfId="30707" xr:uid="{00000000-0005-0000-0000-00002CA80000}"/>
    <cellStyle name="Normal 6 3 7 2 2 2" xfId="30708" xr:uid="{00000000-0005-0000-0000-00002DA80000}"/>
    <cellStyle name="Normal 6 3 7 2 2 2 2" xfId="58366" xr:uid="{00000000-0005-0000-0000-00002EA80000}"/>
    <cellStyle name="Normal 6 3 7 2 2 2 3" xfId="58367" xr:uid="{00000000-0005-0000-0000-00002FA80000}"/>
    <cellStyle name="Normal 6 3 7 2 2 3" xfId="30709" xr:uid="{00000000-0005-0000-0000-000030A80000}"/>
    <cellStyle name="Normal 6 3 7 2 2 3 2" xfId="58368" xr:uid="{00000000-0005-0000-0000-000031A80000}"/>
    <cellStyle name="Normal 6 3 7 2 2 4" xfId="30710" xr:uid="{00000000-0005-0000-0000-000032A80000}"/>
    <cellStyle name="Normal 6 3 7 2 2 5" xfId="30711" xr:uid="{00000000-0005-0000-0000-000033A80000}"/>
    <cellStyle name="Normal 6 3 7 2 2 6" xfId="30712" xr:uid="{00000000-0005-0000-0000-000034A80000}"/>
    <cellStyle name="Normal 6 3 7 2 3" xfId="30713" xr:uid="{00000000-0005-0000-0000-000035A80000}"/>
    <cellStyle name="Normal 6 3 7 2 3 2" xfId="58369" xr:uid="{00000000-0005-0000-0000-000036A80000}"/>
    <cellStyle name="Normal 6 3 7 2 3 3" xfId="58370" xr:uid="{00000000-0005-0000-0000-000037A80000}"/>
    <cellStyle name="Normal 6 3 7 2 4" xfId="30714" xr:uid="{00000000-0005-0000-0000-000038A80000}"/>
    <cellStyle name="Normal 6 3 7 2 4 2" xfId="58371" xr:uid="{00000000-0005-0000-0000-000039A80000}"/>
    <cellStyle name="Normal 6 3 7 2 5" xfId="30715" xr:uid="{00000000-0005-0000-0000-00003AA80000}"/>
    <cellStyle name="Normal 6 3 7 2 6" xfId="30716" xr:uid="{00000000-0005-0000-0000-00003BA80000}"/>
    <cellStyle name="Normal 6 3 7 2 7" xfId="30717" xr:uid="{00000000-0005-0000-0000-00003CA80000}"/>
    <cellStyle name="Normal 6 3 7 3" xfId="30718" xr:uid="{00000000-0005-0000-0000-00003DA80000}"/>
    <cellStyle name="Normal 6 3 7 3 2" xfId="30719" xr:uid="{00000000-0005-0000-0000-00003EA80000}"/>
    <cellStyle name="Normal 6 3 7 3 2 2" xfId="58372" xr:uid="{00000000-0005-0000-0000-00003FA80000}"/>
    <cellStyle name="Normal 6 3 7 3 2 3" xfId="58373" xr:uid="{00000000-0005-0000-0000-000040A80000}"/>
    <cellStyle name="Normal 6 3 7 3 3" xfId="30720" xr:uid="{00000000-0005-0000-0000-000041A80000}"/>
    <cellStyle name="Normal 6 3 7 3 3 2" xfId="58374" xr:uid="{00000000-0005-0000-0000-000042A80000}"/>
    <cellStyle name="Normal 6 3 7 3 4" xfId="30721" xr:uid="{00000000-0005-0000-0000-000043A80000}"/>
    <cellStyle name="Normal 6 3 7 3 5" xfId="30722" xr:uid="{00000000-0005-0000-0000-000044A80000}"/>
    <cellStyle name="Normal 6 3 7 3 6" xfId="30723" xr:uid="{00000000-0005-0000-0000-000045A80000}"/>
    <cellStyle name="Normal 6 3 7 4" xfId="30724" xr:uid="{00000000-0005-0000-0000-000046A80000}"/>
    <cellStyle name="Normal 6 3 7 4 2" xfId="58375" xr:uid="{00000000-0005-0000-0000-000047A80000}"/>
    <cellStyle name="Normal 6 3 7 4 3" xfId="58376" xr:uid="{00000000-0005-0000-0000-000048A80000}"/>
    <cellStyle name="Normal 6 3 7 5" xfId="30725" xr:uid="{00000000-0005-0000-0000-000049A80000}"/>
    <cellStyle name="Normal 6 3 7 5 2" xfId="58377" xr:uid="{00000000-0005-0000-0000-00004AA80000}"/>
    <cellStyle name="Normal 6 3 7 6" xfId="30726" xr:uid="{00000000-0005-0000-0000-00004BA80000}"/>
    <cellStyle name="Normal 6 3 7 7" xfId="30727" xr:uid="{00000000-0005-0000-0000-00004CA80000}"/>
    <cellStyle name="Normal 6 3 7 8" xfId="30728" xr:uid="{00000000-0005-0000-0000-00004DA80000}"/>
    <cellStyle name="Normal 6 3 7 9" xfId="30729" xr:uid="{00000000-0005-0000-0000-00004EA80000}"/>
    <cellStyle name="Normal 6 3 8" xfId="30730" xr:uid="{00000000-0005-0000-0000-00004FA80000}"/>
    <cellStyle name="Normal 6 3 8 2" xfId="30731" xr:uid="{00000000-0005-0000-0000-000050A80000}"/>
    <cellStyle name="Normal 6 3 8 2 2" xfId="30732" xr:uid="{00000000-0005-0000-0000-000051A80000}"/>
    <cellStyle name="Normal 6 3 8 2 2 2" xfId="30733" xr:uid="{00000000-0005-0000-0000-000052A80000}"/>
    <cellStyle name="Normal 6 3 8 2 2 2 2" xfId="58378" xr:uid="{00000000-0005-0000-0000-000053A80000}"/>
    <cellStyle name="Normal 6 3 8 2 2 2 3" xfId="58379" xr:uid="{00000000-0005-0000-0000-000054A80000}"/>
    <cellStyle name="Normal 6 3 8 2 2 3" xfId="30734" xr:uid="{00000000-0005-0000-0000-000055A80000}"/>
    <cellStyle name="Normal 6 3 8 2 2 3 2" xfId="58380" xr:uid="{00000000-0005-0000-0000-000056A80000}"/>
    <cellStyle name="Normal 6 3 8 2 2 4" xfId="30735" xr:uid="{00000000-0005-0000-0000-000057A80000}"/>
    <cellStyle name="Normal 6 3 8 2 2 5" xfId="30736" xr:uid="{00000000-0005-0000-0000-000058A80000}"/>
    <cellStyle name="Normal 6 3 8 2 2 6" xfId="30737" xr:uid="{00000000-0005-0000-0000-000059A80000}"/>
    <cellStyle name="Normal 6 3 8 2 3" xfId="30738" xr:uid="{00000000-0005-0000-0000-00005AA80000}"/>
    <cellStyle name="Normal 6 3 8 2 3 2" xfId="58381" xr:uid="{00000000-0005-0000-0000-00005BA80000}"/>
    <cellStyle name="Normal 6 3 8 2 3 3" xfId="58382" xr:uid="{00000000-0005-0000-0000-00005CA80000}"/>
    <cellStyle name="Normal 6 3 8 2 4" xfId="30739" xr:uid="{00000000-0005-0000-0000-00005DA80000}"/>
    <cellStyle name="Normal 6 3 8 2 4 2" xfId="58383" xr:uid="{00000000-0005-0000-0000-00005EA80000}"/>
    <cellStyle name="Normal 6 3 8 2 5" xfId="30740" xr:uid="{00000000-0005-0000-0000-00005FA80000}"/>
    <cellStyle name="Normal 6 3 8 2 6" xfId="30741" xr:uid="{00000000-0005-0000-0000-000060A80000}"/>
    <cellStyle name="Normal 6 3 8 2 7" xfId="30742" xr:uid="{00000000-0005-0000-0000-000061A80000}"/>
    <cellStyle name="Normal 6 3 8 3" xfId="30743" xr:uid="{00000000-0005-0000-0000-000062A80000}"/>
    <cellStyle name="Normal 6 3 8 3 2" xfId="30744" xr:uid="{00000000-0005-0000-0000-000063A80000}"/>
    <cellStyle name="Normal 6 3 8 3 2 2" xfId="58384" xr:uid="{00000000-0005-0000-0000-000064A80000}"/>
    <cellStyle name="Normal 6 3 8 3 2 3" xfId="58385" xr:uid="{00000000-0005-0000-0000-000065A80000}"/>
    <cellStyle name="Normal 6 3 8 3 3" xfId="30745" xr:uid="{00000000-0005-0000-0000-000066A80000}"/>
    <cellStyle name="Normal 6 3 8 3 3 2" xfId="58386" xr:uid="{00000000-0005-0000-0000-000067A80000}"/>
    <cellStyle name="Normal 6 3 8 3 4" xfId="30746" xr:uid="{00000000-0005-0000-0000-000068A80000}"/>
    <cellStyle name="Normal 6 3 8 3 5" xfId="30747" xr:uid="{00000000-0005-0000-0000-000069A80000}"/>
    <cellStyle name="Normal 6 3 8 3 6" xfId="30748" xr:uid="{00000000-0005-0000-0000-00006AA80000}"/>
    <cellStyle name="Normal 6 3 8 4" xfId="30749" xr:uid="{00000000-0005-0000-0000-00006BA80000}"/>
    <cellStyle name="Normal 6 3 8 4 2" xfId="58387" xr:uid="{00000000-0005-0000-0000-00006CA80000}"/>
    <cellStyle name="Normal 6 3 8 4 3" xfId="58388" xr:uid="{00000000-0005-0000-0000-00006DA80000}"/>
    <cellStyle name="Normal 6 3 8 5" xfId="30750" xr:uid="{00000000-0005-0000-0000-00006EA80000}"/>
    <cellStyle name="Normal 6 3 8 5 2" xfId="58389" xr:uid="{00000000-0005-0000-0000-00006FA80000}"/>
    <cellStyle name="Normal 6 3 8 6" xfId="30751" xr:uid="{00000000-0005-0000-0000-000070A80000}"/>
    <cellStyle name="Normal 6 3 8 7" xfId="30752" xr:uid="{00000000-0005-0000-0000-000071A80000}"/>
    <cellStyle name="Normal 6 3 8 8" xfId="30753" xr:uid="{00000000-0005-0000-0000-000072A80000}"/>
    <cellStyle name="Normal 6 3 9" xfId="30754" xr:uid="{00000000-0005-0000-0000-000073A80000}"/>
    <cellStyle name="Normal 6 3 9 2" xfId="30755" xr:uid="{00000000-0005-0000-0000-000074A80000}"/>
    <cellStyle name="Normal 6 3 9 2 2" xfId="30756" xr:uid="{00000000-0005-0000-0000-000075A80000}"/>
    <cellStyle name="Normal 6 3 9 2 2 2" xfId="30757" xr:uid="{00000000-0005-0000-0000-000076A80000}"/>
    <cellStyle name="Normal 6 3 9 2 2 2 2" xfId="58390" xr:uid="{00000000-0005-0000-0000-000077A80000}"/>
    <cellStyle name="Normal 6 3 9 2 2 2 3" xfId="58391" xr:uid="{00000000-0005-0000-0000-000078A80000}"/>
    <cellStyle name="Normal 6 3 9 2 2 3" xfId="30758" xr:uid="{00000000-0005-0000-0000-000079A80000}"/>
    <cellStyle name="Normal 6 3 9 2 2 3 2" xfId="58392" xr:uid="{00000000-0005-0000-0000-00007AA80000}"/>
    <cellStyle name="Normal 6 3 9 2 2 4" xfId="30759" xr:uid="{00000000-0005-0000-0000-00007BA80000}"/>
    <cellStyle name="Normal 6 3 9 2 2 5" xfId="30760" xr:uid="{00000000-0005-0000-0000-00007CA80000}"/>
    <cellStyle name="Normal 6 3 9 2 2 6" xfId="30761" xr:uid="{00000000-0005-0000-0000-00007DA80000}"/>
    <cellStyle name="Normal 6 3 9 2 3" xfId="30762" xr:uid="{00000000-0005-0000-0000-00007EA80000}"/>
    <cellStyle name="Normal 6 3 9 2 3 2" xfId="58393" xr:uid="{00000000-0005-0000-0000-00007FA80000}"/>
    <cellStyle name="Normal 6 3 9 2 3 3" xfId="58394" xr:uid="{00000000-0005-0000-0000-000080A80000}"/>
    <cellStyle name="Normal 6 3 9 2 4" xfId="30763" xr:uid="{00000000-0005-0000-0000-000081A80000}"/>
    <cellStyle name="Normal 6 3 9 2 4 2" xfId="58395" xr:uid="{00000000-0005-0000-0000-000082A80000}"/>
    <cellStyle name="Normal 6 3 9 2 5" xfId="30764" xr:uid="{00000000-0005-0000-0000-000083A80000}"/>
    <cellStyle name="Normal 6 3 9 2 6" xfId="30765" xr:uid="{00000000-0005-0000-0000-000084A80000}"/>
    <cellStyle name="Normal 6 3 9 2 7" xfId="30766" xr:uid="{00000000-0005-0000-0000-000085A80000}"/>
    <cellStyle name="Normal 6 3 9 3" xfId="30767" xr:uid="{00000000-0005-0000-0000-000086A80000}"/>
    <cellStyle name="Normal 6 3 9 3 2" xfId="30768" xr:uid="{00000000-0005-0000-0000-000087A80000}"/>
    <cellStyle name="Normal 6 3 9 3 2 2" xfId="58396" xr:uid="{00000000-0005-0000-0000-000088A80000}"/>
    <cellStyle name="Normal 6 3 9 3 2 3" xfId="58397" xr:uid="{00000000-0005-0000-0000-000089A80000}"/>
    <cellStyle name="Normal 6 3 9 3 3" xfId="30769" xr:uid="{00000000-0005-0000-0000-00008AA80000}"/>
    <cellStyle name="Normal 6 3 9 3 3 2" xfId="58398" xr:uid="{00000000-0005-0000-0000-00008BA80000}"/>
    <cellStyle name="Normal 6 3 9 3 4" xfId="30770" xr:uid="{00000000-0005-0000-0000-00008CA80000}"/>
    <cellStyle name="Normal 6 3 9 3 5" xfId="30771" xr:uid="{00000000-0005-0000-0000-00008DA80000}"/>
    <cellStyle name="Normal 6 3 9 3 6" xfId="30772" xr:uid="{00000000-0005-0000-0000-00008EA80000}"/>
    <cellStyle name="Normal 6 3 9 4" xfId="30773" xr:uid="{00000000-0005-0000-0000-00008FA80000}"/>
    <cellStyle name="Normal 6 3 9 4 2" xfId="58399" xr:uid="{00000000-0005-0000-0000-000090A80000}"/>
    <cellStyle name="Normal 6 3 9 4 3" xfId="58400" xr:uid="{00000000-0005-0000-0000-000091A80000}"/>
    <cellStyle name="Normal 6 3 9 5" xfId="30774" xr:uid="{00000000-0005-0000-0000-000092A80000}"/>
    <cellStyle name="Normal 6 3 9 5 2" xfId="58401" xr:uid="{00000000-0005-0000-0000-000093A80000}"/>
    <cellStyle name="Normal 6 3 9 6" xfId="30775" xr:uid="{00000000-0005-0000-0000-000094A80000}"/>
    <cellStyle name="Normal 6 3 9 7" xfId="30776" xr:uid="{00000000-0005-0000-0000-000095A80000}"/>
    <cellStyle name="Normal 6 3 9 8" xfId="30777" xr:uid="{00000000-0005-0000-0000-000096A80000}"/>
    <cellStyle name="Normal 6 4" xfId="30778" xr:uid="{00000000-0005-0000-0000-000097A80000}"/>
    <cellStyle name="Normal 6 4 10" xfId="30779" xr:uid="{00000000-0005-0000-0000-000098A80000}"/>
    <cellStyle name="Normal 6 4 10 2" xfId="30780" xr:uid="{00000000-0005-0000-0000-000099A80000}"/>
    <cellStyle name="Normal 6 4 10 2 2" xfId="30781" xr:uid="{00000000-0005-0000-0000-00009AA80000}"/>
    <cellStyle name="Normal 6 4 10 2 2 2" xfId="58402" xr:uid="{00000000-0005-0000-0000-00009BA80000}"/>
    <cellStyle name="Normal 6 4 10 2 2 3" xfId="58403" xr:uid="{00000000-0005-0000-0000-00009CA80000}"/>
    <cellStyle name="Normal 6 4 10 2 3" xfId="30782" xr:uid="{00000000-0005-0000-0000-00009DA80000}"/>
    <cellStyle name="Normal 6 4 10 2 3 2" xfId="58404" xr:uid="{00000000-0005-0000-0000-00009EA80000}"/>
    <cellStyle name="Normal 6 4 10 2 4" xfId="30783" xr:uid="{00000000-0005-0000-0000-00009FA80000}"/>
    <cellStyle name="Normal 6 4 10 2 5" xfId="30784" xr:uid="{00000000-0005-0000-0000-0000A0A80000}"/>
    <cellStyle name="Normal 6 4 10 2 6" xfId="30785" xr:uid="{00000000-0005-0000-0000-0000A1A80000}"/>
    <cellStyle name="Normal 6 4 10 3" xfId="30786" xr:uid="{00000000-0005-0000-0000-0000A2A80000}"/>
    <cellStyle name="Normal 6 4 10 3 2" xfId="58405" xr:uid="{00000000-0005-0000-0000-0000A3A80000}"/>
    <cellStyle name="Normal 6 4 10 3 3" xfId="58406" xr:uid="{00000000-0005-0000-0000-0000A4A80000}"/>
    <cellStyle name="Normal 6 4 10 4" xfId="30787" xr:uid="{00000000-0005-0000-0000-0000A5A80000}"/>
    <cellStyle name="Normal 6 4 10 4 2" xfId="58407" xr:uid="{00000000-0005-0000-0000-0000A6A80000}"/>
    <cellStyle name="Normal 6 4 10 5" xfId="30788" xr:uid="{00000000-0005-0000-0000-0000A7A80000}"/>
    <cellStyle name="Normal 6 4 10 6" xfId="30789" xr:uid="{00000000-0005-0000-0000-0000A8A80000}"/>
    <cellStyle name="Normal 6 4 10 7" xfId="30790" xr:uid="{00000000-0005-0000-0000-0000A9A80000}"/>
    <cellStyle name="Normal 6 4 11" xfId="30791" xr:uid="{00000000-0005-0000-0000-0000AAA80000}"/>
    <cellStyle name="Normal 6 4 11 2" xfId="30792" xr:uid="{00000000-0005-0000-0000-0000ABA80000}"/>
    <cellStyle name="Normal 6 4 11 2 2" xfId="58408" xr:uid="{00000000-0005-0000-0000-0000ACA80000}"/>
    <cellStyle name="Normal 6 4 11 2 3" xfId="58409" xr:uid="{00000000-0005-0000-0000-0000ADA80000}"/>
    <cellStyle name="Normal 6 4 11 3" xfId="30793" xr:uid="{00000000-0005-0000-0000-0000AEA80000}"/>
    <cellStyle name="Normal 6 4 11 3 2" xfId="58410" xr:uid="{00000000-0005-0000-0000-0000AFA80000}"/>
    <cellStyle name="Normal 6 4 11 4" xfId="30794" xr:uid="{00000000-0005-0000-0000-0000B0A80000}"/>
    <cellStyle name="Normal 6 4 11 5" xfId="30795" xr:uid="{00000000-0005-0000-0000-0000B1A80000}"/>
    <cellStyle name="Normal 6 4 11 6" xfId="30796" xr:uid="{00000000-0005-0000-0000-0000B2A80000}"/>
    <cellStyle name="Normal 6 4 12" xfId="30797" xr:uid="{00000000-0005-0000-0000-0000B3A80000}"/>
    <cellStyle name="Normal 6 4 12 2" xfId="58411" xr:uid="{00000000-0005-0000-0000-0000B4A80000}"/>
    <cellStyle name="Normal 6 4 12 3" xfId="58412" xr:uid="{00000000-0005-0000-0000-0000B5A80000}"/>
    <cellStyle name="Normal 6 4 13" xfId="30798" xr:uid="{00000000-0005-0000-0000-0000B6A80000}"/>
    <cellStyle name="Normal 6 4 13 2" xfId="58413" xr:uid="{00000000-0005-0000-0000-0000B7A80000}"/>
    <cellStyle name="Normal 6 4 14" xfId="30799" xr:uid="{00000000-0005-0000-0000-0000B8A80000}"/>
    <cellStyle name="Normal 6 4 14 2" xfId="58414" xr:uid="{00000000-0005-0000-0000-0000B9A80000}"/>
    <cellStyle name="Normal 6 4 15" xfId="30800" xr:uid="{00000000-0005-0000-0000-0000BAA80000}"/>
    <cellStyle name="Normal 6 4 16" xfId="30801" xr:uid="{00000000-0005-0000-0000-0000BBA80000}"/>
    <cellStyle name="Normal 6 4 17" xfId="30802" xr:uid="{00000000-0005-0000-0000-0000BCA80000}"/>
    <cellStyle name="Normal 6 4 18" xfId="30803" xr:uid="{00000000-0005-0000-0000-0000BDA80000}"/>
    <cellStyle name="Normal 6 4 19" xfId="30804" xr:uid="{00000000-0005-0000-0000-0000BEA80000}"/>
    <cellStyle name="Normal 6 4 2" xfId="30805" xr:uid="{00000000-0005-0000-0000-0000BFA80000}"/>
    <cellStyle name="Normal 6 4 2 10" xfId="30806" xr:uid="{00000000-0005-0000-0000-0000C0A80000}"/>
    <cellStyle name="Normal 6 4 2 10 2" xfId="58415" xr:uid="{00000000-0005-0000-0000-0000C1A80000}"/>
    <cellStyle name="Normal 6 4 2 11" xfId="30807" xr:uid="{00000000-0005-0000-0000-0000C2A80000}"/>
    <cellStyle name="Normal 6 4 2 12" xfId="30808" xr:uid="{00000000-0005-0000-0000-0000C3A80000}"/>
    <cellStyle name="Normal 6 4 2 13" xfId="30809" xr:uid="{00000000-0005-0000-0000-0000C4A80000}"/>
    <cellStyle name="Normal 6 4 2 14" xfId="30810" xr:uid="{00000000-0005-0000-0000-0000C5A80000}"/>
    <cellStyle name="Normal 6 4 2 15" xfId="30811" xr:uid="{00000000-0005-0000-0000-0000C6A80000}"/>
    <cellStyle name="Normal 6 4 2 16" xfId="30812" xr:uid="{00000000-0005-0000-0000-0000C7A80000}"/>
    <cellStyle name="Normal 6 4 2 2" xfId="30813" xr:uid="{00000000-0005-0000-0000-0000C8A80000}"/>
    <cellStyle name="Normal 6 4 2 2 10" xfId="30814" xr:uid="{00000000-0005-0000-0000-0000C9A80000}"/>
    <cellStyle name="Normal 6 4 2 2 11" xfId="30815" xr:uid="{00000000-0005-0000-0000-0000CAA80000}"/>
    <cellStyle name="Normal 6 4 2 2 12" xfId="30816" xr:uid="{00000000-0005-0000-0000-0000CBA80000}"/>
    <cellStyle name="Normal 6 4 2 2 13" xfId="30817" xr:uid="{00000000-0005-0000-0000-0000CCA80000}"/>
    <cellStyle name="Normal 6 4 2 2 14" xfId="30818" xr:uid="{00000000-0005-0000-0000-0000CDA80000}"/>
    <cellStyle name="Normal 6 4 2 2 2" xfId="30819" xr:uid="{00000000-0005-0000-0000-0000CEA80000}"/>
    <cellStyle name="Normal 6 4 2 2 2 2" xfId="30820" xr:uid="{00000000-0005-0000-0000-0000CFA80000}"/>
    <cellStyle name="Normal 6 4 2 2 2 2 2" xfId="30821" xr:uid="{00000000-0005-0000-0000-0000D0A80000}"/>
    <cellStyle name="Normal 6 4 2 2 2 2 2 2" xfId="30822" xr:uid="{00000000-0005-0000-0000-0000D1A80000}"/>
    <cellStyle name="Normal 6 4 2 2 2 2 2 2 2" xfId="58416" xr:uid="{00000000-0005-0000-0000-0000D2A80000}"/>
    <cellStyle name="Normal 6 4 2 2 2 2 2 2 3" xfId="58417" xr:uid="{00000000-0005-0000-0000-0000D3A80000}"/>
    <cellStyle name="Normal 6 4 2 2 2 2 2 3" xfId="30823" xr:uid="{00000000-0005-0000-0000-0000D4A80000}"/>
    <cellStyle name="Normal 6 4 2 2 2 2 2 3 2" xfId="58418" xr:uid="{00000000-0005-0000-0000-0000D5A80000}"/>
    <cellStyle name="Normal 6 4 2 2 2 2 2 4" xfId="30824" xr:uid="{00000000-0005-0000-0000-0000D6A80000}"/>
    <cellStyle name="Normal 6 4 2 2 2 2 2 5" xfId="30825" xr:uid="{00000000-0005-0000-0000-0000D7A80000}"/>
    <cellStyle name="Normal 6 4 2 2 2 2 2 6" xfId="30826" xr:uid="{00000000-0005-0000-0000-0000D8A80000}"/>
    <cellStyle name="Normal 6 4 2 2 2 2 3" xfId="30827" xr:uid="{00000000-0005-0000-0000-0000D9A80000}"/>
    <cellStyle name="Normal 6 4 2 2 2 2 3 2" xfId="58419" xr:uid="{00000000-0005-0000-0000-0000DAA80000}"/>
    <cellStyle name="Normal 6 4 2 2 2 2 3 3" xfId="58420" xr:uid="{00000000-0005-0000-0000-0000DBA80000}"/>
    <cellStyle name="Normal 6 4 2 2 2 2 4" xfId="30828" xr:uid="{00000000-0005-0000-0000-0000DCA80000}"/>
    <cellStyle name="Normal 6 4 2 2 2 2 4 2" xfId="58421" xr:uid="{00000000-0005-0000-0000-0000DDA80000}"/>
    <cellStyle name="Normal 6 4 2 2 2 2 5" xfId="30829" xr:uid="{00000000-0005-0000-0000-0000DEA80000}"/>
    <cellStyle name="Normal 6 4 2 2 2 2 6" xfId="30830" xr:uid="{00000000-0005-0000-0000-0000DFA80000}"/>
    <cellStyle name="Normal 6 4 2 2 2 2 7" xfId="30831" xr:uid="{00000000-0005-0000-0000-0000E0A80000}"/>
    <cellStyle name="Normal 6 4 2 2 2 3" xfId="30832" xr:uid="{00000000-0005-0000-0000-0000E1A80000}"/>
    <cellStyle name="Normal 6 4 2 2 2 3 2" xfId="30833" xr:uid="{00000000-0005-0000-0000-0000E2A80000}"/>
    <cellStyle name="Normal 6 4 2 2 2 3 2 2" xfId="58422" xr:uid="{00000000-0005-0000-0000-0000E3A80000}"/>
    <cellStyle name="Normal 6 4 2 2 2 3 2 3" xfId="58423" xr:uid="{00000000-0005-0000-0000-0000E4A80000}"/>
    <cellStyle name="Normal 6 4 2 2 2 3 3" xfId="30834" xr:uid="{00000000-0005-0000-0000-0000E5A80000}"/>
    <cellStyle name="Normal 6 4 2 2 2 3 3 2" xfId="58424" xr:uid="{00000000-0005-0000-0000-0000E6A80000}"/>
    <cellStyle name="Normal 6 4 2 2 2 3 4" xfId="30835" xr:uid="{00000000-0005-0000-0000-0000E7A80000}"/>
    <cellStyle name="Normal 6 4 2 2 2 3 5" xfId="30836" xr:uid="{00000000-0005-0000-0000-0000E8A80000}"/>
    <cellStyle name="Normal 6 4 2 2 2 3 6" xfId="30837" xr:uid="{00000000-0005-0000-0000-0000E9A80000}"/>
    <cellStyle name="Normal 6 4 2 2 2 4" xfId="30838" xr:uid="{00000000-0005-0000-0000-0000EAA80000}"/>
    <cellStyle name="Normal 6 4 2 2 2 4 2" xfId="58425" xr:uid="{00000000-0005-0000-0000-0000EBA80000}"/>
    <cellStyle name="Normal 6 4 2 2 2 4 3" xfId="58426" xr:uid="{00000000-0005-0000-0000-0000ECA80000}"/>
    <cellStyle name="Normal 6 4 2 2 2 5" xfId="30839" xr:uid="{00000000-0005-0000-0000-0000EDA80000}"/>
    <cellStyle name="Normal 6 4 2 2 2 5 2" xfId="58427" xr:uid="{00000000-0005-0000-0000-0000EEA80000}"/>
    <cellStyle name="Normal 6 4 2 2 2 6" xfId="30840" xr:uid="{00000000-0005-0000-0000-0000EFA80000}"/>
    <cellStyle name="Normal 6 4 2 2 2 7" xfId="30841" xr:uid="{00000000-0005-0000-0000-0000F0A80000}"/>
    <cellStyle name="Normal 6 4 2 2 2 8" xfId="30842" xr:uid="{00000000-0005-0000-0000-0000F1A80000}"/>
    <cellStyle name="Normal 6 4 2 2 2 9" xfId="30843" xr:uid="{00000000-0005-0000-0000-0000F2A80000}"/>
    <cellStyle name="Normal 6 4 2 2 3" xfId="30844" xr:uid="{00000000-0005-0000-0000-0000F3A80000}"/>
    <cellStyle name="Normal 6 4 2 2 3 2" xfId="30845" xr:uid="{00000000-0005-0000-0000-0000F4A80000}"/>
    <cellStyle name="Normal 6 4 2 2 3 2 2" xfId="30846" xr:uid="{00000000-0005-0000-0000-0000F5A80000}"/>
    <cellStyle name="Normal 6 4 2 2 3 2 2 2" xfId="30847" xr:uid="{00000000-0005-0000-0000-0000F6A80000}"/>
    <cellStyle name="Normal 6 4 2 2 3 2 2 2 2" xfId="58428" xr:uid="{00000000-0005-0000-0000-0000F7A80000}"/>
    <cellStyle name="Normal 6 4 2 2 3 2 2 2 3" xfId="58429" xr:uid="{00000000-0005-0000-0000-0000F8A80000}"/>
    <cellStyle name="Normal 6 4 2 2 3 2 2 3" xfId="30848" xr:uid="{00000000-0005-0000-0000-0000F9A80000}"/>
    <cellStyle name="Normal 6 4 2 2 3 2 2 3 2" xfId="58430" xr:uid="{00000000-0005-0000-0000-0000FAA80000}"/>
    <cellStyle name="Normal 6 4 2 2 3 2 2 4" xfId="30849" xr:uid="{00000000-0005-0000-0000-0000FBA80000}"/>
    <cellStyle name="Normal 6 4 2 2 3 2 2 5" xfId="30850" xr:uid="{00000000-0005-0000-0000-0000FCA80000}"/>
    <cellStyle name="Normal 6 4 2 2 3 2 2 6" xfId="30851" xr:uid="{00000000-0005-0000-0000-0000FDA80000}"/>
    <cellStyle name="Normal 6 4 2 2 3 2 3" xfId="30852" xr:uid="{00000000-0005-0000-0000-0000FEA80000}"/>
    <cellStyle name="Normal 6 4 2 2 3 2 3 2" xfId="58431" xr:uid="{00000000-0005-0000-0000-0000FFA80000}"/>
    <cellStyle name="Normal 6 4 2 2 3 2 3 3" xfId="58432" xr:uid="{00000000-0005-0000-0000-000000A90000}"/>
    <cellStyle name="Normal 6 4 2 2 3 2 4" xfId="30853" xr:uid="{00000000-0005-0000-0000-000001A90000}"/>
    <cellStyle name="Normal 6 4 2 2 3 2 4 2" xfId="58433" xr:uid="{00000000-0005-0000-0000-000002A90000}"/>
    <cellStyle name="Normal 6 4 2 2 3 2 5" xfId="30854" xr:uid="{00000000-0005-0000-0000-000003A90000}"/>
    <cellStyle name="Normal 6 4 2 2 3 2 6" xfId="30855" xr:uid="{00000000-0005-0000-0000-000004A90000}"/>
    <cellStyle name="Normal 6 4 2 2 3 2 7" xfId="30856" xr:uid="{00000000-0005-0000-0000-000005A90000}"/>
    <cellStyle name="Normal 6 4 2 2 3 3" xfId="30857" xr:uid="{00000000-0005-0000-0000-000006A90000}"/>
    <cellStyle name="Normal 6 4 2 2 3 3 2" xfId="30858" xr:uid="{00000000-0005-0000-0000-000007A90000}"/>
    <cellStyle name="Normal 6 4 2 2 3 3 2 2" xfId="58434" xr:uid="{00000000-0005-0000-0000-000008A90000}"/>
    <cellStyle name="Normal 6 4 2 2 3 3 2 3" xfId="58435" xr:uid="{00000000-0005-0000-0000-000009A90000}"/>
    <cellStyle name="Normal 6 4 2 2 3 3 3" xfId="30859" xr:uid="{00000000-0005-0000-0000-00000AA90000}"/>
    <cellStyle name="Normal 6 4 2 2 3 3 3 2" xfId="58436" xr:uid="{00000000-0005-0000-0000-00000BA90000}"/>
    <cellStyle name="Normal 6 4 2 2 3 3 4" xfId="30860" xr:uid="{00000000-0005-0000-0000-00000CA90000}"/>
    <cellStyle name="Normal 6 4 2 2 3 3 5" xfId="30861" xr:uid="{00000000-0005-0000-0000-00000DA90000}"/>
    <cellStyle name="Normal 6 4 2 2 3 3 6" xfId="30862" xr:uid="{00000000-0005-0000-0000-00000EA90000}"/>
    <cellStyle name="Normal 6 4 2 2 3 4" xfId="30863" xr:uid="{00000000-0005-0000-0000-00000FA90000}"/>
    <cellStyle name="Normal 6 4 2 2 3 4 2" xfId="58437" xr:uid="{00000000-0005-0000-0000-000010A90000}"/>
    <cellStyle name="Normal 6 4 2 2 3 4 3" xfId="58438" xr:uid="{00000000-0005-0000-0000-000011A90000}"/>
    <cellStyle name="Normal 6 4 2 2 3 5" xfId="30864" xr:uid="{00000000-0005-0000-0000-000012A90000}"/>
    <cellStyle name="Normal 6 4 2 2 3 5 2" xfId="58439" xr:uid="{00000000-0005-0000-0000-000013A90000}"/>
    <cellStyle name="Normal 6 4 2 2 3 6" xfId="30865" xr:uid="{00000000-0005-0000-0000-000014A90000}"/>
    <cellStyle name="Normal 6 4 2 2 3 7" xfId="30866" xr:uid="{00000000-0005-0000-0000-000015A90000}"/>
    <cellStyle name="Normal 6 4 2 2 3 8" xfId="30867" xr:uid="{00000000-0005-0000-0000-000016A90000}"/>
    <cellStyle name="Normal 6 4 2 2 4" xfId="30868" xr:uid="{00000000-0005-0000-0000-000017A90000}"/>
    <cellStyle name="Normal 6 4 2 2 4 2" xfId="30869" xr:uid="{00000000-0005-0000-0000-000018A90000}"/>
    <cellStyle name="Normal 6 4 2 2 4 2 2" xfId="30870" xr:uid="{00000000-0005-0000-0000-000019A90000}"/>
    <cellStyle name="Normal 6 4 2 2 4 2 2 2" xfId="58440" xr:uid="{00000000-0005-0000-0000-00001AA90000}"/>
    <cellStyle name="Normal 6 4 2 2 4 2 2 3" xfId="58441" xr:uid="{00000000-0005-0000-0000-00001BA90000}"/>
    <cellStyle name="Normal 6 4 2 2 4 2 3" xfId="30871" xr:uid="{00000000-0005-0000-0000-00001CA90000}"/>
    <cellStyle name="Normal 6 4 2 2 4 2 3 2" xfId="58442" xr:uid="{00000000-0005-0000-0000-00001DA90000}"/>
    <cellStyle name="Normal 6 4 2 2 4 2 4" xfId="30872" xr:uid="{00000000-0005-0000-0000-00001EA90000}"/>
    <cellStyle name="Normal 6 4 2 2 4 2 5" xfId="30873" xr:uid="{00000000-0005-0000-0000-00001FA90000}"/>
    <cellStyle name="Normal 6 4 2 2 4 2 6" xfId="30874" xr:uid="{00000000-0005-0000-0000-000020A90000}"/>
    <cellStyle name="Normal 6 4 2 2 4 3" xfId="30875" xr:uid="{00000000-0005-0000-0000-000021A90000}"/>
    <cellStyle name="Normal 6 4 2 2 4 3 2" xfId="58443" xr:uid="{00000000-0005-0000-0000-000022A90000}"/>
    <cellStyle name="Normal 6 4 2 2 4 3 3" xfId="58444" xr:uid="{00000000-0005-0000-0000-000023A90000}"/>
    <cellStyle name="Normal 6 4 2 2 4 4" xfId="30876" xr:uid="{00000000-0005-0000-0000-000024A90000}"/>
    <cellStyle name="Normal 6 4 2 2 4 4 2" xfId="58445" xr:uid="{00000000-0005-0000-0000-000025A90000}"/>
    <cellStyle name="Normal 6 4 2 2 4 5" xfId="30877" xr:uid="{00000000-0005-0000-0000-000026A90000}"/>
    <cellStyle name="Normal 6 4 2 2 4 6" xfId="30878" xr:uid="{00000000-0005-0000-0000-000027A90000}"/>
    <cellStyle name="Normal 6 4 2 2 4 7" xfId="30879" xr:uid="{00000000-0005-0000-0000-000028A90000}"/>
    <cellStyle name="Normal 6 4 2 2 5" xfId="30880" xr:uid="{00000000-0005-0000-0000-000029A90000}"/>
    <cellStyle name="Normal 6 4 2 2 5 2" xfId="30881" xr:uid="{00000000-0005-0000-0000-00002AA90000}"/>
    <cellStyle name="Normal 6 4 2 2 5 2 2" xfId="58446" xr:uid="{00000000-0005-0000-0000-00002BA90000}"/>
    <cellStyle name="Normal 6 4 2 2 5 2 3" xfId="58447" xr:uid="{00000000-0005-0000-0000-00002CA90000}"/>
    <cellStyle name="Normal 6 4 2 2 5 3" xfId="30882" xr:uid="{00000000-0005-0000-0000-00002DA90000}"/>
    <cellStyle name="Normal 6 4 2 2 5 3 2" xfId="58448" xr:uid="{00000000-0005-0000-0000-00002EA90000}"/>
    <cellStyle name="Normal 6 4 2 2 5 4" xfId="30883" xr:uid="{00000000-0005-0000-0000-00002FA90000}"/>
    <cellStyle name="Normal 6 4 2 2 5 5" xfId="30884" xr:uid="{00000000-0005-0000-0000-000030A90000}"/>
    <cellStyle name="Normal 6 4 2 2 5 6" xfId="30885" xr:uid="{00000000-0005-0000-0000-000031A90000}"/>
    <cellStyle name="Normal 6 4 2 2 6" xfId="30886" xr:uid="{00000000-0005-0000-0000-000032A90000}"/>
    <cellStyle name="Normal 6 4 2 2 6 2" xfId="58449" xr:uid="{00000000-0005-0000-0000-000033A90000}"/>
    <cellStyle name="Normal 6 4 2 2 6 3" xfId="58450" xr:uid="{00000000-0005-0000-0000-000034A90000}"/>
    <cellStyle name="Normal 6 4 2 2 7" xfId="30887" xr:uid="{00000000-0005-0000-0000-000035A90000}"/>
    <cellStyle name="Normal 6 4 2 2 7 2" xfId="58451" xr:uid="{00000000-0005-0000-0000-000036A90000}"/>
    <cellStyle name="Normal 6 4 2 2 8" xfId="30888" xr:uid="{00000000-0005-0000-0000-000037A90000}"/>
    <cellStyle name="Normal 6 4 2 2 9" xfId="30889" xr:uid="{00000000-0005-0000-0000-000038A90000}"/>
    <cellStyle name="Normal 6 4 2 3" xfId="30890" xr:uid="{00000000-0005-0000-0000-000039A90000}"/>
    <cellStyle name="Normal 6 4 2 3 2" xfId="30891" xr:uid="{00000000-0005-0000-0000-00003AA90000}"/>
    <cellStyle name="Normal 6 4 2 3 2 2" xfId="30892" xr:uid="{00000000-0005-0000-0000-00003BA90000}"/>
    <cellStyle name="Normal 6 4 2 3 2 2 2" xfId="30893" xr:uid="{00000000-0005-0000-0000-00003CA90000}"/>
    <cellStyle name="Normal 6 4 2 3 2 2 2 2" xfId="58452" xr:uid="{00000000-0005-0000-0000-00003DA90000}"/>
    <cellStyle name="Normal 6 4 2 3 2 2 2 3" xfId="58453" xr:uid="{00000000-0005-0000-0000-00003EA90000}"/>
    <cellStyle name="Normal 6 4 2 3 2 2 3" xfId="30894" xr:uid="{00000000-0005-0000-0000-00003FA90000}"/>
    <cellStyle name="Normal 6 4 2 3 2 2 3 2" xfId="58454" xr:uid="{00000000-0005-0000-0000-000040A90000}"/>
    <cellStyle name="Normal 6 4 2 3 2 2 4" xfId="30895" xr:uid="{00000000-0005-0000-0000-000041A90000}"/>
    <cellStyle name="Normal 6 4 2 3 2 2 5" xfId="30896" xr:uid="{00000000-0005-0000-0000-000042A90000}"/>
    <cellStyle name="Normal 6 4 2 3 2 2 6" xfId="30897" xr:uid="{00000000-0005-0000-0000-000043A90000}"/>
    <cellStyle name="Normal 6 4 2 3 2 3" xfId="30898" xr:uid="{00000000-0005-0000-0000-000044A90000}"/>
    <cellStyle name="Normal 6 4 2 3 2 3 2" xfId="58455" xr:uid="{00000000-0005-0000-0000-000045A90000}"/>
    <cellStyle name="Normal 6 4 2 3 2 3 3" xfId="58456" xr:uid="{00000000-0005-0000-0000-000046A90000}"/>
    <cellStyle name="Normal 6 4 2 3 2 4" xfId="30899" xr:uid="{00000000-0005-0000-0000-000047A90000}"/>
    <cellStyle name="Normal 6 4 2 3 2 4 2" xfId="58457" xr:uid="{00000000-0005-0000-0000-000048A90000}"/>
    <cellStyle name="Normal 6 4 2 3 2 5" xfId="30900" xr:uid="{00000000-0005-0000-0000-000049A90000}"/>
    <cellStyle name="Normal 6 4 2 3 2 6" xfId="30901" xr:uid="{00000000-0005-0000-0000-00004AA90000}"/>
    <cellStyle name="Normal 6 4 2 3 2 7" xfId="30902" xr:uid="{00000000-0005-0000-0000-00004BA90000}"/>
    <cellStyle name="Normal 6 4 2 3 3" xfId="30903" xr:uid="{00000000-0005-0000-0000-00004CA90000}"/>
    <cellStyle name="Normal 6 4 2 3 3 2" xfId="30904" xr:uid="{00000000-0005-0000-0000-00004DA90000}"/>
    <cellStyle name="Normal 6 4 2 3 3 2 2" xfId="58458" xr:uid="{00000000-0005-0000-0000-00004EA90000}"/>
    <cellStyle name="Normal 6 4 2 3 3 2 3" xfId="58459" xr:uid="{00000000-0005-0000-0000-00004FA90000}"/>
    <cellStyle name="Normal 6 4 2 3 3 3" xfId="30905" xr:uid="{00000000-0005-0000-0000-000050A90000}"/>
    <cellStyle name="Normal 6 4 2 3 3 3 2" xfId="58460" xr:uid="{00000000-0005-0000-0000-000051A90000}"/>
    <cellStyle name="Normal 6 4 2 3 3 4" xfId="30906" xr:uid="{00000000-0005-0000-0000-000052A90000}"/>
    <cellStyle name="Normal 6 4 2 3 3 5" xfId="30907" xr:uid="{00000000-0005-0000-0000-000053A90000}"/>
    <cellStyle name="Normal 6 4 2 3 3 6" xfId="30908" xr:uid="{00000000-0005-0000-0000-000054A90000}"/>
    <cellStyle name="Normal 6 4 2 3 4" xfId="30909" xr:uid="{00000000-0005-0000-0000-000055A90000}"/>
    <cellStyle name="Normal 6 4 2 3 4 2" xfId="58461" xr:uid="{00000000-0005-0000-0000-000056A90000}"/>
    <cellStyle name="Normal 6 4 2 3 4 3" xfId="58462" xr:uid="{00000000-0005-0000-0000-000057A90000}"/>
    <cellStyle name="Normal 6 4 2 3 5" xfId="30910" xr:uid="{00000000-0005-0000-0000-000058A90000}"/>
    <cellStyle name="Normal 6 4 2 3 5 2" xfId="58463" xr:uid="{00000000-0005-0000-0000-000059A90000}"/>
    <cellStyle name="Normal 6 4 2 3 6" xfId="30911" xr:uid="{00000000-0005-0000-0000-00005AA90000}"/>
    <cellStyle name="Normal 6 4 2 3 7" xfId="30912" xr:uid="{00000000-0005-0000-0000-00005BA90000}"/>
    <cellStyle name="Normal 6 4 2 3 8" xfId="30913" xr:uid="{00000000-0005-0000-0000-00005CA90000}"/>
    <cellStyle name="Normal 6 4 2 3 9" xfId="30914" xr:uid="{00000000-0005-0000-0000-00005DA90000}"/>
    <cellStyle name="Normal 6 4 2 4" xfId="30915" xr:uid="{00000000-0005-0000-0000-00005EA90000}"/>
    <cellStyle name="Normal 6 4 2 4 2" xfId="30916" xr:uid="{00000000-0005-0000-0000-00005FA90000}"/>
    <cellStyle name="Normal 6 4 2 4 2 2" xfId="30917" xr:uid="{00000000-0005-0000-0000-000060A90000}"/>
    <cellStyle name="Normal 6 4 2 4 2 2 2" xfId="30918" xr:uid="{00000000-0005-0000-0000-000061A90000}"/>
    <cellStyle name="Normal 6 4 2 4 2 2 2 2" xfId="58464" xr:uid="{00000000-0005-0000-0000-000062A90000}"/>
    <cellStyle name="Normal 6 4 2 4 2 2 2 3" xfId="58465" xr:uid="{00000000-0005-0000-0000-000063A90000}"/>
    <cellStyle name="Normal 6 4 2 4 2 2 3" xfId="30919" xr:uid="{00000000-0005-0000-0000-000064A90000}"/>
    <cellStyle name="Normal 6 4 2 4 2 2 3 2" xfId="58466" xr:uid="{00000000-0005-0000-0000-000065A90000}"/>
    <cellStyle name="Normal 6 4 2 4 2 2 4" xfId="30920" xr:uid="{00000000-0005-0000-0000-000066A90000}"/>
    <cellStyle name="Normal 6 4 2 4 2 2 5" xfId="30921" xr:uid="{00000000-0005-0000-0000-000067A90000}"/>
    <cellStyle name="Normal 6 4 2 4 2 2 6" xfId="30922" xr:uid="{00000000-0005-0000-0000-000068A90000}"/>
    <cellStyle name="Normal 6 4 2 4 2 3" xfId="30923" xr:uid="{00000000-0005-0000-0000-000069A90000}"/>
    <cellStyle name="Normal 6 4 2 4 2 3 2" xfId="58467" xr:uid="{00000000-0005-0000-0000-00006AA90000}"/>
    <cellStyle name="Normal 6 4 2 4 2 3 3" xfId="58468" xr:uid="{00000000-0005-0000-0000-00006BA90000}"/>
    <cellStyle name="Normal 6 4 2 4 2 4" xfId="30924" xr:uid="{00000000-0005-0000-0000-00006CA90000}"/>
    <cellStyle name="Normal 6 4 2 4 2 4 2" xfId="58469" xr:uid="{00000000-0005-0000-0000-00006DA90000}"/>
    <cellStyle name="Normal 6 4 2 4 2 5" xfId="30925" xr:uid="{00000000-0005-0000-0000-00006EA90000}"/>
    <cellStyle name="Normal 6 4 2 4 2 6" xfId="30926" xr:uid="{00000000-0005-0000-0000-00006FA90000}"/>
    <cellStyle name="Normal 6 4 2 4 2 7" xfId="30927" xr:uid="{00000000-0005-0000-0000-000070A90000}"/>
    <cellStyle name="Normal 6 4 2 4 3" xfId="30928" xr:uid="{00000000-0005-0000-0000-000071A90000}"/>
    <cellStyle name="Normal 6 4 2 4 3 2" xfId="30929" xr:uid="{00000000-0005-0000-0000-000072A90000}"/>
    <cellStyle name="Normal 6 4 2 4 3 2 2" xfId="58470" xr:uid="{00000000-0005-0000-0000-000073A90000}"/>
    <cellStyle name="Normal 6 4 2 4 3 2 3" xfId="58471" xr:uid="{00000000-0005-0000-0000-000074A90000}"/>
    <cellStyle name="Normal 6 4 2 4 3 3" xfId="30930" xr:uid="{00000000-0005-0000-0000-000075A90000}"/>
    <cellStyle name="Normal 6 4 2 4 3 3 2" xfId="58472" xr:uid="{00000000-0005-0000-0000-000076A90000}"/>
    <cellStyle name="Normal 6 4 2 4 3 4" xfId="30931" xr:uid="{00000000-0005-0000-0000-000077A90000}"/>
    <cellStyle name="Normal 6 4 2 4 3 5" xfId="30932" xr:uid="{00000000-0005-0000-0000-000078A90000}"/>
    <cellStyle name="Normal 6 4 2 4 3 6" xfId="30933" xr:uid="{00000000-0005-0000-0000-000079A90000}"/>
    <cellStyle name="Normal 6 4 2 4 4" xfId="30934" xr:uid="{00000000-0005-0000-0000-00007AA90000}"/>
    <cellStyle name="Normal 6 4 2 4 4 2" xfId="58473" xr:uid="{00000000-0005-0000-0000-00007BA90000}"/>
    <cellStyle name="Normal 6 4 2 4 4 3" xfId="58474" xr:uid="{00000000-0005-0000-0000-00007CA90000}"/>
    <cellStyle name="Normal 6 4 2 4 5" xfId="30935" xr:uid="{00000000-0005-0000-0000-00007DA90000}"/>
    <cellStyle name="Normal 6 4 2 4 5 2" xfId="58475" xr:uid="{00000000-0005-0000-0000-00007EA90000}"/>
    <cellStyle name="Normal 6 4 2 4 6" xfId="30936" xr:uid="{00000000-0005-0000-0000-00007FA90000}"/>
    <cellStyle name="Normal 6 4 2 4 7" xfId="30937" xr:uid="{00000000-0005-0000-0000-000080A90000}"/>
    <cellStyle name="Normal 6 4 2 4 8" xfId="30938" xr:uid="{00000000-0005-0000-0000-000081A90000}"/>
    <cellStyle name="Normal 6 4 2 5" xfId="30939" xr:uid="{00000000-0005-0000-0000-000082A90000}"/>
    <cellStyle name="Normal 6 4 2 5 2" xfId="30940" xr:uid="{00000000-0005-0000-0000-000083A90000}"/>
    <cellStyle name="Normal 6 4 2 5 2 2" xfId="30941" xr:uid="{00000000-0005-0000-0000-000084A90000}"/>
    <cellStyle name="Normal 6 4 2 5 2 2 2" xfId="58476" xr:uid="{00000000-0005-0000-0000-000085A90000}"/>
    <cellStyle name="Normal 6 4 2 5 2 2 3" xfId="58477" xr:uid="{00000000-0005-0000-0000-000086A90000}"/>
    <cellStyle name="Normal 6 4 2 5 2 3" xfId="30942" xr:uid="{00000000-0005-0000-0000-000087A90000}"/>
    <cellStyle name="Normal 6 4 2 5 2 3 2" xfId="58478" xr:uid="{00000000-0005-0000-0000-000088A90000}"/>
    <cellStyle name="Normal 6 4 2 5 2 4" xfId="30943" xr:uid="{00000000-0005-0000-0000-000089A90000}"/>
    <cellStyle name="Normal 6 4 2 5 2 5" xfId="30944" xr:uid="{00000000-0005-0000-0000-00008AA90000}"/>
    <cellStyle name="Normal 6 4 2 5 2 6" xfId="30945" xr:uid="{00000000-0005-0000-0000-00008BA90000}"/>
    <cellStyle name="Normal 6 4 2 5 3" xfId="30946" xr:uid="{00000000-0005-0000-0000-00008CA90000}"/>
    <cellStyle name="Normal 6 4 2 5 3 2" xfId="58479" xr:uid="{00000000-0005-0000-0000-00008DA90000}"/>
    <cellStyle name="Normal 6 4 2 5 3 3" xfId="58480" xr:uid="{00000000-0005-0000-0000-00008EA90000}"/>
    <cellStyle name="Normal 6 4 2 5 4" xfId="30947" xr:uid="{00000000-0005-0000-0000-00008FA90000}"/>
    <cellStyle name="Normal 6 4 2 5 4 2" xfId="58481" xr:uid="{00000000-0005-0000-0000-000090A90000}"/>
    <cellStyle name="Normal 6 4 2 5 5" xfId="30948" xr:uid="{00000000-0005-0000-0000-000091A90000}"/>
    <cellStyle name="Normal 6 4 2 5 6" xfId="30949" xr:uid="{00000000-0005-0000-0000-000092A90000}"/>
    <cellStyle name="Normal 6 4 2 5 7" xfId="30950" xr:uid="{00000000-0005-0000-0000-000093A90000}"/>
    <cellStyle name="Normal 6 4 2 6" xfId="30951" xr:uid="{00000000-0005-0000-0000-000094A90000}"/>
    <cellStyle name="Normal 6 4 2 6 2" xfId="30952" xr:uid="{00000000-0005-0000-0000-000095A90000}"/>
    <cellStyle name="Normal 6 4 2 6 2 2" xfId="58482" xr:uid="{00000000-0005-0000-0000-000096A90000}"/>
    <cellStyle name="Normal 6 4 2 6 2 3" xfId="58483" xr:uid="{00000000-0005-0000-0000-000097A90000}"/>
    <cellStyle name="Normal 6 4 2 6 3" xfId="30953" xr:uid="{00000000-0005-0000-0000-000098A90000}"/>
    <cellStyle name="Normal 6 4 2 6 3 2" xfId="58484" xr:uid="{00000000-0005-0000-0000-000099A90000}"/>
    <cellStyle name="Normal 6 4 2 6 4" xfId="30954" xr:uid="{00000000-0005-0000-0000-00009AA90000}"/>
    <cellStyle name="Normal 6 4 2 6 5" xfId="30955" xr:uid="{00000000-0005-0000-0000-00009BA90000}"/>
    <cellStyle name="Normal 6 4 2 6 6" xfId="30956" xr:uid="{00000000-0005-0000-0000-00009CA90000}"/>
    <cellStyle name="Normal 6 4 2 7" xfId="30957" xr:uid="{00000000-0005-0000-0000-00009DA90000}"/>
    <cellStyle name="Normal 6 4 2 7 2" xfId="58485" xr:uid="{00000000-0005-0000-0000-00009EA90000}"/>
    <cellStyle name="Normal 6 4 2 7 3" xfId="58486" xr:uid="{00000000-0005-0000-0000-00009FA90000}"/>
    <cellStyle name="Normal 6 4 2 8" xfId="30958" xr:uid="{00000000-0005-0000-0000-0000A0A90000}"/>
    <cellStyle name="Normal 6 4 2 8 2" xfId="58487" xr:uid="{00000000-0005-0000-0000-0000A1A90000}"/>
    <cellStyle name="Normal 6 4 2 9" xfId="30959" xr:uid="{00000000-0005-0000-0000-0000A2A90000}"/>
    <cellStyle name="Normal 6 4 2 9 2" xfId="30960" xr:uid="{00000000-0005-0000-0000-0000A3A90000}"/>
    <cellStyle name="Normal 6 4 20" xfId="30961" xr:uid="{00000000-0005-0000-0000-0000A4A90000}"/>
    <cellStyle name="Normal 6 4 21" xfId="30962" xr:uid="{00000000-0005-0000-0000-0000A5A90000}"/>
    <cellStyle name="Normal 6 4 3" xfId="30963" xr:uid="{00000000-0005-0000-0000-0000A6A90000}"/>
    <cellStyle name="Normal 6 4 3 10" xfId="30964" xr:uid="{00000000-0005-0000-0000-0000A7A90000}"/>
    <cellStyle name="Normal 6 4 3 11" xfId="30965" xr:uid="{00000000-0005-0000-0000-0000A8A90000}"/>
    <cellStyle name="Normal 6 4 3 12" xfId="30966" xr:uid="{00000000-0005-0000-0000-0000A9A90000}"/>
    <cellStyle name="Normal 6 4 3 13" xfId="30967" xr:uid="{00000000-0005-0000-0000-0000AAA90000}"/>
    <cellStyle name="Normal 6 4 3 14" xfId="30968" xr:uid="{00000000-0005-0000-0000-0000ABA90000}"/>
    <cellStyle name="Normal 6 4 3 15" xfId="30969" xr:uid="{00000000-0005-0000-0000-0000ACA90000}"/>
    <cellStyle name="Normal 6 4 3 16" xfId="30970" xr:uid="{00000000-0005-0000-0000-0000ADA90000}"/>
    <cellStyle name="Normal 6 4 3 2" xfId="30971" xr:uid="{00000000-0005-0000-0000-0000AEA90000}"/>
    <cellStyle name="Normal 6 4 3 2 10" xfId="30972" xr:uid="{00000000-0005-0000-0000-0000AFA90000}"/>
    <cellStyle name="Normal 6 4 3 2 11" xfId="30973" xr:uid="{00000000-0005-0000-0000-0000B0A90000}"/>
    <cellStyle name="Normal 6 4 3 2 12" xfId="30974" xr:uid="{00000000-0005-0000-0000-0000B1A90000}"/>
    <cellStyle name="Normal 6 4 3 2 13" xfId="30975" xr:uid="{00000000-0005-0000-0000-0000B2A90000}"/>
    <cellStyle name="Normal 6 4 3 2 14" xfId="30976" xr:uid="{00000000-0005-0000-0000-0000B3A90000}"/>
    <cellStyle name="Normal 6 4 3 2 2" xfId="30977" xr:uid="{00000000-0005-0000-0000-0000B4A90000}"/>
    <cellStyle name="Normal 6 4 3 2 2 2" xfId="30978" xr:uid="{00000000-0005-0000-0000-0000B5A90000}"/>
    <cellStyle name="Normal 6 4 3 2 2 2 2" xfId="30979" xr:uid="{00000000-0005-0000-0000-0000B6A90000}"/>
    <cellStyle name="Normal 6 4 3 2 2 2 2 2" xfId="30980" xr:uid="{00000000-0005-0000-0000-0000B7A90000}"/>
    <cellStyle name="Normal 6 4 3 2 2 2 2 2 2" xfId="58488" xr:uid="{00000000-0005-0000-0000-0000B8A90000}"/>
    <cellStyle name="Normal 6 4 3 2 2 2 2 2 3" xfId="58489" xr:uid="{00000000-0005-0000-0000-0000B9A90000}"/>
    <cellStyle name="Normal 6 4 3 2 2 2 2 3" xfId="30981" xr:uid="{00000000-0005-0000-0000-0000BAA90000}"/>
    <cellStyle name="Normal 6 4 3 2 2 2 2 3 2" xfId="58490" xr:uid="{00000000-0005-0000-0000-0000BBA90000}"/>
    <cellStyle name="Normal 6 4 3 2 2 2 2 4" xfId="30982" xr:uid="{00000000-0005-0000-0000-0000BCA90000}"/>
    <cellStyle name="Normal 6 4 3 2 2 2 2 5" xfId="30983" xr:uid="{00000000-0005-0000-0000-0000BDA90000}"/>
    <cellStyle name="Normal 6 4 3 2 2 2 2 6" xfId="30984" xr:uid="{00000000-0005-0000-0000-0000BEA90000}"/>
    <cellStyle name="Normal 6 4 3 2 2 2 3" xfId="30985" xr:uid="{00000000-0005-0000-0000-0000BFA90000}"/>
    <cellStyle name="Normal 6 4 3 2 2 2 3 2" xfId="58491" xr:uid="{00000000-0005-0000-0000-0000C0A90000}"/>
    <cellStyle name="Normal 6 4 3 2 2 2 3 3" xfId="58492" xr:uid="{00000000-0005-0000-0000-0000C1A90000}"/>
    <cellStyle name="Normal 6 4 3 2 2 2 4" xfId="30986" xr:uid="{00000000-0005-0000-0000-0000C2A90000}"/>
    <cellStyle name="Normal 6 4 3 2 2 2 4 2" xfId="58493" xr:uid="{00000000-0005-0000-0000-0000C3A90000}"/>
    <cellStyle name="Normal 6 4 3 2 2 2 5" xfId="30987" xr:uid="{00000000-0005-0000-0000-0000C4A90000}"/>
    <cellStyle name="Normal 6 4 3 2 2 2 6" xfId="30988" xr:uid="{00000000-0005-0000-0000-0000C5A90000}"/>
    <cellStyle name="Normal 6 4 3 2 2 2 7" xfId="30989" xr:uid="{00000000-0005-0000-0000-0000C6A90000}"/>
    <cellStyle name="Normal 6 4 3 2 2 3" xfId="30990" xr:uid="{00000000-0005-0000-0000-0000C7A90000}"/>
    <cellStyle name="Normal 6 4 3 2 2 3 2" xfId="30991" xr:uid="{00000000-0005-0000-0000-0000C8A90000}"/>
    <cellStyle name="Normal 6 4 3 2 2 3 2 2" xfId="58494" xr:uid="{00000000-0005-0000-0000-0000C9A90000}"/>
    <cellStyle name="Normal 6 4 3 2 2 3 2 3" xfId="58495" xr:uid="{00000000-0005-0000-0000-0000CAA90000}"/>
    <cellStyle name="Normal 6 4 3 2 2 3 3" xfId="30992" xr:uid="{00000000-0005-0000-0000-0000CBA90000}"/>
    <cellStyle name="Normal 6 4 3 2 2 3 3 2" xfId="58496" xr:uid="{00000000-0005-0000-0000-0000CCA90000}"/>
    <cellStyle name="Normal 6 4 3 2 2 3 4" xfId="30993" xr:uid="{00000000-0005-0000-0000-0000CDA90000}"/>
    <cellStyle name="Normal 6 4 3 2 2 3 5" xfId="30994" xr:uid="{00000000-0005-0000-0000-0000CEA90000}"/>
    <cellStyle name="Normal 6 4 3 2 2 3 6" xfId="30995" xr:uid="{00000000-0005-0000-0000-0000CFA90000}"/>
    <cellStyle name="Normal 6 4 3 2 2 4" xfId="30996" xr:uid="{00000000-0005-0000-0000-0000D0A90000}"/>
    <cellStyle name="Normal 6 4 3 2 2 4 2" xfId="58497" xr:uid="{00000000-0005-0000-0000-0000D1A90000}"/>
    <cellStyle name="Normal 6 4 3 2 2 4 3" xfId="58498" xr:uid="{00000000-0005-0000-0000-0000D2A90000}"/>
    <cellStyle name="Normal 6 4 3 2 2 5" xfId="30997" xr:uid="{00000000-0005-0000-0000-0000D3A90000}"/>
    <cellStyle name="Normal 6 4 3 2 2 5 2" xfId="58499" xr:uid="{00000000-0005-0000-0000-0000D4A90000}"/>
    <cellStyle name="Normal 6 4 3 2 2 6" xfId="30998" xr:uid="{00000000-0005-0000-0000-0000D5A90000}"/>
    <cellStyle name="Normal 6 4 3 2 2 7" xfId="30999" xr:uid="{00000000-0005-0000-0000-0000D6A90000}"/>
    <cellStyle name="Normal 6 4 3 2 2 8" xfId="31000" xr:uid="{00000000-0005-0000-0000-0000D7A90000}"/>
    <cellStyle name="Normal 6 4 3 2 2 9" xfId="31001" xr:uid="{00000000-0005-0000-0000-0000D8A90000}"/>
    <cellStyle name="Normal 6 4 3 2 3" xfId="31002" xr:uid="{00000000-0005-0000-0000-0000D9A90000}"/>
    <cellStyle name="Normal 6 4 3 2 3 2" xfId="31003" xr:uid="{00000000-0005-0000-0000-0000DAA90000}"/>
    <cellStyle name="Normal 6 4 3 2 3 2 2" xfId="31004" xr:uid="{00000000-0005-0000-0000-0000DBA90000}"/>
    <cellStyle name="Normal 6 4 3 2 3 2 2 2" xfId="31005" xr:uid="{00000000-0005-0000-0000-0000DCA90000}"/>
    <cellStyle name="Normal 6 4 3 2 3 2 2 2 2" xfId="58500" xr:uid="{00000000-0005-0000-0000-0000DDA90000}"/>
    <cellStyle name="Normal 6 4 3 2 3 2 2 2 3" xfId="58501" xr:uid="{00000000-0005-0000-0000-0000DEA90000}"/>
    <cellStyle name="Normal 6 4 3 2 3 2 2 3" xfId="31006" xr:uid="{00000000-0005-0000-0000-0000DFA90000}"/>
    <cellStyle name="Normal 6 4 3 2 3 2 2 3 2" xfId="58502" xr:uid="{00000000-0005-0000-0000-0000E0A90000}"/>
    <cellStyle name="Normal 6 4 3 2 3 2 2 4" xfId="31007" xr:uid="{00000000-0005-0000-0000-0000E1A90000}"/>
    <cellStyle name="Normal 6 4 3 2 3 2 2 5" xfId="31008" xr:uid="{00000000-0005-0000-0000-0000E2A90000}"/>
    <cellStyle name="Normal 6 4 3 2 3 2 2 6" xfId="31009" xr:uid="{00000000-0005-0000-0000-0000E3A90000}"/>
    <cellStyle name="Normal 6 4 3 2 3 2 3" xfId="31010" xr:uid="{00000000-0005-0000-0000-0000E4A90000}"/>
    <cellStyle name="Normal 6 4 3 2 3 2 3 2" xfId="58503" xr:uid="{00000000-0005-0000-0000-0000E5A90000}"/>
    <cellStyle name="Normal 6 4 3 2 3 2 3 3" xfId="58504" xr:uid="{00000000-0005-0000-0000-0000E6A90000}"/>
    <cellStyle name="Normal 6 4 3 2 3 2 4" xfId="31011" xr:uid="{00000000-0005-0000-0000-0000E7A90000}"/>
    <cellStyle name="Normal 6 4 3 2 3 2 4 2" xfId="58505" xr:uid="{00000000-0005-0000-0000-0000E8A90000}"/>
    <cellStyle name="Normal 6 4 3 2 3 2 5" xfId="31012" xr:uid="{00000000-0005-0000-0000-0000E9A90000}"/>
    <cellStyle name="Normal 6 4 3 2 3 2 6" xfId="31013" xr:uid="{00000000-0005-0000-0000-0000EAA90000}"/>
    <cellStyle name="Normal 6 4 3 2 3 2 7" xfId="31014" xr:uid="{00000000-0005-0000-0000-0000EBA90000}"/>
    <cellStyle name="Normal 6 4 3 2 3 3" xfId="31015" xr:uid="{00000000-0005-0000-0000-0000ECA90000}"/>
    <cellStyle name="Normal 6 4 3 2 3 3 2" xfId="31016" xr:uid="{00000000-0005-0000-0000-0000EDA90000}"/>
    <cellStyle name="Normal 6 4 3 2 3 3 2 2" xfId="58506" xr:uid="{00000000-0005-0000-0000-0000EEA90000}"/>
    <cellStyle name="Normal 6 4 3 2 3 3 2 3" xfId="58507" xr:uid="{00000000-0005-0000-0000-0000EFA90000}"/>
    <cellStyle name="Normal 6 4 3 2 3 3 3" xfId="31017" xr:uid="{00000000-0005-0000-0000-0000F0A90000}"/>
    <cellStyle name="Normal 6 4 3 2 3 3 3 2" xfId="58508" xr:uid="{00000000-0005-0000-0000-0000F1A90000}"/>
    <cellStyle name="Normal 6 4 3 2 3 3 4" xfId="31018" xr:uid="{00000000-0005-0000-0000-0000F2A90000}"/>
    <cellStyle name="Normal 6 4 3 2 3 3 5" xfId="31019" xr:uid="{00000000-0005-0000-0000-0000F3A90000}"/>
    <cellStyle name="Normal 6 4 3 2 3 3 6" xfId="31020" xr:uid="{00000000-0005-0000-0000-0000F4A90000}"/>
    <cellStyle name="Normal 6 4 3 2 3 4" xfId="31021" xr:uid="{00000000-0005-0000-0000-0000F5A90000}"/>
    <cellStyle name="Normal 6 4 3 2 3 4 2" xfId="58509" xr:uid="{00000000-0005-0000-0000-0000F6A90000}"/>
    <cellStyle name="Normal 6 4 3 2 3 4 3" xfId="58510" xr:uid="{00000000-0005-0000-0000-0000F7A90000}"/>
    <cellStyle name="Normal 6 4 3 2 3 5" xfId="31022" xr:uid="{00000000-0005-0000-0000-0000F8A90000}"/>
    <cellStyle name="Normal 6 4 3 2 3 5 2" xfId="58511" xr:uid="{00000000-0005-0000-0000-0000F9A90000}"/>
    <cellStyle name="Normal 6 4 3 2 3 6" xfId="31023" xr:uid="{00000000-0005-0000-0000-0000FAA90000}"/>
    <cellStyle name="Normal 6 4 3 2 3 7" xfId="31024" xr:uid="{00000000-0005-0000-0000-0000FBA90000}"/>
    <cellStyle name="Normal 6 4 3 2 3 8" xfId="31025" xr:uid="{00000000-0005-0000-0000-0000FCA90000}"/>
    <cellStyle name="Normal 6 4 3 2 4" xfId="31026" xr:uid="{00000000-0005-0000-0000-0000FDA90000}"/>
    <cellStyle name="Normal 6 4 3 2 4 2" xfId="31027" xr:uid="{00000000-0005-0000-0000-0000FEA90000}"/>
    <cellStyle name="Normal 6 4 3 2 4 2 2" xfId="31028" xr:uid="{00000000-0005-0000-0000-0000FFA90000}"/>
    <cellStyle name="Normal 6 4 3 2 4 2 2 2" xfId="58512" xr:uid="{00000000-0005-0000-0000-000000AA0000}"/>
    <cellStyle name="Normal 6 4 3 2 4 2 2 3" xfId="58513" xr:uid="{00000000-0005-0000-0000-000001AA0000}"/>
    <cellStyle name="Normal 6 4 3 2 4 2 3" xfId="31029" xr:uid="{00000000-0005-0000-0000-000002AA0000}"/>
    <cellStyle name="Normal 6 4 3 2 4 2 3 2" xfId="58514" xr:uid="{00000000-0005-0000-0000-000003AA0000}"/>
    <cellStyle name="Normal 6 4 3 2 4 2 4" xfId="31030" xr:uid="{00000000-0005-0000-0000-000004AA0000}"/>
    <cellStyle name="Normal 6 4 3 2 4 2 5" xfId="31031" xr:uid="{00000000-0005-0000-0000-000005AA0000}"/>
    <cellStyle name="Normal 6 4 3 2 4 2 6" xfId="31032" xr:uid="{00000000-0005-0000-0000-000006AA0000}"/>
    <cellStyle name="Normal 6 4 3 2 4 3" xfId="31033" xr:uid="{00000000-0005-0000-0000-000007AA0000}"/>
    <cellStyle name="Normal 6 4 3 2 4 3 2" xfId="58515" xr:uid="{00000000-0005-0000-0000-000008AA0000}"/>
    <cellStyle name="Normal 6 4 3 2 4 3 3" xfId="58516" xr:uid="{00000000-0005-0000-0000-000009AA0000}"/>
    <cellStyle name="Normal 6 4 3 2 4 4" xfId="31034" xr:uid="{00000000-0005-0000-0000-00000AAA0000}"/>
    <cellStyle name="Normal 6 4 3 2 4 4 2" xfId="58517" xr:uid="{00000000-0005-0000-0000-00000BAA0000}"/>
    <cellStyle name="Normal 6 4 3 2 4 5" xfId="31035" xr:uid="{00000000-0005-0000-0000-00000CAA0000}"/>
    <cellStyle name="Normal 6 4 3 2 4 6" xfId="31036" xr:uid="{00000000-0005-0000-0000-00000DAA0000}"/>
    <cellStyle name="Normal 6 4 3 2 4 7" xfId="31037" xr:uid="{00000000-0005-0000-0000-00000EAA0000}"/>
    <cellStyle name="Normal 6 4 3 2 5" xfId="31038" xr:uid="{00000000-0005-0000-0000-00000FAA0000}"/>
    <cellStyle name="Normal 6 4 3 2 5 2" xfId="31039" xr:uid="{00000000-0005-0000-0000-000010AA0000}"/>
    <cellStyle name="Normal 6 4 3 2 5 2 2" xfId="58518" xr:uid="{00000000-0005-0000-0000-000011AA0000}"/>
    <cellStyle name="Normal 6 4 3 2 5 2 3" xfId="58519" xr:uid="{00000000-0005-0000-0000-000012AA0000}"/>
    <cellStyle name="Normal 6 4 3 2 5 3" xfId="31040" xr:uid="{00000000-0005-0000-0000-000013AA0000}"/>
    <cellStyle name="Normal 6 4 3 2 5 3 2" xfId="58520" xr:uid="{00000000-0005-0000-0000-000014AA0000}"/>
    <cellStyle name="Normal 6 4 3 2 5 4" xfId="31041" xr:uid="{00000000-0005-0000-0000-000015AA0000}"/>
    <cellStyle name="Normal 6 4 3 2 5 5" xfId="31042" xr:uid="{00000000-0005-0000-0000-000016AA0000}"/>
    <cellStyle name="Normal 6 4 3 2 5 6" xfId="31043" xr:uid="{00000000-0005-0000-0000-000017AA0000}"/>
    <cellStyle name="Normal 6 4 3 2 6" xfId="31044" xr:uid="{00000000-0005-0000-0000-000018AA0000}"/>
    <cellStyle name="Normal 6 4 3 2 6 2" xfId="58521" xr:uid="{00000000-0005-0000-0000-000019AA0000}"/>
    <cellStyle name="Normal 6 4 3 2 6 3" xfId="58522" xr:uid="{00000000-0005-0000-0000-00001AAA0000}"/>
    <cellStyle name="Normal 6 4 3 2 7" xfId="31045" xr:uid="{00000000-0005-0000-0000-00001BAA0000}"/>
    <cellStyle name="Normal 6 4 3 2 7 2" xfId="58523" xr:uid="{00000000-0005-0000-0000-00001CAA0000}"/>
    <cellStyle name="Normal 6 4 3 2 8" xfId="31046" xr:uid="{00000000-0005-0000-0000-00001DAA0000}"/>
    <cellStyle name="Normal 6 4 3 2 9" xfId="31047" xr:uid="{00000000-0005-0000-0000-00001EAA0000}"/>
    <cellStyle name="Normal 6 4 3 3" xfId="31048" xr:uid="{00000000-0005-0000-0000-00001FAA0000}"/>
    <cellStyle name="Normal 6 4 3 3 2" xfId="31049" xr:uid="{00000000-0005-0000-0000-000020AA0000}"/>
    <cellStyle name="Normal 6 4 3 3 2 2" xfId="31050" xr:uid="{00000000-0005-0000-0000-000021AA0000}"/>
    <cellStyle name="Normal 6 4 3 3 2 2 2" xfId="31051" xr:uid="{00000000-0005-0000-0000-000022AA0000}"/>
    <cellStyle name="Normal 6 4 3 3 2 2 2 2" xfId="58524" xr:uid="{00000000-0005-0000-0000-000023AA0000}"/>
    <cellStyle name="Normal 6 4 3 3 2 2 2 3" xfId="58525" xr:uid="{00000000-0005-0000-0000-000024AA0000}"/>
    <cellStyle name="Normal 6 4 3 3 2 2 3" xfId="31052" xr:uid="{00000000-0005-0000-0000-000025AA0000}"/>
    <cellStyle name="Normal 6 4 3 3 2 2 3 2" xfId="58526" xr:uid="{00000000-0005-0000-0000-000026AA0000}"/>
    <cellStyle name="Normal 6 4 3 3 2 2 4" xfId="31053" xr:uid="{00000000-0005-0000-0000-000027AA0000}"/>
    <cellStyle name="Normal 6 4 3 3 2 2 5" xfId="31054" xr:uid="{00000000-0005-0000-0000-000028AA0000}"/>
    <cellStyle name="Normal 6 4 3 3 2 2 6" xfId="31055" xr:uid="{00000000-0005-0000-0000-000029AA0000}"/>
    <cellStyle name="Normal 6 4 3 3 2 3" xfId="31056" xr:uid="{00000000-0005-0000-0000-00002AAA0000}"/>
    <cellStyle name="Normal 6 4 3 3 2 3 2" xfId="58527" xr:uid="{00000000-0005-0000-0000-00002BAA0000}"/>
    <cellStyle name="Normal 6 4 3 3 2 3 3" xfId="58528" xr:uid="{00000000-0005-0000-0000-00002CAA0000}"/>
    <cellStyle name="Normal 6 4 3 3 2 4" xfId="31057" xr:uid="{00000000-0005-0000-0000-00002DAA0000}"/>
    <cellStyle name="Normal 6 4 3 3 2 4 2" xfId="58529" xr:uid="{00000000-0005-0000-0000-00002EAA0000}"/>
    <cellStyle name="Normal 6 4 3 3 2 5" xfId="31058" xr:uid="{00000000-0005-0000-0000-00002FAA0000}"/>
    <cellStyle name="Normal 6 4 3 3 2 6" xfId="31059" xr:uid="{00000000-0005-0000-0000-000030AA0000}"/>
    <cellStyle name="Normal 6 4 3 3 2 7" xfId="31060" xr:uid="{00000000-0005-0000-0000-000031AA0000}"/>
    <cellStyle name="Normal 6 4 3 3 3" xfId="31061" xr:uid="{00000000-0005-0000-0000-000032AA0000}"/>
    <cellStyle name="Normal 6 4 3 3 3 2" xfId="31062" xr:uid="{00000000-0005-0000-0000-000033AA0000}"/>
    <cellStyle name="Normal 6 4 3 3 3 2 2" xfId="58530" xr:uid="{00000000-0005-0000-0000-000034AA0000}"/>
    <cellStyle name="Normal 6 4 3 3 3 2 3" xfId="58531" xr:uid="{00000000-0005-0000-0000-000035AA0000}"/>
    <cellStyle name="Normal 6 4 3 3 3 3" xfId="31063" xr:uid="{00000000-0005-0000-0000-000036AA0000}"/>
    <cellStyle name="Normal 6 4 3 3 3 3 2" xfId="58532" xr:uid="{00000000-0005-0000-0000-000037AA0000}"/>
    <cellStyle name="Normal 6 4 3 3 3 4" xfId="31064" xr:uid="{00000000-0005-0000-0000-000038AA0000}"/>
    <cellStyle name="Normal 6 4 3 3 3 5" xfId="31065" xr:uid="{00000000-0005-0000-0000-000039AA0000}"/>
    <cellStyle name="Normal 6 4 3 3 3 6" xfId="31066" xr:uid="{00000000-0005-0000-0000-00003AAA0000}"/>
    <cellStyle name="Normal 6 4 3 3 4" xfId="31067" xr:uid="{00000000-0005-0000-0000-00003BAA0000}"/>
    <cellStyle name="Normal 6 4 3 3 4 2" xfId="58533" xr:uid="{00000000-0005-0000-0000-00003CAA0000}"/>
    <cellStyle name="Normal 6 4 3 3 4 3" xfId="58534" xr:uid="{00000000-0005-0000-0000-00003DAA0000}"/>
    <cellStyle name="Normal 6 4 3 3 5" xfId="31068" xr:uid="{00000000-0005-0000-0000-00003EAA0000}"/>
    <cellStyle name="Normal 6 4 3 3 5 2" xfId="58535" xr:uid="{00000000-0005-0000-0000-00003FAA0000}"/>
    <cellStyle name="Normal 6 4 3 3 6" xfId="31069" xr:uid="{00000000-0005-0000-0000-000040AA0000}"/>
    <cellStyle name="Normal 6 4 3 3 7" xfId="31070" xr:uid="{00000000-0005-0000-0000-000041AA0000}"/>
    <cellStyle name="Normal 6 4 3 3 8" xfId="31071" xr:uid="{00000000-0005-0000-0000-000042AA0000}"/>
    <cellStyle name="Normal 6 4 3 3 9" xfId="31072" xr:uid="{00000000-0005-0000-0000-000043AA0000}"/>
    <cellStyle name="Normal 6 4 3 4" xfId="31073" xr:uid="{00000000-0005-0000-0000-000044AA0000}"/>
    <cellStyle name="Normal 6 4 3 4 2" xfId="31074" xr:uid="{00000000-0005-0000-0000-000045AA0000}"/>
    <cellStyle name="Normal 6 4 3 4 2 2" xfId="31075" xr:uid="{00000000-0005-0000-0000-000046AA0000}"/>
    <cellStyle name="Normal 6 4 3 4 2 2 2" xfId="31076" xr:uid="{00000000-0005-0000-0000-000047AA0000}"/>
    <cellStyle name="Normal 6 4 3 4 2 2 2 2" xfId="58536" xr:uid="{00000000-0005-0000-0000-000048AA0000}"/>
    <cellStyle name="Normal 6 4 3 4 2 2 2 3" xfId="58537" xr:uid="{00000000-0005-0000-0000-000049AA0000}"/>
    <cellStyle name="Normal 6 4 3 4 2 2 3" xfId="31077" xr:uid="{00000000-0005-0000-0000-00004AAA0000}"/>
    <cellStyle name="Normal 6 4 3 4 2 2 3 2" xfId="58538" xr:uid="{00000000-0005-0000-0000-00004BAA0000}"/>
    <cellStyle name="Normal 6 4 3 4 2 2 4" xfId="31078" xr:uid="{00000000-0005-0000-0000-00004CAA0000}"/>
    <cellStyle name="Normal 6 4 3 4 2 2 5" xfId="31079" xr:uid="{00000000-0005-0000-0000-00004DAA0000}"/>
    <cellStyle name="Normal 6 4 3 4 2 2 6" xfId="31080" xr:uid="{00000000-0005-0000-0000-00004EAA0000}"/>
    <cellStyle name="Normal 6 4 3 4 2 3" xfId="31081" xr:uid="{00000000-0005-0000-0000-00004FAA0000}"/>
    <cellStyle name="Normal 6 4 3 4 2 3 2" xfId="58539" xr:uid="{00000000-0005-0000-0000-000050AA0000}"/>
    <cellStyle name="Normal 6 4 3 4 2 3 3" xfId="58540" xr:uid="{00000000-0005-0000-0000-000051AA0000}"/>
    <cellStyle name="Normal 6 4 3 4 2 4" xfId="31082" xr:uid="{00000000-0005-0000-0000-000052AA0000}"/>
    <cellStyle name="Normal 6 4 3 4 2 4 2" xfId="58541" xr:uid="{00000000-0005-0000-0000-000053AA0000}"/>
    <cellStyle name="Normal 6 4 3 4 2 5" xfId="31083" xr:uid="{00000000-0005-0000-0000-000054AA0000}"/>
    <cellStyle name="Normal 6 4 3 4 2 6" xfId="31084" xr:uid="{00000000-0005-0000-0000-000055AA0000}"/>
    <cellStyle name="Normal 6 4 3 4 2 7" xfId="31085" xr:uid="{00000000-0005-0000-0000-000056AA0000}"/>
    <cellStyle name="Normal 6 4 3 4 3" xfId="31086" xr:uid="{00000000-0005-0000-0000-000057AA0000}"/>
    <cellStyle name="Normal 6 4 3 4 3 2" xfId="31087" xr:uid="{00000000-0005-0000-0000-000058AA0000}"/>
    <cellStyle name="Normal 6 4 3 4 3 2 2" xfId="58542" xr:uid="{00000000-0005-0000-0000-000059AA0000}"/>
    <cellStyle name="Normal 6 4 3 4 3 2 3" xfId="58543" xr:uid="{00000000-0005-0000-0000-00005AAA0000}"/>
    <cellStyle name="Normal 6 4 3 4 3 3" xfId="31088" xr:uid="{00000000-0005-0000-0000-00005BAA0000}"/>
    <cellStyle name="Normal 6 4 3 4 3 3 2" xfId="58544" xr:uid="{00000000-0005-0000-0000-00005CAA0000}"/>
    <cellStyle name="Normal 6 4 3 4 3 4" xfId="31089" xr:uid="{00000000-0005-0000-0000-00005DAA0000}"/>
    <cellStyle name="Normal 6 4 3 4 3 5" xfId="31090" xr:uid="{00000000-0005-0000-0000-00005EAA0000}"/>
    <cellStyle name="Normal 6 4 3 4 3 6" xfId="31091" xr:uid="{00000000-0005-0000-0000-00005FAA0000}"/>
    <cellStyle name="Normal 6 4 3 4 4" xfId="31092" xr:uid="{00000000-0005-0000-0000-000060AA0000}"/>
    <cellStyle name="Normal 6 4 3 4 4 2" xfId="58545" xr:uid="{00000000-0005-0000-0000-000061AA0000}"/>
    <cellStyle name="Normal 6 4 3 4 4 3" xfId="58546" xr:uid="{00000000-0005-0000-0000-000062AA0000}"/>
    <cellStyle name="Normal 6 4 3 4 5" xfId="31093" xr:uid="{00000000-0005-0000-0000-000063AA0000}"/>
    <cellStyle name="Normal 6 4 3 4 5 2" xfId="58547" xr:uid="{00000000-0005-0000-0000-000064AA0000}"/>
    <cellStyle name="Normal 6 4 3 4 6" xfId="31094" xr:uid="{00000000-0005-0000-0000-000065AA0000}"/>
    <cellStyle name="Normal 6 4 3 4 7" xfId="31095" xr:uid="{00000000-0005-0000-0000-000066AA0000}"/>
    <cellStyle name="Normal 6 4 3 4 8" xfId="31096" xr:uid="{00000000-0005-0000-0000-000067AA0000}"/>
    <cellStyle name="Normal 6 4 3 5" xfId="31097" xr:uid="{00000000-0005-0000-0000-000068AA0000}"/>
    <cellStyle name="Normal 6 4 3 5 2" xfId="31098" xr:uid="{00000000-0005-0000-0000-000069AA0000}"/>
    <cellStyle name="Normal 6 4 3 5 2 2" xfId="31099" xr:uid="{00000000-0005-0000-0000-00006AAA0000}"/>
    <cellStyle name="Normal 6 4 3 5 2 2 2" xfId="58548" xr:uid="{00000000-0005-0000-0000-00006BAA0000}"/>
    <cellStyle name="Normal 6 4 3 5 2 2 3" xfId="58549" xr:uid="{00000000-0005-0000-0000-00006CAA0000}"/>
    <cellStyle name="Normal 6 4 3 5 2 3" xfId="31100" xr:uid="{00000000-0005-0000-0000-00006DAA0000}"/>
    <cellStyle name="Normal 6 4 3 5 2 3 2" xfId="58550" xr:uid="{00000000-0005-0000-0000-00006EAA0000}"/>
    <cellStyle name="Normal 6 4 3 5 2 4" xfId="31101" xr:uid="{00000000-0005-0000-0000-00006FAA0000}"/>
    <cellStyle name="Normal 6 4 3 5 2 5" xfId="31102" xr:uid="{00000000-0005-0000-0000-000070AA0000}"/>
    <cellStyle name="Normal 6 4 3 5 2 6" xfId="31103" xr:uid="{00000000-0005-0000-0000-000071AA0000}"/>
    <cellStyle name="Normal 6 4 3 5 3" xfId="31104" xr:uid="{00000000-0005-0000-0000-000072AA0000}"/>
    <cellStyle name="Normal 6 4 3 5 3 2" xfId="58551" xr:uid="{00000000-0005-0000-0000-000073AA0000}"/>
    <cellStyle name="Normal 6 4 3 5 3 3" xfId="58552" xr:uid="{00000000-0005-0000-0000-000074AA0000}"/>
    <cellStyle name="Normal 6 4 3 5 4" xfId="31105" xr:uid="{00000000-0005-0000-0000-000075AA0000}"/>
    <cellStyle name="Normal 6 4 3 5 4 2" xfId="58553" xr:uid="{00000000-0005-0000-0000-000076AA0000}"/>
    <cellStyle name="Normal 6 4 3 5 5" xfId="31106" xr:uid="{00000000-0005-0000-0000-000077AA0000}"/>
    <cellStyle name="Normal 6 4 3 5 6" xfId="31107" xr:uid="{00000000-0005-0000-0000-000078AA0000}"/>
    <cellStyle name="Normal 6 4 3 5 7" xfId="31108" xr:uid="{00000000-0005-0000-0000-000079AA0000}"/>
    <cellStyle name="Normal 6 4 3 6" xfId="31109" xr:uid="{00000000-0005-0000-0000-00007AAA0000}"/>
    <cellStyle name="Normal 6 4 3 6 2" xfId="31110" xr:uid="{00000000-0005-0000-0000-00007BAA0000}"/>
    <cellStyle name="Normal 6 4 3 6 2 2" xfId="58554" xr:uid="{00000000-0005-0000-0000-00007CAA0000}"/>
    <cellStyle name="Normal 6 4 3 6 2 3" xfId="58555" xr:uid="{00000000-0005-0000-0000-00007DAA0000}"/>
    <cellStyle name="Normal 6 4 3 6 3" xfId="31111" xr:uid="{00000000-0005-0000-0000-00007EAA0000}"/>
    <cellStyle name="Normal 6 4 3 6 3 2" xfId="58556" xr:uid="{00000000-0005-0000-0000-00007FAA0000}"/>
    <cellStyle name="Normal 6 4 3 6 4" xfId="31112" xr:uid="{00000000-0005-0000-0000-000080AA0000}"/>
    <cellStyle name="Normal 6 4 3 6 5" xfId="31113" xr:uid="{00000000-0005-0000-0000-000081AA0000}"/>
    <cellStyle name="Normal 6 4 3 6 6" xfId="31114" xr:uid="{00000000-0005-0000-0000-000082AA0000}"/>
    <cellStyle name="Normal 6 4 3 7" xfId="31115" xr:uid="{00000000-0005-0000-0000-000083AA0000}"/>
    <cellStyle name="Normal 6 4 3 7 2" xfId="58557" xr:uid="{00000000-0005-0000-0000-000084AA0000}"/>
    <cellStyle name="Normal 6 4 3 8" xfId="31116" xr:uid="{00000000-0005-0000-0000-000085AA0000}"/>
    <cellStyle name="Normal 6 4 3 9" xfId="31117" xr:uid="{00000000-0005-0000-0000-000086AA0000}"/>
    <cellStyle name="Normal 6 4 4" xfId="31118" xr:uid="{00000000-0005-0000-0000-000087AA0000}"/>
    <cellStyle name="Normal 6 4 4 10" xfId="31119" xr:uid="{00000000-0005-0000-0000-000088AA0000}"/>
    <cellStyle name="Normal 6 4 4 11" xfId="31120" xr:uid="{00000000-0005-0000-0000-000089AA0000}"/>
    <cellStyle name="Normal 6 4 4 12" xfId="31121" xr:uid="{00000000-0005-0000-0000-00008AAA0000}"/>
    <cellStyle name="Normal 6 4 4 13" xfId="31122" xr:uid="{00000000-0005-0000-0000-00008BAA0000}"/>
    <cellStyle name="Normal 6 4 4 14" xfId="31123" xr:uid="{00000000-0005-0000-0000-00008CAA0000}"/>
    <cellStyle name="Normal 6 4 4 2" xfId="31124" xr:uid="{00000000-0005-0000-0000-00008DAA0000}"/>
    <cellStyle name="Normal 6 4 4 2 2" xfId="31125" xr:uid="{00000000-0005-0000-0000-00008EAA0000}"/>
    <cellStyle name="Normal 6 4 4 2 2 2" xfId="31126" xr:uid="{00000000-0005-0000-0000-00008FAA0000}"/>
    <cellStyle name="Normal 6 4 4 2 2 2 2" xfId="31127" xr:uid="{00000000-0005-0000-0000-000090AA0000}"/>
    <cellStyle name="Normal 6 4 4 2 2 2 2 2" xfId="58558" xr:uid="{00000000-0005-0000-0000-000091AA0000}"/>
    <cellStyle name="Normal 6 4 4 2 2 2 2 3" xfId="58559" xr:uid="{00000000-0005-0000-0000-000092AA0000}"/>
    <cellStyle name="Normal 6 4 4 2 2 2 3" xfId="31128" xr:uid="{00000000-0005-0000-0000-000093AA0000}"/>
    <cellStyle name="Normal 6 4 4 2 2 2 3 2" xfId="58560" xr:uid="{00000000-0005-0000-0000-000094AA0000}"/>
    <cellStyle name="Normal 6 4 4 2 2 2 4" xfId="31129" xr:uid="{00000000-0005-0000-0000-000095AA0000}"/>
    <cellStyle name="Normal 6 4 4 2 2 2 5" xfId="31130" xr:uid="{00000000-0005-0000-0000-000096AA0000}"/>
    <cellStyle name="Normal 6 4 4 2 2 2 6" xfId="31131" xr:uid="{00000000-0005-0000-0000-000097AA0000}"/>
    <cellStyle name="Normal 6 4 4 2 2 3" xfId="31132" xr:uid="{00000000-0005-0000-0000-000098AA0000}"/>
    <cellStyle name="Normal 6 4 4 2 2 3 2" xfId="58561" xr:uid="{00000000-0005-0000-0000-000099AA0000}"/>
    <cellStyle name="Normal 6 4 4 2 2 3 3" xfId="58562" xr:uid="{00000000-0005-0000-0000-00009AAA0000}"/>
    <cellStyle name="Normal 6 4 4 2 2 4" xfId="31133" xr:uid="{00000000-0005-0000-0000-00009BAA0000}"/>
    <cellStyle name="Normal 6 4 4 2 2 4 2" xfId="58563" xr:uid="{00000000-0005-0000-0000-00009CAA0000}"/>
    <cellStyle name="Normal 6 4 4 2 2 5" xfId="31134" xr:uid="{00000000-0005-0000-0000-00009DAA0000}"/>
    <cellStyle name="Normal 6 4 4 2 2 6" xfId="31135" xr:uid="{00000000-0005-0000-0000-00009EAA0000}"/>
    <cellStyle name="Normal 6 4 4 2 2 7" xfId="31136" xr:uid="{00000000-0005-0000-0000-00009FAA0000}"/>
    <cellStyle name="Normal 6 4 4 2 3" xfId="31137" xr:uid="{00000000-0005-0000-0000-0000A0AA0000}"/>
    <cellStyle name="Normal 6 4 4 2 3 2" xfId="31138" xr:uid="{00000000-0005-0000-0000-0000A1AA0000}"/>
    <cellStyle name="Normal 6 4 4 2 3 2 2" xfId="58564" xr:uid="{00000000-0005-0000-0000-0000A2AA0000}"/>
    <cellStyle name="Normal 6 4 4 2 3 2 3" xfId="58565" xr:uid="{00000000-0005-0000-0000-0000A3AA0000}"/>
    <cellStyle name="Normal 6 4 4 2 3 3" xfId="31139" xr:uid="{00000000-0005-0000-0000-0000A4AA0000}"/>
    <cellStyle name="Normal 6 4 4 2 3 3 2" xfId="58566" xr:uid="{00000000-0005-0000-0000-0000A5AA0000}"/>
    <cellStyle name="Normal 6 4 4 2 3 4" xfId="31140" xr:uid="{00000000-0005-0000-0000-0000A6AA0000}"/>
    <cellStyle name="Normal 6 4 4 2 3 5" xfId="31141" xr:uid="{00000000-0005-0000-0000-0000A7AA0000}"/>
    <cellStyle name="Normal 6 4 4 2 3 6" xfId="31142" xr:uid="{00000000-0005-0000-0000-0000A8AA0000}"/>
    <cellStyle name="Normal 6 4 4 2 4" xfId="31143" xr:uid="{00000000-0005-0000-0000-0000A9AA0000}"/>
    <cellStyle name="Normal 6 4 4 2 4 2" xfId="58567" xr:uid="{00000000-0005-0000-0000-0000AAAA0000}"/>
    <cellStyle name="Normal 6 4 4 2 4 3" xfId="58568" xr:uid="{00000000-0005-0000-0000-0000ABAA0000}"/>
    <cellStyle name="Normal 6 4 4 2 5" xfId="31144" xr:uid="{00000000-0005-0000-0000-0000ACAA0000}"/>
    <cellStyle name="Normal 6 4 4 2 5 2" xfId="58569" xr:uid="{00000000-0005-0000-0000-0000ADAA0000}"/>
    <cellStyle name="Normal 6 4 4 2 6" xfId="31145" xr:uid="{00000000-0005-0000-0000-0000AEAA0000}"/>
    <cellStyle name="Normal 6 4 4 2 7" xfId="31146" xr:uid="{00000000-0005-0000-0000-0000AFAA0000}"/>
    <cellStyle name="Normal 6 4 4 2 8" xfId="31147" xr:uid="{00000000-0005-0000-0000-0000B0AA0000}"/>
    <cellStyle name="Normal 6 4 4 2 9" xfId="31148" xr:uid="{00000000-0005-0000-0000-0000B1AA0000}"/>
    <cellStyle name="Normal 6 4 4 3" xfId="31149" xr:uid="{00000000-0005-0000-0000-0000B2AA0000}"/>
    <cellStyle name="Normal 6 4 4 3 2" xfId="31150" xr:uid="{00000000-0005-0000-0000-0000B3AA0000}"/>
    <cellStyle name="Normal 6 4 4 3 2 2" xfId="31151" xr:uid="{00000000-0005-0000-0000-0000B4AA0000}"/>
    <cellStyle name="Normal 6 4 4 3 2 2 2" xfId="31152" xr:uid="{00000000-0005-0000-0000-0000B5AA0000}"/>
    <cellStyle name="Normal 6 4 4 3 2 2 2 2" xfId="58570" xr:uid="{00000000-0005-0000-0000-0000B6AA0000}"/>
    <cellStyle name="Normal 6 4 4 3 2 2 2 3" xfId="58571" xr:uid="{00000000-0005-0000-0000-0000B7AA0000}"/>
    <cellStyle name="Normal 6 4 4 3 2 2 3" xfId="31153" xr:uid="{00000000-0005-0000-0000-0000B8AA0000}"/>
    <cellStyle name="Normal 6 4 4 3 2 2 3 2" xfId="58572" xr:uid="{00000000-0005-0000-0000-0000B9AA0000}"/>
    <cellStyle name="Normal 6 4 4 3 2 2 4" xfId="31154" xr:uid="{00000000-0005-0000-0000-0000BAAA0000}"/>
    <cellStyle name="Normal 6 4 4 3 2 2 5" xfId="31155" xr:uid="{00000000-0005-0000-0000-0000BBAA0000}"/>
    <cellStyle name="Normal 6 4 4 3 2 2 6" xfId="31156" xr:uid="{00000000-0005-0000-0000-0000BCAA0000}"/>
    <cellStyle name="Normal 6 4 4 3 2 3" xfId="31157" xr:uid="{00000000-0005-0000-0000-0000BDAA0000}"/>
    <cellStyle name="Normal 6 4 4 3 2 3 2" xfId="58573" xr:uid="{00000000-0005-0000-0000-0000BEAA0000}"/>
    <cellStyle name="Normal 6 4 4 3 2 3 3" xfId="58574" xr:uid="{00000000-0005-0000-0000-0000BFAA0000}"/>
    <cellStyle name="Normal 6 4 4 3 2 4" xfId="31158" xr:uid="{00000000-0005-0000-0000-0000C0AA0000}"/>
    <cellStyle name="Normal 6 4 4 3 2 4 2" xfId="58575" xr:uid="{00000000-0005-0000-0000-0000C1AA0000}"/>
    <cellStyle name="Normal 6 4 4 3 2 5" xfId="31159" xr:uid="{00000000-0005-0000-0000-0000C2AA0000}"/>
    <cellStyle name="Normal 6 4 4 3 2 6" xfId="31160" xr:uid="{00000000-0005-0000-0000-0000C3AA0000}"/>
    <cellStyle name="Normal 6 4 4 3 2 7" xfId="31161" xr:uid="{00000000-0005-0000-0000-0000C4AA0000}"/>
    <cellStyle name="Normal 6 4 4 3 3" xfId="31162" xr:uid="{00000000-0005-0000-0000-0000C5AA0000}"/>
    <cellStyle name="Normal 6 4 4 3 3 2" xfId="31163" xr:uid="{00000000-0005-0000-0000-0000C6AA0000}"/>
    <cellStyle name="Normal 6 4 4 3 3 2 2" xfId="58576" xr:uid="{00000000-0005-0000-0000-0000C7AA0000}"/>
    <cellStyle name="Normal 6 4 4 3 3 2 3" xfId="58577" xr:uid="{00000000-0005-0000-0000-0000C8AA0000}"/>
    <cellStyle name="Normal 6 4 4 3 3 3" xfId="31164" xr:uid="{00000000-0005-0000-0000-0000C9AA0000}"/>
    <cellStyle name="Normal 6 4 4 3 3 3 2" xfId="58578" xr:uid="{00000000-0005-0000-0000-0000CAAA0000}"/>
    <cellStyle name="Normal 6 4 4 3 3 4" xfId="31165" xr:uid="{00000000-0005-0000-0000-0000CBAA0000}"/>
    <cellStyle name="Normal 6 4 4 3 3 5" xfId="31166" xr:uid="{00000000-0005-0000-0000-0000CCAA0000}"/>
    <cellStyle name="Normal 6 4 4 3 3 6" xfId="31167" xr:uid="{00000000-0005-0000-0000-0000CDAA0000}"/>
    <cellStyle name="Normal 6 4 4 3 4" xfId="31168" xr:uid="{00000000-0005-0000-0000-0000CEAA0000}"/>
    <cellStyle name="Normal 6 4 4 3 4 2" xfId="58579" xr:uid="{00000000-0005-0000-0000-0000CFAA0000}"/>
    <cellStyle name="Normal 6 4 4 3 4 3" xfId="58580" xr:uid="{00000000-0005-0000-0000-0000D0AA0000}"/>
    <cellStyle name="Normal 6 4 4 3 5" xfId="31169" xr:uid="{00000000-0005-0000-0000-0000D1AA0000}"/>
    <cellStyle name="Normal 6 4 4 3 5 2" xfId="58581" xr:uid="{00000000-0005-0000-0000-0000D2AA0000}"/>
    <cellStyle name="Normal 6 4 4 3 6" xfId="31170" xr:uid="{00000000-0005-0000-0000-0000D3AA0000}"/>
    <cellStyle name="Normal 6 4 4 3 7" xfId="31171" xr:uid="{00000000-0005-0000-0000-0000D4AA0000}"/>
    <cellStyle name="Normal 6 4 4 3 8" xfId="31172" xr:uid="{00000000-0005-0000-0000-0000D5AA0000}"/>
    <cellStyle name="Normal 6 4 4 4" xfId="31173" xr:uid="{00000000-0005-0000-0000-0000D6AA0000}"/>
    <cellStyle name="Normal 6 4 4 4 2" xfId="31174" xr:uid="{00000000-0005-0000-0000-0000D7AA0000}"/>
    <cellStyle name="Normal 6 4 4 4 2 2" xfId="31175" xr:uid="{00000000-0005-0000-0000-0000D8AA0000}"/>
    <cellStyle name="Normal 6 4 4 4 2 2 2" xfId="58582" xr:uid="{00000000-0005-0000-0000-0000D9AA0000}"/>
    <cellStyle name="Normal 6 4 4 4 2 2 3" xfId="58583" xr:uid="{00000000-0005-0000-0000-0000DAAA0000}"/>
    <cellStyle name="Normal 6 4 4 4 2 3" xfId="31176" xr:uid="{00000000-0005-0000-0000-0000DBAA0000}"/>
    <cellStyle name="Normal 6 4 4 4 2 3 2" xfId="58584" xr:uid="{00000000-0005-0000-0000-0000DCAA0000}"/>
    <cellStyle name="Normal 6 4 4 4 2 4" xfId="31177" xr:uid="{00000000-0005-0000-0000-0000DDAA0000}"/>
    <cellStyle name="Normal 6 4 4 4 2 5" xfId="31178" xr:uid="{00000000-0005-0000-0000-0000DEAA0000}"/>
    <cellStyle name="Normal 6 4 4 4 2 6" xfId="31179" xr:uid="{00000000-0005-0000-0000-0000DFAA0000}"/>
    <cellStyle name="Normal 6 4 4 4 3" xfId="31180" xr:uid="{00000000-0005-0000-0000-0000E0AA0000}"/>
    <cellStyle name="Normal 6 4 4 4 3 2" xfId="58585" xr:uid="{00000000-0005-0000-0000-0000E1AA0000}"/>
    <cellStyle name="Normal 6 4 4 4 3 3" xfId="58586" xr:uid="{00000000-0005-0000-0000-0000E2AA0000}"/>
    <cellStyle name="Normal 6 4 4 4 4" xfId="31181" xr:uid="{00000000-0005-0000-0000-0000E3AA0000}"/>
    <cellStyle name="Normal 6 4 4 4 4 2" xfId="58587" xr:uid="{00000000-0005-0000-0000-0000E4AA0000}"/>
    <cellStyle name="Normal 6 4 4 4 5" xfId="31182" xr:uid="{00000000-0005-0000-0000-0000E5AA0000}"/>
    <cellStyle name="Normal 6 4 4 4 6" xfId="31183" xr:uid="{00000000-0005-0000-0000-0000E6AA0000}"/>
    <cellStyle name="Normal 6 4 4 4 7" xfId="31184" xr:uid="{00000000-0005-0000-0000-0000E7AA0000}"/>
    <cellStyle name="Normal 6 4 4 5" xfId="31185" xr:uid="{00000000-0005-0000-0000-0000E8AA0000}"/>
    <cellStyle name="Normal 6 4 4 5 2" xfId="31186" xr:uid="{00000000-0005-0000-0000-0000E9AA0000}"/>
    <cellStyle name="Normal 6 4 4 5 2 2" xfId="58588" xr:uid="{00000000-0005-0000-0000-0000EAAA0000}"/>
    <cellStyle name="Normal 6 4 4 5 2 3" xfId="58589" xr:uid="{00000000-0005-0000-0000-0000EBAA0000}"/>
    <cellStyle name="Normal 6 4 4 5 3" xfId="31187" xr:uid="{00000000-0005-0000-0000-0000ECAA0000}"/>
    <cellStyle name="Normal 6 4 4 5 3 2" xfId="58590" xr:uid="{00000000-0005-0000-0000-0000EDAA0000}"/>
    <cellStyle name="Normal 6 4 4 5 4" xfId="31188" xr:uid="{00000000-0005-0000-0000-0000EEAA0000}"/>
    <cellStyle name="Normal 6 4 4 5 5" xfId="31189" xr:uid="{00000000-0005-0000-0000-0000EFAA0000}"/>
    <cellStyle name="Normal 6 4 4 5 6" xfId="31190" xr:uid="{00000000-0005-0000-0000-0000F0AA0000}"/>
    <cellStyle name="Normal 6 4 4 6" xfId="31191" xr:uid="{00000000-0005-0000-0000-0000F1AA0000}"/>
    <cellStyle name="Normal 6 4 4 6 2" xfId="58591" xr:uid="{00000000-0005-0000-0000-0000F2AA0000}"/>
    <cellStyle name="Normal 6 4 4 6 3" xfId="58592" xr:uid="{00000000-0005-0000-0000-0000F3AA0000}"/>
    <cellStyle name="Normal 6 4 4 7" xfId="31192" xr:uid="{00000000-0005-0000-0000-0000F4AA0000}"/>
    <cellStyle name="Normal 6 4 4 7 2" xfId="58593" xr:uid="{00000000-0005-0000-0000-0000F5AA0000}"/>
    <cellStyle name="Normal 6 4 4 8" xfId="31193" xr:uid="{00000000-0005-0000-0000-0000F6AA0000}"/>
    <cellStyle name="Normal 6 4 4 9" xfId="31194" xr:uid="{00000000-0005-0000-0000-0000F7AA0000}"/>
    <cellStyle name="Normal 6 4 5" xfId="31195" xr:uid="{00000000-0005-0000-0000-0000F8AA0000}"/>
    <cellStyle name="Normal 6 4 5 10" xfId="31196" xr:uid="{00000000-0005-0000-0000-0000F9AA0000}"/>
    <cellStyle name="Normal 6 4 5 11" xfId="31197" xr:uid="{00000000-0005-0000-0000-0000FAAA0000}"/>
    <cellStyle name="Normal 6 4 5 12" xfId="31198" xr:uid="{00000000-0005-0000-0000-0000FBAA0000}"/>
    <cellStyle name="Normal 6 4 5 13" xfId="31199" xr:uid="{00000000-0005-0000-0000-0000FCAA0000}"/>
    <cellStyle name="Normal 6 4 5 14" xfId="31200" xr:uid="{00000000-0005-0000-0000-0000FDAA0000}"/>
    <cellStyle name="Normal 6 4 5 2" xfId="31201" xr:uid="{00000000-0005-0000-0000-0000FEAA0000}"/>
    <cellStyle name="Normal 6 4 5 2 2" xfId="31202" xr:uid="{00000000-0005-0000-0000-0000FFAA0000}"/>
    <cellStyle name="Normal 6 4 5 2 2 2" xfId="31203" xr:uid="{00000000-0005-0000-0000-000000AB0000}"/>
    <cellStyle name="Normal 6 4 5 2 2 2 2" xfId="31204" xr:uid="{00000000-0005-0000-0000-000001AB0000}"/>
    <cellStyle name="Normal 6 4 5 2 2 2 2 2" xfId="58594" xr:uid="{00000000-0005-0000-0000-000002AB0000}"/>
    <cellStyle name="Normal 6 4 5 2 2 2 2 3" xfId="58595" xr:uid="{00000000-0005-0000-0000-000003AB0000}"/>
    <cellStyle name="Normal 6 4 5 2 2 2 3" xfId="31205" xr:uid="{00000000-0005-0000-0000-000004AB0000}"/>
    <cellStyle name="Normal 6 4 5 2 2 2 3 2" xfId="58596" xr:uid="{00000000-0005-0000-0000-000005AB0000}"/>
    <cellStyle name="Normal 6 4 5 2 2 2 4" xfId="31206" xr:uid="{00000000-0005-0000-0000-000006AB0000}"/>
    <cellStyle name="Normal 6 4 5 2 2 2 5" xfId="31207" xr:uid="{00000000-0005-0000-0000-000007AB0000}"/>
    <cellStyle name="Normal 6 4 5 2 2 2 6" xfId="31208" xr:uid="{00000000-0005-0000-0000-000008AB0000}"/>
    <cellStyle name="Normal 6 4 5 2 2 3" xfId="31209" xr:uid="{00000000-0005-0000-0000-000009AB0000}"/>
    <cellStyle name="Normal 6 4 5 2 2 3 2" xfId="58597" xr:uid="{00000000-0005-0000-0000-00000AAB0000}"/>
    <cellStyle name="Normal 6 4 5 2 2 3 3" xfId="58598" xr:uid="{00000000-0005-0000-0000-00000BAB0000}"/>
    <cellStyle name="Normal 6 4 5 2 2 4" xfId="31210" xr:uid="{00000000-0005-0000-0000-00000CAB0000}"/>
    <cellStyle name="Normal 6 4 5 2 2 4 2" xfId="58599" xr:uid="{00000000-0005-0000-0000-00000DAB0000}"/>
    <cellStyle name="Normal 6 4 5 2 2 5" xfId="31211" xr:uid="{00000000-0005-0000-0000-00000EAB0000}"/>
    <cellStyle name="Normal 6 4 5 2 2 6" xfId="31212" xr:uid="{00000000-0005-0000-0000-00000FAB0000}"/>
    <cellStyle name="Normal 6 4 5 2 2 7" xfId="31213" xr:uid="{00000000-0005-0000-0000-000010AB0000}"/>
    <cellStyle name="Normal 6 4 5 2 3" xfId="31214" xr:uid="{00000000-0005-0000-0000-000011AB0000}"/>
    <cellStyle name="Normal 6 4 5 2 3 2" xfId="31215" xr:uid="{00000000-0005-0000-0000-000012AB0000}"/>
    <cellStyle name="Normal 6 4 5 2 3 2 2" xfId="58600" xr:uid="{00000000-0005-0000-0000-000013AB0000}"/>
    <cellStyle name="Normal 6 4 5 2 3 2 3" xfId="58601" xr:uid="{00000000-0005-0000-0000-000014AB0000}"/>
    <cellStyle name="Normal 6 4 5 2 3 3" xfId="31216" xr:uid="{00000000-0005-0000-0000-000015AB0000}"/>
    <cellStyle name="Normal 6 4 5 2 3 3 2" xfId="58602" xr:uid="{00000000-0005-0000-0000-000016AB0000}"/>
    <cellStyle name="Normal 6 4 5 2 3 4" xfId="31217" xr:uid="{00000000-0005-0000-0000-000017AB0000}"/>
    <cellStyle name="Normal 6 4 5 2 3 5" xfId="31218" xr:uid="{00000000-0005-0000-0000-000018AB0000}"/>
    <cellStyle name="Normal 6 4 5 2 3 6" xfId="31219" xr:uid="{00000000-0005-0000-0000-000019AB0000}"/>
    <cellStyle name="Normal 6 4 5 2 4" xfId="31220" xr:uid="{00000000-0005-0000-0000-00001AAB0000}"/>
    <cellStyle name="Normal 6 4 5 2 4 2" xfId="58603" xr:uid="{00000000-0005-0000-0000-00001BAB0000}"/>
    <cellStyle name="Normal 6 4 5 2 4 3" xfId="58604" xr:uid="{00000000-0005-0000-0000-00001CAB0000}"/>
    <cellStyle name="Normal 6 4 5 2 5" xfId="31221" xr:uid="{00000000-0005-0000-0000-00001DAB0000}"/>
    <cellStyle name="Normal 6 4 5 2 5 2" xfId="58605" xr:uid="{00000000-0005-0000-0000-00001EAB0000}"/>
    <cellStyle name="Normal 6 4 5 2 6" xfId="31222" xr:uid="{00000000-0005-0000-0000-00001FAB0000}"/>
    <cellStyle name="Normal 6 4 5 2 7" xfId="31223" xr:uid="{00000000-0005-0000-0000-000020AB0000}"/>
    <cellStyle name="Normal 6 4 5 2 8" xfId="31224" xr:uid="{00000000-0005-0000-0000-000021AB0000}"/>
    <cellStyle name="Normal 6 4 5 2 9" xfId="31225" xr:uid="{00000000-0005-0000-0000-000022AB0000}"/>
    <cellStyle name="Normal 6 4 5 3" xfId="31226" xr:uid="{00000000-0005-0000-0000-000023AB0000}"/>
    <cellStyle name="Normal 6 4 5 3 2" xfId="31227" xr:uid="{00000000-0005-0000-0000-000024AB0000}"/>
    <cellStyle name="Normal 6 4 5 3 2 2" xfId="31228" xr:uid="{00000000-0005-0000-0000-000025AB0000}"/>
    <cellStyle name="Normal 6 4 5 3 2 2 2" xfId="31229" xr:uid="{00000000-0005-0000-0000-000026AB0000}"/>
    <cellStyle name="Normal 6 4 5 3 2 2 2 2" xfId="58606" xr:uid="{00000000-0005-0000-0000-000027AB0000}"/>
    <cellStyle name="Normal 6 4 5 3 2 2 2 3" xfId="58607" xr:uid="{00000000-0005-0000-0000-000028AB0000}"/>
    <cellStyle name="Normal 6 4 5 3 2 2 3" xfId="31230" xr:uid="{00000000-0005-0000-0000-000029AB0000}"/>
    <cellStyle name="Normal 6 4 5 3 2 2 3 2" xfId="58608" xr:uid="{00000000-0005-0000-0000-00002AAB0000}"/>
    <cellStyle name="Normal 6 4 5 3 2 2 4" xfId="31231" xr:uid="{00000000-0005-0000-0000-00002BAB0000}"/>
    <cellStyle name="Normal 6 4 5 3 2 2 5" xfId="31232" xr:uid="{00000000-0005-0000-0000-00002CAB0000}"/>
    <cellStyle name="Normal 6 4 5 3 2 2 6" xfId="31233" xr:uid="{00000000-0005-0000-0000-00002DAB0000}"/>
    <cellStyle name="Normal 6 4 5 3 2 3" xfId="31234" xr:uid="{00000000-0005-0000-0000-00002EAB0000}"/>
    <cellStyle name="Normal 6 4 5 3 2 3 2" xfId="58609" xr:uid="{00000000-0005-0000-0000-00002FAB0000}"/>
    <cellStyle name="Normal 6 4 5 3 2 3 3" xfId="58610" xr:uid="{00000000-0005-0000-0000-000030AB0000}"/>
    <cellStyle name="Normal 6 4 5 3 2 4" xfId="31235" xr:uid="{00000000-0005-0000-0000-000031AB0000}"/>
    <cellStyle name="Normal 6 4 5 3 2 4 2" xfId="58611" xr:uid="{00000000-0005-0000-0000-000032AB0000}"/>
    <cellStyle name="Normal 6 4 5 3 2 5" xfId="31236" xr:uid="{00000000-0005-0000-0000-000033AB0000}"/>
    <cellStyle name="Normal 6 4 5 3 2 6" xfId="31237" xr:uid="{00000000-0005-0000-0000-000034AB0000}"/>
    <cellStyle name="Normal 6 4 5 3 2 7" xfId="31238" xr:uid="{00000000-0005-0000-0000-000035AB0000}"/>
    <cellStyle name="Normal 6 4 5 3 3" xfId="31239" xr:uid="{00000000-0005-0000-0000-000036AB0000}"/>
    <cellStyle name="Normal 6 4 5 3 3 2" xfId="31240" xr:uid="{00000000-0005-0000-0000-000037AB0000}"/>
    <cellStyle name="Normal 6 4 5 3 3 2 2" xfId="58612" xr:uid="{00000000-0005-0000-0000-000038AB0000}"/>
    <cellStyle name="Normal 6 4 5 3 3 2 3" xfId="58613" xr:uid="{00000000-0005-0000-0000-000039AB0000}"/>
    <cellStyle name="Normal 6 4 5 3 3 3" xfId="31241" xr:uid="{00000000-0005-0000-0000-00003AAB0000}"/>
    <cellStyle name="Normal 6 4 5 3 3 3 2" xfId="58614" xr:uid="{00000000-0005-0000-0000-00003BAB0000}"/>
    <cellStyle name="Normal 6 4 5 3 3 4" xfId="31242" xr:uid="{00000000-0005-0000-0000-00003CAB0000}"/>
    <cellStyle name="Normal 6 4 5 3 3 5" xfId="31243" xr:uid="{00000000-0005-0000-0000-00003DAB0000}"/>
    <cellStyle name="Normal 6 4 5 3 3 6" xfId="31244" xr:uid="{00000000-0005-0000-0000-00003EAB0000}"/>
    <cellStyle name="Normal 6 4 5 3 4" xfId="31245" xr:uid="{00000000-0005-0000-0000-00003FAB0000}"/>
    <cellStyle name="Normal 6 4 5 3 4 2" xfId="58615" xr:uid="{00000000-0005-0000-0000-000040AB0000}"/>
    <cellStyle name="Normal 6 4 5 3 4 3" xfId="58616" xr:uid="{00000000-0005-0000-0000-000041AB0000}"/>
    <cellStyle name="Normal 6 4 5 3 5" xfId="31246" xr:uid="{00000000-0005-0000-0000-000042AB0000}"/>
    <cellStyle name="Normal 6 4 5 3 5 2" xfId="58617" xr:uid="{00000000-0005-0000-0000-000043AB0000}"/>
    <cellStyle name="Normal 6 4 5 3 6" xfId="31247" xr:uid="{00000000-0005-0000-0000-000044AB0000}"/>
    <cellStyle name="Normal 6 4 5 3 7" xfId="31248" xr:uid="{00000000-0005-0000-0000-000045AB0000}"/>
    <cellStyle name="Normal 6 4 5 3 8" xfId="31249" xr:uid="{00000000-0005-0000-0000-000046AB0000}"/>
    <cellStyle name="Normal 6 4 5 4" xfId="31250" xr:uid="{00000000-0005-0000-0000-000047AB0000}"/>
    <cellStyle name="Normal 6 4 5 4 2" xfId="31251" xr:uid="{00000000-0005-0000-0000-000048AB0000}"/>
    <cellStyle name="Normal 6 4 5 4 2 2" xfId="31252" xr:uid="{00000000-0005-0000-0000-000049AB0000}"/>
    <cellStyle name="Normal 6 4 5 4 2 2 2" xfId="58618" xr:uid="{00000000-0005-0000-0000-00004AAB0000}"/>
    <cellStyle name="Normal 6 4 5 4 2 2 3" xfId="58619" xr:uid="{00000000-0005-0000-0000-00004BAB0000}"/>
    <cellStyle name="Normal 6 4 5 4 2 3" xfId="31253" xr:uid="{00000000-0005-0000-0000-00004CAB0000}"/>
    <cellStyle name="Normal 6 4 5 4 2 3 2" xfId="58620" xr:uid="{00000000-0005-0000-0000-00004DAB0000}"/>
    <cellStyle name="Normal 6 4 5 4 2 4" xfId="31254" xr:uid="{00000000-0005-0000-0000-00004EAB0000}"/>
    <cellStyle name="Normal 6 4 5 4 2 5" xfId="31255" xr:uid="{00000000-0005-0000-0000-00004FAB0000}"/>
    <cellStyle name="Normal 6 4 5 4 2 6" xfId="31256" xr:uid="{00000000-0005-0000-0000-000050AB0000}"/>
    <cellStyle name="Normal 6 4 5 4 3" xfId="31257" xr:uid="{00000000-0005-0000-0000-000051AB0000}"/>
    <cellStyle name="Normal 6 4 5 4 3 2" xfId="58621" xr:uid="{00000000-0005-0000-0000-000052AB0000}"/>
    <cellStyle name="Normal 6 4 5 4 3 3" xfId="58622" xr:uid="{00000000-0005-0000-0000-000053AB0000}"/>
    <cellStyle name="Normal 6 4 5 4 4" xfId="31258" xr:uid="{00000000-0005-0000-0000-000054AB0000}"/>
    <cellStyle name="Normal 6 4 5 4 4 2" xfId="58623" xr:uid="{00000000-0005-0000-0000-000055AB0000}"/>
    <cellStyle name="Normal 6 4 5 4 5" xfId="31259" xr:uid="{00000000-0005-0000-0000-000056AB0000}"/>
    <cellStyle name="Normal 6 4 5 4 6" xfId="31260" xr:uid="{00000000-0005-0000-0000-000057AB0000}"/>
    <cellStyle name="Normal 6 4 5 4 7" xfId="31261" xr:uid="{00000000-0005-0000-0000-000058AB0000}"/>
    <cellStyle name="Normal 6 4 5 5" xfId="31262" xr:uid="{00000000-0005-0000-0000-000059AB0000}"/>
    <cellStyle name="Normal 6 4 5 5 2" xfId="31263" xr:uid="{00000000-0005-0000-0000-00005AAB0000}"/>
    <cellStyle name="Normal 6 4 5 5 2 2" xfId="58624" xr:uid="{00000000-0005-0000-0000-00005BAB0000}"/>
    <cellStyle name="Normal 6 4 5 5 2 3" xfId="58625" xr:uid="{00000000-0005-0000-0000-00005CAB0000}"/>
    <cellStyle name="Normal 6 4 5 5 3" xfId="31264" xr:uid="{00000000-0005-0000-0000-00005DAB0000}"/>
    <cellStyle name="Normal 6 4 5 5 3 2" xfId="58626" xr:uid="{00000000-0005-0000-0000-00005EAB0000}"/>
    <cellStyle name="Normal 6 4 5 5 4" xfId="31265" xr:uid="{00000000-0005-0000-0000-00005FAB0000}"/>
    <cellStyle name="Normal 6 4 5 5 5" xfId="31266" xr:uid="{00000000-0005-0000-0000-000060AB0000}"/>
    <cellStyle name="Normal 6 4 5 5 6" xfId="31267" xr:uid="{00000000-0005-0000-0000-000061AB0000}"/>
    <cellStyle name="Normal 6 4 5 6" xfId="31268" xr:uid="{00000000-0005-0000-0000-000062AB0000}"/>
    <cellStyle name="Normal 6 4 5 6 2" xfId="58627" xr:uid="{00000000-0005-0000-0000-000063AB0000}"/>
    <cellStyle name="Normal 6 4 5 6 3" xfId="58628" xr:uid="{00000000-0005-0000-0000-000064AB0000}"/>
    <cellStyle name="Normal 6 4 5 7" xfId="31269" xr:uid="{00000000-0005-0000-0000-000065AB0000}"/>
    <cellStyle name="Normal 6 4 5 7 2" xfId="58629" xr:uid="{00000000-0005-0000-0000-000066AB0000}"/>
    <cellStyle name="Normal 6 4 5 8" xfId="31270" xr:uid="{00000000-0005-0000-0000-000067AB0000}"/>
    <cellStyle name="Normal 6 4 5 9" xfId="31271" xr:uid="{00000000-0005-0000-0000-000068AB0000}"/>
    <cellStyle name="Normal 6 4 6" xfId="31272" xr:uid="{00000000-0005-0000-0000-000069AB0000}"/>
    <cellStyle name="Normal 6 4 6 10" xfId="31273" xr:uid="{00000000-0005-0000-0000-00006AAB0000}"/>
    <cellStyle name="Normal 6 4 6 11" xfId="31274" xr:uid="{00000000-0005-0000-0000-00006BAB0000}"/>
    <cellStyle name="Normal 6 4 6 12" xfId="31275" xr:uid="{00000000-0005-0000-0000-00006CAB0000}"/>
    <cellStyle name="Normal 6 4 6 13" xfId="31276" xr:uid="{00000000-0005-0000-0000-00006DAB0000}"/>
    <cellStyle name="Normal 6 4 6 2" xfId="31277" xr:uid="{00000000-0005-0000-0000-00006EAB0000}"/>
    <cellStyle name="Normal 6 4 6 2 2" xfId="31278" xr:uid="{00000000-0005-0000-0000-00006FAB0000}"/>
    <cellStyle name="Normal 6 4 6 2 2 2" xfId="31279" xr:uid="{00000000-0005-0000-0000-000070AB0000}"/>
    <cellStyle name="Normal 6 4 6 2 2 2 2" xfId="31280" xr:uid="{00000000-0005-0000-0000-000071AB0000}"/>
    <cellStyle name="Normal 6 4 6 2 2 2 2 2" xfId="58630" xr:uid="{00000000-0005-0000-0000-000072AB0000}"/>
    <cellStyle name="Normal 6 4 6 2 2 2 2 3" xfId="58631" xr:uid="{00000000-0005-0000-0000-000073AB0000}"/>
    <cellStyle name="Normal 6 4 6 2 2 2 3" xfId="31281" xr:uid="{00000000-0005-0000-0000-000074AB0000}"/>
    <cellStyle name="Normal 6 4 6 2 2 2 3 2" xfId="58632" xr:uid="{00000000-0005-0000-0000-000075AB0000}"/>
    <cellStyle name="Normal 6 4 6 2 2 2 4" xfId="31282" xr:uid="{00000000-0005-0000-0000-000076AB0000}"/>
    <cellStyle name="Normal 6 4 6 2 2 2 5" xfId="31283" xr:uid="{00000000-0005-0000-0000-000077AB0000}"/>
    <cellStyle name="Normal 6 4 6 2 2 2 6" xfId="31284" xr:uid="{00000000-0005-0000-0000-000078AB0000}"/>
    <cellStyle name="Normal 6 4 6 2 2 3" xfId="31285" xr:uid="{00000000-0005-0000-0000-000079AB0000}"/>
    <cellStyle name="Normal 6 4 6 2 2 3 2" xfId="58633" xr:uid="{00000000-0005-0000-0000-00007AAB0000}"/>
    <cellStyle name="Normal 6 4 6 2 2 3 3" xfId="58634" xr:uid="{00000000-0005-0000-0000-00007BAB0000}"/>
    <cellStyle name="Normal 6 4 6 2 2 4" xfId="31286" xr:uid="{00000000-0005-0000-0000-00007CAB0000}"/>
    <cellStyle name="Normal 6 4 6 2 2 4 2" xfId="58635" xr:uid="{00000000-0005-0000-0000-00007DAB0000}"/>
    <cellStyle name="Normal 6 4 6 2 2 5" xfId="31287" xr:uid="{00000000-0005-0000-0000-00007EAB0000}"/>
    <cellStyle name="Normal 6 4 6 2 2 6" xfId="31288" xr:uid="{00000000-0005-0000-0000-00007FAB0000}"/>
    <cellStyle name="Normal 6 4 6 2 2 7" xfId="31289" xr:uid="{00000000-0005-0000-0000-000080AB0000}"/>
    <cellStyle name="Normal 6 4 6 2 3" xfId="31290" xr:uid="{00000000-0005-0000-0000-000081AB0000}"/>
    <cellStyle name="Normal 6 4 6 2 3 2" xfId="31291" xr:uid="{00000000-0005-0000-0000-000082AB0000}"/>
    <cellStyle name="Normal 6 4 6 2 3 2 2" xfId="58636" xr:uid="{00000000-0005-0000-0000-000083AB0000}"/>
    <cellStyle name="Normal 6 4 6 2 3 2 3" xfId="58637" xr:uid="{00000000-0005-0000-0000-000084AB0000}"/>
    <cellStyle name="Normal 6 4 6 2 3 3" xfId="31292" xr:uid="{00000000-0005-0000-0000-000085AB0000}"/>
    <cellStyle name="Normal 6 4 6 2 3 3 2" xfId="58638" xr:uid="{00000000-0005-0000-0000-000086AB0000}"/>
    <cellStyle name="Normal 6 4 6 2 3 4" xfId="31293" xr:uid="{00000000-0005-0000-0000-000087AB0000}"/>
    <cellStyle name="Normal 6 4 6 2 3 5" xfId="31294" xr:uid="{00000000-0005-0000-0000-000088AB0000}"/>
    <cellStyle name="Normal 6 4 6 2 3 6" xfId="31295" xr:uid="{00000000-0005-0000-0000-000089AB0000}"/>
    <cellStyle name="Normal 6 4 6 2 4" xfId="31296" xr:uid="{00000000-0005-0000-0000-00008AAB0000}"/>
    <cellStyle name="Normal 6 4 6 2 4 2" xfId="58639" xr:uid="{00000000-0005-0000-0000-00008BAB0000}"/>
    <cellStyle name="Normal 6 4 6 2 4 3" xfId="58640" xr:uid="{00000000-0005-0000-0000-00008CAB0000}"/>
    <cellStyle name="Normal 6 4 6 2 5" xfId="31297" xr:uid="{00000000-0005-0000-0000-00008DAB0000}"/>
    <cellStyle name="Normal 6 4 6 2 5 2" xfId="58641" xr:uid="{00000000-0005-0000-0000-00008EAB0000}"/>
    <cellStyle name="Normal 6 4 6 2 6" xfId="31298" xr:uid="{00000000-0005-0000-0000-00008FAB0000}"/>
    <cellStyle name="Normal 6 4 6 2 7" xfId="31299" xr:uid="{00000000-0005-0000-0000-000090AB0000}"/>
    <cellStyle name="Normal 6 4 6 2 8" xfId="31300" xr:uid="{00000000-0005-0000-0000-000091AB0000}"/>
    <cellStyle name="Normal 6 4 6 2 9" xfId="31301" xr:uid="{00000000-0005-0000-0000-000092AB0000}"/>
    <cellStyle name="Normal 6 4 6 3" xfId="31302" xr:uid="{00000000-0005-0000-0000-000093AB0000}"/>
    <cellStyle name="Normal 6 4 6 3 2" xfId="31303" xr:uid="{00000000-0005-0000-0000-000094AB0000}"/>
    <cellStyle name="Normal 6 4 6 3 2 2" xfId="31304" xr:uid="{00000000-0005-0000-0000-000095AB0000}"/>
    <cellStyle name="Normal 6 4 6 3 2 2 2" xfId="58642" xr:uid="{00000000-0005-0000-0000-000096AB0000}"/>
    <cellStyle name="Normal 6 4 6 3 2 2 3" xfId="58643" xr:uid="{00000000-0005-0000-0000-000097AB0000}"/>
    <cellStyle name="Normal 6 4 6 3 2 3" xfId="31305" xr:uid="{00000000-0005-0000-0000-000098AB0000}"/>
    <cellStyle name="Normal 6 4 6 3 2 3 2" xfId="58644" xr:uid="{00000000-0005-0000-0000-000099AB0000}"/>
    <cellStyle name="Normal 6 4 6 3 2 4" xfId="31306" xr:uid="{00000000-0005-0000-0000-00009AAB0000}"/>
    <cellStyle name="Normal 6 4 6 3 2 5" xfId="31307" xr:uid="{00000000-0005-0000-0000-00009BAB0000}"/>
    <cellStyle name="Normal 6 4 6 3 2 6" xfId="31308" xr:uid="{00000000-0005-0000-0000-00009CAB0000}"/>
    <cellStyle name="Normal 6 4 6 3 3" xfId="31309" xr:uid="{00000000-0005-0000-0000-00009DAB0000}"/>
    <cellStyle name="Normal 6 4 6 3 3 2" xfId="58645" xr:uid="{00000000-0005-0000-0000-00009EAB0000}"/>
    <cellStyle name="Normal 6 4 6 3 3 3" xfId="58646" xr:uid="{00000000-0005-0000-0000-00009FAB0000}"/>
    <cellStyle name="Normal 6 4 6 3 4" xfId="31310" xr:uid="{00000000-0005-0000-0000-0000A0AB0000}"/>
    <cellStyle name="Normal 6 4 6 3 4 2" xfId="58647" xr:uid="{00000000-0005-0000-0000-0000A1AB0000}"/>
    <cellStyle name="Normal 6 4 6 3 5" xfId="31311" xr:uid="{00000000-0005-0000-0000-0000A2AB0000}"/>
    <cellStyle name="Normal 6 4 6 3 6" xfId="31312" xr:uid="{00000000-0005-0000-0000-0000A3AB0000}"/>
    <cellStyle name="Normal 6 4 6 3 7" xfId="31313" xr:uid="{00000000-0005-0000-0000-0000A4AB0000}"/>
    <cellStyle name="Normal 6 4 6 4" xfId="31314" xr:uid="{00000000-0005-0000-0000-0000A5AB0000}"/>
    <cellStyle name="Normal 6 4 6 4 2" xfId="31315" xr:uid="{00000000-0005-0000-0000-0000A6AB0000}"/>
    <cellStyle name="Normal 6 4 6 4 2 2" xfId="58648" xr:uid="{00000000-0005-0000-0000-0000A7AB0000}"/>
    <cellStyle name="Normal 6 4 6 4 2 3" xfId="58649" xr:uid="{00000000-0005-0000-0000-0000A8AB0000}"/>
    <cellStyle name="Normal 6 4 6 4 3" xfId="31316" xr:uid="{00000000-0005-0000-0000-0000A9AB0000}"/>
    <cellStyle name="Normal 6 4 6 4 3 2" xfId="58650" xr:uid="{00000000-0005-0000-0000-0000AAAB0000}"/>
    <cellStyle name="Normal 6 4 6 4 4" xfId="31317" xr:uid="{00000000-0005-0000-0000-0000ABAB0000}"/>
    <cellStyle name="Normal 6 4 6 4 5" xfId="31318" xr:uid="{00000000-0005-0000-0000-0000ACAB0000}"/>
    <cellStyle name="Normal 6 4 6 4 6" xfId="31319" xr:uid="{00000000-0005-0000-0000-0000ADAB0000}"/>
    <cellStyle name="Normal 6 4 6 5" xfId="31320" xr:uid="{00000000-0005-0000-0000-0000AEAB0000}"/>
    <cellStyle name="Normal 6 4 6 5 2" xfId="58651" xr:uid="{00000000-0005-0000-0000-0000AFAB0000}"/>
    <cellStyle name="Normal 6 4 6 5 3" xfId="58652" xr:uid="{00000000-0005-0000-0000-0000B0AB0000}"/>
    <cellStyle name="Normal 6 4 6 6" xfId="31321" xr:uid="{00000000-0005-0000-0000-0000B1AB0000}"/>
    <cellStyle name="Normal 6 4 6 6 2" xfId="58653" xr:uid="{00000000-0005-0000-0000-0000B2AB0000}"/>
    <cellStyle name="Normal 6 4 6 7" xfId="31322" xr:uid="{00000000-0005-0000-0000-0000B3AB0000}"/>
    <cellStyle name="Normal 6 4 6 8" xfId="31323" xr:uid="{00000000-0005-0000-0000-0000B4AB0000}"/>
    <cellStyle name="Normal 6 4 6 9" xfId="31324" xr:uid="{00000000-0005-0000-0000-0000B5AB0000}"/>
    <cellStyle name="Normal 6 4 7" xfId="31325" xr:uid="{00000000-0005-0000-0000-0000B6AB0000}"/>
    <cellStyle name="Normal 6 4 7 2" xfId="31326" xr:uid="{00000000-0005-0000-0000-0000B7AB0000}"/>
    <cellStyle name="Normal 6 4 7 2 2" xfId="31327" xr:uid="{00000000-0005-0000-0000-0000B8AB0000}"/>
    <cellStyle name="Normal 6 4 7 2 2 2" xfId="31328" xr:uid="{00000000-0005-0000-0000-0000B9AB0000}"/>
    <cellStyle name="Normal 6 4 7 2 2 2 2" xfId="58654" xr:uid="{00000000-0005-0000-0000-0000BAAB0000}"/>
    <cellStyle name="Normal 6 4 7 2 2 2 3" xfId="58655" xr:uid="{00000000-0005-0000-0000-0000BBAB0000}"/>
    <cellStyle name="Normal 6 4 7 2 2 3" xfId="31329" xr:uid="{00000000-0005-0000-0000-0000BCAB0000}"/>
    <cellStyle name="Normal 6 4 7 2 2 3 2" xfId="58656" xr:uid="{00000000-0005-0000-0000-0000BDAB0000}"/>
    <cellStyle name="Normal 6 4 7 2 2 4" xfId="31330" xr:uid="{00000000-0005-0000-0000-0000BEAB0000}"/>
    <cellStyle name="Normal 6 4 7 2 2 5" xfId="31331" xr:uid="{00000000-0005-0000-0000-0000BFAB0000}"/>
    <cellStyle name="Normal 6 4 7 2 2 6" xfId="31332" xr:uid="{00000000-0005-0000-0000-0000C0AB0000}"/>
    <cellStyle name="Normal 6 4 7 2 3" xfId="31333" xr:uid="{00000000-0005-0000-0000-0000C1AB0000}"/>
    <cellStyle name="Normal 6 4 7 2 3 2" xfId="58657" xr:uid="{00000000-0005-0000-0000-0000C2AB0000}"/>
    <cellStyle name="Normal 6 4 7 2 3 3" xfId="58658" xr:uid="{00000000-0005-0000-0000-0000C3AB0000}"/>
    <cellStyle name="Normal 6 4 7 2 4" xfId="31334" xr:uid="{00000000-0005-0000-0000-0000C4AB0000}"/>
    <cellStyle name="Normal 6 4 7 2 4 2" xfId="58659" xr:uid="{00000000-0005-0000-0000-0000C5AB0000}"/>
    <cellStyle name="Normal 6 4 7 2 5" xfId="31335" xr:uid="{00000000-0005-0000-0000-0000C6AB0000}"/>
    <cellStyle name="Normal 6 4 7 2 6" xfId="31336" xr:uid="{00000000-0005-0000-0000-0000C7AB0000}"/>
    <cellStyle name="Normal 6 4 7 2 7" xfId="31337" xr:uid="{00000000-0005-0000-0000-0000C8AB0000}"/>
    <cellStyle name="Normal 6 4 7 3" xfId="31338" xr:uid="{00000000-0005-0000-0000-0000C9AB0000}"/>
    <cellStyle name="Normal 6 4 7 3 2" xfId="31339" xr:uid="{00000000-0005-0000-0000-0000CAAB0000}"/>
    <cellStyle name="Normal 6 4 7 3 2 2" xfId="58660" xr:uid="{00000000-0005-0000-0000-0000CBAB0000}"/>
    <cellStyle name="Normal 6 4 7 3 2 3" xfId="58661" xr:uid="{00000000-0005-0000-0000-0000CCAB0000}"/>
    <cellStyle name="Normal 6 4 7 3 3" xfId="31340" xr:uid="{00000000-0005-0000-0000-0000CDAB0000}"/>
    <cellStyle name="Normal 6 4 7 3 3 2" xfId="58662" xr:uid="{00000000-0005-0000-0000-0000CEAB0000}"/>
    <cellStyle name="Normal 6 4 7 3 4" xfId="31341" xr:uid="{00000000-0005-0000-0000-0000CFAB0000}"/>
    <cellStyle name="Normal 6 4 7 3 5" xfId="31342" xr:uid="{00000000-0005-0000-0000-0000D0AB0000}"/>
    <cellStyle name="Normal 6 4 7 3 6" xfId="31343" xr:uid="{00000000-0005-0000-0000-0000D1AB0000}"/>
    <cellStyle name="Normal 6 4 7 4" xfId="31344" xr:uid="{00000000-0005-0000-0000-0000D2AB0000}"/>
    <cellStyle name="Normal 6 4 7 4 2" xfId="58663" xr:uid="{00000000-0005-0000-0000-0000D3AB0000}"/>
    <cellStyle name="Normal 6 4 7 4 3" xfId="58664" xr:uid="{00000000-0005-0000-0000-0000D4AB0000}"/>
    <cellStyle name="Normal 6 4 7 5" xfId="31345" xr:uid="{00000000-0005-0000-0000-0000D5AB0000}"/>
    <cellStyle name="Normal 6 4 7 5 2" xfId="58665" xr:uid="{00000000-0005-0000-0000-0000D6AB0000}"/>
    <cellStyle name="Normal 6 4 7 6" xfId="31346" xr:uid="{00000000-0005-0000-0000-0000D7AB0000}"/>
    <cellStyle name="Normal 6 4 7 7" xfId="31347" xr:uid="{00000000-0005-0000-0000-0000D8AB0000}"/>
    <cellStyle name="Normal 6 4 7 8" xfId="31348" xr:uid="{00000000-0005-0000-0000-0000D9AB0000}"/>
    <cellStyle name="Normal 6 4 7 9" xfId="31349" xr:uid="{00000000-0005-0000-0000-0000DAAB0000}"/>
    <cellStyle name="Normal 6 4 8" xfId="31350" xr:uid="{00000000-0005-0000-0000-0000DBAB0000}"/>
    <cellStyle name="Normal 6 4 8 2" xfId="31351" xr:uid="{00000000-0005-0000-0000-0000DCAB0000}"/>
    <cellStyle name="Normal 6 4 8 2 2" xfId="31352" xr:uid="{00000000-0005-0000-0000-0000DDAB0000}"/>
    <cellStyle name="Normal 6 4 8 2 2 2" xfId="31353" xr:uid="{00000000-0005-0000-0000-0000DEAB0000}"/>
    <cellStyle name="Normal 6 4 8 2 2 2 2" xfId="58666" xr:uid="{00000000-0005-0000-0000-0000DFAB0000}"/>
    <cellStyle name="Normal 6 4 8 2 2 2 3" xfId="58667" xr:uid="{00000000-0005-0000-0000-0000E0AB0000}"/>
    <cellStyle name="Normal 6 4 8 2 2 3" xfId="31354" xr:uid="{00000000-0005-0000-0000-0000E1AB0000}"/>
    <cellStyle name="Normal 6 4 8 2 2 3 2" xfId="58668" xr:uid="{00000000-0005-0000-0000-0000E2AB0000}"/>
    <cellStyle name="Normal 6 4 8 2 2 4" xfId="31355" xr:uid="{00000000-0005-0000-0000-0000E3AB0000}"/>
    <cellStyle name="Normal 6 4 8 2 2 5" xfId="31356" xr:uid="{00000000-0005-0000-0000-0000E4AB0000}"/>
    <cellStyle name="Normal 6 4 8 2 2 6" xfId="31357" xr:uid="{00000000-0005-0000-0000-0000E5AB0000}"/>
    <cellStyle name="Normal 6 4 8 2 3" xfId="31358" xr:uid="{00000000-0005-0000-0000-0000E6AB0000}"/>
    <cellStyle name="Normal 6 4 8 2 3 2" xfId="58669" xr:uid="{00000000-0005-0000-0000-0000E7AB0000}"/>
    <cellStyle name="Normal 6 4 8 2 3 3" xfId="58670" xr:uid="{00000000-0005-0000-0000-0000E8AB0000}"/>
    <cellStyle name="Normal 6 4 8 2 4" xfId="31359" xr:uid="{00000000-0005-0000-0000-0000E9AB0000}"/>
    <cellStyle name="Normal 6 4 8 2 4 2" xfId="58671" xr:uid="{00000000-0005-0000-0000-0000EAAB0000}"/>
    <cellStyle name="Normal 6 4 8 2 5" xfId="31360" xr:uid="{00000000-0005-0000-0000-0000EBAB0000}"/>
    <cellStyle name="Normal 6 4 8 2 6" xfId="31361" xr:uid="{00000000-0005-0000-0000-0000ECAB0000}"/>
    <cellStyle name="Normal 6 4 8 2 7" xfId="31362" xr:uid="{00000000-0005-0000-0000-0000EDAB0000}"/>
    <cellStyle name="Normal 6 4 8 3" xfId="31363" xr:uid="{00000000-0005-0000-0000-0000EEAB0000}"/>
    <cellStyle name="Normal 6 4 8 3 2" xfId="31364" xr:uid="{00000000-0005-0000-0000-0000EFAB0000}"/>
    <cellStyle name="Normal 6 4 8 3 2 2" xfId="58672" xr:uid="{00000000-0005-0000-0000-0000F0AB0000}"/>
    <cellStyle name="Normal 6 4 8 3 2 3" xfId="58673" xr:uid="{00000000-0005-0000-0000-0000F1AB0000}"/>
    <cellStyle name="Normal 6 4 8 3 3" xfId="31365" xr:uid="{00000000-0005-0000-0000-0000F2AB0000}"/>
    <cellStyle name="Normal 6 4 8 3 3 2" xfId="58674" xr:uid="{00000000-0005-0000-0000-0000F3AB0000}"/>
    <cellStyle name="Normal 6 4 8 3 4" xfId="31366" xr:uid="{00000000-0005-0000-0000-0000F4AB0000}"/>
    <cellStyle name="Normal 6 4 8 3 5" xfId="31367" xr:uid="{00000000-0005-0000-0000-0000F5AB0000}"/>
    <cellStyle name="Normal 6 4 8 3 6" xfId="31368" xr:uid="{00000000-0005-0000-0000-0000F6AB0000}"/>
    <cellStyle name="Normal 6 4 8 4" xfId="31369" xr:uid="{00000000-0005-0000-0000-0000F7AB0000}"/>
    <cellStyle name="Normal 6 4 8 4 2" xfId="58675" xr:uid="{00000000-0005-0000-0000-0000F8AB0000}"/>
    <cellStyle name="Normal 6 4 8 4 3" xfId="58676" xr:uid="{00000000-0005-0000-0000-0000F9AB0000}"/>
    <cellStyle name="Normal 6 4 8 5" xfId="31370" xr:uid="{00000000-0005-0000-0000-0000FAAB0000}"/>
    <cellStyle name="Normal 6 4 8 5 2" xfId="58677" xr:uid="{00000000-0005-0000-0000-0000FBAB0000}"/>
    <cellStyle name="Normal 6 4 8 6" xfId="31371" xr:uid="{00000000-0005-0000-0000-0000FCAB0000}"/>
    <cellStyle name="Normal 6 4 8 7" xfId="31372" xr:uid="{00000000-0005-0000-0000-0000FDAB0000}"/>
    <cellStyle name="Normal 6 4 8 8" xfId="31373" xr:uid="{00000000-0005-0000-0000-0000FEAB0000}"/>
    <cellStyle name="Normal 6 4 9" xfId="31374" xr:uid="{00000000-0005-0000-0000-0000FFAB0000}"/>
    <cellStyle name="Normal 6 4 9 2" xfId="31375" xr:uid="{00000000-0005-0000-0000-000000AC0000}"/>
    <cellStyle name="Normal 6 4 9 2 2" xfId="31376" xr:uid="{00000000-0005-0000-0000-000001AC0000}"/>
    <cellStyle name="Normal 6 4 9 2 2 2" xfId="31377" xr:uid="{00000000-0005-0000-0000-000002AC0000}"/>
    <cellStyle name="Normal 6 4 9 2 2 2 2" xfId="58678" xr:uid="{00000000-0005-0000-0000-000003AC0000}"/>
    <cellStyle name="Normal 6 4 9 2 2 2 3" xfId="58679" xr:uid="{00000000-0005-0000-0000-000004AC0000}"/>
    <cellStyle name="Normal 6 4 9 2 2 3" xfId="31378" xr:uid="{00000000-0005-0000-0000-000005AC0000}"/>
    <cellStyle name="Normal 6 4 9 2 2 3 2" xfId="58680" xr:uid="{00000000-0005-0000-0000-000006AC0000}"/>
    <cellStyle name="Normal 6 4 9 2 2 4" xfId="31379" xr:uid="{00000000-0005-0000-0000-000007AC0000}"/>
    <cellStyle name="Normal 6 4 9 2 2 5" xfId="31380" xr:uid="{00000000-0005-0000-0000-000008AC0000}"/>
    <cellStyle name="Normal 6 4 9 2 2 6" xfId="31381" xr:uid="{00000000-0005-0000-0000-000009AC0000}"/>
    <cellStyle name="Normal 6 4 9 2 3" xfId="31382" xr:uid="{00000000-0005-0000-0000-00000AAC0000}"/>
    <cellStyle name="Normal 6 4 9 2 3 2" xfId="58681" xr:uid="{00000000-0005-0000-0000-00000BAC0000}"/>
    <cellStyle name="Normal 6 4 9 2 3 3" xfId="58682" xr:uid="{00000000-0005-0000-0000-00000CAC0000}"/>
    <cellStyle name="Normal 6 4 9 2 4" xfId="31383" xr:uid="{00000000-0005-0000-0000-00000DAC0000}"/>
    <cellStyle name="Normal 6 4 9 2 4 2" xfId="58683" xr:uid="{00000000-0005-0000-0000-00000EAC0000}"/>
    <cellStyle name="Normal 6 4 9 2 5" xfId="31384" xr:uid="{00000000-0005-0000-0000-00000FAC0000}"/>
    <cellStyle name="Normal 6 4 9 2 6" xfId="31385" xr:uid="{00000000-0005-0000-0000-000010AC0000}"/>
    <cellStyle name="Normal 6 4 9 2 7" xfId="31386" xr:uid="{00000000-0005-0000-0000-000011AC0000}"/>
    <cellStyle name="Normal 6 4 9 3" xfId="31387" xr:uid="{00000000-0005-0000-0000-000012AC0000}"/>
    <cellStyle name="Normal 6 4 9 3 2" xfId="31388" xr:uid="{00000000-0005-0000-0000-000013AC0000}"/>
    <cellStyle name="Normal 6 4 9 3 2 2" xfId="58684" xr:uid="{00000000-0005-0000-0000-000014AC0000}"/>
    <cellStyle name="Normal 6 4 9 3 2 3" xfId="58685" xr:uid="{00000000-0005-0000-0000-000015AC0000}"/>
    <cellStyle name="Normal 6 4 9 3 3" xfId="31389" xr:uid="{00000000-0005-0000-0000-000016AC0000}"/>
    <cellStyle name="Normal 6 4 9 3 3 2" xfId="58686" xr:uid="{00000000-0005-0000-0000-000017AC0000}"/>
    <cellStyle name="Normal 6 4 9 3 4" xfId="31390" xr:uid="{00000000-0005-0000-0000-000018AC0000}"/>
    <cellStyle name="Normal 6 4 9 3 5" xfId="31391" xr:uid="{00000000-0005-0000-0000-000019AC0000}"/>
    <cellStyle name="Normal 6 4 9 3 6" xfId="31392" xr:uid="{00000000-0005-0000-0000-00001AAC0000}"/>
    <cellStyle name="Normal 6 4 9 4" xfId="31393" xr:uid="{00000000-0005-0000-0000-00001BAC0000}"/>
    <cellStyle name="Normal 6 4 9 4 2" xfId="58687" xr:uid="{00000000-0005-0000-0000-00001CAC0000}"/>
    <cellStyle name="Normal 6 4 9 4 3" xfId="58688" xr:uid="{00000000-0005-0000-0000-00001DAC0000}"/>
    <cellStyle name="Normal 6 4 9 5" xfId="31394" xr:uid="{00000000-0005-0000-0000-00001EAC0000}"/>
    <cellStyle name="Normal 6 4 9 5 2" xfId="58689" xr:uid="{00000000-0005-0000-0000-00001FAC0000}"/>
    <cellStyle name="Normal 6 4 9 6" xfId="31395" xr:uid="{00000000-0005-0000-0000-000020AC0000}"/>
    <cellStyle name="Normal 6 4 9 7" xfId="31396" xr:uid="{00000000-0005-0000-0000-000021AC0000}"/>
    <cellStyle name="Normal 6 4 9 8" xfId="31397" xr:uid="{00000000-0005-0000-0000-000022AC0000}"/>
    <cellStyle name="Normal 6 5" xfId="31398" xr:uid="{00000000-0005-0000-0000-000023AC0000}"/>
    <cellStyle name="Normal 6 5 10" xfId="31399" xr:uid="{00000000-0005-0000-0000-000024AC0000}"/>
    <cellStyle name="Normal 6 5 11" xfId="31400" xr:uid="{00000000-0005-0000-0000-000025AC0000}"/>
    <cellStyle name="Normal 6 5 12" xfId="31401" xr:uid="{00000000-0005-0000-0000-000026AC0000}"/>
    <cellStyle name="Normal 6 5 13" xfId="31402" xr:uid="{00000000-0005-0000-0000-000027AC0000}"/>
    <cellStyle name="Normal 6 5 14" xfId="31403" xr:uid="{00000000-0005-0000-0000-000028AC0000}"/>
    <cellStyle name="Normal 6 5 15" xfId="31404" xr:uid="{00000000-0005-0000-0000-000029AC0000}"/>
    <cellStyle name="Normal 6 5 2" xfId="31405" xr:uid="{00000000-0005-0000-0000-00002AAC0000}"/>
    <cellStyle name="Normal 6 5 2 10" xfId="31406" xr:uid="{00000000-0005-0000-0000-00002BAC0000}"/>
    <cellStyle name="Normal 6 5 2 11" xfId="31407" xr:uid="{00000000-0005-0000-0000-00002CAC0000}"/>
    <cellStyle name="Normal 6 5 2 12" xfId="31408" xr:uid="{00000000-0005-0000-0000-00002DAC0000}"/>
    <cellStyle name="Normal 6 5 2 13" xfId="31409" xr:uid="{00000000-0005-0000-0000-00002EAC0000}"/>
    <cellStyle name="Normal 6 5 2 14" xfId="31410" xr:uid="{00000000-0005-0000-0000-00002FAC0000}"/>
    <cellStyle name="Normal 6 5 2 2" xfId="31411" xr:uid="{00000000-0005-0000-0000-000030AC0000}"/>
    <cellStyle name="Normal 6 5 2 2 2" xfId="31412" xr:uid="{00000000-0005-0000-0000-000031AC0000}"/>
    <cellStyle name="Normal 6 5 2 2 2 2" xfId="31413" xr:uid="{00000000-0005-0000-0000-000032AC0000}"/>
    <cellStyle name="Normal 6 5 2 2 2 2 2" xfId="31414" xr:uid="{00000000-0005-0000-0000-000033AC0000}"/>
    <cellStyle name="Normal 6 5 2 2 2 2 2 2" xfId="58690" xr:uid="{00000000-0005-0000-0000-000034AC0000}"/>
    <cellStyle name="Normal 6 5 2 2 2 2 2 3" xfId="58691" xr:uid="{00000000-0005-0000-0000-000035AC0000}"/>
    <cellStyle name="Normal 6 5 2 2 2 2 3" xfId="31415" xr:uid="{00000000-0005-0000-0000-000036AC0000}"/>
    <cellStyle name="Normal 6 5 2 2 2 2 3 2" xfId="58692" xr:uid="{00000000-0005-0000-0000-000037AC0000}"/>
    <cellStyle name="Normal 6 5 2 2 2 2 4" xfId="31416" xr:uid="{00000000-0005-0000-0000-000038AC0000}"/>
    <cellStyle name="Normal 6 5 2 2 2 2 5" xfId="31417" xr:uid="{00000000-0005-0000-0000-000039AC0000}"/>
    <cellStyle name="Normal 6 5 2 2 2 2 6" xfId="31418" xr:uid="{00000000-0005-0000-0000-00003AAC0000}"/>
    <cellStyle name="Normal 6 5 2 2 2 3" xfId="31419" xr:uid="{00000000-0005-0000-0000-00003BAC0000}"/>
    <cellStyle name="Normal 6 5 2 2 2 3 2" xfId="58693" xr:uid="{00000000-0005-0000-0000-00003CAC0000}"/>
    <cellStyle name="Normal 6 5 2 2 2 3 3" xfId="58694" xr:uid="{00000000-0005-0000-0000-00003DAC0000}"/>
    <cellStyle name="Normal 6 5 2 2 2 4" xfId="31420" xr:uid="{00000000-0005-0000-0000-00003EAC0000}"/>
    <cellStyle name="Normal 6 5 2 2 2 4 2" xfId="58695" xr:uid="{00000000-0005-0000-0000-00003FAC0000}"/>
    <cellStyle name="Normal 6 5 2 2 2 5" xfId="31421" xr:uid="{00000000-0005-0000-0000-000040AC0000}"/>
    <cellStyle name="Normal 6 5 2 2 2 6" xfId="31422" xr:uid="{00000000-0005-0000-0000-000041AC0000}"/>
    <cellStyle name="Normal 6 5 2 2 2 7" xfId="31423" xr:uid="{00000000-0005-0000-0000-000042AC0000}"/>
    <cellStyle name="Normal 6 5 2 2 3" xfId="31424" xr:uid="{00000000-0005-0000-0000-000043AC0000}"/>
    <cellStyle name="Normal 6 5 2 2 3 2" xfId="31425" xr:uid="{00000000-0005-0000-0000-000044AC0000}"/>
    <cellStyle name="Normal 6 5 2 2 3 2 2" xfId="58696" xr:uid="{00000000-0005-0000-0000-000045AC0000}"/>
    <cellStyle name="Normal 6 5 2 2 3 2 3" xfId="58697" xr:uid="{00000000-0005-0000-0000-000046AC0000}"/>
    <cellStyle name="Normal 6 5 2 2 3 3" xfId="31426" xr:uid="{00000000-0005-0000-0000-000047AC0000}"/>
    <cellStyle name="Normal 6 5 2 2 3 3 2" xfId="58698" xr:uid="{00000000-0005-0000-0000-000048AC0000}"/>
    <cellStyle name="Normal 6 5 2 2 3 4" xfId="31427" xr:uid="{00000000-0005-0000-0000-000049AC0000}"/>
    <cellStyle name="Normal 6 5 2 2 3 5" xfId="31428" xr:uid="{00000000-0005-0000-0000-00004AAC0000}"/>
    <cellStyle name="Normal 6 5 2 2 3 6" xfId="31429" xr:uid="{00000000-0005-0000-0000-00004BAC0000}"/>
    <cellStyle name="Normal 6 5 2 2 4" xfId="31430" xr:uid="{00000000-0005-0000-0000-00004CAC0000}"/>
    <cellStyle name="Normal 6 5 2 2 4 2" xfId="58699" xr:uid="{00000000-0005-0000-0000-00004DAC0000}"/>
    <cellStyle name="Normal 6 5 2 2 4 3" xfId="58700" xr:uid="{00000000-0005-0000-0000-00004EAC0000}"/>
    <cellStyle name="Normal 6 5 2 2 5" xfId="31431" xr:uid="{00000000-0005-0000-0000-00004FAC0000}"/>
    <cellStyle name="Normal 6 5 2 2 5 2" xfId="58701" xr:uid="{00000000-0005-0000-0000-000050AC0000}"/>
    <cellStyle name="Normal 6 5 2 2 6" xfId="31432" xr:uid="{00000000-0005-0000-0000-000051AC0000}"/>
    <cellStyle name="Normal 6 5 2 2 7" xfId="31433" xr:uid="{00000000-0005-0000-0000-000052AC0000}"/>
    <cellStyle name="Normal 6 5 2 2 8" xfId="31434" xr:uid="{00000000-0005-0000-0000-000053AC0000}"/>
    <cellStyle name="Normal 6 5 2 2 9" xfId="31435" xr:uid="{00000000-0005-0000-0000-000054AC0000}"/>
    <cellStyle name="Normal 6 5 2 3" xfId="31436" xr:uid="{00000000-0005-0000-0000-000055AC0000}"/>
    <cellStyle name="Normal 6 5 2 3 2" xfId="31437" xr:uid="{00000000-0005-0000-0000-000056AC0000}"/>
    <cellStyle name="Normal 6 5 2 3 2 2" xfId="31438" xr:uid="{00000000-0005-0000-0000-000057AC0000}"/>
    <cellStyle name="Normal 6 5 2 3 2 2 2" xfId="31439" xr:uid="{00000000-0005-0000-0000-000058AC0000}"/>
    <cellStyle name="Normal 6 5 2 3 2 2 2 2" xfId="58702" xr:uid="{00000000-0005-0000-0000-000059AC0000}"/>
    <cellStyle name="Normal 6 5 2 3 2 2 2 3" xfId="58703" xr:uid="{00000000-0005-0000-0000-00005AAC0000}"/>
    <cellStyle name="Normal 6 5 2 3 2 2 3" xfId="31440" xr:uid="{00000000-0005-0000-0000-00005BAC0000}"/>
    <cellStyle name="Normal 6 5 2 3 2 2 3 2" xfId="58704" xr:uid="{00000000-0005-0000-0000-00005CAC0000}"/>
    <cellStyle name="Normal 6 5 2 3 2 2 4" xfId="31441" xr:uid="{00000000-0005-0000-0000-00005DAC0000}"/>
    <cellStyle name="Normal 6 5 2 3 2 2 5" xfId="31442" xr:uid="{00000000-0005-0000-0000-00005EAC0000}"/>
    <cellStyle name="Normal 6 5 2 3 2 2 6" xfId="31443" xr:uid="{00000000-0005-0000-0000-00005FAC0000}"/>
    <cellStyle name="Normal 6 5 2 3 2 3" xfId="31444" xr:uid="{00000000-0005-0000-0000-000060AC0000}"/>
    <cellStyle name="Normal 6 5 2 3 2 3 2" xfId="58705" xr:uid="{00000000-0005-0000-0000-000061AC0000}"/>
    <cellStyle name="Normal 6 5 2 3 2 3 3" xfId="58706" xr:uid="{00000000-0005-0000-0000-000062AC0000}"/>
    <cellStyle name="Normal 6 5 2 3 2 4" xfId="31445" xr:uid="{00000000-0005-0000-0000-000063AC0000}"/>
    <cellStyle name="Normal 6 5 2 3 2 4 2" xfId="58707" xr:uid="{00000000-0005-0000-0000-000064AC0000}"/>
    <cellStyle name="Normal 6 5 2 3 2 5" xfId="31446" xr:uid="{00000000-0005-0000-0000-000065AC0000}"/>
    <cellStyle name="Normal 6 5 2 3 2 6" xfId="31447" xr:uid="{00000000-0005-0000-0000-000066AC0000}"/>
    <cellStyle name="Normal 6 5 2 3 2 7" xfId="31448" xr:uid="{00000000-0005-0000-0000-000067AC0000}"/>
    <cellStyle name="Normal 6 5 2 3 3" xfId="31449" xr:uid="{00000000-0005-0000-0000-000068AC0000}"/>
    <cellStyle name="Normal 6 5 2 3 3 2" xfId="31450" xr:uid="{00000000-0005-0000-0000-000069AC0000}"/>
    <cellStyle name="Normal 6 5 2 3 3 2 2" xfId="58708" xr:uid="{00000000-0005-0000-0000-00006AAC0000}"/>
    <cellStyle name="Normal 6 5 2 3 3 2 3" xfId="58709" xr:uid="{00000000-0005-0000-0000-00006BAC0000}"/>
    <cellStyle name="Normal 6 5 2 3 3 3" xfId="31451" xr:uid="{00000000-0005-0000-0000-00006CAC0000}"/>
    <cellStyle name="Normal 6 5 2 3 3 3 2" xfId="58710" xr:uid="{00000000-0005-0000-0000-00006DAC0000}"/>
    <cellStyle name="Normal 6 5 2 3 3 4" xfId="31452" xr:uid="{00000000-0005-0000-0000-00006EAC0000}"/>
    <cellStyle name="Normal 6 5 2 3 3 5" xfId="31453" xr:uid="{00000000-0005-0000-0000-00006FAC0000}"/>
    <cellStyle name="Normal 6 5 2 3 3 6" xfId="31454" xr:uid="{00000000-0005-0000-0000-000070AC0000}"/>
    <cellStyle name="Normal 6 5 2 3 4" xfId="31455" xr:uid="{00000000-0005-0000-0000-000071AC0000}"/>
    <cellStyle name="Normal 6 5 2 3 4 2" xfId="58711" xr:uid="{00000000-0005-0000-0000-000072AC0000}"/>
    <cellStyle name="Normal 6 5 2 3 4 3" xfId="58712" xr:uid="{00000000-0005-0000-0000-000073AC0000}"/>
    <cellStyle name="Normal 6 5 2 3 5" xfId="31456" xr:uid="{00000000-0005-0000-0000-000074AC0000}"/>
    <cellStyle name="Normal 6 5 2 3 5 2" xfId="58713" xr:uid="{00000000-0005-0000-0000-000075AC0000}"/>
    <cellStyle name="Normal 6 5 2 3 6" xfId="31457" xr:uid="{00000000-0005-0000-0000-000076AC0000}"/>
    <cellStyle name="Normal 6 5 2 3 7" xfId="31458" xr:uid="{00000000-0005-0000-0000-000077AC0000}"/>
    <cellStyle name="Normal 6 5 2 3 8" xfId="31459" xr:uid="{00000000-0005-0000-0000-000078AC0000}"/>
    <cellStyle name="Normal 6 5 2 4" xfId="31460" xr:uid="{00000000-0005-0000-0000-000079AC0000}"/>
    <cellStyle name="Normal 6 5 2 4 2" xfId="31461" xr:uid="{00000000-0005-0000-0000-00007AAC0000}"/>
    <cellStyle name="Normal 6 5 2 4 2 2" xfId="31462" xr:uid="{00000000-0005-0000-0000-00007BAC0000}"/>
    <cellStyle name="Normal 6 5 2 4 2 2 2" xfId="58714" xr:uid="{00000000-0005-0000-0000-00007CAC0000}"/>
    <cellStyle name="Normal 6 5 2 4 2 2 3" xfId="58715" xr:uid="{00000000-0005-0000-0000-00007DAC0000}"/>
    <cellStyle name="Normal 6 5 2 4 2 3" xfId="31463" xr:uid="{00000000-0005-0000-0000-00007EAC0000}"/>
    <cellStyle name="Normal 6 5 2 4 2 3 2" xfId="58716" xr:uid="{00000000-0005-0000-0000-00007FAC0000}"/>
    <cellStyle name="Normal 6 5 2 4 2 4" xfId="31464" xr:uid="{00000000-0005-0000-0000-000080AC0000}"/>
    <cellStyle name="Normal 6 5 2 4 2 5" xfId="31465" xr:uid="{00000000-0005-0000-0000-000081AC0000}"/>
    <cellStyle name="Normal 6 5 2 4 2 6" xfId="31466" xr:uid="{00000000-0005-0000-0000-000082AC0000}"/>
    <cellStyle name="Normal 6 5 2 4 3" xfId="31467" xr:uid="{00000000-0005-0000-0000-000083AC0000}"/>
    <cellStyle name="Normal 6 5 2 4 3 2" xfId="58717" xr:uid="{00000000-0005-0000-0000-000084AC0000}"/>
    <cellStyle name="Normal 6 5 2 4 3 3" xfId="58718" xr:uid="{00000000-0005-0000-0000-000085AC0000}"/>
    <cellStyle name="Normal 6 5 2 4 4" xfId="31468" xr:uid="{00000000-0005-0000-0000-000086AC0000}"/>
    <cellStyle name="Normal 6 5 2 4 4 2" xfId="58719" xr:uid="{00000000-0005-0000-0000-000087AC0000}"/>
    <cellStyle name="Normal 6 5 2 4 5" xfId="31469" xr:uid="{00000000-0005-0000-0000-000088AC0000}"/>
    <cellStyle name="Normal 6 5 2 4 6" xfId="31470" xr:uid="{00000000-0005-0000-0000-000089AC0000}"/>
    <cellStyle name="Normal 6 5 2 4 7" xfId="31471" xr:uid="{00000000-0005-0000-0000-00008AAC0000}"/>
    <cellStyle name="Normal 6 5 2 5" xfId="31472" xr:uid="{00000000-0005-0000-0000-00008BAC0000}"/>
    <cellStyle name="Normal 6 5 2 5 2" xfId="31473" xr:uid="{00000000-0005-0000-0000-00008CAC0000}"/>
    <cellStyle name="Normal 6 5 2 5 2 2" xfId="58720" xr:uid="{00000000-0005-0000-0000-00008DAC0000}"/>
    <cellStyle name="Normal 6 5 2 5 2 3" xfId="58721" xr:uid="{00000000-0005-0000-0000-00008EAC0000}"/>
    <cellStyle name="Normal 6 5 2 5 3" xfId="31474" xr:uid="{00000000-0005-0000-0000-00008FAC0000}"/>
    <cellStyle name="Normal 6 5 2 5 3 2" xfId="58722" xr:uid="{00000000-0005-0000-0000-000090AC0000}"/>
    <cellStyle name="Normal 6 5 2 5 4" xfId="31475" xr:uid="{00000000-0005-0000-0000-000091AC0000}"/>
    <cellStyle name="Normal 6 5 2 5 5" xfId="31476" xr:uid="{00000000-0005-0000-0000-000092AC0000}"/>
    <cellStyle name="Normal 6 5 2 5 6" xfId="31477" xr:uid="{00000000-0005-0000-0000-000093AC0000}"/>
    <cellStyle name="Normal 6 5 2 6" xfId="31478" xr:uid="{00000000-0005-0000-0000-000094AC0000}"/>
    <cellStyle name="Normal 6 5 2 6 2" xfId="58723" xr:uid="{00000000-0005-0000-0000-000095AC0000}"/>
    <cellStyle name="Normal 6 5 2 6 3" xfId="58724" xr:uid="{00000000-0005-0000-0000-000096AC0000}"/>
    <cellStyle name="Normal 6 5 2 7" xfId="31479" xr:uid="{00000000-0005-0000-0000-000097AC0000}"/>
    <cellStyle name="Normal 6 5 2 7 2" xfId="58725" xr:uid="{00000000-0005-0000-0000-000098AC0000}"/>
    <cellStyle name="Normal 6 5 2 8" xfId="31480" xr:uid="{00000000-0005-0000-0000-000099AC0000}"/>
    <cellStyle name="Normal 6 5 2 8 2" xfId="58726" xr:uid="{00000000-0005-0000-0000-00009AAC0000}"/>
    <cellStyle name="Normal 6 5 2 9" xfId="31481" xr:uid="{00000000-0005-0000-0000-00009BAC0000}"/>
    <cellStyle name="Normal 6 5 3" xfId="31482" xr:uid="{00000000-0005-0000-0000-00009CAC0000}"/>
    <cellStyle name="Normal 6 5 3 2" xfId="31483" xr:uid="{00000000-0005-0000-0000-00009DAC0000}"/>
    <cellStyle name="Normal 6 5 3 2 2" xfId="31484" xr:uid="{00000000-0005-0000-0000-00009EAC0000}"/>
    <cellStyle name="Normal 6 5 3 2 2 2" xfId="31485" xr:uid="{00000000-0005-0000-0000-00009FAC0000}"/>
    <cellStyle name="Normal 6 5 3 2 2 2 2" xfId="58727" xr:uid="{00000000-0005-0000-0000-0000A0AC0000}"/>
    <cellStyle name="Normal 6 5 3 2 2 2 3" xfId="58728" xr:uid="{00000000-0005-0000-0000-0000A1AC0000}"/>
    <cellStyle name="Normal 6 5 3 2 2 3" xfId="31486" xr:uid="{00000000-0005-0000-0000-0000A2AC0000}"/>
    <cellStyle name="Normal 6 5 3 2 2 3 2" xfId="58729" xr:uid="{00000000-0005-0000-0000-0000A3AC0000}"/>
    <cellStyle name="Normal 6 5 3 2 2 4" xfId="31487" xr:uid="{00000000-0005-0000-0000-0000A4AC0000}"/>
    <cellStyle name="Normal 6 5 3 2 2 5" xfId="31488" xr:uid="{00000000-0005-0000-0000-0000A5AC0000}"/>
    <cellStyle name="Normal 6 5 3 2 2 6" xfId="31489" xr:uid="{00000000-0005-0000-0000-0000A6AC0000}"/>
    <cellStyle name="Normal 6 5 3 2 3" xfId="31490" xr:uid="{00000000-0005-0000-0000-0000A7AC0000}"/>
    <cellStyle name="Normal 6 5 3 2 3 2" xfId="58730" xr:uid="{00000000-0005-0000-0000-0000A8AC0000}"/>
    <cellStyle name="Normal 6 5 3 2 3 3" xfId="58731" xr:uid="{00000000-0005-0000-0000-0000A9AC0000}"/>
    <cellStyle name="Normal 6 5 3 2 4" xfId="31491" xr:uid="{00000000-0005-0000-0000-0000AAAC0000}"/>
    <cellStyle name="Normal 6 5 3 2 4 2" xfId="58732" xr:uid="{00000000-0005-0000-0000-0000ABAC0000}"/>
    <cellStyle name="Normal 6 5 3 2 5" xfId="31492" xr:uid="{00000000-0005-0000-0000-0000ACAC0000}"/>
    <cellStyle name="Normal 6 5 3 2 6" xfId="31493" xr:uid="{00000000-0005-0000-0000-0000ADAC0000}"/>
    <cellStyle name="Normal 6 5 3 2 7" xfId="31494" xr:uid="{00000000-0005-0000-0000-0000AEAC0000}"/>
    <cellStyle name="Normal 6 5 3 3" xfId="31495" xr:uid="{00000000-0005-0000-0000-0000AFAC0000}"/>
    <cellStyle name="Normal 6 5 3 3 2" xfId="31496" xr:uid="{00000000-0005-0000-0000-0000B0AC0000}"/>
    <cellStyle name="Normal 6 5 3 3 2 2" xfId="58733" xr:uid="{00000000-0005-0000-0000-0000B1AC0000}"/>
    <cellStyle name="Normal 6 5 3 3 2 3" xfId="58734" xr:uid="{00000000-0005-0000-0000-0000B2AC0000}"/>
    <cellStyle name="Normal 6 5 3 3 3" xfId="31497" xr:uid="{00000000-0005-0000-0000-0000B3AC0000}"/>
    <cellStyle name="Normal 6 5 3 3 3 2" xfId="58735" xr:uid="{00000000-0005-0000-0000-0000B4AC0000}"/>
    <cellStyle name="Normal 6 5 3 3 4" xfId="31498" xr:uid="{00000000-0005-0000-0000-0000B5AC0000}"/>
    <cellStyle name="Normal 6 5 3 3 5" xfId="31499" xr:uid="{00000000-0005-0000-0000-0000B6AC0000}"/>
    <cellStyle name="Normal 6 5 3 3 6" xfId="31500" xr:uid="{00000000-0005-0000-0000-0000B7AC0000}"/>
    <cellStyle name="Normal 6 5 3 4" xfId="31501" xr:uid="{00000000-0005-0000-0000-0000B8AC0000}"/>
    <cellStyle name="Normal 6 5 3 4 2" xfId="58736" xr:uid="{00000000-0005-0000-0000-0000B9AC0000}"/>
    <cellStyle name="Normal 6 5 3 4 3" xfId="58737" xr:uid="{00000000-0005-0000-0000-0000BAAC0000}"/>
    <cellStyle name="Normal 6 5 3 5" xfId="31502" xr:uid="{00000000-0005-0000-0000-0000BBAC0000}"/>
    <cellStyle name="Normal 6 5 3 5 2" xfId="58738" xr:uid="{00000000-0005-0000-0000-0000BCAC0000}"/>
    <cellStyle name="Normal 6 5 3 6" xfId="31503" xr:uid="{00000000-0005-0000-0000-0000BDAC0000}"/>
    <cellStyle name="Normal 6 5 3 7" xfId="31504" xr:uid="{00000000-0005-0000-0000-0000BEAC0000}"/>
    <cellStyle name="Normal 6 5 3 8" xfId="31505" xr:uid="{00000000-0005-0000-0000-0000BFAC0000}"/>
    <cellStyle name="Normal 6 5 3 9" xfId="31506" xr:uid="{00000000-0005-0000-0000-0000C0AC0000}"/>
    <cellStyle name="Normal 6 5 4" xfId="31507" xr:uid="{00000000-0005-0000-0000-0000C1AC0000}"/>
    <cellStyle name="Normal 6 5 4 2" xfId="31508" xr:uid="{00000000-0005-0000-0000-0000C2AC0000}"/>
    <cellStyle name="Normal 6 5 4 2 2" xfId="31509" xr:uid="{00000000-0005-0000-0000-0000C3AC0000}"/>
    <cellStyle name="Normal 6 5 4 2 2 2" xfId="31510" xr:uid="{00000000-0005-0000-0000-0000C4AC0000}"/>
    <cellStyle name="Normal 6 5 4 2 2 2 2" xfId="58739" xr:uid="{00000000-0005-0000-0000-0000C5AC0000}"/>
    <cellStyle name="Normal 6 5 4 2 2 2 3" xfId="58740" xr:uid="{00000000-0005-0000-0000-0000C6AC0000}"/>
    <cellStyle name="Normal 6 5 4 2 2 3" xfId="31511" xr:uid="{00000000-0005-0000-0000-0000C7AC0000}"/>
    <cellStyle name="Normal 6 5 4 2 2 3 2" xfId="58741" xr:uid="{00000000-0005-0000-0000-0000C8AC0000}"/>
    <cellStyle name="Normal 6 5 4 2 2 4" xfId="31512" xr:uid="{00000000-0005-0000-0000-0000C9AC0000}"/>
    <cellStyle name="Normal 6 5 4 2 2 5" xfId="31513" xr:uid="{00000000-0005-0000-0000-0000CAAC0000}"/>
    <cellStyle name="Normal 6 5 4 2 2 6" xfId="31514" xr:uid="{00000000-0005-0000-0000-0000CBAC0000}"/>
    <cellStyle name="Normal 6 5 4 2 3" xfId="31515" xr:uid="{00000000-0005-0000-0000-0000CCAC0000}"/>
    <cellStyle name="Normal 6 5 4 2 3 2" xfId="58742" xr:uid="{00000000-0005-0000-0000-0000CDAC0000}"/>
    <cellStyle name="Normal 6 5 4 2 3 3" xfId="58743" xr:uid="{00000000-0005-0000-0000-0000CEAC0000}"/>
    <cellStyle name="Normal 6 5 4 2 4" xfId="31516" xr:uid="{00000000-0005-0000-0000-0000CFAC0000}"/>
    <cellStyle name="Normal 6 5 4 2 4 2" xfId="58744" xr:uid="{00000000-0005-0000-0000-0000D0AC0000}"/>
    <cellStyle name="Normal 6 5 4 2 5" xfId="31517" xr:uid="{00000000-0005-0000-0000-0000D1AC0000}"/>
    <cellStyle name="Normal 6 5 4 2 6" xfId="31518" xr:uid="{00000000-0005-0000-0000-0000D2AC0000}"/>
    <cellStyle name="Normal 6 5 4 2 7" xfId="31519" xr:uid="{00000000-0005-0000-0000-0000D3AC0000}"/>
    <cellStyle name="Normal 6 5 4 3" xfId="31520" xr:uid="{00000000-0005-0000-0000-0000D4AC0000}"/>
    <cellStyle name="Normal 6 5 4 3 2" xfId="31521" xr:uid="{00000000-0005-0000-0000-0000D5AC0000}"/>
    <cellStyle name="Normal 6 5 4 3 2 2" xfId="58745" xr:uid="{00000000-0005-0000-0000-0000D6AC0000}"/>
    <cellStyle name="Normal 6 5 4 3 2 3" xfId="58746" xr:uid="{00000000-0005-0000-0000-0000D7AC0000}"/>
    <cellStyle name="Normal 6 5 4 3 3" xfId="31522" xr:uid="{00000000-0005-0000-0000-0000D8AC0000}"/>
    <cellStyle name="Normal 6 5 4 3 3 2" xfId="58747" xr:uid="{00000000-0005-0000-0000-0000D9AC0000}"/>
    <cellStyle name="Normal 6 5 4 3 4" xfId="31523" xr:uid="{00000000-0005-0000-0000-0000DAAC0000}"/>
    <cellStyle name="Normal 6 5 4 3 5" xfId="31524" xr:uid="{00000000-0005-0000-0000-0000DBAC0000}"/>
    <cellStyle name="Normal 6 5 4 3 6" xfId="31525" xr:uid="{00000000-0005-0000-0000-0000DCAC0000}"/>
    <cellStyle name="Normal 6 5 4 4" xfId="31526" xr:uid="{00000000-0005-0000-0000-0000DDAC0000}"/>
    <cellStyle name="Normal 6 5 4 4 2" xfId="58748" xr:uid="{00000000-0005-0000-0000-0000DEAC0000}"/>
    <cellStyle name="Normal 6 5 4 4 3" xfId="58749" xr:uid="{00000000-0005-0000-0000-0000DFAC0000}"/>
    <cellStyle name="Normal 6 5 4 5" xfId="31527" xr:uid="{00000000-0005-0000-0000-0000E0AC0000}"/>
    <cellStyle name="Normal 6 5 4 5 2" xfId="58750" xr:uid="{00000000-0005-0000-0000-0000E1AC0000}"/>
    <cellStyle name="Normal 6 5 4 6" xfId="31528" xr:uid="{00000000-0005-0000-0000-0000E2AC0000}"/>
    <cellStyle name="Normal 6 5 4 7" xfId="31529" xr:uid="{00000000-0005-0000-0000-0000E3AC0000}"/>
    <cellStyle name="Normal 6 5 4 8" xfId="31530" xr:uid="{00000000-0005-0000-0000-0000E4AC0000}"/>
    <cellStyle name="Normal 6 5 5" xfId="31531" xr:uid="{00000000-0005-0000-0000-0000E5AC0000}"/>
    <cellStyle name="Normal 6 5 5 2" xfId="31532" xr:uid="{00000000-0005-0000-0000-0000E6AC0000}"/>
    <cellStyle name="Normal 6 5 5 2 2" xfId="31533" xr:uid="{00000000-0005-0000-0000-0000E7AC0000}"/>
    <cellStyle name="Normal 6 5 5 2 2 2" xfId="58751" xr:uid="{00000000-0005-0000-0000-0000E8AC0000}"/>
    <cellStyle name="Normal 6 5 5 2 2 3" xfId="58752" xr:uid="{00000000-0005-0000-0000-0000E9AC0000}"/>
    <cellStyle name="Normal 6 5 5 2 3" xfId="31534" xr:uid="{00000000-0005-0000-0000-0000EAAC0000}"/>
    <cellStyle name="Normal 6 5 5 2 3 2" xfId="58753" xr:uid="{00000000-0005-0000-0000-0000EBAC0000}"/>
    <cellStyle name="Normal 6 5 5 2 4" xfId="31535" xr:uid="{00000000-0005-0000-0000-0000ECAC0000}"/>
    <cellStyle name="Normal 6 5 5 2 5" xfId="31536" xr:uid="{00000000-0005-0000-0000-0000EDAC0000}"/>
    <cellStyle name="Normal 6 5 5 2 6" xfId="31537" xr:uid="{00000000-0005-0000-0000-0000EEAC0000}"/>
    <cellStyle name="Normal 6 5 5 3" xfId="31538" xr:uid="{00000000-0005-0000-0000-0000EFAC0000}"/>
    <cellStyle name="Normal 6 5 5 3 2" xfId="58754" xr:uid="{00000000-0005-0000-0000-0000F0AC0000}"/>
    <cellStyle name="Normal 6 5 5 3 3" xfId="58755" xr:uid="{00000000-0005-0000-0000-0000F1AC0000}"/>
    <cellStyle name="Normal 6 5 5 4" xfId="31539" xr:uid="{00000000-0005-0000-0000-0000F2AC0000}"/>
    <cellStyle name="Normal 6 5 5 4 2" xfId="58756" xr:uid="{00000000-0005-0000-0000-0000F3AC0000}"/>
    <cellStyle name="Normal 6 5 5 5" xfId="31540" xr:uid="{00000000-0005-0000-0000-0000F4AC0000}"/>
    <cellStyle name="Normal 6 5 5 6" xfId="31541" xr:uid="{00000000-0005-0000-0000-0000F5AC0000}"/>
    <cellStyle name="Normal 6 5 5 7" xfId="31542" xr:uid="{00000000-0005-0000-0000-0000F6AC0000}"/>
    <cellStyle name="Normal 6 5 6" xfId="31543" xr:uid="{00000000-0005-0000-0000-0000F7AC0000}"/>
    <cellStyle name="Normal 6 5 6 2" xfId="31544" xr:uid="{00000000-0005-0000-0000-0000F8AC0000}"/>
    <cellStyle name="Normal 6 5 6 2 2" xfId="58757" xr:uid="{00000000-0005-0000-0000-0000F9AC0000}"/>
    <cellStyle name="Normal 6 5 6 2 3" xfId="58758" xr:uid="{00000000-0005-0000-0000-0000FAAC0000}"/>
    <cellStyle name="Normal 6 5 6 3" xfId="31545" xr:uid="{00000000-0005-0000-0000-0000FBAC0000}"/>
    <cellStyle name="Normal 6 5 6 3 2" xfId="58759" xr:uid="{00000000-0005-0000-0000-0000FCAC0000}"/>
    <cellStyle name="Normal 6 5 6 4" xfId="31546" xr:uid="{00000000-0005-0000-0000-0000FDAC0000}"/>
    <cellStyle name="Normal 6 5 6 5" xfId="31547" xr:uid="{00000000-0005-0000-0000-0000FEAC0000}"/>
    <cellStyle name="Normal 6 5 6 6" xfId="31548" xr:uid="{00000000-0005-0000-0000-0000FFAC0000}"/>
    <cellStyle name="Normal 6 5 7" xfId="31549" xr:uid="{00000000-0005-0000-0000-000000AD0000}"/>
    <cellStyle name="Normal 6 5 7 2" xfId="58760" xr:uid="{00000000-0005-0000-0000-000001AD0000}"/>
    <cellStyle name="Normal 6 5 7 3" xfId="58761" xr:uid="{00000000-0005-0000-0000-000002AD0000}"/>
    <cellStyle name="Normal 6 5 8" xfId="31550" xr:uid="{00000000-0005-0000-0000-000003AD0000}"/>
    <cellStyle name="Normal 6 5 8 2" xfId="58762" xr:uid="{00000000-0005-0000-0000-000004AD0000}"/>
    <cellStyle name="Normal 6 5 9" xfId="31551" xr:uid="{00000000-0005-0000-0000-000005AD0000}"/>
    <cellStyle name="Normal 6 5 9 2" xfId="58763" xr:uid="{00000000-0005-0000-0000-000006AD0000}"/>
    <cellStyle name="Normal 6 6" xfId="31552" xr:uid="{00000000-0005-0000-0000-000007AD0000}"/>
    <cellStyle name="Normal 6 6 10" xfId="31553" xr:uid="{00000000-0005-0000-0000-000008AD0000}"/>
    <cellStyle name="Normal 6 6 11" xfId="31554" xr:uid="{00000000-0005-0000-0000-000009AD0000}"/>
    <cellStyle name="Normal 6 6 12" xfId="31555" xr:uid="{00000000-0005-0000-0000-00000AAD0000}"/>
    <cellStyle name="Normal 6 6 13" xfId="31556" xr:uid="{00000000-0005-0000-0000-00000BAD0000}"/>
    <cellStyle name="Normal 6 6 14" xfId="31557" xr:uid="{00000000-0005-0000-0000-00000CAD0000}"/>
    <cellStyle name="Normal 6 6 15" xfId="31558" xr:uid="{00000000-0005-0000-0000-00000DAD0000}"/>
    <cellStyle name="Normal 6 6 2" xfId="31559" xr:uid="{00000000-0005-0000-0000-00000EAD0000}"/>
    <cellStyle name="Normal 6 6 2 10" xfId="31560" xr:uid="{00000000-0005-0000-0000-00000FAD0000}"/>
    <cellStyle name="Normal 6 6 2 11" xfId="31561" xr:uid="{00000000-0005-0000-0000-000010AD0000}"/>
    <cellStyle name="Normal 6 6 2 12" xfId="31562" xr:uid="{00000000-0005-0000-0000-000011AD0000}"/>
    <cellStyle name="Normal 6 6 2 13" xfId="31563" xr:uid="{00000000-0005-0000-0000-000012AD0000}"/>
    <cellStyle name="Normal 6 6 2 14" xfId="31564" xr:uid="{00000000-0005-0000-0000-000013AD0000}"/>
    <cellStyle name="Normal 6 6 2 2" xfId="31565" xr:uid="{00000000-0005-0000-0000-000014AD0000}"/>
    <cellStyle name="Normal 6 6 2 2 2" xfId="31566" xr:uid="{00000000-0005-0000-0000-000015AD0000}"/>
    <cellStyle name="Normal 6 6 2 2 2 2" xfId="31567" xr:uid="{00000000-0005-0000-0000-000016AD0000}"/>
    <cellStyle name="Normal 6 6 2 2 2 2 2" xfId="31568" xr:uid="{00000000-0005-0000-0000-000017AD0000}"/>
    <cellStyle name="Normal 6 6 2 2 2 2 2 2" xfId="58764" xr:uid="{00000000-0005-0000-0000-000018AD0000}"/>
    <cellStyle name="Normal 6 6 2 2 2 2 2 3" xfId="58765" xr:uid="{00000000-0005-0000-0000-000019AD0000}"/>
    <cellStyle name="Normal 6 6 2 2 2 2 3" xfId="31569" xr:uid="{00000000-0005-0000-0000-00001AAD0000}"/>
    <cellStyle name="Normal 6 6 2 2 2 2 3 2" xfId="58766" xr:uid="{00000000-0005-0000-0000-00001BAD0000}"/>
    <cellStyle name="Normal 6 6 2 2 2 2 4" xfId="31570" xr:uid="{00000000-0005-0000-0000-00001CAD0000}"/>
    <cellStyle name="Normal 6 6 2 2 2 2 5" xfId="31571" xr:uid="{00000000-0005-0000-0000-00001DAD0000}"/>
    <cellStyle name="Normal 6 6 2 2 2 2 6" xfId="31572" xr:uid="{00000000-0005-0000-0000-00001EAD0000}"/>
    <cellStyle name="Normal 6 6 2 2 2 3" xfId="31573" xr:uid="{00000000-0005-0000-0000-00001FAD0000}"/>
    <cellStyle name="Normal 6 6 2 2 2 3 2" xfId="58767" xr:uid="{00000000-0005-0000-0000-000020AD0000}"/>
    <cellStyle name="Normal 6 6 2 2 2 3 3" xfId="58768" xr:uid="{00000000-0005-0000-0000-000021AD0000}"/>
    <cellStyle name="Normal 6 6 2 2 2 4" xfId="31574" xr:uid="{00000000-0005-0000-0000-000022AD0000}"/>
    <cellStyle name="Normal 6 6 2 2 2 4 2" xfId="58769" xr:uid="{00000000-0005-0000-0000-000023AD0000}"/>
    <cellStyle name="Normal 6 6 2 2 2 5" xfId="31575" xr:uid="{00000000-0005-0000-0000-000024AD0000}"/>
    <cellStyle name="Normal 6 6 2 2 2 6" xfId="31576" xr:uid="{00000000-0005-0000-0000-000025AD0000}"/>
    <cellStyle name="Normal 6 6 2 2 2 7" xfId="31577" xr:uid="{00000000-0005-0000-0000-000026AD0000}"/>
    <cellStyle name="Normal 6 6 2 2 3" xfId="31578" xr:uid="{00000000-0005-0000-0000-000027AD0000}"/>
    <cellStyle name="Normal 6 6 2 2 3 2" xfId="31579" xr:uid="{00000000-0005-0000-0000-000028AD0000}"/>
    <cellStyle name="Normal 6 6 2 2 3 2 2" xfId="58770" xr:uid="{00000000-0005-0000-0000-000029AD0000}"/>
    <cellStyle name="Normal 6 6 2 2 3 2 3" xfId="58771" xr:uid="{00000000-0005-0000-0000-00002AAD0000}"/>
    <cellStyle name="Normal 6 6 2 2 3 3" xfId="31580" xr:uid="{00000000-0005-0000-0000-00002BAD0000}"/>
    <cellStyle name="Normal 6 6 2 2 3 3 2" xfId="58772" xr:uid="{00000000-0005-0000-0000-00002CAD0000}"/>
    <cellStyle name="Normal 6 6 2 2 3 4" xfId="31581" xr:uid="{00000000-0005-0000-0000-00002DAD0000}"/>
    <cellStyle name="Normal 6 6 2 2 3 5" xfId="31582" xr:uid="{00000000-0005-0000-0000-00002EAD0000}"/>
    <cellStyle name="Normal 6 6 2 2 3 6" xfId="31583" xr:uid="{00000000-0005-0000-0000-00002FAD0000}"/>
    <cellStyle name="Normal 6 6 2 2 4" xfId="31584" xr:uid="{00000000-0005-0000-0000-000030AD0000}"/>
    <cellStyle name="Normal 6 6 2 2 4 2" xfId="58773" xr:uid="{00000000-0005-0000-0000-000031AD0000}"/>
    <cellStyle name="Normal 6 6 2 2 4 3" xfId="58774" xr:uid="{00000000-0005-0000-0000-000032AD0000}"/>
    <cellStyle name="Normal 6 6 2 2 5" xfId="31585" xr:uid="{00000000-0005-0000-0000-000033AD0000}"/>
    <cellStyle name="Normal 6 6 2 2 5 2" xfId="58775" xr:uid="{00000000-0005-0000-0000-000034AD0000}"/>
    <cellStyle name="Normal 6 6 2 2 6" xfId="31586" xr:uid="{00000000-0005-0000-0000-000035AD0000}"/>
    <cellStyle name="Normal 6 6 2 2 7" xfId="31587" xr:uid="{00000000-0005-0000-0000-000036AD0000}"/>
    <cellStyle name="Normal 6 6 2 2 8" xfId="31588" xr:uid="{00000000-0005-0000-0000-000037AD0000}"/>
    <cellStyle name="Normal 6 6 2 2 9" xfId="31589" xr:uid="{00000000-0005-0000-0000-000038AD0000}"/>
    <cellStyle name="Normal 6 6 2 3" xfId="31590" xr:uid="{00000000-0005-0000-0000-000039AD0000}"/>
    <cellStyle name="Normal 6 6 2 3 2" xfId="31591" xr:uid="{00000000-0005-0000-0000-00003AAD0000}"/>
    <cellStyle name="Normal 6 6 2 3 2 2" xfId="31592" xr:uid="{00000000-0005-0000-0000-00003BAD0000}"/>
    <cellStyle name="Normal 6 6 2 3 2 2 2" xfId="31593" xr:uid="{00000000-0005-0000-0000-00003CAD0000}"/>
    <cellStyle name="Normal 6 6 2 3 2 2 2 2" xfId="58776" xr:uid="{00000000-0005-0000-0000-00003DAD0000}"/>
    <cellStyle name="Normal 6 6 2 3 2 2 2 3" xfId="58777" xr:uid="{00000000-0005-0000-0000-00003EAD0000}"/>
    <cellStyle name="Normal 6 6 2 3 2 2 3" xfId="31594" xr:uid="{00000000-0005-0000-0000-00003FAD0000}"/>
    <cellStyle name="Normal 6 6 2 3 2 2 3 2" xfId="58778" xr:uid="{00000000-0005-0000-0000-000040AD0000}"/>
    <cellStyle name="Normal 6 6 2 3 2 2 4" xfId="31595" xr:uid="{00000000-0005-0000-0000-000041AD0000}"/>
    <cellStyle name="Normal 6 6 2 3 2 2 5" xfId="31596" xr:uid="{00000000-0005-0000-0000-000042AD0000}"/>
    <cellStyle name="Normal 6 6 2 3 2 2 6" xfId="31597" xr:uid="{00000000-0005-0000-0000-000043AD0000}"/>
    <cellStyle name="Normal 6 6 2 3 2 3" xfId="31598" xr:uid="{00000000-0005-0000-0000-000044AD0000}"/>
    <cellStyle name="Normal 6 6 2 3 2 3 2" xfId="58779" xr:uid="{00000000-0005-0000-0000-000045AD0000}"/>
    <cellStyle name="Normal 6 6 2 3 2 3 3" xfId="58780" xr:uid="{00000000-0005-0000-0000-000046AD0000}"/>
    <cellStyle name="Normal 6 6 2 3 2 4" xfId="31599" xr:uid="{00000000-0005-0000-0000-000047AD0000}"/>
    <cellStyle name="Normal 6 6 2 3 2 4 2" xfId="58781" xr:uid="{00000000-0005-0000-0000-000048AD0000}"/>
    <cellStyle name="Normal 6 6 2 3 2 5" xfId="31600" xr:uid="{00000000-0005-0000-0000-000049AD0000}"/>
    <cellStyle name="Normal 6 6 2 3 2 6" xfId="31601" xr:uid="{00000000-0005-0000-0000-00004AAD0000}"/>
    <cellStyle name="Normal 6 6 2 3 2 7" xfId="31602" xr:uid="{00000000-0005-0000-0000-00004BAD0000}"/>
    <cellStyle name="Normal 6 6 2 3 3" xfId="31603" xr:uid="{00000000-0005-0000-0000-00004CAD0000}"/>
    <cellStyle name="Normal 6 6 2 3 3 2" xfId="31604" xr:uid="{00000000-0005-0000-0000-00004DAD0000}"/>
    <cellStyle name="Normal 6 6 2 3 3 2 2" xfId="58782" xr:uid="{00000000-0005-0000-0000-00004EAD0000}"/>
    <cellStyle name="Normal 6 6 2 3 3 2 3" xfId="58783" xr:uid="{00000000-0005-0000-0000-00004FAD0000}"/>
    <cellStyle name="Normal 6 6 2 3 3 3" xfId="31605" xr:uid="{00000000-0005-0000-0000-000050AD0000}"/>
    <cellStyle name="Normal 6 6 2 3 3 3 2" xfId="58784" xr:uid="{00000000-0005-0000-0000-000051AD0000}"/>
    <cellStyle name="Normal 6 6 2 3 3 4" xfId="31606" xr:uid="{00000000-0005-0000-0000-000052AD0000}"/>
    <cellStyle name="Normal 6 6 2 3 3 5" xfId="31607" xr:uid="{00000000-0005-0000-0000-000053AD0000}"/>
    <cellStyle name="Normal 6 6 2 3 3 6" xfId="31608" xr:uid="{00000000-0005-0000-0000-000054AD0000}"/>
    <cellStyle name="Normal 6 6 2 3 4" xfId="31609" xr:uid="{00000000-0005-0000-0000-000055AD0000}"/>
    <cellStyle name="Normal 6 6 2 3 4 2" xfId="58785" xr:uid="{00000000-0005-0000-0000-000056AD0000}"/>
    <cellStyle name="Normal 6 6 2 3 4 3" xfId="58786" xr:uid="{00000000-0005-0000-0000-000057AD0000}"/>
    <cellStyle name="Normal 6 6 2 3 5" xfId="31610" xr:uid="{00000000-0005-0000-0000-000058AD0000}"/>
    <cellStyle name="Normal 6 6 2 3 5 2" xfId="58787" xr:uid="{00000000-0005-0000-0000-000059AD0000}"/>
    <cellStyle name="Normal 6 6 2 3 6" xfId="31611" xr:uid="{00000000-0005-0000-0000-00005AAD0000}"/>
    <cellStyle name="Normal 6 6 2 3 7" xfId="31612" xr:uid="{00000000-0005-0000-0000-00005BAD0000}"/>
    <cellStyle name="Normal 6 6 2 3 8" xfId="31613" xr:uid="{00000000-0005-0000-0000-00005CAD0000}"/>
    <cellStyle name="Normal 6 6 2 4" xfId="31614" xr:uid="{00000000-0005-0000-0000-00005DAD0000}"/>
    <cellStyle name="Normal 6 6 2 4 2" xfId="31615" xr:uid="{00000000-0005-0000-0000-00005EAD0000}"/>
    <cellStyle name="Normal 6 6 2 4 2 2" xfId="31616" xr:uid="{00000000-0005-0000-0000-00005FAD0000}"/>
    <cellStyle name="Normal 6 6 2 4 2 2 2" xfId="58788" xr:uid="{00000000-0005-0000-0000-000060AD0000}"/>
    <cellStyle name="Normal 6 6 2 4 2 2 3" xfId="58789" xr:uid="{00000000-0005-0000-0000-000061AD0000}"/>
    <cellStyle name="Normal 6 6 2 4 2 3" xfId="31617" xr:uid="{00000000-0005-0000-0000-000062AD0000}"/>
    <cellStyle name="Normal 6 6 2 4 2 3 2" xfId="58790" xr:uid="{00000000-0005-0000-0000-000063AD0000}"/>
    <cellStyle name="Normal 6 6 2 4 2 4" xfId="31618" xr:uid="{00000000-0005-0000-0000-000064AD0000}"/>
    <cellStyle name="Normal 6 6 2 4 2 5" xfId="31619" xr:uid="{00000000-0005-0000-0000-000065AD0000}"/>
    <cellStyle name="Normal 6 6 2 4 2 6" xfId="31620" xr:uid="{00000000-0005-0000-0000-000066AD0000}"/>
    <cellStyle name="Normal 6 6 2 4 3" xfId="31621" xr:uid="{00000000-0005-0000-0000-000067AD0000}"/>
    <cellStyle name="Normal 6 6 2 4 3 2" xfId="58791" xr:uid="{00000000-0005-0000-0000-000068AD0000}"/>
    <cellStyle name="Normal 6 6 2 4 3 3" xfId="58792" xr:uid="{00000000-0005-0000-0000-000069AD0000}"/>
    <cellStyle name="Normal 6 6 2 4 4" xfId="31622" xr:uid="{00000000-0005-0000-0000-00006AAD0000}"/>
    <cellStyle name="Normal 6 6 2 4 4 2" xfId="58793" xr:uid="{00000000-0005-0000-0000-00006BAD0000}"/>
    <cellStyle name="Normal 6 6 2 4 5" xfId="31623" xr:uid="{00000000-0005-0000-0000-00006CAD0000}"/>
    <cellStyle name="Normal 6 6 2 4 6" xfId="31624" xr:uid="{00000000-0005-0000-0000-00006DAD0000}"/>
    <cellStyle name="Normal 6 6 2 4 7" xfId="31625" xr:uid="{00000000-0005-0000-0000-00006EAD0000}"/>
    <cellStyle name="Normal 6 6 2 5" xfId="31626" xr:uid="{00000000-0005-0000-0000-00006FAD0000}"/>
    <cellStyle name="Normal 6 6 2 5 2" xfId="31627" xr:uid="{00000000-0005-0000-0000-000070AD0000}"/>
    <cellStyle name="Normal 6 6 2 5 2 2" xfId="58794" xr:uid="{00000000-0005-0000-0000-000071AD0000}"/>
    <cellStyle name="Normal 6 6 2 5 2 3" xfId="58795" xr:uid="{00000000-0005-0000-0000-000072AD0000}"/>
    <cellStyle name="Normal 6 6 2 5 3" xfId="31628" xr:uid="{00000000-0005-0000-0000-000073AD0000}"/>
    <cellStyle name="Normal 6 6 2 5 3 2" xfId="58796" xr:uid="{00000000-0005-0000-0000-000074AD0000}"/>
    <cellStyle name="Normal 6 6 2 5 4" xfId="31629" xr:uid="{00000000-0005-0000-0000-000075AD0000}"/>
    <cellStyle name="Normal 6 6 2 5 5" xfId="31630" xr:uid="{00000000-0005-0000-0000-000076AD0000}"/>
    <cellStyle name="Normal 6 6 2 5 6" xfId="31631" xr:uid="{00000000-0005-0000-0000-000077AD0000}"/>
    <cellStyle name="Normal 6 6 2 6" xfId="31632" xr:uid="{00000000-0005-0000-0000-000078AD0000}"/>
    <cellStyle name="Normal 6 6 2 6 2" xfId="58797" xr:uid="{00000000-0005-0000-0000-000079AD0000}"/>
    <cellStyle name="Normal 6 6 2 6 3" xfId="58798" xr:uid="{00000000-0005-0000-0000-00007AAD0000}"/>
    <cellStyle name="Normal 6 6 2 7" xfId="31633" xr:uid="{00000000-0005-0000-0000-00007BAD0000}"/>
    <cellStyle name="Normal 6 6 2 7 2" xfId="58799" xr:uid="{00000000-0005-0000-0000-00007CAD0000}"/>
    <cellStyle name="Normal 6 6 2 8" xfId="31634" xr:uid="{00000000-0005-0000-0000-00007DAD0000}"/>
    <cellStyle name="Normal 6 6 2 9" xfId="31635" xr:uid="{00000000-0005-0000-0000-00007EAD0000}"/>
    <cellStyle name="Normal 6 6 3" xfId="31636" xr:uid="{00000000-0005-0000-0000-00007FAD0000}"/>
    <cellStyle name="Normal 6 6 3 2" xfId="31637" xr:uid="{00000000-0005-0000-0000-000080AD0000}"/>
    <cellStyle name="Normal 6 6 3 2 2" xfId="31638" xr:uid="{00000000-0005-0000-0000-000081AD0000}"/>
    <cellStyle name="Normal 6 6 3 2 2 2" xfId="31639" xr:uid="{00000000-0005-0000-0000-000082AD0000}"/>
    <cellStyle name="Normal 6 6 3 2 2 2 2" xfId="58800" xr:uid="{00000000-0005-0000-0000-000083AD0000}"/>
    <cellStyle name="Normal 6 6 3 2 2 2 3" xfId="58801" xr:uid="{00000000-0005-0000-0000-000084AD0000}"/>
    <cellStyle name="Normal 6 6 3 2 2 3" xfId="31640" xr:uid="{00000000-0005-0000-0000-000085AD0000}"/>
    <cellStyle name="Normal 6 6 3 2 2 3 2" xfId="58802" xr:uid="{00000000-0005-0000-0000-000086AD0000}"/>
    <cellStyle name="Normal 6 6 3 2 2 4" xfId="31641" xr:uid="{00000000-0005-0000-0000-000087AD0000}"/>
    <cellStyle name="Normal 6 6 3 2 2 5" xfId="31642" xr:uid="{00000000-0005-0000-0000-000088AD0000}"/>
    <cellStyle name="Normal 6 6 3 2 2 6" xfId="31643" xr:uid="{00000000-0005-0000-0000-000089AD0000}"/>
    <cellStyle name="Normal 6 6 3 2 3" xfId="31644" xr:uid="{00000000-0005-0000-0000-00008AAD0000}"/>
    <cellStyle name="Normal 6 6 3 2 3 2" xfId="58803" xr:uid="{00000000-0005-0000-0000-00008BAD0000}"/>
    <cellStyle name="Normal 6 6 3 2 3 3" xfId="58804" xr:uid="{00000000-0005-0000-0000-00008CAD0000}"/>
    <cellStyle name="Normal 6 6 3 2 4" xfId="31645" xr:uid="{00000000-0005-0000-0000-00008DAD0000}"/>
    <cellStyle name="Normal 6 6 3 2 4 2" xfId="58805" xr:uid="{00000000-0005-0000-0000-00008EAD0000}"/>
    <cellStyle name="Normal 6 6 3 2 5" xfId="31646" xr:uid="{00000000-0005-0000-0000-00008FAD0000}"/>
    <cellStyle name="Normal 6 6 3 2 6" xfId="31647" xr:uid="{00000000-0005-0000-0000-000090AD0000}"/>
    <cellStyle name="Normal 6 6 3 2 7" xfId="31648" xr:uid="{00000000-0005-0000-0000-000091AD0000}"/>
    <cellStyle name="Normal 6 6 3 3" xfId="31649" xr:uid="{00000000-0005-0000-0000-000092AD0000}"/>
    <cellStyle name="Normal 6 6 3 3 2" xfId="31650" xr:uid="{00000000-0005-0000-0000-000093AD0000}"/>
    <cellStyle name="Normal 6 6 3 3 2 2" xfId="58806" xr:uid="{00000000-0005-0000-0000-000094AD0000}"/>
    <cellStyle name="Normal 6 6 3 3 2 3" xfId="58807" xr:uid="{00000000-0005-0000-0000-000095AD0000}"/>
    <cellStyle name="Normal 6 6 3 3 3" xfId="31651" xr:uid="{00000000-0005-0000-0000-000096AD0000}"/>
    <cellStyle name="Normal 6 6 3 3 3 2" xfId="58808" xr:uid="{00000000-0005-0000-0000-000097AD0000}"/>
    <cellStyle name="Normal 6 6 3 3 4" xfId="31652" xr:uid="{00000000-0005-0000-0000-000098AD0000}"/>
    <cellStyle name="Normal 6 6 3 3 5" xfId="31653" xr:uid="{00000000-0005-0000-0000-000099AD0000}"/>
    <cellStyle name="Normal 6 6 3 3 6" xfId="31654" xr:uid="{00000000-0005-0000-0000-00009AAD0000}"/>
    <cellStyle name="Normal 6 6 3 4" xfId="31655" xr:uid="{00000000-0005-0000-0000-00009BAD0000}"/>
    <cellStyle name="Normal 6 6 3 4 2" xfId="58809" xr:uid="{00000000-0005-0000-0000-00009CAD0000}"/>
    <cellStyle name="Normal 6 6 3 4 3" xfId="58810" xr:uid="{00000000-0005-0000-0000-00009DAD0000}"/>
    <cellStyle name="Normal 6 6 3 5" xfId="31656" xr:uid="{00000000-0005-0000-0000-00009EAD0000}"/>
    <cellStyle name="Normal 6 6 3 5 2" xfId="58811" xr:uid="{00000000-0005-0000-0000-00009FAD0000}"/>
    <cellStyle name="Normal 6 6 3 6" xfId="31657" xr:uid="{00000000-0005-0000-0000-0000A0AD0000}"/>
    <cellStyle name="Normal 6 6 3 7" xfId="31658" xr:uid="{00000000-0005-0000-0000-0000A1AD0000}"/>
    <cellStyle name="Normal 6 6 3 8" xfId="31659" xr:uid="{00000000-0005-0000-0000-0000A2AD0000}"/>
    <cellStyle name="Normal 6 6 3 9" xfId="31660" xr:uid="{00000000-0005-0000-0000-0000A3AD0000}"/>
    <cellStyle name="Normal 6 6 4" xfId="31661" xr:uid="{00000000-0005-0000-0000-0000A4AD0000}"/>
    <cellStyle name="Normal 6 6 4 2" xfId="31662" xr:uid="{00000000-0005-0000-0000-0000A5AD0000}"/>
    <cellStyle name="Normal 6 6 4 2 2" xfId="31663" xr:uid="{00000000-0005-0000-0000-0000A6AD0000}"/>
    <cellStyle name="Normal 6 6 4 2 2 2" xfId="31664" xr:uid="{00000000-0005-0000-0000-0000A7AD0000}"/>
    <cellStyle name="Normal 6 6 4 2 2 2 2" xfId="58812" xr:uid="{00000000-0005-0000-0000-0000A8AD0000}"/>
    <cellStyle name="Normal 6 6 4 2 2 2 3" xfId="58813" xr:uid="{00000000-0005-0000-0000-0000A9AD0000}"/>
    <cellStyle name="Normal 6 6 4 2 2 3" xfId="31665" xr:uid="{00000000-0005-0000-0000-0000AAAD0000}"/>
    <cellStyle name="Normal 6 6 4 2 2 3 2" xfId="58814" xr:uid="{00000000-0005-0000-0000-0000ABAD0000}"/>
    <cellStyle name="Normal 6 6 4 2 2 4" xfId="31666" xr:uid="{00000000-0005-0000-0000-0000ACAD0000}"/>
    <cellStyle name="Normal 6 6 4 2 2 5" xfId="31667" xr:uid="{00000000-0005-0000-0000-0000ADAD0000}"/>
    <cellStyle name="Normal 6 6 4 2 2 6" xfId="31668" xr:uid="{00000000-0005-0000-0000-0000AEAD0000}"/>
    <cellStyle name="Normal 6 6 4 2 3" xfId="31669" xr:uid="{00000000-0005-0000-0000-0000AFAD0000}"/>
    <cellStyle name="Normal 6 6 4 2 3 2" xfId="58815" xr:uid="{00000000-0005-0000-0000-0000B0AD0000}"/>
    <cellStyle name="Normal 6 6 4 2 3 3" xfId="58816" xr:uid="{00000000-0005-0000-0000-0000B1AD0000}"/>
    <cellStyle name="Normal 6 6 4 2 4" xfId="31670" xr:uid="{00000000-0005-0000-0000-0000B2AD0000}"/>
    <cellStyle name="Normal 6 6 4 2 4 2" xfId="58817" xr:uid="{00000000-0005-0000-0000-0000B3AD0000}"/>
    <cellStyle name="Normal 6 6 4 2 5" xfId="31671" xr:uid="{00000000-0005-0000-0000-0000B4AD0000}"/>
    <cellStyle name="Normal 6 6 4 2 6" xfId="31672" xr:uid="{00000000-0005-0000-0000-0000B5AD0000}"/>
    <cellStyle name="Normal 6 6 4 2 7" xfId="31673" xr:uid="{00000000-0005-0000-0000-0000B6AD0000}"/>
    <cellStyle name="Normal 6 6 4 3" xfId="31674" xr:uid="{00000000-0005-0000-0000-0000B7AD0000}"/>
    <cellStyle name="Normal 6 6 4 3 2" xfId="31675" xr:uid="{00000000-0005-0000-0000-0000B8AD0000}"/>
    <cellStyle name="Normal 6 6 4 3 2 2" xfId="58818" xr:uid="{00000000-0005-0000-0000-0000B9AD0000}"/>
    <cellStyle name="Normal 6 6 4 3 2 3" xfId="58819" xr:uid="{00000000-0005-0000-0000-0000BAAD0000}"/>
    <cellStyle name="Normal 6 6 4 3 3" xfId="31676" xr:uid="{00000000-0005-0000-0000-0000BBAD0000}"/>
    <cellStyle name="Normal 6 6 4 3 3 2" xfId="58820" xr:uid="{00000000-0005-0000-0000-0000BCAD0000}"/>
    <cellStyle name="Normal 6 6 4 3 4" xfId="31677" xr:uid="{00000000-0005-0000-0000-0000BDAD0000}"/>
    <cellStyle name="Normal 6 6 4 3 5" xfId="31678" xr:uid="{00000000-0005-0000-0000-0000BEAD0000}"/>
    <cellStyle name="Normal 6 6 4 3 6" xfId="31679" xr:uid="{00000000-0005-0000-0000-0000BFAD0000}"/>
    <cellStyle name="Normal 6 6 4 4" xfId="31680" xr:uid="{00000000-0005-0000-0000-0000C0AD0000}"/>
    <cellStyle name="Normal 6 6 4 4 2" xfId="58821" xr:uid="{00000000-0005-0000-0000-0000C1AD0000}"/>
    <cellStyle name="Normal 6 6 4 4 3" xfId="58822" xr:uid="{00000000-0005-0000-0000-0000C2AD0000}"/>
    <cellStyle name="Normal 6 6 4 5" xfId="31681" xr:uid="{00000000-0005-0000-0000-0000C3AD0000}"/>
    <cellStyle name="Normal 6 6 4 5 2" xfId="58823" xr:uid="{00000000-0005-0000-0000-0000C4AD0000}"/>
    <cellStyle name="Normal 6 6 4 6" xfId="31682" xr:uid="{00000000-0005-0000-0000-0000C5AD0000}"/>
    <cellStyle name="Normal 6 6 4 7" xfId="31683" xr:uid="{00000000-0005-0000-0000-0000C6AD0000}"/>
    <cellStyle name="Normal 6 6 4 8" xfId="31684" xr:uid="{00000000-0005-0000-0000-0000C7AD0000}"/>
    <cellStyle name="Normal 6 6 5" xfId="31685" xr:uid="{00000000-0005-0000-0000-0000C8AD0000}"/>
    <cellStyle name="Normal 6 6 5 2" xfId="31686" xr:uid="{00000000-0005-0000-0000-0000C9AD0000}"/>
    <cellStyle name="Normal 6 6 5 2 2" xfId="31687" xr:uid="{00000000-0005-0000-0000-0000CAAD0000}"/>
    <cellStyle name="Normal 6 6 5 2 2 2" xfId="58824" xr:uid="{00000000-0005-0000-0000-0000CBAD0000}"/>
    <cellStyle name="Normal 6 6 5 2 2 3" xfId="58825" xr:uid="{00000000-0005-0000-0000-0000CCAD0000}"/>
    <cellStyle name="Normal 6 6 5 2 3" xfId="31688" xr:uid="{00000000-0005-0000-0000-0000CDAD0000}"/>
    <cellStyle name="Normal 6 6 5 2 3 2" xfId="58826" xr:uid="{00000000-0005-0000-0000-0000CEAD0000}"/>
    <cellStyle name="Normal 6 6 5 2 4" xfId="31689" xr:uid="{00000000-0005-0000-0000-0000CFAD0000}"/>
    <cellStyle name="Normal 6 6 5 2 5" xfId="31690" xr:uid="{00000000-0005-0000-0000-0000D0AD0000}"/>
    <cellStyle name="Normal 6 6 5 2 6" xfId="31691" xr:uid="{00000000-0005-0000-0000-0000D1AD0000}"/>
    <cellStyle name="Normal 6 6 5 3" xfId="31692" xr:uid="{00000000-0005-0000-0000-0000D2AD0000}"/>
    <cellStyle name="Normal 6 6 5 3 2" xfId="58827" xr:uid="{00000000-0005-0000-0000-0000D3AD0000}"/>
    <cellStyle name="Normal 6 6 5 3 3" xfId="58828" xr:uid="{00000000-0005-0000-0000-0000D4AD0000}"/>
    <cellStyle name="Normal 6 6 5 4" xfId="31693" xr:uid="{00000000-0005-0000-0000-0000D5AD0000}"/>
    <cellStyle name="Normal 6 6 5 4 2" xfId="58829" xr:uid="{00000000-0005-0000-0000-0000D6AD0000}"/>
    <cellStyle name="Normal 6 6 5 5" xfId="31694" xr:uid="{00000000-0005-0000-0000-0000D7AD0000}"/>
    <cellStyle name="Normal 6 6 5 6" xfId="31695" xr:uid="{00000000-0005-0000-0000-0000D8AD0000}"/>
    <cellStyle name="Normal 6 6 5 7" xfId="31696" xr:uid="{00000000-0005-0000-0000-0000D9AD0000}"/>
    <cellStyle name="Normal 6 6 6" xfId="31697" xr:uid="{00000000-0005-0000-0000-0000DAAD0000}"/>
    <cellStyle name="Normal 6 6 6 2" xfId="31698" xr:uid="{00000000-0005-0000-0000-0000DBAD0000}"/>
    <cellStyle name="Normal 6 6 6 2 2" xfId="58830" xr:uid="{00000000-0005-0000-0000-0000DCAD0000}"/>
    <cellStyle name="Normal 6 6 6 2 3" xfId="58831" xr:uid="{00000000-0005-0000-0000-0000DDAD0000}"/>
    <cellStyle name="Normal 6 6 6 3" xfId="31699" xr:uid="{00000000-0005-0000-0000-0000DEAD0000}"/>
    <cellStyle name="Normal 6 6 6 3 2" xfId="58832" xr:uid="{00000000-0005-0000-0000-0000DFAD0000}"/>
    <cellStyle name="Normal 6 6 6 4" xfId="31700" xr:uid="{00000000-0005-0000-0000-0000E0AD0000}"/>
    <cellStyle name="Normal 6 6 6 5" xfId="31701" xr:uid="{00000000-0005-0000-0000-0000E1AD0000}"/>
    <cellStyle name="Normal 6 6 6 6" xfId="31702" xr:uid="{00000000-0005-0000-0000-0000E2AD0000}"/>
    <cellStyle name="Normal 6 6 7" xfId="31703" xr:uid="{00000000-0005-0000-0000-0000E3AD0000}"/>
    <cellStyle name="Normal 6 6 7 2" xfId="58833" xr:uid="{00000000-0005-0000-0000-0000E4AD0000}"/>
    <cellStyle name="Normal 6 6 7 3" xfId="58834" xr:uid="{00000000-0005-0000-0000-0000E5AD0000}"/>
    <cellStyle name="Normal 6 6 8" xfId="31704" xr:uid="{00000000-0005-0000-0000-0000E6AD0000}"/>
    <cellStyle name="Normal 6 6 8 2" xfId="58835" xr:uid="{00000000-0005-0000-0000-0000E7AD0000}"/>
    <cellStyle name="Normal 6 6 9" xfId="31705" xr:uid="{00000000-0005-0000-0000-0000E8AD0000}"/>
    <cellStyle name="Normal 6 6 9 2" xfId="58836" xr:uid="{00000000-0005-0000-0000-0000E9AD0000}"/>
    <cellStyle name="Normal 6 7" xfId="31706" xr:uid="{00000000-0005-0000-0000-0000EAAD0000}"/>
    <cellStyle name="Normal 6 7 10" xfId="31707" xr:uid="{00000000-0005-0000-0000-0000EBAD0000}"/>
    <cellStyle name="Normal 6 7 11" xfId="31708" xr:uid="{00000000-0005-0000-0000-0000ECAD0000}"/>
    <cellStyle name="Normal 6 7 12" xfId="31709" xr:uid="{00000000-0005-0000-0000-0000EDAD0000}"/>
    <cellStyle name="Normal 6 7 13" xfId="31710" xr:uid="{00000000-0005-0000-0000-0000EEAD0000}"/>
    <cellStyle name="Normal 6 7 14" xfId="31711" xr:uid="{00000000-0005-0000-0000-0000EFAD0000}"/>
    <cellStyle name="Normal 6 7 15" xfId="31712" xr:uid="{00000000-0005-0000-0000-0000F0AD0000}"/>
    <cellStyle name="Normal 6 7 2" xfId="31713" xr:uid="{00000000-0005-0000-0000-0000F1AD0000}"/>
    <cellStyle name="Normal 6 7 2 2" xfId="31714" xr:uid="{00000000-0005-0000-0000-0000F2AD0000}"/>
    <cellStyle name="Normal 6 7 2 2 2" xfId="31715" xr:uid="{00000000-0005-0000-0000-0000F3AD0000}"/>
    <cellStyle name="Normal 6 7 2 2 2 2" xfId="31716" xr:uid="{00000000-0005-0000-0000-0000F4AD0000}"/>
    <cellStyle name="Normal 6 7 2 2 2 2 2" xfId="58837" xr:uid="{00000000-0005-0000-0000-0000F5AD0000}"/>
    <cellStyle name="Normal 6 7 2 2 2 2 3" xfId="58838" xr:uid="{00000000-0005-0000-0000-0000F6AD0000}"/>
    <cellStyle name="Normal 6 7 2 2 2 3" xfId="31717" xr:uid="{00000000-0005-0000-0000-0000F7AD0000}"/>
    <cellStyle name="Normal 6 7 2 2 2 3 2" xfId="58839" xr:uid="{00000000-0005-0000-0000-0000F8AD0000}"/>
    <cellStyle name="Normal 6 7 2 2 2 4" xfId="31718" xr:uid="{00000000-0005-0000-0000-0000F9AD0000}"/>
    <cellStyle name="Normal 6 7 2 2 2 5" xfId="31719" xr:uid="{00000000-0005-0000-0000-0000FAAD0000}"/>
    <cellStyle name="Normal 6 7 2 2 2 6" xfId="31720" xr:uid="{00000000-0005-0000-0000-0000FBAD0000}"/>
    <cellStyle name="Normal 6 7 2 2 3" xfId="31721" xr:uid="{00000000-0005-0000-0000-0000FCAD0000}"/>
    <cellStyle name="Normal 6 7 2 2 3 2" xfId="58840" xr:uid="{00000000-0005-0000-0000-0000FDAD0000}"/>
    <cellStyle name="Normal 6 7 2 2 3 3" xfId="58841" xr:uid="{00000000-0005-0000-0000-0000FEAD0000}"/>
    <cellStyle name="Normal 6 7 2 2 4" xfId="31722" xr:uid="{00000000-0005-0000-0000-0000FFAD0000}"/>
    <cellStyle name="Normal 6 7 2 2 4 2" xfId="58842" xr:uid="{00000000-0005-0000-0000-000000AE0000}"/>
    <cellStyle name="Normal 6 7 2 2 5" xfId="31723" xr:uid="{00000000-0005-0000-0000-000001AE0000}"/>
    <cellStyle name="Normal 6 7 2 2 6" xfId="31724" xr:uid="{00000000-0005-0000-0000-000002AE0000}"/>
    <cellStyle name="Normal 6 7 2 2 7" xfId="31725" xr:uid="{00000000-0005-0000-0000-000003AE0000}"/>
    <cellStyle name="Normal 6 7 2 3" xfId="31726" xr:uid="{00000000-0005-0000-0000-000004AE0000}"/>
    <cellStyle name="Normal 6 7 2 3 2" xfId="31727" xr:uid="{00000000-0005-0000-0000-000005AE0000}"/>
    <cellStyle name="Normal 6 7 2 3 2 2" xfId="58843" xr:uid="{00000000-0005-0000-0000-000006AE0000}"/>
    <cellStyle name="Normal 6 7 2 3 2 3" xfId="58844" xr:uid="{00000000-0005-0000-0000-000007AE0000}"/>
    <cellStyle name="Normal 6 7 2 3 3" xfId="31728" xr:uid="{00000000-0005-0000-0000-000008AE0000}"/>
    <cellStyle name="Normal 6 7 2 3 3 2" xfId="58845" xr:uid="{00000000-0005-0000-0000-000009AE0000}"/>
    <cellStyle name="Normal 6 7 2 3 4" xfId="31729" xr:uid="{00000000-0005-0000-0000-00000AAE0000}"/>
    <cellStyle name="Normal 6 7 2 3 5" xfId="31730" xr:uid="{00000000-0005-0000-0000-00000BAE0000}"/>
    <cellStyle name="Normal 6 7 2 3 6" xfId="31731" xr:uid="{00000000-0005-0000-0000-00000CAE0000}"/>
    <cellStyle name="Normal 6 7 2 4" xfId="31732" xr:uid="{00000000-0005-0000-0000-00000DAE0000}"/>
    <cellStyle name="Normal 6 7 2 4 2" xfId="58846" xr:uid="{00000000-0005-0000-0000-00000EAE0000}"/>
    <cellStyle name="Normal 6 7 2 4 3" xfId="58847" xr:uid="{00000000-0005-0000-0000-00000FAE0000}"/>
    <cellStyle name="Normal 6 7 2 5" xfId="31733" xr:uid="{00000000-0005-0000-0000-000010AE0000}"/>
    <cellStyle name="Normal 6 7 2 5 2" xfId="58848" xr:uid="{00000000-0005-0000-0000-000011AE0000}"/>
    <cellStyle name="Normal 6 7 2 6" xfId="31734" xr:uid="{00000000-0005-0000-0000-000012AE0000}"/>
    <cellStyle name="Normal 6 7 2 7" xfId="31735" xr:uid="{00000000-0005-0000-0000-000013AE0000}"/>
    <cellStyle name="Normal 6 7 2 8" xfId="31736" xr:uid="{00000000-0005-0000-0000-000014AE0000}"/>
    <cellStyle name="Normal 6 7 2 9" xfId="31737" xr:uid="{00000000-0005-0000-0000-000015AE0000}"/>
    <cellStyle name="Normal 6 7 3" xfId="31738" xr:uid="{00000000-0005-0000-0000-000016AE0000}"/>
    <cellStyle name="Normal 6 7 3 2" xfId="31739" xr:uid="{00000000-0005-0000-0000-000017AE0000}"/>
    <cellStyle name="Normal 6 7 3 2 2" xfId="31740" xr:uid="{00000000-0005-0000-0000-000018AE0000}"/>
    <cellStyle name="Normal 6 7 3 2 2 2" xfId="31741" xr:uid="{00000000-0005-0000-0000-000019AE0000}"/>
    <cellStyle name="Normal 6 7 3 2 2 2 2" xfId="58849" xr:uid="{00000000-0005-0000-0000-00001AAE0000}"/>
    <cellStyle name="Normal 6 7 3 2 2 2 3" xfId="58850" xr:uid="{00000000-0005-0000-0000-00001BAE0000}"/>
    <cellStyle name="Normal 6 7 3 2 2 3" xfId="31742" xr:uid="{00000000-0005-0000-0000-00001CAE0000}"/>
    <cellStyle name="Normal 6 7 3 2 2 3 2" xfId="58851" xr:uid="{00000000-0005-0000-0000-00001DAE0000}"/>
    <cellStyle name="Normal 6 7 3 2 2 4" xfId="31743" xr:uid="{00000000-0005-0000-0000-00001EAE0000}"/>
    <cellStyle name="Normal 6 7 3 2 2 5" xfId="31744" xr:uid="{00000000-0005-0000-0000-00001FAE0000}"/>
    <cellStyle name="Normal 6 7 3 2 2 6" xfId="31745" xr:uid="{00000000-0005-0000-0000-000020AE0000}"/>
    <cellStyle name="Normal 6 7 3 2 3" xfId="31746" xr:uid="{00000000-0005-0000-0000-000021AE0000}"/>
    <cellStyle name="Normal 6 7 3 2 3 2" xfId="58852" xr:uid="{00000000-0005-0000-0000-000022AE0000}"/>
    <cellStyle name="Normal 6 7 3 2 3 3" xfId="58853" xr:uid="{00000000-0005-0000-0000-000023AE0000}"/>
    <cellStyle name="Normal 6 7 3 2 4" xfId="31747" xr:uid="{00000000-0005-0000-0000-000024AE0000}"/>
    <cellStyle name="Normal 6 7 3 2 4 2" xfId="58854" xr:uid="{00000000-0005-0000-0000-000025AE0000}"/>
    <cellStyle name="Normal 6 7 3 2 5" xfId="31748" xr:uid="{00000000-0005-0000-0000-000026AE0000}"/>
    <cellStyle name="Normal 6 7 3 2 6" xfId="31749" xr:uid="{00000000-0005-0000-0000-000027AE0000}"/>
    <cellStyle name="Normal 6 7 3 2 7" xfId="31750" xr:uid="{00000000-0005-0000-0000-000028AE0000}"/>
    <cellStyle name="Normal 6 7 3 3" xfId="31751" xr:uid="{00000000-0005-0000-0000-000029AE0000}"/>
    <cellStyle name="Normal 6 7 3 3 2" xfId="31752" xr:uid="{00000000-0005-0000-0000-00002AAE0000}"/>
    <cellStyle name="Normal 6 7 3 3 2 2" xfId="58855" xr:uid="{00000000-0005-0000-0000-00002BAE0000}"/>
    <cellStyle name="Normal 6 7 3 3 2 3" xfId="58856" xr:uid="{00000000-0005-0000-0000-00002CAE0000}"/>
    <cellStyle name="Normal 6 7 3 3 3" xfId="31753" xr:uid="{00000000-0005-0000-0000-00002DAE0000}"/>
    <cellStyle name="Normal 6 7 3 3 3 2" xfId="58857" xr:uid="{00000000-0005-0000-0000-00002EAE0000}"/>
    <cellStyle name="Normal 6 7 3 3 4" xfId="31754" xr:uid="{00000000-0005-0000-0000-00002FAE0000}"/>
    <cellStyle name="Normal 6 7 3 3 5" xfId="31755" xr:uid="{00000000-0005-0000-0000-000030AE0000}"/>
    <cellStyle name="Normal 6 7 3 3 6" xfId="31756" xr:uid="{00000000-0005-0000-0000-000031AE0000}"/>
    <cellStyle name="Normal 6 7 3 4" xfId="31757" xr:uid="{00000000-0005-0000-0000-000032AE0000}"/>
    <cellStyle name="Normal 6 7 3 4 2" xfId="58858" xr:uid="{00000000-0005-0000-0000-000033AE0000}"/>
    <cellStyle name="Normal 6 7 3 4 3" xfId="58859" xr:uid="{00000000-0005-0000-0000-000034AE0000}"/>
    <cellStyle name="Normal 6 7 3 5" xfId="31758" xr:uid="{00000000-0005-0000-0000-000035AE0000}"/>
    <cellStyle name="Normal 6 7 3 5 2" xfId="58860" xr:uid="{00000000-0005-0000-0000-000036AE0000}"/>
    <cellStyle name="Normal 6 7 3 6" xfId="31759" xr:uid="{00000000-0005-0000-0000-000037AE0000}"/>
    <cellStyle name="Normal 6 7 3 7" xfId="31760" xr:uid="{00000000-0005-0000-0000-000038AE0000}"/>
    <cellStyle name="Normal 6 7 3 8" xfId="31761" xr:uid="{00000000-0005-0000-0000-000039AE0000}"/>
    <cellStyle name="Normal 6 7 4" xfId="31762" xr:uid="{00000000-0005-0000-0000-00003AAE0000}"/>
    <cellStyle name="Normal 6 7 4 2" xfId="31763" xr:uid="{00000000-0005-0000-0000-00003BAE0000}"/>
    <cellStyle name="Normal 6 7 4 2 2" xfId="31764" xr:uid="{00000000-0005-0000-0000-00003CAE0000}"/>
    <cellStyle name="Normal 6 7 4 2 2 2" xfId="58861" xr:uid="{00000000-0005-0000-0000-00003DAE0000}"/>
    <cellStyle name="Normal 6 7 4 2 2 3" xfId="58862" xr:uid="{00000000-0005-0000-0000-00003EAE0000}"/>
    <cellStyle name="Normal 6 7 4 2 3" xfId="31765" xr:uid="{00000000-0005-0000-0000-00003FAE0000}"/>
    <cellStyle name="Normal 6 7 4 2 3 2" xfId="58863" xr:uid="{00000000-0005-0000-0000-000040AE0000}"/>
    <cellStyle name="Normal 6 7 4 2 4" xfId="31766" xr:uid="{00000000-0005-0000-0000-000041AE0000}"/>
    <cellStyle name="Normal 6 7 4 2 5" xfId="31767" xr:uid="{00000000-0005-0000-0000-000042AE0000}"/>
    <cellStyle name="Normal 6 7 4 2 6" xfId="31768" xr:uid="{00000000-0005-0000-0000-000043AE0000}"/>
    <cellStyle name="Normal 6 7 4 3" xfId="31769" xr:uid="{00000000-0005-0000-0000-000044AE0000}"/>
    <cellStyle name="Normal 6 7 4 3 2" xfId="58864" xr:uid="{00000000-0005-0000-0000-000045AE0000}"/>
    <cellStyle name="Normal 6 7 4 3 3" xfId="58865" xr:uid="{00000000-0005-0000-0000-000046AE0000}"/>
    <cellStyle name="Normal 6 7 4 4" xfId="31770" xr:uid="{00000000-0005-0000-0000-000047AE0000}"/>
    <cellStyle name="Normal 6 7 4 4 2" xfId="58866" xr:uid="{00000000-0005-0000-0000-000048AE0000}"/>
    <cellStyle name="Normal 6 7 4 5" xfId="31771" xr:uid="{00000000-0005-0000-0000-000049AE0000}"/>
    <cellStyle name="Normal 6 7 4 6" xfId="31772" xr:uid="{00000000-0005-0000-0000-00004AAE0000}"/>
    <cellStyle name="Normal 6 7 4 7" xfId="31773" xr:uid="{00000000-0005-0000-0000-00004BAE0000}"/>
    <cellStyle name="Normal 6 7 5" xfId="31774" xr:uid="{00000000-0005-0000-0000-00004CAE0000}"/>
    <cellStyle name="Normal 6 7 5 2" xfId="31775" xr:uid="{00000000-0005-0000-0000-00004DAE0000}"/>
    <cellStyle name="Normal 6 7 5 2 2" xfId="58867" xr:uid="{00000000-0005-0000-0000-00004EAE0000}"/>
    <cellStyle name="Normal 6 7 5 2 3" xfId="58868" xr:uid="{00000000-0005-0000-0000-00004FAE0000}"/>
    <cellStyle name="Normal 6 7 5 3" xfId="31776" xr:uid="{00000000-0005-0000-0000-000050AE0000}"/>
    <cellStyle name="Normal 6 7 5 3 2" xfId="58869" xr:uid="{00000000-0005-0000-0000-000051AE0000}"/>
    <cellStyle name="Normal 6 7 5 4" xfId="31777" xr:uid="{00000000-0005-0000-0000-000052AE0000}"/>
    <cellStyle name="Normal 6 7 5 5" xfId="31778" xr:uid="{00000000-0005-0000-0000-000053AE0000}"/>
    <cellStyle name="Normal 6 7 5 6" xfId="31779" xr:uid="{00000000-0005-0000-0000-000054AE0000}"/>
    <cellStyle name="Normal 6 7 6" xfId="31780" xr:uid="{00000000-0005-0000-0000-000055AE0000}"/>
    <cellStyle name="Normal 6 7 6 2" xfId="58870" xr:uid="{00000000-0005-0000-0000-000056AE0000}"/>
    <cellStyle name="Normal 6 7 7" xfId="31781" xr:uid="{00000000-0005-0000-0000-000057AE0000}"/>
    <cellStyle name="Normal 6 7 8" xfId="31782" xr:uid="{00000000-0005-0000-0000-000058AE0000}"/>
    <cellStyle name="Normal 6 7 9" xfId="31783" xr:uid="{00000000-0005-0000-0000-000059AE0000}"/>
    <cellStyle name="Normal 6 8" xfId="31784" xr:uid="{00000000-0005-0000-0000-00005AAE0000}"/>
    <cellStyle name="Normal 6 8 10" xfId="31785" xr:uid="{00000000-0005-0000-0000-00005BAE0000}"/>
    <cellStyle name="Normal 6 8 11" xfId="31786" xr:uid="{00000000-0005-0000-0000-00005CAE0000}"/>
    <cellStyle name="Normal 6 8 12" xfId="31787" xr:uid="{00000000-0005-0000-0000-00005DAE0000}"/>
    <cellStyle name="Normal 6 8 13" xfId="31788" xr:uid="{00000000-0005-0000-0000-00005EAE0000}"/>
    <cellStyle name="Normal 6 8 14" xfId="31789" xr:uid="{00000000-0005-0000-0000-00005FAE0000}"/>
    <cellStyle name="Normal 6 8 2" xfId="31790" xr:uid="{00000000-0005-0000-0000-000060AE0000}"/>
    <cellStyle name="Normal 6 8 2 2" xfId="31791" xr:uid="{00000000-0005-0000-0000-000061AE0000}"/>
    <cellStyle name="Normal 6 8 2 2 2" xfId="31792" xr:uid="{00000000-0005-0000-0000-000062AE0000}"/>
    <cellStyle name="Normal 6 8 2 2 2 2" xfId="31793" xr:uid="{00000000-0005-0000-0000-000063AE0000}"/>
    <cellStyle name="Normal 6 8 2 2 2 2 2" xfId="58871" xr:uid="{00000000-0005-0000-0000-000064AE0000}"/>
    <cellStyle name="Normal 6 8 2 2 2 2 3" xfId="58872" xr:uid="{00000000-0005-0000-0000-000065AE0000}"/>
    <cellStyle name="Normal 6 8 2 2 2 3" xfId="31794" xr:uid="{00000000-0005-0000-0000-000066AE0000}"/>
    <cellStyle name="Normal 6 8 2 2 2 3 2" xfId="58873" xr:uid="{00000000-0005-0000-0000-000067AE0000}"/>
    <cellStyle name="Normal 6 8 2 2 2 4" xfId="31795" xr:uid="{00000000-0005-0000-0000-000068AE0000}"/>
    <cellStyle name="Normal 6 8 2 2 2 5" xfId="31796" xr:uid="{00000000-0005-0000-0000-000069AE0000}"/>
    <cellStyle name="Normal 6 8 2 2 2 6" xfId="31797" xr:uid="{00000000-0005-0000-0000-00006AAE0000}"/>
    <cellStyle name="Normal 6 8 2 2 3" xfId="31798" xr:uid="{00000000-0005-0000-0000-00006BAE0000}"/>
    <cellStyle name="Normal 6 8 2 2 3 2" xfId="58874" xr:uid="{00000000-0005-0000-0000-00006CAE0000}"/>
    <cellStyle name="Normal 6 8 2 2 3 3" xfId="58875" xr:uid="{00000000-0005-0000-0000-00006DAE0000}"/>
    <cellStyle name="Normal 6 8 2 2 4" xfId="31799" xr:uid="{00000000-0005-0000-0000-00006EAE0000}"/>
    <cellStyle name="Normal 6 8 2 2 4 2" xfId="58876" xr:uid="{00000000-0005-0000-0000-00006FAE0000}"/>
    <cellStyle name="Normal 6 8 2 2 5" xfId="31800" xr:uid="{00000000-0005-0000-0000-000070AE0000}"/>
    <cellStyle name="Normal 6 8 2 2 6" xfId="31801" xr:uid="{00000000-0005-0000-0000-000071AE0000}"/>
    <cellStyle name="Normal 6 8 2 2 7" xfId="31802" xr:uid="{00000000-0005-0000-0000-000072AE0000}"/>
    <cellStyle name="Normal 6 8 2 3" xfId="31803" xr:uid="{00000000-0005-0000-0000-000073AE0000}"/>
    <cellStyle name="Normal 6 8 2 3 2" xfId="31804" xr:uid="{00000000-0005-0000-0000-000074AE0000}"/>
    <cellStyle name="Normal 6 8 2 3 2 2" xfId="58877" xr:uid="{00000000-0005-0000-0000-000075AE0000}"/>
    <cellStyle name="Normal 6 8 2 3 2 3" xfId="58878" xr:uid="{00000000-0005-0000-0000-000076AE0000}"/>
    <cellStyle name="Normal 6 8 2 3 3" xfId="31805" xr:uid="{00000000-0005-0000-0000-000077AE0000}"/>
    <cellStyle name="Normal 6 8 2 3 3 2" xfId="58879" xr:uid="{00000000-0005-0000-0000-000078AE0000}"/>
    <cellStyle name="Normal 6 8 2 3 4" xfId="31806" xr:uid="{00000000-0005-0000-0000-000079AE0000}"/>
    <cellStyle name="Normal 6 8 2 3 5" xfId="31807" xr:uid="{00000000-0005-0000-0000-00007AAE0000}"/>
    <cellStyle name="Normal 6 8 2 3 6" xfId="31808" xr:uid="{00000000-0005-0000-0000-00007BAE0000}"/>
    <cellStyle name="Normal 6 8 2 4" xfId="31809" xr:uid="{00000000-0005-0000-0000-00007CAE0000}"/>
    <cellStyle name="Normal 6 8 2 4 2" xfId="58880" xr:uid="{00000000-0005-0000-0000-00007DAE0000}"/>
    <cellStyle name="Normal 6 8 2 4 3" xfId="58881" xr:uid="{00000000-0005-0000-0000-00007EAE0000}"/>
    <cellStyle name="Normal 6 8 2 5" xfId="31810" xr:uid="{00000000-0005-0000-0000-00007FAE0000}"/>
    <cellStyle name="Normal 6 8 2 5 2" xfId="58882" xr:uid="{00000000-0005-0000-0000-000080AE0000}"/>
    <cellStyle name="Normal 6 8 2 6" xfId="31811" xr:uid="{00000000-0005-0000-0000-000081AE0000}"/>
    <cellStyle name="Normal 6 8 2 7" xfId="31812" xr:uid="{00000000-0005-0000-0000-000082AE0000}"/>
    <cellStyle name="Normal 6 8 2 8" xfId="31813" xr:uid="{00000000-0005-0000-0000-000083AE0000}"/>
    <cellStyle name="Normal 6 8 2 9" xfId="31814" xr:uid="{00000000-0005-0000-0000-000084AE0000}"/>
    <cellStyle name="Normal 6 8 3" xfId="31815" xr:uid="{00000000-0005-0000-0000-000085AE0000}"/>
    <cellStyle name="Normal 6 8 3 2" xfId="31816" xr:uid="{00000000-0005-0000-0000-000086AE0000}"/>
    <cellStyle name="Normal 6 8 3 2 2" xfId="31817" xr:uid="{00000000-0005-0000-0000-000087AE0000}"/>
    <cellStyle name="Normal 6 8 3 2 2 2" xfId="31818" xr:uid="{00000000-0005-0000-0000-000088AE0000}"/>
    <cellStyle name="Normal 6 8 3 2 2 2 2" xfId="58883" xr:uid="{00000000-0005-0000-0000-000089AE0000}"/>
    <cellStyle name="Normal 6 8 3 2 2 2 3" xfId="58884" xr:uid="{00000000-0005-0000-0000-00008AAE0000}"/>
    <cellStyle name="Normal 6 8 3 2 2 3" xfId="31819" xr:uid="{00000000-0005-0000-0000-00008BAE0000}"/>
    <cellStyle name="Normal 6 8 3 2 2 3 2" xfId="58885" xr:uid="{00000000-0005-0000-0000-00008CAE0000}"/>
    <cellStyle name="Normal 6 8 3 2 2 4" xfId="31820" xr:uid="{00000000-0005-0000-0000-00008DAE0000}"/>
    <cellStyle name="Normal 6 8 3 2 2 5" xfId="31821" xr:uid="{00000000-0005-0000-0000-00008EAE0000}"/>
    <cellStyle name="Normal 6 8 3 2 2 6" xfId="31822" xr:uid="{00000000-0005-0000-0000-00008FAE0000}"/>
    <cellStyle name="Normal 6 8 3 2 3" xfId="31823" xr:uid="{00000000-0005-0000-0000-000090AE0000}"/>
    <cellStyle name="Normal 6 8 3 2 3 2" xfId="58886" xr:uid="{00000000-0005-0000-0000-000091AE0000}"/>
    <cellStyle name="Normal 6 8 3 2 3 3" xfId="58887" xr:uid="{00000000-0005-0000-0000-000092AE0000}"/>
    <cellStyle name="Normal 6 8 3 2 4" xfId="31824" xr:uid="{00000000-0005-0000-0000-000093AE0000}"/>
    <cellStyle name="Normal 6 8 3 2 4 2" xfId="58888" xr:uid="{00000000-0005-0000-0000-000094AE0000}"/>
    <cellStyle name="Normal 6 8 3 2 5" xfId="31825" xr:uid="{00000000-0005-0000-0000-000095AE0000}"/>
    <cellStyle name="Normal 6 8 3 2 6" xfId="31826" xr:uid="{00000000-0005-0000-0000-000096AE0000}"/>
    <cellStyle name="Normal 6 8 3 2 7" xfId="31827" xr:uid="{00000000-0005-0000-0000-000097AE0000}"/>
    <cellStyle name="Normal 6 8 3 3" xfId="31828" xr:uid="{00000000-0005-0000-0000-000098AE0000}"/>
    <cellStyle name="Normal 6 8 3 3 2" xfId="31829" xr:uid="{00000000-0005-0000-0000-000099AE0000}"/>
    <cellStyle name="Normal 6 8 3 3 2 2" xfId="58889" xr:uid="{00000000-0005-0000-0000-00009AAE0000}"/>
    <cellStyle name="Normal 6 8 3 3 2 3" xfId="58890" xr:uid="{00000000-0005-0000-0000-00009BAE0000}"/>
    <cellStyle name="Normal 6 8 3 3 3" xfId="31830" xr:uid="{00000000-0005-0000-0000-00009CAE0000}"/>
    <cellStyle name="Normal 6 8 3 3 3 2" xfId="58891" xr:uid="{00000000-0005-0000-0000-00009DAE0000}"/>
    <cellStyle name="Normal 6 8 3 3 4" xfId="31831" xr:uid="{00000000-0005-0000-0000-00009EAE0000}"/>
    <cellStyle name="Normal 6 8 3 3 5" xfId="31832" xr:uid="{00000000-0005-0000-0000-00009FAE0000}"/>
    <cellStyle name="Normal 6 8 3 3 6" xfId="31833" xr:uid="{00000000-0005-0000-0000-0000A0AE0000}"/>
    <cellStyle name="Normal 6 8 3 4" xfId="31834" xr:uid="{00000000-0005-0000-0000-0000A1AE0000}"/>
    <cellStyle name="Normal 6 8 3 4 2" xfId="58892" xr:uid="{00000000-0005-0000-0000-0000A2AE0000}"/>
    <cellStyle name="Normal 6 8 3 4 3" xfId="58893" xr:uid="{00000000-0005-0000-0000-0000A3AE0000}"/>
    <cellStyle name="Normal 6 8 3 5" xfId="31835" xr:uid="{00000000-0005-0000-0000-0000A4AE0000}"/>
    <cellStyle name="Normal 6 8 3 5 2" xfId="58894" xr:uid="{00000000-0005-0000-0000-0000A5AE0000}"/>
    <cellStyle name="Normal 6 8 3 6" xfId="31836" xr:uid="{00000000-0005-0000-0000-0000A6AE0000}"/>
    <cellStyle name="Normal 6 8 3 7" xfId="31837" xr:uid="{00000000-0005-0000-0000-0000A7AE0000}"/>
    <cellStyle name="Normal 6 8 3 8" xfId="31838" xr:uid="{00000000-0005-0000-0000-0000A8AE0000}"/>
    <cellStyle name="Normal 6 8 4" xfId="31839" xr:uid="{00000000-0005-0000-0000-0000A9AE0000}"/>
    <cellStyle name="Normal 6 8 4 2" xfId="31840" xr:uid="{00000000-0005-0000-0000-0000AAAE0000}"/>
    <cellStyle name="Normal 6 8 4 2 2" xfId="31841" xr:uid="{00000000-0005-0000-0000-0000ABAE0000}"/>
    <cellStyle name="Normal 6 8 4 2 2 2" xfId="58895" xr:uid="{00000000-0005-0000-0000-0000ACAE0000}"/>
    <cellStyle name="Normal 6 8 4 2 2 3" xfId="58896" xr:uid="{00000000-0005-0000-0000-0000ADAE0000}"/>
    <cellStyle name="Normal 6 8 4 2 3" xfId="31842" xr:uid="{00000000-0005-0000-0000-0000AEAE0000}"/>
    <cellStyle name="Normal 6 8 4 2 3 2" xfId="58897" xr:uid="{00000000-0005-0000-0000-0000AFAE0000}"/>
    <cellStyle name="Normal 6 8 4 2 4" xfId="31843" xr:uid="{00000000-0005-0000-0000-0000B0AE0000}"/>
    <cellStyle name="Normal 6 8 4 2 5" xfId="31844" xr:uid="{00000000-0005-0000-0000-0000B1AE0000}"/>
    <cellStyle name="Normal 6 8 4 2 6" xfId="31845" xr:uid="{00000000-0005-0000-0000-0000B2AE0000}"/>
    <cellStyle name="Normal 6 8 4 3" xfId="31846" xr:uid="{00000000-0005-0000-0000-0000B3AE0000}"/>
    <cellStyle name="Normal 6 8 4 3 2" xfId="58898" xr:uid="{00000000-0005-0000-0000-0000B4AE0000}"/>
    <cellStyle name="Normal 6 8 4 3 3" xfId="58899" xr:uid="{00000000-0005-0000-0000-0000B5AE0000}"/>
    <cellStyle name="Normal 6 8 4 4" xfId="31847" xr:uid="{00000000-0005-0000-0000-0000B6AE0000}"/>
    <cellStyle name="Normal 6 8 4 4 2" xfId="58900" xr:uid="{00000000-0005-0000-0000-0000B7AE0000}"/>
    <cellStyle name="Normal 6 8 4 5" xfId="31848" xr:uid="{00000000-0005-0000-0000-0000B8AE0000}"/>
    <cellStyle name="Normal 6 8 4 6" xfId="31849" xr:uid="{00000000-0005-0000-0000-0000B9AE0000}"/>
    <cellStyle name="Normal 6 8 4 7" xfId="31850" xr:uid="{00000000-0005-0000-0000-0000BAAE0000}"/>
    <cellStyle name="Normal 6 8 5" xfId="31851" xr:uid="{00000000-0005-0000-0000-0000BBAE0000}"/>
    <cellStyle name="Normal 6 8 5 2" xfId="31852" xr:uid="{00000000-0005-0000-0000-0000BCAE0000}"/>
    <cellStyle name="Normal 6 8 5 2 2" xfId="58901" xr:uid="{00000000-0005-0000-0000-0000BDAE0000}"/>
    <cellStyle name="Normal 6 8 5 2 3" xfId="58902" xr:uid="{00000000-0005-0000-0000-0000BEAE0000}"/>
    <cellStyle name="Normal 6 8 5 3" xfId="31853" xr:uid="{00000000-0005-0000-0000-0000BFAE0000}"/>
    <cellStyle name="Normal 6 8 5 3 2" xfId="58903" xr:uid="{00000000-0005-0000-0000-0000C0AE0000}"/>
    <cellStyle name="Normal 6 8 5 4" xfId="31854" xr:uid="{00000000-0005-0000-0000-0000C1AE0000}"/>
    <cellStyle name="Normal 6 8 5 5" xfId="31855" xr:uid="{00000000-0005-0000-0000-0000C2AE0000}"/>
    <cellStyle name="Normal 6 8 5 6" xfId="31856" xr:uid="{00000000-0005-0000-0000-0000C3AE0000}"/>
    <cellStyle name="Normal 6 8 6" xfId="31857" xr:uid="{00000000-0005-0000-0000-0000C4AE0000}"/>
    <cellStyle name="Normal 6 8 6 2" xfId="58904" xr:uid="{00000000-0005-0000-0000-0000C5AE0000}"/>
    <cellStyle name="Normal 6 8 6 3" xfId="58905" xr:uid="{00000000-0005-0000-0000-0000C6AE0000}"/>
    <cellStyle name="Normal 6 8 7" xfId="31858" xr:uid="{00000000-0005-0000-0000-0000C7AE0000}"/>
    <cellStyle name="Normal 6 8 7 2" xfId="58906" xr:uid="{00000000-0005-0000-0000-0000C8AE0000}"/>
    <cellStyle name="Normal 6 8 8" xfId="31859" xr:uid="{00000000-0005-0000-0000-0000C9AE0000}"/>
    <cellStyle name="Normal 6 8 9" xfId="31860" xr:uid="{00000000-0005-0000-0000-0000CAAE0000}"/>
    <cellStyle name="Normal 6 9" xfId="31861" xr:uid="{00000000-0005-0000-0000-0000CBAE0000}"/>
    <cellStyle name="Normal 6 9 10" xfId="31862" xr:uid="{00000000-0005-0000-0000-0000CCAE0000}"/>
    <cellStyle name="Normal 6 9 11" xfId="31863" xr:uid="{00000000-0005-0000-0000-0000CDAE0000}"/>
    <cellStyle name="Normal 6 9 12" xfId="31864" xr:uid="{00000000-0005-0000-0000-0000CEAE0000}"/>
    <cellStyle name="Normal 6 9 13" xfId="31865" xr:uid="{00000000-0005-0000-0000-0000CFAE0000}"/>
    <cellStyle name="Normal 6 9 2" xfId="31866" xr:uid="{00000000-0005-0000-0000-0000D0AE0000}"/>
    <cellStyle name="Normal 6 9 2 2" xfId="31867" xr:uid="{00000000-0005-0000-0000-0000D1AE0000}"/>
    <cellStyle name="Normal 6 9 2 2 2" xfId="31868" xr:uid="{00000000-0005-0000-0000-0000D2AE0000}"/>
    <cellStyle name="Normal 6 9 2 2 2 2" xfId="31869" xr:uid="{00000000-0005-0000-0000-0000D3AE0000}"/>
    <cellStyle name="Normal 6 9 2 2 2 2 2" xfId="58907" xr:uid="{00000000-0005-0000-0000-0000D4AE0000}"/>
    <cellStyle name="Normal 6 9 2 2 2 2 3" xfId="58908" xr:uid="{00000000-0005-0000-0000-0000D5AE0000}"/>
    <cellStyle name="Normal 6 9 2 2 2 3" xfId="31870" xr:uid="{00000000-0005-0000-0000-0000D6AE0000}"/>
    <cellStyle name="Normal 6 9 2 2 2 3 2" xfId="58909" xr:uid="{00000000-0005-0000-0000-0000D7AE0000}"/>
    <cellStyle name="Normal 6 9 2 2 2 4" xfId="31871" xr:uid="{00000000-0005-0000-0000-0000D8AE0000}"/>
    <cellStyle name="Normal 6 9 2 2 2 5" xfId="31872" xr:uid="{00000000-0005-0000-0000-0000D9AE0000}"/>
    <cellStyle name="Normal 6 9 2 2 2 6" xfId="31873" xr:uid="{00000000-0005-0000-0000-0000DAAE0000}"/>
    <cellStyle name="Normal 6 9 2 2 3" xfId="31874" xr:uid="{00000000-0005-0000-0000-0000DBAE0000}"/>
    <cellStyle name="Normal 6 9 2 2 3 2" xfId="58910" xr:uid="{00000000-0005-0000-0000-0000DCAE0000}"/>
    <cellStyle name="Normal 6 9 2 2 3 3" xfId="58911" xr:uid="{00000000-0005-0000-0000-0000DDAE0000}"/>
    <cellStyle name="Normal 6 9 2 2 4" xfId="31875" xr:uid="{00000000-0005-0000-0000-0000DEAE0000}"/>
    <cellStyle name="Normal 6 9 2 2 4 2" xfId="58912" xr:uid="{00000000-0005-0000-0000-0000DFAE0000}"/>
    <cellStyle name="Normal 6 9 2 2 5" xfId="31876" xr:uid="{00000000-0005-0000-0000-0000E0AE0000}"/>
    <cellStyle name="Normal 6 9 2 2 6" xfId="31877" xr:uid="{00000000-0005-0000-0000-0000E1AE0000}"/>
    <cellStyle name="Normal 6 9 2 2 7" xfId="31878" xr:uid="{00000000-0005-0000-0000-0000E2AE0000}"/>
    <cellStyle name="Normal 6 9 2 3" xfId="31879" xr:uid="{00000000-0005-0000-0000-0000E3AE0000}"/>
    <cellStyle name="Normal 6 9 2 3 2" xfId="31880" xr:uid="{00000000-0005-0000-0000-0000E4AE0000}"/>
    <cellStyle name="Normal 6 9 2 3 2 2" xfId="58913" xr:uid="{00000000-0005-0000-0000-0000E5AE0000}"/>
    <cellStyle name="Normal 6 9 2 3 2 3" xfId="58914" xr:uid="{00000000-0005-0000-0000-0000E6AE0000}"/>
    <cellStyle name="Normal 6 9 2 3 3" xfId="31881" xr:uid="{00000000-0005-0000-0000-0000E7AE0000}"/>
    <cellStyle name="Normal 6 9 2 3 3 2" xfId="58915" xr:uid="{00000000-0005-0000-0000-0000E8AE0000}"/>
    <cellStyle name="Normal 6 9 2 3 4" xfId="31882" xr:uid="{00000000-0005-0000-0000-0000E9AE0000}"/>
    <cellStyle name="Normal 6 9 2 3 5" xfId="31883" xr:uid="{00000000-0005-0000-0000-0000EAAE0000}"/>
    <cellStyle name="Normal 6 9 2 3 6" xfId="31884" xr:uid="{00000000-0005-0000-0000-0000EBAE0000}"/>
    <cellStyle name="Normal 6 9 2 4" xfId="31885" xr:uid="{00000000-0005-0000-0000-0000ECAE0000}"/>
    <cellStyle name="Normal 6 9 2 4 2" xfId="58916" xr:uid="{00000000-0005-0000-0000-0000EDAE0000}"/>
    <cellStyle name="Normal 6 9 2 4 3" xfId="58917" xr:uid="{00000000-0005-0000-0000-0000EEAE0000}"/>
    <cellStyle name="Normal 6 9 2 5" xfId="31886" xr:uid="{00000000-0005-0000-0000-0000EFAE0000}"/>
    <cellStyle name="Normal 6 9 2 5 2" xfId="58918" xr:uid="{00000000-0005-0000-0000-0000F0AE0000}"/>
    <cellStyle name="Normal 6 9 2 6" xfId="31887" xr:uid="{00000000-0005-0000-0000-0000F1AE0000}"/>
    <cellStyle name="Normal 6 9 2 7" xfId="31888" xr:uid="{00000000-0005-0000-0000-0000F2AE0000}"/>
    <cellStyle name="Normal 6 9 2 8" xfId="31889" xr:uid="{00000000-0005-0000-0000-0000F3AE0000}"/>
    <cellStyle name="Normal 6 9 2 9" xfId="31890" xr:uid="{00000000-0005-0000-0000-0000F4AE0000}"/>
    <cellStyle name="Normal 6 9 3" xfId="31891" xr:uid="{00000000-0005-0000-0000-0000F5AE0000}"/>
    <cellStyle name="Normal 6 9 3 2" xfId="31892" xr:uid="{00000000-0005-0000-0000-0000F6AE0000}"/>
    <cellStyle name="Normal 6 9 3 2 2" xfId="31893" xr:uid="{00000000-0005-0000-0000-0000F7AE0000}"/>
    <cellStyle name="Normal 6 9 3 2 2 2" xfId="58919" xr:uid="{00000000-0005-0000-0000-0000F8AE0000}"/>
    <cellStyle name="Normal 6 9 3 2 2 3" xfId="58920" xr:uid="{00000000-0005-0000-0000-0000F9AE0000}"/>
    <cellStyle name="Normal 6 9 3 2 3" xfId="31894" xr:uid="{00000000-0005-0000-0000-0000FAAE0000}"/>
    <cellStyle name="Normal 6 9 3 2 3 2" xfId="58921" xr:uid="{00000000-0005-0000-0000-0000FBAE0000}"/>
    <cellStyle name="Normal 6 9 3 2 4" xfId="31895" xr:uid="{00000000-0005-0000-0000-0000FCAE0000}"/>
    <cellStyle name="Normal 6 9 3 2 5" xfId="31896" xr:uid="{00000000-0005-0000-0000-0000FDAE0000}"/>
    <cellStyle name="Normal 6 9 3 2 6" xfId="31897" xr:uid="{00000000-0005-0000-0000-0000FEAE0000}"/>
    <cellStyle name="Normal 6 9 3 3" xfId="31898" xr:uid="{00000000-0005-0000-0000-0000FFAE0000}"/>
    <cellStyle name="Normal 6 9 3 3 2" xfId="58922" xr:uid="{00000000-0005-0000-0000-000000AF0000}"/>
    <cellStyle name="Normal 6 9 3 3 3" xfId="58923" xr:uid="{00000000-0005-0000-0000-000001AF0000}"/>
    <cellStyle name="Normal 6 9 3 4" xfId="31899" xr:uid="{00000000-0005-0000-0000-000002AF0000}"/>
    <cellStyle name="Normal 6 9 3 4 2" xfId="58924" xr:uid="{00000000-0005-0000-0000-000003AF0000}"/>
    <cellStyle name="Normal 6 9 3 5" xfId="31900" xr:uid="{00000000-0005-0000-0000-000004AF0000}"/>
    <cellStyle name="Normal 6 9 3 6" xfId="31901" xr:uid="{00000000-0005-0000-0000-000005AF0000}"/>
    <cellStyle name="Normal 6 9 3 7" xfId="31902" xr:uid="{00000000-0005-0000-0000-000006AF0000}"/>
    <cellStyle name="Normal 6 9 4" xfId="31903" xr:uid="{00000000-0005-0000-0000-000007AF0000}"/>
    <cellStyle name="Normal 6 9 4 2" xfId="31904" xr:uid="{00000000-0005-0000-0000-000008AF0000}"/>
    <cellStyle name="Normal 6 9 4 2 2" xfId="58925" xr:uid="{00000000-0005-0000-0000-000009AF0000}"/>
    <cellStyle name="Normal 6 9 4 2 3" xfId="58926" xr:uid="{00000000-0005-0000-0000-00000AAF0000}"/>
    <cellStyle name="Normal 6 9 4 3" xfId="31905" xr:uid="{00000000-0005-0000-0000-00000BAF0000}"/>
    <cellStyle name="Normal 6 9 4 3 2" xfId="58927" xr:uid="{00000000-0005-0000-0000-00000CAF0000}"/>
    <cellStyle name="Normal 6 9 4 4" xfId="31906" xr:uid="{00000000-0005-0000-0000-00000DAF0000}"/>
    <cellStyle name="Normal 6 9 4 5" xfId="31907" xr:uid="{00000000-0005-0000-0000-00000EAF0000}"/>
    <cellStyle name="Normal 6 9 4 6" xfId="31908" xr:uid="{00000000-0005-0000-0000-00000FAF0000}"/>
    <cellStyle name="Normal 6 9 5" xfId="31909" xr:uid="{00000000-0005-0000-0000-000010AF0000}"/>
    <cellStyle name="Normal 6 9 5 2" xfId="58928" xr:uid="{00000000-0005-0000-0000-000011AF0000}"/>
    <cellStyle name="Normal 6 9 5 3" xfId="58929" xr:uid="{00000000-0005-0000-0000-000012AF0000}"/>
    <cellStyle name="Normal 6 9 6" xfId="31910" xr:uid="{00000000-0005-0000-0000-000013AF0000}"/>
    <cellStyle name="Normal 6 9 6 2" xfId="58930" xr:uid="{00000000-0005-0000-0000-000014AF0000}"/>
    <cellStyle name="Normal 6 9 7" xfId="31911" xr:uid="{00000000-0005-0000-0000-000015AF0000}"/>
    <cellStyle name="Normal 6 9 8" xfId="31912" xr:uid="{00000000-0005-0000-0000-000016AF0000}"/>
    <cellStyle name="Normal 6 9 9" xfId="31913" xr:uid="{00000000-0005-0000-0000-000017AF0000}"/>
    <cellStyle name="Normal 60" xfId="31914" xr:uid="{00000000-0005-0000-0000-000018AF0000}"/>
    <cellStyle name="Normal 60 10" xfId="31915" xr:uid="{00000000-0005-0000-0000-000019AF0000}"/>
    <cellStyle name="Normal 60 10 2" xfId="31916" xr:uid="{00000000-0005-0000-0000-00001AAF0000}"/>
    <cellStyle name="Normal 60 11" xfId="31917" xr:uid="{00000000-0005-0000-0000-00001BAF0000}"/>
    <cellStyle name="Normal 60 11 2" xfId="31918" xr:uid="{00000000-0005-0000-0000-00001CAF0000}"/>
    <cellStyle name="Normal 60 12" xfId="31919" xr:uid="{00000000-0005-0000-0000-00001DAF0000}"/>
    <cellStyle name="Normal 60 13" xfId="31920" xr:uid="{00000000-0005-0000-0000-00001EAF0000}"/>
    <cellStyle name="Normal 60 2" xfId="31921" xr:uid="{00000000-0005-0000-0000-00001FAF0000}"/>
    <cellStyle name="Normal 60 2 10" xfId="31922" xr:uid="{00000000-0005-0000-0000-000020AF0000}"/>
    <cellStyle name="Normal 60 2 10 2" xfId="31923" xr:uid="{00000000-0005-0000-0000-000021AF0000}"/>
    <cellStyle name="Normal 60 2 11" xfId="31924" xr:uid="{00000000-0005-0000-0000-000022AF0000}"/>
    <cellStyle name="Normal 60 2 12" xfId="31925" xr:uid="{00000000-0005-0000-0000-000023AF0000}"/>
    <cellStyle name="Normal 60 2 2" xfId="31926" xr:uid="{00000000-0005-0000-0000-000024AF0000}"/>
    <cellStyle name="Normal 60 2 2 2" xfId="31927" xr:uid="{00000000-0005-0000-0000-000025AF0000}"/>
    <cellStyle name="Normal 60 2 2 2 2" xfId="31928" xr:uid="{00000000-0005-0000-0000-000026AF0000}"/>
    <cellStyle name="Normal 60 2 2 2 2 2" xfId="31929" xr:uid="{00000000-0005-0000-0000-000027AF0000}"/>
    <cellStyle name="Normal 60 2 2 2 3" xfId="31930" xr:uid="{00000000-0005-0000-0000-000028AF0000}"/>
    <cellStyle name="Normal 60 2 2 2 3 2" xfId="31931" xr:uid="{00000000-0005-0000-0000-000029AF0000}"/>
    <cellStyle name="Normal 60 2 2 2 4" xfId="31932" xr:uid="{00000000-0005-0000-0000-00002AAF0000}"/>
    <cellStyle name="Normal 60 2 2 3" xfId="31933" xr:uid="{00000000-0005-0000-0000-00002BAF0000}"/>
    <cellStyle name="Normal 60 2 2 3 2" xfId="31934" xr:uid="{00000000-0005-0000-0000-00002CAF0000}"/>
    <cellStyle name="Normal 60 2 2 3 2 2" xfId="31935" xr:uid="{00000000-0005-0000-0000-00002DAF0000}"/>
    <cellStyle name="Normal 60 2 2 3 3" xfId="31936" xr:uid="{00000000-0005-0000-0000-00002EAF0000}"/>
    <cellStyle name="Normal 60 2 2 3 3 2" xfId="31937" xr:uid="{00000000-0005-0000-0000-00002FAF0000}"/>
    <cellStyle name="Normal 60 2 2 3 4" xfId="31938" xr:uid="{00000000-0005-0000-0000-000030AF0000}"/>
    <cellStyle name="Normal 60 2 2 4" xfId="31939" xr:uid="{00000000-0005-0000-0000-000031AF0000}"/>
    <cellStyle name="Normal 60 2 2 4 2" xfId="31940" xr:uid="{00000000-0005-0000-0000-000032AF0000}"/>
    <cellStyle name="Normal 60 2 2 5" xfId="31941" xr:uid="{00000000-0005-0000-0000-000033AF0000}"/>
    <cellStyle name="Normal 60 2 2 5 2" xfId="31942" xr:uid="{00000000-0005-0000-0000-000034AF0000}"/>
    <cellStyle name="Normal 60 2 2 6" xfId="31943" xr:uid="{00000000-0005-0000-0000-000035AF0000}"/>
    <cellStyle name="Normal 60 2 3" xfId="31944" xr:uid="{00000000-0005-0000-0000-000036AF0000}"/>
    <cellStyle name="Normal 60 2 3 2" xfId="31945" xr:uid="{00000000-0005-0000-0000-000037AF0000}"/>
    <cellStyle name="Normal 60 2 3 2 2" xfId="31946" xr:uid="{00000000-0005-0000-0000-000038AF0000}"/>
    <cellStyle name="Normal 60 2 3 3" xfId="31947" xr:uid="{00000000-0005-0000-0000-000039AF0000}"/>
    <cellStyle name="Normal 60 2 3 3 2" xfId="31948" xr:uid="{00000000-0005-0000-0000-00003AAF0000}"/>
    <cellStyle name="Normal 60 2 3 4" xfId="31949" xr:uid="{00000000-0005-0000-0000-00003BAF0000}"/>
    <cellStyle name="Normal 60 2 4" xfId="31950" xr:uid="{00000000-0005-0000-0000-00003CAF0000}"/>
    <cellStyle name="Normal 60 2 4 2" xfId="31951" xr:uid="{00000000-0005-0000-0000-00003DAF0000}"/>
    <cellStyle name="Normal 60 2 4 2 2" xfId="31952" xr:uid="{00000000-0005-0000-0000-00003EAF0000}"/>
    <cellStyle name="Normal 60 2 4 3" xfId="31953" xr:uid="{00000000-0005-0000-0000-00003FAF0000}"/>
    <cellStyle name="Normal 60 2 4 3 2" xfId="31954" xr:uid="{00000000-0005-0000-0000-000040AF0000}"/>
    <cellStyle name="Normal 60 2 4 4" xfId="31955" xr:uid="{00000000-0005-0000-0000-000041AF0000}"/>
    <cellStyle name="Normal 60 2 5" xfId="31956" xr:uid="{00000000-0005-0000-0000-000042AF0000}"/>
    <cellStyle name="Normal 60 2 5 2" xfId="31957" xr:uid="{00000000-0005-0000-0000-000043AF0000}"/>
    <cellStyle name="Normal 60 2 5 2 2" xfId="31958" xr:uid="{00000000-0005-0000-0000-000044AF0000}"/>
    <cellStyle name="Normal 60 2 5 3" xfId="31959" xr:uid="{00000000-0005-0000-0000-000045AF0000}"/>
    <cellStyle name="Normal 60 2 5 3 2" xfId="31960" xr:uid="{00000000-0005-0000-0000-000046AF0000}"/>
    <cellStyle name="Normal 60 2 5 4" xfId="31961" xr:uid="{00000000-0005-0000-0000-000047AF0000}"/>
    <cellStyle name="Normal 60 2 6" xfId="31962" xr:uid="{00000000-0005-0000-0000-000048AF0000}"/>
    <cellStyle name="Normal 60 2 6 2" xfId="31963" xr:uid="{00000000-0005-0000-0000-000049AF0000}"/>
    <cellStyle name="Normal 60 2 6 2 2" xfId="31964" xr:uid="{00000000-0005-0000-0000-00004AAF0000}"/>
    <cellStyle name="Normal 60 2 6 3" xfId="31965" xr:uid="{00000000-0005-0000-0000-00004BAF0000}"/>
    <cellStyle name="Normal 60 2 6 3 2" xfId="31966" xr:uid="{00000000-0005-0000-0000-00004CAF0000}"/>
    <cellStyle name="Normal 60 2 6 4" xfId="31967" xr:uid="{00000000-0005-0000-0000-00004DAF0000}"/>
    <cellStyle name="Normal 60 2 7" xfId="31968" xr:uid="{00000000-0005-0000-0000-00004EAF0000}"/>
    <cellStyle name="Normal 60 2 7 2" xfId="31969" xr:uid="{00000000-0005-0000-0000-00004FAF0000}"/>
    <cellStyle name="Normal 60 2 7 2 2" xfId="31970" xr:uid="{00000000-0005-0000-0000-000050AF0000}"/>
    <cellStyle name="Normal 60 2 7 3" xfId="31971" xr:uid="{00000000-0005-0000-0000-000051AF0000}"/>
    <cellStyle name="Normal 60 2 7 3 2" xfId="31972" xr:uid="{00000000-0005-0000-0000-000052AF0000}"/>
    <cellStyle name="Normal 60 2 7 4" xfId="31973" xr:uid="{00000000-0005-0000-0000-000053AF0000}"/>
    <cellStyle name="Normal 60 2 8" xfId="31974" xr:uid="{00000000-0005-0000-0000-000054AF0000}"/>
    <cellStyle name="Normal 60 2 8 2" xfId="31975" xr:uid="{00000000-0005-0000-0000-000055AF0000}"/>
    <cellStyle name="Normal 60 2 8 2 2" xfId="31976" xr:uid="{00000000-0005-0000-0000-000056AF0000}"/>
    <cellStyle name="Normal 60 2 8 3" xfId="31977" xr:uid="{00000000-0005-0000-0000-000057AF0000}"/>
    <cellStyle name="Normal 60 2 9" xfId="31978" xr:uid="{00000000-0005-0000-0000-000058AF0000}"/>
    <cellStyle name="Normal 60 2 9 2" xfId="31979" xr:uid="{00000000-0005-0000-0000-000059AF0000}"/>
    <cellStyle name="Normal 60 3" xfId="31980" xr:uid="{00000000-0005-0000-0000-00005AAF0000}"/>
    <cellStyle name="Normal 60 3 2" xfId="31981" xr:uid="{00000000-0005-0000-0000-00005BAF0000}"/>
    <cellStyle name="Normal 60 3 2 2" xfId="31982" xr:uid="{00000000-0005-0000-0000-00005CAF0000}"/>
    <cellStyle name="Normal 60 3 2 2 2" xfId="31983" xr:uid="{00000000-0005-0000-0000-00005DAF0000}"/>
    <cellStyle name="Normal 60 3 2 3" xfId="31984" xr:uid="{00000000-0005-0000-0000-00005EAF0000}"/>
    <cellStyle name="Normal 60 3 2 3 2" xfId="31985" xr:uid="{00000000-0005-0000-0000-00005FAF0000}"/>
    <cellStyle name="Normal 60 3 2 4" xfId="31986" xr:uid="{00000000-0005-0000-0000-000060AF0000}"/>
    <cellStyle name="Normal 60 3 3" xfId="31987" xr:uid="{00000000-0005-0000-0000-000061AF0000}"/>
    <cellStyle name="Normal 60 3 3 2" xfId="31988" xr:uid="{00000000-0005-0000-0000-000062AF0000}"/>
    <cellStyle name="Normal 60 3 3 2 2" xfId="31989" xr:uid="{00000000-0005-0000-0000-000063AF0000}"/>
    <cellStyle name="Normal 60 3 3 3" xfId="31990" xr:uid="{00000000-0005-0000-0000-000064AF0000}"/>
    <cellStyle name="Normal 60 3 3 3 2" xfId="31991" xr:uid="{00000000-0005-0000-0000-000065AF0000}"/>
    <cellStyle name="Normal 60 3 3 4" xfId="31992" xr:uid="{00000000-0005-0000-0000-000066AF0000}"/>
    <cellStyle name="Normal 60 3 4" xfId="31993" xr:uid="{00000000-0005-0000-0000-000067AF0000}"/>
    <cellStyle name="Normal 60 3 4 2" xfId="31994" xr:uid="{00000000-0005-0000-0000-000068AF0000}"/>
    <cellStyle name="Normal 60 3 5" xfId="31995" xr:uid="{00000000-0005-0000-0000-000069AF0000}"/>
    <cellStyle name="Normal 60 3 5 2" xfId="31996" xr:uid="{00000000-0005-0000-0000-00006AAF0000}"/>
    <cellStyle name="Normal 60 3 6" xfId="31997" xr:uid="{00000000-0005-0000-0000-00006BAF0000}"/>
    <cellStyle name="Normal 60 4" xfId="31998" xr:uid="{00000000-0005-0000-0000-00006CAF0000}"/>
    <cellStyle name="Normal 60 4 2" xfId="31999" xr:uid="{00000000-0005-0000-0000-00006DAF0000}"/>
    <cellStyle name="Normal 60 4 2 2" xfId="32000" xr:uid="{00000000-0005-0000-0000-00006EAF0000}"/>
    <cellStyle name="Normal 60 4 3" xfId="32001" xr:uid="{00000000-0005-0000-0000-00006FAF0000}"/>
    <cellStyle name="Normal 60 4 3 2" xfId="32002" xr:uid="{00000000-0005-0000-0000-000070AF0000}"/>
    <cellStyle name="Normal 60 4 4" xfId="32003" xr:uid="{00000000-0005-0000-0000-000071AF0000}"/>
    <cellStyle name="Normal 60 5" xfId="32004" xr:uid="{00000000-0005-0000-0000-000072AF0000}"/>
    <cellStyle name="Normal 60 5 2" xfId="32005" xr:uid="{00000000-0005-0000-0000-000073AF0000}"/>
    <cellStyle name="Normal 60 5 2 2" xfId="32006" xr:uid="{00000000-0005-0000-0000-000074AF0000}"/>
    <cellStyle name="Normal 60 5 3" xfId="32007" xr:uid="{00000000-0005-0000-0000-000075AF0000}"/>
    <cellStyle name="Normal 60 5 3 2" xfId="32008" xr:uid="{00000000-0005-0000-0000-000076AF0000}"/>
    <cellStyle name="Normal 60 5 4" xfId="32009" xr:uid="{00000000-0005-0000-0000-000077AF0000}"/>
    <cellStyle name="Normal 60 6" xfId="32010" xr:uid="{00000000-0005-0000-0000-000078AF0000}"/>
    <cellStyle name="Normal 60 6 2" xfId="32011" xr:uid="{00000000-0005-0000-0000-000079AF0000}"/>
    <cellStyle name="Normal 60 6 2 2" xfId="32012" xr:uid="{00000000-0005-0000-0000-00007AAF0000}"/>
    <cellStyle name="Normal 60 6 3" xfId="32013" xr:uid="{00000000-0005-0000-0000-00007BAF0000}"/>
    <cellStyle name="Normal 60 6 3 2" xfId="32014" xr:uid="{00000000-0005-0000-0000-00007CAF0000}"/>
    <cellStyle name="Normal 60 6 4" xfId="32015" xr:uid="{00000000-0005-0000-0000-00007DAF0000}"/>
    <cellStyle name="Normal 60 7" xfId="32016" xr:uid="{00000000-0005-0000-0000-00007EAF0000}"/>
    <cellStyle name="Normal 60 7 2" xfId="32017" xr:uid="{00000000-0005-0000-0000-00007FAF0000}"/>
    <cellStyle name="Normal 60 7 2 2" xfId="32018" xr:uid="{00000000-0005-0000-0000-000080AF0000}"/>
    <cellStyle name="Normal 60 7 3" xfId="32019" xr:uid="{00000000-0005-0000-0000-000081AF0000}"/>
    <cellStyle name="Normal 60 7 3 2" xfId="32020" xr:uid="{00000000-0005-0000-0000-000082AF0000}"/>
    <cellStyle name="Normal 60 7 4" xfId="32021" xr:uid="{00000000-0005-0000-0000-000083AF0000}"/>
    <cellStyle name="Normal 60 8" xfId="32022" xr:uid="{00000000-0005-0000-0000-000084AF0000}"/>
    <cellStyle name="Normal 60 8 2" xfId="32023" xr:uid="{00000000-0005-0000-0000-000085AF0000}"/>
    <cellStyle name="Normal 60 8 2 2" xfId="32024" xr:uid="{00000000-0005-0000-0000-000086AF0000}"/>
    <cellStyle name="Normal 60 8 3" xfId="32025" xr:uid="{00000000-0005-0000-0000-000087AF0000}"/>
    <cellStyle name="Normal 60 8 3 2" xfId="32026" xr:uid="{00000000-0005-0000-0000-000088AF0000}"/>
    <cellStyle name="Normal 60 8 4" xfId="32027" xr:uid="{00000000-0005-0000-0000-000089AF0000}"/>
    <cellStyle name="Normal 60 9" xfId="32028" xr:uid="{00000000-0005-0000-0000-00008AAF0000}"/>
    <cellStyle name="Normal 60 9 2" xfId="32029" xr:uid="{00000000-0005-0000-0000-00008BAF0000}"/>
    <cellStyle name="Normal 60 9 2 2" xfId="32030" xr:uid="{00000000-0005-0000-0000-00008CAF0000}"/>
    <cellStyle name="Normal 60 9 3" xfId="32031" xr:uid="{00000000-0005-0000-0000-00008DAF0000}"/>
    <cellStyle name="Normal 61" xfId="32032" xr:uid="{00000000-0005-0000-0000-00008EAF0000}"/>
    <cellStyle name="Normal 61 10" xfId="32033" xr:uid="{00000000-0005-0000-0000-00008FAF0000}"/>
    <cellStyle name="Normal 61 10 2" xfId="32034" xr:uid="{00000000-0005-0000-0000-000090AF0000}"/>
    <cellStyle name="Normal 61 11" xfId="32035" xr:uid="{00000000-0005-0000-0000-000091AF0000}"/>
    <cellStyle name="Normal 61 11 2" xfId="32036" xr:uid="{00000000-0005-0000-0000-000092AF0000}"/>
    <cellStyle name="Normal 61 12" xfId="32037" xr:uid="{00000000-0005-0000-0000-000093AF0000}"/>
    <cellStyle name="Normal 61 13" xfId="32038" xr:uid="{00000000-0005-0000-0000-000094AF0000}"/>
    <cellStyle name="Normal 61 2" xfId="32039" xr:uid="{00000000-0005-0000-0000-000095AF0000}"/>
    <cellStyle name="Normal 61 2 10" xfId="32040" xr:uid="{00000000-0005-0000-0000-000096AF0000}"/>
    <cellStyle name="Normal 61 2 10 2" xfId="32041" xr:uid="{00000000-0005-0000-0000-000097AF0000}"/>
    <cellStyle name="Normal 61 2 11" xfId="32042" xr:uid="{00000000-0005-0000-0000-000098AF0000}"/>
    <cellStyle name="Normal 61 2 12" xfId="32043" xr:uid="{00000000-0005-0000-0000-000099AF0000}"/>
    <cellStyle name="Normal 61 2 2" xfId="32044" xr:uid="{00000000-0005-0000-0000-00009AAF0000}"/>
    <cellStyle name="Normal 61 2 2 2" xfId="32045" xr:uid="{00000000-0005-0000-0000-00009BAF0000}"/>
    <cellStyle name="Normal 61 2 2 2 2" xfId="32046" xr:uid="{00000000-0005-0000-0000-00009CAF0000}"/>
    <cellStyle name="Normal 61 2 2 2 2 2" xfId="32047" xr:uid="{00000000-0005-0000-0000-00009DAF0000}"/>
    <cellStyle name="Normal 61 2 2 2 3" xfId="32048" xr:uid="{00000000-0005-0000-0000-00009EAF0000}"/>
    <cellStyle name="Normal 61 2 2 2 3 2" xfId="32049" xr:uid="{00000000-0005-0000-0000-00009FAF0000}"/>
    <cellStyle name="Normal 61 2 2 2 4" xfId="32050" xr:uid="{00000000-0005-0000-0000-0000A0AF0000}"/>
    <cellStyle name="Normal 61 2 2 3" xfId="32051" xr:uid="{00000000-0005-0000-0000-0000A1AF0000}"/>
    <cellStyle name="Normal 61 2 2 3 2" xfId="32052" xr:uid="{00000000-0005-0000-0000-0000A2AF0000}"/>
    <cellStyle name="Normal 61 2 2 3 2 2" xfId="32053" xr:uid="{00000000-0005-0000-0000-0000A3AF0000}"/>
    <cellStyle name="Normal 61 2 2 3 3" xfId="32054" xr:uid="{00000000-0005-0000-0000-0000A4AF0000}"/>
    <cellStyle name="Normal 61 2 2 3 3 2" xfId="32055" xr:uid="{00000000-0005-0000-0000-0000A5AF0000}"/>
    <cellStyle name="Normal 61 2 2 3 4" xfId="32056" xr:uid="{00000000-0005-0000-0000-0000A6AF0000}"/>
    <cellStyle name="Normal 61 2 2 4" xfId="32057" xr:uid="{00000000-0005-0000-0000-0000A7AF0000}"/>
    <cellStyle name="Normal 61 2 2 4 2" xfId="32058" xr:uid="{00000000-0005-0000-0000-0000A8AF0000}"/>
    <cellStyle name="Normal 61 2 2 5" xfId="32059" xr:uid="{00000000-0005-0000-0000-0000A9AF0000}"/>
    <cellStyle name="Normal 61 2 2 5 2" xfId="32060" xr:uid="{00000000-0005-0000-0000-0000AAAF0000}"/>
    <cellStyle name="Normal 61 2 2 6" xfId="32061" xr:uid="{00000000-0005-0000-0000-0000ABAF0000}"/>
    <cellStyle name="Normal 61 2 3" xfId="32062" xr:uid="{00000000-0005-0000-0000-0000ACAF0000}"/>
    <cellStyle name="Normal 61 2 3 2" xfId="32063" xr:uid="{00000000-0005-0000-0000-0000ADAF0000}"/>
    <cellStyle name="Normal 61 2 3 2 2" xfId="32064" xr:uid="{00000000-0005-0000-0000-0000AEAF0000}"/>
    <cellStyle name="Normal 61 2 3 3" xfId="32065" xr:uid="{00000000-0005-0000-0000-0000AFAF0000}"/>
    <cellStyle name="Normal 61 2 3 3 2" xfId="32066" xr:uid="{00000000-0005-0000-0000-0000B0AF0000}"/>
    <cellStyle name="Normal 61 2 3 4" xfId="32067" xr:uid="{00000000-0005-0000-0000-0000B1AF0000}"/>
    <cellStyle name="Normal 61 2 4" xfId="32068" xr:uid="{00000000-0005-0000-0000-0000B2AF0000}"/>
    <cellStyle name="Normal 61 2 4 2" xfId="32069" xr:uid="{00000000-0005-0000-0000-0000B3AF0000}"/>
    <cellStyle name="Normal 61 2 4 2 2" xfId="32070" xr:uid="{00000000-0005-0000-0000-0000B4AF0000}"/>
    <cellStyle name="Normal 61 2 4 3" xfId="32071" xr:uid="{00000000-0005-0000-0000-0000B5AF0000}"/>
    <cellStyle name="Normal 61 2 4 3 2" xfId="32072" xr:uid="{00000000-0005-0000-0000-0000B6AF0000}"/>
    <cellStyle name="Normal 61 2 4 4" xfId="32073" xr:uid="{00000000-0005-0000-0000-0000B7AF0000}"/>
    <cellStyle name="Normal 61 2 5" xfId="32074" xr:uid="{00000000-0005-0000-0000-0000B8AF0000}"/>
    <cellStyle name="Normal 61 2 5 2" xfId="32075" xr:uid="{00000000-0005-0000-0000-0000B9AF0000}"/>
    <cellStyle name="Normal 61 2 5 2 2" xfId="32076" xr:uid="{00000000-0005-0000-0000-0000BAAF0000}"/>
    <cellStyle name="Normal 61 2 5 3" xfId="32077" xr:uid="{00000000-0005-0000-0000-0000BBAF0000}"/>
    <cellStyle name="Normal 61 2 5 3 2" xfId="32078" xr:uid="{00000000-0005-0000-0000-0000BCAF0000}"/>
    <cellStyle name="Normal 61 2 5 4" xfId="32079" xr:uid="{00000000-0005-0000-0000-0000BDAF0000}"/>
    <cellStyle name="Normal 61 2 6" xfId="32080" xr:uid="{00000000-0005-0000-0000-0000BEAF0000}"/>
    <cellStyle name="Normal 61 2 6 2" xfId="32081" xr:uid="{00000000-0005-0000-0000-0000BFAF0000}"/>
    <cellStyle name="Normal 61 2 6 2 2" xfId="32082" xr:uid="{00000000-0005-0000-0000-0000C0AF0000}"/>
    <cellStyle name="Normal 61 2 6 3" xfId="32083" xr:uid="{00000000-0005-0000-0000-0000C1AF0000}"/>
    <cellStyle name="Normal 61 2 6 3 2" xfId="32084" xr:uid="{00000000-0005-0000-0000-0000C2AF0000}"/>
    <cellStyle name="Normal 61 2 6 4" xfId="32085" xr:uid="{00000000-0005-0000-0000-0000C3AF0000}"/>
    <cellStyle name="Normal 61 2 7" xfId="32086" xr:uid="{00000000-0005-0000-0000-0000C4AF0000}"/>
    <cellStyle name="Normal 61 2 7 2" xfId="32087" xr:uid="{00000000-0005-0000-0000-0000C5AF0000}"/>
    <cellStyle name="Normal 61 2 7 2 2" xfId="32088" xr:uid="{00000000-0005-0000-0000-0000C6AF0000}"/>
    <cellStyle name="Normal 61 2 7 3" xfId="32089" xr:uid="{00000000-0005-0000-0000-0000C7AF0000}"/>
    <cellStyle name="Normal 61 2 7 3 2" xfId="32090" xr:uid="{00000000-0005-0000-0000-0000C8AF0000}"/>
    <cellStyle name="Normal 61 2 7 4" xfId="32091" xr:uid="{00000000-0005-0000-0000-0000C9AF0000}"/>
    <cellStyle name="Normal 61 2 8" xfId="32092" xr:uid="{00000000-0005-0000-0000-0000CAAF0000}"/>
    <cellStyle name="Normal 61 2 8 2" xfId="32093" xr:uid="{00000000-0005-0000-0000-0000CBAF0000}"/>
    <cellStyle name="Normal 61 2 8 2 2" xfId="32094" xr:uid="{00000000-0005-0000-0000-0000CCAF0000}"/>
    <cellStyle name="Normal 61 2 8 3" xfId="32095" xr:uid="{00000000-0005-0000-0000-0000CDAF0000}"/>
    <cellStyle name="Normal 61 2 9" xfId="32096" xr:uid="{00000000-0005-0000-0000-0000CEAF0000}"/>
    <cellStyle name="Normal 61 2 9 2" xfId="32097" xr:uid="{00000000-0005-0000-0000-0000CFAF0000}"/>
    <cellStyle name="Normal 61 3" xfId="32098" xr:uid="{00000000-0005-0000-0000-0000D0AF0000}"/>
    <cellStyle name="Normal 61 3 2" xfId="32099" xr:uid="{00000000-0005-0000-0000-0000D1AF0000}"/>
    <cellStyle name="Normal 61 3 2 2" xfId="32100" xr:uid="{00000000-0005-0000-0000-0000D2AF0000}"/>
    <cellStyle name="Normal 61 3 2 2 2" xfId="32101" xr:uid="{00000000-0005-0000-0000-0000D3AF0000}"/>
    <cellStyle name="Normal 61 3 2 3" xfId="32102" xr:uid="{00000000-0005-0000-0000-0000D4AF0000}"/>
    <cellStyle name="Normal 61 3 2 3 2" xfId="32103" xr:uid="{00000000-0005-0000-0000-0000D5AF0000}"/>
    <cellStyle name="Normal 61 3 2 4" xfId="32104" xr:uid="{00000000-0005-0000-0000-0000D6AF0000}"/>
    <cellStyle name="Normal 61 3 3" xfId="32105" xr:uid="{00000000-0005-0000-0000-0000D7AF0000}"/>
    <cellStyle name="Normal 61 3 3 2" xfId="32106" xr:uid="{00000000-0005-0000-0000-0000D8AF0000}"/>
    <cellStyle name="Normal 61 3 3 2 2" xfId="32107" xr:uid="{00000000-0005-0000-0000-0000D9AF0000}"/>
    <cellStyle name="Normal 61 3 3 3" xfId="32108" xr:uid="{00000000-0005-0000-0000-0000DAAF0000}"/>
    <cellStyle name="Normal 61 3 3 3 2" xfId="32109" xr:uid="{00000000-0005-0000-0000-0000DBAF0000}"/>
    <cellStyle name="Normal 61 3 3 4" xfId="32110" xr:uid="{00000000-0005-0000-0000-0000DCAF0000}"/>
    <cellStyle name="Normal 61 3 4" xfId="32111" xr:uid="{00000000-0005-0000-0000-0000DDAF0000}"/>
    <cellStyle name="Normal 61 3 4 2" xfId="32112" xr:uid="{00000000-0005-0000-0000-0000DEAF0000}"/>
    <cellStyle name="Normal 61 3 5" xfId="32113" xr:uid="{00000000-0005-0000-0000-0000DFAF0000}"/>
    <cellStyle name="Normal 61 3 5 2" xfId="32114" xr:uid="{00000000-0005-0000-0000-0000E0AF0000}"/>
    <cellStyle name="Normal 61 3 6" xfId="32115" xr:uid="{00000000-0005-0000-0000-0000E1AF0000}"/>
    <cellStyle name="Normal 61 4" xfId="32116" xr:uid="{00000000-0005-0000-0000-0000E2AF0000}"/>
    <cellStyle name="Normal 61 4 2" xfId="32117" xr:uid="{00000000-0005-0000-0000-0000E3AF0000}"/>
    <cellStyle name="Normal 61 4 2 2" xfId="32118" xr:uid="{00000000-0005-0000-0000-0000E4AF0000}"/>
    <cellStyle name="Normal 61 4 3" xfId="32119" xr:uid="{00000000-0005-0000-0000-0000E5AF0000}"/>
    <cellStyle name="Normal 61 4 3 2" xfId="32120" xr:uid="{00000000-0005-0000-0000-0000E6AF0000}"/>
    <cellStyle name="Normal 61 4 4" xfId="32121" xr:uid="{00000000-0005-0000-0000-0000E7AF0000}"/>
    <cellStyle name="Normal 61 5" xfId="32122" xr:uid="{00000000-0005-0000-0000-0000E8AF0000}"/>
    <cellStyle name="Normal 61 5 2" xfId="32123" xr:uid="{00000000-0005-0000-0000-0000E9AF0000}"/>
    <cellStyle name="Normal 61 5 2 2" xfId="32124" xr:uid="{00000000-0005-0000-0000-0000EAAF0000}"/>
    <cellStyle name="Normal 61 5 3" xfId="32125" xr:uid="{00000000-0005-0000-0000-0000EBAF0000}"/>
    <cellStyle name="Normal 61 5 3 2" xfId="32126" xr:uid="{00000000-0005-0000-0000-0000ECAF0000}"/>
    <cellStyle name="Normal 61 5 4" xfId="32127" xr:uid="{00000000-0005-0000-0000-0000EDAF0000}"/>
    <cellStyle name="Normal 61 6" xfId="32128" xr:uid="{00000000-0005-0000-0000-0000EEAF0000}"/>
    <cellStyle name="Normal 61 6 2" xfId="32129" xr:uid="{00000000-0005-0000-0000-0000EFAF0000}"/>
    <cellStyle name="Normal 61 6 2 2" xfId="32130" xr:uid="{00000000-0005-0000-0000-0000F0AF0000}"/>
    <cellStyle name="Normal 61 6 3" xfId="32131" xr:uid="{00000000-0005-0000-0000-0000F1AF0000}"/>
    <cellStyle name="Normal 61 6 3 2" xfId="32132" xr:uid="{00000000-0005-0000-0000-0000F2AF0000}"/>
    <cellStyle name="Normal 61 6 4" xfId="32133" xr:uid="{00000000-0005-0000-0000-0000F3AF0000}"/>
    <cellStyle name="Normal 61 7" xfId="32134" xr:uid="{00000000-0005-0000-0000-0000F4AF0000}"/>
    <cellStyle name="Normal 61 7 2" xfId="32135" xr:uid="{00000000-0005-0000-0000-0000F5AF0000}"/>
    <cellStyle name="Normal 61 7 2 2" xfId="32136" xr:uid="{00000000-0005-0000-0000-0000F6AF0000}"/>
    <cellStyle name="Normal 61 7 3" xfId="32137" xr:uid="{00000000-0005-0000-0000-0000F7AF0000}"/>
    <cellStyle name="Normal 61 7 3 2" xfId="32138" xr:uid="{00000000-0005-0000-0000-0000F8AF0000}"/>
    <cellStyle name="Normal 61 7 4" xfId="32139" xr:uid="{00000000-0005-0000-0000-0000F9AF0000}"/>
    <cellStyle name="Normal 61 8" xfId="32140" xr:uid="{00000000-0005-0000-0000-0000FAAF0000}"/>
    <cellStyle name="Normal 61 8 2" xfId="32141" xr:uid="{00000000-0005-0000-0000-0000FBAF0000}"/>
    <cellStyle name="Normal 61 8 2 2" xfId="32142" xr:uid="{00000000-0005-0000-0000-0000FCAF0000}"/>
    <cellStyle name="Normal 61 8 3" xfId="32143" xr:uid="{00000000-0005-0000-0000-0000FDAF0000}"/>
    <cellStyle name="Normal 61 8 3 2" xfId="32144" xr:uid="{00000000-0005-0000-0000-0000FEAF0000}"/>
    <cellStyle name="Normal 61 8 4" xfId="32145" xr:uid="{00000000-0005-0000-0000-0000FFAF0000}"/>
    <cellStyle name="Normal 61 9" xfId="32146" xr:uid="{00000000-0005-0000-0000-000000B00000}"/>
    <cellStyle name="Normal 61 9 2" xfId="32147" xr:uid="{00000000-0005-0000-0000-000001B00000}"/>
    <cellStyle name="Normal 61 9 2 2" xfId="32148" xr:uid="{00000000-0005-0000-0000-000002B00000}"/>
    <cellStyle name="Normal 61 9 3" xfId="32149" xr:uid="{00000000-0005-0000-0000-000003B00000}"/>
    <cellStyle name="Normal 62" xfId="32150" xr:uid="{00000000-0005-0000-0000-000004B00000}"/>
    <cellStyle name="Normal 62 10" xfId="32151" xr:uid="{00000000-0005-0000-0000-000005B00000}"/>
    <cellStyle name="Normal 62 10 2" xfId="32152" xr:uid="{00000000-0005-0000-0000-000006B00000}"/>
    <cellStyle name="Normal 62 11" xfId="32153" xr:uid="{00000000-0005-0000-0000-000007B00000}"/>
    <cellStyle name="Normal 62 11 2" xfId="32154" xr:uid="{00000000-0005-0000-0000-000008B00000}"/>
    <cellStyle name="Normal 62 12" xfId="32155" xr:uid="{00000000-0005-0000-0000-000009B00000}"/>
    <cellStyle name="Normal 62 13" xfId="32156" xr:uid="{00000000-0005-0000-0000-00000AB00000}"/>
    <cellStyle name="Normal 62 2" xfId="32157" xr:uid="{00000000-0005-0000-0000-00000BB00000}"/>
    <cellStyle name="Normal 62 2 10" xfId="32158" xr:uid="{00000000-0005-0000-0000-00000CB00000}"/>
    <cellStyle name="Normal 62 2 10 2" xfId="32159" xr:uid="{00000000-0005-0000-0000-00000DB00000}"/>
    <cellStyle name="Normal 62 2 11" xfId="32160" xr:uid="{00000000-0005-0000-0000-00000EB00000}"/>
    <cellStyle name="Normal 62 2 2" xfId="32161" xr:uid="{00000000-0005-0000-0000-00000FB00000}"/>
    <cellStyle name="Normal 62 2 2 2" xfId="32162" xr:uid="{00000000-0005-0000-0000-000010B00000}"/>
    <cellStyle name="Normal 62 2 2 2 2" xfId="32163" xr:uid="{00000000-0005-0000-0000-000011B00000}"/>
    <cellStyle name="Normal 62 2 2 2 2 2" xfId="32164" xr:uid="{00000000-0005-0000-0000-000012B00000}"/>
    <cellStyle name="Normal 62 2 2 2 3" xfId="32165" xr:uid="{00000000-0005-0000-0000-000013B00000}"/>
    <cellStyle name="Normal 62 2 2 2 3 2" xfId="32166" xr:uid="{00000000-0005-0000-0000-000014B00000}"/>
    <cellStyle name="Normal 62 2 2 2 4" xfId="32167" xr:uid="{00000000-0005-0000-0000-000015B00000}"/>
    <cellStyle name="Normal 62 2 2 3" xfId="32168" xr:uid="{00000000-0005-0000-0000-000016B00000}"/>
    <cellStyle name="Normal 62 2 2 3 2" xfId="32169" xr:uid="{00000000-0005-0000-0000-000017B00000}"/>
    <cellStyle name="Normal 62 2 2 3 2 2" xfId="32170" xr:uid="{00000000-0005-0000-0000-000018B00000}"/>
    <cellStyle name="Normal 62 2 2 3 3" xfId="32171" xr:uid="{00000000-0005-0000-0000-000019B00000}"/>
    <cellStyle name="Normal 62 2 2 3 3 2" xfId="32172" xr:uid="{00000000-0005-0000-0000-00001AB00000}"/>
    <cellStyle name="Normal 62 2 2 3 4" xfId="32173" xr:uid="{00000000-0005-0000-0000-00001BB00000}"/>
    <cellStyle name="Normal 62 2 2 4" xfId="32174" xr:uid="{00000000-0005-0000-0000-00001CB00000}"/>
    <cellStyle name="Normal 62 2 2 4 2" xfId="32175" xr:uid="{00000000-0005-0000-0000-00001DB00000}"/>
    <cellStyle name="Normal 62 2 2 5" xfId="32176" xr:uid="{00000000-0005-0000-0000-00001EB00000}"/>
    <cellStyle name="Normal 62 2 2 5 2" xfId="32177" xr:uid="{00000000-0005-0000-0000-00001FB00000}"/>
    <cellStyle name="Normal 62 2 2 6" xfId="32178" xr:uid="{00000000-0005-0000-0000-000020B00000}"/>
    <cellStyle name="Normal 62 2 3" xfId="32179" xr:uid="{00000000-0005-0000-0000-000021B00000}"/>
    <cellStyle name="Normal 62 2 3 2" xfId="32180" xr:uid="{00000000-0005-0000-0000-000022B00000}"/>
    <cellStyle name="Normal 62 2 3 2 2" xfId="32181" xr:uid="{00000000-0005-0000-0000-000023B00000}"/>
    <cellStyle name="Normal 62 2 3 3" xfId="32182" xr:uid="{00000000-0005-0000-0000-000024B00000}"/>
    <cellStyle name="Normal 62 2 3 3 2" xfId="32183" xr:uid="{00000000-0005-0000-0000-000025B00000}"/>
    <cellStyle name="Normal 62 2 3 4" xfId="32184" xr:uid="{00000000-0005-0000-0000-000026B00000}"/>
    <cellStyle name="Normal 62 2 4" xfId="32185" xr:uid="{00000000-0005-0000-0000-000027B00000}"/>
    <cellStyle name="Normal 62 2 4 2" xfId="32186" xr:uid="{00000000-0005-0000-0000-000028B00000}"/>
    <cellStyle name="Normal 62 2 4 2 2" xfId="32187" xr:uid="{00000000-0005-0000-0000-000029B00000}"/>
    <cellStyle name="Normal 62 2 4 3" xfId="32188" xr:uid="{00000000-0005-0000-0000-00002AB00000}"/>
    <cellStyle name="Normal 62 2 4 3 2" xfId="32189" xr:uid="{00000000-0005-0000-0000-00002BB00000}"/>
    <cellStyle name="Normal 62 2 4 4" xfId="32190" xr:uid="{00000000-0005-0000-0000-00002CB00000}"/>
    <cellStyle name="Normal 62 2 5" xfId="32191" xr:uid="{00000000-0005-0000-0000-00002DB00000}"/>
    <cellStyle name="Normal 62 2 5 2" xfId="32192" xr:uid="{00000000-0005-0000-0000-00002EB00000}"/>
    <cellStyle name="Normal 62 2 5 2 2" xfId="32193" xr:uid="{00000000-0005-0000-0000-00002FB00000}"/>
    <cellStyle name="Normal 62 2 5 3" xfId="32194" xr:uid="{00000000-0005-0000-0000-000030B00000}"/>
    <cellStyle name="Normal 62 2 5 3 2" xfId="32195" xr:uid="{00000000-0005-0000-0000-000031B00000}"/>
    <cellStyle name="Normal 62 2 5 4" xfId="32196" xr:uid="{00000000-0005-0000-0000-000032B00000}"/>
    <cellStyle name="Normal 62 2 6" xfId="32197" xr:uid="{00000000-0005-0000-0000-000033B00000}"/>
    <cellStyle name="Normal 62 2 6 2" xfId="32198" xr:uid="{00000000-0005-0000-0000-000034B00000}"/>
    <cellStyle name="Normal 62 2 6 2 2" xfId="32199" xr:uid="{00000000-0005-0000-0000-000035B00000}"/>
    <cellStyle name="Normal 62 2 6 3" xfId="32200" xr:uid="{00000000-0005-0000-0000-000036B00000}"/>
    <cellStyle name="Normal 62 2 6 3 2" xfId="32201" xr:uid="{00000000-0005-0000-0000-000037B00000}"/>
    <cellStyle name="Normal 62 2 6 4" xfId="32202" xr:uid="{00000000-0005-0000-0000-000038B00000}"/>
    <cellStyle name="Normal 62 2 7" xfId="32203" xr:uid="{00000000-0005-0000-0000-000039B00000}"/>
    <cellStyle name="Normal 62 2 7 2" xfId="32204" xr:uid="{00000000-0005-0000-0000-00003AB00000}"/>
    <cellStyle name="Normal 62 2 7 2 2" xfId="32205" xr:uid="{00000000-0005-0000-0000-00003BB00000}"/>
    <cellStyle name="Normal 62 2 7 3" xfId="32206" xr:uid="{00000000-0005-0000-0000-00003CB00000}"/>
    <cellStyle name="Normal 62 2 7 3 2" xfId="32207" xr:uid="{00000000-0005-0000-0000-00003DB00000}"/>
    <cellStyle name="Normal 62 2 7 4" xfId="32208" xr:uid="{00000000-0005-0000-0000-00003EB00000}"/>
    <cellStyle name="Normal 62 2 8" xfId="32209" xr:uid="{00000000-0005-0000-0000-00003FB00000}"/>
    <cellStyle name="Normal 62 2 8 2" xfId="32210" xr:uid="{00000000-0005-0000-0000-000040B00000}"/>
    <cellStyle name="Normal 62 2 8 2 2" xfId="32211" xr:uid="{00000000-0005-0000-0000-000041B00000}"/>
    <cellStyle name="Normal 62 2 8 3" xfId="32212" xr:uid="{00000000-0005-0000-0000-000042B00000}"/>
    <cellStyle name="Normal 62 2 9" xfId="32213" xr:uid="{00000000-0005-0000-0000-000043B00000}"/>
    <cellStyle name="Normal 62 2 9 2" xfId="32214" xr:uid="{00000000-0005-0000-0000-000044B00000}"/>
    <cellStyle name="Normal 62 3" xfId="32215" xr:uid="{00000000-0005-0000-0000-000045B00000}"/>
    <cellStyle name="Normal 62 3 2" xfId="32216" xr:uid="{00000000-0005-0000-0000-000046B00000}"/>
    <cellStyle name="Normal 62 3 2 2" xfId="32217" xr:uid="{00000000-0005-0000-0000-000047B00000}"/>
    <cellStyle name="Normal 62 3 2 2 2" xfId="32218" xr:uid="{00000000-0005-0000-0000-000048B00000}"/>
    <cellStyle name="Normal 62 3 2 3" xfId="32219" xr:uid="{00000000-0005-0000-0000-000049B00000}"/>
    <cellStyle name="Normal 62 3 2 3 2" xfId="32220" xr:uid="{00000000-0005-0000-0000-00004AB00000}"/>
    <cellStyle name="Normal 62 3 2 4" xfId="32221" xr:uid="{00000000-0005-0000-0000-00004BB00000}"/>
    <cellStyle name="Normal 62 3 3" xfId="32222" xr:uid="{00000000-0005-0000-0000-00004CB00000}"/>
    <cellStyle name="Normal 62 3 3 2" xfId="32223" xr:uid="{00000000-0005-0000-0000-00004DB00000}"/>
    <cellStyle name="Normal 62 3 3 2 2" xfId="32224" xr:uid="{00000000-0005-0000-0000-00004EB00000}"/>
    <cellStyle name="Normal 62 3 3 3" xfId="32225" xr:uid="{00000000-0005-0000-0000-00004FB00000}"/>
    <cellStyle name="Normal 62 3 3 3 2" xfId="32226" xr:uid="{00000000-0005-0000-0000-000050B00000}"/>
    <cellStyle name="Normal 62 3 3 4" xfId="32227" xr:uid="{00000000-0005-0000-0000-000051B00000}"/>
    <cellStyle name="Normal 62 3 4" xfId="32228" xr:uid="{00000000-0005-0000-0000-000052B00000}"/>
    <cellStyle name="Normal 62 3 4 2" xfId="32229" xr:uid="{00000000-0005-0000-0000-000053B00000}"/>
    <cellStyle name="Normal 62 3 5" xfId="32230" xr:uid="{00000000-0005-0000-0000-000054B00000}"/>
    <cellStyle name="Normal 62 3 5 2" xfId="32231" xr:uid="{00000000-0005-0000-0000-000055B00000}"/>
    <cellStyle name="Normal 62 3 6" xfId="32232" xr:uid="{00000000-0005-0000-0000-000056B00000}"/>
    <cellStyle name="Normal 62 4" xfId="32233" xr:uid="{00000000-0005-0000-0000-000057B00000}"/>
    <cellStyle name="Normal 62 4 2" xfId="32234" xr:uid="{00000000-0005-0000-0000-000058B00000}"/>
    <cellStyle name="Normal 62 4 2 2" xfId="32235" xr:uid="{00000000-0005-0000-0000-000059B00000}"/>
    <cellStyle name="Normal 62 4 3" xfId="32236" xr:uid="{00000000-0005-0000-0000-00005AB00000}"/>
    <cellStyle name="Normal 62 4 3 2" xfId="32237" xr:uid="{00000000-0005-0000-0000-00005BB00000}"/>
    <cellStyle name="Normal 62 4 4" xfId="32238" xr:uid="{00000000-0005-0000-0000-00005CB00000}"/>
    <cellStyle name="Normal 62 5" xfId="32239" xr:uid="{00000000-0005-0000-0000-00005DB00000}"/>
    <cellStyle name="Normal 62 5 2" xfId="32240" xr:uid="{00000000-0005-0000-0000-00005EB00000}"/>
    <cellStyle name="Normal 62 5 2 2" xfId="32241" xr:uid="{00000000-0005-0000-0000-00005FB00000}"/>
    <cellStyle name="Normal 62 5 3" xfId="32242" xr:uid="{00000000-0005-0000-0000-000060B00000}"/>
    <cellStyle name="Normal 62 5 3 2" xfId="32243" xr:uid="{00000000-0005-0000-0000-000061B00000}"/>
    <cellStyle name="Normal 62 5 4" xfId="32244" xr:uid="{00000000-0005-0000-0000-000062B00000}"/>
    <cellStyle name="Normal 62 6" xfId="32245" xr:uid="{00000000-0005-0000-0000-000063B00000}"/>
    <cellStyle name="Normal 62 6 2" xfId="32246" xr:uid="{00000000-0005-0000-0000-000064B00000}"/>
    <cellStyle name="Normal 62 6 2 2" xfId="32247" xr:uid="{00000000-0005-0000-0000-000065B00000}"/>
    <cellStyle name="Normal 62 6 3" xfId="32248" xr:uid="{00000000-0005-0000-0000-000066B00000}"/>
    <cellStyle name="Normal 62 6 3 2" xfId="32249" xr:uid="{00000000-0005-0000-0000-000067B00000}"/>
    <cellStyle name="Normal 62 6 4" xfId="32250" xr:uid="{00000000-0005-0000-0000-000068B00000}"/>
    <cellStyle name="Normal 62 7" xfId="32251" xr:uid="{00000000-0005-0000-0000-000069B00000}"/>
    <cellStyle name="Normal 62 7 2" xfId="32252" xr:uid="{00000000-0005-0000-0000-00006AB00000}"/>
    <cellStyle name="Normal 62 7 2 2" xfId="32253" xr:uid="{00000000-0005-0000-0000-00006BB00000}"/>
    <cellStyle name="Normal 62 7 3" xfId="32254" xr:uid="{00000000-0005-0000-0000-00006CB00000}"/>
    <cellStyle name="Normal 62 7 3 2" xfId="32255" xr:uid="{00000000-0005-0000-0000-00006DB00000}"/>
    <cellStyle name="Normal 62 7 4" xfId="32256" xr:uid="{00000000-0005-0000-0000-00006EB00000}"/>
    <cellStyle name="Normal 62 8" xfId="32257" xr:uid="{00000000-0005-0000-0000-00006FB00000}"/>
    <cellStyle name="Normal 62 8 2" xfId="32258" xr:uid="{00000000-0005-0000-0000-000070B00000}"/>
    <cellStyle name="Normal 62 8 2 2" xfId="32259" xr:uid="{00000000-0005-0000-0000-000071B00000}"/>
    <cellStyle name="Normal 62 8 3" xfId="32260" xr:uid="{00000000-0005-0000-0000-000072B00000}"/>
    <cellStyle name="Normal 62 8 3 2" xfId="32261" xr:uid="{00000000-0005-0000-0000-000073B00000}"/>
    <cellStyle name="Normal 62 8 4" xfId="32262" xr:uid="{00000000-0005-0000-0000-000074B00000}"/>
    <cellStyle name="Normal 62 9" xfId="32263" xr:uid="{00000000-0005-0000-0000-000075B00000}"/>
    <cellStyle name="Normal 62 9 2" xfId="32264" xr:uid="{00000000-0005-0000-0000-000076B00000}"/>
    <cellStyle name="Normal 62 9 2 2" xfId="32265" xr:uid="{00000000-0005-0000-0000-000077B00000}"/>
    <cellStyle name="Normal 62 9 3" xfId="32266" xr:uid="{00000000-0005-0000-0000-000078B00000}"/>
    <cellStyle name="Normal 63" xfId="32267" xr:uid="{00000000-0005-0000-0000-000079B00000}"/>
    <cellStyle name="Normal 63 10" xfId="32268" xr:uid="{00000000-0005-0000-0000-00007AB00000}"/>
    <cellStyle name="Normal 63 10 2" xfId="32269" xr:uid="{00000000-0005-0000-0000-00007BB00000}"/>
    <cellStyle name="Normal 63 11" xfId="32270" xr:uid="{00000000-0005-0000-0000-00007CB00000}"/>
    <cellStyle name="Normal 63 11 2" xfId="32271" xr:uid="{00000000-0005-0000-0000-00007DB00000}"/>
    <cellStyle name="Normal 63 12" xfId="32272" xr:uid="{00000000-0005-0000-0000-00007EB00000}"/>
    <cellStyle name="Normal 63 13" xfId="32273" xr:uid="{00000000-0005-0000-0000-00007FB00000}"/>
    <cellStyle name="Normal 63 2" xfId="32274" xr:uid="{00000000-0005-0000-0000-000080B00000}"/>
    <cellStyle name="Normal 63 2 10" xfId="32275" xr:uid="{00000000-0005-0000-0000-000081B00000}"/>
    <cellStyle name="Normal 63 2 10 2" xfId="32276" xr:uid="{00000000-0005-0000-0000-000082B00000}"/>
    <cellStyle name="Normal 63 2 11" xfId="32277" xr:uid="{00000000-0005-0000-0000-000083B00000}"/>
    <cellStyle name="Normal 63 2 2" xfId="32278" xr:uid="{00000000-0005-0000-0000-000084B00000}"/>
    <cellStyle name="Normal 63 2 2 2" xfId="32279" xr:uid="{00000000-0005-0000-0000-000085B00000}"/>
    <cellStyle name="Normal 63 2 2 2 2" xfId="32280" xr:uid="{00000000-0005-0000-0000-000086B00000}"/>
    <cellStyle name="Normal 63 2 2 2 2 2" xfId="32281" xr:uid="{00000000-0005-0000-0000-000087B00000}"/>
    <cellStyle name="Normal 63 2 2 2 3" xfId="32282" xr:uid="{00000000-0005-0000-0000-000088B00000}"/>
    <cellStyle name="Normal 63 2 2 2 3 2" xfId="32283" xr:uid="{00000000-0005-0000-0000-000089B00000}"/>
    <cellStyle name="Normal 63 2 2 2 4" xfId="32284" xr:uid="{00000000-0005-0000-0000-00008AB00000}"/>
    <cellStyle name="Normal 63 2 2 3" xfId="32285" xr:uid="{00000000-0005-0000-0000-00008BB00000}"/>
    <cellStyle name="Normal 63 2 2 3 2" xfId="32286" xr:uid="{00000000-0005-0000-0000-00008CB00000}"/>
    <cellStyle name="Normal 63 2 2 3 2 2" xfId="32287" xr:uid="{00000000-0005-0000-0000-00008DB00000}"/>
    <cellStyle name="Normal 63 2 2 3 3" xfId="32288" xr:uid="{00000000-0005-0000-0000-00008EB00000}"/>
    <cellStyle name="Normal 63 2 2 3 3 2" xfId="32289" xr:uid="{00000000-0005-0000-0000-00008FB00000}"/>
    <cellStyle name="Normal 63 2 2 3 4" xfId="32290" xr:uid="{00000000-0005-0000-0000-000090B00000}"/>
    <cellStyle name="Normal 63 2 2 4" xfId="32291" xr:uid="{00000000-0005-0000-0000-000091B00000}"/>
    <cellStyle name="Normal 63 2 2 4 2" xfId="32292" xr:uid="{00000000-0005-0000-0000-000092B00000}"/>
    <cellStyle name="Normal 63 2 2 5" xfId="32293" xr:uid="{00000000-0005-0000-0000-000093B00000}"/>
    <cellStyle name="Normal 63 2 2 5 2" xfId="32294" xr:uid="{00000000-0005-0000-0000-000094B00000}"/>
    <cellStyle name="Normal 63 2 2 6" xfId="32295" xr:uid="{00000000-0005-0000-0000-000095B00000}"/>
    <cellStyle name="Normal 63 2 3" xfId="32296" xr:uid="{00000000-0005-0000-0000-000096B00000}"/>
    <cellStyle name="Normal 63 2 3 2" xfId="32297" xr:uid="{00000000-0005-0000-0000-000097B00000}"/>
    <cellStyle name="Normal 63 2 3 2 2" xfId="32298" xr:uid="{00000000-0005-0000-0000-000098B00000}"/>
    <cellStyle name="Normal 63 2 3 3" xfId="32299" xr:uid="{00000000-0005-0000-0000-000099B00000}"/>
    <cellStyle name="Normal 63 2 3 3 2" xfId="32300" xr:uid="{00000000-0005-0000-0000-00009AB00000}"/>
    <cellStyle name="Normal 63 2 3 4" xfId="32301" xr:uid="{00000000-0005-0000-0000-00009BB00000}"/>
    <cellStyle name="Normal 63 2 4" xfId="32302" xr:uid="{00000000-0005-0000-0000-00009CB00000}"/>
    <cellStyle name="Normal 63 2 4 2" xfId="32303" xr:uid="{00000000-0005-0000-0000-00009DB00000}"/>
    <cellStyle name="Normal 63 2 4 2 2" xfId="32304" xr:uid="{00000000-0005-0000-0000-00009EB00000}"/>
    <cellStyle name="Normal 63 2 4 3" xfId="32305" xr:uid="{00000000-0005-0000-0000-00009FB00000}"/>
    <cellStyle name="Normal 63 2 4 3 2" xfId="32306" xr:uid="{00000000-0005-0000-0000-0000A0B00000}"/>
    <cellStyle name="Normal 63 2 4 4" xfId="32307" xr:uid="{00000000-0005-0000-0000-0000A1B00000}"/>
    <cellStyle name="Normal 63 2 5" xfId="32308" xr:uid="{00000000-0005-0000-0000-0000A2B00000}"/>
    <cellStyle name="Normal 63 2 5 2" xfId="32309" xr:uid="{00000000-0005-0000-0000-0000A3B00000}"/>
    <cellStyle name="Normal 63 2 5 2 2" xfId="32310" xr:uid="{00000000-0005-0000-0000-0000A4B00000}"/>
    <cellStyle name="Normal 63 2 5 3" xfId="32311" xr:uid="{00000000-0005-0000-0000-0000A5B00000}"/>
    <cellStyle name="Normal 63 2 5 3 2" xfId="32312" xr:uid="{00000000-0005-0000-0000-0000A6B00000}"/>
    <cellStyle name="Normal 63 2 5 4" xfId="32313" xr:uid="{00000000-0005-0000-0000-0000A7B00000}"/>
    <cellStyle name="Normal 63 2 6" xfId="32314" xr:uid="{00000000-0005-0000-0000-0000A8B00000}"/>
    <cellStyle name="Normal 63 2 6 2" xfId="32315" xr:uid="{00000000-0005-0000-0000-0000A9B00000}"/>
    <cellStyle name="Normal 63 2 6 2 2" xfId="32316" xr:uid="{00000000-0005-0000-0000-0000AAB00000}"/>
    <cellStyle name="Normal 63 2 6 3" xfId="32317" xr:uid="{00000000-0005-0000-0000-0000ABB00000}"/>
    <cellStyle name="Normal 63 2 6 3 2" xfId="32318" xr:uid="{00000000-0005-0000-0000-0000ACB00000}"/>
    <cellStyle name="Normal 63 2 6 4" xfId="32319" xr:uid="{00000000-0005-0000-0000-0000ADB00000}"/>
    <cellStyle name="Normal 63 2 7" xfId="32320" xr:uid="{00000000-0005-0000-0000-0000AEB00000}"/>
    <cellStyle name="Normal 63 2 7 2" xfId="32321" xr:uid="{00000000-0005-0000-0000-0000AFB00000}"/>
    <cellStyle name="Normal 63 2 7 2 2" xfId="32322" xr:uid="{00000000-0005-0000-0000-0000B0B00000}"/>
    <cellStyle name="Normal 63 2 7 3" xfId="32323" xr:uid="{00000000-0005-0000-0000-0000B1B00000}"/>
    <cellStyle name="Normal 63 2 7 3 2" xfId="32324" xr:uid="{00000000-0005-0000-0000-0000B2B00000}"/>
    <cellStyle name="Normal 63 2 7 4" xfId="32325" xr:uid="{00000000-0005-0000-0000-0000B3B00000}"/>
    <cellStyle name="Normal 63 2 8" xfId="32326" xr:uid="{00000000-0005-0000-0000-0000B4B00000}"/>
    <cellStyle name="Normal 63 2 8 2" xfId="32327" xr:uid="{00000000-0005-0000-0000-0000B5B00000}"/>
    <cellStyle name="Normal 63 2 8 2 2" xfId="32328" xr:uid="{00000000-0005-0000-0000-0000B6B00000}"/>
    <cellStyle name="Normal 63 2 8 3" xfId="32329" xr:uid="{00000000-0005-0000-0000-0000B7B00000}"/>
    <cellStyle name="Normal 63 2 9" xfId="32330" xr:uid="{00000000-0005-0000-0000-0000B8B00000}"/>
    <cellStyle name="Normal 63 2 9 2" xfId="32331" xr:uid="{00000000-0005-0000-0000-0000B9B00000}"/>
    <cellStyle name="Normal 63 3" xfId="32332" xr:uid="{00000000-0005-0000-0000-0000BAB00000}"/>
    <cellStyle name="Normal 63 3 2" xfId="32333" xr:uid="{00000000-0005-0000-0000-0000BBB00000}"/>
    <cellStyle name="Normal 63 3 2 2" xfId="32334" xr:uid="{00000000-0005-0000-0000-0000BCB00000}"/>
    <cellStyle name="Normal 63 3 2 2 2" xfId="32335" xr:uid="{00000000-0005-0000-0000-0000BDB00000}"/>
    <cellStyle name="Normal 63 3 2 3" xfId="32336" xr:uid="{00000000-0005-0000-0000-0000BEB00000}"/>
    <cellStyle name="Normal 63 3 2 3 2" xfId="32337" xr:uid="{00000000-0005-0000-0000-0000BFB00000}"/>
    <cellStyle name="Normal 63 3 2 4" xfId="32338" xr:uid="{00000000-0005-0000-0000-0000C0B00000}"/>
    <cellStyle name="Normal 63 3 3" xfId="32339" xr:uid="{00000000-0005-0000-0000-0000C1B00000}"/>
    <cellStyle name="Normal 63 3 3 2" xfId="32340" xr:uid="{00000000-0005-0000-0000-0000C2B00000}"/>
    <cellStyle name="Normal 63 3 3 2 2" xfId="32341" xr:uid="{00000000-0005-0000-0000-0000C3B00000}"/>
    <cellStyle name="Normal 63 3 3 3" xfId="32342" xr:uid="{00000000-0005-0000-0000-0000C4B00000}"/>
    <cellStyle name="Normal 63 3 3 3 2" xfId="32343" xr:uid="{00000000-0005-0000-0000-0000C5B00000}"/>
    <cellStyle name="Normal 63 3 3 4" xfId="32344" xr:uid="{00000000-0005-0000-0000-0000C6B00000}"/>
    <cellStyle name="Normal 63 3 4" xfId="32345" xr:uid="{00000000-0005-0000-0000-0000C7B00000}"/>
    <cellStyle name="Normal 63 3 4 2" xfId="32346" xr:uid="{00000000-0005-0000-0000-0000C8B00000}"/>
    <cellStyle name="Normal 63 3 5" xfId="32347" xr:uid="{00000000-0005-0000-0000-0000C9B00000}"/>
    <cellStyle name="Normal 63 3 5 2" xfId="32348" xr:uid="{00000000-0005-0000-0000-0000CAB00000}"/>
    <cellStyle name="Normal 63 3 6" xfId="32349" xr:uid="{00000000-0005-0000-0000-0000CBB00000}"/>
    <cellStyle name="Normal 63 4" xfId="32350" xr:uid="{00000000-0005-0000-0000-0000CCB00000}"/>
    <cellStyle name="Normal 63 4 2" xfId="32351" xr:uid="{00000000-0005-0000-0000-0000CDB00000}"/>
    <cellStyle name="Normal 63 4 2 2" xfId="32352" xr:uid="{00000000-0005-0000-0000-0000CEB00000}"/>
    <cellStyle name="Normal 63 4 3" xfId="32353" xr:uid="{00000000-0005-0000-0000-0000CFB00000}"/>
    <cellStyle name="Normal 63 4 3 2" xfId="32354" xr:uid="{00000000-0005-0000-0000-0000D0B00000}"/>
    <cellStyle name="Normal 63 4 4" xfId="32355" xr:uid="{00000000-0005-0000-0000-0000D1B00000}"/>
    <cellStyle name="Normal 63 5" xfId="32356" xr:uid="{00000000-0005-0000-0000-0000D2B00000}"/>
    <cellStyle name="Normal 63 5 2" xfId="32357" xr:uid="{00000000-0005-0000-0000-0000D3B00000}"/>
    <cellStyle name="Normal 63 5 2 2" xfId="32358" xr:uid="{00000000-0005-0000-0000-0000D4B00000}"/>
    <cellStyle name="Normal 63 5 3" xfId="32359" xr:uid="{00000000-0005-0000-0000-0000D5B00000}"/>
    <cellStyle name="Normal 63 5 3 2" xfId="32360" xr:uid="{00000000-0005-0000-0000-0000D6B00000}"/>
    <cellStyle name="Normal 63 5 4" xfId="32361" xr:uid="{00000000-0005-0000-0000-0000D7B00000}"/>
    <cellStyle name="Normal 63 6" xfId="32362" xr:uid="{00000000-0005-0000-0000-0000D8B00000}"/>
    <cellStyle name="Normal 63 6 2" xfId="32363" xr:uid="{00000000-0005-0000-0000-0000D9B00000}"/>
    <cellStyle name="Normal 63 6 2 2" xfId="32364" xr:uid="{00000000-0005-0000-0000-0000DAB00000}"/>
    <cellStyle name="Normal 63 6 3" xfId="32365" xr:uid="{00000000-0005-0000-0000-0000DBB00000}"/>
    <cellStyle name="Normal 63 6 3 2" xfId="32366" xr:uid="{00000000-0005-0000-0000-0000DCB00000}"/>
    <cellStyle name="Normal 63 6 4" xfId="32367" xr:uid="{00000000-0005-0000-0000-0000DDB00000}"/>
    <cellStyle name="Normal 63 7" xfId="32368" xr:uid="{00000000-0005-0000-0000-0000DEB00000}"/>
    <cellStyle name="Normal 63 7 2" xfId="32369" xr:uid="{00000000-0005-0000-0000-0000DFB00000}"/>
    <cellStyle name="Normal 63 7 2 2" xfId="32370" xr:uid="{00000000-0005-0000-0000-0000E0B00000}"/>
    <cellStyle name="Normal 63 7 3" xfId="32371" xr:uid="{00000000-0005-0000-0000-0000E1B00000}"/>
    <cellStyle name="Normal 63 7 3 2" xfId="32372" xr:uid="{00000000-0005-0000-0000-0000E2B00000}"/>
    <cellStyle name="Normal 63 7 4" xfId="32373" xr:uid="{00000000-0005-0000-0000-0000E3B00000}"/>
    <cellStyle name="Normal 63 8" xfId="32374" xr:uid="{00000000-0005-0000-0000-0000E4B00000}"/>
    <cellStyle name="Normal 63 8 2" xfId="32375" xr:uid="{00000000-0005-0000-0000-0000E5B00000}"/>
    <cellStyle name="Normal 63 8 2 2" xfId="32376" xr:uid="{00000000-0005-0000-0000-0000E6B00000}"/>
    <cellStyle name="Normal 63 8 3" xfId="32377" xr:uid="{00000000-0005-0000-0000-0000E7B00000}"/>
    <cellStyle name="Normal 63 8 3 2" xfId="32378" xr:uid="{00000000-0005-0000-0000-0000E8B00000}"/>
    <cellStyle name="Normal 63 8 4" xfId="32379" xr:uid="{00000000-0005-0000-0000-0000E9B00000}"/>
    <cellStyle name="Normal 63 9" xfId="32380" xr:uid="{00000000-0005-0000-0000-0000EAB00000}"/>
    <cellStyle name="Normal 63 9 2" xfId="32381" xr:uid="{00000000-0005-0000-0000-0000EBB00000}"/>
    <cellStyle name="Normal 63 9 2 2" xfId="32382" xr:uid="{00000000-0005-0000-0000-0000ECB00000}"/>
    <cellStyle name="Normal 63 9 3" xfId="32383" xr:uid="{00000000-0005-0000-0000-0000EDB00000}"/>
    <cellStyle name="Normal 64" xfId="32384" xr:uid="{00000000-0005-0000-0000-0000EEB00000}"/>
    <cellStyle name="Normal 64 10" xfId="32385" xr:uid="{00000000-0005-0000-0000-0000EFB00000}"/>
    <cellStyle name="Normal 64 10 2" xfId="32386" xr:uid="{00000000-0005-0000-0000-0000F0B00000}"/>
    <cellStyle name="Normal 64 11" xfId="32387" xr:uid="{00000000-0005-0000-0000-0000F1B00000}"/>
    <cellStyle name="Normal 64 11 2" xfId="32388" xr:uid="{00000000-0005-0000-0000-0000F2B00000}"/>
    <cellStyle name="Normal 64 12" xfId="32389" xr:uid="{00000000-0005-0000-0000-0000F3B00000}"/>
    <cellStyle name="Normal 64 13" xfId="32390" xr:uid="{00000000-0005-0000-0000-0000F4B00000}"/>
    <cellStyle name="Normal 64 2" xfId="32391" xr:uid="{00000000-0005-0000-0000-0000F5B00000}"/>
    <cellStyle name="Normal 64 2 10" xfId="32392" xr:uid="{00000000-0005-0000-0000-0000F6B00000}"/>
    <cellStyle name="Normal 64 2 10 2" xfId="32393" xr:uid="{00000000-0005-0000-0000-0000F7B00000}"/>
    <cellStyle name="Normal 64 2 11" xfId="32394" xr:uid="{00000000-0005-0000-0000-0000F8B00000}"/>
    <cellStyle name="Normal 64 2 2" xfId="32395" xr:uid="{00000000-0005-0000-0000-0000F9B00000}"/>
    <cellStyle name="Normal 64 2 2 2" xfId="32396" xr:uid="{00000000-0005-0000-0000-0000FAB00000}"/>
    <cellStyle name="Normal 64 2 2 2 2" xfId="32397" xr:uid="{00000000-0005-0000-0000-0000FBB00000}"/>
    <cellStyle name="Normal 64 2 2 2 2 2" xfId="32398" xr:uid="{00000000-0005-0000-0000-0000FCB00000}"/>
    <cellStyle name="Normal 64 2 2 2 3" xfId="32399" xr:uid="{00000000-0005-0000-0000-0000FDB00000}"/>
    <cellStyle name="Normal 64 2 2 2 3 2" xfId="32400" xr:uid="{00000000-0005-0000-0000-0000FEB00000}"/>
    <cellStyle name="Normal 64 2 2 2 4" xfId="32401" xr:uid="{00000000-0005-0000-0000-0000FFB00000}"/>
    <cellStyle name="Normal 64 2 2 3" xfId="32402" xr:uid="{00000000-0005-0000-0000-000000B10000}"/>
    <cellStyle name="Normal 64 2 2 3 2" xfId="32403" xr:uid="{00000000-0005-0000-0000-000001B10000}"/>
    <cellStyle name="Normal 64 2 2 3 2 2" xfId="32404" xr:uid="{00000000-0005-0000-0000-000002B10000}"/>
    <cellStyle name="Normal 64 2 2 3 3" xfId="32405" xr:uid="{00000000-0005-0000-0000-000003B10000}"/>
    <cellStyle name="Normal 64 2 2 3 3 2" xfId="32406" xr:uid="{00000000-0005-0000-0000-000004B10000}"/>
    <cellStyle name="Normal 64 2 2 3 4" xfId="32407" xr:uid="{00000000-0005-0000-0000-000005B10000}"/>
    <cellStyle name="Normal 64 2 2 4" xfId="32408" xr:uid="{00000000-0005-0000-0000-000006B10000}"/>
    <cellStyle name="Normal 64 2 2 4 2" xfId="32409" xr:uid="{00000000-0005-0000-0000-000007B10000}"/>
    <cellStyle name="Normal 64 2 2 5" xfId="32410" xr:uid="{00000000-0005-0000-0000-000008B10000}"/>
    <cellStyle name="Normal 64 2 2 5 2" xfId="32411" xr:uid="{00000000-0005-0000-0000-000009B10000}"/>
    <cellStyle name="Normal 64 2 2 6" xfId="32412" xr:uid="{00000000-0005-0000-0000-00000AB10000}"/>
    <cellStyle name="Normal 64 2 3" xfId="32413" xr:uid="{00000000-0005-0000-0000-00000BB10000}"/>
    <cellStyle name="Normal 64 2 3 2" xfId="32414" xr:uid="{00000000-0005-0000-0000-00000CB10000}"/>
    <cellStyle name="Normal 64 2 3 2 2" xfId="32415" xr:uid="{00000000-0005-0000-0000-00000DB10000}"/>
    <cellStyle name="Normal 64 2 3 3" xfId="32416" xr:uid="{00000000-0005-0000-0000-00000EB10000}"/>
    <cellStyle name="Normal 64 2 3 3 2" xfId="32417" xr:uid="{00000000-0005-0000-0000-00000FB10000}"/>
    <cellStyle name="Normal 64 2 3 4" xfId="32418" xr:uid="{00000000-0005-0000-0000-000010B10000}"/>
    <cellStyle name="Normal 64 2 4" xfId="32419" xr:uid="{00000000-0005-0000-0000-000011B10000}"/>
    <cellStyle name="Normal 64 2 4 2" xfId="32420" xr:uid="{00000000-0005-0000-0000-000012B10000}"/>
    <cellStyle name="Normal 64 2 4 2 2" xfId="32421" xr:uid="{00000000-0005-0000-0000-000013B10000}"/>
    <cellStyle name="Normal 64 2 4 3" xfId="32422" xr:uid="{00000000-0005-0000-0000-000014B10000}"/>
    <cellStyle name="Normal 64 2 4 3 2" xfId="32423" xr:uid="{00000000-0005-0000-0000-000015B10000}"/>
    <cellStyle name="Normal 64 2 4 4" xfId="32424" xr:uid="{00000000-0005-0000-0000-000016B10000}"/>
    <cellStyle name="Normal 64 2 5" xfId="32425" xr:uid="{00000000-0005-0000-0000-000017B10000}"/>
    <cellStyle name="Normal 64 2 5 2" xfId="32426" xr:uid="{00000000-0005-0000-0000-000018B10000}"/>
    <cellStyle name="Normal 64 2 5 2 2" xfId="32427" xr:uid="{00000000-0005-0000-0000-000019B10000}"/>
    <cellStyle name="Normal 64 2 5 3" xfId="32428" xr:uid="{00000000-0005-0000-0000-00001AB10000}"/>
    <cellStyle name="Normal 64 2 5 3 2" xfId="32429" xr:uid="{00000000-0005-0000-0000-00001BB10000}"/>
    <cellStyle name="Normal 64 2 5 4" xfId="32430" xr:uid="{00000000-0005-0000-0000-00001CB10000}"/>
    <cellStyle name="Normal 64 2 6" xfId="32431" xr:uid="{00000000-0005-0000-0000-00001DB10000}"/>
    <cellStyle name="Normal 64 2 6 2" xfId="32432" xr:uid="{00000000-0005-0000-0000-00001EB10000}"/>
    <cellStyle name="Normal 64 2 6 2 2" xfId="32433" xr:uid="{00000000-0005-0000-0000-00001FB10000}"/>
    <cellStyle name="Normal 64 2 6 3" xfId="32434" xr:uid="{00000000-0005-0000-0000-000020B10000}"/>
    <cellStyle name="Normal 64 2 6 3 2" xfId="32435" xr:uid="{00000000-0005-0000-0000-000021B10000}"/>
    <cellStyle name="Normal 64 2 6 4" xfId="32436" xr:uid="{00000000-0005-0000-0000-000022B10000}"/>
    <cellStyle name="Normal 64 2 7" xfId="32437" xr:uid="{00000000-0005-0000-0000-000023B10000}"/>
    <cellStyle name="Normal 64 2 7 2" xfId="32438" xr:uid="{00000000-0005-0000-0000-000024B10000}"/>
    <cellStyle name="Normal 64 2 7 2 2" xfId="32439" xr:uid="{00000000-0005-0000-0000-000025B10000}"/>
    <cellStyle name="Normal 64 2 7 3" xfId="32440" xr:uid="{00000000-0005-0000-0000-000026B10000}"/>
    <cellStyle name="Normal 64 2 7 3 2" xfId="32441" xr:uid="{00000000-0005-0000-0000-000027B10000}"/>
    <cellStyle name="Normal 64 2 7 4" xfId="32442" xr:uid="{00000000-0005-0000-0000-000028B10000}"/>
    <cellStyle name="Normal 64 2 8" xfId="32443" xr:uid="{00000000-0005-0000-0000-000029B10000}"/>
    <cellStyle name="Normal 64 2 8 2" xfId="32444" xr:uid="{00000000-0005-0000-0000-00002AB10000}"/>
    <cellStyle name="Normal 64 2 8 2 2" xfId="32445" xr:uid="{00000000-0005-0000-0000-00002BB10000}"/>
    <cellStyle name="Normal 64 2 8 3" xfId="32446" xr:uid="{00000000-0005-0000-0000-00002CB10000}"/>
    <cellStyle name="Normal 64 2 9" xfId="32447" xr:uid="{00000000-0005-0000-0000-00002DB10000}"/>
    <cellStyle name="Normal 64 2 9 2" xfId="32448" xr:uid="{00000000-0005-0000-0000-00002EB10000}"/>
    <cellStyle name="Normal 64 3" xfId="32449" xr:uid="{00000000-0005-0000-0000-00002FB10000}"/>
    <cellStyle name="Normal 64 3 2" xfId="32450" xr:uid="{00000000-0005-0000-0000-000030B10000}"/>
    <cellStyle name="Normal 64 3 2 2" xfId="32451" xr:uid="{00000000-0005-0000-0000-000031B10000}"/>
    <cellStyle name="Normal 64 3 2 2 2" xfId="32452" xr:uid="{00000000-0005-0000-0000-000032B10000}"/>
    <cellStyle name="Normal 64 3 2 3" xfId="32453" xr:uid="{00000000-0005-0000-0000-000033B10000}"/>
    <cellStyle name="Normal 64 3 2 3 2" xfId="32454" xr:uid="{00000000-0005-0000-0000-000034B10000}"/>
    <cellStyle name="Normal 64 3 2 4" xfId="32455" xr:uid="{00000000-0005-0000-0000-000035B10000}"/>
    <cellStyle name="Normal 64 3 3" xfId="32456" xr:uid="{00000000-0005-0000-0000-000036B10000}"/>
    <cellStyle name="Normal 64 3 3 2" xfId="32457" xr:uid="{00000000-0005-0000-0000-000037B10000}"/>
    <cellStyle name="Normal 64 3 3 2 2" xfId="32458" xr:uid="{00000000-0005-0000-0000-000038B10000}"/>
    <cellStyle name="Normal 64 3 3 3" xfId="32459" xr:uid="{00000000-0005-0000-0000-000039B10000}"/>
    <cellStyle name="Normal 64 3 3 3 2" xfId="32460" xr:uid="{00000000-0005-0000-0000-00003AB10000}"/>
    <cellStyle name="Normal 64 3 3 4" xfId="32461" xr:uid="{00000000-0005-0000-0000-00003BB10000}"/>
    <cellStyle name="Normal 64 3 4" xfId="32462" xr:uid="{00000000-0005-0000-0000-00003CB10000}"/>
    <cellStyle name="Normal 64 3 4 2" xfId="32463" xr:uid="{00000000-0005-0000-0000-00003DB10000}"/>
    <cellStyle name="Normal 64 3 5" xfId="32464" xr:uid="{00000000-0005-0000-0000-00003EB10000}"/>
    <cellStyle name="Normal 64 3 5 2" xfId="32465" xr:uid="{00000000-0005-0000-0000-00003FB10000}"/>
    <cellStyle name="Normal 64 3 6" xfId="32466" xr:uid="{00000000-0005-0000-0000-000040B10000}"/>
    <cellStyle name="Normal 64 4" xfId="32467" xr:uid="{00000000-0005-0000-0000-000041B10000}"/>
    <cellStyle name="Normal 64 4 2" xfId="32468" xr:uid="{00000000-0005-0000-0000-000042B10000}"/>
    <cellStyle name="Normal 64 4 2 2" xfId="32469" xr:uid="{00000000-0005-0000-0000-000043B10000}"/>
    <cellStyle name="Normal 64 4 3" xfId="32470" xr:uid="{00000000-0005-0000-0000-000044B10000}"/>
    <cellStyle name="Normal 64 4 3 2" xfId="32471" xr:uid="{00000000-0005-0000-0000-000045B10000}"/>
    <cellStyle name="Normal 64 4 4" xfId="32472" xr:uid="{00000000-0005-0000-0000-000046B10000}"/>
    <cellStyle name="Normal 64 5" xfId="32473" xr:uid="{00000000-0005-0000-0000-000047B10000}"/>
    <cellStyle name="Normal 64 5 2" xfId="32474" xr:uid="{00000000-0005-0000-0000-000048B10000}"/>
    <cellStyle name="Normal 64 5 2 2" xfId="32475" xr:uid="{00000000-0005-0000-0000-000049B10000}"/>
    <cellStyle name="Normal 64 5 3" xfId="32476" xr:uid="{00000000-0005-0000-0000-00004AB10000}"/>
    <cellStyle name="Normal 64 5 3 2" xfId="32477" xr:uid="{00000000-0005-0000-0000-00004BB10000}"/>
    <cellStyle name="Normal 64 5 4" xfId="32478" xr:uid="{00000000-0005-0000-0000-00004CB10000}"/>
    <cellStyle name="Normal 64 6" xfId="32479" xr:uid="{00000000-0005-0000-0000-00004DB10000}"/>
    <cellStyle name="Normal 64 6 2" xfId="32480" xr:uid="{00000000-0005-0000-0000-00004EB10000}"/>
    <cellStyle name="Normal 64 6 2 2" xfId="32481" xr:uid="{00000000-0005-0000-0000-00004FB10000}"/>
    <cellStyle name="Normal 64 6 3" xfId="32482" xr:uid="{00000000-0005-0000-0000-000050B10000}"/>
    <cellStyle name="Normal 64 6 3 2" xfId="32483" xr:uid="{00000000-0005-0000-0000-000051B10000}"/>
    <cellStyle name="Normal 64 6 4" xfId="32484" xr:uid="{00000000-0005-0000-0000-000052B10000}"/>
    <cellStyle name="Normal 64 7" xfId="32485" xr:uid="{00000000-0005-0000-0000-000053B10000}"/>
    <cellStyle name="Normal 64 7 2" xfId="32486" xr:uid="{00000000-0005-0000-0000-000054B10000}"/>
    <cellStyle name="Normal 64 7 2 2" xfId="32487" xr:uid="{00000000-0005-0000-0000-000055B10000}"/>
    <cellStyle name="Normal 64 7 3" xfId="32488" xr:uid="{00000000-0005-0000-0000-000056B10000}"/>
    <cellStyle name="Normal 64 7 3 2" xfId="32489" xr:uid="{00000000-0005-0000-0000-000057B10000}"/>
    <cellStyle name="Normal 64 7 4" xfId="32490" xr:uid="{00000000-0005-0000-0000-000058B10000}"/>
    <cellStyle name="Normal 64 8" xfId="32491" xr:uid="{00000000-0005-0000-0000-000059B10000}"/>
    <cellStyle name="Normal 64 8 2" xfId="32492" xr:uid="{00000000-0005-0000-0000-00005AB10000}"/>
    <cellStyle name="Normal 64 8 2 2" xfId="32493" xr:uid="{00000000-0005-0000-0000-00005BB10000}"/>
    <cellStyle name="Normal 64 8 3" xfId="32494" xr:uid="{00000000-0005-0000-0000-00005CB10000}"/>
    <cellStyle name="Normal 64 8 3 2" xfId="32495" xr:uid="{00000000-0005-0000-0000-00005DB10000}"/>
    <cellStyle name="Normal 64 8 4" xfId="32496" xr:uid="{00000000-0005-0000-0000-00005EB10000}"/>
    <cellStyle name="Normal 64 9" xfId="32497" xr:uid="{00000000-0005-0000-0000-00005FB10000}"/>
    <cellStyle name="Normal 64 9 2" xfId="32498" xr:uid="{00000000-0005-0000-0000-000060B10000}"/>
    <cellStyle name="Normal 64 9 2 2" xfId="32499" xr:uid="{00000000-0005-0000-0000-000061B10000}"/>
    <cellStyle name="Normal 64 9 3" xfId="32500" xr:uid="{00000000-0005-0000-0000-000062B10000}"/>
    <cellStyle name="Normal 65" xfId="32501" xr:uid="{00000000-0005-0000-0000-000063B10000}"/>
    <cellStyle name="Normal 65 10" xfId="32502" xr:uid="{00000000-0005-0000-0000-000064B10000}"/>
    <cellStyle name="Normal 65 10 2" xfId="32503" xr:uid="{00000000-0005-0000-0000-000065B10000}"/>
    <cellStyle name="Normal 65 11" xfId="32504" xr:uid="{00000000-0005-0000-0000-000066B10000}"/>
    <cellStyle name="Normal 65 11 2" xfId="32505" xr:uid="{00000000-0005-0000-0000-000067B10000}"/>
    <cellStyle name="Normal 65 12" xfId="32506" xr:uid="{00000000-0005-0000-0000-000068B10000}"/>
    <cellStyle name="Normal 65 13" xfId="32507" xr:uid="{00000000-0005-0000-0000-000069B10000}"/>
    <cellStyle name="Normal 65 2" xfId="32508" xr:uid="{00000000-0005-0000-0000-00006AB10000}"/>
    <cellStyle name="Normal 65 2 10" xfId="32509" xr:uid="{00000000-0005-0000-0000-00006BB10000}"/>
    <cellStyle name="Normal 65 2 10 2" xfId="32510" xr:uid="{00000000-0005-0000-0000-00006CB10000}"/>
    <cellStyle name="Normal 65 2 11" xfId="32511" xr:uid="{00000000-0005-0000-0000-00006DB10000}"/>
    <cellStyle name="Normal 65 2 12" xfId="32512" xr:uid="{00000000-0005-0000-0000-00006EB10000}"/>
    <cellStyle name="Normal 65 2 2" xfId="32513" xr:uid="{00000000-0005-0000-0000-00006FB10000}"/>
    <cellStyle name="Normal 65 2 2 2" xfId="32514" xr:uid="{00000000-0005-0000-0000-000070B10000}"/>
    <cellStyle name="Normal 65 2 2 2 2" xfId="32515" xr:uid="{00000000-0005-0000-0000-000071B10000}"/>
    <cellStyle name="Normal 65 2 2 2 2 2" xfId="32516" xr:uid="{00000000-0005-0000-0000-000072B10000}"/>
    <cellStyle name="Normal 65 2 2 2 3" xfId="32517" xr:uid="{00000000-0005-0000-0000-000073B10000}"/>
    <cellStyle name="Normal 65 2 2 2 3 2" xfId="32518" xr:uid="{00000000-0005-0000-0000-000074B10000}"/>
    <cellStyle name="Normal 65 2 2 2 4" xfId="32519" xr:uid="{00000000-0005-0000-0000-000075B10000}"/>
    <cellStyle name="Normal 65 2 2 3" xfId="32520" xr:uid="{00000000-0005-0000-0000-000076B10000}"/>
    <cellStyle name="Normal 65 2 2 3 2" xfId="32521" xr:uid="{00000000-0005-0000-0000-000077B10000}"/>
    <cellStyle name="Normal 65 2 2 3 2 2" xfId="32522" xr:uid="{00000000-0005-0000-0000-000078B10000}"/>
    <cellStyle name="Normal 65 2 2 3 3" xfId="32523" xr:uid="{00000000-0005-0000-0000-000079B10000}"/>
    <cellStyle name="Normal 65 2 2 3 3 2" xfId="32524" xr:uid="{00000000-0005-0000-0000-00007AB10000}"/>
    <cellStyle name="Normal 65 2 2 3 4" xfId="32525" xr:uid="{00000000-0005-0000-0000-00007BB10000}"/>
    <cellStyle name="Normal 65 2 2 4" xfId="32526" xr:uid="{00000000-0005-0000-0000-00007CB10000}"/>
    <cellStyle name="Normal 65 2 2 4 2" xfId="32527" xr:uid="{00000000-0005-0000-0000-00007DB10000}"/>
    <cellStyle name="Normal 65 2 2 5" xfId="32528" xr:uid="{00000000-0005-0000-0000-00007EB10000}"/>
    <cellStyle name="Normal 65 2 2 5 2" xfId="32529" xr:uid="{00000000-0005-0000-0000-00007FB10000}"/>
    <cellStyle name="Normal 65 2 2 6" xfId="32530" xr:uid="{00000000-0005-0000-0000-000080B10000}"/>
    <cellStyle name="Normal 65 2 3" xfId="32531" xr:uid="{00000000-0005-0000-0000-000081B10000}"/>
    <cellStyle name="Normal 65 2 3 2" xfId="32532" xr:uid="{00000000-0005-0000-0000-000082B10000}"/>
    <cellStyle name="Normal 65 2 3 2 2" xfId="32533" xr:uid="{00000000-0005-0000-0000-000083B10000}"/>
    <cellStyle name="Normal 65 2 3 3" xfId="32534" xr:uid="{00000000-0005-0000-0000-000084B10000}"/>
    <cellStyle name="Normal 65 2 3 3 2" xfId="32535" xr:uid="{00000000-0005-0000-0000-000085B10000}"/>
    <cellStyle name="Normal 65 2 3 4" xfId="32536" xr:uid="{00000000-0005-0000-0000-000086B10000}"/>
    <cellStyle name="Normal 65 2 4" xfId="32537" xr:uid="{00000000-0005-0000-0000-000087B10000}"/>
    <cellStyle name="Normal 65 2 4 2" xfId="32538" xr:uid="{00000000-0005-0000-0000-000088B10000}"/>
    <cellStyle name="Normal 65 2 4 2 2" xfId="32539" xr:uid="{00000000-0005-0000-0000-000089B10000}"/>
    <cellStyle name="Normal 65 2 4 3" xfId="32540" xr:uid="{00000000-0005-0000-0000-00008AB10000}"/>
    <cellStyle name="Normal 65 2 4 3 2" xfId="32541" xr:uid="{00000000-0005-0000-0000-00008BB10000}"/>
    <cellStyle name="Normal 65 2 4 4" xfId="32542" xr:uid="{00000000-0005-0000-0000-00008CB10000}"/>
    <cellStyle name="Normal 65 2 5" xfId="32543" xr:uid="{00000000-0005-0000-0000-00008DB10000}"/>
    <cellStyle name="Normal 65 2 5 2" xfId="32544" xr:uid="{00000000-0005-0000-0000-00008EB10000}"/>
    <cellStyle name="Normal 65 2 5 2 2" xfId="32545" xr:uid="{00000000-0005-0000-0000-00008FB10000}"/>
    <cellStyle name="Normal 65 2 5 3" xfId="32546" xr:uid="{00000000-0005-0000-0000-000090B10000}"/>
    <cellStyle name="Normal 65 2 5 3 2" xfId="32547" xr:uid="{00000000-0005-0000-0000-000091B10000}"/>
    <cellStyle name="Normal 65 2 5 4" xfId="32548" xr:uid="{00000000-0005-0000-0000-000092B10000}"/>
    <cellStyle name="Normal 65 2 6" xfId="32549" xr:uid="{00000000-0005-0000-0000-000093B10000}"/>
    <cellStyle name="Normal 65 2 6 2" xfId="32550" xr:uid="{00000000-0005-0000-0000-000094B10000}"/>
    <cellStyle name="Normal 65 2 6 2 2" xfId="32551" xr:uid="{00000000-0005-0000-0000-000095B10000}"/>
    <cellStyle name="Normal 65 2 6 3" xfId="32552" xr:uid="{00000000-0005-0000-0000-000096B10000}"/>
    <cellStyle name="Normal 65 2 6 3 2" xfId="32553" xr:uid="{00000000-0005-0000-0000-000097B10000}"/>
    <cellStyle name="Normal 65 2 6 4" xfId="32554" xr:uid="{00000000-0005-0000-0000-000098B10000}"/>
    <cellStyle name="Normal 65 2 7" xfId="32555" xr:uid="{00000000-0005-0000-0000-000099B10000}"/>
    <cellStyle name="Normal 65 2 7 2" xfId="32556" xr:uid="{00000000-0005-0000-0000-00009AB10000}"/>
    <cellStyle name="Normal 65 2 7 2 2" xfId="32557" xr:uid="{00000000-0005-0000-0000-00009BB10000}"/>
    <cellStyle name="Normal 65 2 7 3" xfId="32558" xr:uid="{00000000-0005-0000-0000-00009CB10000}"/>
    <cellStyle name="Normal 65 2 7 3 2" xfId="32559" xr:uid="{00000000-0005-0000-0000-00009DB10000}"/>
    <cellStyle name="Normal 65 2 7 4" xfId="32560" xr:uid="{00000000-0005-0000-0000-00009EB10000}"/>
    <cellStyle name="Normal 65 2 8" xfId="32561" xr:uid="{00000000-0005-0000-0000-00009FB10000}"/>
    <cellStyle name="Normal 65 2 8 2" xfId="32562" xr:uid="{00000000-0005-0000-0000-0000A0B10000}"/>
    <cellStyle name="Normal 65 2 8 2 2" xfId="32563" xr:uid="{00000000-0005-0000-0000-0000A1B10000}"/>
    <cellStyle name="Normal 65 2 8 3" xfId="32564" xr:uid="{00000000-0005-0000-0000-0000A2B10000}"/>
    <cellStyle name="Normal 65 2 9" xfId="32565" xr:uid="{00000000-0005-0000-0000-0000A3B10000}"/>
    <cellStyle name="Normal 65 2 9 2" xfId="32566" xr:uid="{00000000-0005-0000-0000-0000A4B10000}"/>
    <cellStyle name="Normal 65 3" xfId="32567" xr:uid="{00000000-0005-0000-0000-0000A5B10000}"/>
    <cellStyle name="Normal 65 3 2" xfId="32568" xr:uid="{00000000-0005-0000-0000-0000A6B10000}"/>
    <cellStyle name="Normal 65 3 2 2" xfId="32569" xr:uid="{00000000-0005-0000-0000-0000A7B10000}"/>
    <cellStyle name="Normal 65 3 2 2 2" xfId="32570" xr:uid="{00000000-0005-0000-0000-0000A8B10000}"/>
    <cellStyle name="Normal 65 3 2 3" xfId="32571" xr:uid="{00000000-0005-0000-0000-0000A9B10000}"/>
    <cellStyle name="Normal 65 3 2 3 2" xfId="32572" xr:uid="{00000000-0005-0000-0000-0000AAB10000}"/>
    <cellStyle name="Normal 65 3 2 4" xfId="32573" xr:uid="{00000000-0005-0000-0000-0000ABB10000}"/>
    <cellStyle name="Normal 65 3 3" xfId="32574" xr:uid="{00000000-0005-0000-0000-0000ACB10000}"/>
    <cellStyle name="Normal 65 3 3 2" xfId="32575" xr:uid="{00000000-0005-0000-0000-0000ADB10000}"/>
    <cellStyle name="Normal 65 3 3 2 2" xfId="32576" xr:uid="{00000000-0005-0000-0000-0000AEB10000}"/>
    <cellStyle name="Normal 65 3 3 3" xfId="32577" xr:uid="{00000000-0005-0000-0000-0000AFB10000}"/>
    <cellStyle name="Normal 65 3 3 3 2" xfId="32578" xr:uid="{00000000-0005-0000-0000-0000B0B10000}"/>
    <cellStyle name="Normal 65 3 3 4" xfId="32579" xr:uid="{00000000-0005-0000-0000-0000B1B10000}"/>
    <cellStyle name="Normal 65 3 4" xfId="32580" xr:uid="{00000000-0005-0000-0000-0000B2B10000}"/>
    <cellStyle name="Normal 65 3 4 2" xfId="32581" xr:uid="{00000000-0005-0000-0000-0000B3B10000}"/>
    <cellStyle name="Normal 65 3 5" xfId="32582" xr:uid="{00000000-0005-0000-0000-0000B4B10000}"/>
    <cellStyle name="Normal 65 3 5 2" xfId="32583" xr:uid="{00000000-0005-0000-0000-0000B5B10000}"/>
    <cellStyle name="Normal 65 3 6" xfId="32584" xr:uid="{00000000-0005-0000-0000-0000B6B10000}"/>
    <cellStyle name="Normal 65 4" xfId="32585" xr:uid="{00000000-0005-0000-0000-0000B7B10000}"/>
    <cellStyle name="Normal 65 4 2" xfId="32586" xr:uid="{00000000-0005-0000-0000-0000B8B10000}"/>
    <cellStyle name="Normal 65 4 2 2" xfId="32587" xr:uid="{00000000-0005-0000-0000-0000B9B10000}"/>
    <cellStyle name="Normal 65 4 3" xfId="32588" xr:uid="{00000000-0005-0000-0000-0000BAB10000}"/>
    <cellStyle name="Normal 65 4 3 2" xfId="32589" xr:uid="{00000000-0005-0000-0000-0000BBB10000}"/>
    <cellStyle name="Normal 65 4 4" xfId="32590" xr:uid="{00000000-0005-0000-0000-0000BCB10000}"/>
    <cellStyle name="Normal 65 5" xfId="32591" xr:uid="{00000000-0005-0000-0000-0000BDB10000}"/>
    <cellStyle name="Normal 65 5 2" xfId="32592" xr:uid="{00000000-0005-0000-0000-0000BEB10000}"/>
    <cellStyle name="Normal 65 5 2 2" xfId="32593" xr:uid="{00000000-0005-0000-0000-0000BFB10000}"/>
    <cellStyle name="Normal 65 5 3" xfId="32594" xr:uid="{00000000-0005-0000-0000-0000C0B10000}"/>
    <cellStyle name="Normal 65 5 3 2" xfId="32595" xr:uid="{00000000-0005-0000-0000-0000C1B10000}"/>
    <cellStyle name="Normal 65 5 4" xfId="32596" xr:uid="{00000000-0005-0000-0000-0000C2B10000}"/>
    <cellStyle name="Normal 65 6" xfId="32597" xr:uid="{00000000-0005-0000-0000-0000C3B10000}"/>
    <cellStyle name="Normal 65 6 2" xfId="32598" xr:uid="{00000000-0005-0000-0000-0000C4B10000}"/>
    <cellStyle name="Normal 65 6 2 2" xfId="32599" xr:uid="{00000000-0005-0000-0000-0000C5B10000}"/>
    <cellStyle name="Normal 65 6 3" xfId="32600" xr:uid="{00000000-0005-0000-0000-0000C6B10000}"/>
    <cellStyle name="Normal 65 6 3 2" xfId="32601" xr:uid="{00000000-0005-0000-0000-0000C7B10000}"/>
    <cellStyle name="Normal 65 6 4" xfId="32602" xr:uid="{00000000-0005-0000-0000-0000C8B10000}"/>
    <cellStyle name="Normal 65 7" xfId="32603" xr:uid="{00000000-0005-0000-0000-0000C9B10000}"/>
    <cellStyle name="Normal 65 7 2" xfId="32604" xr:uid="{00000000-0005-0000-0000-0000CAB10000}"/>
    <cellStyle name="Normal 65 7 2 2" xfId="32605" xr:uid="{00000000-0005-0000-0000-0000CBB10000}"/>
    <cellStyle name="Normal 65 7 3" xfId="32606" xr:uid="{00000000-0005-0000-0000-0000CCB10000}"/>
    <cellStyle name="Normal 65 7 3 2" xfId="32607" xr:uid="{00000000-0005-0000-0000-0000CDB10000}"/>
    <cellStyle name="Normal 65 7 4" xfId="32608" xr:uid="{00000000-0005-0000-0000-0000CEB10000}"/>
    <cellStyle name="Normal 65 8" xfId="32609" xr:uid="{00000000-0005-0000-0000-0000CFB10000}"/>
    <cellStyle name="Normal 65 8 2" xfId="32610" xr:uid="{00000000-0005-0000-0000-0000D0B10000}"/>
    <cellStyle name="Normal 65 8 2 2" xfId="32611" xr:uid="{00000000-0005-0000-0000-0000D1B10000}"/>
    <cellStyle name="Normal 65 8 3" xfId="32612" xr:uid="{00000000-0005-0000-0000-0000D2B10000}"/>
    <cellStyle name="Normal 65 8 3 2" xfId="32613" xr:uid="{00000000-0005-0000-0000-0000D3B10000}"/>
    <cellStyle name="Normal 65 8 4" xfId="32614" xr:uid="{00000000-0005-0000-0000-0000D4B10000}"/>
    <cellStyle name="Normal 65 9" xfId="32615" xr:uid="{00000000-0005-0000-0000-0000D5B10000}"/>
    <cellStyle name="Normal 65 9 2" xfId="32616" xr:uid="{00000000-0005-0000-0000-0000D6B10000}"/>
    <cellStyle name="Normal 65 9 2 2" xfId="32617" xr:uid="{00000000-0005-0000-0000-0000D7B10000}"/>
    <cellStyle name="Normal 65 9 3" xfId="32618" xr:uid="{00000000-0005-0000-0000-0000D8B10000}"/>
    <cellStyle name="Normal 66" xfId="32619" xr:uid="{00000000-0005-0000-0000-0000D9B10000}"/>
    <cellStyle name="Normal 66 10" xfId="32620" xr:uid="{00000000-0005-0000-0000-0000DAB10000}"/>
    <cellStyle name="Normal 66 10 2" xfId="32621" xr:uid="{00000000-0005-0000-0000-0000DBB10000}"/>
    <cellStyle name="Normal 66 11" xfId="32622" xr:uid="{00000000-0005-0000-0000-0000DCB10000}"/>
    <cellStyle name="Normal 66 11 2" xfId="32623" xr:uid="{00000000-0005-0000-0000-0000DDB10000}"/>
    <cellStyle name="Normal 66 12" xfId="32624" xr:uid="{00000000-0005-0000-0000-0000DEB10000}"/>
    <cellStyle name="Normal 66 13" xfId="32625" xr:uid="{00000000-0005-0000-0000-0000DFB10000}"/>
    <cellStyle name="Normal 66 2" xfId="32626" xr:uid="{00000000-0005-0000-0000-0000E0B10000}"/>
    <cellStyle name="Normal 66 2 10" xfId="32627" xr:uid="{00000000-0005-0000-0000-0000E1B10000}"/>
    <cellStyle name="Normal 66 2 10 2" xfId="32628" xr:uid="{00000000-0005-0000-0000-0000E2B10000}"/>
    <cellStyle name="Normal 66 2 11" xfId="32629" xr:uid="{00000000-0005-0000-0000-0000E3B10000}"/>
    <cellStyle name="Normal 66 2 2" xfId="32630" xr:uid="{00000000-0005-0000-0000-0000E4B10000}"/>
    <cellStyle name="Normal 66 2 2 2" xfId="32631" xr:uid="{00000000-0005-0000-0000-0000E5B10000}"/>
    <cellStyle name="Normal 66 2 2 2 2" xfId="32632" xr:uid="{00000000-0005-0000-0000-0000E6B10000}"/>
    <cellStyle name="Normal 66 2 2 2 2 2" xfId="32633" xr:uid="{00000000-0005-0000-0000-0000E7B10000}"/>
    <cellStyle name="Normal 66 2 2 2 3" xfId="32634" xr:uid="{00000000-0005-0000-0000-0000E8B10000}"/>
    <cellStyle name="Normal 66 2 2 2 3 2" xfId="32635" xr:uid="{00000000-0005-0000-0000-0000E9B10000}"/>
    <cellStyle name="Normal 66 2 2 2 4" xfId="32636" xr:uid="{00000000-0005-0000-0000-0000EAB10000}"/>
    <cellStyle name="Normal 66 2 2 3" xfId="32637" xr:uid="{00000000-0005-0000-0000-0000EBB10000}"/>
    <cellStyle name="Normal 66 2 2 3 2" xfId="32638" xr:uid="{00000000-0005-0000-0000-0000ECB10000}"/>
    <cellStyle name="Normal 66 2 2 3 2 2" xfId="32639" xr:uid="{00000000-0005-0000-0000-0000EDB10000}"/>
    <cellStyle name="Normal 66 2 2 3 3" xfId="32640" xr:uid="{00000000-0005-0000-0000-0000EEB10000}"/>
    <cellStyle name="Normal 66 2 2 3 3 2" xfId="32641" xr:uid="{00000000-0005-0000-0000-0000EFB10000}"/>
    <cellStyle name="Normal 66 2 2 3 4" xfId="32642" xr:uid="{00000000-0005-0000-0000-0000F0B10000}"/>
    <cellStyle name="Normal 66 2 2 4" xfId="32643" xr:uid="{00000000-0005-0000-0000-0000F1B10000}"/>
    <cellStyle name="Normal 66 2 2 4 2" xfId="32644" xr:uid="{00000000-0005-0000-0000-0000F2B10000}"/>
    <cellStyle name="Normal 66 2 2 5" xfId="32645" xr:uid="{00000000-0005-0000-0000-0000F3B10000}"/>
    <cellStyle name="Normal 66 2 2 5 2" xfId="32646" xr:uid="{00000000-0005-0000-0000-0000F4B10000}"/>
    <cellStyle name="Normal 66 2 2 6" xfId="32647" xr:uid="{00000000-0005-0000-0000-0000F5B10000}"/>
    <cellStyle name="Normal 66 2 3" xfId="32648" xr:uid="{00000000-0005-0000-0000-0000F6B10000}"/>
    <cellStyle name="Normal 66 2 3 2" xfId="32649" xr:uid="{00000000-0005-0000-0000-0000F7B10000}"/>
    <cellStyle name="Normal 66 2 3 2 2" xfId="32650" xr:uid="{00000000-0005-0000-0000-0000F8B10000}"/>
    <cellStyle name="Normal 66 2 3 3" xfId="32651" xr:uid="{00000000-0005-0000-0000-0000F9B10000}"/>
    <cellStyle name="Normal 66 2 3 3 2" xfId="32652" xr:uid="{00000000-0005-0000-0000-0000FAB10000}"/>
    <cellStyle name="Normal 66 2 3 4" xfId="32653" xr:uid="{00000000-0005-0000-0000-0000FBB10000}"/>
    <cellStyle name="Normal 66 2 4" xfId="32654" xr:uid="{00000000-0005-0000-0000-0000FCB10000}"/>
    <cellStyle name="Normal 66 2 4 2" xfId="32655" xr:uid="{00000000-0005-0000-0000-0000FDB10000}"/>
    <cellStyle name="Normal 66 2 4 2 2" xfId="32656" xr:uid="{00000000-0005-0000-0000-0000FEB10000}"/>
    <cellStyle name="Normal 66 2 4 3" xfId="32657" xr:uid="{00000000-0005-0000-0000-0000FFB10000}"/>
    <cellStyle name="Normal 66 2 4 3 2" xfId="32658" xr:uid="{00000000-0005-0000-0000-000000B20000}"/>
    <cellStyle name="Normal 66 2 4 4" xfId="32659" xr:uid="{00000000-0005-0000-0000-000001B20000}"/>
    <cellStyle name="Normal 66 2 5" xfId="32660" xr:uid="{00000000-0005-0000-0000-000002B20000}"/>
    <cellStyle name="Normal 66 2 5 2" xfId="32661" xr:uid="{00000000-0005-0000-0000-000003B20000}"/>
    <cellStyle name="Normal 66 2 5 2 2" xfId="32662" xr:uid="{00000000-0005-0000-0000-000004B20000}"/>
    <cellStyle name="Normal 66 2 5 3" xfId="32663" xr:uid="{00000000-0005-0000-0000-000005B20000}"/>
    <cellStyle name="Normal 66 2 5 3 2" xfId="32664" xr:uid="{00000000-0005-0000-0000-000006B20000}"/>
    <cellStyle name="Normal 66 2 5 4" xfId="32665" xr:uid="{00000000-0005-0000-0000-000007B20000}"/>
    <cellStyle name="Normal 66 2 6" xfId="32666" xr:uid="{00000000-0005-0000-0000-000008B20000}"/>
    <cellStyle name="Normal 66 2 6 2" xfId="32667" xr:uid="{00000000-0005-0000-0000-000009B20000}"/>
    <cellStyle name="Normal 66 2 6 2 2" xfId="32668" xr:uid="{00000000-0005-0000-0000-00000AB20000}"/>
    <cellStyle name="Normal 66 2 6 3" xfId="32669" xr:uid="{00000000-0005-0000-0000-00000BB20000}"/>
    <cellStyle name="Normal 66 2 6 3 2" xfId="32670" xr:uid="{00000000-0005-0000-0000-00000CB20000}"/>
    <cellStyle name="Normal 66 2 6 4" xfId="32671" xr:uid="{00000000-0005-0000-0000-00000DB20000}"/>
    <cellStyle name="Normal 66 2 7" xfId="32672" xr:uid="{00000000-0005-0000-0000-00000EB20000}"/>
    <cellStyle name="Normal 66 2 7 2" xfId="32673" xr:uid="{00000000-0005-0000-0000-00000FB20000}"/>
    <cellStyle name="Normal 66 2 7 2 2" xfId="32674" xr:uid="{00000000-0005-0000-0000-000010B20000}"/>
    <cellStyle name="Normal 66 2 7 3" xfId="32675" xr:uid="{00000000-0005-0000-0000-000011B20000}"/>
    <cellStyle name="Normal 66 2 7 3 2" xfId="32676" xr:uid="{00000000-0005-0000-0000-000012B20000}"/>
    <cellStyle name="Normal 66 2 7 4" xfId="32677" xr:uid="{00000000-0005-0000-0000-000013B20000}"/>
    <cellStyle name="Normal 66 2 8" xfId="32678" xr:uid="{00000000-0005-0000-0000-000014B20000}"/>
    <cellStyle name="Normal 66 2 8 2" xfId="32679" xr:uid="{00000000-0005-0000-0000-000015B20000}"/>
    <cellStyle name="Normal 66 2 8 2 2" xfId="32680" xr:uid="{00000000-0005-0000-0000-000016B20000}"/>
    <cellStyle name="Normal 66 2 8 3" xfId="32681" xr:uid="{00000000-0005-0000-0000-000017B20000}"/>
    <cellStyle name="Normal 66 2 9" xfId="32682" xr:uid="{00000000-0005-0000-0000-000018B20000}"/>
    <cellStyle name="Normal 66 2 9 2" xfId="32683" xr:uid="{00000000-0005-0000-0000-000019B20000}"/>
    <cellStyle name="Normal 66 3" xfId="32684" xr:uid="{00000000-0005-0000-0000-00001AB20000}"/>
    <cellStyle name="Normal 66 3 2" xfId="32685" xr:uid="{00000000-0005-0000-0000-00001BB20000}"/>
    <cellStyle name="Normal 66 3 2 2" xfId="32686" xr:uid="{00000000-0005-0000-0000-00001CB20000}"/>
    <cellStyle name="Normal 66 3 2 2 2" xfId="32687" xr:uid="{00000000-0005-0000-0000-00001DB20000}"/>
    <cellStyle name="Normal 66 3 2 3" xfId="32688" xr:uid="{00000000-0005-0000-0000-00001EB20000}"/>
    <cellStyle name="Normal 66 3 2 3 2" xfId="32689" xr:uid="{00000000-0005-0000-0000-00001FB20000}"/>
    <cellStyle name="Normal 66 3 2 4" xfId="32690" xr:uid="{00000000-0005-0000-0000-000020B20000}"/>
    <cellStyle name="Normal 66 3 3" xfId="32691" xr:uid="{00000000-0005-0000-0000-000021B20000}"/>
    <cellStyle name="Normal 66 3 3 2" xfId="32692" xr:uid="{00000000-0005-0000-0000-000022B20000}"/>
    <cellStyle name="Normal 66 3 3 2 2" xfId="32693" xr:uid="{00000000-0005-0000-0000-000023B20000}"/>
    <cellStyle name="Normal 66 3 3 3" xfId="32694" xr:uid="{00000000-0005-0000-0000-000024B20000}"/>
    <cellStyle name="Normal 66 3 3 3 2" xfId="32695" xr:uid="{00000000-0005-0000-0000-000025B20000}"/>
    <cellStyle name="Normal 66 3 3 4" xfId="32696" xr:uid="{00000000-0005-0000-0000-000026B20000}"/>
    <cellStyle name="Normal 66 3 4" xfId="32697" xr:uid="{00000000-0005-0000-0000-000027B20000}"/>
    <cellStyle name="Normal 66 3 4 2" xfId="32698" xr:uid="{00000000-0005-0000-0000-000028B20000}"/>
    <cellStyle name="Normal 66 3 5" xfId="32699" xr:uid="{00000000-0005-0000-0000-000029B20000}"/>
    <cellStyle name="Normal 66 3 5 2" xfId="32700" xr:uid="{00000000-0005-0000-0000-00002AB20000}"/>
    <cellStyle name="Normal 66 3 6" xfId="32701" xr:uid="{00000000-0005-0000-0000-00002BB20000}"/>
    <cellStyle name="Normal 66 4" xfId="32702" xr:uid="{00000000-0005-0000-0000-00002CB20000}"/>
    <cellStyle name="Normal 66 4 2" xfId="32703" xr:uid="{00000000-0005-0000-0000-00002DB20000}"/>
    <cellStyle name="Normal 66 4 2 2" xfId="32704" xr:uid="{00000000-0005-0000-0000-00002EB20000}"/>
    <cellStyle name="Normal 66 4 3" xfId="32705" xr:uid="{00000000-0005-0000-0000-00002FB20000}"/>
    <cellStyle name="Normal 66 4 3 2" xfId="32706" xr:uid="{00000000-0005-0000-0000-000030B20000}"/>
    <cellStyle name="Normal 66 4 4" xfId="32707" xr:uid="{00000000-0005-0000-0000-000031B20000}"/>
    <cellStyle name="Normal 66 5" xfId="32708" xr:uid="{00000000-0005-0000-0000-000032B20000}"/>
    <cellStyle name="Normal 66 5 2" xfId="32709" xr:uid="{00000000-0005-0000-0000-000033B20000}"/>
    <cellStyle name="Normal 66 5 2 2" xfId="32710" xr:uid="{00000000-0005-0000-0000-000034B20000}"/>
    <cellStyle name="Normal 66 5 3" xfId="32711" xr:uid="{00000000-0005-0000-0000-000035B20000}"/>
    <cellStyle name="Normal 66 5 3 2" xfId="32712" xr:uid="{00000000-0005-0000-0000-000036B20000}"/>
    <cellStyle name="Normal 66 5 4" xfId="32713" xr:uid="{00000000-0005-0000-0000-000037B20000}"/>
    <cellStyle name="Normal 66 6" xfId="32714" xr:uid="{00000000-0005-0000-0000-000038B20000}"/>
    <cellStyle name="Normal 66 6 2" xfId="32715" xr:uid="{00000000-0005-0000-0000-000039B20000}"/>
    <cellStyle name="Normal 66 6 2 2" xfId="32716" xr:uid="{00000000-0005-0000-0000-00003AB20000}"/>
    <cellStyle name="Normal 66 6 3" xfId="32717" xr:uid="{00000000-0005-0000-0000-00003BB20000}"/>
    <cellStyle name="Normal 66 6 3 2" xfId="32718" xr:uid="{00000000-0005-0000-0000-00003CB20000}"/>
    <cellStyle name="Normal 66 6 4" xfId="32719" xr:uid="{00000000-0005-0000-0000-00003DB20000}"/>
    <cellStyle name="Normal 66 7" xfId="32720" xr:uid="{00000000-0005-0000-0000-00003EB20000}"/>
    <cellStyle name="Normal 66 7 2" xfId="32721" xr:uid="{00000000-0005-0000-0000-00003FB20000}"/>
    <cellStyle name="Normal 66 7 2 2" xfId="32722" xr:uid="{00000000-0005-0000-0000-000040B20000}"/>
    <cellStyle name="Normal 66 7 3" xfId="32723" xr:uid="{00000000-0005-0000-0000-000041B20000}"/>
    <cellStyle name="Normal 66 7 3 2" xfId="32724" xr:uid="{00000000-0005-0000-0000-000042B20000}"/>
    <cellStyle name="Normal 66 7 4" xfId="32725" xr:uid="{00000000-0005-0000-0000-000043B20000}"/>
    <cellStyle name="Normal 66 8" xfId="32726" xr:uid="{00000000-0005-0000-0000-000044B20000}"/>
    <cellStyle name="Normal 66 8 2" xfId="32727" xr:uid="{00000000-0005-0000-0000-000045B20000}"/>
    <cellStyle name="Normal 66 8 2 2" xfId="32728" xr:uid="{00000000-0005-0000-0000-000046B20000}"/>
    <cellStyle name="Normal 66 8 3" xfId="32729" xr:uid="{00000000-0005-0000-0000-000047B20000}"/>
    <cellStyle name="Normal 66 8 3 2" xfId="32730" xr:uid="{00000000-0005-0000-0000-000048B20000}"/>
    <cellStyle name="Normal 66 8 4" xfId="32731" xr:uid="{00000000-0005-0000-0000-000049B20000}"/>
    <cellStyle name="Normal 66 9" xfId="32732" xr:uid="{00000000-0005-0000-0000-00004AB20000}"/>
    <cellStyle name="Normal 66 9 2" xfId="32733" xr:uid="{00000000-0005-0000-0000-00004BB20000}"/>
    <cellStyle name="Normal 66 9 2 2" xfId="32734" xr:uid="{00000000-0005-0000-0000-00004CB20000}"/>
    <cellStyle name="Normal 66 9 3" xfId="32735" xr:uid="{00000000-0005-0000-0000-00004DB20000}"/>
    <cellStyle name="Normal 67" xfId="32736" xr:uid="{00000000-0005-0000-0000-00004EB20000}"/>
    <cellStyle name="Normal 67 10" xfId="32737" xr:uid="{00000000-0005-0000-0000-00004FB20000}"/>
    <cellStyle name="Normal 67 10 2" xfId="32738" xr:uid="{00000000-0005-0000-0000-000050B20000}"/>
    <cellStyle name="Normal 67 11" xfId="32739" xr:uid="{00000000-0005-0000-0000-000051B20000}"/>
    <cellStyle name="Normal 67 11 2" xfId="32740" xr:uid="{00000000-0005-0000-0000-000052B20000}"/>
    <cellStyle name="Normal 67 12" xfId="32741" xr:uid="{00000000-0005-0000-0000-000053B20000}"/>
    <cellStyle name="Normal 67 13" xfId="32742" xr:uid="{00000000-0005-0000-0000-000054B20000}"/>
    <cellStyle name="Normal 67 2" xfId="32743" xr:uid="{00000000-0005-0000-0000-000055B20000}"/>
    <cellStyle name="Normal 67 2 10" xfId="32744" xr:uid="{00000000-0005-0000-0000-000056B20000}"/>
    <cellStyle name="Normal 67 2 10 2" xfId="32745" xr:uid="{00000000-0005-0000-0000-000057B20000}"/>
    <cellStyle name="Normal 67 2 11" xfId="32746" xr:uid="{00000000-0005-0000-0000-000058B20000}"/>
    <cellStyle name="Normal 67 2 2" xfId="32747" xr:uid="{00000000-0005-0000-0000-000059B20000}"/>
    <cellStyle name="Normal 67 2 2 2" xfId="32748" xr:uid="{00000000-0005-0000-0000-00005AB20000}"/>
    <cellStyle name="Normal 67 2 2 2 2" xfId="32749" xr:uid="{00000000-0005-0000-0000-00005BB20000}"/>
    <cellStyle name="Normal 67 2 2 2 2 2" xfId="32750" xr:uid="{00000000-0005-0000-0000-00005CB20000}"/>
    <cellStyle name="Normal 67 2 2 2 3" xfId="32751" xr:uid="{00000000-0005-0000-0000-00005DB20000}"/>
    <cellStyle name="Normal 67 2 2 2 3 2" xfId="32752" xr:uid="{00000000-0005-0000-0000-00005EB20000}"/>
    <cellStyle name="Normal 67 2 2 2 4" xfId="32753" xr:uid="{00000000-0005-0000-0000-00005FB20000}"/>
    <cellStyle name="Normal 67 2 2 3" xfId="32754" xr:uid="{00000000-0005-0000-0000-000060B20000}"/>
    <cellStyle name="Normal 67 2 2 3 2" xfId="32755" xr:uid="{00000000-0005-0000-0000-000061B20000}"/>
    <cellStyle name="Normal 67 2 2 3 2 2" xfId="32756" xr:uid="{00000000-0005-0000-0000-000062B20000}"/>
    <cellStyle name="Normal 67 2 2 3 3" xfId="32757" xr:uid="{00000000-0005-0000-0000-000063B20000}"/>
    <cellStyle name="Normal 67 2 2 3 3 2" xfId="32758" xr:uid="{00000000-0005-0000-0000-000064B20000}"/>
    <cellStyle name="Normal 67 2 2 3 4" xfId="32759" xr:uid="{00000000-0005-0000-0000-000065B20000}"/>
    <cellStyle name="Normal 67 2 2 4" xfId="32760" xr:uid="{00000000-0005-0000-0000-000066B20000}"/>
    <cellStyle name="Normal 67 2 2 4 2" xfId="32761" xr:uid="{00000000-0005-0000-0000-000067B20000}"/>
    <cellStyle name="Normal 67 2 2 5" xfId="32762" xr:uid="{00000000-0005-0000-0000-000068B20000}"/>
    <cellStyle name="Normal 67 2 2 5 2" xfId="32763" xr:uid="{00000000-0005-0000-0000-000069B20000}"/>
    <cellStyle name="Normal 67 2 2 6" xfId="32764" xr:uid="{00000000-0005-0000-0000-00006AB20000}"/>
    <cellStyle name="Normal 67 2 3" xfId="32765" xr:uid="{00000000-0005-0000-0000-00006BB20000}"/>
    <cellStyle name="Normal 67 2 3 2" xfId="32766" xr:uid="{00000000-0005-0000-0000-00006CB20000}"/>
    <cellStyle name="Normal 67 2 3 2 2" xfId="32767" xr:uid="{00000000-0005-0000-0000-00006DB20000}"/>
    <cellStyle name="Normal 67 2 3 3" xfId="32768" xr:uid="{00000000-0005-0000-0000-00006EB20000}"/>
    <cellStyle name="Normal 67 2 3 3 2" xfId="32769" xr:uid="{00000000-0005-0000-0000-00006FB20000}"/>
    <cellStyle name="Normal 67 2 3 4" xfId="32770" xr:uid="{00000000-0005-0000-0000-000070B20000}"/>
    <cellStyle name="Normal 67 2 4" xfId="32771" xr:uid="{00000000-0005-0000-0000-000071B20000}"/>
    <cellStyle name="Normal 67 2 4 2" xfId="32772" xr:uid="{00000000-0005-0000-0000-000072B20000}"/>
    <cellStyle name="Normal 67 2 4 2 2" xfId="32773" xr:uid="{00000000-0005-0000-0000-000073B20000}"/>
    <cellStyle name="Normal 67 2 4 3" xfId="32774" xr:uid="{00000000-0005-0000-0000-000074B20000}"/>
    <cellStyle name="Normal 67 2 4 3 2" xfId="32775" xr:uid="{00000000-0005-0000-0000-000075B20000}"/>
    <cellStyle name="Normal 67 2 4 4" xfId="32776" xr:uid="{00000000-0005-0000-0000-000076B20000}"/>
    <cellStyle name="Normal 67 2 5" xfId="32777" xr:uid="{00000000-0005-0000-0000-000077B20000}"/>
    <cellStyle name="Normal 67 2 5 2" xfId="32778" xr:uid="{00000000-0005-0000-0000-000078B20000}"/>
    <cellStyle name="Normal 67 2 5 2 2" xfId="32779" xr:uid="{00000000-0005-0000-0000-000079B20000}"/>
    <cellStyle name="Normal 67 2 5 3" xfId="32780" xr:uid="{00000000-0005-0000-0000-00007AB20000}"/>
    <cellStyle name="Normal 67 2 5 3 2" xfId="32781" xr:uid="{00000000-0005-0000-0000-00007BB20000}"/>
    <cellStyle name="Normal 67 2 5 4" xfId="32782" xr:uid="{00000000-0005-0000-0000-00007CB20000}"/>
    <cellStyle name="Normal 67 2 6" xfId="32783" xr:uid="{00000000-0005-0000-0000-00007DB20000}"/>
    <cellStyle name="Normal 67 2 6 2" xfId="32784" xr:uid="{00000000-0005-0000-0000-00007EB20000}"/>
    <cellStyle name="Normal 67 2 6 2 2" xfId="32785" xr:uid="{00000000-0005-0000-0000-00007FB20000}"/>
    <cellStyle name="Normal 67 2 6 3" xfId="32786" xr:uid="{00000000-0005-0000-0000-000080B20000}"/>
    <cellStyle name="Normal 67 2 6 3 2" xfId="32787" xr:uid="{00000000-0005-0000-0000-000081B20000}"/>
    <cellStyle name="Normal 67 2 6 4" xfId="32788" xr:uid="{00000000-0005-0000-0000-000082B20000}"/>
    <cellStyle name="Normal 67 2 7" xfId="32789" xr:uid="{00000000-0005-0000-0000-000083B20000}"/>
    <cellStyle name="Normal 67 2 7 2" xfId="32790" xr:uid="{00000000-0005-0000-0000-000084B20000}"/>
    <cellStyle name="Normal 67 2 7 2 2" xfId="32791" xr:uid="{00000000-0005-0000-0000-000085B20000}"/>
    <cellStyle name="Normal 67 2 7 3" xfId="32792" xr:uid="{00000000-0005-0000-0000-000086B20000}"/>
    <cellStyle name="Normal 67 2 7 3 2" xfId="32793" xr:uid="{00000000-0005-0000-0000-000087B20000}"/>
    <cellStyle name="Normal 67 2 7 4" xfId="32794" xr:uid="{00000000-0005-0000-0000-000088B20000}"/>
    <cellStyle name="Normal 67 2 8" xfId="32795" xr:uid="{00000000-0005-0000-0000-000089B20000}"/>
    <cellStyle name="Normal 67 2 8 2" xfId="32796" xr:uid="{00000000-0005-0000-0000-00008AB20000}"/>
    <cellStyle name="Normal 67 2 8 2 2" xfId="32797" xr:uid="{00000000-0005-0000-0000-00008BB20000}"/>
    <cellStyle name="Normal 67 2 8 3" xfId="32798" xr:uid="{00000000-0005-0000-0000-00008CB20000}"/>
    <cellStyle name="Normal 67 2 9" xfId="32799" xr:uid="{00000000-0005-0000-0000-00008DB20000}"/>
    <cellStyle name="Normal 67 2 9 2" xfId="32800" xr:uid="{00000000-0005-0000-0000-00008EB20000}"/>
    <cellStyle name="Normal 67 3" xfId="32801" xr:uid="{00000000-0005-0000-0000-00008FB20000}"/>
    <cellStyle name="Normal 67 3 2" xfId="32802" xr:uid="{00000000-0005-0000-0000-000090B20000}"/>
    <cellStyle name="Normal 67 3 2 2" xfId="32803" xr:uid="{00000000-0005-0000-0000-000091B20000}"/>
    <cellStyle name="Normal 67 3 2 2 2" xfId="32804" xr:uid="{00000000-0005-0000-0000-000092B20000}"/>
    <cellStyle name="Normal 67 3 2 3" xfId="32805" xr:uid="{00000000-0005-0000-0000-000093B20000}"/>
    <cellStyle name="Normal 67 3 2 3 2" xfId="32806" xr:uid="{00000000-0005-0000-0000-000094B20000}"/>
    <cellStyle name="Normal 67 3 2 4" xfId="32807" xr:uid="{00000000-0005-0000-0000-000095B20000}"/>
    <cellStyle name="Normal 67 3 3" xfId="32808" xr:uid="{00000000-0005-0000-0000-000096B20000}"/>
    <cellStyle name="Normal 67 3 3 2" xfId="32809" xr:uid="{00000000-0005-0000-0000-000097B20000}"/>
    <cellStyle name="Normal 67 3 3 2 2" xfId="32810" xr:uid="{00000000-0005-0000-0000-000098B20000}"/>
    <cellStyle name="Normal 67 3 3 3" xfId="32811" xr:uid="{00000000-0005-0000-0000-000099B20000}"/>
    <cellStyle name="Normal 67 3 3 3 2" xfId="32812" xr:uid="{00000000-0005-0000-0000-00009AB20000}"/>
    <cellStyle name="Normal 67 3 3 4" xfId="32813" xr:uid="{00000000-0005-0000-0000-00009BB20000}"/>
    <cellStyle name="Normal 67 3 4" xfId="32814" xr:uid="{00000000-0005-0000-0000-00009CB20000}"/>
    <cellStyle name="Normal 67 3 4 2" xfId="32815" xr:uid="{00000000-0005-0000-0000-00009DB20000}"/>
    <cellStyle name="Normal 67 3 5" xfId="32816" xr:uid="{00000000-0005-0000-0000-00009EB20000}"/>
    <cellStyle name="Normal 67 3 5 2" xfId="32817" xr:uid="{00000000-0005-0000-0000-00009FB20000}"/>
    <cellStyle name="Normal 67 3 6" xfId="32818" xr:uid="{00000000-0005-0000-0000-0000A0B20000}"/>
    <cellStyle name="Normal 67 4" xfId="32819" xr:uid="{00000000-0005-0000-0000-0000A1B20000}"/>
    <cellStyle name="Normal 67 4 2" xfId="32820" xr:uid="{00000000-0005-0000-0000-0000A2B20000}"/>
    <cellStyle name="Normal 67 4 2 2" xfId="32821" xr:uid="{00000000-0005-0000-0000-0000A3B20000}"/>
    <cellStyle name="Normal 67 4 3" xfId="32822" xr:uid="{00000000-0005-0000-0000-0000A4B20000}"/>
    <cellStyle name="Normal 67 4 3 2" xfId="32823" xr:uid="{00000000-0005-0000-0000-0000A5B20000}"/>
    <cellStyle name="Normal 67 4 4" xfId="32824" xr:uid="{00000000-0005-0000-0000-0000A6B20000}"/>
    <cellStyle name="Normal 67 5" xfId="32825" xr:uid="{00000000-0005-0000-0000-0000A7B20000}"/>
    <cellStyle name="Normal 67 5 2" xfId="32826" xr:uid="{00000000-0005-0000-0000-0000A8B20000}"/>
    <cellStyle name="Normal 67 5 2 2" xfId="32827" xr:uid="{00000000-0005-0000-0000-0000A9B20000}"/>
    <cellStyle name="Normal 67 5 3" xfId="32828" xr:uid="{00000000-0005-0000-0000-0000AAB20000}"/>
    <cellStyle name="Normal 67 5 3 2" xfId="32829" xr:uid="{00000000-0005-0000-0000-0000ABB20000}"/>
    <cellStyle name="Normal 67 5 4" xfId="32830" xr:uid="{00000000-0005-0000-0000-0000ACB20000}"/>
    <cellStyle name="Normal 67 6" xfId="32831" xr:uid="{00000000-0005-0000-0000-0000ADB20000}"/>
    <cellStyle name="Normal 67 6 2" xfId="32832" xr:uid="{00000000-0005-0000-0000-0000AEB20000}"/>
    <cellStyle name="Normal 67 6 2 2" xfId="32833" xr:uid="{00000000-0005-0000-0000-0000AFB20000}"/>
    <cellStyle name="Normal 67 6 3" xfId="32834" xr:uid="{00000000-0005-0000-0000-0000B0B20000}"/>
    <cellStyle name="Normal 67 6 3 2" xfId="32835" xr:uid="{00000000-0005-0000-0000-0000B1B20000}"/>
    <cellStyle name="Normal 67 6 4" xfId="32836" xr:uid="{00000000-0005-0000-0000-0000B2B20000}"/>
    <cellStyle name="Normal 67 7" xfId="32837" xr:uid="{00000000-0005-0000-0000-0000B3B20000}"/>
    <cellStyle name="Normal 67 7 2" xfId="32838" xr:uid="{00000000-0005-0000-0000-0000B4B20000}"/>
    <cellStyle name="Normal 67 7 2 2" xfId="32839" xr:uid="{00000000-0005-0000-0000-0000B5B20000}"/>
    <cellStyle name="Normal 67 7 3" xfId="32840" xr:uid="{00000000-0005-0000-0000-0000B6B20000}"/>
    <cellStyle name="Normal 67 7 3 2" xfId="32841" xr:uid="{00000000-0005-0000-0000-0000B7B20000}"/>
    <cellStyle name="Normal 67 7 4" xfId="32842" xr:uid="{00000000-0005-0000-0000-0000B8B20000}"/>
    <cellStyle name="Normal 67 8" xfId="32843" xr:uid="{00000000-0005-0000-0000-0000B9B20000}"/>
    <cellStyle name="Normal 67 8 2" xfId="32844" xr:uid="{00000000-0005-0000-0000-0000BAB20000}"/>
    <cellStyle name="Normal 67 8 2 2" xfId="32845" xr:uid="{00000000-0005-0000-0000-0000BBB20000}"/>
    <cellStyle name="Normal 67 8 3" xfId="32846" xr:uid="{00000000-0005-0000-0000-0000BCB20000}"/>
    <cellStyle name="Normal 67 8 3 2" xfId="32847" xr:uid="{00000000-0005-0000-0000-0000BDB20000}"/>
    <cellStyle name="Normal 67 8 4" xfId="32848" xr:uid="{00000000-0005-0000-0000-0000BEB20000}"/>
    <cellStyle name="Normal 67 9" xfId="32849" xr:uid="{00000000-0005-0000-0000-0000BFB20000}"/>
    <cellStyle name="Normal 67 9 2" xfId="32850" xr:uid="{00000000-0005-0000-0000-0000C0B20000}"/>
    <cellStyle name="Normal 67 9 2 2" xfId="32851" xr:uid="{00000000-0005-0000-0000-0000C1B20000}"/>
    <cellStyle name="Normal 67 9 3" xfId="32852" xr:uid="{00000000-0005-0000-0000-0000C2B20000}"/>
    <cellStyle name="Normal 68" xfId="32853" xr:uid="{00000000-0005-0000-0000-0000C3B20000}"/>
    <cellStyle name="Normal 68 10" xfId="32854" xr:uid="{00000000-0005-0000-0000-0000C4B20000}"/>
    <cellStyle name="Normal 68 10 2" xfId="32855" xr:uid="{00000000-0005-0000-0000-0000C5B20000}"/>
    <cellStyle name="Normal 68 11" xfId="32856" xr:uid="{00000000-0005-0000-0000-0000C6B20000}"/>
    <cellStyle name="Normal 68 11 2" xfId="32857" xr:uid="{00000000-0005-0000-0000-0000C7B20000}"/>
    <cellStyle name="Normal 68 12" xfId="32858" xr:uid="{00000000-0005-0000-0000-0000C8B20000}"/>
    <cellStyle name="Normal 68 13" xfId="32859" xr:uid="{00000000-0005-0000-0000-0000C9B20000}"/>
    <cellStyle name="Normal 68 2" xfId="32860" xr:uid="{00000000-0005-0000-0000-0000CAB20000}"/>
    <cellStyle name="Normal 68 2 10" xfId="32861" xr:uid="{00000000-0005-0000-0000-0000CBB20000}"/>
    <cellStyle name="Normal 68 2 10 2" xfId="32862" xr:uid="{00000000-0005-0000-0000-0000CCB20000}"/>
    <cellStyle name="Normal 68 2 11" xfId="32863" xr:uid="{00000000-0005-0000-0000-0000CDB20000}"/>
    <cellStyle name="Normal 68 2 2" xfId="32864" xr:uid="{00000000-0005-0000-0000-0000CEB20000}"/>
    <cellStyle name="Normal 68 2 2 2" xfId="32865" xr:uid="{00000000-0005-0000-0000-0000CFB20000}"/>
    <cellStyle name="Normal 68 2 2 2 2" xfId="32866" xr:uid="{00000000-0005-0000-0000-0000D0B20000}"/>
    <cellStyle name="Normal 68 2 2 2 2 2" xfId="32867" xr:uid="{00000000-0005-0000-0000-0000D1B20000}"/>
    <cellStyle name="Normal 68 2 2 2 3" xfId="32868" xr:uid="{00000000-0005-0000-0000-0000D2B20000}"/>
    <cellStyle name="Normal 68 2 2 2 3 2" xfId="32869" xr:uid="{00000000-0005-0000-0000-0000D3B20000}"/>
    <cellStyle name="Normal 68 2 2 2 4" xfId="32870" xr:uid="{00000000-0005-0000-0000-0000D4B20000}"/>
    <cellStyle name="Normal 68 2 2 3" xfId="32871" xr:uid="{00000000-0005-0000-0000-0000D5B20000}"/>
    <cellStyle name="Normal 68 2 2 3 2" xfId="32872" xr:uid="{00000000-0005-0000-0000-0000D6B20000}"/>
    <cellStyle name="Normal 68 2 2 3 2 2" xfId="32873" xr:uid="{00000000-0005-0000-0000-0000D7B20000}"/>
    <cellStyle name="Normal 68 2 2 3 3" xfId="32874" xr:uid="{00000000-0005-0000-0000-0000D8B20000}"/>
    <cellStyle name="Normal 68 2 2 3 3 2" xfId="32875" xr:uid="{00000000-0005-0000-0000-0000D9B20000}"/>
    <cellStyle name="Normal 68 2 2 3 4" xfId="32876" xr:uid="{00000000-0005-0000-0000-0000DAB20000}"/>
    <cellStyle name="Normal 68 2 2 4" xfId="32877" xr:uid="{00000000-0005-0000-0000-0000DBB20000}"/>
    <cellStyle name="Normal 68 2 2 4 2" xfId="32878" xr:uid="{00000000-0005-0000-0000-0000DCB20000}"/>
    <cellStyle name="Normal 68 2 2 5" xfId="32879" xr:uid="{00000000-0005-0000-0000-0000DDB20000}"/>
    <cellStyle name="Normal 68 2 2 5 2" xfId="32880" xr:uid="{00000000-0005-0000-0000-0000DEB20000}"/>
    <cellStyle name="Normal 68 2 2 6" xfId="32881" xr:uid="{00000000-0005-0000-0000-0000DFB20000}"/>
    <cellStyle name="Normal 68 2 3" xfId="32882" xr:uid="{00000000-0005-0000-0000-0000E0B20000}"/>
    <cellStyle name="Normal 68 2 3 2" xfId="32883" xr:uid="{00000000-0005-0000-0000-0000E1B20000}"/>
    <cellStyle name="Normal 68 2 3 2 2" xfId="32884" xr:uid="{00000000-0005-0000-0000-0000E2B20000}"/>
    <cellStyle name="Normal 68 2 3 3" xfId="32885" xr:uid="{00000000-0005-0000-0000-0000E3B20000}"/>
    <cellStyle name="Normal 68 2 3 3 2" xfId="32886" xr:uid="{00000000-0005-0000-0000-0000E4B20000}"/>
    <cellStyle name="Normal 68 2 3 4" xfId="32887" xr:uid="{00000000-0005-0000-0000-0000E5B20000}"/>
    <cellStyle name="Normal 68 2 4" xfId="32888" xr:uid="{00000000-0005-0000-0000-0000E6B20000}"/>
    <cellStyle name="Normal 68 2 4 2" xfId="32889" xr:uid="{00000000-0005-0000-0000-0000E7B20000}"/>
    <cellStyle name="Normal 68 2 4 2 2" xfId="32890" xr:uid="{00000000-0005-0000-0000-0000E8B20000}"/>
    <cellStyle name="Normal 68 2 4 3" xfId="32891" xr:uid="{00000000-0005-0000-0000-0000E9B20000}"/>
    <cellStyle name="Normal 68 2 4 3 2" xfId="32892" xr:uid="{00000000-0005-0000-0000-0000EAB20000}"/>
    <cellStyle name="Normal 68 2 4 4" xfId="32893" xr:uid="{00000000-0005-0000-0000-0000EBB20000}"/>
    <cellStyle name="Normal 68 2 5" xfId="32894" xr:uid="{00000000-0005-0000-0000-0000ECB20000}"/>
    <cellStyle name="Normal 68 2 5 2" xfId="32895" xr:uid="{00000000-0005-0000-0000-0000EDB20000}"/>
    <cellStyle name="Normal 68 2 5 2 2" xfId="32896" xr:uid="{00000000-0005-0000-0000-0000EEB20000}"/>
    <cellStyle name="Normal 68 2 5 3" xfId="32897" xr:uid="{00000000-0005-0000-0000-0000EFB20000}"/>
    <cellStyle name="Normal 68 2 5 3 2" xfId="32898" xr:uid="{00000000-0005-0000-0000-0000F0B20000}"/>
    <cellStyle name="Normal 68 2 5 4" xfId="32899" xr:uid="{00000000-0005-0000-0000-0000F1B20000}"/>
    <cellStyle name="Normal 68 2 6" xfId="32900" xr:uid="{00000000-0005-0000-0000-0000F2B20000}"/>
    <cellStyle name="Normal 68 2 6 2" xfId="32901" xr:uid="{00000000-0005-0000-0000-0000F3B20000}"/>
    <cellStyle name="Normal 68 2 6 2 2" xfId="32902" xr:uid="{00000000-0005-0000-0000-0000F4B20000}"/>
    <cellStyle name="Normal 68 2 6 3" xfId="32903" xr:uid="{00000000-0005-0000-0000-0000F5B20000}"/>
    <cellStyle name="Normal 68 2 6 3 2" xfId="32904" xr:uid="{00000000-0005-0000-0000-0000F6B20000}"/>
    <cellStyle name="Normal 68 2 6 4" xfId="32905" xr:uid="{00000000-0005-0000-0000-0000F7B20000}"/>
    <cellStyle name="Normal 68 2 7" xfId="32906" xr:uid="{00000000-0005-0000-0000-0000F8B20000}"/>
    <cellStyle name="Normal 68 2 7 2" xfId="32907" xr:uid="{00000000-0005-0000-0000-0000F9B20000}"/>
    <cellStyle name="Normal 68 2 7 2 2" xfId="32908" xr:uid="{00000000-0005-0000-0000-0000FAB20000}"/>
    <cellStyle name="Normal 68 2 7 3" xfId="32909" xr:uid="{00000000-0005-0000-0000-0000FBB20000}"/>
    <cellStyle name="Normal 68 2 7 3 2" xfId="32910" xr:uid="{00000000-0005-0000-0000-0000FCB20000}"/>
    <cellStyle name="Normal 68 2 7 4" xfId="32911" xr:uid="{00000000-0005-0000-0000-0000FDB20000}"/>
    <cellStyle name="Normal 68 2 8" xfId="32912" xr:uid="{00000000-0005-0000-0000-0000FEB20000}"/>
    <cellStyle name="Normal 68 2 8 2" xfId="32913" xr:uid="{00000000-0005-0000-0000-0000FFB20000}"/>
    <cellStyle name="Normal 68 2 8 2 2" xfId="32914" xr:uid="{00000000-0005-0000-0000-000000B30000}"/>
    <cellStyle name="Normal 68 2 8 3" xfId="32915" xr:uid="{00000000-0005-0000-0000-000001B30000}"/>
    <cellStyle name="Normal 68 2 9" xfId="32916" xr:uid="{00000000-0005-0000-0000-000002B30000}"/>
    <cellStyle name="Normal 68 2 9 2" xfId="32917" xr:uid="{00000000-0005-0000-0000-000003B30000}"/>
    <cellStyle name="Normal 68 3" xfId="32918" xr:uid="{00000000-0005-0000-0000-000004B30000}"/>
    <cellStyle name="Normal 68 3 2" xfId="32919" xr:uid="{00000000-0005-0000-0000-000005B30000}"/>
    <cellStyle name="Normal 68 3 2 2" xfId="32920" xr:uid="{00000000-0005-0000-0000-000006B30000}"/>
    <cellStyle name="Normal 68 3 2 2 2" xfId="32921" xr:uid="{00000000-0005-0000-0000-000007B30000}"/>
    <cellStyle name="Normal 68 3 2 3" xfId="32922" xr:uid="{00000000-0005-0000-0000-000008B30000}"/>
    <cellStyle name="Normal 68 3 2 3 2" xfId="32923" xr:uid="{00000000-0005-0000-0000-000009B30000}"/>
    <cellStyle name="Normal 68 3 2 4" xfId="32924" xr:uid="{00000000-0005-0000-0000-00000AB30000}"/>
    <cellStyle name="Normal 68 3 3" xfId="32925" xr:uid="{00000000-0005-0000-0000-00000BB30000}"/>
    <cellStyle name="Normal 68 3 3 2" xfId="32926" xr:uid="{00000000-0005-0000-0000-00000CB30000}"/>
    <cellStyle name="Normal 68 3 3 2 2" xfId="32927" xr:uid="{00000000-0005-0000-0000-00000DB30000}"/>
    <cellStyle name="Normal 68 3 3 3" xfId="32928" xr:uid="{00000000-0005-0000-0000-00000EB30000}"/>
    <cellStyle name="Normal 68 3 3 3 2" xfId="32929" xr:uid="{00000000-0005-0000-0000-00000FB30000}"/>
    <cellStyle name="Normal 68 3 3 4" xfId="32930" xr:uid="{00000000-0005-0000-0000-000010B30000}"/>
    <cellStyle name="Normal 68 3 4" xfId="32931" xr:uid="{00000000-0005-0000-0000-000011B30000}"/>
    <cellStyle name="Normal 68 3 4 2" xfId="32932" xr:uid="{00000000-0005-0000-0000-000012B30000}"/>
    <cellStyle name="Normal 68 3 5" xfId="32933" xr:uid="{00000000-0005-0000-0000-000013B30000}"/>
    <cellStyle name="Normal 68 3 5 2" xfId="32934" xr:uid="{00000000-0005-0000-0000-000014B30000}"/>
    <cellStyle name="Normal 68 3 6" xfId="32935" xr:uid="{00000000-0005-0000-0000-000015B30000}"/>
    <cellStyle name="Normal 68 4" xfId="32936" xr:uid="{00000000-0005-0000-0000-000016B30000}"/>
    <cellStyle name="Normal 68 4 2" xfId="32937" xr:uid="{00000000-0005-0000-0000-000017B30000}"/>
    <cellStyle name="Normal 68 4 2 2" xfId="32938" xr:uid="{00000000-0005-0000-0000-000018B30000}"/>
    <cellStyle name="Normal 68 4 3" xfId="32939" xr:uid="{00000000-0005-0000-0000-000019B30000}"/>
    <cellStyle name="Normal 68 4 3 2" xfId="32940" xr:uid="{00000000-0005-0000-0000-00001AB30000}"/>
    <cellStyle name="Normal 68 4 4" xfId="32941" xr:uid="{00000000-0005-0000-0000-00001BB30000}"/>
    <cellStyle name="Normal 68 5" xfId="32942" xr:uid="{00000000-0005-0000-0000-00001CB30000}"/>
    <cellStyle name="Normal 68 5 2" xfId="32943" xr:uid="{00000000-0005-0000-0000-00001DB30000}"/>
    <cellStyle name="Normal 68 5 2 2" xfId="32944" xr:uid="{00000000-0005-0000-0000-00001EB30000}"/>
    <cellStyle name="Normal 68 5 3" xfId="32945" xr:uid="{00000000-0005-0000-0000-00001FB30000}"/>
    <cellStyle name="Normal 68 5 3 2" xfId="32946" xr:uid="{00000000-0005-0000-0000-000020B30000}"/>
    <cellStyle name="Normal 68 5 4" xfId="32947" xr:uid="{00000000-0005-0000-0000-000021B30000}"/>
    <cellStyle name="Normal 68 6" xfId="32948" xr:uid="{00000000-0005-0000-0000-000022B30000}"/>
    <cellStyle name="Normal 68 6 2" xfId="32949" xr:uid="{00000000-0005-0000-0000-000023B30000}"/>
    <cellStyle name="Normal 68 6 2 2" xfId="32950" xr:uid="{00000000-0005-0000-0000-000024B30000}"/>
    <cellStyle name="Normal 68 6 3" xfId="32951" xr:uid="{00000000-0005-0000-0000-000025B30000}"/>
    <cellStyle name="Normal 68 6 3 2" xfId="32952" xr:uid="{00000000-0005-0000-0000-000026B30000}"/>
    <cellStyle name="Normal 68 6 4" xfId="32953" xr:uid="{00000000-0005-0000-0000-000027B30000}"/>
    <cellStyle name="Normal 68 7" xfId="32954" xr:uid="{00000000-0005-0000-0000-000028B30000}"/>
    <cellStyle name="Normal 68 7 2" xfId="32955" xr:uid="{00000000-0005-0000-0000-000029B30000}"/>
    <cellStyle name="Normal 68 7 2 2" xfId="32956" xr:uid="{00000000-0005-0000-0000-00002AB30000}"/>
    <cellStyle name="Normal 68 7 3" xfId="32957" xr:uid="{00000000-0005-0000-0000-00002BB30000}"/>
    <cellStyle name="Normal 68 7 3 2" xfId="32958" xr:uid="{00000000-0005-0000-0000-00002CB30000}"/>
    <cellStyle name="Normal 68 7 4" xfId="32959" xr:uid="{00000000-0005-0000-0000-00002DB30000}"/>
    <cellStyle name="Normal 68 8" xfId="32960" xr:uid="{00000000-0005-0000-0000-00002EB30000}"/>
    <cellStyle name="Normal 68 8 2" xfId="32961" xr:uid="{00000000-0005-0000-0000-00002FB30000}"/>
    <cellStyle name="Normal 68 8 2 2" xfId="32962" xr:uid="{00000000-0005-0000-0000-000030B30000}"/>
    <cellStyle name="Normal 68 8 3" xfId="32963" xr:uid="{00000000-0005-0000-0000-000031B30000}"/>
    <cellStyle name="Normal 68 8 3 2" xfId="32964" xr:uid="{00000000-0005-0000-0000-000032B30000}"/>
    <cellStyle name="Normal 68 8 4" xfId="32965" xr:uid="{00000000-0005-0000-0000-000033B30000}"/>
    <cellStyle name="Normal 68 9" xfId="32966" xr:uid="{00000000-0005-0000-0000-000034B30000}"/>
    <cellStyle name="Normal 68 9 2" xfId="32967" xr:uid="{00000000-0005-0000-0000-000035B30000}"/>
    <cellStyle name="Normal 68 9 2 2" xfId="32968" xr:uid="{00000000-0005-0000-0000-000036B30000}"/>
    <cellStyle name="Normal 68 9 3" xfId="32969" xr:uid="{00000000-0005-0000-0000-000037B30000}"/>
    <cellStyle name="Normal 69" xfId="32970" xr:uid="{00000000-0005-0000-0000-000038B30000}"/>
    <cellStyle name="Normal 69 10" xfId="32971" xr:uid="{00000000-0005-0000-0000-000039B30000}"/>
    <cellStyle name="Normal 69 10 2" xfId="32972" xr:uid="{00000000-0005-0000-0000-00003AB30000}"/>
    <cellStyle name="Normal 69 11" xfId="32973" xr:uid="{00000000-0005-0000-0000-00003BB30000}"/>
    <cellStyle name="Normal 69 11 2" xfId="32974" xr:uid="{00000000-0005-0000-0000-00003CB30000}"/>
    <cellStyle name="Normal 69 12" xfId="32975" xr:uid="{00000000-0005-0000-0000-00003DB30000}"/>
    <cellStyle name="Normal 69 13" xfId="32976" xr:uid="{00000000-0005-0000-0000-00003EB30000}"/>
    <cellStyle name="Normal 69 2" xfId="32977" xr:uid="{00000000-0005-0000-0000-00003FB30000}"/>
    <cellStyle name="Normal 69 2 10" xfId="32978" xr:uid="{00000000-0005-0000-0000-000040B30000}"/>
    <cellStyle name="Normal 69 2 10 2" xfId="32979" xr:uid="{00000000-0005-0000-0000-000041B30000}"/>
    <cellStyle name="Normal 69 2 11" xfId="32980" xr:uid="{00000000-0005-0000-0000-000042B30000}"/>
    <cellStyle name="Normal 69 2 2" xfId="32981" xr:uid="{00000000-0005-0000-0000-000043B30000}"/>
    <cellStyle name="Normal 69 2 2 2" xfId="32982" xr:uid="{00000000-0005-0000-0000-000044B30000}"/>
    <cellStyle name="Normal 69 2 2 2 2" xfId="32983" xr:uid="{00000000-0005-0000-0000-000045B30000}"/>
    <cellStyle name="Normal 69 2 2 2 2 2" xfId="32984" xr:uid="{00000000-0005-0000-0000-000046B30000}"/>
    <cellStyle name="Normal 69 2 2 2 3" xfId="32985" xr:uid="{00000000-0005-0000-0000-000047B30000}"/>
    <cellStyle name="Normal 69 2 2 2 3 2" xfId="32986" xr:uid="{00000000-0005-0000-0000-000048B30000}"/>
    <cellStyle name="Normal 69 2 2 2 4" xfId="32987" xr:uid="{00000000-0005-0000-0000-000049B30000}"/>
    <cellStyle name="Normal 69 2 2 3" xfId="32988" xr:uid="{00000000-0005-0000-0000-00004AB30000}"/>
    <cellStyle name="Normal 69 2 2 3 2" xfId="32989" xr:uid="{00000000-0005-0000-0000-00004BB30000}"/>
    <cellStyle name="Normal 69 2 2 3 2 2" xfId="32990" xr:uid="{00000000-0005-0000-0000-00004CB30000}"/>
    <cellStyle name="Normal 69 2 2 3 3" xfId="32991" xr:uid="{00000000-0005-0000-0000-00004DB30000}"/>
    <cellStyle name="Normal 69 2 2 3 3 2" xfId="32992" xr:uid="{00000000-0005-0000-0000-00004EB30000}"/>
    <cellStyle name="Normal 69 2 2 3 4" xfId="32993" xr:uid="{00000000-0005-0000-0000-00004FB30000}"/>
    <cellStyle name="Normal 69 2 2 4" xfId="32994" xr:uid="{00000000-0005-0000-0000-000050B30000}"/>
    <cellStyle name="Normal 69 2 2 4 2" xfId="32995" xr:uid="{00000000-0005-0000-0000-000051B30000}"/>
    <cellStyle name="Normal 69 2 2 5" xfId="32996" xr:uid="{00000000-0005-0000-0000-000052B30000}"/>
    <cellStyle name="Normal 69 2 2 5 2" xfId="32997" xr:uid="{00000000-0005-0000-0000-000053B30000}"/>
    <cellStyle name="Normal 69 2 2 6" xfId="32998" xr:uid="{00000000-0005-0000-0000-000054B30000}"/>
    <cellStyle name="Normal 69 2 3" xfId="32999" xr:uid="{00000000-0005-0000-0000-000055B30000}"/>
    <cellStyle name="Normal 69 2 3 2" xfId="33000" xr:uid="{00000000-0005-0000-0000-000056B30000}"/>
    <cellStyle name="Normal 69 2 3 2 2" xfId="33001" xr:uid="{00000000-0005-0000-0000-000057B30000}"/>
    <cellStyle name="Normal 69 2 3 3" xfId="33002" xr:uid="{00000000-0005-0000-0000-000058B30000}"/>
    <cellStyle name="Normal 69 2 3 3 2" xfId="33003" xr:uid="{00000000-0005-0000-0000-000059B30000}"/>
    <cellStyle name="Normal 69 2 3 4" xfId="33004" xr:uid="{00000000-0005-0000-0000-00005AB30000}"/>
    <cellStyle name="Normal 69 2 4" xfId="33005" xr:uid="{00000000-0005-0000-0000-00005BB30000}"/>
    <cellStyle name="Normal 69 2 4 2" xfId="33006" xr:uid="{00000000-0005-0000-0000-00005CB30000}"/>
    <cellStyle name="Normal 69 2 4 2 2" xfId="33007" xr:uid="{00000000-0005-0000-0000-00005DB30000}"/>
    <cellStyle name="Normal 69 2 4 3" xfId="33008" xr:uid="{00000000-0005-0000-0000-00005EB30000}"/>
    <cellStyle name="Normal 69 2 4 3 2" xfId="33009" xr:uid="{00000000-0005-0000-0000-00005FB30000}"/>
    <cellStyle name="Normal 69 2 4 4" xfId="33010" xr:uid="{00000000-0005-0000-0000-000060B30000}"/>
    <cellStyle name="Normal 69 2 5" xfId="33011" xr:uid="{00000000-0005-0000-0000-000061B30000}"/>
    <cellStyle name="Normal 69 2 5 2" xfId="33012" xr:uid="{00000000-0005-0000-0000-000062B30000}"/>
    <cellStyle name="Normal 69 2 5 2 2" xfId="33013" xr:uid="{00000000-0005-0000-0000-000063B30000}"/>
    <cellStyle name="Normal 69 2 5 3" xfId="33014" xr:uid="{00000000-0005-0000-0000-000064B30000}"/>
    <cellStyle name="Normal 69 2 5 3 2" xfId="33015" xr:uid="{00000000-0005-0000-0000-000065B30000}"/>
    <cellStyle name="Normal 69 2 5 4" xfId="33016" xr:uid="{00000000-0005-0000-0000-000066B30000}"/>
    <cellStyle name="Normal 69 2 6" xfId="33017" xr:uid="{00000000-0005-0000-0000-000067B30000}"/>
    <cellStyle name="Normal 69 2 6 2" xfId="33018" xr:uid="{00000000-0005-0000-0000-000068B30000}"/>
    <cellStyle name="Normal 69 2 6 2 2" xfId="33019" xr:uid="{00000000-0005-0000-0000-000069B30000}"/>
    <cellStyle name="Normal 69 2 6 3" xfId="33020" xr:uid="{00000000-0005-0000-0000-00006AB30000}"/>
    <cellStyle name="Normal 69 2 6 3 2" xfId="33021" xr:uid="{00000000-0005-0000-0000-00006BB30000}"/>
    <cellStyle name="Normal 69 2 6 4" xfId="33022" xr:uid="{00000000-0005-0000-0000-00006CB30000}"/>
    <cellStyle name="Normal 69 2 7" xfId="33023" xr:uid="{00000000-0005-0000-0000-00006DB30000}"/>
    <cellStyle name="Normal 69 2 7 2" xfId="33024" xr:uid="{00000000-0005-0000-0000-00006EB30000}"/>
    <cellStyle name="Normal 69 2 7 2 2" xfId="33025" xr:uid="{00000000-0005-0000-0000-00006FB30000}"/>
    <cellStyle name="Normal 69 2 7 3" xfId="33026" xr:uid="{00000000-0005-0000-0000-000070B30000}"/>
    <cellStyle name="Normal 69 2 7 3 2" xfId="33027" xr:uid="{00000000-0005-0000-0000-000071B30000}"/>
    <cellStyle name="Normal 69 2 7 4" xfId="33028" xr:uid="{00000000-0005-0000-0000-000072B30000}"/>
    <cellStyle name="Normal 69 2 8" xfId="33029" xr:uid="{00000000-0005-0000-0000-000073B30000}"/>
    <cellStyle name="Normal 69 2 8 2" xfId="33030" xr:uid="{00000000-0005-0000-0000-000074B30000}"/>
    <cellStyle name="Normal 69 2 8 2 2" xfId="33031" xr:uid="{00000000-0005-0000-0000-000075B30000}"/>
    <cellStyle name="Normal 69 2 8 3" xfId="33032" xr:uid="{00000000-0005-0000-0000-000076B30000}"/>
    <cellStyle name="Normal 69 2 9" xfId="33033" xr:uid="{00000000-0005-0000-0000-000077B30000}"/>
    <cellStyle name="Normal 69 2 9 2" xfId="33034" xr:uid="{00000000-0005-0000-0000-000078B30000}"/>
    <cellStyle name="Normal 69 3" xfId="33035" xr:uid="{00000000-0005-0000-0000-000079B30000}"/>
    <cellStyle name="Normal 69 3 2" xfId="33036" xr:uid="{00000000-0005-0000-0000-00007AB30000}"/>
    <cellStyle name="Normal 69 3 2 2" xfId="33037" xr:uid="{00000000-0005-0000-0000-00007BB30000}"/>
    <cellStyle name="Normal 69 3 2 2 2" xfId="33038" xr:uid="{00000000-0005-0000-0000-00007CB30000}"/>
    <cellStyle name="Normal 69 3 2 3" xfId="33039" xr:uid="{00000000-0005-0000-0000-00007DB30000}"/>
    <cellStyle name="Normal 69 3 2 3 2" xfId="33040" xr:uid="{00000000-0005-0000-0000-00007EB30000}"/>
    <cellStyle name="Normal 69 3 2 4" xfId="33041" xr:uid="{00000000-0005-0000-0000-00007FB30000}"/>
    <cellStyle name="Normal 69 3 3" xfId="33042" xr:uid="{00000000-0005-0000-0000-000080B30000}"/>
    <cellStyle name="Normal 69 3 3 2" xfId="33043" xr:uid="{00000000-0005-0000-0000-000081B30000}"/>
    <cellStyle name="Normal 69 3 3 2 2" xfId="33044" xr:uid="{00000000-0005-0000-0000-000082B30000}"/>
    <cellStyle name="Normal 69 3 3 3" xfId="33045" xr:uid="{00000000-0005-0000-0000-000083B30000}"/>
    <cellStyle name="Normal 69 3 3 3 2" xfId="33046" xr:uid="{00000000-0005-0000-0000-000084B30000}"/>
    <cellStyle name="Normal 69 3 3 4" xfId="33047" xr:uid="{00000000-0005-0000-0000-000085B30000}"/>
    <cellStyle name="Normal 69 3 4" xfId="33048" xr:uid="{00000000-0005-0000-0000-000086B30000}"/>
    <cellStyle name="Normal 69 3 4 2" xfId="33049" xr:uid="{00000000-0005-0000-0000-000087B30000}"/>
    <cellStyle name="Normal 69 3 5" xfId="33050" xr:uid="{00000000-0005-0000-0000-000088B30000}"/>
    <cellStyle name="Normal 69 3 5 2" xfId="33051" xr:uid="{00000000-0005-0000-0000-000089B30000}"/>
    <cellStyle name="Normal 69 3 6" xfId="33052" xr:uid="{00000000-0005-0000-0000-00008AB30000}"/>
    <cellStyle name="Normal 69 4" xfId="33053" xr:uid="{00000000-0005-0000-0000-00008BB30000}"/>
    <cellStyle name="Normal 69 4 2" xfId="33054" xr:uid="{00000000-0005-0000-0000-00008CB30000}"/>
    <cellStyle name="Normal 69 4 2 2" xfId="33055" xr:uid="{00000000-0005-0000-0000-00008DB30000}"/>
    <cellStyle name="Normal 69 4 3" xfId="33056" xr:uid="{00000000-0005-0000-0000-00008EB30000}"/>
    <cellStyle name="Normal 69 4 3 2" xfId="33057" xr:uid="{00000000-0005-0000-0000-00008FB30000}"/>
    <cellStyle name="Normal 69 4 4" xfId="33058" xr:uid="{00000000-0005-0000-0000-000090B30000}"/>
    <cellStyle name="Normal 69 5" xfId="33059" xr:uid="{00000000-0005-0000-0000-000091B30000}"/>
    <cellStyle name="Normal 69 5 2" xfId="33060" xr:uid="{00000000-0005-0000-0000-000092B30000}"/>
    <cellStyle name="Normal 69 5 2 2" xfId="33061" xr:uid="{00000000-0005-0000-0000-000093B30000}"/>
    <cellStyle name="Normal 69 5 3" xfId="33062" xr:uid="{00000000-0005-0000-0000-000094B30000}"/>
    <cellStyle name="Normal 69 5 3 2" xfId="33063" xr:uid="{00000000-0005-0000-0000-000095B30000}"/>
    <cellStyle name="Normal 69 5 4" xfId="33064" xr:uid="{00000000-0005-0000-0000-000096B30000}"/>
    <cellStyle name="Normal 69 6" xfId="33065" xr:uid="{00000000-0005-0000-0000-000097B30000}"/>
    <cellStyle name="Normal 69 6 2" xfId="33066" xr:uid="{00000000-0005-0000-0000-000098B30000}"/>
    <cellStyle name="Normal 69 6 2 2" xfId="33067" xr:uid="{00000000-0005-0000-0000-000099B30000}"/>
    <cellStyle name="Normal 69 6 3" xfId="33068" xr:uid="{00000000-0005-0000-0000-00009AB30000}"/>
    <cellStyle name="Normal 69 6 3 2" xfId="33069" xr:uid="{00000000-0005-0000-0000-00009BB30000}"/>
    <cellStyle name="Normal 69 6 4" xfId="33070" xr:uid="{00000000-0005-0000-0000-00009CB30000}"/>
    <cellStyle name="Normal 69 7" xfId="33071" xr:uid="{00000000-0005-0000-0000-00009DB30000}"/>
    <cellStyle name="Normal 69 7 2" xfId="33072" xr:uid="{00000000-0005-0000-0000-00009EB30000}"/>
    <cellStyle name="Normal 69 7 2 2" xfId="33073" xr:uid="{00000000-0005-0000-0000-00009FB30000}"/>
    <cellStyle name="Normal 69 7 3" xfId="33074" xr:uid="{00000000-0005-0000-0000-0000A0B30000}"/>
    <cellStyle name="Normal 69 7 3 2" xfId="33075" xr:uid="{00000000-0005-0000-0000-0000A1B30000}"/>
    <cellStyle name="Normal 69 7 4" xfId="33076" xr:uid="{00000000-0005-0000-0000-0000A2B30000}"/>
    <cellStyle name="Normal 69 8" xfId="33077" xr:uid="{00000000-0005-0000-0000-0000A3B30000}"/>
    <cellStyle name="Normal 69 8 2" xfId="33078" xr:uid="{00000000-0005-0000-0000-0000A4B30000}"/>
    <cellStyle name="Normal 69 8 2 2" xfId="33079" xr:uid="{00000000-0005-0000-0000-0000A5B30000}"/>
    <cellStyle name="Normal 69 8 3" xfId="33080" xr:uid="{00000000-0005-0000-0000-0000A6B30000}"/>
    <cellStyle name="Normal 69 8 3 2" xfId="33081" xr:uid="{00000000-0005-0000-0000-0000A7B30000}"/>
    <cellStyle name="Normal 69 8 4" xfId="33082" xr:uid="{00000000-0005-0000-0000-0000A8B30000}"/>
    <cellStyle name="Normal 69 9" xfId="33083" xr:uid="{00000000-0005-0000-0000-0000A9B30000}"/>
    <cellStyle name="Normal 69 9 2" xfId="33084" xr:uid="{00000000-0005-0000-0000-0000AAB30000}"/>
    <cellStyle name="Normal 69 9 2 2" xfId="33085" xr:uid="{00000000-0005-0000-0000-0000ABB30000}"/>
    <cellStyle name="Normal 69 9 3" xfId="33086" xr:uid="{00000000-0005-0000-0000-0000ACB30000}"/>
    <cellStyle name="Normal 7" xfId="33087" xr:uid="{00000000-0005-0000-0000-0000ADB30000}"/>
    <cellStyle name="Normal 7 10" xfId="33088" xr:uid="{00000000-0005-0000-0000-0000AEB30000}"/>
    <cellStyle name="Normal 7 10 2" xfId="33089" xr:uid="{00000000-0005-0000-0000-0000AFB30000}"/>
    <cellStyle name="Normal 7 10 2 2" xfId="33090" xr:uid="{00000000-0005-0000-0000-0000B0B30000}"/>
    <cellStyle name="Normal 7 10 2 2 2" xfId="33091" xr:uid="{00000000-0005-0000-0000-0000B1B30000}"/>
    <cellStyle name="Normal 7 10 2 2 2 2" xfId="58931" xr:uid="{00000000-0005-0000-0000-0000B2B30000}"/>
    <cellStyle name="Normal 7 10 2 2 2 3" xfId="58932" xr:uid="{00000000-0005-0000-0000-0000B3B30000}"/>
    <cellStyle name="Normal 7 10 2 2 3" xfId="33092" xr:uid="{00000000-0005-0000-0000-0000B4B30000}"/>
    <cellStyle name="Normal 7 10 2 2 3 2" xfId="58933" xr:uid="{00000000-0005-0000-0000-0000B5B30000}"/>
    <cellStyle name="Normal 7 10 2 2 4" xfId="33093" xr:uid="{00000000-0005-0000-0000-0000B6B30000}"/>
    <cellStyle name="Normal 7 10 2 2 5" xfId="33094" xr:uid="{00000000-0005-0000-0000-0000B7B30000}"/>
    <cellStyle name="Normal 7 10 2 2 6" xfId="33095" xr:uid="{00000000-0005-0000-0000-0000B8B30000}"/>
    <cellStyle name="Normal 7 10 2 3" xfId="33096" xr:uid="{00000000-0005-0000-0000-0000B9B30000}"/>
    <cellStyle name="Normal 7 10 2 3 2" xfId="58934" xr:uid="{00000000-0005-0000-0000-0000BAB30000}"/>
    <cellStyle name="Normal 7 10 2 3 3" xfId="58935" xr:uid="{00000000-0005-0000-0000-0000BBB30000}"/>
    <cellStyle name="Normal 7 10 2 4" xfId="33097" xr:uid="{00000000-0005-0000-0000-0000BCB30000}"/>
    <cellStyle name="Normal 7 10 2 4 2" xfId="58936" xr:uid="{00000000-0005-0000-0000-0000BDB30000}"/>
    <cellStyle name="Normal 7 10 2 5" xfId="33098" xr:uid="{00000000-0005-0000-0000-0000BEB30000}"/>
    <cellStyle name="Normal 7 10 2 6" xfId="33099" xr:uid="{00000000-0005-0000-0000-0000BFB30000}"/>
    <cellStyle name="Normal 7 10 2 7" xfId="33100" xr:uid="{00000000-0005-0000-0000-0000C0B30000}"/>
    <cellStyle name="Normal 7 10 3" xfId="33101" xr:uid="{00000000-0005-0000-0000-0000C1B30000}"/>
    <cellStyle name="Normal 7 10 3 2" xfId="33102" xr:uid="{00000000-0005-0000-0000-0000C2B30000}"/>
    <cellStyle name="Normal 7 10 3 2 2" xfId="58937" xr:uid="{00000000-0005-0000-0000-0000C3B30000}"/>
    <cellStyle name="Normal 7 10 3 2 3" xfId="58938" xr:uid="{00000000-0005-0000-0000-0000C4B30000}"/>
    <cellStyle name="Normal 7 10 3 3" xfId="33103" xr:uid="{00000000-0005-0000-0000-0000C5B30000}"/>
    <cellStyle name="Normal 7 10 3 3 2" xfId="58939" xr:uid="{00000000-0005-0000-0000-0000C6B30000}"/>
    <cellStyle name="Normal 7 10 3 4" xfId="33104" xr:uid="{00000000-0005-0000-0000-0000C7B30000}"/>
    <cellStyle name="Normal 7 10 3 5" xfId="33105" xr:uid="{00000000-0005-0000-0000-0000C8B30000}"/>
    <cellStyle name="Normal 7 10 3 6" xfId="33106" xr:uid="{00000000-0005-0000-0000-0000C9B30000}"/>
    <cellStyle name="Normal 7 10 4" xfId="33107" xr:uid="{00000000-0005-0000-0000-0000CAB30000}"/>
    <cellStyle name="Normal 7 10 4 2" xfId="58940" xr:uid="{00000000-0005-0000-0000-0000CBB30000}"/>
    <cellStyle name="Normal 7 10 4 3" xfId="58941" xr:uid="{00000000-0005-0000-0000-0000CCB30000}"/>
    <cellStyle name="Normal 7 10 5" xfId="33108" xr:uid="{00000000-0005-0000-0000-0000CDB30000}"/>
    <cellStyle name="Normal 7 10 5 2" xfId="58942" xr:uid="{00000000-0005-0000-0000-0000CEB30000}"/>
    <cellStyle name="Normal 7 10 6" xfId="33109" xr:uid="{00000000-0005-0000-0000-0000CFB30000}"/>
    <cellStyle name="Normal 7 10 7" xfId="33110" xr:uid="{00000000-0005-0000-0000-0000D0B30000}"/>
    <cellStyle name="Normal 7 10 8" xfId="33111" xr:uid="{00000000-0005-0000-0000-0000D1B30000}"/>
    <cellStyle name="Normal 7 11" xfId="33112" xr:uid="{00000000-0005-0000-0000-0000D2B30000}"/>
    <cellStyle name="Normal 7 11 2" xfId="33113" xr:uid="{00000000-0005-0000-0000-0000D3B30000}"/>
    <cellStyle name="Normal 7 11 2 2" xfId="33114" xr:uid="{00000000-0005-0000-0000-0000D4B30000}"/>
    <cellStyle name="Normal 7 11 2 2 2" xfId="33115" xr:uid="{00000000-0005-0000-0000-0000D5B30000}"/>
    <cellStyle name="Normal 7 11 2 2 2 2" xfId="58943" xr:uid="{00000000-0005-0000-0000-0000D6B30000}"/>
    <cellStyle name="Normal 7 11 2 2 2 3" xfId="58944" xr:uid="{00000000-0005-0000-0000-0000D7B30000}"/>
    <cellStyle name="Normal 7 11 2 2 3" xfId="33116" xr:uid="{00000000-0005-0000-0000-0000D8B30000}"/>
    <cellStyle name="Normal 7 11 2 2 3 2" xfId="58945" xr:uid="{00000000-0005-0000-0000-0000D9B30000}"/>
    <cellStyle name="Normal 7 11 2 2 4" xfId="33117" xr:uid="{00000000-0005-0000-0000-0000DAB30000}"/>
    <cellStyle name="Normal 7 11 2 2 5" xfId="33118" xr:uid="{00000000-0005-0000-0000-0000DBB30000}"/>
    <cellStyle name="Normal 7 11 2 2 6" xfId="33119" xr:uid="{00000000-0005-0000-0000-0000DCB30000}"/>
    <cellStyle name="Normal 7 11 2 3" xfId="33120" xr:uid="{00000000-0005-0000-0000-0000DDB30000}"/>
    <cellStyle name="Normal 7 11 2 3 2" xfId="58946" xr:uid="{00000000-0005-0000-0000-0000DEB30000}"/>
    <cellStyle name="Normal 7 11 2 3 3" xfId="58947" xr:uid="{00000000-0005-0000-0000-0000DFB30000}"/>
    <cellStyle name="Normal 7 11 2 4" xfId="33121" xr:uid="{00000000-0005-0000-0000-0000E0B30000}"/>
    <cellStyle name="Normal 7 11 2 4 2" xfId="58948" xr:uid="{00000000-0005-0000-0000-0000E1B30000}"/>
    <cellStyle name="Normal 7 11 2 5" xfId="33122" xr:uid="{00000000-0005-0000-0000-0000E2B30000}"/>
    <cellStyle name="Normal 7 11 2 6" xfId="33123" xr:uid="{00000000-0005-0000-0000-0000E3B30000}"/>
    <cellStyle name="Normal 7 11 2 7" xfId="33124" xr:uid="{00000000-0005-0000-0000-0000E4B30000}"/>
    <cellStyle name="Normal 7 11 3" xfId="33125" xr:uid="{00000000-0005-0000-0000-0000E5B30000}"/>
    <cellStyle name="Normal 7 11 3 2" xfId="33126" xr:uid="{00000000-0005-0000-0000-0000E6B30000}"/>
    <cellStyle name="Normal 7 11 3 2 2" xfId="58949" xr:uid="{00000000-0005-0000-0000-0000E7B30000}"/>
    <cellStyle name="Normal 7 11 3 2 3" xfId="58950" xr:uid="{00000000-0005-0000-0000-0000E8B30000}"/>
    <cellStyle name="Normal 7 11 3 3" xfId="33127" xr:uid="{00000000-0005-0000-0000-0000E9B30000}"/>
    <cellStyle name="Normal 7 11 3 3 2" xfId="58951" xr:uid="{00000000-0005-0000-0000-0000EAB30000}"/>
    <cellStyle name="Normal 7 11 3 4" xfId="33128" xr:uid="{00000000-0005-0000-0000-0000EBB30000}"/>
    <cellStyle name="Normal 7 11 3 5" xfId="33129" xr:uid="{00000000-0005-0000-0000-0000ECB30000}"/>
    <cellStyle name="Normal 7 11 3 6" xfId="33130" xr:uid="{00000000-0005-0000-0000-0000EDB30000}"/>
    <cellStyle name="Normal 7 11 4" xfId="33131" xr:uid="{00000000-0005-0000-0000-0000EEB30000}"/>
    <cellStyle name="Normal 7 11 4 2" xfId="58952" xr:uid="{00000000-0005-0000-0000-0000EFB30000}"/>
    <cellStyle name="Normal 7 11 4 3" xfId="58953" xr:uid="{00000000-0005-0000-0000-0000F0B30000}"/>
    <cellStyle name="Normal 7 11 5" xfId="33132" xr:uid="{00000000-0005-0000-0000-0000F1B30000}"/>
    <cellStyle name="Normal 7 11 5 2" xfId="58954" xr:uid="{00000000-0005-0000-0000-0000F2B30000}"/>
    <cellStyle name="Normal 7 11 6" xfId="33133" xr:uid="{00000000-0005-0000-0000-0000F3B30000}"/>
    <cellStyle name="Normal 7 11 7" xfId="33134" xr:uid="{00000000-0005-0000-0000-0000F4B30000}"/>
    <cellStyle name="Normal 7 11 8" xfId="33135" xr:uid="{00000000-0005-0000-0000-0000F5B30000}"/>
    <cellStyle name="Normal 7 12" xfId="33136" xr:uid="{00000000-0005-0000-0000-0000F6B30000}"/>
    <cellStyle name="Normal 7 12 2" xfId="33137" xr:uid="{00000000-0005-0000-0000-0000F7B30000}"/>
    <cellStyle name="Normal 7 12 2 2" xfId="33138" xr:uid="{00000000-0005-0000-0000-0000F8B30000}"/>
    <cellStyle name="Normal 7 12 2 2 2" xfId="58955" xr:uid="{00000000-0005-0000-0000-0000F9B30000}"/>
    <cellStyle name="Normal 7 12 2 2 3" xfId="58956" xr:uid="{00000000-0005-0000-0000-0000FAB30000}"/>
    <cellStyle name="Normal 7 12 2 3" xfId="33139" xr:uid="{00000000-0005-0000-0000-0000FBB30000}"/>
    <cellStyle name="Normal 7 12 2 3 2" xfId="58957" xr:uid="{00000000-0005-0000-0000-0000FCB30000}"/>
    <cellStyle name="Normal 7 12 2 4" xfId="33140" xr:uid="{00000000-0005-0000-0000-0000FDB30000}"/>
    <cellStyle name="Normal 7 12 2 5" xfId="33141" xr:uid="{00000000-0005-0000-0000-0000FEB30000}"/>
    <cellStyle name="Normal 7 12 2 6" xfId="33142" xr:uid="{00000000-0005-0000-0000-0000FFB30000}"/>
    <cellStyle name="Normal 7 12 3" xfId="33143" xr:uid="{00000000-0005-0000-0000-000000B40000}"/>
    <cellStyle name="Normal 7 12 3 2" xfId="58958" xr:uid="{00000000-0005-0000-0000-000001B40000}"/>
    <cellStyle name="Normal 7 12 3 3" xfId="58959" xr:uid="{00000000-0005-0000-0000-000002B40000}"/>
    <cellStyle name="Normal 7 12 4" xfId="33144" xr:uid="{00000000-0005-0000-0000-000003B40000}"/>
    <cellStyle name="Normal 7 12 4 2" xfId="58960" xr:uid="{00000000-0005-0000-0000-000004B40000}"/>
    <cellStyle name="Normal 7 12 5" xfId="33145" xr:uid="{00000000-0005-0000-0000-000005B40000}"/>
    <cellStyle name="Normal 7 12 6" xfId="33146" xr:uid="{00000000-0005-0000-0000-000006B40000}"/>
    <cellStyle name="Normal 7 12 7" xfId="33147" xr:uid="{00000000-0005-0000-0000-000007B40000}"/>
    <cellStyle name="Normal 7 13" xfId="33148" xr:uid="{00000000-0005-0000-0000-000008B40000}"/>
    <cellStyle name="Normal 7 13 2" xfId="33149" xr:uid="{00000000-0005-0000-0000-000009B40000}"/>
    <cellStyle name="Normal 7 13 2 2" xfId="58961" xr:uid="{00000000-0005-0000-0000-00000AB40000}"/>
    <cellStyle name="Normal 7 13 2 3" xfId="58962" xr:uid="{00000000-0005-0000-0000-00000BB40000}"/>
    <cellStyle name="Normal 7 13 3" xfId="33150" xr:uid="{00000000-0005-0000-0000-00000CB40000}"/>
    <cellStyle name="Normal 7 13 3 2" xfId="58963" xr:uid="{00000000-0005-0000-0000-00000DB40000}"/>
    <cellStyle name="Normal 7 13 4" xfId="33151" xr:uid="{00000000-0005-0000-0000-00000EB40000}"/>
    <cellStyle name="Normal 7 13 5" xfId="33152" xr:uid="{00000000-0005-0000-0000-00000FB40000}"/>
    <cellStyle name="Normal 7 13 6" xfId="33153" xr:uid="{00000000-0005-0000-0000-000010B40000}"/>
    <cellStyle name="Normal 7 14" xfId="33154" xr:uid="{00000000-0005-0000-0000-000011B40000}"/>
    <cellStyle name="Normal 7 14 2" xfId="58964" xr:uid="{00000000-0005-0000-0000-000012B40000}"/>
    <cellStyle name="Normal 7 14 3" xfId="58965" xr:uid="{00000000-0005-0000-0000-000013B40000}"/>
    <cellStyle name="Normal 7 15" xfId="33155" xr:uid="{00000000-0005-0000-0000-000014B40000}"/>
    <cellStyle name="Normal 7 15 2" xfId="58966" xr:uid="{00000000-0005-0000-0000-000015B40000}"/>
    <cellStyle name="Normal 7 16" xfId="33156" xr:uid="{00000000-0005-0000-0000-000016B40000}"/>
    <cellStyle name="Normal 7 16 2" xfId="58967" xr:uid="{00000000-0005-0000-0000-000017B40000}"/>
    <cellStyle name="Normal 7 17" xfId="33157" xr:uid="{00000000-0005-0000-0000-000018B40000}"/>
    <cellStyle name="Normal 7 18" xfId="33158" xr:uid="{00000000-0005-0000-0000-000019B40000}"/>
    <cellStyle name="Normal 7 19" xfId="33159" xr:uid="{00000000-0005-0000-0000-00001AB40000}"/>
    <cellStyle name="Normal 7 2" xfId="33160" xr:uid="{00000000-0005-0000-0000-00001BB40000}"/>
    <cellStyle name="Normal 7 2 10" xfId="33161" xr:uid="{00000000-0005-0000-0000-00001CB40000}"/>
    <cellStyle name="Normal 7 2 10 2" xfId="33162" xr:uid="{00000000-0005-0000-0000-00001DB40000}"/>
    <cellStyle name="Normal 7 2 10 2 2" xfId="33163" xr:uid="{00000000-0005-0000-0000-00001EB40000}"/>
    <cellStyle name="Normal 7 2 10 2 2 2" xfId="58968" xr:uid="{00000000-0005-0000-0000-00001FB40000}"/>
    <cellStyle name="Normal 7 2 10 2 2 3" xfId="58969" xr:uid="{00000000-0005-0000-0000-000020B40000}"/>
    <cellStyle name="Normal 7 2 10 2 3" xfId="33164" xr:uid="{00000000-0005-0000-0000-000021B40000}"/>
    <cellStyle name="Normal 7 2 10 2 3 2" xfId="58970" xr:uid="{00000000-0005-0000-0000-000022B40000}"/>
    <cellStyle name="Normal 7 2 10 2 4" xfId="33165" xr:uid="{00000000-0005-0000-0000-000023B40000}"/>
    <cellStyle name="Normal 7 2 10 2 5" xfId="33166" xr:uid="{00000000-0005-0000-0000-000024B40000}"/>
    <cellStyle name="Normal 7 2 10 2 6" xfId="33167" xr:uid="{00000000-0005-0000-0000-000025B40000}"/>
    <cellStyle name="Normal 7 2 10 3" xfId="33168" xr:uid="{00000000-0005-0000-0000-000026B40000}"/>
    <cellStyle name="Normal 7 2 10 3 2" xfId="58971" xr:uid="{00000000-0005-0000-0000-000027B40000}"/>
    <cellStyle name="Normal 7 2 10 3 3" xfId="58972" xr:uid="{00000000-0005-0000-0000-000028B40000}"/>
    <cellStyle name="Normal 7 2 10 4" xfId="33169" xr:uid="{00000000-0005-0000-0000-000029B40000}"/>
    <cellStyle name="Normal 7 2 10 4 2" xfId="58973" xr:uid="{00000000-0005-0000-0000-00002AB40000}"/>
    <cellStyle name="Normal 7 2 10 5" xfId="33170" xr:uid="{00000000-0005-0000-0000-00002BB40000}"/>
    <cellStyle name="Normal 7 2 10 6" xfId="33171" xr:uid="{00000000-0005-0000-0000-00002CB40000}"/>
    <cellStyle name="Normal 7 2 10 7" xfId="33172" xr:uid="{00000000-0005-0000-0000-00002DB40000}"/>
    <cellStyle name="Normal 7 2 11" xfId="33173" xr:uid="{00000000-0005-0000-0000-00002EB40000}"/>
    <cellStyle name="Normal 7 2 11 2" xfId="33174" xr:uid="{00000000-0005-0000-0000-00002FB40000}"/>
    <cellStyle name="Normal 7 2 11 2 2" xfId="58974" xr:uid="{00000000-0005-0000-0000-000030B40000}"/>
    <cellStyle name="Normal 7 2 11 2 3" xfId="58975" xr:uid="{00000000-0005-0000-0000-000031B40000}"/>
    <cellStyle name="Normal 7 2 11 3" xfId="33175" xr:uid="{00000000-0005-0000-0000-000032B40000}"/>
    <cellStyle name="Normal 7 2 11 3 2" xfId="58976" xr:uid="{00000000-0005-0000-0000-000033B40000}"/>
    <cellStyle name="Normal 7 2 11 4" xfId="33176" xr:uid="{00000000-0005-0000-0000-000034B40000}"/>
    <cellStyle name="Normal 7 2 11 5" xfId="33177" xr:uid="{00000000-0005-0000-0000-000035B40000}"/>
    <cellStyle name="Normal 7 2 11 6" xfId="33178" xr:uid="{00000000-0005-0000-0000-000036B40000}"/>
    <cellStyle name="Normal 7 2 12" xfId="33179" xr:uid="{00000000-0005-0000-0000-000037B40000}"/>
    <cellStyle name="Normal 7 2 12 2" xfId="58977" xr:uid="{00000000-0005-0000-0000-000038B40000}"/>
    <cellStyle name="Normal 7 2 12 3" xfId="58978" xr:uid="{00000000-0005-0000-0000-000039B40000}"/>
    <cellStyle name="Normal 7 2 13" xfId="33180" xr:uid="{00000000-0005-0000-0000-00003AB40000}"/>
    <cellStyle name="Normal 7 2 13 2" xfId="58979" xr:uid="{00000000-0005-0000-0000-00003BB40000}"/>
    <cellStyle name="Normal 7 2 14" xfId="33181" xr:uid="{00000000-0005-0000-0000-00003CB40000}"/>
    <cellStyle name="Normal 7 2 14 2" xfId="58980" xr:uid="{00000000-0005-0000-0000-00003DB40000}"/>
    <cellStyle name="Normal 7 2 15" xfId="33182" xr:uid="{00000000-0005-0000-0000-00003EB40000}"/>
    <cellStyle name="Normal 7 2 16" xfId="33183" xr:uid="{00000000-0005-0000-0000-00003FB40000}"/>
    <cellStyle name="Normal 7 2 17" xfId="33184" xr:uid="{00000000-0005-0000-0000-000040B40000}"/>
    <cellStyle name="Normal 7 2 18" xfId="33185" xr:uid="{00000000-0005-0000-0000-000041B40000}"/>
    <cellStyle name="Normal 7 2 19" xfId="33186" xr:uid="{00000000-0005-0000-0000-000042B40000}"/>
    <cellStyle name="Normal 7 2 2" xfId="33187" xr:uid="{00000000-0005-0000-0000-000043B40000}"/>
    <cellStyle name="Normal 7 2 2 10" xfId="33188" xr:uid="{00000000-0005-0000-0000-000044B40000}"/>
    <cellStyle name="Normal 7 2 2 11" xfId="33189" xr:uid="{00000000-0005-0000-0000-000045B40000}"/>
    <cellStyle name="Normal 7 2 2 12" xfId="33190" xr:uid="{00000000-0005-0000-0000-000046B40000}"/>
    <cellStyle name="Normal 7 2 2 13" xfId="33191" xr:uid="{00000000-0005-0000-0000-000047B40000}"/>
    <cellStyle name="Normal 7 2 2 14" xfId="33192" xr:uid="{00000000-0005-0000-0000-000048B40000}"/>
    <cellStyle name="Normal 7 2 2 15" xfId="33193" xr:uid="{00000000-0005-0000-0000-000049B40000}"/>
    <cellStyle name="Normal 7 2 2 16" xfId="33194" xr:uid="{00000000-0005-0000-0000-00004AB40000}"/>
    <cellStyle name="Normal 7 2 2 2" xfId="33195" xr:uid="{00000000-0005-0000-0000-00004BB40000}"/>
    <cellStyle name="Normal 7 2 2 2 10" xfId="33196" xr:uid="{00000000-0005-0000-0000-00004CB40000}"/>
    <cellStyle name="Normal 7 2 2 2 11" xfId="33197" xr:uid="{00000000-0005-0000-0000-00004DB40000}"/>
    <cellStyle name="Normal 7 2 2 2 12" xfId="33198" xr:uid="{00000000-0005-0000-0000-00004EB40000}"/>
    <cellStyle name="Normal 7 2 2 2 13" xfId="33199" xr:uid="{00000000-0005-0000-0000-00004FB40000}"/>
    <cellStyle name="Normal 7 2 2 2 14" xfId="33200" xr:uid="{00000000-0005-0000-0000-000050B40000}"/>
    <cellStyle name="Normal 7 2 2 2 2" xfId="33201" xr:uid="{00000000-0005-0000-0000-000051B40000}"/>
    <cellStyle name="Normal 7 2 2 2 2 2" xfId="33202" xr:uid="{00000000-0005-0000-0000-000052B40000}"/>
    <cellStyle name="Normal 7 2 2 2 2 2 2" xfId="33203" xr:uid="{00000000-0005-0000-0000-000053B40000}"/>
    <cellStyle name="Normal 7 2 2 2 2 2 2 2" xfId="33204" xr:uid="{00000000-0005-0000-0000-000054B40000}"/>
    <cellStyle name="Normal 7 2 2 2 2 2 2 2 2" xfId="58981" xr:uid="{00000000-0005-0000-0000-000055B40000}"/>
    <cellStyle name="Normal 7 2 2 2 2 2 2 2 3" xfId="58982" xr:uid="{00000000-0005-0000-0000-000056B40000}"/>
    <cellStyle name="Normal 7 2 2 2 2 2 2 3" xfId="33205" xr:uid="{00000000-0005-0000-0000-000057B40000}"/>
    <cellStyle name="Normal 7 2 2 2 2 2 2 3 2" xfId="58983" xr:uid="{00000000-0005-0000-0000-000058B40000}"/>
    <cellStyle name="Normal 7 2 2 2 2 2 2 4" xfId="33206" xr:uid="{00000000-0005-0000-0000-000059B40000}"/>
    <cellStyle name="Normal 7 2 2 2 2 2 2 5" xfId="33207" xr:uid="{00000000-0005-0000-0000-00005AB40000}"/>
    <cellStyle name="Normal 7 2 2 2 2 2 2 6" xfId="33208" xr:uid="{00000000-0005-0000-0000-00005BB40000}"/>
    <cellStyle name="Normal 7 2 2 2 2 2 3" xfId="33209" xr:uid="{00000000-0005-0000-0000-00005CB40000}"/>
    <cellStyle name="Normal 7 2 2 2 2 2 3 2" xfId="58984" xr:uid="{00000000-0005-0000-0000-00005DB40000}"/>
    <cellStyle name="Normal 7 2 2 2 2 2 3 3" xfId="58985" xr:uid="{00000000-0005-0000-0000-00005EB40000}"/>
    <cellStyle name="Normal 7 2 2 2 2 2 4" xfId="33210" xr:uid="{00000000-0005-0000-0000-00005FB40000}"/>
    <cellStyle name="Normal 7 2 2 2 2 2 4 2" xfId="58986" xr:uid="{00000000-0005-0000-0000-000060B40000}"/>
    <cellStyle name="Normal 7 2 2 2 2 2 5" xfId="33211" xr:uid="{00000000-0005-0000-0000-000061B40000}"/>
    <cellStyle name="Normal 7 2 2 2 2 2 6" xfId="33212" xr:uid="{00000000-0005-0000-0000-000062B40000}"/>
    <cellStyle name="Normal 7 2 2 2 2 2 7" xfId="33213" xr:uid="{00000000-0005-0000-0000-000063B40000}"/>
    <cellStyle name="Normal 7 2 2 2 2 3" xfId="33214" xr:uid="{00000000-0005-0000-0000-000064B40000}"/>
    <cellStyle name="Normal 7 2 2 2 2 3 2" xfId="33215" xr:uid="{00000000-0005-0000-0000-000065B40000}"/>
    <cellStyle name="Normal 7 2 2 2 2 3 2 2" xfId="58987" xr:uid="{00000000-0005-0000-0000-000066B40000}"/>
    <cellStyle name="Normal 7 2 2 2 2 3 2 3" xfId="58988" xr:uid="{00000000-0005-0000-0000-000067B40000}"/>
    <cellStyle name="Normal 7 2 2 2 2 3 3" xfId="33216" xr:uid="{00000000-0005-0000-0000-000068B40000}"/>
    <cellStyle name="Normal 7 2 2 2 2 3 3 2" xfId="58989" xr:uid="{00000000-0005-0000-0000-000069B40000}"/>
    <cellStyle name="Normal 7 2 2 2 2 3 4" xfId="33217" xr:uid="{00000000-0005-0000-0000-00006AB40000}"/>
    <cellStyle name="Normal 7 2 2 2 2 3 5" xfId="33218" xr:uid="{00000000-0005-0000-0000-00006BB40000}"/>
    <cellStyle name="Normal 7 2 2 2 2 3 6" xfId="33219" xr:uid="{00000000-0005-0000-0000-00006CB40000}"/>
    <cellStyle name="Normal 7 2 2 2 2 4" xfId="33220" xr:uid="{00000000-0005-0000-0000-00006DB40000}"/>
    <cellStyle name="Normal 7 2 2 2 2 4 2" xfId="58990" xr:uid="{00000000-0005-0000-0000-00006EB40000}"/>
    <cellStyle name="Normal 7 2 2 2 2 4 3" xfId="58991" xr:uid="{00000000-0005-0000-0000-00006FB40000}"/>
    <cellStyle name="Normal 7 2 2 2 2 5" xfId="33221" xr:uid="{00000000-0005-0000-0000-000070B40000}"/>
    <cellStyle name="Normal 7 2 2 2 2 5 2" xfId="58992" xr:uid="{00000000-0005-0000-0000-000071B40000}"/>
    <cellStyle name="Normal 7 2 2 2 2 6" xfId="33222" xr:uid="{00000000-0005-0000-0000-000072B40000}"/>
    <cellStyle name="Normal 7 2 2 2 2 7" xfId="33223" xr:uid="{00000000-0005-0000-0000-000073B40000}"/>
    <cellStyle name="Normal 7 2 2 2 2 8" xfId="33224" xr:uid="{00000000-0005-0000-0000-000074B40000}"/>
    <cellStyle name="Normal 7 2 2 2 2 9" xfId="33225" xr:uid="{00000000-0005-0000-0000-000075B40000}"/>
    <cellStyle name="Normal 7 2 2 2 3" xfId="33226" xr:uid="{00000000-0005-0000-0000-000076B40000}"/>
    <cellStyle name="Normal 7 2 2 2 3 2" xfId="33227" xr:uid="{00000000-0005-0000-0000-000077B40000}"/>
    <cellStyle name="Normal 7 2 2 2 3 2 2" xfId="33228" xr:uid="{00000000-0005-0000-0000-000078B40000}"/>
    <cellStyle name="Normal 7 2 2 2 3 2 2 2" xfId="33229" xr:uid="{00000000-0005-0000-0000-000079B40000}"/>
    <cellStyle name="Normal 7 2 2 2 3 2 2 2 2" xfId="58993" xr:uid="{00000000-0005-0000-0000-00007AB40000}"/>
    <cellStyle name="Normal 7 2 2 2 3 2 2 2 3" xfId="58994" xr:uid="{00000000-0005-0000-0000-00007BB40000}"/>
    <cellStyle name="Normal 7 2 2 2 3 2 2 3" xfId="33230" xr:uid="{00000000-0005-0000-0000-00007CB40000}"/>
    <cellStyle name="Normal 7 2 2 2 3 2 2 3 2" xfId="58995" xr:uid="{00000000-0005-0000-0000-00007DB40000}"/>
    <cellStyle name="Normal 7 2 2 2 3 2 2 4" xfId="33231" xr:uid="{00000000-0005-0000-0000-00007EB40000}"/>
    <cellStyle name="Normal 7 2 2 2 3 2 2 5" xfId="33232" xr:uid="{00000000-0005-0000-0000-00007FB40000}"/>
    <cellStyle name="Normal 7 2 2 2 3 2 2 6" xfId="33233" xr:uid="{00000000-0005-0000-0000-000080B40000}"/>
    <cellStyle name="Normal 7 2 2 2 3 2 3" xfId="33234" xr:uid="{00000000-0005-0000-0000-000081B40000}"/>
    <cellStyle name="Normal 7 2 2 2 3 2 3 2" xfId="58996" xr:uid="{00000000-0005-0000-0000-000082B40000}"/>
    <cellStyle name="Normal 7 2 2 2 3 2 3 3" xfId="58997" xr:uid="{00000000-0005-0000-0000-000083B40000}"/>
    <cellStyle name="Normal 7 2 2 2 3 2 4" xfId="33235" xr:uid="{00000000-0005-0000-0000-000084B40000}"/>
    <cellStyle name="Normal 7 2 2 2 3 2 4 2" xfId="58998" xr:uid="{00000000-0005-0000-0000-000085B40000}"/>
    <cellStyle name="Normal 7 2 2 2 3 2 5" xfId="33236" xr:uid="{00000000-0005-0000-0000-000086B40000}"/>
    <cellStyle name="Normal 7 2 2 2 3 2 6" xfId="33237" xr:uid="{00000000-0005-0000-0000-000087B40000}"/>
    <cellStyle name="Normal 7 2 2 2 3 2 7" xfId="33238" xr:uid="{00000000-0005-0000-0000-000088B40000}"/>
    <cellStyle name="Normal 7 2 2 2 3 3" xfId="33239" xr:uid="{00000000-0005-0000-0000-000089B40000}"/>
    <cellStyle name="Normal 7 2 2 2 3 3 2" xfId="33240" xr:uid="{00000000-0005-0000-0000-00008AB40000}"/>
    <cellStyle name="Normal 7 2 2 2 3 3 2 2" xfId="58999" xr:uid="{00000000-0005-0000-0000-00008BB40000}"/>
    <cellStyle name="Normal 7 2 2 2 3 3 2 3" xfId="59000" xr:uid="{00000000-0005-0000-0000-00008CB40000}"/>
    <cellStyle name="Normal 7 2 2 2 3 3 3" xfId="33241" xr:uid="{00000000-0005-0000-0000-00008DB40000}"/>
    <cellStyle name="Normal 7 2 2 2 3 3 3 2" xfId="59001" xr:uid="{00000000-0005-0000-0000-00008EB40000}"/>
    <cellStyle name="Normal 7 2 2 2 3 3 4" xfId="33242" xr:uid="{00000000-0005-0000-0000-00008FB40000}"/>
    <cellStyle name="Normal 7 2 2 2 3 3 5" xfId="33243" xr:uid="{00000000-0005-0000-0000-000090B40000}"/>
    <cellStyle name="Normal 7 2 2 2 3 3 6" xfId="33244" xr:uid="{00000000-0005-0000-0000-000091B40000}"/>
    <cellStyle name="Normal 7 2 2 2 3 4" xfId="33245" xr:uid="{00000000-0005-0000-0000-000092B40000}"/>
    <cellStyle name="Normal 7 2 2 2 3 4 2" xfId="59002" xr:uid="{00000000-0005-0000-0000-000093B40000}"/>
    <cellStyle name="Normal 7 2 2 2 3 4 3" xfId="59003" xr:uid="{00000000-0005-0000-0000-000094B40000}"/>
    <cellStyle name="Normal 7 2 2 2 3 5" xfId="33246" xr:uid="{00000000-0005-0000-0000-000095B40000}"/>
    <cellStyle name="Normal 7 2 2 2 3 5 2" xfId="59004" xr:uid="{00000000-0005-0000-0000-000096B40000}"/>
    <cellStyle name="Normal 7 2 2 2 3 6" xfId="33247" xr:uid="{00000000-0005-0000-0000-000097B40000}"/>
    <cellStyle name="Normal 7 2 2 2 3 7" xfId="33248" xr:uid="{00000000-0005-0000-0000-000098B40000}"/>
    <cellStyle name="Normal 7 2 2 2 3 8" xfId="33249" xr:uid="{00000000-0005-0000-0000-000099B40000}"/>
    <cellStyle name="Normal 7 2 2 2 4" xfId="33250" xr:uid="{00000000-0005-0000-0000-00009AB40000}"/>
    <cellStyle name="Normal 7 2 2 2 4 2" xfId="33251" xr:uid="{00000000-0005-0000-0000-00009BB40000}"/>
    <cellStyle name="Normal 7 2 2 2 4 2 2" xfId="33252" xr:uid="{00000000-0005-0000-0000-00009CB40000}"/>
    <cellStyle name="Normal 7 2 2 2 4 2 2 2" xfId="59005" xr:uid="{00000000-0005-0000-0000-00009DB40000}"/>
    <cellStyle name="Normal 7 2 2 2 4 2 2 3" xfId="59006" xr:uid="{00000000-0005-0000-0000-00009EB40000}"/>
    <cellStyle name="Normal 7 2 2 2 4 2 3" xfId="33253" xr:uid="{00000000-0005-0000-0000-00009FB40000}"/>
    <cellStyle name="Normal 7 2 2 2 4 2 3 2" xfId="59007" xr:uid="{00000000-0005-0000-0000-0000A0B40000}"/>
    <cellStyle name="Normal 7 2 2 2 4 2 4" xfId="33254" xr:uid="{00000000-0005-0000-0000-0000A1B40000}"/>
    <cellStyle name="Normal 7 2 2 2 4 2 5" xfId="33255" xr:uid="{00000000-0005-0000-0000-0000A2B40000}"/>
    <cellStyle name="Normal 7 2 2 2 4 2 6" xfId="33256" xr:uid="{00000000-0005-0000-0000-0000A3B40000}"/>
    <cellStyle name="Normal 7 2 2 2 4 3" xfId="33257" xr:uid="{00000000-0005-0000-0000-0000A4B40000}"/>
    <cellStyle name="Normal 7 2 2 2 4 3 2" xfId="59008" xr:uid="{00000000-0005-0000-0000-0000A5B40000}"/>
    <cellStyle name="Normal 7 2 2 2 4 3 3" xfId="59009" xr:uid="{00000000-0005-0000-0000-0000A6B40000}"/>
    <cellStyle name="Normal 7 2 2 2 4 4" xfId="33258" xr:uid="{00000000-0005-0000-0000-0000A7B40000}"/>
    <cellStyle name="Normal 7 2 2 2 4 4 2" xfId="59010" xr:uid="{00000000-0005-0000-0000-0000A8B40000}"/>
    <cellStyle name="Normal 7 2 2 2 4 5" xfId="33259" xr:uid="{00000000-0005-0000-0000-0000A9B40000}"/>
    <cellStyle name="Normal 7 2 2 2 4 6" xfId="33260" xr:uid="{00000000-0005-0000-0000-0000AAB40000}"/>
    <cellStyle name="Normal 7 2 2 2 4 7" xfId="33261" xr:uid="{00000000-0005-0000-0000-0000ABB40000}"/>
    <cellStyle name="Normal 7 2 2 2 5" xfId="33262" xr:uid="{00000000-0005-0000-0000-0000ACB40000}"/>
    <cellStyle name="Normal 7 2 2 2 5 2" xfId="33263" xr:uid="{00000000-0005-0000-0000-0000ADB40000}"/>
    <cellStyle name="Normal 7 2 2 2 5 2 2" xfId="59011" xr:uid="{00000000-0005-0000-0000-0000AEB40000}"/>
    <cellStyle name="Normal 7 2 2 2 5 2 3" xfId="59012" xr:uid="{00000000-0005-0000-0000-0000AFB40000}"/>
    <cellStyle name="Normal 7 2 2 2 5 3" xfId="33264" xr:uid="{00000000-0005-0000-0000-0000B0B40000}"/>
    <cellStyle name="Normal 7 2 2 2 5 3 2" xfId="59013" xr:uid="{00000000-0005-0000-0000-0000B1B40000}"/>
    <cellStyle name="Normal 7 2 2 2 5 4" xfId="33265" xr:uid="{00000000-0005-0000-0000-0000B2B40000}"/>
    <cellStyle name="Normal 7 2 2 2 5 5" xfId="33266" xr:uid="{00000000-0005-0000-0000-0000B3B40000}"/>
    <cellStyle name="Normal 7 2 2 2 5 6" xfId="33267" xr:uid="{00000000-0005-0000-0000-0000B4B40000}"/>
    <cellStyle name="Normal 7 2 2 2 6" xfId="33268" xr:uid="{00000000-0005-0000-0000-0000B5B40000}"/>
    <cellStyle name="Normal 7 2 2 2 6 2" xfId="59014" xr:uid="{00000000-0005-0000-0000-0000B6B40000}"/>
    <cellStyle name="Normal 7 2 2 2 6 3" xfId="59015" xr:uid="{00000000-0005-0000-0000-0000B7B40000}"/>
    <cellStyle name="Normal 7 2 2 2 7" xfId="33269" xr:uid="{00000000-0005-0000-0000-0000B8B40000}"/>
    <cellStyle name="Normal 7 2 2 2 7 2" xfId="59016" xr:uid="{00000000-0005-0000-0000-0000B9B40000}"/>
    <cellStyle name="Normal 7 2 2 2 8" xfId="33270" xr:uid="{00000000-0005-0000-0000-0000BAB40000}"/>
    <cellStyle name="Normal 7 2 2 2 9" xfId="33271" xr:uid="{00000000-0005-0000-0000-0000BBB40000}"/>
    <cellStyle name="Normal 7 2 2 3" xfId="33272" xr:uid="{00000000-0005-0000-0000-0000BCB40000}"/>
    <cellStyle name="Normal 7 2 2 3 2" xfId="33273" xr:uid="{00000000-0005-0000-0000-0000BDB40000}"/>
    <cellStyle name="Normal 7 2 2 3 2 2" xfId="33274" xr:uid="{00000000-0005-0000-0000-0000BEB40000}"/>
    <cellStyle name="Normal 7 2 2 3 2 2 2" xfId="33275" xr:uid="{00000000-0005-0000-0000-0000BFB40000}"/>
    <cellStyle name="Normal 7 2 2 3 2 2 2 2" xfId="59017" xr:uid="{00000000-0005-0000-0000-0000C0B40000}"/>
    <cellStyle name="Normal 7 2 2 3 2 2 2 3" xfId="59018" xr:uid="{00000000-0005-0000-0000-0000C1B40000}"/>
    <cellStyle name="Normal 7 2 2 3 2 2 3" xfId="33276" xr:uid="{00000000-0005-0000-0000-0000C2B40000}"/>
    <cellStyle name="Normal 7 2 2 3 2 2 3 2" xfId="59019" xr:uid="{00000000-0005-0000-0000-0000C3B40000}"/>
    <cellStyle name="Normal 7 2 2 3 2 2 4" xfId="33277" xr:uid="{00000000-0005-0000-0000-0000C4B40000}"/>
    <cellStyle name="Normal 7 2 2 3 2 2 5" xfId="33278" xr:uid="{00000000-0005-0000-0000-0000C5B40000}"/>
    <cellStyle name="Normal 7 2 2 3 2 2 6" xfId="33279" xr:uid="{00000000-0005-0000-0000-0000C6B40000}"/>
    <cellStyle name="Normal 7 2 2 3 2 3" xfId="33280" xr:uid="{00000000-0005-0000-0000-0000C7B40000}"/>
    <cellStyle name="Normal 7 2 2 3 2 3 2" xfId="59020" xr:uid="{00000000-0005-0000-0000-0000C8B40000}"/>
    <cellStyle name="Normal 7 2 2 3 2 3 3" xfId="59021" xr:uid="{00000000-0005-0000-0000-0000C9B40000}"/>
    <cellStyle name="Normal 7 2 2 3 2 4" xfId="33281" xr:uid="{00000000-0005-0000-0000-0000CAB40000}"/>
    <cellStyle name="Normal 7 2 2 3 2 4 2" xfId="59022" xr:uid="{00000000-0005-0000-0000-0000CBB40000}"/>
    <cellStyle name="Normal 7 2 2 3 2 5" xfId="33282" xr:uid="{00000000-0005-0000-0000-0000CCB40000}"/>
    <cellStyle name="Normal 7 2 2 3 2 6" xfId="33283" xr:uid="{00000000-0005-0000-0000-0000CDB40000}"/>
    <cellStyle name="Normal 7 2 2 3 2 7" xfId="33284" xr:uid="{00000000-0005-0000-0000-0000CEB40000}"/>
    <cellStyle name="Normal 7 2 2 3 3" xfId="33285" xr:uid="{00000000-0005-0000-0000-0000CFB40000}"/>
    <cellStyle name="Normal 7 2 2 3 3 2" xfId="33286" xr:uid="{00000000-0005-0000-0000-0000D0B40000}"/>
    <cellStyle name="Normal 7 2 2 3 3 2 2" xfId="59023" xr:uid="{00000000-0005-0000-0000-0000D1B40000}"/>
    <cellStyle name="Normal 7 2 2 3 3 2 3" xfId="59024" xr:uid="{00000000-0005-0000-0000-0000D2B40000}"/>
    <cellStyle name="Normal 7 2 2 3 3 3" xfId="33287" xr:uid="{00000000-0005-0000-0000-0000D3B40000}"/>
    <cellStyle name="Normal 7 2 2 3 3 3 2" xfId="59025" xr:uid="{00000000-0005-0000-0000-0000D4B40000}"/>
    <cellStyle name="Normal 7 2 2 3 3 4" xfId="33288" xr:uid="{00000000-0005-0000-0000-0000D5B40000}"/>
    <cellStyle name="Normal 7 2 2 3 3 5" xfId="33289" xr:uid="{00000000-0005-0000-0000-0000D6B40000}"/>
    <cellStyle name="Normal 7 2 2 3 3 6" xfId="33290" xr:uid="{00000000-0005-0000-0000-0000D7B40000}"/>
    <cellStyle name="Normal 7 2 2 3 4" xfId="33291" xr:uid="{00000000-0005-0000-0000-0000D8B40000}"/>
    <cellStyle name="Normal 7 2 2 3 4 2" xfId="59026" xr:uid="{00000000-0005-0000-0000-0000D9B40000}"/>
    <cellStyle name="Normal 7 2 2 3 4 3" xfId="59027" xr:uid="{00000000-0005-0000-0000-0000DAB40000}"/>
    <cellStyle name="Normal 7 2 2 3 5" xfId="33292" xr:uid="{00000000-0005-0000-0000-0000DBB40000}"/>
    <cellStyle name="Normal 7 2 2 3 5 2" xfId="59028" xr:uid="{00000000-0005-0000-0000-0000DCB40000}"/>
    <cellStyle name="Normal 7 2 2 3 6" xfId="33293" xr:uid="{00000000-0005-0000-0000-0000DDB40000}"/>
    <cellStyle name="Normal 7 2 2 3 7" xfId="33294" xr:uid="{00000000-0005-0000-0000-0000DEB40000}"/>
    <cellStyle name="Normal 7 2 2 3 8" xfId="33295" xr:uid="{00000000-0005-0000-0000-0000DFB40000}"/>
    <cellStyle name="Normal 7 2 2 3 9" xfId="33296" xr:uid="{00000000-0005-0000-0000-0000E0B40000}"/>
    <cellStyle name="Normal 7 2 2 4" xfId="33297" xr:uid="{00000000-0005-0000-0000-0000E1B40000}"/>
    <cellStyle name="Normal 7 2 2 4 2" xfId="33298" xr:uid="{00000000-0005-0000-0000-0000E2B40000}"/>
    <cellStyle name="Normal 7 2 2 4 2 2" xfId="33299" xr:uid="{00000000-0005-0000-0000-0000E3B40000}"/>
    <cellStyle name="Normal 7 2 2 4 2 2 2" xfId="33300" xr:uid="{00000000-0005-0000-0000-0000E4B40000}"/>
    <cellStyle name="Normal 7 2 2 4 2 2 2 2" xfId="59029" xr:uid="{00000000-0005-0000-0000-0000E5B40000}"/>
    <cellStyle name="Normal 7 2 2 4 2 2 2 3" xfId="59030" xr:uid="{00000000-0005-0000-0000-0000E6B40000}"/>
    <cellStyle name="Normal 7 2 2 4 2 2 3" xfId="33301" xr:uid="{00000000-0005-0000-0000-0000E7B40000}"/>
    <cellStyle name="Normal 7 2 2 4 2 2 3 2" xfId="59031" xr:uid="{00000000-0005-0000-0000-0000E8B40000}"/>
    <cellStyle name="Normal 7 2 2 4 2 2 4" xfId="33302" xr:uid="{00000000-0005-0000-0000-0000E9B40000}"/>
    <cellStyle name="Normal 7 2 2 4 2 2 5" xfId="33303" xr:uid="{00000000-0005-0000-0000-0000EAB40000}"/>
    <cellStyle name="Normal 7 2 2 4 2 2 6" xfId="33304" xr:uid="{00000000-0005-0000-0000-0000EBB40000}"/>
    <cellStyle name="Normal 7 2 2 4 2 3" xfId="33305" xr:uid="{00000000-0005-0000-0000-0000ECB40000}"/>
    <cellStyle name="Normal 7 2 2 4 2 3 2" xfId="59032" xr:uid="{00000000-0005-0000-0000-0000EDB40000}"/>
    <cellStyle name="Normal 7 2 2 4 2 3 3" xfId="59033" xr:uid="{00000000-0005-0000-0000-0000EEB40000}"/>
    <cellStyle name="Normal 7 2 2 4 2 4" xfId="33306" xr:uid="{00000000-0005-0000-0000-0000EFB40000}"/>
    <cellStyle name="Normal 7 2 2 4 2 4 2" xfId="59034" xr:uid="{00000000-0005-0000-0000-0000F0B40000}"/>
    <cellStyle name="Normal 7 2 2 4 2 5" xfId="33307" xr:uid="{00000000-0005-0000-0000-0000F1B40000}"/>
    <cellStyle name="Normal 7 2 2 4 2 6" xfId="33308" xr:uid="{00000000-0005-0000-0000-0000F2B40000}"/>
    <cellStyle name="Normal 7 2 2 4 2 7" xfId="33309" xr:uid="{00000000-0005-0000-0000-0000F3B40000}"/>
    <cellStyle name="Normal 7 2 2 4 3" xfId="33310" xr:uid="{00000000-0005-0000-0000-0000F4B40000}"/>
    <cellStyle name="Normal 7 2 2 4 3 2" xfId="33311" xr:uid="{00000000-0005-0000-0000-0000F5B40000}"/>
    <cellStyle name="Normal 7 2 2 4 3 2 2" xfId="59035" xr:uid="{00000000-0005-0000-0000-0000F6B40000}"/>
    <cellStyle name="Normal 7 2 2 4 3 2 3" xfId="59036" xr:uid="{00000000-0005-0000-0000-0000F7B40000}"/>
    <cellStyle name="Normal 7 2 2 4 3 3" xfId="33312" xr:uid="{00000000-0005-0000-0000-0000F8B40000}"/>
    <cellStyle name="Normal 7 2 2 4 3 3 2" xfId="59037" xr:uid="{00000000-0005-0000-0000-0000F9B40000}"/>
    <cellStyle name="Normal 7 2 2 4 3 4" xfId="33313" xr:uid="{00000000-0005-0000-0000-0000FAB40000}"/>
    <cellStyle name="Normal 7 2 2 4 3 5" xfId="33314" xr:uid="{00000000-0005-0000-0000-0000FBB40000}"/>
    <cellStyle name="Normal 7 2 2 4 3 6" xfId="33315" xr:uid="{00000000-0005-0000-0000-0000FCB40000}"/>
    <cellStyle name="Normal 7 2 2 4 4" xfId="33316" xr:uid="{00000000-0005-0000-0000-0000FDB40000}"/>
    <cellStyle name="Normal 7 2 2 4 4 2" xfId="59038" xr:uid="{00000000-0005-0000-0000-0000FEB40000}"/>
    <cellStyle name="Normal 7 2 2 4 4 3" xfId="59039" xr:uid="{00000000-0005-0000-0000-0000FFB40000}"/>
    <cellStyle name="Normal 7 2 2 4 5" xfId="33317" xr:uid="{00000000-0005-0000-0000-000000B50000}"/>
    <cellStyle name="Normal 7 2 2 4 5 2" xfId="59040" xr:uid="{00000000-0005-0000-0000-000001B50000}"/>
    <cellStyle name="Normal 7 2 2 4 6" xfId="33318" xr:uid="{00000000-0005-0000-0000-000002B50000}"/>
    <cellStyle name="Normal 7 2 2 4 7" xfId="33319" xr:uid="{00000000-0005-0000-0000-000003B50000}"/>
    <cellStyle name="Normal 7 2 2 4 8" xfId="33320" xr:uid="{00000000-0005-0000-0000-000004B50000}"/>
    <cellStyle name="Normal 7 2 2 5" xfId="33321" xr:uid="{00000000-0005-0000-0000-000005B50000}"/>
    <cellStyle name="Normal 7 2 2 5 2" xfId="33322" xr:uid="{00000000-0005-0000-0000-000006B50000}"/>
    <cellStyle name="Normal 7 2 2 5 2 2" xfId="33323" xr:uid="{00000000-0005-0000-0000-000007B50000}"/>
    <cellStyle name="Normal 7 2 2 5 2 2 2" xfId="59041" xr:uid="{00000000-0005-0000-0000-000008B50000}"/>
    <cellStyle name="Normal 7 2 2 5 2 2 3" xfId="59042" xr:uid="{00000000-0005-0000-0000-000009B50000}"/>
    <cellStyle name="Normal 7 2 2 5 2 3" xfId="33324" xr:uid="{00000000-0005-0000-0000-00000AB50000}"/>
    <cellStyle name="Normal 7 2 2 5 2 3 2" xfId="59043" xr:uid="{00000000-0005-0000-0000-00000BB50000}"/>
    <cellStyle name="Normal 7 2 2 5 2 4" xfId="33325" xr:uid="{00000000-0005-0000-0000-00000CB50000}"/>
    <cellStyle name="Normal 7 2 2 5 2 5" xfId="33326" xr:uid="{00000000-0005-0000-0000-00000DB50000}"/>
    <cellStyle name="Normal 7 2 2 5 2 6" xfId="33327" xr:uid="{00000000-0005-0000-0000-00000EB50000}"/>
    <cellStyle name="Normal 7 2 2 5 3" xfId="33328" xr:uid="{00000000-0005-0000-0000-00000FB50000}"/>
    <cellStyle name="Normal 7 2 2 5 3 2" xfId="59044" xr:uid="{00000000-0005-0000-0000-000010B50000}"/>
    <cellStyle name="Normal 7 2 2 5 3 3" xfId="59045" xr:uid="{00000000-0005-0000-0000-000011B50000}"/>
    <cellStyle name="Normal 7 2 2 5 4" xfId="33329" xr:uid="{00000000-0005-0000-0000-000012B50000}"/>
    <cellStyle name="Normal 7 2 2 5 4 2" xfId="59046" xr:uid="{00000000-0005-0000-0000-000013B50000}"/>
    <cellStyle name="Normal 7 2 2 5 5" xfId="33330" xr:uid="{00000000-0005-0000-0000-000014B50000}"/>
    <cellStyle name="Normal 7 2 2 5 6" xfId="33331" xr:uid="{00000000-0005-0000-0000-000015B50000}"/>
    <cellStyle name="Normal 7 2 2 5 7" xfId="33332" xr:uid="{00000000-0005-0000-0000-000016B50000}"/>
    <cellStyle name="Normal 7 2 2 6" xfId="33333" xr:uid="{00000000-0005-0000-0000-000017B50000}"/>
    <cellStyle name="Normal 7 2 2 6 2" xfId="33334" xr:uid="{00000000-0005-0000-0000-000018B50000}"/>
    <cellStyle name="Normal 7 2 2 6 2 2" xfId="59047" xr:uid="{00000000-0005-0000-0000-000019B50000}"/>
    <cellStyle name="Normal 7 2 2 6 2 3" xfId="59048" xr:uid="{00000000-0005-0000-0000-00001AB50000}"/>
    <cellStyle name="Normal 7 2 2 6 3" xfId="33335" xr:uid="{00000000-0005-0000-0000-00001BB50000}"/>
    <cellStyle name="Normal 7 2 2 6 3 2" xfId="59049" xr:uid="{00000000-0005-0000-0000-00001CB50000}"/>
    <cellStyle name="Normal 7 2 2 6 4" xfId="33336" xr:uid="{00000000-0005-0000-0000-00001DB50000}"/>
    <cellStyle name="Normal 7 2 2 6 5" xfId="33337" xr:uid="{00000000-0005-0000-0000-00001EB50000}"/>
    <cellStyle name="Normal 7 2 2 6 6" xfId="33338" xr:uid="{00000000-0005-0000-0000-00001FB50000}"/>
    <cellStyle name="Normal 7 2 2 7" xfId="33339" xr:uid="{00000000-0005-0000-0000-000020B50000}"/>
    <cellStyle name="Normal 7 2 2 7 2" xfId="59050" xr:uid="{00000000-0005-0000-0000-000021B50000}"/>
    <cellStyle name="Normal 7 2 2 7 3" xfId="59051" xr:uid="{00000000-0005-0000-0000-000022B50000}"/>
    <cellStyle name="Normal 7 2 2 8" xfId="33340" xr:uid="{00000000-0005-0000-0000-000023B50000}"/>
    <cellStyle name="Normal 7 2 2 8 2" xfId="59052" xr:uid="{00000000-0005-0000-0000-000024B50000}"/>
    <cellStyle name="Normal 7 2 2 9" xfId="33341" xr:uid="{00000000-0005-0000-0000-000025B50000}"/>
    <cellStyle name="Normal 7 2 2 9 2" xfId="59053" xr:uid="{00000000-0005-0000-0000-000026B50000}"/>
    <cellStyle name="Normal 7 2 20" xfId="33342" xr:uid="{00000000-0005-0000-0000-000027B50000}"/>
    <cellStyle name="Normal 7 2 21" xfId="33343" xr:uid="{00000000-0005-0000-0000-000028B50000}"/>
    <cellStyle name="Normal 7 2 3" xfId="33344" xr:uid="{00000000-0005-0000-0000-000029B50000}"/>
    <cellStyle name="Normal 7 2 3 10" xfId="33345" xr:uid="{00000000-0005-0000-0000-00002AB50000}"/>
    <cellStyle name="Normal 7 2 3 11" xfId="33346" xr:uid="{00000000-0005-0000-0000-00002BB50000}"/>
    <cellStyle name="Normal 7 2 3 12" xfId="33347" xr:uid="{00000000-0005-0000-0000-00002CB50000}"/>
    <cellStyle name="Normal 7 2 3 13" xfId="33348" xr:uid="{00000000-0005-0000-0000-00002DB50000}"/>
    <cellStyle name="Normal 7 2 3 14" xfId="33349" xr:uid="{00000000-0005-0000-0000-00002EB50000}"/>
    <cellStyle name="Normal 7 2 3 15" xfId="33350" xr:uid="{00000000-0005-0000-0000-00002FB50000}"/>
    <cellStyle name="Normal 7 2 3 16" xfId="33351" xr:uid="{00000000-0005-0000-0000-000030B50000}"/>
    <cellStyle name="Normal 7 2 3 17" xfId="33352" xr:uid="{00000000-0005-0000-0000-000031B50000}"/>
    <cellStyle name="Normal 7 2 3 2" xfId="33353" xr:uid="{00000000-0005-0000-0000-000032B50000}"/>
    <cellStyle name="Normal 7 2 3 2 10" xfId="33354" xr:uid="{00000000-0005-0000-0000-000033B50000}"/>
    <cellStyle name="Normal 7 2 3 2 11" xfId="33355" xr:uid="{00000000-0005-0000-0000-000034B50000}"/>
    <cellStyle name="Normal 7 2 3 2 12" xfId="33356" xr:uid="{00000000-0005-0000-0000-000035B50000}"/>
    <cellStyle name="Normal 7 2 3 2 13" xfId="33357" xr:uid="{00000000-0005-0000-0000-000036B50000}"/>
    <cellStyle name="Normal 7 2 3 2 14" xfId="33358" xr:uid="{00000000-0005-0000-0000-000037B50000}"/>
    <cellStyle name="Normal 7 2 3 2 2" xfId="33359" xr:uid="{00000000-0005-0000-0000-000038B50000}"/>
    <cellStyle name="Normal 7 2 3 2 2 2" xfId="33360" xr:uid="{00000000-0005-0000-0000-000039B50000}"/>
    <cellStyle name="Normal 7 2 3 2 2 2 2" xfId="33361" xr:uid="{00000000-0005-0000-0000-00003AB50000}"/>
    <cellStyle name="Normal 7 2 3 2 2 2 2 2" xfId="33362" xr:uid="{00000000-0005-0000-0000-00003BB50000}"/>
    <cellStyle name="Normal 7 2 3 2 2 2 2 2 2" xfId="59054" xr:uid="{00000000-0005-0000-0000-00003CB50000}"/>
    <cellStyle name="Normal 7 2 3 2 2 2 2 2 3" xfId="59055" xr:uid="{00000000-0005-0000-0000-00003DB50000}"/>
    <cellStyle name="Normal 7 2 3 2 2 2 2 3" xfId="33363" xr:uid="{00000000-0005-0000-0000-00003EB50000}"/>
    <cellStyle name="Normal 7 2 3 2 2 2 2 3 2" xfId="59056" xr:uid="{00000000-0005-0000-0000-00003FB50000}"/>
    <cellStyle name="Normal 7 2 3 2 2 2 2 4" xfId="33364" xr:uid="{00000000-0005-0000-0000-000040B50000}"/>
    <cellStyle name="Normal 7 2 3 2 2 2 2 5" xfId="33365" xr:uid="{00000000-0005-0000-0000-000041B50000}"/>
    <cellStyle name="Normal 7 2 3 2 2 2 2 6" xfId="33366" xr:uid="{00000000-0005-0000-0000-000042B50000}"/>
    <cellStyle name="Normal 7 2 3 2 2 2 3" xfId="33367" xr:uid="{00000000-0005-0000-0000-000043B50000}"/>
    <cellStyle name="Normal 7 2 3 2 2 2 3 2" xfId="59057" xr:uid="{00000000-0005-0000-0000-000044B50000}"/>
    <cellStyle name="Normal 7 2 3 2 2 2 3 3" xfId="59058" xr:uid="{00000000-0005-0000-0000-000045B50000}"/>
    <cellStyle name="Normal 7 2 3 2 2 2 4" xfId="33368" xr:uid="{00000000-0005-0000-0000-000046B50000}"/>
    <cellStyle name="Normal 7 2 3 2 2 2 4 2" xfId="59059" xr:uid="{00000000-0005-0000-0000-000047B50000}"/>
    <cellStyle name="Normal 7 2 3 2 2 2 5" xfId="33369" xr:uid="{00000000-0005-0000-0000-000048B50000}"/>
    <cellStyle name="Normal 7 2 3 2 2 2 6" xfId="33370" xr:uid="{00000000-0005-0000-0000-000049B50000}"/>
    <cellStyle name="Normal 7 2 3 2 2 2 7" xfId="33371" xr:uid="{00000000-0005-0000-0000-00004AB50000}"/>
    <cellStyle name="Normal 7 2 3 2 2 3" xfId="33372" xr:uid="{00000000-0005-0000-0000-00004BB50000}"/>
    <cellStyle name="Normal 7 2 3 2 2 3 2" xfId="33373" xr:uid="{00000000-0005-0000-0000-00004CB50000}"/>
    <cellStyle name="Normal 7 2 3 2 2 3 2 2" xfId="59060" xr:uid="{00000000-0005-0000-0000-00004DB50000}"/>
    <cellStyle name="Normal 7 2 3 2 2 3 2 3" xfId="59061" xr:uid="{00000000-0005-0000-0000-00004EB50000}"/>
    <cellStyle name="Normal 7 2 3 2 2 3 3" xfId="33374" xr:uid="{00000000-0005-0000-0000-00004FB50000}"/>
    <cellStyle name="Normal 7 2 3 2 2 3 3 2" xfId="59062" xr:uid="{00000000-0005-0000-0000-000050B50000}"/>
    <cellStyle name="Normal 7 2 3 2 2 3 4" xfId="33375" xr:uid="{00000000-0005-0000-0000-000051B50000}"/>
    <cellStyle name="Normal 7 2 3 2 2 3 5" xfId="33376" xr:uid="{00000000-0005-0000-0000-000052B50000}"/>
    <cellStyle name="Normal 7 2 3 2 2 3 6" xfId="33377" xr:uid="{00000000-0005-0000-0000-000053B50000}"/>
    <cellStyle name="Normal 7 2 3 2 2 4" xfId="33378" xr:uid="{00000000-0005-0000-0000-000054B50000}"/>
    <cellStyle name="Normal 7 2 3 2 2 4 2" xfId="59063" xr:uid="{00000000-0005-0000-0000-000055B50000}"/>
    <cellStyle name="Normal 7 2 3 2 2 4 3" xfId="59064" xr:uid="{00000000-0005-0000-0000-000056B50000}"/>
    <cellStyle name="Normal 7 2 3 2 2 5" xfId="33379" xr:uid="{00000000-0005-0000-0000-000057B50000}"/>
    <cellStyle name="Normal 7 2 3 2 2 5 2" xfId="59065" xr:uid="{00000000-0005-0000-0000-000058B50000}"/>
    <cellStyle name="Normal 7 2 3 2 2 6" xfId="33380" xr:uid="{00000000-0005-0000-0000-000059B50000}"/>
    <cellStyle name="Normal 7 2 3 2 2 7" xfId="33381" xr:uid="{00000000-0005-0000-0000-00005AB50000}"/>
    <cellStyle name="Normal 7 2 3 2 2 8" xfId="33382" xr:uid="{00000000-0005-0000-0000-00005BB50000}"/>
    <cellStyle name="Normal 7 2 3 2 2 9" xfId="33383" xr:uid="{00000000-0005-0000-0000-00005CB50000}"/>
    <cellStyle name="Normal 7 2 3 2 3" xfId="33384" xr:uid="{00000000-0005-0000-0000-00005DB50000}"/>
    <cellStyle name="Normal 7 2 3 2 3 2" xfId="33385" xr:uid="{00000000-0005-0000-0000-00005EB50000}"/>
    <cellStyle name="Normal 7 2 3 2 3 2 2" xfId="33386" xr:uid="{00000000-0005-0000-0000-00005FB50000}"/>
    <cellStyle name="Normal 7 2 3 2 3 2 2 2" xfId="33387" xr:uid="{00000000-0005-0000-0000-000060B50000}"/>
    <cellStyle name="Normal 7 2 3 2 3 2 2 2 2" xfId="59066" xr:uid="{00000000-0005-0000-0000-000061B50000}"/>
    <cellStyle name="Normal 7 2 3 2 3 2 2 2 3" xfId="59067" xr:uid="{00000000-0005-0000-0000-000062B50000}"/>
    <cellStyle name="Normal 7 2 3 2 3 2 2 3" xfId="33388" xr:uid="{00000000-0005-0000-0000-000063B50000}"/>
    <cellStyle name="Normal 7 2 3 2 3 2 2 3 2" xfId="59068" xr:uid="{00000000-0005-0000-0000-000064B50000}"/>
    <cellStyle name="Normal 7 2 3 2 3 2 2 4" xfId="33389" xr:uid="{00000000-0005-0000-0000-000065B50000}"/>
    <cellStyle name="Normal 7 2 3 2 3 2 2 5" xfId="33390" xr:uid="{00000000-0005-0000-0000-000066B50000}"/>
    <cellStyle name="Normal 7 2 3 2 3 2 2 6" xfId="33391" xr:uid="{00000000-0005-0000-0000-000067B50000}"/>
    <cellStyle name="Normal 7 2 3 2 3 2 3" xfId="33392" xr:uid="{00000000-0005-0000-0000-000068B50000}"/>
    <cellStyle name="Normal 7 2 3 2 3 2 3 2" xfId="59069" xr:uid="{00000000-0005-0000-0000-000069B50000}"/>
    <cellStyle name="Normal 7 2 3 2 3 2 3 3" xfId="59070" xr:uid="{00000000-0005-0000-0000-00006AB50000}"/>
    <cellStyle name="Normal 7 2 3 2 3 2 4" xfId="33393" xr:uid="{00000000-0005-0000-0000-00006BB50000}"/>
    <cellStyle name="Normal 7 2 3 2 3 2 4 2" xfId="59071" xr:uid="{00000000-0005-0000-0000-00006CB50000}"/>
    <cellStyle name="Normal 7 2 3 2 3 2 5" xfId="33394" xr:uid="{00000000-0005-0000-0000-00006DB50000}"/>
    <cellStyle name="Normal 7 2 3 2 3 2 6" xfId="33395" xr:uid="{00000000-0005-0000-0000-00006EB50000}"/>
    <cellStyle name="Normal 7 2 3 2 3 2 7" xfId="33396" xr:uid="{00000000-0005-0000-0000-00006FB50000}"/>
    <cellStyle name="Normal 7 2 3 2 3 3" xfId="33397" xr:uid="{00000000-0005-0000-0000-000070B50000}"/>
    <cellStyle name="Normal 7 2 3 2 3 3 2" xfId="33398" xr:uid="{00000000-0005-0000-0000-000071B50000}"/>
    <cellStyle name="Normal 7 2 3 2 3 3 2 2" xfId="59072" xr:uid="{00000000-0005-0000-0000-000072B50000}"/>
    <cellStyle name="Normal 7 2 3 2 3 3 2 3" xfId="59073" xr:uid="{00000000-0005-0000-0000-000073B50000}"/>
    <cellStyle name="Normal 7 2 3 2 3 3 3" xfId="33399" xr:uid="{00000000-0005-0000-0000-000074B50000}"/>
    <cellStyle name="Normal 7 2 3 2 3 3 3 2" xfId="59074" xr:uid="{00000000-0005-0000-0000-000075B50000}"/>
    <cellStyle name="Normal 7 2 3 2 3 3 4" xfId="33400" xr:uid="{00000000-0005-0000-0000-000076B50000}"/>
    <cellStyle name="Normal 7 2 3 2 3 3 5" xfId="33401" xr:uid="{00000000-0005-0000-0000-000077B50000}"/>
    <cellStyle name="Normal 7 2 3 2 3 3 6" xfId="33402" xr:uid="{00000000-0005-0000-0000-000078B50000}"/>
    <cellStyle name="Normal 7 2 3 2 3 4" xfId="33403" xr:uid="{00000000-0005-0000-0000-000079B50000}"/>
    <cellStyle name="Normal 7 2 3 2 3 4 2" xfId="59075" xr:uid="{00000000-0005-0000-0000-00007AB50000}"/>
    <cellStyle name="Normal 7 2 3 2 3 4 3" xfId="59076" xr:uid="{00000000-0005-0000-0000-00007BB50000}"/>
    <cellStyle name="Normal 7 2 3 2 3 5" xfId="33404" xr:uid="{00000000-0005-0000-0000-00007CB50000}"/>
    <cellStyle name="Normal 7 2 3 2 3 5 2" xfId="59077" xr:uid="{00000000-0005-0000-0000-00007DB50000}"/>
    <cellStyle name="Normal 7 2 3 2 3 6" xfId="33405" xr:uid="{00000000-0005-0000-0000-00007EB50000}"/>
    <cellStyle name="Normal 7 2 3 2 3 7" xfId="33406" xr:uid="{00000000-0005-0000-0000-00007FB50000}"/>
    <cellStyle name="Normal 7 2 3 2 3 8" xfId="33407" xr:uid="{00000000-0005-0000-0000-000080B50000}"/>
    <cellStyle name="Normal 7 2 3 2 4" xfId="33408" xr:uid="{00000000-0005-0000-0000-000081B50000}"/>
    <cellStyle name="Normal 7 2 3 2 4 2" xfId="33409" xr:uid="{00000000-0005-0000-0000-000082B50000}"/>
    <cellStyle name="Normal 7 2 3 2 4 2 2" xfId="33410" xr:uid="{00000000-0005-0000-0000-000083B50000}"/>
    <cellStyle name="Normal 7 2 3 2 4 2 2 2" xfId="59078" xr:uid="{00000000-0005-0000-0000-000084B50000}"/>
    <cellStyle name="Normal 7 2 3 2 4 2 2 3" xfId="59079" xr:uid="{00000000-0005-0000-0000-000085B50000}"/>
    <cellStyle name="Normal 7 2 3 2 4 2 3" xfId="33411" xr:uid="{00000000-0005-0000-0000-000086B50000}"/>
    <cellStyle name="Normal 7 2 3 2 4 2 3 2" xfId="59080" xr:uid="{00000000-0005-0000-0000-000087B50000}"/>
    <cellStyle name="Normal 7 2 3 2 4 2 4" xfId="33412" xr:uid="{00000000-0005-0000-0000-000088B50000}"/>
    <cellStyle name="Normal 7 2 3 2 4 2 5" xfId="33413" xr:uid="{00000000-0005-0000-0000-000089B50000}"/>
    <cellStyle name="Normal 7 2 3 2 4 2 6" xfId="33414" xr:uid="{00000000-0005-0000-0000-00008AB50000}"/>
    <cellStyle name="Normal 7 2 3 2 4 3" xfId="33415" xr:uid="{00000000-0005-0000-0000-00008BB50000}"/>
    <cellStyle name="Normal 7 2 3 2 4 3 2" xfId="59081" xr:uid="{00000000-0005-0000-0000-00008CB50000}"/>
    <cellStyle name="Normal 7 2 3 2 4 3 3" xfId="59082" xr:uid="{00000000-0005-0000-0000-00008DB50000}"/>
    <cellStyle name="Normal 7 2 3 2 4 4" xfId="33416" xr:uid="{00000000-0005-0000-0000-00008EB50000}"/>
    <cellStyle name="Normal 7 2 3 2 4 4 2" xfId="59083" xr:uid="{00000000-0005-0000-0000-00008FB50000}"/>
    <cellStyle name="Normal 7 2 3 2 4 5" xfId="33417" xr:uid="{00000000-0005-0000-0000-000090B50000}"/>
    <cellStyle name="Normal 7 2 3 2 4 6" xfId="33418" xr:uid="{00000000-0005-0000-0000-000091B50000}"/>
    <cellStyle name="Normal 7 2 3 2 4 7" xfId="33419" xr:uid="{00000000-0005-0000-0000-000092B50000}"/>
    <cellStyle name="Normal 7 2 3 2 5" xfId="33420" xr:uid="{00000000-0005-0000-0000-000093B50000}"/>
    <cellStyle name="Normal 7 2 3 2 5 2" xfId="33421" xr:uid="{00000000-0005-0000-0000-000094B50000}"/>
    <cellStyle name="Normal 7 2 3 2 5 2 2" xfId="59084" xr:uid="{00000000-0005-0000-0000-000095B50000}"/>
    <cellStyle name="Normal 7 2 3 2 5 2 3" xfId="59085" xr:uid="{00000000-0005-0000-0000-000096B50000}"/>
    <cellStyle name="Normal 7 2 3 2 5 3" xfId="33422" xr:uid="{00000000-0005-0000-0000-000097B50000}"/>
    <cellStyle name="Normal 7 2 3 2 5 3 2" xfId="59086" xr:uid="{00000000-0005-0000-0000-000098B50000}"/>
    <cellStyle name="Normal 7 2 3 2 5 4" xfId="33423" xr:uid="{00000000-0005-0000-0000-000099B50000}"/>
    <cellStyle name="Normal 7 2 3 2 5 5" xfId="33424" xr:uid="{00000000-0005-0000-0000-00009AB50000}"/>
    <cellStyle name="Normal 7 2 3 2 5 6" xfId="33425" xr:uid="{00000000-0005-0000-0000-00009BB50000}"/>
    <cellStyle name="Normal 7 2 3 2 6" xfId="33426" xr:uid="{00000000-0005-0000-0000-00009CB50000}"/>
    <cellStyle name="Normal 7 2 3 2 6 2" xfId="59087" xr:uid="{00000000-0005-0000-0000-00009DB50000}"/>
    <cellStyle name="Normal 7 2 3 2 6 3" xfId="59088" xr:uid="{00000000-0005-0000-0000-00009EB50000}"/>
    <cellStyle name="Normal 7 2 3 2 7" xfId="33427" xr:uid="{00000000-0005-0000-0000-00009FB50000}"/>
    <cellStyle name="Normal 7 2 3 2 7 2" xfId="59089" xr:uid="{00000000-0005-0000-0000-0000A0B50000}"/>
    <cellStyle name="Normal 7 2 3 2 8" xfId="33428" xr:uid="{00000000-0005-0000-0000-0000A1B50000}"/>
    <cellStyle name="Normal 7 2 3 2 9" xfId="33429" xr:uid="{00000000-0005-0000-0000-0000A2B50000}"/>
    <cellStyle name="Normal 7 2 3 3" xfId="33430" xr:uid="{00000000-0005-0000-0000-0000A3B50000}"/>
    <cellStyle name="Normal 7 2 3 3 2" xfId="33431" xr:uid="{00000000-0005-0000-0000-0000A4B50000}"/>
    <cellStyle name="Normal 7 2 3 3 2 2" xfId="33432" xr:uid="{00000000-0005-0000-0000-0000A5B50000}"/>
    <cellStyle name="Normal 7 2 3 3 2 2 2" xfId="33433" xr:uid="{00000000-0005-0000-0000-0000A6B50000}"/>
    <cellStyle name="Normal 7 2 3 3 2 2 2 2" xfId="59090" xr:uid="{00000000-0005-0000-0000-0000A7B50000}"/>
    <cellStyle name="Normal 7 2 3 3 2 2 2 3" xfId="59091" xr:uid="{00000000-0005-0000-0000-0000A8B50000}"/>
    <cellStyle name="Normal 7 2 3 3 2 2 3" xfId="33434" xr:uid="{00000000-0005-0000-0000-0000A9B50000}"/>
    <cellStyle name="Normal 7 2 3 3 2 2 3 2" xfId="59092" xr:uid="{00000000-0005-0000-0000-0000AAB50000}"/>
    <cellStyle name="Normal 7 2 3 3 2 2 4" xfId="33435" xr:uid="{00000000-0005-0000-0000-0000ABB50000}"/>
    <cellStyle name="Normal 7 2 3 3 2 2 5" xfId="33436" xr:uid="{00000000-0005-0000-0000-0000ACB50000}"/>
    <cellStyle name="Normal 7 2 3 3 2 2 6" xfId="33437" xr:uid="{00000000-0005-0000-0000-0000ADB50000}"/>
    <cellStyle name="Normal 7 2 3 3 2 3" xfId="33438" xr:uid="{00000000-0005-0000-0000-0000AEB50000}"/>
    <cellStyle name="Normal 7 2 3 3 2 3 2" xfId="59093" xr:uid="{00000000-0005-0000-0000-0000AFB50000}"/>
    <cellStyle name="Normal 7 2 3 3 2 3 3" xfId="59094" xr:uid="{00000000-0005-0000-0000-0000B0B50000}"/>
    <cellStyle name="Normal 7 2 3 3 2 4" xfId="33439" xr:uid="{00000000-0005-0000-0000-0000B1B50000}"/>
    <cellStyle name="Normal 7 2 3 3 2 4 2" xfId="59095" xr:uid="{00000000-0005-0000-0000-0000B2B50000}"/>
    <cellStyle name="Normal 7 2 3 3 2 5" xfId="33440" xr:uid="{00000000-0005-0000-0000-0000B3B50000}"/>
    <cellStyle name="Normal 7 2 3 3 2 6" xfId="33441" xr:uid="{00000000-0005-0000-0000-0000B4B50000}"/>
    <cellStyle name="Normal 7 2 3 3 2 7" xfId="33442" xr:uid="{00000000-0005-0000-0000-0000B5B50000}"/>
    <cellStyle name="Normal 7 2 3 3 3" xfId="33443" xr:uid="{00000000-0005-0000-0000-0000B6B50000}"/>
    <cellStyle name="Normal 7 2 3 3 3 2" xfId="33444" xr:uid="{00000000-0005-0000-0000-0000B7B50000}"/>
    <cellStyle name="Normal 7 2 3 3 3 2 2" xfId="59096" xr:uid="{00000000-0005-0000-0000-0000B8B50000}"/>
    <cellStyle name="Normal 7 2 3 3 3 2 3" xfId="59097" xr:uid="{00000000-0005-0000-0000-0000B9B50000}"/>
    <cellStyle name="Normal 7 2 3 3 3 3" xfId="33445" xr:uid="{00000000-0005-0000-0000-0000BAB50000}"/>
    <cellStyle name="Normal 7 2 3 3 3 3 2" xfId="59098" xr:uid="{00000000-0005-0000-0000-0000BBB50000}"/>
    <cellStyle name="Normal 7 2 3 3 3 4" xfId="33446" xr:uid="{00000000-0005-0000-0000-0000BCB50000}"/>
    <cellStyle name="Normal 7 2 3 3 3 5" xfId="33447" xr:uid="{00000000-0005-0000-0000-0000BDB50000}"/>
    <cellStyle name="Normal 7 2 3 3 3 6" xfId="33448" xr:uid="{00000000-0005-0000-0000-0000BEB50000}"/>
    <cellStyle name="Normal 7 2 3 3 4" xfId="33449" xr:uid="{00000000-0005-0000-0000-0000BFB50000}"/>
    <cellStyle name="Normal 7 2 3 3 4 2" xfId="59099" xr:uid="{00000000-0005-0000-0000-0000C0B50000}"/>
    <cellStyle name="Normal 7 2 3 3 4 3" xfId="59100" xr:uid="{00000000-0005-0000-0000-0000C1B50000}"/>
    <cellStyle name="Normal 7 2 3 3 5" xfId="33450" xr:uid="{00000000-0005-0000-0000-0000C2B50000}"/>
    <cellStyle name="Normal 7 2 3 3 5 2" xfId="59101" xr:uid="{00000000-0005-0000-0000-0000C3B50000}"/>
    <cellStyle name="Normal 7 2 3 3 6" xfId="33451" xr:uid="{00000000-0005-0000-0000-0000C4B50000}"/>
    <cellStyle name="Normal 7 2 3 3 7" xfId="33452" xr:uid="{00000000-0005-0000-0000-0000C5B50000}"/>
    <cellStyle name="Normal 7 2 3 3 8" xfId="33453" xr:uid="{00000000-0005-0000-0000-0000C6B50000}"/>
    <cellStyle name="Normal 7 2 3 3 9" xfId="33454" xr:uid="{00000000-0005-0000-0000-0000C7B50000}"/>
    <cellStyle name="Normal 7 2 3 4" xfId="33455" xr:uid="{00000000-0005-0000-0000-0000C8B50000}"/>
    <cellStyle name="Normal 7 2 3 4 2" xfId="33456" xr:uid="{00000000-0005-0000-0000-0000C9B50000}"/>
    <cellStyle name="Normal 7 2 3 4 2 2" xfId="33457" xr:uid="{00000000-0005-0000-0000-0000CAB50000}"/>
    <cellStyle name="Normal 7 2 3 4 2 2 2" xfId="33458" xr:uid="{00000000-0005-0000-0000-0000CBB50000}"/>
    <cellStyle name="Normal 7 2 3 4 2 2 2 2" xfId="59102" xr:uid="{00000000-0005-0000-0000-0000CCB50000}"/>
    <cellStyle name="Normal 7 2 3 4 2 2 2 3" xfId="59103" xr:uid="{00000000-0005-0000-0000-0000CDB50000}"/>
    <cellStyle name="Normal 7 2 3 4 2 2 3" xfId="33459" xr:uid="{00000000-0005-0000-0000-0000CEB50000}"/>
    <cellStyle name="Normal 7 2 3 4 2 2 3 2" xfId="59104" xr:uid="{00000000-0005-0000-0000-0000CFB50000}"/>
    <cellStyle name="Normal 7 2 3 4 2 2 4" xfId="33460" xr:uid="{00000000-0005-0000-0000-0000D0B50000}"/>
    <cellStyle name="Normal 7 2 3 4 2 2 5" xfId="33461" xr:uid="{00000000-0005-0000-0000-0000D1B50000}"/>
    <cellStyle name="Normal 7 2 3 4 2 2 6" xfId="33462" xr:uid="{00000000-0005-0000-0000-0000D2B50000}"/>
    <cellStyle name="Normal 7 2 3 4 2 3" xfId="33463" xr:uid="{00000000-0005-0000-0000-0000D3B50000}"/>
    <cellStyle name="Normal 7 2 3 4 2 3 2" xfId="59105" xr:uid="{00000000-0005-0000-0000-0000D4B50000}"/>
    <cellStyle name="Normal 7 2 3 4 2 3 3" xfId="59106" xr:uid="{00000000-0005-0000-0000-0000D5B50000}"/>
    <cellStyle name="Normal 7 2 3 4 2 4" xfId="33464" xr:uid="{00000000-0005-0000-0000-0000D6B50000}"/>
    <cellStyle name="Normal 7 2 3 4 2 4 2" xfId="59107" xr:uid="{00000000-0005-0000-0000-0000D7B50000}"/>
    <cellStyle name="Normal 7 2 3 4 2 5" xfId="33465" xr:uid="{00000000-0005-0000-0000-0000D8B50000}"/>
    <cellStyle name="Normal 7 2 3 4 2 6" xfId="33466" xr:uid="{00000000-0005-0000-0000-0000D9B50000}"/>
    <cellStyle name="Normal 7 2 3 4 2 7" xfId="33467" xr:uid="{00000000-0005-0000-0000-0000DAB50000}"/>
    <cellStyle name="Normal 7 2 3 4 3" xfId="33468" xr:uid="{00000000-0005-0000-0000-0000DBB50000}"/>
    <cellStyle name="Normal 7 2 3 4 3 2" xfId="33469" xr:uid="{00000000-0005-0000-0000-0000DCB50000}"/>
    <cellStyle name="Normal 7 2 3 4 3 2 2" xfId="59108" xr:uid="{00000000-0005-0000-0000-0000DDB50000}"/>
    <cellStyle name="Normal 7 2 3 4 3 2 3" xfId="59109" xr:uid="{00000000-0005-0000-0000-0000DEB50000}"/>
    <cellStyle name="Normal 7 2 3 4 3 3" xfId="33470" xr:uid="{00000000-0005-0000-0000-0000DFB50000}"/>
    <cellStyle name="Normal 7 2 3 4 3 3 2" xfId="59110" xr:uid="{00000000-0005-0000-0000-0000E0B50000}"/>
    <cellStyle name="Normal 7 2 3 4 3 4" xfId="33471" xr:uid="{00000000-0005-0000-0000-0000E1B50000}"/>
    <cellStyle name="Normal 7 2 3 4 3 5" xfId="33472" xr:uid="{00000000-0005-0000-0000-0000E2B50000}"/>
    <cellStyle name="Normal 7 2 3 4 3 6" xfId="33473" xr:uid="{00000000-0005-0000-0000-0000E3B50000}"/>
    <cellStyle name="Normal 7 2 3 4 4" xfId="33474" xr:uid="{00000000-0005-0000-0000-0000E4B50000}"/>
    <cellStyle name="Normal 7 2 3 4 4 2" xfId="59111" xr:uid="{00000000-0005-0000-0000-0000E5B50000}"/>
    <cellStyle name="Normal 7 2 3 4 4 3" xfId="59112" xr:uid="{00000000-0005-0000-0000-0000E6B50000}"/>
    <cellStyle name="Normal 7 2 3 4 5" xfId="33475" xr:uid="{00000000-0005-0000-0000-0000E7B50000}"/>
    <cellStyle name="Normal 7 2 3 4 5 2" xfId="59113" xr:uid="{00000000-0005-0000-0000-0000E8B50000}"/>
    <cellStyle name="Normal 7 2 3 4 6" xfId="33476" xr:uid="{00000000-0005-0000-0000-0000E9B50000}"/>
    <cellStyle name="Normal 7 2 3 4 7" xfId="33477" xr:uid="{00000000-0005-0000-0000-0000EAB50000}"/>
    <cellStyle name="Normal 7 2 3 4 8" xfId="33478" xr:uid="{00000000-0005-0000-0000-0000EBB50000}"/>
    <cellStyle name="Normal 7 2 3 5" xfId="33479" xr:uid="{00000000-0005-0000-0000-0000ECB50000}"/>
    <cellStyle name="Normal 7 2 3 5 2" xfId="33480" xr:uid="{00000000-0005-0000-0000-0000EDB50000}"/>
    <cellStyle name="Normal 7 2 3 5 2 2" xfId="33481" xr:uid="{00000000-0005-0000-0000-0000EEB50000}"/>
    <cellStyle name="Normal 7 2 3 5 2 2 2" xfId="59114" xr:uid="{00000000-0005-0000-0000-0000EFB50000}"/>
    <cellStyle name="Normal 7 2 3 5 2 2 3" xfId="59115" xr:uid="{00000000-0005-0000-0000-0000F0B50000}"/>
    <cellStyle name="Normal 7 2 3 5 2 3" xfId="33482" xr:uid="{00000000-0005-0000-0000-0000F1B50000}"/>
    <cellStyle name="Normal 7 2 3 5 2 3 2" xfId="59116" xr:uid="{00000000-0005-0000-0000-0000F2B50000}"/>
    <cellStyle name="Normal 7 2 3 5 2 4" xfId="33483" xr:uid="{00000000-0005-0000-0000-0000F3B50000}"/>
    <cellStyle name="Normal 7 2 3 5 2 5" xfId="33484" xr:uid="{00000000-0005-0000-0000-0000F4B50000}"/>
    <cellStyle name="Normal 7 2 3 5 2 6" xfId="33485" xr:uid="{00000000-0005-0000-0000-0000F5B50000}"/>
    <cellStyle name="Normal 7 2 3 5 3" xfId="33486" xr:uid="{00000000-0005-0000-0000-0000F6B50000}"/>
    <cellStyle name="Normal 7 2 3 5 3 2" xfId="59117" xr:uid="{00000000-0005-0000-0000-0000F7B50000}"/>
    <cellStyle name="Normal 7 2 3 5 3 3" xfId="59118" xr:uid="{00000000-0005-0000-0000-0000F8B50000}"/>
    <cellStyle name="Normal 7 2 3 5 4" xfId="33487" xr:uid="{00000000-0005-0000-0000-0000F9B50000}"/>
    <cellStyle name="Normal 7 2 3 5 4 2" xfId="59119" xr:uid="{00000000-0005-0000-0000-0000FAB50000}"/>
    <cellStyle name="Normal 7 2 3 5 5" xfId="33488" xr:uid="{00000000-0005-0000-0000-0000FBB50000}"/>
    <cellStyle name="Normal 7 2 3 5 6" xfId="33489" xr:uid="{00000000-0005-0000-0000-0000FCB50000}"/>
    <cellStyle name="Normal 7 2 3 5 7" xfId="33490" xr:uid="{00000000-0005-0000-0000-0000FDB50000}"/>
    <cellStyle name="Normal 7 2 3 6" xfId="33491" xr:uid="{00000000-0005-0000-0000-0000FEB50000}"/>
    <cellStyle name="Normal 7 2 3 6 2" xfId="33492" xr:uid="{00000000-0005-0000-0000-0000FFB50000}"/>
    <cellStyle name="Normal 7 2 3 6 2 2" xfId="59120" xr:uid="{00000000-0005-0000-0000-000000B60000}"/>
    <cellStyle name="Normal 7 2 3 6 2 3" xfId="59121" xr:uid="{00000000-0005-0000-0000-000001B60000}"/>
    <cellStyle name="Normal 7 2 3 6 3" xfId="33493" xr:uid="{00000000-0005-0000-0000-000002B60000}"/>
    <cellStyle name="Normal 7 2 3 6 3 2" xfId="59122" xr:uid="{00000000-0005-0000-0000-000003B60000}"/>
    <cellStyle name="Normal 7 2 3 6 4" xfId="33494" xr:uid="{00000000-0005-0000-0000-000004B60000}"/>
    <cellStyle name="Normal 7 2 3 6 5" xfId="33495" xr:uid="{00000000-0005-0000-0000-000005B60000}"/>
    <cellStyle name="Normal 7 2 3 6 6" xfId="33496" xr:uid="{00000000-0005-0000-0000-000006B60000}"/>
    <cellStyle name="Normal 7 2 3 7" xfId="33497" xr:uid="{00000000-0005-0000-0000-000007B60000}"/>
    <cellStyle name="Normal 7 2 3 7 2" xfId="59123" xr:uid="{00000000-0005-0000-0000-000008B60000}"/>
    <cellStyle name="Normal 7 2 3 8" xfId="33498" xr:uid="{00000000-0005-0000-0000-000009B60000}"/>
    <cellStyle name="Normal 7 2 3 9" xfId="33499" xr:uid="{00000000-0005-0000-0000-00000AB60000}"/>
    <cellStyle name="Normal 7 2 4" xfId="33500" xr:uid="{00000000-0005-0000-0000-00000BB60000}"/>
    <cellStyle name="Normal 7 2 4 10" xfId="33501" xr:uid="{00000000-0005-0000-0000-00000CB60000}"/>
    <cellStyle name="Normal 7 2 4 11" xfId="33502" xr:uid="{00000000-0005-0000-0000-00000DB60000}"/>
    <cellStyle name="Normal 7 2 4 12" xfId="33503" xr:uid="{00000000-0005-0000-0000-00000EB60000}"/>
    <cellStyle name="Normal 7 2 4 13" xfId="33504" xr:uid="{00000000-0005-0000-0000-00000FB60000}"/>
    <cellStyle name="Normal 7 2 4 14" xfId="33505" xr:uid="{00000000-0005-0000-0000-000010B60000}"/>
    <cellStyle name="Normal 7 2 4 2" xfId="33506" xr:uid="{00000000-0005-0000-0000-000011B60000}"/>
    <cellStyle name="Normal 7 2 4 2 2" xfId="33507" xr:uid="{00000000-0005-0000-0000-000012B60000}"/>
    <cellStyle name="Normal 7 2 4 2 2 2" xfId="33508" xr:uid="{00000000-0005-0000-0000-000013B60000}"/>
    <cellStyle name="Normal 7 2 4 2 2 2 2" xfId="33509" xr:uid="{00000000-0005-0000-0000-000014B60000}"/>
    <cellStyle name="Normal 7 2 4 2 2 2 2 2" xfId="59124" xr:uid="{00000000-0005-0000-0000-000015B60000}"/>
    <cellStyle name="Normal 7 2 4 2 2 2 2 3" xfId="59125" xr:uid="{00000000-0005-0000-0000-000016B60000}"/>
    <cellStyle name="Normal 7 2 4 2 2 2 3" xfId="33510" xr:uid="{00000000-0005-0000-0000-000017B60000}"/>
    <cellStyle name="Normal 7 2 4 2 2 2 3 2" xfId="59126" xr:uid="{00000000-0005-0000-0000-000018B60000}"/>
    <cellStyle name="Normal 7 2 4 2 2 2 4" xfId="33511" xr:uid="{00000000-0005-0000-0000-000019B60000}"/>
    <cellStyle name="Normal 7 2 4 2 2 2 5" xfId="33512" xr:uid="{00000000-0005-0000-0000-00001AB60000}"/>
    <cellStyle name="Normal 7 2 4 2 2 2 6" xfId="33513" xr:uid="{00000000-0005-0000-0000-00001BB60000}"/>
    <cellStyle name="Normal 7 2 4 2 2 3" xfId="33514" xr:uid="{00000000-0005-0000-0000-00001CB60000}"/>
    <cellStyle name="Normal 7 2 4 2 2 3 2" xfId="59127" xr:uid="{00000000-0005-0000-0000-00001DB60000}"/>
    <cellStyle name="Normal 7 2 4 2 2 3 3" xfId="59128" xr:uid="{00000000-0005-0000-0000-00001EB60000}"/>
    <cellStyle name="Normal 7 2 4 2 2 4" xfId="33515" xr:uid="{00000000-0005-0000-0000-00001FB60000}"/>
    <cellStyle name="Normal 7 2 4 2 2 4 2" xfId="59129" xr:uid="{00000000-0005-0000-0000-000020B60000}"/>
    <cellStyle name="Normal 7 2 4 2 2 5" xfId="33516" xr:uid="{00000000-0005-0000-0000-000021B60000}"/>
    <cellStyle name="Normal 7 2 4 2 2 6" xfId="33517" xr:uid="{00000000-0005-0000-0000-000022B60000}"/>
    <cellStyle name="Normal 7 2 4 2 2 7" xfId="33518" xr:uid="{00000000-0005-0000-0000-000023B60000}"/>
    <cellStyle name="Normal 7 2 4 2 3" xfId="33519" xr:uid="{00000000-0005-0000-0000-000024B60000}"/>
    <cellStyle name="Normal 7 2 4 2 3 2" xfId="33520" xr:uid="{00000000-0005-0000-0000-000025B60000}"/>
    <cellStyle name="Normal 7 2 4 2 3 2 2" xfId="59130" xr:uid="{00000000-0005-0000-0000-000026B60000}"/>
    <cellStyle name="Normal 7 2 4 2 3 2 3" xfId="59131" xr:uid="{00000000-0005-0000-0000-000027B60000}"/>
    <cellStyle name="Normal 7 2 4 2 3 3" xfId="33521" xr:uid="{00000000-0005-0000-0000-000028B60000}"/>
    <cellStyle name="Normal 7 2 4 2 3 3 2" xfId="59132" xr:uid="{00000000-0005-0000-0000-000029B60000}"/>
    <cellStyle name="Normal 7 2 4 2 3 4" xfId="33522" xr:uid="{00000000-0005-0000-0000-00002AB60000}"/>
    <cellStyle name="Normal 7 2 4 2 3 5" xfId="33523" xr:uid="{00000000-0005-0000-0000-00002BB60000}"/>
    <cellStyle name="Normal 7 2 4 2 3 6" xfId="33524" xr:uid="{00000000-0005-0000-0000-00002CB60000}"/>
    <cellStyle name="Normal 7 2 4 2 4" xfId="33525" xr:uid="{00000000-0005-0000-0000-00002DB60000}"/>
    <cellStyle name="Normal 7 2 4 2 4 2" xfId="59133" xr:uid="{00000000-0005-0000-0000-00002EB60000}"/>
    <cellStyle name="Normal 7 2 4 2 4 3" xfId="59134" xr:uid="{00000000-0005-0000-0000-00002FB60000}"/>
    <cellStyle name="Normal 7 2 4 2 5" xfId="33526" xr:uid="{00000000-0005-0000-0000-000030B60000}"/>
    <cellStyle name="Normal 7 2 4 2 5 2" xfId="59135" xr:uid="{00000000-0005-0000-0000-000031B60000}"/>
    <cellStyle name="Normal 7 2 4 2 6" xfId="33527" xr:uid="{00000000-0005-0000-0000-000032B60000}"/>
    <cellStyle name="Normal 7 2 4 2 7" xfId="33528" xr:uid="{00000000-0005-0000-0000-000033B60000}"/>
    <cellStyle name="Normal 7 2 4 2 8" xfId="33529" xr:uid="{00000000-0005-0000-0000-000034B60000}"/>
    <cellStyle name="Normal 7 2 4 2 9" xfId="33530" xr:uid="{00000000-0005-0000-0000-000035B60000}"/>
    <cellStyle name="Normal 7 2 4 3" xfId="33531" xr:uid="{00000000-0005-0000-0000-000036B60000}"/>
    <cellStyle name="Normal 7 2 4 3 2" xfId="33532" xr:uid="{00000000-0005-0000-0000-000037B60000}"/>
    <cellStyle name="Normal 7 2 4 3 2 2" xfId="33533" xr:uid="{00000000-0005-0000-0000-000038B60000}"/>
    <cellStyle name="Normal 7 2 4 3 2 2 2" xfId="33534" xr:uid="{00000000-0005-0000-0000-000039B60000}"/>
    <cellStyle name="Normal 7 2 4 3 2 2 2 2" xfId="59136" xr:uid="{00000000-0005-0000-0000-00003AB60000}"/>
    <cellStyle name="Normal 7 2 4 3 2 2 2 3" xfId="59137" xr:uid="{00000000-0005-0000-0000-00003BB60000}"/>
    <cellStyle name="Normal 7 2 4 3 2 2 3" xfId="33535" xr:uid="{00000000-0005-0000-0000-00003CB60000}"/>
    <cellStyle name="Normal 7 2 4 3 2 2 3 2" xfId="59138" xr:uid="{00000000-0005-0000-0000-00003DB60000}"/>
    <cellStyle name="Normal 7 2 4 3 2 2 4" xfId="33536" xr:uid="{00000000-0005-0000-0000-00003EB60000}"/>
    <cellStyle name="Normal 7 2 4 3 2 2 5" xfId="33537" xr:uid="{00000000-0005-0000-0000-00003FB60000}"/>
    <cellStyle name="Normal 7 2 4 3 2 2 6" xfId="33538" xr:uid="{00000000-0005-0000-0000-000040B60000}"/>
    <cellStyle name="Normal 7 2 4 3 2 3" xfId="33539" xr:uid="{00000000-0005-0000-0000-000041B60000}"/>
    <cellStyle name="Normal 7 2 4 3 2 3 2" xfId="59139" xr:uid="{00000000-0005-0000-0000-000042B60000}"/>
    <cellStyle name="Normal 7 2 4 3 2 3 3" xfId="59140" xr:uid="{00000000-0005-0000-0000-000043B60000}"/>
    <cellStyle name="Normal 7 2 4 3 2 4" xfId="33540" xr:uid="{00000000-0005-0000-0000-000044B60000}"/>
    <cellStyle name="Normal 7 2 4 3 2 4 2" xfId="59141" xr:uid="{00000000-0005-0000-0000-000045B60000}"/>
    <cellStyle name="Normal 7 2 4 3 2 5" xfId="33541" xr:uid="{00000000-0005-0000-0000-000046B60000}"/>
    <cellStyle name="Normal 7 2 4 3 2 6" xfId="33542" xr:uid="{00000000-0005-0000-0000-000047B60000}"/>
    <cellStyle name="Normal 7 2 4 3 2 7" xfId="33543" xr:uid="{00000000-0005-0000-0000-000048B60000}"/>
    <cellStyle name="Normal 7 2 4 3 3" xfId="33544" xr:uid="{00000000-0005-0000-0000-000049B60000}"/>
    <cellStyle name="Normal 7 2 4 3 3 2" xfId="33545" xr:uid="{00000000-0005-0000-0000-00004AB60000}"/>
    <cellStyle name="Normal 7 2 4 3 3 2 2" xfId="59142" xr:uid="{00000000-0005-0000-0000-00004BB60000}"/>
    <cellStyle name="Normal 7 2 4 3 3 2 3" xfId="59143" xr:uid="{00000000-0005-0000-0000-00004CB60000}"/>
    <cellStyle name="Normal 7 2 4 3 3 3" xfId="33546" xr:uid="{00000000-0005-0000-0000-00004DB60000}"/>
    <cellStyle name="Normal 7 2 4 3 3 3 2" xfId="59144" xr:uid="{00000000-0005-0000-0000-00004EB60000}"/>
    <cellStyle name="Normal 7 2 4 3 3 4" xfId="33547" xr:uid="{00000000-0005-0000-0000-00004FB60000}"/>
    <cellStyle name="Normal 7 2 4 3 3 5" xfId="33548" xr:uid="{00000000-0005-0000-0000-000050B60000}"/>
    <cellStyle name="Normal 7 2 4 3 3 6" xfId="33549" xr:uid="{00000000-0005-0000-0000-000051B60000}"/>
    <cellStyle name="Normal 7 2 4 3 4" xfId="33550" xr:uid="{00000000-0005-0000-0000-000052B60000}"/>
    <cellStyle name="Normal 7 2 4 3 4 2" xfId="59145" xr:uid="{00000000-0005-0000-0000-000053B60000}"/>
    <cellStyle name="Normal 7 2 4 3 4 3" xfId="59146" xr:uid="{00000000-0005-0000-0000-000054B60000}"/>
    <cellStyle name="Normal 7 2 4 3 5" xfId="33551" xr:uid="{00000000-0005-0000-0000-000055B60000}"/>
    <cellStyle name="Normal 7 2 4 3 5 2" xfId="59147" xr:uid="{00000000-0005-0000-0000-000056B60000}"/>
    <cellStyle name="Normal 7 2 4 3 6" xfId="33552" xr:uid="{00000000-0005-0000-0000-000057B60000}"/>
    <cellStyle name="Normal 7 2 4 3 7" xfId="33553" xr:uid="{00000000-0005-0000-0000-000058B60000}"/>
    <cellStyle name="Normal 7 2 4 3 8" xfId="33554" xr:uid="{00000000-0005-0000-0000-000059B60000}"/>
    <cellStyle name="Normal 7 2 4 4" xfId="33555" xr:uid="{00000000-0005-0000-0000-00005AB60000}"/>
    <cellStyle name="Normal 7 2 4 4 2" xfId="33556" xr:uid="{00000000-0005-0000-0000-00005BB60000}"/>
    <cellStyle name="Normal 7 2 4 4 2 2" xfId="33557" xr:uid="{00000000-0005-0000-0000-00005CB60000}"/>
    <cellStyle name="Normal 7 2 4 4 2 2 2" xfId="59148" xr:uid="{00000000-0005-0000-0000-00005DB60000}"/>
    <cellStyle name="Normal 7 2 4 4 2 2 3" xfId="59149" xr:uid="{00000000-0005-0000-0000-00005EB60000}"/>
    <cellStyle name="Normal 7 2 4 4 2 3" xfId="33558" xr:uid="{00000000-0005-0000-0000-00005FB60000}"/>
    <cellStyle name="Normal 7 2 4 4 2 3 2" xfId="59150" xr:uid="{00000000-0005-0000-0000-000060B60000}"/>
    <cellStyle name="Normal 7 2 4 4 2 4" xfId="33559" xr:uid="{00000000-0005-0000-0000-000061B60000}"/>
    <cellStyle name="Normal 7 2 4 4 2 5" xfId="33560" xr:uid="{00000000-0005-0000-0000-000062B60000}"/>
    <cellStyle name="Normal 7 2 4 4 2 6" xfId="33561" xr:uid="{00000000-0005-0000-0000-000063B60000}"/>
    <cellStyle name="Normal 7 2 4 4 3" xfId="33562" xr:uid="{00000000-0005-0000-0000-000064B60000}"/>
    <cellStyle name="Normal 7 2 4 4 3 2" xfId="59151" xr:uid="{00000000-0005-0000-0000-000065B60000}"/>
    <cellStyle name="Normal 7 2 4 4 3 3" xfId="59152" xr:uid="{00000000-0005-0000-0000-000066B60000}"/>
    <cellStyle name="Normal 7 2 4 4 4" xfId="33563" xr:uid="{00000000-0005-0000-0000-000067B60000}"/>
    <cellStyle name="Normal 7 2 4 4 4 2" xfId="59153" xr:uid="{00000000-0005-0000-0000-000068B60000}"/>
    <cellStyle name="Normal 7 2 4 4 5" xfId="33564" xr:uid="{00000000-0005-0000-0000-000069B60000}"/>
    <cellStyle name="Normal 7 2 4 4 6" xfId="33565" xr:uid="{00000000-0005-0000-0000-00006AB60000}"/>
    <cellStyle name="Normal 7 2 4 4 7" xfId="33566" xr:uid="{00000000-0005-0000-0000-00006BB60000}"/>
    <cellStyle name="Normal 7 2 4 5" xfId="33567" xr:uid="{00000000-0005-0000-0000-00006CB60000}"/>
    <cellStyle name="Normal 7 2 4 5 2" xfId="33568" xr:uid="{00000000-0005-0000-0000-00006DB60000}"/>
    <cellStyle name="Normal 7 2 4 5 2 2" xfId="59154" xr:uid="{00000000-0005-0000-0000-00006EB60000}"/>
    <cellStyle name="Normal 7 2 4 5 2 3" xfId="59155" xr:uid="{00000000-0005-0000-0000-00006FB60000}"/>
    <cellStyle name="Normal 7 2 4 5 3" xfId="33569" xr:uid="{00000000-0005-0000-0000-000070B60000}"/>
    <cellStyle name="Normal 7 2 4 5 3 2" xfId="59156" xr:uid="{00000000-0005-0000-0000-000071B60000}"/>
    <cellStyle name="Normal 7 2 4 5 4" xfId="33570" xr:uid="{00000000-0005-0000-0000-000072B60000}"/>
    <cellStyle name="Normal 7 2 4 5 5" xfId="33571" xr:uid="{00000000-0005-0000-0000-000073B60000}"/>
    <cellStyle name="Normal 7 2 4 5 6" xfId="33572" xr:uid="{00000000-0005-0000-0000-000074B60000}"/>
    <cellStyle name="Normal 7 2 4 6" xfId="33573" xr:uid="{00000000-0005-0000-0000-000075B60000}"/>
    <cellStyle name="Normal 7 2 4 6 2" xfId="59157" xr:uid="{00000000-0005-0000-0000-000076B60000}"/>
    <cellStyle name="Normal 7 2 4 6 3" xfId="59158" xr:uid="{00000000-0005-0000-0000-000077B60000}"/>
    <cellStyle name="Normal 7 2 4 7" xfId="33574" xr:uid="{00000000-0005-0000-0000-000078B60000}"/>
    <cellStyle name="Normal 7 2 4 7 2" xfId="59159" xr:uid="{00000000-0005-0000-0000-000079B60000}"/>
    <cellStyle name="Normal 7 2 4 8" xfId="33575" xr:uid="{00000000-0005-0000-0000-00007AB60000}"/>
    <cellStyle name="Normal 7 2 4 9" xfId="33576" xr:uid="{00000000-0005-0000-0000-00007BB60000}"/>
    <cellStyle name="Normal 7 2 5" xfId="33577" xr:uid="{00000000-0005-0000-0000-00007CB60000}"/>
    <cellStyle name="Normal 7 2 5 10" xfId="33578" xr:uid="{00000000-0005-0000-0000-00007DB60000}"/>
    <cellStyle name="Normal 7 2 5 11" xfId="33579" xr:uid="{00000000-0005-0000-0000-00007EB60000}"/>
    <cellStyle name="Normal 7 2 5 12" xfId="33580" xr:uid="{00000000-0005-0000-0000-00007FB60000}"/>
    <cellStyle name="Normal 7 2 5 13" xfId="33581" xr:uid="{00000000-0005-0000-0000-000080B60000}"/>
    <cellStyle name="Normal 7 2 5 14" xfId="33582" xr:uid="{00000000-0005-0000-0000-000081B60000}"/>
    <cellStyle name="Normal 7 2 5 2" xfId="33583" xr:uid="{00000000-0005-0000-0000-000082B60000}"/>
    <cellStyle name="Normal 7 2 5 2 2" xfId="33584" xr:uid="{00000000-0005-0000-0000-000083B60000}"/>
    <cellStyle name="Normal 7 2 5 2 2 2" xfId="33585" xr:uid="{00000000-0005-0000-0000-000084B60000}"/>
    <cellStyle name="Normal 7 2 5 2 2 2 2" xfId="33586" xr:uid="{00000000-0005-0000-0000-000085B60000}"/>
    <cellStyle name="Normal 7 2 5 2 2 2 2 2" xfId="59160" xr:uid="{00000000-0005-0000-0000-000086B60000}"/>
    <cellStyle name="Normal 7 2 5 2 2 2 2 3" xfId="59161" xr:uid="{00000000-0005-0000-0000-000087B60000}"/>
    <cellStyle name="Normal 7 2 5 2 2 2 3" xfId="33587" xr:uid="{00000000-0005-0000-0000-000088B60000}"/>
    <cellStyle name="Normal 7 2 5 2 2 2 3 2" xfId="59162" xr:uid="{00000000-0005-0000-0000-000089B60000}"/>
    <cellStyle name="Normal 7 2 5 2 2 2 4" xfId="33588" xr:uid="{00000000-0005-0000-0000-00008AB60000}"/>
    <cellStyle name="Normal 7 2 5 2 2 2 5" xfId="33589" xr:uid="{00000000-0005-0000-0000-00008BB60000}"/>
    <cellStyle name="Normal 7 2 5 2 2 2 6" xfId="33590" xr:uid="{00000000-0005-0000-0000-00008CB60000}"/>
    <cellStyle name="Normal 7 2 5 2 2 3" xfId="33591" xr:uid="{00000000-0005-0000-0000-00008DB60000}"/>
    <cellStyle name="Normal 7 2 5 2 2 3 2" xfId="59163" xr:uid="{00000000-0005-0000-0000-00008EB60000}"/>
    <cellStyle name="Normal 7 2 5 2 2 3 3" xfId="59164" xr:uid="{00000000-0005-0000-0000-00008FB60000}"/>
    <cellStyle name="Normal 7 2 5 2 2 4" xfId="33592" xr:uid="{00000000-0005-0000-0000-000090B60000}"/>
    <cellStyle name="Normal 7 2 5 2 2 4 2" xfId="59165" xr:uid="{00000000-0005-0000-0000-000091B60000}"/>
    <cellStyle name="Normal 7 2 5 2 2 5" xfId="33593" xr:uid="{00000000-0005-0000-0000-000092B60000}"/>
    <cellStyle name="Normal 7 2 5 2 2 6" xfId="33594" xr:uid="{00000000-0005-0000-0000-000093B60000}"/>
    <cellStyle name="Normal 7 2 5 2 2 7" xfId="33595" xr:uid="{00000000-0005-0000-0000-000094B60000}"/>
    <cellStyle name="Normal 7 2 5 2 3" xfId="33596" xr:uid="{00000000-0005-0000-0000-000095B60000}"/>
    <cellStyle name="Normal 7 2 5 2 3 2" xfId="33597" xr:uid="{00000000-0005-0000-0000-000096B60000}"/>
    <cellStyle name="Normal 7 2 5 2 3 2 2" xfId="59166" xr:uid="{00000000-0005-0000-0000-000097B60000}"/>
    <cellStyle name="Normal 7 2 5 2 3 2 3" xfId="59167" xr:uid="{00000000-0005-0000-0000-000098B60000}"/>
    <cellStyle name="Normal 7 2 5 2 3 3" xfId="33598" xr:uid="{00000000-0005-0000-0000-000099B60000}"/>
    <cellStyle name="Normal 7 2 5 2 3 3 2" xfId="59168" xr:uid="{00000000-0005-0000-0000-00009AB60000}"/>
    <cellStyle name="Normal 7 2 5 2 3 4" xfId="33599" xr:uid="{00000000-0005-0000-0000-00009BB60000}"/>
    <cellStyle name="Normal 7 2 5 2 3 5" xfId="33600" xr:uid="{00000000-0005-0000-0000-00009CB60000}"/>
    <cellStyle name="Normal 7 2 5 2 3 6" xfId="33601" xr:uid="{00000000-0005-0000-0000-00009DB60000}"/>
    <cellStyle name="Normal 7 2 5 2 4" xfId="33602" xr:uid="{00000000-0005-0000-0000-00009EB60000}"/>
    <cellStyle name="Normal 7 2 5 2 4 2" xfId="59169" xr:uid="{00000000-0005-0000-0000-00009FB60000}"/>
    <cellStyle name="Normal 7 2 5 2 4 3" xfId="59170" xr:uid="{00000000-0005-0000-0000-0000A0B60000}"/>
    <cellStyle name="Normal 7 2 5 2 5" xfId="33603" xr:uid="{00000000-0005-0000-0000-0000A1B60000}"/>
    <cellStyle name="Normal 7 2 5 2 5 2" xfId="59171" xr:uid="{00000000-0005-0000-0000-0000A2B60000}"/>
    <cellStyle name="Normal 7 2 5 2 6" xfId="33604" xr:uid="{00000000-0005-0000-0000-0000A3B60000}"/>
    <cellStyle name="Normal 7 2 5 2 7" xfId="33605" xr:uid="{00000000-0005-0000-0000-0000A4B60000}"/>
    <cellStyle name="Normal 7 2 5 2 8" xfId="33606" xr:uid="{00000000-0005-0000-0000-0000A5B60000}"/>
    <cellStyle name="Normal 7 2 5 2 9" xfId="33607" xr:uid="{00000000-0005-0000-0000-0000A6B60000}"/>
    <cellStyle name="Normal 7 2 5 3" xfId="33608" xr:uid="{00000000-0005-0000-0000-0000A7B60000}"/>
    <cellStyle name="Normal 7 2 5 3 2" xfId="33609" xr:uid="{00000000-0005-0000-0000-0000A8B60000}"/>
    <cellStyle name="Normal 7 2 5 3 2 2" xfId="33610" xr:uid="{00000000-0005-0000-0000-0000A9B60000}"/>
    <cellStyle name="Normal 7 2 5 3 2 2 2" xfId="33611" xr:uid="{00000000-0005-0000-0000-0000AAB60000}"/>
    <cellStyle name="Normal 7 2 5 3 2 2 2 2" xfId="59172" xr:uid="{00000000-0005-0000-0000-0000ABB60000}"/>
    <cellStyle name="Normal 7 2 5 3 2 2 2 3" xfId="59173" xr:uid="{00000000-0005-0000-0000-0000ACB60000}"/>
    <cellStyle name="Normal 7 2 5 3 2 2 3" xfId="33612" xr:uid="{00000000-0005-0000-0000-0000ADB60000}"/>
    <cellStyle name="Normal 7 2 5 3 2 2 3 2" xfId="59174" xr:uid="{00000000-0005-0000-0000-0000AEB60000}"/>
    <cellStyle name="Normal 7 2 5 3 2 2 4" xfId="33613" xr:uid="{00000000-0005-0000-0000-0000AFB60000}"/>
    <cellStyle name="Normal 7 2 5 3 2 2 5" xfId="33614" xr:uid="{00000000-0005-0000-0000-0000B0B60000}"/>
    <cellStyle name="Normal 7 2 5 3 2 2 6" xfId="33615" xr:uid="{00000000-0005-0000-0000-0000B1B60000}"/>
    <cellStyle name="Normal 7 2 5 3 2 3" xfId="33616" xr:uid="{00000000-0005-0000-0000-0000B2B60000}"/>
    <cellStyle name="Normal 7 2 5 3 2 3 2" xfId="59175" xr:uid="{00000000-0005-0000-0000-0000B3B60000}"/>
    <cellStyle name="Normal 7 2 5 3 2 3 3" xfId="59176" xr:uid="{00000000-0005-0000-0000-0000B4B60000}"/>
    <cellStyle name="Normal 7 2 5 3 2 4" xfId="33617" xr:uid="{00000000-0005-0000-0000-0000B5B60000}"/>
    <cellStyle name="Normal 7 2 5 3 2 4 2" xfId="59177" xr:uid="{00000000-0005-0000-0000-0000B6B60000}"/>
    <cellStyle name="Normal 7 2 5 3 2 5" xfId="33618" xr:uid="{00000000-0005-0000-0000-0000B7B60000}"/>
    <cellStyle name="Normal 7 2 5 3 2 6" xfId="33619" xr:uid="{00000000-0005-0000-0000-0000B8B60000}"/>
    <cellStyle name="Normal 7 2 5 3 2 7" xfId="33620" xr:uid="{00000000-0005-0000-0000-0000B9B60000}"/>
    <cellStyle name="Normal 7 2 5 3 3" xfId="33621" xr:uid="{00000000-0005-0000-0000-0000BAB60000}"/>
    <cellStyle name="Normal 7 2 5 3 3 2" xfId="33622" xr:uid="{00000000-0005-0000-0000-0000BBB60000}"/>
    <cellStyle name="Normal 7 2 5 3 3 2 2" xfId="59178" xr:uid="{00000000-0005-0000-0000-0000BCB60000}"/>
    <cellStyle name="Normal 7 2 5 3 3 2 3" xfId="59179" xr:uid="{00000000-0005-0000-0000-0000BDB60000}"/>
    <cellStyle name="Normal 7 2 5 3 3 3" xfId="33623" xr:uid="{00000000-0005-0000-0000-0000BEB60000}"/>
    <cellStyle name="Normal 7 2 5 3 3 3 2" xfId="59180" xr:uid="{00000000-0005-0000-0000-0000BFB60000}"/>
    <cellStyle name="Normal 7 2 5 3 3 4" xfId="33624" xr:uid="{00000000-0005-0000-0000-0000C0B60000}"/>
    <cellStyle name="Normal 7 2 5 3 3 5" xfId="33625" xr:uid="{00000000-0005-0000-0000-0000C1B60000}"/>
    <cellStyle name="Normal 7 2 5 3 3 6" xfId="33626" xr:uid="{00000000-0005-0000-0000-0000C2B60000}"/>
    <cellStyle name="Normal 7 2 5 3 4" xfId="33627" xr:uid="{00000000-0005-0000-0000-0000C3B60000}"/>
    <cellStyle name="Normal 7 2 5 3 4 2" xfId="59181" xr:uid="{00000000-0005-0000-0000-0000C4B60000}"/>
    <cellStyle name="Normal 7 2 5 3 4 3" xfId="59182" xr:uid="{00000000-0005-0000-0000-0000C5B60000}"/>
    <cellStyle name="Normal 7 2 5 3 5" xfId="33628" xr:uid="{00000000-0005-0000-0000-0000C6B60000}"/>
    <cellStyle name="Normal 7 2 5 3 5 2" xfId="59183" xr:uid="{00000000-0005-0000-0000-0000C7B60000}"/>
    <cellStyle name="Normal 7 2 5 3 6" xfId="33629" xr:uid="{00000000-0005-0000-0000-0000C8B60000}"/>
    <cellStyle name="Normal 7 2 5 3 7" xfId="33630" xr:uid="{00000000-0005-0000-0000-0000C9B60000}"/>
    <cellStyle name="Normal 7 2 5 3 8" xfId="33631" xr:uid="{00000000-0005-0000-0000-0000CAB60000}"/>
    <cellStyle name="Normal 7 2 5 4" xfId="33632" xr:uid="{00000000-0005-0000-0000-0000CBB60000}"/>
    <cellStyle name="Normal 7 2 5 4 2" xfId="33633" xr:uid="{00000000-0005-0000-0000-0000CCB60000}"/>
    <cellStyle name="Normal 7 2 5 4 2 2" xfId="33634" xr:uid="{00000000-0005-0000-0000-0000CDB60000}"/>
    <cellStyle name="Normal 7 2 5 4 2 2 2" xfId="59184" xr:uid="{00000000-0005-0000-0000-0000CEB60000}"/>
    <cellStyle name="Normal 7 2 5 4 2 2 3" xfId="59185" xr:uid="{00000000-0005-0000-0000-0000CFB60000}"/>
    <cellStyle name="Normal 7 2 5 4 2 3" xfId="33635" xr:uid="{00000000-0005-0000-0000-0000D0B60000}"/>
    <cellStyle name="Normal 7 2 5 4 2 3 2" xfId="59186" xr:uid="{00000000-0005-0000-0000-0000D1B60000}"/>
    <cellStyle name="Normal 7 2 5 4 2 4" xfId="33636" xr:uid="{00000000-0005-0000-0000-0000D2B60000}"/>
    <cellStyle name="Normal 7 2 5 4 2 5" xfId="33637" xr:uid="{00000000-0005-0000-0000-0000D3B60000}"/>
    <cellStyle name="Normal 7 2 5 4 2 6" xfId="33638" xr:uid="{00000000-0005-0000-0000-0000D4B60000}"/>
    <cellStyle name="Normal 7 2 5 4 3" xfId="33639" xr:uid="{00000000-0005-0000-0000-0000D5B60000}"/>
    <cellStyle name="Normal 7 2 5 4 3 2" xfId="59187" xr:uid="{00000000-0005-0000-0000-0000D6B60000}"/>
    <cellStyle name="Normal 7 2 5 4 3 3" xfId="59188" xr:uid="{00000000-0005-0000-0000-0000D7B60000}"/>
    <cellStyle name="Normal 7 2 5 4 4" xfId="33640" xr:uid="{00000000-0005-0000-0000-0000D8B60000}"/>
    <cellStyle name="Normal 7 2 5 4 4 2" xfId="59189" xr:uid="{00000000-0005-0000-0000-0000D9B60000}"/>
    <cellStyle name="Normal 7 2 5 4 5" xfId="33641" xr:uid="{00000000-0005-0000-0000-0000DAB60000}"/>
    <cellStyle name="Normal 7 2 5 4 6" xfId="33642" xr:uid="{00000000-0005-0000-0000-0000DBB60000}"/>
    <cellStyle name="Normal 7 2 5 4 7" xfId="33643" xr:uid="{00000000-0005-0000-0000-0000DCB60000}"/>
    <cellStyle name="Normal 7 2 5 5" xfId="33644" xr:uid="{00000000-0005-0000-0000-0000DDB60000}"/>
    <cellStyle name="Normal 7 2 5 5 2" xfId="33645" xr:uid="{00000000-0005-0000-0000-0000DEB60000}"/>
    <cellStyle name="Normal 7 2 5 5 2 2" xfId="59190" xr:uid="{00000000-0005-0000-0000-0000DFB60000}"/>
    <cellStyle name="Normal 7 2 5 5 2 3" xfId="59191" xr:uid="{00000000-0005-0000-0000-0000E0B60000}"/>
    <cellStyle name="Normal 7 2 5 5 3" xfId="33646" xr:uid="{00000000-0005-0000-0000-0000E1B60000}"/>
    <cellStyle name="Normal 7 2 5 5 3 2" xfId="59192" xr:uid="{00000000-0005-0000-0000-0000E2B60000}"/>
    <cellStyle name="Normal 7 2 5 5 4" xfId="33647" xr:uid="{00000000-0005-0000-0000-0000E3B60000}"/>
    <cellStyle name="Normal 7 2 5 5 5" xfId="33648" xr:uid="{00000000-0005-0000-0000-0000E4B60000}"/>
    <cellStyle name="Normal 7 2 5 5 6" xfId="33649" xr:uid="{00000000-0005-0000-0000-0000E5B60000}"/>
    <cellStyle name="Normal 7 2 5 6" xfId="33650" xr:uid="{00000000-0005-0000-0000-0000E6B60000}"/>
    <cellStyle name="Normal 7 2 5 6 2" xfId="59193" xr:uid="{00000000-0005-0000-0000-0000E7B60000}"/>
    <cellStyle name="Normal 7 2 5 6 3" xfId="59194" xr:uid="{00000000-0005-0000-0000-0000E8B60000}"/>
    <cellStyle name="Normal 7 2 5 7" xfId="33651" xr:uid="{00000000-0005-0000-0000-0000E9B60000}"/>
    <cellStyle name="Normal 7 2 5 7 2" xfId="59195" xr:uid="{00000000-0005-0000-0000-0000EAB60000}"/>
    <cellStyle name="Normal 7 2 5 8" xfId="33652" xr:uid="{00000000-0005-0000-0000-0000EBB60000}"/>
    <cellStyle name="Normal 7 2 5 9" xfId="33653" xr:uid="{00000000-0005-0000-0000-0000ECB60000}"/>
    <cellStyle name="Normal 7 2 6" xfId="33654" xr:uid="{00000000-0005-0000-0000-0000EDB60000}"/>
    <cellStyle name="Normal 7 2 6 10" xfId="33655" xr:uid="{00000000-0005-0000-0000-0000EEB60000}"/>
    <cellStyle name="Normal 7 2 6 11" xfId="33656" xr:uid="{00000000-0005-0000-0000-0000EFB60000}"/>
    <cellStyle name="Normal 7 2 6 12" xfId="33657" xr:uid="{00000000-0005-0000-0000-0000F0B60000}"/>
    <cellStyle name="Normal 7 2 6 13" xfId="33658" xr:uid="{00000000-0005-0000-0000-0000F1B60000}"/>
    <cellStyle name="Normal 7 2 6 2" xfId="33659" xr:uid="{00000000-0005-0000-0000-0000F2B60000}"/>
    <cellStyle name="Normal 7 2 6 2 2" xfId="33660" xr:uid="{00000000-0005-0000-0000-0000F3B60000}"/>
    <cellStyle name="Normal 7 2 6 2 2 2" xfId="33661" xr:uid="{00000000-0005-0000-0000-0000F4B60000}"/>
    <cellStyle name="Normal 7 2 6 2 2 2 2" xfId="33662" xr:uid="{00000000-0005-0000-0000-0000F5B60000}"/>
    <cellStyle name="Normal 7 2 6 2 2 2 2 2" xfId="59196" xr:uid="{00000000-0005-0000-0000-0000F6B60000}"/>
    <cellStyle name="Normal 7 2 6 2 2 2 2 3" xfId="59197" xr:uid="{00000000-0005-0000-0000-0000F7B60000}"/>
    <cellStyle name="Normal 7 2 6 2 2 2 3" xfId="33663" xr:uid="{00000000-0005-0000-0000-0000F8B60000}"/>
    <cellStyle name="Normal 7 2 6 2 2 2 3 2" xfId="59198" xr:uid="{00000000-0005-0000-0000-0000F9B60000}"/>
    <cellStyle name="Normal 7 2 6 2 2 2 4" xfId="33664" xr:uid="{00000000-0005-0000-0000-0000FAB60000}"/>
    <cellStyle name="Normal 7 2 6 2 2 2 5" xfId="33665" xr:uid="{00000000-0005-0000-0000-0000FBB60000}"/>
    <cellStyle name="Normal 7 2 6 2 2 2 6" xfId="33666" xr:uid="{00000000-0005-0000-0000-0000FCB60000}"/>
    <cellStyle name="Normal 7 2 6 2 2 3" xfId="33667" xr:uid="{00000000-0005-0000-0000-0000FDB60000}"/>
    <cellStyle name="Normal 7 2 6 2 2 3 2" xfId="59199" xr:uid="{00000000-0005-0000-0000-0000FEB60000}"/>
    <cellStyle name="Normal 7 2 6 2 2 3 3" xfId="59200" xr:uid="{00000000-0005-0000-0000-0000FFB60000}"/>
    <cellStyle name="Normal 7 2 6 2 2 4" xfId="33668" xr:uid="{00000000-0005-0000-0000-000000B70000}"/>
    <cellStyle name="Normal 7 2 6 2 2 4 2" xfId="59201" xr:uid="{00000000-0005-0000-0000-000001B70000}"/>
    <cellStyle name="Normal 7 2 6 2 2 5" xfId="33669" xr:uid="{00000000-0005-0000-0000-000002B70000}"/>
    <cellStyle name="Normal 7 2 6 2 2 6" xfId="33670" xr:uid="{00000000-0005-0000-0000-000003B70000}"/>
    <cellStyle name="Normal 7 2 6 2 2 7" xfId="33671" xr:uid="{00000000-0005-0000-0000-000004B70000}"/>
    <cellStyle name="Normal 7 2 6 2 3" xfId="33672" xr:uid="{00000000-0005-0000-0000-000005B70000}"/>
    <cellStyle name="Normal 7 2 6 2 3 2" xfId="33673" xr:uid="{00000000-0005-0000-0000-000006B70000}"/>
    <cellStyle name="Normal 7 2 6 2 3 2 2" xfId="59202" xr:uid="{00000000-0005-0000-0000-000007B70000}"/>
    <cellStyle name="Normal 7 2 6 2 3 2 3" xfId="59203" xr:uid="{00000000-0005-0000-0000-000008B70000}"/>
    <cellStyle name="Normal 7 2 6 2 3 3" xfId="33674" xr:uid="{00000000-0005-0000-0000-000009B70000}"/>
    <cellStyle name="Normal 7 2 6 2 3 3 2" xfId="59204" xr:uid="{00000000-0005-0000-0000-00000AB70000}"/>
    <cellStyle name="Normal 7 2 6 2 3 4" xfId="33675" xr:uid="{00000000-0005-0000-0000-00000BB70000}"/>
    <cellStyle name="Normal 7 2 6 2 3 5" xfId="33676" xr:uid="{00000000-0005-0000-0000-00000CB70000}"/>
    <cellStyle name="Normal 7 2 6 2 3 6" xfId="33677" xr:uid="{00000000-0005-0000-0000-00000DB70000}"/>
    <cellStyle name="Normal 7 2 6 2 4" xfId="33678" xr:uid="{00000000-0005-0000-0000-00000EB70000}"/>
    <cellStyle name="Normal 7 2 6 2 4 2" xfId="59205" xr:uid="{00000000-0005-0000-0000-00000FB70000}"/>
    <cellStyle name="Normal 7 2 6 2 4 3" xfId="59206" xr:uid="{00000000-0005-0000-0000-000010B70000}"/>
    <cellStyle name="Normal 7 2 6 2 5" xfId="33679" xr:uid="{00000000-0005-0000-0000-000011B70000}"/>
    <cellStyle name="Normal 7 2 6 2 5 2" xfId="59207" xr:uid="{00000000-0005-0000-0000-000012B70000}"/>
    <cellStyle name="Normal 7 2 6 2 6" xfId="33680" xr:uid="{00000000-0005-0000-0000-000013B70000}"/>
    <cellStyle name="Normal 7 2 6 2 7" xfId="33681" xr:uid="{00000000-0005-0000-0000-000014B70000}"/>
    <cellStyle name="Normal 7 2 6 2 8" xfId="33682" xr:uid="{00000000-0005-0000-0000-000015B70000}"/>
    <cellStyle name="Normal 7 2 6 2 9" xfId="33683" xr:uid="{00000000-0005-0000-0000-000016B70000}"/>
    <cellStyle name="Normal 7 2 6 3" xfId="33684" xr:uid="{00000000-0005-0000-0000-000017B70000}"/>
    <cellStyle name="Normal 7 2 6 3 2" xfId="33685" xr:uid="{00000000-0005-0000-0000-000018B70000}"/>
    <cellStyle name="Normal 7 2 6 3 2 2" xfId="33686" xr:uid="{00000000-0005-0000-0000-000019B70000}"/>
    <cellStyle name="Normal 7 2 6 3 2 2 2" xfId="59208" xr:uid="{00000000-0005-0000-0000-00001AB70000}"/>
    <cellStyle name="Normal 7 2 6 3 2 2 3" xfId="59209" xr:uid="{00000000-0005-0000-0000-00001BB70000}"/>
    <cellStyle name="Normal 7 2 6 3 2 3" xfId="33687" xr:uid="{00000000-0005-0000-0000-00001CB70000}"/>
    <cellStyle name="Normal 7 2 6 3 2 3 2" xfId="59210" xr:uid="{00000000-0005-0000-0000-00001DB70000}"/>
    <cellStyle name="Normal 7 2 6 3 2 4" xfId="33688" xr:uid="{00000000-0005-0000-0000-00001EB70000}"/>
    <cellStyle name="Normal 7 2 6 3 2 5" xfId="33689" xr:uid="{00000000-0005-0000-0000-00001FB70000}"/>
    <cellStyle name="Normal 7 2 6 3 2 6" xfId="33690" xr:uid="{00000000-0005-0000-0000-000020B70000}"/>
    <cellStyle name="Normal 7 2 6 3 3" xfId="33691" xr:uid="{00000000-0005-0000-0000-000021B70000}"/>
    <cellStyle name="Normal 7 2 6 3 3 2" xfId="59211" xr:uid="{00000000-0005-0000-0000-000022B70000}"/>
    <cellStyle name="Normal 7 2 6 3 3 3" xfId="59212" xr:uid="{00000000-0005-0000-0000-000023B70000}"/>
    <cellStyle name="Normal 7 2 6 3 4" xfId="33692" xr:uid="{00000000-0005-0000-0000-000024B70000}"/>
    <cellStyle name="Normal 7 2 6 3 4 2" xfId="59213" xr:uid="{00000000-0005-0000-0000-000025B70000}"/>
    <cellStyle name="Normal 7 2 6 3 5" xfId="33693" xr:uid="{00000000-0005-0000-0000-000026B70000}"/>
    <cellStyle name="Normal 7 2 6 3 6" xfId="33694" xr:uid="{00000000-0005-0000-0000-000027B70000}"/>
    <cellStyle name="Normal 7 2 6 3 7" xfId="33695" xr:uid="{00000000-0005-0000-0000-000028B70000}"/>
    <cellStyle name="Normal 7 2 6 4" xfId="33696" xr:uid="{00000000-0005-0000-0000-000029B70000}"/>
    <cellStyle name="Normal 7 2 6 4 2" xfId="33697" xr:uid="{00000000-0005-0000-0000-00002AB70000}"/>
    <cellStyle name="Normal 7 2 6 4 2 2" xfId="59214" xr:uid="{00000000-0005-0000-0000-00002BB70000}"/>
    <cellStyle name="Normal 7 2 6 4 2 3" xfId="59215" xr:uid="{00000000-0005-0000-0000-00002CB70000}"/>
    <cellStyle name="Normal 7 2 6 4 3" xfId="33698" xr:uid="{00000000-0005-0000-0000-00002DB70000}"/>
    <cellStyle name="Normal 7 2 6 4 3 2" xfId="59216" xr:uid="{00000000-0005-0000-0000-00002EB70000}"/>
    <cellStyle name="Normal 7 2 6 4 4" xfId="33699" xr:uid="{00000000-0005-0000-0000-00002FB70000}"/>
    <cellStyle name="Normal 7 2 6 4 5" xfId="33700" xr:uid="{00000000-0005-0000-0000-000030B70000}"/>
    <cellStyle name="Normal 7 2 6 4 6" xfId="33701" xr:uid="{00000000-0005-0000-0000-000031B70000}"/>
    <cellStyle name="Normal 7 2 6 5" xfId="33702" xr:uid="{00000000-0005-0000-0000-000032B70000}"/>
    <cellStyle name="Normal 7 2 6 5 2" xfId="59217" xr:uid="{00000000-0005-0000-0000-000033B70000}"/>
    <cellStyle name="Normal 7 2 6 5 3" xfId="59218" xr:uid="{00000000-0005-0000-0000-000034B70000}"/>
    <cellStyle name="Normal 7 2 6 6" xfId="33703" xr:uid="{00000000-0005-0000-0000-000035B70000}"/>
    <cellStyle name="Normal 7 2 6 6 2" xfId="59219" xr:uid="{00000000-0005-0000-0000-000036B70000}"/>
    <cellStyle name="Normal 7 2 6 7" xfId="33704" xr:uid="{00000000-0005-0000-0000-000037B70000}"/>
    <cellStyle name="Normal 7 2 6 8" xfId="33705" xr:uid="{00000000-0005-0000-0000-000038B70000}"/>
    <cellStyle name="Normal 7 2 6 9" xfId="33706" xr:uid="{00000000-0005-0000-0000-000039B70000}"/>
    <cellStyle name="Normal 7 2 7" xfId="33707" xr:uid="{00000000-0005-0000-0000-00003AB70000}"/>
    <cellStyle name="Normal 7 2 7 2" xfId="33708" xr:uid="{00000000-0005-0000-0000-00003BB70000}"/>
    <cellStyle name="Normal 7 2 7 2 2" xfId="33709" xr:uid="{00000000-0005-0000-0000-00003CB70000}"/>
    <cellStyle name="Normal 7 2 7 2 2 2" xfId="33710" xr:uid="{00000000-0005-0000-0000-00003DB70000}"/>
    <cellStyle name="Normal 7 2 7 2 2 2 2" xfId="59220" xr:uid="{00000000-0005-0000-0000-00003EB70000}"/>
    <cellStyle name="Normal 7 2 7 2 2 2 3" xfId="59221" xr:uid="{00000000-0005-0000-0000-00003FB70000}"/>
    <cellStyle name="Normal 7 2 7 2 2 3" xfId="33711" xr:uid="{00000000-0005-0000-0000-000040B70000}"/>
    <cellStyle name="Normal 7 2 7 2 2 3 2" xfId="59222" xr:uid="{00000000-0005-0000-0000-000041B70000}"/>
    <cellStyle name="Normal 7 2 7 2 2 4" xfId="33712" xr:uid="{00000000-0005-0000-0000-000042B70000}"/>
    <cellStyle name="Normal 7 2 7 2 2 5" xfId="33713" xr:uid="{00000000-0005-0000-0000-000043B70000}"/>
    <cellStyle name="Normal 7 2 7 2 2 6" xfId="33714" xr:uid="{00000000-0005-0000-0000-000044B70000}"/>
    <cellStyle name="Normal 7 2 7 2 3" xfId="33715" xr:uid="{00000000-0005-0000-0000-000045B70000}"/>
    <cellStyle name="Normal 7 2 7 2 3 2" xfId="59223" xr:uid="{00000000-0005-0000-0000-000046B70000}"/>
    <cellStyle name="Normal 7 2 7 2 3 3" xfId="59224" xr:uid="{00000000-0005-0000-0000-000047B70000}"/>
    <cellStyle name="Normal 7 2 7 2 4" xfId="33716" xr:uid="{00000000-0005-0000-0000-000048B70000}"/>
    <cellStyle name="Normal 7 2 7 2 4 2" xfId="59225" xr:uid="{00000000-0005-0000-0000-000049B70000}"/>
    <cellStyle name="Normal 7 2 7 2 5" xfId="33717" xr:uid="{00000000-0005-0000-0000-00004AB70000}"/>
    <cellStyle name="Normal 7 2 7 2 6" xfId="33718" xr:uid="{00000000-0005-0000-0000-00004BB70000}"/>
    <cellStyle name="Normal 7 2 7 2 7" xfId="33719" xr:uid="{00000000-0005-0000-0000-00004CB70000}"/>
    <cellStyle name="Normal 7 2 7 3" xfId="33720" xr:uid="{00000000-0005-0000-0000-00004DB70000}"/>
    <cellStyle name="Normal 7 2 7 3 2" xfId="33721" xr:uid="{00000000-0005-0000-0000-00004EB70000}"/>
    <cellStyle name="Normal 7 2 7 3 2 2" xfId="59226" xr:uid="{00000000-0005-0000-0000-00004FB70000}"/>
    <cellStyle name="Normal 7 2 7 3 2 3" xfId="59227" xr:uid="{00000000-0005-0000-0000-000050B70000}"/>
    <cellStyle name="Normal 7 2 7 3 3" xfId="33722" xr:uid="{00000000-0005-0000-0000-000051B70000}"/>
    <cellStyle name="Normal 7 2 7 3 3 2" xfId="59228" xr:uid="{00000000-0005-0000-0000-000052B70000}"/>
    <cellStyle name="Normal 7 2 7 3 4" xfId="33723" xr:uid="{00000000-0005-0000-0000-000053B70000}"/>
    <cellStyle name="Normal 7 2 7 3 5" xfId="33724" xr:uid="{00000000-0005-0000-0000-000054B70000}"/>
    <cellStyle name="Normal 7 2 7 3 6" xfId="33725" xr:uid="{00000000-0005-0000-0000-000055B70000}"/>
    <cellStyle name="Normal 7 2 7 4" xfId="33726" xr:uid="{00000000-0005-0000-0000-000056B70000}"/>
    <cellStyle name="Normal 7 2 7 4 2" xfId="59229" xr:uid="{00000000-0005-0000-0000-000057B70000}"/>
    <cellStyle name="Normal 7 2 7 4 3" xfId="59230" xr:uid="{00000000-0005-0000-0000-000058B70000}"/>
    <cellStyle name="Normal 7 2 7 5" xfId="33727" xr:uid="{00000000-0005-0000-0000-000059B70000}"/>
    <cellStyle name="Normal 7 2 7 5 2" xfId="59231" xr:uid="{00000000-0005-0000-0000-00005AB70000}"/>
    <cellStyle name="Normal 7 2 7 6" xfId="33728" xr:uid="{00000000-0005-0000-0000-00005BB70000}"/>
    <cellStyle name="Normal 7 2 7 7" xfId="33729" xr:uid="{00000000-0005-0000-0000-00005CB70000}"/>
    <cellStyle name="Normal 7 2 7 8" xfId="33730" xr:uid="{00000000-0005-0000-0000-00005DB70000}"/>
    <cellStyle name="Normal 7 2 7 9" xfId="33731" xr:uid="{00000000-0005-0000-0000-00005EB70000}"/>
    <cellStyle name="Normal 7 2 8" xfId="33732" xr:uid="{00000000-0005-0000-0000-00005FB70000}"/>
    <cellStyle name="Normal 7 2 8 2" xfId="33733" xr:uid="{00000000-0005-0000-0000-000060B70000}"/>
    <cellStyle name="Normal 7 2 8 2 2" xfId="33734" xr:uid="{00000000-0005-0000-0000-000061B70000}"/>
    <cellStyle name="Normal 7 2 8 2 2 2" xfId="33735" xr:uid="{00000000-0005-0000-0000-000062B70000}"/>
    <cellStyle name="Normal 7 2 8 2 2 2 2" xfId="59232" xr:uid="{00000000-0005-0000-0000-000063B70000}"/>
    <cellStyle name="Normal 7 2 8 2 2 2 3" xfId="59233" xr:uid="{00000000-0005-0000-0000-000064B70000}"/>
    <cellStyle name="Normal 7 2 8 2 2 3" xfId="33736" xr:uid="{00000000-0005-0000-0000-000065B70000}"/>
    <cellStyle name="Normal 7 2 8 2 2 3 2" xfId="59234" xr:uid="{00000000-0005-0000-0000-000066B70000}"/>
    <cellStyle name="Normal 7 2 8 2 2 4" xfId="33737" xr:uid="{00000000-0005-0000-0000-000067B70000}"/>
    <cellStyle name="Normal 7 2 8 2 2 5" xfId="33738" xr:uid="{00000000-0005-0000-0000-000068B70000}"/>
    <cellStyle name="Normal 7 2 8 2 2 6" xfId="33739" xr:uid="{00000000-0005-0000-0000-000069B70000}"/>
    <cellStyle name="Normal 7 2 8 2 3" xfId="33740" xr:uid="{00000000-0005-0000-0000-00006AB70000}"/>
    <cellStyle name="Normal 7 2 8 2 3 2" xfId="59235" xr:uid="{00000000-0005-0000-0000-00006BB70000}"/>
    <cellStyle name="Normal 7 2 8 2 3 3" xfId="59236" xr:uid="{00000000-0005-0000-0000-00006CB70000}"/>
    <cellStyle name="Normal 7 2 8 2 4" xfId="33741" xr:uid="{00000000-0005-0000-0000-00006DB70000}"/>
    <cellStyle name="Normal 7 2 8 2 4 2" xfId="59237" xr:uid="{00000000-0005-0000-0000-00006EB70000}"/>
    <cellStyle name="Normal 7 2 8 2 5" xfId="33742" xr:uid="{00000000-0005-0000-0000-00006FB70000}"/>
    <cellStyle name="Normal 7 2 8 2 6" xfId="33743" xr:uid="{00000000-0005-0000-0000-000070B70000}"/>
    <cellStyle name="Normal 7 2 8 2 7" xfId="33744" xr:uid="{00000000-0005-0000-0000-000071B70000}"/>
    <cellStyle name="Normal 7 2 8 3" xfId="33745" xr:uid="{00000000-0005-0000-0000-000072B70000}"/>
    <cellStyle name="Normal 7 2 8 3 2" xfId="33746" xr:uid="{00000000-0005-0000-0000-000073B70000}"/>
    <cellStyle name="Normal 7 2 8 3 2 2" xfId="59238" xr:uid="{00000000-0005-0000-0000-000074B70000}"/>
    <cellStyle name="Normal 7 2 8 3 2 3" xfId="59239" xr:uid="{00000000-0005-0000-0000-000075B70000}"/>
    <cellStyle name="Normal 7 2 8 3 3" xfId="33747" xr:uid="{00000000-0005-0000-0000-000076B70000}"/>
    <cellStyle name="Normal 7 2 8 3 3 2" xfId="59240" xr:uid="{00000000-0005-0000-0000-000077B70000}"/>
    <cellStyle name="Normal 7 2 8 3 4" xfId="33748" xr:uid="{00000000-0005-0000-0000-000078B70000}"/>
    <cellStyle name="Normal 7 2 8 3 5" xfId="33749" xr:uid="{00000000-0005-0000-0000-000079B70000}"/>
    <cellStyle name="Normal 7 2 8 3 6" xfId="33750" xr:uid="{00000000-0005-0000-0000-00007AB70000}"/>
    <cellStyle name="Normal 7 2 8 4" xfId="33751" xr:uid="{00000000-0005-0000-0000-00007BB70000}"/>
    <cellStyle name="Normal 7 2 8 4 2" xfId="59241" xr:uid="{00000000-0005-0000-0000-00007CB70000}"/>
    <cellStyle name="Normal 7 2 8 4 3" xfId="59242" xr:uid="{00000000-0005-0000-0000-00007DB70000}"/>
    <cellStyle name="Normal 7 2 8 5" xfId="33752" xr:uid="{00000000-0005-0000-0000-00007EB70000}"/>
    <cellStyle name="Normal 7 2 8 5 2" xfId="59243" xr:uid="{00000000-0005-0000-0000-00007FB70000}"/>
    <cellStyle name="Normal 7 2 8 6" xfId="33753" xr:uid="{00000000-0005-0000-0000-000080B70000}"/>
    <cellStyle name="Normal 7 2 8 7" xfId="33754" xr:uid="{00000000-0005-0000-0000-000081B70000}"/>
    <cellStyle name="Normal 7 2 8 8" xfId="33755" xr:uid="{00000000-0005-0000-0000-000082B70000}"/>
    <cellStyle name="Normal 7 2 9" xfId="33756" xr:uid="{00000000-0005-0000-0000-000083B70000}"/>
    <cellStyle name="Normal 7 2 9 2" xfId="33757" xr:uid="{00000000-0005-0000-0000-000084B70000}"/>
    <cellStyle name="Normal 7 2 9 2 2" xfId="33758" xr:uid="{00000000-0005-0000-0000-000085B70000}"/>
    <cellStyle name="Normal 7 2 9 2 2 2" xfId="33759" xr:uid="{00000000-0005-0000-0000-000086B70000}"/>
    <cellStyle name="Normal 7 2 9 2 2 2 2" xfId="59244" xr:uid="{00000000-0005-0000-0000-000087B70000}"/>
    <cellStyle name="Normal 7 2 9 2 2 2 3" xfId="59245" xr:uid="{00000000-0005-0000-0000-000088B70000}"/>
    <cellStyle name="Normal 7 2 9 2 2 3" xfId="33760" xr:uid="{00000000-0005-0000-0000-000089B70000}"/>
    <cellStyle name="Normal 7 2 9 2 2 3 2" xfId="59246" xr:uid="{00000000-0005-0000-0000-00008AB70000}"/>
    <cellStyle name="Normal 7 2 9 2 2 4" xfId="33761" xr:uid="{00000000-0005-0000-0000-00008BB70000}"/>
    <cellStyle name="Normal 7 2 9 2 2 5" xfId="33762" xr:uid="{00000000-0005-0000-0000-00008CB70000}"/>
    <cellStyle name="Normal 7 2 9 2 2 6" xfId="33763" xr:uid="{00000000-0005-0000-0000-00008DB70000}"/>
    <cellStyle name="Normal 7 2 9 2 3" xfId="33764" xr:uid="{00000000-0005-0000-0000-00008EB70000}"/>
    <cellStyle name="Normal 7 2 9 2 3 2" xfId="59247" xr:uid="{00000000-0005-0000-0000-00008FB70000}"/>
    <cellStyle name="Normal 7 2 9 2 3 3" xfId="59248" xr:uid="{00000000-0005-0000-0000-000090B70000}"/>
    <cellStyle name="Normal 7 2 9 2 4" xfId="33765" xr:uid="{00000000-0005-0000-0000-000091B70000}"/>
    <cellStyle name="Normal 7 2 9 2 4 2" xfId="59249" xr:uid="{00000000-0005-0000-0000-000092B70000}"/>
    <cellStyle name="Normal 7 2 9 2 5" xfId="33766" xr:uid="{00000000-0005-0000-0000-000093B70000}"/>
    <cellStyle name="Normal 7 2 9 2 6" xfId="33767" xr:uid="{00000000-0005-0000-0000-000094B70000}"/>
    <cellStyle name="Normal 7 2 9 2 7" xfId="33768" xr:uid="{00000000-0005-0000-0000-000095B70000}"/>
    <cellStyle name="Normal 7 2 9 3" xfId="33769" xr:uid="{00000000-0005-0000-0000-000096B70000}"/>
    <cellStyle name="Normal 7 2 9 3 2" xfId="33770" xr:uid="{00000000-0005-0000-0000-000097B70000}"/>
    <cellStyle name="Normal 7 2 9 3 2 2" xfId="59250" xr:uid="{00000000-0005-0000-0000-000098B70000}"/>
    <cellStyle name="Normal 7 2 9 3 2 3" xfId="59251" xr:uid="{00000000-0005-0000-0000-000099B70000}"/>
    <cellStyle name="Normal 7 2 9 3 3" xfId="33771" xr:uid="{00000000-0005-0000-0000-00009AB70000}"/>
    <cellStyle name="Normal 7 2 9 3 3 2" xfId="59252" xr:uid="{00000000-0005-0000-0000-00009BB70000}"/>
    <cellStyle name="Normal 7 2 9 3 4" xfId="33772" xr:uid="{00000000-0005-0000-0000-00009CB70000}"/>
    <cellStyle name="Normal 7 2 9 3 5" xfId="33773" xr:uid="{00000000-0005-0000-0000-00009DB70000}"/>
    <cellStyle name="Normal 7 2 9 3 6" xfId="33774" xr:uid="{00000000-0005-0000-0000-00009EB70000}"/>
    <cellStyle name="Normal 7 2 9 4" xfId="33775" xr:uid="{00000000-0005-0000-0000-00009FB70000}"/>
    <cellStyle name="Normal 7 2 9 4 2" xfId="59253" xr:uid="{00000000-0005-0000-0000-0000A0B70000}"/>
    <cellStyle name="Normal 7 2 9 4 3" xfId="59254" xr:uid="{00000000-0005-0000-0000-0000A1B70000}"/>
    <cellStyle name="Normal 7 2 9 5" xfId="33776" xr:uid="{00000000-0005-0000-0000-0000A2B70000}"/>
    <cellStyle name="Normal 7 2 9 5 2" xfId="59255" xr:uid="{00000000-0005-0000-0000-0000A3B70000}"/>
    <cellStyle name="Normal 7 2 9 6" xfId="33777" xr:uid="{00000000-0005-0000-0000-0000A4B70000}"/>
    <cellStyle name="Normal 7 2 9 7" xfId="33778" xr:uid="{00000000-0005-0000-0000-0000A5B70000}"/>
    <cellStyle name="Normal 7 2 9 8" xfId="33779" xr:uid="{00000000-0005-0000-0000-0000A6B70000}"/>
    <cellStyle name="Normal 7 20" xfId="33780" xr:uid="{00000000-0005-0000-0000-0000A7B70000}"/>
    <cellStyle name="Normal 7 21" xfId="33781" xr:uid="{00000000-0005-0000-0000-0000A8B70000}"/>
    <cellStyle name="Normal 7 22" xfId="33782" xr:uid="{00000000-0005-0000-0000-0000A9B70000}"/>
    <cellStyle name="Normal 7 3" xfId="33783" xr:uid="{00000000-0005-0000-0000-0000AAB70000}"/>
    <cellStyle name="Normal 7 3 10" xfId="33784" xr:uid="{00000000-0005-0000-0000-0000ABB70000}"/>
    <cellStyle name="Normal 7 3 10 2" xfId="33785" xr:uid="{00000000-0005-0000-0000-0000ACB70000}"/>
    <cellStyle name="Normal 7 3 10 2 2" xfId="33786" xr:uid="{00000000-0005-0000-0000-0000ADB70000}"/>
    <cellStyle name="Normal 7 3 10 2 2 2" xfId="59256" xr:uid="{00000000-0005-0000-0000-0000AEB70000}"/>
    <cellStyle name="Normal 7 3 10 2 2 3" xfId="59257" xr:uid="{00000000-0005-0000-0000-0000AFB70000}"/>
    <cellStyle name="Normal 7 3 10 2 3" xfId="33787" xr:uid="{00000000-0005-0000-0000-0000B0B70000}"/>
    <cellStyle name="Normal 7 3 10 2 3 2" xfId="59258" xr:uid="{00000000-0005-0000-0000-0000B1B70000}"/>
    <cellStyle name="Normal 7 3 10 2 4" xfId="33788" xr:uid="{00000000-0005-0000-0000-0000B2B70000}"/>
    <cellStyle name="Normal 7 3 10 2 5" xfId="33789" xr:uid="{00000000-0005-0000-0000-0000B3B70000}"/>
    <cellStyle name="Normal 7 3 10 2 6" xfId="33790" xr:uid="{00000000-0005-0000-0000-0000B4B70000}"/>
    <cellStyle name="Normal 7 3 10 3" xfId="33791" xr:uid="{00000000-0005-0000-0000-0000B5B70000}"/>
    <cellStyle name="Normal 7 3 10 3 2" xfId="59259" xr:uid="{00000000-0005-0000-0000-0000B6B70000}"/>
    <cellStyle name="Normal 7 3 10 3 3" xfId="59260" xr:uid="{00000000-0005-0000-0000-0000B7B70000}"/>
    <cellStyle name="Normal 7 3 10 4" xfId="33792" xr:uid="{00000000-0005-0000-0000-0000B8B70000}"/>
    <cellStyle name="Normal 7 3 10 4 2" xfId="59261" xr:uid="{00000000-0005-0000-0000-0000B9B70000}"/>
    <cellStyle name="Normal 7 3 10 5" xfId="33793" xr:uid="{00000000-0005-0000-0000-0000BAB70000}"/>
    <cellStyle name="Normal 7 3 10 6" xfId="33794" xr:uid="{00000000-0005-0000-0000-0000BBB70000}"/>
    <cellStyle name="Normal 7 3 10 7" xfId="33795" xr:uid="{00000000-0005-0000-0000-0000BCB70000}"/>
    <cellStyle name="Normal 7 3 11" xfId="33796" xr:uid="{00000000-0005-0000-0000-0000BDB70000}"/>
    <cellStyle name="Normal 7 3 11 2" xfId="33797" xr:uid="{00000000-0005-0000-0000-0000BEB70000}"/>
    <cellStyle name="Normal 7 3 11 2 2" xfId="59262" xr:uid="{00000000-0005-0000-0000-0000BFB70000}"/>
    <cellStyle name="Normal 7 3 11 2 3" xfId="59263" xr:uid="{00000000-0005-0000-0000-0000C0B70000}"/>
    <cellStyle name="Normal 7 3 11 3" xfId="33798" xr:uid="{00000000-0005-0000-0000-0000C1B70000}"/>
    <cellStyle name="Normal 7 3 11 3 2" xfId="59264" xr:uid="{00000000-0005-0000-0000-0000C2B70000}"/>
    <cellStyle name="Normal 7 3 11 4" xfId="33799" xr:uid="{00000000-0005-0000-0000-0000C3B70000}"/>
    <cellStyle name="Normal 7 3 11 5" xfId="33800" xr:uid="{00000000-0005-0000-0000-0000C4B70000}"/>
    <cellStyle name="Normal 7 3 11 6" xfId="33801" xr:uid="{00000000-0005-0000-0000-0000C5B70000}"/>
    <cellStyle name="Normal 7 3 12" xfId="33802" xr:uid="{00000000-0005-0000-0000-0000C6B70000}"/>
    <cellStyle name="Normal 7 3 12 2" xfId="59265" xr:uid="{00000000-0005-0000-0000-0000C7B70000}"/>
    <cellStyle name="Normal 7 3 12 3" xfId="59266" xr:uid="{00000000-0005-0000-0000-0000C8B70000}"/>
    <cellStyle name="Normal 7 3 13" xfId="33803" xr:uid="{00000000-0005-0000-0000-0000C9B70000}"/>
    <cellStyle name="Normal 7 3 13 2" xfId="59267" xr:uid="{00000000-0005-0000-0000-0000CAB70000}"/>
    <cellStyle name="Normal 7 3 14" xfId="33804" xr:uid="{00000000-0005-0000-0000-0000CBB70000}"/>
    <cellStyle name="Normal 7 3 14 2" xfId="59268" xr:uid="{00000000-0005-0000-0000-0000CCB70000}"/>
    <cellStyle name="Normal 7 3 15" xfId="33805" xr:uid="{00000000-0005-0000-0000-0000CDB70000}"/>
    <cellStyle name="Normal 7 3 16" xfId="33806" xr:uid="{00000000-0005-0000-0000-0000CEB70000}"/>
    <cellStyle name="Normal 7 3 17" xfId="33807" xr:uid="{00000000-0005-0000-0000-0000CFB70000}"/>
    <cellStyle name="Normal 7 3 18" xfId="33808" xr:uid="{00000000-0005-0000-0000-0000D0B70000}"/>
    <cellStyle name="Normal 7 3 19" xfId="33809" xr:uid="{00000000-0005-0000-0000-0000D1B70000}"/>
    <cellStyle name="Normal 7 3 2" xfId="33810" xr:uid="{00000000-0005-0000-0000-0000D2B70000}"/>
    <cellStyle name="Normal 7 3 2 10" xfId="33811" xr:uid="{00000000-0005-0000-0000-0000D3B70000}"/>
    <cellStyle name="Normal 7 3 2 11" xfId="33812" xr:uid="{00000000-0005-0000-0000-0000D4B70000}"/>
    <cellStyle name="Normal 7 3 2 12" xfId="33813" xr:uid="{00000000-0005-0000-0000-0000D5B70000}"/>
    <cellStyle name="Normal 7 3 2 13" xfId="33814" xr:uid="{00000000-0005-0000-0000-0000D6B70000}"/>
    <cellStyle name="Normal 7 3 2 14" xfId="33815" xr:uid="{00000000-0005-0000-0000-0000D7B70000}"/>
    <cellStyle name="Normal 7 3 2 15" xfId="33816" xr:uid="{00000000-0005-0000-0000-0000D8B70000}"/>
    <cellStyle name="Normal 7 3 2 16" xfId="33817" xr:uid="{00000000-0005-0000-0000-0000D9B70000}"/>
    <cellStyle name="Normal 7 3 2 2" xfId="33818" xr:uid="{00000000-0005-0000-0000-0000DAB70000}"/>
    <cellStyle name="Normal 7 3 2 2 10" xfId="33819" xr:uid="{00000000-0005-0000-0000-0000DBB70000}"/>
    <cellStyle name="Normal 7 3 2 2 11" xfId="33820" xr:uid="{00000000-0005-0000-0000-0000DCB70000}"/>
    <cellStyle name="Normal 7 3 2 2 12" xfId="33821" xr:uid="{00000000-0005-0000-0000-0000DDB70000}"/>
    <cellStyle name="Normal 7 3 2 2 13" xfId="33822" xr:uid="{00000000-0005-0000-0000-0000DEB70000}"/>
    <cellStyle name="Normal 7 3 2 2 14" xfId="33823" xr:uid="{00000000-0005-0000-0000-0000DFB70000}"/>
    <cellStyle name="Normal 7 3 2 2 2" xfId="33824" xr:uid="{00000000-0005-0000-0000-0000E0B70000}"/>
    <cellStyle name="Normal 7 3 2 2 2 2" xfId="33825" xr:uid="{00000000-0005-0000-0000-0000E1B70000}"/>
    <cellStyle name="Normal 7 3 2 2 2 2 2" xfId="33826" xr:uid="{00000000-0005-0000-0000-0000E2B70000}"/>
    <cellStyle name="Normal 7 3 2 2 2 2 2 2" xfId="33827" xr:uid="{00000000-0005-0000-0000-0000E3B70000}"/>
    <cellStyle name="Normal 7 3 2 2 2 2 2 2 2" xfId="59269" xr:uid="{00000000-0005-0000-0000-0000E4B70000}"/>
    <cellStyle name="Normal 7 3 2 2 2 2 2 2 3" xfId="59270" xr:uid="{00000000-0005-0000-0000-0000E5B70000}"/>
    <cellStyle name="Normal 7 3 2 2 2 2 2 3" xfId="33828" xr:uid="{00000000-0005-0000-0000-0000E6B70000}"/>
    <cellStyle name="Normal 7 3 2 2 2 2 2 3 2" xfId="59271" xr:uid="{00000000-0005-0000-0000-0000E7B70000}"/>
    <cellStyle name="Normal 7 3 2 2 2 2 2 4" xfId="33829" xr:uid="{00000000-0005-0000-0000-0000E8B70000}"/>
    <cellStyle name="Normal 7 3 2 2 2 2 2 5" xfId="33830" xr:uid="{00000000-0005-0000-0000-0000E9B70000}"/>
    <cellStyle name="Normal 7 3 2 2 2 2 2 6" xfId="33831" xr:uid="{00000000-0005-0000-0000-0000EAB70000}"/>
    <cellStyle name="Normal 7 3 2 2 2 2 3" xfId="33832" xr:uid="{00000000-0005-0000-0000-0000EBB70000}"/>
    <cellStyle name="Normal 7 3 2 2 2 2 3 2" xfId="59272" xr:uid="{00000000-0005-0000-0000-0000ECB70000}"/>
    <cellStyle name="Normal 7 3 2 2 2 2 3 3" xfId="59273" xr:uid="{00000000-0005-0000-0000-0000EDB70000}"/>
    <cellStyle name="Normal 7 3 2 2 2 2 4" xfId="33833" xr:uid="{00000000-0005-0000-0000-0000EEB70000}"/>
    <cellStyle name="Normal 7 3 2 2 2 2 4 2" xfId="59274" xr:uid="{00000000-0005-0000-0000-0000EFB70000}"/>
    <cellStyle name="Normal 7 3 2 2 2 2 5" xfId="33834" xr:uid="{00000000-0005-0000-0000-0000F0B70000}"/>
    <cellStyle name="Normal 7 3 2 2 2 2 6" xfId="33835" xr:uid="{00000000-0005-0000-0000-0000F1B70000}"/>
    <cellStyle name="Normal 7 3 2 2 2 2 7" xfId="33836" xr:uid="{00000000-0005-0000-0000-0000F2B70000}"/>
    <cellStyle name="Normal 7 3 2 2 2 3" xfId="33837" xr:uid="{00000000-0005-0000-0000-0000F3B70000}"/>
    <cellStyle name="Normal 7 3 2 2 2 3 2" xfId="33838" xr:uid="{00000000-0005-0000-0000-0000F4B70000}"/>
    <cellStyle name="Normal 7 3 2 2 2 3 2 2" xfId="59275" xr:uid="{00000000-0005-0000-0000-0000F5B70000}"/>
    <cellStyle name="Normal 7 3 2 2 2 3 2 3" xfId="59276" xr:uid="{00000000-0005-0000-0000-0000F6B70000}"/>
    <cellStyle name="Normal 7 3 2 2 2 3 3" xfId="33839" xr:uid="{00000000-0005-0000-0000-0000F7B70000}"/>
    <cellStyle name="Normal 7 3 2 2 2 3 3 2" xfId="59277" xr:uid="{00000000-0005-0000-0000-0000F8B70000}"/>
    <cellStyle name="Normal 7 3 2 2 2 3 4" xfId="33840" xr:uid="{00000000-0005-0000-0000-0000F9B70000}"/>
    <cellStyle name="Normal 7 3 2 2 2 3 5" xfId="33841" xr:uid="{00000000-0005-0000-0000-0000FAB70000}"/>
    <cellStyle name="Normal 7 3 2 2 2 3 6" xfId="33842" xr:uid="{00000000-0005-0000-0000-0000FBB70000}"/>
    <cellStyle name="Normal 7 3 2 2 2 4" xfId="33843" xr:uid="{00000000-0005-0000-0000-0000FCB70000}"/>
    <cellStyle name="Normal 7 3 2 2 2 4 2" xfId="59278" xr:uid="{00000000-0005-0000-0000-0000FDB70000}"/>
    <cellStyle name="Normal 7 3 2 2 2 4 3" xfId="59279" xr:uid="{00000000-0005-0000-0000-0000FEB70000}"/>
    <cellStyle name="Normal 7 3 2 2 2 5" xfId="33844" xr:uid="{00000000-0005-0000-0000-0000FFB70000}"/>
    <cellStyle name="Normal 7 3 2 2 2 5 2" xfId="59280" xr:uid="{00000000-0005-0000-0000-000000B80000}"/>
    <cellStyle name="Normal 7 3 2 2 2 6" xfId="33845" xr:uid="{00000000-0005-0000-0000-000001B80000}"/>
    <cellStyle name="Normal 7 3 2 2 2 7" xfId="33846" xr:uid="{00000000-0005-0000-0000-000002B80000}"/>
    <cellStyle name="Normal 7 3 2 2 2 8" xfId="33847" xr:uid="{00000000-0005-0000-0000-000003B80000}"/>
    <cellStyle name="Normal 7 3 2 2 2 9" xfId="33848" xr:uid="{00000000-0005-0000-0000-000004B80000}"/>
    <cellStyle name="Normal 7 3 2 2 3" xfId="33849" xr:uid="{00000000-0005-0000-0000-000005B80000}"/>
    <cellStyle name="Normal 7 3 2 2 3 2" xfId="33850" xr:uid="{00000000-0005-0000-0000-000006B80000}"/>
    <cellStyle name="Normal 7 3 2 2 3 2 2" xfId="33851" xr:uid="{00000000-0005-0000-0000-000007B80000}"/>
    <cellStyle name="Normal 7 3 2 2 3 2 2 2" xfId="33852" xr:uid="{00000000-0005-0000-0000-000008B80000}"/>
    <cellStyle name="Normal 7 3 2 2 3 2 2 2 2" xfId="59281" xr:uid="{00000000-0005-0000-0000-000009B80000}"/>
    <cellStyle name="Normal 7 3 2 2 3 2 2 2 3" xfId="59282" xr:uid="{00000000-0005-0000-0000-00000AB80000}"/>
    <cellStyle name="Normal 7 3 2 2 3 2 2 3" xfId="33853" xr:uid="{00000000-0005-0000-0000-00000BB80000}"/>
    <cellStyle name="Normal 7 3 2 2 3 2 2 3 2" xfId="59283" xr:uid="{00000000-0005-0000-0000-00000CB80000}"/>
    <cellStyle name="Normal 7 3 2 2 3 2 2 4" xfId="33854" xr:uid="{00000000-0005-0000-0000-00000DB80000}"/>
    <cellStyle name="Normal 7 3 2 2 3 2 2 5" xfId="33855" xr:uid="{00000000-0005-0000-0000-00000EB80000}"/>
    <cellStyle name="Normal 7 3 2 2 3 2 2 6" xfId="33856" xr:uid="{00000000-0005-0000-0000-00000FB80000}"/>
    <cellStyle name="Normal 7 3 2 2 3 2 3" xfId="33857" xr:uid="{00000000-0005-0000-0000-000010B80000}"/>
    <cellStyle name="Normal 7 3 2 2 3 2 3 2" xfId="59284" xr:uid="{00000000-0005-0000-0000-000011B80000}"/>
    <cellStyle name="Normal 7 3 2 2 3 2 3 3" xfId="59285" xr:uid="{00000000-0005-0000-0000-000012B80000}"/>
    <cellStyle name="Normal 7 3 2 2 3 2 4" xfId="33858" xr:uid="{00000000-0005-0000-0000-000013B80000}"/>
    <cellStyle name="Normal 7 3 2 2 3 2 4 2" xfId="59286" xr:uid="{00000000-0005-0000-0000-000014B80000}"/>
    <cellStyle name="Normal 7 3 2 2 3 2 5" xfId="33859" xr:uid="{00000000-0005-0000-0000-000015B80000}"/>
    <cellStyle name="Normal 7 3 2 2 3 2 6" xfId="33860" xr:uid="{00000000-0005-0000-0000-000016B80000}"/>
    <cellStyle name="Normal 7 3 2 2 3 2 7" xfId="33861" xr:uid="{00000000-0005-0000-0000-000017B80000}"/>
    <cellStyle name="Normal 7 3 2 2 3 3" xfId="33862" xr:uid="{00000000-0005-0000-0000-000018B80000}"/>
    <cellStyle name="Normal 7 3 2 2 3 3 2" xfId="33863" xr:uid="{00000000-0005-0000-0000-000019B80000}"/>
    <cellStyle name="Normal 7 3 2 2 3 3 2 2" xfId="59287" xr:uid="{00000000-0005-0000-0000-00001AB80000}"/>
    <cellStyle name="Normal 7 3 2 2 3 3 2 3" xfId="59288" xr:uid="{00000000-0005-0000-0000-00001BB80000}"/>
    <cellStyle name="Normal 7 3 2 2 3 3 3" xfId="33864" xr:uid="{00000000-0005-0000-0000-00001CB80000}"/>
    <cellStyle name="Normal 7 3 2 2 3 3 3 2" xfId="59289" xr:uid="{00000000-0005-0000-0000-00001DB80000}"/>
    <cellStyle name="Normal 7 3 2 2 3 3 4" xfId="33865" xr:uid="{00000000-0005-0000-0000-00001EB80000}"/>
    <cellStyle name="Normal 7 3 2 2 3 3 5" xfId="33866" xr:uid="{00000000-0005-0000-0000-00001FB80000}"/>
    <cellStyle name="Normal 7 3 2 2 3 3 6" xfId="33867" xr:uid="{00000000-0005-0000-0000-000020B80000}"/>
    <cellStyle name="Normal 7 3 2 2 3 4" xfId="33868" xr:uid="{00000000-0005-0000-0000-000021B80000}"/>
    <cellStyle name="Normal 7 3 2 2 3 4 2" xfId="59290" xr:uid="{00000000-0005-0000-0000-000022B80000}"/>
    <cellStyle name="Normal 7 3 2 2 3 4 3" xfId="59291" xr:uid="{00000000-0005-0000-0000-000023B80000}"/>
    <cellStyle name="Normal 7 3 2 2 3 5" xfId="33869" xr:uid="{00000000-0005-0000-0000-000024B80000}"/>
    <cellStyle name="Normal 7 3 2 2 3 5 2" xfId="59292" xr:uid="{00000000-0005-0000-0000-000025B80000}"/>
    <cellStyle name="Normal 7 3 2 2 3 6" xfId="33870" xr:uid="{00000000-0005-0000-0000-000026B80000}"/>
    <cellStyle name="Normal 7 3 2 2 3 7" xfId="33871" xr:uid="{00000000-0005-0000-0000-000027B80000}"/>
    <cellStyle name="Normal 7 3 2 2 3 8" xfId="33872" xr:uid="{00000000-0005-0000-0000-000028B80000}"/>
    <cellStyle name="Normal 7 3 2 2 4" xfId="33873" xr:uid="{00000000-0005-0000-0000-000029B80000}"/>
    <cellStyle name="Normal 7 3 2 2 4 2" xfId="33874" xr:uid="{00000000-0005-0000-0000-00002AB80000}"/>
    <cellStyle name="Normal 7 3 2 2 4 2 2" xfId="33875" xr:uid="{00000000-0005-0000-0000-00002BB80000}"/>
    <cellStyle name="Normal 7 3 2 2 4 2 2 2" xfId="59293" xr:uid="{00000000-0005-0000-0000-00002CB80000}"/>
    <cellStyle name="Normal 7 3 2 2 4 2 2 3" xfId="59294" xr:uid="{00000000-0005-0000-0000-00002DB80000}"/>
    <cellStyle name="Normal 7 3 2 2 4 2 3" xfId="33876" xr:uid="{00000000-0005-0000-0000-00002EB80000}"/>
    <cellStyle name="Normal 7 3 2 2 4 2 3 2" xfId="59295" xr:uid="{00000000-0005-0000-0000-00002FB80000}"/>
    <cellStyle name="Normal 7 3 2 2 4 2 4" xfId="33877" xr:uid="{00000000-0005-0000-0000-000030B80000}"/>
    <cellStyle name="Normal 7 3 2 2 4 2 5" xfId="33878" xr:uid="{00000000-0005-0000-0000-000031B80000}"/>
    <cellStyle name="Normal 7 3 2 2 4 2 6" xfId="33879" xr:uid="{00000000-0005-0000-0000-000032B80000}"/>
    <cellStyle name="Normal 7 3 2 2 4 3" xfId="33880" xr:uid="{00000000-0005-0000-0000-000033B80000}"/>
    <cellStyle name="Normal 7 3 2 2 4 3 2" xfId="59296" xr:uid="{00000000-0005-0000-0000-000034B80000}"/>
    <cellStyle name="Normal 7 3 2 2 4 3 3" xfId="59297" xr:uid="{00000000-0005-0000-0000-000035B80000}"/>
    <cellStyle name="Normal 7 3 2 2 4 4" xfId="33881" xr:uid="{00000000-0005-0000-0000-000036B80000}"/>
    <cellStyle name="Normal 7 3 2 2 4 4 2" xfId="59298" xr:uid="{00000000-0005-0000-0000-000037B80000}"/>
    <cellStyle name="Normal 7 3 2 2 4 5" xfId="33882" xr:uid="{00000000-0005-0000-0000-000038B80000}"/>
    <cellStyle name="Normal 7 3 2 2 4 6" xfId="33883" xr:uid="{00000000-0005-0000-0000-000039B80000}"/>
    <cellStyle name="Normal 7 3 2 2 4 7" xfId="33884" xr:uid="{00000000-0005-0000-0000-00003AB80000}"/>
    <cellStyle name="Normal 7 3 2 2 5" xfId="33885" xr:uid="{00000000-0005-0000-0000-00003BB80000}"/>
    <cellStyle name="Normal 7 3 2 2 5 2" xfId="33886" xr:uid="{00000000-0005-0000-0000-00003CB80000}"/>
    <cellStyle name="Normal 7 3 2 2 5 2 2" xfId="59299" xr:uid="{00000000-0005-0000-0000-00003DB80000}"/>
    <cellStyle name="Normal 7 3 2 2 5 2 3" xfId="59300" xr:uid="{00000000-0005-0000-0000-00003EB80000}"/>
    <cellStyle name="Normal 7 3 2 2 5 3" xfId="33887" xr:uid="{00000000-0005-0000-0000-00003FB80000}"/>
    <cellStyle name="Normal 7 3 2 2 5 3 2" xfId="59301" xr:uid="{00000000-0005-0000-0000-000040B80000}"/>
    <cellStyle name="Normal 7 3 2 2 5 4" xfId="33888" xr:uid="{00000000-0005-0000-0000-000041B80000}"/>
    <cellStyle name="Normal 7 3 2 2 5 5" xfId="33889" xr:uid="{00000000-0005-0000-0000-000042B80000}"/>
    <cellStyle name="Normal 7 3 2 2 5 6" xfId="33890" xr:uid="{00000000-0005-0000-0000-000043B80000}"/>
    <cellStyle name="Normal 7 3 2 2 6" xfId="33891" xr:uid="{00000000-0005-0000-0000-000044B80000}"/>
    <cellStyle name="Normal 7 3 2 2 6 2" xfId="59302" xr:uid="{00000000-0005-0000-0000-000045B80000}"/>
    <cellStyle name="Normal 7 3 2 2 6 3" xfId="59303" xr:uid="{00000000-0005-0000-0000-000046B80000}"/>
    <cellStyle name="Normal 7 3 2 2 7" xfId="33892" xr:uid="{00000000-0005-0000-0000-000047B80000}"/>
    <cellStyle name="Normal 7 3 2 2 7 2" xfId="59304" xr:uid="{00000000-0005-0000-0000-000048B80000}"/>
    <cellStyle name="Normal 7 3 2 2 8" xfId="33893" xr:uid="{00000000-0005-0000-0000-000049B80000}"/>
    <cellStyle name="Normal 7 3 2 2 9" xfId="33894" xr:uid="{00000000-0005-0000-0000-00004AB80000}"/>
    <cellStyle name="Normal 7 3 2 3" xfId="33895" xr:uid="{00000000-0005-0000-0000-00004BB80000}"/>
    <cellStyle name="Normal 7 3 2 3 2" xfId="33896" xr:uid="{00000000-0005-0000-0000-00004CB80000}"/>
    <cellStyle name="Normal 7 3 2 3 2 2" xfId="33897" xr:uid="{00000000-0005-0000-0000-00004DB80000}"/>
    <cellStyle name="Normal 7 3 2 3 2 2 2" xfId="33898" xr:uid="{00000000-0005-0000-0000-00004EB80000}"/>
    <cellStyle name="Normal 7 3 2 3 2 2 2 2" xfId="59305" xr:uid="{00000000-0005-0000-0000-00004FB80000}"/>
    <cellStyle name="Normal 7 3 2 3 2 2 2 3" xfId="59306" xr:uid="{00000000-0005-0000-0000-000050B80000}"/>
    <cellStyle name="Normal 7 3 2 3 2 2 3" xfId="33899" xr:uid="{00000000-0005-0000-0000-000051B80000}"/>
    <cellStyle name="Normal 7 3 2 3 2 2 3 2" xfId="59307" xr:uid="{00000000-0005-0000-0000-000052B80000}"/>
    <cellStyle name="Normal 7 3 2 3 2 2 4" xfId="33900" xr:uid="{00000000-0005-0000-0000-000053B80000}"/>
    <cellStyle name="Normal 7 3 2 3 2 2 5" xfId="33901" xr:uid="{00000000-0005-0000-0000-000054B80000}"/>
    <cellStyle name="Normal 7 3 2 3 2 2 6" xfId="33902" xr:uid="{00000000-0005-0000-0000-000055B80000}"/>
    <cellStyle name="Normal 7 3 2 3 2 3" xfId="33903" xr:uid="{00000000-0005-0000-0000-000056B80000}"/>
    <cellStyle name="Normal 7 3 2 3 2 3 2" xfId="59308" xr:uid="{00000000-0005-0000-0000-000057B80000}"/>
    <cellStyle name="Normal 7 3 2 3 2 3 3" xfId="59309" xr:uid="{00000000-0005-0000-0000-000058B80000}"/>
    <cellStyle name="Normal 7 3 2 3 2 4" xfId="33904" xr:uid="{00000000-0005-0000-0000-000059B80000}"/>
    <cellStyle name="Normal 7 3 2 3 2 4 2" xfId="59310" xr:uid="{00000000-0005-0000-0000-00005AB80000}"/>
    <cellStyle name="Normal 7 3 2 3 2 5" xfId="33905" xr:uid="{00000000-0005-0000-0000-00005BB80000}"/>
    <cellStyle name="Normal 7 3 2 3 2 6" xfId="33906" xr:uid="{00000000-0005-0000-0000-00005CB80000}"/>
    <cellStyle name="Normal 7 3 2 3 2 7" xfId="33907" xr:uid="{00000000-0005-0000-0000-00005DB80000}"/>
    <cellStyle name="Normal 7 3 2 3 3" xfId="33908" xr:uid="{00000000-0005-0000-0000-00005EB80000}"/>
    <cellStyle name="Normal 7 3 2 3 3 2" xfId="33909" xr:uid="{00000000-0005-0000-0000-00005FB80000}"/>
    <cellStyle name="Normal 7 3 2 3 3 2 2" xfId="59311" xr:uid="{00000000-0005-0000-0000-000060B80000}"/>
    <cellStyle name="Normal 7 3 2 3 3 2 3" xfId="59312" xr:uid="{00000000-0005-0000-0000-000061B80000}"/>
    <cellStyle name="Normal 7 3 2 3 3 3" xfId="33910" xr:uid="{00000000-0005-0000-0000-000062B80000}"/>
    <cellStyle name="Normal 7 3 2 3 3 3 2" xfId="59313" xr:uid="{00000000-0005-0000-0000-000063B80000}"/>
    <cellStyle name="Normal 7 3 2 3 3 4" xfId="33911" xr:uid="{00000000-0005-0000-0000-000064B80000}"/>
    <cellStyle name="Normal 7 3 2 3 3 5" xfId="33912" xr:uid="{00000000-0005-0000-0000-000065B80000}"/>
    <cellStyle name="Normal 7 3 2 3 3 6" xfId="33913" xr:uid="{00000000-0005-0000-0000-000066B80000}"/>
    <cellStyle name="Normal 7 3 2 3 4" xfId="33914" xr:uid="{00000000-0005-0000-0000-000067B80000}"/>
    <cellStyle name="Normal 7 3 2 3 4 2" xfId="59314" xr:uid="{00000000-0005-0000-0000-000068B80000}"/>
    <cellStyle name="Normal 7 3 2 3 4 3" xfId="59315" xr:uid="{00000000-0005-0000-0000-000069B80000}"/>
    <cellStyle name="Normal 7 3 2 3 5" xfId="33915" xr:uid="{00000000-0005-0000-0000-00006AB80000}"/>
    <cellStyle name="Normal 7 3 2 3 5 2" xfId="59316" xr:uid="{00000000-0005-0000-0000-00006BB80000}"/>
    <cellStyle name="Normal 7 3 2 3 6" xfId="33916" xr:uid="{00000000-0005-0000-0000-00006CB80000}"/>
    <cellStyle name="Normal 7 3 2 3 7" xfId="33917" xr:uid="{00000000-0005-0000-0000-00006DB80000}"/>
    <cellStyle name="Normal 7 3 2 3 8" xfId="33918" xr:uid="{00000000-0005-0000-0000-00006EB80000}"/>
    <cellStyle name="Normal 7 3 2 3 9" xfId="33919" xr:uid="{00000000-0005-0000-0000-00006FB80000}"/>
    <cellStyle name="Normal 7 3 2 4" xfId="33920" xr:uid="{00000000-0005-0000-0000-000070B80000}"/>
    <cellStyle name="Normal 7 3 2 4 2" xfId="33921" xr:uid="{00000000-0005-0000-0000-000071B80000}"/>
    <cellStyle name="Normal 7 3 2 4 2 2" xfId="33922" xr:uid="{00000000-0005-0000-0000-000072B80000}"/>
    <cellStyle name="Normal 7 3 2 4 2 2 2" xfId="33923" xr:uid="{00000000-0005-0000-0000-000073B80000}"/>
    <cellStyle name="Normal 7 3 2 4 2 2 2 2" xfId="59317" xr:uid="{00000000-0005-0000-0000-000074B80000}"/>
    <cellStyle name="Normal 7 3 2 4 2 2 2 3" xfId="59318" xr:uid="{00000000-0005-0000-0000-000075B80000}"/>
    <cellStyle name="Normal 7 3 2 4 2 2 3" xfId="33924" xr:uid="{00000000-0005-0000-0000-000076B80000}"/>
    <cellStyle name="Normal 7 3 2 4 2 2 3 2" xfId="59319" xr:uid="{00000000-0005-0000-0000-000077B80000}"/>
    <cellStyle name="Normal 7 3 2 4 2 2 4" xfId="33925" xr:uid="{00000000-0005-0000-0000-000078B80000}"/>
    <cellStyle name="Normal 7 3 2 4 2 2 5" xfId="33926" xr:uid="{00000000-0005-0000-0000-000079B80000}"/>
    <cellStyle name="Normal 7 3 2 4 2 2 6" xfId="33927" xr:uid="{00000000-0005-0000-0000-00007AB80000}"/>
    <cellStyle name="Normal 7 3 2 4 2 3" xfId="33928" xr:uid="{00000000-0005-0000-0000-00007BB80000}"/>
    <cellStyle name="Normal 7 3 2 4 2 3 2" xfId="59320" xr:uid="{00000000-0005-0000-0000-00007CB80000}"/>
    <cellStyle name="Normal 7 3 2 4 2 3 3" xfId="59321" xr:uid="{00000000-0005-0000-0000-00007DB80000}"/>
    <cellStyle name="Normal 7 3 2 4 2 4" xfId="33929" xr:uid="{00000000-0005-0000-0000-00007EB80000}"/>
    <cellStyle name="Normal 7 3 2 4 2 4 2" xfId="59322" xr:uid="{00000000-0005-0000-0000-00007FB80000}"/>
    <cellStyle name="Normal 7 3 2 4 2 5" xfId="33930" xr:uid="{00000000-0005-0000-0000-000080B80000}"/>
    <cellStyle name="Normal 7 3 2 4 2 6" xfId="33931" xr:uid="{00000000-0005-0000-0000-000081B80000}"/>
    <cellStyle name="Normal 7 3 2 4 2 7" xfId="33932" xr:uid="{00000000-0005-0000-0000-000082B80000}"/>
    <cellStyle name="Normal 7 3 2 4 3" xfId="33933" xr:uid="{00000000-0005-0000-0000-000083B80000}"/>
    <cellStyle name="Normal 7 3 2 4 3 2" xfId="33934" xr:uid="{00000000-0005-0000-0000-000084B80000}"/>
    <cellStyle name="Normal 7 3 2 4 3 2 2" xfId="59323" xr:uid="{00000000-0005-0000-0000-000085B80000}"/>
    <cellStyle name="Normal 7 3 2 4 3 2 3" xfId="59324" xr:uid="{00000000-0005-0000-0000-000086B80000}"/>
    <cellStyle name="Normal 7 3 2 4 3 3" xfId="33935" xr:uid="{00000000-0005-0000-0000-000087B80000}"/>
    <cellStyle name="Normal 7 3 2 4 3 3 2" xfId="59325" xr:uid="{00000000-0005-0000-0000-000088B80000}"/>
    <cellStyle name="Normal 7 3 2 4 3 4" xfId="33936" xr:uid="{00000000-0005-0000-0000-000089B80000}"/>
    <cellStyle name="Normal 7 3 2 4 3 5" xfId="33937" xr:uid="{00000000-0005-0000-0000-00008AB80000}"/>
    <cellStyle name="Normal 7 3 2 4 3 6" xfId="33938" xr:uid="{00000000-0005-0000-0000-00008BB80000}"/>
    <cellStyle name="Normal 7 3 2 4 4" xfId="33939" xr:uid="{00000000-0005-0000-0000-00008CB80000}"/>
    <cellStyle name="Normal 7 3 2 4 4 2" xfId="59326" xr:uid="{00000000-0005-0000-0000-00008DB80000}"/>
    <cellStyle name="Normal 7 3 2 4 4 3" xfId="59327" xr:uid="{00000000-0005-0000-0000-00008EB80000}"/>
    <cellStyle name="Normal 7 3 2 4 5" xfId="33940" xr:uid="{00000000-0005-0000-0000-00008FB80000}"/>
    <cellStyle name="Normal 7 3 2 4 5 2" xfId="59328" xr:uid="{00000000-0005-0000-0000-000090B80000}"/>
    <cellStyle name="Normal 7 3 2 4 6" xfId="33941" xr:uid="{00000000-0005-0000-0000-000091B80000}"/>
    <cellStyle name="Normal 7 3 2 4 7" xfId="33942" xr:uid="{00000000-0005-0000-0000-000092B80000}"/>
    <cellStyle name="Normal 7 3 2 4 8" xfId="33943" xr:uid="{00000000-0005-0000-0000-000093B80000}"/>
    <cellStyle name="Normal 7 3 2 5" xfId="33944" xr:uid="{00000000-0005-0000-0000-000094B80000}"/>
    <cellStyle name="Normal 7 3 2 5 2" xfId="33945" xr:uid="{00000000-0005-0000-0000-000095B80000}"/>
    <cellStyle name="Normal 7 3 2 5 2 2" xfId="33946" xr:uid="{00000000-0005-0000-0000-000096B80000}"/>
    <cellStyle name="Normal 7 3 2 5 2 2 2" xfId="59329" xr:uid="{00000000-0005-0000-0000-000097B80000}"/>
    <cellStyle name="Normal 7 3 2 5 2 2 3" xfId="59330" xr:uid="{00000000-0005-0000-0000-000098B80000}"/>
    <cellStyle name="Normal 7 3 2 5 2 3" xfId="33947" xr:uid="{00000000-0005-0000-0000-000099B80000}"/>
    <cellStyle name="Normal 7 3 2 5 2 3 2" xfId="59331" xr:uid="{00000000-0005-0000-0000-00009AB80000}"/>
    <cellStyle name="Normal 7 3 2 5 2 4" xfId="33948" xr:uid="{00000000-0005-0000-0000-00009BB80000}"/>
    <cellStyle name="Normal 7 3 2 5 2 5" xfId="33949" xr:uid="{00000000-0005-0000-0000-00009CB80000}"/>
    <cellStyle name="Normal 7 3 2 5 2 6" xfId="33950" xr:uid="{00000000-0005-0000-0000-00009DB80000}"/>
    <cellStyle name="Normal 7 3 2 5 3" xfId="33951" xr:uid="{00000000-0005-0000-0000-00009EB80000}"/>
    <cellStyle name="Normal 7 3 2 5 3 2" xfId="59332" xr:uid="{00000000-0005-0000-0000-00009FB80000}"/>
    <cellStyle name="Normal 7 3 2 5 3 3" xfId="59333" xr:uid="{00000000-0005-0000-0000-0000A0B80000}"/>
    <cellStyle name="Normal 7 3 2 5 4" xfId="33952" xr:uid="{00000000-0005-0000-0000-0000A1B80000}"/>
    <cellStyle name="Normal 7 3 2 5 4 2" xfId="59334" xr:uid="{00000000-0005-0000-0000-0000A2B80000}"/>
    <cellStyle name="Normal 7 3 2 5 5" xfId="33953" xr:uid="{00000000-0005-0000-0000-0000A3B80000}"/>
    <cellStyle name="Normal 7 3 2 5 6" xfId="33954" xr:uid="{00000000-0005-0000-0000-0000A4B80000}"/>
    <cellStyle name="Normal 7 3 2 5 7" xfId="33955" xr:uid="{00000000-0005-0000-0000-0000A5B80000}"/>
    <cellStyle name="Normal 7 3 2 6" xfId="33956" xr:uid="{00000000-0005-0000-0000-0000A6B80000}"/>
    <cellStyle name="Normal 7 3 2 6 2" xfId="33957" xr:uid="{00000000-0005-0000-0000-0000A7B80000}"/>
    <cellStyle name="Normal 7 3 2 6 2 2" xfId="59335" xr:uid="{00000000-0005-0000-0000-0000A8B80000}"/>
    <cellStyle name="Normal 7 3 2 6 2 3" xfId="59336" xr:uid="{00000000-0005-0000-0000-0000A9B80000}"/>
    <cellStyle name="Normal 7 3 2 6 3" xfId="33958" xr:uid="{00000000-0005-0000-0000-0000AAB80000}"/>
    <cellStyle name="Normal 7 3 2 6 3 2" xfId="59337" xr:uid="{00000000-0005-0000-0000-0000ABB80000}"/>
    <cellStyle name="Normal 7 3 2 6 4" xfId="33959" xr:uid="{00000000-0005-0000-0000-0000ACB80000}"/>
    <cellStyle name="Normal 7 3 2 6 5" xfId="33960" xr:uid="{00000000-0005-0000-0000-0000ADB80000}"/>
    <cellStyle name="Normal 7 3 2 6 6" xfId="33961" xr:uid="{00000000-0005-0000-0000-0000AEB80000}"/>
    <cellStyle name="Normal 7 3 2 7" xfId="33962" xr:uid="{00000000-0005-0000-0000-0000AFB80000}"/>
    <cellStyle name="Normal 7 3 2 7 2" xfId="59338" xr:uid="{00000000-0005-0000-0000-0000B0B80000}"/>
    <cellStyle name="Normal 7 3 2 7 3" xfId="59339" xr:uid="{00000000-0005-0000-0000-0000B1B80000}"/>
    <cellStyle name="Normal 7 3 2 8" xfId="33963" xr:uid="{00000000-0005-0000-0000-0000B2B80000}"/>
    <cellStyle name="Normal 7 3 2 8 2" xfId="59340" xr:uid="{00000000-0005-0000-0000-0000B3B80000}"/>
    <cellStyle name="Normal 7 3 2 9" xfId="33964" xr:uid="{00000000-0005-0000-0000-0000B4B80000}"/>
    <cellStyle name="Normal 7 3 2 9 2" xfId="59341" xr:uid="{00000000-0005-0000-0000-0000B5B80000}"/>
    <cellStyle name="Normal 7 3 20" xfId="33965" xr:uid="{00000000-0005-0000-0000-0000B6B80000}"/>
    <cellStyle name="Normal 7 3 3" xfId="33966" xr:uid="{00000000-0005-0000-0000-0000B7B80000}"/>
    <cellStyle name="Normal 7 3 3 10" xfId="33967" xr:uid="{00000000-0005-0000-0000-0000B8B80000}"/>
    <cellStyle name="Normal 7 3 3 11" xfId="33968" xr:uid="{00000000-0005-0000-0000-0000B9B80000}"/>
    <cellStyle name="Normal 7 3 3 12" xfId="33969" xr:uid="{00000000-0005-0000-0000-0000BAB80000}"/>
    <cellStyle name="Normal 7 3 3 13" xfId="33970" xr:uid="{00000000-0005-0000-0000-0000BBB80000}"/>
    <cellStyle name="Normal 7 3 3 14" xfId="33971" xr:uid="{00000000-0005-0000-0000-0000BCB80000}"/>
    <cellStyle name="Normal 7 3 3 15" xfId="33972" xr:uid="{00000000-0005-0000-0000-0000BDB80000}"/>
    <cellStyle name="Normal 7 3 3 2" xfId="33973" xr:uid="{00000000-0005-0000-0000-0000BEB80000}"/>
    <cellStyle name="Normal 7 3 3 2 10" xfId="33974" xr:uid="{00000000-0005-0000-0000-0000BFB80000}"/>
    <cellStyle name="Normal 7 3 3 2 11" xfId="33975" xr:uid="{00000000-0005-0000-0000-0000C0B80000}"/>
    <cellStyle name="Normal 7 3 3 2 12" xfId="33976" xr:uid="{00000000-0005-0000-0000-0000C1B80000}"/>
    <cellStyle name="Normal 7 3 3 2 13" xfId="33977" xr:uid="{00000000-0005-0000-0000-0000C2B80000}"/>
    <cellStyle name="Normal 7 3 3 2 14" xfId="33978" xr:uid="{00000000-0005-0000-0000-0000C3B80000}"/>
    <cellStyle name="Normal 7 3 3 2 2" xfId="33979" xr:uid="{00000000-0005-0000-0000-0000C4B80000}"/>
    <cellStyle name="Normal 7 3 3 2 2 2" xfId="33980" xr:uid="{00000000-0005-0000-0000-0000C5B80000}"/>
    <cellStyle name="Normal 7 3 3 2 2 2 2" xfId="33981" xr:uid="{00000000-0005-0000-0000-0000C6B80000}"/>
    <cellStyle name="Normal 7 3 3 2 2 2 2 2" xfId="33982" xr:uid="{00000000-0005-0000-0000-0000C7B80000}"/>
    <cellStyle name="Normal 7 3 3 2 2 2 2 2 2" xfId="59342" xr:uid="{00000000-0005-0000-0000-0000C8B80000}"/>
    <cellStyle name="Normal 7 3 3 2 2 2 2 2 3" xfId="59343" xr:uid="{00000000-0005-0000-0000-0000C9B80000}"/>
    <cellStyle name="Normal 7 3 3 2 2 2 2 3" xfId="33983" xr:uid="{00000000-0005-0000-0000-0000CAB80000}"/>
    <cellStyle name="Normal 7 3 3 2 2 2 2 3 2" xfId="59344" xr:uid="{00000000-0005-0000-0000-0000CBB80000}"/>
    <cellStyle name="Normal 7 3 3 2 2 2 2 4" xfId="33984" xr:uid="{00000000-0005-0000-0000-0000CCB80000}"/>
    <cellStyle name="Normal 7 3 3 2 2 2 2 5" xfId="33985" xr:uid="{00000000-0005-0000-0000-0000CDB80000}"/>
    <cellStyle name="Normal 7 3 3 2 2 2 2 6" xfId="33986" xr:uid="{00000000-0005-0000-0000-0000CEB80000}"/>
    <cellStyle name="Normal 7 3 3 2 2 2 3" xfId="33987" xr:uid="{00000000-0005-0000-0000-0000CFB80000}"/>
    <cellStyle name="Normal 7 3 3 2 2 2 3 2" xfId="59345" xr:uid="{00000000-0005-0000-0000-0000D0B80000}"/>
    <cellStyle name="Normal 7 3 3 2 2 2 3 3" xfId="59346" xr:uid="{00000000-0005-0000-0000-0000D1B80000}"/>
    <cellStyle name="Normal 7 3 3 2 2 2 4" xfId="33988" xr:uid="{00000000-0005-0000-0000-0000D2B80000}"/>
    <cellStyle name="Normal 7 3 3 2 2 2 4 2" xfId="59347" xr:uid="{00000000-0005-0000-0000-0000D3B80000}"/>
    <cellStyle name="Normal 7 3 3 2 2 2 5" xfId="33989" xr:uid="{00000000-0005-0000-0000-0000D4B80000}"/>
    <cellStyle name="Normal 7 3 3 2 2 2 6" xfId="33990" xr:uid="{00000000-0005-0000-0000-0000D5B80000}"/>
    <cellStyle name="Normal 7 3 3 2 2 2 7" xfId="33991" xr:uid="{00000000-0005-0000-0000-0000D6B80000}"/>
    <cellStyle name="Normal 7 3 3 2 2 3" xfId="33992" xr:uid="{00000000-0005-0000-0000-0000D7B80000}"/>
    <cellStyle name="Normal 7 3 3 2 2 3 2" xfId="33993" xr:uid="{00000000-0005-0000-0000-0000D8B80000}"/>
    <cellStyle name="Normal 7 3 3 2 2 3 2 2" xfId="59348" xr:uid="{00000000-0005-0000-0000-0000D9B80000}"/>
    <cellStyle name="Normal 7 3 3 2 2 3 2 3" xfId="59349" xr:uid="{00000000-0005-0000-0000-0000DAB80000}"/>
    <cellStyle name="Normal 7 3 3 2 2 3 3" xfId="33994" xr:uid="{00000000-0005-0000-0000-0000DBB80000}"/>
    <cellStyle name="Normal 7 3 3 2 2 3 3 2" xfId="59350" xr:uid="{00000000-0005-0000-0000-0000DCB80000}"/>
    <cellStyle name="Normal 7 3 3 2 2 3 4" xfId="33995" xr:uid="{00000000-0005-0000-0000-0000DDB80000}"/>
    <cellStyle name="Normal 7 3 3 2 2 3 5" xfId="33996" xr:uid="{00000000-0005-0000-0000-0000DEB80000}"/>
    <cellStyle name="Normal 7 3 3 2 2 3 6" xfId="33997" xr:uid="{00000000-0005-0000-0000-0000DFB80000}"/>
    <cellStyle name="Normal 7 3 3 2 2 4" xfId="33998" xr:uid="{00000000-0005-0000-0000-0000E0B80000}"/>
    <cellStyle name="Normal 7 3 3 2 2 4 2" xfId="59351" xr:uid="{00000000-0005-0000-0000-0000E1B80000}"/>
    <cellStyle name="Normal 7 3 3 2 2 4 3" xfId="59352" xr:uid="{00000000-0005-0000-0000-0000E2B80000}"/>
    <cellStyle name="Normal 7 3 3 2 2 5" xfId="33999" xr:uid="{00000000-0005-0000-0000-0000E3B80000}"/>
    <cellStyle name="Normal 7 3 3 2 2 5 2" xfId="59353" xr:uid="{00000000-0005-0000-0000-0000E4B80000}"/>
    <cellStyle name="Normal 7 3 3 2 2 6" xfId="34000" xr:uid="{00000000-0005-0000-0000-0000E5B80000}"/>
    <cellStyle name="Normal 7 3 3 2 2 7" xfId="34001" xr:uid="{00000000-0005-0000-0000-0000E6B80000}"/>
    <cellStyle name="Normal 7 3 3 2 2 8" xfId="34002" xr:uid="{00000000-0005-0000-0000-0000E7B80000}"/>
    <cellStyle name="Normal 7 3 3 2 2 9" xfId="34003" xr:uid="{00000000-0005-0000-0000-0000E8B80000}"/>
    <cellStyle name="Normal 7 3 3 2 3" xfId="34004" xr:uid="{00000000-0005-0000-0000-0000E9B80000}"/>
    <cellStyle name="Normal 7 3 3 2 3 2" xfId="34005" xr:uid="{00000000-0005-0000-0000-0000EAB80000}"/>
    <cellStyle name="Normal 7 3 3 2 3 2 2" xfId="34006" xr:uid="{00000000-0005-0000-0000-0000EBB80000}"/>
    <cellStyle name="Normal 7 3 3 2 3 2 2 2" xfId="34007" xr:uid="{00000000-0005-0000-0000-0000ECB80000}"/>
    <cellStyle name="Normal 7 3 3 2 3 2 2 2 2" xfId="59354" xr:uid="{00000000-0005-0000-0000-0000EDB80000}"/>
    <cellStyle name="Normal 7 3 3 2 3 2 2 2 3" xfId="59355" xr:uid="{00000000-0005-0000-0000-0000EEB80000}"/>
    <cellStyle name="Normal 7 3 3 2 3 2 2 3" xfId="34008" xr:uid="{00000000-0005-0000-0000-0000EFB80000}"/>
    <cellStyle name="Normal 7 3 3 2 3 2 2 3 2" xfId="59356" xr:uid="{00000000-0005-0000-0000-0000F0B80000}"/>
    <cellStyle name="Normal 7 3 3 2 3 2 2 4" xfId="34009" xr:uid="{00000000-0005-0000-0000-0000F1B80000}"/>
    <cellStyle name="Normal 7 3 3 2 3 2 2 5" xfId="34010" xr:uid="{00000000-0005-0000-0000-0000F2B80000}"/>
    <cellStyle name="Normal 7 3 3 2 3 2 2 6" xfId="34011" xr:uid="{00000000-0005-0000-0000-0000F3B80000}"/>
    <cellStyle name="Normal 7 3 3 2 3 2 3" xfId="34012" xr:uid="{00000000-0005-0000-0000-0000F4B80000}"/>
    <cellStyle name="Normal 7 3 3 2 3 2 3 2" xfId="59357" xr:uid="{00000000-0005-0000-0000-0000F5B80000}"/>
    <cellStyle name="Normal 7 3 3 2 3 2 3 3" xfId="59358" xr:uid="{00000000-0005-0000-0000-0000F6B80000}"/>
    <cellStyle name="Normal 7 3 3 2 3 2 4" xfId="34013" xr:uid="{00000000-0005-0000-0000-0000F7B80000}"/>
    <cellStyle name="Normal 7 3 3 2 3 2 4 2" xfId="59359" xr:uid="{00000000-0005-0000-0000-0000F8B80000}"/>
    <cellStyle name="Normal 7 3 3 2 3 2 5" xfId="34014" xr:uid="{00000000-0005-0000-0000-0000F9B80000}"/>
    <cellStyle name="Normal 7 3 3 2 3 2 6" xfId="34015" xr:uid="{00000000-0005-0000-0000-0000FAB80000}"/>
    <cellStyle name="Normal 7 3 3 2 3 2 7" xfId="34016" xr:uid="{00000000-0005-0000-0000-0000FBB80000}"/>
    <cellStyle name="Normal 7 3 3 2 3 3" xfId="34017" xr:uid="{00000000-0005-0000-0000-0000FCB80000}"/>
    <cellStyle name="Normal 7 3 3 2 3 3 2" xfId="34018" xr:uid="{00000000-0005-0000-0000-0000FDB80000}"/>
    <cellStyle name="Normal 7 3 3 2 3 3 2 2" xfId="59360" xr:uid="{00000000-0005-0000-0000-0000FEB80000}"/>
    <cellStyle name="Normal 7 3 3 2 3 3 2 3" xfId="59361" xr:uid="{00000000-0005-0000-0000-0000FFB80000}"/>
    <cellStyle name="Normal 7 3 3 2 3 3 3" xfId="34019" xr:uid="{00000000-0005-0000-0000-000000B90000}"/>
    <cellStyle name="Normal 7 3 3 2 3 3 3 2" xfId="59362" xr:uid="{00000000-0005-0000-0000-000001B90000}"/>
    <cellStyle name="Normal 7 3 3 2 3 3 4" xfId="34020" xr:uid="{00000000-0005-0000-0000-000002B90000}"/>
    <cellStyle name="Normal 7 3 3 2 3 3 5" xfId="34021" xr:uid="{00000000-0005-0000-0000-000003B90000}"/>
    <cellStyle name="Normal 7 3 3 2 3 3 6" xfId="34022" xr:uid="{00000000-0005-0000-0000-000004B90000}"/>
    <cellStyle name="Normal 7 3 3 2 3 4" xfId="34023" xr:uid="{00000000-0005-0000-0000-000005B90000}"/>
    <cellStyle name="Normal 7 3 3 2 3 4 2" xfId="59363" xr:uid="{00000000-0005-0000-0000-000006B90000}"/>
    <cellStyle name="Normal 7 3 3 2 3 4 3" xfId="59364" xr:uid="{00000000-0005-0000-0000-000007B90000}"/>
    <cellStyle name="Normal 7 3 3 2 3 5" xfId="34024" xr:uid="{00000000-0005-0000-0000-000008B90000}"/>
    <cellStyle name="Normal 7 3 3 2 3 5 2" xfId="59365" xr:uid="{00000000-0005-0000-0000-000009B90000}"/>
    <cellStyle name="Normal 7 3 3 2 3 6" xfId="34025" xr:uid="{00000000-0005-0000-0000-00000AB90000}"/>
    <cellStyle name="Normal 7 3 3 2 3 7" xfId="34026" xr:uid="{00000000-0005-0000-0000-00000BB90000}"/>
    <cellStyle name="Normal 7 3 3 2 3 8" xfId="34027" xr:uid="{00000000-0005-0000-0000-00000CB90000}"/>
    <cellStyle name="Normal 7 3 3 2 4" xfId="34028" xr:uid="{00000000-0005-0000-0000-00000DB90000}"/>
    <cellStyle name="Normal 7 3 3 2 4 2" xfId="34029" xr:uid="{00000000-0005-0000-0000-00000EB90000}"/>
    <cellStyle name="Normal 7 3 3 2 4 2 2" xfId="34030" xr:uid="{00000000-0005-0000-0000-00000FB90000}"/>
    <cellStyle name="Normal 7 3 3 2 4 2 2 2" xfId="59366" xr:uid="{00000000-0005-0000-0000-000010B90000}"/>
    <cellStyle name="Normal 7 3 3 2 4 2 2 3" xfId="59367" xr:uid="{00000000-0005-0000-0000-000011B90000}"/>
    <cellStyle name="Normal 7 3 3 2 4 2 3" xfId="34031" xr:uid="{00000000-0005-0000-0000-000012B90000}"/>
    <cellStyle name="Normal 7 3 3 2 4 2 3 2" xfId="59368" xr:uid="{00000000-0005-0000-0000-000013B90000}"/>
    <cellStyle name="Normal 7 3 3 2 4 2 4" xfId="34032" xr:uid="{00000000-0005-0000-0000-000014B90000}"/>
    <cellStyle name="Normal 7 3 3 2 4 2 5" xfId="34033" xr:uid="{00000000-0005-0000-0000-000015B90000}"/>
    <cellStyle name="Normal 7 3 3 2 4 2 6" xfId="34034" xr:uid="{00000000-0005-0000-0000-000016B90000}"/>
    <cellStyle name="Normal 7 3 3 2 4 3" xfId="34035" xr:uid="{00000000-0005-0000-0000-000017B90000}"/>
    <cellStyle name="Normal 7 3 3 2 4 3 2" xfId="59369" xr:uid="{00000000-0005-0000-0000-000018B90000}"/>
    <cellStyle name="Normal 7 3 3 2 4 3 3" xfId="59370" xr:uid="{00000000-0005-0000-0000-000019B90000}"/>
    <cellStyle name="Normal 7 3 3 2 4 4" xfId="34036" xr:uid="{00000000-0005-0000-0000-00001AB90000}"/>
    <cellStyle name="Normal 7 3 3 2 4 4 2" xfId="59371" xr:uid="{00000000-0005-0000-0000-00001BB90000}"/>
    <cellStyle name="Normal 7 3 3 2 4 5" xfId="34037" xr:uid="{00000000-0005-0000-0000-00001CB90000}"/>
    <cellStyle name="Normal 7 3 3 2 4 6" xfId="34038" xr:uid="{00000000-0005-0000-0000-00001DB90000}"/>
    <cellStyle name="Normal 7 3 3 2 4 7" xfId="34039" xr:uid="{00000000-0005-0000-0000-00001EB90000}"/>
    <cellStyle name="Normal 7 3 3 2 5" xfId="34040" xr:uid="{00000000-0005-0000-0000-00001FB90000}"/>
    <cellStyle name="Normal 7 3 3 2 5 2" xfId="34041" xr:uid="{00000000-0005-0000-0000-000020B90000}"/>
    <cellStyle name="Normal 7 3 3 2 5 2 2" xfId="59372" xr:uid="{00000000-0005-0000-0000-000021B90000}"/>
    <cellStyle name="Normal 7 3 3 2 5 2 3" xfId="59373" xr:uid="{00000000-0005-0000-0000-000022B90000}"/>
    <cellStyle name="Normal 7 3 3 2 5 3" xfId="34042" xr:uid="{00000000-0005-0000-0000-000023B90000}"/>
    <cellStyle name="Normal 7 3 3 2 5 3 2" xfId="59374" xr:uid="{00000000-0005-0000-0000-000024B90000}"/>
    <cellStyle name="Normal 7 3 3 2 5 4" xfId="34043" xr:uid="{00000000-0005-0000-0000-000025B90000}"/>
    <cellStyle name="Normal 7 3 3 2 5 5" xfId="34044" xr:uid="{00000000-0005-0000-0000-000026B90000}"/>
    <cellStyle name="Normal 7 3 3 2 5 6" xfId="34045" xr:uid="{00000000-0005-0000-0000-000027B90000}"/>
    <cellStyle name="Normal 7 3 3 2 6" xfId="34046" xr:uid="{00000000-0005-0000-0000-000028B90000}"/>
    <cellStyle name="Normal 7 3 3 2 6 2" xfId="59375" xr:uid="{00000000-0005-0000-0000-000029B90000}"/>
    <cellStyle name="Normal 7 3 3 2 6 3" xfId="59376" xr:uid="{00000000-0005-0000-0000-00002AB90000}"/>
    <cellStyle name="Normal 7 3 3 2 7" xfId="34047" xr:uid="{00000000-0005-0000-0000-00002BB90000}"/>
    <cellStyle name="Normal 7 3 3 2 7 2" xfId="59377" xr:uid="{00000000-0005-0000-0000-00002CB90000}"/>
    <cellStyle name="Normal 7 3 3 2 8" xfId="34048" xr:uid="{00000000-0005-0000-0000-00002DB90000}"/>
    <cellStyle name="Normal 7 3 3 2 9" xfId="34049" xr:uid="{00000000-0005-0000-0000-00002EB90000}"/>
    <cellStyle name="Normal 7 3 3 3" xfId="34050" xr:uid="{00000000-0005-0000-0000-00002FB90000}"/>
    <cellStyle name="Normal 7 3 3 3 2" xfId="34051" xr:uid="{00000000-0005-0000-0000-000030B90000}"/>
    <cellStyle name="Normal 7 3 3 3 2 2" xfId="34052" xr:uid="{00000000-0005-0000-0000-000031B90000}"/>
    <cellStyle name="Normal 7 3 3 3 2 2 2" xfId="34053" xr:uid="{00000000-0005-0000-0000-000032B90000}"/>
    <cellStyle name="Normal 7 3 3 3 2 2 2 2" xfId="59378" xr:uid="{00000000-0005-0000-0000-000033B90000}"/>
    <cellStyle name="Normal 7 3 3 3 2 2 2 3" xfId="59379" xr:uid="{00000000-0005-0000-0000-000034B90000}"/>
    <cellStyle name="Normal 7 3 3 3 2 2 3" xfId="34054" xr:uid="{00000000-0005-0000-0000-000035B90000}"/>
    <cellStyle name="Normal 7 3 3 3 2 2 3 2" xfId="59380" xr:uid="{00000000-0005-0000-0000-000036B90000}"/>
    <cellStyle name="Normal 7 3 3 3 2 2 4" xfId="34055" xr:uid="{00000000-0005-0000-0000-000037B90000}"/>
    <cellStyle name="Normal 7 3 3 3 2 2 5" xfId="34056" xr:uid="{00000000-0005-0000-0000-000038B90000}"/>
    <cellStyle name="Normal 7 3 3 3 2 2 6" xfId="34057" xr:uid="{00000000-0005-0000-0000-000039B90000}"/>
    <cellStyle name="Normal 7 3 3 3 2 3" xfId="34058" xr:uid="{00000000-0005-0000-0000-00003AB90000}"/>
    <cellStyle name="Normal 7 3 3 3 2 3 2" xfId="59381" xr:uid="{00000000-0005-0000-0000-00003BB90000}"/>
    <cellStyle name="Normal 7 3 3 3 2 3 3" xfId="59382" xr:uid="{00000000-0005-0000-0000-00003CB90000}"/>
    <cellStyle name="Normal 7 3 3 3 2 4" xfId="34059" xr:uid="{00000000-0005-0000-0000-00003DB90000}"/>
    <cellStyle name="Normal 7 3 3 3 2 4 2" xfId="59383" xr:uid="{00000000-0005-0000-0000-00003EB90000}"/>
    <cellStyle name="Normal 7 3 3 3 2 5" xfId="34060" xr:uid="{00000000-0005-0000-0000-00003FB90000}"/>
    <cellStyle name="Normal 7 3 3 3 2 6" xfId="34061" xr:uid="{00000000-0005-0000-0000-000040B90000}"/>
    <cellStyle name="Normal 7 3 3 3 2 7" xfId="34062" xr:uid="{00000000-0005-0000-0000-000041B90000}"/>
    <cellStyle name="Normal 7 3 3 3 3" xfId="34063" xr:uid="{00000000-0005-0000-0000-000042B90000}"/>
    <cellStyle name="Normal 7 3 3 3 3 2" xfId="34064" xr:uid="{00000000-0005-0000-0000-000043B90000}"/>
    <cellStyle name="Normal 7 3 3 3 3 2 2" xfId="59384" xr:uid="{00000000-0005-0000-0000-000044B90000}"/>
    <cellStyle name="Normal 7 3 3 3 3 2 3" xfId="59385" xr:uid="{00000000-0005-0000-0000-000045B90000}"/>
    <cellStyle name="Normal 7 3 3 3 3 3" xfId="34065" xr:uid="{00000000-0005-0000-0000-000046B90000}"/>
    <cellStyle name="Normal 7 3 3 3 3 3 2" xfId="59386" xr:uid="{00000000-0005-0000-0000-000047B90000}"/>
    <cellStyle name="Normal 7 3 3 3 3 4" xfId="34066" xr:uid="{00000000-0005-0000-0000-000048B90000}"/>
    <cellStyle name="Normal 7 3 3 3 3 5" xfId="34067" xr:uid="{00000000-0005-0000-0000-000049B90000}"/>
    <cellStyle name="Normal 7 3 3 3 3 6" xfId="34068" xr:uid="{00000000-0005-0000-0000-00004AB90000}"/>
    <cellStyle name="Normal 7 3 3 3 4" xfId="34069" xr:uid="{00000000-0005-0000-0000-00004BB90000}"/>
    <cellStyle name="Normal 7 3 3 3 4 2" xfId="59387" xr:uid="{00000000-0005-0000-0000-00004CB90000}"/>
    <cellStyle name="Normal 7 3 3 3 4 3" xfId="59388" xr:uid="{00000000-0005-0000-0000-00004DB90000}"/>
    <cellStyle name="Normal 7 3 3 3 5" xfId="34070" xr:uid="{00000000-0005-0000-0000-00004EB90000}"/>
    <cellStyle name="Normal 7 3 3 3 5 2" xfId="59389" xr:uid="{00000000-0005-0000-0000-00004FB90000}"/>
    <cellStyle name="Normal 7 3 3 3 6" xfId="34071" xr:uid="{00000000-0005-0000-0000-000050B90000}"/>
    <cellStyle name="Normal 7 3 3 3 7" xfId="34072" xr:uid="{00000000-0005-0000-0000-000051B90000}"/>
    <cellStyle name="Normal 7 3 3 3 8" xfId="34073" xr:uid="{00000000-0005-0000-0000-000052B90000}"/>
    <cellStyle name="Normal 7 3 3 3 9" xfId="34074" xr:uid="{00000000-0005-0000-0000-000053B90000}"/>
    <cellStyle name="Normal 7 3 3 4" xfId="34075" xr:uid="{00000000-0005-0000-0000-000054B90000}"/>
    <cellStyle name="Normal 7 3 3 4 2" xfId="34076" xr:uid="{00000000-0005-0000-0000-000055B90000}"/>
    <cellStyle name="Normal 7 3 3 4 2 2" xfId="34077" xr:uid="{00000000-0005-0000-0000-000056B90000}"/>
    <cellStyle name="Normal 7 3 3 4 2 2 2" xfId="34078" xr:uid="{00000000-0005-0000-0000-000057B90000}"/>
    <cellStyle name="Normal 7 3 3 4 2 2 2 2" xfId="59390" xr:uid="{00000000-0005-0000-0000-000058B90000}"/>
    <cellStyle name="Normal 7 3 3 4 2 2 2 3" xfId="59391" xr:uid="{00000000-0005-0000-0000-000059B90000}"/>
    <cellStyle name="Normal 7 3 3 4 2 2 3" xfId="34079" xr:uid="{00000000-0005-0000-0000-00005AB90000}"/>
    <cellStyle name="Normal 7 3 3 4 2 2 3 2" xfId="59392" xr:uid="{00000000-0005-0000-0000-00005BB90000}"/>
    <cellStyle name="Normal 7 3 3 4 2 2 4" xfId="34080" xr:uid="{00000000-0005-0000-0000-00005CB90000}"/>
    <cellStyle name="Normal 7 3 3 4 2 2 5" xfId="34081" xr:uid="{00000000-0005-0000-0000-00005DB90000}"/>
    <cellStyle name="Normal 7 3 3 4 2 2 6" xfId="34082" xr:uid="{00000000-0005-0000-0000-00005EB90000}"/>
    <cellStyle name="Normal 7 3 3 4 2 3" xfId="34083" xr:uid="{00000000-0005-0000-0000-00005FB90000}"/>
    <cellStyle name="Normal 7 3 3 4 2 3 2" xfId="59393" xr:uid="{00000000-0005-0000-0000-000060B90000}"/>
    <cellStyle name="Normal 7 3 3 4 2 3 3" xfId="59394" xr:uid="{00000000-0005-0000-0000-000061B90000}"/>
    <cellStyle name="Normal 7 3 3 4 2 4" xfId="34084" xr:uid="{00000000-0005-0000-0000-000062B90000}"/>
    <cellStyle name="Normal 7 3 3 4 2 4 2" xfId="59395" xr:uid="{00000000-0005-0000-0000-000063B90000}"/>
    <cellStyle name="Normal 7 3 3 4 2 5" xfId="34085" xr:uid="{00000000-0005-0000-0000-000064B90000}"/>
    <cellStyle name="Normal 7 3 3 4 2 6" xfId="34086" xr:uid="{00000000-0005-0000-0000-000065B90000}"/>
    <cellStyle name="Normal 7 3 3 4 2 7" xfId="34087" xr:uid="{00000000-0005-0000-0000-000066B90000}"/>
    <cellStyle name="Normal 7 3 3 4 3" xfId="34088" xr:uid="{00000000-0005-0000-0000-000067B90000}"/>
    <cellStyle name="Normal 7 3 3 4 3 2" xfId="34089" xr:uid="{00000000-0005-0000-0000-000068B90000}"/>
    <cellStyle name="Normal 7 3 3 4 3 2 2" xfId="59396" xr:uid="{00000000-0005-0000-0000-000069B90000}"/>
    <cellStyle name="Normal 7 3 3 4 3 2 3" xfId="59397" xr:uid="{00000000-0005-0000-0000-00006AB90000}"/>
    <cellStyle name="Normal 7 3 3 4 3 3" xfId="34090" xr:uid="{00000000-0005-0000-0000-00006BB90000}"/>
    <cellStyle name="Normal 7 3 3 4 3 3 2" xfId="59398" xr:uid="{00000000-0005-0000-0000-00006CB90000}"/>
    <cellStyle name="Normal 7 3 3 4 3 4" xfId="34091" xr:uid="{00000000-0005-0000-0000-00006DB90000}"/>
    <cellStyle name="Normal 7 3 3 4 3 5" xfId="34092" xr:uid="{00000000-0005-0000-0000-00006EB90000}"/>
    <cellStyle name="Normal 7 3 3 4 3 6" xfId="34093" xr:uid="{00000000-0005-0000-0000-00006FB90000}"/>
    <cellStyle name="Normal 7 3 3 4 4" xfId="34094" xr:uid="{00000000-0005-0000-0000-000070B90000}"/>
    <cellStyle name="Normal 7 3 3 4 4 2" xfId="59399" xr:uid="{00000000-0005-0000-0000-000071B90000}"/>
    <cellStyle name="Normal 7 3 3 4 4 3" xfId="59400" xr:uid="{00000000-0005-0000-0000-000072B90000}"/>
    <cellStyle name="Normal 7 3 3 4 5" xfId="34095" xr:uid="{00000000-0005-0000-0000-000073B90000}"/>
    <cellStyle name="Normal 7 3 3 4 5 2" xfId="59401" xr:uid="{00000000-0005-0000-0000-000074B90000}"/>
    <cellStyle name="Normal 7 3 3 4 6" xfId="34096" xr:uid="{00000000-0005-0000-0000-000075B90000}"/>
    <cellStyle name="Normal 7 3 3 4 7" xfId="34097" xr:uid="{00000000-0005-0000-0000-000076B90000}"/>
    <cellStyle name="Normal 7 3 3 4 8" xfId="34098" xr:uid="{00000000-0005-0000-0000-000077B90000}"/>
    <cellStyle name="Normal 7 3 3 5" xfId="34099" xr:uid="{00000000-0005-0000-0000-000078B90000}"/>
    <cellStyle name="Normal 7 3 3 5 2" xfId="34100" xr:uid="{00000000-0005-0000-0000-000079B90000}"/>
    <cellStyle name="Normal 7 3 3 5 2 2" xfId="34101" xr:uid="{00000000-0005-0000-0000-00007AB90000}"/>
    <cellStyle name="Normal 7 3 3 5 2 2 2" xfId="59402" xr:uid="{00000000-0005-0000-0000-00007BB90000}"/>
    <cellStyle name="Normal 7 3 3 5 2 2 3" xfId="59403" xr:uid="{00000000-0005-0000-0000-00007CB90000}"/>
    <cellStyle name="Normal 7 3 3 5 2 3" xfId="34102" xr:uid="{00000000-0005-0000-0000-00007DB90000}"/>
    <cellStyle name="Normal 7 3 3 5 2 3 2" xfId="59404" xr:uid="{00000000-0005-0000-0000-00007EB90000}"/>
    <cellStyle name="Normal 7 3 3 5 2 4" xfId="34103" xr:uid="{00000000-0005-0000-0000-00007FB90000}"/>
    <cellStyle name="Normal 7 3 3 5 2 5" xfId="34104" xr:uid="{00000000-0005-0000-0000-000080B90000}"/>
    <cellStyle name="Normal 7 3 3 5 2 6" xfId="34105" xr:uid="{00000000-0005-0000-0000-000081B90000}"/>
    <cellStyle name="Normal 7 3 3 5 3" xfId="34106" xr:uid="{00000000-0005-0000-0000-000082B90000}"/>
    <cellStyle name="Normal 7 3 3 5 3 2" xfId="59405" xr:uid="{00000000-0005-0000-0000-000083B90000}"/>
    <cellStyle name="Normal 7 3 3 5 3 3" xfId="59406" xr:uid="{00000000-0005-0000-0000-000084B90000}"/>
    <cellStyle name="Normal 7 3 3 5 4" xfId="34107" xr:uid="{00000000-0005-0000-0000-000085B90000}"/>
    <cellStyle name="Normal 7 3 3 5 4 2" xfId="59407" xr:uid="{00000000-0005-0000-0000-000086B90000}"/>
    <cellStyle name="Normal 7 3 3 5 5" xfId="34108" xr:uid="{00000000-0005-0000-0000-000087B90000}"/>
    <cellStyle name="Normal 7 3 3 5 6" xfId="34109" xr:uid="{00000000-0005-0000-0000-000088B90000}"/>
    <cellStyle name="Normal 7 3 3 5 7" xfId="34110" xr:uid="{00000000-0005-0000-0000-000089B90000}"/>
    <cellStyle name="Normal 7 3 3 6" xfId="34111" xr:uid="{00000000-0005-0000-0000-00008AB90000}"/>
    <cellStyle name="Normal 7 3 3 6 2" xfId="34112" xr:uid="{00000000-0005-0000-0000-00008BB90000}"/>
    <cellStyle name="Normal 7 3 3 6 2 2" xfId="59408" xr:uid="{00000000-0005-0000-0000-00008CB90000}"/>
    <cellStyle name="Normal 7 3 3 6 2 3" xfId="59409" xr:uid="{00000000-0005-0000-0000-00008DB90000}"/>
    <cellStyle name="Normal 7 3 3 6 3" xfId="34113" xr:uid="{00000000-0005-0000-0000-00008EB90000}"/>
    <cellStyle name="Normal 7 3 3 6 3 2" xfId="59410" xr:uid="{00000000-0005-0000-0000-00008FB90000}"/>
    <cellStyle name="Normal 7 3 3 6 4" xfId="34114" xr:uid="{00000000-0005-0000-0000-000090B90000}"/>
    <cellStyle name="Normal 7 3 3 6 5" xfId="34115" xr:uid="{00000000-0005-0000-0000-000091B90000}"/>
    <cellStyle name="Normal 7 3 3 6 6" xfId="34116" xr:uid="{00000000-0005-0000-0000-000092B90000}"/>
    <cellStyle name="Normal 7 3 3 7" xfId="34117" xr:uid="{00000000-0005-0000-0000-000093B90000}"/>
    <cellStyle name="Normal 7 3 3 7 2" xfId="59411" xr:uid="{00000000-0005-0000-0000-000094B90000}"/>
    <cellStyle name="Normal 7 3 3 7 3" xfId="59412" xr:uid="{00000000-0005-0000-0000-000095B90000}"/>
    <cellStyle name="Normal 7 3 3 8" xfId="34118" xr:uid="{00000000-0005-0000-0000-000096B90000}"/>
    <cellStyle name="Normal 7 3 3 8 2" xfId="59413" xr:uid="{00000000-0005-0000-0000-000097B90000}"/>
    <cellStyle name="Normal 7 3 3 9" xfId="34119" xr:uid="{00000000-0005-0000-0000-000098B90000}"/>
    <cellStyle name="Normal 7 3 4" xfId="34120" xr:uid="{00000000-0005-0000-0000-000099B90000}"/>
    <cellStyle name="Normal 7 3 4 10" xfId="34121" xr:uid="{00000000-0005-0000-0000-00009AB90000}"/>
    <cellStyle name="Normal 7 3 4 11" xfId="34122" xr:uid="{00000000-0005-0000-0000-00009BB90000}"/>
    <cellStyle name="Normal 7 3 4 12" xfId="34123" xr:uid="{00000000-0005-0000-0000-00009CB90000}"/>
    <cellStyle name="Normal 7 3 4 13" xfId="34124" xr:uid="{00000000-0005-0000-0000-00009DB90000}"/>
    <cellStyle name="Normal 7 3 4 14" xfId="34125" xr:uid="{00000000-0005-0000-0000-00009EB90000}"/>
    <cellStyle name="Normal 7 3 4 2" xfId="34126" xr:uid="{00000000-0005-0000-0000-00009FB90000}"/>
    <cellStyle name="Normal 7 3 4 2 2" xfId="34127" xr:uid="{00000000-0005-0000-0000-0000A0B90000}"/>
    <cellStyle name="Normal 7 3 4 2 2 2" xfId="34128" xr:uid="{00000000-0005-0000-0000-0000A1B90000}"/>
    <cellStyle name="Normal 7 3 4 2 2 2 2" xfId="34129" xr:uid="{00000000-0005-0000-0000-0000A2B90000}"/>
    <cellStyle name="Normal 7 3 4 2 2 2 2 2" xfId="59414" xr:uid="{00000000-0005-0000-0000-0000A3B90000}"/>
    <cellStyle name="Normal 7 3 4 2 2 2 2 3" xfId="59415" xr:uid="{00000000-0005-0000-0000-0000A4B90000}"/>
    <cellStyle name="Normal 7 3 4 2 2 2 3" xfId="34130" xr:uid="{00000000-0005-0000-0000-0000A5B90000}"/>
    <cellStyle name="Normal 7 3 4 2 2 2 3 2" xfId="59416" xr:uid="{00000000-0005-0000-0000-0000A6B90000}"/>
    <cellStyle name="Normal 7 3 4 2 2 2 4" xfId="34131" xr:uid="{00000000-0005-0000-0000-0000A7B90000}"/>
    <cellStyle name="Normal 7 3 4 2 2 2 5" xfId="34132" xr:uid="{00000000-0005-0000-0000-0000A8B90000}"/>
    <cellStyle name="Normal 7 3 4 2 2 2 6" xfId="34133" xr:uid="{00000000-0005-0000-0000-0000A9B90000}"/>
    <cellStyle name="Normal 7 3 4 2 2 3" xfId="34134" xr:uid="{00000000-0005-0000-0000-0000AAB90000}"/>
    <cellStyle name="Normal 7 3 4 2 2 3 2" xfId="59417" xr:uid="{00000000-0005-0000-0000-0000ABB90000}"/>
    <cellStyle name="Normal 7 3 4 2 2 3 3" xfId="59418" xr:uid="{00000000-0005-0000-0000-0000ACB90000}"/>
    <cellStyle name="Normal 7 3 4 2 2 4" xfId="34135" xr:uid="{00000000-0005-0000-0000-0000ADB90000}"/>
    <cellStyle name="Normal 7 3 4 2 2 4 2" xfId="59419" xr:uid="{00000000-0005-0000-0000-0000AEB90000}"/>
    <cellStyle name="Normal 7 3 4 2 2 5" xfId="34136" xr:uid="{00000000-0005-0000-0000-0000AFB90000}"/>
    <cellStyle name="Normal 7 3 4 2 2 6" xfId="34137" xr:uid="{00000000-0005-0000-0000-0000B0B90000}"/>
    <cellStyle name="Normal 7 3 4 2 2 7" xfId="34138" xr:uid="{00000000-0005-0000-0000-0000B1B90000}"/>
    <cellStyle name="Normal 7 3 4 2 3" xfId="34139" xr:uid="{00000000-0005-0000-0000-0000B2B90000}"/>
    <cellStyle name="Normal 7 3 4 2 3 2" xfId="34140" xr:uid="{00000000-0005-0000-0000-0000B3B90000}"/>
    <cellStyle name="Normal 7 3 4 2 3 2 2" xfId="59420" xr:uid="{00000000-0005-0000-0000-0000B4B90000}"/>
    <cellStyle name="Normal 7 3 4 2 3 2 3" xfId="59421" xr:uid="{00000000-0005-0000-0000-0000B5B90000}"/>
    <cellStyle name="Normal 7 3 4 2 3 3" xfId="34141" xr:uid="{00000000-0005-0000-0000-0000B6B90000}"/>
    <cellStyle name="Normal 7 3 4 2 3 3 2" xfId="59422" xr:uid="{00000000-0005-0000-0000-0000B7B90000}"/>
    <cellStyle name="Normal 7 3 4 2 3 4" xfId="34142" xr:uid="{00000000-0005-0000-0000-0000B8B90000}"/>
    <cellStyle name="Normal 7 3 4 2 3 5" xfId="34143" xr:uid="{00000000-0005-0000-0000-0000B9B90000}"/>
    <cellStyle name="Normal 7 3 4 2 3 6" xfId="34144" xr:uid="{00000000-0005-0000-0000-0000BAB90000}"/>
    <cellStyle name="Normal 7 3 4 2 4" xfId="34145" xr:uid="{00000000-0005-0000-0000-0000BBB90000}"/>
    <cellStyle name="Normal 7 3 4 2 4 2" xfId="59423" xr:uid="{00000000-0005-0000-0000-0000BCB90000}"/>
    <cellStyle name="Normal 7 3 4 2 4 3" xfId="59424" xr:uid="{00000000-0005-0000-0000-0000BDB90000}"/>
    <cellStyle name="Normal 7 3 4 2 5" xfId="34146" xr:uid="{00000000-0005-0000-0000-0000BEB90000}"/>
    <cellStyle name="Normal 7 3 4 2 5 2" xfId="59425" xr:uid="{00000000-0005-0000-0000-0000BFB90000}"/>
    <cellStyle name="Normal 7 3 4 2 6" xfId="34147" xr:uid="{00000000-0005-0000-0000-0000C0B90000}"/>
    <cellStyle name="Normal 7 3 4 2 7" xfId="34148" xr:uid="{00000000-0005-0000-0000-0000C1B90000}"/>
    <cellStyle name="Normal 7 3 4 2 8" xfId="34149" xr:uid="{00000000-0005-0000-0000-0000C2B90000}"/>
    <cellStyle name="Normal 7 3 4 2 9" xfId="34150" xr:uid="{00000000-0005-0000-0000-0000C3B90000}"/>
    <cellStyle name="Normal 7 3 4 3" xfId="34151" xr:uid="{00000000-0005-0000-0000-0000C4B90000}"/>
    <cellStyle name="Normal 7 3 4 3 2" xfId="34152" xr:uid="{00000000-0005-0000-0000-0000C5B90000}"/>
    <cellStyle name="Normal 7 3 4 3 2 2" xfId="34153" xr:uid="{00000000-0005-0000-0000-0000C6B90000}"/>
    <cellStyle name="Normal 7 3 4 3 2 2 2" xfId="34154" xr:uid="{00000000-0005-0000-0000-0000C7B90000}"/>
    <cellStyle name="Normal 7 3 4 3 2 2 2 2" xfId="59426" xr:uid="{00000000-0005-0000-0000-0000C8B90000}"/>
    <cellStyle name="Normal 7 3 4 3 2 2 2 3" xfId="59427" xr:uid="{00000000-0005-0000-0000-0000C9B90000}"/>
    <cellStyle name="Normal 7 3 4 3 2 2 3" xfId="34155" xr:uid="{00000000-0005-0000-0000-0000CAB90000}"/>
    <cellStyle name="Normal 7 3 4 3 2 2 3 2" xfId="59428" xr:uid="{00000000-0005-0000-0000-0000CBB90000}"/>
    <cellStyle name="Normal 7 3 4 3 2 2 4" xfId="34156" xr:uid="{00000000-0005-0000-0000-0000CCB90000}"/>
    <cellStyle name="Normal 7 3 4 3 2 2 5" xfId="34157" xr:uid="{00000000-0005-0000-0000-0000CDB90000}"/>
    <cellStyle name="Normal 7 3 4 3 2 2 6" xfId="34158" xr:uid="{00000000-0005-0000-0000-0000CEB90000}"/>
    <cellStyle name="Normal 7 3 4 3 2 3" xfId="34159" xr:uid="{00000000-0005-0000-0000-0000CFB90000}"/>
    <cellStyle name="Normal 7 3 4 3 2 3 2" xfId="59429" xr:uid="{00000000-0005-0000-0000-0000D0B90000}"/>
    <cellStyle name="Normal 7 3 4 3 2 3 3" xfId="59430" xr:uid="{00000000-0005-0000-0000-0000D1B90000}"/>
    <cellStyle name="Normal 7 3 4 3 2 4" xfId="34160" xr:uid="{00000000-0005-0000-0000-0000D2B90000}"/>
    <cellStyle name="Normal 7 3 4 3 2 4 2" xfId="59431" xr:uid="{00000000-0005-0000-0000-0000D3B90000}"/>
    <cellStyle name="Normal 7 3 4 3 2 5" xfId="34161" xr:uid="{00000000-0005-0000-0000-0000D4B90000}"/>
    <cellStyle name="Normal 7 3 4 3 2 6" xfId="34162" xr:uid="{00000000-0005-0000-0000-0000D5B90000}"/>
    <cellStyle name="Normal 7 3 4 3 2 7" xfId="34163" xr:uid="{00000000-0005-0000-0000-0000D6B90000}"/>
    <cellStyle name="Normal 7 3 4 3 3" xfId="34164" xr:uid="{00000000-0005-0000-0000-0000D7B90000}"/>
    <cellStyle name="Normal 7 3 4 3 3 2" xfId="34165" xr:uid="{00000000-0005-0000-0000-0000D8B90000}"/>
    <cellStyle name="Normal 7 3 4 3 3 2 2" xfId="59432" xr:uid="{00000000-0005-0000-0000-0000D9B90000}"/>
    <cellStyle name="Normal 7 3 4 3 3 2 3" xfId="59433" xr:uid="{00000000-0005-0000-0000-0000DAB90000}"/>
    <cellStyle name="Normal 7 3 4 3 3 3" xfId="34166" xr:uid="{00000000-0005-0000-0000-0000DBB90000}"/>
    <cellStyle name="Normal 7 3 4 3 3 3 2" xfId="59434" xr:uid="{00000000-0005-0000-0000-0000DCB90000}"/>
    <cellStyle name="Normal 7 3 4 3 3 4" xfId="34167" xr:uid="{00000000-0005-0000-0000-0000DDB90000}"/>
    <cellStyle name="Normal 7 3 4 3 3 5" xfId="34168" xr:uid="{00000000-0005-0000-0000-0000DEB90000}"/>
    <cellStyle name="Normal 7 3 4 3 3 6" xfId="34169" xr:uid="{00000000-0005-0000-0000-0000DFB90000}"/>
    <cellStyle name="Normal 7 3 4 3 4" xfId="34170" xr:uid="{00000000-0005-0000-0000-0000E0B90000}"/>
    <cellStyle name="Normal 7 3 4 3 4 2" xfId="59435" xr:uid="{00000000-0005-0000-0000-0000E1B90000}"/>
    <cellStyle name="Normal 7 3 4 3 4 3" xfId="59436" xr:uid="{00000000-0005-0000-0000-0000E2B90000}"/>
    <cellStyle name="Normal 7 3 4 3 5" xfId="34171" xr:uid="{00000000-0005-0000-0000-0000E3B90000}"/>
    <cellStyle name="Normal 7 3 4 3 5 2" xfId="59437" xr:uid="{00000000-0005-0000-0000-0000E4B90000}"/>
    <cellStyle name="Normal 7 3 4 3 6" xfId="34172" xr:uid="{00000000-0005-0000-0000-0000E5B90000}"/>
    <cellStyle name="Normal 7 3 4 3 7" xfId="34173" xr:uid="{00000000-0005-0000-0000-0000E6B90000}"/>
    <cellStyle name="Normal 7 3 4 3 8" xfId="34174" xr:uid="{00000000-0005-0000-0000-0000E7B90000}"/>
    <cellStyle name="Normal 7 3 4 4" xfId="34175" xr:uid="{00000000-0005-0000-0000-0000E8B90000}"/>
    <cellStyle name="Normal 7 3 4 4 2" xfId="34176" xr:uid="{00000000-0005-0000-0000-0000E9B90000}"/>
    <cellStyle name="Normal 7 3 4 4 2 2" xfId="34177" xr:uid="{00000000-0005-0000-0000-0000EAB90000}"/>
    <cellStyle name="Normal 7 3 4 4 2 2 2" xfId="59438" xr:uid="{00000000-0005-0000-0000-0000EBB90000}"/>
    <cellStyle name="Normal 7 3 4 4 2 2 3" xfId="59439" xr:uid="{00000000-0005-0000-0000-0000ECB90000}"/>
    <cellStyle name="Normal 7 3 4 4 2 3" xfId="34178" xr:uid="{00000000-0005-0000-0000-0000EDB90000}"/>
    <cellStyle name="Normal 7 3 4 4 2 3 2" xfId="59440" xr:uid="{00000000-0005-0000-0000-0000EEB90000}"/>
    <cellStyle name="Normal 7 3 4 4 2 4" xfId="34179" xr:uid="{00000000-0005-0000-0000-0000EFB90000}"/>
    <cellStyle name="Normal 7 3 4 4 2 5" xfId="34180" xr:uid="{00000000-0005-0000-0000-0000F0B90000}"/>
    <cellStyle name="Normal 7 3 4 4 2 6" xfId="34181" xr:uid="{00000000-0005-0000-0000-0000F1B90000}"/>
    <cellStyle name="Normal 7 3 4 4 3" xfId="34182" xr:uid="{00000000-0005-0000-0000-0000F2B90000}"/>
    <cellStyle name="Normal 7 3 4 4 3 2" xfId="59441" xr:uid="{00000000-0005-0000-0000-0000F3B90000}"/>
    <cellStyle name="Normal 7 3 4 4 3 3" xfId="59442" xr:uid="{00000000-0005-0000-0000-0000F4B90000}"/>
    <cellStyle name="Normal 7 3 4 4 4" xfId="34183" xr:uid="{00000000-0005-0000-0000-0000F5B90000}"/>
    <cellStyle name="Normal 7 3 4 4 4 2" xfId="59443" xr:uid="{00000000-0005-0000-0000-0000F6B90000}"/>
    <cellStyle name="Normal 7 3 4 4 5" xfId="34184" xr:uid="{00000000-0005-0000-0000-0000F7B90000}"/>
    <cellStyle name="Normal 7 3 4 4 6" xfId="34185" xr:uid="{00000000-0005-0000-0000-0000F8B90000}"/>
    <cellStyle name="Normal 7 3 4 4 7" xfId="34186" xr:uid="{00000000-0005-0000-0000-0000F9B90000}"/>
    <cellStyle name="Normal 7 3 4 5" xfId="34187" xr:uid="{00000000-0005-0000-0000-0000FAB90000}"/>
    <cellStyle name="Normal 7 3 4 5 2" xfId="34188" xr:uid="{00000000-0005-0000-0000-0000FBB90000}"/>
    <cellStyle name="Normal 7 3 4 5 2 2" xfId="59444" xr:uid="{00000000-0005-0000-0000-0000FCB90000}"/>
    <cellStyle name="Normal 7 3 4 5 2 3" xfId="59445" xr:uid="{00000000-0005-0000-0000-0000FDB90000}"/>
    <cellStyle name="Normal 7 3 4 5 3" xfId="34189" xr:uid="{00000000-0005-0000-0000-0000FEB90000}"/>
    <cellStyle name="Normal 7 3 4 5 3 2" xfId="59446" xr:uid="{00000000-0005-0000-0000-0000FFB90000}"/>
    <cellStyle name="Normal 7 3 4 5 4" xfId="34190" xr:uid="{00000000-0005-0000-0000-000000BA0000}"/>
    <cellStyle name="Normal 7 3 4 5 5" xfId="34191" xr:uid="{00000000-0005-0000-0000-000001BA0000}"/>
    <cellStyle name="Normal 7 3 4 5 6" xfId="34192" xr:uid="{00000000-0005-0000-0000-000002BA0000}"/>
    <cellStyle name="Normal 7 3 4 6" xfId="34193" xr:uid="{00000000-0005-0000-0000-000003BA0000}"/>
    <cellStyle name="Normal 7 3 4 6 2" xfId="59447" xr:uid="{00000000-0005-0000-0000-000004BA0000}"/>
    <cellStyle name="Normal 7 3 4 6 3" xfId="59448" xr:uid="{00000000-0005-0000-0000-000005BA0000}"/>
    <cellStyle name="Normal 7 3 4 7" xfId="34194" xr:uid="{00000000-0005-0000-0000-000006BA0000}"/>
    <cellStyle name="Normal 7 3 4 7 2" xfId="59449" xr:uid="{00000000-0005-0000-0000-000007BA0000}"/>
    <cellStyle name="Normal 7 3 4 8" xfId="34195" xr:uid="{00000000-0005-0000-0000-000008BA0000}"/>
    <cellStyle name="Normal 7 3 4 9" xfId="34196" xr:uid="{00000000-0005-0000-0000-000009BA0000}"/>
    <cellStyle name="Normal 7 3 5" xfId="34197" xr:uid="{00000000-0005-0000-0000-00000ABA0000}"/>
    <cellStyle name="Normal 7 3 5 10" xfId="34198" xr:uid="{00000000-0005-0000-0000-00000BBA0000}"/>
    <cellStyle name="Normal 7 3 5 11" xfId="34199" xr:uid="{00000000-0005-0000-0000-00000CBA0000}"/>
    <cellStyle name="Normal 7 3 5 12" xfId="34200" xr:uid="{00000000-0005-0000-0000-00000DBA0000}"/>
    <cellStyle name="Normal 7 3 5 13" xfId="34201" xr:uid="{00000000-0005-0000-0000-00000EBA0000}"/>
    <cellStyle name="Normal 7 3 5 14" xfId="34202" xr:uid="{00000000-0005-0000-0000-00000FBA0000}"/>
    <cellStyle name="Normal 7 3 5 2" xfId="34203" xr:uid="{00000000-0005-0000-0000-000010BA0000}"/>
    <cellStyle name="Normal 7 3 5 2 2" xfId="34204" xr:uid="{00000000-0005-0000-0000-000011BA0000}"/>
    <cellStyle name="Normal 7 3 5 2 2 2" xfId="34205" xr:uid="{00000000-0005-0000-0000-000012BA0000}"/>
    <cellStyle name="Normal 7 3 5 2 2 2 2" xfId="34206" xr:uid="{00000000-0005-0000-0000-000013BA0000}"/>
    <cellStyle name="Normal 7 3 5 2 2 2 2 2" xfId="59450" xr:uid="{00000000-0005-0000-0000-000014BA0000}"/>
    <cellStyle name="Normal 7 3 5 2 2 2 2 3" xfId="59451" xr:uid="{00000000-0005-0000-0000-000015BA0000}"/>
    <cellStyle name="Normal 7 3 5 2 2 2 3" xfId="34207" xr:uid="{00000000-0005-0000-0000-000016BA0000}"/>
    <cellStyle name="Normal 7 3 5 2 2 2 3 2" xfId="59452" xr:uid="{00000000-0005-0000-0000-000017BA0000}"/>
    <cellStyle name="Normal 7 3 5 2 2 2 4" xfId="34208" xr:uid="{00000000-0005-0000-0000-000018BA0000}"/>
    <cellStyle name="Normal 7 3 5 2 2 2 5" xfId="34209" xr:uid="{00000000-0005-0000-0000-000019BA0000}"/>
    <cellStyle name="Normal 7 3 5 2 2 2 6" xfId="34210" xr:uid="{00000000-0005-0000-0000-00001ABA0000}"/>
    <cellStyle name="Normal 7 3 5 2 2 3" xfId="34211" xr:uid="{00000000-0005-0000-0000-00001BBA0000}"/>
    <cellStyle name="Normal 7 3 5 2 2 3 2" xfId="59453" xr:uid="{00000000-0005-0000-0000-00001CBA0000}"/>
    <cellStyle name="Normal 7 3 5 2 2 3 3" xfId="59454" xr:uid="{00000000-0005-0000-0000-00001DBA0000}"/>
    <cellStyle name="Normal 7 3 5 2 2 4" xfId="34212" xr:uid="{00000000-0005-0000-0000-00001EBA0000}"/>
    <cellStyle name="Normal 7 3 5 2 2 4 2" xfId="59455" xr:uid="{00000000-0005-0000-0000-00001FBA0000}"/>
    <cellStyle name="Normal 7 3 5 2 2 5" xfId="34213" xr:uid="{00000000-0005-0000-0000-000020BA0000}"/>
    <cellStyle name="Normal 7 3 5 2 2 6" xfId="34214" xr:uid="{00000000-0005-0000-0000-000021BA0000}"/>
    <cellStyle name="Normal 7 3 5 2 2 7" xfId="34215" xr:uid="{00000000-0005-0000-0000-000022BA0000}"/>
    <cellStyle name="Normal 7 3 5 2 3" xfId="34216" xr:uid="{00000000-0005-0000-0000-000023BA0000}"/>
    <cellStyle name="Normal 7 3 5 2 3 2" xfId="34217" xr:uid="{00000000-0005-0000-0000-000024BA0000}"/>
    <cellStyle name="Normal 7 3 5 2 3 2 2" xfId="59456" xr:uid="{00000000-0005-0000-0000-000025BA0000}"/>
    <cellStyle name="Normal 7 3 5 2 3 2 3" xfId="59457" xr:uid="{00000000-0005-0000-0000-000026BA0000}"/>
    <cellStyle name="Normal 7 3 5 2 3 3" xfId="34218" xr:uid="{00000000-0005-0000-0000-000027BA0000}"/>
    <cellStyle name="Normal 7 3 5 2 3 3 2" xfId="59458" xr:uid="{00000000-0005-0000-0000-000028BA0000}"/>
    <cellStyle name="Normal 7 3 5 2 3 4" xfId="34219" xr:uid="{00000000-0005-0000-0000-000029BA0000}"/>
    <cellStyle name="Normal 7 3 5 2 3 5" xfId="34220" xr:uid="{00000000-0005-0000-0000-00002ABA0000}"/>
    <cellStyle name="Normal 7 3 5 2 3 6" xfId="34221" xr:uid="{00000000-0005-0000-0000-00002BBA0000}"/>
    <cellStyle name="Normal 7 3 5 2 4" xfId="34222" xr:uid="{00000000-0005-0000-0000-00002CBA0000}"/>
    <cellStyle name="Normal 7 3 5 2 4 2" xfId="59459" xr:uid="{00000000-0005-0000-0000-00002DBA0000}"/>
    <cellStyle name="Normal 7 3 5 2 4 3" xfId="59460" xr:uid="{00000000-0005-0000-0000-00002EBA0000}"/>
    <cellStyle name="Normal 7 3 5 2 5" xfId="34223" xr:uid="{00000000-0005-0000-0000-00002FBA0000}"/>
    <cellStyle name="Normal 7 3 5 2 5 2" xfId="59461" xr:uid="{00000000-0005-0000-0000-000030BA0000}"/>
    <cellStyle name="Normal 7 3 5 2 6" xfId="34224" xr:uid="{00000000-0005-0000-0000-000031BA0000}"/>
    <cellStyle name="Normal 7 3 5 2 7" xfId="34225" xr:uid="{00000000-0005-0000-0000-000032BA0000}"/>
    <cellStyle name="Normal 7 3 5 2 8" xfId="34226" xr:uid="{00000000-0005-0000-0000-000033BA0000}"/>
    <cellStyle name="Normal 7 3 5 2 9" xfId="34227" xr:uid="{00000000-0005-0000-0000-000034BA0000}"/>
    <cellStyle name="Normal 7 3 5 3" xfId="34228" xr:uid="{00000000-0005-0000-0000-000035BA0000}"/>
    <cellStyle name="Normal 7 3 5 3 2" xfId="34229" xr:uid="{00000000-0005-0000-0000-000036BA0000}"/>
    <cellStyle name="Normal 7 3 5 3 2 2" xfId="34230" xr:uid="{00000000-0005-0000-0000-000037BA0000}"/>
    <cellStyle name="Normal 7 3 5 3 2 2 2" xfId="34231" xr:uid="{00000000-0005-0000-0000-000038BA0000}"/>
    <cellStyle name="Normal 7 3 5 3 2 2 2 2" xfId="59462" xr:uid="{00000000-0005-0000-0000-000039BA0000}"/>
    <cellStyle name="Normal 7 3 5 3 2 2 2 3" xfId="59463" xr:uid="{00000000-0005-0000-0000-00003ABA0000}"/>
    <cellStyle name="Normal 7 3 5 3 2 2 3" xfId="34232" xr:uid="{00000000-0005-0000-0000-00003BBA0000}"/>
    <cellStyle name="Normal 7 3 5 3 2 2 3 2" xfId="59464" xr:uid="{00000000-0005-0000-0000-00003CBA0000}"/>
    <cellStyle name="Normal 7 3 5 3 2 2 4" xfId="34233" xr:uid="{00000000-0005-0000-0000-00003DBA0000}"/>
    <cellStyle name="Normal 7 3 5 3 2 2 5" xfId="34234" xr:uid="{00000000-0005-0000-0000-00003EBA0000}"/>
    <cellStyle name="Normal 7 3 5 3 2 2 6" xfId="34235" xr:uid="{00000000-0005-0000-0000-00003FBA0000}"/>
    <cellStyle name="Normal 7 3 5 3 2 3" xfId="34236" xr:uid="{00000000-0005-0000-0000-000040BA0000}"/>
    <cellStyle name="Normal 7 3 5 3 2 3 2" xfId="59465" xr:uid="{00000000-0005-0000-0000-000041BA0000}"/>
    <cellStyle name="Normal 7 3 5 3 2 3 3" xfId="59466" xr:uid="{00000000-0005-0000-0000-000042BA0000}"/>
    <cellStyle name="Normal 7 3 5 3 2 4" xfId="34237" xr:uid="{00000000-0005-0000-0000-000043BA0000}"/>
    <cellStyle name="Normal 7 3 5 3 2 4 2" xfId="59467" xr:uid="{00000000-0005-0000-0000-000044BA0000}"/>
    <cellStyle name="Normal 7 3 5 3 2 5" xfId="34238" xr:uid="{00000000-0005-0000-0000-000045BA0000}"/>
    <cellStyle name="Normal 7 3 5 3 2 6" xfId="34239" xr:uid="{00000000-0005-0000-0000-000046BA0000}"/>
    <cellStyle name="Normal 7 3 5 3 2 7" xfId="34240" xr:uid="{00000000-0005-0000-0000-000047BA0000}"/>
    <cellStyle name="Normal 7 3 5 3 3" xfId="34241" xr:uid="{00000000-0005-0000-0000-000048BA0000}"/>
    <cellStyle name="Normal 7 3 5 3 3 2" xfId="34242" xr:uid="{00000000-0005-0000-0000-000049BA0000}"/>
    <cellStyle name="Normal 7 3 5 3 3 2 2" xfId="59468" xr:uid="{00000000-0005-0000-0000-00004ABA0000}"/>
    <cellStyle name="Normal 7 3 5 3 3 2 3" xfId="59469" xr:uid="{00000000-0005-0000-0000-00004BBA0000}"/>
    <cellStyle name="Normal 7 3 5 3 3 3" xfId="34243" xr:uid="{00000000-0005-0000-0000-00004CBA0000}"/>
    <cellStyle name="Normal 7 3 5 3 3 3 2" xfId="59470" xr:uid="{00000000-0005-0000-0000-00004DBA0000}"/>
    <cellStyle name="Normal 7 3 5 3 3 4" xfId="34244" xr:uid="{00000000-0005-0000-0000-00004EBA0000}"/>
    <cellStyle name="Normal 7 3 5 3 3 5" xfId="34245" xr:uid="{00000000-0005-0000-0000-00004FBA0000}"/>
    <cellStyle name="Normal 7 3 5 3 3 6" xfId="34246" xr:uid="{00000000-0005-0000-0000-000050BA0000}"/>
    <cellStyle name="Normal 7 3 5 3 4" xfId="34247" xr:uid="{00000000-0005-0000-0000-000051BA0000}"/>
    <cellStyle name="Normal 7 3 5 3 4 2" xfId="59471" xr:uid="{00000000-0005-0000-0000-000052BA0000}"/>
    <cellStyle name="Normal 7 3 5 3 4 3" xfId="59472" xr:uid="{00000000-0005-0000-0000-000053BA0000}"/>
    <cellStyle name="Normal 7 3 5 3 5" xfId="34248" xr:uid="{00000000-0005-0000-0000-000054BA0000}"/>
    <cellStyle name="Normal 7 3 5 3 5 2" xfId="59473" xr:uid="{00000000-0005-0000-0000-000055BA0000}"/>
    <cellStyle name="Normal 7 3 5 3 6" xfId="34249" xr:uid="{00000000-0005-0000-0000-000056BA0000}"/>
    <cellStyle name="Normal 7 3 5 3 7" xfId="34250" xr:uid="{00000000-0005-0000-0000-000057BA0000}"/>
    <cellStyle name="Normal 7 3 5 3 8" xfId="34251" xr:uid="{00000000-0005-0000-0000-000058BA0000}"/>
    <cellStyle name="Normal 7 3 5 4" xfId="34252" xr:uid="{00000000-0005-0000-0000-000059BA0000}"/>
    <cellStyle name="Normal 7 3 5 4 2" xfId="34253" xr:uid="{00000000-0005-0000-0000-00005ABA0000}"/>
    <cellStyle name="Normal 7 3 5 4 2 2" xfId="34254" xr:uid="{00000000-0005-0000-0000-00005BBA0000}"/>
    <cellStyle name="Normal 7 3 5 4 2 2 2" xfId="59474" xr:uid="{00000000-0005-0000-0000-00005CBA0000}"/>
    <cellStyle name="Normal 7 3 5 4 2 2 3" xfId="59475" xr:uid="{00000000-0005-0000-0000-00005DBA0000}"/>
    <cellStyle name="Normal 7 3 5 4 2 3" xfId="34255" xr:uid="{00000000-0005-0000-0000-00005EBA0000}"/>
    <cellStyle name="Normal 7 3 5 4 2 3 2" xfId="59476" xr:uid="{00000000-0005-0000-0000-00005FBA0000}"/>
    <cellStyle name="Normal 7 3 5 4 2 4" xfId="34256" xr:uid="{00000000-0005-0000-0000-000060BA0000}"/>
    <cellStyle name="Normal 7 3 5 4 2 5" xfId="34257" xr:uid="{00000000-0005-0000-0000-000061BA0000}"/>
    <cellStyle name="Normal 7 3 5 4 2 6" xfId="34258" xr:uid="{00000000-0005-0000-0000-000062BA0000}"/>
    <cellStyle name="Normal 7 3 5 4 3" xfId="34259" xr:uid="{00000000-0005-0000-0000-000063BA0000}"/>
    <cellStyle name="Normal 7 3 5 4 3 2" xfId="59477" xr:uid="{00000000-0005-0000-0000-000064BA0000}"/>
    <cellStyle name="Normal 7 3 5 4 3 3" xfId="59478" xr:uid="{00000000-0005-0000-0000-000065BA0000}"/>
    <cellStyle name="Normal 7 3 5 4 4" xfId="34260" xr:uid="{00000000-0005-0000-0000-000066BA0000}"/>
    <cellStyle name="Normal 7 3 5 4 4 2" xfId="59479" xr:uid="{00000000-0005-0000-0000-000067BA0000}"/>
    <cellStyle name="Normal 7 3 5 4 5" xfId="34261" xr:uid="{00000000-0005-0000-0000-000068BA0000}"/>
    <cellStyle name="Normal 7 3 5 4 6" xfId="34262" xr:uid="{00000000-0005-0000-0000-000069BA0000}"/>
    <cellStyle name="Normal 7 3 5 4 7" xfId="34263" xr:uid="{00000000-0005-0000-0000-00006ABA0000}"/>
    <cellStyle name="Normal 7 3 5 5" xfId="34264" xr:uid="{00000000-0005-0000-0000-00006BBA0000}"/>
    <cellStyle name="Normal 7 3 5 5 2" xfId="34265" xr:uid="{00000000-0005-0000-0000-00006CBA0000}"/>
    <cellStyle name="Normal 7 3 5 5 2 2" xfId="59480" xr:uid="{00000000-0005-0000-0000-00006DBA0000}"/>
    <cellStyle name="Normal 7 3 5 5 2 3" xfId="59481" xr:uid="{00000000-0005-0000-0000-00006EBA0000}"/>
    <cellStyle name="Normal 7 3 5 5 3" xfId="34266" xr:uid="{00000000-0005-0000-0000-00006FBA0000}"/>
    <cellStyle name="Normal 7 3 5 5 3 2" xfId="59482" xr:uid="{00000000-0005-0000-0000-000070BA0000}"/>
    <cellStyle name="Normal 7 3 5 5 4" xfId="34267" xr:uid="{00000000-0005-0000-0000-000071BA0000}"/>
    <cellStyle name="Normal 7 3 5 5 5" xfId="34268" xr:uid="{00000000-0005-0000-0000-000072BA0000}"/>
    <cellStyle name="Normal 7 3 5 5 6" xfId="34269" xr:uid="{00000000-0005-0000-0000-000073BA0000}"/>
    <cellStyle name="Normal 7 3 5 6" xfId="34270" xr:uid="{00000000-0005-0000-0000-000074BA0000}"/>
    <cellStyle name="Normal 7 3 5 6 2" xfId="59483" xr:uid="{00000000-0005-0000-0000-000075BA0000}"/>
    <cellStyle name="Normal 7 3 5 6 3" xfId="59484" xr:uid="{00000000-0005-0000-0000-000076BA0000}"/>
    <cellStyle name="Normal 7 3 5 7" xfId="34271" xr:uid="{00000000-0005-0000-0000-000077BA0000}"/>
    <cellStyle name="Normal 7 3 5 7 2" xfId="59485" xr:uid="{00000000-0005-0000-0000-000078BA0000}"/>
    <cellStyle name="Normal 7 3 5 8" xfId="34272" xr:uid="{00000000-0005-0000-0000-000079BA0000}"/>
    <cellStyle name="Normal 7 3 5 9" xfId="34273" xr:uid="{00000000-0005-0000-0000-00007ABA0000}"/>
    <cellStyle name="Normal 7 3 6" xfId="34274" xr:uid="{00000000-0005-0000-0000-00007BBA0000}"/>
    <cellStyle name="Normal 7 3 6 10" xfId="34275" xr:uid="{00000000-0005-0000-0000-00007CBA0000}"/>
    <cellStyle name="Normal 7 3 6 11" xfId="34276" xr:uid="{00000000-0005-0000-0000-00007DBA0000}"/>
    <cellStyle name="Normal 7 3 6 12" xfId="34277" xr:uid="{00000000-0005-0000-0000-00007EBA0000}"/>
    <cellStyle name="Normal 7 3 6 13" xfId="34278" xr:uid="{00000000-0005-0000-0000-00007FBA0000}"/>
    <cellStyle name="Normal 7 3 6 2" xfId="34279" xr:uid="{00000000-0005-0000-0000-000080BA0000}"/>
    <cellStyle name="Normal 7 3 6 2 2" xfId="34280" xr:uid="{00000000-0005-0000-0000-000081BA0000}"/>
    <cellStyle name="Normal 7 3 6 2 2 2" xfId="34281" xr:uid="{00000000-0005-0000-0000-000082BA0000}"/>
    <cellStyle name="Normal 7 3 6 2 2 2 2" xfId="34282" xr:uid="{00000000-0005-0000-0000-000083BA0000}"/>
    <cellStyle name="Normal 7 3 6 2 2 2 2 2" xfId="59486" xr:uid="{00000000-0005-0000-0000-000084BA0000}"/>
    <cellStyle name="Normal 7 3 6 2 2 2 2 3" xfId="59487" xr:uid="{00000000-0005-0000-0000-000085BA0000}"/>
    <cellStyle name="Normal 7 3 6 2 2 2 3" xfId="34283" xr:uid="{00000000-0005-0000-0000-000086BA0000}"/>
    <cellStyle name="Normal 7 3 6 2 2 2 3 2" xfId="59488" xr:uid="{00000000-0005-0000-0000-000087BA0000}"/>
    <cellStyle name="Normal 7 3 6 2 2 2 4" xfId="34284" xr:uid="{00000000-0005-0000-0000-000088BA0000}"/>
    <cellStyle name="Normal 7 3 6 2 2 2 5" xfId="34285" xr:uid="{00000000-0005-0000-0000-000089BA0000}"/>
    <cellStyle name="Normal 7 3 6 2 2 2 6" xfId="34286" xr:uid="{00000000-0005-0000-0000-00008ABA0000}"/>
    <cellStyle name="Normal 7 3 6 2 2 3" xfId="34287" xr:uid="{00000000-0005-0000-0000-00008BBA0000}"/>
    <cellStyle name="Normal 7 3 6 2 2 3 2" xfId="59489" xr:uid="{00000000-0005-0000-0000-00008CBA0000}"/>
    <cellStyle name="Normal 7 3 6 2 2 3 3" xfId="59490" xr:uid="{00000000-0005-0000-0000-00008DBA0000}"/>
    <cellStyle name="Normal 7 3 6 2 2 4" xfId="34288" xr:uid="{00000000-0005-0000-0000-00008EBA0000}"/>
    <cellStyle name="Normal 7 3 6 2 2 4 2" xfId="59491" xr:uid="{00000000-0005-0000-0000-00008FBA0000}"/>
    <cellStyle name="Normal 7 3 6 2 2 5" xfId="34289" xr:uid="{00000000-0005-0000-0000-000090BA0000}"/>
    <cellStyle name="Normal 7 3 6 2 2 6" xfId="34290" xr:uid="{00000000-0005-0000-0000-000091BA0000}"/>
    <cellStyle name="Normal 7 3 6 2 2 7" xfId="34291" xr:uid="{00000000-0005-0000-0000-000092BA0000}"/>
    <cellStyle name="Normal 7 3 6 2 3" xfId="34292" xr:uid="{00000000-0005-0000-0000-000093BA0000}"/>
    <cellStyle name="Normal 7 3 6 2 3 2" xfId="34293" xr:uid="{00000000-0005-0000-0000-000094BA0000}"/>
    <cellStyle name="Normal 7 3 6 2 3 2 2" xfId="59492" xr:uid="{00000000-0005-0000-0000-000095BA0000}"/>
    <cellStyle name="Normal 7 3 6 2 3 2 3" xfId="59493" xr:uid="{00000000-0005-0000-0000-000096BA0000}"/>
    <cellStyle name="Normal 7 3 6 2 3 3" xfId="34294" xr:uid="{00000000-0005-0000-0000-000097BA0000}"/>
    <cellStyle name="Normal 7 3 6 2 3 3 2" xfId="59494" xr:uid="{00000000-0005-0000-0000-000098BA0000}"/>
    <cellStyle name="Normal 7 3 6 2 3 4" xfId="34295" xr:uid="{00000000-0005-0000-0000-000099BA0000}"/>
    <cellStyle name="Normal 7 3 6 2 3 5" xfId="34296" xr:uid="{00000000-0005-0000-0000-00009ABA0000}"/>
    <cellStyle name="Normal 7 3 6 2 3 6" xfId="34297" xr:uid="{00000000-0005-0000-0000-00009BBA0000}"/>
    <cellStyle name="Normal 7 3 6 2 4" xfId="34298" xr:uid="{00000000-0005-0000-0000-00009CBA0000}"/>
    <cellStyle name="Normal 7 3 6 2 4 2" xfId="59495" xr:uid="{00000000-0005-0000-0000-00009DBA0000}"/>
    <cellStyle name="Normal 7 3 6 2 4 3" xfId="59496" xr:uid="{00000000-0005-0000-0000-00009EBA0000}"/>
    <cellStyle name="Normal 7 3 6 2 5" xfId="34299" xr:uid="{00000000-0005-0000-0000-00009FBA0000}"/>
    <cellStyle name="Normal 7 3 6 2 5 2" xfId="59497" xr:uid="{00000000-0005-0000-0000-0000A0BA0000}"/>
    <cellStyle name="Normal 7 3 6 2 6" xfId="34300" xr:uid="{00000000-0005-0000-0000-0000A1BA0000}"/>
    <cellStyle name="Normal 7 3 6 2 7" xfId="34301" xr:uid="{00000000-0005-0000-0000-0000A2BA0000}"/>
    <cellStyle name="Normal 7 3 6 2 8" xfId="34302" xr:uid="{00000000-0005-0000-0000-0000A3BA0000}"/>
    <cellStyle name="Normal 7 3 6 2 9" xfId="34303" xr:uid="{00000000-0005-0000-0000-0000A4BA0000}"/>
    <cellStyle name="Normal 7 3 6 3" xfId="34304" xr:uid="{00000000-0005-0000-0000-0000A5BA0000}"/>
    <cellStyle name="Normal 7 3 6 3 2" xfId="34305" xr:uid="{00000000-0005-0000-0000-0000A6BA0000}"/>
    <cellStyle name="Normal 7 3 6 3 2 2" xfId="34306" xr:uid="{00000000-0005-0000-0000-0000A7BA0000}"/>
    <cellStyle name="Normal 7 3 6 3 2 2 2" xfId="59498" xr:uid="{00000000-0005-0000-0000-0000A8BA0000}"/>
    <cellStyle name="Normal 7 3 6 3 2 2 3" xfId="59499" xr:uid="{00000000-0005-0000-0000-0000A9BA0000}"/>
    <cellStyle name="Normal 7 3 6 3 2 3" xfId="34307" xr:uid="{00000000-0005-0000-0000-0000AABA0000}"/>
    <cellStyle name="Normal 7 3 6 3 2 3 2" xfId="59500" xr:uid="{00000000-0005-0000-0000-0000ABBA0000}"/>
    <cellStyle name="Normal 7 3 6 3 2 4" xfId="34308" xr:uid="{00000000-0005-0000-0000-0000ACBA0000}"/>
    <cellStyle name="Normal 7 3 6 3 2 5" xfId="34309" xr:uid="{00000000-0005-0000-0000-0000ADBA0000}"/>
    <cellStyle name="Normal 7 3 6 3 2 6" xfId="34310" xr:uid="{00000000-0005-0000-0000-0000AEBA0000}"/>
    <cellStyle name="Normal 7 3 6 3 3" xfId="34311" xr:uid="{00000000-0005-0000-0000-0000AFBA0000}"/>
    <cellStyle name="Normal 7 3 6 3 3 2" xfId="59501" xr:uid="{00000000-0005-0000-0000-0000B0BA0000}"/>
    <cellStyle name="Normal 7 3 6 3 3 3" xfId="59502" xr:uid="{00000000-0005-0000-0000-0000B1BA0000}"/>
    <cellStyle name="Normal 7 3 6 3 4" xfId="34312" xr:uid="{00000000-0005-0000-0000-0000B2BA0000}"/>
    <cellStyle name="Normal 7 3 6 3 4 2" xfId="59503" xr:uid="{00000000-0005-0000-0000-0000B3BA0000}"/>
    <cellStyle name="Normal 7 3 6 3 5" xfId="34313" xr:uid="{00000000-0005-0000-0000-0000B4BA0000}"/>
    <cellStyle name="Normal 7 3 6 3 6" xfId="34314" xr:uid="{00000000-0005-0000-0000-0000B5BA0000}"/>
    <cellStyle name="Normal 7 3 6 3 7" xfId="34315" xr:uid="{00000000-0005-0000-0000-0000B6BA0000}"/>
    <cellStyle name="Normal 7 3 6 4" xfId="34316" xr:uid="{00000000-0005-0000-0000-0000B7BA0000}"/>
    <cellStyle name="Normal 7 3 6 4 2" xfId="34317" xr:uid="{00000000-0005-0000-0000-0000B8BA0000}"/>
    <cellStyle name="Normal 7 3 6 4 2 2" xfId="59504" xr:uid="{00000000-0005-0000-0000-0000B9BA0000}"/>
    <cellStyle name="Normal 7 3 6 4 2 3" xfId="59505" xr:uid="{00000000-0005-0000-0000-0000BABA0000}"/>
    <cellStyle name="Normal 7 3 6 4 3" xfId="34318" xr:uid="{00000000-0005-0000-0000-0000BBBA0000}"/>
    <cellStyle name="Normal 7 3 6 4 3 2" xfId="59506" xr:uid="{00000000-0005-0000-0000-0000BCBA0000}"/>
    <cellStyle name="Normal 7 3 6 4 4" xfId="34319" xr:uid="{00000000-0005-0000-0000-0000BDBA0000}"/>
    <cellStyle name="Normal 7 3 6 4 5" xfId="34320" xr:uid="{00000000-0005-0000-0000-0000BEBA0000}"/>
    <cellStyle name="Normal 7 3 6 4 6" xfId="34321" xr:uid="{00000000-0005-0000-0000-0000BFBA0000}"/>
    <cellStyle name="Normal 7 3 6 5" xfId="34322" xr:uid="{00000000-0005-0000-0000-0000C0BA0000}"/>
    <cellStyle name="Normal 7 3 6 5 2" xfId="59507" xr:uid="{00000000-0005-0000-0000-0000C1BA0000}"/>
    <cellStyle name="Normal 7 3 6 5 3" xfId="59508" xr:uid="{00000000-0005-0000-0000-0000C2BA0000}"/>
    <cellStyle name="Normal 7 3 6 6" xfId="34323" xr:uid="{00000000-0005-0000-0000-0000C3BA0000}"/>
    <cellStyle name="Normal 7 3 6 6 2" xfId="59509" xr:uid="{00000000-0005-0000-0000-0000C4BA0000}"/>
    <cellStyle name="Normal 7 3 6 7" xfId="34324" xr:uid="{00000000-0005-0000-0000-0000C5BA0000}"/>
    <cellStyle name="Normal 7 3 6 8" xfId="34325" xr:uid="{00000000-0005-0000-0000-0000C6BA0000}"/>
    <cellStyle name="Normal 7 3 6 9" xfId="34326" xr:uid="{00000000-0005-0000-0000-0000C7BA0000}"/>
    <cellStyle name="Normal 7 3 7" xfId="34327" xr:uid="{00000000-0005-0000-0000-0000C8BA0000}"/>
    <cellStyle name="Normal 7 3 7 2" xfId="34328" xr:uid="{00000000-0005-0000-0000-0000C9BA0000}"/>
    <cellStyle name="Normal 7 3 7 2 2" xfId="34329" xr:uid="{00000000-0005-0000-0000-0000CABA0000}"/>
    <cellStyle name="Normal 7 3 7 2 2 2" xfId="34330" xr:uid="{00000000-0005-0000-0000-0000CBBA0000}"/>
    <cellStyle name="Normal 7 3 7 2 2 2 2" xfId="59510" xr:uid="{00000000-0005-0000-0000-0000CCBA0000}"/>
    <cellStyle name="Normal 7 3 7 2 2 2 3" xfId="59511" xr:uid="{00000000-0005-0000-0000-0000CDBA0000}"/>
    <cellStyle name="Normal 7 3 7 2 2 3" xfId="34331" xr:uid="{00000000-0005-0000-0000-0000CEBA0000}"/>
    <cellStyle name="Normal 7 3 7 2 2 3 2" xfId="59512" xr:uid="{00000000-0005-0000-0000-0000CFBA0000}"/>
    <cellStyle name="Normal 7 3 7 2 2 4" xfId="34332" xr:uid="{00000000-0005-0000-0000-0000D0BA0000}"/>
    <cellStyle name="Normal 7 3 7 2 2 5" xfId="34333" xr:uid="{00000000-0005-0000-0000-0000D1BA0000}"/>
    <cellStyle name="Normal 7 3 7 2 2 6" xfId="34334" xr:uid="{00000000-0005-0000-0000-0000D2BA0000}"/>
    <cellStyle name="Normal 7 3 7 2 3" xfId="34335" xr:uid="{00000000-0005-0000-0000-0000D3BA0000}"/>
    <cellStyle name="Normal 7 3 7 2 3 2" xfId="59513" xr:uid="{00000000-0005-0000-0000-0000D4BA0000}"/>
    <cellStyle name="Normal 7 3 7 2 3 3" xfId="59514" xr:uid="{00000000-0005-0000-0000-0000D5BA0000}"/>
    <cellStyle name="Normal 7 3 7 2 4" xfId="34336" xr:uid="{00000000-0005-0000-0000-0000D6BA0000}"/>
    <cellStyle name="Normal 7 3 7 2 4 2" xfId="59515" xr:uid="{00000000-0005-0000-0000-0000D7BA0000}"/>
    <cellStyle name="Normal 7 3 7 2 5" xfId="34337" xr:uid="{00000000-0005-0000-0000-0000D8BA0000}"/>
    <cellStyle name="Normal 7 3 7 2 6" xfId="34338" xr:uid="{00000000-0005-0000-0000-0000D9BA0000}"/>
    <cellStyle name="Normal 7 3 7 2 7" xfId="34339" xr:uid="{00000000-0005-0000-0000-0000DABA0000}"/>
    <cellStyle name="Normal 7 3 7 3" xfId="34340" xr:uid="{00000000-0005-0000-0000-0000DBBA0000}"/>
    <cellStyle name="Normal 7 3 7 3 2" xfId="34341" xr:uid="{00000000-0005-0000-0000-0000DCBA0000}"/>
    <cellStyle name="Normal 7 3 7 3 2 2" xfId="59516" xr:uid="{00000000-0005-0000-0000-0000DDBA0000}"/>
    <cellStyle name="Normal 7 3 7 3 2 3" xfId="59517" xr:uid="{00000000-0005-0000-0000-0000DEBA0000}"/>
    <cellStyle name="Normal 7 3 7 3 3" xfId="34342" xr:uid="{00000000-0005-0000-0000-0000DFBA0000}"/>
    <cellStyle name="Normal 7 3 7 3 3 2" xfId="59518" xr:uid="{00000000-0005-0000-0000-0000E0BA0000}"/>
    <cellStyle name="Normal 7 3 7 3 4" xfId="34343" xr:uid="{00000000-0005-0000-0000-0000E1BA0000}"/>
    <cellStyle name="Normal 7 3 7 3 5" xfId="34344" xr:uid="{00000000-0005-0000-0000-0000E2BA0000}"/>
    <cellStyle name="Normal 7 3 7 3 6" xfId="34345" xr:uid="{00000000-0005-0000-0000-0000E3BA0000}"/>
    <cellStyle name="Normal 7 3 7 4" xfId="34346" xr:uid="{00000000-0005-0000-0000-0000E4BA0000}"/>
    <cellStyle name="Normal 7 3 7 4 2" xfId="59519" xr:uid="{00000000-0005-0000-0000-0000E5BA0000}"/>
    <cellStyle name="Normal 7 3 7 4 3" xfId="59520" xr:uid="{00000000-0005-0000-0000-0000E6BA0000}"/>
    <cellStyle name="Normal 7 3 7 5" xfId="34347" xr:uid="{00000000-0005-0000-0000-0000E7BA0000}"/>
    <cellStyle name="Normal 7 3 7 5 2" xfId="59521" xr:uid="{00000000-0005-0000-0000-0000E8BA0000}"/>
    <cellStyle name="Normal 7 3 7 6" xfId="34348" xr:uid="{00000000-0005-0000-0000-0000E9BA0000}"/>
    <cellStyle name="Normal 7 3 7 7" xfId="34349" xr:uid="{00000000-0005-0000-0000-0000EABA0000}"/>
    <cellStyle name="Normal 7 3 7 8" xfId="34350" xr:uid="{00000000-0005-0000-0000-0000EBBA0000}"/>
    <cellStyle name="Normal 7 3 7 9" xfId="34351" xr:uid="{00000000-0005-0000-0000-0000ECBA0000}"/>
    <cellStyle name="Normal 7 3 8" xfId="34352" xr:uid="{00000000-0005-0000-0000-0000EDBA0000}"/>
    <cellStyle name="Normal 7 3 8 2" xfId="34353" xr:uid="{00000000-0005-0000-0000-0000EEBA0000}"/>
    <cellStyle name="Normal 7 3 8 2 2" xfId="34354" xr:uid="{00000000-0005-0000-0000-0000EFBA0000}"/>
    <cellStyle name="Normal 7 3 8 2 2 2" xfId="34355" xr:uid="{00000000-0005-0000-0000-0000F0BA0000}"/>
    <cellStyle name="Normal 7 3 8 2 2 2 2" xfId="59522" xr:uid="{00000000-0005-0000-0000-0000F1BA0000}"/>
    <cellStyle name="Normal 7 3 8 2 2 2 3" xfId="59523" xr:uid="{00000000-0005-0000-0000-0000F2BA0000}"/>
    <cellStyle name="Normal 7 3 8 2 2 3" xfId="34356" xr:uid="{00000000-0005-0000-0000-0000F3BA0000}"/>
    <cellStyle name="Normal 7 3 8 2 2 3 2" xfId="59524" xr:uid="{00000000-0005-0000-0000-0000F4BA0000}"/>
    <cellStyle name="Normal 7 3 8 2 2 4" xfId="34357" xr:uid="{00000000-0005-0000-0000-0000F5BA0000}"/>
    <cellStyle name="Normal 7 3 8 2 2 5" xfId="34358" xr:uid="{00000000-0005-0000-0000-0000F6BA0000}"/>
    <cellStyle name="Normal 7 3 8 2 2 6" xfId="34359" xr:uid="{00000000-0005-0000-0000-0000F7BA0000}"/>
    <cellStyle name="Normal 7 3 8 2 3" xfId="34360" xr:uid="{00000000-0005-0000-0000-0000F8BA0000}"/>
    <cellStyle name="Normal 7 3 8 2 3 2" xfId="59525" xr:uid="{00000000-0005-0000-0000-0000F9BA0000}"/>
    <cellStyle name="Normal 7 3 8 2 3 3" xfId="59526" xr:uid="{00000000-0005-0000-0000-0000FABA0000}"/>
    <cellStyle name="Normal 7 3 8 2 4" xfId="34361" xr:uid="{00000000-0005-0000-0000-0000FBBA0000}"/>
    <cellStyle name="Normal 7 3 8 2 4 2" xfId="59527" xr:uid="{00000000-0005-0000-0000-0000FCBA0000}"/>
    <cellStyle name="Normal 7 3 8 2 5" xfId="34362" xr:uid="{00000000-0005-0000-0000-0000FDBA0000}"/>
    <cellStyle name="Normal 7 3 8 2 6" xfId="34363" xr:uid="{00000000-0005-0000-0000-0000FEBA0000}"/>
    <cellStyle name="Normal 7 3 8 2 7" xfId="34364" xr:uid="{00000000-0005-0000-0000-0000FFBA0000}"/>
    <cellStyle name="Normal 7 3 8 3" xfId="34365" xr:uid="{00000000-0005-0000-0000-000000BB0000}"/>
    <cellStyle name="Normal 7 3 8 3 2" xfId="34366" xr:uid="{00000000-0005-0000-0000-000001BB0000}"/>
    <cellStyle name="Normal 7 3 8 3 2 2" xfId="59528" xr:uid="{00000000-0005-0000-0000-000002BB0000}"/>
    <cellStyle name="Normal 7 3 8 3 2 3" xfId="59529" xr:uid="{00000000-0005-0000-0000-000003BB0000}"/>
    <cellStyle name="Normal 7 3 8 3 3" xfId="34367" xr:uid="{00000000-0005-0000-0000-000004BB0000}"/>
    <cellStyle name="Normal 7 3 8 3 3 2" xfId="59530" xr:uid="{00000000-0005-0000-0000-000005BB0000}"/>
    <cellStyle name="Normal 7 3 8 3 4" xfId="34368" xr:uid="{00000000-0005-0000-0000-000006BB0000}"/>
    <cellStyle name="Normal 7 3 8 3 5" xfId="34369" xr:uid="{00000000-0005-0000-0000-000007BB0000}"/>
    <cellStyle name="Normal 7 3 8 3 6" xfId="34370" xr:uid="{00000000-0005-0000-0000-000008BB0000}"/>
    <cellStyle name="Normal 7 3 8 4" xfId="34371" xr:uid="{00000000-0005-0000-0000-000009BB0000}"/>
    <cellStyle name="Normal 7 3 8 4 2" xfId="59531" xr:uid="{00000000-0005-0000-0000-00000ABB0000}"/>
    <cellStyle name="Normal 7 3 8 4 3" xfId="59532" xr:uid="{00000000-0005-0000-0000-00000BBB0000}"/>
    <cellStyle name="Normal 7 3 8 5" xfId="34372" xr:uid="{00000000-0005-0000-0000-00000CBB0000}"/>
    <cellStyle name="Normal 7 3 8 5 2" xfId="59533" xr:uid="{00000000-0005-0000-0000-00000DBB0000}"/>
    <cellStyle name="Normal 7 3 8 6" xfId="34373" xr:uid="{00000000-0005-0000-0000-00000EBB0000}"/>
    <cellStyle name="Normal 7 3 8 7" xfId="34374" xr:uid="{00000000-0005-0000-0000-00000FBB0000}"/>
    <cellStyle name="Normal 7 3 8 8" xfId="34375" xr:uid="{00000000-0005-0000-0000-000010BB0000}"/>
    <cellStyle name="Normal 7 3 9" xfId="34376" xr:uid="{00000000-0005-0000-0000-000011BB0000}"/>
    <cellStyle name="Normal 7 3 9 2" xfId="34377" xr:uid="{00000000-0005-0000-0000-000012BB0000}"/>
    <cellStyle name="Normal 7 3 9 2 2" xfId="34378" xr:uid="{00000000-0005-0000-0000-000013BB0000}"/>
    <cellStyle name="Normal 7 3 9 2 2 2" xfId="34379" xr:uid="{00000000-0005-0000-0000-000014BB0000}"/>
    <cellStyle name="Normal 7 3 9 2 2 2 2" xfId="59534" xr:uid="{00000000-0005-0000-0000-000015BB0000}"/>
    <cellStyle name="Normal 7 3 9 2 2 2 3" xfId="59535" xr:uid="{00000000-0005-0000-0000-000016BB0000}"/>
    <cellStyle name="Normal 7 3 9 2 2 3" xfId="34380" xr:uid="{00000000-0005-0000-0000-000017BB0000}"/>
    <cellStyle name="Normal 7 3 9 2 2 3 2" xfId="59536" xr:uid="{00000000-0005-0000-0000-000018BB0000}"/>
    <cellStyle name="Normal 7 3 9 2 2 4" xfId="34381" xr:uid="{00000000-0005-0000-0000-000019BB0000}"/>
    <cellStyle name="Normal 7 3 9 2 2 5" xfId="34382" xr:uid="{00000000-0005-0000-0000-00001ABB0000}"/>
    <cellStyle name="Normal 7 3 9 2 2 6" xfId="34383" xr:uid="{00000000-0005-0000-0000-00001BBB0000}"/>
    <cellStyle name="Normal 7 3 9 2 3" xfId="34384" xr:uid="{00000000-0005-0000-0000-00001CBB0000}"/>
    <cellStyle name="Normal 7 3 9 2 3 2" xfId="59537" xr:uid="{00000000-0005-0000-0000-00001DBB0000}"/>
    <cellStyle name="Normal 7 3 9 2 3 3" xfId="59538" xr:uid="{00000000-0005-0000-0000-00001EBB0000}"/>
    <cellStyle name="Normal 7 3 9 2 4" xfId="34385" xr:uid="{00000000-0005-0000-0000-00001FBB0000}"/>
    <cellStyle name="Normal 7 3 9 2 4 2" xfId="59539" xr:uid="{00000000-0005-0000-0000-000020BB0000}"/>
    <cellStyle name="Normal 7 3 9 2 5" xfId="34386" xr:uid="{00000000-0005-0000-0000-000021BB0000}"/>
    <cellStyle name="Normal 7 3 9 2 6" xfId="34387" xr:uid="{00000000-0005-0000-0000-000022BB0000}"/>
    <cellStyle name="Normal 7 3 9 2 7" xfId="34388" xr:uid="{00000000-0005-0000-0000-000023BB0000}"/>
    <cellStyle name="Normal 7 3 9 3" xfId="34389" xr:uid="{00000000-0005-0000-0000-000024BB0000}"/>
    <cellStyle name="Normal 7 3 9 3 2" xfId="34390" xr:uid="{00000000-0005-0000-0000-000025BB0000}"/>
    <cellStyle name="Normal 7 3 9 3 2 2" xfId="59540" xr:uid="{00000000-0005-0000-0000-000026BB0000}"/>
    <cellStyle name="Normal 7 3 9 3 2 3" xfId="59541" xr:uid="{00000000-0005-0000-0000-000027BB0000}"/>
    <cellStyle name="Normal 7 3 9 3 3" xfId="34391" xr:uid="{00000000-0005-0000-0000-000028BB0000}"/>
    <cellStyle name="Normal 7 3 9 3 3 2" xfId="59542" xr:uid="{00000000-0005-0000-0000-000029BB0000}"/>
    <cellStyle name="Normal 7 3 9 3 4" xfId="34392" xr:uid="{00000000-0005-0000-0000-00002ABB0000}"/>
    <cellStyle name="Normal 7 3 9 3 5" xfId="34393" xr:uid="{00000000-0005-0000-0000-00002BBB0000}"/>
    <cellStyle name="Normal 7 3 9 3 6" xfId="34394" xr:uid="{00000000-0005-0000-0000-00002CBB0000}"/>
    <cellStyle name="Normal 7 3 9 4" xfId="34395" xr:uid="{00000000-0005-0000-0000-00002DBB0000}"/>
    <cellStyle name="Normal 7 3 9 4 2" xfId="59543" xr:uid="{00000000-0005-0000-0000-00002EBB0000}"/>
    <cellStyle name="Normal 7 3 9 4 3" xfId="59544" xr:uid="{00000000-0005-0000-0000-00002FBB0000}"/>
    <cellStyle name="Normal 7 3 9 5" xfId="34396" xr:uid="{00000000-0005-0000-0000-000030BB0000}"/>
    <cellStyle name="Normal 7 3 9 5 2" xfId="59545" xr:uid="{00000000-0005-0000-0000-000031BB0000}"/>
    <cellStyle name="Normal 7 3 9 6" xfId="34397" xr:uid="{00000000-0005-0000-0000-000032BB0000}"/>
    <cellStyle name="Normal 7 3 9 7" xfId="34398" xr:uid="{00000000-0005-0000-0000-000033BB0000}"/>
    <cellStyle name="Normal 7 3 9 8" xfId="34399" xr:uid="{00000000-0005-0000-0000-000034BB0000}"/>
    <cellStyle name="Normal 7 4" xfId="34400" xr:uid="{00000000-0005-0000-0000-000035BB0000}"/>
    <cellStyle name="Normal 7 4 10" xfId="34401" xr:uid="{00000000-0005-0000-0000-000036BB0000}"/>
    <cellStyle name="Normal 7 4 11" xfId="34402" xr:uid="{00000000-0005-0000-0000-000037BB0000}"/>
    <cellStyle name="Normal 7 4 12" xfId="34403" xr:uid="{00000000-0005-0000-0000-000038BB0000}"/>
    <cellStyle name="Normal 7 4 13" xfId="34404" xr:uid="{00000000-0005-0000-0000-000039BB0000}"/>
    <cellStyle name="Normal 7 4 14" xfId="34405" xr:uid="{00000000-0005-0000-0000-00003ABB0000}"/>
    <cellStyle name="Normal 7 4 15" xfId="34406" xr:uid="{00000000-0005-0000-0000-00003BBB0000}"/>
    <cellStyle name="Normal 7 4 16" xfId="34407" xr:uid="{00000000-0005-0000-0000-00003CBB0000}"/>
    <cellStyle name="Normal 7 4 2" xfId="34408" xr:uid="{00000000-0005-0000-0000-00003DBB0000}"/>
    <cellStyle name="Normal 7 4 2 10" xfId="34409" xr:uid="{00000000-0005-0000-0000-00003EBB0000}"/>
    <cellStyle name="Normal 7 4 2 11" xfId="34410" xr:uid="{00000000-0005-0000-0000-00003FBB0000}"/>
    <cellStyle name="Normal 7 4 2 12" xfId="34411" xr:uid="{00000000-0005-0000-0000-000040BB0000}"/>
    <cellStyle name="Normal 7 4 2 13" xfId="34412" xr:uid="{00000000-0005-0000-0000-000041BB0000}"/>
    <cellStyle name="Normal 7 4 2 14" xfId="34413" xr:uid="{00000000-0005-0000-0000-000042BB0000}"/>
    <cellStyle name="Normal 7 4 2 2" xfId="34414" xr:uid="{00000000-0005-0000-0000-000043BB0000}"/>
    <cellStyle name="Normal 7 4 2 2 2" xfId="34415" xr:uid="{00000000-0005-0000-0000-000044BB0000}"/>
    <cellStyle name="Normal 7 4 2 2 2 2" xfId="34416" xr:uid="{00000000-0005-0000-0000-000045BB0000}"/>
    <cellStyle name="Normal 7 4 2 2 2 2 2" xfId="34417" xr:uid="{00000000-0005-0000-0000-000046BB0000}"/>
    <cellStyle name="Normal 7 4 2 2 2 2 2 2" xfId="59546" xr:uid="{00000000-0005-0000-0000-000047BB0000}"/>
    <cellStyle name="Normal 7 4 2 2 2 2 2 3" xfId="59547" xr:uid="{00000000-0005-0000-0000-000048BB0000}"/>
    <cellStyle name="Normal 7 4 2 2 2 2 3" xfId="34418" xr:uid="{00000000-0005-0000-0000-000049BB0000}"/>
    <cellStyle name="Normal 7 4 2 2 2 2 3 2" xfId="59548" xr:uid="{00000000-0005-0000-0000-00004ABB0000}"/>
    <cellStyle name="Normal 7 4 2 2 2 2 4" xfId="34419" xr:uid="{00000000-0005-0000-0000-00004BBB0000}"/>
    <cellStyle name="Normal 7 4 2 2 2 2 5" xfId="34420" xr:uid="{00000000-0005-0000-0000-00004CBB0000}"/>
    <cellStyle name="Normal 7 4 2 2 2 2 6" xfId="34421" xr:uid="{00000000-0005-0000-0000-00004DBB0000}"/>
    <cellStyle name="Normal 7 4 2 2 2 3" xfId="34422" xr:uid="{00000000-0005-0000-0000-00004EBB0000}"/>
    <cellStyle name="Normal 7 4 2 2 2 3 2" xfId="59549" xr:uid="{00000000-0005-0000-0000-00004FBB0000}"/>
    <cellStyle name="Normal 7 4 2 2 2 3 3" xfId="59550" xr:uid="{00000000-0005-0000-0000-000050BB0000}"/>
    <cellStyle name="Normal 7 4 2 2 2 4" xfId="34423" xr:uid="{00000000-0005-0000-0000-000051BB0000}"/>
    <cellStyle name="Normal 7 4 2 2 2 4 2" xfId="59551" xr:uid="{00000000-0005-0000-0000-000052BB0000}"/>
    <cellStyle name="Normal 7 4 2 2 2 5" xfId="34424" xr:uid="{00000000-0005-0000-0000-000053BB0000}"/>
    <cellStyle name="Normal 7 4 2 2 2 6" xfId="34425" xr:uid="{00000000-0005-0000-0000-000054BB0000}"/>
    <cellStyle name="Normal 7 4 2 2 2 7" xfId="34426" xr:uid="{00000000-0005-0000-0000-000055BB0000}"/>
    <cellStyle name="Normal 7 4 2 2 3" xfId="34427" xr:uid="{00000000-0005-0000-0000-000056BB0000}"/>
    <cellStyle name="Normal 7 4 2 2 3 2" xfId="34428" xr:uid="{00000000-0005-0000-0000-000057BB0000}"/>
    <cellStyle name="Normal 7 4 2 2 3 2 2" xfId="59552" xr:uid="{00000000-0005-0000-0000-000058BB0000}"/>
    <cellStyle name="Normal 7 4 2 2 3 2 3" xfId="59553" xr:uid="{00000000-0005-0000-0000-000059BB0000}"/>
    <cellStyle name="Normal 7 4 2 2 3 3" xfId="34429" xr:uid="{00000000-0005-0000-0000-00005ABB0000}"/>
    <cellStyle name="Normal 7 4 2 2 3 3 2" xfId="59554" xr:uid="{00000000-0005-0000-0000-00005BBB0000}"/>
    <cellStyle name="Normal 7 4 2 2 3 4" xfId="34430" xr:uid="{00000000-0005-0000-0000-00005CBB0000}"/>
    <cellStyle name="Normal 7 4 2 2 3 5" xfId="34431" xr:uid="{00000000-0005-0000-0000-00005DBB0000}"/>
    <cellStyle name="Normal 7 4 2 2 3 6" xfId="34432" xr:uid="{00000000-0005-0000-0000-00005EBB0000}"/>
    <cellStyle name="Normal 7 4 2 2 4" xfId="34433" xr:uid="{00000000-0005-0000-0000-00005FBB0000}"/>
    <cellStyle name="Normal 7 4 2 2 4 2" xfId="59555" xr:uid="{00000000-0005-0000-0000-000060BB0000}"/>
    <cellStyle name="Normal 7 4 2 2 4 3" xfId="59556" xr:uid="{00000000-0005-0000-0000-000061BB0000}"/>
    <cellStyle name="Normal 7 4 2 2 5" xfId="34434" xr:uid="{00000000-0005-0000-0000-000062BB0000}"/>
    <cellStyle name="Normal 7 4 2 2 5 2" xfId="59557" xr:uid="{00000000-0005-0000-0000-000063BB0000}"/>
    <cellStyle name="Normal 7 4 2 2 6" xfId="34435" xr:uid="{00000000-0005-0000-0000-000064BB0000}"/>
    <cellStyle name="Normal 7 4 2 2 7" xfId="34436" xr:uid="{00000000-0005-0000-0000-000065BB0000}"/>
    <cellStyle name="Normal 7 4 2 2 8" xfId="34437" xr:uid="{00000000-0005-0000-0000-000066BB0000}"/>
    <cellStyle name="Normal 7 4 2 2 9" xfId="34438" xr:uid="{00000000-0005-0000-0000-000067BB0000}"/>
    <cellStyle name="Normal 7 4 2 3" xfId="34439" xr:uid="{00000000-0005-0000-0000-000068BB0000}"/>
    <cellStyle name="Normal 7 4 2 3 2" xfId="34440" xr:uid="{00000000-0005-0000-0000-000069BB0000}"/>
    <cellStyle name="Normal 7 4 2 3 2 2" xfId="34441" xr:uid="{00000000-0005-0000-0000-00006ABB0000}"/>
    <cellStyle name="Normal 7 4 2 3 2 2 2" xfId="34442" xr:uid="{00000000-0005-0000-0000-00006BBB0000}"/>
    <cellStyle name="Normal 7 4 2 3 2 2 2 2" xfId="59558" xr:uid="{00000000-0005-0000-0000-00006CBB0000}"/>
    <cellStyle name="Normal 7 4 2 3 2 2 2 3" xfId="59559" xr:uid="{00000000-0005-0000-0000-00006DBB0000}"/>
    <cellStyle name="Normal 7 4 2 3 2 2 3" xfId="34443" xr:uid="{00000000-0005-0000-0000-00006EBB0000}"/>
    <cellStyle name="Normal 7 4 2 3 2 2 3 2" xfId="59560" xr:uid="{00000000-0005-0000-0000-00006FBB0000}"/>
    <cellStyle name="Normal 7 4 2 3 2 2 4" xfId="34444" xr:uid="{00000000-0005-0000-0000-000070BB0000}"/>
    <cellStyle name="Normal 7 4 2 3 2 2 5" xfId="34445" xr:uid="{00000000-0005-0000-0000-000071BB0000}"/>
    <cellStyle name="Normal 7 4 2 3 2 2 6" xfId="34446" xr:uid="{00000000-0005-0000-0000-000072BB0000}"/>
    <cellStyle name="Normal 7 4 2 3 2 3" xfId="34447" xr:uid="{00000000-0005-0000-0000-000073BB0000}"/>
    <cellStyle name="Normal 7 4 2 3 2 3 2" xfId="59561" xr:uid="{00000000-0005-0000-0000-000074BB0000}"/>
    <cellStyle name="Normal 7 4 2 3 2 3 3" xfId="59562" xr:uid="{00000000-0005-0000-0000-000075BB0000}"/>
    <cellStyle name="Normal 7 4 2 3 2 4" xfId="34448" xr:uid="{00000000-0005-0000-0000-000076BB0000}"/>
    <cellStyle name="Normal 7 4 2 3 2 4 2" xfId="59563" xr:uid="{00000000-0005-0000-0000-000077BB0000}"/>
    <cellStyle name="Normal 7 4 2 3 2 5" xfId="34449" xr:uid="{00000000-0005-0000-0000-000078BB0000}"/>
    <cellStyle name="Normal 7 4 2 3 2 6" xfId="34450" xr:uid="{00000000-0005-0000-0000-000079BB0000}"/>
    <cellStyle name="Normal 7 4 2 3 2 7" xfId="34451" xr:uid="{00000000-0005-0000-0000-00007ABB0000}"/>
    <cellStyle name="Normal 7 4 2 3 3" xfId="34452" xr:uid="{00000000-0005-0000-0000-00007BBB0000}"/>
    <cellStyle name="Normal 7 4 2 3 3 2" xfId="34453" xr:uid="{00000000-0005-0000-0000-00007CBB0000}"/>
    <cellStyle name="Normal 7 4 2 3 3 2 2" xfId="59564" xr:uid="{00000000-0005-0000-0000-00007DBB0000}"/>
    <cellStyle name="Normal 7 4 2 3 3 2 3" xfId="59565" xr:uid="{00000000-0005-0000-0000-00007EBB0000}"/>
    <cellStyle name="Normal 7 4 2 3 3 3" xfId="34454" xr:uid="{00000000-0005-0000-0000-00007FBB0000}"/>
    <cellStyle name="Normal 7 4 2 3 3 3 2" xfId="59566" xr:uid="{00000000-0005-0000-0000-000080BB0000}"/>
    <cellStyle name="Normal 7 4 2 3 3 4" xfId="34455" xr:uid="{00000000-0005-0000-0000-000081BB0000}"/>
    <cellStyle name="Normal 7 4 2 3 3 5" xfId="34456" xr:uid="{00000000-0005-0000-0000-000082BB0000}"/>
    <cellStyle name="Normal 7 4 2 3 3 6" xfId="34457" xr:uid="{00000000-0005-0000-0000-000083BB0000}"/>
    <cellStyle name="Normal 7 4 2 3 4" xfId="34458" xr:uid="{00000000-0005-0000-0000-000084BB0000}"/>
    <cellStyle name="Normal 7 4 2 3 4 2" xfId="59567" xr:uid="{00000000-0005-0000-0000-000085BB0000}"/>
    <cellStyle name="Normal 7 4 2 3 4 3" xfId="59568" xr:uid="{00000000-0005-0000-0000-000086BB0000}"/>
    <cellStyle name="Normal 7 4 2 3 5" xfId="34459" xr:uid="{00000000-0005-0000-0000-000087BB0000}"/>
    <cellStyle name="Normal 7 4 2 3 5 2" xfId="59569" xr:uid="{00000000-0005-0000-0000-000088BB0000}"/>
    <cellStyle name="Normal 7 4 2 3 6" xfId="34460" xr:uid="{00000000-0005-0000-0000-000089BB0000}"/>
    <cellStyle name="Normal 7 4 2 3 7" xfId="34461" xr:uid="{00000000-0005-0000-0000-00008ABB0000}"/>
    <cellStyle name="Normal 7 4 2 3 8" xfId="34462" xr:uid="{00000000-0005-0000-0000-00008BBB0000}"/>
    <cellStyle name="Normal 7 4 2 4" xfId="34463" xr:uid="{00000000-0005-0000-0000-00008CBB0000}"/>
    <cellStyle name="Normal 7 4 2 4 2" xfId="34464" xr:uid="{00000000-0005-0000-0000-00008DBB0000}"/>
    <cellStyle name="Normal 7 4 2 4 2 2" xfId="34465" xr:uid="{00000000-0005-0000-0000-00008EBB0000}"/>
    <cellStyle name="Normal 7 4 2 4 2 2 2" xfId="59570" xr:uid="{00000000-0005-0000-0000-00008FBB0000}"/>
    <cellStyle name="Normal 7 4 2 4 2 2 3" xfId="59571" xr:uid="{00000000-0005-0000-0000-000090BB0000}"/>
    <cellStyle name="Normal 7 4 2 4 2 3" xfId="34466" xr:uid="{00000000-0005-0000-0000-000091BB0000}"/>
    <cellStyle name="Normal 7 4 2 4 2 3 2" xfId="59572" xr:uid="{00000000-0005-0000-0000-000092BB0000}"/>
    <cellStyle name="Normal 7 4 2 4 2 4" xfId="34467" xr:uid="{00000000-0005-0000-0000-000093BB0000}"/>
    <cellStyle name="Normal 7 4 2 4 2 5" xfId="34468" xr:uid="{00000000-0005-0000-0000-000094BB0000}"/>
    <cellStyle name="Normal 7 4 2 4 2 6" xfId="34469" xr:uid="{00000000-0005-0000-0000-000095BB0000}"/>
    <cellStyle name="Normal 7 4 2 4 3" xfId="34470" xr:uid="{00000000-0005-0000-0000-000096BB0000}"/>
    <cellStyle name="Normal 7 4 2 4 3 2" xfId="59573" xr:uid="{00000000-0005-0000-0000-000097BB0000}"/>
    <cellStyle name="Normal 7 4 2 4 3 3" xfId="59574" xr:uid="{00000000-0005-0000-0000-000098BB0000}"/>
    <cellStyle name="Normal 7 4 2 4 4" xfId="34471" xr:uid="{00000000-0005-0000-0000-000099BB0000}"/>
    <cellStyle name="Normal 7 4 2 4 4 2" xfId="59575" xr:uid="{00000000-0005-0000-0000-00009ABB0000}"/>
    <cellStyle name="Normal 7 4 2 4 5" xfId="34472" xr:uid="{00000000-0005-0000-0000-00009BBB0000}"/>
    <cellStyle name="Normal 7 4 2 4 6" xfId="34473" xr:uid="{00000000-0005-0000-0000-00009CBB0000}"/>
    <cellStyle name="Normal 7 4 2 4 7" xfId="34474" xr:uid="{00000000-0005-0000-0000-00009DBB0000}"/>
    <cellStyle name="Normal 7 4 2 5" xfId="34475" xr:uid="{00000000-0005-0000-0000-00009EBB0000}"/>
    <cellStyle name="Normal 7 4 2 5 2" xfId="34476" xr:uid="{00000000-0005-0000-0000-00009FBB0000}"/>
    <cellStyle name="Normal 7 4 2 5 2 2" xfId="59576" xr:uid="{00000000-0005-0000-0000-0000A0BB0000}"/>
    <cellStyle name="Normal 7 4 2 5 2 3" xfId="59577" xr:uid="{00000000-0005-0000-0000-0000A1BB0000}"/>
    <cellStyle name="Normal 7 4 2 5 3" xfId="34477" xr:uid="{00000000-0005-0000-0000-0000A2BB0000}"/>
    <cellStyle name="Normal 7 4 2 5 3 2" xfId="59578" xr:uid="{00000000-0005-0000-0000-0000A3BB0000}"/>
    <cellStyle name="Normal 7 4 2 5 4" xfId="34478" xr:uid="{00000000-0005-0000-0000-0000A4BB0000}"/>
    <cellStyle name="Normal 7 4 2 5 5" xfId="34479" xr:uid="{00000000-0005-0000-0000-0000A5BB0000}"/>
    <cellStyle name="Normal 7 4 2 5 6" xfId="34480" xr:uid="{00000000-0005-0000-0000-0000A6BB0000}"/>
    <cellStyle name="Normal 7 4 2 6" xfId="34481" xr:uid="{00000000-0005-0000-0000-0000A7BB0000}"/>
    <cellStyle name="Normal 7 4 2 6 2" xfId="59579" xr:uid="{00000000-0005-0000-0000-0000A8BB0000}"/>
    <cellStyle name="Normal 7 4 2 6 3" xfId="59580" xr:uid="{00000000-0005-0000-0000-0000A9BB0000}"/>
    <cellStyle name="Normal 7 4 2 7" xfId="34482" xr:uid="{00000000-0005-0000-0000-0000AABB0000}"/>
    <cellStyle name="Normal 7 4 2 7 2" xfId="59581" xr:uid="{00000000-0005-0000-0000-0000ABBB0000}"/>
    <cellStyle name="Normal 7 4 2 8" xfId="34483" xr:uid="{00000000-0005-0000-0000-0000ACBB0000}"/>
    <cellStyle name="Normal 7 4 2 8 2" xfId="59582" xr:uid="{00000000-0005-0000-0000-0000ADBB0000}"/>
    <cellStyle name="Normal 7 4 2 9" xfId="34484" xr:uid="{00000000-0005-0000-0000-0000AEBB0000}"/>
    <cellStyle name="Normal 7 4 3" xfId="34485" xr:uid="{00000000-0005-0000-0000-0000AFBB0000}"/>
    <cellStyle name="Normal 7 4 3 2" xfId="34486" xr:uid="{00000000-0005-0000-0000-0000B0BB0000}"/>
    <cellStyle name="Normal 7 4 3 2 2" xfId="34487" xr:uid="{00000000-0005-0000-0000-0000B1BB0000}"/>
    <cellStyle name="Normal 7 4 3 2 2 2" xfId="34488" xr:uid="{00000000-0005-0000-0000-0000B2BB0000}"/>
    <cellStyle name="Normal 7 4 3 2 2 2 2" xfId="59583" xr:uid="{00000000-0005-0000-0000-0000B3BB0000}"/>
    <cellStyle name="Normal 7 4 3 2 2 2 3" xfId="59584" xr:uid="{00000000-0005-0000-0000-0000B4BB0000}"/>
    <cellStyle name="Normal 7 4 3 2 2 3" xfId="34489" xr:uid="{00000000-0005-0000-0000-0000B5BB0000}"/>
    <cellStyle name="Normal 7 4 3 2 2 3 2" xfId="59585" xr:uid="{00000000-0005-0000-0000-0000B6BB0000}"/>
    <cellStyle name="Normal 7 4 3 2 2 4" xfId="34490" xr:uid="{00000000-0005-0000-0000-0000B7BB0000}"/>
    <cellStyle name="Normal 7 4 3 2 2 5" xfId="34491" xr:uid="{00000000-0005-0000-0000-0000B8BB0000}"/>
    <cellStyle name="Normal 7 4 3 2 2 6" xfId="34492" xr:uid="{00000000-0005-0000-0000-0000B9BB0000}"/>
    <cellStyle name="Normal 7 4 3 2 3" xfId="34493" xr:uid="{00000000-0005-0000-0000-0000BABB0000}"/>
    <cellStyle name="Normal 7 4 3 2 3 2" xfId="59586" xr:uid="{00000000-0005-0000-0000-0000BBBB0000}"/>
    <cellStyle name="Normal 7 4 3 2 3 3" xfId="59587" xr:uid="{00000000-0005-0000-0000-0000BCBB0000}"/>
    <cellStyle name="Normal 7 4 3 2 4" xfId="34494" xr:uid="{00000000-0005-0000-0000-0000BDBB0000}"/>
    <cellStyle name="Normal 7 4 3 2 4 2" xfId="59588" xr:uid="{00000000-0005-0000-0000-0000BEBB0000}"/>
    <cellStyle name="Normal 7 4 3 2 5" xfId="34495" xr:uid="{00000000-0005-0000-0000-0000BFBB0000}"/>
    <cellStyle name="Normal 7 4 3 2 6" xfId="34496" xr:uid="{00000000-0005-0000-0000-0000C0BB0000}"/>
    <cellStyle name="Normal 7 4 3 2 7" xfId="34497" xr:uid="{00000000-0005-0000-0000-0000C1BB0000}"/>
    <cellStyle name="Normal 7 4 3 3" xfId="34498" xr:uid="{00000000-0005-0000-0000-0000C2BB0000}"/>
    <cellStyle name="Normal 7 4 3 3 2" xfId="34499" xr:uid="{00000000-0005-0000-0000-0000C3BB0000}"/>
    <cellStyle name="Normal 7 4 3 3 2 2" xfId="59589" xr:uid="{00000000-0005-0000-0000-0000C4BB0000}"/>
    <cellStyle name="Normal 7 4 3 3 2 3" xfId="59590" xr:uid="{00000000-0005-0000-0000-0000C5BB0000}"/>
    <cellStyle name="Normal 7 4 3 3 3" xfId="34500" xr:uid="{00000000-0005-0000-0000-0000C6BB0000}"/>
    <cellStyle name="Normal 7 4 3 3 3 2" xfId="59591" xr:uid="{00000000-0005-0000-0000-0000C7BB0000}"/>
    <cellStyle name="Normal 7 4 3 3 4" xfId="34501" xr:uid="{00000000-0005-0000-0000-0000C8BB0000}"/>
    <cellStyle name="Normal 7 4 3 3 5" xfId="34502" xr:uid="{00000000-0005-0000-0000-0000C9BB0000}"/>
    <cellStyle name="Normal 7 4 3 3 6" xfId="34503" xr:uid="{00000000-0005-0000-0000-0000CABB0000}"/>
    <cellStyle name="Normal 7 4 3 4" xfId="34504" xr:uid="{00000000-0005-0000-0000-0000CBBB0000}"/>
    <cellStyle name="Normal 7 4 3 4 2" xfId="59592" xr:uid="{00000000-0005-0000-0000-0000CCBB0000}"/>
    <cellStyle name="Normal 7 4 3 4 3" xfId="59593" xr:uid="{00000000-0005-0000-0000-0000CDBB0000}"/>
    <cellStyle name="Normal 7 4 3 5" xfId="34505" xr:uid="{00000000-0005-0000-0000-0000CEBB0000}"/>
    <cellStyle name="Normal 7 4 3 5 2" xfId="59594" xr:uid="{00000000-0005-0000-0000-0000CFBB0000}"/>
    <cellStyle name="Normal 7 4 3 6" xfId="34506" xr:uid="{00000000-0005-0000-0000-0000D0BB0000}"/>
    <cellStyle name="Normal 7 4 3 7" xfId="34507" xr:uid="{00000000-0005-0000-0000-0000D1BB0000}"/>
    <cellStyle name="Normal 7 4 3 8" xfId="34508" xr:uid="{00000000-0005-0000-0000-0000D2BB0000}"/>
    <cellStyle name="Normal 7 4 3 9" xfId="34509" xr:uid="{00000000-0005-0000-0000-0000D3BB0000}"/>
    <cellStyle name="Normal 7 4 4" xfId="34510" xr:uid="{00000000-0005-0000-0000-0000D4BB0000}"/>
    <cellStyle name="Normal 7 4 4 2" xfId="34511" xr:uid="{00000000-0005-0000-0000-0000D5BB0000}"/>
    <cellStyle name="Normal 7 4 4 2 2" xfId="34512" xr:uid="{00000000-0005-0000-0000-0000D6BB0000}"/>
    <cellStyle name="Normal 7 4 4 2 2 2" xfId="34513" xr:uid="{00000000-0005-0000-0000-0000D7BB0000}"/>
    <cellStyle name="Normal 7 4 4 2 2 2 2" xfId="59595" xr:uid="{00000000-0005-0000-0000-0000D8BB0000}"/>
    <cellStyle name="Normal 7 4 4 2 2 2 3" xfId="59596" xr:uid="{00000000-0005-0000-0000-0000D9BB0000}"/>
    <cellStyle name="Normal 7 4 4 2 2 3" xfId="34514" xr:uid="{00000000-0005-0000-0000-0000DABB0000}"/>
    <cellStyle name="Normal 7 4 4 2 2 3 2" xfId="59597" xr:uid="{00000000-0005-0000-0000-0000DBBB0000}"/>
    <cellStyle name="Normal 7 4 4 2 2 4" xfId="34515" xr:uid="{00000000-0005-0000-0000-0000DCBB0000}"/>
    <cellStyle name="Normal 7 4 4 2 2 5" xfId="34516" xr:uid="{00000000-0005-0000-0000-0000DDBB0000}"/>
    <cellStyle name="Normal 7 4 4 2 2 6" xfId="34517" xr:uid="{00000000-0005-0000-0000-0000DEBB0000}"/>
    <cellStyle name="Normal 7 4 4 2 3" xfId="34518" xr:uid="{00000000-0005-0000-0000-0000DFBB0000}"/>
    <cellStyle name="Normal 7 4 4 2 3 2" xfId="59598" xr:uid="{00000000-0005-0000-0000-0000E0BB0000}"/>
    <cellStyle name="Normal 7 4 4 2 3 3" xfId="59599" xr:uid="{00000000-0005-0000-0000-0000E1BB0000}"/>
    <cellStyle name="Normal 7 4 4 2 4" xfId="34519" xr:uid="{00000000-0005-0000-0000-0000E2BB0000}"/>
    <cellStyle name="Normal 7 4 4 2 4 2" xfId="59600" xr:uid="{00000000-0005-0000-0000-0000E3BB0000}"/>
    <cellStyle name="Normal 7 4 4 2 5" xfId="34520" xr:uid="{00000000-0005-0000-0000-0000E4BB0000}"/>
    <cellStyle name="Normal 7 4 4 2 6" xfId="34521" xr:uid="{00000000-0005-0000-0000-0000E5BB0000}"/>
    <cellStyle name="Normal 7 4 4 2 7" xfId="34522" xr:uid="{00000000-0005-0000-0000-0000E6BB0000}"/>
    <cellStyle name="Normal 7 4 4 3" xfId="34523" xr:uid="{00000000-0005-0000-0000-0000E7BB0000}"/>
    <cellStyle name="Normal 7 4 4 3 2" xfId="34524" xr:uid="{00000000-0005-0000-0000-0000E8BB0000}"/>
    <cellStyle name="Normal 7 4 4 3 2 2" xfId="59601" xr:uid="{00000000-0005-0000-0000-0000E9BB0000}"/>
    <cellStyle name="Normal 7 4 4 3 2 3" xfId="59602" xr:uid="{00000000-0005-0000-0000-0000EABB0000}"/>
    <cellStyle name="Normal 7 4 4 3 3" xfId="34525" xr:uid="{00000000-0005-0000-0000-0000EBBB0000}"/>
    <cellStyle name="Normal 7 4 4 3 3 2" xfId="59603" xr:uid="{00000000-0005-0000-0000-0000ECBB0000}"/>
    <cellStyle name="Normal 7 4 4 3 4" xfId="34526" xr:uid="{00000000-0005-0000-0000-0000EDBB0000}"/>
    <cellStyle name="Normal 7 4 4 3 5" xfId="34527" xr:uid="{00000000-0005-0000-0000-0000EEBB0000}"/>
    <cellStyle name="Normal 7 4 4 3 6" xfId="34528" xr:uid="{00000000-0005-0000-0000-0000EFBB0000}"/>
    <cellStyle name="Normal 7 4 4 4" xfId="34529" xr:uid="{00000000-0005-0000-0000-0000F0BB0000}"/>
    <cellStyle name="Normal 7 4 4 4 2" xfId="59604" xr:uid="{00000000-0005-0000-0000-0000F1BB0000}"/>
    <cellStyle name="Normal 7 4 4 4 3" xfId="59605" xr:uid="{00000000-0005-0000-0000-0000F2BB0000}"/>
    <cellStyle name="Normal 7 4 4 5" xfId="34530" xr:uid="{00000000-0005-0000-0000-0000F3BB0000}"/>
    <cellStyle name="Normal 7 4 4 5 2" xfId="59606" xr:uid="{00000000-0005-0000-0000-0000F4BB0000}"/>
    <cellStyle name="Normal 7 4 4 6" xfId="34531" xr:uid="{00000000-0005-0000-0000-0000F5BB0000}"/>
    <cellStyle name="Normal 7 4 4 7" xfId="34532" xr:uid="{00000000-0005-0000-0000-0000F6BB0000}"/>
    <cellStyle name="Normal 7 4 4 8" xfId="34533" xr:uid="{00000000-0005-0000-0000-0000F7BB0000}"/>
    <cellStyle name="Normal 7 4 5" xfId="34534" xr:uid="{00000000-0005-0000-0000-0000F8BB0000}"/>
    <cellStyle name="Normal 7 4 5 2" xfId="34535" xr:uid="{00000000-0005-0000-0000-0000F9BB0000}"/>
    <cellStyle name="Normal 7 4 5 2 2" xfId="34536" xr:uid="{00000000-0005-0000-0000-0000FABB0000}"/>
    <cellStyle name="Normal 7 4 5 2 2 2" xfId="59607" xr:uid="{00000000-0005-0000-0000-0000FBBB0000}"/>
    <cellStyle name="Normal 7 4 5 2 2 3" xfId="59608" xr:uid="{00000000-0005-0000-0000-0000FCBB0000}"/>
    <cellStyle name="Normal 7 4 5 2 3" xfId="34537" xr:uid="{00000000-0005-0000-0000-0000FDBB0000}"/>
    <cellStyle name="Normal 7 4 5 2 3 2" xfId="59609" xr:uid="{00000000-0005-0000-0000-0000FEBB0000}"/>
    <cellStyle name="Normal 7 4 5 2 4" xfId="34538" xr:uid="{00000000-0005-0000-0000-0000FFBB0000}"/>
    <cellStyle name="Normal 7 4 5 2 5" xfId="34539" xr:uid="{00000000-0005-0000-0000-000000BC0000}"/>
    <cellStyle name="Normal 7 4 5 2 6" xfId="34540" xr:uid="{00000000-0005-0000-0000-000001BC0000}"/>
    <cellStyle name="Normal 7 4 5 3" xfId="34541" xr:uid="{00000000-0005-0000-0000-000002BC0000}"/>
    <cellStyle name="Normal 7 4 5 3 2" xfId="59610" xr:uid="{00000000-0005-0000-0000-000003BC0000}"/>
    <cellStyle name="Normal 7 4 5 3 3" xfId="59611" xr:uid="{00000000-0005-0000-0000-000004BC0000}"/>
    <cellStyle name="Normal 7 4 5 4" xfId="34542" xr:uid="{00000000-0005-0000-0000-000005BC0000}"/>
    <cellStyle name="Normal 7 4 5 4 2" xfId="59612" xr:uid="{00000000-0005-0000-0000-000006BC0000}"/>
    <cellStyle name="Normal 7 4 5 5" xfId="34543" xr:uid="{00000000-0005-0000-0000-000007BC0000}"/>
    <cellStyle name="Normal 7 4 5 6" xfId="34544" xr:uid="{00000000-0005-0000-0000-000008BC0000}"/>
    <cellStyle name="Normal 7 4 5 7" xfId="34545" xr:uid="{00000000-0005-0000-0000-000009BC0000}"/>
    <cellStyle name="Normal 7 4 6" xfId="34546" xr:uid="{00000000-0005-0000-0000-00000ABC0000}"/>
    <cellStyle name="Normal 7 4 6 2" xfId="34547" xr:uid="{00000000-0005-0000-0000-00000BBC0000}"/>
    <cellStyle name="Normal 7 4 6 2 2" xfId="59613" xr:uid="{00000000-0005-0000-0000-00000CBC0000}"/>
    <cellStyle name="Normal 7 4 6 2 3" xfId="59614" xr:uid="{00000000-0005-0000-0000-00000DBC0000}"/>
    <cellStyle name="Normal 7 4 6 3" xfId="34548" xr:uid="{00000000-0005-0000-0000-00000EBC0000}"/>
    <cellStyle name="Normal 7 4 6 3 2" xfId="59615" xr:uid="{00000000-0005-0000-0000-00000FBC0000}"/>
    <cellStyle name="Normal 7 4 6 4" xfId="34549" xr:uid="{00000000-0005-0000-0000-000010BC0000}"/>
    <cellStyle name="Normal 7 4 6 5" xfId="34550" xr:uid="{00000000-0005-0000-0000-000011BC0000}"/>
    <cellStyle name="Normal 7 4 6 6" xfId="34551" xr:uid="{00000000-0005-0000-0000-000012BC0000}"/>
    <cellStyle name="Normal 7 4 7" xfId="34552" xr:uid="{00000000-0005-0000-0000-000013BC0000}"/>
    <cellStyle name="Normal 7 4 7 2" xfId="59616" xr:uid="{00000000-0005-0000-0000-000014BC0000}"/>
    <cellStyle name="Normal 7 4 7 3" xfId="59617" xr:uid="{00000000-0005-0000-0000-000015BC0000}"/>
    <cellStyle name="Normal 7 4 8" xfId="34553" xr:uid="{00000000-0005-0000-0000-000016BC0000}"/>
    <cellStyle name="Normal 7 4 8 2" xfId="59618" xr:uid="{00000000-0005-0000-0000-000017BC0000}"/>
    <cellStyle name="Normal 7 4 9" xfId="34554" xr:uid="{00000000-0005-0000-0000-000018BC0000}"/>
    <cellStyle name="Normal 7 4 9 2" xfId="59619" xr:uid="{00000000-0005-0000-0000-000019BC0000}"/>
    <cellStyle name="Normal 7 5" xfId="34555" xr:uid="{00000000-0005-0000-0000-00001ABC0000}"/>
    <cellStyle name="Normal 7 5 10" xfId="34556" xr:uid="{00000000-0005-0000-0000-00001BBC0000}"/>
    <cellStyle name="Normal 7 5 11" xfId="34557" xr:uid="{00000000-0005-0000-0000-00001CBC0000}"/>
    <cellStyle name="Normal 7 5 12" xfId="34558" xr:uid="{00000000-0005-0000-0000-00001DBC0000}"/>
    <cellStyle name="Normal 7 5 13" xfId="34559" xr:uid="{00000000-0005-0000-0000-00001EBC0000}"/>
    <cellStyle name="Normal 7 5 14" xfId="34560" xr:uid="{00000000-0005-0000-0000-00001FBC0000}"/>
    <cellStyle name="Normal 7 5 15" xfId="34561" xr:uid="{00000000-0005-0000-0000-000020BC0000}"/>
    <cellStyle name="Normal 7 5 16" xfId="34562" xr:uid="{00000000-0005-0000-0000-000021BC0000}"/>
    <cellStyle name="Normal 7 5 17" xfId="34563" xr:uid="{00000000-0005-0000-0000-000022BC0000}"/>
    <cellStyle name="Normal 7 5 2" xfId="34564" xr:uid="{00000000-0005-0000-0000-000023BC0000}"/>
    <cellStyle name="Normal 7 5 2 10" xfId="34565" xr:uid="{00000000-0005-0000-0000-000024BC0000}"/>
    <cellStyle name="Normal 7 5 2 11" xfId="34566" xr:uid="{00000000-0005-0000-0000-000025BC0000}"/>
    <cellStyle name="Normal 7 5 2 12" xfId="34567" xr:uid="{00000000-0005-0000-0000-000026BC0000}"/>
    <cellStyle name="Normal 7 5 2 13" xfId="34568" xr:uid="{00000000-0005-0000-0000-000027BC0000}"/>
    <cellStyle name="Normal 7 5 2 14" xfId="34569" xr:uid="{00000000-0005-0000-0000-000028BC0000}"/>
    <cellStyle name="Normal 7 5 2 2" xfId="34570" xr:uid="{00000000-0005-0000-0000-000029BC0000}"/>
    <cellStyle name="Normal 7 5 2 2 2" xfId="34571" xr:uid="{00000000-0005-0000-0000-00002ABC0000}"/>
    <cellStyle name="Normal 7 5 2 2 2 2" xfId="34572" xr:uid="{00000000-0005-0000-0000-00002BBC0000}"/>
    <cellStyle name="Normal 7 5 2 2 2 2 2" xfId="34573" xr:uid="{00000000-0005-0000-0000-00002CBC0000}"/>
    <cellStyle name="Normal 7 5 2 2 2 2 2 2" xfId="59620" xr:uid="{00000000-0005-0000-0000-00002DBC0000}"/>
    <cellStyle name="Normal 7 5 2 2 2 2 2 3" xfId="59621" xr:uid="{00000000-0005-0000-0000-00002EBC0000}"/>
    <cellStyle name="Normal 7 5 2 2 2 2 3" xfId="34574" xr:uid="{00000000-0005-0000-0000-00002FBC0000}"/>
    <cellStyle name="Normal 7 5 2 2 2 2 3 2" xfId="59622" xr:uid="{00000000-0005-0000-0000-000030BC0000}"/>
    <cellStyle name="Normal 7 5 2 2 2 2 4" xfId="34575" xr:uid="{00000000-0005-0000-0000-000031BC0000}"/>
    <cellStyle name="Normal 7 5 2 2 2 2 5" xfId="34576" xr:uid="{00000000-0005-0000-0000-000032BC0000}"/>
    <cellStyle name="Normal 7 5 2 2 2 2 6" xfId="34577" xr:uid="{00000000-0005-0000-0000-000033BC0000}"/>
    <cellStyle name="Normal 7 5 2 2 2 3" xfId="34578" xr:uid="{00000000-0005-0000-0000-000034BC0000}"/>
    <cellStyle name="Normal 7 5 2 2 2 3 2" xfId="59623" xr:uid="{00000000-0005-0000-0000-000035BC0000}"/>
    <cellStyle name="Normal 7 5 2 2 2 3 3" xfId="59624" xr:uid="{00000000-0005-0000-0000-000036BC0000}"/>
    <cellStyle name="Normal 7 5 2 2 2 4" xfId="34579" xr:uid="{00000000-0005-0000-0000-000037BC0000}"/>
    <cellStyle name="Normal 7 5 2 2 2 4 2" xfId="59625" xr:uid="{00000000-0005-0000-0000-000038BC0000}"/>
    <cellStyle name="Normal 7 5 2 2 2 5" xfId="34580" xr:uid="{00000000-0005-0000-0000-000039BC0000}"/>
    <cellStyle name="Normal 7 5 2 2 2 6" xfId="34581" xr:uid="{00000000-0005-0000-0000-00003ABC0000}"/>
    <cellStyle name="Normal 7 5 2 2 2 7" xfId="34582" xr:uid="{00000000-0005-0000-0000-00003BBC0000}"/>
    <cellStyle name="Normal 7 5 2 2 3" xfId="34583" xr:uid="{00000000-0005-0000-0000-00003CBC0000}"/>
    <cellStyle name="Normal 7 5 2 2 3 2" xfId="34584" xr:uid="{00000000-0005-0000-0000-00003DBC0000}"/>
    <cellStyle name="Normal 7 5 2 2 3 2 2" xfId="59626" xr:uid="{00000000-0005-0000-0000-00003EBC0000}"/>
    <cellStyle name="Normal 7 5 2 2 3 2 3" xfId="59627" xr:uid="{00000000-0005-0000-0000-00003FBC0000}"/>
    <cellStyle name="Normal 7 5 2 2 3 3" xfId="34585" xr:uid="{00000000-0005-0000-0000-000040BC0000}"/>
    <cellStyle name="Normal 7 5 2 2 3 3 2" xfId="59628" xr:uid="{00000000-0005-0000-0000-000041BC0000}"/>
    <cellStyle name="Normal 7 5 2 2 3 4" xfId="34586" xr:uid="{00000000-0005-0000-0000-000042BC0000}"/>
    <cellStyle name="Normal 7 5 2 2 3 5" xfId="34587" xr:uid="{00000000-0005-0000-0000-000043BC0000}"/>
    <cellStyle name="Normal 7 5 2 2 3 6" xfId="34588" xr:uid="{00000000-0005-0000-0000-000044BC0000}"/>
    <cellStyle name="Normal 7 5 2 2 4" xfId="34589" xr:uid="{00000000-0005-0000-0000-000045BC0000}"/>
    <cellStyle name="Normal 7 5 2 2 4 2" xfId="59629" xr:uid="{00000000-0005-0000-0000-000046BC0000}"/>
    <cellStyle name="Normal 7 5 2 2 4 3" xfId="59630" xr:uid="{00000000-0005-0000-0000-000047BC0000}"/>
    <cellStyle name="Normal 7 5 2 2 5" xfId="34590" xr:uid="{00000000-0005-0000-0000-000048BC0000}"/>
    <cellStyle name="Normal 7 5 2 2 5 2" xfId="59631" xr:uid="{00000000-0005-0000-0000-000049BC0000}"/>
    <cellStyle name="Normal 7 5 2 2 6" xfId="34591" xr:uid="{00000000-0005-0000-0000-00004ABC0000}"/>
    <cellStyle name="Normal 7 5 2 2 7" xfId="34592" xr:uid="{00000000-0005-0000-0000-00004BBC0000}"/>
    <cellStyle name="Normal 7 5 2 2 8" xfId="34593" xr:uid="{00000000-0005-0000-0000-00004CBC0000}"/>
    <cellStyle name="Normal 7 5 2 2 9" xfId="34594" xr:uid="{00000000-0005-0000-0000-00004DBC0000}"/>
    <cellStyle name="Normal 7 5 2 3" xfId="34595" xr:uid="{00000000-0005-0000-0000-00004EBC0000}"/>
    <cellStyle name="Normal 7 5 2 3 2" xfId="34596" xr:uid="{00000000-0005-0000-0000-00004FBC0000}"/>
    <cellStyle name="Normal 7 5 2 3 2 2" xfId="34597" xr:uid="{00000000-0005-0000-0000-000050BC0000}"/>
    <cellStyle name="Normal 7 5 2 3 2 2 2" xfId="34598" xr:uid="{00000000-0005-0000-0000-000051BC0000}"/>
    <cellStyle name="Normal 7 5 2 3 2 2 2 2" xfId="59632" xr:uid="{00000000-0005-0000-0000-000052BC0000}"/>
    <cellStyle name="Normal 7 5 2 3 2 2 2 3" xfId="59633" xr:uid="{00000000-0005-0000-0000-000053BC0000}"/>
    <cellStyle name="Normal 7 5 2 3 2 2 3" xfId="34599" xr:uid="{00000000-0005-0000-0000-000054BC0000}"/>
    <cellStyle name="Normal 7 5 2 3 2 2 3 2" xfId="59634" xr:uid="{00000000-0005-0000-0000-000055BC0000}"/>
    <cellStyle name="Normal 7 5 2 3 2 2 4" xfId="34600" xr:uid="{00000000-0005-0000-0000-000056BC0000}"/>
    <cellStyle name="Normal 7 5 2 3 2 2 5" xfId="34601" xr:uid="{00000000-0005-0000-0000-000057BC0000}"/>
    <cellStyle name="Normal 7 5 2 3 2 2 6" xfId="34602" xr:uid="{00000000-0005-0000-0000-000058BC0000}"/>
    <cellStyle name="Normal 7 5 2 3 2 3" xfId="34603" xr:uid="{00000000-0005-0000-0000-000059BC0000}"/>
    <cellStyle name="Normal 7 5 2 3 2 3 2" xfId="59635" xr:uid="{00000000-0005-0000-0000-00005ABC0000}"/>
    <cellStyle name="Normal 7 5 2 3 2 3 3" xfId="59636" xr:uid="{00000000-0005-0000-0000-00005BBC0000}"/>
    <cellStyle name="Normal 7 5 2 3 2 4" xfId="34604" xr:uid="{00000000-0005-0000-0000-00005CBC0000}"/>
    <cellStyle name="Normal 7 5 2 3 2 4 2" xfId="59637" xr:uid="{00000000-0005-0000-0000-00005DBC0000}"/>
    <cellStyle name="Normal 7 5 2 3 2 5" xfId="34605" xr:uid="{00000000-0005-0000-0000-00005EBC0000}"/>
    <cellStyle name="Normal 7 5 2 3 2 6" xfId="34606" xr:uid="{00000000-0005-0000-0000-00005FBC0000}"/>
    <cellStyle name="Normal 7 5 2 3 2 7" xfId="34607" xr:uid="{00000000-0005-0000-0000-000060BC0000}"/>
    <cellStyle name="Normal 7 5 2 3 3" xfId="34608" xr:uid="{00000000-0005-0000-0000-000061BC0000}"/>
    <cellStyle name="Normal 7 5 2 3 3 2" xfId="34609" xr:uid="{00000000-0005-0000-0000-000062BC0000}"/>
    <cellStyle name="Normal 7 5 2 3 3 2 2" xfId="59638" xr:uid="{00000000-0005-0000-0000-000063BC0000}"/>
    <cellStyle name="Normal 7 5 2 3 3 2 3" xfId="59639" xr:uid="{00000000-0005-0000-0000-000064BC0000}"/>
    <cellStyle name="Normal 7 5 2 3 3 3" xfId="34610" xr:uid="{00000000-0005-0000-0000-000065BC0000}"/>
    <cellStyle name="Normal 7 5 2 3 3 3 2" xfId="59640" xr:uid="{00000000-0005-0000-0000-000066BC0000}"/>
    <cellStyle name="Normal 7 5 2 3 3 4" xfId="34611" xr:uid="{00000000-0005-0000-0000-000067BC0000}"/>
    <cellStyle name="Normal 7 5 2 3 3 5" xfId="34612" xr:uid="{00000000-0005-0000-0000-000068BC0000}"/>
    <cellStyle name="Normal 7 5 2 3 3 6" xfId="34613" xr:uid="{00000000-0005-0000-0000-000069BC0000}"/>
    <cellStyle name="Normal 7 5 2 3 4" xfId="34614" xr:uid="{00000000-0005-0000-0000-00006ABC0000}"/>
    <cellStyle name="Normal 7 5 2 3 4 2" xfId="59641" xr:uid="{00000000-0005-0000-0000-00006BBC0000}"/>
    <cellStyle name="Normal 7 5 2 3 4 3" xfId="59642" xr:uid="{00000000-0005-0000-0000-00006CBC0000}"/>
    <cellStyle name="Normal 7 5 2 3 5" xfId="34615" xr:uid="{00000000-0005-0000-0000-00006DBC0000}"/>
    <cellStyle name="Normal 7 5 2 3 5 2" xfId="59643" xr:uid="{00000000-0005-0000-0000-00006EBC0000}"/>
    <cellStyle name="Normal 7 5 2 3 6" xfId="34616" xr:uid="{00000000-0005-0000-0000-00006FBC0000}"/>
    <cellStyle name="Normal 7 5 2 3 7" xfId="34617" xr:uid="{00000000-0005-0000-0000-000070BC0000}"/>
    <cellStyle name="Normal 7 5 2 3 8" xfId="34618" xr:uid="{00000000-0005-0000-0000-000071BC0000}"/>
    <cellStyle name="Normal 7 5 2 4" xfId="34619" xr:uid="{00000000-0005-0000-0000-000072BC0000}"/>
    <cellStyle name="Normal 7 5 2 4 2" xfId="34620" xr:uid="{00000000-0005-0000-0000-000073BC0000}"/>
    <cellStyle name="Normal 7 5 2 4 2 2" xfId="34621" xr:uid="{00000000-0005-0000-0000-000074BC0000}"/>
    <cellStyle name="Normal 7 5 2 4 2 2 2" xfId="59644" xr:uid="{00000000-0005-0000-0000-000075BC0000}"/>
    <cellStyle name="Normal 7 5 2 4 2 2 3" xfId="59645" xr:uid="{00000000-0005-0000-0000-000076BC0000}"/>
    <cellStyle name="Normal 7 5 2 4 2 3" xfId="34622" xr:uid="{00000000-0005-0000-0000-000077BC0000}"/>
    <cellStyle name="Normal 7 5 2 4 2 3 2" xfId="59646" xr:uid="{00000000-0005-0000-0000-000078BC0000}"/>
    <cellStyle name="Normal 7 5 2 4 2 4" xfId="34623" xr:uid="{00000000-0005-0000-0000-000079BC0000}"/>
    <cellStyle name="Normal 7 5 2 4 2 5" xfId="34624" xr:uid="{00000000-0005-0000-0000-00007ABC0000}"/>
    <cellStyle name="Normal 7 5 2 4 2 6" xfId="34625" xr:uid="{00000000-0005-0000-0000-00007BBC0000}"/>
    <cellStyle name="Normal 7 5 2 4 3" xfId="34626" xr:uid="{00000000-0005-0000-0000-00007CBC0000}"/>
    <cellStyle name="Normal 7 5 2 4 3 2" xfId="59647" xr:uid="{00000000-0005-0000-0000-00007DBC0000}"/>
    <cellStyle name="Normal 7 5 2 4 3 3" xfId="59648" xr:uid="{00000000-0005-0000-0000-00007EBC0000}"/>
    <cellStyle name="Normal 7 5 2 4 4" xfId="34627" xr:uid="{00000000-0005-0000-0000-00007FBC0000}"/>
    <cellStyle name="Normal 7 5 2 4 4 2" xfId="59649" xr:uid="{00000000-0005-0000-0000-000080BC0000}"/>
    <cellStyle name="Normal 7 5 2 4 5" xfId="34628" xr:uid="{00000000-0005-0000-0000-000081BC0000}"/>
    <cellStyle name="Normal 7 5 2 4 6" xfId="34629" xr:uid="{00000000-0005-0000-0000-000082BC0000}"/>
    <cellStyle name="Normal 7 5 2 4 7" xfId="34630" xr:uid="{00000000-0005-0000-0000-000083BC0000}"/>
    <cellStyle name="Normal 7 5 2 5" xfId="34631" xr:uid="{00000000-0005-0000-0000-000084BC0000}"/>
    <cellStyle name="Normal 7 5 2 5 2" xfId="34632" xr:uid="{00000000-0005-0000-0000-000085BC0000}"/>
    <cellStyle name="Normal 7 5 2 5 2 2" xfId="59650" xr:uid="{00000000-0005-0000-0000-000086BC0000}"/>
    <cellStyle name="Normal 7 5 2 5 2 3" xfId="59651" xr:uid="{00000000-0005-0000-0000-000087BC0000}"/>
    <cellStyle name="Normal 7 5 2 5 3" xfId="34633" xr:uid="{00000000-0005-0000-0000-000088BC0000}"/>
    <cellStyle name="Normal 7 5 2 5 3 2" xfId="59652" xr:uid="{00000000-0005-0000-0000-000089BC0000}"/>
    <cellStyle name="Normal 7 5 2 5 4" xfId="34634" xr:uid="{00000000-0005-0000-0000-00008ABC0000}"/>
    <cellStyle name="Normal 7 5 2 5 5" xfId="34635" xr:uid="{00000000-0005-0000-0000-00008BBC0000}"/>
    <cellStyle name="Normal 7 5 2 5 6" xfId="34636" xr:uid="{00000000-0005-0000-0000-00008CBC0000}"/>
    <cellStyle name="Normal 7 5 2 6" xfId="34637" xr:uid="{00000000-0005-0000-0000-00008DBC0000}"/>
    <cellStyle name="Normal 7 5 2 6 2" xfId="59653" xr:uid="{00000000-0005-0000-0000-00008EBC0000}"/>
    <cellStyle name="Normal 7 5 2 6 3" xfId="59654" xr:uid="{00000000-0005-0000-0000-00008FBC0000}"/>
    <cellStyle name="Normal 7 5 2 7" xfId="34638" xr:uid="{00000000-0005-0000-0000-000090BC0000}"/>
    <cellStyle name="Normal 7 5 2 7 2" xfId="59655" xr:uid="{00000000-0005-0000-0000-000091BC0000}"/>
    <cellStyle name="Normal 7 5 2 8" xfId="34639" xr:uid="{00000000-0005-0000-0000-000092BC0000}"/>
    <cellStyle name="Normal 7 5 2 9" xfId="34640" xr:uid="{00000000-0005-0000-0000-000093BC0000}"/>
    <cellStyle name="Normal 7 5 3" xfId="34641" xr:uid="{00000000-0005-0000-0000-000094BC0000}"/>
    <cellStyle name="Normal 7 5 3 2" xfId="34642" xr:uid="{00000000-0005-0000-0000-000095BC0000}"/>
    <cellStyle name="Normal 7 5 3 2 2" xfId="34643" xr:uid="{00000000-0005-0000-0000-000096BC0000}"/>
    <cellStyle name="Normal 7 5 3 2 2 2" xfId="34644" xr:uid="{00000000-0005-0000-0000-000097BC0000}"/>
    <cellStyle name="Normal 7 5 3 2 2 2 2" xfId="59656" xr:uid="{00000000-0005-0000-0000-000098BC0000}"/>
    <cellStyle name="Normal 7 5 3 2 2 2 3" xfId="59657" xr:uid="{00000000-0005-0000-0000-000099BC0000}"/>
    <cellStyle name="Normal 7 5 3 2 2 3" xfId="34645" xr:uid="{00000000-0005-0000-0000-00009ABC0000}"/>
    <cellStyle name="Normal 7 5 3 2 2 3 2" xfId="59658" xr:uid="{00000000-0005-0000-0000-00009BBC0000}"/>
    <cellStyle name="Normal 7 5 3 2 2 4" xfId="34646" xr:uid="{00000000-0005-0000-0000-00009CBC0000}"/>
    <cellStyle name="Normal 7 5 3 2 2 5" xfId="34647" xr:uid="{00000000-0005-0000-0000-00009DBC0000}"/>
    <cellStyle name="Normal 7 5 3 2 2 6" xfId="34648" xr:uid="{00000000-0005-0000-0000-00009EBC0000}"/>
    <cellStyle name="Normal 7 5 3 2 3" xfId="34649" xr:uid="{00000000-0005-0000-0000-00009FBC0000}"/>
    <cellStyle name="Normal 7 5 3 2 3 2" xfId="59659" xr:uid="{00000000-0005-0000-0000-0000A0BC0000}"/>
    <cellStyle name="Normal 7 5 3 2 3 3" xfId="59660" xr:uid="{00000000-0005-0000-0000-0000A1BC0000}"/>
    <cellStyle name="Normal 7 5 3 2 4" xfId="34650" xr:uid="{00000000-0005-0000-0000-0000A2BC0000}"/>
    <cellStyle name="Normal 7 5 3 2 4 2" xfId="59661" xr:uid="{00000000-0005-0000-0000-0000A3BC0000}"/>
    <cellStyle name="Normal 7 5 3 2 5" xfId="34651" xr:uid="{00000000-0005-0000-0000-0000A4BC0000}"/>
    <cellStyle name="Normal 7 5 3 2 6" xfId="34652" xr:uid="{00000000-0005-0000-0000-0000A5BC0000}"/>
    <cellStyle name="Normal 7 5 3 2 7" xfId="34653" xr:uid="{00000000-0005-0000-0000-0000A6BC0000}"/>
    <cellStyle name="Normal 7 5 3 3" xfId="34654" xr:uid="{00000000-0005-0000-0000-0000A7BC0000}"/>
    <cellStyle name="Normal 7 5 3 3 2" xfId="34655" xr:uid="{00000000-0005-0000-0000-0000A8BC0000}"/>
    <cellStyle name="Normal 7 5 3 3 2 2" xfId="59662" xr:uid="{00000000-0005-0000-0000-0000A9BC0000}"/>
    <cellStyle name="Normal 7 5 3 3 2 3" xfId="59663" xr:uid="{00000000-0005-0000-0000-0000AABC0000}"/>
    <cellStyle name="Normal 7 5 3 3 3" xfId="34656" xr:uid="{00000000-0005-0000-0000-0000ABBC0000}"/>
    <cellStyle name="Normal 7 5 3 3 3 2" xfId="59664" xr:uid="{00000000-0005-0000-0000-0000ACBC0000}"/>
    <cellStyle name="Normal 7 5 3 3 4" xfId="34657" xr:uid="{00000000-0005-0000-0000-0000ADBC0000}"/>
    <cellStyle name="Normal 7 5 3 3 5" xfId="34658" xr:uid="{00000000-0005-0000-0000-0000AEBC0000}"/>
    <cellStyle name="Normal 7 5 3 3 6" xfId="34659" xr:uid="{00000000-0005-0000-0000-0000AFBC0000}"/>
    <cellStyle name="Normal 7 5 3 4" xfId="34660" xr:uid="{00000000-0005-0000-0000-0000B0BC0000}"/>
    <cellStyle name="Normal 7 5 3 4 2" xfId="59665" xr:uid="{00000000-0005-0000-0000-0000B1BC0000}"/>
    <cellStyle name="Normal 7 5 3 4 3" xfId="59666" xr:uid="{00000000-0005-0000-0000-0000B2BC0000}"/>
    <cellStyle name="Normal 7 5 3 5" xfId="34661" xr:uid="{00000000-0005-0000-0000-0000B3BC0000}"/>
    <cellStyle name="Normal 7 5 3 5 2" xfId="59667" xr:uid="{00000000-0005-0000-0000-0000B4BC0000}"/>
    <cellStyle name="Normal 7 5 3 6" xfId="34662" xr:uid="{00000000-0005-0000-0000-0000B5BC0000}"/>
    <cellStyle name="Normal 7 5 3 7" xfId="34663" xr:uid="{00000000-0005-0000-0000-0000B6BC0000}"/>
    <cellStyle name="Normal 7 5 3 8" xfId="34664" xr:uid="{00000000-0005-0000-0000-0000B7BC0000}"/>
    <cellStyle name="Normal 7 5 3 9" xfId="34665" xr:uid="{00000000-0005-0000-0000-0000B8BC0000}"/>
    <cellStyle name="Normal 7 5 4" xfId="34666" xr:uid="{00000000-0005-0000-0000-0000B9BC0000}"/>
    <cellStyle name="Normal 7 5 4 2" xfId="34667" xr:uid="{00000000-0005-0000-0000-0000BABC0000}"/>
    <cellStyle name="Normal 7 5 4 2 2" xfId="34668" xr:uid="{00000000-0005-0000-0000-0000BBBC0000}"/>
    <cellStyle name="Normal 7 5 4 2 2 2" xfId="34669" xr:uid="{00000000-0005-0000-0000-0000BCBC0000}"/>
    <cellStyle name="Normal 7 5 4 2 2 2 2" xfId="59668" xr:uid="{00000000-0005-0000-0000-0000BDBC0000}"/>
    <cellStyle name="Normal 7 5 4 2 2 2 3" xfId="59669" xr:uid="{00000000-0005-0000-0000-0000BEBC0000}"/>
    <cellStyle name="Normal 7 5 4 2 2 3" xfId="34670" xr:uid="{00000000-0005-0000-0000-0000BFBC0000}"/>
    <cellStyle name="Normal 7 5 4 2 2 3 2" xfId="59670" xr:uid="{00000000-0005-0000-0000-0000C0BC0000}"/>
    <cellStyle name="Normal 7 5 4 2 2 4" xfId="34671" xr:uid="{00000000-0005-0000-0000-0000C1BC0000}"/>
    <cellStyle name="Normal 7 5 4 2 2 5" xfId="34672" xr:uid="{00000000-0005-0000-0000-0000C2BC0000}"/>
    <cellStyle name="Normal 7 5 4 2 2 6" xfId="34673" xr:uid="{00000000-0005-0000-0000-0000C3BC0000}"/>
    <cellStyle name="Normal 7 5 4 2 3" xfId="34674" xr:uid="{00000000-0005-0000-0000-0000C4BC0000}"/>
    <cellStyle name="Normal 7 5 4 2 3 2" xfId="59671" xr:uid="{00000000-0005-0000-0000-0000C5BC0000}"/>
    <cellStyle name="Normal 7 5 4 2 3 3" xfId="59672" xr:uid="{00000000-0005-0000-0000-0000C6BC0000}"/>
    <cellStyle name="Normal 7 5 4 2 4" xfId="34675" xr:uid="{00000000-0005-0000-0000-0000C7BC0000}"/>
    <cellStyle name="Normal 7 5 4 2 4 2" xfId="59673" xr:uid="{00000000-0005-0000-0000-0000C8BC0000}"/>
    <cellStyle name="Normal 7 5 4 2 5" xfId="34676" xr:uid="{00000000-0005-0000-0000-0000C9BC0000}"/>
    <cellStyle name="Normal 7 5 4 2 6" xfId="34677" xr:uid="{00000000-0005-0000-0000-0000CABC0000}"/>
    <cellStyle name="Normal 7 5 4 2 7" xfId="34678" xr:uid="{00000000-0005-0000-0000-0000CBBC0000}"/>
    <cellStyle name="Normal 7 5 4 3" xfId="34679" xr:uid="{00000000-0005-0000-0000-0000CCBC0000}"/>
    <cellStyle name="Normal 7 5 4 3 2" xfId="34680" xr:uid="{00000000-0005-0000-0000-0000CDBC0000}"/>
    <cellStyle name="Normal 7 5 4 3 2 2" xfId="59674" xr:uid="{00000000-0005-0000-0000-0000CEBC0000}"/>
    <cellStyle name="Normal 7 5 4 3 2 3" xfId="59675" xr:uid="{00000000-0005-0000-0000-0000CFBC0000}"/>
    <cellStyle name="Normal 7 5 4 3 3" xfId="34681" xr:uid="{00000000-0005-0000-0000-0000D0BC0000}"/>
    <cellStyle name="Normal 7 5 4 3 3 2" xfId="59676" xr:uid="{00000000-0005-0000-0000-0000D1BC0000}"/>
    <cellStyle name="Normal 7 5 4 3 4" xfId="34682" xr:uid="{00000000-0005-0000-0000-0000D2BC0000}"/>
    <cellStyle name="Normal 7 5 4 3 5" xfId="34683" xr:uid="{00000000-0005-0000-0000-0000D3BC0000}"/>
    <cellStyle name="Normal 7 5 4 3 6" xfId="34684" xr:uid="{00000000-0005-0000-0000-0000D4BC0000}"/>
    <cellStyle name="Normal 7 5 4 4" xfId="34685" xr:uid="{00000000-0005-0000-0000-0000D5BC0000}"/>
    <cellStyle name="Normal 7 5 4 4 2" xfId="59677" xr:uid="{00000000-0005-0000-0000-0000D6BC0000}"/>
    <cellStyle name="Normal 7 5 4 4 3" xfId="59678" xr:uid="{00000000-0005-0000-0000-0000D7BC0000}"/>
    <cellStyle name="Normal 7 5 4 5" xfId="34686" xr:uid="{00000000-0005-0000-0000-0000D8BC0000}"/>
    <cellStyle name="Normal 7 5 4 5 2" xfId="59679" xr:uid="{00000000-0005-0000-0000-0000D9BC0000}"/>
    <cellStyle name="Normal 7 5 4 6" xfId="34687" xr:uid="{00000000-0005-0000-0000-0000DABC0000}"/>
    <cellStyle name="Normal 7 5 4 7" xfId="34688" xr:uid="{00000000-0005-0000-0000-0000DBBC0000}"/>
    <cellStyle name="Normal 7 5 4 8" xfId="34689" xr:uid="{00000000-0005-0000-0000-0000DCBC0000}"/>
    <cellStyle name="Normal 7 5 5" xfId="34690" xr:uid="{00000000-0005-0000-0000-0000DDBC0000}"/>
    <cellStyle name="Normal 7 5 5 2" xfId="34691" xr:uid="{00000000-0005-0000-0000-0000DEBC0000}"/>
    <cellStyle name="Normal 7 5 5 2 2" xfId="34692" xr:uid="{00000000-0005-0000-0000-0000DFBC0000}"/>
    <cellStyle name="Normal 7 5 5 2 2 2" xfId="59680" xr:uid="{00000000-0005-0000-0000-0000E0BC0000}"/>
    <cellStyle name="Normal 7 5 5 2 2 3" xfId="59681" xr:uid="{00000000-0005-0000-0000-0000E1BC0000}"/>
    <cellStyle name="Normal 7 5 5 2 3" xfId="34693" xr:uid="{00000000-0005-0000-0000-0000E2BC0000}"/>
    <cellStyle name="Normal 7 5 5 2 3 2" xfId="59682" xr:uid="{00000000-0005-0000-0000-0000E3BC0000}"/>
    <cellStyle name="Normal 7 5 5 2 4" xfId="34694" xr:uid="{00000000-0005-0000-0000-0000E4BC0000}"/>
    <cellStyle name="Normal 7 5 5 2 5" xfId="34695" xr:uid="{00000000-0005-0000-0000-0000E5BC0000}"/>
    <cellStyle name="Normal 7 5 5 2 6" xfId="34696" xr:uid="{00000000-0005-0000-0000-0000E6BC0000}"/>
    <cellStyle name="Normal 7 5 5 3" xfId="34697" xr:uid="{00000000-0005-0000-0000-0000E7BC0000}"/>
    <cellStyle name="Normal 7 5 5 3 2" xfId="59683" xr:uid="{00000000-0005-0000-0000-0000E8BC0000}"/>
    <cellStyle name="Normal 7 5 5 3 3" xfId="59684" xr:uid="{00000000-0005-0000-0000-0000E9BC0000}"/>
    <cellStyle name="Normal 7 5 5 4" xfId="34698" xr:uid="{00000000-0005-0000-0000-0000EABC0000}"/>
    <cellStyle name="Normal 7 5 5 4 2" xfId="59685" xr:uid="{00000000-0005-0000-0000-0000EBBC0000}"/>
    <cellStyle name="Normal 7 5 5 5" xfId="34699" xr:uid="{00000000-0005-0000-0000-0000ECBC0000}"/>
    <cellStyle name="Normal 7 5 5 6" xfId="34700" xr:uid="{00000000-0005-0000-0000-0000EDBC0000}"/>
    <cellStyle name="Normal 7 5 5 7" xfId="34701" xr:uid="{00000000-0005-0000-0000-0000EEBC0000}"/>
    <cellStyle name="Normal 7 5 6" xfId="34702" xr:uid="{00000000-0005-0000-0000-0000EFBC0000}"/>
    <cellStyle name="Normal 7 5 6 2" xfId="34703" xr:uid="{00000000-0005-0000-0000-0000F0BC0000}"/>
    <cellStyle name="Normal 7 5 6 2 2" xfId="59686" xr:uid="{00000000-0005-0000-0000-0000F1BC0000}"/>
    <cellStyle name="Normal 7 5 6 2 3" xfId="59687" xr:uid="{00000000-0005-0000-0000-0000F2BC0000}"/>
    <cellStyle name="Normal 7 5 6 3" xfId="34704" xr:uid="{00000000-0005-0000-0000-0000F3BC0000}"/>
    <cellStyle name="Normal 7 5 6 3 2" xfId="59688" xr:uid="{00000000-0005-0000-0000-0000F4BC0000}"/>
    <cellStyle name="Normal 7 5 6 4" xfId="34705" xr:uid="{00000000-0005-0000-0000-0000F5BC0000}"/>
    <cellStyle name="Normal 7 5 6 5" xfId="34706" xr:uid="{00000000-0005-0000-0000-0000F6BC0000}"/>
    <cellStyle name="Normal 7 5 6 6" xfId="34707" xr:uid="{00000000-0005-0000-0000-0000F7BC0000}"/>
    <cellStyle name="Normal 7 5 7" xfId="34708" xr:uid="{00000000-0005-0000-0000-0000F8BC0000}"/>
    <cellStyle name="Normal 7 5 7 2" xfId="59689" xr:uid="{00000000-0005-0000-0000-0000F9BC0000}"/>
    <cellStyle name="Normal 7 5 8" xfId="34709" xr:uid="{00000000-0005-0000-0000-0000FABC0000}"/>
    <cellStyle name="Normal 7 5 9" xfId="34710" xr:uid="{00000000-0005-0000-0000-0000FBBC0000}"/>
    <cellStyle name="Normal 7 6" xfId="34711" xr:uid="{00000000-0005-0000-0000-0000FCBC0000}"/>
    <cellStyle name="Normal 7 6 10" xfId="34712" xr:uid="{00000000-0005-0000-0000-0000FDBC0000}"/>
    <cellStyle name="Normal 7 6 11" xfId="34713" xr:uid="{00000000-0005-0000-0000-0000FEBC0000}"/>
    <cellStyle name="Normal 7 6 12" xfId="34714" xr:uid="{00000000-0005-0000-0000-0000FFBC0000}"/>
    <cellStyle name="Normal 7 6 13" xfId="34715" xr:uid="{00000000-0005-0000-0000-000000BD0000}"/>
    <cellStyle name="Normal 7 6 14" xfId="34716" xr:uid="{00000000-0005-0000-0000-000001BD0000}"/>
    <cellStyle name="Normal 7 6 15" xfId="34717" xr:uid="{00000000-0005-0000-0000-000002BD0000}"/>
    <cellStyle name="Normal 7 6 2" xfId="34718" xr:uid="{00000000-0005-0000-0000-000003BD0000}"/>
    <cellStyle name="Normal 7 6 2 2" xfId="34719" xr:uid="{00000000-0005-0000-0000-000004BD0000}"/>
    <cellStyle name="Normal 7 6 2 2 2" xfId="34720" xr:uid="{00000000-0005-0000-0000-000005BD0000}"/>
    <cellStyle name="Normal 7 6 2 2 2 2" xfId="34721" xr:uid="{00000000-0005-0000-0000-000006BD0000}"/>
    <cellStyle name="Normal 7 6 2 2 2 2 2" xfId="59690" xr:uid="{00000000-0005-0000-0000-000007BD0000}"/>
    <cellStyle name="Normal 7 6 2 2 2 2 3" xfId="59691" xr:uid="{00000000-0005-0000-0000-000008BD0000}"/>
    <cellStyle name="Normal 7 6 2 2 2 3" xfId="34722" xr:uid="{00000000-0005-0000-0000-000009BD0000}"/>
    <cellStyle name="Normal 7 6 2 2 2 3 2" xfId="59692" xr:uid="{00000000-0005-0000-0000-00000ABD0000}"/>
    <cellStyle name="Normal 7 6 2 2 2 4" xfId="34723" xr:uid="{00000000-0005-0000-0000-00000BBD0000}"/>
    <cellStyle name="Normal 7 6 2 2 2 5" xfId="34724" xr:uid="{00000000-0005-0000-0000-00000CBD0000}"/>
    <cellStyle name="Normal 7 6 2 2 2 6" xfId="34725" xr:uid="{00000000-0005-0000-0000-00000DBD0000}"/>
    <cellStyle name="Normal 7 6 2 2 3" xfId="34726" xr:uid="{00000000-0005-0000-0000-00000EBD0000}"/>
    <cellStyle name="Normal 7 6 2 2 3 2" xfId="59693" xr:uid="{00000000-0005-0000-0000-00000FBD0000}"/>
    <cellStyle name="Normal 7 6 2 2 3 3" xfId="59694" xr:uid="{00000000-0005-0000-0000-000010BD0000}"/>
    <cellStyle name="Normal 7 6 2 2 4" xfId="34727" xr:uid="{00000000-0005-0000-0000-000011BD0000}"/>
    <cellStyle name="Normal 7 6 2 2 4 2" xfId="59695" xr:uid="{00000000-0005-0000-0000-000012BD0000}"/>
    <cellStyle name="Normal 7 6 2 2 5" xfId="34728" xr:uid="{00000000-0005-0000-0000-000013BD0000}"/>
    <cellStyle name="Normal 7 6 2 2 6" xfId="34729" xr:uid="{00000000-0005-0000-0000-000014BD0000}"/>
    <cellStyle name="Normal 7 6 2 2 7" xfId="34730" xr:uid="{00000000-0005-0000-0000-000015BD0000}"/>
    <cellStyle name="Normal 7 6 2 3" xfId="34731" xr:uid="{00000000-0005-0000-0000-000016BD0000}"/>
    <cellStyle name="Normal 7 6 2 3 2" xfId="34732" xr:uid="{00000000-0005-0000-0000-000017BD0000}"/>
    <cellStyle name="Normal 7 6 2 3 2 2" xfId="59696" xr:uid="{00000000-0005-0000-0000-000018BD0000}"/>
    <cellStyle name="Normal 7 6 2 3 2 3" xfId="59697" xr:uid="{00000000-0005-0000-0000-000019BD0000}"/>
    <cellStyle name="Normal 7 6 2 3 3" xfId="34733" xr:uid="{00000000-0005-0000-0000-00001ABD0000}"/>
    <cellStyle name="Normal 7 6 2 3 3 2" xfId="59698" xr:uid="{00000000-0005-0000-0000-00001BBD0000}"/>
    <cellStyle name="Normal 7 6 2 3 4" xfId="34734" xr:uid="{00000000-0005-0000-0000-00001CBD0000}"/>
    <cellStyle name="Normal 7 6 2 3 5" xfId="34735" xr:uid="{00000000-0005-0000-0000-00001DBD0000}"/>
    <cellStyle name="Normal 7 6 2 3 6" xfId="34736" xr:uid="{00000000-0005-0000-0000-00001EBD0000}"/>
    <cellStyle name="Normal 7 6 2 4" xfId="34737" xr:uid="{00000000-0005-0000-0000-00001FBD0000}"/>
    <cellStyle name="Normal 7 6 2 4 2" xfId="59699" xr:uid="{00000000-0005-0000-0000-000020BD0000}"/>
    <cellStyle name="Normal 7 6 2 4 3" xfId="59700" xr:uid="{00000000-0005-0000-0000-000021BD0000}"/>
    <cellStyle name="Normal 7 6 2 5" xfId="34738" xr:uid="{00000000-0005-0000-0000-000022BD0000}"/>
    <cellStyle name="Normal 7 6 2 5 2" xfId="59701" xr:uid="{00000000-0005-0000-0000-000023BD0000}"/>
    <cellStyle name="Normal 7 6 2 6" xfId="34739" xr:uid="{00000000-0005-0000-0000-000024BD0000}"/>
    <cellStyle name="Normal 7 6 2 7" xfId="34740" xr:uid="{00000000-0005-0000-0000-000025BD0000}"/>
    <cellStyle name="Normal 7 6 2 8" xfId="34741" xr:uid="{00000000-0005-0000-0000-000026BD0000}"/>
    <cellStyle name="Normal 7 6 2 9" xfId="34742" xr:uid="{00000000-0005-0000-0000-000027BD0000}"/>
    <cellStyle name="Normal 7 6 3" xfId="34743" xr:uid="{00000000-0005-0000-0000-000028BD0000}"/>
    <cellStyle name="Normal 7 6 3 2" xfId="34744" xr:uid="{00000000-0005-0000-0000-000029BD0000}"/>
    <cellStyle name="Normal 7 6 3 2 2" xfId="34745" xr:uid="{00000000-0005-0000-0000-00002ABD0000}"/>
    <cellStyle name="Normal 7 6 3 2 2 2" xfId="34746" xr:uid="{00000000-0005-0000-0000-00002BBD0000}"/>
    <cellStyle name="Normal 7 6 3 2 2 2 2" xfId="59702" xr:uid="{00000000-0005-0000-0000-00002CBD0000}"/>
    <cellStyle name="Normal 7 6 3 2 2 2 3" xfId="59703" xr:uid="{00000000-0005-0000-0000-00002DBD0000}"/>
    <cellStyle name="Normal 7 6 3 2 2 3" xfId="34747" xr:uid="{00000000-0005-0000-0000-00002EBD0000}"/>
    <cellStyle name="Normal 7 6 3 2 2 3 2" xfId="59704" xr:uid="{00000000-0005-0000-0000-00002FBD0000}"/>
    <cellStyle name="Normal 7 6 3 2 2 4" xfId="34748" xr:uid="{00000000-0005-0000-0000-000030BD0000}"/>
    <cellStyle name="Normal 7 6 3 2 2 5" xfId="34749" xr:uid="{00000000-0005-0000-0000-000031BD0000}"/>
    <cellStyle name="Normal 7 6 3 2 2 6" xfId="34750" xr:uid="{00000000-0005-0000-0000-000032BD0000}"/>
    <cellStyle name="Normal 7 6 3 2 3" xfId="34751" xr:uid="{00000000-0005-0000-0000-000033BD0000}"/>
    <cellStyle name="Normal 7 6 3 2 3 2" xfId="59705" xr:uid="{00000000-0005-0000-0000-000034BD0000}"/>
    <cellStyle name="Normal 7 6 3 2 3 3" xfId="59706" xr:uid="{00000000-0005-0000-0000-000035BD0000}"/>
    <cellStyle name="Normal 7 6 3 2 4" xfId="34752" xr:uid="{00000000-0005-0000-0000-000036BD0000}"/>
    <cellStyle name="Normal 7 6 3 2 4 2" xfId="59707" xr:uid="{00000000-0005-0000-0000-000037BD0000}"/>
    <cellStyle name="Normal 7 6 3 2 5" xfId="34753" xr:uid="{00000000-0005-0000-0000-000038BD0000}"/>
    <cellStyle name="Normal 7 6 3 2 6" xfId="34754" xr:uid="{00000000-0005-0000-0000-000039BD0000}"/>
    <cellStyle name="Normal 7 6 3 2 7" xfId="34755" xr:uid="{00000000-0005-0000-0000-00003ABD0000}"/>
    <cellStyle name="Normal 7 6 3 3" xfId="34756" xr:uid="{00000000-0005-0000-0000-00003BBD0000}"/>
    <cellStyle name="Normal 7 6 3 3 2" xfId="34757" xr:uid="{00000000-0005-0000-0000-00003CBD0000}"/>
    <cellStyle name="Normal 7 6 3 3 2 2" xfId="59708" xr:uid="{00000000-0005-0000-0000-00003DBD0000}"/>
    <cellStyle name="Normal 7 6 3 3 2 3" xfId="59709" xr:uid="{00000000-0005-0000-0000-00003EBD0000}"/>
    <cellStyle name="Normal 7 6 3 3 3" xfId="34758" xr:uid="{00000000-0005-0000-0000-00003FBD0000}"/>
    <cellStyle name="Normal 7 6 3 3 3 2" xfId="59710" xr:uid="{00000000-0005-0000-0000-000040BD0000}"/>
    <cellStyle name="Normal 7 6 3 3 4" xfId="34759" xr:uid="{00000000-0005-0000-0000-000041BD0000}"/>
    <cellStyle name="Normal 7 6 3 3 5" xfId="34760" xr:uid="{00000000-0005-0000-0000-000042BD0000}"/>
    <cellStyle name="Normal 7 6 3 3 6" xfId="34761" xr:uid="{00000000-0005-0000-0000-000043BD0000}"/>
    <cellStyle name="Normal 7 6 3 4" xfId="34762" xr:uid="{00000000-0005-0000-0000-000044BD0000}"/>
    <cellStyle name="Normal 7 6 3 4 2" xfId="59711" xr:uid="{00000000-0005-0000-0000-000045BD0000}"/>
    <cellStyle name="Normal 7 6 3 4 3" xfId="59712" xr:uid="{00000000-0005-0000-0000-000046BD0000}"/>
    <cellStyle name="Normal 7 6 3 5" xfId="34763" xr:uid="{00000000-0005-0000-0000-000047BD0000}"/>
    <cellStyle name="Normal 7 6 3 5 2" xfId="59713" xr:uid="{00000000-0005-0000-0000-000048BD0000}"/>
    <cellStyle name="Normal 7 6 3 6" xfId="34764" xr:uid="{00000000-0005-0000-0000-000049BD0000}"/>
    <cellStyle name="Normal 7 6 3 7" xfId="34765" xr:uid="{00000000-0005-0000-0000-00004ABD0000}"/>
    <cellStyle name="Normal 7 6 3 8" xfId="34766" xr:uid="{00000000-0005-0000-0000-00004BBD0000}"/>
    <cellStyle name="Normal 7 6 4" xfId="34767" xr:uid="{00000000-0005-0000-0000-00004CBD0000}"/>
    <cellStyle name="Normal 7 6 4 2" xfId="34768" xr:uid="{00000000-0005-0000-0000-00004DBD0000}"/>
    <cellStyle name="Normal 7 6 4 2 2" xfId="34769" xr:uid="{00000000-0005-0000-0000-00004EBD0000}"/>
    <cellStyle name="Normal 7 6 4 2 2 2" xfId="59714" xr:uid="{00000000-0005-0000-0000-00004FBD0000}"/>
    <cellStyle name="Normal 7 6 4 2 2 3" xfId="59715" xr:uid="{00000000-0005-0000-0000-000050BD0000}"/>
    <cellStyle name="Normal 7 6 4 2 3" xfId="34770" xr:uid="{00000000-0005-0000-0000-000051BD0000}"/>
    <cellStyle name="Normal 7 6 4 2 3 2" xfId="59716" xr:uid="{00000000-0005-0000-0000-000052BD0000}"/>
    <cellStyle name="Normal 7 6 4 2 4" xfId="34771" xr:uid="{00000000-0005-0000-0000-000053BD0000}"/>
    <cellStyle name="Normal 7 6 4 2 5" xfId="34772" xr:uid="{00000000-0005-0000-0000-000054BD0000}"/>
    <cellStyle name="Normal 7 6 4 2 6" xfId="34773" xr:uid="{00000000-0005-0000-0000-000055BD0000}"/>
    <cellStyle name="Normal 7 6 4 3" xfId="34774" xr:uid="{00000000-0005-0000-0000-000056BD0000}"/>
    <cellStyle name="Normal 7 6 4 3 2" xfId="59717" xr:uid="{00000000-0005-0000-0000-000057BD0000}"/>
    <cellStyle name="Normal 7 6 4 3 3" xfId="59718" xr:uid="{00000000-0005-0000-0000-000058BD0000}"/>
    <cellStyle name="Normal 7 6 4 4" xfId="34775" xr:uid="{00000000-0005-0000-0000-000059BD0000}"/>
    <cellStyle name="Normal 7 6 4 4 2" xfId="59719" xr:uid="{00000000-0005-0000-0000-00005ABD0000}"/>
    <cellStyle name="Normal 7 6 4 5" xfId="34776" xr:uid="{00000000-0005-0000-0000-00005BBD0000}"/>
    <cellStyle name="Normal 7 6 4 6" xfId="34777" xr:uid="{00000000-0005-0000-0000-00005CBD0000}"/>
    <cellStyle name="Normal 7 6 4 7" xfId="34778" xr:uid="{00000000-0005-0000-0000-00005DBD0000}"/>
    <cellStyle name="Normal 7 6 5" xfId="34779" xr:uid="{00000000-0005-0000-0000-00005EBD0000}"/>
    <cellStyle name="Normal 7 6 5 2" xfId="34780" xr:uid="{00000000-0005-0000-0000-00005FBD0000}"/>
    <cellStyle name="Normal 7 6 5 2 2" xfId="59720" xr:uid="{00000000-0005-0000-0000-000060BD0000}"/>
    <cellStyle name="Normal 7 6 5 2 3" xfId="59721" xr:uid="{00000000-0005-0000-0000-000061BD0000}"/>
    <cellStyle name="Normal 7 6 5 3" xfId="34781" xr:uid="{00000000-0005-0000-0000-000062BD0000}"/>
    <cellStyle name="Normal 7 6 5 3 2" xfId="59722" xr:uid="{00000000-0005-0000-0000-000063BD0000}"/>
    <cellStyle name="Normal 7 6 5 4" xfId="34782" xr:uid="{00000000-0005-0000-0000-000064BD0000}"/>
    <cellStyle name="Normal 7 6 5 5" xfId="34783" xr:uid="{00000000-0005-0000-0000-000065BD0000}"/>
    <cellStyle name="Normal 7 6 5 6" xfId="34784" xr:uid="{00000000-0005-0000-0000-000066BD0000}"/>
    <cellStyle name="Normal 7 6 6" xfId="34785" xr:uid="{00000000-0005-0000-0000-000067BD0000}"/>
    <cellStyle name="Normal 7 6 6 2" xfId="59723" xr:uid="{00000000-0005-0000-0000-000068BD0000}"/>
    <cellStyle name="Normal 7 6 6 3" xfId="59724" xr:uid="{00000000-0005-0000-0000-000069BD0000}"/>
    <cellStyle name="Normal 7 6 7" xfId="34786" xr:uid="{00000000-0005-0000-0000-00006ABD0000}"/>
    <cellStyle name="Normal 7 6 7 2" xfId="59725" xr:uid="{00000000-0005-0000-0000-00006BBD0000}"/>
    <cellStyle name="Normal 7 6 8" xfId="34787" xr:uid="{00000000-0005-0000-0000-00006CBD0000}"/>
    <cellStyle name="Normal 7 6 8 2" xfId="59726" xr:uid="{00000000-0005-0000-0000-00006DBD0000}"/>
    <cellStyle name="Normal 7 6 9" xfId="34788" xr:uid="{00000000-0005-0000-0000-00006EBD0000}"/>
    <cellStyle name="Normal 7 7" xfId="34789" xr:uid="{00000000-0005-0000-0000-00006FBD0000}"/>
    <cellStyle name="Normal 7 7 10" xfId="34790" xr:uid="{00000000-0005-0000-0000-000070BD0000}"/>
    <cellStyle name="Normal 7 7 11" xfId="34791" xr:uid="{00000000-0005-0000-0000-000071BD0000}"/>
    <cellStyle name="Normal 7 7 12" xfId="34792" xr:uid="{00000000-0005-0000-0000-000072BD0000}"/>
    <cellStyle name="Normal 7 7 13" xfId="34793" xr:uid="{00000000-0005-0000-0000-000073BD0000}"/>
    <cellStyle name="Normal 7 7 14" xfId="34794" xr:uid="{00000000-0005-0000-0000-000074BD0000}"/>
    <cellStyle name="Normal 7 7 2" xfId="34795" xr:uid="{00000000-0005-0000-0000-000075BD0000}"/>
    <cellStyle name="Normal 7 7 2 2" xfId="34796" xr:uid="{00000000-0005-0000-0000-000076BD0000}"/>
    <cellStyle name="Normal 7 7 2 2 2" xfId="34797" xr:uid="{00000000-0005-0000-0000-000077BD0000}"/>
    <cellStyle name="Normal 7 7 2 2 2 2" xfId="34798" xr:uid="{00000000-0005-0000-0000-000078BD0000}"/>
    <cellStyle name="Normal 7 7 2 2 2 2 2" xfId="59727" xr:uid="{00000000-0005-0000-0000-000079BD0000}"/>
    <cellStyle name="Normal 7 7 2 2 2 2 3" xfId="59728" xr:uid="{00000000-0005-0000-0000-00007ABD0000}"/>
    <cellStyle name="Normal 7 7 2 2 2 3" xfId="34799" xr:uid="{00000000-0005-0000-0000-00007BBD0000}"/>
    <cellStyle name="Normal 7 7 2 2 2 3 2" xfId="59729" xr:uid="{00000000-0005-0000-0000-00007CBD0000}"/>
    <cellStyle name="Normal 7 7 2 2 2 4" xfId="34800" xr:uid="{00000000-0005-0000-0000-00007DBD0000}"/>
    <cellStyle name="Normal 7 7 2 2 2 5" xfId="34801" xr:uid="{00000000-0005-0000-0000-00007EBD0000}"/>
    <cellStyle name="Normal 7 7 2 2 2 6" xfId="34802" xr:uid="{00000000-0005-0000-0000-00007FBD0000}"/>
    <cellStyle name="Normal 7 7 2 2 3" xfId="34803" xr:uid="{00000000-0005-0000-0000-000080BD0000}"/>
    <cellStyle name="Normal 7 7 2 2 3 2" xfId="59730" xr:uid="{00000000-0005-0000-0000-000081BD0000}"/>
    <cellStyle name="Normal 7 7 2 2 3 3" xfId="59731" xr:uid="{00000000-0005-0000-0000-000082BD0000}"/>
    <cellStyle name="Normal 7 7 2 2 4" xfId="34804" xr:uid="{00000000-0005-0000-0000-000083BD0000}"/>
    <cellStyle name="Normal 7 7 2 2 4 2" xfId="59732" xr:uid="{00000000-0005-0000-0000-000084BD0000}"/>
    <cellStyle name="Normal 7 7 2 2 5" xfId="34805" xr:uid="{00000000-0005-0000-0000-000085BD0000}"/>
    <cellStyle name="Normal 7 7 2 2 6" xfId="34806" xr:uid="{00000000-0005-0000-0000-000086BD0000}"/>
    <cellStyle name="Normal 7 7 2 2 7" xfId="34807" xr:uid="{00000000-0005-0000-0000-000087BD0000}"/>
    <cellStyle name="Normal 7 7 2 3" xfId="34808" xr:uid="{00000000-0005-0000-0000-000088BD0000}"/>
    <cellStyle name="Normal 7 7 2 3 2" xfId="34809" xr:uid="{00000000-0005-0000-0000-000089BD0000}"/>
    <cellStyle name="Normal 7 7 2 3 2 2" xfId="59733" xr:uid="{00000000-0005-0000-0000-00008ABD0000}"/>
    <cellStyle name="Normal 7 7 2 3 2 3" xfId="59734" xr:uid="{00000000-0005-0000-0000-00008BBD0000}"/>
    <cellStyle name="Normal 7 7 2 3 3" xfId="34810" xr:uid="{00000000-0005-0000-0000-00008CBD0000}"/>
    <cellStyle name="Normal 7 7 2 3 3 2" xfId="59735" xr:uid="{00000000-0005-0000-0000-00008DBD0000}"/>
    <cellStyle name="Normal 7 7 2 3 4" xfId="34811" xr:uid="{00000000-0005-0000-0000-00008EBD0000}"/>
    <cellStyle name="Normal 7 7 2 3 5" xfId="34812" xr:uid="{00000000-0005-0000-0000-00008FBD0000}"/>
    <cellStyle name="Normal 7 7 2 3 6" xfId="34813" xr:uid="{00000000-0005-0000-0000-000090BD0000}"/>
    <cellStyle name="Normal 7 7 2 4" xfId="34814" xr:uid="{00000000-0005-0000-0000-000091BD0000}"/>
    <cellStyle name="Normal 7 7 2 4 2" xfId="59736" xr:uid="{00000000-0005-0000-0000-000092BD0000}"/>
    <cellStyle name="Normal 7 7 2 4 3" xfId="59737" xr:uid="{00000000-0005-0000-0000-000093BD0000}"/>
    <cellStyle name="Normal 7 7 2 5" xfId="34815" xr:uid="{00000000-0005-0000-0000-000094BD0000}"/>
    <cellStyle name="Normal 7 7 2 5 2" xfId="59738" xr:uid="{00000000-0005-0000-0000-000095BD0000}"/>
    <cellStyle name="Normal 7 7 2 6" xfId="34816" xr:uid="{00000000-0005-0000-0000-000096BD0000}"/>
    <cellStyle name="Normal 7 7 2 7" xfId="34817" xr:uid="{00000000-0005-0000-0000-000097BD0000}"/>
    <cellStyle name="Normal 7 7 2 8" xfId="34818" xr:uid="{00000000-0005-0000-0000-000098BD0000}"/>
    <cellStyle name="Normal 7 7 2 9" xfId="34819" xr:uid="{00000000-0005-0000-0000-000099BD0000}"/>
    <cellStyle name="Normal 7 7 3" xfId="34820" xr:uid="{00000000-0005-0000-0000-00009ABD0000}"/>
    <cellStyle name="Normal 7 7 3 2" xfId="34821" xr:uid="{00000000-0005-0000-0000-00009BBD0000}"/>
    <cellStyle name="Normal 7 7 3 2 2" xfId="34822" xr:uid="{00000000-0005-0000-0000-00009CBD0000}"/>
    <cellStyle name="Normal 7 7 3 2 2 2" xfId="34823" xr:uid="{00000000-0005-0000-0000-00009DBD0000}"/>
    <cellStyle name="Normal 7 7 3 2 2 2 2" xfId="59739" xr:uid="{00000000-0005-0000-0000-00009EBD0000}"/>
    <cellStyle name="Normal 7 7 3 2 2 2 3" xfId="59740" xr:uid="{00000000-0005-0000-0000-00009FBD0000}"/>
    <cellStyle name="Normal 7 7 3 2 2 3" xfId="34824" xr:uid="{00000000-0005-0000-0000-0000A0BD0000}"/>
    <cellStyle name="Normal 7 7 3 2 2 3 2" xfId="59741" xr:uid="{00000000-0005-0000-0000-0000A1BD0000}"/>
    <cellStyle name="Normal 7 7 3 2 2 4" xfId="34825" xr:uid="{00000000-0005-0000-0000-0000A2BD0000}"/>
    <cellStyle name="Normal 7 7 3 2 2 5" xfId="34826" xr:uid="{00000000-0005-0000-0000-0000A3BD0000}"/>
    <cellStyle name="Normal 7 7 3 2 2 6" xfId="34827" xr:uid="{00000000-0005-0000-0000-0000A4BD0000}"/>
    <cellStyle name="Normal 7 7 3 2 3" xfId="34828" xr:uid="{00000000-0005-0000-0000-0000A5BD0000}"/>
    <cellStyle name="Normal 7 7 3 2 3 2" xfId="59742" xr:uid="{00000000-0005-0000-0000-0000A6BD0000}"/>
    <cellStyle name="Normal 7 7 3 2 3 3" xfId="59743" xr:uid="{00000000-0005-0000-0000-0000A7BD0000}"/>
    <cellStyle name="Normal 7 7 3 2 4" xfId="34829" xr:uid="{00000000-0005-0000-0000-0000A8BD0000}"/>
    <cellStyle name="Normal 7 7 3 2 4 2" xfId="59744" xr:uid="{00000000-0005-0000-0000-0000A9BD0000}"/>
    <cellStyle name="Normal 7 7 3 2 5" xfId="34830" xr:uid="{00000000-0005-0000-0000-0000AABD0000}"/>
    <cellStyle name="Normal 7 7 3 2 6" xfId="34831" xr:uid="{00000000-0005-0000-0000-0000ABBD0000}"/>
    <cellStyle name="Normal 7 7 3 2 7" xfId="34832" xr:uid="{00000000-0005-0000-0000-0000ACBD0000}"/>
    <cellStyle name="Normal 7 7 3 3" xfId="34833" xr:uid="{00000000-0005-0000-0000-0000ADBD0000}"/>
    <cellStyle name="Normal 7 7 3 3 2" xfId="34834" xr:uid="{00000000-0005-0000-0000-0000AEBD0000}"/>
    <cellStyle name="Normal 7 7 3 3 2 2" xfId="59745" xr:uid="{00000000-0005-0000-0000-0000AFBD0000}"/>
    <cellStyle name="Normal 7 7 3 3 2 3" xfId="59746" xr:uid="{00000000-0005-0000-0000-0000B0BD0000}"/>
    <cellStyle name="Normal 7 7 3 3 3" xfId="34835" xr:uid="{00000000-0005-0000-0000-0000B1BD0000}"/>
    <cellStyle name="Normal 7 7 3 3 3 2" xfId="59747" xr:uid="{00000000-0005-0000-0000-0000B2BD0000}"/>
    <cellStyle name="Normal 7 7 3 3 4" xfId="34836" xr:uid="{00000000-0005-0000-0000-0000B3BD0000}"/>
    <cellStyle name="Normal 7 7 3 3 5" xfId="34837" xr:uid="{00000000-0005-0000-0000-0000B4BD0000}"/>
    <cellStyle name="Normal 7 7 3 3 6" xfId="34838" xr:uid="{00000000-0005-0000-0000-0000B5BD0000}"/>
    <cellStyle name="Normal 7 7 3 4" xfId="34839" xr:uid="{00000000-0005-0000-0000-0000B6BD0000}"/>
    <cellStyle name="Normal 7 7 3 4 2" xfId="59748" xr:uid="{00000000-0005-0000-0000-0000B7BD0000}"/>
    <cellStyle name="Normal 7 7 3 4 3" xfId="59749" xr:uid="{00000000-0005-0000-0000-0000B8BD0000}"/>
    <cellStyle name="Normal 7 7 3 5" xfId="34840" xr:uid="{00000000-0005-0000-0000-0000B9BD0000}"/>
    <cellStyle name="Normal 7 7 3 5 2" xfId="59750" xr:uid="{00000000-0005-0000-0000-0000BABD0000}"/>
    <cellStyle name="Normal 7 7 3 6" xfId="34841" xr:uid="{00000000-0005-0000-0000-0000BBBD0000}"/>
    <cellStyle name="Normal 7 7 3 7" xfId="34842" xr:uid="{00000000-0005-0000-0000-0000BCBD0000}"/>
    <cellStyle name="Normal 7 7 3 8" xfId="34843" xr:uid="{00000000-0005-0000-0000-0000BDBD0000}"/>
    <cellStyle name="Normal 7 7 4" xfId="34844" xr:uid="{00000000-0005-0000-0000-0000BEBD0000}"/>
    <cellStyle name="Normal 7 7 4 2" xfId="34845" xr:uid="{00000000-0005-0000-0000-0000BFBD0000}"/>
    <cellStyle name="Normal 7 7 4 2 2" xfId="34846" xr:uid="{00000000-0005-0000-0000-0000C0BD0000}"/>
    <cellStyle name="Normal 7 7 4 2 2 2" xfId="59751" xr:uid="{00000000-0005-0000-0000-0000C1BD0000}"/>
    <cellStyle name="Normal 7 7 4 2 2 3" xfId="59752" xr:uid="{00000000-0005-0000-0000-0000C2BD0000}"/>
    <cellStyle name="Normal 7 7 4 2 3" xfId="34847" xr:uid="{00000000-0005-0000-0000-0000C3BD0000}"/>
    <cellStyle name="Normal 7 7 4 2 3 2" xfId="59753" xr:uid="{00000000-0005-0000-0000-0000C4BD0000}"/>
    <cellStyle name="Normal 7 7 4 2 4" xfId="34848" xr:uid="{00000000-0005-0000-0000-0000C5BD0000}"/>
    <cellStyle name="Normal 7 7 4 2 5" xfId="34849" xr:uid="{00000000-0005-0000-0000-0000C6BD0000}"/>
    <cellStyle name="Normal 7 7 4 2 6" xfId="34850" xr:uid="{00000000-0005-0000-0000-0000C7BD0000}"/>
    <cellStyle name="Normal 7 7 4 3" xfId="34851" xr:uid="{00000000-0005-0000-0000-0000C8BD0000}"/>
    <cellStyle name="Normal 7 7 4 3 2" xfId="59754" xr:uid="{00000000-0005-0000-0000-0000C9BD0000}"/>
    <cellStyle name="Normal 7 7 4 3 3" xfId="59755" xr:uid="{00000000-0005-0000-0000-0000CABD0000}"/>
    <cellStyle name="Normal 7 7 4 4" xfId="34852" xr:uid="{00000000-0005-0000-0000-0000CBBD0000}"/>
    <cellStyle name="Normal 7 7 4 4 2" xfId="59756" xr:uid="{00000000-0005-0000-0000-0000CCBD0000}"/>
    <cellStyle name="Normal 7 7 4 5" xfId="34853" xr:uid="{00000000-0005-0000-0000-0000CDBD0000}"/>
    <cellStyle name="Normal 7 7 4 6" xfId="34854" xr:uid="{00000000-0005-0000-0000-0000CEBD0000}"/>
    <cellStyle name="Normal 7 7 4 7" xfId="34855" xr:uid="{00000000-0005-0000-0000-0000CFBD0000}"/>
    <cellStyle name="Normal 7 7 5" xfId="34856" xr:uid="{00000000-0005-0000-0000-0000D0BD0000}"/>
    <cellStyle name="Normal 7 7 5 2" xfId="34857" xr:uid="{00000000-0005-0000-0000-0000D1BD0000}"/>
    <cellStyle name="Normal 7 7 5 2 2" xfId="59757" xr:uid="{00000000-0005-0000-0000-0000D2BD0000}"/>
    <cellStyle name="Normal 7 7 5 2 3" xfId="59758" xr:uid="{00000000-0005-0000-0000-0000D3BD0000}"/>
    <cellStyle name="Normal 7 7 5 3" xfId="34858" xr:uid="{00000000-0005-0000-0000-0000D4BD0000}"/>
    <cellStyle name="Normal 7 7 5 3 2" xfId="59759" xr:uid="{00000000-0005-0000-0000-0000D5BD0000}"/>
    <cellStyle name="Normal 7 7 5 4" xfId="34859" xr:uid="{00000000-0005-0000-0000-0000D6BD0000}"/>
    <cellStyle name="Normal 7 7 5 5" xfId="34860" xr:uid="{00000000-0005-0000-0000-0000D7BD0000}"/>
    <cellStyle name="Normal 7 7 5 6" xfId="34861" xr:uid="{00000000-0005-0000-0000-0000D8BD0000}"/>
    <cellStyle name="Normal 7 7 6" xfId="34862" xr:uid="{00000000-0005-0000-0000-0000D9BD0000}"/>
    <cellStyle name="Normal 7 7 6 2" xfId="59760" xr:uid="{00000000-0005-0000-0000-0000DABD0000}"/>
    <cellStyle name="Normal 7 7 6 3" xfId="59761" xr:uid="{00000000-0005-0000-0000-0000DBBD0000}"/>
    <cellStyle name="Normal 7 7 7" xfId="34863" xr:uid="{00000000-0005-0000-0000-0000DCBD0000}"/>
    <cellStyle name="Normal 7 7 7 2" xfId="59762" xr:uid="{00000000-0005-0000-0000-0000DDBD0000}"/>
    <cellStyle name="Normal 7 7 8" xfId="34864" xr:uid="{00000000-0005-0000-0000-0000DEBD0000}"/>
    <cellStyle name="Normal 7 7 9" xfId="34865" xr:uid="{00000000-0005-0000-0000-0000DFBD0000}"/>
    <cellStyle name="Normal 7 8" xfId="34866" xr:uid="{00000000-0005-0000-0000-0000E0BD0000}"/>
    <cellStyle name="Normal 7 8 10" xfId="34867" xr:uid="{00000000-0005-0000-0000-0000E1BD0000}"/>
    <cellStyle name="Normal 7 8 11" xfId="34868" xr:uid="{00000000-0005-0000-0000-0000E2BD0000}"/>
    <cellStyle name="Normal 7 8 12" xfId="34869" xr:uid="{00000000-0005-0000-0000-0000E3BD0000}"/>
    <cellStyle name="Normal 7 8 13" xfId="34870" xr:uid="{00000000-0005-0000-0000-0000E4BD0000}"/>
    <cellStyle name="Normal 7 8 2" xfId="34871" xr:uid="{00000000-0005-0000-0000-0000E5BD0000}"/>
    <cellStyle name="Normal 7 8 2 2" xfId="34872" xr:uid="{00000000-0005-0000-0000-0000E6BD0000}"/>
    <cellStyle name="Normal 7 8 2 2 2" xfId="34873" xr:uid="{00000000-0005-0000-0000-0000E7BD0000}"/>
    <cellStyle name="Normal 7 8 2 2 2 2" xfId="34874" xr:uid="{00000000-0005-0000-0000-0000E8BD0000}"/>
    <cellStyle name="Normal 7 8 2 2 2 2 2" xfId="59763" xr:uid="{00000000-0005-0000-0000-0000E9BD0000}"/>
    <cellStyle name="Normal 7 8 2 2 2 2 3" xfId="59764" xr:uid="{00000000-0005-0000-0000-0000EABD0000}"/>
    <cellStyle name="Normal 7 8 2 2 2 3" xfId="34875" xr:uid="{00000000-0005-0000-0000-0000EBBD0000}"/>
    <cellStyle name="Normal 7 8 2 2 2 3 2" xfId="59765" xr:uid="{00000000-0005-0000-0000-0000ECBD0000}"/>
    <cellStyle name="Normal 7 8 2 2 2 4" xfId="34876" xr:uid="{00000000-0005-0000-0000-0000EDBD0000}"/>
    <cellStyle name="Normal 7 8 2 2 2 5" xfId="34877" xr:uid="{00000000-0005-0000-0000-0000EEBD0000}"/>
    <cellStyle name="Normal 7 8 2 2 2 6" xfId="34878" xr:uid="{00000000-0005-0000-0000-0000EFBD0000}"/>
    <cellStyle name="Normal 7 8 2 2 3" xfId="34879" xr:uid="{00000000-0005-0000-0000-0000F0BD0000}"/>
    <cellStyle name="Normal 7 8 2 2 3 2" xfId="59766" xr:uid="{00000000-0005-0000-0000-0000F1BD0000}"/>
    <cellStyle name="Normal 7 8 2 2 3 3" xfId="59767" xr:uid="{00000000-0005-0000-0000-0000F2BD0000}"/>
    <cellStyle name="Normal 7 8 2 2 4" xfId="34880" xr:uid="{00000000-0005-0000-0000-0000F3BD0000}"/>
    <cellStyle name="Normal 7 8 2 2 4 2" xfId="59768" xr:uid="{00000000-0005-0000-0000-0000F4BD0000}"/>
    <cellStyle name="Normal 7 8 2 2 5" xfId="34881" xr:uid="{00000000-0005-0000-0000-0000F5BD0000}"/>
    <cellStyle name="Normal 7 8 2 2 6" xfId="34882" xr:uid="{00000000-0005-0000-0000-0000F6BD0000}"/>
    <cellStyle name="Normal 7 8 2 2 7" xfId="34883" xr:uid="{00000000-0005-0000-0000-0000F7BD0000}"/>
    <cellStyle name="Normal 7 8 2 3" xfId="34884" xr:uid="{00000000-0005-0000-0000-0000F8BD0000}"/>
    <cellStyle name="Normal 7 8 2 3 2" xfId="34885" xr:uid="{00000000-0005-0000-0000-0000F9BD0000}"/>
    <cellStyle name="Normal 7 8 2 3 2 2" xfId="59769" xr:uid="{00000000-0005-0000-0000-0000FABD0000}"/>
    <cellStyle name="Normal 7 8 2 3 2 3" xfId="59770" xr:uid="{00000000-0005-0000-0000-0000FBBD0000}"/>
    <cellStyle name="Normal 7 8 2 3 3" xfId="34886" xr:uid="{00000000-0005-0000-0000-0000FCBD0000}"/>
    <cellStyle name="Normal 7 8 2 3 3 2" xfId="59771" xr:uid="{00000000-0005-0000-0000-0000FDBD0000}"/>
    <cellStyle name="Normal 7 8 2 3 4" xfId="34887" xr:uid="{00000000-0005-0000-0000-0000FEBD0000}"/>
    <cellStyle name="Normal 7 8 2 3 5" xfId="34888" xr:uid="{00000000-0005-0000-0000-0000FFBD0000}"/>
    <cellStyle name="Normal 7 8 2 3 6" xfId="34889" xr:uid="{00000000-0005-0000-0000-000000BE0000}"/>
    <cellStyle name="Normal 7 8 2 4" xfId="34890" xr:uid="{00000000-0005-0000-0000-000001BE0000}"/>
    <cellStyle name="Normal 7 8 2 4 2" xfId="59772" xr:uid="{00000000-0005-0000-0000-000002BE0000}"/>
    <cellStyle name="Normal 7 8 2 4 3" xfId="59773" xr:uid="{00000000-0005-0000-0000-000003BE0000}"/>
    <cellStyle name="Normal 7 8 2 5" xfId="34891" xr:uid="{00000000-0005-0000-0000-000004BE0000}"/>
    <cellStyle name="Normal 7 8 2 5 2" xfId="59774" xr:uid="{00000000-0005-0000-0000-000005BE0000}"/>
    <cellStyle name="Normal 7 8 2 6" xfId="34892" xr:uid="{00000000-0005-0000-0000-000006BE0000}"/>
    <cellStyle name="Normal 7 8 2 7" xfId="34893" xr:uid="{00000000-0005-0000-0000-000007BE0000}"/>
    <cellStyle name="Normal 7 8 2 8" xfId="34894" xr:uid="{00000000-0005-0000-0000-000008BE0000}"/>
    <cellStyle name="Normal 7 8 2 9" xfId="34895" xr:uid="{00000000-0005-0000-0000-000009BE0000}"/>
    <cellStyle name="Normal 7 8 3" xfId="34896" xr:uid="{00000000-0005-0000-0000-00000ABE0000}"/>
    <cellStyle name="Normal 7 8 3 2" xfId="34897" xr:uid="{00000000-0005-0000-0000-00000BBE0000}"/>
    <cellStyle name="Normal 7 8 3 2 2" xfId="34898" xr:uid="{00000000-0005-0000-0000-00000CBE0000}"/>
    <cellStyle name="Normal 7 8 3 2 2 2" xfId="59775" xr:uid="{00000000-0005-0000-0000-00000DBE0000}"/>
    <cellStyle name="Normal 7 8 3 2 2 3" xfId="59776" xr:uid="{00000000-0005-0000-0000-00000EBE0000}"/>
    <cellStyle name="Normal 7 8 3 2 3" xfId="34899" xr:uid="{00000000-0005-0000-0000-00000FBE0000}"/>
    <cellStyle name="Normal 7 8 3 2 3 2" xfId="59777" xr:uid="{00000000-0005-0000-0000-000010BE0000}"/>
    <cellStyle name="Normal 7 8 3 2 4" xfId="34900" xr:uid="{00000000-0005-0000-0000-000011BE0000}"/>
    <cellStyle name="Normal 7 8 3 2 5" xfId="34901" xr:uid="{00000000-0005-0000-0000-000012BE0000}"/>
    <cellStyle name="Normal 7 8 3 2 6" xfId="34902" xr:uid="{00000000-0005-0000-0000-000013BE0000}"/>
    <cellStyle name="Normal 7 8 3 3" xfId="34903" xr:uid="{00000000-0005-0000-0000-000014BE0000}"/>
    <cellStyle name="Normal 7 8 3 3 2" xfId="59778" xr:uid="{00000000-0005-0000-0000-000015BE0000}"/>
    <cellStyle name="Normal 7 8 3 3 3" xfId="59779" xr:uid="{00000000-0005-0000-0000-000016BE0000}"/>
    <cellStyle name="Normal 7 8 3 4" xfId="34904" xr:uid="{00000000-0005-0000-0000-000017BE0000}"/>
    <cellStyle name="Normal 7 8 3 4 2" xfId="59780" xr:uid="{00000000-0005-0000-0000-000018BE0000}"/>
    <cellStyle name="Normal 7 8 3 5" xfId="34905" xr:uid="{00000000-0005-0000-0000-000019BE0000}"/>
    <cellStyle name="Normal 7 8 3 6" xfId="34906" xr:uid="{00000000-0005-0000-0000-00001ABE0000}"/>
    <cellStyle name="Normal 7 8 3 7" xfId="34907" xr:uid="{00000000-0005-0000-0000-00001BBE0000}"/>
    <cellStyle name="Normal 7 8 4" xfId="34908" xr:uid="{00000000-0005-0000-0000-00001CBE0000}"/>
    <cellStyle name="Normal 7 8 4 2" xfId="34909" xr:uid="{00000000-0005-0000-0000-00001DBE0000}"/>
    <cellStyle name="Normal 7 8 4 2 2" xfId="59781" xr:uid="{00000000-0005-0000-0000-00001EBE0000}"/>
    <cellStyle name="Normal 7 8 4 2 3" xfId="59782" xr:uid="{00000000-0005-0000-0000-00001FBE0000}"/>
    <cellStyle name="Normal 7 8 4 3" xfId="34910" xr:uid="{00000000-0005-0000-0000-000020BE0000}"/>
    <cellStyle name="Normal 7 8 4 3 2" xfId="59783" xr:uid="{00000000-0005-0000-0000-000021BE0000}"/>
    <cellStyle name="Normal 7 8 4 4" xfId="34911" xr:uid="{00000000-0005-0000-0000-000022BE0000}"/>
    <cellStyle name="Normal 7 8 4 5" xfId="34912" xr:uid="{00000000-0005-0000-0000-000023BE0000}"/>
    <cellStyle name="Normal 7 8 4 6" xfId="34913" xr:uid="{00000000-0005-0000-0000-000024BE0000}"/>
    <cellStyle name="Normal 7 8 5" xfId="34914" xr:uid="{00000000-0005-0000-0000-000025BE0000}"/>
    <cellStyle name="Normal 7 8 5 2" xfId="59784" xr:uid="{00000000-0005-0000-0000-000026BE0000}"/>
    <cellStyle name="Normal 7 8 5 3" xfId="59785" xr:uid="{00000000-0005-0000-0000-000027BE0000}"/>
    <cellStyle name="Normal 7 8 6" xfId="34915" xr:uid="{00000000-0005-0000-0000-000028BE0000}"/>
    <cellStyle name="Normal 7 8 6 2" xfId="59786" xr:uid="{00000000-0005-0000-0000-000029BE0000}"/>
    <cellStyle name="Normal 7 8 7" xfId="34916" xr:uid="{00000000-0005-0000-0000-00002ABE0000}"/>
    <cellStyle name="Normal 7 8 8" xfId="34917" xr:uid="{00000000-0005-0000-0000-00002BBE0000}"/>
    <cellStyle name="Normal 7 8 9" xfId="34918" xr:uid="{00000000-0005-0000-0000-00002CBE0000}"/>
    <cellStyle name="Normal 7 9" xfId="34919" xr:uid="{00000000-0005-0000-0000-00002DBE0000}"/>
    <cellStyle name="Normal 7 9 2" xfId="34920" xr:uid="{00000000-0005-0000-0000-00002EBE0000}"/>
    <cellStyle name="Normal 7 9 2 2" xfId="34921" xr:uid="{00000000-0005-0000-0000-00002FBE0000}"/>
    <cellStyle name="Normal 7 9 2 2 2" xfId="34922" xr:uid="{00000000-0005-0000-0000-000030BE0000}"/>
    <cellStyle name="Normal 7 9 2 2 2 2" xfId="59787" xr:uid="{00000000-0005-0000-0000-000031BE0000}"/>
    <cellStyle name="Normal 7 9 2 2 2 3" xfId="59788" xr:uid="{00000000-0005-0000-0000-000032BE0000}"/>
    <cellStyle name="Normal 7 9 2 2 3" xfId="34923" xr:uid="{00000000-0005-0000-0000-000033BE0000}"/>
    <cellStyle name="Normal 7 9 2 2 3 2" xfId="59789" xr:uid="{00000000-0005-0000-0000-000034BE0000}"/>
    <cellStyle name="Normal 7 9 2 2 4" xfId="34924" xr:uid="{00000000-0005-0000-0000-000035BE0000}"/>
    <cellStyle name="Normal 7 9 2 2 5" xfId="34925" xr:uid="{00000000-0005-0000-0000-000036BE0000}"/>
    <cellStyle name="Normal 7 9 2 2 6" xfId="34926" xr:uid="{00000000-0005-0000-0000-000037BE0000}"/>
    <cellStyle name="Normal 7 9 2 3" xfId="34927" xr:uid="{00000000-0005-0000-0000-000038BE0000}"/>
    <cellStyle name="Normal 7 9 2 3 2" xfId="59790" xr:uid="{00000000-0005-0000-0000-000039BE0000}"/>
    <cellStyle name="Normal 7 9 2 3 3" xfId="59791" xr:uid="{00000000-0005-0000-0000-00003ABE0000}"/>
    <cellStyle name="Normal 7 9 2 4" xfId="34928" xr:uid="{00000000-0005-0000-0000-00003BBE0000}"/>
    <cellStyle name="Normal 7 9 2 4 2" xfId="59792" xr:uid="{00000000-0005-0000-0000-00003CBE0000}"/>
    <cellStyle name="Normal 7 9 2 5" xfId="34929" xr:uid="{00000000-0005-0000-0000-00003DBE0000}"/>
    <cellStyle name="Normal 7 9 2 6" xfId="34930" xr:uid="{00000000-0005-0000-0000-00003EBE0000}"/>
    <cellStyle name="Normal 7 9 2 7" xfId="34931" xr:uid="{00000000-0005-0000-0000-00003FBE0000}"/>
    <cellStyle name="Normal 7 9 3" xfId="34932" xr:uid="{00000000-0005-0000-0000-000040BE0000}"/>
    <cellStyle name="Normal 7 9 3 2" xfId="34933" xr:uid="{00000000-0005-0000-0000-000041BE0000}"/>
    <cellStyle name="Normal 7 9 3 2 2" xfId="59793" xr:uid="{00000000-0005-0000-0000-000042BE0000}"/>
    <cellStyle name="Normal 7 9 3 2 3" xfId="59794" xr:uid="{00000000-0005-0000-0000-000043BE0000}"/>
    <cellStyle name="Normal 7 9 3 3" xfId="34934" xr:uid="{00000000-0005-0000-0000-000044BE0000}"/>
    <cellStyle name="Normal 7 9 3 3 2" xfId="59795" xr:uid="{00000000-0005-0000-0000-000045BE0000}"/>
    <cellStyle name="Normal 7 9 3 4" xfId="34935" xr:uid="{00000000-0005-0000-0000-000046BE0000}"/>
    <cellStyle name="Normal 7 9 3 5" xfId="34936" xr:uid="{00000000-0005-0000-0000-000047BE0000}"/>
    <cellStyle name="Normal 7 9 3 6" xfId="34937" xr:uid="{00000000-0005-0000-0000-000048BE0000}"/>
    <cellStyle name="Normal 7 9 4" xfId="34938" xr:uid="{00000000-0005-0000-0000-000049BE0000}"/>
    <cellStyle name="Normal 7 9 4 2" xfId="59796" xr:uid="{00000000-0005-0000-0000-00004ABE0000}"/>
    <cellStyle name="Normal 7 9 4 3" xfId="59797" xr:uid="{00000000-0005-0000-0000-00004BBE0000}"/>
    <cellStyle name="Normal 7 9 5" xfId="34939" xr:uid="{00000000-0005-0000-0000-00004CBE0000}"/>
    <cellStyle name="Normal 7 9 5 2" xfId="59798" xr:uid="{00000000-0005-0000-0000-00004DBE0000}"/>
    <cellStyle name="Normal 7 9 6" xfId="34940" xr:uid="{00000000-0005-0000-0000-00004EBE0000}"/>
    <cellStyle name="Normal 7 9 7" xfId="34941" xr:uid="{00000000-0005-0000-0000-00004FBE0000}"/>
    <cellStyle name="Normal 7 9 8" xfId="34942" xr:uid="{00000000-0005-0000-0000-000050BE0000}"/>
    <cellStyle name="Normal 7 9 9" xfId="34943" xr:uid="{00000000-0005-0000-0000-000051BE0000}"/>
    <cellStyle name="Normal 7_Sheet2" xfId="34944" xr:uid="{00000000-0005-0000-0000-000052BE0000}"/>
    <cellStyle name="Normal 70" xfId="34945" xr:uid="{00000000-0005-0000-0000-000053BE0000}"/>
    <cellStyle name="Normal 70 10" xfId="34946" xr:uid="{00000000-0005-0000-0000-000054BE0000}"/>
    <cellStyle name="Normal 70 10 2" xfId="34947" xr:uid="{00000000-0005-0000-0000-000055BE0000}"/>
    <cellStyle name="Normal 70 11" xfId="34948" xr:uid="{00000000-0005-0000-0000-000056BE0000}"/>
    <cellStyle name="Normal 70 11 2" xfId="34949" xr:uid="{00000000-0005-0000-0000-000057BE0000}"/>
    <cellStyle name="Normal 70 12" xfId="34950" xr:uid="{00000000-0005-0000-0000-000058BE0000}"/>
    <cellStyle name="Normal 70 13" xfId="34951" xr:uid="{00000000-0005-0000-0000-000059BE0000}"/>
    <cellStyle name="Normal 70 2" xfId="34952" xr:uid="{00000000-0005-0000-0000-00005ABE0000}"/>
    <cellStyle name="Normal 70 2 10" xfId="34953" xr:uid="{00000000-0005-0000-0000-00005BBE0000}"/>
    <cellStyle name="Normal 70 2 10 2" xfId="34954" xr:uid="{00000000-0005-0000-0000-00005CBE0000}"/>
    <cellStyle name="Normal 70 2 11" xfId="34955" xr:uid="{00000000-0005-0000-0000-00005DBE0000}"/>
    <cellStyle name="Normal 70 2 2" xfId="34956" xr:uid="{00000000-0005-0000-0000-00005EBE0000}"/>
    <cellStyle name="Normal 70 2 2 2" xfId="34957" xr:uid="{00000000-0005-0000-0000-00005FBE0000}"/>
    <cellStyle name="Normal 70 2 2 2 2" xfId="34958" xr:uid="{00000000-0005-0000-0000-000060BE0000}"/>
    <cellStyle name="Normal 70 2 2 2 2 2" xfId="34959" xr:uid="{00000000-0005-0000-0000-000061BE0000}"/>
    <cellStyle name="Normal 70 2 2 2 3" xfId="34960" xr:uid="{00000000-0005-0000-0000-000062BE0000}"/>
    <cellStyle name="Normal 70 2 2 2 3 2" xfId="34961" xr:uid="{00000000-0005-0000-0000-000063BE0000}"/>
    <cellStyle name="Normal 70 2 2 2 4" xfId="34962" xr:uid="{00000000-0005-0000-0000-000064BE0000}"/>
    <cellStyle name="Normal 70 2 2 3" xfId="34963" xr:uid="{00000000-0005-0000-0000-000065BE0000}"/>
    <cellStyle name="Normal 70 2 2 3 2" xfId="34964" xr:uid="{00000000-0005-0000-0000-000066BE0000}"/>
    <cellStyle name="Normal 70 2 2 3 2 2" xfId="34965" xr:uid="{00000000-0005-0000-0000-000067BE0000}"/>
    <cellStyle name="Normal 70 2 2 3 3" xfId="34966" xr:uid="{00000000-0005-0000-0000-000068BE0000}"/>
    <cellStyle name="Normal 70 2 2 3 3 2" xfId="34967" xr:uid="{00000000-0005-0000-0000-000069BE0000}"/>
    <cellStyle name="Normal 70 2 2 3 4" xfId="34968" xr:uid="{00000000-0005-0000-0000-00006ABE0000}"/>
    <cellStyle name="Normal 70 2 2 4" xfId="34969" xr:uid="{00000000-0005-0000-0000-00006BBE0000}"/>
    <cellStyle name="Normal 70 2 2 4 2" xfId="34970" xr:uid="{00000000-0005-0000-0000-00006CBE0000}"/>
    <cellStyle name="Normal 70 2 2 5" xfId="34971" xr:uid="{00000000-0005-0000-0000-00006DBE0000}"/>
    <cellStyle name="Normal 70 2 2 5 2" xfId="34972" xr:uid="{00000000-0005-0000-0000-00006EBE0000}"/>
    <cellStyle name="Normal 70 2 2 6" xfId="34973" xr:uid="{00000000-0005-0000-0000-00006FBE0000}"/>
    <cellStyle name="Normal 70 2 3" xfId="34974" xr:uid="{00000000-0005-0000-0000-000070BE0000}"/>
    <cellStyle name="Normal 70 2 3 2" xfId="34975" xr:uid="{00000000-0005-0000-0000-000071BE0000}"/>
    <cellStyle name="Normal 70 2 3 2 2" xfId="34976" xr:uid="{00000000-0005-0000-0000-000072BE0000}"/>
    <cellStyle name="Normal 70 2 3 3" xfId="34977" xr:uid="{00000000-0005-0000-0000-000073BE0000}"/>
    <cellStyle name="Normal 70 2 3 3 2" xfId="34978" xr:uid="{00000000-0005-0000-0000-000074BE0000}"/>
    <cellStyle name="Normal 70 2 3 4" xfId="34979" xr:uid="{00000000-0005-0000-0000-000075BE0000}"/>
    <cellStyle name="Normal 70 2 4" xfId="34980" xr:uid="{00000000-0005-0000-0000-000076BE0000}"/>
    <cellStyle name="Normal 70 2 4 2" xfId="34981" xr:uid="{00000000-0005-0000-0000-000077BE0000}"/>
    <cellStyle name="Normal 70 2 4 2 2" xfId="34982" xr:uid="{00000000-0005-0000-0000-000078BE0000}"/>
    <cellStyle name="Normal 70 2 4 3" xfId="34983" xr:uid="{00000000-0005-0000-0000-000079BE0000}"/>
    <cellStyle name="Normal 70 2 4 3 2" xfId="34984" xr:uid="{00000000-0005-0000-0000-00007ABE0000}"/>
    <cellStyle name="Normal 70 2 4 4" xfId="34985" xr:uid="{00000000-0005-0000-0000-00007BBE0000}"/>
    <cellStyle name="Normal 70 2 5" xfId="34986" xr:uid="{00000000-0005-0000-0000-00007CBE0000}"/>
    <cellStyle name="Normal 70 2 5 2" xfId="34987" xr:uid="{00000000-0005-0000-0000-00007DBE0000}"/>
    <cellStyle name="Normal 70 2 5 2 2" xfId="34988" xr:uid="{00000000-0005-0000-0000-00007EBE0000}"/>
    <cellStyle name="Normal 70 2 5 3" xfId="34989" xr:uid="{00000000-0005-0000-0000-00007FBE0000}"/>
    <cellStyle name="Normal 70 2 5 3 2" xfId="34990" xr:uid="{00000000-0005-0000-0000-000080BE0000}"/>
    <cellStyle name="Normal 70 2 5 4" xfId="34991" xr:uid="{00000000-0005-0000-0000-000081BE0000}"/>
    <cellStyle name="Normal 70 2 6" xfId="34992" xr:uid="{00000000-0005-0000-0000-000082BE0000}"/>
    <cellStyle name="Normal 70 2 6 2" xfId="34993" xr:uid="{00000000-0005-0000-0000-000083BE0000}"/>
    <cellStyle name="Normal 70 2 6 2 2" xfId="34994" xr:uid="{00000000-0005-0000-0000-000084BE0000}"/>
    <cellStyle name="Normal 70 2 6 3" xfId="34995" xr:uid="{00000000-0005-0000-0000-000085BE0000}"/>
    <cellStyle name="Normal 70 2 6 3 2" xfId="34996" xr:uid="{00000000-0005-0000-0000-000086BE0000}"/>
    <cellStyle name="Normal 70 2 6 4" xfId="34997" xr:uid="{00000000-0005-0000-0000-000087BE0000}"/>
    <cellStyle name="Normal 70 2 7" xfId="34998" xr:uid="{00000000-0005-0000-0000-000088BE0000}"/>
    <cellStyle name="Normal 70 2 7 2" xfId="34999" xr:uid="{00000000-0005-0000-0000-000089BE0000}"/>
    <cellStyle name="Normal 70 2 7 2 2" xfId="35000" xr:uid="{00000000-0005-0000-0000-00008ABE0000}"/>
    <cellStyle name="Normal 70 2 7 3" xfId="35001" xr:uid="{00000000-0005-0000-0000-00008BBE0000}"/>
    <cellStyle name="Normal 70 2 7 3 2" xfId="35002" xr:uid="{00000000-0005-0000-0000-00008CBE0000}"/>
    <cellStyle name="Normal 70 2 7 4" xfId="35003" xr:uid="{00000000-0005-0000-0000-00008DBE0000}"/>
    <cellStyle name="Normal 70 2 8" xfId="35004" xr:uid="{00000000-0005-0000-0000-00008EBE0000}"/>
    <cellStyle name="Normal 70 2 8 2" xfId="35005" xr:uid="{00000000-0005-0000-0000-00008FBE0000}"/>
    <cellStyle name="Normal 70 2 8 2 2" xfId="35006" xr:uid="{00000000-0005-0000-0000-000090BE0000}"/>
    <cellStyle name="Normal 70 2 8 3" xfId="35007" xr:uid="{00000000-0005-0000-0000-000091BE0000}"/>
    <cellStyle name="Normal 70 2 9" xfId="35008" xr:uid="{00000000-0005-0000-0000-000092BE0000}"/>
    <cellStyle name="Normal 70 2 9 2" xfId="35009" xr:uid="{00000000-0005-0000-0000-000093BE0000}"/>
    <cellStyle name="Normal 70 3" xfId="35010" xr:uid="{00000000-0005-0000-0000-000094BE0000}"/>
    <cellStyle name="Normal 70 3 2" xfId="35011" xr:uid="{00000000-0005-0000-0000-000095BE0000}"/>
    <cellStyle name="Normal 70 3 2 2" xfId="35012" xr:uid="{00000000-0005-0000-0000-000096BE0000}"/>
    <cellStyle name="Normal 70 3 2 2 2" xfId="35013" xr:uid="{00000000-0005-0000-0000-000097BE0000}"/>
    <cellStyle name="Normal 70 3 2 3" xfId="35014" xr:uid="{00000000-0005-0000-0000-000098BE0000}"/>
    <cellStyle name="Normal 70 3 2 3 2" xfId="35015" xr:uid="{00000000-0005-0000-0000-000099BE0000}"/>
    <cellStyle name="Normal 70 3 2 4" xfId="35016" xr:uid="{00000000-0005-0000-0000-00009ABE0000}"/>
    <cellStyle name="Normal 70 3 3" xfId="35017" xr:uid="{00000000-0005-0000-0000-00009BBE0000}"/>
    <cellStyle name="Normal 70 3 3 2" xfId="35018" xr:uid="{00000000-0005-0000-0000-00009CBE0000}"/>
    <cellStyle name="Normal 70 3 3 2 2" xfId="35019" xr:uid="{00000000-0005-0000-0000-00009DBE0000}"/>
    <cellStyle name="Normal 70 3 3 3" xfId="35020" xr:uid="{00000000-0005-0000-0000-00009EBE0000}"/>
    <cellStyle name="Normal 70 3 3 3 2" xfId="35021" xr:uid="{00000000-0005-0000-0000-00009FBE0000}"/>
    <cellStyle name="Normal 70 3 3 4" xfId="35022" xr:uid="{00000000-0005-0000-0000-0000A0BE0000}"/>
    <cellStyle name="Normal 70 3 4" xfId="35023" xr:uid="{00000000-0005-0000-0000-0000A1BE0000}"/>
    <cellStyle name="Normal 70 3 4 2" xfId="35024" xr:uid="{00000000-0005-0000-0000-0000A2BE0000}"/>
    <cellStyle name="Normal 70 3 5" xfId="35025" xr:uid="{00000000-0005-0000-0000-0000A3BE0000}"/>
    <cellStyle name="Normal 70 3 5 2" xfId="35026" xr:uid="{00000000-0005-0000-0000-0000A4BE0000}"/>
    <cellStyle name="Normal 70 3 6" xfId="35027" xr:uid="{00000000-0005-0000-0000-0000A5BE0000}"/>
    <cellStyle name="Normal 70 4" xfId="35028" xr:uid="{00000000-0005-0000-0000-0000A6BE0000}"/>
    <cellStyle name="Normal 70 4 2" xfId="35029" xr:uid="{00000000-0005-0000-0000-0000A7BE0000}"/>
    <cellStyle name="Normal 70 4 2 2" xfId="35030" xr:uid="{00000000-0005-0000-0000-0000A8BE0000}"/>
    <cellStyle name="Normal 70 4 3" xfId="35031" xr:uid="{00000000-0005-0000-0000-0000A9BE0000}"/>
    <cellStyle name="Normal 70 4 3 2" xfId="35032" xr:uid="{00000000-0005-0000-0000-0000AABE0000}"/>
    <cellStyle name="Normal 70 4 4" xfId="35033" xr:uid="{00000000-0005-0000-0000-0000ABBE0000}"/>
    <cellStyle name="Normal 70 5" xfId="35034" xr:uid="{00000000-0005-0000-0000-0000ACBE0000}"/>
    <cellStyle name="Normal 70 5 2" xfId="35035" xr:uid="{00000000-0005-0000-0000-0000ADBE0000}"/>
    <cellStyle name="Normal 70 5 2 2" xfId="35036" xr:uid="{00000000-0005-0000-0000-0000AEBE0000}"/>
    <cellStyle name="Normal 70 5 3" xfId="35037" xr:uid="{00000000-0005-0000-0000-0000AFBE0000}"/>
    <cellStyle name="Normal 70 5 3 2" xfId="35038" xr:uid="{00000000-0005-0000-0000-0000B0BE0000}"/>
    <cellStyle name="Normal 70 5 4" xfId="35039" xr:uid="{00000000-0005-0000-0000-0000B1BE0000}"/>
    <cellStyle name="Normal 70 6" xfId="35040" xr:uid="{00000000-0005-0000-0000-0000B2BE0000}"/>
    <cellStyle name="Normal 70 6 2" xfId="35041" xr:uid="{00000000-0005-0000-0000-0000B3BE0000}"/>
    <cellStyle name="Normal 70 6 2 2" xfId="35042" xr:uid="{00000000-0005-0000-0000-0000B4BE0000}"/>
    <cellStyle name="Normal 70 6 3" xfId="35043" xr:uid="{00000000-0005-0000-0000-0000B5BE0000}"/>
    <cellStyle name="Normal 70 6 3 2" xfId="35044" xr:uid="{00000000-0005-0000-0000-0000B6BE0000}"/>
    <cellStyle name="Normal 70 6 4" xfId="35045" xr:uid="{00000000-0005-0000-0000-0000B7BE0000}"/>
    <cellStyle name="Normal 70 7" xfId="35046" xr:uid="{00000000-0005-0000-0000-0000B8BE0000}"/>
    <cellStyle name="Normal 70 7 2" xfId="35047" xr:uid="{00000000-0005-0000-0000-0000B9BE0000}"/>
    <cellStyle name="Normal 70 7 2 2" xfId="35048" xr:uid="{00000000-0005-0000-0000-0000BABE0000}"/>
    <cellStyle name="Normal 70 7 3" xfId="35049" xr:uid="{00000000-0005-0000-0000-0000BBBE0000}"/>
    <cellStyle name="Normal 70 7 3 2" xfId="35050" xr:uid="{00000000-0005-0000-0000-0000BCBE0000}"/>
    <cellStyle name="Normal 70 7 4" xfId="35051" xr:uid="{00000000-0005-0000-0000-0000BDBE0000}"/>
    <cellStyle name="Normal 70 8" xfId="35052" xr:uid="{00000000-0005-0000-0000-0000BEBE0000}"/>
    <cellStyle name="Normal 70 8 2" xfId="35053" xr:uid="{00000000-0005-0000-0000-0000BFBE0000}"/>
    <cellStyle name="Normal 70 8 2 2" xfId="35054" xr:uid="{00000000-0005-0000-0000-0000C0BE0000}"/>
    <cellStyle name="Normal 70 8 3" xfId="35055" xr:uid="{00000000-0005-0000-0000-0000C1BE0000}"/>
    <cellStyle name="Normal 70 8 3 2" xfId="35056" xr:uid="{00000000-0005-0000-0000-0000C2BE0000}"/>
    <cellStyle name="Normal 70 8 4" xfId="35057" xr:uid="{00000000-0005-0000-0000-0000C3BE0000}"/>
    <cellStyle name="Normal 70 9" xfId="35058" xr:uid="{00000000-0005-0000-0000-0000C4BE0000}"/>
    <cellStyle name="Normal 70 9 2" xfId="35059" xr:uid="{00000000-0005-0000-0000-0000C5BE0000}"/>
    <cellStyle name="Normal 70 9 2 2" xfId="35060" xr:uid="{00000000-0005-0000-0000-0000C6BE0000}"/>
    <cellStyle name="Normal 70 9 3" xfId="35061" xr:uid="{00000000-0005-0000-0000-0000C7BE0000}"/>
    <cellStyle name="Normal 71" xfId="35062" xr:uid="{00000000-0005-0000-0000-0000C8BE0000}"/>
    <cellStyle name="Normal 71 10" xfId="35063" xr:uid="{00000000-0005-0000-0000-0000C9BE0000}"/>
    <cellStyle name="Normal 71 10 2" xfId="35064" xr:uid="{00000000-0005-0000-0000-0000CABE0000}"/>
    <cellStyle name="Normal 71 11" xfId="35065" xr:uid="{00000000-0005-0000-0000-0000CBBE0000}"/>
    <cellStyle name="Normal 71 11 2" xfId="35066" xr:uid="{00000000-0005-0000-0000-0000CCBE0000}"/>
    <cellStyle name="Normal 71 12" xfId="35067" xr:uid="{00000000-0005-0000-0000-0000CDBE0000}"/>
    <cellStyle name="Normal 71 13" xfId="35068" xr:uid="{00000000-0005-0000-0000-0000CEBE0000}"/>
    <cellStyle name="Normal 71 2" xfId="35069" xr:uid="{00000000-0005-0000-0000-0000CFBE0000}"/>
    <cellStyle name="Normal 71 2 10" xfId="35070" xr:uid="{00000000-0005-0000-0000-0000D0BE0000}"/>
    <cellStyle name="Normal 71 2 10 2" xfId="35071" xr:uid="{00000000-0005-0000-0000-0000D1BE0000}"/>
    <cellStyle name="Normal 71 2 11" xfId="35072" xr:uid="{00000000-0005-0000-0000-0000D2BE0000}"/>
    <cellStyle name="Normal 71 2 2" xfId="35073" xr:uid="{00000000-0005-0000-0000-0000D3BE0000}"/>
    <cellStyle name="Normal 71 2 2 2" xfId="35074" xr:uid="{00000000-0005-0000-0000-0000D4BE0000}"/>
    <cellStyle name="Normal 71 2 2 2 2" xfId="35075" xr:uid="{00000000-0005-0000-0000-0000D5BE0000}"/>
    <cellStyle name="Normal 71 2 2 2 2 2" xfId="35076" xr:uid="{00000000-0005-0000-0000-0000D6BE0000}"/>
    <cellStyle name="Normal 71 2 2 2 3" xfId="35077" xr:uid="{00000000-0005-0000-0000-0000D7BE0000}"/>
    <cellStyle name="Normal 71 2 2 2 3 2" xfId="35078" xr:uid="{00000000-0005-0000-0000-0000D8BE0000}"/>
    <cellStyle name="Normal 71 2 2 2 4" xfId="35079" xr:uid="{00000000-0005-0000-0000-0000D9BE0000}"/>
    <cellStyle name="Normal 71 2 2 3" xfId="35080" xr:uid="{00000000-0005-0000-0000-0000DABE0000}"/>
    <cellStyle name="Normal 71 2 2 3 2" xfId="35081" xr:uid="{00000000-0005-0000-0000-0000DBBE0000}"/>
    <cellStyle name="Normal 71 2 2 3 2 2" xfId="35082" xr:uid="{00000000-0005-0000-0000-0000DCBE0000}"/>
    <cellStyle name="Normal 71 2 2 3 3" xfId="35083" xr:uid="{00000000-0005-0000-0000-0000DDBE0000}"/>
    <cellStyle name="Normal 71 2 2 3 3 2" xfId="35084" xr:uid="{00000000-0005-0000-0000-0000DEBE0000}"/>
    <cellStyle name="Normal 71 2 2 3 4" xfId="35085" xr:uid="{00000000-0005-0000-0000-0000DFBE0000}"/>
    <cellStyle name="Normal 71 2 2 4" xfId="35086" xr:uid="{00000000-0005-0000-0000-0000E0BE0000}"/>
    <cellStyle name="Normal 71 2 2 4 2" xfId="35087" xr:uid="{00000000-0005-0000-0000-0000E1BE0000}"/>
    <cellStyle name="Normal 71 2 2 5" xfId="35088" xr:uid="{00000000-0005-0000-0000-0000E2BE0000}"/>
    <cellStyle name="Normal 71 2 2 5 2" xfId="35089" xr:uid="{00000000-0005-0000-0000-0000E3BE0000}"/>
    <cellStyle name="Normal 71 2 2 6" xfId="35090" xr:uid="{00000000-0005-0000-0000-0000E4BE0000}"/>
    <cellStyle name="Normal 71 2 3" xfId="35091" xr:uid="{00000000-0005-0000-0000-0000E5BE0000}"/>
    <cellStyle name="Normal 71 2 3 2" xfId="35092" xr:uid="{00000000-0005-0000-0000-0000E6BE0000}"/>
    <cellStyle name="Normal 71 2 3 2 2" xfId="35093" xr:uid="{00000000-0005-0000-0000-0000E7BE0000}"/>
    <cellStyle name="Normal 71 2 3 3" xfId="35094" xr:uid="{00000000-0005-0000-0000-0000E8BE0000}"/>
    <cellStyle name="Normal 71 2 3 3 2" xfId="35095" xr:uid="{00000000-0005-0000-0000-0000E9BE0000}"/>
    <cellStyle name="Normal 71 2 3 4" xfId="35096" xr:uid="{00000000-0005-0000-0000-0000EABE0000}"/>
    <cellStyle name="Normal 71 2 4" xfId="35097" xr:uid="{00000000-0005-0000-0000-0000EBBE0000}"/>
    <cellStyle name="Normal 71 2 4 2" xfId="35098" xr:uid="{00000000-0005-0000-0000-0000ECBE0000}"/>
    <cellStyle name="Normal 71 2 4 2 2" xfId="35099" xr:uid="{00000000-0005-0000-0000-0000EDBE0000}"/>
    <cellStyle name="Normal 71 2 4 3" xfId="35100" xr:uid="{00000000-0005-0000-0000-0000EEBE0000}"/>
    <cellStyle name="Normal 71 2 4 3 2" xfId="35101" xr:uid="{00000000-0005-0000-0000-0000EFBE0000}"/>
    <cellStyle name="Normal 71 2 4 4" xfId="35102" xr:uid="{00000000-0005-0000-0000-0000F0BE0000}"/>
    <cellStyle name="Normal 71 2 5" xfId="35103" xr:uid="{00000000-0005-0000-0000-0000F1BE0000}"/>
    <cellStyle name="Normal 71 2 5 2" xfId="35104" xr:uid="{00000000-0005-0000-0000-0000F2BE0000}"/>
    <cellStyle name="Normal 71 2 5 2 2" xfId="35105" xr:uid="{00000000-0005-0000-0000-0000F3BE0000}"/>
    <cellStyle name="Normal 71 2 5 3" xfId="35106" xr:uid="{00000000-0005-0000-0000-0000F4BE0000}"/>
    <cellStyle name="Normal 71 2 5 3 2" xfId="35107" xr:uid="{00000000-0005-0000-0000-0000F5BE0000}"/>
    <cellStyle name="Normal 71 2 5 4" xfId="35108" xr:uid="{00000000-0005-0000-0000-0000F6BE0000}"/>
    <cellStyle name="Normal 71 2 6" xfId="35109" xr:uid="{00000000-0005-0000-0000-0000F7BE0000}"/>
    <cellStyle name="Normal 71 2 6 2" xfId="35110" xr:uid="{00000000-0005-0000-0000-0000F8BE0000}"/>
    <cellStyle name="Normal 71 2 6 2 2" xfId="35111" xr:uid="{00000000-0005-0000-0000-0000F9BE0000}"/>
    <cellStyle name="Normal 71 2 6 3" xfId="35112" xr:uid="{00000000-0005-0000-0000-0000FABE0000}"/>
    <cellStyle name="Normal 71 2 6 3 2" xfId="35113" xr:uid="{00000000-0005-0000-0000-0000FBBE0000}"/>
    <cellStyle name="Normal 71 2 6 4" xfId="35114" xr:uid="{00000000-0005-0000-0000-0000FCBE0000}"/>
    <cellStyle name="Normal 71 2 7" xfId="35115" xr:uid="{00000000-0005-0000-0000-0000FDBE0000}"/>
    <cellStyle name="Normal 71 2 7 2" xfId="35116" xr:uid="{00000000-0005-0000-0000-0000FEBE0000}"/>
    <cellStyle name="Normal 71 2 7 2 2" xfId="35117" xr:uid="{00000000-0005-0000-0000-0000FFBE0000}"/>
    <cellStyle name="Normal 71 2 7 3" xfId="35118" xr:uid="{00000000-0005-0000-0000-000000BF0000}"/>
    <cellStyle name="Normal 71 2 7 3 2" xfId="35119" xr:uid="{00000000-0005-0000-0000-000001BF0000}"/>
    <cellStyle name="Normal 71 2 7 4" xfId="35120" xr:uid="{00000000-0005-0000-0000-000002BF0000}"/>
    <cellStyle name="Normal 71 2 8" xfId="35121" xr:uid="{00000000-0005-0000-0000-000003BF0000}"/>
    <cellStyle name="Normal 71 2 8 2" xfId="35122" xr:uid="{00000000-0005-0000-0000-000004BF0000}"/>
    <cellStyle name="Normal 71 2 8 2 2" xfId="35123" xr:uid="{00000000-0005-0000-0000-000005BF0000}"/>
    <cellStyle name="Normal 71 2 8 3" xfId="35124" xr:uid="{00000000-0005-0000-0000-000006BF0000}"/>
    <cellStyle name="Normal 71 2 9" xfId="35125" xr:uid="{00000000-0005-0000-0000-000007BF0000}"/>
    <cellStyle name="Normal 71 2 9 2" xfId="35126" xr:uid="{00000000-0005-0000-0000-000008BF0000}"/>
    <cellStyle name="Normal 71 3" xfId="35127" xr:uid="{00000000-0005-0000-0000-000009BF0000}"/>
    <cellStyle name="Normal 71 3 2" xfId="35128" xr:uid="{00000000-0005-0000-0000-00000ABF0000}"/>
    <cellStyle name="Normal 71 3 2 2" xfId="35129" xr:uid="{00000000-0005-0000-0000-00000BBF0000}"/>
    <cellStyle name="Normal 71 3 2 2 2" xfId="35130" xr:uid="{00000000-0005-0000-0000-00000CBF0000}"/>
    <cellStyle name="Normal 71 3 2 3" xfId="35131" xr:uid="{00000000-0005-0000-0000-00000DBF0000}"/>
    <cellStyle name="Normal 71 3 2 3 2" xfId="35132" xr:uid="{00000000-0005-0000-0000-00000EBF0000}"/>
    <cellStyle name="Normal 71 3 2 4" xfId="35133" xr:uid="{00000000-0005-0000-0000-00000FBF0000}"/>
    <cellStyle name="Normal 71 3 3" xfId="35134" xr:uid="{00000000-0005-0000-0000-000010BF0000}"/>
    <cellStyle name="Normal 71 3 3 2" xfId="35135" xr:uid="{00000000-0005-0000-0000-000011BF0000}"/>
    <cellStyle name="Normal 71 3 3 2 2" xfId="35136" xr:uid="{00000000-0005-0000-0000-000012BF0000}"/>
    <cellStyle name="Normal 71 3 3 3" xfId="35137" xr:uid="{00000000-0005-0000-0000-000013BF0000}"/>
    <cellStyle name="Normal 71 3 3 3 2" xfId="35138" xr:uid="{00000000-0005-0000-0000-000014BF0000}"/>
    <cellStyle name="Normal 71 3 3 4" xfId="35139" xr:uid="{00000000-0005-0000-0000-000015BF0000}"/>
    <cellStyle name="Normal 71 3 4" xfId="35140" xr:uid="{00000000-0005-0000-0000-000016BF0000}"/>
    <cellStyle name="Normal 71 3 4 2" xfId="35141" xr:uid="{00000000-0005-0000-0000-000017BF0000}"/>
    <cellStyle name="Normal 71 3 5" xfId="35142" xr:uid="{00000000-0005-0000-0000-000018BF0000}"/>
    <cellStyle name="Normal 71 3 5 2" xfId="35143" xr:uid="{00000000-0005-0000-0000-000019BF0000}"/>
    <cellStyle name="Normal 71 3 6" xfId="35144" xr:uid="{00000000-0005-0000-0000-00001ABF0000}"/>
    <cellStyle name="Normal 71 4" xfId="35145" xr:uid="{00000000-0005-0000-0000-00001BBF0000}"/>
    <cellStyle name="Normal 71 4 2" xfId="35146" xr:uid="{00000000-0005-0000-0000-00001CBF0000}"/>
    <cellStyle name="Normal 71 4 2 2" xfId="35147" xr:uid="{00000000-0005-0000-0000-00001DBF0000}"/>
    <cellStyle name="Normal 71 4 3" xfId="35148" xr:uid="{00000000-0005-0000-0000-00001EBF0000}"/>
    <cellStyle name="Normal 71 4 3 2" xfId="35149" xr:uid="{00000000-0005-0000-0000-00001FBF0000}"/>
    <cellStyle name="Normal 71 4 4" xfId="35150" xr:uid="{00000000-0005-0000-0000-000020BF0000}"/>
    <cellStyle name="Normal 71 5" xfId="35151" xr:uid="{00000000-0005-0000-0000-000021BF0000}"/>
    <cellStyle name="Normal 71 5 2" xfId="35152" xr:uid="{00000000-0005-0000-0000-000022BF0000}"/>
    <cellStyle name="Normal 71 5 2 2" xfId="35153" xr:uid="{00000000-0005-0000-0000-000023BF0000}"/>
    <cellStyle name="Normal 71 5 3" xfId="35154" xr:uid="{00000000-0005-0000-0000-000024BF0000}"/>
    <cellStyle name="Normal 71 5 3 2" xfId="35155" xr:uid="{00000000-0005-0000-0000-000025BF0000}"/>
    <cellStyle name="Normal 71 5 4" xfId="35156" xr:uid="{00000000-0005-0000-0000-000026BF0000}"/>
    <cellStyle name="Normal 71 6" xfId="35157" xr:uid="{00000000-0005-0000-0000-000027BF0000}"/>
    <cellStyle name="Normal 71 6 2" xfId="35158" xr:uid="{00000000-0005-0000-0000-000028BF0000}"/>
    <cellStyle name="Normal 71 6 2 2" xfId="35159" xr:uid="{00000000-0005-0000-0000-000029BF0000}"/>
    <cellStyle name="Normal 71 6 3" xfId="35160" xr:uid="{00000000-0005-0000-0000-00002ABF0000}"/>
    <cellStyle name="Normal 71 6 3 2" xfId="35161" xr:uid="{00000000-0005-0000-0000-00002BBF0000}"/>
    <cellStyle name="Normal 71 6 4" xfId="35162" xr:uid="{00000000-0005-0000-0000-00002CBF0000}"/>
    <cellStyle name="Normal 71 7" xfId="35163" xr:uid="{00000000-0005-0000-0000-00002DBF0000}"/>
    <cellStyle name="Normal 71 7 2" xfId="35164" xr:uid="{00000000-0005-0000-0000-00002EBF0000}"/>
    <cellStyle name="Normal 71 7 2 2" xfId="35165" xr:uid="{00000000-0005-0000-0000-00002FBF0000}"/>
    <cellStyle name="Normal 71 7 3" xfId="35166" xr:uid="{00000000-0005-0000-0000-000030BF0000}"/>
    <cellStyle name="Normal 71 7 3 2" xfId="35167" xr:uid="{00000000-0005-0000-0000-000031BF0000}"/>
    <cellStyle name="Normal 71 7 4" xfId="35168" xr:uid="{00000000-0005-0000-0000-000032BF0000}"/>
    <cellStyle name="Normal 71 8" xfId="35169" xr:uid="{00000000-0005-0000-0000-000033BF0000}"/>
    <cellStyle name="Normal 71 8 2" xfId="35170" xr:uid="{00000000-0005-0000-0000-000034BF0000}"/>
    <cellStyle name="Normal 71 8 2 2" xfId="35171" xr:uid="{00000000-0005-0000-0000-000035BF0000}"/>
    <cellStyle name="Normal 71 8 3" xfId="35172" xr:uid="{00000000-0005-0000-0000-000036BF0000}"/>
    <cellStyle name="Normal 71 8 3 2" xfId="35173" xr:uid="{00000000-0005-0000-0000-000037BF0000}"/>
    <cellStyle name="Normal 71 8 4" xfId="35174" xr:uid="{00000000-0005-0000-0000-000038BF0000}"/>
    <cellStyle name="Normal 71 9" xfId="35175" xr:uid="{00000000-0005-0000-0000-000039BF0000}"/>
    <cellStyle name="Normal 71 9 2" xfId="35176" xr:uid="{00000000-0005-0000-0000-00003ABF0000}"/>
    <cellStyle name="Normal 71 9 2 2" xfId="35177" xr:uid="{00000000-0005-0000-0000-00003BBF0000}"/>
    <cellStyle name="Normal 71 9 3" xfId="35178" xr:uid="{00000000-0005-0000-0000-00003CBF0000}"/>
    <cellStyle name="Normal 72" xfId="35179" xr:uid="{00000000-0005-0000-0000-00003DBF0000}"/>
    <cellStyle name="Normal 72 10" xfId="35180" xr:uid="{00000000-0005-0000-0000-00003EBF0000}"/>
    <cellStyle name="Normal 72 10 2" xfId="35181" xr:uid="{00000000-0005-0000-0000-00003FBF0000}"/>
    <cellStyle name="Normal 72 11" xfId="35182" xr:uid="{00000000-0005-0000-0000-000040BF0000}"/>
    <cellStyle name="Normal 72 11 2" xfId="35183" xr:uid="{00000000-0005-0000-0000-000041BF0000}"/>
    <cellStyle name="Normal 72 12" xfId="35184" xr:uid="{00000000-0005-0000-0000-000042BF0000}"/>
    <cellStyle name="Normal 72 13" xfId="35185" xr:uid="{00000000-0005-0000-0000-000043BF0000}"/>
    <cellStyle name="Normal 72 2" xfId="35186" xr:uid="{00000000-0005-0000-0000-000044BF0000}"/>
    <cellStyle name="Normal 72 2 10" xfId="35187" xr:uid="{00000000-0005-0000-0000-000045BF0000}"/>
    <cellStyle name="Normal 72 2 10 2" xfId="35188" xr:uid="{00000000-0005-0000-0000-000046BF0000}"/>
    <cellStyle name="Normal 72 2 11" xfId="35189" xr:uid="{00000000-0005-0000-0000-000047BF0000}"/>
    <cellStyle name="Normal 72 2 2" xfId="35190" xr:uid="{00000000-0005-0000-0000-000048BF0000}"/>
    <cellStyle name="Normal 72 2 2 2" xfId="35191" xr:uid="{00000000-0005-0000-0000-000049BF0000}"/>
    <cellStyle name="Normal 72 2 2 2 2" xfId="35192" xr:uid="{00000000-0005-0000-0000-00004ABF0000}"/>
    <cellStyle name="Normal 72 2 2 2 2 2" xfId="35193" xr:uid="{00000000-0005-0000-0000-00004BBF0000}"/>
    <cellStyle name="Normal 72 2 2 2 3" xfId="35194" xr:uid="{00000000-0005-0000-0000-00004CBF0000}"/>
    <cellStyle name="Normal 72 2 2 2 3 2" xfId="35195" xr:uid="{00000000-0005-0000-0000-00004DBF0000}"/>
    <cellStyle name="Normal 72 2 2 2 4" xfId="35196" xr:uid="{00000000-0005-0000-0000-00004EBF0000}"/>
    <cellStyle name="Normal 72 2 2 3" xfId="35197" xr:uid="{00000000-0005-0000-0000-00004FBF0000}"/>
    <cellStyle name="Normal 72 2 2 3 2" xfId="35198" xr:uid="{00000000-0005-0000-0000-000050BF0000}"/>
    <cellStyle name="Normal 72 2 2 3 2 2" xfId="35199" xr:uid="{00000000-0005-0000-0000-000051BF0000}"/>
    <cellStyle name="Normal 72 2 2 3 3" xfId="35200" xr:uid="{00000000-0005-0000-0000-000052BF0000}"/>
    <cellStyle name="Normal 72 2 2 3 3 2" xfId="35201" xr:uid="{00000000-0005-0000-0000-000053BF0000}"/>
    <cellStyle name="Normal 72 2 2 3 4" xfId="35202" xr:uid="{00000000-0005-0000-0000-000054BF0000}"/>
    <cellStyle name="Normal 72 2 2 4" xfId="35203" xr:uid="{00000000-0005-0000-0000-000055BF0000}"/>
    <cellStyle name="Normal 72 2 2 4 2" xfId="35204" xr:uid="{00000000-0005-0000-0000-000056BF0000}"/>
    <cellStyle name="Normal 72 2 2 5" xfId="35205" xr:uid="{00000000-0005-0000-0000-000057BF0000}"/>
    <cellStyle name="Normal 72 2 2 5 2" xfId="35206" xr:uid="{00000000-0005-0000-0000-000058BF0000}"/>
    <cellStyle name="Normal 72 2 2 6" xfId="35207" xr:uid="{00000000-0005-0000-0000-000059BF0000}"/>
    <cellStyle name="Normal 72 2 3" xfId="35208" xr:uid="{00000000-0005-0000-0000-00005ABF0000}"/>
    <cellStyle name="Normal 72 2 3 2" xfId="35209" xr:uid="{00000000-0005-0000-0000-00005BBF0000}"/>
    <cellStyle name="Normal 72 2 3 2 2" xfId="35210" xr:uid="{00000000-0005-0000-0000-00005CBF0000}"/>
    <cellStyle name="Normal 72 2 3 3" xfId="35211" xr:uid="{00000000-0005-0000-0000-00005DBF0000}"/>
    <cellStyle name="Normal 72 2 3 3 2" xfId="35212" xr:uid="{00000000-0005-0000-0000-00005EBF0000}"/>
    <cellStyle name="Normal 72 2 3 4" xfId="35213" xr:uid="{00000000-0005-0000-0000-00005FBF0000}"/>
    <cellStyle name="Normal 72 2 4" xfId="35214" xr:uid="{00000000-0005-0000-0000-000060BF0000}"/>
    <cellStyle name="Normal 72 2 4 2" xfId="35215" xr:uid="{00000000-0005-0000-0000-000061BF0000}"/>
    <cellStyle name="Normal 72 2 4 2 2" xfId="35216" xr:uid="{00000000-0005-0000-0000-000062BF0000}"/>
    <cellStyle name="Normal 72 2 4 3" xfId="35217" xr:uid="{00000000-0005-0000-0000-000063BF0000}"/>
    <cellStyle name="Normal 72 2 4 3 2" xfId="35218" xr:uid="{00000000-0005-0000-0000-000064BF0000}"/>
    <cellStyle name="Normal 72 2 4 4" xfId="35219" xr:uid="{00000000-0005-0000-0000-000065BF0000}"/>
    <cellStyle name="Normal 72 2 5" xfId="35220" xr:uid="{00000000-0005-0000-0000-000066BF0000}"/>
    <cellStyle name="Normal 72 2 5 2" xfId="35221" xr:uid="{00000000-0005-0000-0000-000067BF0000}"/>
    <cellStyle name="Normal 72 2 5 2 2" xfId="35222" xr:uid="{00000000-0005-0000-0000-000068BF0000}"/>
    <cellStyle name="Normal 72 2 5 3" xfId="35223" xr:uid="{00000000-0005-0000-0000-000069BF0000}"/>
    <cellStyle name="Normal 72 2 5 3 2" xfId="35224" xr:uid="{00000000-0005-0000-0000-00006ABF0000}"/>
    <cellStyle name="Normal 72 2 5 4" xfId="35225" xr:uid="{00000000-0005-0000-0000-00006BBF0000}"/>
    <cellStyle name="Normal 72 2 6" xfId="35226" xr:uid="{00000000-0005-0000-0000-00006CBF0000}"/>
    <cellStyle name="Normal 72 2 6 2" xfId="35227" xr:uid="{00000000-0005-0000-0000-00006DBF0000}"/>
    <cellStyle name="Normal 72 2 6 2 2" xfId="35228" xr:uid="{00000000-0005-0000-0000-00006EBF0000}"/>
    <cellStyle name="Normal 72 2 6 3" xfId="35229" xr:uid="{00000000-0005-0000-0000-00006FBF0000}"/>
    <cellStyle name="Normal 72 2 6 3 2" xfId="35230" xr:uid="{00000000-0005-0000-0000-000070BF0000}"/>
    <cellStyle name="Normal 72 2 6 4" xfId="35231" xr:uid="{00000000-0005-0000-0000-000071BF0000}"/>
    <cellStyle name="Normal 72 2 7" xfId="35232" xr:uid="{00000000-0005-0000-0000-000072BF0000}"/>
    <cellStyle name="Normal 72 2 7 2" xfId="35233" xr:uid="{00000000-0005-0000-0000-000073BF0000}"/>
    <cellStyle name="Normal 72 2 7 2 2" xfId="35234" xr:uid="{00000000-0005-0000-0000-000074BF0000}"/>
    <cellStyle name="Normal 72 2 7 3" xfId="35235" xr:uid="{00000000-0005-0000-0000-000075BF0000}"/>
    <cellStyle name="Normal 72 2 7 3 2" xfId="35236" xr:uid="{00000000-0005-0000-0000-000076BF0000}"/>
    <cellStyle name="Normal 72 2 7 4" xfId="35237" xr:uid="{00000000-0005-0000-0000-000077BF0000}"/>
    <cellStyle name="Normal 72 2 8" xfId="35238" xr:uid="{00000000-0005-0000-0000-000078BF0000}"/>
    <cellStyle name="Normal 72 2 8 2" xfId="35239" xr:uid="{00000000-0005-0000-0000-000079BF0000}"/>
    <cellStyle name="Normal 72 2 8 2 2" xfId="35240" xr:uid="{00000000-0005-0000-0000-00007ABF0000}"/>
    <cellStyle name="Normal 72 2 8 3" xfId="35241" xr:uid="{00000000-0005-0000-0000-00007BBF0000}"/>
    <cellStyle name="Normal 72 2 9" xfId="35242" xr:uid="{00000000-0005-0000-0000-00007CBF0000}"/>
    <cellStyle name="Normal 72 2 9 2" xfId="35243" xr:uid="{00000000-0005-0000-0000-00007DBF0000}"/>
    <cellStyle name="Normal 72 3" xfId="35244" xr:uid="{00000000-0005-0000-0000-00007EBF0000}"/>
    <cellStyle name="Normal 72 3 2" xfId="35245" xr:uid="{00000000-0005-0000-0000-00007FBF0000}"/>
    <cellStyle name="Normal 72 3 2 2" xfId="35246" xr:uid="{00000000-0005-0000-0000-000080BF0000}"/>
    <cellStyle name="Normal 72 3 2 2 2" xfId="35247" xr:uid="{00000000-0005-0000-0000-000081BF0000}"/>
    <cellStyle name="Normal 72 3 2 3" xfId="35248" xr:uid="{00000000-0005-0000-0000-000082BF0000}"/>
    <cellStyle name="Normal 72 3 2 3 2" xfId="35249" xr:uid="{00000000-0005-0000-0000-000083BF0000}"/>
    <cellStyle name="Normal 72 3 2 4" xfId="35250" xr:uid="{00000000-0005-0000-0000-000084BF0000}"/>
    <cellStyle name="Normal 72 3 3" xfId="35251" xr:uid="{00000000-0005-0000-0000-000085BF0000}"/>
    <cellStyle name="Normal 72 3 3 2" xfId="35252" xr:uid="{00000000-0005-0000-0000-000086BF0000}"/>
    <cellStyle name="Normal 72 3 3 2 2" xfId="35253" xr:uid="{00000000-0005-0000-0000-000087BF0000}"/>
    <cellStyle name="Normal 72 3 3 3" xfId="35254" xr:uid="{00000000-0005-0000-0000-000088BF0000}"/>
    <cellStyle name="Normal 72 3 3 3 2" xfId="35255" xr:uid="{00000000-0005-0000-0000-000089BF0000}"/>
    <cellStyle name="Normal 72 3 3 4" xfId="35256" xr:uid="{00000000-0005-0000-0000-00008ABF0000}"/>
    <cellStyle name="Normal 72 3 4" xfId="35257" xr:uid="{00000000-0005-0000-0000-00008BBF0000}"/>
    <cellStyle name="Normal 72 3 4 2" xfId="35258" xr:uid="{00000000-0005-0000-0000-00008CBF0000}"/>
    <cellStyle name="Normal 72 3 5" xfId="35259" xr:uid="{00000000-0005-0000-0000-00008DBF0000}"/>
    <cellStyle name="Normal 72 3 5 2" xfId="35260" xr:uid="{00000000-0005-0000-0000-00008EBF0000}"/>
    <cellStyle name="Normal 72 3 6" xfId="35261" xr:uid="{00000000-0005-0000-0000-00008FBF0000}"/>
    <cellStyle name="Normal 72 4" xfId="35262" xr:uid="{00000000-0005-0000-0000-000090BF0000}"/>
    <cellStyle name="Normal 72 4 2" xfId="35263" xr:uid="{00000000-0005-0000-0000-000091BF0000}"/>
    <cellStyle name="Normal 72 4 2 2" xfId="35264" xr:uid="{00000000-0005-0000-0000-000092BF0000}"/>
    <cellStyle name="Normal 72 4 3" xfId="35265" xr:uid="{00000000-0005-0000-0000-000093BF0000}"/>
    <cellStyle name="Normal 72 4 3 2" xfId="35266" xr:uid="{00000000-0005-0000-0000-000094BF0000}"/>
    <cellStyle name="Normal 72 4 4" xfId="35267" xr:uid="{00000000-0005-0000-0000-000095BF0000}"/>
    <cellStyle name="Normal 72 5" xfId="35268" xr:uid="{00000000-0005-0000-0000-000096BF0000}"/>
    <cellStyle name="Normal 72 5 2" xfId="35269" xr:uid="{00000000-0005-0000-0000-000097BF0000}"/>
    <cellStyle name="Normal 72 5 2 2" xfId="35270" xr:uid="{00000000-0005-0000-0000-000098BF0000}"/>
    <cellStyle name="Normal 72 5 3" xfId="35271" xr:uid="{00000000-0005-0000-0000-000099BF0000}"/>
    <cellStyle name="Normal 72 5 3 2" xfId="35272" xr:uid="{00000000-0005-0000-0000-00009ABF0000}"/>
    <cellStyle name="Normal 72 5 4" xfId="35273" xr:uid="{00000000-0005-0000-0000-00009BBF0000}"/>
    <cellStyle name="Normal 72 6" xfId="35274" xr:uid="{00000000-0005-0000-0000-00009CBF0000}"/>
    <cellStyle name="Normal 72 6 2" xfId="35275" xr:uid="{00000000-0005-0000-0000-00009DBF0000}"/>
    <cellStyle name="Normal 72 6 2 2" xfId="35276" xr:uid="{00000000-0005-0000-0000-00009EBF0000}"/>
    <cellStyle name="Normal 72 6 3" xfId="35277" xr:uid="{00000000-0005-0000-0000-00009FBF0000}"/>
    <cellStyle name="Normal 72 6 3 2" xfId="35278" xr:uid="{00000000-0005-0000-0000-0000A0BF0000}"/>
    <cellStyle name="Normal 72 6 4" xfId="35279" xr:uid="{00000000-0005-0000-0000-0000A1BF0000}"/>
    <cellStyle name="Normal 72 7" xfId="35280" xr:uid="{00000000-0005-0000-0000-0000A2BF0000}"/>
    <cellStyle name="Normal 72 7 2" xfId="35281" xr:uid="{00000000-0005-0000-0000-0000A3BF0000}"/>
    <cellStyle name="Normal 72 7 2 2" xfId="35282" xr:uid="{00000000-0005-0000-0000-0000A4BF0000}"/>
    <cellStyle name="Normal 72 7 3" xfId="35283" xr:uid="{00000000-0005-0000-0000-0000A5BF0000}"/>
    <cellStyle name="Normal 72 7 3 2" xfId="35284" xr:uid="{00000000-0005-0000-0000-0000A6BF0000}"/>
    <cellStyle name="Normal 72 7 4" xfId="35285" xr:uid="{00000000-0005-0000-0000-0000A7BF0000}"/>
    <cellStyle name="Normal 72 8" xfId="35286" xr:uid="{00000000-0005-0000-0000-0000A8BF0000}"/>
    <cellStyle name="Normal 72 8 2" xfId="35287" xr:uid="{00000000-0005-0000-0000-0000A9BF0000}"/>
    <cellStyle name="Normal 72 8 2 2" xfId="35288" xr:uid="{00000000-0005-0000-0000-0000AABF0000}"/>
    <cellStyle name="Normal 72 8 3" xfId="35289" xr:uid="{00000000-0005-0000-0000-0000ABBF0000}"/>
    <cellStyle name="Normal 72 8 3 2" xfId="35290" xr:uid="{00000000-0005-0000-0000-0000ACBF0000}"/>
    <cellStyle name="Normal 72 8 4" xfId="35291" xr:uid="{00000000-0005-0000-0000-0000ADBF0000}"/>
    <cellStyle name="Normal 72 9" xfId="35292" xr:uid="{00000000-0005-0000-0000-0000AEBF0000}"/>
    <cellStyle name="Normal 72 9 2" xfId="35293" xr:uid="{00000000-0005-0000-0000-0000AFBF0000}"/>
    <cellStyle name="Normal 72 9 2 2" xfId="35294" xr:uid="{00000000-0005-0000-0000-0000B0BF0000}"/>
    <cellStyle name="Normal 72 9 3" xfId="35295" xr:uid="{00000000-0005-0000-0000-0000B1BF0000}"/>
    <cellStyle name="Normal 73" xfId="35296" xr:uid="{00000000-0005-0000-0000-0000B2BF0000}"/>
    <cellStyle name="Normal 73 10" xfId="35297" xr:uid="{00000000-0005-0000-0000-0000B3BF0000}"/>
    <cellStyle name="Normal 73 10 2" xfId="35298" xr:uid="{00000000-0005-0000-0000-0000B4BF0000}"/>
    <cellStyle name="Normal 73 11" xfId="35299" xr:uid="{00000000-0005-0000-0000-0000B5BF0000}"/>
    <cellStyle name="Normal 73 11 2" xfId="35300" xr:uid="{00000000-0005-0000-0000-0000B6BF0000}"/>
    <cellStyle name="Normal 73 12" xfId="35301" xr:uid="{00000000-0005-0000-0000-0000B7BF0000}"/>
    <cellStyle name="Normal 73 13" xfId="35302" xr:uid="{00000000-0005-0000-0000-0000B8BF0000}"/>
    <cellStyle name="Normal 73 2" xfId="35303" xr:uid="{00000000-0005-0000-0000-0000B9BF0000}"/>
    <cellStyle name="Normal 73 2 10" xfId="35304" xr:uid="{00000000-0005-0000-0000-0000BABF0000}"/>
    <cellStyle name="Normal 73 2 10 2" xfId="35305" xr:uid="{00000000-0005-0000-0000-0000BBBF0000}"/>
    <cellStyle name="Normal 73 2 11" xfId="35306" xr:uid="{00000000-0005-0000-0000-0000BCBF0000}"/>
    <cellStyle name="Normal 73 2 2" xfId="35307" xr:uid="{00000000-0005-0000-0000-0000BDBF0000}"/>
    <cellStyle name="Normal 73 2 2 2" xfId="35308" xr:uid="{00000000-0005-0000-0000-0000BEBF0000}"/>
    <cellStyle name="Normal 73 2 2 2 2" xfId="35309" xr:uid="{00000000-0005-0000-0000-0000BFBF0000}"/>
    <cellStyle name="Normal 73 2 2 2 2 2" xfId="35310" xr:uid="{00000000-0005-0000-0000-0000C0BF0000}"/>
    <cellStyle name="Normal 73 2 2 2 3" xfId="35311" xr:uid="{00000000-0005-0000-0000-0000C1BF0000}"/>
    <cellStyle name="Normal 73 2 2 2 3 2" xfId="35312" xr:uid="{00000000-0005-0000-0000-0000C2BF0000}"/>
    <cellStyle name="Normal 73 2 2 2 4" xfId="35313" xr:uid="{00000000-0005-0000-0000-0000C3BF0000}"/>
    <cellStyle name="Normal 73 2 2 3" xfId="35314" xr:uid="{00000000-0005-0000-0000-0000C4BF0000}"/>
    <cellStyle name="Normal 73 2 2 3 2" xfId="35315" xr:uid="{00000000-0005-0000-0000-0000C5BF0000}"/>
    <cellStyle name="Normal 73 2 2 3 2 2" xfId="35316" xr:uid="{00000000-0005-0000-0000-0000C6BF0000}"/>
    <cellStyle name="Normal 73 2 2 3 3" xfId="35317" xr:uid="{00000000-0005-0000-0000-0000C7BF0000}"/>
    <cellStyle name="Normal 73 2 2 3 3 2" xfId="35318" xr:uid="{00000000-0005-0000-0000-0000C8BF0000}"/>
    <cellStyle name="Normal 73 2 2 3 4" xfId="35319" xr:uid="{00000000-0005-0000-0000-0000C9BF0000}"/>
    <cellStyle name="Normal 73 2 2 4" xfId="35320" xr:uid="{00000000-0005-0000-0000-0000CABF0000}"/>
    <cellStyle name="Normal 73 2 2 4 2" xfId="35321" xr:uid="{00000000-0005-0000-0000-0000CBBF0000}"/>
    <cellStyle name="Normal 73 2 2 5" xfId="35322" xr:uid="{00000000-0005-0000-0000-0000CCBF0000}"/>
    <cellStyle name="Normal 73 2 2 5 2" xfId="35323" xr:uid="{00000000-0005-0000-0000-0000CDBF0000}"/>
    <cellStyle name="Normal 73 2 2 6" xfId="35324" xr:uid="{00000000-0005-0000-0000-0000CEBF0000}"/>
    <cellStyle name="Normal 73 2 3" xfId="35325" xr:uid="{00000000-0005-0000-0000-0000CFBF0000}"/>
    <cellStyle name="Normal 73 2 3 2" xfId="35326" xr:uid="{00000000-0005-0000-0000-0000D0BF0000}"/>
    <cellStyle name="Normal 73 2 3 2 2" xfId="35327" xr:uid="{00000000-0005-0000-0000-0000D1BF0000}"/>
    <cellStyle name="Normal 73 2 3 3" xfId="35328" xr:uid="{00000000-0005-0000-0000-0000D2BF0000}"/>
    <cellStyle name="Normal 73 2 3 3 2" xfId="35329" xr:uid="{00000000-0005-0000-0000-0000D3BF0000}"/>
    <cellStyle name="Normal 73 2 3 4" xfId="35330" xr:uid="{00000000-0005-0000-0000-0000D4BF0000}"/>
    <cellStyle name="Normal 73 2 4" xfId="35331" xr:uid="{00000000-0005-0000-0000-0000D5BF0000}"/>
    <cellStyle name="Normal 73 2 4 2" xfId="35332" xr:uid="{00000000-0005-0000-0000-0000D6BF0000}"/>
    <cellStyle name="Normal 73 2 4 2 2" xfId="35333" xr:uid="{00000000-0005-0000-0000-0000D7BF0000}"/>
    <cellStyle name="Normal 73 2 4 3" xfId="35334" xr:uid="{00000000-0005-0000-0000-0000D8BF0000}"/>
    <cellStyle name="Normal 73 2 4 3 2" xfId="35335" xr:uid="{00000000-0005-0000-0000-0000D9BF0000}"/>
    <cellStyle name="Normal 73 2 4 4" xfId="35336" xr:uid="{00000000-0005-0000-0000-0000DABF0000}"/>
    <cellStyle name="Normal 73 2 5" xfId="35337" xr:uid="{00000000-0005-0000-0000-0000DBBF0000}"/>
    <cellStyle name="Normal 73 2 5 2" xfId="35338" xr:uid="{00000000-0005-0000-0000-0000DCBF0000}"/>
    <cellStyle name="Normal 73 2 5 2 2" xfId="35339" xr:uid="{00000000-0005-0000-0000-0000DDBF0000}"/>
    <cellStyle name="Normal 73 2 5 3" xfId="35340" xr:uid="{00000000-0005-0000-0000-0000DEBF0000}"/>
    <cellStyle name="Normal 73 2 5 3 2" xfId="35341" xr:uid="{00000000-0005-0000-0000-0000DFBF0000}"/>
    <cellStyle name="Normal 73 2 5 4" xfId="35342" xr:uid="{00000000-0005-0000-0000-0000E0BF0000}"/>
    <cellStyle name="Normal 73 2 6" xfId="35343" xr:uid="{00000000-0005-0000-0000-0000E1BF0000}"/>
    <cellStyle name="Normal 73 2 6 2" xfId="35344" xr:uid="{00000000-0005-0000-0000-0000E2BF0000}"/>
    <cellStyle name="Normal 73 2 6 2 2" xfId="35345" xr:uid="{00000000-0005-0000-0000-0000E3BF0000}"/>
    <cellStyle name="Normal 73 2 6 3" xfId="35346" xr:uid="{00000000-0005-0000-0000-0000E4BF0000}"/>
    <cellStyle name="Normal 73 2 6 3 2" xfId="35347" xr:uid="{00000000-0005-0000-0000-0000E5BF0000}"/>
    <cellStyle name="Normal 73 2 6 4" xfId="35348" xr:uid="{00000000-0005-0000-0000-0000E6BF0000}"/>
    <cellStyle name="Normal 73 2 7" xfId="35349" xr:uid="{00000000-0005-0000-0000-0000E7BF0000}"/>
    <cellStyle name="Normal 73 2 7 2" xfId="35350" xr:uid="{00000000-0005-0000-0000-0000E8BF0000}"/>
    <cellStyle name="Normal 73 2 7 2 2" xfId="35351" xr:uid="{00000000-0005-0000-0000-0000E9BF0000}"/>
    <cellStyle name="Normal 73 2 7 3" xfId="35352" xr:uid="{00000000-0005-0000-0000-0000EABF0000}"/>
    <cellStyle name="Normal 73 2 7 3 2" xfId="35353" xr:uid="{00000000-0005-0000-0000-0000EBBF0000}"/>
    <cellStyle name="Normal 73 2 7 4" xfId="35354" xr:uid="{00000000-0005-0000-0000-0000ECBF0000}"/>
    <cellStyle name="Normal 73 2 8" xfId="35355" xr:uid="{00000000-0005-0000-0000-0000EDBF0000}"/>
    <cellStyle name="Normal 73 2 8 2" xfId="35356" xr:uid="{00000000-0005-0000-0000-0000EEBF0000}"/>
    <cellStyle name="Normal 73 2 8 2 2" xfId="35357" xr:uid="{00000000-0005-0000-0000-0000EFBF0000}"/>
    <cellStyle name="Normal 73 2 8 3" xfId="35358" xr:uid="{00000000-0005-0000-0000-0000F0BF0000}"/>
    <cellStyle name="Normal 73 2 9" xfId="35359" xr:uid="{00000000-0005-0000-0000-0000F1BF0000}"/>
    <cellStyle name="Normal 73 2 9 2" xfId="35360" xr:uid="{00000000-0005-0000-0000-0000F2BF0000}"/>
    <cellStyle name="Normal 73 3" xfId="35361" xr:uid="{00000000-0005-0000-0000-0000F3BF0000}"/>
    <cellStyle name="Normal 73 3 2" xfId="35362" xr:uid="{00000000-0005-0000-0000-0000F4BF0000}"/>
    <cellStyle name="Normal 73 3 2 2" xfId="35363" xr:uid="{00000000-0005-0000-0000-0000F5BF0000}"/>
    <cellStyle name="Normal 73 3 2 2 2" xfId="35364" xr:uid="{00000000-0005-0000-0000-0000F6BF0000}"/>
    <cellStyle name="Normal 73 3 2 3" xfId="35365" xr:uid="{00000000-0005-0000-0000-0000F7BF0000}"/>
    <cellStyle name="Normal 73 3 2 3 2" xfId="35366" xr:uid="{00000000-0005-0000-0000-0000F8BF0000}"/>
    <cellStyle name="Normal 73 3 2 4" xfId="35367" xr:uid="{00000000-0005-0000-0000-0000F9BF0000}"/>
    <cellStyle name="Normal 73 3 3" xfId="35368" xr:uid="{00000000-0005-0000-0000-0000FABF0000}"/>
    <cellStyle name="Normal 73 3 3 2" xfId="35369" xr:uid="{00000000-0005-0000-0000-0000FBBF0000}"/>
    <cellStyle name="Normal 73 3 3 2 2" xfId="35370" xr:uid="{00000000-0005-0000-0000-0000FCBF0000}"/>
    <cellStyle name="Normal 73 3 3 3" xfId="35371" xr:uid="{00000000-0005-0000-0000-0000FDBF0000}"/>
    <cellStyle name="Normal 73 3 3 3 2" xfId="35372" xr:uid="{00000000-0005-0000-0000-0000FEBF0000}"/>
    <cellStyle name="Normal 73 3 3 4" xfId="35373" xr:uid="{00000000-0005-0000-0000-0000FFBF0000}"/>
    <cellStyle name="Normal 73 3 4" xfId="35374" xr:uid="{00000000-0005-0000-0000-000000C00000}"/>
    <cellStyle name="Normal 73 3 4 2" xfId="35375" xr:uid="{00000000-0005-0000-0000-000001C00000}"/>
    <cellStyle name="Normal 73 3 5" xfId="35376" xr:uid="{00000000-0005-0000-0000-000002C00000}"/>
    <cellStyle name="Normal 73 3 5 2" xfId="35377" xr:uid="{00000000-0005-0000-0000-000003C00000}"/>
    <cellStyle name="Normal 73 3 6" xfId="35378" xr:uid="{00000000-0005-0000-0000-000004C00000}"/>
    <cellStyle name="Normal 73 4" xfId="35379" xr:uid="{00000000-0005-0000-0000-000005C00000}"/>
    <cellStyle name="Normal 73 4 2" xfId="35380" xr:uid="{00000000-0005-0000-0000-000006C00000}"/>
    <cellStyle name="Normal 73 4 2 2" xfId="35381" xr:uid="{00000000-0005-0000-0000-000007C00000}"/>
    <cellStyle name="Normal 73 4 3" xfId="35382" xr:uid="{00000000-0005-0000-0000-000008C00000}"/>
    <cellStyle name="Normal 73 4 3 2" xfId="35383" xr:uid="{00000000-0005-0000-0000-000009C00000}"/>
    <cellStyle name="Normal 73 4 4" xfId="35384" xr:uid="{00000000-0005-0000-0000-00000AC00000}"/>
    <cellStyle name="Normal 73 5" xfId="35385" xr:uid="{00000000-0005-0000-0000-00000BC00000}"/>
    <cellStyle name="Normal 73 5 2" xfId="35386" xr:uid="{00000000-0005-0000-0000-00000CC00000}"/>
    <cellStyle name="Normal 73 5 2 2" xfId="35387" xr:uid="{00000000-0005-0000-0000-00000DC00000}"/>
    <cellStyle name="Normal 73 5 3" xfId="35388" xr:uid="{00000000-0005-0000-0000-00000EC00000}"/>
    <cellStyle name="Normal 73 5 3 2" xfId="35389" xr:uid="{00000000-0005-0000-0000-00000FC00000}"/>
    <cellStyle name="Normal 73 5 4" xfId="35390" xr:uid="{00000000-0005-0000-0000-000010C00000}"/>
    <cellStyle name="Normal 73 6" xfId="35391" xr:uid="{00000000-0005-0000-0000-000011C00000}"/>
    <cellStyle name="Normal 73 6 2" xfId="35392" xr:uid="{00000000-0005-0000-0000-000012C00000}"/>
    <cellStyle name="Normal 73 6 2 2" xfId="35393" xr:uid="{00000000-0005-0000-0000-000013C00000}"/>
    <cellStyle name="Normal 73 6 3" xfId="35394" xr:uid="{00000000-0005-0000-0000-000014C00000}"/>
    <cellStyle name="Normal 73 6 3 2" xfId="35395" xr:uid="{00000000-0005-0000-0000-000015C00000}"/>
    <cellStyle name="Normal 73 6 4" xfId="35396" xr:uid="{00000000-0005-0000-0000-000016C00000}"/>
    <cellStyle name="Normal 73 7" xfId="35397" xr:uid="{00000000-0005-0000-0000-000017C00000}"/>
    <cellStyle name="Normal 73 7 2" xfId="35398" xr:uid="{00000000-0005-0000-0000-000018C00000}"/>
    <cellStyle name="Normal 73 7 2 2" xfId="35399" xr:uid="{00000000-0005-0000-0000-000019C00000}"/>
    <cellStyle name="Normal 73 7 3" xfId="35400" xr:uid="{00000000-0005-0000-0000-00001AC00000}"/>
    <cellStyle name="Normal 73 7 3 2" xfId="35401" xr:uid="{00000000-0005-0000-0000-00001BC00000}"/>
    <cellStyle name="Normal 73 7 4" xfId="35402" xr:uid="{00000000-0005-0000-0000-00001CC00000}"/>
    <cellStyle name="Normal 73 8" xfId="35403" xr:uid="{00000000-0005-0000-0000-00001DC00000}"/>
    <cellStyle name="Normal 73 8 2" xfId="35404" xr:uid="{00000000-0005-0000-0000-00001EC00000}"/>
    <cellStyle name="Normal 73 8 2 2" xfId="35405" xr:uid="{00000000-0005-0000-0000-00001FC00000}"/>
    <cellStyle name="Normal 73 8 3" xfId="35406" xr:uid="{00000000-0005-0000-0000-000020C00000}"/>
    <cellStyle name="Normal 73 8 3 2" xfId="35407" xr:uid="{00000000-0005-0000-0000-000021C00000}"/>
    <cellStyle name="Normal 73 8 4" xfId="35408" xr:uid="{00000000-0005-0000-0000-000022C00000}"/>
    <cellStyle name="Normal 73 9" xfId="35409" xr:uid="{00000000-0005-0000-0000-000023C00000}"/>
    <cellStyle name="Normal 73 9 2" xfId="35410" xr:uid="{00000000-0005-0000-0000-000024C00000}"/>
    <cellStyle name="Normal 73 9 2 2" xfId="35411" xr:uid="{00000000-0005-0000-0000-000025C00000}"/>
    <cellStyle name="Normal 73 9 3" xfId="35412" xr:uid="{00000000-0005-0000-0000-000026C00000}"/>
    <cellStyle name="Normal 74" xfId="35413" xr:uid="{00000000-0005-0000-0000-000027C00000}"/>
    <cellStyle name="Normal 74 10" xfId="35414" xr:uid="{00000000-0005-0000-0000-000028C00000}"/>
    <cellStyle name="Normal 74 10 2" xfId="35415" xr:uid="{00000000-0005-0000-0000-000029C00000}"/>
    <cellStyle name="Normal 74 11" xfId="35416" xr:uid="{00000000-0005-0000-0000-00002AC00000}"/>
    <cellStyle name="Normal 74 11 2" xfId="35417" xr:uid="{00000000-0005-0000-0000-00002BC00000}"/>
    <cellStyle name="Normal 74 12" xfId="35418" xr:uid="{00000000-0005-0000-0000-00002CC00000}"/>
    <cellStyle name="Normal 74 13" xfId="35419" xr:uid="{00000000-0005-0000-0000-00002DC00000}"/>
    <cellStyle name="Normal 74 2" xfId="35420" xr:uid="{00000000-0005-0000-0000-00002EC00000}"/>
    <cellStyle name="Normal 74 2 10" xfId="35421" xr:uid="{00000000-0005-0000-0000-00002FC00000}"/>
    <cellStyle name="Normal 74 2 10 2" xfId="35422" xr:uid="{00000000-0005-0000-0000-000030C00000}"/>
    <cellStyle name="Normal 74 2 11" xfId="35423" xr:uid="{00000000-0005-0000-0000-000031C00000}"/>
    <cellStyle name="Normal 74 2 2" xfId="35424" xr:uid="{00000000-0005-0000-0000-000032C00000}"/>
    <cellStyle name="Normal 74 2 2 2" xfId="35425" xr:uid="{00000000-0005-0000-0000-000033C00000}"/>
    <cellStyle name="Normal 74 2 2 2 2" xfId="35426" xr:uid="{00000000-0005-0000-0000-000034C00000}"/>
    <cellStyle name="Normal 74 2 2 2 2 2" xfId="35427" xr:uid="{00000000-0005-0000-0000-000035C00000}"/>
    <cellStyle name="Normal 74 2 2 2 3" xfId="35428" xr:uid="{00000000-0005-0000-0000-000036C00000}"/>
    <cellStyle name="Normal 74 2 2 2 3 2" xfId="35429" xr:uid="{00000000-0005-0000-0000-000037C00000}"/>
    <cellStyle name="Normal 74 2 2 2 4" xfId="35430" xr:uid="{00000000-0005-0000-0000-000038C00000}"/>
    <cellStyle name="Normal 74 2 2 3" xfId="35431" xr:uid="{00000000-0005-0000-0000-000039C00000}"/>
    <cellStyle name="Normal 74 2 2 3 2" xfId="35432" xr:uid="{00000000-0005-0000-0000-00003AC00000}"/>
    <cellStyle name="Normal 74 2 2 3 2 2" xfId="35433" xr:uid="{00000000-0005-0000-0000-00003BC00000}"/>
    <cellStyle name="Normal 74 2 2 3 3" xfId="35434" xr:uid="{00000000-0005-0000-0000-00003CC00000}"/>
    <cellStyle name="Normal 74 2 2 3 3 2" xfId="35435" xr:uid="{00000000-0005-0000-0000-00003DC00000}"/>
    <cellStyle name="Normal 74 2 2 3 4" xfId="35436" xr:uid="{00000000-0005-0000-0000-00003EC00000}"/>
    <cellStyle name="Normal 74 2 2 4" xfId="35437" xr:uid="{00000000-0005-0000-0000-00003FC00000}"/>
    <cellStyle name="Normal 74 2 2 4 2" xfId="35438" xr:uid="{00000000-0005-0000-0000-000040C00000}"/>
    <cellStyle name="Normal 74 2 2 5" xfId="35439" xr:uid="{00000000-0005-0000-0000-000041C00000}"/>
    <cellStyle name="Normal 74 2 2 5 2" xfId="35440" xr:uid="{00000000-0005-0000-0000-000042C00000}"/>
    <cellStyle name="Normal 74 2 2 6" xfId="35441" xr:uid="{00000000-0005-0000-0000-000043C00000}"/>
    <cellStyle name="Normal 74 2 3" xfId="35442" xr:uid="{00000000-0005-0000-0000-000044C00000}"/>
    <cellStyle name="Normal 74 2 3 2" xfId="35443" xr:uid="{00000000-0005-0000-0000-000045C00000}"/>
    <cellStyle name="Normal 74 2 3 2 2" xfId="35444" xr:uid="{00000000-0005-0000-0000-000046C00000}"/>
    <cellStyle name="Normal 74 2 3 3" xfId="35445" xr:uid="{00000000-0005-0000-0000-000047C00000}"/>
    <cellStyle name="Normal 74 2 3 3 2" xfId="35446" xr:uid="{00000000-0005-0000-0000-000048C00000}"/>
    <cellStyle name="Normal 74 2 3 4" xfId="35447" xr:uid="{00000000-0005-0000-0000-000049C00000}"/>
    <cellStyle name="Normal 74 2 4" xfId="35448" xr:uid="{00000000-0005-0000-0000-00004AC00000}"/>
    <cellStyle name="Normal 74 2 4 2" xfId="35449" xr:uid="{00000000-0005-0000-0000-00004BC00000}"/>
    <cellStyle name="Normal 74 2 4 2 2" xfId="35450" xr:uid="{00000000-0005-0000-0000-00004CC00000}"/>
    <cellStyle name="Normal 74 2 4 3" xfId="35451" xr:uid="{00000000-0005-0000-0000-00004DC00000}"/>
    <cellStyle name="Normal 74 2 4 3 2" xfId="35452" xr:uid="{00000000-0005-0000-0000-00004EC00000}"/>
    <cellStyle name="Normal 74 2 4 4" xfId="35453" xr:uid="{00000000-0005-0000-0000-00004FC00000}"/>
    <cellStyle name="Normal 74 2 5" xfId="35454" xr:uid="{00000000-0005-0000-0000-000050C00000}"/>
    <cellStyle name="Normal 74 2 5 2" xfId="35455" xr:uid="{00000000-0005-0000-0000-000051C00000}"/>
    <cellStyle name="Normal 74 2 5 2 2" xfId="35456" xr:uid="{00000000-0005-0000-0000-000052C00000}"/>
    <cellStyle name="Normal 74 2 5 3" xfId="35457" xr:uid="{00000000-0005-0000-0000-000053C00000}"/>
    <cellStyle name="Normal 74 2 5 3 2" xfId="35458" xr:uid="{00000000-0005-0000-0000-000054C00000}"/>
    <cellStyle name="Normal 74 2 5 4" xfId="35459" xr:uid="{00000000-0005-0000-0000-000055C00000}"/>
    <cellStyle name="Normal 74 2 6" xfId="35460" xr:uid="{00000000-0005-0000-0000-000056C00000}"/>
    <cellStyle name="Normal 74 2 6 2" xfId="35461" xr:uid="{00000000-0005-0000-0000-000057C00000}"/>
    <cellStyle name="Normal 74 2 6 2 2" xfId="35462" xr:uid="{00000000-0005-0000-0000-000058C00000}"/>
    <cellStyle name="Normal 74 2 6 3" xfId="35463" xr:uid="{00000000-0005-0000-0000-000059C00000}"/>
    <cellStyle name="Normal 74 2 6 3 2" xfId="35464" xr:uid="{00000000-0005-0000-0000-00005AC00000}"/>
    <cellStyle name="Normal 74 2 6 4" xfId="35465" xr:uid="{00000000-0005-0000-0000-00005BC00000}"/>
    <cellStyle name="Normal 74 2 7" xfId="35466" xr:uid="{00000000-0005-0000-0000-00005CC00000}"/>
    <cellStyle name="Normal 74 2 7 2" xfId="35467" xr:uid="{00000000-0005-0000-0000-00005DC00000}"/>
    <cellStyle name="Normal 74 2 7 2 2" xfId="35468" xr:uid="{00000000-0005-0000-0000-00005EC00000}"/>
    <cellStyle name="Normal 74 2 7 3" xfId="35469" xr:uid="{00000000-0005-0000-0000-00005FC00000}"/>
    <cellStyle name="Normal 74 2 7 3 2" xfId="35470" xr:uid="{00000000-0005-0000-0000-000060C00000}"/>
    <cellStyle name="Normal 74 2 7 4" xfId="35471" xr:uid="{00000000-0005-0000-0000-000061C00000}"/>
    <cellStyle name="Normal 74 2 8" xfId="35472" xr:uid="{00000000-0005-0000-0000-000062C00000}"/>
    <cellStyle name="Normal 74 2 8 2" xfId="35473" xr:uid="{00000000-0005-0000-0000-000063C00000}"/>
    <cellStyle name="Normal 74 2 8 2 2" xfId="35474" xr:uid="{00000000-0005-0000-0000-000064C00000}"/>
    <cellStyle name="Normal 74 2 8 3" xfId="35475" xr:uid="{00000000-0005-0000-0000-000065C00000}"/>
    <cellStyle name="Normal 74 2 9" xfId="35476" xr:uid="{00000000-0005-0000-0000-000066C00000}"/>
    <cellStyle name="Normal 74 2 9 2" xfId="35477" xr:uid="{00000000-0005-0000-0000-000067C00000}"/>
    <cellStyle name="Normal 74 3" xfId="35478" xr:uid="{00000000-0005-0000-0000-000068C00000}"/>
    <cellStyle name="Normal 74 3 2" xfId="35479" xr:uid="{00000000-0005-0000-0000-000069C00000}"/>
    <cellStyle name="Normal 74 3 2 2" xfId="35480" xr:uid="{00000000-0005-0000-0000-00006AC00000}"/>
    <cellStyle name="Normal 74 3 2 2 2" xfId="35481" xr:uid="{00000000-0005-0000-0000-00006BC00000}"/>
    <cellStyle name="Normal 74 3 2 3" xfId="35482" xr:uid="{00000000-0005-0000-0000-00006CC00000}"/>
    <cellStyle name="Normal 74 3 2 3 2" xfId="35483" xr:uid="{00000000-0005-0000-0000-00006DC00000}"/>
    <cellStyle name="Normal 74 3 2 4" xfId="35484" xr:uid="{00000000-0005-0000-0000-00006EC00000}"/>
    <cellStyle name="Normal 74 3 3" xfId="35485" xr:uid="{00000000-0005-0000-0000-00006FC00000}"/>
    <cellStyle name="Normal 74 3 3 2" xfId="35486" xr:uid="{00000000-0005-0000-0000-000070C00000}"/>
    <cellStyle name="Normal 74 3 3 2 2" xfId="35487" xr:uid="{00000000-0005-0000-0000-000071C00000}"/>
    <cellStyle name="Normal 74 3 3 3" xfId="35488" xr:uid="{00000000-0005-0000-0000-000072C00000}"/>
    <cellStyle name="Normal 74 3 3 3 2" xfId="35489" xr:uid="{00000000-0005-0000-0000-000073C00000}"/>
    <cellStyle name="Normal 74 3 3 4" xfId="35490" xr:uid="{00000000-0005-0000-0000-000074C00000}"/>
    <cellStyle name="Normal 74 3 4" xfId="35491" xr:uid="{00000000-0005-0000-0000-000075C00000}"/>
    <cellStyle name="Normal 74 3 4 2" xfId="35492" xr:uid="{00000000-0005-0000-0000-000076C00000}"/>
    <cellStyle name="Normal 74 3 5" xfId="35493" xr:uid="{00000000-0005-0000-0000-000077C00000}"/>
    <cellStyle name="Normal 74 3 5 2" xfId="35494" xr:uid="{00000000-0005-0000-0000-000078C00000}"/>
    <cellStyle name="Normal 74 3 6" xfId="35495" xr:uid="{00000000-0005-0000-0000-000079C00000}"/>
    <cellStyle name="Normal 74 4" xfId="35496" xr:uid="{00000000-0005-0000-0000-00007AC00000}"/>
    <cellStyle name="Normal 74 4 2" xfId="35497" xr:uid="{00000000-0005-0000-0000-00007BC00000}"/>
    <cellStyle name="Normal 74 4 2 2" xfId="35498" xr:uid="{00000000-0005-0000-0000-00007CC00000}"/>
    <cellStyle name="Normal 74 4 3" xfId="35499" xr:uid="{00000000-0005-0000-0000-00007DC00000}"/>
    <cellStyle name="Normal 74 4 3 2" xfId="35500" xr:uid="{00000000-0005-0000-0000-00007EC00000}"/>
    <cellStyle name="Normal 74 4 4" xfId="35501" xr:uid="{00000000-0005-0000-0000-00007FC00000}"/>
    <cellStyle name="Normal 74 5" xfId="35502" xr:uid="{00000000-0005-0000-0000-000080C00000}"/>
    <cellStyle name="Normal 74 5 2" xfId="35503" xr:uid="{00000000-0005-0000-0000-000081C00000}"/>
    <cellStyle name="Normal 74 5 2 2" xfId="35504" xr:uid="{00000000-0005-0000-0000-000082C00000}"/>
    <cellStyle name="Normal 74 5 3" xfId="35505" xr:uid="{00000000-0005-0000-0000-000083C00000}"/>
    <cellStyle name="Normal 74 5 3 2" xfId="35506" xr:uid="{00000000-0005-0000-0000-000084C00000}"/>
    <cellStyle name="Normal 74 5 4" xfId="35507" xr:uid="{00000000-0005-0000-0000-000085C00000}"/>
    <cellStyle name="Normal 74 6" xfId="35508" xr:uid="{00000000-0005-0000-0000-000086C00000}"/>
    <cellStyle name="Normal 74 6 2" xfId="35509" xr:uid="{00000000-0005-0000-0000-000087C00000}"/>
    <cellStyle name="Normal 74 6 2 2" xfId="35510" xr:uid="{00000000-0005-0000-0000-000088C00000}"/>
    <cellStyle name="Normal 74 6 3" xfId="35511" xr:uid="{00000000-0005-0000-0000-000089C00000}"/>
    <cellStyle name="Normal 74 6 3 2" xfId="35512" xr:uid="{00000000-0005-0000-0000-00008AC00000}"/>
    <cellStyle name="Normal 74 6 4" xfId="35513" xr:uid="{00000000-0005-0000-0000-00008BC00000}"/>
    <cellStyle name="Normal 74 7" xfId="35514" xr:uid="{00000000-0005-0000-0000-00008CC00000}"/>
    <cellStyle name="Normal 74 7 2" xfId="35515" xr:uid="{00000000-0005-0000-0000-00008DC00000}"/>
    <cellStyle name="Normal 74 7 2 2" xfId="35516" xr:uid="{00000000-0005-0000-0000-00008EC00000}"/>
    <cellStyle name="Normal 74 7 3" xfId="35517" xr:uid="{00000000-0005-0000-0000-00008FC00000}"/>
    <cellStyle name="Normal 74 7 3 2" xfId="35518" xr:uid="{00000000-0005-0000-0000-000090C00000}"/>
    <cellStyle name="Normal 74 7 4" xfId="35519" xr:uid="{00000000-0005-0000-0000-000091C00000}"/>
    <cellStyle name="Normal 74 8" xfId="35520" xr:uid="{00000000-0005-0000-0000-000092C00000}"/>
    <cellStyle name="Normal 74 8 2" xfId="35521" xr:uid="{00000000-0005-0000-0000-000093C00000}"/>
    <cellStyle name="Normal 74 8 2 2" xfId="35522" xr:uid="{00000000-0005-0000-0000-000094C00000}"/>
    <cellStyle name="Normal 74 8 3" xfId="35523" xr:uid="{00000000-0005-0000-0000-000095C00000}"/>
    <cellStyle name="Normal 74 8 3 2" xfId="35524" xr:uid="{00000000-0005-0000-0000-000096C00000}"/>
    <cellStyle name="Normal 74 8 4" xfId="35525" xr:uid="{00000000-0005-0000-0000-000097C00000}"/>
    <cellStyle name="Normal 74 9" xfId="35526" xr:uid="{00000000-0005-0000-0000-000098C00000}"/>
    <cellStyle name="Normal 74 9 2" xfId="35527" xr:uid="{00000000-0005-0000-0000-000099C00000}"/>
    <cellStyle name="Normal 74 9 2 2" xfId="35528" xr:uid="{00000000-0005-0000-0000-00009AC00000}"/>
    <cellStyle name="Normal 74 9 3" xfId="35529" xr:uid="{00000000-0005-0000-0000-00009BC00000}"/>
    <cellStyle name="Normal 75" xfId="35530" xr:uid="{00000000-0005-0000-0000-00009CC00000}"/>
    <cellStyle name="Normal 75 10" xfId="35531" xr:uid="{00000000-0005-0000-0000-00009DC00000}"/>
    <cellStyle name="Normal 75 10 2" xfId="35532" xr:uid="{00000000-0005-0000-0000-00009EC00000}"/>
    <cellStyle name="Normal 75 11" xfId="35533" xr:uid="{00000000-0005-0000-0000-00009FC00000}"/>
    <cellStyle name="Normal 75 11 2" xfId="35534" xr:uid="{00000000-0005-0000-0000-0000A0C00000}"/>
    <cellStyle name="Normal 75 12" xfId="35535" xr:uid="{00000000-0005-0000-0000-0000A1C00000}"/>
    <cellStyle name="Normal 75 13" xfId="35536" xr:uid="{00000000-0005-0000-0000-0000A2C00000}"/>
    <cellStyle name="Normal 75 2" xfId="35537" xr:uid="{00000000-0005-0000-0000-0000A3C00000}"/>
    <cellStyle name="Normal 75 2 10" xfId="35538" xr:uid="{00000000-0005-0000-0000-0000A4C00000}"/>
    <cellStyle name="Normal 75 2 10 2" xfId="35539" xr:uid="{00000000-0005-0000-0000-0000A5C00000}"/>
    <cellStyle name="Normal 75 2 11" xfId="35540" xr:uid="{00000000-0005-0000-0000-0000A6C00000}"/>
    <cellStyle name="Normal 75 2 2" xfId="35541" xr:uid="{00000000-0005-0000-0000-0000A7C00000}"/>
    <cellStyle name="Normal 75 2 2 2" xfId="35542" xr:uid="{00000000-0005-0000-0000-0000A8C00000}"/>
    <cellStyle name="Normal 75 2 2 2 2" xfId="35543" xr:uid="{00000000-0005-0000-0000-0000A9C00000}"/>
    <cellStyle name="Normal 75 2 2 2 2 2" xfId="35544" xr:uid="{00000000-0005-0000-0000-0000AAC00000}"/>
    <cellStyle name="Normal 75 2 2 2 3" xfId="35545" xr:uid="{00000000-0005-0000-0000-0000ABC00000}"/>
    <cellStyle name="Normal 75 2 2 2 3 2" xfId="35546" xr:uid="{00000000-0005-0000-0000-0000ACC00000}"/>
    <cellStyle name="Normal 75 2 2 2 4" xfId="35547" xr:uid="{00000000-0005-0000-0000-0000ADC00000}"/>
    <cellStyle name="Normal 75 2 2 3" xfId="35548" xr:uid="{00000000-0005-0000-0000-0000AEC00000}"/>
    <cellStyle name="Normal 75 2 2 3 2" xfId="35549" xr:uid="{00000000-0005-0000-0000-0000AFC00000}"/>
    <cellStyle name="Normal 75 2 2 3 2 2" xfId="35550" xr:uid="{00000000-0005-0000-0000-0000B0C00000}"/>
    <cellStyle name="Normal 75 2 2 3 3" xfId="35551" xr:uid="{00000000-0005-0000-0000-0000B1C00000}"/>
    <cellStyle name="Normal 75 2 2 3 3 2" xfId="35552" xr:uid="{00000000-0005-0000-0000-0000B2C00000}"/>
    <cellStyle name="Normal 75 2 2 3 4" xfId="35553" xr:uid="{00000000-0005-0000-0000-0000B3C00000}"/>
    <cellStyle name="Normal 75 2 2 4" xfId="35554" xr:uid="{00000000-0005-0000-0000-0000B4C00000}"/>
    <cellStyle name="Normal 75 2 2 4 2" xfId="35555" xr:uid="{00000000-0005-0000-0000-0000B5C00000}"/>
    <cellStyle name="Normal 75 2 2 5" xfId="35556" xr:uid="{00000000-0005-0000-0000-0000B6C00000}"/>
    <cellStyle name="Normal 75 2 2 5 2" xfId="35557" xr:uid="{00000000-0005-0000-0000-0000B7C00000}"/>
    <cellStyle name="Normal 75 2 2 6" xfId="35558" xr:uid="{00000000-0005-0000-0000-0000B8C00000}"/>
    <cellStyle name="Normal 75 2 3" xfId="35559" xr:uid="{00000000-0005-0000-0000-0000B9C00000}"/>
    <cellStyle name="Normal 75 2 3 2" xfId="35560" xr:uid="{00000000-0005-0000-0000-0000BAC00000}"/>
    <cellStyle name="Normal 75 2 3 2 2" xfId="35561" xr:uid="{00000000-0005-0000-0000-0000BBC00000}"/>
    <cellStyle name="Normal 75 2 3 3" xfId="35562" xr:uid="{00000000-0005-0000-0000-0000BCC00000}"/>
    <cellStyle name="Normal 75 2 3 3 2" xfId="35563" xr:uid="{00000000-0005-0000-0000-0000BDC00000}"/>
    <cellStyle name="Normal 75 2 3 4" xfId="35564" xr:uid="{00000000-0005-0000-0000-0000BEC00000}"/>
    <cellStyle name="Normal 75 2 4" xfId="35565" xr:uid="{00000000-0005-0000-0000-0000BFC00000}"/>
    <cellStyle name="Normal 75 2 4 2" xfId="35566" xr:uid="{00000000-0005-0000-0000-0000C0C00000}"/>
    <cellStyle name="Normal 75 2 4 2 2" xfId="35567" xr:uid="{00000000-0005-0000-0000-0000C1C00000}"/>
    <cellStyle name="Normal 75 2 4 3" xfId="35568" xr:uid="{00000000-0005-0000-0000-0000C2C00000}"/>
    <cellStyle name="Normal 75 2 4 3 2" xfId="35569" xr:uid="{00000000-0005-0000-0000-0000C3C00000}"/>
    <cellStyle name="Normal 75 2 4 4" xfId="35570" xr:uid="{00000000-0005-0000-0000-0000C4C00000}"/>
    <cellStyle name="Normal 75 2 5" xfId="35571" xr:uid="{00000000-0005-0000-0000-0000C5C00000}"/>
    <cellStyle name="Normal 75 2 5 2" xfId="35572" xr:uid="{00000000-0005-0000-0000-0000C6C00000}"/>
    <cellStyle name="Normal 75 2 5 2 2" xfId="35573" xr:uid="{00000000-0005-0000-0000-0000C7C00000}"/>
    <cellStyle name="Normal 75 2 5 3" xfId="35574" xr:uid="{00000000-0005-0000-0000-0000C8C00000}"/>
    <cellStyle name="Normal 75 2 5 3 2" xfId="35575" xr:uid="{00000000-0005-0000-0000-0000C9C00000}"/>
    <cellStyle name="Normal 75 2 5 4" xfId="35576" xr:uid="{00000000-0005-0000-0000-0000CAC00000}"/>
    <cellStyle name="Normal 75 2 6" xfId="35577" xr:uid="{00000000-0005-0000-0000-0000CBC00000}"/>
    <cellStyle name="Normal 75 2 6 2" xfId="35578" xr:uid="{00000000-0005-0000-0000-0000CCC00000}"/>
    <cellStyle name="Normal 75 2 6 2 2" xfId="35579" xr:uid="{00000000-0005-0000-0000-0000CDC00000}"/>
    <cellStyle name="Normal 75 2 6 3" xfId="35580" xr:uid="{00000000-0005-0000-0000-0000CEC00000}"/>
    <cellStyle name="Normal 75 2 6 3 2" xfId="35581" xr:uid="{00000000-0005-0000-0000-0000CFC00000}"/>
    <cellStyle name="Normal 75 2 6 4" xfId="35582" xr:uid="{00000000-0005-0000-0000-0000D0C00000}"/>
    <cellStyle name="Normal 75 2 7" xfId="35583" xr:uid="{00000000-0005-0000-0000-0000D1C00000}"/>
    <cellStyle name="Normal 75 2 7 2" xfId="35584" xr:uid="{00000000-0005-0000-0000-0000D2C00000}"/>
    <cellStyle name="Normal 75 2 7 2 2" xfId="35585" xr:uid="{00000000-0005-0000-0000-0000D3C00000}"/>
    <cellStyle name="Normal 75 2 7 3" xfId="35586" xr:uid="{00000000-0005-0000-0000-0000D4C00000}"/>
    <cellStyle name="Normal 75 2 7 3 2" xfId="35587" xr:uid="{00000000-0005-0000-0000-0000D5C00000}"/>
    <cellStyle name="Normal 75 2 7 4" xfId="35588" xr:uid="{00000000-0005-0000-0000-0000D6C00000}"/>
    <cellStyle name="Normal 75 2 8" xfId="35589" xr:uid="{00000000-0005-0000-0000-0000D7C00000}"/>
    <cellStyle name="Normal 75 2 8 2" xfId="35590" xr:uid="{00000000-0005-0000-0000-0000D8C00000}"/>
    <cellStyle name="Normal 75 2 8 2 2" xfId="35591" xr:uid="{00000000-0005-0000-0000-0000D9C00000}"/>
    <cellStyle name="Normal 75 2 8 3" xfId="35592" xr:uid="{00000000-0005-0000-0000-0000DAC00000}"/>
    <cellStyle name="Normal 75 2 9" xfId="35593" xr:uid="{00000000-0005-0000-0000-0000DBC00000}"/>
    <cellStyle name="Normal 75 2 9 2" xfId="35594" xr:uid="{00000000-0005-0000-0000-0000DCC00000}"/>
    <cellStyle name="Normal 75 3" xfId="35595" xr:uid="{00000000-0005-0000-0000-0000DDC00000}"/>
    <cellStyle name="Normal 75 3 2" xfId="35596" xr:uid="{00000000-0005-0000-0000-0000DEC00000}"/>
    <cellStyle name="Normal 75 3 2 2" xfId="35597" xr:uid="{00000000-0005-0000-0000-0000DFC00000}"/>
    <cellStyle name="Normal 75 3 2 2 2" xfId="35598" xr:uid="{00000000-0005-0000-0000-0000E0C00000}"/>
    <cellStyle name="Normal 75 3 2 3" xfId="35599" xr:uid="{00000000-0005-0000-0000-0000E1C00000}"/>
    <cellStyle name="Normal 75 3 2 3 2" xfId="35600" xr:uid="{00000000-0005-0000-0000-0000E2C00000}"/>
    <cellStyle name="Normal 75 3 2 4" xfId="35601" xr:uid="{00000000-0005-0000-0000-0000E3C00000}"/>
    <cellStyle name="Normal 75 3 3" xfId="35602" xr:uid="{00000000-0005-0000-0000-0000E4C00000}"/>
    <cellStyle name="Normal 75 3 3 2" xfId="35603" xr:uid="{00000000-0005-0000-0000-0000E5C00000}"/>
    <cellStyle name="Normal 75 3 3 2 2" xfId="35604" xr:uid="{00000000-0005-0000-0000-0000E6C00000}"/>
    <cellStyle name="Normal 75 3 3 3" xfId="35605" xr:uid="{00000000-0005-0000-0000-0000E7C00000}"/>
    <cellStyle name="Normal 75 3 3 3 2" xfId="35606" xr:uid="{00000000-0005-0000-0000-0000E8C00000}"/>
    <cellStyle name="Normal 75 3 3 4" xfId="35607" xr:uid="{00000000-0005-0000-0000-0000E9C00000}"/>
    <cellStyle name="Normal 75 3 4" xfId="35608" xr:uid="{00000000-0005-0000-0000-0000EAC00000}"/>
    <cellStyle name="Normal 75 3 4 2" xfId="35609" xr:uid="{00000000-0005-0000-0000-0000EBC00000}"/>
    <cellStyle name="Normal 75 3 5" xfId="35610" xr:uid="{00000000-0005-0000-0000-0000ECC00000}"/>
    <cellStyle name="Normal 75 3 5 2" xfId="35611" xr:uid="{00000000-0005-0000-0000-0000EDC00000}"/>
    <cellStyle name="Normal 75 3 6" xfId="35612" xr:uid="{00000000-0005-0000-0000-0000EEC00000}"/>
    <cellStyle name="Normal 75 4" xfId="35613" xr:uid="{00000000-0005-0000-0000-0000EFC00000}"/>
    <cellStyle name="Normal 75 4 2" xfId="35614" xr:uid="{00000000-0005-0000-0000-0000F0C00000}"/>
    <cellStyle name="Normal 75 4 2 2" xfId="35615" xr:uid="{00000000-0005-0000-0000-0000F1C00000}"/>
    <cellStyle name="Normal 75 4 3" xfId="35616" xr:uid="{00000000-0005-0000-0000-0000F2C00000}"/>
    <cellStyle name="Normal 75 4 3 2" xfId="35617" xr:uid="{00000000-0005-0000-0000-0000F3C00000}"/>
    <cellStyle name="Normal 75 4 4" xfId="35618" xr:uid="{00000000-0005-0000-0000-0000F4C00000}"/>
    <cellStyle name="Normal 75 5" xfId="35619" xr:uid="{00000000-0005-0000-0000-0000F5C00000}"/>
    <cellStyle name="Normal 75 5 2" xfId="35620" xr:uid="{00000000-0005-0000-0000-0000F6C00000}"/>
    <cellStyle name="Normal 75 5 2 2" xfId="35621" xr:uid="{00000000-0005-0000-0000-0000F7C00000}"/>
    <cellStyle name="Normal 75 5 3" xfId="35622" xr:uid="{00000000-0005-0000-0000-0000F8C00000}"/>
    <cellStyle name="Normal 75 5 3 2" xfId="35623" xr:uid="{00000000-0005-0000-0000-0000F9C00000}"/>
    <cellStyle name="Normal 75 5 4" xfId="35624" xr:uid="{00000000-0005-0000-0000-0000FAC00000}"/>
    <cellStyle name="Normal 75 6" xfId="35625" xr:uid="{00000000-0005-0000-0000-0000FBC00000}"/>
    <cellStyle name="Normal 75 6 2" xfId="35626" xr:uid="{00000000-0005-0000-0000-0000FCC00000}"/>
    <cellStyle name="Normal 75 6 2 2" xfId="35627" xr:uid="{00000000-0005-0000-0000-0000FDC00000}"/>
    <cellStyle name="Normal 75 6 3" xfId="35628" xr:uid="{00000000-0005-0000-0000-0000FEC00000}"/>
    <cellStyle name="Normal 75 6 3 2" xfId="35629" xr:uid="{00000000-0005-0000-0000-0000FFC00000}"/>
    <cellStyle name="Normal 75 6 4" xfId="35630" xr:uid="{00000000-0005-0000-0000-000000C10000}"/>
    <cellStyle name="Normal 75 7" xfId="35631" xr:uid="{00000000-0005-0000-0000-000001C10000}"/>
    <cellStyle name="Normal 75 7 2" xfId="35632" xr:uid="{00000000-0005-0000-0000-000002C10000}"/>
    <cellStyle name="Normal 75 7 2 2" xfId="35633" xr:uid="{00000000-0005-0000-0000-000003C10000}"/>
    <cellStyle name="Normal 75 7 3" xfId="35634" xr:uid="{00000000-0005-0000-0000-000004C10000}"/>
    <cellStyle name="Normal 75 7 3 2" xfId="35635" xr:uid="{00000000-0005-0000-0000-000005C10000}"/>
    <cellStyle name="Normal 75 7 4" xfId="35636" xr:uid="{00000000-0005-0000-0000-000006C10000}"/>
    <cellStyle name="Normal 75 8" xfId="35637" xr:uid="{00000000-0005-0000-0000-000007C10000}"/>
    <cellStyle name="Normal 75 8 2" xfId="35638" xr:uid="{00000000-0005-0000-0000-000008C10000}"/>
    <cellStyle name="Normal 75 8 2 2" xfId="35639" xr:uid="{00000000-0005-0000-0000-000009C10000}"/>
    <cellStyle name="Normal 75 8 3" xfId="35640" xr:uid="{00000000-0005-0000-0000-00000AC10000}"/>
    <cellStyle name="Normal 75 8 3 2" xfId="35641" xr:uid="{00000000-0005-0000-0000-00000BC10000}"/>
    <cellStyle name="Normal 75 8 4" xfId="35642" xr:uid="{00000000-0005-0000-0000-00000CC10000}"/>
    <cellStyle name="Normal 75 9" xfId="35643" xr:uid="{00000000-0005-0000-0000-00000DC10000}"/>
    <cellStyle name="Normal 75 9 2" xfId="35644" xr:uid="{00000000-0005-0000-0000-00000EC10000}"/>
    <cellStyle name="Normal 75 9 2 2" xfId="35645" xr:uid="{00000000-0005-0000-0000-00000FC10000}"/>
    <cellStyle name="Normal 75 9 3" xfId="35646" xr:uid="{00000000-0005-0000-0000-000010C10000}"/>
    <cellStyle name="Normal 76" xfId="35647" xr:uid="{00000000-0005-0000-0000-000011C10000}"/>
    <cellStyle name="Normal 76 10" xfId="35648" xr:uid="{00000000-0005-0000-0000-000012C10000}"/>
    <cellStyle name="Normal 76 10 2" xfId="35649" xr:uid="{00000000-0005-0000-0000-000013C10000}"/>
    <cellStyle name="Normal 76 11" xfId="35650" xr:uid="{00000000-0005-0000-0000-000014C10000}"/>
    <cellStyle name="Normal 76 11 2" xfId="35651" xr:uid="{00000000-0005-0000-0000-000015C10000}"/>
    <cellStyle name="Normal 76 12" xfId="35652" xr:uid="{00000000-0005-0000-0000-000016C10000}"/>
    <cellStyle name="Normal 76 13" xfId="35653" xr:uid="{00000000-0005-0000-0000-000017C10000}"/>
    <cellStyle name="Normal 76 2" xfId="35654" xr:uid="{00000000-0005-0000-0000-000018C10000}"/>
    <cellStyle name="Normal 76 2 10" xfId="35655" xr:uid="{00000000-0005-0000-0000-000019C10000}"/>
    <cellStyle name="Normal 76 2 10 2" xfId="35656" xr:uid="{00000000-0005-0000-0000-00001AC10000}"/>
    <cellStyle name="Normal 76 2 11" xfId="35657" xr:uid="{00000000-0005-0000-0000-00001BC10000}"/>
    <cellStyle name="Normal 76 2 2" xfId="35658" xr:uid="{00000000-0005-0000-0000-00001CC10000}"/>
    <cellStyle name="Normal 76 2 2 2" xfId="35659" xr:uid="{00000000-0005-0000-0000-00001DC10000}"/>
    <cellStyle name="Normal 76 2 2 2 2" xfId="35660" xr:uid="{00000000-0005-0000-0000-00001EC10000}"/>
    <cellStyle name="Normal 76 2 2 2 2 2" xfId="35661" xr:uid="{00000000-0005-0000-0000-00001FC10000}"/>
    <cellStyle name="Normal 76 2 2 2 3" xfId="35662" xr:uid="{00000000-0005-0000-0000-000020C10000}"/>
    <cellStyle name="Normal 76 2 2 2 3 2" xfId="35663" xr:uid="{00000000-0005-0000-0000-000021C10000}"/>
    <cellStyle name="Normal 76 2 2 2 4" xfId="35664" xr:uid="{00000000-0005-0000-0000-000022C10000}"/>
    <cellStyle name="Normal 76 2 2 3" xfId="35665" xr:uid="{00000000-0005-0000-0000-000023C10000}"/>
    <cellStyle name="Normal 76 2 2 3 2" xfId="35666" xr:uid="{00000000-0005-0000-0000-000024C10000}"/>
    <cellStyle name="Normal 76 2 2 3 2 2" xfId="35667" xr:uid="{00000000-0005-0000-0000-000025C10000}"/>
    <cellStyle name="Normal 76 2 2 3 3" xfId="35668" xr:uid="{00000000-0005-0000-0000-000026C10000}"/>
    <cellStyle name="Normal 76 2 2 3 3 2" xfId="35669" xr:uid="{00000000-0005-0000-0000-000027C10000}"/>
    <cellStyle name="Normal 76 2 2 3 4" xfId="35670" xr:uid="{00000000-0005-0000-0000-000028C10000}"/>
    <cellStyle name="Normal 76 2 2 4" xfId="35671" xr:uid="{00000000-0005-0000-0000-000029C10000}"/>
    <cellStyle name="Normal 76 2 2 4 2" xfId="35672" xr:uid="{00000000-0005-0000-0000-00002AC10000}"/>
    <cellStyle name="Normal 76 2 2 5" xfId="35673" xr:uid="{00000000-0005-0000-0000-00002BC10000}"/>
    <cellStyle name="Normal 76 2 2 5 2" xfId="35674" xr:uid="{00000000-0005-0000-0000-00002CC10000}"/>
    <cellStyle name="Normal 76 2 2 6" xfId="35675" xr:uid="{00000000-0005-0000-0000-00002DC10000}"/>
    <cellStyle name="Normal 76 2 3" xfId="35676" xr:uid="{00000000-0005-0000-0000-00002EC10000}"/>
    <cellStyle name="Normal 76 2 3 2" xfId="35677" xr:uid="{00000000-0005-0000-0000-00002FC10000}"/>
    <cellStyle name="Normal 76 2 3 2 2" xfId="35678" xr:uid="{00000000-0005-0000-0000-000030C10000}"/>
    <cellStyle name="Normal 76 2 3 3" xfId="35679" xr:uid="{00000000-0005-0000-0000-000031C10000}"/>
    <cellStyle name="Normal 76 2 3 3 2" xfId="35680" xr:uid="{00000000-0005-0000-0000-000032C10000}"/>
    <cellStyle name="Normal 76 2 3 4" xfId="35681" xr:uid="{00000000-0005-0000-0000-000033C10000}"/>
    <cellStyle name="Normal 76 2 4" xfId="35682" xr:uid="{00000000-0005-0000-0000-000034C10000}"/>
    <cellStyle name="Normal 76 2 4 2" xfId="35683" xr:uid="{00000000-0005-0000-0000-000035C10000}"/>
    <cellStyle name="Normal 76 2 4 2 2" xfId="35684" xr:uid="{00000000-0005-0000-0000-000036C10000}"/>
    <cellStyle name="Normal 76 2 4 3" xfId="35685" xr:uid="{00000000-0005-0000-0000-000037C10000}"/>
    <cellStyle name="Normal 76 2 4 3 2" xfId="35686" xr:uid="{00000000-0005-0000-0000-000038C10000}"/>
    <cellStyle name="Normal 76 2 4 4" xfId="35687" xr:uid="{00000000-0005-0000-0000-000039C10000}"/>
    <cellStyle name="Normal 76 2 5" xfId="35688" xr:uid="{00000000-0005-0000-0000-00003AC10000}"/>
    <cellStyle name="Normal 76 2 5 2" xfId="35689" xr:uid="{00000000-0005-0000-0000-00003BC10000}"/>
    <cellStyle name="Normal 76 2 5 2 2" xfId="35690" xr:uid="{00000000-0005-0000-0000-00003CC10000}"/>
    <cellStyle name="Normal 76 2 5 3" xfId="35691" xr:uid="{00000000-0005-0000-0000-00003DC10000}"/>
    <cellStyle name="Normal 76 2 5 3 2" xfId="35692" xr:uid="{00000000-0005-0000-0000-00003EC10000}"/>
    <cellStyle name="Normal 76 2 5 4" xfId="35693" xr:uid="{00000000-0005-0000-0000-00003FC10000}"/>
    <cellStyle name="Normal 76 2 6" xfId="35694" xr:uid="{00000000-0005-0000-0000-000040C10000}"/>
    <cellStyle name="Normal 76 2 6 2" xfId="35695" xr:uid="{00000000-0005-0000-0000-000041C10000}"/>
    <cellStyle name="Normal 76 2 6 2 2" xfId="35696" xr:uid="{00000000-0005-0000-0000-000042C10000}"/>
    <cellStyle name="Normal 76 2 6 3" xfId="35697" xr:uid="{00000000-0005-0000-0000-000043C10000}"/>
    <cellStyle name="Normal 76 2 6 3 2" xfId="35698" xr:uid="{00000000-0005-0000-0000-000044C10000}"/>
    <cellStyle name="Normal 76 2 6 4" xfId="35699" xr:uid="{00000000-0005-0000-0000-000045C10000}"/>
    <cellStyle name="Normal 76 2 7" xfId="35700" xr:uid="{00000000-0005-0000-0000-000046C10000}"/>
    <cellStyle name="Normal 76 2 7 2" xfId="35701" xr:uid="{00000000-0005-0000-0000-000047C10000}"/>
    <cellStyle name="Normal 76 2 7 2 2" xfId="35702" xr:uid="{00000000-0005-0000-0000-000048C10000}"/>
    <cellStyle name="Normal 76 2 7 3" xfId="35703" xr:uid="{00000000-0005-0000-0000-000049C10000}"/>
    <cellStyle name="Normal 76 2 7 3 2" xfId="35704" xr:uid="{00000000-0005-0000-0000-00004AC10000}"/>
    <cellStyle name="Normal 76 2 7 4" xfId="35705" xr:uid="{00000000-0005-0000-0000-00004BC10000}"/>
    <cellStyle name="Normal 76 2 8" xfId="35706" xr:uid="{00000000-0005-0000-0000-00004CC10000}"/>
    <cellStyle name="Normal 76 2 8 2" xfId="35707" xr:uid="{00000000-0005-0000-0000-00004DC10000}"/>
    <cellStyle name="Normal 76 2 8 2 2" xfId="35708" xr:uid="{00000000-0005-0000-0000-00004EC10000}"/>
    <cellStyle name="Normal 76 2 8 3" xfId="35709" xr:uid="{00000000-0005-0000-0000-00004FC10000}"/>
    <cellStyle name="Normal 76 2 9" xfId="35710" xr:uid="{00000000-0005-0000-0000-000050C10000}"/>
    <cellStyle name="Normal 76 2 9 2" xfId="35711" xr:uid="{00000000-0005-0000-0000-000051C10000}"/>
    <cellStyle name="Normal 76 3" xfId="35712" xr:uid="{00000000-0005-0000-0000-000052C10000}"/>
    <cellStyle name="Normal 76 3 2" xfId="35713" xr:uid="{00000000-0005-0000-0000-000053C10000}"/>
    <cellStyle name="Normal 76 3 2 2" xfId="35714" xr:uid="{00000000-0005-0000-0000-000054C10000}"/>
    <cellStyle name="Normal 76 3 2 2 2" xfId="35715" xr:uid="{00000000-0005-0000-0000-000055C10000}"/>
    <cellStyle name="Normal 76 3 2 3" xfId="35716" xr:uid="{00000000-0005-0000-0000-000056C10000}"/>
    <cellStyle name="Normal 76 3 2 3 2" xfId="35717" xr:uid="{00000000-0005-0000-0000-000057C10000}"/>
    <cellStyle name="Normal 76 3 2 4" xfId="35718" xr:uid="{00000000-0005-0000-0000-000058C10000}"/>
    <cellStyle name="Normal 76 3 3" xfId="35719" xr:uid="{00000000-0005-0000-0000-000059C10000}"/>
    <cellStyle name="Normal 76 3 3 2" xfId="35720" xr:uid="{00000000-0005-0000-0000-00005AC10000}"/>
    <cellStyle name="Normal 76 3 3 2 2" xfId="35721" xr:uid="{00000000-0005-0000-0000-00005BC10000}"/>
    <cellStyle name="Normal 76 3 3 3" xfId="35722" xr:uid="{00000000-0005-0000-0000-00005CC10000}"/>
    <cellStyle name="Normal 76 3 3 3 2" xfId="35723" xr:uid="{00000000-0005-0000-0000-00005DC10000}"/>
    <cellStyle name="Normal 76 3 3 4" xfId="35724" xr:uid="{00000000-0005-0000-0000-00005EC10000}"/>
    <cellStyle name="Normal 76 3 4" xfId="35725" xr:uid="{00000000-0005-0000-0000-00005FC10000}"/>
    <cellStyle name="Normal 76 3 4 2" xfId="35726" xr:uid="{00000000-0005-0000-0000-000060C10000}"/>
    <cellStyle name="Normal 76 3 5" xfId="35727" xr:uid="{00000000-0005-0000-0000-000061C10000}"/>
    <cellStyle name="Normal 76 3 5 2" xfId="35728" xr:uid="{00000000-0005-0000-0000-000062C10000}"/>
    <cellStyle name="Normal 76 3 6" xfId="35729" xr:uid="{00000000-0005-0000-0000-000063C10000}"/>
    <cellStyle name="Normal 76 4" xfId="35730" xr:uid="{00000000-0005-0000-0000-000064C10000}"/>
    <cellStyle name="Normal 76 4 2" xfId="35731" xr:uid="{00000000-0005-0000-0000-000065C10000}"/>
    <cellStyle name="Normal 76 4 2 2" xfId="35732" xr:uid="{00000000-0005-0000-0000-000066C10000}"/>
    <cellStyle name="Normal 76 4 3" xfId="35733" xr:uid="{00000000-0005-0000-0000-000067C10000}"/>
    <cellStyle name="Normal 76 4 3 2" xfId="35734" xr:uid="{00000000-0005-0000-0000-000068C10000}"/>
    <cellStyle name="Normal 76 4 4" xfId="35735" xr:uid="{00000000-0005-0000-0000-000069C10000}"/>
    <cellStyle name="Normal 76 5" xfId="35736" xr:uid="{00000000-0005-0000-0000-00006AC10000}"/>
    <cellStyle name="Normal 76 5 2" xfId="35737" xr:uid="{00000000-0005-0000-0000-00006BC10000}"/>
    <cellStyle name="Normal 76 5 2 2" xfId="35738" xr:uid="{00000000-0005-0000-0000-00006CC10000}"/>
    <cellStyle name="Normal 76 5 3" xfId="35739" xr:uid="{00000000-0005-0000-0000-00006DC10000}"/>
    <cellStyle name="Normal 76 5 3 2" xfId="35740" xr:uid="{00000000-0005-0000-0000-00006EC10000}"/>
    <cellStyle name="Normal 76 5 4" xfId="35741" xr:uid="{00000000-0005-0000-0000-00006FC10000}"/>
    <cellStyle name="Normal 76 6" xfId="35742" xr:uid="{00000000-0005-0000-0000-000070C10000}"/>
    <cellStyle name="Normal 76 6 2" xfId="35743" xr:uid="{00000000-0005-0000-0000-000071C10000}"/>
    <cellStyle name="Normal 76 6 2 2" xfId="35744" xr:uid="{00000000-0005-0000-0000-000072C10000}"/>
    <cellStyle name="Normal 76 6 3" xfId="35745" xr:uid="{00000000-0005-0000-0000-000073C10000}"/>
    <cellStyle name="Normal 76 6 3 2" xfId="35746" xr:uid="{00000000-0005-0000-0000-000074C10000}"/>
    <cellStyle name="Normal 76 6 4" xfId="35747" xr:uid="{00000000-0005-0000-0000-000075C10000}"/>
    <cellStyle name="Normal 76 7" xfId="35748" xr:uid="{00000000-0005-0000-0000-000076C10000}"/>
    <cellStyle name="Normal 76 7 2" xfId="35749" xr:uid="{00000000-0005-0000-0000-000077C10000}"/>
    <cellStyle name="Normal 76 7 2 2" xfId="35750" xr:uid="{00000000-0005-0000-0000-000078C10000}"/>
    <cellStyle name="Normal 76 7 3" xfId="35751" xr:uid="{00000000-0005-0000-0000-000079C10000}"/>
    <cellStyle name="Normal 76 7 3 2" xfId="35752" xr:uid="{00000000-0005-0000-0000-00007AC10000}"/>
    <cellStyle name="Normal 76 7 4" xfId="35753" xr:uid="{00000000-0005-0000-0000-00007BC10000}"/>
    <cellStyle name="Normal 76 8" xfId="35754" xr:uid="{00000000-0005-0000-0000-00007CC10000}"/>
    <cellStyle name="Normal 76 8 2" xfId="35755" xr:uid="{00000000-0005-0000-0000-00007DC10000}"/>
    <cellStyle name="Normal 76 8 2 2" xfId="35756" xr:uid="{00000000-0005-0000-0000-00007EC10000}"/>
    <cellStyle name="Normal 76 8 3" xfId="35757" xr:uid="{00000000-0005-0000-0000-00007FC10000}"/>
    <cellStyle name="Normal 76 8 3 2" xfId="35758" xr:uid="{00000000-0005-0000-0000-000080C10000}"/>
    <cellStyle name="Normal 76 8 4" xfId="35759" xr:uid="{00000000-0005-0000-0000-000081C10000}"/>
    <cellStyle name="Normal 76 9" xfId="35760" xr:uid="{00000000-0005-0000-0000-000082C10000}"/>
    <cellStyle name="Normal 76 9 2" xfId="35761" xr:uid="{00000000-0005-0000-0000-000083C10000}"/>
    <cellStyle name="Normal 76 9 2 2" xfId="35762" xr:uid="{00000000-0005-0000-0000-000084C10000}"/>
    <cellStyle name="Normal 76 9 3" xfId="35763" xr:uid="{00000000-0005-0000-0000-000085C10000}"/>
    <cellStyle name="Normal 77" xfId="35764" xr:uid="{00000000-0005-0000-0000-000086C10000}"/>
    <cellStyle name="Normal 77 10" xfId="35765" xr:uid="{00000000-0005-0000-0000-000087C10000}"/>
    <cellStyle name="Normal 77 10 2" xfId="35766" xr:uid="{00000000-0005-0000-0000-000088C10000}"/>
    <cellStyle name="Normal 77 11" xfId="35767" xr:uid="{00000000-0005-0000-0000-000089C10000}"/>
    <cellStyle name="Normal 77 11 2" xfId="35768" xr:uid="{00000000-0005-0000-0000-00008AC10000}"/>
    <cellStyle name="Normal 77 12" xfId="35769" xr:uid="{00000000-0005-0000-0000-00008BC10000}"/>
    <cellStyle name="Normal 77 13" xfId="35770" xr:uid="{00000000-0005-0000-0000-00008CC10000}"/>
    <cellStyle name="Normal 77 2" xfId="35771" xr:uid="{00000000-0005-0000-0000-00008DC10000}"/>
    <cellStyle name="Normal 77 2 10" xfId="35772" xr:uid="{00000000-0005-0000-0000-00008EC10000}"/>
    <cellStyle name="Normal 77 2 10 2" xfId="35773" xr:uid="{00000000-0005-0000-0000-00008FC10000}"/>
    <cellStyle name="Normal 77 2 11" xfId="35774" xr:uid="{00000000-0005-0000-0000-000090C10000}"/>
    <cellStyle name="Normal 77 2 2" xfId="35775" xr:uid="{00000000-0005-0000-0000-000091C10000}"/>
    <cellStyle name="Normal 77 2 2 2" xfId="35776" xr:uid="{00000000-0005-0000-0000-000092C10000}"/>
    <cellStyle name="Normal 77 2 2 2 2" xfId="35777" xr:uid="{00000000-0005-0000-0000-000093C10000}"/>
    <cellStyle name="Normal 77 2 2 2 2 2" xfId="35778" xr:uid="{00000000-0005-0000-0000-000094C10000}"/>
    <cellStyle name="Normal 77 2 2 2 3" xfId="35779" xr:uid="{00000000-0005-0000-0000-000095C10000}"/>
    <cellStyle name="Normal 77 2 2 2 3 2" xfId="35780" xr:uid="{00000000-0005-0000-0000-000096C10000}"/>
    <cellStyle name="Normal 77 2 2 2 4" xfId="35781" xr:uid="{00000000-0005-0000-0000-000097C10000}"/>
    <cellStyle name="Normal 77 2 2 3" xfId="35782" xr:uid="{00000000-0005-0000-0000-000098C10000}"/>
    <cellStyle name="Normal 77 2 2 3 2" xfId="35783" xr:uid="{00000000-0005-0000-0000-000099C10000}"/>
    <cellStyle name="Normal 77 2 2 3 2 2" xfId="35784" xr:uid="{00000000-0005-0000-0000-00009AC10000}"/>
    <cellStyle name="Normal 77 2 2 3 3" xfId="35785" xr:uid="{00000000-0005-0000-0000-00009BC10000}"/>
    <cellStyle name="Normal 77 2 2 3 3 2" xfId="35786" xr:uid="{00000000-0005-0000-0000-00009CC10000}"/>
    <cellStyle name="Normal 77 2 2 3 4" xfId="35787" xr:uid="{00000000-0005-0000-0000-00009DC10000}"/>
    <cellStyle name="Normal 77 2 2 4" xfId="35788" xr:uid="{00000000-0005-0000-0000-00009EC10000}"/>
    <cellStyle name="Normal 77 2 2 4 2" xfId="35789" xr:uid="{00000000-0005-0000-0000-00009FC10000}"/>
    <cellStyle name="Normal 77 2 2 5" xfId="35790" xr:uid="{00000000-0005-0000-0000-0000A0C10000}"/>
    <cellStyle name="Normal 77 2 2 5 2" xfId="35791" xr:uid="{00000000-0005-0000-0000-0000A1C10000}"/>
    <cellStyle name="Normal 77 2 2 6" xfId="35792" xr:uid="{00000000-0005-0000-0000-0000A2C10000}"/>
    <cellStyle name="Normal 77 2 3" xfId="35793" xr:uid="{00000000-0005-0000-0000-0000A3C10000}"/>
    <cellStyle name="Normal 77 2 3 2" xfId="35794" xr:uid="{00000000-0005-0000-0000-0000A4C10000}"/>
    <cellStyle name="Normal 77 2 3 2 2" xfId="35795" xr:uid="{00000000-0005-0000-0000-0000A5C10000}"/>
    <cellStyle name="Normal 77 2 3 3" xfId="35796" xr:uid="{00000000-0005-0000-0000-0000A6C10000}"/>
    <cellStyle name="Normal 77 2 3 3 2" xfId="35797" xr:uid="{00000000-0005-0000-0000-0000A7C10000}"/>
    <cellStyle name="Normal 77 2 3 4" xfId="35798" xr:uid="{00000000-0005-0000-0000-0000A8C10000}"/>
    <cellStyle name="Normal 77 2 4" xfId="35799" xr:uid="{00000000-0005-0000-0000-0000A9C10000}"/>
    <cellStyle name="Normal 77 2 4 2" xfId="35800" xr:uid="{00000000-0005-0000-0000-0000AAC10000}"/>
    <cellStyle name="Normal 77 2 4 2 2" xfId="35801" xr:uid="{00000000-0005-0000-0000-0000ABC10000}"/>
    <cellStyle name="Normal 77 2 4 3" xfId="35802" xr:uid="{00000000-0005-0000-0000-0000ACC10000}"/>
    <cellStyle name="Normal 77 2 4 3 2" xfId="35803" xr:uid="{00000000-0005-0000-0000-0000ADC10000}"/>
    <cellStyle name="Normal 77 2 4 4" xfId="35804" xr:uid="{00000000-0005-0000-0000-0000AEC10000}"/>
    <cellStyle name="Normal 77 2 5" xfId="35805" xr:uid="{00000000-0005-0000-0000-0000AFC10000}"/>
    <cellStyle name="Normal 77 2 5 2" xfId="35806" xr:uid="{00000000-0005-0000-0000-0000B0C10000}"/>
    <cellStyle name="Normal 77 2 5 2 2" xfId="35807" xr:uid="{00000000-0005-0000-0000-0000B1C10000}"/>
    <cellStyle name="Normal 77 2 5 3" xfId="35808" xr:uid="{00000000-0005-0000-0000-0000B2C10000}"/>
    <cellStyle name="Normal 77 2 5 3 2" xfId="35809" xr:uid="{00000000-0005-0000-0000-0000B3C10000}"/>
    <cellStyle name="Normal 77 2 5 4" xfId="35810" xr:uid="{00000000-0005-0000-0000-0000B4C10000}"/>
    <cellStyle name="Normal 77 2 6" xfId="35811" xr:uid="{00000000-0005-0000-0000-0000B5C10000}"/>
    <cellStyle name="Normal 77 2 6 2" xfId="35812" xr:uid="{00000000-0005-0000-0000-0000B6C10000}"/>
    <cellStyle name="Normal 77 2 6 2 2" xfId="35813" xr:uid="{00000000-0005-0000-0000-0000B7C10000}"/>
    <cellStyle name="Normal 77 2 6 3" xfId="35814" xr:uid="{00000000-0005-0000-0000-0000B8C10000}"/>
    <cellStyle name="Normal 77 2 6 3 2" xfId="35815" xr:uid="{00000000-0005-0000-0000-0000B9C10000}"/>
    <cellStyle name="Normal 77 2 6 4" xfId="35816" xr:uid="{00000000-0005-0000-0000-0000BAC10000}"/>
    <cellStyle name="Normal 77 2 7" xfId="35817" xr:uid="{00000000-0005-0000-0000-0000BBC10000}"/>
    <cellStyle name="Normal 77 2 7 2" xfId="35818" xr:uid="{00000000-0005-0000-0000-0000BCC10000}"/>
    <cellStyle name="Normal 77 2 7 2 2" xfId="35819" xr:uid="{00000000-0005-0000-0000-0000BDC10000}"/>
    <cellStyle name="Normal 77 2 7 3" xfId="35820" xr:uid="{00000000-0005-0000-0000-0000BEC10000}"/>
    <cellStyle name="Normal 77 2 7 3 2" xfId="35821" xr:uid="{00000000-0005-0000-0000-0000BFC10000}"/>
    <cellStyle name="Normal 77 2 7 4" xfId="35822" xr:uid="{00000000-0005-0000-0000-0000C0C10000}"/>
    <cellStyle name="Normal 77 2 8" xfId="35823" xr:uid="{00000000-0005-0000-0000-0000C1C10000}"/>
    <cellStyle name="Normal 77 2 8 2" xfId="35824" xr:uid="{00000000-0005-0000-0000-0000C2C10000}"/>
    <cellStyle name="Normal 77 2 8 2 2" xfId="35825" xr:uid="{00000000-0005-0000-0000-0000C3C10000}"/>
    <cellStyle name="Normal 77 2 8 3" xfId="35826" xr:uid="{00000000-0005-0000-0000-0000C4C10000}"/>
    <cellStyle name="Normal 77 2 9" xfId="35827" xr:uid="{00000000-0005-0000-0000-0000C5C10000}"/>
    <cellStyle name="Normal 77 2 9 2" xfId="35828" xr:uid="{00000000-0005-0000-0000-0000C6C10000}"/>
    <cellStyle name="Normal 77 3" xfId="35829" xr:uid="{00000000-0005-0000-0000-0000C7C10000}"/>
    <cellStyle name="Normal 77 3 2" xfId="35830" xr:uid="{00000000-0005-0000-0000-0000C8C10000}"/>
    <cellStyle name="Normal 77 3 2 2" xfId="35831" xr:uid="{00000000-0005-0000-0000-0000C9C10000}"/>
    <cellStyle name="Normal 77 3 2 2 2" xfId="35832" xr:uid="{00000000-0005-0000-0000-0000CAC10000}"/>
    <cellStyle name="Normal 77 3 2 3" xfId="35833" xr:uid="{00000000-0005-0000-0000-0000CBC10000}"/>
    <cellStyle name="Normal 77 3 2 3 2" xfId="35834" xr:uid="{00000000-0005-0000-0000-0000CCC10000}"/>
    <cellStyle name="Normal 77 3 2 4" xfId="35835" xr:uid="{00000000-0005-0000-0000-0000CDC10000}"/>
    <cellStyle name="Normal 77 3 3" xfId="35836" xr:uid="{00000000-0005-0000-0000-0000CEC10000}"/>
    <cellStyle name="Normal 77 3 3 2" xfId="35837" xr:uid="{00000000-0005-0000-0000-0000CFC10000}"/>
    <cellStyle name="Normal 77 3 3 2 2" xfId="35838" xr:uid="{00000000-0005-0000-0000-0000D0C10000}"/>
    <cellStyle name="Normal 77 3 3 3" xfId="35839" xr:uid="{00000000-0005-0000-0000-0000D1C10000}"/>
    <cellStyle name="Normal 77 3 3 3 2" xfId="35840" xr:uid="{00000000-0005-0000-0000-0000D2C10000}"/>
    <cellStyle name="Normal 77 3 3 4" xfId="35841" xr:uid="{00000000-0005-0000-0000-0000D3C10000}"/>
    <cellStyle name="Normal 77 3 4" xfId="35842" xr:uid="{00000000-0005-0000-0000-0000D4C10000}"/>
    <cellStyle name="Normal 77 3 4 2" xfId="35843" xr:uid="{00000000-0005-0000-0000-0000D5C10000}"/>
    <cellStyle name="Normal 77 3 5" xfId="35844" xr:uid="{00000000-0005-0000-0000-0000D6C10000}"/>
    <cellStyle name="Normal 77 3 5 2" xfId="35845" xr:uid="{00000000-0005-0000-0000-0000D7C10000}"/>
    <cellStyle name="Normal 77 3 6" xfId="35846" xr:uid="{00000000-0005-0000-0000-0000D8C10000}"/>
    <cellStyle name="Normal 77 4" xfId="35847" xr:uid="{00000000-0005-0000-0000-0000D9C10000}"/>
    <cellStyle name="Normal 77 4 2" xfId="35848" xr:uid="{00000000-0005-0000-0000-0000DAC10000}"/>
    <cellStyle name="Normal 77 4 2 2" xfId="35849" xr:uid="{00000000-0005-0000-0000-0000DBC10000}"/>
    <cellStyle name="Normal 77 4 3" xfId="35850" xr:uid="{00000000-0005-0000-0000-0000DCC10000}"/>
    <cellStyle name="Normal 77 4 3 2" xfId="35851" xr:uid="{00000000-0005-0000-0000-0000DDC10000}"/>
    <cellStyle name="Normal 77 4 4" xfId="35852" xr:uid="{00000000-0005-0000-0000-0000DEC10000}"/>
    <cellStyle name="Normal 77 5" xfId="35853" xr:uid="{00000000-0005-0000-0000-0000DFC10000}"/>
    <cellStyle name="Normal 77 5 2" xfId="35854" xr:uid="{00000000-0005-0000-0000-0000E0C10000}"/>
    <cellStyle name="Normal 77 5 2 2" xfId="35855" xr:uid="{00000000-0005-0000-0000-0000E1C10000}"/>
    <cellStyle name="Normal 77 5 3" xfId="35856" xr:uid="{00000000-0005-0000-0000-0000E2C10000}"/>
    <cellStyle name="Normal 77 5 3 2" xfId="35857" xr:uid="{00000000-0005-0000-0000-0000E3C10000}"/>
    <cellStyle name="Normal 77 5 4" xfId="35858" xr:uid="{00000000-0005-0000-0000-0000E4C10000}"/>
    <cellStyle name="Normal 77 6" xfId="35859" xr:uid="{00000000-0005-0000-0000-0000E5C10000}"/>
    <cellStyle name="Normal 77 6 2" xfId="35860" xr:uid="{00000000-0005-0000-0000-0000E6C10000}"/>
    <cellStyle name="Normal 77 6 2 2" xfId="35861" xr:uid="{00000000-0005-0000-0000-0000E7C10000}"/>
    <cellStyle name="Normal 77 6 3" xfId="35862" xr:uid="{00000000-0005-0000-0000-0000E8C10000}"/>
    <cellStyle name="Normal 77 6 3 2" xfId="35863" xr:uid="{00000000-0005-0000-0000-0000E9C10000}"/>
    <cellStyle name="Normal 77 6 4" xfId="35864" xr:uid="{00000000-0005-0000-0000-0000EAC10000}"/>
    <cellStyle name="Normal 77 7" xfId="35865" xr:uid="{00000000-0005-0000-0000-0000EBC10000}"/>
    <cellStyle name="Normal 77 7 2" xfId="35866" xr:uid="{00000000-0005-0000-0000-0000ECC10000}"/>
    <cellStyle name="Normal 77 7 2 2" xfId="35867" xr:uid="{00000000-0005-0000-0000-0000EDC10000}"/>
    <cellStyle name="Normal 77 7 3" xfId="35868" xr:uid="{00000000-0005-0000-0000-0000EEC10000}"/>
    <cellStyle name="Normal 77 7 3 2" xfId="35869" xr:uid="{00000000-0005-0000-0000-0000EFC10000}"/>
    <cellStyle name="Normal 77 7 4" xfId="35870" xr:uid="{00000000-0005-0000-0000-0000F0C10000}"/>
    <cellStyle name="Normal 77 8" xfId="35871" xr:uid="{00000000-0005-0000-0000-0000F1C10000}"/>
    <cellStyle name="Normal 77 8 2" xfId="35872" xr:uid="{00000000-0005-0000-0000-0000F2C10000}"/>
    <cellStyle name="Normal 77 8 2 2" xfId="35873" xr:uid="{00000000-0005-0000-0000-0000F3C10000}"/>
    <cellStyle name="Normal 77 8 3" xfId="35874" xr:uid="{00000000-0005-0000-0000-0000F4C10000}"/>
    <cellStyle name="Normal 77 8 3 2" xfId="35875" xr:uid="{00000000-0005-0000-0000-0000F5C10000}"/>
    <cellStyle name="Normal 77 8 4" xfId="35876" xr:uid="{00000000-0005-0000-0000-0000F6C10000}"/>
    <cellStyle name="Normal 77 9" xfId="35877" xr:uid="{00000000-0005-0000-0000-0000F7C10000}"/>
    <cellStyle name="Normal 77 9 2" xfId="35878" xr:uid="{00000000-0005-0000-0000-0000F8C10000}"/>
    <cellStyle name="Normal 77 9 2 2" xfId="35879" xr:uid="{00000000-0005-0000-0000-0000F9C10000}"/>
    <cellStyle name="Normal 77 9 3" xfId="35880" xr:uid="{00000000-0005-0000-0000-0000FAC10000}"/>
    <cellStyle name="Normal 78" xfId="35881" xr:uid="{00000000-0005-0000-0000-0000FBC10000}"/>
    <cellStyle name="Normal 78 10" xfId="35882" xr:uid="{00000000-0005-0000-0000-0000FCC10000}"/>
    <cellStyle name="Normal 78 10 2" xfId="35883" xr:uid="{00000000-0005-0000-0000-0000FDC10000}"/>
    <cellStyle name="Normal 78 11" xfId="35884" xr:uid="{00000000-0005-0000-0000-0000FEC10000}"/>
    <cellStyle name="Normal 78 11 2" xfId="35885" xr:uid="{00000000-0005-0000-0000-0000FFC10000}"/>
    <cellStyle name="Normal 78 12" xfId="35886" xr:uid="{00000000-0005-0000-0000-000000C20000}"/>
    <cellStyle name="Normal 78 13" xfId="35887" xr:uid="{00000000-0005-0000-0000-000001C20000}"/>
    <cellStyle name="Normal 78 2" xfId="35888" xr:uid="{00000000-0005-0000-0000-000002C20000}"/>
    <cellStyle name="Normal 78 2 10" xfId="35889" xr:uid="{00000000-0005-0000-0000-000003C20000}"/>
    <cellStyle name="Normal 78 2 10 2" xfId="35890" xr:uid="{00000000-0005-0000-0000-000004C20000}"/>
    <cellStyle name="Normal 78 2 11" xfId="35891" xr:uid="{00000000-0005-0000-0000-000005C20000}"/>
    <cellStyle name="Normal 78 2 2" xfId="35892" xr:uid="{00000000-0005-0000-0000-000006C20000}"/>
    <cellStyle name="Normal 78 2 2 2" xfId="35893" xr:uid="{00000000-0005-0000-0000-000007C20000}"/>
    <cellStyle name="Normal 78 2 2 2 2" xfId="35894" xr:uid="{00000000-0005-0000-0000-000008C20000}"/>
    <cellStyle name="Normal 78 2 2 2 2 2" xfId="35895" xr:uid="{00000000-0005-0000-0000-000009C20000}"/>
    <cellStyle name="Normal 78 2 2 2 3" xfId="35896" xr:uid="{00000000-0005-0000-0000-00000AC20000}"/>
    <cellStyle name="Normal 78 2 2 2 3 2" xfId="35897" xr:uid="{00000000-0005-0000-0000-00000BC20000}"/>
    <cellStyle name="Normal 78 2 2 2 4" xfId="35898" xr:uid="{00000000-0005-0000-0000-00000CC20000}"/>
    <cellStyle name="Normal 78 2 2 3" xfId="35899" xr:uid="{00000000-0005-0000-0000-00000DC20000}"/>
    <cellStyle name="Normal 78 2 2 3 2" xfId="35900" xr:uid="{00000000-0005-0000-0000-00000EC20000}"/>
    <cellStyle name="Normal 78 2 2 3 2 2" xfId="35901" xr:uid="{00000000-0005-0000-0000-00000FC20000}"/>
    <cellStyle name="Normal 78 2 2 3 3" xfId="35902" xr:uid="{00000000-0005-0000-0000-000010C20000}"/>
    <cellStyle name="Normal 78 2 2 3 3 2" xfId="35903" xr:uid="{00000000-0005-0000-0000-000011C20000}"/>
    <cellStyle name="Normal 78 2 2 3 4" xfId="35904" xr:uid="{00000000-0005-0000-0000-000012C20000}"/>
    <cellStyle name="Normal 78 2 2 4" xfId="35905" xr:uid="{00000000-0005-0000-0000-000013C20000}"/>
    <cellStyle name="Normal 78 2 2 4 2" xfId="35906" xr:uid="{00000000-0005-0000-0000-000014C20000}"/>
    <cellStyle name="Normal 78 2 2 5" xfId="35907" xr:uid="{00000000-0005-0000-0000-000015C20000}"/>
    <cellStyle name="Normal 78 2 2 5 2" xfId="35908" xr:uid="{00000000-0005-0000-0000-000016C20000}"/>
    <cellStyle name="Normal 78 2 2 6" xfId="35909" xr:uid="{00000000-0005-0000-0000-000017C20000}"/>
    <cellStyle name="Normal 78 2 3" xfId="35910" xr:uid="{00000000-0005-0000-0000-000018C20000}"/>
    <cellStyle name="Normal 78 2 3 2" xfId="35911" xr:uid="{00000000-0005-0000-0000-000019C20000}"/>
    <cellStyle name="Normal 78 2 3 2 2" xfId="35912" xr:uid="{00000000-0005-0000-0000-00001AC20000}"/>
    <cellStyle name="Normal 78 2 3 3" xfId="35913" xr:uid="{00000000-0005-0000-0000-00001BC20000}"/>
    <cellStyle name="Normal 78 2 3 3 2" xfId="35914" xr:uid="{00000000-0005-0000-0000-00001CC20000}"/>
    <cellStyle name="Normal 78 2 3 4" xfId="35915" xr:uid="{00000000-0005-0000-0000-00001DC20000}"/>
    <cellStyle name="Normal 78 2 4" xfId="35916" xr:uid="{00000000-0005-0000-0000-00001EC20000}"/>
    <cellStyle name="Normal 78 2 4 2" xfId="35917" xr:uid="{00000000-0005-0000-0000-00001FC20000}"/>
    <cellStyle name="Normal 78 2 4 2 2" xfId="35918" xr:uid="{00000000-0005-0000-0000-000020C20000}"/>
    <cellStyle name="Normal 78 2 4 3" xfId="35919" xr:uid="{00000000-0005-0000-0000-000021C20000}"/>
    <cellStyle name="Normal 78 2 4 3 2" xfId="35920" xr:uid="{00000000-0005-0000-0000-000022C20000}"/>
    <cellStyle name="Normal 78 2 4 4" xfId="35921" xr:uid="{00000000-0005-0000-0000-000023C20000}"/>
    <cellStyle name="Normal 78 2 5" xfId="35922" xr:uid="{00000000-0005-0000-0000-000024C20000}"/>
    <cellStyle name="Normal 78 2 5 2" xfId="35923" xr:uid="{00000000-0005-0000-0000-000025C20000}"/>
    <cellStyle name="Normal 78 2 5 2 2" xfId="35924" xr:uid="{00000000-0005-0000-0000-000026C20000}"/>
    <cellStyle name="Normal 78 2 5 3" xfId="35925" xr:uid="{00000000-0005-0000-0000-000027C20000}"/>
    <cellStyle name="Normal 78 2 5 3 2" xfId="35926" xr:uid="{00000000-0005-0000-0000-000028C20000}"/>
    <cellStyle name="Normal 78 2 5 4" xfId="35927" xr:uid="{00000000-0005-0000-0000-000029C20000}"/>
    <cellStyle name="Normal 78 2 6" xfId="35928" xr:uid="{00000000-0005-0000-0000-00002AC20000}"/>
    <cellStyle name="Normal 78 2 6 2" xfId="35929" xr:uid="{00000000-0005-0000-0000-00002BC20000}"/>
    <cellStyle name="Normal 78 2 6 2 2" xfId="35930" xr:uid="{00000000-0005-0000-0000-00002CC20000}"/>
    <cellStyle name="Normal 78 2 6 3" xfId="35931" xr:uid="{00000000-0005-0000-0000-00002DC20000}"/>
    <cellStyle name="Normal 78 2 6 3 2" xfId="35932" xr:uid="{00000000-0005-0000-0000-00002EC20000}"/>
    <cellStyle name="Normal 78 2 6 4" xfId="35933" xr:uid="{00000000-0005-0000-0000-00002FC20000}"/>
    <cellStyle name="Normal 78 2 7" xfId="35934" xr:uid="{00000000-0005-0000-0000-000030C20000}"/>
    <cellStyle name="Normal 78 2 7 2" xfId="35935" xr:uid="{00000000-0005-0000-0000-000031C20000}"/>
    <cellStyle name="Normal 78 2 7 2 2" xfId="35936" xr:uid="{00000000-0005-0000-0000-000032C20000}"/>
    <cellStyle name="Normal 78 2 7 3" xfId="35937" xr:uid="{00000000-0005-0000-0000-000033C20000}"/>
    <cellStyle name="Normal 78 2 7 3 2" xfId="35938" xr:uid="{00000000-0005-0000-0000-000034C20000}"/>
    <cellStyle name="Normal 78 2 7 4" xfId="35939" xr:uid="{00000000-0005-0000-0000-000035C20000}"/>
    <cellStyle name="Normal 78 2 8" xfId="35940" xr:uid="{00000000-0005-0000-0000-000036C20000}"/>
    <cellStyle name="Normal 78 2 8 2" xfId="35941" xr:uid="{00000000-0005-0000-0000-000037C20000}"/>
    <cellStyle name="Normal 78 2 8 2 2" xfId="35942" xr:uid="{00000000-0005-0000-0000-000038C20000}"/>
    <cellStyle name="Normal 78 2 8 3" xfId="35943" xr:uid="{00000000-0005-0000-0000-000039C20000}"/>
    <cellStyle name="Normal 78 2 9" xfId="35944" xr:uid="{00000000-0005-0000-0000-00003AC20000}"/>
    <cellStyle name="Normal 78 2 9 2" xfId="35945" xr:uid="{00000000-0005-0000-0000-00003BC20000}"/>
    <cellStyle name="Normal 78 3" xfId="35946" xr:uid="{00000000-0005-0000-0000-00003CC20000}"/>
    <cellStyle name="Normal 78 3 2" xfId="35947" xr:uid="{00000000-0005-0000-0000-00003DC20000}"/>
    <cellStyle name="Normal 78 3 2 2" xfId="35948" xr:uid="{00000000-0005-0000-0000-00003EC20000}"/>
    <cellStyle name="Normal 78 3 2 2 2" xfId="35949" xr:uid="{00000000-0005-0000-0000-00003FC20000}"/>
    <cellStyle name="Normal 78 3 2 3" xfId="35950" xr:uid="{00000000-0005-0000-0000-000040C20000}"/>
    <cellStyle name="Normal 78 3 2 3 2" xfId="35951" xr:uid="{00000000-0005-0000-0000-000041C20000}"/>
    <cellStyle name="Normal 78 3 2 4" xfId="35952" xr:uid="{00000000-0005-0000-0000-000042C20000}"/>
    <cellStyle name="Normal 78 3 3" xfId="35953" xr:uid="{00000000-0005-0000-0000-000043C20000}"/>
    <cellStyle name="Normal 78 3 3 2" xfId="35954" xr:uid="{00000000-0005-0000-0000-000044C20000}"/>
    <cellStyle name="Normal 78 3 3 2 2" xfId="35955" xr:uid="{00000000-0005-0000-0000-000045C20000}"/>
    <cellStyle name="Normal 78 3 3 3" xfId="35956" xr:uid="{00000000-0005-0000-0000-000046C20000}"/>
    <cellStyle name="Normal 78 3 3 3 2" xfId="35957" xr:uid="{00000000-0005-0000-0000-000047C20000}"/>
    <cellStyle name="Normal 78 3 3 4" xfId="35958" xr:uid="{00000000-0005-0000-0000-000048C20000}"/>
    <cellStyle name="Normal 78 3 4" xfId="35959" xr:uid="{00000000-0005-0000-0000-000049C20000}"/>
    <cellStyle name="Normal 78 3 4 2" xfId="35960" xr:uid="{00000000-0005-0000-0000-00004AC20000}"/>
    <cellStyle name="Normal 78 3 5" xfId="35961" xr:uid="{00000000-0005-0000-0000-00004BC20000}"/>
    <cellStyle name="Normal 78 3 5 2" xfId="35962" xr:uid="{00000000-0005-0000-0000-00004CC20000}"/>
    <cellStyle name="Normal 78 3 6" xfId="35963" xr:uid="{00000000-0005-0000-0000-00004DC20000}"/>
    <cellStyle name="Normal 78 4" xfId="35964" xr:uid="{00000000-0005-0000-0000-00004EC20000}"/>
    <cellStyle name="Normal 78 4 2" xfId="35965" xr:uid="{00000000-0005-0000-0000-00004FC20000}"/>
    <cellStyle name="Normal 78 4 2 2" xfId="35966" xr:uid="{00000000-0005-0000-0000-000050C20000}"/>
    <cellStyle name="Normal 78 4 3" xfId="35967" xr:uid="{00000000-0005-0000-0000-000051C20000}"/>
    <cellStyle name="Normal 78 4 3 2" xfId="35968" xr:uid="{00000000-0005-0000-0000-000052C20000}"/>
    <cellStyle name="Normal 78 4 4" xfId="35969" xr:uid="{00000000-0005-0000-0000-000053C20000}"/>
    <cellStyle name="Normal 78 5" xfId="35970" xr:uid="{00000000-0005-0000-0000-000054C20000}"/>
    <cellStyle name="Normal 78 5 2" xfId="35971" xr:uid="{00000000-0005-0000-0000-000055C20000}"/>
    <cellStyle name="Normal 78 5 2 2" xfId="35972" xr:uid="{00000000-0005-0000-0000-000056C20000}"/>
    <cellStyle name="Normal 78 5 3" xfId="35973" xr:uid="{00000000-0005-0000-0000-000057C20000}"/>
    <cellStyle name="Normal 78 5 3 2" xfId="35974" xr:uid="{00000000-0005-0000-0000-000058C20000}"/>
    <cellStyle name="Normal 78 5 4" xfId="35975" xr:uid="{00000000-0005-0000-0000-000059C20000}"/>
    <cellStyle name="Normal 78 6" xfId="35976" xr:uid="{00000000-0005-0000-0000-00005AC20000}"/>
    <cellStyle name="Normal 78 6 2" xfId="35977" xr:uid="{00000000-0005-0000-0000-00005BC20000}"/>
    <cellStyle name="Normal 78 6 2 2" xfId="35978" xr:uid="{00000000-0005-0000-0000-00005CC20000}"/>
    <cellStyle name="Normal 78 6 3" xfId="35979" xr:uid="{00000000-0005-0000-0000-00005DC20000}"/>
    <cellStyle name="Normal 78 6 3 2" xfId="35980" xr:uid="{00000000-0005-0000-0000-00005EC20000}"/>
    <cellStyle name="Normal 78 6 4" xfId="35981" xr:uid="{00000000-0005-0000-0000-00005FC20000}"/>
    <cellStyle name="Normal 78 7" xfId="35982" xr:uid="{00000000-0005-0000-0000-000060C20000}"/>
    <cellStyle name="Normal 78 7 2" xfId="35983" xr:uid="{00000000-0005-0000-0000-000061C20000}"/>
    <cellStyle name="Normal 78 7 2 2" xfId="35984" xr:uid="{00000000-0005-0000-0000-000062C20000}"/>
    <cellStyle name="Normal 78 7 3" xfId="35985" xr:uid="{00000000-0005-0000-0000-000063C20000}"/>
    <cellStyle name="Normal 78 7 3 2" xfId="35986" xr:uid="{00000000-0005-0000-0000-000064C20000}"/>
    <cellStyle name="Normal 78 7 4" xfId="35987" xr:uid="{00000000-0005-0000-0000-000065C20000}"/>
    <cellStyle name="Normal 78 8" xfId="35988" xr:uid="{00000000-0005-0000-0000-000066C20000}"/>
    <cellStyle name="Normal 78 8 2" xfId="35989" xr:uid="{00000000-0005-0000-0000-000067C20000}"/>
    <cellStyle name="Normal 78 8 2 2" xfId="35990" xr:uid="{00000000-0005-0000-0000-000068C20000}"/>
    <cellStyle name="Normal 78 8 3" xfId="35991" xr:uid="{00000000-0005-0000-0000-000069C20000}"/>
    <cellStyle name="Normal 78 8 3 2" xfId="35992" xr:uid="{00000000-0005-0000-0000-00006AC20000}"/>
    <cellStyle name="Normal 78 8 4" xfId="35993" xr:uid="{00000000-0005-0000-0000-00006BC20000}"/>
    <cellStyle name="Normal 78 9" xfId="35994" xr:uid="{00000000-0005-0000-0000-00006CC20000}"/>
    <cellStyle name="Normal 78 9 2" xfId="35995" xr:uid="{00000000-0005-0000-0000-00006DC20000}"/>
    <cellStyle name="Normal 78 9 2 2" xfId="35996" xr:uid="{00000000-0005-0000-0000-00006EC20000}"/>
    <cellStyle name="Normal 78 9 3" xfId="35997" xr:uid="{00000000-0005-0000-0000-00006FC20000}"/>
    <cellStyle name="Normal 79" xfId="35998" xr:uid="{00000000-0005-0000-0000-000070C20000}"/>
    <cellStyle name="Normal 79 10" xfId="35999" xr:uid="{00000000-0005-0000-0000-000071C20000}"/>
    <cellStyle name="Normal 79 10 2" xfId="36000" xr:uid="{00000000-0005-0000-0000-000072C20000}"/>
    <cellStyle name="Normal 79 11" xfId="36001" xr:uid="{00000000-0005-0000-0000-000073C20000}"/>
    <cellStyle name="Normal 79 11 2" xfId="36002" xr:uid="{00000000-0005-0000-0000-000074C20000}"/>
    <cellStyle name="Normal 79 12" xfId="36003" xr:uid="{00000000-0005-0000-0000-000075C20000}"/>
    <cellStyle name="Normal 79 13" xfId="36004" xr:uid="{00000000-0005-0000-0000-000076C20000}"/>
    <cellStyle name="Normal 79 2" xfId="36005" xr:uid="{00000000-0005-0000-0000-000077C20000}"/>
    <cellStyle name="Normal 79 2 10" xfId="36006" xr:uid="{00000000-0005-0000-0000-000078C20000}"/>
    <cellStyle name="Normal 79 2 10 2" xfId="36007" xr:uid="{00000000-0005-0000-0000-000079C20000}"/>
    <cellStyle name="Normal 79 2 11" xfId="36008" xr:uid="{00000000-0005-0000-0000-00007AC20000}"/>
    <cellStyle name="Normal 79 2 2" xfId="36009" xr:uid="{00000000-0005-0000-0000-00007BC20000}"/>
    <cellStyle name="Normal 79 2 2 2" xfId="36010" xr:uid="{00000000-0005-0000-0000-00007CC20000}"/>
    <cellStyle name="Normal 79 2 2 2 2" xfId="36011" xr:uid="{00000000-0005-0000-0000-00007DC20000}"/>
    <cellStyle name="Normal 79 2 2 2 2 2" xfId="36012" xr:uid="{00000000-0005-0000-0000-00007EC20000}"/>
    <cellStyle name="Normal 79 2 2 2 3" xfId="36013" xr:uid="{00000000-0005-0000-0000-00007FC20000}"/>
    <cellStyle name="Normal 79 2 2 2 3 2" xfId="36014" xr:uid="{00000000-0005-0000-0000-000080C20000}"/>
    <cellStyle name="Normal 79 2 2 2 4" xfId="36015" xr:uid="{00000000-0005-0000-0000-000081C20000}"/>
    <cellStyle name="Normal 79 2 2 3" xfId="36016" xr:uid="{00000000-0005-0000-0000-000082C20000}"/>
    <cellStyle name="Normal 79 2 2 3 2" xfId="36017" xr:uid="{00000000-0005-0000-0000-000083C20000}"/>
    <cellStyle name="Normal 79 2 2 3 2 2" xfId="36018" xr:uid="{00000000-0005-0000-0000-000084C20000}"/>
    <cellStyle name="Normal 79 2 2 3 3" xfId="36019" xr:uid="{00000000-0005-0000-0000-000085C20000}"/>
    <cellStyle name="Normal 79 2 2 3 3 2" xfId="36020" xr:uid="{00000000-0005-0000-0000-000086C20000}"/>
    <cellStyle name="Normal 79 2 2 3 4" xfId="36021" xr:uid="{00000000-0005-0000-0000-000087C20000}"/>
    <cellStyle name="Normal 79 2 2 4" xfId="36022" xr:uid="{00000000-0005-0000-0000-000088C20000}"/>
    <cellStyle name="Normal 79 2 2 4 2" xfId="36023" xr:uid="{00000000-0005-0000-0000-000089C20000}"/>
    <cellStyle name="Normal 79 2 2 5" xfId="36024" xr:uid="{00000000-0005-0000-0000-00008AC20000}"/>
    <cellStyle name="Normal 79 2 2 5 2" xfId="36025" xr:uid="{00000000-0005-0000-0000-00008BC20000}"/>
    <cellStyle name="Normal 79 2 2 6" xfId="36026" xr:uid="{00000000-0005-0000-0000-00008CC20000}"/>
    <cellStyle name="Normal 79 2 3" xfId="36027" xr:uid="{00000000-0005-0000-0000-00008DC20000}"/>
    <cellStyle name="Normal 79 2 3 2" xfId="36028" xr:uid="{00000000-0005-0000-0000-00008EC20000}"/>
    <cellStyle name="Normal 79 2 3 2 2" xfId="36029" xr:uid="{00000000-0005-0000-0000-00008FC20000}"/>
    <cellStyle name="Normal 79 2 3 3" xfId="36030" xr:uid="{00000000-0005-0000-0000-000090C20000}"/>
    <cellStyle name="Normal 79 2 3 3 2" xfId="36031" xr:uid="{00000000-0005-0000-0000-000091C20000}"/>
    <cellStyle name="Normal 79 2 3 4" xfId="36032" xr:uid="{00000000-0005-0000-0000-000092C20000}"/>
    <cellStyle name="Normal 79 2 4" xfId="36033" xr:uid="{00000000-0005-0000-0000-000093C20000}"/>
    <cellStyle name="Normal 79 2 4 2" xfId="36034" xr:uid="{00000000-0005-0000-0000-000094C20000}"/>
    <cellStyle name="Normal 79 2 4 2 2" xfId="36035" xr:uid="{00000000-0005-0000-0000-000095C20000}"/>
    <cellStyle name="Normal 79 2 4 3" xfId="36036" xr:uid="{00000000-0005-0000-0000-000096C20000}"/>
    <cellStyle name="Normal 79 2 4 3 2" xfId="36037" xr:uid="{00000000-0005-0000-0000-000097C20000}"/>
    <cellStyle name="Normal 79 2 4 4" xfId="36038" xr:uid="{00000000-0005-0000-0000-000098C20000}"/>
    <cellStyle name="Normal 79 2 5" xfId="36039" xr:uid="{00000000-0005-0000-0000-000099C20000}"/>
    <cellStyle name="Normal 79 2 5 2" xfId="36040" xr:uid="{00000000-0005-0000-0000-00009AC20000}"/>
    <cellStyle name="Normal 79 2 5 2 2" xfId="36041" xr:uid="{00000000-0005-0000-0000-00009BC20000}"/>
    <cellStyle name="Normal 79 2 5 3" xfId="36042" xr:uid="{00000000-0005-0000-0000-00009CC20000}"/>
    <cellStyle name="Normal 79 2 5 3 2" xfId="36043" xr:uid="{00000000-0005-0000-0000-00009DC20000}"/>
    <cellStyle name="Normal 79 2 5 4" xfId="36044" xr:uid="{00000000-0005-0000-0000-00009EC20000}"/>
    <cellStyle name="Normal 79 2 6" xfId="36045" xr:uid="{00000000-0005-0000-0000-00009FC20000}"/>
    <cellStyle name="Normal 79 2 6 2" xfId="36046" xr:uid="{00000000-0005-0000-0000-0000A0C20000}"/>
    <cellStyle name="Normal 79 2 6 2 2" xfId="36047" xr:uid="{00000000-0005-0000-0000-0000A1C20000}"/>
    <cellStyle name="Normal 79 2 6 3" xfId="36048" xr:uid="{00000000-0005-0000-0000-0000A2C20000}"/>
    <cellStyle name="Normal 79 2 6 3 2" xfId="36049" xr:uid="{00000000-0005-0000-0000-0000A3C20000}"/>
    <cellStyle name="Normal 79 2 6 4" xfId="36050" xr:uid="{00000000-0005-0000-0000-0000A4C20000}"/>
    <cellStyle name="Normal 79 2 7" xfId="36051" xr:uid="{00000000-0005-0000-0000-0000A5C20000}"/>
    <cellStyle name="Normal 79 2 7 2" xfId="36052" xr:uid="{00000000-0005-0000-0000-0000A6C20000}"/>
    <cellStyle name="Normal 79 2 7 2 2" xfId="36053" xr:uid="{00000000-0005-0000-0000-0000A7C20000}"/>
    <cellStyle name="Normal 79 2 7 3" xfId="36054" xr:uid="{00000000-0005-0000-0000-0000A8C20000}"/>
    <cellStyle name="Normal 79 2 7 3 2" xfId="36055" xr:uid="{00000000-0005-0000-0000-0000A9C20000}"/>
    <cellStyle name="Normal 79 2 7 4" xfId="36056" xr:uid="{00000000-0005-0000-0000-0000AAC20000}"/>
    <cellStyle name="Normal 79 2 8" xfId="36057" xr:uid="{00000000-0005-0000-0000-0000ABC20000}"/>
    <cellStyle name="Normal 79 2 8 2" xfId="36058" xr:uid="{00000000-0005-0000-0000-0000ACC20000}"/>
    <cellStyle name="Normal 79 2 8 2 2" xfId="36059" xr:uid="{00000000-0005-0000-0000-0000ADC20000}"/>
    <cellStyle name="Normal 79 2 8 3" xfId="36060" xr:uid="{00000000-0005-0000-0000-0000AEC20000}"/>
    <cellStyle name="Normal 79 2 9" xfId="36061" xr:uid="{00000000-0005-0000-0000-0000AFC20000}"/>
    <cellStyle name="Normal 79 2 9 2" xfId="36062" xr:uid="{00000000-0005-0000-0000-0000B0C20000}"/>
    <cellStyle name="Normal 79 3" xfId="36063" xr:uid="{00000000-0005-0000-0000-0000B1C20000}"/>
    <cellStyle name="Normal 79 3 2" xfId="36064" xr:uid="{00000000-0005-0000-0000-0000B2C20000}"/>
    <cellStyle name="Normal 79 3 2 2" xfId="36065" xr:uid="{00000000-0005-0000-0000-0000B3C20000}"/>
    <cellStyle name="Normal 79 3 2 2 2" xfId="36066" xr:uid="{00000000-0005-0000-0000-0000B4C20000}"/>
    <cellStyle name="Normal 79 3 2 3" xfId="36067" xr:uid="{00000000-0005-0000-0000-0000B5C20000}"/>
    <cellStyle name="Normal 79 3 2 3 2" xfId="36068" xr:uid="{00000000-0005-0000-0000-0000B6C20000}"/>
    <cellStyle name="Normal 79 3 2 4" xfId="36069" xr:uid="{00000000-0005-0000-0000-0000B7C20000}"/>
    <cellStyle name="Normal 79 3 3" xfId="36070" xr:uid="{00000000-0005-0000-0000-0000B8C20000}"/>
    <cellStyle name="Normal 79 3 3 2" xfId="36071" xr:uid="{00000000-0005-0000-0000-0000B9C20000}"/>
    <cellStyle name="Normal 79 3 3 2 2" xfId="36072" xr:uid="{00000000-0005-0000-0000-0000BAC20000}"/>
    <cellStyle name="Normal 79 3 3 3" xfId="36073" xr:uid="{00000000-0005-0000-0000-0000BBC20000}"/>
    <cellStyle name="Normal 79 3 3 3 2" xfId="36074" xr:uid="{00000000-0005-0000-0000-0000BCC20000}"/>
    <cellStyle name="Normal 79 3 3 4" xfId="36075" xr:uid="{00000000-0005-0000-0000-0000BDC20000}"/>
    <cellStyle name="Normal 79 3 4" xfId="36076" xr:uid="{00000000-0005-0000-0000-0000BEC20000}"/>
    <cellStyle name="Normal 79 3 4 2" xfId="36077" xr:uid="{00000000-0005-0000-0000-0000BFC20000}"/>
    <cellStyle name="Normal 79 3 5" xfId="36078" xr:uid="{00000000-0005-0000-0000-0000C0C20000}"/>
    <cellStyle name="Normal 79 3 5 2" xfId="36079" xr:uid="{00000000-0005-0000-0000-0000C1C20000}"/>
    <cellStyle name="Normal 79 3 6" xfId="36080" xr:uid="{00000000-0005-0000-0000-0000C2C20000}"/>
    <cellStyle name="Normal 79 4" xfId="36081" xr:uid="{00000000-0005-0000-0000-0000C3C20000}"/>
    <cellStyle name="Normal 79 4 2" xfId="36082" xr:uid="{00000000-0005-0000-0000-0000C4C20000}"/>
    <cellStyle name="Normal 79 4 2 2" xfId="36083" xr:uid="{00000000-0005-0000-0000-0000C5C20000}"/>
    <cellStyle name="Normal 79 4 3" xfId="36084" xr:uid="{00000000-0005-0000-0000-0000C6C20000}"/>
    <cellStyle name="Normal 79 4 3 2" xfId="36085" xr:uid="{00000000-0005-0000-0000-0000C7C20000}"/>
    <cellStyle name="Normal 79 4 4" xfId="36086" xr:uid="{00000000-0005-0000-0000-0000C8C20000}"/>
    <cellStyle name="Normal 79 5" xfId="36087" xr:uid="{00000000-0005-0000-0000-0000C9C20000}"/>
    <cellStyle name="Normal 79 5 2" xfId="36088" xr:uid="{00000000-0005-0000-0000-0000CAC20000}"/>
    <cellStyle name="Normal 79 5 2 2" xfId="36089" xr:uid="{00000000-0005-0000-0000-0000CBC20000}"/>
    <cellStyle name="Normal 79 5 3" xfId="36090" xr:uid="{00000000-0005-0000-0000-0000CCC20000}"/>
    <cellStyle name="Normal 79 5 3 2" xfId="36091" xr:uid="{00000000-0005-0000-0000-0000CDC20000}"/>
    <cellStyle name="Normal 79 5 4" xfId="36092" xr:uid="{00000000-0005-0000-0000-0000CEC20000}"/>
    <cellStyle name="Normal 79 6" xfId="36093" xr:uid="{00000000-0005-0000-0000-0000CFC20000}"/>
    <cellStyle name="Normal 79 6 2" xfId="36094" xr:uid="{00000000-0005-0000-0000-0000D0C20000}"/>
    <cellStyle name="Normal 79 6 2 2" xfId="36095" xr:uid="{00000000-0005-0000-0000-0000D1C20000}"/>
    <cellStyle name="Normal 79 6 3" xfId="36096" xr:uid="{00000000-0005-0000-0000-0000D2C20000}"/>
    <cellStyle name="Normal 79 6 3 2" xfId="36097" xr:uid="{00000000-0005-0000-0000-0000D3C20000}"/>
    <cellStyle name="Normal 79 6 4" xfId="36098" xr:uid="{00000000-0005-0000-0000-0000D4C20000}"/>
    <cellStyle name="Normal 79 7" xfId="36099" xr:uid="{00000000-0005-0000-0000-0000D5C20000}"/>
    <cellStyle name="Normal 79 7 2" xfId="36100" xr:uid="{00000000-0005-0000-0000-0000D6C20000}"/>
    <cellStyle name="Normal 79 7 2 2" xfId="36101" xr:uid="{00000000-0005-0000-0000-0000D7C20000}"/>
    <cellStyle name="Normal 79 7 3" xfId="36102" xr:uid="{00000000-0005-0000-0000-0000D8C20000}"/>
    <cellStyle name="Normal 79 7 3 2" xfId="36103" xr:uid="{00000000-0005-0000-0000-0000D9C20000}"/>
    <cellStyle name="Normal 79 7 4" xfId="36104" xr:uid="{00000000-0005-0000-0000-0000DAC20000}"/>
    <cellStyle name="Normal 79 8" xfId="36105" xr:uid="{00000000-0005-0000-0000-0000DBC20000}"/>
    <cellStyle name="Normal 79 8 2" xfId="36106" xr:uid="{00000000-0005-0000-0000-0000DCC20000}"/>
    <cellStyle name="Normal 79 8 2 2" xfId="36107" xr:uid="{00000000-0005-0000-0000-0000DDC20000}"/>
    <cellStyle name="Normal 79 8 3" xfId="36108" xr:uid="{00000000-0005-0000-0000-0000DEC20000}"/>
    <cellStyle name="Normal 79 8 3 2" xfId="36109" xr:uid="{00000000-0005-0000-0000-0000DFC20000}"/>
    <cellStyle name="Normal 79 8 4" xfId="36110" xr:uid="{00000000-0005-0000-0000-0000E0C20000}"/>
    <cellStyle name="Normal 79 9" xfId="36111" xr:uid="{00000000-0005-0000-0000-0000E1C20000}"/>
    <cellStyle name="Normal 79 9 2" xfId="36112" xr:uid="{00000000-0005-0000-0000-0000E2C20000}"/>
    <cellStyle name="Normal 79 9 2 2" xfId="36113" xr:uid="{00000000-0005-0000-0000-0000E3C20000}"/>
    <cellStyle name="Normal 79 9 3" xfId="36114" xr:uid="{00000000-0005-0000-0000-0000E4C20000}"/>
    <cellStyle name="Normal 8" xfId="36115" xr:uid="{00000000-0005-0000-0000-0000E5C20000}"/>
    <cellStyle name="Normal 8 10" xfId="36116" xr:uid="{00000000-0005-0000-0000-0000E6C20000}"/>
    <cellStyle name="Normal 8 10 2" xfId="36117" xr:uid="{00000000-0005-0000-0000-0000E7C20000}"/>
    <cellStyle name="Normal 8 10 2 2" xfId="36118" xr:uid="{00000000-0005-0000-0000-0000E8C20000}"/>
    <cellStyle name="Normal 8 10 2 2 2" xfId="36119" xr:uid="{00000000-0005-0000-0000-0000E9C20000}"/>
    <cellStyle name="Normal 8 10 2 2 2 2" xfId="59799" xr:uid="{00000000-0005-0000-0000-0000EAC20000}"/>
    <cellStyle name="Normal 8 10 2 2 2 3" xfId="59800" xr:uid="{00000000-0005-0000-0000-0000EBC20000}"/>
    <cellStyle name="Normal 8 10 2 2 3" xfId="36120" xr:uid="{00000000-0005-0000-0000-0000ECC20000}"/>
    <cellStyle name="Normal 8 10 2 2 3 2" xfId="59801" xr:uid="{00000000-0005-0000-0000-0000EDC20000}"/>
    <cellStyle name="Normal 8 10 2 2 4" xfId="36121" xr:uid="{00000000-0005-0000-0000-0000EEC20000}"/>
    <cellStyle name="Normal 8 10 2 2 5" xfId="36122" xr:uid="{00000000-0005-0000-0000-0000EFC20000}"/>
    <cellStyle name="Normal 8 10 2 2 6" xfId="36123" xr:uid="{00000000-0005-0000-0000-0000F0C20000}"/>
    <cellStyle name="Normal 8 10 2 3" xfId="36124" xr:uid="{00000000-0005-0000-0000-0000F1C20000}"/>
    <cellStyle name="Normal 8 10 2 3 2" xfId="59802" xr:uid="{00000000-0005-0000-0000-0000F2C20000}"/>
    <cellStyle name="Normal 8 10 2 3 3" xfId="59803" xr:uid="{00000000-0005-0000-0000-0000F3C20000}"/>
    <cellStyle name="Normal 8 10 2 4" xfId="36125" xr:uid="{00000000-0005-0000-0000-0000F4C20000}"/>
    <cellStyle name="Normal 8 10 2 4 2" xfId="59804" xr:uid="{00000000-0005-0000-0000-0000F5C20000}"/>
    <cellStyle name="Normal 8 10 2 5" xfId="36126" xr:uid="{00000000-0005-0000-0000-0000F6C20000}"/>
    <cellStyle name="Normal 8 10 2 6" xfId="36127" xr:uid="{00000000-0005-0000-0000-0000F7C20000}"/>
    <cellStyle name="Normal 8 10 2 7" xfId="36128" xr:uid="{00000000-0005-0000-0000-0000F8C20000}"/>
    <cellStyle name="Normal 8 10 3" xfId="36129" xr:uid="{00000000-0005-0000-0000-0000F9C20000}"/>
    <cellStyle name="Normal 8 10 3 2" xfId="36130" xr:uid="{00000000-0005-0000-0000-0000FAC20000}"/>
    <cellStyle name="Normal 8 10 3 2 2" xfId="59805" xr:uid="{00000000-0005-0000-0000-0000FBC20000}"/>
    <cellStyle name="Normal 8 10 3 2 3" xfId="59806" xr:uid="{00000000-0005-0000-0000-0000FCC20000}"/>
    <cellStyle name="Normal 8 10 3 3" xfId="36131" xr:uid="{00000000-0005-0000-0000-0000FDC20000}"/>
    <cellStyle name="Normal 8 10 3 3 2" xfId="59807" xr:uid="{00000000-0005-0000-0000-0000FEC20000}"/>
    <cellStyle name="Normal 8 10 3 4" xfId="36132" xr:uid="{00000000-0005-0000-0000-0000FFC20000}"/>
    <cellStyle name="Normal 8 10 3 5" xfId="36133" xr:uid="{00000000-0005-0000-0000-000000C30000}"/>
    <cellStyle name="Normal 8 10 3 6" xfId="36134" xr:uid="{00000000-0005-0000-0000-000001C30000}"/>
    <cellStyle name="Normal 8 10 4" xfId="36135" xr:uid="{00000000-0005-0000-0000-000002C30000}"/>
    <cellStyle name="Normal 8 10 4 2" xfId="59808" xr:uid="{00000000-0005-0000-0000-000003C30000}"/>
    <cellStyle name="Normal 8 10 4 3" xfId="59809" xr:uid="{00000000-0005-0000-0000-000004C30000}"/>
    <cellStyle name="Normal 8 10 5" xfId="36136" xr:uid="{00000000-0005-0000-0000-000005C30000}"/>
    <cellStyle name="Normal 8 10 5 2" xfId="59810" xr:uid="{00000000-0005-0000-0000-000006C30000}"/>
    <cellStyle name="Normal 8 10 6" xfId="36137" xr:uid="{00000000-0005-0000-0000-000007C30000}"/>
    <cellStyle name="Normal 8 10 7" xfId="36138" xr:uid="{00000000-0005-0000-0000-000008C30000}"/>
    <cellStyle name="Normal 8 10 8" xfId="36139" xr:uid="{00000000-0005-0000-0000-000009C30000}"/>
    <cellStyle name="Normal 8 11" xfId="36140" xr:uid="{00000000-0005-0000-0000-00000AC30000}"/>
    <cellStyle name="Normal 8 11 2" xfId="36141" xr:uid="{00000000-0005-0000-0000-00000BC30000}"/>
    <cellStyle name="Normal 8 11 2 2" xfId="36142" xr:uid="{00000000-0005-0000-0000-00000CC30000}"/>
    <cellStyle name="Normal 8 11 2 2 2" xfId="36143" xr:uid="{00000000-0005-0000-0000-00000DC30000}"/>
    <cellStyle name="Normal 8 11 2 2 2 2" xfId="59811" xr:uid="{00000000-0005-0000-0000-00000EC30000}"/>
    <cellStyle name="Normal 8 11 2 2 2 3" xfId="59812" xr:uid="{00000000-0005-0000-0000-00000FC30000}"/>
    <cellStyle name="Normal 8 11 2 2 3" xfId="36144" xr:uid="{00000000-0005-0000-0000-000010C30000}"/>
    <cellStyle name="Normal 8 11 2 2 3 2" xfId="59813" xr:uid="{00000000-0005-0000-0000-000011C30000}"/>
    <cellStyle name="Normal 8 11 2 2 4" xfId="36145" xr:uid="{00000000-0005-0000-0000-000012C30000}"/>
    <cellStyle name="Normal 8 11 2 2 5" xfId="36146" xr:uid="{00000000-0005-0000-0000-000013C30000}"/>
    <cellStyle name="Normal 8 11 2 2 6" xfId="36147" xr:uid="{00000000-0005-0000-0000-000014C30000}"/>
    <cellStyle name="Normal 8 11 2 3" xfId="36148" xr:uid="{00000000-0005-0000-0000-000015C30000}"/>
    <cellStyle name="Normal 8 11 2 3 2" xfId="59814" xr:uid="{00000000-0005-0000-0000-000016C30000}"/>
    <cellStyle name="Normal 8 11 2 3 3" xfId="59815" xr:uid="{00000000-0005-0000-0000-000017C30000}"/>
    <cellStyle name="Normal 8 11 2 4" xfId="36149" xr:uid="{00000000-0005-0000-0000-000018C30000}"/>
    <cellStyle name="Normal 8 11 2 4 2" xfId="59816" xr:uid="{00000000-0005-0000-0000-000019C30000}"/>
    <cellStyle name="Normal 8 11 2 5" xfId="36150" xr:uid="{00000000-0005-0000-0000-00001AC30000}"/>
    <cellStyle name="Normal 8 11 2 6" xfId="36151" xr:uid="{00000000-0005-0000-0000-00001BC30000}"/>
    <cellStyle name="Normal 8 11 2 7" xfId="36152" xr:uid="{00000000-0005-0000-0000-00001CC30000}"/>
    <cellStyle name="Normal 8 11 3" xfId="36153" xr:uid="{00000000-0005-0000-0000-00001DC30000}"/>
    <cellStyle name="Normal 8 11 3 2" xfId="36154" xr:uid="{00000000-0005-0000-0000-00001EC30000}"/>
    <cellStyle name="Normal 8 11 3 2 2" xfId="59817" xr:uid="{00000000-0005-0000-0000-00001FC30000}"/>
    <cellStyle name="Normal 8 11 3 2 3" xfId="59818" xr:uid="{00000000-0005-0000-0000-000020C30000}"/>
    <cellStyle name="Normal 8 11 3 3" xfId="36155" xr:uid="{00000000-0005-0000-0000-000021C30000}"/>
    <cellStyle name="Normal 8 11 3 3 2" xfId="59819" xr:uid="{00000000-0005-0000-0000-000022C30000}"/>
    <cellStyle name="Normal 8 11 3 4" xfId="36156" xr:uid="{00000000-0005-0000-0000-000023C30000}"/>
    <cellStyle name="Normal 8 11 3 5" xfId="36157" xr:uid="{00000000-0005-0000-0000-000024C30000}"/>
    <cellStyle name="Normal 8 11 3 6" xfId="36158" xr:uid="{00000000-0005-0000-0000-000025C30000}"/>
    <cellStyle name="Normal 8 11 4" xfId="36159" xr:uid="{00000000-0005-0000-0000-000026C30000}"/>
    <cellStyle name="Normal 8 11 4 2" xfId="59820" xr:uid="{00000000-0005-0000-0000-000027C30000}"/>
    <cellStyle name="Normal 8 11 4 3" xfId="59821" xr:uid="{00000000-0005-0000-0000-000028C30000}"/>
    <cellStyle name="Normal 8 11 5" xfId="36160" xr:uid="{00000000-0005-0000-0000-000029C30000}"/>
    <cellStyle name="Normal 8 11 5 2" xfId="59822" xr:uid="{00000000-0005-0000-0000-00002AC30000}"/>
    <cellStyle name="Normal 8 11 6" xfId="36161" xr:uid="{00000000-0005-0000-0000-00002BC30000}"/>
    <cellStyle name="Normal 8 11 7" xfId="36162" xr:uid="{00000000-0005-0000-0000-00002CC30000}"/>
    <cellStyle name="Normal 8 11 8" xfId="36163" xr:uid="{00000000-0005-0000-0000-00002DC30000}"/>
    <cellStyle name="Normal 8 12" xfId="36164" xr:uid="{00000000-0005-0000-0000-00002EC30000}"/>
    <cellStyle name="Normal 8 12 2" xfId="36165" xr:uid="{00000000-0005-0000-0000-00002FC30000}"/>
    <cellStyle name="Normal 8 12 2 2" xfId="36166" xr:uid="{00000000-0005-0000-0000-000030C30000}"/>
    <cellStyle name="Normal 8 12 2 2 2" xfId="59823" xr:uid="{00000000-0005-0000-0000-000031C30000}"/>
    <cellStyle name="Normal 8 12 2 2 3" xfId="59824" xr:uid="{00000000-0005-0000-0000-000032C30000}"/>
    <cellStyle name="Normal 8 12 2 3" xfId="36167" xr:uid="{00000000-0005-0000-0000-000033C30000}"/>
    <cellStyle name="Normal 8 12 2 3 2" xfId="59825" xr:uid="{00000000-0005-0000-0000-000034C30000}"/>
    <cellStyle name="Normal 8 12 2 4" xfId="36168" xr:uid="{00000000-0005-0000-0000-000035C30000}"/>
    <cellStyle name="Normal 8 12 2 5" xfId="36169" xr:uid="{00000000-0005-0000-0000-000036C30000}"/>
    <cellStyle name="Normal 8 12 2 6" xfId="36170" xr:uid="{00000000-0005-0000-0000-000037C30000}"/>
    <cellStyle name="Normal 8 12 3" xfId="36171" xr:uid="{00000000-0005-0000-0000-000038C30000}"/>
    <cellStyle name="Normal 8 12 3 2" xfId="59826" xr:uid="{00000000-0005-0000-0000-000039C30000}"/>
    <cellStyle name="Normal 8 12 3 3" xfId="59827" xr:uid="{00000000-0005-0000-0000-00003AC30000}"/>
    <cellStyle name="Normal 8 12 4" xfId="36172" xr:uid="{00000000-0005-0000-0000-00003BC30000}"/>
    <cellStyle name="Normal 8 12 4 2" xfId="59828" xr:uid="{00000000-0005-0000-0000-00003CC30000}"/>
    <cellStyle name="Normal 8 12 5" xfId="36173" xr:uid="{00000000-0005-0000-0000-00003DC30000}"/>
    <cellStyle name="Normal 8 12 6" xfId="36174" xr:uid="{00000000-0005-0000-0000-00003EC30000}"/>
    <cellStyle name="Normal 8 12 7" xfId="36175" xr:uid="{00000000-0005-0000-0000-00003FC30000}"/>
    <cellStyle name="Normal 8 13" xfId="36176" xr:uid="{00000000-0005-0000-0000-000040C30000}"/>
    <cellStyle name="Normal 8 13 2" xfId="36177" xr:uid="{00000000-0005-0000-0000-000041C30000}"/>
    <cellStyle name="Normal 8 13 2 2" xfId="59829" xr:uid="{00000000-0005-0000-0000-000042C30000}"/>
    <cellStyle name="Normal 8 13 2 3" xfId="59830" xr:uid="{00000000-0005-0000-0000-000043C30000}"/>
    <cellStyle name="Normal 8 13 3" xfId="36178" xr:uid="{00000000-0005-0000-0000-000044C30000}"/>
    <cellStyle name="Normal 8 13 3 2" xfId="59831" xr:uid="{00000000-0005-0000-0000-000045C30000}"/>
    <cellStyle name="Normal 8 13 4" xfId="36179" xr:uid="{00000000-0005-0000-0000-000046C30000}"/>
    <cellStyle name="Normal 8 13 5" xfId="36180" xr:uid="{00000000-0005-0000-0000-000047C30000}"/>
    <cellStyle name="Normal 8 13 6" xfId="36181" xr:uid="{00000000-0005-0000-0000-000048C30000}"/>
    <cellStyle name="Normal 8 14" xfId="36182" xr:uid="{00000000-0005-0000-0000-000049C30000}"/>
    <cellStyle name="Normal 8 14 2" xfId="59832" xr:uid="{00000000-0005-0000-0000-00004AC30000}"/>
    <cellStyle name="Normal 8 14 3" xfId="59833" xr:uid="{00000000-0005-0000-0000-00004BC30000}"/>
    <cellStyle name="Normal 8 15" xfId="36183" xr:uid="{00000000-0005-0000-0000-00004CC30000}"/>
    <cellStyle name="Normal 8 15 2" xfId="59834" xr:uid="{00000000-0005-0000-0000-00004DC30000}"/>
    <cellStyle name="Normal 8 16" xfId="36184" xr:uid="{00000000-0005-0000-0000-00004EC30000}"/>
    <cellStyle name="Normal 8 16 2" xfId="59835" xr:uid="{00000000-0005-0000-0000-00004FC30000}"/>
    <cellStyle name="Normal 8 17" xfId="36185" xr:uid="{00000000-0005-0000-0000-000050C30000}"/>
    <cellStyle name="Normal 8 18" xfId="36186" xr:uid="{00000000-0005-0000-0000-000051C30000}"/>
    <cellStyle name="Normal 8 19" xfId="36187" xr:uid="{00000000-0005-0000-0000-000052C30000}"/>
    <cellStyle name="Normal 8 2" xfId="36188" xr:uid="{00000000-0005-0000-0000-000053C30000}"/>
    <cellStyle name="Normal 8 2 10" xfId="36189" xr:uid="{00000000-0005-0000-0000-000054C30000}"/>
    <cellStyle name="Normal 8 2 10 2" xfId="36190" xr:uid="{00000000-0005-0000-0000-000055C30000}"/>
    <cellStyle name="Normal 8 2 10 2 2" xfId="36191" xr:uid="{00000000-0005-0000-0000-000056C30000}"/>
    <cellStyle name="Normal 8 2 10 2 2 2" xfId="59836" xr:uid="{00000000-0005-0000-0000-000057C30000}"/>
    <cellStyle name="Normal 8 2 10 2 2 3" xfId="59837" xr:uid="{00000000-0005-0000-0000-000058C30000}"/>
    <cellStyle name="Normal 8 2 10 2 3" xfId="36192" xr:uid="{00000000-0005-0000-0000-000059C30000}"/>
    <cellStyle name="Normal 8 2 10 2 3 2" xfId="59838" xr:uid="{00000000-0005-0000-0000-00005AC30000}"/>
    <cellStyle name="Normal 8 2 10 2 4" xfId="36193" xr:uid="{00000000-0005-0000-0000-00005BC30000}"/>
    <cellStyle name="Normal 8 2 10 2 5" xfId="36194" xr:uid="{00000000-0005-0000-0000-00005CC30000}"/>
    <cellStyle name="Normal 8 2 10 2 6" xfId="36195" xr:uid="{00000000-0005-0000-0000-00005DC30000}"/>
    <cellStyle name="Normal 8 2 10 3" xfId="36196" xr:uid="{00000000-0005-0000-0000-00005EC30000}"/>
    <cellStyle name="Normal 8 2 10 3 2" xfId="59839" xr:uid="{00000000-0005-0000-0000-00005FC30000}"/>
    <cellStyle name="Normal 8 2 10 3 3" xfId="59840" xr:uid="{00000000-0005-0000-0000-000060C30000}"/>
    <cellStyle name="Normal 8 2 10 4" xfId="36197" xr:uid="{00000000-0005-0000-0000-000061C30000}"/>
    <cellStyle name="Normal 8 2 10 4 2" xfId="59841" xr:uid="{00000000-0005-0000-0000-000062C30000}"/>
    <cellStyle name="Normal 8 2 10 5" xfId="36198" xr:uid="{00000000-0005-0000-0000-000063C30000}"/>
    <cellStyle name="Normal 8 2 10 6" xfId="36199" xr:uid="{00000000-0005-0000-0000-000064C30000}"/>
    <cellStyle name="Normal 8 2 10 7" xfId="36200" xr:uid="{00000000-0005-0000-0000-000065C30000}"/>
    <cellStyle name="Normal 8 2 11" xfId="36201" xr:uid="{00000000-0005-0000-0000-000066C30000}"/>
    <cellStyle name="Normal 8 2 11 2" xfId="36202" xr:uid="{00000000-0005-0000-0000-000067C30000}"/>
    <cellStyle name="Normal 8 2 11 2 2" xfId="59842" xr:uid="{00000000-0005-0000-0000-000068C30000}"/>
    <cellStyle name="Normal 8 2 11 2 3" xfId="59843" xr:uid="{00000000-0005-0000-0000-000069C30000}"/>
    <cellStyle name="Normal 8 2 11 3" xfId="36203" xr:uid="{00000000-0005-0000-0000-00006AC30000}"/>
    <cellStyle name="Normal 8 2 11 3 2" xfId="59844" xr:uid="{00000000-0005-0000-0000-00006BC30000}"/>
    <cellStyle name="Normal 8 2 11 4" xfId="36204" xr:uid="{00000000-0005-0000-0000-00006CC30000}"/>
    <cellStyle name="Normal 8 2 11 5" xfId="36205" xr:uid="{00000000-0005-0000-0000-00006DC30000}"/>
    <cellStyle name="Normal 8 2 11 6" xfId="36206" xr:uid="{00000000-0005-0000-0000-00006EC30000}"/>
    <cellStyle name="Normal 8 2 12" xfId="36207" xr:uid="{00000000-0005-0000-0000-00006FC30000}"/>
    <cellStyle name="Normal 8 2 12 2" xfId="59845" xr:uid="{00000000-0005-0000-0000-000070C30000}"/>
    <cellStyle name="Normal 8 2 12 3" xfId="59846" xr:uid="{00000000-0005-0000-0000-000071C30000}"/>
    <cellStyle name="Normal 8 2 13" xfId="36208" xr:uid="{00000000-0005-0000-0000-000072C30000}"/>
    <cellStyle name="Normal 8 2 13 2" xfId="59847" xr:uid="{00000000-0005-0000-0000-000073C30000}"/>
    <cellStyle name="Normal 8 2 14" xfId="36209" xr:uid="{00000000-0005-0000-0000-000074C30000}"/>
    <cellStyle name="Normal 8 2 14 2" xfId="59848" xr:uid="{00000000-0005-0000-0000-000075C30000}"/>
    <cellStyle name="Normal 8 2 15" xfId="36210" xr:uid="{00000000-0005-0000-0000-000076C30000}"/>
    <cellStyle name="Normal 8 2 16" xfId="36211" xr:uid="{00000000-0005-0000-0000-000077C30000}"/>
    <cellStyle name="Normal 8 2 17" xfId="36212" xr:uid="{00000000-0005-0000-0000-000078C30000}"/>
    <cellStyle name="Normal 8 2 18" xfId="36213" xr:uid="{00000000-0005-0000-0000-000079C30000}"/>
    <cellStyle name="Normal 8 2 19" xfId="36214" xr:uid="{00000000-0005-0000-0000-00007AC30000}"/>
    <cellStyle name="Normal 8 2 2" xfId="36215" xr:uid="{00000000-0005-0000-0000-00007BC30000}"/>
    <cellStyle name="Normal 8 2 2 10" xfId="36216" xr:uid="{00000000-0005-0000-0000-00007CC30000}"/>
    <cellStyle name="Normal 8 2 2 11" xfId="36217" xr:uid="{00000000-0005-0000-0000-00007DC30000}"/>
    <cellStyle name="Normal 8 2 2 12" xfId="36218" xr:uid="{00000000-0005-0000-0000-00007EC30000}"/>
    <cellStyle name="Normal 8 2 2 13" xfId="36219" xr:uid="{00000000-0005-0000-0000-00007FC30000}"/>
    <cellStyle name="Normal 8 2 2 14" xfId="36220" xr:uid="{00000000-0005-0000-0000-000080C30000}"/>
    <cellStyle name="Normal 8 2 2 15" xfId="36221" xr:uid="{00000000-0005-0000-0000-000081C30000}"/>
    <cellStyle name="Normal 8 2 2 2" xfId="36222" xr:uid="{00000000-0005-0000-0000-000082C30000}"/>
    <cellStyle name="Normal 8 2 2 2 10" xfId="36223" xr:uid="{00000000-0005-0000-0000-000083C30000}"/>
    <cellStyle name="Normal 8 2 2 2 11" xfId="36224" xr:uid="{00000000-0005-0000-0000-000084C30000}"/>
    <cellStyle name="Normal 8 2 2 2 12" xfId="36225" xr:uid="{00000000-0005-0000-0000-000085C30000}"/>
    <cellStyle name="Normal 8 2 2 2 13" xfId="36226" xr:uid="{00000000-0005-0000-0000-000086C30000}"/>
    <cellStyle name="Normal 8 2 2 2 14" xfId="36227" xr:uid="{00000000-0005-0000-0000-000087C30000}"/>
    <cellStyle name="Normal 8 2 2 2 2" xfId="36228" xr:uid="{00000000-0005-0000-0000-000088C30000}"/>
    <cellStyle name="Normal 8 2 2 2 2 2" xfId="36229" xr:uid="{00000000-0005-0000-0000-000089C30000}"/>
    <cellStyle name="Normal 8 2 2 2 2 2 2" xfId="36230" xr:uid="{00000000-0005-0000-0000-00008AC30000}"/>
    <cellStyle name="Normal 8 2 2 2 2 2 2 2" xfId="36231" xr:uid="{00000000-0005-0000-0000-00008BC30000}"/>
    <cellStyle name="Normal 8 2 2 2 2 2 2 2 2" xfId="59849" xr:uid="{00000000-0005-0000-0000-00008CC30000}"/>
    <cellStyle name="Normal 8 2 2 2 2 2 2 2 3" xfId="59850" xr:uid="{00000000-0005-0000-0000-00008DC30000}"/>
    <cellStyle name="Normal 8 2 2 2 2 2 2 3" xfId="36232" xr:uid="{00000000-0005-0000-0000-00008EC30000}"/>
    <cellStyle name="Normal 8 2 2 2 2 2 2 3 2" xfId="59851" xr:uid="{00000000-0005-0000-0000-00008FC30000}"/>
    <cellStyle name="Normal 8 2 2 2 2 2 2 4" xfId="36233" xr:uid="{00000000-0005-0000-0000-000090C30000}"/>
    <cellStyle name="Normal 8 2 2 2 2 2 2 5" xfId="36234" xr:uid="{00000000-0005-0000-0000-000091C30000}"/>
    <cellStyle name="Normal 8 2 2 2 2 2 2 6" xfId="36235" xr:uid="{00000000-0005-0000-0000-000092C30000}"/>
    <cellStyle name="Normal 8 2 2 2 2 2 3" xfId="36236" xr:uid="{00000000-0005-0000-0000-000093C30000}"/>
    <cellStyle name="Normal 8 2 2 2 2 2 3 2" xfId="59852" xr:uid="{00000000-0005-0000-0000-000094C30000}"/>
    <cellStyle name="Normal 8 2 2 2 2 2 3 3" xfId="59853" xr:uid="{00000000-0005-0000-0000-000095C30000}"/>
    <cellStyle name="Normal 8 2 2 2 2 2 4" xfId="36237" xr:uid="{00000000-0005-0000-0000-000096C30000}"/>
    <cellStyle name="Normal 8 2 2 2 2 2 4 2" xfId="59854" xr:uid="{00000000-0005-0000-0000-000097C30000}"/>
    <cellStyle name="Normal 8 2 2 2 2 2 5" xfId="36238" xr:uid="{00000000-0005-0000-0000-000098C30000}"/>
    <cellStyle name="Normal 8 2 2 2 2 2 6" xfId="36239" xr:uid="{00000000-0005-0000-0000-000099C30000}"/>
    <cellStyle name="Normal 8 2 2 2 2 2 7" xfId="36240" xr:uid="{00000000-0005-0000-0000-00009AC30000}"/>
    <cellStyle name="Normal 8 2 2 2 2 3" xfId="36241" xr:uid="{00000000-0005-0000-0000-00009BC30000}"/>
    <cellStyle name="Normal 8 2 2 2 2 3 2" xfId="36242" xr:uid="{00000000-0005-0000-0000-00009CC30000}"/>
    <cellStyle name="Normal 8 2 2 2 2 3 2 2" xfId="59855" xr:uid="{00000000-0005-0000-0000-00009DC30000}"/>
    <cellStyle name="Normal 8 2 2 2 2 3 2 3" xfId="59856" xr:uid="{00000000-0005-0000-0000-00009EC30000}"/>
    <cellStyle name="Normal 8 2 2 2 2 3 3" xfId="36243" xr:uid="{00000000-0005-0000-0000-00009FC30000}"/>
    <cellStyle name="Normal 8 2 2 2 2 3 3 2" xfId="59857" xr:uid="{00000000-0005-0000-0000-0000A0C30000}"/>
    <cellStyle name="Normal 8 2 2 2 2 3 4" xfId="36244" xr:uid="{00000000-0005-0000-0000-0000A1C30000}"/>
    <cellStyle name="Normal 8 2 2 2 2 3 5" xfId="36245" xr:uid="{00000000-0005-0000-0000-0000A2C30000}"/>
    <cellStyle name="Normal 8 2 2 2 2 3 6" xfId="36246" xr:uid="{00000000-0005-0000-0000-0000A3C30000}"/>
    <cellStyle name="Normal 8 2 2 2 2 4" xfId="36247" xr:uid="{00000000-0005-0000-0000-0000A4C30000}"/>
    <cellStyle name="Normal 8 2 2 2 2 4 2" xfId="59858" xr:uid="{00000000-0005-0000-0000-0000A5C30000}"/>
    <cellStyle name="Normal 8 2 2 2 2 4 3" xfId="59859" xr:uid="{00000000-0005-0000-0000-0000A6C30000}"/>
    <cellStyle name="Normal 8 2 2 2 2 5" xfId="36248" xr:uid="{00000000-0005-0000-0000-0000A7C30000}"/>
    <cellStyle name="Normal 8 2 2 2 2 5 2" xfId="59860" xr:uid="{00000000-0005-0000-0000-0000A8C30000}"/>
    <cellStyle name="Normal 8 2 2 2 2 6" xfId="36249" xr:uid="{00000000-0005-0000-0000-0000A9C30000}"/>
    <cellStyle name="Normal 8 2 2 2 2 7" xfId="36250" xr:uid="{00000000-0005-0000-0000-0000AAC30000}"/>
    <cellStyle name="Normal 8 2 2 2 2 8" xfId="36251" xr:uid="{00000000-0005-0000-0000-0000ABC30000}"/>
    <cellStyle name="Normal 8 2 2 2 2 9" xfId="36252" xr:uid="{00000000-0005-0000-0000-0000ACC30000}"/>
    <cellStyle name="Normal 8 2 2 2 3" xfId="36253" xr:uid="{00000000-0005-0000-0000-0000ADC30000}"/>
    <cellStyle name="Normal 8 2 2 2 3 2" xfId="36254" xr:uid="{00000000-0005-0000-0000-0000AEC30000}"/>
    <cellStyle name="Normal 8 2 2 2 3 2 2" xfId="36255" xr:uid="{00000000-0005-0000-0000-0000AFC30000}"/>
    <cellStyle name="Normal 8 2 2 2 3 2 2 2" xfId="36256" xr:uid="{00000000-0005-0000-0000-0000B0C30000}"/>
    <cellStyle name="Normal 8 2 2 2 3 2 2 2 2" xfId="59861" xr:uid="{00000000-0005-0000-0000-0000B1C30000}"/>
    <cellStyle name="Normal 8 2 2 2 3 2 2 2 3" xfId="59862" xr:uid="{00000000-0005-0000-0000-0000B2C30000}"/>
    <cellStyle name="Normal 8 2 2 2 3 2 2 3" xfId="36257" xr:uid="{00000000-0005-0000-0000-0000B3C30000}"/>
    <cellStyle name="Normal 8 2 2 2 3 2 2 3 2" xfId="59863" xr:uid="{00000000-0005-0000-0000-0000B4C30000}"/>
    <cellStyle name="Normal 8 2 2 2 3 2 2 4" xfId="36258" xr:uid="{00000000-0005-0000-0000-0000B5C30000}"/>
    <cellStyle name="Normal 8 2 2 2 3 2 2 5" xfId="36259" xr:uid="{00000000-0005-0000-0000-0000B6C30000}"/>
    <cellStyle name="Normal 8 2 2 2 3 2 2 6" xfId="36260" xr:uid="{00000000-0005-0000-0000-0000B7C30000}"/>
    <cellStyle name="Normal 8 2 2 2 3 2 3" xfId="36261" xr:uid="{00000000-0005-0000-0000-0000B8C30000}"/>
    <cellStyle name="Normal 8 2 2 2 3 2 3 2" xfId="59864" xr:uid="{00000000-0005-0000-0000-0000B9C30000}"/>
    <cellStyle name="Normal 8 2 2 2 3 2 3 3" xfId="59865" xr:uid="{00000000-0005-0000-0000-0000BAC30000}"/>
    <cellStyle name="Normal 8 2 2 2 3 2 4" xfId="36262" xr:uid="{00000000-0005-0000-0000-0000BBC30000}"/>
    <cellStyle name="Normal 8 2 2 2 3 2 4 2" xfId="59866" xr:uid="{00000000-0005-0000-0000-0000BCC30000}"/>
    <cellStyle name="Normal 8 2 2 2 3 2 5" xfId="36263" xr:uid="{00000000-0005-0000-0000-0000BDC30000}"/>
    <cellStyle name="Normal 8 2 2 2 3 2 6" xfId="36264" xr:uid="{00000000-0005-0000-0000-0000BEC30000}"/>
    <cellStyle name="Normal 8 2 2 2 3 2 7" xfId="36265" xr:uid="{00000000-0005-0000-0000-0000BFC30000}"/>
    <cellStyle name="Normal 8 2 2 2 3 3" xfId="36266" xr:uid="{00000000-0005-0000-0000-0000C0C30000}"/>
    <cellStyle name="Normal 8 2 2 2 3 3 2" xfId="36267" xr:uid="{00000000-0005-0000-0000-0000C1C30000}"/>
    <cellStyle name="Normal 8 2 2 2 3 3 2 2" xfId="59867" xr:uid="{00000000-0005-0000-0000-0000C2C30000}"/>
    <cellStyle name="Normal 8 2 2 2 3 3 2 3" xfId="59868" xr:uid="{00000000-0005-0000-0000-0000C3C30000}"/>
    <cellStyle name="Normal 8 2 2 2 3 3 3" xfId="36268" xr:uid="{00000000-0005-0000-0000-0000C4C30000}"/>
    <cellStyle name="Normal 8 2 2 2 3 3 3 2" xfId="59869" xr:uid="{00000000-0005-0000-0000-0000C5C30000}"/>
    <cellStyle name="Normal 8 2 2 2 3 3 4" xfId="36269" xr:uid="{00000000-0005-0000-0000-0000C6C30000}"/>
    <cellStyle name="Normal 8 2 2 2 3 3 5" xfId="36270" xr:uid="{00000000-0005-0000-0000-0000C7C30000}"/>
    <cellStyle name="Normal 8 2 2 2 3 3 6" xfId="36271" xr:uid="{00000000-0005-0000-0000-0000C8C30000}"/>
    <cellStyle name="Normal 8 2 2 2 3 4" xfId="36272" xr:uid="{00000000-0005-0000-0000-0000C9C30000}"/>
    <cellStyle name="Normal 8 2 2 2 3 4 2" xfId="59870" xr:uid="{00000000-0005-0000-0000-0000CAC30000}"/>
    <cellStyle name="Normal 8 2 2 2 3 4 3" xfId="59871" xr:uid="{00000000-0005-0000-0000-0000CBC30000}"/>
    <cellStyle name="Normal 8 2 2 2 3 5" xfId="36273" xr:uid="{00000000-0005-0000-0000-0000CCC30000}"/>
    <cellStyle name="Normal 8 2 2 2 3 5 2" xfId="59872" xr:uid="{00000000-0005-0000-0000-0000CDC30000}"/>
    <cellStyle name="Normal 8 2 2 2 3 6" xfId="36274" xr:uid="{00000000-0005-0000-0000-0000CEC30000}"/>
    <cellStyle name="Normal 8 2 2 2 3 7" xfId="36275" xr:uid="{00000000-0005-0000-0000-0000CFC30000}"/>
    <cellStyle name="Normal 8 2 2 2 3 8" xfId="36276" xr:uid="{00000000-0005-0000-0000-0000D0C30000}"/>
    <cellStyle name="Normal 8 2 2 2 4" xfId="36277" xr:uid="{00000000-0005-0000-0000-0000D1C30000}"/>
    <cellStyle name="Normal 8 2 2 2 4 2" xfId="36278" xr:uid="{00000000-0005-0000-0000-0000D2C30000}"/>
    <cellStyle name="Normal 8 2 2 2 4 2 2" xfId="36279" xr:uid="{00000000-0005-0000-0000-0000D3C30000}"/>
    <cellStyle name="Normal 8 2 2 2 4 2 2 2" xfId="59873" xr:uid="{00000000-0005-0000-0000-0000D4C30000}"/>
    <cellStyle name="Normal 8 2 2 2 4 2 2 3" xfId="59874" xr:uid="{00000000-0005-0000-0000-0000D5C30000}"/>
    <cellStyle name="Normal 8 2 2 2 4 2 3" xfId="36280" xr:uid="{00000000-0005-0000-0000-0000D6C30000}"/>
    <cellStyle name="Normal 8 2 2 2 4 2 3 2" xfId="59875" xr:uid="{00000000-0005-0000-0000-0000D7C30000}"/>
    <cellStyle name="Normal 8 2 2 2 4 2 4" xfId="36281" xr:uid="{00000000-0005-0000-0000-0000D8C30000}"/>
    <cellStyle name="Normal 8 2 2 2 4 2 5" xfId="36282" xr:uid="{00000000-0005-0000-0000-0000D9C30000}"/>
    <cellStyle name="Normal 8 2 2 2 4 2 6" xfId="36283" xr:uid="{00000000-0005-0000-0000-0000DAC30000}"/>
    <cellStyle name="Normal 8 2 2 2 4 3" xfId="36284" xr:uid="{00000000-0005-0000-0000-0000DBC30000}"/>
    <cellStyle name="Normal 8 2 2 2 4 3 2" xfId="59876" xr:uid="{00000000-0005-0000-0000-0000DCC30000}"/>
    <cellStyle name="Normal 8 2 2 2 4 3 3" xfId="59877" xr:uid="{00000000-0005-0000-0000-0000DDC30000}"/>
    <cellStyle name="Normal 8 2 2 2 4 4" xfId="36285" xr:uid="{00000000-0005-0000-0000-0000DEC30000}"/>
    <cellStyle name="Normal 8 2 2 2 4 4 2" xfId="59878" xr:uid="{00000000-0005-0000-0000-0000DFC30000}"/>
    <cellStyle name="Normal 8 2 2 2 4 5" xfId="36286" xr:uid="{00000000-0005-0000-0000-0000E0C30000}"/>
    <cellStyle name="Normal 8 2 2 2 4 6" xfId="36287" xr:uid="{00000000-0005-0000-0000-0000E1C30000}"/>
    <cellStyle name="Normal 8 2 2 2 4 7" xfId="36288" xr:uid="{00000000-0005-0000-0000-0000E2C30000}"/>
    <cellStyle name="Normal 8 2 2 2 5" xfId="36289" xr:uid="{00000000-0005-0000-0000-0000E3C30000}"/>
    <cellStyle name="Normal 8 2 2 2 5 2" xfId="36290" xr:uid="{00000000-0005-0000-0000-0000E4C30000}"/>
    <cellStyle name="Normal 8 2 2 2 5 2 2" xfId="59879" xr:uid="{00000000-0005-0000-0000-0000E5C30000}"/>
    <cellStyle name="Normal 8 2 2 2 5 2 3" xfId="59880" xr:uid="{00000000-0005-0000-0000-0000E6C30000}"/>
    <cellStyle name="Normal 8 2 2 2 5 3" xfId="36291" xr:uid="{00000000-0005-0000-0000-0000E7C30000}"/>
    <cellStyle name="Normal 8 2 2 2 5 3 2" xfId="59881" xr:uid="{00000000-0005-0000-0000-0000E8C30000}"/>
    <cellStyle name="Normal 8 2 2 2 5 4" xfId="36292" xr:uid="{00000000-0005-0000-0000-0000E9C30000}"/>
    <cellStyle name="Normal 8 2 2 2 5 5" xfId="36293" xr:uid="{00000000-0005-0000-0000-0000EAC30000}"/>
    <cellStyle name="Normal 8 2 2 2 5 6" xfId="36294" xr:uid="{00000000-0005-0000-0000-0000EBC30000}"/>
    <cellStyle name="Normal 8 2 2 2 6" xfId="36295" xr:uid="{00000000-0005-0000-0000-0000ECC30000}"/>
    <cellStyle name="Normal 8 2 2 2 6 2" xfId="59882" xr:uid="{00000000-0005-0000-0000-0000EDC30000}"/>
    <cellStyle name="Normal 8 2 2 2 6 3" xfId="59883" xr:uid="{00000000-0005-0000-0000-0000EEC30000}"/>
    <cellStyle name="Normal 8 2 2 2 7" xfId="36296" xr:uid="{00000000-0005-0000-0000-0000EFC30000}"/>
    <cellStyle name="Normal 8 2 2 2 7 2" xfId="59884" xr:uid="{00000000-0005-0000-0000-0000F0C30000}"/>
    <cellStyle name="Normal 8 2 2 2 8" xfId="36297" xr:uid="{00000000-0005-0000-0000-0000F1C30000}"/>
    <cellStyle name="Normal 8 2 2 2 9" xfId="36298" xr:uid="{00000000-0005-0000-0000-0000F2C30000}"/>
    <cellStyle name="Normal 8 2 2 3" xfId="36299" xr:uid="{00000000-0005-0000-0000-0000F3C30000}"/>
    <cellStyle name="Normal 8 2 2 3 2" xfId="36300" xr:uid="{00000000-0005-0000-0000-0000F4C30000}"/>
    <cellStyle name="Normal 8 2 2 3 2 2" xfId="36301" xr:uid="{00000000-0005-0000-0000-0000F5C30000}"/>
    <cellStyle name="Normal 8 2 2 3 2 2 2" xfId="36302" xr:uid="{00000000-0005-0000-0000-0000F6C30000}"/>
    <cellStyle name="Normal 8 2 2 3 2 2 2 2" xfId="59885" xr:uid="{00000000-0005-0000-0000-0000F7C30000}"/>
    <cellStyle name="Normal 8 2 2 3 2 2 2 3" xfId="59886" xr:uid="{00000000-0005-0000-0000-0000F8C30000}"/>
    <cellStyle name="Normal 8 2 2 3 2 2 3" xfId="36303" xr:uid="{00000000-0005-0000-0000-0000F9C30000}"/>
    <cellStyle name="Normal 8 2 2 3 2 2 3 2" xfId="59887" xr:uid="{00000000-0005-0000-0000-0000FAC30000}"/>
    <cellStyle name="Normal 8 2 2 3 2 2 4" xfId="36304" xr:uid="{00000000-0005-0000-0000-0000FBC30000}"/>
    <cellStyle name="Normal 8 2 2 3 2 2 5" xfId="36305" xr:uid="{00000000-0005-0000-0000-0000FCC30000}"/>
    <cellStyle name="Normal 8 2 2 3 2 2 6" xfId="36306" xr:uid="{00000000-0005-0000-0000-0000FDC30000}"/>
    <cellStyle name="Normal 8 2 2 3 2 3" xfId="36307" xr:uid="{00000000-0005-0000-0000-0000FEC30000}"/>
    <cellStyle name="Normal 8 2 2 3 2 3 2" xfId="59888" xr:uid="{00000000-0005-0000-0000-0000FFC30000}"/>
    <cellStyle name="Normal 8 2 2 3 2 3 3" xfId="59889" xr:uid="{00000000-0005-0000-0000-000000C40000}"/>
    <cellStyle name="Normal 8 2 2 3 2 4" xfId="36308" xr:uid="{00000000-0005-0000-0000-000001C40000}"/>
    <cellStyle name="Normal 8 2 2 3 2 4 2" xfId="59890" xr:uid="{00000000-0005-0000-0000-000002C40000}"/>
    <cellStyle name="Normal 8 2 2 3 2 5" xfId="36309" xr:uid="{00000000-0005-0000-0000-000003C40000}"/>
    <cellStyle name="Normal 8 2 2 3 2 6" xfId="36310" xr:uid="{00000000-0005-0000-0000-000004C40000}"/>
    <cellStyle name="Normal 8 2 2 3 2 7" xfId="36311" xr:uid="{00000000-0005-0000-0000-000005C40000}"/>
    <cellStyle name="Normal 8 2 2 3 3" xfId="36312" xr:uid="{00000000-0005-0000-0000-000006C40000}"/>
    <cellStyle name="Normal 8 2 2 3 3 2" xfId="36313" xr:uid="{00000000-0005-0000-0000-000007C40000}"/>
    <cellStyle name="Normal 8 2 2 3 3 2 2" xfId="59891" xr:uid="{00000000-0005-0000-0000-000008C40000}"/>
    <cellStyle name="Normal 8 2 2 3 3 2 3" xfId="59892" xr:uid="{00000000-0005-0000-0000-000009C40000}"/>
    <cellStyle name="Normal 8 2 2 3 3 3" xfId="36314" xr:uid="{00000000-0005-0000-0000-00000AC40000}"/>
    <cellStyle name="Normal 8 2 2 3 3 3 2" xfId="59893" xr:uid="{00000000-0005-0000-0000-00000BC40000}"/>
    <cellStyle name="Normal 8 2 2 3 3 4" xfId="36315" xr:uid="{00000000-0005-0000-0000-00000CC40000}"/>
    <cellStyle name="Normal 8 2 2 3 3 5" xfId="36316" xr:uid="{00000000-0005-0000-0000-00000DC40000}"/>
    <cellStyle name="Normal 8 2 2 3 3 6" xfId="36317" xr:uid="{00000000-0005-0000-0000-00000EC40000}"/>
    <cellStyle name="Normal 8 2 2 3 4" xfId="36318" xr:uid="{00000000-0005-0000-0000-00000FC40000}"/>
    <cellStyle name="Normal 8 2 2 3 4 2" xfId="59894" xr:uid="{00000000-0005-0000-0000-000010C40000}"/>
    <cellStyle name="Normal 8 2 2 3 4 3" xfId="59895" xr:uid="{00000000-0005-0000-0000-000011C40000}"/>
    <cellStyle name="Normal 8 2 2 3 5" xfId="36319" xr:uid="{00000000-0005-0000-0000-000012C40000}"/>
    <cellStyle name="Normal 8 2 2 3 5 2" xfId="59896" xr:uid="{00000000-0005-0000-0000-000013C40000}"/>
    <cellStyle name="Normal 8 2 2 3 6" xfId="36320" xr:uid="{00000000-0005-0000-0000-000014C40000}"/>
    <cellStyle name="Normal 8 2 2 3 7" xfId="36321" xr:uid="{00000000-0005-0000-0000-000015C40000}"/>
    <cellStyle name="Normal 8 2 2 3 8" xfId="36322" xr:uid="{00000000-0005-0000-0000-000016C40000}"/>
    <cellStyle name="Normal 8 2 2 3 9" xfId="36323" xr:uid="{00000000-0005-0000-0000-000017C40000}"/>
    <cellStyle name="Normal 8 2 2 4" xfId="36324" xr:uid="{00000000-0005-0000-0000-000018C40000}"/>
    <cellStyle name="Normal 8 2 2 4 2" xfId="36325" xr:uid="{00000000-0005-0000-0000-000019C40000}"/>
    <cellStyle name="Normal 8 2 2 4 2 2" xfId="36326" xr:uid="{00000000-0005-0000-0000-00001AC40000}"/>
    <cellStyle name="Normal 8 2 2 4 2 2 2" xfId="36327" xr:uid="{00000000-0005-0000-0000-00001BC40000}"/>
    <cellStyle name="Normal 8 2 2 4 2 2 2 2" xfId="59897" xr:uid="{00000000-0005-0000-0000-00001CC40000}"/>
    <cellStyle name="Normal 8 2 2 4 2 2 2 3" xfId="59898" xr:uid="{00000000-0005-0000-0000-00001DC40000}"/>
    <cellStyle name="Normal 8 2 2 4 2 2 3" xfId="36328" xr:uid="{00000000-0005-0000-0000-00001EC40000}"/>
    <cellStyle name="Normal 8 2 2 4 2 2 3 2" xfId="59899" xr:uid="{00000000-0005-0000-0000-00001FC40000}"/>
    <cellStyle name="Normal 8 2 2 4 2 2 4" xfId="36329" xr:uid="{00000000-0005-0000-0000-000020C40000}"/>
    <cellStyle name="Normal 8 2 2 4 2 2 5" xfId="36330" xr:uid="{00000000-0005-0000-0000-000021C40000}"/>
    <cellStyle name="Normal 8 2 2 4 2 2 6" xfId="36331" xr:uid="{00000000-0005-0000-0000-000022C40000}"/>
    <cellStyle name="Normal 8 2 2 4 2 3" xfId="36332" xr:uid="{00000000-0005-0000-0000-000023C40000}"/>
    <cellStyle name="Normal 8 2 2 4 2 3 2" xfId="59900" xr:uid="{00000000-0005-0000-0000-000024C40000}"/>
    <cellStyle name="Normal 8 2 2 4 2 3 3" xfId="59901" xr:uid="{00000000-0005-0000-0000-000025C40000}"/>
    <cellStyle name="Normal 8 2 2 4 2 4" xfId="36333" xr:uid="{00000000-0005-0000-0000-000026C40000}"/>
    <cellStyle name="Normal 8 2 2 4 2 4 2" xfId="59902" xr:uid="{00000000-0005-0000-0000-000027C40000}"/>
    <cellStyle name="Normal 8 2 2 4 2 5" xfId="36334" xr:uid="{00000000-0005-0000-0000-000028C40000}"/>
    <cellStyle name="Normal 8 2 2 4 2 6" xfId="36335" xr:uid="{00000000-0005-0000-0000-000029C40000}"/>
    <cellStyle name="Normal 8 2 2 4 2 7" xfId="36336" xr:uid="{00000000-0005-0000-0000-00002AC40000}"/>
    <cellStyle name="Normal 8 2 2 4 3" xfId="36337" xr:uid="{00000000-0005-0000-0000-00002BC40000}"/>
    <cellStyle name="Normal 8 2 2 4 3 2" xfId="36338" xr:uid="{00000000-0005-0000-0000-00002CC40000}"/>
    <cellStyle name="Normal 8 2 2 4 3 2 2" xfId="59903" xr:uid="{00000000-0005-0000-0000-00002DC40000}"/>
    <cellStyle name="Normal 8 2 2 4 3 2 3" xfId="59904" xr:uid="{00000000-0005-0000-0000-00002EC40000}"/>
    <cellStyle name="Normal 8 2 2 4 3 3" xfId="36339" xr:uid="{00000000-0005-0000-0000-00002FC40000}"/>
    <cellStyle name="Normal 8 2 2 4 3 3 2" xfId="59905" xr:uid="{00000000-0005-0000-0000-000030C40000}"/>
    <cellStyle name="Normal 8 2 2 4 3 4" xfId="36340" xr:uid="{00000000-0005-0000-0000-000031C40000}"/>
    <cellStyle name="Normal 8 2 2 4 3 5" xfId="36341" xr:uid="{00000000-0005-0000-0000-000032C40000}"/>
    <cellStyle name="Normal 8 2 2 4 3 6" xfId="36342" xr:uid="{00000000-0005-0000-0000-000033C40000}"/>
    <cellStyle name="Normal 8 2 2 4 4" xfId="36343" xr:uid="{00000000-0005-0000-0000-000034C40000}"/>
    <cellStyle name="Normal 8 2 2 4 4 2" xfId="59906" xr:uid="{00000000-0005-0000-0000-000035C40000}"/>
    <cellStyle name="Normal 8 2 2 4 4 3" xfId="59907" xr:uid="{00000000-0005-0000-0000-000036C40000}"/>
    <cellStyle name="Normal 8 2 2 4 5" xfId="36344" xr:uid="{00000000-0005-0000-0000-000037C40000}"/>
    <cellStyle name="Normal 8 2 2 4 5 2" xfId="59908" xr:uid="{00000000-0005-0000-0000-000038C40000}"/>
    <cellStyle name="Normal 8 2 2 4 6" xfId="36345" xr:uid="{00000000-0005-0000-0000-000039C40000}"/>
    <cellStyle name="Normal 8 2 2 4 7" xfId="36346" xr:uid="{00000000-0005-0000-0000-00003AC40000}"/>
    <cellStyle name="Normal 8 2 2 4 8" xfId="36347" xr:uid="{00000000-0005-0000-0000-00003BC40000}"/>
    <cellStyle name="Normal 8 2 2 5" xfId="36348" xr:uid="{00000000-0005-0000-0000-00003CC40000}"/>
    <cellStyle name="Normal 8 2 2 5 2" xfId="36349" xr:uid="{00000000-0005-0000-0000-00003DC40000}"/>
    <cellStyle name="Normal 8 2 2 5 2 2" xfId="36350" xr:uid="{00000000-0005-0000-0000-00003EC40000}"/>
    <cellStyle name="Normal 8 2 2 5 2 2 2" xfId="59909" xr:uid="{00000000-0005-0000-0000-00003FC40000}"/>
    <cellStyle name="Normal 8 2 2 5 2 2 3" xfId="59910" xr:uid="{00000000-0005-0000-0000-000040C40000}"/>
    <cellStyle name="Normal 8 2 2 5 2 3" xfId="36351" xr:uid="{00000000-0005-0000-0000-000041C40000}"/>
    <cellStyle name="Normal 8 2 2 5 2 3 2" xfId="59911" xr:uid="{00000000-0005-0000-0000-000042C40000}"/>
    <cellStyle name="Normal 8 2 2 5 2 4" xfId="36352" xr:uid="{00000000-0005-0000-0000-000043C40000}"/>
    <cellStyle name="Normal 8 2 2 5 2 5" xfId="36353" xr:uid="{00000000-0005-0000-0000-000044C40000}"/>
    <cellStyle name="Normal 8 2 2 5 2 6" xfId="36354" xr:uid="{00000000-0005-0000-0000-000045C40000}"/>
    <cellStyle name="Normal 8 2 2 5 3" xfId="36355" xr:uid="{00000000-0005-0000-0000-000046C40000}"/>
    <cellStyle name="Normal 8 2 2 5 3 2" xfId="59912" xr:uid="{00000000-0005-0000-0000-000047C40000}"/>
    <cellStyle name="Normal 8 2 2 5 3 3" xfId="59913" xr:uid="{00000000-0005-0000-0000-000048C40000}"/>
    <cellStyle name="Normal 8 2 2 5 4" xfId="36356" xr:uid="{00000000-0005-0000-0000-000049C40000}"/>
    <cellStyle name="Normal 8 2 2 5 4 2" xfId="59914" xr:uid="{00000000-0005-0000-0000-00004AC40000}"/>
    <cellStyle name="Normal 8 2 2 5 5" xfId="36357" xr:uid="{00000000-0005-0000-0000-00004BC40000}"/>
    <cellStyle name="Normal 8 2 2 5 6" xfId="36358" xr:uid="{00000000-0005-0000-0000-00004CC40000}"/>
    <cellStyle name="Normal 8 2 2 5 7" xfId="36359" xr:uid="{00000000-0005-0000-0000-00004DC40000}"/>
    <cellStyle name="Normal 8 2 2 6" xfId="36360" xr:uid="{00000000-0005-0000-0000-00004EC40000}"/>
    <cellStyle name="Normal 8 2 2 6 2" xfId="36361" xr:uid="{00000000-0005-0000-0000-00004FC40000}"/>
    <cellStyle name="Normal 8 2 2 6 2 2" xfId="59915" xr:uid="{00000000-0005-0000-0000-000050C40000}"/>
    <cellStyle name="Normal 8 2 2 6 2 3" xfId="59916" xr:uid="{00000000-0005-0000-0000-000051C40000}"/>
    <cellStyle name="Normal 8 2 2 6 3" xfId="36362" xr:uid="{00000000-0005-0000-0000-000052C40000}"/>
    <cellStyle name="Normal 8 2 2 6 3 2" xfId="59917" xr:uid="{00000000-0005-0000-0000-000053C40000}"/>
    <cellStyle name="Normal 8 2 2 6 4" xfId="36363" xr:uid="{00000000-0005-0000-0000-000054C40000}"/>
    <cellStyle name="Normal 8 2 2 6 5" xfId="36364" xr:uid="{00000000-0005-0000-0000-000055C40000}"/>
    <cellStyle name="Normal 8 2 2 6 6" xfId="36365" xr:uid="{00000000-0005-0000-0000-000056C40000}"/>
    <cellStyle name="Normal 8 2 2 7" xfId="36366" xr:uid="{00000000-0005-0000-0000-000057C40000}"/>
    <cellStyle name="Normal 8 2 2 7 2" xfId="59918" xr:uid="{00000000-0005-0000-0000-000058C40000}"/>
    <cellStyle name="Normal 8 2 2 7 3" xfId="59919" xr:uid="{00000000-0005-0000-0000-000059C40000}"/>
    <cellStyle name="Normal 8 2 2 8" xfId="36367" xr:uid="{00000000-0005-0000-0000-00005AC40000}"/>
    <cellStyle name="Normal 8 2 2 8 2" xfId="59920" xr:uid="{00000000-0005-0000-0000-00005BC40000}"/>
    <cellStyle name="Normal 8 2 2 9" xfId="36368" xr:uid="{00000000-0005-0000-0000-00005CC40000}"/>
    <cellStyle name="Normal 8 2 2 9 2" xfId="59921" xr:uid="{00000000-0005-0000-0000-00005DC40000}"/>
    <cellStyle name="Normal 8 2 20" xfId="36369" xr:uid="{00000000-0005-0000-0000-00005EC40000}"/>
    <cellStyle name="Normal 8 2 3" xfId="36370" xr:uid="{00000000-0005-0000-0000-00005FC40000}"/>
    <cellStyle name="Normal 8 2 3 10" xfId="36371" xr:uid="{00000000-0005-0000-0000-000060C40000}"/>
    <cellStyle name="Normal 8 2 3 11" xfId="36372" xr:uid="{00000000-0005-0000-0000-000061C40000}"/>
    <cellStyle name="Normal 8 2 3 12" xfId="36373" xr:uid="{00000000-0005-0000-0000-000062C40000}"/>
    <cellStyle name="Normal 8 2 3 13" xfId="36374" xr:uid="{00000000-0005-0000-0000-000063C40000}"/>
    <cellStyle name="Normal 8 2 3 14" xfId="36375" xr:uid="{00000000-0005-0000-0000-000064C40000}"/>
    <cellStyle name="Normal 8 2 3 15" xfId="36376" xr:uid="{00000000-0005-0000-0000-000065C40000}"/>
    <cellStyle name="Normal 8 2 3 16" xfId="36377" xr:uid="{00000000-0005-0000-0000-000066C40000}"/>
    <cellStyle name="Normal 8 2 3 2" xfId="36378" xr:uid="{00000000-0005-0000-0000-000067C40000}"/>
    <cellStyle name="Normal 8 2 3 2 10" xfId="36379" xr:uid="{00000000-0005-0000-0000-000068C40000}"/>
    <cellStyle name="Normal 8 2 3 2 11" xfId="36380" xr:uid="{00000000-0005-0000-0000-000069C40000}"/>
    <cellStyle name="Normal 8 2 3 2 12" xfId="36381" xr:uid="{00000000-0005-0000-0000-00006AC40000}"/>
    <cellStyle name="Normal 8 2 3 2 13" xfId="36382" xr:uid="{00000000-0005-0000-0000-00006BC40000}"/>
    <cellStyle name="Normal 8 2 3 2 14" xfId="36383" xr:uid="{00000000-0005-0000-0000-00006CC40000}"/>
    <cellStyle name="Normal 8 2 3 2 2" xfId="36384" xr:uid="{00000000-0005-0000-0000-00006DC40000}"/>
    <cellStyle name="Normal 8 2 3 2 2 2" xfId="36385" xr:uid="{00000000-0005-0000-0000-00006EC40000}"/>
    <cellStyle name="Normal 8 2 3 2 2 2 2" xfId="36386" xr:uid="{00000000-0005-0000-0000-00006FC40000}"/>
    <cellStyle name="Normal 8 2 3 2 2 2 2 2" xfId="36387" xr:uid="{00000000-0005-0000-0000-000070C40000}"/>
    <cellStyle name="Normal 8 2 3 2 2 2 2 2 2" xfId="59922" xr:uid="{00000000-0005-0000-0000-000071C40000}"/>
    <cellStyle name="Normal 8 2 3 2 2 2 2 2 3" xfId="59923" xr:uid="{00000000-0005-0000-0000-000072C40000}"/>
    <cellStyle name="Normal 8 2 3 2 2 2 2 3" xfId="36388" xr:uid="{00000000-0005-0000-0000-000073C40000}"/>
    <cellStyle name="Normal 8 2 3 2 2 2 2 3 2" xfId="59924" xr:uid="{00000000-0005-0000-0000-000074C40000}"/>
    <cellStyle name="Normal 8 2 3 2 2 2 2 4" xfId="36389" xr:uid="{00000000-0005-0000-0000-000075C40000}"/>
    <cellStyle name="Normal 8 2 3 2 2 2 2 5" xfId="36390" xr:uid="{00000000-0005-0000-0000-000076C40000}"/>
    <cellStyle name="Normal 8 2 3 2 2 2 2 6" xfId="36391" xr:uid="{00000000-0005-0000-0000-000077C40000}"/>
    <cellStyle name="Normal 8 2 3 2 2 2 3" xfId="36392" xr:uid="{00000000-0005-0000-0000-000078C40000}"/>
    <cellStyle name="Normal 8 2 3 2 2 2 3 2" xfId="59925" xr:uid="{00000000-0005-0000-0000-000079C40000}"/>
    <cellStyle name="Normal 8 2 3 2 2 2 3 3" xfId="59926" xr:uid="{00000000-0005-0000-0000-00007AC40000}"/>
    <cellStyle name="Normal 8 2 3 2 2 2 4" xfId="36393" xr:uid="{00000000-0005-0000-0000-00007BC40000}"/>
    <cellStyle name="Normal 8 2 3 2 2 2 4 2" xfId="59927" xr:uid="{00000000-0005-0000-0000-00007CC40000}"/>
    <cellStyle name="Normal 8 2 3 2 2 2 5" xfId="36394" xr:uid="{00000000-0005-0000-0000-00007DC40000}"/>
    <cellStyle name="Normal 8 2 3 2 2 2 6" xfId="36395" xr:uid="{00000000-0005-0000-0000-00007EC40000}"/>
    <cellStyle name="Normal 8 2 3 2 2 2 7" xfId="36396" xr:uid="{00000000-0005-0000-0000-00007FC40000}"/>
    <cellStyle name="Normal 8 2 3 2 2 3" xfId="36397" xr:uid="{00000000-0005-0000-0000-000080C40000}"/>
    <cellStyle name="Normal 8 2 3 2 2 3 2" xfId="36398" xr:uid="{00000000-0005-0000-0000-000081C40000}"/>
    <cellStyle name="Normal 8 2 3 2 2 3 2 2" xfId="59928" xr:uid="{00000000-0005-0000-0000-000082C40000}"/>
    <cellStyle name="Normal 8 2 3 2 2 3 2 3" xfId="59929" xr:uid="{00000000-0005-0000-0000-000083C40000}"/>
    <cellStyle name="Normal 8 2 3 2 2 3 3" xfId="36399" xr:uid="{00000000-0005-0000-0000-000084C40000}"/>
    <cellStyle name="Normal 8 2 3 2 2 3 3 2" xfId="59930" xr:uid="{00000000-0005-0000-0000-000085C40000}"/>
    <cellStyle name="Normal 8 2 3 2 2 3 4" xfId="36400" xr:uid="{00000000-0005-0000-0000-000086C40000}"/>
    <cellStyle name="Normal 8 2 3 2 2 3 5" xfId="36401" xr:uid="{00000000-0005-0000-0000-000087C40000}"/>
    <cellStyle name="Normal 8 2 3 2 2 3 6" xfId="36402" xr:uid="{00000000-0005-0000-0000-000088C40000}"/>
    <cellStyle name="Normal 8 2 3 2 2 4" xfId="36403" xr:uid="{00000000-0005-0000-0000-000089C40000}"/>
    <cellStyle name="Normal 8 2 3 2 2 4 2" xfId="59931" xr:uid="{00000000-0005-0000-0000-00008AC40000}"/>
    <cellStyle name="Normal 8 2 3 2 2 4 3" xfId="59932" xr:uid="{00000000-0005-0000-0000-00008BC40000}"/>
    <cellStyle name="Normal 8 2 3 2 2 5" xfId="36404" xr:uid="{00000000-0005-0000-0000-00008CC40000}"/>
    <cellStyle name="Normal 8 2 3 2 2 5 2" xfId="59933" xr:uid="{00000000-0005-0000-0000-00008DC40000}"/>
    <cellStyle name="Normal 8 2 3 2 2 6" xfId="36405" xr:uid="{00000000-0005-0000-0000-00008EC40000}"/>
    <cellStyle name="Normal 8 2 3 2 2 7" xfId="36406" xr:uid="{00000000-0005-0000-0000-00008FC40000}"/>
    <cellStyle name="Normal 8 2 3 2 2 8" xfId="36407" xr:uid="{00000000-0005-0000-0000-000090C40000}"/>
    <cellStyle name="Normal 8 2 3 2 2 9" xfId="36408" xr:uid="{00000000-0005-0000-0000-000091C40000}"/>
    <cellStyle name="Normal 8 2 3 2 3" xfId="36409" xr:uid="{00000000-0005-0000-0000-000092C40000}"/>
    <cellStyle name="Normal 8 2 3 2 3 2" xfId="36410" xr:uid="{00000000-0005-0000-0000-000093C40000}"/>
    <cellStyle name="Normal 8 2 3 2 3 2 2" xfId="36411" xr:uid="{00000000-0005-0000-0000-000094C40000}"/>
    <cellStyle name="Normal 8 2 3 2 3 2 2 2" xfId="36412" xr:uid="{00000000-0005-0000-0000-000095C40000}"/>
    <cellStyle name="Normal 8 2 3 2 3 2 2 2 2" xfId="59934" xr:uid="{00000000-0005-0000-0000-000096C40000}"/>
    <cellStyle name="Normal 8 2 3 2 3 2 2 2 3" xfId="59935" xr:uid="{00000000-0005-0000-0000-000097C40000}"/>
    <cellStyle name="Normal 8 2 3 2 3 2 2 3" xfId="36413" xr:uid="{00000000-0005-0000-0000-000098C40000}"/>
    <cellStyle name="Normal 8 2 3 2 3 2 2 3 2" xfId="59936" xr:uid="{00000000-0005-0000-0000-000099C40000}"/>
    <cellStyle name="Normal 8 2 3 2 3 2 2 4" xfId="36414" xr:uid="{00000000-0005-0000-0000-00009AC40000}"/>
    <cellStyle name="Normal 8 2 3 2 3 2 2 5" xfId="36415" xr:uid="{00000000-0005-0000-0000-00009BC40000}"/>
    <cellStyle name="Normal 8 2 3 2 3 2 2 6" xfId="36416" xr:uid="{00000000-0005-0000-0000-00009CC40000}"/>
    <cellStyle name="Normal 8 2 3 2 3 2 3" xfId="36417" xr:uid="{00000000-0005-0000-0000-00009DC40000}"/>
    <cellStyle name="Normal 8 2 3 2 3 2 3 2" xfId="59937" xr:uid="{00000000-0005-0000-0000-00009EC40000}"/>
    <cellStyle name="Normal 8 2 3 2 3 2 3 3" xfId="59938" xr:uid="{00000000-0005-0000-0000-00009FC40000}"/>
    <cellStyle name="Normal 8 2 3 2 3 2 4" xfId="36418" xr:uid="{00000000-0005-0000-0000-0000A0C40000}"/>
    <cellStyle name="Normal 8 2 3 2 3 2 4 2" xfId="59939" xr:uid="{00000000-0005-0000-0000-0000A1C40000}"/>
    <cellStyle name="Normal 8 2 3 2 3 2 5" xfId="36419" xr:uid="{00000000-0005-0000-0000-0000A2C40000}"/>
    <cellStyle name="Normal 8 2 3 2 3 2 6" xfId="36420" xr:uid="{00000000-0005-0000-0000-0000A3C40000}"/>
    <cellStyle name="Normal 8 2 3 2 3 2 7" xfId="36421" xr:uid="{00000000-0005-0000-0000-0000A4C40000}"/>
    <cellStyle name="Normal 8 2 3 2 3 3" xfId="36422" xr:uid="{00000000-0005-0000-0000-0000A5C40000}"/>
    <cellStyle name="Normal 8 2 3 2 3 3 2" xfId="36423" xr:uid="{00000000-0005-0000-0000-0000A6C40000}"/>
    <cellStyle name="Normal 8 2 3 2 3 3 2 2" xfId="59940" xr:uid="{00000000-0005-0000-0000-0000A7C40000}"/>
    <cellStyle name="Normal 8 2 3 2 3 3 2 3" xfId="59941" xr:uid="{00000000-0005-0000-0000-0000A8C40000}"/>
    <cellStyle name="Normal 8 2 3 2 3 3 3" xfId="36424" xr:uid="{00000000-0005-0000-0000-0000A9C40000}"/>
    <cellStyle name="Normal 8 2 3 2 3 3 3 2" xfId="59942" xr:uid="{00000000-0005-0000-0000-0000AAC40000}"/>
    <cellStyle name="Normal 8 2 3 2 3 3 4" xfId="36425" xr:uid="{00000000-0005-0000-0000-0000ABC40000}"/>
    <cellStyle name="Normal 8 2 3 2 3 3 5" xfId="36426" xr:uid="{00000000-0005-0000-0000-0000ACC40000}"/>
    <cellStyle name="Normal 8 2 3 2 3 3 6" xfId="36427" xr:uid="{00000000-0005-0000-0000-0000ADC40000}"/>
    <cellStyle name="Normal 8 2 3 2 3 4" xfId="36428" xr:uid="{00000000-0005-0000-0000-0000AEC40000}"/>
    <cellStyle name="Normal 8 2 3 2 3 4 2" xfId="59943" xr:uid="{00000000-0005-0000-0000-0000AFC40000}"/>
    <cellStyle name="Normal 8 2 3 2 3 4 3" xfId="59944" xr:uid="{00000000-0005-0000-0000-0000B0C40000}"/>
    <cellStyle name="Normal 8 2 3 2 3 5" xfId="36429" xr:uid="{00000000-0005-0000-0000-0000B1C40000}"/>
    <cellStyle name="Normal 8 2 3 2 3 5 2" xfId="59945" xr:uid="{00000000-0005-0000-0000-0000B2C40000}"/>
    <cellStyle name="Normal 8 2 3 2 3 6" xfId="36430" xr:uid="{00000000-0005-0000-0000-0000B3C40000}"/>
    <cellStyle name="Normal 8 2 3 2 3 7" xfId="36431" xr:uid="{00000000-0005-0000-0000-0000B4C40000}"/>
    <cellStyle name="Normal 8 2 3 2 3 8" xfId="36432" xr:uid="{00000000-0005-0000-0000-0000B5C40000}"/>
    <cellStyle name="Normal 8 2 3 2 4" xfId="36433" xr:uid="{00000000-0005-0000-0000-0000B6C40000}"/>
    <cellStyle name="Normal 8 2 3 2 4 2" xfId="36434" xr:uid="{00000000-0005-0000-0000-0000B7C40000}"/>
    <cellStyle name="Normal 8 2 3 2 4 2 2" xfId="36435" xr:uid="{00000000-0005-0000-0000-0000B8C40000}"/>
    <cellStyle name="Normal 8 2 3 2 4 2 2 2" xfId="59946" xr:uid="{00000000-0005-0000-0000-0000B9C40000}"/>
    <cellStyle name="Normal 8 2 3 2 4 2 2 3" xfId="59947" xr:uid="{00000000-0005-0000-0000-0000BAC40000}"/>
    <cellStyle name="Normal 8 2 3 2 4 2 3" xfId="36436" xr:uid="{00000000-0005-0000-0000-0000BBC40000}"/>
    <cellStyle name="Normal 8 2 3 2 4 2 3 2" xfId="59948" xr:uid="{00000000-0005-0000-0000-0000BCC40000}"/>
    <cellStyle name="Normal 8 2 3 2 4 2 4" xfId="36437" xr:uid="{00000000-0005-0000-0000-0000BDC40000}"/>
    <cellStyle name="Normal 8 2 3 2 4 2 5" xfId="36438" xr:uid="{00000000-0005-0000-0000-0000BEC40000}"/>
    <cellStyle name="Normal 8 2 3 2 4 2 6" xfId="36439" xr:uid="{00000000-0005-0000-0000-0000BFC40000}"/>
    <cellStyle name="Normal 8 2 3 2 4 3" xfId="36440" xr:uid="{00000000-0005-0000-0000-0000C0C40000}"/>
    <cellStyle name="Normal 8 2 3 2 4 3 2" xfId="59949" xr:uid="{00000000-0005-0000-0000-0000C1C40000}"/>
    <cellStyle name="Normal 8 2 3 2 4 3 3" xfId="59950" xr:uid="{00000000-0005-0000-0000-0000C2C40000}"/>
    <cellStyle name="Normal 8 2 3 2 4 4" xfId="36441" xr:uid="{00000000-0005-0000-0000-0000C3C40000}"/>
    <cellStyle name="Normal 8 2 3 2 4 4 2" xfId="59951" xr:uid="{00000000-0005-0000-0000-0000C4C40000}"/>
    <cellStyle name="Normal 8 2 3 2 4 5" xfId="36442" xr:uid="{00000000-0005-0000-0000-0000C5C40000}"/>
    <cellStyle name="Normal 8 2 3 2 4 6" xfId="36443" xr:uid="{00000000-0005-0000-0000-0000C6C40000}"/>
    <cellStyle name="Normal 8 2 3 2 4 7" xfId="36444" xr:uid="{00000000-0005-0000-0000-0000C7C40000}"/>
    <cellStyle name="Normal 8 2 3 2 5" xfId="36445" xr:uid="{00000000-0005-0000-0000-0000C8C40000}"/>
    <cellStyle name="Normal 8 2 3 2 5 2" xfId="36446" xr:uid="{00000000-0005-0000-0000-0000C9C40000}"/>
    <cellStyle name="Normal 8 2 3 2 5 2 2" xfId="59952" xr:uid="{00000000-0005-0000-0000-0000CAC40000}"/>
    <cellStyle name="Normal 8 2 3 2 5 2 3" xfId="59953" xr:uid="{00000000-0005-0000-0000-0000CBC40000}"/>
    <cellStyle name="Normal 8 2 3 2 5 3" xfId="36447" xr:uid="{00000000-0005-0000-0000-0000CCC40000}"/>
    <cellStyle name="Normal 8 2 3 2 5 3 2" xfId="59954" xr:uid="{00000000-0005-0000-0000-0000CDC40000}"/>
    <cellStyle name="Normal 8 2 3 2 5 4" xfId="36448" xr:uid="{00000000-0005-0000-0000-0000CEC40000}"/>
    <cellStyle name="Normal 8 2 3 2 5 5" xfId="36449" xr:uid="{00000000-0005-0000-0000-0000CFC40000}"/>
    <cellStyle name="Normal 8 2 3 2 5 6" xfId="36450" xr:uid="{00000000-0005-0000-0000-0000D0C40000}"/>
    <cellStyle name="Normal 8 2 3 2 6" xfId="36451" xr:uid="{00000000-0005-0000-0000-0000D1C40000}"/>
    <cellStyle name="Normal 8 2 3 2 6 2" xfId="59955" xr:uid="{00000000-0005-0000-0000-0000D2C40000}"/>
    <cellStyle name="Normal 8 2 3 2 6 3" xfId="59956" xr:uid="{00000000-0005-0000-0000-0000D3C40000}"/>
    <cellStyle name="Normal 8 2 3 2 7" xfId="36452" xr:uid="{00000000-0005-0000-0000-0000D4C40000}"/>
    <cellStyle name="Normal 8 2 3 2 7 2" xfId="59957" xr:uid="{00000000-0005-0000-0000-0000D5C40000}"/>
    <cellStyle name="Normal 8 2 3 2 8" xfId="36453" xr:uid="{00000000-0005-0000-0000-0000D6C40000}"/>
    <cellStyle name="Normal 8 2 3 2 9" xfId="36454" xr:uid="{00000000-0005-0000-0000-0000D7C40000}"/>
    <cellStyle name="Normal 8 2 3 3" xfId="36455" xr:uid="{00000000-0005-0000-0000-0000D8C40000}"/>
    <cellStyle name="Normal 8 2 3 3 2" xfId="36456" xr:uid="{00000000-0005-0000-0000-0000D9C40000}"/>
    <cellStyle name="Normal 8 2 3 3 2 2" xfId="36457" xr:uid="{00000000-0005-0000-0000-0000DAC40000}"/>
    <cellStyle name="Normal 8 2 3 3 2 2 2" xfId="36458" xr:uid="{00000000-0005-0000-0000-0000DBC40000}"/>
    <cellStyle name="Normal 8 2 3 3 2 2 2 2" xfId="59958" xr:uid="{00000000-0005-0000-0000-0000DCC40000}"/>
    <cellStyle name="Normal 8 2 3 3 2 2 2 3" xfId="59959" xr:uid="{00000000-0005-0000-0000-0000DDC40000}"/>
    <cellStyle name="Normal 8 2 3 3 2 2 3" xfId="36459" xr:uid="{00000000-0005-0000-0000-0000DEC40000}"/>
    <cellStyle name="Normal 8 2 3 3 2 2 3 2" xfId="59960" xr:uid="{00000000-0005-0000-0000-0000DFC40000}"/>
    <cellStyle name="Normal 8 2 3 3 2 2 4" xfId="36460" xr:uid="{00000000-0005-0000-0000-0000E0C40000}"/>
    <cellStyle name="Normal 8 2 3 3 2 2 5" xfId="36461" xr:uid="{00000000-0005-0000-0000-0000E1C40000}"/>
    <cellStyle name="Normal 8 2 3 3 2 2 6" xfId="36462" xr:uid="{00000000-0005-0000-0000-0000E2C40000}"/>
    <cellStyle name="Normal 8 2 3 3 2 3" xfId="36463" xr:uid="{00000000-0005-0000-0000-0000E3C40000}"/>
    <cellStyle name="Normal 8 2 3 3 2 3 2" xfId="59961" xr:uid="{00000000-0005-0000-0000-0000E4C40000}"/>
    <cellStyle name="Normal 8 2 3 3 2 3 3" xfId="59962" xr:uid="{00000000-0005-0000-0000-0000E5C40000}"/>
    <cellStyle name="Normal 8 2 3 3 2 4" xfId="36464" xr:uid="{00000000-0005-0000-0000-0000E6C40000}"/>
    <cellStyle name="Normal 8 2 3 3 2 4 2" xfId="59963" xr:uid="{00000000-0005-0000-0000-0000E7C40000}"/>
    <cellStyle name="Normal 8 2 3 3 2 5" xfId="36465" xr:uid="{00000000-0005-0000-0000-0000E8C40000}"/>
    <cellStyle name="Normal 8 2 3 3 2 6" xfId="36466" xr:uid="{00000000-0005-0000-0000-0000E9C40000}"/>
    <cellStyle name="Normal 8 2 3 3 2 7" xfId="36467" xr:uid="{00000000-0005-0000-0000-0000EAC40000}"/>
    <cellStyle name="Normal 8 2 3 3 3" xfId="36468" xr:uid="{00000000-0005-0000-0000-0000EBC40000}"/>
    <cellStyle name="Normal 8 2 3 3 3 2" xfId="36469" xr:uid="{00000000-0005-0000-0000-0000ECC40000}"/>
    <cellStyle name="Normal 8 2 3 3 3 2 2" xfId="59964" xr:uid="{00000000-0005-0000-0000-0000EDC40000}"/>
    <cellStyle name="Normal 8 2 3 3 3 2 3" xfId="59965" xr:uid="{00000000-0005-0000-0000-0000EEC40000}"/>
    <cellStyle name="Normal 8 2 3 3 3 3" xfId="36470" xr:uid="{00000000-0005-0000-0000-0000EFC40000}"/>
    <cellStyle name="Normal 8 2 3 3 3 3 2" xfId="59966" xr:uid="{00000000-0005-0000-0000-0000F0C40000}"/>
    <cellStyle name="Normal 8 2 3 3 3 4" xfId="36471" xr:uid="{00000000-0005-0000-0000-0000F1C40000}"/>
    <cellStyle name="Normal 8 2 3 3 3 5" xfId="36472" xr:uid="{00000000-0005-0000-0000-0000F2C40000}"/>
    <cellStyle name="Normal 8 2 3 3 3 6" xfId="36473" xr:uid="{00000000-0005-0000-0000-0000F3C40000}"/>
    <cellStyle name="Normal 8 2 3 3 4" xfId="36474" xr:uid="{00000000-0005-0000-0000-0000F4C40000}"/>
    <cellStyle name="Normal 8 2 3 3 4 2" xfId="59967" xr:uid="{00000000-0005-0000-0000-0000F5C40000}"/>
    <cellStyle name="Normal 8 2 3 3 4 3" xfId="59968" xr:uid="{00000000-0005-0000-0000-0000F6C40000}"/>
    <cellStyle name="Normal 8 2 3 3 5" xfId="36475" xr:uid="{00000000-0005-0000-0000-0000F7C40000}"/>
    <cellStyle name="Normal 8 2 3 3 5 2" xfId="59969" xr:uid="{00000000-0005-0000-0000-0000F8C40000}"/>
    <cellStyle name="Normal 8 2 3 3 6" xfId="36476" xr:uid="{00000000-0005-0000-0000-0000F9C40000}"/>
    <cellStyle name="Normal 8 2 3 3 7" xfId="36477" xr:uid="{00000000-0005-0000-0000-0000FAC40000}"/>
    <cellStyle name="Normal 8 2 3 3 8" xfId="36478" xr:uid="{00000000-0005-0000-0000-0000FBC40000}"/>
    <cellStyle name="Normal 8 2 3 3 9" xfId="36479" xr:uid="{00000000-0005-0000-0000-0000FCC40000}"/>
    <cellStyle name="Normal 8 2 3 4" xfId="36480" xr:uid="{00000000-0005-0000-0000-0000FDC40000}"/>
    <cellStyle name="Normal 8 2 3 4 2" xfId="36481" xr:uid="{00000000-0005-0000-0000-0000FEC40000}"/>
    <cellStyle name="Normal 8 2 3 4 2 2" xfId="36482" xr:uid="{00000000-0005-0000-0000-0000FFC40000}"/>
    <cellStyle name="Normal 8 2 3 4 2 2 2" xfId="36483" xr:uid="{00000000-0005-0000-0000-000000C50000}"/>
    <cellStyle name="Normal 8 2 3 4 2 2 2 2" xfId="59970" xr:uid="{00000000-0005-0000-0000-000001C50000}"/>
    <cellStyle name="Normal 8 2 3 4 2 2 2 3" xfId="59971" xr:uid="{00000000-0005-0000-0000-000002C50000}"/>
    <cellStyle name="Normal 8 2 3 4 2 2 3" xfId="36484" xr:uid="{00000000-0005-0000-0000-000003C50000}"/>
    <cellStyle name="Normal 8 2 3 4 2 2 3 2" xfId="59972" xr:uid="{00000000-0005-0000-0000-000004C50000}"/>
    <cellStyle name="Normal 8 2 3 4 2 2 4" xfId="36485" xr:uid="{00000000-0005-0000-0000-000005C50000}"/>
    <cellStyle name="Normal 8 2 3 4 2 2 5" xfId="36486" xr:uid="{00000000-0005-0000-0000-000006C50000}"/>
    <cellStyle name="Normal 8 2 3 4 2 2 6" xfId="36487" xr:uid="{00000000-0005-0000-0000-000007C50000}"/>
    <cellStyle name="Normal 8 2 3 4 2 3" xfId="36488" xr:uid="{00000000-0005-0000-0000-000008C50000}"/>
    <cellStyle name="Normal 8 2 3 4 2 3 2" xfId="59973" xr:uid="{00000000-0005-0000-0000-000009C50000}"/>
    <cellStyle name="Normal 8 2 3 4 2 3 3" xfId="59974" xr:uid="{00000000-0005-0000-0000-00000AC50000}"/>
    <cellStyle name="Normal 8 2 3 4 2 4" xfId="36489" xr:uid="{00000000-0005-0000-0000-00000BC50000}"/>
    <cellStyle name="Normal 8 2 3 4 2 4 2" xfId="59975" xr:uid="{00000000-0005-0000-0000-00000CC50000}"/>
    <cellStyle name="Normal 8 2 3 4 2 5" xfId="36490" xr:uid="{00000000-0005-0000-0000-00000DC50000}"/>
    <cellStyle name="Normal 8 2 3 4 2 6" xfId="36491" xr:uid="{00000000-0005-0000-0000-00000EC50000}"/>
    <cellStyle name="Normal 8 2 3 4 2 7" xfId="36492" xr:uid="{00000000-0005-0000-0000-00000FC50000}"/>
    <cellStyle name="Normal 8 2 3 4 3" xfId="36493" xr:uid="{00000000-0005-0000-0000-000010C50000}"/>
    <cellStyle name="Normal 8 2 3 4 3 2" xfId="36494" xr:uid="{00000000-0005-0000-0000-000011C50000}"/>
    <cellStyle name="Normal 8 2 3 4 3 2 2" xfId="59976" xr:uid="{00000000-0005-0000-0000-000012C50000}"/>
    <cellStyle name="Normal 8 2 3 4 3 2 3" xfId="59977" xr:uid="{00000000-0005-0000-0000-000013C50000}"/>
    <cellStyle name="Normal 8 2 3 4 3 3" xfId="36495" xr:uid="{00000000-0005-0000-0000-000014C50000}"/>
    <cellStyle name="Normal 8 2 3 4 3 3 2" xfId="59978" xr:uid="{00000000-0005-0000-0000-000015C50000}"/>
    <cellStyle name="Normal 8 2 3 4 3 4" xfId="36496" xr:uid="{00000000-0005-0000-0000-000016C50000}"/>
    <cellStyle name="Normal 8 2 3 4 3 5" xfId="36497" xr:uid="{00000000-0005-0000-0000-000017C50000}"/>
    <cellStyle name="Normal 8 2 3 4 3 6" xfId="36498" xr:uid="{00000000-0005-0000-0000-000018C50000}"/>
    <cellStyle name="Normal 8 2 3 4 4" xfId="36499" xr:uid="{00000000-0005-0000-0000-000019C50000}"/>
    <cellStyle name="Normal 8 2 3 4 4 2" xfId="59979" xr:uid="{00000000-0005-0000-0000-00001AC50000}"/>
    <cellStyle name="Normal 8 2 3 4 4 3" xfId="59980" xr:uid="{00000000-0005-0000-0000-00001BC50000}"/>
    <cellStyle name="Normal 8 2 3 4 5" xfId="36500" xr:uid="{00000000-0005-0000-0000-00001CC50000}"/>
    <cellStyle name="Normal 8 2 3 4 5 2" xfId="59981" xr:uid="{00000000-0005-0000-0000-00001DC50000}"/>
    <cellStyle name="Normal 8 2 3 4 6" xfId="36501" xr:uid="{00000000-0005-0000-0000-00001EC50000}"/>
    <cellStyle name="Normal 8 2 3 4 7" xfId="36502" xr:uid="{00000000-0005-0000-0000-00001FC50000}"/>
    <cellStyle name="Normal 8 2 3 4 8" xfId="36503" xr:uid="{00000000-0005-0000-0000-000020C50000}"/>
    <cellStyle name="Normal 8 2 3 5" xfId="36504" xr:uid="{00000000-0005-0000-0000-000021C50000}"/>
    <cellStyle name="Normal 8 2 3 5 2" xfId="36505" xr:uid="{00000000-0005-0000-0000-000022C50000}"/>
    <cellStyle name="Normal 8 2 3 5 2 2" xfId="36506" xr:uid="{00000000-0005-0000-0000-000023C50000}"/>
    <cellStyle name="Normal 8 2 3 5 2 2 2" xfId="59982" xr:uid="{00000000-0005-0000-0000-000024C50000}"/>
    <cellStyle name="Normal 8 2 3 5 2 2 3" xfId="59983" xr:uid="{00000000-0005-0000-0000-000025C50000}"/>
    <cellStyle name="Normal 8 2 3 5 2 3" xfId="36507" xr:uid="{00000000-0005-0000-0000-000026C50000}"/>
    <cellStyle name="Normal 8 2 3 5 2 3 2" xfId="59984" xr:uid="{00000000-0005-0000-0000-000027C50000}"/>
    <cellStyle name="Normal 8 2 3 5 2 4" xfId="36508" xr:uid="{00000000-0005-0000-0000-000028C50000}"/>
    <cellStyle name="Normal 8 2 3 5 2 5" xfId="36509" xr:uid="{00000000-0005-0000-0000-000029C50000}"/>
    <cellStyle name="Normal 8 2 3 5 2 6" xfId="36510" xr:uid="{00000000-0005-0000-0000-00002AC50000}"/>
    <cellStyle name="Normal 8 2 3 5 3" xfId="36511" xr:uid="{00000000-0005-0000-0000-00002BC50000}"/>
    <cellStyle name="Normal 8 2 3 5 3 2" xfId="59985" xr:uid="{00000000-0005-0000-0000-00002CC50000}"/>
    <cellStyle name="Normal 8 2 3 5 3 3" xfId="59986" xr:uid="{00000000-0005-0000-0000-00002DC50000}"/>
    <cellStyle name="Normal 8 2 3 5 4" xfId="36512" xr:uid="{00000000-0005-0000-0000-00002EC50000}"/>
    <cellStyle name="Normal 8 2 3 5 4 2" xfId="59987" xr:uid="{00000000-0005-0000-0000-00002FC50000}"/>
    <cellStyle name="Normal 8 2 3 5 5" xfId="36513" xr:uid="{00000000-0005-0000-0000-000030C50000}"/>
    <cellStyle name="Normal 8 2 3 5 6" xfId="36514" xr:uid="{00000000-0005-0000-0000-000031C50000}"/>
    <cellStyle name="Normal 8 2 3 5 7" xfId="36515" xr:uid="{00000000-0005-0000-0000-000032C50000}"/>
    <cellStyle name="Normal 8 2 3 6" xfId="36516" xr:uid="{00000000-0005-0000-0000-000033C50000}"/>
    <cellStyle name="Normal 8 2 3 6 2" xfId="36517" xr:uid="{00000000-0005-0000-0000-000034C50000}"/>
    <cellStyle name="Normal 8 2 3 6 2 2" xfId="59988" xr:uid="{00000000-0005-0000-0000-000035C50000}"/>
    <cellStyle name="Normal 8 2 3 6 2 3" xfId="59989" xr:uid="{00000000-0005-0000-0000-000036C50000}"/>
    <cellStyle name="Normal 8 2 3 6 3" xfId="36518" xr:uid="{00000000-0005-0000-0000-000037C50000}"/>
    <cellStyle name="Normal 8 2 3 6 3 2" xfId="59990" xr:uid="{00000000-0005-0000-0000-000038C50000}"/>
    <cellStyle name="Normal 8 2 3 6 4" xfId="36519" xr:uid="{00000000-0005-0000-0000-000039C50000}"/>
    <cellStyle name="Normal 8 2 3 6 5" xfId="36520" xr:uid="{00000000-0005-0000-0000-00003AC50000}"/>
    <cellStyle name="Normal 8 2 3 6 6" xfId="36521" xr:uid="{00000000-0005-0000-0000-00003BC50000}"/>
    <cellStyle name="Normal 8 2 3 7" xfId="36522" xr:uid="{00000000-0005-0000-0000-00003CC50000}"/>
    <cellStyle name="Normal 8 2 3 7 2" xfId="59991" xr:uid="{00000000-0005-0000-0000-00003DC50000}"/>
    <cellStyle name="Normal 8 2 3 8" xfId="36523" xr:uid="{00000000-0005-0000-0000-00003EC50000}"/>
    <cellStyle name="Normal 8 2 3 9" xfId="36524" xr:uid="{00000000-0005-0000-0000-00003FC50000}"/>
    <cellStyle name="Normal 8 2 4" xfId="36525" xr:uid="{00000000-0005-0000-0000-000040C50000}"/>
    <cellStyle name="Normal 8 2 4 10" xfId="36526" xr:uid="{00000000-0005-0000-0000-000041C50000}"/>
    <cellStyle name="Normal 8 2 4 11" xfId="36527" xr:uid="{00000000-0005-0000-0000-000042C50000}"/>
    <cellStyle name="Normal 8 2 4 12" xfId="36528" xr:uid="{00000000-0005-0000-0000-000043C50000}"/>
    <cellStyle name="Normal 8 2 4 13" xfId="36529" xr:uid="{00000000-0005-0000-0000-000044C50000}"/>
    <cellStyle name="Normal 8 2 4 14" xfId="36530" xr:uid="{00000000-0005-0000-0000-000045C50000}"/>
    <cellStyle name="Normal 8 2 4 2" xfId="36531" xr:uid="{00000000-0005-0000-0000-000046C50000}"/>
    <cellStyle name="Normal 8 2 4 2 2" xfId="36532" xr:uid="{00000000-0005-0000-0000-000047C50000}"/>
    <cellStyle name="Normal 8 2 4 2 2 2" xfId="36533" xr:uid="{00000000-0005-0000-0000-000048C50000}"/>
    <cellStyle name="Normal 8 2 4 2 2 2 2" xfId="36534" xr:uid="{00000000-0005-0000-0000-000049C50000}"/>
    <cellStyle name="Normal 8 2 4 2 2 2 2 2" xfId="59992" xr:uid="{00000000-0005-0000-0000-00004AC50000}"/>
    <cellStyle name="Normal 8 2 4 2 2 2 2 3" xfId="59993" xr:uid="{00000000-0005-0000-0000-00004BC50000}"/>
    <cellStyle name="Normal 8 2 4 2 2 2 3" xfId="36535" xr:uid="{00000000-0005-0000-0000-00004CC50000}"/>
    <cellStyle name="Normal 8 2 4 2 2 2 3 2" xfId="59994" xr:uid="{00000000-0005-0000-0000-00004DC50000}"/>
    <cellStyle name="Normal 8 2 4 2 2 2 4" xfId="36536" xr:uid="{00000000-0005-0000-0000-00004EC50000}"/>
    <cellStyle name="Normal 8 2 4 2 2 2 5" xfId="36537" xr:uid="{00000000-0005-0000-0000-00004FC50000}"/>
    <cellStyle name="Normal 8 2 4 2 2 2 6" xfId="36538" xr:uid="{00000000-0005-0000-0000-000050C50000}"/>
    <cellStyle name="Normal 8 2 4 2 2 3" xfId="36539" xr:uid="{00000000-0005-0000-0000-000051C50000}"/>
    <cellStyle name="Normal 8 2 4 2 2 3 2" xfId="59995" xr:uid="{00000000-0005-0000-0000-000052C50000}"/>
    <cellStyle name="Normal 8 2 4 2 2 3 3" xfId="59996" xr:uid="{00000000-0005-0000-0000-000053C50000}"/>
    <cellStyle name="Normal 8 2 4 2 2 4" xfId="36540" xr:uid="{00000000-0005-0000-0000-000054C50000}"/>
    <cellStyle name="Normal 8 2 4 2 2 4 2" xfId="59997" xr:uid="{00000000-0005-0000-0000-000055C50000}"/>
    <cellStyle name="Normal 8 2 4 2 2 5" xfId="36541" xr:uid="{00000000-0005-0000-0000-000056C50000}"/>
    <cellStyle name="Normal 8 2 4 2 2 6" xfId="36542" xr:uid="{00000000-0005-0000-0000-000057C50000}"/>
    <cellStyle name="Normal 8 2 4 2 2 7" xfId="36543" xr:uid="{00000000-0005-0000-0000-000058C50000}"/>
    <cellStyle name="Normal 8 2 4 2 3" xfId="36544" xr:uid="{00000000-0005-0000-0000-000059C50000}"/>
    <cellStyle name="Normal 8 2 4 2 3 2" xfId="36545" xr:uid="{00000000-0005-0000-0000-00005AC50000}"/>
    <cellStyle name="Normal 8 2 4 2 3 2 2" xfId="59998" xr:uid="{00000000-0005-0000-0000-00005BC50000}"/>
    <cellStyle name="Normal 8 2 4 2 3 2 3" xfId="59999" xr:uid="{00000000-0005-0000-0000-00005CC50000}"/>
    <cellStyle name="Normal 8 2 4 2 3 3" xfId="36546" xr:uid="{00000000-0005-0000-0000-00005DC50000}"/>
    <cellStyle name="Normal 8 2 4 2 3 3 2" xfId="60000" xr:uid="{00000000-0005-0000-0000-00005EC50000}"/>
    <cellStyle name="Normal 8 2 4 2 3 4" xfId="36547" xr:uid="{00000000-0005-0000-0000-00005FC50000}"/>
    <cellStyle name="Normal 8 2 4 2 3 5" xfId="36548" xr:uid="{00000000-0005-0000-0000-000060C50000}"/>
    <cellStyle name="Normal 8 2 4 2 3 6" xfId="36549" xr:uid="{00000000-0005-0000-0000-000061C50000}"/>
    <cellStyle name="Normal 8 2 4 2 4" xfId="36550" xr:uid="{00000000-0005-0000-0000-000062C50000}"/>
    <cellStyle name="Normal 8 2 4 2 4 2" xfId="60001" xr:uid="{00000000-0005-0000-0000-000063C50000}"/>
    <cellStyle name="Normal 8 2 4 2 4 3" xfId="60002" xr:uid="{00000000-0005-0000-0000-000064C50000}"/>
    <cellStyle name="Normal 8 2 4 2 5" xfId="36551" xr:uid="{00000000-0005-0000-0000-000065C50000}"/>
    <cellStyle name="Normal 8 2 4 2 5 2" xfId="60003" xr:uid="{00000000-0005-0000-0000-000066C50000}"/>
    <cellStyle name="Normal 8 2 4 2 6" xfId="36552" xr:uid="{00000000-0005-0000-0000-000067C50000}"/>
    <cellStyle name="Normal 8 2 4 2 7" xfId="36553" xr:uid="{00000000-0005-0000-0000-000068C50000}"/>
    <cellStyle name="Normal 8 2 4 2 8" xfId="36554" xr:uid="{00000000-0005-0000-0000-000069C50000}"/>
    <cellStyle name="Normal 8 2 4 2 9" xfId="36555" xr:uid="{00000000-0005-0000-0000-00006AC50000}"/>
    <cellStyle name="Normal 8 2 4 3" xfId="36556" xr:uid="{00000000-0005-0000-0000-00006BC50000}"/>
    <cellStyle name="Normal 8 2 4 3 2" xfId="36557" xr:uid="{00000000-0005-0000-0000-00006CC50000}"/>
    <cellStyle name="Normal 8 2 4 3 2 2" xfId="36558" xr:uid="{00000000-0005-0000-0000-00006DC50000}"/>
    <cellStyle name="Normal 8 2 4 3 2 2 2" xfId="36559" xr:uid="{00000000-0005-0000-0000-00006EC50000}"/>
    <cellStyle name="Normal 8 2 4 3 2 2 2 2" xfId="60004" xr:uid="{00000000-0005-0000-0000-00006FC50000}"/>
    <cellStyle name="Normal 8 2 4 3 2 2 2 3" xfId="60005" xr:uid="{00000000-0005-0000-0000-000070C50000}"/>
    <cellStyle name="Normal 8 2 4 3 2 2 3" xfId="36560" xr:uid="{00000000-0005-0000-0000-000071C50000}"/>
    <cellStyle name="Normal 8 2 4 3 2 2 3 2" xfId="60006" xr:uid="{00000000-0005-0000-0000-000072C50000}"/>
    <cellStyle name="Normal 8 2 4 3 2 2 4" xfId="36561" xr:uid="{00000000-0005-0000-0000-000073C50000}"/>
    <cellStyle name="Normal 8 2 4 3 2 2 5" xfId="36562" xr:uid="{00000000-0005-0000-0000-000074C50000}"/>
    <cellStyle name="Normal 8 2 4 3 2 2 6" xfId="36563" xr:uid="{00000000-0005-0000-0000-000075C50000}"/>
    <cellStyle name="Normal 8 2 4 3 2 3" xfId="36564" xr:uid="{00000000-0005-0000-0000-000076C50000}"/>
    <cellStyle name="Normal 8 2 4 3 2 3 2" xfId="60007" xr:uid="{00000000-0005-0000-0000-000077C50000}"/>
    <cellStyle name="Normal 8 2 4 3 2 3 3" xfId="60008" xr:uid="{00000000-0005-0000-0000-000078C50000}"/>
    <cellStyle name="Normal 8 2 4 3 2 4" xfId="36565" xr:uid="{00000000-0005-0000-0000-000079C50000}"/>
    <cellStyle name="Normal 8 2 4 3 2 4 2" xfId="60009" xr:uid="{00000000-0005-0000-0000-00007AC50000}"/>
    <cellStyle name="Normal 8 2 4 3 2 5" xfId="36566" xr:uid="{00000000-0005-0000-0000-00007BC50000}"/>
    <cellStyle name="Normal 8 2 4 3 2 6" xfId="36567" xr:uid="{00000000-0005-0000-0000-00007CC50000}"/>
    <cellStyle name="Normal 8 2 4 3 2 7" xfId="36568" xr:uid="{00000000-0005-0000-0000-00007DC50000}"/>
    <cellStyle name="Normal 8 2 4 3 3" xfId="36569" xr:uid="{00000000-0005-0000-0000-00007EC50000}"/>
    <cellStyle name="Normal 8 2 4 3 3 2" xfId="36570" xr:uid="{00000000-0005-0000-0000-00007FC50000}"/>
    <cellStyle name="Normal 8 2 4 3 3 2 2" xfId="60010" xr:uid="{00000000-0005-0000-0000-000080C50000}"/>
    <cellStyle name="Normal 8 2 4 3 3 2 3" xfId="60011" xr:uid="{00000000-0005-0000-0000-000081C50000}"/>
    <cellStyle name="Normal 8 2 4 3 3 3" xfId="36571" xr:uid="{00000000-0005-0000-0000-000082C50000}"/>
    <cellStyle name="Normal 8 2 4 3 3 3 2" xfId="60012" xr:uid="{00000000-0005-0000-0000-000083C50000}"/>
    <cellStyle name="Normal 8 2 4 3 3 4" xfId="36572" xr:uid="{00000000-0005-0000-0000-000084C50000}"/>
    <cellStyle name="Normal 8 2 4 3 3 5" xfId="36573" xr:uid="{00000000-0005-0000-0000-000085C50000}"/>
    <cellStyle name="Normal 8 2 4 3 3 6" xfId="36574" xr:uid="{00000000-0005-0000-0000-000086C50000}"/>
    <cellStyle name="Normal 8 2 4 3 4" xfId="36575" xr:uid="{00000000-0005-0000-0000-000087C50000}"/>
    <cellStyle name="Normal 8 2 4 3 4 2" xfId="60013" xr:uid="{00000000-0005-0000-0000-000088C50000}"/>
    <cellStyle name="Normal 8 2 4 3 4 3" xfId="60014" xr:uid="{00000000-0005-0000-0000-000089C50000}"/>
    <cellStyle name="Normal 8 2 4 3 5" xfId="36576" xr:uid="{00000000-0005-0000-0000-00008AC50000}"/>
    <cellStyle name="Normal 8 2 4 3 5 2" xfId="60015" xr:uid="{00000000-0005-0000-0000-00008BC50000}"/>
    <cellStyle name="Normal 8 2 4 3 6" xfId="36577" xr:uid="{00000000-0005-0000-0000-00008CC50000}"/>
    <cellStyle name="Normal 8 2 4 3 7" xfId="36578" xr:uid="{00000000-0005-0000-0000-00008DC50000}"/>
    <cellStyle name="Normal 8 2 4 3 8" xfId="36579" xr:uid="{00000000-0005-0000-0000-00008EC50000}"/>
    <cellStyle name="Normal 8 2 4 4" xfId="36580" xr:uid="{00000000-0005-0000-0000-00008FC50000}"/>
    <cellStyle name="Normal 8 2 4 4 2" xfId="36581" xr:uid="{00000000-0005-0000-0000-000090C50000}"/>
    <cellStyle name="Normal 8 2 4 4 2 2" xfId="36582" xr:uid="{00000000-0005-0000-0000-000091C50000}"/>
    <cellStyle name="Normal 8 2 4 4 2 2 2" xfId="60016" xr:uid="{00000000-0005-0000-0000-000092C50000}"/>
    <cellStyle name="Normal 8 2 4 4 2 2 3" xfId="60017" xr:uid="{00000000-0005-0000-0000-000093C50000}"/>
    <cellStyle name="Normal 8 2 4 4 2 3" xfId="36583" xr:uid="{00000000-0005-0000-0000-000094C50000}"/>
    <cellStyle name="Normal 8 2 4 4 2 3 2" xfId="60018" xr:uid="{00000000-0005-0000-0000-000095C50000}"/>
    <cellStyle name="Normal 8 2 4 4 2 4" xfId="36584" xr:uid="{00000000-0005-0000-0000-000096C50000}"/>
    <cellStyle name="Normal 8 2 4 4 2 5" xfId="36585" xr:uid="{00000000-0005-0000-0000-000097C50000}"/>
    <cellStyle name="Normal 8 2 4 4 2 6" xfId="36586" xr:uid="{00000000-0005-0000-0000-000098C50000}"/>
    <cellStyle name="Normal 8 2 4 4 3" xfId="36587" xr:uid="{00000000-0005-0000-0000-000099C50000}"/>
    <cellStyle name="Normal 8 2 4 4 3 2" xfId="60019" xr:uid="{00000000-0005-0000-0000-00009AC50000}"/>
    <cellStyle name="Normal 8 2 4 4 3 3" xfId="60020" xr:uid="{00000000-0005-0000-0000-00009BC50000}"/>
    <cellStyle name="Normal 8 2 4 4 4" xfId="36588" xr:uid="{00000000-0005-0000-0000-00009CC50000}"/>
    <cellStyle name="Normal 8 2 4 4 4 2" xfId="60021" xr:uid="{00000000-0005-0000-0000-00009DC50000}"/>
    <cellStyle name="Normal 8 2 4 4 5" xfId="36589" xr:uid="{00000000-0005-0000-0000-00009EC50000}"/>
    <cellStyle name="Normal 8 2 4 4 6" xfId="36590" xr:uid="{00000000-0005-0000-0000-00009FC50000}"/>
    <cellStyle name="Normal 8 2 4 4 7" xfId="36591" xr:uid="{00000000-0005-0000-0000-0000A0C50000}"/>
    <cellStyle name="Normal 8 2 4 5" xfId="36592" xr:uid="{00000000-0005-0000-0000-0000A1C50000}"/>
    <cellStyle name="Normal 8 2 4 5 2" xfId="36593" xr:uid="{00000000-0005-0000-0000-0000A2C50000}"/>
    <cellStyle name="Normal 8 2 4 5 2 2" xfId="60022" xr:uid="{00000000-0005-0000-0000-0000A3C50000}"/>
    <cellStyle name="Normal 8 2 4 5 2 3" xfId="60023" xr:uid="{00000000-0005-0000-0000-0000A4C50000}"/>
    <cellStyle name="Normal 8 2 4 5 3" xfId="36594" xr:uid="{00000000-0005-0000-0000-0000A5C50000}"/>
    <cellStyle name="Normal 8 2 4 5 3 2" xfId="60024" xr:uid="{00000000-0005-0000-0000-0000A6C50000}"/>
    <cellStyle name="Normal 8 2 4 5 4" xfId="36595" xr:uid="{00000000-0005-0000-0000-0000A7C50000}"/>
    <cellStyle name="Normal 8 2 4 5 5" xfId="36596" xr:uid="{00000000-0005-0000-0000-0000A8C50000}"/>
    <cellStyle name="Normal 8 2 4 5 6" xfId="36597" xr:uid="{00000000-0005-0000-0000-0000A9C50000}"/>
    <cellStyle name="Normal 8 2 4 6" xfId="36598" xr:uid="{00000000-0005-0000-0000-0000AAC50000}"/>
    <cellStyle name="Normal 8 2 4 6 2" xfId="60025" xr:uid="{00000000-0005-0000-0000-0000ABC50000}"/>
    <cellStyle name="Normal 8 2 4 6 3" xfId="60026" xr:uid="{00000000-0005-0000-0000-0000ACC50000}"/>
    <cellStyle name="Normal 8 2 4 7" xfId="36599" xr:uid="{00000000-0005-0000-0000-0000ADC50000}"/>
    <cellStyle name="Normal 8 2 4 7 2" xfId="60027" xr:uid="{00000000-0005-0000-0000-0000AEC50000}"/>
    <cellStyle name="Normal 8 2 4 8" xfId="36600" xr:uid="{00000000-0005-0000-0000-0000AFC50000}"/>
    <cellStyle name="Normal 8 2 4 9" xfId="36601" xr:uid="{00000000-0005-0000-0000-0000B0C50000}"/>
    <cellStyle name="Normal 8 2 5" xfId="36602" xr:uid="{00000000-0005-0000-0000-0000B1C50000}"/>
    <cellStyle name="Normal 8 2 5 10" xfId="36603" xr:uid="{00000000-0005-0000-0000-0000B2C50000}"/>
    <cellStyle name="Normal 8 2 5 11" xfId="36604" xr:uid="{00000000-0005-0000-0000-0000B3C50000}"/>
    <cellStyle name="Normal 8 2 5 12" xfId="36605" xr:uid="{00000000-0005-0000-0000-0000B4C50000}"/>
    <cellStyle name="Normal 8 2 5 13" xfId="36606" xr:uid="{00000000-0005-0000-0000-0000B5C50000}"/>
    <cellStyle name="Normal 8 2 5 14" xfId="36607" xr:uid="{00000000-0005-0000-0000-0000B6C50000}"/>
    <cellStyle name="Normal 8 2 5 2" xfId="36608" xr:uid="{00000000-0005-0000-0000-0000B7C50000}"/>
    <cellStyle name="Normal 8 2 5 2 2" xfId="36609" xr:uid="{00000000-0005-0000-0000-0000B8C50000}"/>
    <cellStyle name="Normal 8 2 5 2 2 2" xfId="36610" xr:uid="{00000000-0005-0000-0000-0000B9C50000}"/>
    <cellStyle name="Normal 8 2 5 2 2 2 2" xfId="36611" xr:uid="{00000000-0005-0000-0000-0000BAC50000}"/>
    <cellStyle name="Normal 8 2 5 2 2 2 2 2" xfId="60028" xr:uid="{00000000-0005-0000-0000-0000BBC50000}"/>
    <cellStyle name="Normal 8 2 5 2 2 2 2 3" xfId="60029" xr:uid="{00000000-0005-0000-0000-0000BCC50000}"/>
    <cellStyle name="Normal 8 2 5 2 2 2 3" xfId="36612" xr:uid="{00000000-0005-0000-0000-0000BDC50000}"/>
    <cellStyle name="Normal 8 2 5 2 2 2 3 2" xfId="60030" xr:uid="{00000000-0005-0000-0000-0000BEC50000}"/>
    <cellStyle name="Normal 8 2 5 2 2 2 4" xfId="36613" xr:uid="{00000000-0005-0000-0000-0000BFC50000}"/>
    <cellStyle name="Normal 8 2 5 2 2 2 5" xfId="36614" xr:uid="{00000000-0005-0000-0000-0000C0C50000}"/>
    <cellStyle name="Normal 8 2 5 2 2 2 6" xfId="36615" xr:uid="{00000000-0005-0000-0000-0000C1C50000}"/>
    <cellStyle name="Normal 8 2 5 2 2 3" xfId="36616" xr:uid="{00000000-0005-0000-0000-0000C2C50000}"/>
    <cellStyle name="Normal 8 2 5 2 2 3 2" xfId="60031" xr:uid="{00000000-0005-0000-0000-0000C3C50000}"/>
    <cellStyle name="Normal 8 2 5 2 2 3 3" xfId="60032" xr:uid="{00000000-0005-0000-0000-0000C4C50000}"/>
    <cellStyle name="Normal 8 2 5 2 2 4" xfId="36617" xr:uid="{00000000-0005-0000-0000-0000C5C50000}"/>
    <cellStyle name="Normal 8 2 5 2 2 4 2" xfId="60033" xr:uid="{00000000-0005-0000-0000-0000C6C50000}"/>
    <cellStyle name="Normal 8 2 5 2 2 5" xfId="36618" xr:uid="{00000000-0005-0000-0000-0000C7C50000}"/>
    <cellStyle name="Normal 8 2 5 2 2 6" xfId="36619" xr:uid="{00000000-0005-0000-0000-0000C8C50000}"/>
    <cellStyle name="Normal 8 2 5 2 2 7" xfId="36620" xr:uid="{00000000-0005-0000-0000-0000C9C50000}"/>
    <cellStyle name="Normal 8 2 5 2 3" xfId="36621" xr:uid="{00000000-0005-0000-0000-0000CAC50000}"/>
    <cellStyle name="Normal 8 2 5 2 3 2" xfId="36622" xr:uid="{00000000-0005-0000-0000-0000CBC50000}"/>
    <cellStyle name="Normal 8 2 5 2 3 2 2" xfId="60034" xr:uid="{00000000-0005-0000-0000-0000CCC50000}"/>
    <cellStyle name="Normal 8 2 5 2 3 2 3" xfId="60035" xr:uid="{00000000-0005-0000-0000-0000CDC50000}"/>
    <cellStyle name="Normal 8 2 5 2 3 3" xfId="36623" xr:uid="{00000000-0005-0000-0000-0000CEC50000}"/>
    <cellStyle name="Normal 8 2 5 2 3 3 2" xfId="60036" xr:uid="{00000000-0005-0000-0000-0000CFC50000}"/>
    <cellStyle name="Normal 8 2 5 2 3 4" xfId="36624" xr:uid="{00000000-0005-0000-0000-0000D0C50000}"/>
    <cellStyle name="Normal 8 2 5 2 3 5" xfId="36625" xr:uid="{00000000-0005-0000-0000-0000D1C50000}"/>
    <cellStyle name="Normal 8 2 5 2 3 6" xfId="36626" xr:uid="{00000000-0005-0000-0000-0000D2C50000}"/>
    <cellStyle name="Normal 8 2 5 2 4" xfId="36627" xr:uid="{00000000-0005-0000-0000-0000D3C50000}"/>
    <cellStyle name="Normal 8 2 5 2 4 2" xfId="60037" xr:uid="{00000000-0005-0000-0000-0000D4C50000}"/>
    <cellStyle name="Normal 8 2 5 2 4 3" xfId="60038" xr:uid="{00000000-0005-0000-0000-0000D5C50000}"/>
    <cellStyle name="Normal 8 2 5 2 5" xfId="36628" xr:uid="{00000000-0005-0000-0000-0000D6C50000}"/>
    <cellStyle name="Normal 8 2 5 2 5 2" xfId="60039" xr:uid="{00000000-0005-0000-0000-0000D7C50000}"/>
    <cellStyle name="Normal 8 2 5 2 6" xfId="36629" xr:uid="{00000000-0005-0000-0000-0000D8C50000}"/>
    <cellStyle name="Normal 8 2 5 2 7" xfId="36630" xr:uid="{00000000-0005-0000-0000-0000D9C50000}"/>
    <cellStyle name="Normal 8 2 5 2 8" xfId="36631" xr:uid="{00000000-0005-0000-0000-0000DAC50000}"/>
    <cellStyle name="Normal 8 2 5 2 9" xfId="36632" xr:uid="{00000000-0005-0000-0000-0000DBC50000}"/>
    <cellStyle name="Normal 8 2 5 3" xfId="36633" xr:uid="{00000000-0005-0000-0000-0000DCC50000}"/>
    <cellStyle name="Normal 8 2 5 3 2" xfId="36634" xr:uid="{00000000-0005-0000-0000-0000DDC50000}"/>
    <cellStyle name="Normal 8 2 5 3 2 2" xfId="36635" xr:uid="{00000000-0005-0000-0000-0000DEC50000}"/>
    <cellStyle name="Normal 8 2 5 3 2 2 2" xfId="36636" xr:uid="{00000000-0005-0000-0000-0000DFC50000}"/>
    <cellStyle name="Normal 8 2 5 3 2 2 2 2" xfId="60040" xr:uid="{00000000-0005-0000-0000-0000E0C50000}"/>
    <cellStyle name="Normal 8 2 5 3 2 2 2 3" xfId="60041" xr:uid="{00000000-0005-0000-0000-0000E1C50000}"/>
    <cellStyle name="Normal 8 2 5 3 2 2 3" xfId="36637" xr:uid="{00000000-0005-0000-0000-0000E2C50000}"/>
    <cellStyle name="Normal 8 2 5 3 2 2 3 2" xfId="60042" xr:uid="{00000000-0005-0000-0000-0000E3C50000}"/>
    <cellStyle name="Normal 8 2 5 3 2 2 4" xfId="36638" xr:uid="{00000000-0005-0000-0000-0000E4C50000}"/>
    <cellStyle name="Normal 8 2 5 3 2 2 5" xfId="36639" xr:uid="{00000000-0005-0000-0000-0000E5C50000}"/>
    <cellStyle name="Normal 8 2 5 3 2 2 6" xfId="36640" xr:uid="{00000000-0005-0000-0000-0000E6C50000}"/>
    <cellStyle name="Normal 8 2 5 3 2 3" xfId="36641" xr:uid="{00000000-0005-0000-0000-0000E7C50000}"/>
    <cellStyle name="Normal 8 2 5 3 2 3 2" xfId="60043" xr:uid="{00000000-0005-0000-0000-0000E8C50000}"/>
    <cellStyle name="Normal 8 2 5 3 2 3 3" xfId="60044" xr:uid="{00000000-0005-0000-0000-0000E9C50000}"/>
    <cellStyle name="Normal 8 2 5 3 2 4" xfId="36642" xr:uid="{00000000-0005-0000-0000-0000EAC50000}"/>
    <cellStyle name="Normal 8 2 5 3 2 4 2" xfId="60045" xr:uid="{00000000-0005-0000-0000-0000EBC50000}"/>
    <cellStyle name="Normal 8 2 5 3 2 5" xfId="36643" xr:uid="{00000000-0005-0000-0000-0000ECC50000}"/>
    <cellStyle name="Normal 8 2 5 3 2 6" xfId="36644" xr:uid="{00000000-0005-0000-0000-0000EDC50000}"/>
    <cellStyle name="Normal 8 2 5 3 2 7" xfId="36645" xr:uid="{00000000-0005-0000-0000-0000EEC50000}"/>
    <cellStyle name="Normal 8 2 5 3 3" xfId="36646" xr:uid="{00000000-0005-0000-0000-0000EFC50000}"/>
    <cellStyle name="Normal 8 2 5 3 3 2" xfId="36647" xr:uid="{00000000-0005-0000-0000-0000F0C50000}"/>
    <cellStyle name="Normal 8 2 5 3 3 2 2" xfId="60046" xr:uid="{00000000-0005-0000-0000-0000F1C50000}"/>
    <cellStyle name="Normal 8 2 5 3 3 2 3" xfId="60047" xr:uid="{00000000-0005-0000-0000-0000F2C50000}"/>
    <cellStyle name="Normal 8 2 5 3 3 3" xfId="36648" xr:uid="{00000000-0005-0000-0000-0000F3C50000}"/>
    <cellStyle name="Normal 8 2 5 3 3 3 2" xfId="60048" xr:uid="{00000000-0005-0000-0000-0000F4C50000}"/>
    <cellStyle name="Normal 8 2 5 3 3 4" xfId="36649" xr:uid="{00000000-0005-0000-0000-0000F5C50000}"/>
    <cellStyle name="Normal 8 2 5 3 3 5" xfId="36650" xr:uid="{00000000-0005-0000-0000-0000F6C50000}"/>
    <cellStyle name="Normal 8 2 5 3 3 6" xfId="36651" xr:uid="{00000000-0005-0000-0000-0000F7C50000}"/>
    <cellStyle name="Normal 8 2 5 3 4" xfId="36652" xr:uid="{00000000-0005-0000-0000-0000F8C50000}"/>
    <cellStyle name="Normal 8 2 5 3 4 2" xfId="60049" xr:uid="{00000000-0005-0000-0000-0000F9C50000}"/>
    <cellStyle name="Normal 8 2 5 3 4 3" xfId="60050" xr:uid="{00000000-0005-0000-0000-0000FAC50000}"/>
    <cellStyle name="Normal 8 2 5 3 5" xfId="36653" xr:uid="{00000000-0005-0000-0000-0000FBC50000}"/>
    <cellStyle name="Normal 8 2 5 3 5 2" xfId="60051" xr:uid="{00000000-0005-0000-0000-0000FCC50000}"/>
    <cellStyle name="Normal 8 2 5 3 6" xfId="36654" xr:uid="{00000000-0005-0000-0000-0000FDC50000}"/>
    <cellStyle name="Normal 8 2 5 3 7" xfId="36655" xr:uid="{00000000-0005-0000-0000-0000FEC50000}"/>
    <cellStyle name="Normal 8 2 5 3 8" xfId="36656" xr:uid="{00000000-0005-0000-0000-0000FFC50000}"/>
    <cellStyle name="Normal 8 2 5 4" xfId="36657" xr:uid="{00000000-0005-0000-0000-000000C60000}"/>
    <cellStyle name="Normal 8 2 5 4 2" xfId="36658" xr:uid="{00000000-0005-0000-0000-000001C60000}"/>
    <cellStyle name="Normal 8 2 5 4 2 2" xfId="36659" xr:uid="{00000000-0005-0000-0000-000002C60000}"/>
    <cellStyle name="Normal 8 2 5 4 2 2 2" xfId="60052" xr:uid="{00000000-0005-0000-0000-000003C60000}"/>
    <cellStyle name="Normal 8 2 5 4 2 2 3" xfId="60053" xr:uid="{00000000-0005-0000-0000-000004C60000}"/>
    <cellStyle name="Normal 8 2 5 4 2 3" xfId="36660" xr:uid="{00000000-0005-0000-0000-000005C60000}"/>
    <cellStyle name="Normal 8 2 5 4 2 3 2" xfId="60054" xr:uid="{00000000-0005-0000-0000-000006C60000}"/>
    <cellStyle name="Normal 8 2 5 4 2 4" xfId="36661" xr:uid="{00000000-0005-0000-0000-000007C60000}"/>
    <cellStyle name="Normal 8 2 5 4 2 5" xfId="36662" xr:uid="{00000000-0005-0000-0000-000008C60000}"/>
    <cellStyle name="Normal 8 2 5 4 2 6" xfId="36663" xr:uid="{00000000-0005-0000-0000-000009C60000}"/>
    <cellStyle name="Normal 8 2 5 4 3" xfId="36664" xr:uid="{00000000-0005-0000-0000-00000AC60000}"/>
    <cellStyle name="Normal 8 2 5 4 3 2" xfId="60055" xr:uid="{00000000-0005-0000-0000-00000BC60000}"/>
    <cellStyle name="Normal 8 2 5 4 3 3" xfId="60056" xr:uid="{00000000-0005-0000-0000-00000CC60000}"/>
    <cellStyle name="Normal 8 2 5 4 4" xfId="36665" xr:uid="{00000000-0005-0000-0000-00000DC60000}"/>
    <cellStyle name="Normal 8 2 5 4 4 2" xfId="60057" xr:uid="{00000000-0005-0000-0000-00000EC60000}"/>
    <cellStyle name="Normal 8 2 5 4 5" xfId="36666" xr:uid="{00000000-0005-0000-0000-00000FC60000}"/>
    <cellStyle name="Normal 8 2 5 4 6" xfId="36667" xr:uid="{00000000-0005-0000-0000-000010C60000}"/>
    <cellStyle name="Normal 8 2 5 4 7" xfId="36668" xr:uid="{00000000-0005-0000-0000-000011C60000}"/>
    <cellStyle name="Normal 8 2 5 5" xfId="36669" xr:uid="{00000000-0005-0000-0000-000012C60000}"/>
    <cellStyle name="Normal 8 2 5 5 2" xfId="36670" xr:uid="{00000000-0005-0000-0000-000013C60000}"/>
    <cellStyle name="Normal 8 2 5 5 2 2" xfId="60058" xr:uid="{00000000-0005-0000-0000-000014C60000}"/>
    <cellStyle name="Normal 8 2 5 5 2 3" xfId="60059" xr:uid="{00000000-0005-0000-0000-000015C60000}"/>
    <cellStyle name="Normal 8 2 5 5 3" xfId="36671" xr:uid="{00000000-0005-0000-0000-000016C60000}"/>
    <cellStyle name="Normal 8 2 5 5 3 2" xfId="60060" xr:uid="{00000000-0005-0000-0000-000017C60000}"/>
    <cellStyle name="Normal 8 2 5 5 4" xfId="36672" xr:uid="{00000000-0005-0000-0000-000018C60000}"/>
    <cellStyle name="Normal 8 2 5 5 5" xfId="36673" xr:uid="{00000000-0005-0000-0000-000019C60000}"/>
    <cellStyle name="Normal 8 2 5 5 6" xfId="36674" xr:uid="{00000000-0005-0000-0000-00001AC60000}"/>
    <cellStyle name="Normal 8 2 5 6" xfId="36675" xr:uid="{00000000-0005-0000-0000-00001BC60000}"/>
    <cellStyle name="Normal 8 2 5 6 2" xfId="60061" xr:uid="{00000000-0005-0000-0000-00001CC60000}"/>
    <cellStyle name="Normal 8 2 5 6 3" xfId="60062" xr:uid="{00000000-0005-0000-0000-00001DC60000}"/>
    <cellStyle name="Normal 8 2 5 7" xfId="36676" xr:uid="{00000000-0005-0000-0000-00001EC60000}"/>
    <cellStyle name="Normal 8 2 5 7 2" xfId="60063" xr:uid="{00000000-0005-0000-0000-00001FC60000}"/>
    <cellStyle name="Normal 8 2 5 8" xfId="36677" xr:uid="{00000000-0005-0000-0000-000020C60000}"/>
    <cellStyle name="Normal 8 2 5 9" xfId="36678" xr:uid="{00000000-0005-0000-0000-000021C60000}"/>
    <cellStyle name="Normal 8 2 6" xfId="36679" xr:uid="{00000000-0005-0000-0000-000022C60000}"/>
    <cellStyle name="Normal 8 2 6 10" xfId="36680" xr:uid="{00000000-0005-0000-0000-000023C60000}"/>
    <cellStyle name="Normal 8 2 6 11" xfId="36681" xr:uid="{00000000-0005-0000-0000-000024C60000}"/>
    <cellStyle name="Normal 8 2 6 12" xfId="36682" xr:uid="{00000000-0005-0000-0000-000025C60000}"/>
    <cellStyle name="Normal 8 2 6 13" xfId="36683" xr:uid="{00000000-0005-0000-0000-000026C60000}"/>
    <cellStyle name="Normal 8 2 6 2" xfId="36684" xr:uid="{00000000-0005-0000-0000-000027C60000}"/>
    <cellStyle name="Normal 8 2 6 2 2" xfId="36685" xr:uid="{00000000-0005-0000-0000-000028C60000}"/>
    <cellStyle name="Normal 8 2 6 2 2 2" xfId="36686" xr:uid="{00000000-0005-0000-0000-000029C60000}"/>
    <cellStyle name="Normal 8 2 6 2 2 2 2" xfId="36687" xr:uid="{00000000-0005-0000-0000-00002AC60000}"/>
    <cellStyle name="Normal 8 2 6 2 2 2 2 2" xfId="60064" xr:uid="{00000000-0005-0000-0000-00002BC60000}"/>
    <cellStyle name="Normal 8 2 6 2 2 2 2 3" xfId="60065" xr:uid="{00000000-0005-0000-0000-00002CC60000}"/>
    <cellStyle name="Normal 8 2 6 2 2 2 3" xfId="36688" xr:uid="{00000000-0005-0000-0000-00002DC60000}"/>
    <cellStyle name="Normal 8 2 6 2 2 2 3 2" xfId="60066" xr:uid="{00000000-0005-0000-0000-00002EC60000}"/>
    <cellStyle name="Normal 8 2 6 2 2 2 4" xfId="36689" xr:uid="{00000000-0005-0000-0000-00002FC60000}"/>
    <cellStyle name="Normal 8 2 6 2 2 2 5" xfId="36690" xr:uid="{00000000-0005-0000-0000-000030C60000}"/>
    <cellStyle name="Normal 8 2 6 2 2 2 6" xfId="36691" xr:uid="{00000000-0005-0000-0000-000031C60000}"/>
    <cellStyle name="Normal 8 2 6 2 2 3" xfId="36692" xr:uid="{00000000-0005-0000-0000-000032C60000}"/>
    <cellStyle name="Normal 8 2 6 2 2 3 2" xfId="60067" xr:uid="{00000000-0005-0000-0000-000033C60000}"/>
    <cellStyle name="Normal 8 2 6 2 2 3 3" xfId="60068" xr:uid="{00000000-0005-0000-0000-000034C60000}"/>
    <cellStyle name="Normal 8 2 6 2 2 4" xfId="36693" xr:uid="{00000000-0005-0000-0000-000035C60000}"/>
    <cellStyle name="Normal 8 2 6 2 2 4 2" xfId="60069" xr:uid="{00000000-0005-0000-0000-000036C60000}"/>
    <cellStyle name="Normal 8 2 6 2 2 5" xfId="36694" xr:uid="{00000000-0005-0000-0000-000037C60000}"/>
    <cellStyle name="Normal 8 2 6 2 2 6" xfId="36695" xr:uid="{00000000-0005-0000-0000-000038C60000}"/>
    <cellStyle name="Normal 8 2 6 2 2 7" xfId="36696" xr:uid="{00000000-0005-0000-0000-000039C60000}"/>
    <cellStyle name="Normal 8 2 6 2 3" xfId="36697" xr:uid="{00000000-0005-0000-0000-00003AC60000}"/>
    <cellStyle name="Normal 8 2 6 2 3 2" xfId="36698" xr:uid="{00000000-0005-0000-0000-00003BC60000}"/>
    <cellStyle name="Normal 8 2 6 2 3 2 2" xfId="60070" xr:uid="{00000000-0005-0000-0000-00003CC60000}"/>
    <cellStyle name="Normal 8 2 6 2 3 2 3" xfId="60071" xr:uid="{00000000-0005-0000-0000-00003DC60000}"/>
    <cellStyle name="Normal 8 2 6 2 3 3" xfId="36699" xr:uid="{00000000-0005-0000-0000-00003EC60000}"/>
    <cellStyle name="Normal 8 2 6 2 3 3 2" xfId="60072" xr:uid="{00000000-0005-0000-0000-00003FC60000}"/>
    <cellStyle name="Normal 8 2 6 2 3 4" xfId="36700" xr:uid="{00000000-0005-0000-0000-000040C60000}"/>
    <cellStyle name="Normal 8 2 6 2 3 5" xfId="36701" xr:uid="{00000000-0005-0000-0000-000041C60000}"/>
    <cellStyle name="Normal 8 2 6 2 3 6" xfId="36702" xr:uid="{00000000-0005-0000-0000-000042C60000}"/>
    <cellStyle name="Normal 8 2 6 2 4" xfId="36703" xr:uid="{00000000-0005-0000-0000-000043C60000}"/>
    <cellStyle name="Normal 8 2 6 2 4 2" xfId="60073" xr:uid="{00000000-0005-0000-0000-000044C60000}"/>
    <cellStyle name="Normal 8 2 6 2 4 3" xfId="60074" xr:uid="{00000000-0005-0000-0000-000045C60000}"/>
    <cellStyle name="Normal 8 2 6 2 5" xfId="36704" xr:uid="{00000000-0005-0000-0000-000046C60000}"/>
    <cellStyle name="Normal 8 2 6 2 5 2" xfId="60075" xr:uid="{00000000-0005-0000-0000-000047C60000}"/>
    <cellStyle name="Normal 8 2 6 2 6" xfId="36705" xr:uid="{00000000-0005-0000-0000-000048C60000}"/>
    <cellStyle name="Normal 8 2 6 2 7" xfId="36706" xr:uid="{00000000-0005-0000-0000-000049C60000}"/>
    <cellStyle name="Normal 8 2 6 2 8" xfId="36707" xr:uid="{00000000-0005-0000-0000-00004AC60000}"/>
    <cellStyle name="Normal 8 2 6 2 9" xfId="36708" xr:uid="{00000000-0005-0000-0000-00004BC60000}"/>
    <cellStyle name="Normal 8 2 6 3" xfId="36709" xr:uid="{00000000-0005-0000-0000-00004CC60000}"/>
    <cellStyle name="Normal 8 2 6 3 2" xfId="36710" xr:uid="{00000000-0005-0000-0000-00004DC60000}"/>
    <cellStyle name="Normal 8 2 6 3 2 2" xfId="36711" xr:uid="{00000000-0005-0000-0000-00004EC60000}"/>
    <cellStyle name="Normal 8 2 6 3 2 2 2" xfId="60076" xr:uid="{00000000-0005-0000-0000-00004FC60000}"/>
    <cellStyle name="Normal 8 2 6 3 2 2 3" xfId="60077" xr:uid="{00000000-0005-0000-0000-000050C60000}"/>
    <cellStyle name="Normal 8 2 6 3 2 3" xfId="36712" xr:uid="{00000000-0005-0000-0000-000051C60000}"/>
    <cellStyle name="Normal 8 2 6 3 2 3 2" xfId="60078" xr:uid="{00000000-0005-0000-0000-000052C60000}"/>
    <cellStyle name="Normal 8 2 6 3 2 4" xfId="36713" xr:uid="{00000000-0005-0000-0000-000053C60000}"/>
    <cellStyle name="Normal 8 2 6 3 2 5" xfId="36714" xr:uid="{00000000-0005-0000-0000-000054C60000}"/>
    <cellStyle name="Normal 8 2 6 3 2 6" xfId="36715" xr:uid="{00000000-0005-0000-0000-000055C60000}"/>
    <cellStyle name="Normal 8 2 6 3 3" xfId="36716" xr:uid="{00000000-0005-0000-0000-000056C60000}"/>
    <cellStyle name="Normal 8 2 6 3 3 2" xfId="60079" xr:uid="{00000000-0005-0000-0000-000057C60000}"/>
    <cellStyle name="Normal 8 2 6 3 3 3" xfId="60080" xr:uid="{00000000-0005-0000-0000-000058C60000}"/>
    <cellStyle name="Normal 8 2 6 3 4" xfId="36717" xr:uid="{00000000-0005-0000-0000-000059C60000}"/>
    <cellStyle name="Normal 8 2 6 3 4 2" xfId="60081" xr:uid="{00000000-0005-0000-0000-00005AC60000}"/>
    <cellStyle name="Normal 8 2 6 3 5" xfId="36718" xr:uid="{00000000-0005-0000-0000-00005BC60000}"/>
    <cellStyle name="Normal 8 2 6 3 6" xfId="36719" xr:uid="{00000000-0005-0000-0000-00005CC60000}"/>
    <cellStyle name="Normal 8 2 6 3 7" xfId="36720" xr:uid="{00000000-0005-0000-0000-00005DC60000}"/>
    <cellStyle name="Normal 8 2 6 4" xfId="36721" xr:uid="{00000000-0005-0000-0000-00005EC60000}"/>
    <cellStyle name="Normal 8 2 6 4 2" xfId="36722" xr:uid="{00000000-0005-0000-0000-00005FC60000}"/>
    <cellStyle name="Normal 8 2 6 4 2 2" xfId="60082" xr:uid="{00000000-0005-0000-0000-000060C60000}"/>
    <cellStyle name="Normal 8 2 6 4 2 3" xfId="60083" xr:uid="{00000000-0005-0000-0000-000061C60000}"/>
    <cellStyle name="Normal 8 2 6 4 3" xfId="36723" xr:uid="{00000000-0005-0000-0000-000062C60000}"/>
    <cellStyle name="Normal 8 2 6 4 3 2" xfId="60084" xr:uid="{00000000-0005-0000-0000-000063C60000}"/>
    <cellStyle name="Normal 8 2 6 4 4" xfId="36724" xr:uid="{00000000-0005-0000-0000-000064C60000}"/>
    <cellStyle name="Normal 8 2 6 4 5" xfId="36725" xr:uid="{00000000-0005-0000-0000-000065C60000}"/>
    <cellStyle name="Normal 8 2 6 4 6" xfId="36726" xr:uid="{00000000-0005-0000-0000-000066C60000}"/>
    <cellStyle name="Normal 8 2 6 5" xfId="36727" xr:uid="{00000000-0005-0000-0000-000067C60000}"/>
    <cellStyle name="Normal 8 2 6 5 2" xfId="60085" xr:uid="{00000000-0005-0000-0000-000068C60000}"/>
    <cellStyle name="Normal 8 2 6 5 3" xfId="60086" xr:uid="{00000000-0005-0000-0000-000069C60000}"/>
    <cellStyle name="Normal 8 2 6 6" xfId="36728" xr:uid="{00000000-0005-0000-0000-00006AC60000}"/>
    <cellStyle name="Normal 8 2 6 6 2" xfId="60087" xr:uid="{00000000-0005-0000-0000-00006BC60000}"/>
    <cellStyle name="Normal 8 2 6 7" xfId="36729" xr:uid="{00000000-0005-0000-0000-00006CC60000}"/>
    <cellStyle name="Normal 8 2 6 8" xfId="36730" xr:uid="{00000000-0005-0000-0000-00006DC60000}"/>
    <cellStyle name="Normal 8 2 6 9" xfId="36731" xr:uid="{00000000-0005-0000-0000-00006EC60000}"/>
    <cellStyle name="Normal 8 2 7" xfId="36732" xr:uid="{00000000-0005-0000-0000-00006FC60000}"/>
    <cellStyle name="Normal 8 2 7 2" xfId="36733" xr:uid="{00000000-0005-0000-0000-000070C60000}"/>
    <cellStyle name="Normal 8 2 7 2 2" xfId="36734" xr:uid="{00000000-0005-0000-0000-000071C60000}"/>
    <cellStyle name="Normal 8 2 7 2 2 2" xfId="36735" xr:uid="{00000000-0005-0000-0000-000072C60000}"/>
    <cellStyle name="Normal 8 2 7 2 2 2 2" xfId="60088" xr:uid="{00000000-0005-0000-0000-000073C60000}"/>
    <cellStyle name="Normal 8 2 7 2 2 2 3" xfId="60089" xr:uid="{00000000-0005-0000-0000-000074C60000}"/>
    <cellStyle name="Normal 8 2 7 2 2 3" xfId="36736" xr:uid="{00000000-0005-0000-0000-000075C60000}"/>
    <cellStyle name="Normal 8 2 7 2 2 3 2" xfId="60090" xr:uid="{00000000-0005-0000-0000-000076C60000}"/>
    <cellStyle name="Normal 8 2 7 2 2 4" xfId="36737" xr:uid="{00000000-0005-0000-0000-000077C60000}"/>
    <cellStyle name="Normal 8 2 7 2 2 5" xfId="36738" xr:uid="{00000000-0005-0000-0000-000078C60000}"/>
    <cellStyle name="Normal 8 2 7 2 2 6" xfId="36739" xr:uid="{00000000-0005-0000-0000-000079C60000}"/>
    <cellStyle name="Normal 8 2 7 2 3" xfId="36740" xr:uid="{00000000-0005-0000-0000-00007AC60000}"/>
    <cellStyle name="Normal 8 2 7 2 3 2" xfId="60091" xr:uid="{00000000-0005-0000-0000-00007BC60000}"/>
    <cellStyle name="Normal 8 2 7 2 3 3" xfId="60092" xr:uid="{00000000-0005-0000-0000-00007CC60000}"/>
    <cellStyle name="Normal 8 2 7 2 4" xfId="36741" xr:uid="{00000000-0005-0000-0000-00007DC60000}"/>
    <cellStyle name="Normal 8 2 7 2 4 2" xfId="60093" xr:uid="{00000000-0005-0000-0000-00007EC60000}"/>
    <cellStyle name="Normal 8 2 7 2 5" xfId="36742" xr:uid="{00000000-0005-0000-0000-00007FC60000}"/>
    <cellStyle name="Normal 8 2 7 2 6" xfId="36743" xr:uid="{00000000-0005-0000-0000-000080C60000}"/>
    <cellStyle name="Normal 8 2 7 2 7" xfId="36744" xr:uid="{00000000-0005-0000-0000-000081C60000}"/>
    <cellStyle name="Normal 8 2 7 3" xfId="36745" xr:uid="{00000000-0005-0000-0000-000082C60000}"/>
    <cellStyle name="Normal 8 2 7 3 2" xfId="36746" xr:uid="{00000000-0005-0000-0000-000083C60000}"/>
    <cellStyle name="Normal 8 2 7 3 2 2" xfId="60094" xr:uid="{00000000-0005-0000-0000-000084C60000}"/>
    <cellStyle name="Normal 8 2 7 3 2 3" xfId="60095" xr:uid="{00000000-0005-0000-0000-000085C60000}"/>
    <cellStyle name="Normal 8 2 7 3 3" xfId="36747" xr:uid="{00000000-0005-0000-0000-000086C60000}"/>
    <cellStyle name="Normal 8 2 7 3 3 2" xfId="60096" xr:uid="{00000000-0005-0000-0000-000087C60000}"/>
    <cellStyle name="Normal 8 2 7 3 4" xfId="36748" xr:uid="{00000000-0005-0000-0000-000088C60000}"/>
    <cellStyle name="Normal 8 2 7 3 5" xfId="36749" xr:uid="{00000000-0005-0000-0000-000089C60000}"/>
    <cellStyle name="Normal 8 2 7 3 6" xfId="36750" xr:uid="{00000000-0005-0000-0000-00008AC60000}"/>
    <cellStyle name="Normal 8 2 7 4" xfId="36751" xr:uid="{00000000-0005-0000-0000-00008BC60000}"/>
    <cellStyle name="Normal 8 2 7 4 2" xfId="60097" xr:uid="{00000000-0005-0000-0000-00008CC60000}"/>
    <cellStyle name="Normal 8 2 7 4 3" xfId="60098" xr:uid="{00000000-0005-0000-0000-00008DC60000}"/>
    <cellStyle name="Normal 8 2 7 5" xfId="36752" xr:uid="{00000000-0005-0000-0000-00008EC60000}"/>
    <cellStyle name="Normal 8 2 7 5 2" xfId="60099" xr:uid="{00000000-0005-0000-0000-00008FC60000}"/>
    <cellStyle name="Normal 8 2 7 6" xfId="36753" xr:uid="{00000000-0005-0000-0000-000090C60000}"/>
    <cellStyle name="Normal 8 2 7 7" xfId="36754" xr:uid="{00000000-0005-0000-0000-000091C60000}"/>
    <cellStyle name="Normal 8 2 7 8" xfId="36755" xr:uid="{00000000-0005-0000-0000-000092C60000}"/>
    <cellStyle name="Normal 8 2 7 9" xfId="36756" xr:uid="{00000000-0005-0000-0000-000093C60000}"/>
    <cellStyle name="Normal 8 2 8" xfId="36757" xr:uid="{00000000-0005-0000-0000-000094C60000}"/>
    <cellStyle name="Normal 8 2 8 2" xfId="36758" xr:uid="{00000000-0005-0000-0000-000095C60000}"/>
    <cellStyle name="Normal 8 2 8 2 2" xfId="36759" xr:uid="{00000000-0005-0000-0000-000096C60000}"/>
    <cellStyle name="Normal 8 2 8 2 2 2" xfId="36760" xr:uid="{00000000-0005-0000-0000-000097C60000}"/>
    <cellStyle name="Normal 8 2 8 2 2 2 2" xfId="60100" xr:uid="{00000000-0005-0000-0000-000098C60000}"/>
    <cellStyle name="Normal 8 2 8 2 2 2 3" xfId="60101" xr:uid="{00000000-0005-0000-0000-000099C60000}"/>
    <cellStyle name="Normal 8 2 8 2 2 3" xfId="36761" xr:uid="{00000000-0005-0000-0000-00009AC60000}"/>
    <cellStyle name="Normal 8 2 8 2 2 3 2" xfId="60102" xr:uid="{00000000-0005-0000-0000-00009BC60000}"/>
    <cellStyle name="Normal 8 2 8 2 2 4" xfId="36762" xr:uid="{00000000-0005-0000-0000-00009CC60000}"/>
    <cellStyle name="Normal 8 2 8 2 2 5" xfId="36763" xr:uid="{00000000-0005-0000-0000-00009DC60000}"/>
    <cellStyle name="Normal 8 2 8 2 2 6" xfId="36764" xr:uid="{00000000-0005-0000-0000-00009EC60000}"/>
    <cellStyle name="Normal 8 2 8 2 3" xfId="36765" xr:uid="{00000000-0005-0000-0000-00009FC60000}"/>
    <cellStyle name="Normal 8 2 8 2 3 2" xfId="60103" xr:uid="{00000000-0005-0000-0000-0000A0C60000}"/>
    <cellStyle name="Normal 8 2 8 2 3 3" xfId="60104" xr:uid="{00000000-0005-0000-0000-0000A1C60000}"/>
    <cellStyle name="Normal 8 2 8 2 4" xfId="36766" xr:uid="{00000000-0005-0000-0000-0000A2C60000}"/>
    <cellStyle name="Normal 8 2 8 2 4 2" xfId="60105" xr:uid="{00000000-0005-0000-0000-0000A3C60000}"/>
    <cellStyle name="Normal 8 2 8 2 5" xfId="36767" xr:uid="{00000000-0005-0000-0000-0000A4C60000}"/>
    <cellStyle name="Normal 8 2 8 2 6" xfId="36768" xr:uid="{00000000-0005-0000-0000-0000A5C60000}"/>
    <cellStyle name="Normal 8 2 8 2 7" xfId="36769" xr:uid="{00000000-0005-0000-0000-0000A6C60000}"/>
    <cellStyle name="Normal 8 2 8 3" xfId="36770" xr:uid="{00000000-0005-0000-0000-0000A7C60000}"/>
    <cellStyle name="Normal 8 2 8 3 2" xfId="36771" xr:uid="{00000000-0005-0000-0000-0000A8C60000}"/>
    <cellStyle name="Normal 8 2 8 3 2 2" xfId="60106" xr:uid="{00000000-0005-0000-0000-0000A9C60000}"/>
    <cellStyle name="Normal 8 2 8 3 2 3" xfId="60107" xr:uid="{00000000-0005-0000-0000-0000AAC60000}"/>
    <cellStyle name="Normal 8 2 8 3 3" xfId="36772" xr:uid="{00000000-0005-0000-0000-0000ABC60000}"/>
    <cellStyle name="Normal 8 2 8 3 3 2" xfId="60108" xr:uid="{00000000-0005-0000-0000-0000ACC60000}"/>
    <cellStyle name="Normal 8 2 8 3 4" xfId="36773" xr:uid="{00000000-0005-0000-0000-0000ADC60000}"/>
    <cellStyle name="Normal 8 2 8 3 5" xfId="36774" xr:uid="{00000000-0005-0000-0000-0000AEC60000}"/>
    <cellStyle name="Normal 8 2 8 3 6" xfId="36775" xr:uid="{00000000-0005-0000-0000-0000AFC60000}"/>
    <cellStyle name="Normal 8 2 8 4" xfId="36776" xr:uid="{00000000-0005-0000-0000-0000B0C60000}"/>
    <cellStyle name="Normal 8 2 8 4 2" xfId="60109" xr:uid="{00000000-0005-0000-0000-0000B1C60000}"/>
    <cellStyle name="Normal 8 2 8 4 3" xfId="60110" xr:uid="{00000000-0005-0000-0000-0000B2C60000}"/>
    <cellStyle name="Normal 8 2 8 5" xfId="36777" xr:uid="{00000000-0005-0000-0000-0000B3C60000}"/>
    <cellStyle name="Normal 8 2 8 5 2" xfId="60111" xr:uid="{00000000-0005-0000-0000-0000B4C60000}"/>
    <cellStyle name="Normal 8 2 8 6" xfId="36778" xr:uid="{00000000-0005-0000-0000-0000B5C60000}"/>
    <cellStyle name="Normal 8 2 8 7" xfId="36779" xr:uid="{00000000-0005-0000-0000-0000B6C60000}"/>
    <cellStyle name="Normal 8 2 8 8" xfId="36780" xr:uid="{00000000-0005-0000-0000-0000B7C60000}"/>
    <cellStyle name="Normal 8 2 9" xfId="36781" xr:uid="{00000000-0005-0000-0000-0000B8C60000}"/>
    <cellStyle name="Normal 8 2 9 2" xfId="36782" xr:uid="{00000000-0005-0000-0000-0000B9C60000}"/>
    <cellStyle name="Normal 8 2 9 2 2" xfId="36783" xr:uid="{00000000-0005-0000-0000-0000BAC60000}"/>
    <cellStyle name="Normal 8 2 9 2 2 2" xfId="36784" xr:uid="{00000000-0005-0000-0000-0000BBC60000}"/>
    <cellStyle name="Normal 8 2 9 2 2 2 2" xfId="60112" xr:uid="{00000000-0005-0000-0000-0000BCC60000}"/>
    <cellStyle name="Normal 8 2 9 2 2 2 3" xfId="60113" xr:uid="{00000000-0005-0000-0000-0000BDC60000}"/>
    <cellStyle name="Normal 8 2 9 2 2 3" xfId="36785" xr:uid="{00000000-0005-0000-0000-0000BEC60000}"/>
    <cellStyle name="Normal 8 2 9 2 2 3 2" xfId="60114" xr:uid="{00000000-0005-0000-0000-0000BFC60000}"/>
    <cellStyle name="Normal 8 2 9 2 2 4" xfId="36786" xr:uid="{00000000-0005-0000-0000-0000C0C60000}"/>
    <cellStyle name="Normal 8 2 9 2 2 5" xfId="36787" xr:uid="{00000000-0005-0000-0000-0000C1C60000}"/>
    <cellStyle name="Normal 8 2 9 2 2 6" xfId="36788" xr:uid="{00000000-0005-0000-0000-0000C2C60000}"/>
    <cellStyle name="Normal 8 2 9 2 3" xfId="36789" xr:uid="{00000000-0005-0000-0000-0000C3C60000}"/>
    <cellStyle name="Normal 8 2 9 2 3 2" xfId="60115" xr:uid="{00000000-0005-0000-0000-0000C4C60000}"/>
    <cellStyle name="Normal 8 2 9 2 3 3" xfId="60116" xr:uid="{00000000-0005-0000-0000-0000C5C60000}"/>
    <cellStyle name="Normal 8 2 9 2 4" xfId="36790" xr:uid="{00000000-0005-0000-0000-0000C6C60000}"/>
    <cellStyle name="Normal 8 2 9 2 4 2" xfId="60117" xr:uid="{00000000-0005-0000-0000-0000C7C60000}"/>
    <cellStyle name="Normal 8 2 9 2 5" xfId="36791" xr:uid="{00000000-0005-0000-0000-0000C8C60000}"/>
    <cellStyle name="Normal 8 2 9 2 6" xfId="36792" xr:uid="{00000000-0005-0000-0000-0000C9C60000}"/>
    <cellStyle name="Normal 8 2 9 2 7" xfId="36793" xr:uid="{00000000-0005-0000-0000-0000CAC60000}"/>
    <cellStyle name="Normal 8 2 9 3" xfId="36794" xr:uid="{00000000-0005-0000-0000-0000CBC60000}"/>
    <cellStyle name="Normal 8 2 9 3 2" xfId="36795" xr:uid="{00000000-0005-0000-0000-0000CCC60000}"/>
    <cellStyle name="Normal 8 2 9 3 2 2" xfId="60118" xr:uid="{00000000-0005-0000-0000-0000CDC60000}"/>
    <cellStyle name="Normal 8 2 9 3 2 3" xfId="60119" xr:uid="{00000000-0005-0000-0000-0000CEC60000}"/>
    <cellStyle name="Normal 8 2 9 3 3" xfId="36796" xr:uid="{00000000-0005-0000-0000-0000CFC60000}"/>
    <cellStyle name="Normal 8 2 9 3 3 2" xfId="60120" xr:uid="{00000000-0005-0000-0000-0000D0C60000}"/>
    <cellStyle name="Normal 8 2 9 3 4" xfId="36797" xr:uid="{00000000-0005-0000-0000-0000D1C60000}"/>
    <cellStyle name="Normal 8 2 9 3 5" xfId="36798" xr:uid="{00000000-0005-0000-0000-0000D2C60000}"/>
    <cellStyle name="Normal 8 2 9 3 6" xfId="36799" xr:uid="{00000000-0005-0000-0000-0000D3C60000}"/>
    <cellStyle name="Normal 8 2 9 4" xfId="36800" xr:uid="{00000000-0005-0000-0000-0000D4C60000}"/>
    <cellStyle name="Normal 8 2 9 4 2" xfId="60121" xr:uid="{00000000-0005-0000-0000-0000D5C60000}"/>
    <cellStyle name="Normal 8 2 9 4 3" xfId="60122" xr:uid="{00000000-0005-0000-0000-0000D6C60000}"/>
    <cellStyle name="Normal 8 2 9 5" xfId="36801" xr:uid="{00000000-0005-0000-0000-0000D7C60000}"/>
    <cellStyle name="Normal 8 2 9 5 2" xfId="60123" xr:uid="{00000000-0005-0000-0000-0000D8C60000}"/>
    <cellStyle name="Normal 8 2 9 6" xfId="36802" xr:uid="{00000000-0005-0000-0000-0000D9C60000}"/>
    <cellStyle name="Normal 8 2 9 7" xfId="36803" xr:uid="{00000000-0005-0000-0000-0000DAC60000}"/>
    <cellStyle name="Normal 8 2 9 8" xfId="36804" xr:uid="{00000000-0005-0000-0000-0000DBC60000}"/>
    <cellStyle name="Normal 8 20" xfId="36805" xr:uid="{00000000-0005-0000-0000-0000DCC60000}"/>
    <cellStyle name="Normal 8 21" xfId="36806" xr:uid="{00000000-0005-0000-0000-0000DDC60000}"/>
    <cellStyle name="Normal 8 22" xfId="36807" xr:uid="{00000000-0005-0000-0000-0000DEC60000}"/>
    <cellStyle name="Normal 8 3" xfId="36808" xr:uid="{00000000-0005-0000-0000-0000DFC60000}"/>
    <cellStyle name="Normal 8 3 10" xfId="36809" xr:uid="{00000000-0005-0000-0000-0000E0C60000}"/>
    <cellStyle name="Normal 8 3 10 2" xfId="36810" xr:uid="{00000000-0005-0000-0000-0000E1C60000}"/>
    <cellStyle name="Normal 8 3 10 2 2" xfId="36811" xr:uid="{00000000-0005-0000-0000-0000E2C60000}"/>
    <cellStyle name="Normal 8 3 10 2 2 2" xfId="60124" xr:uid="{00000000-0005-0000-0000-0000E3C60000}"/>
    <cellStyle name="Normal 8 3 10 2 2 3" xfId="60125" xr:uid="{00000000-0005-0000-0000-0000E4C60000}"/>
    <cellStyle name="Normal 8 3 10 2 3" xfId="36812" xr:uid="{00000000-0005-0000-0000-0000E5C60000}"/>
    <cellStyle name="Normal 8 3 10 2 3 2" xfId="60126" xr:uid="{00000000-0005-0000-0000-0000E6C60000}"/>
    <cellStyle name="Normal 8 3 10 2 4" xfId="36813" xr:uid="{00000000-0005-0000-0000-0000E7C60000}"/>
    <cellStyle name="Normal 8 3 10 2 5" xfId="36814" xr:uid="{00000000-0005-0000-0000-0000E8C60000}"/>
    <cellStyle name="Normal 8 3 10 2 6" xfId="36815" xr:uid="{00000000-0005-0000-0000-0000E9C60000}"/>
    <cellStyle name="Normal 8 3 10 3" xfId="36816" xr:uid="{00000000-0005-0000-0000-0000EAC60000}"/>
    <cellStyle name="Normal 8 3 10 3 2" xfId="60127" xr:uid="{00000000-0005-0000-0000-0000EBC60000}"/>
    <cellStyle name="Normal 8 3 10 3 3" xfId="60128" xr:uid="{00000000-0005-0000-0000-0000ECC60000}"/>
    <cellStyle name="Normal 8 3 10 4" xfId="36817" xr:uid="{00000000-0005-0000-0000-0000EDC60000}"/>
    <cellStyle name="Normal 8 3 10 4 2" xfId="60129" xr:uid="{00000000-0005-0000-0000-0000EEC60000}"/>
    <cellStyle name="Normal 8 3 10 5" xfId="36818" xr:uid="{00000000-0005-0000-0000-0000EFC60000}"/>
    <cellStyle name="Normal 8 3 10 6" xfId="36819" xr:uid="{00000000-0005-0000-0000-0000F0C60000}"/>
    <cellStyle name="Normal 8 3 10 7" xfId="36820" xr:uid="{00000000-0005-0000-0000-0000F1C60000}"/>
    <cellStyle name="Normal 8 3 11" xfId="36821" xr:uid="{00000000-0005-0000-0000-0000F2C60000}"/>
    <cellStyle name="Normal 8 3 11 2" xfId="36822" xr:uid="{00000000-0005-0000-0000-0000F3C60000}"/>
    <cellStyle name="Normal 8 3 11 2 2" xfId="60130" xr:uid="{00000000-0005-0000-0000-0000F4C60000}"/>
    <cellStyle name="Normal 8 3 11 2 3" xfId="60131" xr:uid="{00000000-0005-0000-0000-0000F5C60000}"/>
    <cellStyle name="Normal 8 3 11 3" xfId="36823" xr:uid="{00000000-0005-0000-0000-0000F6C60000}"/>
    <cellStyle name="Normal 8 3 11 3 2" xfId="60132" xr:uid="{00000000-0005-0000-0000-0000F7C60000}"/>
    <cellStyle name="Normal 8 3 11 4" xfId="36824" xr:uid="{00000000-0005-0000-0000-0000F8C60000}"/>
    <cellStyle name="Normal 8 3 11 5" xfId="36825" xr:uid="{00000000-0005-0000-0000-0000F9C60000}"/>
    <cellStyle name="Normal 8 3 11 6" xfId="36826" xr:uid="{00000000-0005-0000-0000-0000FAC60000}"/>
    <cellStyle name="Normal 8 3 12" xfId="36827" xr:uid="{00000000-0005-0000-0000-0000FBC60000}"/>
    <cellStyle name="Normal 8 3 12 2" xfId="60133" xr:uid="{00000000-0005-0000-0000-0000FCC60000}"/>
    <cellStyle name="Normal 8 3 12 3" xfId="60134" xr:uid="{00000000-0005-0000-0000-0000FDC60000}"/>
    <cellStyle name="Normal 8 3 13" xfId="36828" xr:uid="{00000000-0005-0000-0000-0000FEC60000}"/>
    <cellStyle name="Normal 8 3 13 2" xfId="60135" xr:uid="{00000000-0005-0000-0000-0000FFC60000}"/>
    <cellStyle name="Normal 8 3 14" xfId="36829" xr:uid="{00000000-0005-0000-0000-000000C70000}"/>
    <cellStyle name="Normal 8 3 14 2" xfId="60136" xr:uid="{00000000-0005-0000-0000-000001C70000}"/>
    <cellStyle name="Normal 8 3 15" xfId="36830" xr:uid="{00000000-0005-0000-0000-000002C70000}"/>
    <cellStyle name="Normal 8 3 16" xfId="36831" xr:uid="{00000000-0005-0000-0000-000003C70000}"/>
    <cellStyle name="Normal 8 3 17" xfId="36832" xr:uid="{00000000-0005-0000-0000-000004C70000}"/>
    <cellStyle name="Normal 8 3 18" xfId="36833" xr:uid="{00000000-0005-0000-0000-000005C70000}"/>
    <cellStyle name="Normal 8 3 19" xfId="36834" xr:uid="{00000000-0005-0000-0000-000006C70000}"/>
    <cellStyle name="Normal 8 3 2" xfId="36835" xr:uid="{00000000-0005-0000-0000-000007C70000}"/>
    <cellStyle name="Normal 8 3 2 10" xfId="36836" xr:uid="{00000000-0005-0000-0000-000008C70000}"/>
    <cellStyle name="Normal 8 3 2 11" xfId="36837" xr:uid="{00000000-0005-0000-0000-000009C70000}"/>
    <cellStyle name="Normal 8 3 2 12" xfId="36838" xr:uid="{00000000-0005-0000-0000-00000AC70000}"/>
    <cellStyle name="Normal 8 3 2 13" xfId="36839" xr:uid="{00000000-0005-0000-0000-00000BC70000}"/>
    <cellStyle name="Normal 8 3 2 14" xfId="36840" xr:uid="{00000000-0005-0000-0000-00000CC70000}"/>
    <cellStyle name="Normal 8 3 2 15" xfId="36841" xr:uid="{00000000-0005-0000-0000-00000DC70000}"/>
    <cellStyle name="Normal 8 3 2 2" xfId="36842" xr:uid="{00000000-0005-0000-0000-00000EC70000}"/>
    <cellStyle name="Normal 8 3 2 2 10" xfId="36843" xr:uid="{00000000-0005-0000-0000-00000FC70000}"/>
    <cellStyle name="Normal 8 3 2 2 11" xfId="36844" xr:uid="{00000000-0005-0000-0000-000010C70000}"/>
    <cellStyle name="Normal 8 3 2 2 12" xfId="36845" xr:uid="{00000000-0005-0000-0000-000011C70000}"/>
    <cellStyle name="Normal 8 3 2 2 13" xfId="36846" xr:uid="{00000000-0005-0000-0000-000012C70000}"/>
    <cellStyle name="Normal 8 3 2 2 14" xfId="36847" xr:uid="{00000000-0005-0000-0000-000013C70000}"/>
    <cellStyle name="Normal 8 3 2 2 2" xfId="36848" xr:uid="{00000000-0005-0000-0000-000014C70000}"/>
    <cellStyle name="Normal 8 3 2 2 2 2" xfId="36849" xr:uid="{00000000-0005-0000-0000-000015C70000}"/>
    <cellStyle name="Normal 8 3 2 2 2 2 2" xfId="36850" xr:uid="{00000000-0005-0000-0000-000016C70000}"/>
    <cellStyle name="Normal 8 3 2 2 2 2 2 2" xfId="36851" xr:uid="{00000000-0005-0000-0000-000017C70000}"/>
    <cellStyle name="Normal 8 3 2 2 2 2 2 2 2" xfId="60137" xr:uid="{00000000-0005-0000-0000-000018C70000}"/>
    <cellStyle name="Normal 8 3 2 2 2 2 2 2 3" xfId="60138" xr:uid="{00000000-0005-0000-0000-000019C70000}"/>
    <cellStyle name="Normal 8 3 2 2 2 2 2 3" xfId="36852" xr:uid="{00000000-0005-0000-0000-00001AC70000}"/>
    <cellStyle name="Normal 8 3 2 2 2 2 2 3 2" xfId="60139" xr:uid="{00000000-0005-0000-0000-00001BC70000}"/>
    <cellStyle name="Normal 8 3 2 2 2 2 2 4" xfId="36853" xr:uid="{00000000-0005-0000-0000-00001CC70000}"/>
    <cellStyle name="Normal 8 3 2 2 2 2 2 5" xfId="36854" xr:uid="{00000000-0005-0000-0000-00001DC70000}"/>
    <cellStyle name="Normal 8 3 2 2 2 2 2 6" xfId="36855" xr:uid="{00000000-0005-0000-0000-00001EC70000}"/>
    <cellStyle name="Normal 8 3 2 2 2 2 3" xfId="36856" xr:uid="{00000000-0005-0000-0000-00001FC70000}"/>
    <cellStyle name="Normal 8 3 2 2 2 2 3 2" xfId="60140" xr:uid="{00000000-0005-0000-0000-000020C70000}"/>
    <cellStyle name="Normal 8 3 2 2 2 2 3 3" xfId="60141" xr:uid="{00000000-0005-0000-0000-000021C70000}"/>
    <cellStyle name="Normal 8 3 2 2 2 2 4" xfId="36857" xr:uid="{00000000-0005-0000-0000-000022C70000}"/>
    <cellStyle name="Normal 8 3 2 2 2 2 4 2" xfId="60142" xr:uid="{00000000-0005-0000-0000-000023C70000}"/>
    <cellStyle name="Normal 8 3 2 2 2 2 5" xfId="36858" xr:uid="{00000000-0005-0000-0000-000024C70000}"/>
    <cellStyle name="Normal 8 3 2 2 2 2 6" xfId="36859" xr:uid="{00000000-0005-0000-0000-000025C70000}"/>
    <cellStyle name="Normal 8 3 2 2 2 2 7" xfId="36860" xr:uid="{00000000-0005-0000-0000-000026C70000}"/>
    <cellStyle name="Normal 8 3 2 2 2 3" xfId="36861" xr:uid="{00000000-0005-0000-0000-000027C70000}"/>
    <cellStyle name="Normal 8 3 2 2 2 3 2" xfId="36862" xr:uid="{00000000-0005-0000-0000-000028C70000}"/>
    <cellStyle name="Normal 8 3 2 2 2 3 2 2" xfId="60143" xr:uid="{00000000-0005-0000-0000-000029C70000}"/>
    <cellStyle name="Normal 8 3 2 2 2 3 2 3" xfId="60144" xr:uid="{00000000-0005-0000-0000-00002AC70000}"/>
    <cellStyle name="Normal 8 3 2 2 2 3 3" xfId="36863" xr:uid="{00000000-0005-0000-0000-00002BC70000}"/>
    <cellStyle name="Normal 8 3 2 2 2 3 3 2" xfId="60145" xr:uid="{00000000-0005-0000-0000-00002CC70000}"/>
    <cellStyle name="Normal 8 3 2 2 2 3 4" xfId="36864" xr:uid="{00000000-0005-0000-0000-00002DC70000}"/>
    <cellStyle name="Normal 8 3 2 2 2 3 5" xfId="36865" xr:uid="{00000000-0005-0000-0000-00002EC70000}"/>
    <cellStyle name="Normal 8 3 2 2 2 3 6" xfId="36866" xr:uid="{00000000-0005-0000-0000-00002FC70000}"/>
    <cellStyle name="Normal 8 3 2 2 2 4" xfId="36867" xr:uid="{00000000-0005-0000-0000-000030C70000}"/>
    <cellStyle name="Normal 8 3 2 2 2 4 2" xfId="60146" xr:uid="{00000000-0005-0000-0000-000031C70000}"/>
    <cellStyle name="Normal 8 3 2 2 2 4 3" xfId="60147" xr:uid="{00000000-0005-0000-0000-000032C70000}"/>
    <cellStyle name="Normal 8 3 2 2 2 5" xfId="36868" xr:uid="{00000000-0005-0000-0000-000033C70000}"/>
    <cellStyle name="Normal 8 3 2 2 2 5 2" xfId="60148" xr:uid="{00000000-0005-0000-0000-000034C70000}"/>
    <cellStyle name="Normal 8 3 2 2 2 6" xfId="36869" xr:uid="{00000000-0005-0000-0000-000035C70000}"/>
    <cellStyle name="Normal 8 3 2 2 2 7" xfId="36870" xr:uid="{00000000-0005-0000-0000-000036C70000}"/>
    <cellStyle name="Normal 8 3 2 2 2 8" xfId="36871" xr:uid="{00000000-0005-0000-0000-000037C70000}"/>
    <cellStyle name="Normal 8 3 2 2 2 9" xfId="36872" xr:uid="{00000000-0005-0000-0000-000038C70000}"/>
    <cellStyle name="Normal 8 3 2 2 3" xfId="36873" xr:uid="{00000000-0005-0000-0000-000039C70000}"/>
    <cellStyle name="Normal 8 3 2 2 3 2" xfId="36874" xr:uid="{00000000-0005-0000-0000-00003AC70000}"/>
    <cellStyle name="Normal 8 3 2 2 3 2 2" xfId="36875" xr:uid="{00000000-0005-0000-0000-00003BC70000}"/>
    <cellStyle name="Normal 8 3 2 2 3 2 2 2" xfId="36876" xr:uid="{00000000-0005-0000-0000-00003CC70000}"/>
    <cellStyle name="Normal 8 3 2 2 3 2 2 2 2" xfId="60149" xr:uid="{00000000-0005-0000-0000-00003DC70000}"/>
    <cellStyle name="Normal 8 3 2 2 3 2 2 2 3" xfId="60150" xr:uid="{00000000-0005-0000-0000-00003EC70000}"/>
    <cellStyle name="Normal 8 3 2 2 3 2 2 3" xfId="36877" xr:uid="{00000000-0005-0000-0000-00003FC70000}"/>
    <cellStyle name="Normal 8 3 2 2 3 2 2 3 2" xfId="60151" xr:uid="{00000000-0005-0000-0000-000040C70000}"/>
    <cellStyle name="Normal 8 3 2 2 3 2 2 4" xfId="36878" xr:uid="{00000000-0005-0000-0000-000041C70000}"/>
    <cellStyle name="Normal 8 3 2 2 3 2 2 5" xfId="36879" xr:uid="{00000000-0005-0000-0000-000042C70000}"/>
    <cellStyle name="Normal 8 3 2 2 3 2 2 6" xfId="36880" xr:uid="{00000000-0005-0000-0000-000043C70000}"/>
    <cellStyle name="Normal 8 3 2 2 3 2 3" xfId="36881" xr:uid="{00000000-0005-0000-0000-000044C70000}"/>
    <cellStyle name="Normal 8 3 2 2 3 2 3 2" xfId="60152" xr:uid="{00000000-0005-0000-0000-000045C70000}"/>
    <cellStyle name="Normal 8 3 2 2 3 2 3 3" xfId="60153" xr:uid="{00000000-0005-0000-0000-000046C70000}"/>
    <cellStyle name="Normal 8 3 2 2 3 2 4" xfId="36882" xr:uid="{00000000-0005-0000-0000-000047C70000}"/>
    <cellStyle name="Normal 8 3 2 2 3 2 4 2" xfId="60154" xr:uid="{00000000-0005-0000-0000-000048C70000}"/>
    <cellStyle name="Normal 8 3 2 2 3 2 5" xfId="36883" xr:uid="{00000000-0005-0000-0000-000049C70000}"/>
    <cellStyle name="Normal 8 3 2 2 3 2 6" xfId="36884" xr:uid="{00000000-0005-0000-0000-00004AC70000}"/>
    <cellStyle name="Normal 8 3 2 2 3 2 7" xfId="36885" xr:uid="{00000000-0005-0000-0000-00004BC70000}"/>
    <cellStyle name="Normal 8 3 2 2 3 3" xfId="36886" xr:uid="{00000000-0005-0000-0000-00004CC70000}"/>
    <cellStyle name="Normal 8 3 2 2 3 3 2" xfId="36887" xr:uid="{00000000-0005-0000-0000-00004DC70000}"/>
    <cellStyle name="Normal 8 3 2 2 3 3 2 2" xfId="60155" xr:uid="{00000000-0005-0000-0000-00004EC70000}"/>
    <cellStyle name="Normal 8 3 2 2 3 3 2 3" xfId="60156" xr:uid="{00000000-0005-0000-0000-00004FC70000}"/>
    <cellStyle name="Normal 8 3 2 2 3 3 3" xfId="36888" xr:uid="{00000000-0005-0000-0000-000050C70000}"/>
    <cellStyle name="Normal 8 3 2 2 3 3 3 2" xfId="60157" xr:uid="{00000000-0005-0000-0000-000051C70000}"/>
    <cellStyle name="Normal 8 3 2 2 3 3 4" xfId="36889" xr:uid="{00000000-0005-0000-0000-000052C70000}"/>
    <cellStyle name="Normal 8 3 2 2 3 3 5" xfId="36890" xr:uid="{00000000-0005-0000-0000-000053C70000}"/>
    <cellStyle name="Normal 8 3 2 2 3 3 6" xfId="36891" xr:uid="{00000000-0005-0000-0000-000054C70000}"/>
    <cellStyle name="Normal 8 3 2 2 3 4" xfId="36892" xr:uid="{00000000-0005-0000-0000-000055C70000}"/>
    <cellStyle name="Normal 8 3 2 2 3 4 2" xfId="60158" xr:uid="{00000000-0005-0000-0000-000056C70000}"/>
    <cellStyle name="Normal 8 3 2 2 3 4 3" xfId="60159" xr:uid="{00000000-0005-0000-0000-000057C70000}"/>
    <cellStyle name="Normal 8 3 2 2 3 5" xfId="36893" xr:uid="{00000000-0005-0000-0000-000058C70000}"/>
    <cellStyle name="Normal 8 3 2 2 3 5 2" xfId="60160" xr:uid="{00000000-0005-0000-0000-000059C70000}"/>
    <cellStyle name="Normal 8 3 2 2 3 6" xfId="36894" xr:uid="{00000000-0005-0000-0000-00005AC70000}"/>
    <cellStyle name="Normal 8 3 2 2 3 7" xfId="36895" xr:uid="{00000000-0005-0000-0000-00005BC70000}"/>
    <cellStyle name="Normal 8 3 2 2 3 8" xfId="36896" xr:uid="{00000000-0005-0000-0000-00005CC70000}"/>
    <cellStyle name="Normal 8 3 2 2 4" xfId="36897" xr:uid="{00000000-0005-0000-0000-00005DC70000}"/>
    <cellStyle name="Normal 8 3 2 2 4 2" xfId="36898" xr:uid="{00000000-0005-0000-0000-00005EC70000}"/>
    <cellStyle name="Normal 8 3 2 2 4 2 2" xfId="36899" xr:uid="{00000000-0005-0000-0000-00005FC70000}"/>
    <cellStyle name="Normal 8 3 2 2 4 2 2 2" xfId="60161" xr:uid="{00000000-0005-0000-0000-000060C70000}"/>
    <cellStyle name="Normal 8 3 2 2 4 2 2 3" xfId="60162" xr:uid="{00000000-0005-0000-0000-000061C70000}"/>
    <cellStyle name="Normal 8 3 2 2 4 2 3" xfId="36900" xr:uid="{00000000-0005-0000-0000-000062C70000}"/>
    <cellStyle name="Normal 8 3 2 2 4 2 3 2" xfId="60163" xr:uid="{00000000-0005-0000-0000-000063C70000}"/>
    <cellStyle name="Normal 8 3 2 2 4 2 4" xfId="36901" xr:uid="{00000000-0005-0000-0000-000064C70000}"/>
    <cellStyle name="Normal 8 3 2 2 4 2 5" xfId="36902" xr:uid="{00000000-0005-0000-0000-000065C70000}"/>
    <cellStyle name="Normal 8 3 2 2 4 2 6" xfId="36903" xr:uid="{00000000-0005-0000-0000-000066C70000}"/>
    <cellStyle name="Normal 8 3 2 2 4 3" xfId="36904" xr:uid="{00000000-0005-0000-0000-000067C70000}"/>
    <cellStyle name="Normal 8 3 2 2 4 3 2" xfId="60164" xr:uid="{00000000-0005-0000-0000-000068C70000}"/>
    <cellStyle name="Normal 8 3 2 2 4 3 3" xfId="60165" xr:uid="{00000000-0005-0000-0000-000069C70000}"/>
    <cellStyle name="Normal 8 3 2 2 4 4" xfId="36905" xr:uid="{00000000-0005-0000-0000-00006AC70000}"/>
    <cellStyle name="Normal 8 3 2 2 4 4 2" xfId="60166" xr:uid="{00000000-0005-0000-0000-00006BC70000}"/>
    <cellStyle name="Normal 8 3 2 2 4 5" xfId="36906" xr:uid="{00000000-0005-0000-0000-00006CC70000}"/>
    <cellStyle name="Normal 8 3 2 2 4 6" xfId="36907" xr:uid="{00000000-0005-0000-0000-00006DC70000}"/>
    <cellStyle name="Normal 8 3 2 2 4 7" xfId="36908" xr:uid="{00000000-0005-0000-0000-00006EC70000}"/>
    <cellStyle name="Normal 8 3 2 2 5" xfId="36909" xr:uid="{00000000-0005-0000-0000-00006FC70000}"/>
    <cellStyle name="Normal 8 3 2 2 5 2" xfId="36910" xr:uid="{00000000-0005-0000-0000-000070C70000}"/>
    <cellStyle name="Normal 8 3 2 2 5 2 2" xfId="60167" xr:uid="{00000000-0005-0000-0000-000071C70000}"/>
    <cellStyle name="Normal 8 3 2 2 5 2 3" xfId="60168" xr:uid="{00000000-0005-0000-0000-000072C70000}"/>
    <cellStyle name="Normal 8 3 2 2 5 3" xfId="36911" xr:uid="{00000000-0005-0000-0000-000073C70000}"/>
    <cellStyle name="Normal 8 3 2 2 5 3 2" xfId="60169" xr:uid="{00000000-0005-0000-0000-000074C70000}"/>
    <cellStyle name="Normal 8 3 2 2 5 4" xfId="36912" xr:uid="{00000000-0005-0000-0000-000075C70000}"/>
    <cellStyle name="Normal 8 3 2 2 5 5" xfId="36913" xr:uid="{00000000-0005-0000-0000-000076C70000}"/>
    <cellStyle name="Normal 8 3 2 2 5 6" xfId="36914" xr:uid="{00000000-0005-0000-0000-000077C70000}"/>
    <cellStyle name="Normal 8 3 2 2 6" xfId="36915" xr:uid="{00000000-0005-0000-0000-000078C70000}"/>
    <cellStyle name="Normal 8 3 2 2 6 2" xfId="60170" xr:uid="{00000000-0005-0000-0000-000079C70000}"/>
    <cellStyle name="Normal 8 3 2 2 6 3" xfId="60171" xr:uid="{00000000-0005-0000-0000-00007AC70000}"/>
    <cellStyle name="Normal 8 3 2 2 7" xfId="36916" xr:uid="{00000000-0005-0000-0000-00007BC70000}"/>
    <cellStyle name="Normal 8 3 2 2 7 2" xfId="60172" xr:uid="{00000000-0005-0000-0000-00007CC70000}"/>
    <cellStyle name="Normal 8 3 2 2 8" xfId="36917" xr:uid="{00000000-0005-0000-0000-00007DC70000}"/>
    <cellStyle name="Normal 8 3 2 2 9" xfId="36918" xr:uid="{00000000-0005-0000-0000-00007EC70000}"/>
    <cellStyle name="Normal 8 3 2 3" xfId="36919" xr:uid="{00000000-0005-0000-0000-00007FC70000}"/>
    <cellStyle name="Normal 8 3 2 3 2" xfId="36920" xr:uid="{00000000-0005-0000-0000-000080C70000}"/>
    <cellStyle name="Normal 8 3 2 3 2 2" xfId="36921" xr:uid="{00000000-0005-0000-0000-000081C70000}"/>
    <cellStyle name="Normal 8 3 2 3 2 2 2" xfId="36922" xr:uid="{00000000-0005-0000-0000-000082C70000}"/>
    <cellStyle name="Normal 8 3 2 3 2 2 2 2" xfId="60173" xr:uid="{00000000-0005-0000-0000-000083C70000}"/>
    <cellStyle name="Normal 8 3 2 3 2 2 2 3" xfId="60174" xr:uid="{00000000-0005-0000-0000-000084C70000}"/>
    <cellStyle name="Normal 8 3 2 3 2 2 3" xfId="36923" xr:uid="{00000000-0005-0000-0000-000085C70000}"/>
    <cellStyle name="Normal 8 3 2 3 2 2 3 2" xfId="60175" xr:uid="{00000000-0005-0000-0000-000086C70000}"/>
    <cellStyle name="Normal 8 3 2 3 2 2 4" xfId="36924" xr:uid="{00000000-0005-0000-0000-000087C70000}"/>
    <cellStyle name="Normal 8 3 2 3 2 2 5" xfId="36925" xr:uid="{00000000-0005-0000-0000-000088C70000}"/>
    <cellStyle name="Normal 8 3 2 3 2 2 6" xfId="36926" xr:uid="{00000000-0005-0000-0000-000089C70000}"/>
    <cellStyle name="Normal 8 3 2 3 2 3" xfId="36927" xr:uid="{00000000-0005-0000-0000-00008AC70000}"/>
    <cellStyle name="Normal 8 3 2 3 2 3 2" xfId="60176" xr:uid="{00000000-0005-0000-0000-00008BC70000}"/>
    <cellStyle name="Normal 8 3 2 3 2 3 3" xfId="60177" xr:uid="{00000000-0005-0000-0000-00008CC70000}"/>
    <cellStyle name="Normal 8 3 2 3 2 4" xfId="36928" xr:uid="{00000000-0005-0000-0000-00008DC70000}"/>
    <cellStyle name="Normal 8 3 2 3 2 4 2" xfId="60178" xr:uid="{00000000-0005-0000-0000-00008EC70000}"/>
    <cellStyle name="Normal 8 3 2 3 2 5" xfId="36929" xr:uid="{00000000-0005-0000-0000-00008FC70000}"/>
    <cellStyle name="Normal 8 3 2 3 2 6" xfId="36930" xr:uid="{00000000-0005-0000-0000-000090C70000}"/>
    <cellStyle name="Normal 8 3 2 3 2 7" xfId="36931" xr:uid="{00000000-0005-0000-0000-000091C70000}"/>
    <cellStyle name="Normal 8 3 2 3 3" xfId="36932" xr:uid="{00000000-0005-0000-0000-000092C70000}"/>
    <cellStyle name="Normal 8 3 2 3 3 2" xfId="36933" xr:uid="{00000000-0005-0000-0000-000093C70000}"/>
    <cellStyle name="Normal 8 3 2 3 3 2 2" xfId="60179" xr:uid="{00000000-0005-0000-0000-000094C70000}"/>
    <cellStyle name="Normal 8 3 2 3 3 2 3" xfId="60180" xr:uid="{00000000-0005-0000-0000-000095C70000}"/>
    <cellStyle name="Normal 8 3 2 3 3 3" xfId="36934" xr:uid="{00000000-0005-0000-0000-000096C70000}"/>
    <cellStyle name="Normal 8 3 2 3 3 3 2" xfId="60181" xr:uid="{00000000-0005-0000-0000-000097C70000}"/>
    <cellStyle name="Normal 8 3 2 3 3 4" xfId="36935" xr:uid="{00000000-0005-0000-0000-000098C70000}"/>
    <cellStyle name="Normal 8 3 2 3 3 5" xfId="36936" xr:uid="{00000000-0005-0000-0000-000099C70000}"/>
    <cellStyle name="Normal 8 3 2 3 3 6" xfId="36937" xr:uid="{00000000-0005-0000-0000-00009AC70000}"/>
    <cellStyle name="Normal 8 3 2 3 4" xfId="36938" xr:uid="{00000000-0005-0000-0000-00009BC70000}"/>
    <cellStyle name="Normal 8 3 2 3 4 2" xfId="60182" xr:uid="{00000000-0005-0000-0000-00009CC70000}"/>
    <cellStyle name="Normal 8 3 2 3 4 3" xfId="60183" xr:uid="{00000000-0005-0000-0000-00009DC70000}"/>
    <cellStyle name="Normal 8 3 2 3 5" xfId="36939" xr:uid="{00000000-0005-0000-0000-00009EC70000}"/>
    <cellStyle name="Normal 8 3 2 3 5 2" xfId="60184" xr:uid="{00000000-0005-0000-0000-00009FC70000}"/>
    <cellStyle name="Normal 8 3 2 3 6" xfId="36940" xr:uid="{00000000-0005-0000-0000-0000A0C70000}"/>
    <cellStyle name="Normal 8 3 2 3 7" xfId="36941" xr:uid="{00000000-0005-0000-0000-0000A1C70000}"/>
    <cellStyle name="Normal 8 3 2 3 8" xfId="36942" xr:uid="{00000000-0005-0000-0000-0000A2C70000}"/>
    <cellStyle name="Normal 8 3 2 3 9" xfId="36943" xr:uid="{00000000-0005-0000-0000-0000A3C70000}"/>
    <cellStyle name="Normal 8 3 2 4" xfId="36944" xr:uid="{00000000-0005-0000-0000-0000A4C70000}"/>
    <cellStyle name="Normal 8 3 2 4 2" xfId="36945" xr:uid="{00000000-0005-0000-0000-0000A5C70000}"/>
    <cellStyle name="Normal 8 3 2 4 2 2" xfId="36946" xr:uid="{00000000-0005-0000-0000-0000A6C70000}"/>
    <cellStyle name="Normal 8 3 2 4 2 2 2" xfId="36947" xr:uid="{00000000-0005-0000-0000-0000A7C70000}"/>
    <cellStyle name="Normal 8 3 2 4 2 2 2 2" xfId="60185" xr:uid="{00000000-0005-0000-0000-0000A8C70000}"/>
    <cellStyle name="Normal 8 3 2 4 2 2 2 3" xfId="60186" xr:uid="{00000000-0005-0000-0000-0000A9C70000}"/>
    <cellStyle name="Normal 8 3 2 4 2 2 3" xfId="36948" xr:uid="{00000000-0005-0000-0000-0000AAC70000}"/>
    <cellStyle name="Normal 8 3 2 4 2 2 3 2" xfId="60187" xr:uid="{00000000-0005-0000-0000-0000ABC70000}"/>
    <cellStyle name="Normal 8 3 2 4 2 2 4" xfId="36949" xr:uid="{00000000-0005-0000-0000-0000ACC70000}"/>
    <cellStyle name="Normal 8 3 2 4 2 2 5" xfId="36950" xr:uid="{00000000-0005-0000-0000-0000ADC70000}"/>
    <cellStyle name="Normal 8 3 2 4 2 2 6" xfId="36951" xr:uid="{00000000-0005-0000-0000-0000AEC70000}"/>
    <cellStyle name="Normal 8 3 2 4 2 3" xfId="36952" xr:uid="{00000000-0005-0000-0000-0000AFC70000}"/>
    <cellStyle name="Normal 8 3 2 4 2 3 2" xfId="60188" xr:uid="{00000000-0005-0000-0000-0000B0C70000}"/>
    <cellStyle name="Normal 8 3 2 4 2 3 3" xfId="60189" xr:uid="{00000000-0005-0000-0000-0000B1C70000}"/>
    <cellStyle name="Normal 8 3 2 4 2 4" xfId="36953" xr:uid="{00000000-0005-0000-0000-0000B2C70000}"/>
    <cellStyle name="Normal 8 3 2 4 2 4 2" xfId="60190" xr:uid="{00000000-0005-0000-0000-0000B3C70000}"/>
    <cellStyle name="Normal 8 3 2 4 2 5" xfId="36954" xr:uid="{00000000-0005-0000-0000-0000B4C70000}"/>
    <cellStyle name="Normal 8 3 2 4 2 6" xfId="36955" xr:uid="{00000000-0005-0000-0000-0000B5C70000}"/>
    <cellStyle name="Normal 8 3 2 4 2 7" xfId="36956" xr:uid="{00000000-0005-0000-0000-0000B6C70000}"/>
    <cellStyle name="Normal 8 3 2 4 3" xfId="36957" xr:uid="{00000000-0005-0000-0000-0000B7C70000}"/>
    <cellStyle name="Normal 8 3 2 4 3 2" xfId="36958" xr:uid="{00000000-0005-0000-0000-0000B8C70000}"/>
    <cellStyle name="Normal 8 3 2 4 3 2 2" xfId="60191" xr:uid="{00000000-0005-0000-0000-0000B9C70000}"/>
    <cellStyle name="Normal 8 3 2 4 3 2 3" xfId="60192" xr:uid="{00000000-0005-0000-0000-0000BAC70000}"/>
    <cellStyle name="Normal 8 3 2 4 3 3" xfId="36959" xr:uid="{00000000-0005-0000-0000-0000BBC70000}"/>
    <cellStyle name="Normal 8 3 2 4 3 3 2" xfId="60193" xr:uid="{00000000-0005-0000-0000-0000BCC70000}"/>
    <cellStyle name="Normal 8 3 2 4 3 4" xfId="36960" xr:uid="{00000000-0005-0000-0000-0000BDC70000}"/>
    <cellStyle name="Normal 8 3 2 4 3 5" xfId="36961" xr:uid="{00000000-0005-0000-0000-0000BEC70000}"/>
    <cellStyle name="Normal 8 3 2 4 3 6" xfId="36962" xr:uid="{00000000-0005-0000-0000-0000BFC70000}"/>
    <cellStyle name="Normal 8 3 2 4 4" xfId="36963" xr:uid="{00000000-0005-0000-0000-0000C0C70000}"/>
    <cellStyle name="Normal 8 3 2 4 4 2" xfId="60194" xr:uid="{00000000-0005-0000-0000-0000C1C70000}"/>
    <cellStyle name="Normal 8 3 2 4 4 3" xfId="60195" xr:uid="{00000000-0005-0000-0000-0000C2C70000}"/>
    <cellStyle name="Normal 8 3 2 4 5" xfId="36964" xr:uid="{00000000-0005-0000-0000-0000C3C70000}"/>
    <cellStyle name="Normal 8 3 2 4 5 2" xfId="60196" xr:uid="{00000000-0005-0000-0000-0000C4C70000}"/>
    <cellStyle name="Normal 8 3 2 4 6" xfId="36965" xr:uid="{00000000-0005-0000-0000-0000C5C70000}"/>
    <cellStyle name="Normal 8 3 2 4 7" xfId="36966" xr:uid="{00000000-0005-0000-0000-0000C6C70000}"/>
    <cellStyle name="Normal 8 3 2 4 8" xfId="36967" xr:uid="{00000000-0005-0000-0000-0000C7C70000}"/>
    <cellStyle name="Normal 8 3 2 5" xfId="36968" xr:uid="{00000000-0005-0000-0000-0000C8C70000}"/>
    <cellStyle name="Normal 8 3 2 5 2" xfId="36969" xr:uid="{00000000-0005-0000-0000-0000C9C70000}"/>
    <cellStyle name="Normal 8 3 2 5 2 2" xfId="36970" xr:uid="{00000000-0005-0000-0000-0000CAC70000}"/>
    <cellStyle name="Normal 8 3 2 5 2 2 2" xfId="60197" xr:uid="{00000000-0005-0000-0000-0000CBC70000}"/>
    <cellStyle name="Normal 8 3 2 5 2 2 3" xfId="60198" xr:uid="{00000000-0005-0000-0000-0000CCC70000}"/>
    <cellStyle name="Normal 8 3 2 5 2 3" xfId="36971" xr:uid="{00000000-0005-0000-0000-0000CDC70000}"/>
    <cellStyle name="Normal 8 3 2 5 2 3 2" xfId="60199" xr:uid="{00000000-0005-0000-0000-0000CEC70000}"/>
    <cellStyle name="Normal 8 3 2 5 2 4" xfId="36972" xr:uid="{00000000-0005-0000-0000-0000CFC70000}"/>
    <cellStyle name="Normal 8 3 2 5 2 5" xfId="36973" xr:uid="{00000000-0005-0000-0000-0000D0C70000}"/>
    <cellStyle name="Normal 8 3 2 5 2 6" xfId="36974" xr:uid="{00000000-0005-0000-0000-0000D1C70000}"/>
    <cellStyle name="Normal 8 3 2 5 3" xfId="36975" xr:uid="{00000000-0005-0000-0000-0000D2C70000}"/>
    <cellStyle name="Normal 8 3 2 5 3 2" xfId="60200" xr:uid="{00000000-0005-0000-0000-0000D3C70000}"/>
    <cellStyle name="Normal 8 3 2 5 3 3" xfId="60201" xr:uid="{00000000-0005-0000-0000-0000D4C70000}"/>
    <cellStyle name="Normal 8 3 2 5 4" xfId="36976" xr:uid="{00000000-0005-0000-0000-0000D5C70000}"/>
    <cellStyle name="Normal 8 3 2 5 4 2" xfId="60202" xr:uid="{00000000-0005-0000-0000-0000D6C70000}"/>
    <cellStyle name="Normal 8 3 2 5 5" xfId="36977" xr:uid="{00000000-0005-0000-0000-0000D7C70000}"/>
    <cellStyle name="Normal 8 3 2 5 6" xfId="36978" xr:uid="{00000000-0005-0000-0000-0000D8C70000}"/>
    <cellStyle name="Normal 8 3 2 5 7" xfId="36979" xr:uid="{00000000-0005-0000-0000-0000D9C70000}"/>
    <cellStyle name="Normal 8 3 2 6" xfId="36980" xr:uid="{00000000-0005-0000-0000-0000DAC70000}"/>
    <cellStyle name="Normal 8 3 2 6 2" xfId="36981" xr:uid="{00000000-0005-0000-0000-0000DBC70000}"/>
    <cellStyle name="Normal 8 3 2 6 2 2" xfId="60203" xr:uid="{00000000-0005-0000-0000-0000DCC70000}"/>
    <cellStyle name="Normal 8 3 2 6 2 3" xfId="60204" xr:uid="{00000000-0005-0000-0000-0000DDC70000}"/>
    <cellStyle name="Normal 8 3 2 6 3" xfId="36982" xr:uid="{00000000-0005-0000-0000-0000DEC70000}"/>
    <cellStyle name="Normal 8 3 2 6 3 2" xfId="60205" xr:uid="{00000000-0005-0000-0000-0000DFC70000}"/>
    <cellStyle name="Normal 8 3 2 6 4" xfId="36983" xr:uid="{00000000-0005-0000-0000-0000E0C70000}"/>
    <cellStyle name="Normal 8 3 2 6 5" xfId="36984" xr:uid="{00000000-0005-0000-0000-0000E1C70000}"/>
    <cellStyle name="Normal 8 3 2 6 6" xfId="36985" xr:uid="{00000000-0005-0000-0000-0000E2C70000}"/>
    <cellStyle name="Normal 8 3 2 7" xfId="36986" xr:uid="{00000000-0005-0000-0000-0000E3C70000}"/>
    <cellStyle name="Normal 8 3 2 7 2" xfId="60206" xr:uid="{00000000-0005-0000-0000-0000E4C70000}"/>
    <cellStyle name="Normal 8 3 2 7 3" xfId="60207" xr:uid="{00000000-0005-0000-0000-0000E5C70000}"/>
    <cellStyle name="Normal 8 3 2 8" xfId="36987" xr:uid="{00000000-0005-0000-0000-0000E6C70000}"/>
    <cellStyle name="Normal 8 3 2 8 2" xfId="60208" xr:uid="{00000000-0005-0000-0000-0000E7C70000}"/>
    <cellStyle name="Normal 8 3 2 9" xfId="36988" xr:uid="{00000000-0005-0000-0000-0000E8C70000}"/>
    <cellStyle name="Normal 8 3 2 9 2" xfId="60209" xr:uid="{00000000-0005-0000-0000-0000E9C70000}"/>
    <cellStyle name="Normal 8 3 20" xfId="36989" xr:uid="{00000000-0005-0000-0000-0000EAC70000}"/>
    <cellStyle name="Normal 8 3 3" xfId="36990" xr:uid="{00000000-0005-0000-0000-0000EBC70000}"/>
    <cellStyle name="Normal 8 3 3 10" xfId="36991" xr:uid="{00000000-0005-0000-0000-0000ECC70000}"/>
    <cellStyle name="Normal 8 3 3 11" xfId="36992" xr:uid="{00000000-0005-0000-0000-0000EDC70000}"/>
    <cellStyle name="Normal 8 3 3 12" xfId="36993" xr:uid="{00000000-0005-0000-0000-0000EEC70000}"/>
    <cellStyle name="Normal 8 3 3 13" xfId="36994" xr:uid="{00000000-0005-0000-0000-0000EFC70000}"/>
    <cellStyle name="Normal 8 3 3 14" xfId="36995" xr:uid="{00000000-0005-0000-0000-0000F0C70000}"/>
    <cellStyle name="Normal 8 3 3 15" xfId="36996" xr:uid="{00000000-0005-0000-0000-0000F1C70000}"/>
    <cellStyle name="Normal 8 3 3 2" xfId="36997" xr:uid="{00000000-0005-0000-0000-0000F2C70000}"/>
    <cellStyle name="Normal 8 3 3 2 10" xfId="36998" xr:uid="{00000000-0005-0000-0000-0000F3C70000}"/>
    <cellStyle name="Normal 8 3 3 2 11" xfId="36999" xr:uid="{00000000-0005-0000-0000-0000F4C70000}"/>
    <cellStyle name="Normal 8 3 3 2 12" xfId="37000" xr:uid="{00000000-0005-0000-0000-0000F5C70000}"/>
    <cellStyle name="Normal 8 3 3 2 13" xfId="37001" xr:uid="{00000000-0005-0000-0000-0000F6C70000}"/>
    <cellStyle name="Normal 8 3 3 2 14" xfId="37002" xr:uid="{00000000-0005-0000-0000-0000F7C70000}"/>
    <cellStyle name="Normal 8 3 3 2 2" xfId="37003" xr:uid="{00000000-0005-0000-0000-0000F8C70000}"/>
    <cellStyle name="Normal 8 3 3 2 2 2" xfId="37004" xr:uid="{00000000-0005-0000-0000-0000F9C70000}"/>
    <cellStyle name="Normal 8 3 3 2 2 2 2" xfId="37005" xr:uid="{00000000-0005-0000-0000-0000FAC70000}"/>
    <cellStyle name="Normal 8 3 3 2 2 2 2 2" xfId="37006" xr:uid="{00000000-0005-0000-0000-0000FBC70000}"/>
    <cellStyle name="Normal 8 3 3 2 2 2 2 2 2" xfId="60210" xr:uid="{00000000-0005-0000-0000-0000FCC70000}"/>
    <cellStyle name="Normal 8 3 3 2 2 2 2 2 3" xfId="60211" xr:uid="{00000000-0005-0000-0000-0000FDC70000}"/>
    <cellStyle name="Normal 8 3 3 2 2 2 2 3" xfId="37007" xr:uid="{00000000-0005-0000-0000-0000FEC70000}"/>
    <cellStyle name="Normal 8 3 3 2 2 2 2 3 2" xfId="60212" xr:uid="{00000000-0005-0000-0000-0000FFC70000}"/>
    <cellStyle name="Normal 8 3 3 2 2 2 2 4" xfId="37008" xr:uid="{00000000-0005-0000-0000-000000C80000}"/>
    <cellStyle name="Normal 8 3 3 2 2 2 2 5" xfId="37009" xr:uid="{00000000-0005-0000-0000-000001C80000}"/>
    <cellStyle name="Normal 8 3 3 2 2 2 2 6" xfId="37010" xr:uid="{00000000-0005-0000-0000-000002C80000}"/>
    <cellStyle name="Normal 8 3 3 2 2 2 3" xfId="37011" xr:uid="{00000000-0005-0000-0000-000003C80000}"/>
    <cellStyle name="Normal 8 3 3 2 2 2 3 2" xfId="60213" xr:uid="{00000000-0005-0000-0000-000004C80000}"/>
    <cellStyle name="Normal 8 3 3 2 2 2 3 3" xfId="60214" xr:uid="{00000000-0005-0000-0000-000005C80000}"/>
    <cellStyle name="Normal 8 3 3 2 2 2 4" xfId="37012" xr:uid="{00000000-0005-0000-0000-000006C80000}"/>
    <cellStyle name="Normal 8 3 3 2 2 2 4 2" xfId="60215" xr:uid="{00000000-0005-0000-0000-000007C80000}"/>
    <cellStyle name="Normal 8 3 3 2 2 2 5" xfId="37013" xr:uid="{00000000-0005-0000-0000-000008C80000}"/>
    <cellStyle name="Normal 8 3 3 2 2 2 6" xfId="37014" xr:uid="{00000000-0005-0000-0000-000009C80000}"/>
    <cellStyle name="Normal 8 3 3 2 2 2 7" xfId="37015" xr:uid="{00000000-0005-0000-0000-00000AC80000}"/>
    <cellStyle name="Normal 8 3 3 2 2 3" xfId="37016" xr:uid="{00000000-0005-0000-0000-00000BC80000}"/>
    <cellStyle name="Normal 8 3 3 2 2 3 2" xfId="37017" xr:uid="{00000000-0005-0000-0000-00000CC80000}"/>
    <cellStyle name="Normal 8 3 3 2 2 3 2 2" xfId="60216" xr:uid="{00000000-0005-0000-0000-00000DC80000}"/>
    <cellStyle name="Normal 8 3 3 2 2 3 2 3" xfId="60217" xr:uid="{00000000-0005-0000-0000-00000EC80000}"/>
    <cellStyle name="Normal 8 3 3 2 2 3 3" xfId="37018" xr:uid="{00000000-0005-0000-0000-00000FC80000}"/>
    <cellStyle name="Normal 8 3 3 2 2 3 3 2" xfId="60218" xr:uid="{00000000-0005-0000-0000-000010C80000}"/>
    <cellStyle name="Normal 8 3 3 2 2 3 4" xfId="37019" xr:uid="{00000000-0005-0000-0000-000011C80000}"/>
    <cellStyle name="Normal 8 3 3 2 2 3 5" xfId="37020" xr:uid="{00000000-0005-0000-0000-000012C80000}"/>
    <cellStyle name="Normal 8 3 3 2 2 3 6" xfId="37021" xr:uid="{00000000-0005-0000-0000-000013C80000}"/>
    <cellStyle name="Normal 8 3 3 2 2 4" xfId="37022" xr:uid="{00000000-0005-0000-0000-000014C80000}"/>
    <cellStyle name="Normal 8 3 3 2 2 4 2" xfId="60219" xr:uid="{00000000-0005-0000-0000-000015C80000}"/>
    <cellStyle name="Normal 8 3 3 2 2 4 3" xfId="60220" xr:uid="{00000000-0005-0000-0000-000016C80000}"/>
    <cellStyle name="Normal 8 3 3 2 2 5" xfId="37023" xr:uid="{00000000-0005-0000-0000-000017C80000}"/>
    <cellStyle name="Normal 8 3 3 2 2 5 2" xfId="60221" xr:uid="{00000000-0005-0000-0000-000018C80000}"/>
    <cellStyle name="Normal 8 3 3 2 2 6" xfId="37024" xr:uid="{00000000-0005-0000-0000-000019C80000}"/>
    <cellStyle name="Normal 8 3 3 2 2 7" xfId="37025" xr:uid="{00000000-0005-0000-0000-00001AC80000}"/>
    <cellStyle name="Normal 8 3 3 2 2 8" xfId="37026" xr:uid="{00000000-0005-0000-0000-00001BC80000}"/>
    <cellStyle name="Normal 8 3 3 2 2 9" xfId="37027" xr:uid="{00000000-0005-0000-0000-00001CC80000}"/>
    <cellStyle name="Normal 8 3 3 2 3" xfId="37028" xr:uid="{00000000-0005-0000-0000-00001DC80000}"/>
    <cellStyle name="Normal 8 3 3 2 3 2" xfId="37029" xr:uid="{00000000-0005-0000-0000-00001EC80000}"/>
    <cellStyle name="Normal 8 3 3 2 3 2 2" xfId="37030" xr:uid="{00000000-0005-0000-0000-00001FC80000}"/>
    <cellStyle name="Normal 8 3 3 2 3 2 2 2" xfId="37031" xr:uid="{00000000-0005-0000-0000-000020C80000}"/>
    <cellStyle name="Normal 8 3 3 2 3 2 2 2 2" xfId="60222" xr:uid="{00000000-0005-0000-0000-000021C80000}"/>
    <cellStyle name="Normal 8 3 3 2 3 2 2 2 3" xfId="60223" xr:uid="{00000000-0005-0000-0000-000022C80000}"/>
    <cellStyle name="Normal 8 3 3 2 3 2 2 3" xfId="37032" xr:uid="{00000000-0005-0000-0000-000023C80000}"/>
    <cellStyle name="Normal 8 3 3 2 3 2 2 3 2" xfId="60224" xr:uid="{00000000-0005-0000-0000-000024C80000}"/>
    <cellStyle name="Normal 8 3 3 2 3 2 2 4" xfId="37033" xr:uid="{00000000-0005-0000-0000-000025C80000}"/>
    <cellStyle name="Normal 8 3 3 2 3 2 2 5" xfId="37034" xr:uid="{00000000-0005-0000-0000-000026C80000}"/>
    <cellStyle name="Normal 8 3 3 2 3 2 2 6" xfId="37035" xr:uid="{00000000-0005-0000-0000-000027C80000}"/>
    <cellStyle name="Normal 8 3 3 2 3 2 3" xfId="37036" xr:uid="{00000000-0005-0000-0000-000028C80000}"/>
    <cellStyle name="Normal 8 3 3 2 3 2 3 2" xfId="60225" xr:uid="{00000000-0005-0000-0000-000029C80000}"/>
    <cellStyle name="Normal 8 3 3 2 3 2 3 3" xfId="60226" xr:uid="{00000000-0005-0000-0000-00002AC80000}"/>
    <cellStyle name="Normal 8 3 3 2 3 2 4" xfId="37037" xr:uid="{00000000-0005-0000-0000-00002BC80000}"/>
    <cellStyle name="Normal 8 3 3 2 3 2 4 2" xfId="60227" xr:uid="{00000000-0005-0000-0000-00002CC80000}"/>
    <cellStyle name="Normal 8 3 3 2 3 2 5" xfId="37038" xr:uid="{00000000-0005-0000-0000-00002DC80000}"/>
    <cellStyle name="Normal 8 3 3 2 3 2 6" xfId="37039" xr:uid="{00000000-0005-0000-0000-00002EC80000}"/>
    <cellStyle name="Normal 8 3 3 2 3 2 7" xfId="37040" xr:uid="{00000000-0005-0000-0000-00002FC80000}"/>
    <cellStyle name="Normal 8 3 3 2 3 3" xfId="37041" xr:uid="{00000000-0005-0000-0000-000030C80000}"/>
    <cellStyle name="Normal 8 3 3 2 3 3 2" xfId="37042" xr:uid="{00000000-0005-0000-0000-000031C80000}"/>
    <cellStyle name="Normal 8 3 3 2 3 3 2 2" xfId="60228" xr:uid="{00000000-0005-0000-0000-000032C80000}"/>
    <cellStyle name="Normal 8 3 3 2 3 3 2 3" xfId="60229" xr:uid="{00000000-0005-0000-0000-000033C80000}"/>
    <cellStyle name="Normal 8 3 3 2 3 3 3" xfId="37043" xr:uid="{00000000-0005-0000-0000-000034C80000}"/>
    <cellStyle name="Normal 8 3 3 2 3 3 3 2" xfId="60230" xr:uid="{00000000-0005-0000-0000-000035C80000}"/>
    <cellStyle name="Normal 8 3 3 2 3 3 4" xfId="37044" xr:uid="{00000000-0005-0000-0000-000036C80000}"/>
    <cellStyle name="Normal 8 3 3 2 3 3 5" xfId="37045" xr:uid="{00000000-0005-0000-0000-000037C80000}"/>
    <cellStyle name="Normal 8 3 3 2 3 3 6" xfId="37046" xr:uid="{00000000-0005-0000-0000-000038C80000}"/>
    <cellStyle name="Normal 8 3 3 2 3 4" xfId="37047" xr:uid="{00000000-0005-0000-0000-000039C80000}"/>
    <cellStyle name="Normal 8 3 3 2 3 4 2" xfId="60231" xr:uid="{00000000-0005-0000-0000-00003AC80000}"/>
    <cellStyle name="Normal 8 3 3 2 3 4 3" xfId="60232" xr:uid="{00000000-0005-0000-0000-00003BC80000}"/>
    <cellStyle name="Normal 8 3 3 2 3 5" xfId="37048" xr:uid="{00000000-0005-0000-0000-00003CC80000}"/>
    <cellStyle name="Normal 8 3 3 2 3 5 2" xfId="60233" xr:uid="{00000000-0005-0000-0000-00003DC80000}"/>
    <cellStyle name="Normal 8 3 3 2 3 6" xfId="37049" xr:uid="{00000000-0005-0000-0000-00003EC80000}"/>
    <cellStyle name="Normal 8 3 3 2 3 7" xfId="37050" xr:uid="{00000000-0005-0000-0000-00003FC80000}"/>
    <cellStyle name="Normal 8 3 3 2 3 8" xfId="37051" xr:uid="{00000000-0005-0000-0000-000040C80000}"/>
    <cellStyle name="Normal 8 3 3 2 4" xfId="37052" xr:uid="{00000000-0005-0000-0000-000041C80000}"/>
    <cellStyle name="Normal 8 3 3 2 4 2" xfId="37053" xr:uid="{00000000-0005-0000-0000-000042C80000}"/>
    <cellStyle name="Normal 8 3 3 2 4 2 2" xfId="37054" xr:uid="{00000000-0005-0000-0000-000043C80000}"/>
    <cellStyle name="Normal 8 3 3 2 4 2 2 2" xfId="60234" xr:uid="{00000000-0005-0000-0000-000044C80000}"/>
    <cellStyle name="Normal 8 3 3 2 4 2 2 3" xfId="60235" xr:uid="{00000000-0005-0000-0000-000045C80000}"/>
    <cellStyle name="Normal 8 3 3 2 4 2 3" xfId="37055" xr:uid="{00000000-0005-0000-0000-000046C80000}"/>
    <cellStyle name="Normal 8 3 3 2 4 2 3 2" xfId="60236" xr:uid="{00000000-0005-0000-0000-000047C80000}"/>
    <cellStyle name="Normal 8 3 3 2 4 2 4" xfId="37056" xr:uid="{00000000-0005-0000-0000-000048C80000}"/>
    <cellStyle name="Normal 8 3 3 2 4 2 5" xfId="37057" xr:uid="{00000000-0005-0000-0000-000049C80000}"/>
    <cellStyle name="Normal 8 3 3 2 4 2 6" xfId="37058" xr:uid="{00000000-0005-0000-0000-00004AC80000}"/>
    <cellStyle name="Normal 8 3 3 2 4 3" xfId="37059" xr:uid="{00000000-0005-0000-0000-00004BC80000}"/>
    <cellStyle name="Normal 8 3 3 2 4 3 2" xfId="60237" xr:uid="{00000000-0005-0000-0000-00004CC80000}"/>
    <cellStyle name="Normal 8 3 3 2 4 3 3" xfId="60238" xr:uid="{00000000-0005-0000-0000-00004DC80000}"/>
    <cellStyle name="Normal 8 3 3 2 4 4" xfId="37060" xr:uid="{00000000-0005-0000-0000-00004EC80000}"/>
    <cellStyle name="Normal 8 3 3 2 4 4 2" xfId="60239" xr:uid="{00000000-0005-0000-0000-00004FC80000}"/>
    <cellStyle name="Normal 8 3 3 2 4 5" xfId="37061" xr:uid="{00000000-0005-0000-0000-000050C80000}"/>
    <cellStyle name="Normal 8 3 3 2 4 6" xfId="37062" xr:uid="{00000000-0005-0000-0000-000051C80000}"/>
    <cellStyle name="Normal 8 3 3 2 4 7" xfId="37063" xr:uid="{00000000-0005-0000-0000-000052C80000}"/>
    <cellStyle name="Normal 8 3 3 2 5" xfId="37064" xr:uid="{00000000-0005-0000-0000-000053C80000}"/>
    <cellStyle name="Normal 8 3 3 2 5 2" xfId="37065" xr:uid="{00000000-0005-0000-0000-000054C80000}"/>
    <cellStyle name="Normal 8 3 3 2 5 2 2" xfId="60240" xr:uid="{00000000-0005-0000-0000-000055C80000}"/>
    <cellStyle name="Normal 8 3 3 2 5 2 3" xfId="60241" xr:uid="{00000000-0005-0000-0000-000056C80000}"/>
    <cellStyle name="Normal 8 3 3 2 5 3" xfId="37066" xr:uid="{00000000-0005-0000-0000-000057C80000}"/>
    <cellStyle name="Normal 8 3 3 2 5 3 2" xfId="60242" xr:uid="{00000000-0005-0000-0000-000058C80000}"/>
    <cellStyle name="Normal 8 3 3 2 5 4" xfId="37067" xr:uid="{00000000-0005-0000-0000-000059C80000}"/>
    <cellStyle name="Normal 8 3 3 2 5 5" xfId="37068" xr:uid="{00000000-0005-0000-0000-00005AC80000}"/>
    <cellStyle name="Normal 8 3 3 2 5 6" xfId="37069" xr:uid="{00000000-0005-0000-0000-00005BC80000}"/>
    <cellStyle name="Normal 8 3 3 2 6" xfId="37070" xr:uid="{00000000-0005-0000-0000-00005CC80000}"/>
    <cellStyle name="Normal 8 3 3 2 6 2" xfId="60243" xr:uid="{00000000-0005-0000-0000-00005DC80000}"/>
    <cellStyle name="Normal 8 3 3 2 6 3" xfId="60244" xr:uid="{00000000-0005-0000-0000-00005EC80000}"/>
    <cellStyle name="Normal 8 3 3 2 7" xfId="37071" xr:uid="{00000000-0005-0000-0000-00005FC80000}"/>
    <cellStyle name="Normal 8 3 3 2 7 2" xfId="60245" xr:uid="{00000000-0005-0000-0000-000060C80000}"/>
    <cellStyle name="Normal 8 3 3 2 8" xfId="37072" xr:uid="{00000000-0005-0000-0000-000061C80000}"/>
    <cellStyle name="Normal 8 3 3 2 9" xfId="37073" xr:uid="{00000000-0005-0000-0000-000062C80000}"/>
    <cellStyle name="Normal 8 3 3 3" xfId="37074" xr:uid="{00000000-0005-0000-0000-000063C80000}"/>
    <cellStyle name="Normal 8 3 3 3 2" xfId="37075" xr:uid="{00000000-0005-0000-0000-000064C80000}"/>
    <cellStyle name="Normal 8 3 3 3 2 2" xfId="37076" xr:uid="{00000000-0005-0000-0000-000065C80000}"/>
    <cellStyle name="Normal 8 3 3 3 2 2 2" xfId="37077" xr:uid="{00000000-0005-0000-0000-000066C80000}"/>
    <cellStyle name="Normal 8 3 3 3 2 2 2 2" xfId="60246" xr:uid="{00000000-0005-0000-0000-000067C80000}"/>
    <cellStyle name="Normal 8 3 3 3 2 2 2 3" xfId="60247" xr:uid="{00000000-0005-0000-0000-000068C80000}"/>
    <cellStyle name="Normal 8 3 3 3 2 2 3" xfId="37078" xr:uid="{00000000-0005-0000-0000-000069C80000}"/>
    <cellStyle name="Normal 8 3 3 3 2 2 3 2" xfId="60248" xr:uid="{00000000-0005-0000-0000-00006AC80000}"/>
    <cellStyle name="Normal 8 3 3 3 2 2 4" xfId="37079" xr:uid="{00000000-0005-0000-0000-00006BC80000}"/>
    <cellStyle name="Normal 8 3 3 3 2 2 5" xfId="37080" xr:uid="{00000000-0005-0000-0000-00006CC80000}"/>
    <cellStyle name="Normal 8 3 3 3 2 2 6" xfId="37081" xr:uid="{00000000-0005-0000-0000-00006DC80000}"/>
    <cellStyle name="Normal 8 3 3 3 2 3" xfId="37082" xr:uid="{00000000-0005-0000-0000-00006EC80000}"/>
    <cellStyle name="Normal 8 3 3 3 2 3 2" xfId="60249" xr:uid="{00000000-0005-0000-0000-00006FC80000}"/>
    <cellStyle name="Normal 8 3 3 3 2 3 3" xfId="60250" xr:uid="{00000000-0005-0000-0000-000070C80000}"/>
    <cellStyle name="Normal 8 3 3 3 2 4" xfId="37083" xr:uid="{00000000-0005-0000-0000-000071C80000}"/>
    <cellStyle name="Normal 8 3 3 3 2 4 2" xfId="60251" xr:uid="{00000000-0005-0000-0000-000072C80000}"/>
    <cellStyle name="Normal 8 3 3 3 2 5" xfId="37084" xr:uid="{00000000-0005-0000-0000-000073C80000}"/>
    <cellStyle name="Normal 8 3 3 3 2 6" xfId="37085" xr:uid="{00000000-0005-0000-0000-000074C80000}"/>
    <cellStyle name="Normal 8 3 3 3 2 7" xfId="37086" xr:uid="{00000000-0005-0000-0000-000075C80000}"/>
    <cellStyle name="Normal 8 3 3 3 3" xfId="37087" xr:uid="{00000000-0005-0000-0000-000076C80000}"/>
    <cellStyle name="Normal 8 3 3 3 3 2" xfId="37088" xr:uid="{00000000-0005-0000-0000-000077C80000}"/>
    <cellStyle name="Normal 8 3 3 3 3 2 2" xfId="60252" xr:uid="{00000000-0005-0000-0000-000078C80000}"/>
    <cellStyle name="Normal 8 3 3 3 3 2 3" xfId="60253" xr:uid="{00000000-0005-0000-0000-000079C80000}"/>
    <cellStyle name="Normal 8 3 3 3 3 3" xfId="37089" xr:uid="{00000000-0005-0000-0000-00007AC80000}"/>
    <cellStyle name="Normal 8 3 3 3 3 3 2" xfId="60254" xr:uid="{00000000-0005-0000-0000-00007BC80000}"/>
    <cellStyle name="Normal 8 3 3 3 3 4" xfId="37090" xr:uid="{00000000-0005-0000-0000-00007CC80000}"/>
    <cellStyle name="Normal 8 3 3 3 3 5" xfId="37091" xr:uid="{00000000-0005-0000-0000-00007DC80000}"/>
    <cellStyle name="Normal 8 3 3 3 3 6" xfId="37092" xr:uid="{00000000-0005-0000-0000-00007EC80000}"/>
    <cellStyle name="Normal 8 3 3 3 4" xfId="37093" xr:uid="{00000000-0005-0000-0000-00007FC80000}"/>
    <cellStyle name="Normal 8 3 3 3 4 2" xfId="60255" xr:uid="{00000000-0005-0000-0000-000080C80000}"/>
    <cellStyle name="Normal 8 3 3 3 4 3" xfId="60256" xr:uid="{00000000-0005-0000-0000-000081C80000}"/>
    <cellStyle name="Normal 8 3 3 3 5" xfId="37094" xr:uid="{00000000-0005-0000-0000-000082C80000}"/>
    <cellStyle name="Normal 8 3 3 3 5 2" xfId="60257" xr:uid="{00000000-0005-0000-0000-000083C80000}"/>
    <cellStyle name="Normal 8 3 3 3 6" xfId="37095" xr:uid="{00000000-0005-0000-0000-000084C80000}"/>
    <cellStyle name="Normal 8 3 3 3 7" xfId="37096" xr:uid="{00000000-0005-0000-0000-000085C80000}"/>
    <cellStyle name="Normal 8 3 3 3 8" xfId="37097" xr:uid="{00000000-0005-0000-0000-000086C80000}"/>
    <cellStyle name="Normal 8 3 3 3 9" xfId="37098" xr:uid="{00000000-0005-0000-0000-000087C80000}"/>
    <cellStyle name="Normal 8 3 3 4" xfId="37099" xr:uid="{00000000-0005-0000-0000-000088C80000}"/>
    <cellStyle name="Normal 8 3 3 4 2" xfId="37100" xr:uid="{00000000-0005-0000-0000-000089C80000}"/>
    <cellStyle name="Normal 8 3 3 4 2 2" xfId="37101" xr:uid="{00000000-0005-0000-0000-00008AC80000}"/>
    <cellStyle name="Normal 8 3 3 4 2 2 2" xfId="37102" xr:uid="{00000000-0005-0000-0000-00008BC80000}"/>
    <cellStyle name="Normal 8 3 3 4 2 2 2 2" xfId="60258" xr:uid="{00000000-0005-0000-0000-00008CC80000}"/>
    <cellStyle name="Normal 8 3 3 4 2 2 2 3" xfId="60259" xr:uid="{00000000-0005-0000-0000-00008DC80000}"/>
    <cellStyle name="Normal 8 3 3 4 2 2 3" xfId="37103" xr:uid="{00000000-0005-0000-0000-00008EC80000}"/>
    <cellStyle name="Normal 8 3 3 4 2 2 3 2" xfId="60260" xr:uid="{00000000-0005-0000-0000-00008FC80000}"/>
    <cellStyle name="Normal 8 3 3 4 2 2 4" xfId="37104" xr:uid="{00000000-0005-0000-0000-000090C80000}"/>
    <cellStyle name="Normal 8 3 3 4 2 2 5" xfId="37105" xr:uid="{00000000-0005-0000-0000-000091C80000}"/>
    <cellStyle name="Normal 8 3 3 4 2 2 6" xfId="37106" xr:uid="{00000000-0005-0000-0000-000092C80000}"/>
    <cellStyle name="Normal 8 3 3 4 2 3" xfId="37107" xr:uid="{00000000-0005-0000-0000-000093C80000}"/>
    <cellStyle name="Normal 8 3 3 4 2 3 2" xfId="60261" xr:uid="{00000000-0005-0000-0000-000094C80000}"/>
    <cellStyle name="Normal 8 3 3 4 2 3 3" xfId="60262" xr:uid="{00000000-0005-0000-0000-000095C80000}"/>
    <cellStyle name="Normal 8 3 3 4 2 4" xfId="37108" xr:uid="{00000000-0005-0000-0000-000096C80000}"/>
    <cellStyle name="Normal 8 3 3 4 2 4 2" xfId="60263" xr:uid="{00000000-0005-0000-0000-000097C80000}"/>
    <cellStyle name="Normal 8 3 3 4 2 5" xfId="37109" xr:uid="{00000000-0005-0000-0000-000098C80000}"/>
    <cellStyle name="Normal 8 3 3 4 2 6" xfId="37110" xr:uid="{00000000-0005-0000-0000-000099C80000}"/>
    <cellStyle name="Normal 8 3 3 4 2 7" xfId="37111" xr:uid="{00000000-0005-0000-0000-00009AC80000}"/>
    <cellStyle name="Normal 8 3 3 4 3" xfId="37112" xr:uid="{00000000-0005-0000-0000-00009BC80000}"/>
    <cellStyle name="Normal 8 3 3 4 3 2" xfId="37113" xr:uid="{00000000-0005-0000-0000-00009CC80000}"/>
    <cellStyle name="Normal 8 3 3 4 3 2 2" xfId="60264" xr:uid="{00000000-0005-0000-0000-00009DC80000}"/>
    <cellStyle name="Normal 8 3 3 4 3 2 3" xfId="60265" xr:uid="{00000000-0005-0000-0000-00009EC80000}"/>
    <cellStyle name="Normal 8 3 3 4 3 3" xfId="37114" xr:uid="{00000000-0005-0000-0000-00009FC80000}"/>
    <cellStyle name="Normal 8 3 3 4 3 3 2" xfId="60266" xr:uid="{00000000-0005-0000-0000-0000A0C80000}"/>
    <cellStyle name="Normal 8 3 3 4 3 4" xfId="37115" xr:uid="{00000000-0005-0000-0000-0000A1C80000}"/>
    <cellStyle name="Normal 8 3 3 4 3 5" xfId="37116" xr:uid="{00000000-0005-0000-0000-0000A2C80000}"/>
    <cellStyle name="Normal 8 3 3 4 3 6" xfId="37117" xr:uid="{00000000-0005-0000-0000-0000A3C80000}"/>
    <cellStyle name="Normal 8 3 3 4 4" xfId="37118" xr:uid="{00000000-0005-0000-0000-0000A4C80000}"/>
    <cellStyle name="Normal 8 3 3 4 4 2" xfId="60267" xr:uid="{00000000-0005-0000-0000-0000A5C80000}"/>
    <cellStyle name="Normal 8 3 3 4 4 3" xfId="60268" xr:uid="{00000000-0005-0000-0000-0000A6C80000}"/>
    <cellStyle name="Normal 8 3 3 4 5" xfId="37119" xr:uid="{00000000-0005-0000-0000-0000A7C80000}"/>
    <cellStyle name="Normal 8 3 3 4 5 2" xfId="60269" xr:uid="{00000000-0005-0000-0000-0000A8C80000}"/>
    <cellStyle name="Normal 8 3 3 4 6" xfId="37120" xr:uid="{00000000-0005-0000-0000-0000A9C80000}"/>
    <cellStyle name="Normal 8 3 3 4 7" xfId="37121" xr:uid="{00000000-0005-0000-0000-0000AAC80000}"/>
    <cellStyle name="Normal 8 3 3 4 8" xfId="37122" xr:uid="{00000000-0005-0000-0000-0000ABC80000}"/>
    <cellStyle name="Normal 8 3 3 5" xfId="37123" xr:uid="{00000000-0005-0000-0000-0000ACC80000}"/>
    <cellStyle name="Normal 8 3 3 5 2" xfId="37124" xr:uid="{00000000-0005-0000-0000-0000ADC80000}"/>
    <cellStyle name="Normal 8 3 3 5 2 2" xfId="37125" xr:uid="{00000000-0005-0000-0000-0000AEC80000}"/>
    <cellStyle name="Normal 8 3 3 5 2 2 2" xfId="60270" xr:uid="{00000000-0005-0000-0000-0000AFC80000}"/>
    <cellStyle name="Normal 8 3 3 5 2 2 3" xfId="60271" xr:uid="{00000000-0005-0000-0000-0000B0C80000}"/>
    <cellStyle name="Normal 8 3 3 5 2 3" xfId="37126" xr:uid="{00000000-0005-0000-0000-0000B1C80000}"/>
    <cellStyle name="Normal 8 3 3 5 2 3 2" xfId="60272" xr:uid="{00000000-0005-0000-0000-0000B2C80000}"/>
    <cellStyle name="Normal 8 3 3 5 2 4" xfId="37127" xr:uid="{00000000-0005-0000-0000-0000B3C80000}"/>
    <cellStyle name="Normal 8 3 3 5 2 5" xfId="37128" xr:uid="{00000000-0005-0000-0000-0000B4C80000}"/>
    <cellStyle name="Normal 8 3 3 5 2 6" xfId="37129" xr:uid="{00000000-0005-0000-0000-0000B5C80000}"/>
    <cellStyle name="Normal 8 3 3 5 3" xfId="37130" xr:uid="{00000000-0005-0000-0000-0000B6C80000}"/>
    <cellStyle name="Normal 8 3 3 5 3 2" xfId="60273" xr:uid="{00000000-0005-0000-0000-0000B7C80000}"/>
    <cellStyle name="Normal 8 3 3 5 3 3" xfId="60274" xr:uid="{00000000-0005-0000-0000-0000B8C80000}"/>
    <cellStyle name="Normal 8 3 3 5 4" xfId="37131" xr:uid="{00000000-0005-0000-0000-0000B9C80000}"/>
    <cellStyle name="Normal 8 3 3 5 4 2" xfId="60275" xr:uid="{00000000-0005-0000-0000-0000BAC80000}"/>
    <cellStyle name="Normal 8 3 3 5 5" xfId="37132" xr:uid="{00000000-0005-0000-0000-0000BBC80000}"/>
    <cellStyle name="Normal 8 3 3 5 6" xfId="37133" xr:uid="{00000000-0005-0000-0000-0000BCC80000}"/>
    <cellStyle name="Normal 8 3 3 5 7" xfId="37134" xr:uid="{00000000-0005-0000-0000-0000BDC80000}"/>
    <cellStyle name="Normal 8 3 3 6" xfId="37135" xr:uid="{00000000-0005-0000-0000-0000BEC80000}"/>
    <cellStyle name="Normal 8 3 3 6 2" xfId="37136" xr:uid="{00000000-0005-0000-0000-0000BFC80000}"/>
    <cellStyle name="Normal 8 3 3 6 2 2" xfId="60276" xr:uid="{00000000-0005-0000-0000-0000C0C80000}"/>
    <cellStyle name="Normal 8 3 3 6 2 3" xfId="60277" xr:uid="{00000000-0005-0000-0000-0000C1C80000}"/>
    <cellStyle name="Normal 8 3 3 6 3" xfId="37137" xr:uid="{00000000-0005-0000-0000-0000C2C80000}"/>
    <cellStyle name="Normal 8 3 3 6 3 2" xfId="60278" xr:uid="{00000000-0005-0000-0000-0000C3C80000}"/>
    <cellStyle name="Normal 8 3 3 6 4" xfId="37138" xr:uid="{00000000-0005-0000-0000-0000C4C80000}"/>
    <cellStyle name="Normal 8 3 3 6 5" xfId="37139" xr:uid="{00000000-0005-0000-0000-0000C5C80000}"/>
    <cellStyle name="Normal 8 3 3 6 6" xfId="37140" xr:uid="{00000000-0005-0000-0000-0000C6C80000}"/>
    <cellStyle name="Normal 8 3 3 7" xfId="37141" xr:uid="{00000000-0005-0000-0000-0000C7C80000}"/>
    <cellStyle name="Normal 8 3 3 7 2" xfId="60279" xr:uid="{00000000-0005-0000-0000-0000C8C80000}"/>
    <cellStyle name="Normal 8 3 3 7 3" xfId="60280" xr:uid="{00000000-0005-0000-0000-0000C9C80000}"/>
    <cellStyle name="Normal 8 3 3 8" xfId="37142" xr:uid="{00000000-0005-0000-0000-0000CAC80000}"/>
    <cellStyle name="Normal 8 3 3 8 2" xfId="60281" xr:uid="{00000000-0005-0000-0000-0000CBC80000}"/>
    <cellStyle name="Normal 8 3 3 9" xfId="37143" xr:uid="{00000000-0005-0000-0000-0000CCC80000}"/>
    <cellStyle name="Normal 8 3 4" xfId="37144" xr:uid="{00000000-0005-0000-0000-0000CDC80000}"/>
    <cellStyle name="Normal 8 3 4 10" xfId="37145" xr:uid="{00000000-0005-0000-0000-0000CEC80000}"/>
    <cellStyle name="Normal 8 3 4 11" xfId="37146" xr:uid="{00000000-0005-0000-0000-0000CFC80000}"/>
    <cellStyle name="Normal 8 3 4 12" xfId="37147" xr:uid="{00000000-0005-0000-0000-0000D0C80000}"/>
    <cellStyle name="Normal 8 3 4 13" xfId="37148" xr:uid="{00000000-0005-0000-0000-0000D1C80000}"/>
    <cellStyle name="Normal 8 3 4 14" xfId="37149" xr:uid="{00000000-0005-0000-0000-0000D2C80000}"/>
    <cellStyle name="Normal 8 3 4 2" xfId="37150" xr:uid="{00000000-0005-0000-0000-0000D3C80000}"/>
    <cellStyle name="Normal 8 3 4 2 2" xfId="37151" xr:uid="{00000000-0005-0000-0000-0000D4C80000}"/>
    <cellStyle name="Normal 8 3 4 2 2 2" xfId="37152" xr:uid="{00000000-0005-0000-0000-0000D5C80000}"/>
    <cellStyle name="Normal 8 3 4 2 2 2 2" xfId="37153" xr:uid="{00000000-0005-0000-0000-0000D6C80000}"/>
    <cellStyle name="Normal 8 3 4 2 2 2 2 2" xfId="60282" xr:uid="{00000000-0005-0000-0000-0000D7C80000}"/>
    <cellStyle name="Normal 8 3 4 2 2 2 2 3" xfId="60283" xr:uid="{00000000-0005-0000-0000-0000D8C80000}"/>
    <cellStyle name="Normal 8 3 4 2 2 2 3" xfId="37154" xr:uid="{00000000-0005-0000-0000-0000D9C80000}"/>
    <cellStyle name="Normal 8 3 4 2 2 2 3 2" xfId="60284" xr:uid="{00000000-0005-0000-0000-0000DAC80000}"/>
    <cellStyle name="Normal 8 3 4 2 2 2 4" xfId="37155" xr:uid="{00000000-0005-0000-0000-0000DBC80000}"/>
    <cellStyle name="Normal 8 3 4 2 2 2 5" xfId="37156" xr:uid="{00000000-0005-0000-0000-0000DCC80000}"/>
    <cellStyle name="Normal 8 3 4 2 2 2 6" xfId="37157" xr:uid="{00000000-0005-0000-0000-0000DDC80000}"/>
    <cellStyle name="Normal 8 3 4 2 2 3" xfId="37158" xr:uid="{00000000-0005-0000-0000-0000DEC80000}"/>
    <cellStyle name="Normal 8 3 4 2 2 3 2" xfId="60285" xr:uid="{00000000-0005-0000-0000-0000DFC80000}"/>
    <cellStyle name="Normal 8 3 4 2 2 3 3" xfId="60286" xr:uid="{00000000-0005-0000-0000-0000E0C80000}"/>
    <cellStyle name="Normal 8 3 4 2 2 4" xfId="37159" xr:uid="{00000000-0005-0000-0000-0000E1C80000}"/>
    <cellStyle name="Normal 8 3 4 2 2 4 2" xfId="60287" xr:uid="{00000000-0005-0000-0000-0000E2C80000}"/>
    <cellStyle name="Normal 8 3 4 2 2 5" xfId="37160" xr:uid="{00000000-0005-0000-0000-0000E3C80000}"/>
    <cellStyle name="Normal 8 3 4 2 2 6" xfId="37161" xr:uid="{00000000-0005-0000-0000-0000E4C80000}"/>
    <cellStyle name="Normal 8 3 4 2 2 7" xfId="37162" xr:uid="{00000000-0005-0000-0000-0000E5C80000}"/>
    <cellStyle name="Normal 8 3 4 2 3" xfId="37163" xr:uid="{00000000-0005-0000-0000-0000E6C80000}"/>
    <cellStyle name="Normal 8 3 4 2 3 2" xfId="37164" xr:uid="{00000000-0005-0000-0000-0000E7C80000}"/>
    <cellStyle name="Normal 8 3 4 2 3 2 2" xfId="60288" xr:uid="{00000000-0005-0000-0000-0000E8C80000}"/>
    <cellStyle name="Normal 8 3 4 2 3 2 3" xfId="60289" xr:uid="{00000000-0005-0000-0000-0000E9C80000}"/>
    <cellStyle name="Normal 8 3 4 2 3 3" xfId="37165" xr:uid="{00000000-0005-0000-0000-0000EAC80000}"/>
    <cellStyle name="Normal 8 3 4 2 3 3 2" xfId="60290" xr:uid="{00000000-0005-0000-0000-0000EBC80000}"/>
    <cellStyle name="Normal 8 3 4 2 3 4" xfId="37166" xr:uid="{00000000-0005-0000-0000-0000ECC80000}"/>
    <cellStyle name="Normal 8 3 4 2 3 5" xfId="37167" xr:uid="{00000000-0005-0000-0000-0000EDC80000}"/>
    <cellStyle name="Normal 8 3 4 2 3 6" xfId="37168" xr:uid="{00000000-0005-0000-0000-0000EEC80000}"/>
    <cellStyle name="Normal 8 3 4 2 4" xfId="37169" xr:uid="{00000000-0005-0000-0000-0000EFC80000}"/>
    <cellStyle name="Normal 8 3 4 2 4 2" xfId="60291" xr:uid="{00000000-0005-0000-0000-0000F0C80000}"/>
    <cellStyle name="Normal 8 3 4 2 4 3" xfId="60292" xr:uid="{00000000-0005-0000-0000-0000F1C80000}"/>
    <cellStyle name="Normal 8 3 4 2 5" xfId="37170" xr:uid="{00000000-0005-0000-0000-0000F2C80000}"/>
    <cellStyle name="Normal 8 3 4 2 5 2" xfId="60293" xr:uid="{00000000-0005-0000-0000-0000F3C80000}"/>
    <cellStyle name="Normal 8 3 4 2 6" xfId="37171" xr:uid="{00000000-0005-0000-0000-0000F4C80000}"/>
    <cellStyle name="Normal 8 3 4 2 7" xfId="37172" xr:uid="{00000000-0005-0000-0000-0000F5C80000}"/>
    <cellStyle name="Normal 8 3 4 2 8" xfId="37173" xr:uid="{00000000-0005-0000-0000-0000F6C80000}"/>
    <cellStyle name="Normal 8 3 4 2 9" xfId="37174" xr:uid="{00000000-0005-0000-0000-0000F7C80000}"/>
    <cellStyle name="Normal 8 3 4 3" xfId="37175" xr:uid="{00000000-0005-0000-0000-0000F8C80000}"/>
    <cellStyle name="Normal 8 3 4 3 2" xfId="37176" xr:uid="{00000000-0005-0000-0000-0000F9C80000}"/>
    <cellStyle name="Normal 8 3 4 3 2 2" xfId="37177" xr:uid="{00000000-0005-0000-0000-0000FAC80000}"/>
    <cellStyle name="Normal 8 3 4 3 2 2 2" xfId="37178" xr:uid="{00000000-0005-0000-0000-0000FBC80000}"/>
    <cellStyle name="Normal 8 3 4 3 2 2 2 2" xfId="60294" xr:uid="{00000000-0005-0000-0000-0000FCC80000}"/>
    <cellStyle name="Normal 8 3 4 3 2 2 2 3" xfId="60295" xr:uid="{00000000-0005-0000-0000-0000FDC80000}"/>
    <cellStyle name="Normal 8 3 4 3 2 2 3" xfId="37179" xr:uid="{00000000-0005-0000-0000-0000FEC80000}"/>
    <cellStyle name="Normal 8 3 4 3 2 2 3 2" xfId="60296" xr:uid="{00000000-0005-0000-0000-0000FFC80000}"/>
    <cellStyle name="Normal 8 3 4 3 2 2 4" xfId="37180" xr:uid="{00000000-0005-0000-0000-000000C90000}"/>
    <cellStyle name="Normal 8 3 4 3 2 2 5" xfId="37181" xr:uid="{00000000-0005-0000-0000-000001C90000}"/>
    <cellStyle name="Normal 8 3 4 3 2 2 6" xfId="37182" xr:uid="{00000000-0005-0000-0000-000002C90000}"/>
    <cellStyle name="Normal 8 3 4 3 2 3" xfId="37183" xr:uid="{00000000-0005-0000-0000-000003C90000}"/>
    <cellStyle name="Normal 8 3 4 3 2 3 2" xfId="60297" xr:uid="{00000000-0005-0000-0000-000004C90000}"/>
    <cellStyle name="Normal 8 3 4 3 2 3 3" xfId="60298" xr:uid="{00000000-0005-0000-0000-000005C90000}"/>
    <cellStyle name="Normal 8 3 4 3 2 4" xfId="37184" xr:uid="{00000000-0005-0000-0000-000006C90000}"/>
    <cellStyle name="Normal 8 3 4 3 2 4 2" xfId="60299" xr:uid="{00000000-0005-0000-0000-000007C90000}"/>
    <cellStyle name="Normal 8 3 4 3 2 5" xfId="37185" xr:uid="{00000000-0005-0000-0000-000008C90000}"/>
    <cellStyle name="Normal 8 3 4 3 2 6" xfId="37186" xr:uid="{00000000-0005-0000-0000-000009C90000}"/>
    <cellStyle name="Normal 8 3 4 3 2 7" xfId="37187" xr:uid="{00000000-0005-0000-0000-00000AC90000}"/>
    <cellStyle name="Normal 8 3 4 3 3" xfId="37188" xr:uid="{00000000-0005-0000-0000-00000BC90000}"/>
    <cellStyle name="Normal 8 3 4 3 3 2" xfId="37189" xr:uid="{00000000-0005-0000-0000-00000CC90000}"/>
    <cellStyle name="Normal 8 3 4 3 3 2 2" xfId="60300" xr:uid="{00000000-0005-0000-0000-00000DC90000}"/>
    <cellStyle name="Normal 8 3 4 3 3 2 3" xfId="60301" xr:uid="{00000000-0005-0000-0000-00000EC90000}"/>
    <cellStyle name="Normal 8 3 4 3 3 3" xfId="37190" xr:uid="{00000000-0005-0000-0000-00000FC90000}"/>
    <cellStyle name="Normal 8 3 4 3 3 3 2" xfId="60302" xr:uid="{00000000-0005-0000-0000-000010C90000}"/>
    <cellStyle name="Normal 8 3 4 3 3 4" xfId="37191" xr:uid="{00000000-0005-0000-0000-000011C90000}"/>
    <cellStyle name="Normal 8 3 4 3 3 5" xfId="37192" xr:uid="{00000000-0005-0000-0000-000012C90000}"/>
    <cellStyle name="Normal 8 3 4 3 3 6" xfId="37193" xr:uid="{00000000-0005-0000-0000-000013C90000}"/>
    <cellStyle name="Normal 8 3 4 3 4" xfId="37194" xr:uid="{00000000-0005-0000-0000-000014C90000}"/>
    <cellStyle name="Normal 8 3 4 3 4 2" xfId="60303" xr:uid="{00000000-0005-0000-0000-000015C90000}"/>
    <cellStyle name="Normal 8 3 4 3 4 3" xfId="60304" xr:uid="{00000000-0005-0000-0000-000016C90000}"/>
    <cellStyle name="Normal 8 3 4 3 5" xfId="37195" xr:uid="{00000000-0005-0000-0000-000017C90000}"/>
    <cellStyle name="Normal 8 3 4 3 5 2" xfId="60305" xr:uid="{00000000-0005-0000-0000-000018C90000}"/>
    <cellStyle name="Normal 8 3 4 3 6" xfId="37196" xr:uid="{00000000-0005-0000-0000-000019C90000}"/>
    <cellStyle name="Normal 8 3 4 3 7" xfId="37197" xr:uid="{00000000-0005-0000-0000-00001AC90000}"/>
    <cellStyle name="Normal 8 3 4 3 8" xfId="37198" xr:uid="{00000000-0005-0000-0000-00001BC90000}"/>
    <cellStyle name="Normal 8 3 4 4" xfId="37199" xr:uid="{00000000-0005-0000-0000-00001CC90000}"/>
    <cellStyle name="Normal 8 3 4 4 2" xfId="37200" xr:uid="{00000000-0005-0000-0000-00001DC90000}"/>
    <cellStyle name="Normal 8 3 4 4 2 2" xfId="37201" xr:uid="{00000000-0005-0000-0000-00001EC90000}"/>
    <cellStyle name="Normal 8 3 4 4 2 2 2" xfId="60306" xr:uid="{00000000-0005-0000-0000-00001FC90000}"/>
    <cellStyle name="Normal 8 3 4 4 2 2 3" xfId="60307" xr:uid="{00000000-0005-0000-0000-000020C90000}"/>
    <cellStyle name="Normal 8 3 4 4 2 3" xfId="37202" xr:uid="{00000000-0005-0000-0000-000021C90000}"/>
    <cellStyle name="Normal 8 3 4 4 2 3 2" xfId="60308" xr:uid="{00000000-0005-0000-0000-000022C90000}"/>
    <cellStyle name="Normal 8 3 4 4 2 4" xfId="37203" xr:uid="{00000000-0005-0000-0000-000023C90000}"/>
    <cellStyle name="Normal 8 3 4 4 2 5" xfId="37204" xr:uid="{00000000-0005-0000-0000-000024C90000}"/>
    <cellStyle name="Normal 8 3 4 4 2 6" xfId="37205" xr:uid="{00000000-0005-0000-0000-000025C90000}"/>
    <cellStyle name="Normal 8 3 4 4 3" xfId="37206" xr:uid="{00000000-0005-0000-0000-000026C90000}"/>
    <cellStyle name="Normal 8 3 4 4 3 2" xfId="60309" xr:uid="{00000000-0005-0000-0000-000027C90000}"/>
    <cellStyle name="Normal 8 3 4 4 3 3" xfId="60310" xr:uid="{00000000-0005-0000-0000-000028C90000}"/>
    <cellStyle name="Normal 8 3 4 4 4" xfId="37207" xr:uid="{00000000-0005-0000-0000-000029C90000}"/>
    <cellStyle name="Normal 8 3 4 4 4 2" xfId="60311" xr:uid="{00000000-0005-0000-0000-00002AC90000}"/>
    <cellStyle name="Normal 8 3 4 4 5" xfId="37208" xr:uid="{00000000-0005-0000-0000-00002BC90000}"/>
    <cellStyle name="Normal 8 3 4 4 6" xfId="37209" xr:uid="{00000000-0005-0000-0000-00002CC90000}"/>
    <cellStyle name="Normal 8 3 4 4 7" xfId="37210" xr:uid="{00000000-0005-0000-0000-00002DC90000}"/>
    <cellStyle name="Normal 8 3 4 5" xfId="37211" xr:uid="{00000000-0005-0000-0000-00002EC90000}"/>
    <cellStyle name="Normal 8 3 4 5 2" xfId="37212" xr:uid="{00000000-0005-0000-0000-00002FC90000}"/>
    <cellStyle name="Normal 8 3 4 5 2 2" xfId="60312" xr:uid="{00000000-0005-0000-0000-000030C90000}"/>
    <cellStyle name="Normal 8 3 4 5 2 3" xfId="60313" xr:uid="{00000000-0005-0000-0000-000031C90000}"/>
    <cellStyle name="Normal 8 3 4 5 3" xfId="37213" xr:uid="{00000000-0005-0000-0000-000032C90000}"/>
    <cellStyle name="Normal 8 3 4 5 3 2" xfId="60314" xr:uid="{00000000-0005-0000-0000-000033C90000}"/>
    <cellStyle name="Normal 8 3 4 5 4" xfId="37214" xr:uid="{00000000-0005-0000-0000-000034C90000}"/>
    <cellStyle name="Normal 8 3 4 5 5" xfId="37215" xr:uid="{00000000-0005-0000-0000-000035C90000}"/>
    <cellStyle name="Normal 8 3 4 5 6" xfId="37216" xr:uid="{00000000-0005-0000-0000-000036C90000}"/>
    <cellStyle name="Normal 8 3 4 6" xfId="37217" xr:uid="{00000000-0005-0000-0000-000037C90000}"/>
    <cellStyle name="Normal 8 3 4 6 2" xfId="60315" xr:uid="{00000000-0005-0000-0000-000038C90000}"/>
    <cellStyle name="Normal 8 3 4 6 3" xfId="60316" xr:uid="{00000000-0005-0000-0000-000039C90000}"/>
    <cellStyle name="Normal 8 3 4 7" xfId="37218" xr:uid="{00000000-0005-0000-0000-00003AC90000}"/>
    <cellStyle name="Normal 8 3 4 7 2" xfId="60317" xr:uid="{00000000-0005-0000-0000-00003BC90000}"/>
    <cellStyle name="Normal 8 3 4 8" xfId="37219" xr:uid="{00000000-0005-0000-0000-00003CC90000}"/>
    <cellStyle name="Normal 8 3 4 9" xfId="37220" xr:uid="{00000000-0005-0000-0000-00003DC90000}"/>
    <cellStyle name="Normal 8 3 5" xfId="37221" xr:uid="{00000000-0005-0000-0000-00003EC90000}"/>
    <cellStyle name="Normal 8 3 5 10" xfId="37222" xr:uid="{00000000-0005-0000-0000-00003FC90000}"/>
    <cellStyle name="Normal 8 3 5 11" xfId="37223" xr:uid="{00000000-0005-0000-0000-000040C90000}"/>
    <cellStyle name="Normal 8 3 5 12" xfId="37224" xr:uid="{00000000-0005-0000-0000-000041C90000}"/>
    <cellStyle name="Normal 8 3 5 13" xfId="37225" xr:uid="{00000000-0005-0000-0000-000042C90000}"/>
    <cellStyle name="Normal 8 3 5 14" xfId="37226" xr:uid="{00000000-0005-0000-0000-000043C90000}"/>
    <cellStyle name="Normal 8 3 5 2" xfId="37227" xr:uid="{00000000-0005-0000-0000-000044C90000}"/>
    <cellStyle name="Normal 8 3 5 2 2" xfId="37228" xr:uid="{00000000-0005-0000-0000-000045C90000}"/>
    <cellStyle name="Normal 8 3 5 2 2 2" xfId="37229" xr:uid="{00000000-0005-0000-0000-000046C90000}"/>
    <cellStyle name="Normal 8 3 5 2 2 2 2" xfId="37230" xr:uid="{00000000-0005-0000-0000-000047C90000}"/>
    <cellStyle name="Normal 8 3 5 2 2 2 2 2" xfId="60318" xr:uid="{00000000-0005-0000-0000-000048C90000}"/>
    <cellStyle name="Normal 8 3 5 2 2 2 2 3" xfId="60319" xr:uid="{00000000-0005-0000-0000-000049C90000}"/>
    <cellStyle name="Normal 8 3 5 2 2 2 3" xfId="37231" xr:uid="{00000000-0005-0000-0000-00004AC90000}"/>
    <cellStyle name="Normal 8 3 5 2 2 2 3 2" xfId="60320" xr:uid="{00000000-0005-0000-0000-00004BC90000}"/>
    <cellStyle name="Normal 8 3 5 2 2 2 4" xfId="37232" xr:uid="{00000000-0005-0000-0000-00004CC90000}"/>
    <cellStyle name="Normal 8 3 5 2 2 2 5" xfId="37233" xr:uid="{00000000-0005-0000-0000-00004DC90000}"/>
    <cellStyle name="Normal 8 3 5 2 2 2 6" xfId="37234" xr:uid="{00000000-0005-0000-0000-00004EC90000}"/>
    <cellStyle name="Normal 8 3 5 2 2 3" xfId="37235" xr:uid="{00000000-0005-0000-0000-00004FC90000}"/>
    <cellStyle name="Normal 8 3 5 2 2 3 2" xfId="60321" xr:uid="{00000000-0005-0000-0000-000050C90000}"/>
    <cellStyle name="Normal 8 3 5 2 2 3 3" xfId="60322" xr:uid="{00000000-0005-0000-0000-000051C90000}"/>
    <cellStyle name="Normal 8 3 5 2 2 4" xfId="37236" xr:uid="{00000000-0005-0000-0000-000052C90000}"/>
    <cellStyle name="Normal 8 3 5 2 2 4 2" xfId="60323" xr:uid="{00000000-0005-0000-0000-000053C90000}"/>
    <cellStyle name="Normal 8 3 5 2 2 5" xfId="37237" xr:uid="{00000000-0005-0000-0000-000054C90000}"/>
    <cellStyle name="Normal 8 3 5 2 2 6" xfId="37238" xr:uid="{00000000-0005-0000-0000-000055C90000}"/>
    <cellStyle name="Normal 8 3 5 2 2 7" xfId="37239" xr:uid="{00000000-0005-0000-0000-000056C90000}"/>
    <cellStyle name="Normal 8 3 5 2 3" xfId="37240" xr:uid="{00000000-0005-0000-0000-000057C90000}"/>
    <cellStyle name="Normal 8 3 5 2 3 2" xfId="37241" xr:uid="{00000000-0005-0000-0000-000058C90000}"/>
    <cellStyle name="Normal 8 3 5 2 3 2 2" xfId="60324" xr:uid="{00000000-0005-0000-0000-000059C90000}"/>
    <cellStyle name="Normal 8 3 5 2 3 2 3" xfId="60325" xr:uid="{00000000-0005-0000-0000-00005AC90000}"/>
    <cellStyle name="Normal 8 3 5 2 3 3" xfId="37242" xr:uid="{00000000-0005-0000-0000-00005BC90000}"/>
    <cellStyle name="Normal 8 3 5 2 3 3 2" xfId="60326" xr:uid="{00000000-0005-0000-0000-00005CC90000}"/>
    <cellStyle name="Normal 8 3 5 2 3 4" xfId="37243" xr:uid="{00000000-0005-0000-0000-00005DC90000}"/>
    <cellStyle name="Normal 8 3 5 2 3 5" xfId="37244" xr:uid="{00000000-0005-0000-0000-00005EC90000}"/>
    <cellStyle name="Normal 8 3 5 2 3 6" xfId="37245" xr:uid="{00000000-0005-0000-0000-00005FC90000}"/>
    <cellStyle name="Normal 8 3 5 2 4" xfId="37246" xr:uid="{00000000-0005-0000-0000-000060C90000}"/>
    <cellStyle name="Normal 8 3 5 2 4 2" xfId="60327" xr:uid="{00000000-0005-0000-0000-000061C90000}"/>
    <cellStyle name="Normal 8 3 5 2 4 3" xfId="60328" xr:uid="{00000000-0005-0000-0000-000062C90000}"/>
    <cellStyle name="Normal 8 3 5 2 5" xfId="37247" xr:uid="{00000000-0005-0000-0000-000063C90000}"/>
    <cellStyle name="Normal 8 3 5 2 5 2" xfId="60329" xr:uid="{00000000-0005-0000-0000-000064C90000}"/>
    <cellStyle name="Normal 8 3 5 2 6" xfId="37248" xr:uid="{00000000-0005-0000-0000-000065C90000}"/>
    <cellStyle name="Normal 8 3 5 2 7" xfId="37249" xr:uid="{00000000-0005-0000-0000-000066C90000}"/>
    <cellStyle name="Normal 8 3 5 2 8" xfId="37250" xr:uid="{00000000-0005-0000-0000-000067C90000}"/>
    <cellStyle name="Normal 8 3 5 2 9" xfId="37251" xr:uid="{00000000-0005-0000-0000-000068C90000}"/>
    <cellStyle name="Normal 8 3 5 3" xfId="37252" xr:uid="{00000000-0005-0000-0000-000069C90000}"/>
    <cellStyle name="Normal 8 3 5 3 2" xfId="37253" xr:uid="{00000000-0005-0000-0000-00006AC90000}"/>
    <cellStyle name="Normal 8 3 5 3 2 2" xfId="37254" xr:uid="{00000000-0005-0000-0000-00006BC90000}"/>
    <cellStyle name="Normal 8 3 5 3 2 2 2" xfId="37255" xr:uid="{00000000-0005-0000-0000-00006CC90000}"/>
    <cellStyle name="Normal 8 3 5 3 2 2 2 2" xfId="60330" xr:uid="{00000000-0005-0000-0000-00006DC90000}"/>
    <cellStyle name="Normal 8 3 5 3 2 2 2 3" xfId="60331" xr:uid="{00000000-0005-0000-0000-00006EC90000}"/>
    <cellStyle name="Normal 8 3 5 3 2 2 3" xfId="37256" xr:uid="{00000000-0005-0000-0000-00006FC90000}"/>
    <cellStyle name="Normal 8 3 5 3 2 2 3 2" xfId="60332" xr:uid="{00000000-0005-0000-0000-000070C90000}"/>
    <cellStyle name="Normal 8 3 5 3 2 2 4" xfId="37257" xr:uid="{00000000-0005-0000-0000-000071C90000}"/>
    <cellStyle name="Normal 8 3 5 3 2 2 5" xfId="37258" xr:uid="{00000000-0005-0000-0000-000072C90000}"/>
    <cellStyle name="Normal 8 3 5 3 2 2 6" xfId="37259" xr:uid="{00000000-0005-0000-0000-000073C90000}"/>
    <cellStyle name="Normal 8 3 5 3 2 3" xfId="37260" xr:uid="{00000000-0005-0000-0000-000074C90000}"/>
    <cellStyle name="Normal 8 3 5 3 2 3 2" xfId="60333" xr:uid="{00000000-0005-0000-0000-000075C90000}"/>
    <cellStyle name="Normal 8 3 5 3 2 3 3" xfId="60334" xr:uid="{00000000-0005-0000-0000-000076C90000}"/>
    <cellStyle name="Normal 8 3 5 3 2 4" xfId="37261" xr:uid="{00000000-0005-0000-0000-000077C90000}"/>
    <cellStyle name="Normal 8 3 5 3 2 4 2" xfId="60335" xr:uid="{00000000-0005-0000-0000-000078C90000}"/>
    <cellStyle name="Normal 8 3 5 3 2 5" xfId="37262" xr:uid="{00000000-0005-0000-0000-000079C90000}"/>
    <cellStyle name="Normal 8 3 5 3 2 6" xfId="37263" xr:uid="{00000000-0005-0000-0000-00007AC90000}"/>
    <cellStyle name="Normal 8 3 5 3 2 7" xfId="37264" xr:uid="{00000000-0005-0000-0000-00007BC90000}"/>
    <cellStyle name="Normal 8 3 5 3 3" xfId="37265" xr:uid="{00000000-0005-0000-0000-00007CC90000}"/>
    <cellStyle name="Normal 8 3 5 3 3 2" xfId="37266" xr:uid="{00000000-0005-0000-0000-00007DC90000}"/>
    <cellStyle name="Normal 8 3 5 3 3 2 2" xfId="60336" xr:uid="{00000000-0005-0000-0000-00007EC90000}"/>
    <cellStyle name="Normal 8 3 5 3 3 2 3" xfId="60337" xr:uid="{00000000-0005-0000-0000-00007FC90000}"/>
    <cellStyle name="Normal 8 3 5 3 3 3" xfId="37267" xr:uid="{00000000-0005-0000-0000-000080C90000}"/>
    <cellStyle name="Normal 8 3 5 3 3 3 2" xfId="60338" xr:uid="{00000000-0005-0000-0000-000081C90000}"/>
    <cellStyle name="Normal 8 3 5 3 3 4" xfId="37268" xr:uid="{00000000-0005-0000-0000-000082C90000}"/>
    <cellStyle name="Normal 8 3 5 3 3 5" xfId="37269" xr:uid="{00000000-0005-0000-0000-000083C90000}"/>
    <cellStyle name="Normal 8 3 5 3 3 6" xfId="37270" xr:uid="{00000000-0005-0000-0000-000084C90000}"/>
    <cellStyle name="Normal 8 3 5 3 4" xfId="37271" xr:uid="{00000000-0005-0000-0000-000085C90000}"/>
    <cellStyle name="Normal 8 3 5 3 4 2" xfId="60339" xr:uid="{00000000-0005-0000-0000-000086C90000}"/>
    <cellStyle name="Normal 8 3 5 3 4 3" xfId="60340" xr:uid="{00000000-0005-0000-0000-000087C90000}"/>
    <cellStyle name="Normal 8 3 5 3 5" xfId="37272" xr:uid="{00000000-0005-0000-0000-000088C90000}"/>
    <cellStyle name="Normal 8 3 5 3 5 2" xfId="60341" xr:uid="{00000000-0005-0000-0000-000089C90000}"/>
    <cellStyle name="Normal 8 3 5 3 6" xfId="37273" xr:uid="{00000000-0005-0000-0000-00008AC90000}"/>
    <cellStyle name="Normal 8 3 5 3 7" xfId="37274" xr:uid="{00000000-0005-0000-0000-00008BC90000}"/>
    <cellStyle name="Normal 8 3 5 3 8" xfId="37275" xr:uid="{00000000-0005-0000-0000-00008CC90000}"/>
    <cellStyle name="Normal 8 3 5 4" xfId="37276" xr:uid="{00000000-0005-0000-0000-00008DC90000}"/>
    <cellStyle name="Normal 8 3 5 4 2" xfId="37277" xr:uid="{00000000-0005-0000-0000-00008EC90000}"/>
    <cellStyle name="Normal 8 3 5 4 2 2" xfId="37278" xr:uid="{00000000-0005-0000-0000-00008FC90000}"/>
    <cellStyle name="Normal 8 3 5 4 2 2 2" xfId="60342" xr:uid="{00000000-0005-0000-0000-000090C90000}"/>
    <cellStyle name="Normal 8 3 5 4 2 2 3" xfId="60343" xr:uid="{00000000-0005-0000-0000-000091C90000}"/>
    <cellStyle name="Normal 8 3 5 4 2 3" xfId="37279" xr:uid="{00000000-0005-0000-0000-000092C90000}"/>
    <cellStyle name="Normal 8 3 5 4 2 3 2" xfId="60344" xr:uid="{00000000-0005-0000-0000-000093C90000}"/>
    <cellStyle name="Normal 8 3 5 4 2 4" xfId="37280" xr:uid="{00000000-0005-0000-0000-000094C90000}"/>
    <cellStyle name="Normal 8 3 5 4 2 5" xfId="37281" xr:uid="{00000000-0005-0000-0000-000095C90000}"/>
    <cellStyle name="Normal 8 3 5 4 2 6" xfId="37282" xr:uid="{00000000-0005-0000-0000-000096C90000}"/>
    <cellStyle name="Normal 8 3 5 4 3" xfId="37283" xr:uid="{00000000-0005-0000-0000-000097C90000}"/>
    <cellStyle name="Normal 8 3 5 4 3 2" xfId="60345" xr:uid="{00000000-0005-0000-0000-000098C90000}"/>
    <cellStyle name="Normal 8 3 5 4 3 3" xfId="60346" xr:uid="{00000000-0005-0000-0000-000099C90000}"/>
    <cellStyle name="Normal 8 3 5 4 4" xfId="37284" xr:uid="{00000000-0005-0000-0000-00009AC90000}"/>
    <cellStyle name="Normal 8 3 5 4 4 2" xfId="60347" xr:uid="{00000000-0005-0000-0000-00009BC90000}"/>
    <cellStyle name="Normal 8 3 5 4 5" xfId="37285" xr:uid="{00000000-0005-0000-0000-00009CC90000}"/>
    <cellStyle name="Normal 8 3 5 4 6" xfId="37286" xr:uid="{00000000-0005-0000-0000-00009DC90000}"/>
    <cellStyle name="Normal 8 3 5 4 7" xfId="37287" xr:uid="{00000000-0005-0000-0000-00009EC90000}"/>
    <cellStyle name="Normal 8 3 5 5" xfId="37288" xr:uid="{00000000-0005-0000-0000-00009FC90000}"/>
    <cellStyle name="Normal 8 3 5 5 2" xfId="37289" xr:uid="{00000000-0005-0000-0000-0000A0C90000}"/>
    <cellStyle name="Normal 8 3 5 5 2 2" xfId="60348" xr:uid="{00000000-0005-0000-0000-0000A1C90000}"/>
    <cellStyle name="Normal 8 3 5 5 2 3" xfId="60349" xr:uid="{00000000-0005-0000-0000-0000A2C90000}"/>
    <cellStyle name="Normal 8 3 5 5 3" xfId="37290" xr:uid="{00000000-0005-0000-0000-0000A3C90000}"/>
    <cellStyle name="Normal 8 3 5 5 3 2" xfId="60350" xr:uid="{00000000-0005-0000-0000-0000A4C90000}"/>
    <cellStyle name="Normal 8 3 5 5 4" xfId="37291" xr:uid="{00000000-0005-0000-0000-0000A5C90000}"/>
    <cellStyle name="Normal 8 3 5 5 5" xfId="37292" xr:uid="{00000000-0005-0000-0000-0000A6C90000}"/>
    <cellStyle name="Normal 8 3 5 5 6" xfId="37293" xr:uid="{00000000-0005-0000-0000-0000A7C90000}"/>
    <cellStyle name="Normal 8 3 5 6" xfId="37294" xr:uid="{00000000-0005-0000-0000-0000A8C90000}"/>
    <cellStyle name="Normal 8 3 5 6 2" xfId="60351" xr:uid="{00000000-0005-0000-0000-0000A9C90000}"/>
    <cellStyle name="Normal 8 3 5 6 3" xfId="60352" xr:uid="{00000000-0005-0000-0000-0000AAC90000}"/>
    <cellStyle name="Normal 8 3 5 7" xfId="37295" xr:uid="{00000000-0005-0000-0000-0000ABC90000}"/>
    <cellStyle name="Normal 8 3 5 7 2" xfId="60353" xr:uid="{00000000-0005-0000-0000-0000ACC90000}"/>
    <cellStyle name="Normal 8 3 5 8" xfId="37296" xr:uid="{00000000-0005-0000-0000-0000ADC90000}"/>
    <cellStyle name="Normal 8 3 5 9" xfId="37297" xr:uid="{00000000-0005-0000-0000-0000AEC90000}"/>
    <cellStyle name="Normal 8 3 6" xfId="37298" xr:uid="{00000000-0005-0000-0000-0000AFC90000}"/>
    <cellStyle name="Normal 8 3 6 10" xfId="37299" xr:uid="{00000000-0005-0000-0000-0000B0C90000}"/>
    <cellStyle name="Normal 8 3 6 11" xfId="37300" xr:uid="{00000000-0005-0000-0000-0000B1C90000}"/>
    <cellStyle name="Normal 8 3 6 12" xfId="37301" xr:uid="{00000000-0005-0000-0000-0000B2C90000}"/>
    <cellStyle name="Normal 8 3 6 13" xfId="37302" xr:uid="{00000000-0005-0000-0000-0000B3C90000}"/>
    <cellStyle name="Normal 8 3 6 2" xfId="37303" xr:uid="{00000000-0005-0000-0000-0000B4C90000}"/>
    <cellStyle name="Normal 8 3 6 2 2" xfId="37304" xr:uid="{00000000-0005-0000-0000-0000B5C90000}"/>
    <cellStyle name="Normal 8 3 6 2 2 2" xfId="37305" xr:uid="{00000000-0005-0000-0000-0000B6C90000}"/>
    <cellStyle name="Normal 8 3 6 2 2 2 2" xfId="37306" xr:uid="{00000000-0005-0000-0000-0000B7C90000}"/>
    <cellStyle name="Normal 8 3 6 2 2 2 2 2" xfId="60354" xr:uid="{00000000-0005-0000-0000-0000B8C90000}"/>
    <cellStyle name="Normal 8 3 6 2 2 2 2 3" xfId="60355" xr:uid="{00000000-0005-0000-0000-0000B9C90000}"/>
    <cellStyle name="Normal 8 3 6 2 2 2 3" xfId="37307" xr:uid="{00000000-0005-0000-0000-0000BAC90000}"/>
    <cellStyle name="Normal 8 3 6 2 2 2 3 2" xfId="60356" xr:uid="{00000000-0005-0000-0000-0000BBC90000}"/>
    <cellStyle name="Normal 8 3 6 2 2 2 4" xfId="37308" xr:uid="{00000000-0005-0000-0000-0000BCC90000}"/>
    <cellStyle name="Normal 8 3 6 2 2 2 5" xfId="37309" xr:uid="{00000000-0005-0000-0000-0000BDC90000}"/>
    <cellStyle name="Normal 8 3 6 2 2 2 6" xfId="37310" xr:uid="{00000000-0005-0000-0000-0000BEC90000}"/>
    <cellStyle name="Normal 8 3 6 2 2 3" xfId="37311" xr:uid="{00000000-0005-0000-0000-0000BFC90000}"/>
    <cellStyle name="Normal 8 3 6 2 2 3 2" xfId="60357" xr:uid="{00000000-0005-0000-0000-0000C0C90000}"/>
    <cellStyle name="Normal 8 3 6 2 2 3 3" xfId="60358" xr:uid="{00000000-0005-0000-0000-0000C1C90000}"/>
    <cellStyle name="Normal 8 3 6 2 2 4" xfId="37312" xr:uid="{00000000-0005-0000-0000-0000C2C90000}"/>
    <cellStyle name="Normal 8 3 6 2 2 4 2" xfId="60359" xr:uid="{00000000-0005-0000-0000-0000C3C90000}"/>
    <cellStyle name="Normal 8 3 6 2 2 5" xfId="37313" xr:uid="{00000000-0005-0000-0000-0000C4C90000}"/>
    <cellStyle name="Normal 8 3 6 2 2 6" xfId="37314" xr:uid="{00000000-0005-0000-0000-0000C5C90000}"/>
    <cellStyle name="Normal 8 3 6 2 2 7" xfId="37315" xr:uid="{00000000-0005-0000-0000-0000C6C90000}"/>
    <cellStyle name="Normal 8 3 6 2 3" xfId="37316" xr:uid="{00000000-0005-0000-0000-0000C7C90000}"/>
    <cellStyle name="Normal 8 3 6 2 3 2" xfId="37317" xr:uid="{00000000-0005-0000-0000-0000C8C90000}"/>
    <cellStyle name="Normal 8 3 6 2 3 2 2" xfId="60360" xr:uid="{00000000-0005-0000-0000-0000C9C90000}"/>
    <cellStyle name="Normal 8 3 6 2 3 2 3" xfId="60361" xr:uid="{00000000-0005-0000-0000-0000CAC90000}"/>
    <cellStyle name="Normal 8 3 6 2 3 3" xfId="37318" xr:uid="{00000000-0005-0000-0000-0000CBC90000}"/>
    <cellStyle name="Normal 8 3 6 2 3 3 2" xfId="60362" xr:uid="{00000000-0005-0000-0000-0000CCC90000}"/>
    <cellStyle name="Normal 8 3 6 2 3 4" xfId="37319" xr:uid="{00000000-0005-0000-0000-0000CDC90000}"/>
    <cellStyle name="Normal 8 3 6 2 3 5" xfId="37320" xr:uid="{00000000-0005-0000-0000-0000CEC90000}"/>
    <cellStyle name="Normal 8 3 6 2 3 6" xfId="37321" xr:uid="{00000000-0005-0000-0000-0000CFC90000}"/>
    <cellStyle name="Normal 8 3 6 2 4" xfId="37322" xr:uid="{00000000-0005-0000-0000-0000D0C90000}"/>
    <cellStyle name="Normal 8 3 6 2 4 2" xfId="60363" xr:uid="{00000000-0005-0000-0000-0000D1C90000}"/>
    <cellStyle name="Normal 8 3 6 2 4 3" xfId="60364" xr:uid="{00000000-0005-0000-0000-0000D2C90000}"/>
    <cellStyle name="Normal 8 3 6 2 5" xfId="37323" xr:uid="{00000000-0005-0000-0000-0000D3C90000}"/>
    <cellStyle name="Normal 8 3 6 2 5 2" xfId="60365" xr:uid="{00000000-0005-0000-0000-0000D4C90000}"/>
    <cellStyle name="Normal 8 3 6 2 6" xfId="37324" xr:uid="{00000000-0005-0000-0000-0000D5C90000}"/>
    <cellStyle name="Normal 8 3 6 2 7" xfId="37325" xr:uid="{00000000-0005-0000-0000-0000D6C90000}"/>
    <cellStyle name="Normal 8 3 6 2 8" xfId="37326" xr:uid="{00000000-0005-0000-0000-0000D7C90000}"/>
    <cellStyle name="Normal 8 3 6 2 9" xfId="37327" xr:uid="{00000000-0005-0000-0000-0000D8C90000}"/>
    <cellStyle name="Normal 8 3 6 3" xfId="37328" xr:uid="{00000000-0005-0000-0000-0000D9C90000}"/>
    <cellStyle name="Normal 8 3 6 3 2" xfId="37329" xr:uid="{00000000-0005-0000-0000-0000DAC90000}"/>
    <cellStyle name="Normal 8 3 6 3 2 2" xfId="37330" xr:uid="{00000000-0005-0000-0000-0000DBC90000}"/>
    <cellStyle name="Normal 8 3 6 3 2 2 2" xfId="60366" xr:uid="{00000000-0005-0000-0000-0000DCC90000}"/>
    <cellStyle name="Normal 8 3 6 3 2 2 3" xfId="60367" xr:uid="{00000000-0005-0000-0000-0000DDC90000}"/>
    <cellStyle name="Normal 8 3 6 3 2 3" xfId="37331" xr:uid="{00000000-0005-0000-0000-0000DEC90000}"/>
    <cellStyle name="Normal 8 3 6 3 2 3 2" xfId="60368" xr:uid="{00000000-0005-0000-0000-0000DFC90000}"/>
    <cellStyle name="Normal 8 3 6 3 2 4" xfId="37332" xr:uid="{00000000-0005-0000-0000-0000E0C90000}"/>
    <cellStyle name="Normal 8 3 6 3 2 5" xfId="37333" xr:uid="{00000000-0005-0000-0000-0000E1C90000}"/>
    <cellStyle name="Normal 8 3 6 3 2 6" xfId="37334" xr:uid="{00000000-0005-0000-0000-0000E2C90000}"/>
    <cellStyle name="Normal 8 3 6 3 3" xfId="37335" xr:uid="{00000000-0005-0000-0000-0000E3C90000}"/>
    <cellStyle name="Normal 8 3 6 3 3 2" xfId="60369" xr:uid="{00000000-0005-0000-0000-0000E4C90000}"/>
    <cellStyle name="Normal 8 3 6 3 3 3" xfId="60370" xr:uid="{00000000-0005-0000-0000-0000E5C90000}"/>
    <cellStyle name="Normal 8 3 6 3 4" xfId="37336" xr:uid="{00000000-0005-0000-0000-0000E6C90000}"/>
    <cellStyle name="Normal 8 3 6 3 4 2" xfId="60371" xr:uid="{00000000-0005-0000-0000-0000E7C90000}"/>
    <cellStyle name="Normal 8 3 6 3 5" xfId="37337" xr:uid="{00000000-0005-0000-0000-0000E8C90000}"/>
    <cellStyle name="Normal 8 3 6 3 6" xfId="37338" xr:uid="{00000000-0005-0000-0000-0000E9C90000}"/>
    <cellStyle name="Normal 8 3 6 3 7" xfId="37339" xr:uid="{00000000-0005-0000-0000-0000EAC90000}"/>
    <cellStyle name="Normal 8 3 6 4" xfId="37340" xr:uid="{00000000-0005-0000-0000-0000EBC90000}"/>
    <cellStyle name="Normal 8 3 6 4 2" xfId="37341" xr:uid="{00000000-0005-0000-0000-0000ECC90000}"/>
    <cellStyle name="Normal 8 3 6 4 2 2" xfId="60372" xr:uid="{00000000-0005-0000-0000-0000EDC90000}"/>
    <cellStyle name="Normal 8 3 6 4 2 3" xfId="60373" xr:uid="{00000000-0005-0000-0000-0000EEC90000}"/>
    <cellStyle name="Normal 8 3 6 4 3" xfId="37342" xr:uid="{00000000-0005-0000-0000-0000EFC90000}"/>
    <cellStyle name="Normal 8 3 6 4 3 2" xfId="60374" xr:uid="{00000000-0005-0000-0000-0000F0C90000}"/>
    <cellStyle name="Normal 8 3 6 4 4" xfId="37343" xr:uid="{00000000-0005-0000-0000-0000F1C90000}"/>
    <cellStyle name="Normal 8 3 6 4 5" xfId="37344" xr:uid="{00000000-0005-0000-0000-0000F2C90000}"/>
    <cellStyle name="Normal 8 3 6 4 6" xfId="37345" xr:uid="{00000000-0005-0000-0000-0000F3C90000}"/>
    <cellStyle name="Normal 8 3 6 5" xfId="37346" xr:uid="{00000000-0005-0000-0000-0000F4C90000}"/>
    <cellStyle name="Normal 8 3 6 5 2" xfId="60375" xr:uid="{00000000-0005-0000-0000-0000F5C90000}"/>
    <cellStyle name="Normal 8 3 6 5 3" xfId="60376" xr:uid="{00000000-0005-0000-0000-0000F6C90000}"/>
    <cellStyle name="Normal 8 3 6 6" xfId="37347" xr:uid="{00000000-0005-0000-0000-0000F7C90000}"/>
    <cellStyle name="Normal 8 3 6 6 2" xfId="60377" xr:uid="{00000000-0005-0000-0000-0000F8C90000}"/>
    <cellStyle name="Normal 8 3 6 7" xfId="37348" xr:uid="{00000000-0005-0000-0000-0000F9C90000}"/>
    <cellStyle name="Normal 8 3 6 8" xfId="37349" xr:uid="{00000000-0005-0000-0000-0000FAC90000}"/>
    <cellStyle name="Normal 8 3 6 9" xfId="37350" xr:uid="{00000000-0005-0000-0000-0000FBC90000}"/>
    <cellStyle name="Normal 8 3 7" xfId="37351" xr:uid="{00000000-0005-0000-0000-0000FCC90000}"/>
    <cellStyle name="Normal 8 3 7 2" xfId="37352" xr:uid="{00000000-0005-0000-0000-0000FDC90000}"/>
    <cellStyle name="Normal 8 3 7 2 2" xfId="37353" xr:uid="{00000000-0005-0000-0000-0000FEC90000}"/>
    <cellStyle name="Normal 8 3 7 2 2 2" xfId="37354" xr:uid="{00000000-0005-0000-0000-0000FFC90000}"/>
    <cellStyle name="Normal 8 3 7 2 2 2 2" xfId="60378" xr:uid="{00000000-0005-0000-0000-000000CA0000}"/>
    <cellStyle name="Normal 8 3 7 2 2 2 3" xfId="60379" xr:uid="{00000000-0005-0000-0000-000001CA0000}"/>
    <cellStyle name="Normal 8 3 7 2 2 3" xfId="37355" xr:uid="{00000000-0005-0000-0000-000002CA0000}"/>
    <cellStyle name="Normal 8 3 7 2 2 3 2" xfId="60380" xr:uid="{00000000-0005-0000-0000-000003CA0000}"/>
    <cellStyle name="Normal 8 3 7 2 2 4" xfId="37356" xr:uid="{00000000-0005-0000-0000-000004CA0000}"/>
    <cellStyle name="Normal 8 3 7 2 2 5" xfId="37357" xr:uid="{00000000-0005-0000-0000-000005CA0000}"/>
    <cellStyle name="Normal 8 3 7 2 2 6" xfId="37358" xr:uid="{00000000-0005-0000-0000-000006CA0000}"/>
    <cellStyle name="Normal 8 3 7 2 3" xfId="37359" xr:uid="{00000000-0005-0000-0000-000007CA0000}"/>
    <cellStyle name="Normal 8 3 7 2 3 2" xfId="60381" xr:uid="{00000000-0005-0000-0000-000008CA0000}"/>
    <cellStyle name="Normal 8 3 7 2 3 3" xfId="60382" xr:uid="{00000000-0005-0000-0000-000009CA0000}"/>
    <cellStyle name="Normal 8 3 7 2 4" xfId="37360" xr:uid="{00000000-0005-0000-0000-00000ACA0000}"/>
    <cellStyle name="Normal 8 3 7 2 4 2" xfId="60383" xr:uid="{00000000-0005-0000-0000-00000BCA0000}"/>
    <cellStyle name="Normal 8 3 7 2 5" xfId="37361" xr:uid="{00000000-0005-0000-0000-00000CCA0000}"/>
    <cellStyle name="Normal 8 3 7 2 6" xfId="37362" xr:uid="{00000000-0005-0000-0000-00000DCA0000}"/>
    <cellStyle name="Normal 8 3 7 2 7" xfId="37363" xr:uid="{00000000-0005-0000-0000-00000ECA0000}"/>
    <cellStyle name="Normal 8 3 7 3" xfId="37364" xr:uid="{00000000-0005-0000-0000-00000FCA0000}"/>
    <cellStyle name="Normal 8 3 7 3 2" xfId="37365" xr:uid="{00000000-0005-0000-0000-000010CA0000}"/>
    <cellStyle name="Normal 8 3 7 3 2 2" xfId="60384" xr:uid="{00000000-0005-0000-0000-000011CA0000}"/>
    <cellStyle name="Normal 8 3 7 3 2 3" xfId="60385" xr:uid="{00000000-0005-0000-0000-000012CA0000}"/>
    <cellStyle name="Normal 8 3 7 3 3" xfId="37366" xr:uid="{00000000-0005-0000-0000-000013CA0000}"/>
    <cellStyle name="Normal 8 3 7 3 3 2" xfId="60386" xr:uid="{00000000-0005-0000-0000-000014CA0000}"/>
    <cellStyle name="Normal 8 3 7 3 4" xfId="37367" xr:uid="{00000000-0005-0000-0000-000015CA0000}"/>
    <cellStyle name="Normal 8 3 7 3 5" xfId="37368" xr:uid="{00000000-0005-0000-0000-000016CA0000}"/>
    <cellStyle name="Normal 8 3 7 3 6" xfId="37369" xr:uid="{00000000-0005-0000-0000-000017CA0000}"/>
    <cellStyle name="Normal 8 3 7 4" xfId="37370" xr:uid="{00000000-0005-0000-0000-000018CA0000}"/>
    <cellStyle name="Normal 8 3 7 4 2" xfId="60387" xr:uid="{00000000-0005-0000-0000-000019CA0000}"/>
    <cellStyle name="Normal 8 3 7 4 3" xfId="60388" xr:uid="{00000000-0005-0000-0000-00001ACA0000}"/>
    <cellStyle name="Normal 8 3 7 5" xfId="37371" xr:uid="{00000000-0005-0000-0000-00001BCA0000}"/>
    <cellStyle name="Normal 8 3 7 5 2" xfId="60389" xr:uid="{00000000-0005-0000-0000-00001CCA0000}"/>
    <cellStyle name="Normal 8 3 7 6" xfId="37372" xr:uid="{00000000-0005-0000-0000-00001DCA0000}"/>
    <cellStyle name="Normal 8 3 7 7" xfId="37373" xr:uid="{00000000-0005-0000-0000-00001ECA0000}"/>
    <cellStyle name="Normal 8 3 7 8" xfId="37374" xr:uid="{00000000-0005-0000-0000-00001FCA0000}"/>
    <cellStyle name="Normal 8 3 7 9" xfId="37375" xr:uid="{00000000-0005-0000-0000-000020CA0000}"/>
    <cellStyle name="Normal 8 3 8" xfId="37376" xr:uid="{00000000-0005-0000-0000-000021CA0000}"/>
    <cellStyle name="Normal 8 3 8 2" xfId="37377" xr:uid="{00000000-0005-0000-0000-000022CA0000}"/>
    <cellStyle name="Normal 8 3 8 2 2" xfId="37378" xr:uid="{00000000-0005-0000-0000-000023CA0000}"/>
    <cellStyle name="Normal 8 3 8 2 2 2" xfId="37379" xr:uid="{00000000-0005-0000-0000-000024CA0000}"/>
    <cellStyle name="Normal 8 3 8 2 2 2 2" xfId="60390" xr:uid="{00000000-0005-0000-0000-000025CA0000}"/>
    <cellStyle name="Normal 8 3 8 2 2 2 3" xfId="60391" xr:uid="{00000000-0005-0000-0000-000026CA0000}"/>
    <cellStyle name="Normal 8 3 8 2 2 3" xfId="37380" xr:uid="{00000000-0005-0000-0000-000027CA0000}"/>
    <cellStyle name="Normal 8 3 8 2 2 3 2" xfId="60392" xr:uid="{00000000-0005-0000-0000-000028CA0000}"/>
    <cellStyle name="Normal 8 3 8 2 2 4" xfId="37381" xr:uid="{00000000-0005-0000-0000-000029CA0000}"/>
    <cellStyle name="Normal 8 3 8 2 2 5" xfId="37382" xr:uid="{00000000-0005-0000-0000-00002ACA0000}"/>
    <cellStyle name="Normal 8 3 8 2 2 6" xfId="37383" xr:uid="{00000000-0005-0000-0000-00002BCA0000}"/>
    <cellStyle name="Normal 8 3 8 2 3" xfId="37384" xr:uid="{00000000-0005-0000-0000-00002CCA0000}"/>
    <cellStyle name="Normal 8 3 8 2 3 2" xfId="60393" xr:uid="{00000000-0005-0000-0000-00002DCA0000}"/>
    <cellStyle name="Normal 8 3 8 2 3 3" xfId="60394" xr:uid="{00000000-0005-0000-0000-00002ECA0000}"/>
    <cellStyle name="Normal 8 3 8 2 4" xfId="37385" xr:uid="{00000000-0005-0000-0000-00002FCA0000}"/>
    <cellStyle name="Normal 8 3 8 2 4 2" xfId="60395" xr:uid="{00000000-0005-0000-0000-000030CA0000}"/>
    <cellStyle name="Normal 8 3 8 2 5" xfId="37386" xr:uid="{00000000-0005-0000-0000-000031CA0000}"/>
    <cellStyle name="Normal 8 3 8 2 6" xfId="37387" xr:uid="{00000000-0005-0000-0000-000032CA0000}"/>
    <cellStyle name="Normal 8 3 8 2 7" xfId="37388" xr:uid="{00000000-0005-0000-0000-000033CA0000}"/>
    <cellStyle name="Normal 8 3 8 3" xfId="37389" xr:uid="{00000000-0005-0000-0000-000034CA0000}"/>
    <cellStyle name="Normal 8 3 8 3 2" xfId="37390" xr:uid="{00000000-0005-0000-0000-000035CA0000}"/>
    <cellStyle name="Normal 8 3 8 3 2 2" xfId="60396" xr:uid="{00000000-0005-0000-0000-000036CA0000}"/>
    <cellStyle name="Normal 8 3 8 3 2 3" xfId="60397" xr:uid="{00000000-0005-0000-0000-000037CA0000}"/>
    <cellStyle name="Normal 8 3 8 3 3" xfId="37391" xr:uid="{00000000-0005-0000-0000-000038CA0000}"/>
    <cellStyle name="Normal 8 3 8 3 3 2" xfId="60398" xr:uid="{00000000-0005-0000-0000-000039CA0000}"/>
    <cellStyle name="Normal 8 3 8 3 4" xfId="37392" xr:uid="{00000000-0005-0000-0000-00003ACA0000}"/>
    <cellStyle name="Normal 8 3 8 3 5" xfId="37393" xr:uid="{00000000-0005-0000-0000-00003BCA0000}"/>
    <cellStyle name="Normal 8 3 8 3 6" xfId="37394" xr:uid="{00000000-0005-0000-0000-00003CCA0000}"/>
    <cellStyle name="Normal 8 3 8 4" xfId="37395" xr:uid="{00000000-0005-0000-0000-00003DCA0000}"/>
    <cellStyle name="Normal 8 3 8 4 2" xfId="60399" xr:uid="{00000000-0005-0000-0000-00003ECA0000}"/>
    <cellStyle name="Normal 8 3 8 4 3" xfId="60400" xr:uid="{00000000-0005-0000-0000-00003FCA0000}"/>
    <cellStyle name="Normal 8 3 8 5" xfId="37396" xr:uid="{00000000-0005-0000-0000-000040CA0000}"/>
    <cellStyle name="Normal 8 3 8 5 2" xfId="60401" xr:uid="{00000000-0005-0000-0000-000041CA0000}"/>
    <cellStyle name="Normal 8 3 8 6" xfId="37397" xr:uid="{00000000-0005-0000-0000-000042CA0000}"/>
    <cellStyle name="Normal 8 3 8 7" xfId="37398" xr:uid="{00000000-0005-0000-0000-000043CA0000}"/>
    <cellStyle name="Normal 8 3 8 8" xfId="37399" xr:uid="{00000000-0005-0000-0000-000044CA0000}"/>
    <cellStyle name="Normal 8 3 9" xfId="37400" xr:uid="{00000000-0005-0000-0000-000045CA0000}"/>
    <cellStyle name="Normal 8 3 9 2" xfId="37401" xr:uid="{00000000-0005-0000-0000-000046CA0000}"/>
    <cellStyle name="Normal 8 3 9 2 2" xfId="37402" xr:uid="{00000000-0005-0000-0000-000047CA0000}"/>
    <cellStyle name="Normal 8 3 9 2 2 2" xfId="37403" xr:uid="{00000000-0005-0000-0000-000048CA0000}"/>
    <cellStyle name="Normal 8 3 9 2 2 2 2" xfId="60402" xr:uid="{00000000-0005-0000-0000-000049CA0000}"/>
    <cellStyle name="Normal 8 3 9 2 2 2 3" xfId="60403" xr:uid="{00000000-0005-0000-0000-00004ACA0000}"/>
    <cellStyle name="Normal 8 3 9 2 2 3" xfId="37404" xr:uid="{00000000-0005-0000-0000-00004BCA0000}"/>
    <cellStyle name="Normal 8 3 9 2 2 3 2" xfId="60404" xr:uid="{00000000-0005-0000-0000-00004CCA0000}"/>
    <cellStyle name="Normal 8 3 9 2 2 4" xfId="37405" xr:uid="{00000000-0005-0000-0000-00004DCA0000}"/>
    <cellStyle name="Normal 8 3 9 2 2 5" xfId="37406" xr:uid="{00000000-0005-0000-0000-00004ECA0000}"/>
    <cellStyle name="Normal 8 3 9 2 2 6" xfId="37407" xr:uid="{00000000-0005-0000-0000-00004FCA0000}"/>
    <cellStyle name="Normal 8 3 9 2 3" xfId="37408" xr:uid="{00000000-0005-0000-0000-000050CA0000}"/>
    <cellStyle name="Normal 8 3 9 2 3 2" xfId="60405" xr:uid="{00000000-0005-0000-0000-000051CA0000}"/>
    <cellStyle name="Normal 8 3 9 2 3 3" xfId="60406" xr:uid="{00000000-0005-0000-0000-000052CA0000}"/>
    <cellStyle name="Normal 8 3 9 2 4" xfId="37409" xr:uid="{00000000-0005-0000-0000-000053CA0000}"/>
    <cellStyle name="Normal 8 3 9 2 4 2" xfId="60407" xr:uid="{00000000-0005-0000-0000-000054CA0000}"/>
    <cellStyle name="Normal 8 3 9 2 5" xfId="37410" xr:uid="{00000000-0005-0000-0000-000055CA0000}"/>
    <cellStyle name="Normal 8 3 9 2 6" xfId="37411" xr:uid="{00000000-0005-0000-0000-000056CA0000}"/>
    <cellStyle name="Normal 8 3 9 2 7" xfId="37412" xr:uid="{00000000-0005-0000-0000-000057CA0000}"/>
    <cellStyle name="Normal 8 3 9 3" xfId="37413" xr:uid="{00000000-0005-0000-0000-000058CA0000}"/>
    <cellStyle name="Normal 8 3 9 3 2" xfId="37414" xr:uid="{00000000-0005-0000-0000-000059CA0000}"/>
    <cellStyle name="Normal 8 3 9 3 2 2" xfId="60408" xr:uid="{00000000-0005-0000-0000-00005ACA0000}"/>
    <cellStyle name="Normal 8 3 9 3 2 3" xfId="60409" xr:uid="{00000000-0005-0000-0000-00005BCA0000}"/>
    <cellStyle name="Normal 8 3 9 3 3" xfId="37415" xr:uid="{00000000-0005-0000-0000-00005CCA0000}"/>
    <cellStyle name="Normal 8 3 9 3 3 2" xfId="60410" xr:uid="{00000000-0005-0000-0000-00005DCA0000}"/>
    <cellStyle name="Normal 8 3 9 3 4" xfId="37416" xr:uid="{00000000-0005-0000-0000-00005ECA0000}"/>
    <cellStyle name="Normal 8 3 9 3 5" xfId="37417" xr:uid="{00000000-0005-0000-0000-00005FCA0000}"/>
    <cellStyle name="Normal 8 3 9 3 6" xfId="37418" xr:uid="{00000000-0005-0000-0000-000060CA0000}"/>
    <cellStyle name="Normal 8 3 9 4" xfId="37419" xr:uid="{00000000-0005-0000-0000-000061CA0000}"/>
    <cellStyle name="Normal 8 3 9 4 2" xfId="60411" xr:uid="{00000000-0005-0000-0000-000062CA0000}"/>
    <cellStyle name="Normal 8 3 9 4 3" xfId="60412" xr:uid="{00000000-0005-0000-0000-000063CA0000}"/>
    <cellStyle name="Normal 8 3 9 5" xfId="37420" xr:uid="{00000000-0005-0000-0000-000064CA0000}"/>
    <cellStyle name="Normal 8 3 9 5 2" xfId="60413" xr:uid="{00000000-0005-0000-0000-000065CA0000}"/>
    <cellStyle name="Normal 8 3 9 6" xfId="37421" xr:uid="{00000000-0005-0000-0000-000066CA0000}"/>
    <cellStyle name="Normal 8 3 9 7" xfId="37422" xr:uid="{00000000-0005-0000-0000-000067CA0000}"/>
    <cellStyle name="Normal 8 3 9 8" xfId="37423" xr:uid="{00000000-0005-0000-0000-000068CA0000}"/>
    <cellStyle name="Normal 8 4" xfId="37424" xr:uid="{00000000-0005-0000-0000-000069CA0000}"/>
    <cellStyle name="Normal 8 4 10" xfId="37425" xr:uid="{00000000-0005-0000-0000-00006ACA0000}"/>
    <cellStyle name="Normal 8 4 11" xfId="37426" xr:uid="{00000000-0005-0000-0000-00006BCA0000}"/>
    <cellStyle name="Normal 8 4 12" xfId="37427" xr:uid="{00000000-0005-0000-0000-00006CCA0000}"/>
    <cellStyle name="Normal 8 4 13" xfId="37428" xr:uid="{00000000-0005-0000-0000-00006DCA0000}"/>
    <cellStyle name="Normal 8 4 14" xfId="37429" xr:uid="{00000000-0005-0000-0000-00006ECA0000}"/>
    <cellStyle name="Normal 8 4 15" xfId="37430" xr:uid="{00000000-0005-0000-0000-00006FCA0000}"/>
    <cellStyle name="Normal 8 4 2" xfId="37431" xr:uid="{00000000-0005-0000-0000-000070CA0000}"/>
    <cellStyle name="Normal 8 4 2 10" xfId="37432" xr:uid="{00000000-0005-0000-0000-000071CA0000}"/>
    <cellStyle name="Normal 8 4 2 11" xfId="37433" xr:uid="{00000000-0005-0000-0000-000072CA0000}"/>
    <cellStyle name="Normal 8 4 2 12" xfId="37434" xr:uid="{00000000-0005-0000-0000-000073CA0000}"/>
    <cellStyle name="Normal 8 4 2 13" xfId="37435" xr:uid="{00000000-0005-0000-0000-000074CA0000}"/>
    <cellStyle name="Normal 8 4 2 14" xfId="37436" xr:uid="{00000000-0005-0000-0000-000075CA0000}"/>
    <cellStyle name="Normal 8 4 2 2" xfId="37437" xr:uid="{00000000-0005-0000-0000-000076CA0000}"/>
    <cellStyle name="Normal 8 4 2 2 2" xfId="37438" xr:uid="{00000000-0005-0000-0000-000077CA0000}"/>
    <cellStyle name="Normal 8 4 2 2 2 2" xfId="37439" xr:uid="{00000000-0005-0000-0000-000078CA0000}"/>
    <cellStyle name="Normal 8 4 2 2 2 2 2" xfId="37440" xr:uid="{00000000-0005-0000-0000-000079CA0000}"/>
    <cellStyle name="Normal 8 4 2 2 2 2 2 2" xfId="60414" xr:uid="{00000000-0005-0000-0000-00007ACA0000}"/>
    <cellStyle name="Normal 8 4 2 2 2 2 2 3" xfId="60415" xr:uid="{00000000-0005-0000-0000-00007BCA0000}"/>
    <cellStyle name="Normal 8 4 2 2 2 2 3" xfId="37441" xr:uid="{00000000-0005-0000-0000-00007CCA0000}"/>
    <cellStyle name="Normal 8 4 2 2 2 2 3 2" xfId="60416" xr:uid="{00000000-0005-0000-0000-00007DCA0000}"/>
    <cellStyle name="Normal 8 4 2 2 2 2 4" xfId="37442" xr:uid="{00000000-0005-0000-0000-00007ECA0000}"/>
    <cellStyle name="Normal 8 4 2 2 2 2 5" xfId="37443" xr:uid="{00000000-0005-0000-0000-00007FCA0000}"/>
    <cellStyle name="Normal 8 4 2 2 2 2 6" xfId="37444" xr:uid="{00000000-0005-0000-0000-000080CA0000}"/>
    <cellStyle name="Normal 8 4 2 2 2 3" xfId="37445" xr:uid="{00000000-0005-0000-0000-000081CA0000}"/>
    <cellStyle name="Normal 8 4 2 2 2 3 2" xfId="60417" xr:uid="{00000000-0005-0000-0000-000082CA0000}"/>
    <cellStyle name="Normal 8 4 2 2 2 3 3" xfId="60418" xr:uid="{00000000-0005-0000-0000-000083CA0000}"/>
    <cellStyle name="Normal 8 4 2 2 2 4" xfId="37446" xr:uid="{00000000-0005-0000-0000-000084CA0000}"/>
    <cellStyle name="Normal 8 4 2 2 2 4 2" xfId="60419" xr:uid="{00000000-0005-0000-0000-000085CA0000}"/>
    <cellStyle name="Normal 8 4 2 2 2 5" xfId="37447" xr:uid="{00000000-0005-0000-0000-000086CA0000}"/>
    <cellStyle name="Normal 8 4 2 2 2 6" xfId="37448" xr:uid="{00000000-0005-0000-0000-000087CA0000}"/>
    <cellStyle name="Normal 8 4 2 2 2 7" xfId="37449" xr:uid="{00000000-0005-0000-0000-000088CA0000}"/>
    <cellStyle name="Normal 8 4 2 2 3" xfId="37450" xr:uid="{00000000-0005-0000-0000-000089CA0000}"/>
    <cellStyle name="Normal 8 4 2 2 3 2" xfId="37451" xr:uid="{00000000-0005-0000-0000-00008ACA0000}"/>
    <cellStyle name="Normal 8 4 2 2 3 2 2" xfId="60420" xr:uid="{00000000-0005-0000-0000-00008BCA0000}"/>
    <cellStyle name="Normal 8 4 2 2 3 2 3" xfId="60421" xr:uid="{00000000-0005-0000-0000-00008CCA0000}"/>
    <cellStyle name="Normal 8 4 2 2 3 3" xfId="37452" xr:uid="{00000000-0005-0000-0000-00008DCA0000}"/>
    <cellStyle name="Normal 8 4 2 2 3 3 2" xfId="60422" xr:uid="{00000000-0005-0000-0000-00008ECA0000}"/>
    <cellStyle name="Normal 8 4 2 2 3 4" xfId="37453" xr:uid="{00000000-0005-0000-0000-00008FCA0000}"/>
    <cellStyle name="Normal 8 4 2 2 3 5" xfId="37454" xr:uid="{00000000-0005-0000-0000-000090CA0000}"/>
    <cellStyle name="Normal 8 4 2 2 3 6" xfId="37455" xr:uid="{00000000-0005-0000-0000-000091CA0000}"/>
    <cellStyle name="Normal 8 4 2 2 4" xfId="37456" xr:uid="{00000000-0005-0000-0000-000092CA0000}"/>
    <cellStyle name="Normal 8 4 2 2 4 2" xfId="60423" xr:uid="{00000000-0005-0000-0000-000093CA0000}"/>
    <cellStyle name="Normal 8 4 2 2 4 3" xfId="60424" xr:uid="{00000000-0005-0000-0000-000094CA0000}"/>
    <cellStyle name="Normal 8 4 2 2 5" xfId="37457" xr:uid="{00000000-0005-0000-0000-000095CA0000}"/>
    <cellStyle name="Normal 8 4 2 2 5 2" xfId="60425" xr:uid="{00000000-0005-0000-0000-000096CA0000}"/>
    <cellStyle name="Normal 8 4 2 2 6" xfId="37458" xr:uid="{00000000-0005-0000-0000-000097CA0000}"/>
    <cellStyle name="Normal 8 4 2 2 7" xfId="37459" xr:uid="{00000000-0005-0000-0000-000098CA0000}"/>
    <cellStyle name="Normal 8 4 2 2 8" xfId="37460" xr:uid="{00000000-0005-0000-0000-000099CA0000}"/>
    <cellStyle name="Normal 8 4 2 2 9" xfId="37461" xr:uid="{00000000-0005-0000-0000-00009ACA0000}"/>
    <cellStyle name="Normal 8 4 2 3" xfId="37462" xr:uid="{00000000-0005-0000-0000-00009BCA0000}"/>
    <cellStyle name="Normal 8 4 2 3 2" xfId="37463" xr:uid="{00000000-0005-0000-0000-00009CCA0000}"/>
    <cellStyle name="Normal 8 4 2 3 2 2" xfId="37464" xr:uid="{00000000-0005-0000-0000-00009DCA0000}"/>
    <cellStyle name="Normal 8 4 2 3 2 2 2" xfId="37465" xr:uid="{00000000-0005-0000-0000-00009ECA0000}"/>
    <cellStyle name="Normal 8 4 2 3 2 2 2 2" xfId="60426" xr:uid="{00000000-0005-0000-0000-00009FCA0000}"/>
    <cellStyle name="Normal 8 4 2 3 2 2 2 3" xfId="60427" xr:uid="{00000000-0005-0000-0000-0000A0CA0000}"/>
    <cellStyle name="Normal 8 4 2 3 2 2 3" xfId="37466" xr:uid="{00000000-0005-0000-0000-0000A1CA0000}"/>
    <cellStyle name="Normal 8 4 2 3 2 2 3 2" xfId="60428" xr:uid="{00000000-0005-0000-0000-0000A2CA0000}"/>
    <cellStyle name="Normal 8 4 2 3 2 2 4" xfId="37467" xr:uid="{00000000-0005-0000-0000-0000A3CA0000}"/>
    <cellStyle name="Normal 8 4 2 3 2 2 5" xfId="37468" xr:uid="{00000000-0005-0000-0000-0000A4CA0000}"/>
    <cellStyle name="Normal 8 4 2 3 2 2 6" xfId="37469" xr:uid="{00000000-0005-0000-0000-0000A5CA0000}"/>
    <cellStyle name="Normal 8 4 2 3 2 3" xfId="37470" xr:uid="{00000000-0005-0000-0000-0000A6CA0000}"/>
    <cellStyle name="Normal 8 4 2 3 2 3 2" xfId="60429" xr:uid="{00000000-0005-0000-0000-0000A7CA0000}"/>
    <cellStyle name="Normal 8 4 2 3 2 3 3" xfId="60430" xr:uid="{00000000-0005-0000-0000-0000A8CA0000}"/>
    <cellStyle name="Normal 8 4 2 3 2 4" xfId="37471" xr:uid="{00000000-0005-0000-0000-0000A9CA0000}"/>
    <cellStyle name="Normal 8 4 2 3 2 4 2" xfId="60431" xr:uid="{00000000-0005-0000-0000-0000AACA0000}"/>
    <cellStyle name="Normal 8 4 2 3 2 5" xfId="37472" xr:uid="{00000000-0005-0000-0000-0000ABCA0000}"/>
    <cellStyle name="Normal 8 4 2 3 2 6" xfId="37473" xr:uid="{00000000-0005-0000-0000-0000ACCA0000}"/>
    <cellStyle name="Normal 8 4 2 3 2 7" xfId="37474" xr:uid="{00000000-0005-0000-0000-0000ADCA0000}"/>
    <cellStyle name="Normal 8 4 2 3 3" xfId="37475" xr:uid="{00000000-0005-0000-0000-0000AECA0000}"/>
    <cellStyle name="Normal 8 4 2 3 3 2" xfId="37476" xr:uid="{00000000-0005-0000-0000-0000AFCA0000}"/>
    <cellStyle name="Normal 8 4 2 3 3 2 2" xfId="60432" xr:uid="{00000000-0005-0000-0000-0000B0CA0000}"/>
    <cellStyle name="Normal 8 4 2 3 3 2 3" xfId="60433" xr:uid="{00000000-0005-0000-0000-0000B1CA0000}"/>
    <cellStyle name="Normal 8 4 2 3 3 3" xfId="37477" xr:uid="{00000000-0005-0000-0000-0000B2CA0000}"/>
    <cellStyle name="Normal 8 4 2 3 3 3 2" xfId="60434" xr:uid="{00000000-0005-0000-0000-0000B3CA0000}"/>
    <cellStyle name="Normal 8 4 2 3 3 4" xfId="37478" xr:uid="{00000000-0005-0000-0000-0000B4CA0000}"/>
    <cellStyle name="Normal 8 4 2 3 3 5" xfId="37479" xr:uid="{00000000-0005-0000-0000-0000B5CA0000}"/>
    <cellStyle name="Normal 8 4 2 3 3 6" xfId="37480" xr:uid="{00000000-0005-0000-0000-0000B6CA0000}"/>
    <cellStyle name="Normal 8 4 2 3 4" xfId="37481" xr:uid="{00000000-0005-0000-0000-0000B7CA0000}"/>
    <cellStyle name="Normal 8 4 2 3 4 2" xfId="60435" xr:uid="{00000000-0005-0000-0000-0000B8CA0000}"/>
    <cellStyle name="Normal 8 4 2 3 4 3" xfId="60436" xr:uid="{00000000-0005-0000-0000-0000B9CA0000}"/>
    <cellStyle name="Normal 8 4 2 3 5" xfId="37482" xr:uid="{00000000-0005-0000-0000-0000BACA0000}"/>
    <cellStyle name="Normal 8 4 2 3 5 2" xfId="60437" xr:uid="{00000000-0005-0000-0000-0000BBCA0000}"/>
    <cellStyle name="Normal 8 4 2 3 6" xfId="37483" xr:uid="{00000000-0005-0000-0000-0000BCCA0000}"/>
    <cellStyle name="Normal 8 4 2 3 7" xfId="37484" xr:uid="{00000000-0005-0000-0000-0000BDCA0000}"/>
    <cellStyle name="Normal 8 4 2 3 8" xfId="37485" xr:uid="{00000000-0005-0000-0000-0000BECA0000}"/>
    <cellStyle name="Normal 8 4 2 4" xfId="37486" xr:uid="{00000000-0005-0000-0000-0000BFCA0000}"/>
    <cellStyle name="Normal 8 4 2 4 2" xfId="37487" xr:uid="{00000000-0005-0000-0000-0000C0CA0000}"/>
    <cellStyle name="Normal 8 4 2 4 2 2" xfId="37488" xr:uid="{00000000-0005-0000-0000-0000C1CA0000}"/>
    <cellStyle name="Normal 8 4 2 4 2 2 2" xfId="60438" xr:uid="{00000000-0005-0000-0000-0000C2CA0000}"/>
    <cellStyle name="Normal 8 4 2 4 2 2 3" xfId="60439" xr:uid="{00000000-0005-0000-0000-0000C3CA0000}"/>
    <cellStyle name="Normal 8 4 2 4 2 3" xfId="37489" xr:uid="{00000000-0005-0000-0000-0000C4CA0000}"/>
    <cellStyle name="Normal 8 4 2 4 2 3 2" xfId="60440" xr:uid="{00000000-0005-0000-0000-0000C5CA0000}"/>
    <cellStyle name="Normal 8 4 2 4 2 4" xfId="37490" xr:uid="{00000000-0005-0000-0000-0000C6CA0000}"/>
    <cellStyle name="Normal 8 4 2 4 2 5" xfId="37491" xr:uid="{00000000-0005-0000-0000-0000C7CA0000}"/>
    <cellStyle name="Normal 8 4 2 4 2 6" xfId="37492" xr:uid="{00000000-0005-0000-0000-0000C8CA0000}"/>
    <cellStyle name="Normal 8 4 2 4 3" xfId="37493" xr:uid="{00000000-0005-0000-0000-0000C9CA0000}"/>
    <cellStyle name="Normal 8 4 2 4 3 2" xfId="60441" xr:uid="{00000000-0005-0000-0000-0000CACA0000}"/>
    <cellStyle name="Normal 8 4 2 4 3 3" xfId="60442" xr:uid="{00000000-0005-0000-0000-0000CBCA0000}"/>
    <cellStyle name="Normal 8 4 2 4 4" xfId="37494" xr:uid="{00000000-0005-0000-0000-0000CCCA0000}"/>
    <cellStyle name="Normal 8 4 2 4 4 2" xfId="60443" xr:uid="{00000000-0005-0000-0000-0000CDCA0000}"/>
    <cellStyle name="Normal 8 4 2 4 5" xfId="37495" xr:uid="{00000000-0005-0000-0000-0000CECA0000}"/>
    <cellStyle name="Normal 8 4 2 4 6" xfId="37496" xr:uid="{00000000-0005-0000-0000-0000CFCA0000}"/>
    <cellStyle name="Normal 8 4 2 4 7" xfId="37497" xr:uid="{00000000-0005-0000-0000-0000D0CA0000}"/>
    <cellStyle name="Normal 8 4 2 5" xfId="37498" xr:uid="{00000000-0005-0000-0000-0000D1CA0000}"/>
    <cellStyle name="Normal 8 4 2 5 2" xfId="37499" xr:uid="{00000000-0005-0000-0000-0000D2CA0000}"/>
    <cellStyle name="Normal 8 4 2 5 2 2" xfId="60444" xr:uid="{00000000-0005-0000-0000-0000D3CA0000}"/>
    <cellStyle name="Normal 8 4 2 5 2 3" xfId="60445" xr:uid="{00000000-0005-0000-0000-0000D4CA0000}"/>
    <cellStyle name="Normal 8 4 2 5 3" xfId="37500" xr:uid="{00000000-0005-0000-0000-0000D5CA0000}"/>
    <cellStyle name="Normal 8 4 2 5 3 2" xfId="60446" xr:uid="{00000000-0005-0000-0000-0000D6CA0000}"/>
    <cellStyle name="Normal 8 4 2 5 4" xfId="37501" xr:uid="{00000000-0005-0000-0000-0000D7CA0000}"/>
    <cellStyle name="Normal 8 4 2 5 5" xfId="37502" xr:uid="{00000000-0005-0000-0000-0000D8CA0000}"/>
    <cellStyle name="Normal 8 4 2 5 6" xfId="37503" xr:uid="{00000000-0005-0000-0000-0000D9CA0000}"/>
    <cellStyle name="Normal 8 4 2 6" xfId="37504" xr:uid="{00000000-0005-0000-0000-0000DACA0000}"/>
    <cellStyle name="Normal 8 4 2 6 2" xfId="60447" xr:uid="{00000000-0005-0000-0000-0000DBCA0000}"/>
    <cellStyle name="Normal 8 4 2 6 3" xfId="60448" xr:uid="{00000000-0005-0000-0000-0000DCCA0000}"/>
    <cellStyle name="Normal 8 4 2 7" xfId="37505" xr:uid="{00000000-0005-0000-0000-0000DDCA0000}"/>
    <cellStyle name="Normal 8 4 2 7 2" xfId="60449" xr:uid="{00000000-0005-0000-0000-0000DECA0000}"/>
    <cellStyle name="Normal 8 4 2 8" xfId="37506" xr:uid="{00000000-0005-0000-0000-0000DFCA0000}"/>
    <cellStyle name="Normal 8 4 2 8 2" xfId="60450" xr:uid="{00000000-0005-0000-0000-0000E0CA0000}"/>
    <cellStyle name="Normal 8 4 2 9" xfId="37507" xr:uid="{00000000-0005-0000-0000-0000E1CA0000}"/>
    <cellStyle name="Normal 8 4 3" xfId="37508" xr:uid="{00000000-0005-0000-0000-0000E2CA0000}"/>
    <cellStyle name="Normal 8 4 3 2" xfId="37509" xr:uid="{00000000-0005-0000-0000-0000E3CA0000}"/>
    <cellStyle name="Normal 8 4 3 2 2" xfId="37510" xr:uid="{00000000-0005-0000-0000-0000E4CA0000}"/>
    <cellStyle name="Normal 8 4 3 2 2 2" xfId="37511" xr:uid="{00000000-0005-0000-0000-0000E5CA0000}"/>
    <cellStyle name="Normal 8 4 3 2 2 2 2" xfId="60451" xr:uid="{00000000-0005-0000-0000-0000E6CA0000}"/>
    <cellStyle name="Normal 8 4 3 2 2 2 3" xfId="60452" xr:uid="{00000000-0005-0000-0000-0000E7CA0000}"/>
    <cellStyle name="Normal 8 4 3 2 2 3" xfId="37512" xr:uid="{00000000-0005-0000-0000-0000E8CA0000}"/>
    <cellStyle name="Normal 8 4 3 2 2 3 2" xfId="60453" xr:uid="{00000000-0005-0000-0000-0000E9CA0000}"/>
    <cellStyle name="Normal 8 4 3 2 2 4" xfId="37513" xr:uid="{00000000-0005-0000-0000-0000EACA0000}"/>
    <cellStyle name="Normal 8 4 3 2 2 5" xfId="37514" xr:uid="{00000000-0005-0000-0000-0000EBCA0000}"/>
    <cellStyle name="Normal 8 4 3 2 2 6" xfId="37515" xr:uid="{00000000-0005-0000-0000-0000ECCA0000}"/>
    <cellStyle name="Normal 8 4 3 2 3" xfId="37516" xr:uid="{00000000-0005-0000-0000-0000EDCA0000}"/>
    <cellStyle name="Normal 8 4 3 2 3 2" xfId="60454" xr:uid="{00000000-0005-0000-0000-0000EECA0000}"/>
    <cellStyle name="Normal 8 4 3 2 3 3" xfId="60455" xr:uid="{00000000-0005-0000-0000-0000EFCA0000}"/>
    <cellStyle name="Normal 8 4 3 2 4" xfId="37517" xr:uid="{00000000-0005-0000-0000-0000F0CA0000}"/>
    <cellStyle name="Normal 8 4 3 2 4 2" xfId="60456" xr:uid="{00000000-0005-0000-0000-0000F1CA0000}"/>
    <cellStyle name="Normal 8 4 3 2 5" xfId="37518" xr:uid="{00000000-0005-0000-0000-0000F2CA0000}"/>
    <cellStyle name="Normal 8 4 3 2 6" xfId="37519" xr:uid="{00000000-0005-0000-0000-0000F3CA0000}"/>
    <cellStyle name="Normal 8 4 3 2 7" xfId="37520" xr:uid="{00000000-0005-0000-0000-0000F4CA0000}"/>
    <cellStyle name="Normal 8 4 3 3" xfId="37521" xr:uid="{00000000-0005-0000-0000-0000F5CA0000}"/>
    <cellStyle name="Normal 8 4 3 3 2" xfId="37522" xr:uid="{00000000-0005-0000-0000-0000F6CA0000}"/>
    <cellStyle name="Normal 8 4 3 3 2 2" xfId="60457" xr:uid="{00000000-0005-0000-0000-0000F7CA0000}"/>
    <cellStyle name="Normal 8 4 3 3 2 3" xfId="60458" xr:uid="{00000000-0005-0000-0000-0000F8CA0000}"/>
    <cellStyle name="Normal 8 4 3 3 3" xfId="37523" xr:uid="{00000000-0005-0000-0000-0000F9CA0000}"/>
    <cellStyle name="Normal 8 4 3 3 3 2" xfId="60459" xr:uid="{00000000-0005-0000-0000-0000FACA0000}"/>
    <cellStyle name="Normal 8 4 3 3 4" xfId="37524" xr:uid="{00000000-0005-0000-0000-0000FBCA0000}"/>
    <cellStyle name="Normal 8 4 3 3 5" xfId="37525" xr:uid="{00000000-0005-0000-0000-0000FCCA0000}"/>
    <cellStyle name="Normal 8 4 3 3 6" xfId="37526" xr:uid="{00000000-0005-0000-0000-0000FDCA0000}"/>
    <cellStyle name="Normal 8 4 3 4" xfId="37527" xr:uid="{00000000-0005-0000-0000-0000FECA0000}"/>
    <cellStyle name="Normal 8 4 3 4 2" xfId="60460" xr:uid="{00000000-0005-0000-0000-0000FFCA0000}"/>
    <cellStyle name="Normal 8 4 3 4 3" xfId="60461" xr:uid="{00000000-0005-0000-0000-000000CB0000}"/>
    <cellStyle name="Normal 8 4 3 5" xfId="37528" xr:uid="{00000000-0005-0000-0000-000001CB0000}"/>
    <cellStyle name="Normal 8 4 3 5 2" xfId="60462" xr:uid="{00000000-0005-0000-0000-000002CB0000}"/>
    <cellStyle name="Normal 8 4 3 6" xfId="37529" xr:uid="{00000000-0005-0000-0000-000003CB0000}"/>
    <cellStyle name="Normal 8 4 3 7" xfId="37530" xr:uid="{00000000-0005-0000-0000-000004CB0000}"/>
    <cellStyle name="Normal 8 4 3 8" xfId="37531" xr:uid="{00000000-0005-0000-0000-000005CB0000}"/>
    <cellStyle name="Normal 8 4 3 9" xfId="37532" xr:uid="{00000000-0005-0000-0000-000006CB0000}"/>
    <cellStyle name="Normal 8 4 4" xfId="37533" xr:uid="{00000000-0005-0000-0000-000007CB0000}"/>
    <cellStyle name="Normal 8 4 4 2" xfId="37534" xr:uid="{00000000-0005-0000-0000-000008CB0000}"/>
    <cellStyle name="Normal 8 4 4 2 2" xfId="37535" xr:uid="{00000000-0005-0000-0000-000009CB0000}"/>
    <cellStyle name="Normal 8 4 4 2 2 2" xfId="37536" xr:uid="{00000000-0005-0000-0000-00000ACB0000}"/>
    <cellStyle name="Normal 8 4 4 2 2 2 2" xfId="60463" xr:uid="{00000000-0005-0000-0000-00000BCB0000}"/>
    <cellStyle name="Normal 8 4 4 2 2 2 3" xfId="60464" xr:uid="{00000000-0005-0000-0000-00000CCB0000}"/>
    <cellStyle name="Normal 8 4 4 2 2 3" xfId="37537" xr:uid="{00000000-0005-0000-0000-00000DCB0000}"/>
    <cellStyle name="Normal 8 4 4 2 2 3 2" xfId="60465" xr:uid="{00000000-0005-0000-0000-00000ECB0000}"/>
    <cellStyle name="Normal 8 4 4 2 2 4" xfId="37538" xr:uid="{00000000-0005-0000-0000-00000FCB0000}"/>
    <cellStyle name="Normal 8 4 4 2 2 5" xfId="37539" xr:uid="{00000000-0005-0000-0000-000010CB0000}"/>
    <cellStyle name="Normal 8 4 4 2 2 6" xfId="37540" xr:uid="{00000000-0005-0000-0000-000011CB0000}"/>
    <cellStyle name="Normal 8 4 4 2 3" xfId="37541" xr:uid="{00000000-0005-0000-0000-000012CB0000}"/>
    <cellStyle name="Normal 8 4 4 2 3 2" xfId="60466" xr:uid="{00000000-0005-0000-0000-000013CB0000}"/>
    <cellStyle name="Normal 8 4 4 2 3 3" xfId="60467" xr:uid="{00000000-0005-0000-0000-000014CB0000}"/>
    <cellStyle name="Normal 8 4 4 2 4" xfId="37542" xr:uid="{00000000-0005-0000-0000-000015CB0000}"/>
    <cellStyle name="Normal 8 4 4 2 4 2" xfId="60468" xr:uid="{00000000-0005-0000-0000-000016CB0000}"/>
    <cellStyle name="Normal 8 4 4 2 5" xfId="37543" xr:uid="{00000000-0005-0000-0000-000017CB0000}"/>
    <cellStyle name="Normal 8 4 4 2 6" xfId="37544" xr:uid="{00000000-0005-0000-0000-000018CB0000}"/>
    <cellStyle name="Normal 8 4 4 2 7" xfId="37545" xr:uid="{00000000-0005-0000-0000-000019CB0000}"/>
    <cellStyle name="Normal 8 4 4 3" xfId="37546" xr:uid="{00000000-0005-0000-0000-00001ACB0000}"/>
    <cellStyle name="Normal 8 4 4 3 2" xfId="37547" xr:uid="{00000000-0005-0000-0000-00001BCB0000}"/>
    <cellStyle name="Normal 8 4 4 3 2 2" xfId="60469" xr:uid="{00000000-0005-0000-0000-00001CCB0000}"/>
    <cellStyle name="Normal 8 4 4 3 2 3" xfId="60470" xr:uid="{00000000-0005-0000-0000-00001DCB0000}"/>
    <cellStyle name="Normal 8 4 4 3 3" xfId="37548" xr:uid="{00000000-0005-0000-0000-00001ECB0000}"/>
    <cellStyle name="Normal 8 4 4 3 3 2" xfId="60471" xr:uid="{00000000-0005-0000-0000-00001FCB0000}"/>
    <cellStyle name="Normal 8 4 4 3 4" xfId="37549" xr:uid="{00000000-0005-0000-0000-000020CB0000}"/>
    <cellStyle name="Normal 8 4 4 3 5" xfId="37550" xr:uid="{00000000-0005-0000-0000-000021CB0000}"/>
    <cellStyle name="Normal 8 4 4 3 6" xfId="37551" xr:uid="{00000000-0005-0000-0000-000022CB0000}"/>
    <cellStyle name="Normal 8 4 4 4" xfId="37552" xr:uid="{00000000-0005-0000-0000-000023CB0000}"/>
    <cellStyle name="Normal 8 4 4 4 2" xfId="60472" xr:uid="{00000000-0005-0000-0000-000024CB0000}"/>
    <cellStyle name="Normal 8 4 4 4 3" xfId="60473" xr:uid="{00000000-0005-0000-0000-000025CB0000}"/>
    <cellStyle name="Normal 8 4 4 5" xfId="37553" xr:uid="{00000000-0005-0000-0000-000026CB0000}"/>
    <cellStyle name="Normal 8 4 4 5 2" xfId="60474" xr:uid="{00000000-0005-0000-0000-000027CB0000}"/>
    <cellStyle name="Normal 8 4 4 6" xfId="37554" xr:uid="{00000000-0005-0000-0000-000028CB0000}"/>
    <cellStyle name="Normal 8 4 4 7" xfId="37555" xr:uid="{00000000-0005-0000-0000-000029CB0000}"/>
    <cellStyle name="Normal 8 4 4 8" xfId="37556" xr:uid="{00000000-0005-0000-0000-00002ACB0000}"/>
    <cellStyle name="Normal 8 4 5" xfId="37557" xr:uid="{00000000-0005-0000-0000-00002BCB0000}"/>
    <cellStyle name="Normal 8 4 5 2" xfId="37558" xr:uid="{00000000-0005-0000-0000-00002CCB0000}"/>
    <cellStyle name="Normal 8 4 5 2 2" xfId="37559" xr:uid="{00000000-0005-0000-0000-00002DCB0000}"/>
    <cellStyle name="Normal 8 4 5 2 2 2" xfId="60475" xr:uid="{00000000-0005-0000-0000-00002ECB0000}"/>
    <cellStyle name="Normal 8 4 5 2 2 3" xfId="60476" xr:uid="{00000000-0005-0000-0000-00002FCB0000}"/>
    <cellStyle name="Normal 8 4 5 2 3" xfId="37560" xr:uid="{00000000-0005-0000-0000-000030CB0000}"/>
    <cellStyle name="Normal 8 4 5 2 3 2" xfId="60477" xr:uid="{00000000-0005-0000-0000-000031CB0000}"/>
    <cellStyle name="Normal 8 4 5 2 4" xfId="37561" xr:uid="{00000000-0005-0000-0000-000032CB0000}"/>
    <cellStyle name="Normal 8 4 5 2 5" xfId="37562" xr:uid="{00000000-0005-0000-0000-000033CB0000}"/>
    <cellStyle name="Normal 8 4 5 2 6" xfId="37563" xr:uid="{00000000-0005-0000-0000-000034CB0000}"/>
    <cellStyle name="Normal 8 4 5 3" xfId="37564" xr:uid="{00000000-0005-0000-0000-000035CB0000}"/>
    <cellStyle name="Normal 8 4 5 3 2" xfId="60478" xr:uid="{00000000-0005-0000-0000-000036CB0000}"/>
    <cellStyle name="Normal 8 4 5 3 3" xfId="60479" xr:uid="{00000000-0005-0000-0000-000037CB0000}"/>
    <cellStyle name="Normal 8 4 5 4" xfId="37565" xr:uid="{00000000-0005-0000-0000-000038CB0000}"/>
    <cellStyle name="Normal 8 4 5 4 2" xfId="60480" xr:uid="{00000000-0005-0000-0000-000039CB0000}"/>
    <cellStyle name="Normal 8 4 5 5" xfId="37566" xr:uid="{00000000-0005-0000-0000-00003ACB0000}"/>
    <cellStyle name="Normal 8 4 5 6" xfId="37567" xr:uid="{00000000-0005-0000-0000-00003BCB0000}"/>
    <cellStyle name="Normal 8 4 5 7" xfId="37568" xr:uid="{00000000-0005-0000-0000-00003CCB0000}"/>
    <cellStyle name="Normal 8 4 6" xfId="37569" xr:uid="{00000000-0005-0000-0000-00003DCB0000}"/>
    <cellStyle name="Normal 8 4 6 2" xfId="37570" xr:uid="{00000000-0005-0000-0000-00003ECB0000}"/>
    <cellStyle name="Normal 8 4 6 2 2" xfId="60481" xr:uid="{00000000-0005-0000-0000-00003FCB0000}"/>
    <cellStyle name="Normal 8 4 6 2 3" xfId="60482" xr:uid="{00000000-0005-0000-0000-000040CB0000}"/>
    <cellStyle name="Normal 8 4 6 3" xfId="37571" xr:uid="{00000000-0005-0000-0000-000041CB0000}"/>
    <cellStyle name="Normal 8 4 6 3 2" xfId="60483" xr:uid="{00000000-0005-0000-0000-000042CB0000}"/>
    <cellStyle name="Normal 8 4 6 4" xfId="37572" xr:uid="{00000000-0005-0000-0000-000043CB0000}"/>
    <cellStyle name="Normal 8 4 6 5" xfId="37573" xr:uid="{00000000-0005-0000-0000-000044CB0000}"/>
    <cellStyle name="Normal 8 4 6 6" xfId="37574" xr:uid="{00000000-0005-0000-0000-000045CB0000}"/>
    <cellStyle name="Normal 8 4 7" xfId="37575" xr:uid="{00000000-0005-0000-0000-000046CB0000}"/>
    <cellStyle name="Normal 8 4 7 2" xfId="60484" xr:uid="{00000000-0005-0000-0000-000047CB0000}"/>
    <cellStyle name="Normal 8 4 7 3" xfId="60485" xr:uid="{00000000-0005-0000-0000-000048CB0000}"/>
    <cellStyle name="Normal 8 4 8" xfId="37576" xr:uid="{00000000-0005-0000-0000-000049CB0000}"/>
    <cellStyle name="Normal 8 4 8 2" xfId="60486" xr:uid="{00000000-0005-0000-0000-00004ACB0000}"/>
    <cellStyle name="Normal 8 4 9" xfId="37577" xr:uid="{00000000-0005-0000-0000-00004BCB0000}"/>
    <cellStyle name="Normal 8 4 9 2" xfId="60487" xr:uid="{00000000-0005-0000-0000-00004CCB0000}"/>
    <cellStyle name="Normal 8 5" xfId="37578" xr:uid="{00000000-0005-0000-0000-00004DCB0000}"/>
    <cellStyle name="Normal 8 5 10" xfId="37579" xr:uid="{00000000-0005-0000-0000-00004ECB0000}"/>
    <cellStyle name="Normal 8 5 11" xfId="37580" xr:uid="{00000000-0005-0000-0000-00004FCB0000}"/>
    <cellStyle name="Normal 8 5 12" xfId="37581" xr:uid="{00000000-0005-0000-0000-000050CB0000}"/>
    <cellStyle name="Normal 8 5 13" xfId="37582" xr:uid="{00000000-0005-0000-0000-000051CB0000}"/>
    <cellStyle name="Normal 8 5 14" xfId="37583" xr:uid="{00000000-0005-0000-0000-000052CB0000}"/>
    <cellStyle name="Normal 8 5 15" xfId="37584" xr:uid="{00000000-0005-0000-0000-000053CB0000}"/>
    <cellStyle name="Normal 8 5 2" xfId="37585" xr:uid="{00000000-0005-0000-0000-000054CB0000}"/>
    <cellStyle name="Normal 8 5 2 10" xfId="37586" xr:uid="{00000000-0005-0000-0000-000055CB0000}"/>
    <cellStyle name="Normal 8 5 2 11" xfId="37587" xr:uid="{00000000-0005-0000-0000-000056CB0000}"/>
    <cellStyle name="Normal 8 5 2 12" xfId="37588" xr:uid="{00000000-0005-0000-0000-000057CB0000}"/>
    <cellStyle name="Normal 8 5 2 13" xfId="37589" xr:uid="{00000000-0005-0000-0000-000058CB0000}"/>
    <cellStyle name="Normal 8 5 2 14" xfId="37590" xr:uid="{00000000-0005-0000-0000-000059CB0000}"/>
    <cellStyle name="Normal 8 5 2 2" xfId="37591" xr:uid="{00000000-0005-0000-0000-00005ACB0000}"/>
    <cellStyle name="Normal 8 5 2 2 2" xfId="37592" xr:uid="{00000000-0005-0000-0000-00005BCB0000}"/>
    <cellStyle name="Normal 8 5 2 2 2 2" xfId="37593" xr:uid="{00000000-0005-0000-0000-00005CCB0000}"/>
    <cellStyle name="Normal 8 5 2 2 2 2 2" xfId="37594" xr:uid="{00000000-0005-0000-0000-00005DCB0000}"/>
    <cellStyle name="Normal 8 5 2 2 2 2 2 2" xfId="60488" xr:uid="{00000000-0005-0000-0000-00005ECB0000}"/>
    <cellStyle name="Normal 8 5 2 2 2 2 2 3" xfId="60489" xr:uid="{00000000-0005-0000-0000-00005FCB0000}"/>
    <cellStyle name="Normal 8 5 2 2 2 2 3" xfId="37595" xr:uid="{00000000-0005-0000-0000-000060CB0000}"/>
    <cellStyle name="Normal 8 5 2 2 2 2 3 2" xfId="60490" xr:uid="{00000000-0005-0000-0000-000061CB0000}"/>
    <cellStyle name="Normal 8 5 2 2 2 2 4" xfId="37596" xr:uid="{00000000-0005-0000-0000-000062CB0000}"/>
    <cellStyle name="Normal 8 5 2 2 2 2 5" xfId="37597" xr:uid="{00000000-0005-0000-0000-000063CB0000}"/>
    <cellStyle name="Normal 8 5 2 2 2 2 6" xfId="37598" xr:uid="{00000000-0005-0000-0000-000064CB0000}"/>
    <cellStyle name="Normal 8 5 2 2 2 3" xfId="37599" xr:uid="{00000000-0005-0000-0000-000065CB0000}"/>
    <cellStyle name="Normal 8 5 2 2 2 3 2" xfId="60491" xr:uid="{00000000-0005-0000-0000-000066CB0000}"/>
    <cellStyle name="Normal 8 5 2 2 2 3 3" xfId="60492" xr:uid="{00000000-0005-0000-0000-000067CB0000}"/>
    <cellStyle name="Normal 8 5 2 2 2 4" xfId="37600" xr:uid="{00000000-0005-0000-0000-000068CB0000}"/>
    <cellStyle name="Normal 8 5 2 2 2 4 2" xfId="60493" xr:uid="{00000000-0005-0000-0000-000069CB0000}"/>
    <cellStyle name="Normal 8 5 2 2 2 5" xfId="37601" xr:uid="{00000000-0005-0000-0000-00006ACB0000}"/>
    <cellStyle name="Normal 8 5 2 2 2 6" xfId="37602" xr:uid="{00000000-0005-0000-0000-00006BCB0000}"/>
    <cellStyle name="Normal 8 5 2 2 2 7" xfId="37603" xr:uid="{00000000-0005-0000-0000-00006CCB0000}"/>
    <cellStyle name="Normal 8 5 2 2 3" xfId="37604" xr:uid="{00000000-0005-0000-0000-00006DCB0000}"/>
    <cellStyle name="Normal 8 5 2 2 3 2" xfId="37605" xr:uid="{00000000-0005-0000-0000-00006ECB0000}"/>
    <cellStyle name="Normal 8 5 2 2 3 2 2" xfId="60494" xr:uid="{00000000-0005-0000-0000-00006FCB0000}"/>
    <cellStyle name="Normal 8 5 2 2 3 2 3" xfId="60495" xr:uid="{00000000-0005-0000-0000-000070CB0000}"/>
    <cellStyle name="Normal 8 5 2 2 3 3" xfId="37606" xr:uid="{00000000-0005-0000-0000-000071CB0000}"/>
    <cellStyle name="Normal 8 5 2 2 3 3 2" xfId="60496" xr:uid="{00000000-0005-0000-0000-000072CB0000}"/>
    <cellStyle name="Normal 8 5 2 2 3 4" xfId="37607" xr:uid="{00000000-0005-0000-0000-000073CB0000}"/>
    <cellStyle name="Normal 8 5 2 2 3 5" xfId="37608" xr:uid="{00000000-0005-0000-0000-000074CB0000}"/>
    <cellStyle name="Normal 8 5 2 2 3 6" xfId="37609" xr:uid="{00000000-0005-0000-0000-000075CB0000}"/>
    <cellStyle name="Normal 8 5 2 2 4" xfId="37610" xr:uid="{00000000-0005-0000-0000-000076CB0000}"/>
    <cellStyle name="Normal 8 5 2 2 4 2" xfId="60497" xr:uid="{00000000-0005-0000-0000-000077CB0000}"/>
    <cellStyle name="Normal 8 5 2 2 4 3" xfId="60498" xr:uid="{00000000-0005-0000-0000-000078CB0000}"/>
    <cellStyle name="Normal 8 5 2 2 5" xfId="37611" xr:uid="{00000000-0005-0000-0000-000079CB0000}"/>
    <cellStyle name="Normal 8 5 2 2 5 2" xfId="60499" xr:uid="{00000000-0005-0000-0000-00007ACB0000}"/>
    <cellStyle name="Normal 8 5 2 2 6" xfId="37612" xr:uid="{00000000-0005-0000-0000-00007BCB0000}"/>
    <cellStyle name="Normal 8 5 2 2 7" xfId="37613" xr:uid="{00000000-0005-0000-0000-00007CCB0000}"/>
    <cellStyle name="Normal 8 5 2 2 8" xfId="37614" xr:uid="{00000000-0005-0000-0000-00007DCB0000}"/>
    <cellStyle name="Normal 8 5 2 2 9" xfId="37615" xr:uid="{00000000-0005-0000-0000-00007ECB0000}"/>
    <cellStyle name="Normal 8 5 2 3" xfId="37616" xr:uid="{00000000-0005-0000-0000-00007FCB0000}"/>
    <cellStyle name="Normal 8 5 2 3 2" xfId="37617" xr:uid="{00000000-0005-0000-0000-000080CB0000}"/>
    <cellStyle name="Normal 8 5 2 3 2 2" xfId="37618" xr:uid="{00000000-0005-0000-0000-000081CB0000}"/>
    <cellStyle name="Normal 8 5 2 3 2 2 2" xfId="37619" xr:uid="{00000000-0005-0000-0000-000082CB0000}"/>
    <cellStyle name="Normal 8 5 2 3 2 2 2 2" xfId="60500" xr:uid="{00000000-0005-0000-0000-000083CB0000}"/>
    <cellStyle name="Normal 8 5 2 3 2 2 2 3" xfId="60501" xr:uid="{00000000-0005-0000-0000-000084CB0000}"/>
    <cellStyle name="Normal 8 5 2 3 2 2 3" xfId="37620" xr:uid="{00000000-0005-0000-0000-000085CB0000}"/>
    <cellStyle name="Normal 8 5 2 3 2 2 3 2" xfId="60502" xr:uid="{00000000-0005-0000-0000-000086CB0000}"/>
    <cellStyle name="Normal 8 5 2 3 2 2 4" xfId="37621" xr:uid="{00000000-0005-0000-0000-000087CB0000}"/>
    <cellStyle name="Normal 8 5 2 3 2 2 5" xfId="37622" xr:uid="{00000000-0005-0000-0000-000088CB0000}"/>
    <cellStyle name="Normal 8 5 2 3 2 2 6" xfId="37623" xr:uid="{00000000-0005-0000-0000-000089CB0000}"/>
    <cellStyle name="Normal 8 5 2 3 2 3" xfId="37624" xr:uid="{00000000-0005-0000-0000-00008ACB0000}"/>
    <cellStyle name="Normal 8 5 2 3 2 3 2" xfId="60503" xr:uid="{00000000-0005-0000-0000-00008BCB0000}"/>
    <cellStyle name="Normal 8 5 2 3 2 3 3" xfId="60504" xr:uid="{00000000-0005-0000-0000-00008CCB0000}"/>
    <cellStyle name="Normal 8 5 2 3 2 4" xfId="37625" xr:uid="{00000000-0005-0000-0000-00008DCB0000}"/>
    <cellStyle name="Normal 8 5 2 3 2 4 2" xfId="60505" xr:uid="{00000000-0005-0000-0000-00008ECB0000}"/>
    <cellStyle name="Normal 8 5 2 3 2 5" xfId="37626" xr:uid="{00000000-0005-0000-0000-00008FCB0000}"/>
    <cellStyle name="Normal 8 5 2 3 2 6" xfId="37627" xr:uid="{00000000-0005-0000-0000-000090CB0000}"/>
    <cellStyle name="Normal 8 5 2 3 2 7" xfId="37628" xr:uid="{00000000-0005-0000-0000-000091CB0000}"/>
    <cellStyle name="Normal 8 5 2 3 3" xfId="37629" xr:uid="{00000000-0005-0000-0000-000092CB0000}"/>
    <cellStyle name="Normal 8 5 2 3 3 2" xfId="37630" xr:uid="{00000000-0005-0000-0000-000093CB0000}"/>
    <cellStyle name="Normal 8 5 2 3 3 2 2" xfId="60506" xr:uid="{00000000-0005-0000-0000-000094CB0000}"/>
    <cellStyle name="Normal 8 5 2 3 3 2 3" xfId="60507" xr:uid="{00000000-0005-0000-0000-000095CB0000}"/>
    <cellStyle name="Normal 8 5 2 3 3 3" xfId="37631" xr:uid="{00000000-0005-0000-0000-000096CB0000}"/>
    <cellStyle name="Normal 8 5 2 3 3 3 2" xfId="60508" xr:uid="{00000000-0005-0000-0000-000097CB0000}"/>
    <cellStyle name="Normal 8 5 2 3 3 4" xfId="37632" xr:uid="{00000000-0005-0000-0000-000098CB0000}"/>
    <cellStyle name="Normal 8 5 2 3 3 5" xfId="37633" xr:uid="{00000000-0005-0000-0000-000099CB0000}"/>
    <cellStyle name="Normal 8 5 2 3 3 6" xfId="37634" xr:uid="{00000000-0005-0000-0000-00009ACB0000}"/>
    <cellStyle name="Normal 8 5 2 3 4" xfId="37635" xr:uid="{00000000-0005-0000-0000-00009BCB0000}"/>
    <cellStyle name="Normal 8 5 2 3 4 2" xfId="60509" xr:uid="{00000000-0005-0000-0000-00009CCB0000}"/>
    <cellStyle name="Normal 8 5 2 3 4 3" xfId="60510" xr:uid="{00000000-0005-0000-0000-00009DCB0000}"/>
    <cellStyle name="Normal 8 5 2 3 5" xfId="37636" xr:uid="{00000000-0005-0000-0000-00009ECB0000}"/>
    <cellStyle name="Normal 8 5 2 3 5 2" xfId="60511" xr:uid="{00000000-0005-0000-0000-00009FCB0000}"/>
    <cellStyle name="Normal 8 5 2 3 6" xfId="37637" xr:uid="{00000000-0005-0000-0000-0000A0CB0000}"/>
    <cellStyle name="Normal 8 5 2 3 7" xfId="37638" xr:uid="{00000000-0005-0000-0000-0000A1CB0000}"/>
    <cellStyle name="Normal 8 5 2 3 8" xfId="37639" xr:uid="{00000000-0005-0000-0000-0000A2CB0000}"/>
    <cellStyle name="Normal 8 5 2 4" xfId="37640" xr:uid="{00000000-0005-0000-0000-0000A3CB0000}"/>
    <cellStyle name="Normal 8 5 2 4 2" xfId="37641" xr:uid="{00000000-0005-0000-0000-0000A4CB0000}"/>
    <cellStyle name="Normal 8 5 2 4 2 2" xfId="37642" xr:uid="{00000000-0005-0000-0000-0000A5CB0000}"/>
    <cellStyle name="Normal 8 5 2 4 2 2 2" xfId="60512" xr:uid="{00000000-0005-0000-0000-0000A6CB0000}"/>
    <cellStyle name="Normal 8 5 2 4 2 2 3" xfId="60513" xr:uid="{00000000-0005-0000-0000-0000A7CB0000}"/>
    <cellStyle name="Normal 8 5 2 4 2 3" xfId="37643" xr:uid="{00000000-0005-0000-0000-0000A8CB0000}"/>
    <cellStyle name="Normal 8 5 2 4 2 3 2" xfId="60514" xr:uid="{00000000-0005-0000-0000-0000A9CB0000}"/>
    <cellStyle name="Normal 8 5 2 4 2 4" xfId="37644" xr:uid="{00000000-0005-0000-0000-0000AACB0000}"/>
    <cellStyle name="Normal 8 5 2 4 2 5" xfId="37645" xr:uid="{00000000-0005-0000-0000-0000ABCB0000}"/>
    <cellStyle name="Normal 8 5 2 4 2 6" xfId="37646" xr:uid="{00000000-0005-0000-0000-0000ACCB0000}"/>
    <cellStyle name="Normal 8 5 2 4 3" xfId="37647" xr:uid="{00000000-0005-0000-0000-0000ADCB0000}"/>
    <cellStyle name="Normal 8 5 2 4 3 2" xfId="60515" xr:uid="{00000000-0005-0000-0000-0000AECB0000}"/>
    <cellStyle name="Normal 8 5 2 4 3 3" xfId="60516" xr:uid="{00000000-0005-0000-0000-0000AFCB0000}"/>
    <cellStyle name="Normal 8 5 2 4 4" xfId="37648" xr:uid="{00000000-0005-0000-0000-0000B0CB0000}"/>
    <cellStyle name="Normal 8 5 2 4 4 2" xfId="60517" xr:uid="{00000000-0005-0000-0000-0000B1CB0000}"/>
    <cellStyle name="Normal 8 5 2 4 5" xfId="37649" xr:uid="{00000000-0005-0000-0000-0000B2CB0000}"/>
    <cellStyle name="Normal 8 5 2 4 6" xfId="37650" xr:uid="{00000000-0005-0000-0000-0000B3CB0000}"/>
    <cellStyle name="Normal 8 5 2 4 7" xfId="37651" xr:uid="{00000000-0005-0000-0000-0000B4CB0000}"/>
    <cellStyle name="Normal 8 5 2 5" xfId="37652" xr:uid="{00000000-0005-0000-0000-0000B5CB0000}"/>
    <cellStyle name="Normal 8 5 2 5 2" xfId="37653" xr:uid="{00000000-0005-0000-0000-0000B6CB0000}"/>
    <cellStyle name="Normal 8 5 2 5 2 2" xfId="60518" xr:uid="{00000000-0005-0000-0000-0000B7CB0000}"/>
    <cellStyle name="Normal 8 5 2 5 2 3" xfId="60519" xr:uid="{00000000-0005-0000-0000-0000B8CB0000}"/>
    <cellStyle name="Normal 8 5 2 5 3" xfId="37654" xr:uid="{00000000-0005-0000-0000-0000B9CB0000}"/>
    <cellStyle name="Normal 8 5 2 5 3 2" xfId="60520" xr:uid="{00000000-0005-0000-0000-0000BACB0000}"/>
    <cellStyle name="Normal 8 5 2 5 4" xfId="37655" xr:uid="{00000000-0005-0000-0000-0000BBCB0000}"/>
    <cellStyle name="Normal 8 5 2 5 5" xfId="37656" xr:uid="{00000000-0005-0000-0000-0000BCCB0000}"/>
    <cellStyle name="Normal 8 5 2 5 6" xfId="37657" xr:uid="{00000000-0005-0000-0000-0000BDCB0000}"/>
    <cellStyle name="Normal 8 5 2 6" xfId="37658" xr:uid="{00000000-0005-0000-0000-0000BECB0000}"/>
    <cellStyle name="Normal 8 5 2 6 2" xfId="60521" xr:uid="{00000000-0005-0000-0000-0000BFCB0000}"/>
    <cellStyle name="Normal 8 5 2 6 3" xfId="60522" xr:uid="{00000000-0005-0000-0000-0000C0CB0000}"/>
    <cellStyle name="Normal 8 5 2 7" xfId="37659" xr:uid="{00000000-0005-0000-0000-0000C1CB0000}"/>
    <cellStyle name="Normal 8 5 2 7 2" xfId="60523" xr:uid="{00000000-0005-0000-0000-0000C2CB0000}"/>
    <cellStyle name="Normal 8 5 2 8" xfId="37660" xr:uid="{00000000-0005-0000-0000-0000C3CB0000}"/>
    <cellStyle name="Normal 8 5 2 9" xfId="37661" xr:uid="{00000000-0005-0000-0000-0000C4CB0000}"/>
    <cellStyle name="Normal 8 5 3" xfId="37662" xr:uid="{00000000-0005-0000-0000-0000C5CB0000}"/>
    <cellStyle name="Normal 8 5 3 2" xfId="37663" xr:uid="{00000000-0005-0000-0000-0000C6CB0000}"/>
    <cellStyle name="Normal 8 5 3 2 2" xfId="37664" xr:uid="{00000000-0005-0000-0000-0000C7CB0000}"/>
    <cellStyle name="Normal 8 5 3 2 2 2" xfId="37665" xr:uid="{00000000-0005-0000-0000-0000C8CB0000}"/>
    <cellStyle name="Normal 8 5 3 2 2 2 2" xfId="60524" xr:uid="{00000000-0005-0000-0000-0000C9CB0000}"/>
    <cellStyle name="Normal 8 5 3 2 2 2 3" xfId="60525" xr:uid="{00000000-0005-0000-0000-0000CACB0000}"/>
    <cellStyle name="Normal 8 5 3 2 2 3" xfId="37666" xr:uid="{00000000-0005-0000-0000-0000CBCB0000}"/>
    <cellStyle name="Normal 8 5 3 2 2 3 2" xfId="60526" xr:uid="{00000000-0005-0000-0000-0000CCCB0000}"/>
    <cellStyle name="Normal 8 5 3 2 2 4" xfId="37667" xr:uid="{00000000-0005-0000-0000-0000CDCB0000}"/>
    <cellStyle name="Normal 8 5 3 2 2 5" xfId="37668" xr:uid="{00000000-0005-0000-0000-0000CECB0000}"/>
    <cellStyle name="Normal 8 5 3 2 2 6" xfId="37669" xr:uid="{00000000-0005-0000-0000-0000CFCB0000}"/>
    <cellStyle name="Normal 8 5 3 2 3" xfId="37670" xr:uid="{00000000-0005-0000-0000-0000D0CB0000}"/>
    <cellStyle name="Normal 8 5 3 2 3 2" xfId="60527" xr:uid="{00000000-0005-0000-0000-0000D1CB0000}"/>
    <cellStyle name="Normal 8 5 3 2 3 3" xfId="60528" xr:uid="{00000000-0005-0000-0000-0000D2CB0000}"/>
    <cellStyle name="Normal 8 5 3 2 4" xfId="37671" xr:uid="{00000000-0005-0000-0000-0000D3CB0000}"/>
    <cellStyle name="Normal 8 5 3 2 4 2" xfId="60529" xr:uid="{00000000-0005-0000-0000-0000D4CB0000}"/>
    <cellStyle name="Normal 8 5 3 2 5" xfId="37672" xr:uid="{00000000-0005-0000-0000-0000D5CB0000}"/>
    <cellStyle name="Normal 8 5 3 2 6" xfId="37673" xr:uid="{00000000-0005-0000-0000-0000D6CB0000}"/>
    <cellStyle name="Normal 8 5 3 2 7" xfId="37674" xr:uid="{00000000-0005-0000-0000-0000D7CB0000}"/>
    <cellStyle name="Normal 8 5 3 3" xfId="37675" xr:uid="{00000000-0005-0000-0000-0000D8CB0000}"/>
    <cellStyle name="Normal 8 5 3 3 2" xfId="37676" xr:uid="{00000000-0005-0000-0000-0000D9CB0000}"/>
    <cellStyle name="Normal 8 5 3 3 2 2" xfId="60530" xr:uid="{00000000-0005-0000-0000-0000DACB0000}"/>
    <cellStyle name="Normal 8 5 3 3 2 3" xfId="60531" xr:uid="{00000000-0005-0000-0000-0000DBCB0000}"/>
    <cellStyle name="Normal 8 5 3 3 3" xfId="37677" xr:uid="{00000000-0005-0000-0000-0000DCCB0000}"/>
    <cellStyle name="Normal 8 5 3 3 3 2" xfId="60532" xr:uid="{00000000-0005-0000-0000-0000DDCB0000}"/>
    <cellStyle name="Normal 8 5 3 3 4" xfId="37678" xr:uid="{00000000-0005-0000-0000-0000DECB0000}"/>
    <cellStyle name="Normal 8 5 3 3 5" xfId="37679" xr:uid="{00000000-0005-0000-0000-0000DFCB0000}"/>
    <cellStyle name="Normal 8 5 3 3 6" xfId="37680" xr:uid="{00000000-0005-0000-0000-0000E0CB0000}"/>
    <cellStyle name="Normal 8 5 3 4" xfId="37681" xr:uid="{00000000-0005-0000-0000-0000E1CB0000}"/>
    <cellStyle name="Normal 8 5 3 4 2" xfId="60533" xr:uid="{00000000-0005-0000-0000-0000E2CB0000}"/>
    <cellStyle name="Normal 8 5 3 4 3" xfId="60534" xr:uid="{00000000-0005-0000-0000-0000E3CB0000}"/>
    <cellStyle name="Normal 8 5 3 5" xfId="37682" xr:uid="{00000000-0005-0000-0000-0000E4CB0000}"/>
    <cellStyle name="Normal 8 5 3 5 2" xfId="60535" xr:uid="{00000000-0005-0000-0000-0000E5CB0000}"/>
    <cellStyle name="Normal 8 5 3 6" xfId="37683" xr:uid="{00000000-0005-0000-0000-0000E6CB0000}"/>
    <cellStyle name="Normal 8 5 3 7" xfId="37684" xr:uid="{00000000-0005-0000-0000-0000E7CB0000}"/>
    <cellStyle name="Normal 8 5 3 8" xfId="37685" xr:uid="{00000000-0005-0000-0000-0000E8CB0000}"/>
    <cellStyle name="Normal 8 5 3 9" xfId="37686" xr:uid="{00000000-0005-0000-0000-0000E9CB0000}"/>
    <cellStyle name="Normal 8 5 4" xfId="37687" xr:uid="{00000000-0005-0000-0000-0000EACB0000}"/>
    <cellStyle name="Normal 8 5 4 2" xfId="37688" xr:uid="{00000000-0005-0000-0000-0000EBCB0000}"/>
    <cellStyle name="Normal 8 5 4 2 2" xfId="37689" xr:uid="{00000000-0005-0000-0000-0000ECCB0000}"/>
    <cellStyle name="Normal 8 5 4 2 2 2" xfId="37690" xr:uid="{00000000-0005-0000-0000-0000EDCB0000}"/>
    <cellStyle name="Normal 8 5 4 2 2 2 2" xfId="60536" xr:uid="{00000000-0005-0000-0000-0000EECB0000}"/>
    <cellStyle name="Normal 8 5 4 2 2 2 3" xfId="60537" xr:uid="{00000000-0005-0000-0000-0000EFCB0000}"/>
    <cellStyle name="Normal 8 5 4 2 2 3" xfId="37691" xr:uid="{00000000-0005-0000-0000-0000F0CB0000}"/>
    <cellStyle name="Normal 8 5 4 2 2 3 2" xfId="60538" xr:uid="{00000000-0005-0000-0000-0000F1CB0000}"/>
    <cellStyle name="Normal 8 5 4 2 2 4" xfId="37692" xr:uid="{00000000-0005-0000-0000-0000F2CB0000}"/>
    <cellStyle name="Normal 8 5 4 2 2 5" xfId="37693" xr:uid="{00000000-0005-0000-0000-0000F3CB0000}"/>
    <cellStyle name="Normal 8 5 4 2 2 6" xfId="37694" xr:uid="{00000000-0005-0000-0000-0000F4CB0000}"/>
    <cellStyle name="Normal 8 5 4 2 3" xfId="37695" xr:uid="{00000000-0005-0000-0000-0000F5CB0000}"/>
    <cellStyle name="Normal 8 5 4 2 3 2" xfId="60539" xr:uid="{00000000-0005-0000-0000-0000F6CB0000}"/>
    <cellStyle name="Normal 8 5 4 2 3 3" xfId="60540" xr:uid="{00000000-0005-0000-0000-0000F7CB0000}"/>
    <cellStyle name="Normal 8 5 4 2 4" xfId="37696" xr:uid="{00000000-0005-0000-0000-0000F8CB0000}"/>
    <cellStyle name="Normal 8 5 4 2 4 2" xfId="60541" xr:uid="{00000000-0005-0000-0000-0000F9CB0000}"/>
    <cellStyle name="Normal 8 5 4 2 5" xfId="37697" xr:uid="{00000000-0005-0000-0000-0000FACB0000}"/>
    <cellStyle name="Normal 8 5 4 2 6" xfId="37698" xr:uid="{00000000-0005-0000-0000-0000FBCB0000}"/>
    <cellStyle name="Normal 8 5 4 2 7" xfId="37699" xr:uid="{00000000-0005-0000-0000-0000FCCB0000}"/>
    <cellStyle name="Normal 8 5 4 3" xfId="37700" xr:uid="{00000000-0005-0000-0000-0000FDCB0000}"/>
    <cellStyle name="Normal 8 5 4 3 2" xfId="37701" xr:uid="{00000000-0005-0000-0000-0000FECB0000}"/>
    <cellStyle name="Normal 8 5 4 3 2 2" xfId="60542" xr:uid="{00000000-0005-0000-0000-0000FFCB0000}"/>
    <cellStyle name="Normal 8 5 4 3 2 3" xfId="60543" xr:uid="{00000000-0005-0000-0000-000000CC0000}"/>
    <cellStyle name="Normal 8 5 4 3 3" xfId="37702" xr:uid="{00000000-0005-0000-0000-000001CC0000}"/>
    <cellStyle name="Normal 8 5 4 3 3 2" xfId="60544" xr:uid="{00000000-0005-0000-0000-000002CC0000}"/>
    <cellStyle name="Normal 8 5 4 3 4" xfId="37703" xr:uid="{00000000-0005-0000-0000-000003CC0000}"/>
    <cellStyle name="Normal 8 5 4 3 5" xfId="37704" xr:uid="{00000000-0005-0000-0000-000004CC0000}"/>
    <cellStyle name="Normal 8 5 4 3 6" xfId="37705" xr:uid="{00000000-0005-0000-0000-000005CC0000}"/>
    <cellStyle name="Normal 8 5 4 4" xfId="37706" xr:uid="{00000000-0005-0000-0000-000006CC0000}"/>
    <cellStyle name="Normal 8 5 4 4 2" xfId="60545" xr:uid="{00000000-0005-0000-0000-000007CC0000}"/>
    <cellStyle name="Normal 8 5 4 4 3" xfId="60546" xr:uid="{00000000-0005-0000-0000-000008CC0000}"/>
    <cellStyle name="Normal 8 5 4 5" xfId="37707" xr:uid="{00000000-0005-0000-0000-000009CC0000}"/>
    <cellStyle name="Normal 8 5 4 5 2" xfId="60547" xr:uid="{00000000-0005-0000-0000-00000ACC0000}"/>
    <cellStyle name="Normal 8 5 4 6" xfId="37708" xr:uid="{00000000-0005-0000-0000-00000BCC0000}"/>
    <cellStyle name="Normal 8 5 4 7" xfId="37709" xr:uid="{00000000-0005-0000-0000-00000CCC0000}"/>
    <cellStyle name="Normal 8 5 4 8" xfId="37710" xr:uid="{00000000-0005-0000-0000-00000DCC0000}"/>
    <cellStyle name="Normal 8 5 5" xfId="37711" xr:uid="{00000000-0005-0000-0000-00000ECC0000}"/>
    <cellStyle name="Normal 8 5 5 2" xfId="37712" xr:uid="{00000000-0005-0000-0000-00000FCC0000}"/>
    <cellStyle name="Normal 8 5 5 2 2" xfId="37713" xr:uid="{00000000-0005-0000-0000-000010CC0000}"/>
    <cellStyle name="Normal 8 5 5 2 2 2" xfId="60548" xr:uid="{00000000-0005-0000-0000-000011CC0000}"/>
    <cellStyle name="Normal 8 5 5 2 2 3" xfId="60549" xr:uid="{00000000-0005-0000-0000-000012CC0000}"/>
    <cellStyle name="Normal 8 5 5 2 3" xfId="37714" xr:uid="{00000000-0005-0000-0000-000013CC0000}"/>
    <cellStyle name="Normal 8 5 5 2 3 2" xfId="60550" xr:uid="{00000000-0005-0000-0000-000014CC0000}"/>
    <cellStyle name="Normal 8 5 5 2 4" xfId="37715" xr:uid="{00000000-0005-0000-0000-000015CC0000}"/>
    <cellStyle name="Normal 8 5 5 2 5" xfId="37716" xr:uid="{00000000-0005-0000-0000-000016CC0000}"/>
    <cellStyle name="Normal 8 5 5 2 6" xfId="37717" xr:uid="{00000000-0005-0000-0000-000017CC0000}"/>
    <cellStyle name="Normal 8 5 5 3" xfId="37718" xr:uid="{00000000-0005-0000-0000-000018CC0000}"/>
    <cellStyle name="Normal 8 5 5 3 2" xfId="60551" xr:uid="{00000000-0005-0000-0000-000019CC0000}"/>
    <cellStyle name="Normal 8 5 5 3 3" xfId="60552" xr:uid="{00000000-0005-0000-0000-00001ACC0000}"/>
    <cellStyle name="Normal 8 5 5 4" xfId="37719" xr:uid="{00000000-0005-0000-0000-00001BCC0000}"/>
    <cellStyle name="Normal 8 5 5 4 2" xfId="60553" xr:uid="{00000000-0005-0000-0000-00001CCC0000}"/>
    <cellStyle name="Normal 8 5 5 5" xfId="37720" xr:uid="{00000000-0005-0000-0000-00001DCC0000}"/>
    <cellStyle name="Normal 8 5 5 6" xfId="37721" xr:uid="{00000000-0005-0000-0000-00001ECC0000}"/>
    <cellStyle name="Normal 8 5 5 7" xfId="37722" xr:uid="{00000000-0005-0000-0000-00001FCC0000}"/>
    <cellStyle name="Normal 8 5 6" xfId="37723" xr:uid="{00000000-0005-0000-0000-000020CC0000}"/>
    <cellStyle name="Normal 8 5 6 2" xfId="37724" xr:uid="{00000000-0005-0000-0000-000021CC0000}"/>
    <cellStyle name="Normal 8 5 6 2 2" xfId="60554" xr:uid="{00000000-0005-0000-0000-000022CC0000}"/>
    <cellStyle name="Normal 8 5 6 2 3" xfId="60555" xr:uid="{00000000-0005-0000-0000-000023CC0000}"/>
    <cellStyle name="Normal 8 5 6 3" xfId="37725" xr:uid="{00000000-0005-0000-0000-000024CC0000}"/>
    <cellStyle name="Normal 8 5 6 3 2" xfId="60556" xr:uid="{00000000-0005-0000-0000-000025CC0000}"/>
    <cellStyle name="Normal 8 5 6 4" xfId="37726" xr:uid="{00000000-0005-0000-0000-000026CC0000}"/>
    <cellStyle name="Normal 8 5 6 5" xfId="37727" xr:uid="{00000000-0005-0000-0000-000027CC0000}"/>
    <cellStyle name="Normal 8 5 6 6" xfId="37728" xr:uid="{00000000-0005-0000-0000-000028CC0000}"/>
    <cellStyle name="Normal 8 5 7" xfId="37729" xr:uid="{00000000-0005-0000-0000-000029CC0000}"/>
    <cellStyle name="Normal 8 5 7 2" xfId="60557" xr:uid="{00000000-0005-0000-0000-00002ACC0000}"/>
    <cellStyle name="Normal 8 5 7 3" xfId="60558" xr:uid="{00000000-0005-0000-0000-00002BCC0000}"/>
    <cellStyle name="Normal 8 5 8" xfId="37730" xr:uid="{00000000-0005-0000-0000-00002CCC0000}"/>
    <cellStyle name="Normal 8 5 8 2" xfId="60559" xr:uid="{00000000-0005-0000-0000-00002DCC0000}"/>
    <cellStyle name="Normal 8 5 9" xfId="37731" xr:uid="{00000000-0005-0000-0000-00002ECC0000}"/>
    <cellStyle name="Normal 8 5 9 2" xfId="60560" xr:uid="{00000000-0005-0000-0000-00002FCC0000}"/>
    <cellStyle name="Normal 8 6" xfId="37732" xr:uid="{00000000-0005-0000-0000-000030CC0000}"/>
    <cellStyle name="Normal 8 6 10" xfId="37733" xr:uid="{00000000-0005-0000-0000-000031CC0000}"/>
    <cellStyle name="Normal 8 6 11" xfId="37734" xr:uid="{00000000-0005-0000-0000-000032CC0000}"/>
    <cellStyle name="Normal 8 6 12" xfId="37735" xr:uid="{00000000-0005-0000-0000-000033CC0000}"/>
    <cellStyle name="Normal 8 6 13" xfId="37736" xr:uid="{00000000-0005-0000-0000-000034CC0000}"/>
    <cellStyle name="Normal 8 6 14" xfId="37737" xr:uid="{00000000-0005-0000-0000-000035CC0000}"/>
    <cellStyle name="Normal 8 6 2" xfId="37738" xr:uid="{00000000-0005-0000-0000-000036CC0000}"/>
    <cellStyle name="Normal 8 6 2 2" xfId="37739" xr:uid="{00000000-0005-0000-0000-000037CC0000}"/>
    <cellStyle name="Normal 8 6 2 2 2" xfId="37740" xr:uid="{00000000-0005-0000-0000-000038CC0000}"/>
    <cellStyle name="Normal 8 6 2 2 2 2" xfId="37741" xr:uid="{00000000-0005-0000-0000-000039CC0000}"/>
    <cellStyle name="Normal 8 6 2 2 2 2 2" xfId="60561" xr:uid="{00000000-0005-0000-0000-00003ACC0000}"/>
    <cellStyle name="Normal 8 6 2 2 2 2 3" xfId="60562" xr:uid="{00000000-0005-0000-0000-00003BCC0000}"/>
    <cellStyle name="Normal 8 6 2 2 2 3" xfId="37742" xr:uid="{00000000-0005-0000-0000-00003CCC0000}"/>
    <cellStyle name="Normal 8 6 2 2 2 3 2" xfId="60563" xr:uid="{00000000-0005-0000-0000-00003DCC0000}"/>
    <cellStyle name="Normal 8 6 2 2 2 4" xfId="37743" xr:uid="{00000000-0005-0000-0000-00003ECC0000}"/>
    <cellStyle name="Normal 8 6 2 2 2 5" xfId="37744" xr:uid="{00000000-0005-0000-0000-00003FCC0000}"/>
    <cellStyle name="Normal 8 6 2 2 2 6" xfId="37745" xr:uid="{00000000-0005-0000-0000-000040CC0000}"/>
    <cellStyle name="Normal 8 6 2 2 3" xfId="37746" xr:uid="{00000000-0005-0000-0000-000041CC0000}"/>
    <cellStyle name="Normal 8 6 2 2 3 2" xfId="60564" xr:uid="{00000000-0005-0000-0000-000042CC0000}"/>
    <cellStyle name="Normal 8 6 2 2 3 3" xfId="60565" xr:uid="{00000000-0005-0000-0000-000043CC0000}"/>
    <cellStyle name="Normal 8 6 2 2 4" xfId="37747" xr:uid="{00000000-0005-0000-0000-000044CC0000}"/>
    <cellStyle name="Normal 8 6 2 2 4 2" xfId="60566" xr:uid="{00000000-0005-0000-0000-000045CC0000}"/>
    <cellStyle name="Normal 8 6 2 2 5" xfId="37748" xr:uid="{00000000-0005-0000-0000-000046CC0000}"/>
    <cellStyle name="Normal 8 6 2 2 6" xfId="37749" xr:uid="{00000000-0005-0000-0000-000047CC0000}"/>
    <cellStyle name="Normal 8 6 2 2 7" xfId="37750" xr:uid="{00000000-0005-0000-0000-000048CC0000}"/>
    <cellStyle name="Normal 8 6 2 3" xfId="37751" xr:uid="{00000000-0005-0000-0000-000049CC0000}"/>
    <cellStyle name="Normal 8 6 2 3 2" xfId="37752" xr:uid="{00000000-0005-0000-0000-00004ACC0000}"/>
    <cellStyle name="Normal 8 6 2 3 2 2" xfId="60567" xr:uid="{00000000-0005-0000-0000-00004BCC0000}"/>
    <cellStyle name="Normal 8 6 2 3 2 3" xfId="60568" xr:uid="{00000000-0005-0000-0000-00004CCC0000}"/>
    <cellStyle name="Normal 8 6 2 3 3" xfId="37753" xr:uid="{00000000-0005-0000-0000-00004DCC0000}"/>
    <cellStyle name="Normal 8 6 2 3 3 2" xfId="60569" xr:uid="{00000000-0005-0000-0000-00004ECC0000}"/>
    <cellStyle name="Normal 8 6 2 3 4" xfId="37754" xr:uid="{00000000-0005-0000-0000-00004FCC0000}"/>
    <cellStyle name="Normal 8 6 2 3 5" xfId="37755" xr:uid="{00000000-0005-0000-0000-000050CC0000}"/>
    <cellStyle name="Normal 8 6 2 3 6" xfId="37756" xr:uid="{00000000-0005-0000-0000-000051CC0000}"/>
    <cellStyle name="Normal 8 6 2 4" xfId="37757" xr:uid="{00000000-0005-0000-0000-000052CC0000}"/>
    <cellStyle name="Normal 8 6 2 4 2" xfId="60570" xr:uid="{00000000-0005-0000-0000-000053CC0000}"/>
    <cellStyle name="Normal 8 6 2 4 3" xfId="60571" xr:uid="{00000000-0005-0000-0000-000054CC0000}"/>
    <cellStyle name="Normal 8 6 2 5" xfId="37758" xr:uid="{00000000-0005-0000-0000-000055CC0000}"/>
    <cellStyle name="Normal 8 6 2 5 2" xfId="60572" xr:uid="{00000000-0005-0000-0000-000056CC0000}"/>
    <cellStyle name="Normal 8 6 2 6" xfId="37759" xr:uid="{00000000-0005-0000-0000-000057CC0000}"/>
    <cellStyle name="Normal 8 6 2 7" xfId="37760" xr:uid="{00000000-0005-0000-0000-000058CC0000}"/>
    <cellStyle name="Normal 8 6 2 8" xfId="37761" xr:uid="{00000000-0005-0000-0000-000059CC0000}"/>
    <cellStyle name="Normal 8 6 2 9" xfId="37762" xr:uid="{00000000-0005-0000-0000-00005ACC0000}"/>
    <cellStyle name="Normal 8 6 3" xfId="37763" xr:uid="{00000000-0005-0000-0000-00005BCC0000}"/>
    <cellStyle name="Normal 8 6 3 2" xfId="37764" xr:uid="{00000000-0005-0000-0000-00005CCC0000}"/>
    <cellStyle name="Normal 8 6 3 2 2" xfId="37765" xr:uid="{00000000-0005-0000-0000-00005DCC0000}"/>
    <cellStyle name="Normal 8 6 3 2 2 2" xfId="37766" xr:uid="{00000000-0005-0000-0000-00005ECC0000}"/>
    <cellStyle name="Normal 8 6 3 2 2 2 2" xfId="60573" xr:uid="{00000000-0005-0000-0000-00005FCC0000}"/>
    <cellStyle name="Normal 8 6 3 2 2 2 3" xfId="60574" xr:uid="{00000000-0005-0000-0000-000060CC0000}"/>
    <cellStyle name="Normal 8 6 3 2 2 3" xfId="37767" xr:uid="{00000000-0005-0000-0000-000061CC0000}"/>
    <cellStyle name="Normal 8 6 3 2 2 3 2" xfId="60575" xr:uid="{00000000-0005-0000-0000-000062CC0000}"/>
    <cellStyle name="Normal 8 6 3 2 2 4" xfId="37768" xr:uid="{00000000-0005-0000-0000-000063CC0000}"/>
    <cellStyle name="Normal 8 6 3 2 2 5" xfId="37769" xr:uid="{00000000-0005-0000-0000-000064CC0000}"/>
    <cellStyle name="Normal 8 6 3 2 2 6" xfId="37770" xr:uid="{00000000-0005-0000-0000-000065CC0000}"/>
    <cellStyle name="Normal 8 6 3 2 3" xfId="37771" xr:uid="{00000000-0005-0000-0000-000066CC0000}"/>
    <cellStyle name="Normal 8 6 3 2 3 2" xfId="60576" xr:uid="{00000000-0005-0000-0000-000067CC0000}"/>
    <cellStyle name="Normal 8 6 3 2 3 3" xfId="60577" xr:uid="{00000000-0005-0000-0000-000068CC0000}"/>
    <cellStyle name="Normal 8 6 3 2 4" xfId="37772" xr:uid="{00000000-0005-0000-0000-000069CC0000}"/>
    <cellStyle name="Normal 8 6 3 2 4 2" xfId="60578" xr:uid="{00000000-0005-0000-0000-00006ACC0000}"/>
    <cellStyle name="Normal 8 6 3 2 5" xfId="37773" xr:uid="{00000000-0005-0000-0000-00006BCC0000}"/>
    <cellStyle name="Normal 8 6 3 2 6" xfId="37774" xr:uid="{00000000-0005-0000-0000-00006CCC0000}"/>
    <cellStyle name="Normal 8 6 3 2 7" xfId="37775" xr:uid="{00000000-0005-0000-0000-00006DCC0000}"/>
    <cellStyle name="Normal 8 6 3 3" xfId="37776" xr:uid="{00000000-0005-0000-0000-00006ECC0000}"/>
    <cellStyle name="Normal 8 6 3 3 2" xfId="37777" xr:uid="{00000000-0005-0000-0000-00006FCC0000}"/>
    <cellStyle name="Normal 8 6 3 3 2 2" xfId="60579" xr:uid="{00000000-0005-0000-0000-000070CC0000}"/>
    <cellStyle name="Normal 8 6 3 3 2 3" xfId="60580" xr:uid="{00000000-0005-0000-0000-000071CC0000}"/>
    <cellStyle name="Normal 8 6 3 3 3" xfId="37778" xr:uid="{00000000-0005-0000-0000-000072CC0000}"/>
    <cellStyle name="Normal 8 6 3 3 3 2" xfId="60581" xr:uid="{00000000-0005-0000-0000-000073CC0000}"/>
    <cellStyle name="Normal 8 6 3 3 4" xfId="37779" xr:uid="{00000000-0005-0000-0000-000074CC0000}"/>
    <cellStyle name="Normal 8 6 3 3 5" xfId="37780" xr:uid="{00000000-0005-0000-0000-000075CC0000}"/>
    <cellStyle name="Normal 8 6 3 3 6" xfId="37781" xr:uid="{00000000-0005-0000-0000-000076CC0000}"/>
    <cellStyle name="Normal 8 6 3 4" xfId="37782" xr:uid="{00000000-0005-0000-0000-000077CC0000}"/>
    <cellStyle name="Normal 8 6 3 4 2" xfId="60582" xr:uid="{00000000-0005-0000-0000-000078CC0000}"/>
    <cellStyle name="Normal 8 6 3 4 3" xfId="60583" xr:uid="{00000000-0005-0000-0000-000079CC0000}"/>
    <cellStyle name="Normal 8 6 3 5" xfId="37783" xr:uid="{00000000-0005-0000-0000-00007ACC0000}"/>
    <cellStyle name="Normal 8 6 3 5 2" xfId="60584" xr:uid="{00000000-0005-0000-0000-00007BCC0000}"/>
    <cellStyle name="Normal 8 6 3 6" xfId="37784" xr:uid="{00000000-0005-0000-0000-00007CCC0000}"/>
    <cellStyle name="Normal 8 6 3 7" xfId="37785" xr:uid="{00000000-0005-0000-0000-00007DCC0000}"/>
    <cellStyle name="Normal 8 6 3 8" xfId="37786" xr:uid="{00000000-0005-0000-0000-00007ECC0000}"/>
    <cellStyle name="Normal 8 6 4" xfId="37787" xr:uid="{00000000-0005-0000-0000-00007FCC0000}"/>
    <cellStyle name="Normal 8 6 4 2" xfId="37788" xr:uid="{00000000-0005-0000-0000-000080CC0000}"/>
    <cellStyle name="Normal 8 6 4 2 2" xfId="37789" xr:uid="{00000000-0005-0000-0000-000081CC0000}"/>
    <cellStyle name="Normal 8 6 4 2 2 2" xfId="60585" xr:uid="{00000000-0005-0000-0000-000082CC0000}"/>
    <cellStyle name="Normal 8 6 4 2 2 3" xfId="60586" xr:uid="{00000000-0005-0000-0000-000083CC0000}"/>
    <cellStyle name="Normal 8 6 4 2 3" xfId="37790" xr:uid="{00000000-0005-0000-0000-000084CC0000}"/>
    <cellStyle name="Normal 8 6 4 2 3 2" xfId="60587" xr:uid="{00000000-0005-0000-0000-000085CC0000}"/>
    <cellStyle name="Normal 8 6 4 2 4" xfId="37791" xr:uid="{00000000-0005-0000-0000-000086CC0000}"/>
    <cellStyle name="Normal 8 6 4 2 5" xfId="37792" xr:uid="{00000000-0005-0000-0000-000087CC0000}"/>
    <cellStyle name="Normal 8 6 4 2 6" xfId="37793" xr:uid="{00000000-0005-0000-0000-000088CC0000}"/>
    <cellStyle name="Normal 8 6 4 3" xfId="37794" xr:uid="{00000000-0005-0000-0000-000089CC0000}"/>
    <cellStyle name="Normal 8 6 4 3 2" xfId="60588" xr:uid="{00000000-0005-0000-0000-00008ACC0000}"/>
    <cellStyle name="Normal 8 6 4 3 3" xfId="60589" xr:uid="{00000000-0005-0000-0000-00008BCC0000}"/>
    <cellStyle name="Normal 8 6 4 4" xfId="37795" xr:uid="{00000000-0005-0000-0000-00008CCC0000}"/>
    <cellStyle name="Normal 8 6 4 4 2" xfId="60590" xr:uid="{00000000-0005-0000-0000-00008DCC0000}"/>
    <cellStyle name="Normal 8 6 4 5" xfId="37796" xr:uid="{00000000-0005-0000-0000-00008ECC0000}"/>
    <cellStyle name="Normal 8 6 4 6" xfId="37797" xr:uid="{00000000-0005-0000-0000-00008FCC0000}"/>
    <cellStyle name="Normal 8 6 4 7" xfId="37798" xr:uid="{00000000-0005-0000-0000-000090CC0000}"/>
    <cellStyle name="Normal 8 6 5" xfId="37799" xr:uid="{00000000-0005-0000-0000-000091CC0000}"/>
    <cellStyle name="Normal 8 6 5 2" xfId="37800" xr:uid="{00000000-0005-0000-0000-000092CC0000}"/>
    <cellStyle name="Normal 8 6 5 2 2" xfId="60591" xr:uid="{00000000-0005-0000-0000-000093CC0000}"/>
    <cellStyle name="Normal 8 6 5 2 3" xfId="60592" xr:uid="{00000000-0005-0000-0000-000094CC0000}"/>
    <cellStyle name="Normal 8 6 5 3" xfId="37801" xr:uid="{00000000-0005-0000-0000-000095CC0000}"/>
    <cellStyle name="Normal 8 6 5 3 2" xfId="60593" xr:uid="{00000000-0005-0000-0000-000096CC0000}"/>
    <cellStyle name="Normal 8 6 5 4" xfId="37802" xr:uid="{00000000-0005-0000-0000-000097CC0000}"/>
    <cellStyle name="Normal 8 6 5 5" xfId="37803" xr:uid="{00000000-0005-0000-0000-000098CC0000}"/>
    <cellStyle name="Normal 8 6 5 6" xfId="37804" xr:uid="{00000000-0005-0000-0000-000099CC0000}"/>
    <cellStyle name="Normal 8 6 6" xfId="37805" xr:uid="{00000000-0005-0000-0000-00009ACC0000}"/>
    <cellStyle name="Normal 8 6 6 2" xfId="60594" xr:uid="{00000000-0005-0000-0000-00009BCC0000}"/>
    <cellStyle name="Normal 8 6 6 3" xfId="60595" xr:uid="{00000000-0005-0000-0000-00009CCC0000}"/>
    <cellStyle name="Normal 8 6 7" xfId="37806" xr:uid="{00000000-0005-0000-0000-00009DCC0000}"/>
    <cellStyle name="Normal 8 6 7 2" xfId="60596" xr:uid="{00000000-0005-0000-0000-00009ECC0000}"/>
    <cellStyle name="Normal 8 6 8" xfId="37807" xr:uid="{00000000-0005-0000-0000-00009FCC0000}"/>
    <cellStyle name="Normal 8 6 9" xfId="37808" xr:uid="{00000000-0005-0000-0000-0000A0CC0000}"/>
    <cellStyle name="Normal 8 7" xfId="37809" xr:uid="{00000000-0005-0000-0000-0000A1CC0000}"/>
    <cellStyle name="Normal 8 7 10" xfId="37810" xr:uid="{00000000-0005-0000-0000-0000A2CC0000}"/>
    <cellStyle name="Normal 8 7 11" xfId="37811" xr:uid="{00000000-0005-0000-0000-0000A3CC0000}"/>
    <cellStyle name="Normal 8 7 12" xfId="37812" xr:uid="{00000000-0005-0000-0000-0000A4CC0000}"/>
    <cellStyle name="Normal 8 7 13" xfId="37813" xr:uid="{00000000-0005-0000-0000-0000A5CC0000}"/>
    <cellStyle name="Normal 8 7 14" xfId="37814" xr:uid="{00000000-0005-0000-0000-0000A6CC0000}"/>
    <cellStyle name="Normal 8 7 2" xfId="37815" xr:uid="{00000000-0005-0000-0000-0000A7CC0000}"/>
    <cellStyle name="Normal 8 7 2 2" xfId="37816" xr:uid="{00000000-0005-0000-0000-0000A8CC0000}"/>
    <cellStyle name="Normal 8 7 2 2 2" xfId="37817" xr:uid="{00000000-0005-0000-0000-0000A9CC0000}"/>
    <cellStyle name="Normal 8 7 2 2 2 2" xfId="37818" xr:uid="{00000000-0005-0000-0000-0000AACC0000}"/>
    <cellStyle name="Normal 8 7 2 2 2 2 2" xfId="60597" xr:uid="{00000000-0005-0000-0000-0000ABCC0000}"/>
    <cellStyle name="Normal 8 7 2 2 2 2 3" xfId="60598" xr:uid="{00000000-0005-0000-0000-0000ACCC0000}"/>
    <cellStyle name="Normal 8 7 2 2 2 3" xfId="37819" xr:uid="{00000000-0005-0000-0000-0000ADCC0000}"/>
    <cellStyle name="Normal 8 7 2 2 2 3 2" xfId="60599" xr:uid="{00000000-0005-0000-0000-0000AECC0000}"/>
    <cellStyle name="Normal 8 7 2 2 2 4" xfId="37820" xr:uid="{00000000-0005-0000-0000-0000AFCC0000}"/>
    <cellStyle name="Normal 8 7 2 2 2 5" xfId="37821" xr:uid="{00000000-0005-0000-0000-0000B0CC0000}"/>
    <cellStyle name="Normal 8 7 2 2 2 6" xfId="37822" xr:uid="{00000000-0005-0000-0000-0000B1CC0000}"/>
    <cellStyle name="Normal 8 7 2 2 3" xfId="37823" xr:uid="{00000000-0005-0000-0000-0000B2CC0000}"/>
    <cellStyle name="Normal 8 7 2 2 3 2" xfId="60600" xr:uid="{00000000-0005-0000-0000-0000B3CC0000}"/>
    <cellStyle name="Normal 8 7 2 2 3 3" xfId="60601" xr:uid="{00000000-0005-0000-0000-0000B4CC0000}"/>
    <cellStyle name="Normal 8 7 2 2 4" xfId="37824" xr:uid="{00000000-0005-0000-0000-0000B5CC0000}"/>
    <cellStyle name="Normal 8 7 2 2 4 2" xfId="60602" xr:uid="{00000000-0005-0000-0000-0000B6CC0000}"/>
    <cellStyle name="Normal 8 7 2 2 5" xfId="37825" xr:uid="{00000000-0005-0000-0000-0000B7CC0000}"/>
    <cellStyle name="Normal 8 7 2 2 6" xfId="37826" xr:uid="{00000000-0005-0000-0000-0000B8CC0000}"/>
    <cellStyle name="Normal 8 7 2 2 7" xfId="37827" xr:uid="{00000000-0005-0000-0000-0000B9CC0000}"/>
    <cellStyle name="Normal 8 7 2 3" xfId="37828" xr:uid="{00000000-0005-0000-0000-0000BACC0000}"/>
    <cellStyle name="Normal 8 7 2 3 2" xfId="37829" xr:uid="{00000000-0005-0000-0000-0000BBCC0000}"/>
    <cellStyle name="Normal 8 7 2 3 2 2" xfId="60603" xr:uid="{00000000-0005-0000-0000-0000BCCC0000}"/>
    <cellStyle name="Normal 8 7 2 3 2 3" xfId="60604" xr:uid="{00000000-0005-0000-0000-0000BDCC0000}"/>
    <cellStyle name="Normal 8 7 2 3 3" xfId="37830" xr:uid="{00000000-0005-0000-0000-0000BECC0000}"/>
    <cellStyle name="Normal 8 7 2 3 3 2" xfId="60605" xr:uid="{00000000-0005-0000-0000-0000BFCC0000}"/>
    <cellStyle name="Normal 8 7 2 3 4" xfId="37831" xr:uid="{00000000-0005-0000-0000-0000C0CC0000}"/>
    <cellStyle name="Normal 8 7 2 3 5" xfId="37832" xr:uid="{00000000-0005-0000-0000-0000C1CC0000}"/>
    <cellStyle name="Normal 8 7 2 3 6" xfId="37833" xr:uid="{00000000-0005-0000-0000-0000C2CC0000}"/>
    <cellStyle name="Normal 8 7 2 4" xfId="37834" xr:uid="{00000000-0005-0000-0000-0000C3CC0000}"/>
    <cellStyle name="Normal 8 7 2 4 2" xfId="60606" xr:uid="{00000000-0005-0000-0000-0000C4CC0000}"/>
    <cellStyle name="Normal 8 7 2 4 3" xfId="60607" xr:uid="{00000000-0005-0000-0000-0000C5CC0000}"/>
    <cellStyle name="Normal 8 7 2 5" xfId="37835" xr:uid="{00000000-0005-0000-0000-0000C6CC0000}"/>
    <cellStyle name="Normal 8 7 2 5 2" xfId="60608" xr:uid="{00000000-0005-0000-0000-0000C7CC0000}"/>
    <cellStyle name="Normal 8 7 2 6" xfId="37836" xr:uid="{00000000-0005-0000-0000-0000C8CC0000}"/>
    <cellStyle name="Normal 8 7 2 7" xfId="37837" xr:uid="{00000000-0005-0000-0000-0000C9CC0000}"/>
    <cellStyle name="Normal 8 7 2 8" xfId="37838" xr:uid="{00000000-0005-0000-0000-0000CACC0000}"/>
    <cellStyle name="Normal 8 7 2 9" xfId="37839" xr:uid="{00000000-0005-0000-0000-0000CBCC0000}"/>
    <cellStyle name="Normal 8 7 3" xfId="37840" xr:uid="{00000000-0005-0000-0000-0000CCCC0000}"/>
    <cellStyle name="Normal 8 7 3 2" xfId="37841" xr:uid="{00000000-0005-0000-0000-0000CDCC0000}"/>
    <cellStyle name="Normal 8 7 3 2 2" xfId="37842" xr:uid="{00000000-0005-0000-0000-0000CECC0000}"/>
    <cellStyle name="Normal 8 7 3 2 2 2" xfId="37843" xr:uid="{00000000-0005-0000-0000-0000CFCC0000}"/>
    <cellStyle name="Normal 8 7 3 2 2 2 2" xfId="60609" xr:uid="{00000000-0005-0000-0000-0000D0CC0000}"/>
    <cellStyle name="Normal 8 7 3 2 2 2 3" xfId="60610" xr:uid="{00000000-0005-0000-0000-0000D1CC0000}"/>
    <cellStyle name="Normal 8 7 3 2 2 3" xfId="37844" xr:uid="{00000000-0005-0000-0000-0000D2CC0000}"/>
    <cellStyle name="Normal 8 7 3 2 2 3 2" xfId="60611" xr:uid="{00000000-0005-0000-0000-0000D3CC0000}"/>
    <cellStyle name="Normal 8 7 3 2 2 4" xfId="37845" xr:uid="{00000000-0005-0000-0000-0000D4CC0000}"/>
    <cellStyle name="Normal 8 7 3 2 2 5" xfId="37846" xr:uid="{00000000-0005-0000-0000-0000D5CC0000}"/>
    <cellStyle name="Normal 8 7 3 2 2 6" xfId="37847" xr:uid="{00000000-0005-0000-0000-0000D6CC0000}"/>
    <cellStyle name="Normal 8 7 3 2 3" xfId="37848" xr:uid="{00000000-0005-0000-0000-0000D7CC0000}"/>
    <cellStyle name="Normal 8 7 3 2 3 2" xfId="60612" xr:uid="{00000000-0005-0000-0000-0000D8CC0000}"/>
    <cellStyle name="Normal 8 7 3 2 3 3" xfId="60613" xr:uid="{00000000-0005-0000-0000-0000D9CC0000}"/>
    <cellStyle name="Normal 8 7 3 2 4" xfId="37849" xr:uid="{00000000-0005-0000-0000-0000DACC0000}"/>
    <cellStyle name="Normal 8 7 3 2 4 2" xfId="60614" xr:uid="{00000000-0005-0000-0000-0000DBCC0000}"/>
    <cellStyle name="Normal 8 7 3 2 5" xfId="37850" xr:uid="{00000000-0005-0000-0000-0000DCCC0000}"/>
    <cellStyle name="Normal 8 7 3 2 6" xfId="37851" xr:uid="{00000000-0005-0000-0000-0000DDCC0000}"/>
    <cellStyle name="Normal 8 7 3 2 7" xfId="37852" xr:uid="{00000000-0005-0000-0000-0000DECC0000}"/>
    <cellStyle name="Normal 8 7 3 3" xfId="37853" xr:uid="{00000000-0005-0000-0000-0000DFCC0000}"/>
    <cellStyle name="Normal 8 7 3 3 2" xfId="37854" xr:uid="{00000000-0005-0000-0000-0000E0CC0000}"/>
    <cellStyle name="Normal 8 7 3 3 2 2" xfId="60615" xr:uid="{00000000-0005-0000-0000-0000E1CC0000}"/>
    <cellStyle name="Normal 8 7 3 3 2 3" xfId="60616" xr:uid="{00000000-0005-0000-0000-0000E2CC0000}"/>
    <cellStyle name="Normal 8 7 3 3 3" xfId="37855" xr:uid="{00000000-0005-0000-0000-0000E3CC0000}"/>
    <cellStyle name="Normal 8 7 3 3 3 2" xfId="60617" xr:uid="{00000000-0005-0000-0000-0000E4CC0000}"/>
    <cellStyle name="Normal 8 7 3 3 4" xfId="37856" xr:uid="{00000000-0005-0000-0000-0000E5CC0000}"/>
    <cellStyle name="Normal 8 7 3 3 5" xfId="37857" xr:uid="{00000000-0005-0000-0000-0000E6CC0000}"/>
    <cellStyle name="Normal 8 7 3 3 6" xfId="37858" xr:uid="{00000000-0005-0000-0000-0000E7CC0000}"/>
    <cellStyle name="Normal 8 7 3 4" xfId="37859" xr:uid="{00000000-0005-0000-0000-0000E8CC0000}"/>
    <cellStyle name="Normal 8 7 3 4 2" xfId="60618" xr:uid="{00000000-0005-0000-0000-0000E9CC0000}"/>
    <cellStyle name="Normal 8 7 3 4 3" xfId="60619" xr:uid="{00000000-0005-0000-0000-0000EACC0000}"/>
    <cellStyle name="Normal 8 7 3 5" xfId="37860" xr:uid="{00000000-0005-0000-0000-0000EBCC0000}"/>
    <cellStyle name="Normal 8 7 3 5 2" xfId="60620" xr:uid="{00000000-0005-0000-0000-0000ECCC0000}"/>
    <cellStyle name="Normal 8 7 3 6" xfId="37861" xr:uid="{00000000-0005-0000-0000-0000EDCC0000}"/>
    <cellStyle name="Normal 8 7 3 7" xfId="37862" xr:uid="{00000000-0005-0000-0000-0000EECC0000}"/>
    <cellStyle name="Normal 8 7 3 8" xfId="37863" xr:uid="{00000000-0005-0000-0000-0000EFCC0000}"/>
    <cellStyle name="Normal 8 7 4" xfId="37864" xr:uid="{00000000-0005-0000-0000-0000F0CC0000}"/>
    <cellStyle name="Normal 8 7 4 2" xfId="37865" xr:uid="{00000000-0005-0000-0000-0000F1CC0000}"/>
    <cellStyle name="Normal 8 7 4 2 2" xfId="37866" xr:uid="{00000000-0005-0000-0000-0000F2CC0000}"/>
    <cellStyle name="Normal 8 7 4 2 2 2" xfId="60621" xr:uid="{00000000-0005-0000-0000-0000F3CC0000}"/>
    <cellStyle name="Normal 8 7 4 2 2 3" xfId="60622" xr:uid="{00000000-0005-0000-0000-0000F4CC0000}"/>
    <cellStyle name="Normal 8 7 4 2 3" xfId="37867" xr:uid="{00000000-0005-0000-0000-0000F5CC0000}"/>
    <cellStyle name="Normal 8 7 4 2 3 2" xfId="60623" xr:uid="{00000000-0005-0000-0000-0000F6CC0000}"/>
    <cellStyle name="Normal 8 7 4 2 4" xfId="37868" xr:uid="{00000000-0005-0000-0000-0000F7CC0000}"/>
    <cellStyle name="Normal 8 7 4 2 5" xfId="37869" xr:uid="{00000000-0005-0000-0000-0000F8CC0000}"/>
    <cellStyle name="Normal 8 7 4 2 6" xfId="37870" xr:uid="{00000000-0005-0000-0000-0000F9CC0000}"/>
    <cellStyle name="Normal 8 7 4 3" xfId="37871" xr:uid="{00000000-0005-0000-0000-0000FACC0000}"/>
    <cellStyle name="Normal 8 7 4 3 2" xfId="60624" xr:uid="{00000000-0005-0000-0000-0000FBCC0000}"/>
    <cellStyle name="Normal 8 7 4 3 3" xfId="60625" xr:uid="{00000000-0005-0000-0000-0000FCCC0000}"/>
    <cellStyle name="Normal 8 7 4 4" xfId="37872" xr:uid="{00000000-0005-0000-0000-0000FDCC0000}"/>
    <cellStyle name="Normal 8 7 4 4 2" xfId="60626" xr:uid="{00000000-0005-0000-0000-0000FECC0000}"/>
    <cellStyle name="Normal 8 7 4 5" xfId="37873" xr:uid="{00000000-0005-0000-0000-0000FFCC0000}"/>
    <cellStyle name="Normal 8 7 4 6" xfId="37874" xr:uid="{00000000-0005-0000-0000-000000CD0000}"/>
    <cellStyle name="Normal 8 7 4 7" xfId="37875" xr:uid="{00000000-0005-0000-0000-000001CD0000}"/>
    <cellStyle name="Normal 8 7 5" xfId="37876" xr:uid="{00000000-0005-0000-0000-000002CD0000}"/>
    <cellStyle name="Normal 8 7 5 2" xfId="37877" xr:uid="{00000000-0005-0000-0000-000003CD0000}"/>
    <cellStyle name="Normal 8 7 5 2 2" xfId="60627" xr:uid="{00000000-0005-0000-0000-000004CD0000}"/>
    <cellStyle name="Normal 8 7 5 2 3" xfId="60628" xr:uid="{00000000-0005-0000-0000-000005CD0000}"/>
    <cellStyle name="Normal 8 7 5 3" xfId="37878" xr:uid="{00000000-0005-0000-0000-000006CD0000}"/>
    <cellStyle name="Normal 8 7 5 3 2" xfId="60629" xr:uid="{00000000-0005-0000-0000-000007CD0000}"/>
    <cellStyle name="Normal 8 7 5 4" xfId="37879" xr:uid="{00000000-0005-0000-0000-000008CD0000}"/>
    <cellStyle name="Normal 8 7 5 5" xfId="37880" xr:uid="{00000000-0005-0000-0000-000009CD0000}"/>
    <cellStyle name="Normal 8 7 5 6" xfId="37881" xr:uid="{00000000-0005-0000-0000-00000ACD0000}"/>
    <cellStyle name="Normal 8 7 6" xfId="37882" xr:uid="{00000000-0005-0000-0000-00000BCD0000}"/>
    <cellStyle name="Normal 8 7 6 2" xfId="60630" xr:uid="{00000000-0005-0000-0000-00000CCD0000}"/>
    <cellStyle name="Normal 8 7 6 3" xfId="60631" xr:uid="{00000000-0005-0000-0000-00000DCD0000}"/>
    <cellStyle name="Normal 8 7 7" xfId="37883" xr:uid="{00000000-0005-0000-0000-00000ECD0000}"/>
    <cellStyle name="Normal 8 7 7 2" xfId="60632" xr:uid="{00000000-0005-0000-0000-00000FCD0000}"/>
    <cellStyle name="Normal 8 7 8" xfId="37884" xr:uid="{00000000-0005-0000-0000-000010CD0000}"/>
    <cellStyle name="Normal 8 7 9" xfId="37885" xr:uid="{00000000-0005-0000-0000-000011CD0000}"/>
    <cellStyle name="Normal 8 8" xfId="37886" xr:uid="{00000000-0005-0000-0000-000012CD0000}"/>
    <cellStyle name="Normal 8 8 10" xfId="37887" xr:uid="{00000000-0005-0000-0000-000013CD0000}"/>
    <cellStyle name="Normal 8 8 11" xfId="37888" xr:uid="{00000000-0005-0000-0000-000014CD0000}"/>
    <cellStyle name="Normal 8 8 12" xfId="37889" xr:uid="{00000000-0005-0000-0000-000015CD0000}"/>
    <cellStyle name="Normal 8 8 13" xfId="37890" xr:uid="{00000000-0005-0000-0000-000016CD0000}"/>
    <cellStyle name="Normal 8 8 14" xfId="37891" xr:uid="{00000000-0005-0000-0000-000017CD0000}"/>
    <cellStyle name="Normal 8 8 2" xfId="37892" xr:uid="{00000000-0005-0000-0000-000018CD0000}"/>
    <cellStyle name="Normal 8 8 2 2" xfId="37893" xr:uid="{00000000-0005-0000-0000-000019CD0000}"/>
    <cellStyle name="Normal 8 8 2 2 2" xfId="37894" xr:uid="{00000000-0005-0000-0000-00001ACD0000}"/>
    <cellStyle name="Normal 8 8 2 2 2 2" xfId="37895" xr:uid="{00000000-0005-0000-0000-00001BCD0000}"/>
    <cellStyle name="Normal 8 8 2 2 2 2 2" xfId="60633" xr:uid="{00000000-0005-0000-0000-00001CCD0000}"/>
    <cellStyle name="Normal 8 8 2 2 2 2 3" xfId="60634" xr:uid="{00000000-0005-0000-0000-00001DCD0000}"/>
    <cellStyle name="Normal 8 8 2 2 2 3" xfId="37896" xr:uid="{00000000-0005-0000-0000-00001ECD0000}"/>
    <cellStyle name="Normal 8 8 2 2 2 3 2" xfId="60635" xr:uid="{00000000-0005-0000-0000-00001FCD0000}"/>
    <cellStyle name="Normal 8 8 2 2 2 4" xfId="37897" xr:uid="{00000000-0005-0000-0000-000020CD0000}"/>
    <cellStyle name="Normal 8 8 2 2 2 5" xfId="37898" xr:uid="{00000000-0005-0000-0000-000021CD0000}"/>
    <cellStyle name="Normal 8 8 2 2 2 6" xfId="37899" xr:uid="{00000000-0005-0000-0000-000022CD0000}"/>
    <cellStyle name="Normal 8 8 2 2 3" xfId="37900" xr:uid="{00000000-0005-0000-0000-000023CD0000}"/>
    <cellStyle name="Normal 8 8 2 2 3 2" xfId="60636" xr:uid="{00000000-0005-0000-0000-000024CD0000}"/>
    <cellStyle name="Normal 8 8 2 2 3 3" xfId="60637" xr:uid="{00000000-0005-0000-0000-000025CD0000}"/>
    <cellStyle name="Normal 8 8 2 2 4" xfId="37901" xr:uid="{00000000-0005-0000-0000-000026CD0000}"/>
    <cellStyle name="Normal 8 8 2 2 4 2" xfId="60638" xr:uid="{00000000-0005-0000-0000-000027CD0000}"/>
    <cellStyle name="Normal 8 8 2 2 5" xfId="37902" xr:uid="{00000000-0005-0000-0000-000028CD0000}"/>
    <cellStyle name="Normal 8 8 2 2 6" xfId="37903" xr:uid="{00000000-0005-0000-0000-000029CD0000}"/>
    <cellStyle name="Normal 8 8 2 2 7" xfId="37904" xr:uid="{00000000-0005-0000-0000-00002ACD0000}"/>
    <cellStyle name="Normal 8 8 2 3" xfId="37905" xr:uid="{00000000-0005-0000-0000-00002BCD0000}"/>
    <cellStyle name="Normal 8 8 2 3 2" xfId="37906" xr:uid="{00000000-0005-0000-0000-00002CCD0000}"/>
    <cellStyle name="Normal 8 8 2 3 2 2" xfId="60639" xr:uid="{00000000-0005-0000-0000-00002DCD0000}"/>
    <cellStyle name="Normal 8 8 2 3 2 3" xfId="60640" xr:uid="{00000000-0005-0000-0000-00002ECD0000}"/>
    <cellStyle name="Normal 8 8 2 3 3" xfId="37907" xr:uid="{00000000-0005-0000-0000-00002FCD0000}"/>
    <cellStyle name="Normal 8 8 2 3 3 2" xfId="60641" xr:uid="{00000000-0005-0000-0000-000030CD0000}"/>
    <cellStyle name="Normal 8 8 2 3 4" xfId="37908" xr:uid="{00000000-0005-0000-0000-000031CD0000}"/>
    <cellStyle name="Normal 8 8 2 3 5" xfId="37909" xr:uid="{00000000-0005-0000-0000-000032CD0000}"/>
    <cellStyle name="Normal 8 8 2 3 6" xfId="37910" xr:uid="{00000000-0005-0000-0000-000033CD0000}"/>
    <cellStyle name="Normal 8 8 2 4" xfId="37911" xr:uid="{00000000-0005-0000-0000-000034CD0000}"/>
    <cellStyle name="Normal 8 8 2 4 2" xfId="60642" xr:uid="{00000000-0005-0000-0000-000035CD0000}"/>
    <cellStyle name="Normal 8 8 2 4 3" xfId="60643" xr:uid="{00000000-0005-0000-0000-000036CD0000}"/>
    <cellStyle name="Normal 8 8 2 5" xfId="37912" xr:uid="{00000000-0005-0000-0000-000037CD0000}"/>
    <cellStyle name="Normal 8 8 2 5 2" xfId="60644" xr:uid="{00000000-0005-0000-0000-000038CD0000}"/>
    <cellStyle name="Normal 8 8 2 6" xfId="37913" xr:uid="{00000000-0005-0000-0000-000039CD0000}"/>
    <cellStyle name="Normal 8 8 2 7" xfId="37914" xr:uid="{00000000-0005-0000-0000-00003ACD0000}"/>
    <cellStyle name="Normal 8 8 2 8" xfId="37915" xr:uid="{00000000-0005-0000-0000-00003BCD0000}"/>
    <cellStyle name="Normal 8 8 2 9" xfId="37916" xr:uid="{00000000-0005-0000-0000-00003CCD0000}"/>
    <cellStyle name="Normal 8 8 3" xfId="37917" xr:uid="{00000000-0005-0000-0000-00003DCD0000}"/>
    <cellStyle name="Normal 8 8 3 2" xfId="37918" xr:uid="{00000000-0005-0000-0000-00003ECD0000}"/>
    <cellStyle name="Normal 8 8 3 2 2" xfId="37919" xr:uid="{00000000-0005-0000-0000-00003FCD0000}"/>
    <cellStyle name="Normal 8 8 3 2 2 2" xfId="60645" xr:uid="{00000000-0005-0000-0000-000040CD0000}"/>
    <cellStyle name="Normal 8 8 3 2 2 3" xfId="60646" xr:uid="{00000000-0005-0000-0000-000041CD0000}"/>
    <cellStyle name="Normal 8 8 3 2 3" xfId="37920" xr:uid="{00000000-0005-0000-0000-000042CD0000}"/>
    <cellStyle name="Normal 8 8 3 2 3 2" xfId="60647" xr:uid="{00000000-0005-0000-0000-000043CD0000}"/>
    <cellStyle name="Normal 8 8 3 2 4" xfId="37921" xr:uid="{00000000-0005-0000-0000-000044CD0000}"/>
    <cellStyle name="Normal 8 8 3 2 5" xfId="37922" xr:uid="{00000000-0005-0000-0000-000045CD0000}"/>
    <cellStyle name="Normal 8 8 3 2 6" xfId="37923" xr:uid="{00000000-0005-0000-0000-000046CD0000}"/>
    <cellStyle name="Normal 8 8 3 3" xfId="37924" xr:uid="{00000000-0005-0000-0000-000047CD0000}"/>
    <cellStyle name="Normal 8 8 3 3 2" xfId="60648" xr:uid="{00000000-0005-0000-0000-000048CD0000}"/>
    <cellStyle name="Normal 8 8 3 3 3" xfId="60649" xr:uid="{00000000-0005-0000-0000-000049CD0000}"/>
    <cellStyle name="Normal 8 8 3 4" xfId="37925" xr:uid="{00000000-0005-0000-0000-00004ACD0000}"/>
    <cellStyle name="Normal 8 8 3 4 2" xfId="60650" xr:uid="{00000000-0005-0000-0000-00004BCD0000}"/>
    <cellStyle name="Normal 8 8 3 5" xfId="37926" xr:uid="{00000000-0005-0000-0000-00004CCD0000}"/>
    <cellStyle name="Normal 8 8 3 6" xfId="37927" xr:uid="{00000000-0005-0000-0000-00004DCD0000}"/>
    <cellStyle name="Normal 8 8 3 7" xfId="37928" xr:uid="{00000000-0005-0000-0000-00004ECD0000}"/>
    <cellStyle name="Normal 8 8 4" xfId="37929" xr:uid="{00000000-0005-0000-0000-00004FCD0000}"/>
    <cellStyle name="Normal 8 8 4 2" xfId="37930" xr:uid="{00000000-0005-0000-0000-000050CD0000}"/>
    <cellStyle name="Normal 8 8 4 2 2" xfId="60651" xr:uid="{00000000-0005-0000-0000-000051CD0000}"/>
    <cellStyle name="Normal 8 8 4 2 3" xfId="60652" xr:uid="{00000000-0005-0000-0000-000052CD0000}"/>
    <cellStyle name="Normal 8 8 4 3" xfId="37931" xr:uid="{00000000-0005-0000-0000-000053CD0000}"/>
    <cellStyle name="Normal 8 8 4 3 2" xfId="60653" xr:uid="{00000000-0005-0000-0000-000054CD0000}"/>
    <cellStyle name="Normal 8 8 4 4" xfId="37932" xr:uid="{00000000-0005-0000-0000-000055CD0000}"/>
    <cellStyle name="Normal 8 8 4 5" xfId="37933" xr:uid="{00000000-0005-0000-0000-000056CD0000}"/>
    <cellStyle name="Normal 8 8 4 6" xfId="37934" xr:uid="{00000000-0005-0000-0000-000057CD0000}"/>
    <cellStyle name="Normal 8 8 5" xfId="37935" xr:uid="{00000000-0005-0000-0000-000058CD0000}"/>
    <cellStyle name="Normal 8 8 5 2" xfId="60654" xr:uid="{00000000-0005-0000-0000-000059CD0000}"/>
    <cellStyle name="Normal 8 8 5 3" xfId="60655" xr:uid="{00000000-0005-0000-0000-00005ACD0000}"/>
    <cellStyle name="Normal 8 8 6" xfId="37936" xr:uid="{00000000-0005-0000-0000-00005BCD0000}"/>
    <cellStyle name="Normal 8 8 6 2" xfId="60656" xr:uid="{00000000-0005-0000-0000-00005CCD0000}"/>
    <cellStyle name="Normal 8 8 7" xfId="37937" xr:uid="{00000000-0005-0000-0000-00005DCD0000}"/>
    <cellStyle name="Normal 8 8 8" xfId="37938" xr:uid="{00000000-0005-0000-0000-00005ECD0000}"/>
    <cellStyle name="Normal 8 8 9" xfId="37939" xr:uid="{00000000-0005-0000-0000-00005FCD0000}"/>
    <cellStyle name="Normal 8 9" xfId="37940" xr:uid="{00000000-0005-0000-0000-000060CD0000}"/>
    <cellStyle name="Normal 8 9 2" xfId="37941" xr:uid="{00000000-0005-0000-0000-000061CD0000}"/>
    <cellStyle name="Normal 8 9 2 2" xfId="37942" xr:uid="{00000000-0005-0000-0000-000062CD0000}"/>
    <cellStyle name="Normal 8 9 2 2 2" xfId="37943" xr:uid="{00000000-0005-0000-0000-000063CD0000}"/>
    <cellStyle name="Normal 8 9 2 2 2 2" xfId="60657" xr:uid="{00000000-0005-0000-0000-000064CD0000}"/>
    <cellStyle name="Normal 8 9 2 2 2 3" xfId="60658" xr:uid="{00000000-0005-0000-0000-000065CD0000}"/>
    <cellStyle name="Normal 8 9 2 2 3" xfId="37944" xr:uid="{00000000-0005-0000-0000-000066CD0000}"/>
    <cellStyle name="Normal 8 9 2 2 3 2" xfId="60659" xr:uid="{00000000-0005-0000-0000-000067CD0000}"/>
    <cellStyle name="Normal 8 9 2 2 4" xfId="37945" xr:uid="{00000000-0005-0000-0000-000068CD0000}"/>
    <cellStyle name="Normal 8 9 2 2 5" xfId="37946" xr:uid="{00000000-0005-0000-0000-000069CD0000}"/>
    <cellStyle name="Normal 8 9 2 2 6" xfId="37947" xr:uid="{00000000-0005-0000-0000-00006ACD0000}"/>
    <cellStyle name="Normal 8 9 2 3" xfId="37948" xr:uid="{00000000-0005-0000-0000-00006BCD0000}"/>
    <cellStyle name="Normal 8 9 2 3 2" xfId="60660" xr:uid="{00000000-0005-0000-0000-00006CCD0000}"/>
    <cellStyle name="Normal 8 9 2 3 3" xfId="60661" xr:uid="{00000000-0005-0000-0000-00006DCD0000}"/>
    <cellStyle name="Normal 8 9 2 4" xfId="37949" xr:uid="{00000000-0005-0000-0000-00006ECD0000}"/>
    <cellStyle name="Normal 8 9 2 4 2" xfId="60662" xr:uid="{00000000-0005-0000-0000-00006FCD0000}"/>
    <cellStyle name="Normal 8 9 2 5" xfId="37950" xr:uid="{00000000-0005-0000-0000-000070CD0000}"/>
    <cellStyle name="Normal 8 9 2 6" xfId="37951" xr:uid="{00000000-0005-0000-0000-000071CD0000}"/>
    <cellStyle name="Normal 8 9 2 7" xfId="37952" xr:uid="{00000000-0005-0000-0000-000072CD0000}"/>
    <cellStyle name="Normal 8 9 3" xfId="37953" xr:uid="{00000000-0005-0000-0000-000073CD0000}"/>
    <cellStyle name="Normal 8 9 3 2" xfId="37954" xr:uid="{00000000-0005-0000-0000-000074CD0000}"/>
    <cellStyle name="Normal 8 9 3 2 2" xfId="60663" xr:uid="{00000000-0005-0000-0000-000075CD0000}"/>
    <cellStyle name="Normal 8 9 3 2 3" xfId="60664" xr:uid="{00000000-0005-0000-0000-000076CD0000}"/>
    <cellStyle name="Normal 8 9 3 3" xfId="37955" xr:uid="{00000000-0005-0000-0000-000077CD0000}"/>
    <cellStyle name="Normal 8 9 3 3 2" xfId="60665" xr:uid="{00000000-0005-0000-0000-000078CD0000}"/>
    <cellStyle name="Normal 8 9 3 4" xfId="37956" xr:uid="{00000000-0005-0000-0000-000079CD0000}"/>
    <cellStyle name="Normal 8 9 3 5" xfId="37957" xr:uid="{00000000-0005-0000-0000-00007ACD0000}"/>
    <cellStyle name="Normal 8 9 3 6" xfId="37958" xr:uid="{00000000-0005-0000-0000-00007BCD0000}"/>
    <cellStyle name="Normal 8 9 4" xfId="37959" xr:uid="{00000000-0005-0000-0000-00007CCD0000}"/>
    <cellStyle name="Normal 8 9 4 2" xfId="60666" xr:uid="{00000000-0005-0000-0000-00007DCD0000}"/>
    <cellStyle name="Normal 8 9 4 3" xfId="60667" xr:uid="{00000000-0005-0000-0000-00007ECD0000}"/>
    <cellStyle name="Normal 8 9 5" xfId="37960" xr:uid="{00000000-0005-0000-0000-00007FCD0000}"/>
    <cellStyle name="Normal 8 9 5 2" xfId="60668" xr:uid="{00000000-0005-0000-0000-000080CD0000}"/>
    <cellStyle name="Normal 8 9 6" xfId="37961" xr:uid="{00000000-0005-0000-0000-000081CD0000}"/>
    <cellStyle name="Normal 8 9 7" xfId="37962" xr:uid="{00000000-0005-0000-0000-000082CD0000}"/>
    <cellStyle name="Normal 8 9 8" xfId="37963" xr:uid="{00000000-0005-0000-0000-000083CD0000}"/>
    <cellStyle name="Normal 8 9 9" xfId="37964" xr:uid="{00000000-0005-0000-0000-000084CD0000}"/>
    <cellStyle name="Normal 8_Sheet2" xfId="37965" xr:uid="{00000000-0005-0000-0000-000085CD0000}"/>
    <cellStyle name="Normal 80" xfId="37966" xr:uid="{00000000-0005-0000-0000-000086CD0000}"/>
    <cellStyle name="Normal 80 10" xfId="37967" xr:uid="{00000000-0005-0000-0000-000087CD0000}"/>
    <cellStyle name="Normal 80 10 2" xfId="37968" xr:uid="{00000000-0005-0000-0000-000088CD0000}"/>
    <cellStyle name="Normal 80 11" xfId="37969" xr:uid="{00000000-0005-0000-0000-000089CD0000}"/>
    <cellStyle name="Normal 80 11 2" xfId="37970" xr:uid="{00000000-0005-0000-0000-00008ACD0000}"/>
    <cellStyle name="Normal 80 12" xfId="37971" xr:uid="{00000000-0005-0000-0000-00008BCD0000}"/>
    <cellStyle name="Normal 80 13" xfId="37972" xr:uid="{00000000-0005-0000-0000-00008CCD0000}"/>
    <cellStyle name="Normal 80 2" xfId="37973" xr:uid="{00000000-0005-0000-0000-00008DCD0000}"/>
    <cellStyle name="Normal 80 2 10" xfId="37974" xr:uid="{00000000-0005-0000-0000-00008ECD0000}"/>
    <cellStyle name="Normal 80 2 10 2" xfId="37975" xr:uid="{00000000-0005-0000-0000-00008FCD0000}"/>
    <cellStyle name="Normal 80 2 11" xfId="37976" xr:uid="{00000000-0005-0000-0000-000090CD0000}"/>
    <cellStyle name="Normal 80 2 2" xfId="37977" xr:uid="{00000000-0005-0000-0000-000091CD0000}"/>
    <cellStyle name="Normal 80 2 2 2" xfId="37978" xr:uid="{00000000-0005-0000-0000-000092CD0000}"/>
    <cellStyle name="Normal 80 2 2 2 2" xfId="37979" xr:uid="{00000000-0005-0000-0000-000093CD0000}"/>
    <cellStyle name="Normal 80 2 2 2 2 2" xfId="37980" xr:uid="{00000000-0005-0000-0000-000094CD0000}"/>
    <cellStyle name="Normal 80 2 2 2 3" xfId="37981" xr:uid="{00000000-0005-0000-0000-000095CD0000}"/>
    <cellStyle name="Normal 80 2 2 2 3 2" xfId="37982" xr:uid="{00000000-0005-0000-0000-000096CD0000}"/>
    <cellStyle name="Normal 80 2 2 2 4" xfId="37983" xr:uid="{00000000-0005-0000-0000-000097CD0000}"/>
    <cellStyle name="Normal 80 2 2 3" xfId="37984" xr:uid="{00000000-0005-0000-0000-000098CD0000}"/>
    <cellStyle name="Normal 80 2 2 3 2" xfId="37985" xr:uid="{00000000-0005-0000-0000-000099CD0000}"/>
    <cellStyle name="Normal 80 2 2 3 2 2" xfId="37986" xr:uid="{00000000-0005-0000-0000-00009ACD0000}"/>
    <cellStyle name="Normal 80 2 2 3 3" xfId="37987" xr:uid="{00000000-0005-0000-0000-00009BCD0000}"/>
    <cellStyle name="Normal 80 2 2 3 3 2" xfId="37988" xr:uid="{00000000-0005-0000-0000-00009CCD0000}"/>
    <cellStyle name="Normal 80 2 2 3 4" xfId="37989" xr:uid="{00000000-0005-0000-0000-00009DCD0000}"/>
    <cellStyle name="Normal 80 2 2 4" xfId="37990" xr:uid="{00000000-0005-0000-0000-00009ECD0000}"/>
    <cellStyle name="Normal 80 2 2 4 2" xfId="37991" xr:uid="{00000000-0005-0000-0000-00009FCD0000}"/>
    <cellStyle name="Normal 80 2 2 5" xfId="37992" xr:uid="{00000000-0005-0000-0000-0000A0CD0000}"/>
    <cellStyle name="Normal 80 2 2 5 2" xfId="37993" xr:uid="{00000000-0005-0000-0000-0000A1CD0000}"/>
    <cellStyle name="Normal 80 2 2 6" xfId="37994" xr:uid="{00000000-0005-0000-0000-0000A2CD0000}"/>
    <cellStyle name="Normal 80 2 3" xfId="37995" xr:uid="{00000000-0005-0000-0000-0000A3CD0000}"/>
    <cellStyle name="Normal 80 2 3 2" xfId="37996" xr:uid="{00000000-0005-0000-0000-0000A4CD0000}"/>
    <cellStyle name="Normal 80 2 3 2 2" xfId="37997" xr:uid="{00000000-0005-0000-0000-0000A5CD0000}"/>
    <cellStyle name="Normal 80 2 3 3" xfId="37998" xr:uid="{00000000-0005-0000-0000-0000A6CD0000}"/>
    <cellStyle name="Normal 80 2 3 3 2" xfId="37999" xr:uid="{00000000-0005-0000-0000-0000A7CD0000}"/>
    <cellStyle name="Normal 80 2 3 4" xfId="38000" xr:uid="{00000000-0005-0000-0000-0000A8CD0000}"/>
    <cellStyle name="Normal 80 2 4" xfId="38001" xr:uid="{00000000-0005-0000-0000-0000A9CD0000}"/>
    <cellStyle name="Normal 80 2 4 2" xfId="38002" xr:uid="{00000000-0005-0000-0000-0000AACD0000}"/>
    <cellStyle name="Normal 80 2 4 2 2" xfId="38003" xr:uid="{00000000-0005-0000-0000-0000ABCD0000}"/>
    <cellStyle name="Normal 80 2 4 3" xfId="38004" xr:uid="{00000000-0005-0000-0000-0000ACCD0000}"/>
    <cellStyle name="Normal 80 2 4 3 2" xfId="38005" xr:uid="{00000000-0005-0000-0000-0000ADCD0000}"/>
    <cellStyle name="Normal 80 2 4 4" xfId="38006" xr:uid="{00000000-0005-0000-0000-0000AECD0000}"/>
    <cellStyle name="Normal 80 2 5" xfId="38007" xr:uid="{00000000-0005-0000-0000-0000AFCD0000}"/>
    <cellStyle name="Normal 80 2 5 2" xfId="38008" xr:uid="{00000000-0005-0000-0000-0000B0CD0000}"/>
    <cellStyle name="Normal 80 2 5 2 2" xfId="38009" xr:uid="{00000000-0005-0000-0000-0000B1CD0000}"/>
    <cellStyle name="Normal 80 2 5 3" xfId="38010" xr:uid="{00000000-0005-0000-0000-0000B2CD0000}"/>
    <cellStyle name="Normal 80 2 5 3 2" xfId="38011" xr:uid="{00000000-0005-0000-0000-0000B3CD0000}"/>
    <cellStyle name="Normal 80 2 5 4" xfId="38012" xr:uid="{00000000-0005-0000-0000-0000B4CD0000}"/>
    <cellStyle name="Normal 80 2 6" xfId="38013" xr:uid="{00000000-0005-0000-0000-0000B5CD0000}"/>
    <cellStyle name="Normal 80 2 6 2" xfId="38014" xr:uid="{00000000-0005-0000-0000-0000B6CD0000}"/>
    <cellStyle name="Normal 80 2 6 2 2" xfId="38015" xr:uid="{00000000-0005-0000-0000-0000B7CD0000}"/>
    <cellStyle name="Normal 80 2 6 3" xfId="38016" xr:uid="{00000000-0005-0000-0000-0000B8CD0000}"/>
    <cellStyle name="Normal 80 2 6 3 2" xfId="38017" xr:uid="{00000000-0005-0000-0000-0000B9CD0000}"/>
    <cellStyle name="Normal 80 2 6 4" xfId="38018" xr:uid="{00000000-0005-0000-0000-0000BACD0000}"/>
    <cellStyle name="Normal 80 2 7" xfId="38019" xr:uid="{00000000-0005-0000-0000-0000BBCD0000}"/>
    <cellStyle name="Normal 80 2 7 2" xfId="38020" xr:uid="{00000000-0005-0000-0000-0000BCCD0000}"/>
    <cellStyle name="Normal 80 2 7 2 2" xfId="38021" xr:uid="{00000000-0005-0000-0000-0000BDCD0000}"/>
    <cellStyle name="Normal 80 2 7 3" xfId="38022" xr:uid="{00000000-0005-0000-0000-0000BECD0000}"/>
    <cellStyle name="Normal 80 2 7 3 2" xfId="38023" xr:uid="{00000000-0005-0000-0000-0000BFCD0000}"/>
    <cellStyle name="Normal 80 2 7 4" xfId="38024" xr:uid="{00000000-0005-0000-0000-0000C0CD0000}"/>
    <cellStyle name="Normal 80 2 8" xfId="38025" xr:uid="{00000000-0005-0000-0000-0000C1CD0000}"/>
    <cellStyle name="Normal 80 2 8 2" xfId="38026" xr:uid="{00000000-0005-0000-0000-0000C2CD0000}"/>
    <cellStyle name="Normal 80 2 8 2 2" xfId="38027" xr:uid="{00000000-0005-0000-0000-0000C3CD0000}"/>
    <cellStyle name="Normal 80 2 8 3" xfId="38028" xr:uid="{00000000-0005-0000-0000-0000C4CD0000}"/>
    <cellStyle name="Normal 80 2 9" xfId="38029" xr:uid="{00000000-0005-0000-0000-0000C5CD0000}"/>
    <cellStyle name="Normal 80 2 9 2" xfId="38030" xr:uid="{00000000-0005-0000-0000-0000C6CD0000}"/>
    <cellStyle name="Normal 80 3" xfId="38031" xr:uid="{00000000-0005-0000-0000-0000C7CD0000}"/>
    <cellStyle name="Normal 80 3 2" xfId="38032" xr:uid="{00000000-0005-0000-0000-0000C8CD0000}"/>
    <cellStyle name="Normal 80 3 2 2" xfId="38033" xr:uid="{00000000-0005-0000-0000-0000C9CD0000}"/>
    <cellStyle name="Normal 80 3 2 2 2" xfId="38034" xr:uid="{00000000-0005-0000-0000-0000CACD0000}"/>
    <cellStyle name="Normal 80 3 2 3" xfId="38035" xr:uid="{00000000-0005-0000-0000-0000CBCD0000}"/>
    <cellStyle name="Normal 80 3 2 3 2" xfId="38036" xr:uid="{00000000-0005-0000-0000-0000CCCD0000}"/>
    <cellStyle name="Normal 80 3 2 4" xfId="38037" xr:uid="{00000000-0005-0000-0000-0000CDCD0000}"/>
    <cellStyle name="Normal 80 3 3" xfId="38038" xr:uid="{00000000-0005-0000-0000-0000CECD0000}"/>
    <cellStyle name="Normal 80 3 3 2" xfId="38039" xr:uid="{00000000-0005-0000-0000-0000CFCD0000}"/>
    <cellStyle name="Normal 80 3 3 2 2" xfId="38040" xr:uid="{00000000-0005-0000-0000-0000D0CD0000}"/>
    <cellStyle name="Normal 80 3 3 3" xfId="38041" xr:uid="{00000000-0005-0000-0000-0000D1CD0000}"/>
    <cellStyle name="Normal 80 3 3 3 2" xfId="38042" xr:uid="{00000000-0005-0000-0000-0000D2CD0000}"/>
    <cellStyle name="Normal 80 3 3 4" xfId="38043" xr:uid="{00000000-0005-0000-0000-0000D3CD0000}"/>
    <cellStyle name="Normal 80 3 4" xfId="38044" xr:uid="{00000000-0005-0000-0000-0000D4CD0000}"/>
    <cellStyle name="Normal 80 3 4 2" xfId="38045" xr:uid="{00000000-0005-0000-0000-0000D5CD0000}"/>
    <cellStyle name="Normal 80 3 5" xfId="38046" xr:uid="{00000000-0005-0000-0000-0000D6CD0000}"/>
    <cellStyle name="Normal 80 3 5 2" xfId="38047" xr:uid="{00000000-0005-0000-0000-0000D7CD0000}"/>
    <cellStyle name="Normal 80 3 6" xfId="38048" xr:uid="{00000000-0005-0000-0000-0000D8CD0000}"/>
    <cellStyle name="Normal 80 4" xfId="38049" xr:uid="{00000000-0005-0000-0000-0000D9CD0000}"/>
    <cellStyle name="Normal 80 4 2" xfId="38050" xr:uid="{00000000-0005-0000-0000-0000DACD0000}"/>
    <cellStyle name="Normal 80 4 2 2" xfId="38051" xr:uid="{00000000-0005-0000-0000-0000DBCD0000}"/>
    <cellStyle name="Normal 80 4 3" xfId="38052" xr:uid="{00000000-0005-0000-0000-0000DCCD0000}"/>
    <cellStyle name="Normal 80 4 3 2" xfId="38053" xr:uid="{00000000-0005-0000-0000-0000DDCD0000}"/>
    <cellStyle name="Normal 80 4 4" xfId="38054" xr:uid="{00000000-0005-0000-0000-0000DECD0000}"/>
    <cellStyle name="Normal 80 5" xfId="38055" xr:uid="{00000000-0005-0000-0000-0000DFCD0000}"/>
    <cellStyle name="Normal 80 5 2" xfId="38056" xr:uid="{00000000-0005-0000-0000-0000E0CD0000}"/>
    <cellStyle name="Normal 80 5 2 2" xfId="38057" xr:uid="{00000000-0005-0000-0000-0000E1CD0000}"/>
    <cellStyle name="Normal 80 5 3" xfId="38058" xr:uid="{00000000-0005-0000-0000-0000E2CD0000}"/>
    <cellStyle name="Normal 80 5 3 2" xfId="38059" xr:uid="{00000000-0005-0000-0000-0000E3CD0000}"/>
    <cellStyle name="Normal 80 5 4" xfId="38060" xr:uid="{00000000-0005-0000-0000-0000E4CD0000}"/>
    <cellStyle name="Normal 80 6" xfId="38061" xr:uid="{00000000-0005-0000-0000-0000E5CD0000}"/>
    <cellStyle name="Normal 80 6 2" xfId="38062" xr:uid="{00000000-0005-0000-0000-0000E6CD0000}"/>
    <cellStyle name="Normal 80 6 2 2" xfId="38063" xr:uid="{00000000-0005-0000-0000-0000E7CD0000}"/>
    <cellStyle name="Normal 80 6 3" xfId="38064" xr:uid="{00000000-0005-0000-0000-0000E8CD0000}"/>
    <cellStyle name="Normal 80 6 3 2" xfId="38065" xr:uid="{00000000-0005-0000-0000-0000E9CD0000}"/>
    <cellStyle name="Normal 80 6 4" xfId="38066" xr:uid="{00000000-0005-0000-0000-0000EACD0000}"/>
    <cellStyle name="Normal 80 7" xfId="38067" xr:uid="{00000000-0005-0000-0000-0000EBCD0000}"/>
    <cellStyle name="Normal 80 7 2" xfId="38068" xr:uid="{00000000-0005-0000-0000-0000ECCD0000}"/>
    <cellStyle name="Normal 80 7 2 2" xfId="38069" xr:uid="{00000000-0005-0000-0000-0000EDCD0000}"/>
    <cellStyle name="Normal 80 7 3" xfId="38070" xr:uid="{00000000-0005-0000-0000-0000EECD0000}"/>
    <cellStyle name="Normal 80 7 3 2" xfId="38071" xr:uid="{00000000-0005-0000-0000-0000EFCD0000}"/>
    <cellStyle name="Normal 80 7 4" xfId="38072" xr:uid="{00000000-0005-0000-0000-0000F0CD0000}"/>
    <cellStyle name="Normal 80 8" xfId="38073" xr:uid="{00000000-0005-0000-0000-0000F1CD0000}"/>
    <cellStyle name="Normal 80 8 2" xfId="38074" xr:uid="{00000000-0005-0000-0000-0000F2CD0000}"/>
    <cellStyle name="Normal 80 8 2 2" xfId="38075" xr:uid="{00000000-0005-0000-0000-0000F3CD0000}"/>
    <cellStyle name="Normal 80 8 3" xfId="38076" xr:uid="{00000000-0005-0000-0000-0000F4CD0000}"/>
    <cellStyle name="Normal 80 8 3 2" xfId="38077" xr:uid="{00000000-0005-0000-0000-0000F5CD0000}"/>
    <cellStyle name="Normal 80 8 4" xfId="38078" xr:uid="{00000000-0005-0000-0000-0000F6CD0000}"/>
    <cellStyle name="Normal 80 9" xfId="38079" xr:uid="{00000000-0005-0000-0000-0000F7CD0000}"/>
    <cellStyle name="Normal 80 9 2" xfId="38080" xr:uid="{00000000-0005-0000-0000-0000F8CD0000}"/>
    <cellStyle name="Normal 80 9 2 2" xfId="38081" xr:uid="{00000000-0005-0000-0000-0000F9CD0000}"/>
    <cellStyle name="Normal 80 9 3" xfId="38082" xr:uid="{00000000-0005-0000-0000-0000FACD0000}"/>
    <cellStyle name="Normal 81" xfId="38083" xr:uid="{00000000-0005-0000-0000-0000FBCD0000}"/>
    <cellStyle name="Normal 81 10" xfId="38084" xr:uid="{00000000-0005-0000-0000-0000FCCD0000}"/>
    <cellStyle name="Normal 81 10 2" xfId="38085" xr:uid="{00000000-0005-0000-0000-0000FDCD0000}"/>
    <cellStyle name="Normal 81 11" xfId="38086" xr:uid="{00000000-0005-0000-0000-0000FECD0000}"/>
    <cellStyle name="Normal 81 11 2" xfId="38087" xr:uid="{00000000-0005-0000-0000-0000FFCD0000}"/>
    <cellStyle name="Normal 81 12" xfId="38088" xr:uid="{00000000-0005-0000-0000-000000CE0000}"/>
    <cellStyle name="Normal 81 13" xfId="38089" xr:uid="{00000000-0005-0000-0000-000001CE0000}"/>
    <cellStyle name="Normal 81 2" xfId="38090" xr:uid="{00000000-0005-0000-0000-000002CE0000}"/>
    <cellStyle name="Normal 81 2 10" xfId="38091" xr:uid="{00000000-0005-0000-0000-000003CE0000}"/>
    <cellStyle name="Normal 81 2 10 2" xfId="38092" xr:uid="{00000000-0005-0000-0000-000004CE0000}"/>
    <cellStyle name="Normal 81 2 11" xfId="38093" xr:uid="{00000000-0005-0000-0000-000005CE0000}"/>
    <cellStyle name="Normal 81 2 2" xfId="38094" xr:uid="{00000000-0005-0000-0000-000006CE0000}"/>
    <cellStyle name="Normal 81 2 2 2" xfId="38095" xr:uid="{00000000-0005-0000-0000-000007CE0000}"/>
    <cellStyle name="Normal 81 2 2 2 2" xfId="38096" xr:uid="{00000000-0005-0000-0000-000008CE0000}"/>
    <cellStyle name="Normal 81 2 2 2 2 2" xfId="38097" xr:uid="{00000000-0005-0000-0000-000009CE0000}"/>
    <cellStyle name="Normal 81 2 2 2 3" xfId="38098" xr:uid="{00000000-0005-0000-0000-00000ACE0000}"/>
    <cellStyle name="Normal 81 2 2 2 3 2" xfId="38099" xr:uid="{00000000-0005-0000-0000-00000BCE0000}"/>
    <cellStyle name="Normal 81 2 2 2 4" xfId="38100" xr:uid="{00000000-0005-0000-0000-00000CCE0000}"/>
    <cellStyle name="Normal 81 2 2 3" xfId="38101" xr:uid="{00000000-0005-0000-0000-00000DCE0000}"/>
    <cellStyle name="Normal 81 2 2 3 2" xfId="38102" xr:uid="{00000000-0005-0000-0000-00000ECE0000}"/>
    <cellStyle name="Normal 81 2 2 3 2 2" xfId="38103" xr:uid="{00000000-0005-0000-0000-00000FCE0000}"/>
    <cellStyle name="Normal 81 2 2 3 3" xfId="38104" xr:uid="{00000000-0005-0000-0000-000010CE0000}"/>
    <cellStyle name="Normal 81 2 2 3 3 2" xfId="38105" xr:uid="{00000000-0005-0000-0000-000011CE0000}"/>
    <cellStyle name="Normal 81 2 2 3 4" xfId="38106" xr:uid="{00000000-0005-0000-0000-000012CE0000}"/>
    <cellStyle name="Normal 81 2 2 4" xfId="38107" xr:uid="{00000000-0005-0000-0000-000013CE0000}"/>
    <cellStyle name="Normal 81 2 2 4 2" xfId="38108" xr:uid="{00000000-0005-0000-0000-000014CE0000}"/>
    <cellStyle name="Normal 81 2 2 5" xfId="38109" xr:uid="{00000000-0005-0000-0000-000015CE0000}"/>
    <cellStyle name="Normal 81 2 2 5 2" xfId="38110" xr:uid="{00000000-0005-0000-0000-000016CE0000}"/>
    <cellStyle name="Normal 81 2 2 6" xfId="38111" xr:uid="{00000000-0005-0000-0000-000017CE0000}"/>
    <cellStyle name="Normal 81 2 3" xfId="38112" xr:uid="{00000000-0005-0000-0000-000018CE0000}"/>
    <cellStyle name="Normal 81 2 3 2" xfId="38113" xr:uid="{00000000-0005-0000-0000-000019CE0000}"/>
    <cellStyle name="Normal 81 2 3 2 2" xfId="38114" xr:uid="{00000000-0005-0000-0000-00001ACE0000}"/>
    <cellStyle name="Normal 81 2 3 3" xfId="38115" xr:uid="{00000000-0005-0000-0000-00001BCE0000}"/>
    <cellStyle name="Normal 81 2 3 3 2" xfId="38116" xr:uid="{00000000-0005-0000-0000-00001CCE0000}"/>
    <cellStyle name="Normal 81 2 3 4" xfId="38117" xr:uid="{00000000-0005-0000-0000-00001DCE0000}"/>
    <cellStyle name="Normal 81 2 4" xfId="38118" xr:uid="{00000000-0005-0000-0000-00001ECE0000}"/>
    <cellStyle name="Normal 81 2 4 2" xfId="38119" xr:uid="{00000000-0005-0000-0000-00001FCE0000}"/>
    <cellStyle name="Normal 81 2 4 2 2" xfId="38120" xr:uid="{00000000-0005-0000-0000-000020CE0000}"/>
    <cellStyle name="Normal 81 2 4 3" xfId="38121" xr:uid="{00000000-0005-0000-0000-000021CE0000}"/>
    <cellStyle name="Normal 81 2 4 3 2" xfId="38122" xr:uid="{00000000-0005-0000-0000-000022CE0000}"/>
    <cellStyle name="Normal 81 2 4 4" xfId="38123" xr:uid="{00000000-0005-0000-0000-000023CE0000}"/>
    <cellStyle name="Normal 81 2 5" xfId="38124" xr:uid="{00000000-0005-0000-0000-000024CE0000}"/>
    <cellStyle name="Normal 81 2 5 2" xfId="38125" xr:uid="{00000000-0005-0000-0000-000025CE0000}"/>
    <cellStyle name="Normal 81 2 5 2 2" xfId="38126" xr:uid="{00000000-0005-0000-0000-000026CE0000}"/>
    <cellStyle name="Normal 81 2 5 3" xfId="38127" xr:uid="{00000000-0005-0000-0000-000027CE0000}"/>
    <cellStyle name="Normal 81 2 5 3 2" xfId="38128" xr:uid="{00000000-0005-0000-0000-000028CE0000}"/>
    <cellStyle name="Normal 81 2 5 4" xfId="38129" xr:uid="{00000000-0005-0000-0000-000029CE0000}"/>
    <cellStyle name="Normal 81 2 6" xfId="38130" xr:uid="{00000000-0005-0000-0000-00002ACE0000}"/>
    <cellStyle name="Normal 81 2 6 2" xfId="38131" xr:uid="{00000000-0005-0000-0000-00002BCE0000}"/>
    <cellStyle name="Normal 81 2 6 2 2" xfId="38132" xr:uid="{00000000-0005-0000-0000-00002CCE0000}"/>
    <cellStyle name="Normal 81 2 6 3" xfId="38133" xr:uid="{00000000-0005-0000-0000-00002DCE0000}"/>
    <cellStyle name="Normal 81 2 6 3 2" xfId="38134" xr:uid="{00000000-0005-0000-0000-00002ECE0000}"/>
    <cellStyle name="Normal 81 2 6 4" xfId="38135" xr:uid="{00000000-0005-0000-0000-00002FCE0000}"/>
    <cellStyle name="Normal 81 2 7" xfId="38136" xr:uid="{00000000-0005-0000-0000-000030CE0000}"/>
    <cellStyle name="Normal 81 2 7 2" xfId="38137" xr:uid="{00000000-0005-0000-0000-000031CE0000}"/>
    <cellStyle name="Normal 81 2 7 2 2" xfId="38138" xr:uid="{00000000-0005-0000-0000-000032CE0000}"/>
    <cellStyle name="Normal 81 2 7 3" xfId="38139" xr:uid="{00000000-0005-0000-0000-000033CE0000}"/>
    <cellStyle name="Normal 81 2 7 3 2" xfId="38140" xr:uid="{00000000-0005-0000-0000-000034CE0000}"/>
    <cellStyle name="Normal 81 2 7 4" xfId="38141" xr:uid="{00000000-0005-0000-0000-000035CE0000}"/>
    <cellStyle name="Normal 81 2 8" xfId="38142" xr:uid="{00000000-0005-0000-0000-000036CE0000}"/>
    <cellStyle name="Normal 81 2 8 2" xfId="38143" xr:uid="{00000000-0005-0000-0000-000037CE0000}"/>
    <cellStyle name="Normal 81 2 8 2 2" xfId="38144" xr:uid="{00000000-0005-0000-0000-000038CE0000}"/>
    <cellStyle name="Normal 81 2 8 3" xfId="38145" xr:uid="{00000000-0005-0000-0000-000039CE0000}"/>
    <cellStyle name="Normal 81 2 9" xfId="38146" xr:uid="{00000000-0005-0000-0000-00003ACE0000}"/>
    <cellStyle name="Normal 81 2 9 2" xfId="38147" xr:uid="{00000000-0005-0000-0000-00003BCE0000}"/>
    <cellStyle name="Normal 81 3" xfId="38148" xr:uid="{00000000-0005-0000-0000-00003CCE0000}"/>
    <cellStyle name="Normal 81 3 2" xfId="38149" xr:uid="{00000000-0005-0000-0000-00003DCE0000}"/>
    <cellStyle name="Normal 81 3 2 2" xfId="38150" xr:uid="{00000000-0005-0000-0000-00003ECE0000}"/>
    <cellStyle name="Normal 81 3 2 2 2" xfId="38151" xr:uid="{00000000-0005-0000-0000-00003FCE0000}"/>
    <cellStyle name="Normal 81 3 2 3" xfId="38152" xr:uid="{00000000-0005-0000-0000-000040CE0000}"/>
    <cellStyle name="Normal 81 3 2 3 2" xfId="38153" xr:uid="{00000000-0005-0000-0000-000041CE0000}"/>
    <cellStyle name="Normal 81 3 2 4" xfId="38154" xr:uid="{00000000-0005-0000-0000-000042CE0000}"/>
    <cellStyle name="Normal 81 3 3" xfId="38155" xr:uid="{00000000-0005-0000-0000-000043CE0000}"/>
    <cellStyle name="Normal 81 3 3 2" xfId="38156" xr:uid="{00000000-0005-0000-0000-000044CE0000}"/>
    <cellStyle name="Normal 81 3 3 2 2" xfId="38157" xr:uid="{00000000-0005-0000-0000-000045CE0000}"/>
    <cellStyle name="Normal 81 3 3 3" xfId="38158" xr:uid="{00000000-0005-0000-0000-000046CE0000}"/>
    <cellStyle name="Normal 81 3 3 3 2" xfId="38159" xr:uid="{00000000-0005-0000-0000-000047CE0000}"/>
    <cellStyle name="Normal 81 3 3 4" xfId="38160" xr:uid="{00000000-0005-0000-0000-000048CE0000}"/>
    <cellStyle name="Normal 81 3 4" xfId="38161" xr:uid="{00000000-0005-0000-0000-000049CE0000}"/>
    <cellStyle name="Normal 81 3 4 2" xfId="38162" xr:uid="{00000000-0005-0000-0000-00004ACE0000}"/>
    <cellStyle name="Normal 81 3 5" xfId="38163" xr:uid="{00000000-0005-0000-0000-00004BCE0000}"/>
    <cellStyle name="Normal 81 3 5 2" xfId="38164" xr:uid="{00000000-0005-0000-0000-00004CCE0000}"/>
    <cellStyle name="Normal 81 3 6" xfId="38165" xr:uid="{00000000-0005-0000-0000-00004DCE0000}"/>
    <cellStyle name="Normal 81 4" xfId="38166" xr:uid="{00000000-0005-0000-0000-00004ECE0000}"/>
    <cellStyle name="Normal 81 4 2" xfId="38167" xr:uid="{00000000-0005-0000-0000-00004FCE0000}"/>
    <cellStyle name="Normal 81 4 2 2" xfId="38168" xr:uid="{00000000-0005-0000-0000-000050CE0000}"/>
    <cellStyle name="Normal 81 4 3" xfId="38169" xr:uid="{00000000-0005-0000-0000-000051CE0000}"/>
    <cellStyle name="Normal 81 4 3 2" xfId="38170" xr:uid="{00000000-0005-0000-0000-000052CE0000}"/>
    <cellStyle name="Normal 81 4 4" xfId="38171" xr:uid="{00000000-0005-0000-0000-000053CE0000}"/>
    <cellStyle name="Normal 81 5" xfId="38172" xr:uid="{00000000-0005-0000-0000-000054CE0000}"/>
    <cellStyle name="Normal 81 5 2" xfId="38173" xr:uid="{00000000-0005-0000-0000-000055CE0000}"/>
    <cellStyle name="Normal 81 5 2 2" xfId="38174" xr:uid="{00000000-0005-0000-0000-000056CE0000}"/>
    <cellStyle name="Normal 81 5 3" xfId="38175" xr:uid="{00000000-0005-0000-0000-000057CE0000}"/>
    <cellStyle name="Normal 81 5 3 2" xfId="38176" xr:uid="{00000000-0005-0000-0000-000058CE0000}"/>
    <cellStyle name="Normal 81 5 4" xfId="38177" xr:uid="{00000000-0005-0000-0000-000059CE0000}"/>
    <cellStyle name="Normal 81 6" xfId="38178" xr:uid="{00000000-0005-0000-0000-00005ACE0000}"/>
    <cellStyle name="Normal 81 6 2" xfId="38179" xr:uid="{00000000-0005-0000-0000-00005BCE0000}"/>
    <cellStyle name="Normal 81 6 2 2" xfId="38180" xr:uid="{00000000-0005-0000-0000-00005CCE0000}"/>
    <cellStyle name="Normal 81 6 3" xfId="38181" xr:uid="{00000000-0005-0000-0000-00005DCE0000}"/>
    <cellStyle name="Normal 81 6 3 2" xfId="38182" xr:uid="{00000000-0005-0000-0000-00005ECE0000}"/>
    <cellStyle name="Normal 81 6 4" xfId="38183" xr:uid="{00000000-0005-0000-0000-00005FCE0000}"/>
    <cellStyle name="Normal 81 7" xfId="38184" xr:uid="{00000000-0005-0000-0000-000060CE0000}"/>
    <cellStyle name="Normal 81 7 2" xfId="38185" xr:uid="{00000000-0005-0000-0000-000061CE0000}"/>
    <cellStyle name="Normal 81 7 2 2" xfId="38186" xr:uid="{00000000-0005-0000-0000-000062CE0000}"/>
    <cellStyle name="Normal 81 7 3" xfId="38187" xr:uid="{00000000-0005-0000-0000-000063CE0000}"/>
    <cellStyle name="Normal 81 7 3 2" xfId="38188" xr:uid="{00000000-0005-0000-0000-000064CE0000}"/>
    <cellStyle name="Normal 81 7 4" xfId="38189" xr:uid="{00000000-0005-0000-0000-000065CE0000}"/>
    <cellStyle name="Normal 81 8" xfId="38190" xr:uid="{00000000-0005-0000-0000-000066CE0000}"/>
    <cellStyle name="Normal 81 8 2" xfId="38191" xr:uid="{00000000-0005-0000-0000-000067CE0000}"/>
    <cellStyle name="Normal 81 8 2 2" xfId="38192" xr:uid="{00000000-0005-0000-0000-000068CE0000}"/>
    <cellStyle name="Normal 81 8 3" xfId="38193" xr:uid="{00000000-0005-0000-0000-000069CE0000}"/>
    <cellStyle name="Normal 81 8 3 2" xfId="38194" xr:uid="{00000000-0005-0000-0000-00006ACE0000}"/>
    <cellStyle name="Normal 81 8 4" xfId="38195" xr:uid="{00000000-0005-0000-0000-00006BCE0000}"/>
    <cellStyle name="Normal 81 9" xfId="38196" xr:uid="{00000000-0005-0000-0000-00006CCE0000}"/>
    <cellStyle name="Normal 81 9 2" xfId="38197" xr:uid="{00000000-0005-0000-0000-00006DCE0000}"/>
    <cellStyle name="Normal 81 9 2 2" xfId="38198" xr:uid="{00000000-0005-0000-0000-00006ECE0000}"/>
    <cellStyle name="Normal 81 9 3" xfId="38199" xr:uid="{00000000-0005-0000-0000-00006FCE0000}"/>
    <cellStyle name="Normal 82" xfId="38200" xr:uid="{00000000-0005-0000-0000-000070CE0000}"/>
    <cellStyle name="Normal 82 10" xfId="38201" xr:uid="{00000000-0005-0000-0000-000071CE0000}"/>
    <cellStyle name="Normal 82 10 2" xfId="38202" xr:uid="{00000000-0005-0000-0000-000072CE0000}"/>
    <cellStyle name="Normal 82 11" xfId="38203" xr:uid="{00000000-0005-0000-0000-000073CE0000}"/>
    <cellStyle name="Normal 82 11 2" xfId="38204" xr:uid="{00000000-0005-0000-0000-000074CE0000}"/>
    <cellStyle name="Normal 82 12" xfId="38205" xr:uid="{00000000-0005-0000-0000-000075CE0000}"/>
    <cellStyle name="Normal 82 13" xfId="38206" xr:uid="{00000000-0005-0000-0000-000076CE0000}"/>
    <cellStyle name="Normal 82 2" xfId="38207" xr:uid="{00000000-0005-0000-0000-000077CE0000}"/>
    <cellStyle name="Normal 82 2 10" xfId="38208" xr:uid="{00000000-0005-0000-0000-000078CE0000}"/>
    <cellStyle name="Normal 82 2 10 2" xfId="38209" xr:uid="{00000000-0005-0000-0000-000079CE0000}"/>
    <cellStyle name="Normal 82 2 11" xfId="38210" xr:uid="{00000000-0005-0000-0000-00007ACE0000}"/>
    <cellStyle name="Normal 82 2 2" xfId="38211" xr:uid="{00000000-0005-0000-0000-00007BCE0000}"/>
    <cellStyle name="Normal 82 2 2 2" xfId="38212" xr:uid="{00000000-0005-0000-0000-00007CCE0000}"/>
    <cellStyle name="Normal 82 2 2 2 2" xfId="38213" xr:uid="{00000000-0005-0000-0000-00007DCE0000}"/>
    <cellStyle name="Normal 82 2 2 2 2 2" xfId="38214" xr:uid="{00000000-0005-0000-0000-00007ECE0000}"/>
    <cellStyle name="Normal 82 2 2 2 3" xfId="38215" xr:uid="{00000000-0005-0000-0000-00007FCE0000}"/>
    <cellStyle name="Normal 82 2 2 2 3 2" xfId="38216" xr:uid="{00000000-0005-0000-0000-000080CE0000}"/>
    <cellStyle name="Normal 82 2 2 2 4" xfId="38217" xr:uid="{00000000-0005-0000-0000-000081CE0000}"/>
    <cellStyle name="Normal 82 2 2 3" xfId="38218" xr:uid="{00000000-0005-0000-0000-000082CE0000}"/>
    <cellStyle name="Normal 82 2 2 3 2" xfId="38219" xr:uid="{00000000-0005-0000-0000-000083CE0000}"/>
    <cellStyle name="Normal 82 2 2 3 2 2" xfId="38220" xr:uid="{00000000-0005-0000-0000-000084CE0000}"/>
    <cellStyle name="Normal 82 2 2 3 3" xfId="38221" xr:uid="{00000000-0005-0000-0000-000085CE0000}"/>
    <cellStyle name="Normal 82 2 2 3 3 2" xfId="38222" xr:uid="{00000000-0005-0000-0000-000086CE0000}"/>
    <cellStyle name="Normal 82 2 2 3 4" xfId="38223" xr:uid="{00000000-0005-0000-0000-000087CE0000}"/>
    <cellStyle name="Normal 82 2 2 4" xfId="38224" xr:uid="{00000000-0005-0000-0000-000088CE0000}"/>
    <cellStyle name="Normal 82 2 2 4 2" xfId="38225" xr:uid="{00000000-0005-0000-0000-000089CE0000}"/>
    <cellStyle name="Normal 82 2 2 5" xfId="38226" xr:uid="{00000000-0005-0000-0000-00008ACE0000}"/>
    <cellStyle name="Normal 82 2 2 5 2" xfId="38227" xr:uid="{00000000-0005-0000-0000-00008BCE0000}"/>
    <cellStyle name="Normal 82 2 2 6" xfId="38228" xr:uid="{00000000-0005-0000-0000-00008CCE0000}"/>
    <cellStyle name="Normal 82 2 3" xfId="38229" xr:uid="{00000000-0005-0000-0000-00008DCE0000}"/>
    <cellStyle name="Normal 82 2 3 2" xfId="38230" xr:uid="{00000000-0005-0000-0000-00008ECE0000}"/>
    <cellStyle name="Normal 82 2 3 2 2" xfId="38231" xr:uid="{00000000-0005-0000-0000-00008FCE0000}"/>
    <cellStyle name="Normal 82 2 3 3" xfId="38232" xr:uid="{00000000-0005-0000-0000-000090CE0000}"/>
    <cellStyle name="Normal 82 2 3 3 2" xfId="38233" xr:uid="{00000000-0005-0000-0000-000091CE0000}"/>
    <cellStyle name="Normal 82 2 3 4" xfId="38234" xr:uid="{00000000-0005-0000-0000-000092CE0000}"/>
    <cellStyle name="Normal 82 2 4" xfId="38235" xr:uid="{00000000-0005-0000-0000-000093CE0000}"/>
    <cellStyle name="Normal 82 2 4 2" xfId="38236" xr:uid="{00000000-0005-0000-0000-000094CE0000}"/>
    <cellStyle name="Normal 82 2 4 2 2" xfId="38237" xr:uid="{00000000-0005-0000-0000-000095CE0000}"/>
    <cellStyle name="Normal 82 2 4 3" xfId="38238" xr:uid="{00000000-0005-0000-0000-000096CE0000}"/>
    <cellStyle name="Normal 82 2 4 3 2" xfId="38239" xr:uid="{00000000-0005-0000-0000-000097CE0000}"/>
    <cellStyle name="Normal 82 2 4 4" xfId="38240" xr:uid="{00000000-0005-0000-0000-000098CE0000}"/>
    <cellStyle name="Normal 82 2 5" xfId="38241" xr:uid="{00000000-0005-0000-0000-000099CE0000}"/>
    <cellStyle name="Normal 82 2 5 2" xfId="38242" xr:uid="{00000000-0005-0000-0000-00009ACE0000}"/>
    <cellStyle name="Normal 82 2 5 2 2" xfId="38243" xr:uid="{00000000-0005-0000-0000-00009BCE0000}"/>
    <cellStyle name="Normal 82 2 5 3" xfId="38244" xr:uid="{00000000-0005-0000-0000-00009CCE0000}"/>
    <cellStyle name="Normal 82 2 5 3 2" xfId="38245" xr:uid="{00000000-0005-0000-0000-00009DCE0000}"/>
    <cellStyle name="Normal 82 2 5 4" xfId="38246" xr:uid="{00000000-0005-0000-0000-00009ECE0000}"/>
    <cellStyle name="Normal 82 2 6" xfId="38247" xr:uid="{00000000-0005-0000-0000-00009FCE0000}"/>
    <cellStyle name="Normal 82 2 6 2" xfId="38248" xr:uid="{00000000-0005-0000-0000-0000A0CE0000}"/>
    <cellStyle name="Normal 82 2 6 2 2" xfId="38249" xr:uid="{00000000-0005-0000-0000-0000A1CE0000}"/>
    <cellStyle name="Normal 82 2 6 3" xfId="38250" xr:uid="{00000000-0005-0000-0000-0000A2CE0000}"/>
    <cellStyle name="Normal 82 2 6 3 2" xfId="38251" xr:uid="{00000000-0005-0000-0000-0000A3CE0000}"/>
    <cellStyle name="Normal 82 2 6 4" xfId="38252" xr:uid="{00000000-0005-0000-0000-0000A4CE0000}"/>
    <cellStyle name="Normal 82 2 7" xfId="38253" xr:uid="{00000000-0005-0000-0000-0000A5CE0000}"/>
    <cellStyle name="Normal 82 2 7 2" xfId="38254" xr:uid="{00000000-0005-0000-0000-0000A6CE0000}"/>
    <cellStyle name="Normal 82 2 7 2 2" xfId="38255" xr:uid="{00000000-0005-0000-0000-0000A7CE0000}"/>
    <cellStyle name="Normal 82 2 7 3" xfId="38256" xr:uid="{00000000-0005-0000-0000-0000A8CE0000}"/>
    <cellStyle name="Normal 82 2 7 3 2" xfId="38257" xr:uid="{00000000-0005-0000-0000-0000A9CE0000}"/>
    <cellStyle name="Normal 82 2 7 4" xfId="38258" xr:uid="{00000000-0005-0000-0000-0000AACE0000}"/>
    <cellStyle name="Normal 82 2 8" xfId="38259" xr:uid="{00000000-0005-0000-0000-0000ABCE0000}"/>
    <cellStyle name="Normal 82 2 8 2" xfId="38260" xr:uid="{00000000-0005-0000-0000-0000ACCE0000}"/>
    <cellStyle name="Normal 82 2 8 2 2" xfId="38261" xr:uid="{00000000-0005-0000-0000-0000ADCE0000}"/>
    <cellStyle name="Normal 82 2 8 3" xfId="38262" xr:uid="{00000000-0005-0000-0000-0000AECE0000}"/>
    <cellStyle name="Normal 82 2 9" xfId="38263" xr:uid="{00000000-0005-0000-0000-0000AFCE0000}"/>
    <cellStyle name="Normal 82 2 9 2" xfId="38264" xr:uid="{00000000-0005-0000-0000-0000B0CE0000}"/>
    <cellStyle name="Normal 82 3" xfId="38265" xr:uid="{00000000-0005-0000-0000-0000B1CE0000}"/>
    <cellStyle name="Normal 82 3 2" xfId="38266" xr:uid="{00000000-0005-0000-0000-0000B2CE0000}"/>
    <cellStyle name="Normal 82 3 2 2" xfId="38267" xr:uid="{00000000-0005-0000-0000-0000B3CE0000}"/>
    <cellStyle name="Normal 82 3 2 2 2" xfId="38268" xr:uid="{00000000-0005-0000-0000-0000B4CE0000}"/>
    <cellStyle name="Normal 82 3 2 3" xfId="38269" xr:uid="{00000000-0005-0000-0000-0000B5CE0000}"/>
    <cellStyle name="Normal 82 3 2 3 2" xfId="38270" xr:uid="{00000000-0005-0000-0000-0000B6CE0000}"/>
    <cellStyle name="Normal 82 3 2 4" xfId="38271" xr:uid="{00000000-0005-0000-0000-0000B7CE0000}"/>
    <cellStyle name="Normal 82 3 3" xfId="38272" xr:uid="{00000000-0005-0000-0000-0000B8CE0000}"/>
    <cellStyle name="Normal 82 3 3 2" xfId="38273" xr:uid="{00000000-0005-0000-0000-0000B9CE0000}"/>
    <cellStyle name="Normal 82 3 3 2 2" xfId="38274" xr:uid="{00000000-0005-0000-0000-0000BACE0000}"/>
    <cellStyle name="Normal 82 3 3 3" xfId="38275" xr:uid="{00000000-0005-0000-0000-0000BBCE0000}"/>
    <cellStyle name="Normal 82 3 3 3 2" xfId="38276" xr:uid="{00000000-0005-0000-0000-0000BCCE0000}"/>
    <cellStyle name="Normal 82 3 3 4" xfId="38277" xr:uid="{00000000-0005-0000-0000-0000BDCE0000}"/>
    <cellStyle name="Normal 82 3 4" xfId="38278" xr:uid="{00000000-0005-0000-0000-0000BECE0000}"/>
    <cellStyle name="Normal 82 3 4 2" xfId="38279" xr:uid="{00000000-0005-0000-0000-0000BFCE0000}"/>
    <cellStyle name="Normal 82 3 5" xfId="38280" xr:uid="{00000000-0005-0000-0000-0000C0CE0000}"/>
    <cellStyle name="Normal 82 3 5 2" xfId="38281" xr:uid="{00000000-0005-0000-0000-0000C1CE0000}"/>
    <cellStyle name="Normal 82 3 6" xfId="38282" xr:uid="{00000000-0005-0000-0000-0000C2CE0000}"/>
    <cellStyle name="Normal 82 4" xfId="38283" xr:uid="{00000000-0005-0000-0000-0000C3CE0000}"/>
    <cellStyle name="Normal 82 4 2" xfId="38284" xr:uid="{00000000-0005-0000-0000-0000C4CE0000}"/>
    <cellStyle name="Normal 82 4 2 2" xfId="38285" xr:uid="{00000000-0005-0000-0000-0000C5CE0000}"/>
    <cellStyle name="Normal 82 4 3" xfId="38286" xr:uid="{00000000-0005-0000-0000-0000C6CE0000}"/>
    <cellStyle name="Normal 82 4 3 2" xfId="38287" xr:uid="{00000000-0005-0000-0000-0000C7CE0000}"/>
    <cellStyle name="Normal 82 4 4" xfId="38288" xr:uid="{00000000-0005-0000-0000-0000C8CE0000}"/>
    <cellStyle name="Normal 82 5" xfId="38289" xr:uid="{00000000-0005-0000-0000-0000C9CE0000}"/>
    <cellStyle name="Normal 82 5 2" xfId="38290" xr:uid="{00000000-0005-0000-0000-0000CACE0000}"/>
    <cellStyle name="Normal 82 5 2 2" xfId="38291" xr:uid="{00000000-0005-0000-0000-0000CBCE0000}"/>
    <cellStyle name="Normal 82 5 3" xfId="38292" xr:uid="{00000000-0005-0000-0000-0000CCCE0000}"/>
    <cellStyle name="Normal 82 5 3 2" xfId="38293" xr:uid="{00000000-0005-0000-0000-0000CDCE0000}"/>
    <cellStyle name="Normal 82 5 4" xfId="38294" xr:uid="{00000000-0005-0000-0000-0000CECE0000}"/>
    <cellStyle name="Normal 82 6" xfId="38295" xr:uid="{00000000-0005-0000-0000-0000CFCE0000}"/>
    <cellStyle name="Normal 82 6 2" xfId="38296" xr:uid="{00000000-0005-0000-0000-0000D0CE0000}"/>
    <cellStyle name="Normal 82 6 2 2" xfId="38297" xr:uid="{00000000-0005-0000-0000-0000D1CE0000}"/>
    <cellStyle name="Normal 82 6 3" xfId="38298" xr:uid="{00000000-0005-0000-0000-0000D2CE0000}"/>
    <cellStyle name="Normal 82 6 3 2" xfId="38299" xr:uid="{00000000-0005-0000-0000-0000D3CE0000}"/>
    <cellStyle name="Normal 82 6 4" xfId="38300" xr:uid="{00000000-0005-0000-0000-0000D4CE0000}"/>
    <cellStyle name="Normal 82 7" xfId="38301" xr:uid="{00000000-0005-0000-0000-0000D5CE0000}"/>
    <cellStyle name="Normal 82 7 2" xfId="38302" xr:uid="{00000000-0005-0000-0000-0000D6CE0000}"/>
    <cellStyle name="Normal 82 7 2 2" xfId="38303" xr:uid="{00000000-0005-0000-0000-0000D7CE0000}"/>
    <cellStyle name="Normal 82 7 3" xfId="38304" xr:uid="{00000000-0005-0000-0000-0000D8CE0000}"/>
    <cellStyle name="Normal 82 7 3 2" xfId="38305" xr:uid="{00000000-0005-0000-0000-0000D9CE0000}"/>
    <cellStyle name="Normal 82 7 4" xfId="38306" xr:uid="{00000000-0005-0000-0000-0000DACE0000}"/>
    <cellStyle name="Normal 82 8" xfId="38307" xr:uid="{00000000-0005-0000-0000-0000DBCE0000}"/>
    <cellStyle name="Normal 82 8 2" xfId="38308" xr:uid="{00000000-0005-0000-0000-0000DCCE0000}"/>
    <cellStyle name="Normal 82 8 2 2" xfId="38309" xr:uid="{00000000-0005-0000-0000-0000DDCE0000}"/>
    <cellStyle name="Normal 82 8 3" xfId="38310" xr:uid="{00000000-0005-0000-0000-0000DECE0000}"/>
    <cellStyle name="Normal 82 8 3 2" xfId="38311" xr:uid="{00000000-0005-0000-0000-0000DFCE0000}"/>
    <cellStyle name="Normal 82 8 4" xfId="38312" xr:uid="{00000000-0005-0000-0000-0000E0CE0000}"/>
    <cellStyle name="Normal 82 9" xfId="38313" xr:uid="{00000000-0005-0000-0000-0000E1CE0000}"/>
    <cellStyle name="Normal 82 9 2" xfId="38314" xr:uid="{00000000-0005-0000-0000-0000E2CE0000}"/>
    <cellStyle name="Normal 82 9 2 2" xfId="38315" xr:uid="{00000000-0005-0000-0000-0000E3CE0000}"/>
    <cellStyle name="Normal 82 9 3" xfId="38316" xr:uid="{00000000-0005-0000-0000-0000E4CE0000}"/>
    <cellStyle name="Normal 83" xfId="38317" xr:uid="{00000000-0005-0000-0000-0000E5CE0000}"/>
    <cellStyle name="Normal 83 10" xfId="38318" xr:uid="{00000000-0005-0000-0000-0000E6CE0000}"/>
    <cellStyle name="Normal 83 10 2" xfId="38319" xr:uid="{00000000-0005-0000-0000-0000E7CE0000}"/>
    <cellStyle name="Normal 83 11" xfId="38320" xr:uid="{00000000-0005-0000-0000-0000E8CE0000}"/>
    <cellStyle name="Normal 83 11 2" xfId="38321" xr:uid="{00000000-0005-0000-0000-0000E9CE0000}"/>
    <cellStyle name="Normal 83 12" xfId="38322" xr:uid="{00000000-0005-0000-0000-0000EACE0000}"/>
    <cellStyle name="Normal 83 13" xfId="38323" xr:uid="{00000000-0005-0000-0000-0000EBCE0000}"/>
    <cellStyle name="Normal 83 2" xfId="38324" xr:uid="{00000000-0005-0000-0000-0000ECCE0000}"/>
    <cellStyle name="Normal 83 2 10" xfId="38325" xr:uid="{00000000-0005-0000-0000-0000EDCE0000}"/>
    <cellStyle name="Normal 83 2 10 2" xfId="38326" xr:uid="{00000000-0005-0000-0000-0000EECE0000}"/>
    <cellStyle name="Normal 83 2 11" xfId="38327" xr:uid="{00000000-0005-0000-0000-0000EFCE0000}"/>
    <cellStyle name="Normal 83 2 2" xfId="38328" xr:uid="{00000000-0005-0000-0000-0000F0CE0000}"/>
    <cellStyle name="Normal 83 2 2 2" xfId="38329" xr:uid="{00000000-0005-0000-0000-0000F1CE0000}"/>
    <cellStyle name="Normal 83 2 2 2 2" xfId="38330" xr:uid="{00000000-0005-0000-0000-0000F2CE0000}"/>
    <cellStyle name="Normal 83 2 2 2 2 2" xfId="38331" xr:uid="{00000000-0005-0000-0000-0000F3CE0000}"/>
    <cellStyle name="Normal 83 2 2 2 3" xfId="38332" xr:uid="{00000000-0005-0000-0000-0000F4CE0000}"/>
    <cellStyle name="Normal 83 2 2 2 3 2" xfId="38333" xr:uid="{00000000-0005-0000-0000-0000F5CE0000}"/>
    <cellStyle name="Normal 83 2 2 2 4" xfId="38334" xr:uid="{00000000-0005-0000-0000-0000F6CE0000}"/>
    <cellStyle name="Normal 83 2 2 3" xfId="38335" xr:uid="{00000000-0005-0000-0000-0000F7CE0000}"/>
    <cellStyle name="Normal 83 2 2 3 2" xfId="38336" xr:uid="{00000000-0005-0000-0000-0000F8CE0000}"/>
    <cellStyle name="Normal 83 2 2 3 2 2" xfId="38337" xr:uid="{00000000-0005-0000-0000-0000F9CE0000}"/>
    <cellStyle name="Normal 83 2 2 3 3" xfId="38338" xr:uid="{00000000-0005-0000-0000-0000FACE0000}"/>
    <cellStyle name="Normal 83 2 2 3 3 2" xfId="38339" xr:uid="{00000000-0005-0000-0000-0000FBCE0000}"/>
    <cellStyle name="Normal 83 2 2 3 4" xfId="38340" xr:uid="{00000000-0005-0000-0000-0000FCCE0000}"/>
    <cellStyle name="Normal 83 2 2 4" xfId="38341" xr:uid="{00000000-0005-0000-0000-0000FDCE0000}"/>
    <cellStyle name="Normal 83 2 2 4 2" xfId="38342" xr:uid="{00000000-0005-0000-0000-0000FECE0000}"/>
    <cellStyle name="Normal 83 2 2 5" xfId="38343" xr:uid="{00000000-0005-0000-0000-0000FFCE0000}"/>
    <cellStyle name="Normal 83 2 2 5 2" xfId="38344" xr:uid="{00000000-0005-0000-0000-000000CF0000}"/>
    <cellStyle name="Normal 83 2 2 6" xfId="38345" xr:uid="{00000000-0005-0000-0000-000001CF0000}"/>
    <cellStyle name="Normal 83 2 3" xfId="38346" xr:uid="{00000000-0005-0000-0000-000002CF0000}"/>
    <cellStyle name="Normal 83 2 3 2" xfId="38347" xr:uid="{00000000-0005-0000-0000-000003CF0000}"/>
    <cellStyle name="Normal 83 2 3 2 2" xfId="38348" xr:uid="{00000000-0005-0000-0000-000004CF0000}"/>
    <cellStyle name="Normal 83 2 3 3" xfId="38349" xr:uid="{00000000-0005-0000-0000-000005CF0000}"/>
    <cellStyle name="Normal 83 2 3 3 2" xfId="38350" xr:uid="{00000000-0005-0000-0000-000006CF0000}"/>
    <cellStyle name="Normal 83 2 3 4" xfId="38351" xr:uid="{00000000-0005-0000-0000-000007CF0000}"/>
    <cellStyle name="Normal 83 2 4" xfId="38352" xr:uid="{00000000-0005-0000-0000-000008CF0000}"/>
    <cellStyle name="Normal 83 2 4 2" xfId="38353" xr:uid="{00000000-0005-0000-0000-000009CF0000}"/>
    <cellStyle name="Normal 83 2 4 2 2" xfId="38354" xr:uid="{00000000-0005-0000-0000-00000ACF0000}"/>
    <cellStyle name="Normal 83 2 4 3" xfId="38355" xr:uid="{00000000-0005-0000-0000-00000BCF0000}"/>
    <cellStyle name="Normal 83 2 4 3 2" xfId="38356" xr:uid="{00000000-0005-0000-0000-00000CCF0000}"/>
    <cellStyle name="Normal 83 2 4 4" xfId="38357" xr:uid="{00000000-0005-0000-0000-00000DCF0000}"/>
    <cellStyle name="Normal 83 2 5" xfId="38358" xr:uid="{00000000-0005-0000-0000-00000ECF0000}"/>
    <cellStyle name="Normal 83 2 5 2" xfId="38359" xr:uid="{00000000-0005-0000-0000-00000FCF0000}"/>
    <cellStyle name="Normal 83 2 5 2 2" xfId="38360" xr:uid="{00000000-0005-0000-0000-000010CF0000}"/>
    <cellStyle name="Normal 83 2 5 3" xfId="38361" xr:uid="{00000000-0005-0000-0000-000011CF0000}"/>
    <cellStyle name="Normal 83 2 5 3 2" xfId="38362" xr:uid="{00000000-0005-0000-0000-000012CF0000}"/>
    <cellStyle name="Normal 83 2 5 4" xfId="38363" xr:uid="{00000000-0005-0000-0000-000013CF0000}"/>
    <cellStyle name="Normal 83 2 6" xfId="38364" xr:uid="{00000000-0005-0000-0000-000014CF0000}"/>
    <cellStyle name="Normal 83 2 6 2" xfId="38365" xr:uid="{00000000-0005-0000-0000-000015CF0000}"/>
    <cellStyle name="Normal 83 2 6 2 2" xfId="38366" xr:uid="{00000000-0005-0000-0000-000016CF0000}"/>
    <cellStyle name="Normal 83 2 6 3" xfId="38367" xr:uid="{00000000-0005-0000-0000-000017CF0000}"/>
    <cellStyle name="Normal 83 2 6 3 2" xfId="38368" xr:uid="{00000000-0005-0000-0000-000018CF0000}"/>
    <cellStyle name="Normal 83 2 6 4" xfId="38369" xr:uid="{00000000-0005-0000-0000-000019CF0000}"/>
    <cellStyle name="Normal 83 2 7" xfId="38370" xr:uid="{00000000-0005-0000-0000-00001ACF0000}"/>
    <cellStyle name="Normal 83 2 7 2" xfId="38371" xr:uid="{00000000-0005-0000-0000-00001BCF0000}"/>
    <cellStyle name="Normal 83 2 7 2 2" xfId="38372" xr:uid="{00000000-0005-0000-0000-00001CCF0000}"/>
    <cellStyle name="Normal 83 2 7 3" xfId="38373" xr:uid="{00000000-0005-0000-0000-00001DCF0000}"/>
    <cellStyle name="Normal 83 2 7 3 2" xfId="38374" xr:uid="{00000000-0005-0000-0000-00001ECF0000}"/>
    <cellStyle name="Normal 83 2 7 4" xfId="38375" xr:uid="{00000000-0005-0000-0000-00001FCF0000}"/>
    <cellStyle name="Normal 83 2 8" xfId="38376" xr:uid="{00000000-0005-0000-0000-000020CF0000}"/>
    <cellStyle name="Normal 83 2 8 2" xfId="38377" xr:uid="{00000000-0005-0000-0000-000021CF0000}"/>
    <cellStyle name="Normal 83 2 8 2 2" xfId="38378" xr:uid="{00000000-0005-0000-0000-000022CF0000}"/>
    <cellStyle name="Normal 83 2 8 3" xfId="38379" xr:uid="{00000000-0005-0000-0000-000023CF0000}"/>
    <cellStyle name="Normal 83 2 9" xfId="38380" xr:uid="{00000000-0005-0000-0000-000024CF0000}"/>
    <cellStyle name="Normal 83 2 9 2" xfId="38381" xr:uid="{00000000-0005-0000-0000-000025CF0000}"/>
    <cellStyle name="Normal 83 3" xfId="38382" xr:uid="{00000000-0005-0000-0000-000026CF0000}"/>
    <cellStyle name="Normal 83 3 2" xfId="38383" xr:uid="{00000000-0005-0000-0000-000027CF0000}"/>
    <cellStyle name="Normal 83 3 2 2" xfId="38384" xr:uid="{00000000-0005-0000-0000-000028CF0000}"/>
    <cellStyle name="Normal 83 3 2 2 2" xfId="38385" xr:uid="{00000000-0005-0000-0000-000029CF0000}"/>
    <cellStyle name="Normal 83 3 2 3" xfId="38386" xr:uid="{00000000-0005-0000-0000-00002ACF0000}"/>
    <cellStyle name="Normal 83 3 2 3 2" xfId="38387" xr:uid="{00000000-0005-0000-0000-00002BCF0000}"/>
    <cellStyle name="Normal 83 3 2 4" xfId="38388" xr:uid="{00000000-0005-0000-0000-00002CCF0000}"/>
    <cellStyle name="Normal 83 3 3" xfId="38389" xr:uid="{00000000-0005-0000-0000-00002DCF0000}"/>
    <cellStyle name="Normal 83 3 3 2" xfId="38390" xr:uid="{00000000-0005-0000-0000-00002ECF0000}"/>
    <cellStyle name="Normal 83 3 3 2 2" xfId="38391" xr:uid="{00000000-0005-0000-0000-00002FCF0000}"/>
    <cellStyle name="Normal 83 3 3 3" xfId="38392" xr:uid="{00000000-0005-0000-0000-000030CF0000}"/>
    <cellStyle name="Normal 83 3 3 3 2" xfId="38393" xr:uid="{00000000-0005-0000-0000-000031CF0000}"/>
    <cellStyle name="Normal 83 3 3 4" xfId="38394" xr:uid="{00000000-0005-0000-0000-000032CF0000}"/>
    <cellStyle name="Normal 83 3 4" xfId="38395" xr:uid="{00000000-0005-0000-0000-000033CF0000}"/>
    <cellStyle name="Normal 83 3 4 2" xfId="38396" xr:uid="{00000000-0005-0000-0000-000034CF0000}"/>
    <cellStyle name="Normal 83 3 5" xfId="38397" xr:uid="{00000000-0005-0000-0000-000035CF0000}"/>
    <cellStyle name="Normal 83 3 5 2" xfId="38398" xr:uid="{00000000-0005-0000-0000-000036CF0000}"/>
    <cellStyle name="Normal 83 3 6" xfId="38399" xr:uid="{00000000-0005-0000-0000-000037CF0000}"/>
    <cellStyle name="Normal 83 4" xfId="38400" xr:uid="{00000000-0005-0000-0000-000038CF0000}"/>
    <cellStyle name="Normal 83 4 2" xfId="38401" xr:uid="{00000000-0005-0000-0000-000039CF0000}"/>
    <cellStyle name="Normal 83 4 2 2" xfId="38402" xr:uid="{00000000-0005-0000-0000-00003ACF0000}"/>
    <cellStyle name="Normal 83 4 3" xfId="38403" xr:uid="{00000000-0005-0000-0000-00003BCF0000}"/>
    <cellStyle name="Normal 83 4 3 2" xfId="38404" xr:uid="{00000000-0005-0000-0000-00003CCF0000}"/>
    <cellStyle name="Normal 83 4 4" xfId="38405" xr:uid="{00000000-0005-0000-0000-00003DCF0000}"/>
    <cellStyle name="Normal 83 5" xfId="38406" xr:uid="{00000000-0005-0000-0000-00003ECF0000}"/>
    <cellStyle name="Normal 83 5 2" xfId="38407" xr:uid="{00000000-0005-0000-0000-00003FCF0000}"/>
    <cellStyle name="Normal 83 5 2 2" xfId="38408" xr:uid="{00000000-0005-0000-0000-000040CF0000}"/>
    <cellStyle name="Normal 83 5 3" xfId="38409" xr:uid="{00000000-0005-0000-0000-000041CF0000}"/>
    <cellStyle name="Normal 83 5 3 2" xfId="38410" xr:uid="{00000000-0005-0000-0000-000042CF0000}"/>
    <cellStyle name="Normal 83 5 4" xfId="38411" xr:uid="{00000000-0005-0000-0000-000043CF0000}"/>
    <cellStyle name="Normal 83 6" xfId="38412" xr:uid="{00000000-0005-0000-0000-000044CF0000}"/>
    <cellStyle name="Normal 83 6 2" xfId="38413" xr:uid="{00000000-0005-0000-0000-000045CF0000}"/>
    <cellStyle name="Normal 83 6 2 2" xfId="38414" xr:uid="{00000000-0005-0000-0000-000046CF0000}"/>
    <cellStyle name="Normal 83 6 3" xfId="38415" xr:uid="{00000000-0005-0000-0000-000047CF0000}"/>
    <cellStyle name="Normal 83 6 3 2" xfId="38416" xr:uid="{00000000-0005-0000-0000-000048CF0000}"/>
    <cellStyle name="Normal 83 6 4" xfId="38417" xr:uid="{00000000-0005-0000-0000-000049CF0000}"/>
    <cellStyle name="Normal 83 7" xfId="38418" xr:uid="{00000000-0005-0000-0000-00004ACF0000}"/>
    <cellStyle name="Normal 83 7 2" xfId="38419" xr:uid="{00000000-0005-0000-0000-00004BCF0000}"/>
    <cellStyle name="Normal 83 7 2 2" xfId="38420" xr:uid="{00000000-0005-0000-0000-00004CCF0000}"/>
    <cellStyle name="Normal 83 7 3" xfId="38421" xr:uid="{00000000-0005-0000-0000-00004DCF0000}"/>
    <cellStyle name="Normal 83 7 3 2" xfId="38422" xr:uid="{00000000-0005-0000-0000-00004ECF0000}"/>
    <cellStyle name="Normal 83 7 4" xfId="38423" xr:uid="{00000000-0005-0000-0000-00004FCF0000}"/>
    <cellStyle name="Normal 83 8" xfId="38424" xr:uid="{00000000-0005-0000-0000-000050CF0000}"/>
    <cellStyle name="Normal 83 8 2" xfId="38425" xr:uid="{00000000-0005-0000-0000-000051CF0000}"/>
    <cellStyle name="Normal 83 8 2 2" xfId="38426" xr:uid="{00000000-0005-0000-0000-000052CF0000}"/>
    <cellStyle name="Normal 83 8 3" xfId="38427" xr:uid="{00000000-0005-0000-0000-000053CF0000}"/>
    <cellStyle name="Normal 83 8 3 2" xfId="38428" xr:uid="{00000000-0005-0000-0000-000054CF0000}"/>
    <cellStyle name="Normal 83 8 4" xfId="38429" xr:uid="{00000000-0005-0000-0000-000055CF0000}"/>
    <cellStyle name="Normal 83 9" xfId="38430" xr:uid="{00000000-0005-0000-0000-000056CF0000}"/>
    <cellStyle name="Normal 83 9 2" xfId="38431" xr:uid="{00000000-0005-0000-0000-000057CF0000}"/>
    <cellStyle name="Normal 83 9 2 2" xfId="38432" xr:uid="{00000000-0005-0000-0000-000058CF0000}"/>
    <cellStyle name="Normal 83 9 3" xfId="38433" xr:uid="{00000000-0005-0000-0000-000059CF0000}"/>
    <cellStyle name="Normal 84" xfId="38434" xr:uid="{00000000-0005-0000-0000-00005ACF0000}"/>
    <cellStyle name="Normal 84 10" xfId="38435" xr:uid="{00000000-0005-0000-0000-00005BCF0000}"/>
    <cellStyle name="Normal 84 10 2" xfId="38436" xr:uid="{00000000-0005-0000-0000-00005CCF0000}"/>
    <cellStyle name="Normal 84 11" xfId="38437" xr:uid="{00000000-0005-0000-0000-00005DCF0000}"/>
    <cellStyle name="Normal 84 11 2" xfId="38438" xr:uid="{00000000-0005-0000-0000-00005ECF0000}"/>
    <cellStyle name="Normal 84 12" xfId="38439" xr:uid="{00000000-0005-0000-0000-00005FCF0000}"/>
    <cellStyle name="Normal 84 13" xfId="38440" xr:uid="{00000000-0005-0000-0000-000060CF0000}"/>
    <cellStyle name="Normal 84 2" xfId="38441" xr:uid="{00000000-0005-0000-0000-000061CF0000}"/>
    <cellStyle name="Normal 84 2 10" xfId="38442" xr:uid="{00000000-0005-0000-0000-000062CF0000}"/>
    <cellStyle name="Normal 84 2 10 2" xfId="38443" xr:uid="{00000000-0005-0000-0000-000063CF0000}"/>
    <cellStyle name="Normal 84 2 11" xfId="38444" xr:uid="{00000000-0005-0000-0000-000064CF0000}"/>
    <cellStyle name="Normal 84 2 2" xfId="38445" xr:uid="{00000000-0005-0000-0000-000065CF0000}"/>
    <cellStyle name="Normal 84 2 2 2" xfId="38446" xr:uid="{00000000-0005-0000-0000-000066CF0000}"/>
    <cellStyle name="Normal 84 2 2 2 2" xfId="38447" xr:uid="{00000000-0005-0000-0000-000067CF0000}"/>
    <cellStyle name="Normal 84 2 2 2 2 2" xfId="38448" xr:uid="{00000000-0005-0000-0000-000068CF0000}"/>
    <cellStyle name="Normal 84 2 2 2 3" xfId="38449" xr:uid="{00000000-0005-0000-0000-000069CF0000}"/>
    <cellStyle name="Normal 84 2 2 2 3 2" xfId="38450" xr:uid="{00000000-0005-0000-0000-00006ACF0000}"/>
    <cellStyle name="Normal 84 2 2 2 4" xfId="38451" xr:uid="{00000000-0005-0000-0000-00006BCF0000}"/>
    <cellStyle name="Normal 84 2 2 3" xfId="38452" xr:uid="{00000000-0005-0000-0000-00006CCF0000}"/>
    <cellStyle name="Normal 84 2 2 3 2" xfId="38453" xr:uid="{00000000-0005-0000-0000-00006DCF0000}"/>
    <cellStyle name="Normal 84 2 2 3 2 2" xfId="38454" xr:uid="{00000000-0005-0000-0000-00006ECF0000}"/>
    <cellStyle name="Normal 84 2 2 3 3" xfId="38455" xr:uid="{00000000-0005-0000-0000-00006FCF0000}"/>
    <cellStyle name="Normal 84 2 2 3 3 2" xfId="38456" xr:uid="{00000000-0005-0000-0000-000070CF0000}"/>
    <cellStyle name="Normal 84 2 2 3 4" xfId="38457" xr:uid="{00000000-0005-0000-0000-000071CF0000}"/>
    <cellStyle name="Normal 84 2 2 4" xfId="38458" xr:uid="{00000000-0005-0000-0000-000072CF0000}"/>
    <cellStyle name="Normal 84 2 2 4 2" xfId="38459" xr:uid="{00000000-0005-0000-0000-000073CF0000}"/>
    <cellStyle name="Normal 84 2 2 5" xfId="38460" xr:uid="{00000000-0005-0000-0000-000074CF0000}"/>
    <cellStyle name="Normal 84 2 2 5 2" xfId="38461" xr:uid="{00000000-0005-0000-0000-000075CF0000}"/>
    <cellStyle name="Normal 84 2 2 6" xfId="38462" xr:uid="{00000000-0005-0000-0000-000076CF0000}"/>
    <cellStyle name="Normal 84 2 3" xfId="38463" xr:uid="{00000000-0005-0000-0000-000077CF0000}"/>
    <cellStyle name="Normal 84 2 3 2" xfId="38464" xr:uid="{00000000-0005-0000-0000-000078CF0000}"/>
    <cellStyle name="Normal 84 2 3 2 2" xfId="38465" xr:uid="{00000000-0005-0000-0000-000079CF0000}"/>
    <cellStyle name="Normal 84 2 3 3" xfId="38466" xr:uid="{00000000-0005-0000-0000-00007ACF0000}"/>
    <cellStyle name="Normal 84 2 3 3 2" xfId="38467" xr:uid="{00000000-0005-0000-0000-00007BCF0000}"/>
    <cellStyle name="Normal 84 2 3 4" xfId="38468" xr:uid="{00000000-0005-0000-0000-00007CCF0000}"/>
    <cellStyle name="Normal 84 2 4" xfId="38469" xr:uid="{00000000-0005-0000-0000-00007DCF0000}"/>
    <cellStyle name="Normal 84 2 4 2" xfId="38470" xr:uid="{00000000-0005-0000-0000-00007ECF0000}"/>
    <cellStyle name="Normal 84 2 4 2 2" xfId="38471" xr:uid="{00000000-0005-0000-0000-00007FCF0000}"/>
    <cellStyle name="Normal 84 2 4 3" xfId="38472" xr:uid="{00000000-0005-0000-0000-000080CF0000}"/>
    <cellStyle name="Normal 84 2 4 3 2" xfId="38473" xr:uid="{00000000-0005-0000-0000-000081CF0000}"/>
    <cellStyle name="Normal 84 2 4 4" xfId="38474" xr:uid="{00000000-0005-0000-0000-000082CF0000}"/>
    <cellStyle name="Normal 84 2 5" xfId="38475" xr:uid="{00000000-0005-0000-0000-000083CF0000}"/>
    <cellStyle name="Normal 84 2 5 2" xfId="38476" xr:uid="{00000000-0005-0000-0000-000084CF0000}"/>
    <cellStyle name="Normal 84 2 5 2 2" xfId="38477" xr:uid="{00000000-0005-0000-0000-000085CF0000}"/>
    <cellStyle name="Normal 84 2 5 3" xfId="38478" xr:uid="{00000000-0005-0000-0000-000086CF0000}"/>
    <cellStyle name="Normal 84 2 5 3 2" xfId="38479" xr:uid="{00000000-0005-0000-0000-000087CF0000}"/>
    <cellStyle name="Normal 84 2 5 4" xfId="38480" xr:uid="{00000000-0005-0000-0000-000088CF0000}"/>
    <cellStyle name="Normal 84 2 6" xfId="38481" xr:uid="{00000000-0005-0000-0000-000089CF0000}"/>
    <cellStyle name="Normal 84 2 6 2" xfId="38482" xr:uid="{00000000-0005-0000-0000-00008ACF0000}"/>
    <cellStyle name="Normal 84 2 6 2 2" xfId="38483" xr:uid="{00000000-0005-0000-0000-00008BCF0000}"/>
    <cellStyle name="Normal 84 2 6 3" xfId="38484" xr:uid="{00000000-0005-0000-0000-00008CCF0000}"/>
    <cellStyle name="Normal 84 2 6 3 2" xfId="38485" xr:uid="{00000000-0005-0000-0000-00008DCF0000}"/>
    <cellStyle name="Normal 84 2 6 4" xfId="38486" xr:uid="{00000000-0005-0000-0000-00008ECF0000}"/>
    <cellStyle name="Normal 84 2 7" xfId="38487" xr:uid="{00000000-0005-0000-0000-00008FCF0000}"/>
    <cellStyle name="Normal 84 2 7 2" xfId="38488" xr:uid="{00000000-0005-0000-0000-000090CF0000}"/>
    <cellStyle name="Normal 84 2 7 2 2" xfId="38489" xr:uid="{00000000-0005-0000-0000-000091CF0000}"/>
    <cellStyle name="Normal 84 2 7 3" xfId="38490" xr:uid="{00000000-0005-0000-0000-000092CF0000}"/>
    <cellStyle name="Normal 84 2 7 3 2" xfId="38491" xr:uid="{00000000-0005-0000-0000-000093CF0000}"/>
    <cellStyle name="Normal 84 2 7 4" xfId="38492" xr:uid="{00000000-0005-0000-0000-000094CF0000}"/>
    <cellStyle name="Normal 84 2 8" xfId="38493" xr:uid="{00000000-0005-0000-0000-000095CF0000}"/>
    <cellStyle name="Normal 84 2 8 2" xfId="38494" xr:uid="{00000000-0005-0000-0000-000096CF0000}"/>
    <cellStyle name="Normal 84 2 8 2 2" xfId="38495" xr:uid="{00000000-0005-0000-0000-000097CF0000}"/>
    <cellStyle name="Normal 84 2 8 3" xfId="38496" xr:uid="{00000000-0005-0000-0000-000098CF0000}"/>
    <cellStyle name="Normal 84 2 9" xfId="38497" xr:uid="{00000000-0005-0000-0000-000099CF0000}"/>
    <cellStyle name="Normal 84 2 9 2" xfId="38498" xr:uid="{00000000-0005-0000-0000-00009ACF0000}"/>
    <cellStyle name="Normal 84 3" xfId="38499" xr:uid="{00000000-0005-0000-0000-00009BCF0000}"/>
    <cellStyle name="Normal 84 3 2" xfId="38500" xr:uid="{00000000-0005-0000-0000-00009CCF0000}"/>
    <cellStyle name="Normal 84 3 2 2" xfId="38501" xr:uid="{00000000-0005-0000-0000-00009DCF0000}"/>
    <cellStyle name="Normal 84 3 2 2 2" xfId="38502" xr:uid="{00000000-0005-0000-0000-00009ECF0000}"/>
    <cellStyle name="Normal 84 3 2 3" xfId="38503" xr:uid="{00000000-0005-0000-0000-00009FCF0000}"/>
    <cellStyle name="Normal 84 3 2 3 2" xfId="38504" xr:uid="{00000000-0005-0000-0000-0000A0CF0000}"/>
    <cellStyle name="Normal 84 3 2 4" xfId="38505" xr:uid="{00000000-0005-0000-0000-0000A1CF0000}"/>
    <cellStyle name="Normal 84 3 3" xfId="38506" xr:uid="{00000000-0005-0000-0000-0000A2CF0000}"/>
    <cellStyle name="Normal 84 3 3 2" xfId="38507" xr:uid="{00000000-0005-0000-0000-0000A3CF0000}"/>
    <cellStyle name="Normal 84 3 3 2 2" xfId="38508" xr:uid="{00000000-0005-0000-0000-0000A4CF0000}"/>
    <cellStyle name="Normal 84 3 3 3" xfId="38509" xr:uid="{00000000-0005-0000-0000-0000A5CF0000}"/>
    <cellStyle name="Normal 84 3 3 3 2" xfId="38510" xr:uid="{00000000-0005-0000-0000-0000A6CF0000}"/>
    <cellStyle name="Normal 84 3 3 4" xfId="38511" xr:uid="{00000000-0005-0000-0000-0000A7CF0000}"/>
    <cellStyle name="Normal 84 3 4" xfId="38512" xr:uid="{00000000-0005-0000-0000-0000A8CF0000}"/>
    <cellStyle name="Normal 84 3 4 2" xfId="38513" xr:uid="{00000000-0005-0000-0000-0000A9CF0000}"/>
    <cellStyle name="Normal 84 3 5" xfId="38514" xr:uid="{00000000-0005-0000-0000-0000AACF0000}"/>
    <cellStyle name="Normal 84 3 5 2" xfId="38515" xr:uid="{00000000-0005-0000-0000-0000ABCF0000}"/>
    <cellStyle name="Normal 84 3 6" xfId="38516" xr:uid="{00000000-0005-0000-0000-0000ACCF0000}"/>
    <cellStyle name="Normal 84 4" xfId="38517" xr:uid="{00000000-0005-0000-0000-0000ADCF0000}"/>
    <cellStyle name="Normal 84 4 2" xfId="38518" xr:uid="{00000000-0005-0000-0000-0000AECF0000}"/>
    <cellStyle name="Normal 84 4 2 2" xfId="38519" xr:uid="{00000000-0005-0000-0000-0000AFCF0000}"/>
    <cellStyle name="Normal 84 4 3" xfId="38520" xr:uid="{00000000-0005-0000-0000-0000B0CF0000}"/>
    <cellStyle name="Normal 84 4 3 2" xfId="38521" xr:uid="{00000000-0005-0000-0000-0000B1CF0000}"/>
    <cellStyle name="Normal 84 4 4" xfId="38522" xr:uid="{00000000-0005-0000-0000-0000B2CF0000}"/>
    <cellStyle name="Normal 84 5" xfId="38523" xr:uid="{00000000-0005-0000-0000-0000B3CF0000}"/>
    <cellStyle name="Normal 84 5 2" xfId="38524" xr:uid="{00000000-0005-0000-0000-0000B4CF0000}"/>
    <cellStyle name="Normal 84 5 2 2" xfId="38525" xr:uid="{00000000-0005-0000-0000-0000B5CF0000}"/>
    <cellStyle name="Normal 84 5 3" xfId="38526" xr:uid="{00000000-0005-0000-0000-0000B6CF0000}"/>
    <cellStyle name="Normal 84 5 3 2" xfId="38527" xr:uid="{00000000-0005-0000-0000-0000B7CF0000}"/>
    <cellStyle name="Normal 84 5 4" xfId="38528" xr:uid="{00000000-0005-0000-0000-0000B8CF0000}"/>
    <cellStyle name="Normal 84 6" xfId="38529" xr:uid="{00000000-0005-0000-0000-0000B9CF0000}"/>
    <cellStyle name="Normal 84 6 2" xfId="38530" xr:uid="{00000000-0005-0000-0000-0000BACF0000}"/>
    <cellStyle name="Normal 84 6 2 2" xfId="38531" xr:uid="{00000000-0005-0000-0000-0000BBCF0000}"/>
    <cellStyle name="Normal 84 6 3" xfId="38532" xr:uid="{00000000-0005-0000-0000-0000BCCF0000}"/>
    <cellStyle name="Normal 84 6 3 2" xfId="38533" xr:uid="{00000000-0005-0000-0000-0000BDCF0000}"/>
    <cellStyle name="Normal 84 6 4" xfId="38534" xr:uid="{00000000-0005-0000-0000-0000BECF0000}"/>
    <cellStyle name="Normal 84 7" xfId="38535" xr:uid="{00000000-0005-0000-0000-0000BFCF0000}"/>
    <cellStyle name="Normal 84 7 2" xfId="38536" xr:uid="{00000000-0005-0000-0000-0000C0CF0000}"/>
    <cellStyle name="Normal 84 7 2 2" xfId="38537" xr:uid="{00000000-0005-0000-0000-0000C1CF0000}"/>
    <cellStyle name="Normal 84 7 3" xfId="38538" xr:uid="{00000000-0005-0000-0000-0000C2CF0000}"/>
    <cellStyle name="Normal 84 7 3 2" xfId="38539" xr:uid="{00000000-0005-0000-0000-0000C3CF0000}"/>
    <cellStyle name="Normal 84 7 4" xfId="38540" xr:uid="{00000000-0005-0000-0000-0000C4CF0000}"/>
    <cellStyle name="Normal 84 8" xfId="38541" xr:uid="{00000000-0005-0000-0000-0000C5CF0000}"/>
    <cellStyle name="Normal 84 8 2" xfId="38542" xr:uid="{00000000-0005-0000-0000-0000C6CF0000}"/>
    <cellStyle name="Normal 84 8 2 2" xfId="38543" xr:uid="{00000000-0005-0000-0000-0000C7CF0000}"/>
    <cellStyle name="Normal 84 8 3" xfId="38544" xr:uid="{00000000-0005-0000-0000-0000C8CF0000}"/>
    <cellStyle name="Normal 84 8 3 2" xfId="38545" xr:uid="{00000000-0005-0000-0000-0000C9CF0000}"/>
    <cellStyle name="Normal 84 8 4" xfId="38546" xr:uid="{00000000-0005-0000-0000-0000CACF0000}"/>
    <cellStyle name="Normal 84 9" xfId="38547" xr:uid="{00000000-0005-0000-0000-0000CBCF0000}"/>
    <cellStyle name="Normal 84 9 2" xfId="38548" xr:uid="{00000000-0005-0000-0000-0000CCCF0000}"/>
    <cellStyle name="Normal 84 9 2 2" xfId="38549" xr:uid="{00000000-0005-0000-0000-0000CDCF0000}"/>
    <cellStyle name="Normal 84 9 3" xfId="38550" xr:uid="{00000000-0005-0000-0000-0000CECF0000}"/>
    <cellStyle name="Normal 85" xfId="38551" xr:uid="{00000000-0005-0000-0000-0000CFCF0000}"/>
    <cellStyle name="Normal 85 10" xfId="38552" xr:uid="{00000000-0005-0000-0000-0000D0CF0000}"/>
    <cellStyle name="Normal 85 10 2" xfId="38553" xr:uid="{00000000-0005-0000-0000-0000D1CF0000}"/>
    <cellStyle name="Normal 85 11" xfId="38554" xr:uid="{00000000-0005-0000-0000-0000D2CF0000}"/>
    <cellStyle name="Normal 85 11 2" xfId="38555" xr:uid="{00000000-0005-0000-0000-0000D3CF0000}"/>
    <cellStyle name="Normal 85 12" xfId="38556" xr:uid="{00000000-0005-0000-0000-0000D4CF0000}"/>
    <cellStyle name="Normal 85 13" xfId="38557" xr:uid="{00000000-0005-0000-0000-0000D5CF0000}"/>
    <cellStyle name="Normal 85 2" xfId="38558" xr:uid="{00000000-0005-0000-0000-0000D6CF0000}"/>
    <cellStyle name="Normal 85 2 10" xfId="38559" xr:uid="{00000000-0005-0000-0000-0000D7CF0000}"/>
    <cellStyle name="Normal 85 2 10 2" xfId="38560" xr:uid="{00000000-0005-0000-0000-0000D8CF0000}"/>
    <cellStyle name="Normal 85 2 11" xfId="38561" xr:uid="{00000000-0005-0000-0000-0000D9CF0000}"/>
    <cellStyle name="Normal 85 2 2" xfId="38562" xr:uid="{00000000-0005-0000-0000-0000DACF0000}"/>
    <cellStyle name="Normal 85 2 2 2" xfId="38563" xr:uid="{00000000-0005-0000-0000-0000DBCF0000}"/>
    <cellStyle name="Normal 85 2 2 2 2" xfId="38564" xr:uid="{00000000-0005-0000-0000-0000DCCF0000}"/>
    <cellStyle name="Normal 85 2 2 2 2 2" xfId="38565" xr:uid="{00000000-0005-0000-0000-0000DDCF0000}"/>
    <cellStyle name="Normal 85 2 2 2 3" xfId="38566" xr:uid="{00000000-0005-0000-0000-0000DECF0000}"/>
    <cellStyle name="Normal 85 2 2 2 3 2" xfId="38567" xr:uid="{00000000-0005-0000-0000-0000DFCF0000}"/>
    <cellStyle name="Normal 85 2 2 2 4" xfId="38568" xr:uid="{00000000-0005-0000-0000-0000E0CF0000}"/>
    <cellStyle name="Normal 85 2 2 3" xfId="38569" xr:uid="{00000000-0005-0000-0000-0000E1CF0000}"/>
    <cellStyle name="Normal 85 2 2 3 2" xfId="38570" xr:uid="{00000000-0005-0000-0000-0000E2CF0000}"/>
    <cellStyle name="Normal 85 2 2 3 2 2" xfId="38571" xr:uid="{00000000-0005-0000-0000-0000E3CF0000}"/>
    <cellStyle name="Normal 85 2 2 3 3" xfId="38572" xr:uid="{00000000-0005-0000-0000-0000E4CF0000}"/>
    <cellStyle name="Normal 85 2 2 3 3 2" xfId="38573" xr:uid="{00000000-0005-0000-0000-0000E5CF0000}"/>
    <cellStyle name="Normal 85 2 2 3 4" xfId="38574" xr:uid="{00000000-0005-0000-0000-0000E6CF0000}"/>
    <cellStyle name="Normal 85 2 2 4" xfId="38575" xr:uid="{00000000-0005-0000-0000-0000E7CF0000}"/>
    <cellStyle name="Normal 85 2 2 4 2" xfId="38576" xr:uid="{00000000-0005-0000-0000-0000E8CF0000}"/>
    <cellStyle name="Normal 85 2 2 5" xfId="38577" xr:uid="{00000000-0005-0000-0000-0000E9CF0000}"/>
    <cellStyle name="Normal 85 2 2 5 2" xfId="38578" xr:uid="{00000000-0005-0000-0000-0000EACF0000}"/>
    <cellStyle name="Normal 85 2 2 6" xfId="38579" xr:uid="{00000000-0005-0000-0000-0000EBCF0000}"/>
    <cellStyle name="Normal 85 2 3" xfId="38580" xr:uid="{00000000-0005-0000-0000-0000ECCF0000}"/>
    <cellStyle name="Normal 85 2 3 2" xfId="38581" xr:uid="{00000000-0005-0000-0000-0000EDCF0000}"/>
    <cellStyle name="Normal 85 2 3 2 2" xfId="38582" xr:uid="{00000000-0005-0000-0000-0000EECF0000}"/>
    <cellStyle name="Normal 85 2 3 3" xfId="38583" xr:uid="{00000000-0005-0000-0000-0000EFCF0000}"/>
    <cellStyle name="Normal 85 2 3 3 2" xfId="38584" xr:uid="{00000000-0005-0000-0000-0000F0CF0000}"/>
    <cellStyle name="Normal 85 2 3 4" xfId="38585" xr:uid="{00000000-0005-0000-0000-0000F1CF0000}"/>
    <cellStyle name="Normal 85 2 4" xfId="38586" xr:uid="{00000000-0005-0000-0000-0000F2CF0000}"/>
    <cellStyle name="Normal 85 2 4 2" xfId="38587" xr:uid="{00000000-0005-0000-0000-0000F3CF0000}"/>
    <cellStyle name="Normal 85 2 4 2 2" xfId="38588" xr:uid="{00000000-0005-0000-0000-0000F4CF0000}"/>
    <cellStyle name="Normal 85 2 4 3" xfId="38589" xr:uid="{00000000-0005-0000-0000-0000F5CF0000}"/>
    <cellStyle name="Normal 85 2 4 3 2" xfId="38590" xr:uid="{00000000-0005-0000-0000-0000F6CF0000}"/>
    <cellStyle name="Normal 85 2 4 4" xfId="38591" xr:uid="{00000000-0005-0000-0000-0000F7CF0000}"/>
    <cellStyle name="Normal 85 2 5" xfId="38592" xr:uid="{00000000-0005-0000-0000-0000F8CF0000}"/>
    <cellStyle name="Normal 85 2 5 2" xfId="38593" xr:uid="{00000000-0005-0000-0000-0000F9CF0000}"/>
    <cellStyle name="Normal 85 2 5 2 2" xfId="38594" xr:uid="{00000000-0005-0000-0000-0000FACF0000}"/>
    <cellStyle name="Normal 85 2 5 3" xfId="38595" xr:uid="{00000000-0005-0000-0000-0000FBCF0000}"/>
    <cellStyle name="Normal 85 2 5 3 2" xfId="38596" xr:uid="{00000000-0005-0000-0000-0000FCCF0000}"/>
    <cellStyle name="Normal 85 2 5 4" xfId="38597" xr:uid="{00000000-0005-0000-0000-0000FDCF0000}"/>
    <cellStyle name="Normal 85 2 6" xfId="38598" xr:uid="{00000000-0005-0000-0000-0000FECF0000}"/>
    <cellStyle name="Normal 85 2 6 2" xfId="38599" xr:uid="{00000000-0005-0000-0000-0000FFCF0000}"/>
    <cellStyle name="Normal 85 2 6 2 2" xfId="38600" xr:uid="{00000000-0005-0000-0000-000000D00000}"/>
    <cellStyle name="Normal 85 2 6 3" xfId="38601" xr:uid="{00000000-0005-0000-0000-000001D00000}"/>
    <cellStyle name="Normal 85 2 6 3 2" xfId="38602" xr:uid="{00000000-0005-0000-0000-000002D00000}"/>
    <cellStyle name="Normal 85 2 6 4" xfId="38603" xr:uid="{00000000-0005-0000-0000-000003D00000}"/>
    <cellStyle name="Normal 85 2 7" xfId="38604" xr:uid="{00000000-0005-0000-0000-000004D00000}"/>
    <cellStyle name="Normal 85 2 7 2" xfId="38605" xr:uid="{00000000-0005-0000-0000-000005D00000}"/>
    <cellStyle name="Normal 85 2 7 2 2" xfId="38606" xr:uid="{00000000-0005-0000-0000-000006D00000}"/>
    <cellStyle name="Normal 85 2 7 3" xfId="38607" xr:uid="{00000000-0005-0000-0000-000007D00000}"/>
    <cellStyle name="Normal 85 2 7 3 2" xfId="38608" xr:uid="{00000000-0005-0000-0000-000008D00000}"/>
    <cellStyle name="Normal 85 2 7 4" xfId="38609" xr:uid="{00000000-0005-0000-0000-000009D00000}"/>
    <cellStyle name="Normal 85 2 8" xfId="38610" xr:uid="{00000000-0005-0000-0000-00000AD00000}"/>
    <cellStyle name="Normal 85 2 8 2" xfId="38611" xr:uid="{00000000-0005-0000-0000-00000BD00000}"/>
    <cellStyle name="Normal 85 2 8 2 2" xfId="38612" xr:uid="{00000000-0005-0000-0000-00000CD00000}"/>
    <cellStyle name="Normal 85 2 8 3" xfId="38613" xr:uid="{00000000-0005-0000-0000-00000DD00000}"/>
    <cellStyle name="Normal 85 2 9" xfId="38614" xr:uid="{00000000-0005-0000-0000-00000ED00000}"/>
    <cellStyle name="Normal 85 2 9 2" xfId="38615" xr:uid="{00000000-0005-0000-0000-00000FD00000}"/>
    <cellStyle name="Normal 85 3" xfId="38616" xr:uid="{00000000-0005-0000-0000-000010D00000}"/>
    <cellStyle name="Normal 85 3 2" xfId="38617" xr:uid="{00000000-0005-0000-0000-000011D00000}"/>
    <cellStyle name="Normal 85 3 2 2" xfId="38618" xr:uid="{00000000-0005-0000-0000-000012D00000}"/>
    <cellStyle name="Normal 85 3 2 2 2" xfId="38619" xr:uid="{00000000-0005-0000-0000-000013D00000}"/>
    <cellStyle name="Normal 85 3 2 3" xfId="38620" xr:uid="{00000000-0005-0000-0000-000014D00000}"/>
    <cellStyle name="Normal 85 3 2 3 2" xfId="38621" xr:uid="{00000000-0005-0000-0000-000015D00000}"/>
    <cellStyle name="Normal 85 3 2 4" xfId="38622" xr:uid="{00000000-0005-0000-0000-000016D00000}"/>
    <cellStyle name="Normal 85 3 3" xfId="38623" xr:uid="{00000000-0005-0000-0000-000017D00000}"/>
    <cellStyle name="Normal 85 3 3 2" xfId="38624" xr:uid="{00000000-0005-0000-0000-000018D00000}"/>
    <cellStyle name="Normal 85 3 3 2 2" xfId="38625" xr:uid="{00000000-0005-0000-0000-000019D00000}"/>
    <cellStyle name="Normal 85 3 3 3" xfId="38626" xr:uid="{00000000-0005-0000-0000-00001AD00000}"/>
    <cellStyle name="Normal 85 3 3 3 2" xfId="38627" xr:uid="{00000000-0005-0000-0000-00001BD00000}"/>
    <cellStyle name="Normal 85 3 3 4" xfId="38628" xr:uid="{00000000-0005-0000-0000-00001CD00000}"/>
    <cellStyle name="Normal 85 3 4" xfId="38629" xr:uid="{00000000-0005-0000-0000-00001DD00000}"/>
    <cellStyle name="Normal 85 3 4 2" xfId="38630" xr:uid="{00000000-0005-0000-0000-00001ED00000}"/>
    <cellStyle name="Normal 85 3 5" xfId="38631" xr:uid="{00000000-0005-0000-0000-00001FD00000}"/>
    <cellStyle name="Normal 85 3 5 2" xfId="38632" xr:uid="{00000000-0005-0000-0000-000020D00000}"/>
    <cellStyle name="Normal 85 3 6" xfId="38633" xr:uid="{00000000-0005-0000-0000-000021D00000}"/>
    <cellStyle name="Normal 85 4" xfId="38634" xr:uid="{00000000-0005-0000-0000-000022D00000}"/>
    <cellStyle name="Normal 85 4 2" xfId="38635" xr:uid="{00000000-0005-0000-0000-000023D00000}"/>
    <cellStyle name="Normal 85 4 2 2" xfId="38636" xr:uid="{00000000-0005-0000-0000-000024D00000}"/>
    <cellStyle name="Normal 85 4 3" xfId="38637" xr:uid="{00000000-0005-0000-0000-000025D00000}"/>
    <cellStyle name="Normal 85 4 3 2" xfId="38638" xr:uid="{00000000-0005-0000-0000-000026D00000}"/>
    <cellStyle name="Normal 85 4 4" xfId="38639" xr:uid="{00000000-0005-0000-0000-000027D00000}"/>
    <cellStyle name="Normal 85 5" xfId="38640" xr:uid="{00000000-0005-0000-0000-000028D00000}"/>
    <cellStyle name="Normal 85 5 2" xfId="38641" xr:uid="{00000000-0005-0000-0000-000029D00000}"/>
    <cellStyle name="Normal 85 5 2 2" xfId="38642" xr:uid="{00000000-0005-0000-0000-00002AD00000}"/>
    <cellStyle name="Normal 85 5 3" xfId="38643" xr:uid="{00000000-0005-0000-0000-00002BD00000}"/>
    <cellStyle name="Normal 85 5 3 2" xfId="38644" xr:uid="{00000000-0005-0000-0000-00002CD00000}"/>
    <cellStyle name="Normal 85 5 4" xfId="38645" xr:uid="{00000000-0005-0000-0000-00002DD00000}"/>
    <cellStyle name="Normal 85 6" xfId="38646" xr:uid="{00000000-0005-0000-0000-00002ED00000}"/>
    <cellStyle name="Normal 85 6 2" xfId="38647" xr:uid="{00000000-0005-0000-0000-00002FD00000}"/>
    <cellStyle name="Normal 85 6 2 2" xfId="38648" xr:uid="{00000000-0005-0000-0000-000030D00000}"/>
    <cellStyle name="Normal 85 6 3" xfId="38649" xr:uid="{00000000-0005-0000-0000-000031D00000}"/>
    <cellStyle name="Normal 85 6 3 2" xfId="38650" xr:uid="{00000000-0005-0000-0000-000032D00000}"/>
    <cellStyle name="Normal 85 6 4" xfId="38651" xr:uid="{00000000-0005-0000-0000-000033D00000}"/>
    <cellStyle name="Normal 85 7" xfId="38652" xr:uid="{00000000-0005-0000-0000-000034D00000}"/>
    <cellStyle name="Normal 85 7 2" xfId="38653" xr:uid="{00000000-0005-0000-0000-000035D00000}"/>
    <cellStyle name="Normal 85 7 2 2" xfId="38654" xr:uid="{00000000-0005-0000-0000-000036D00000}"/>
    <cellStyle name="Normal 85 7 3" xfId="38655" xr:uid="{00000000-0005-0000-0000-000037D00000}"/>
    <cellStyle name="Normal 85 7 3 2" xfId="38656" xr:uid="{00000000-0005-0000-0000-000038D00000}"/>
    <cellStyle name="Normal 85 7 4" xfId="38657" xr:uid="{00000000-0005-0000-0000-000039D00000}"/>
    <cellStyle name="Normal 85 8" xfId="38658" xr:uid="{00000000-0005-0000-0000-00003AD00000}"/>
    <cellStyle name="Normal 85 8 2" xfId="38659" xr:uid="{00000000-0005-0000-0000-00003BD00000}"/>
    <cellStyle name="Normal 85 8 2 2" xfId="38660" xr:uid="{00000000-0005-0000-0000-00003CD00000}"/>
    <cellStyle name="Normal 85 8 3" xfId="38661" xr:uid="{00000000-0005-0000-0000-00003DD00000}"/>
    <cellStyle name="Normal 85 8 3 2" xfId="38662" xr:uid="{00000000-0005-0000-0000-00003ED00000}"/>
    <cellStyle name="Normal 85 8 4" xfId="38663" xr:uid="{00000000-0005-0000-0000-00003FD00000}"/>
    <cellStyle name="Normal 85 9" xfId="38664" xr:uid="{00000000-0005-0000-0000-000040D00000}"/>
    <cellStyle name="Normal 85 9 2" xfId="38665" xr:uid="{00000000-0005-0000-0000-000041D00000}"/>
    <cellStyle name="Normal 85 9 2 2" xfId="38666" xr:uid="{00000000-0005-0000-0000-000042D00000}"/>
    <cellStyle name="Normal 85 9 3" xfId="38667" xr:uid="{00000000-0005-0000-0000-000043D00000}"/>
    <cellStyle name="Normal 86" xfId="38668" xr:uid="{00000000-0005-0000-0000-000044D00000}"/>
    <cellStyle name="Normal 86 10" xfId="38669" xr:uid="{00000000-0005-0000-0000-000045D00000}"/>
    <cellStyle name="Normal 86 10 2" xfId="38670" xr:uid="{00000000-0005-0000-0000-000046D00000}"/>
    <cellStyle name="Normal 86 11" xfId="38671" xr:uid="{00000000-0005-0000-0000-000047D00000}"/>
    <cellStyle name="Normal 86 11 2" xfId="38672" xr:uid="{00000000-0005-0000-0000-000048D00000}"/>
    <cellStyle name="Normal 86 12" xfId="38673" xr:uid="{00000000-0005-0000-0000-000049D00000}"/>
    <cellStyle name="Normal 86 13" xfId="38674" xr:uid="{00000000-0005-0000-0000-00004AD00000}"/>
    <cellStyle name="Normal 86 2" xfId="38675" xr:uid="{00000000-0005-0000-0000-00004BD00000}"/>
    <cellStyle name="Normal 86 2 10" xfId="38676" xr:uid="{00000000-0005-0000-0000-00004CD00000}"/>
    <cellStyle name="Normal 86 2 10 2" xfId="38677" xr:uid="{00000000-0005-0000-0000-00004DD00000}"/>
    <cellStyle name="Normal 86 2 11" xfId="38678" xr:uid="{00000000-0005-0000-0000-00004ED00000}"/>
    <cellStyle name="Normal 86 2 2" xfId="38679" xr:uid="{00000000-0005-0000-0000-00004FD00000}"/>
    <cellStyle name="Normal 86 2 2 2" xfId="38680" xr:uid="{00000000-0005-0000-0000-000050D00000}"/>
    <cellStyle name="Normal 86 2 2 2 2" xfId="38681" xr:uid="{00000000-0005-0000-0000-000051D00000}"/>
    <cellStyle name="Normal 86 2 2 2 2 2" xfId="38682" xr:uid="{00000000-0005-0000-0000-000052D00000}"/>
    <cellStyle name="Normal 86 2 2 2 3" xfId="38683" xr:uid="{00000000-0005-0000-0000-000053D00000}"/>
    <cellStyle name="Normal 86 2 2 2 3 2" xfId="38684" xr:uid="{00000000-0005-0000-0000-000054D00000}"/>
    <cellStyle name="Normal 86 2 2 2 4" xfId="38685" xr:uid="{00000000-0005-0000-0000-000055D00000}"/>
    <cellStyle name="Normal 86 2 2 3" xfId="38686" xr:uid="{00000000-0005-0000-0000-000056D00000}"/>
    <cellStyle name="Normal 86 2 2 3 2" xfId="38687" xr:uid="{00000000-0005-0000-0000-000057D00000}"/>
    <cellStyle name="Normal 86 2 2 3 2 2" xfId="38688" xr:uid="{00000000-0005-0000-0000-000058D00000}"/>
    <cellStyle name="Normal 86 2 2 3 3" xfId="38689" xr:uid="{00000000-0005-0000-0000-000059D00000}"/>
    <cellStyle name="Normal 86 2 2 3 3 2" xfId="38690" xr:uid="{00000000-0005-0000-0000-00005AD00000}"/>
    <cellStyle name="Normal 86 2 2 3 4" xfId="38691" xr:uid="{00000000-0005-0000-0000-00005BD00000}"/>
    <cellStyle name="Normal 86 2 2 4" xfId="38692" xr:uid="{00000000-0005-0000-0000-00005CD00000}"/>
    <cellStyle name="Normal 86 2 2 4 2" xfId="38693" xr:uid="{00000000-0005-0000-0000-00005DD00000}"/>
    <cellStyle name="Normal 86 2 2 5" xfId="38694" xr:uid="{00000000-0005-0000-0000-00005ED00000}"/>
    <cellStyle name="Normal 86 2 2 5 2" xfId="38695" xr:uid="{00000000-0005-0000-0000-00005FD00000}"/>
    <cellStyle name="Normal 86 2 2 6" xfId="38696" xr:uid="{00000000-0005-0000-0000-000060D00000}"/>
    <cellStyle name="Normal 86 2 3" xfId="38697" xr:uid="{00000000-0005-0000-0000-000061D00000}"/>
    <cellStyle name="Normal 86 2 3 2" xfId="38698" xr:uid="{00000000-0005-0000-0000-000062D00000}"/>
    <cellStyle name="Normal 86 2 3 2 2" xfId="38699" xr:uid="{00000000-0005-0000-0000-000063D00000}"/>
    <cellStyle name="Normal 86 2 3 3" xfId="38700" xr:uid="{00000000-0005-0000-0000-000064D00000}"/>
    <cellStyle name="Normal 86 2 3 3 2" xfId="38701" xr:uid="{00000000-0005-0000-0000-000065D00000}"/>
    <cellStyle name="Normal 86 2 3 4" xfId="38702" xr:uid="{00000000-0005-0000-0000-000066D00000}"/>
    <cellStyle name="Normal 86 2 4" xfId="38703" xr:uid="{00000000-0005-0000-0000-000067D00000}"/>
    <cellStyle name="Normal 86 2 4 2" xfId="38704" xr:uid="{00000000-0005-0000-0000-000068D00000}"/>
    <cellStyle name="Normal 86 2 4 2 2" xfId="38705" xr:uid="{00000000-0005-0000-0000-000069D00000}"/>
    <cellStyle name="Normal 86 2 4 3" xfId="38706" xr:uid="{00000000-0005-0000-0000-00006AD00000}"/>
    <cellStyle name="Normal 86 2 4 3 2" xfId="38707" xr:uid="{00000000-0005-0000-0000-00006BD00000}"/>
    <cellStyle name="Normal 86 2 4 4" xfId="38708" xr:uid="{00000000-0005-0000-0000-00006CD00000}"/>
    <cellStyle name="Normal 86 2 5" xfId="38709" xr:uid="{00000000-0005-0000-0000-00006DD00000}"/>
    <cellStyle name="Normal 86 2 5 2" xfId="38710" xr:uid="{00000000-0005-0000-0000-00006ED00000}"/>
    <cellStyle name="Normal 86 2 5 2 2" xfId="38711" xr:uid="{00000000-0005-0000-0000-00006FD00000}"/>
    <cellStyle name="Normal 86 2 5 3" xfId="38712" xr:uid="{00000000-0005-0000-0000-000070D00000}"/>
    <cellStyle name="Normal 86 2 5 3 2" xfId="38713" xr:uid="{00000000-0005-0000-0000-000071D00000}"/>
    <cellStyle name="Normal 86 2 5 4" xfId="38714" xr:uid="{00000000-0005-0000-0000-000072D00000}"/>
    <cellStyle name="Normal 86 2 6" xfId="38715" xr:uid="{00000000-0005-0000-0000-000073D00000}"/>
    <cellStyle name="Normal 86 2 6 2" xfId="38716" xr:uid="{00000000-0005-0000-0000-000074D00000}"/>
    <cellStyle name="Normal 86 2 6 2 2" xfId="38717" xr:uid="{00000000-0005-0000-0000-000075D00000}"/>
    <cellStyle name="Normal 86 2 6 3" xfId="38718" xr:uid="{00000000-0005-0000-0000-000076D00000}"/>
    <cellStyle name="Normal 86 2 6 3 2" xfId="38719" xr:uid="{00000000-0005-0000-0000-000077D00000}"/>
    <cellStyle name="Normal 86 2 6 4" xfId="38720" xr:uid="{00000000-0005-0000-0000-000078D00000}"/>
    <cellStyle name="Normal 86 2 7" xfId="38721" xr:uid="{00000000-0005-0000-0000-000079D00000}"/>
    <cellStyle name="Normal 86 2 7 2" xfId="38722" xr:uid="{00000000-0005-0000-0000-00007AD00000}"/>
    <cellStyle name="Normal 86 2 7 2 2" xfId="38723" xr:uid="{00000000-0005-0000-0000-00007BD00000}"/>
    <cellStyle name="Normal 86 2 7 3" xfId="38724" xr:uid="{00000000-0005-0000-0000-00007CD00000}"/>
    <cellStyle name="Normal 86 2 7 3 2" xfId="38725" xr:uid="{00000000-0005-0000-0000-00007DD00000}"/>
    <cellStyle name="Normal 86 2 7 4" xfId="38726" xr:uid="{00000000-0005-0000-0000-00007ED00000}"/>
    <cellStyle name="Normal 86 2 8" xfId="38727" xr:uid="{00000000-0005-0000-0000-00007FD00000}"/>
    <cellStyle name="Normal 86 2 8 2" xfId="38728" xr:uid="{00000000-0005-0000-0000-000080D00000}"/>
    <cellStyle name="Normal 86 2 8 2 2" xfId="38729" xr:uid="{00000000-0005-0000-0000-000081D00000}"/>
    <cellStyle name="Normal 86 2 8 3" xfId="38730" xr:uid="{00000000-0005-0000-0000-000082D00000}"/>
    <cellStyle name="Normal 86 2 9" xfId="38731" xr:uid="{00000000-0005-0000-0000-000083D00000}"/>
    <cellStyle name="Normal 86 2 9 2" xfId="38732" xr:uid="{00000000-0005-0000-0000-000084D00000}"/>
    <cellStyle name="Normal 86 3" xfId="38733" xr:uid="{00000000-0005-0000-0000-000085D00000}"/>
    <cellStyle name="Normal 86 3 2" xfId="38734" xr:uid="{00000000-0005-0000-0000-000086D00000}"/>
    <cellStyle name="Normal 86 3 2 2" xfId="38735" xr:uid="{00000000-0005-0000-0000-000087D00000}"/>
    <cellStyle name="Normal 86 3 2 2 2" xfId="38736" xr:uid="{00000000-0005-0000-0000-000088D00000}"/>
    <cellStyle name="Normal 86 3 2 3" xfId="38737" xr:uid="{00000000-0005-0000-0000-000089D00000}"/>
    <cellStyle name="Normal 86 3 2 3 2" xfId="38738" xr:uid="{00000000-0005-0000-0000-00008AD00000}"/>
    <cellStyle name="Normal 86 3 2 4" xfId="38739" xr:uid="{00000000-0005-0000-0000-00008BD00000}"/>
    <cellStyle name="Normal 86 3 3" xfId="38740" xr:uid="{00000000-0005-0000-0000-00008CD00000}"/>
    <cellStyle name="Normal 86 3 3 2" xfId="38741" xr:uid="{00000000-0005-0000-0000-00008DD00000}"/>
    <cellStyle name="Normal 86 3 3 2 2" xfId="38742" xr:uid="{00000000-0005-0000-0000-00008ED00000}"/>
    <cellStyle name="Normal 86 3 3 3" xfId="38743" xr:uid="{00000000-0005-0000-0000-00008FD00000}"/>
    <cellStyle name="Normal 86 3 3 3 2" xfId="38744" xr:uid="{00000000-0005-0000-0000-000090D00000}"/>
    <cellStyle name="Normal 86 3 3 4" xfId="38745" xr:uid="{00000000-0005-0000-0000-000091D00000}"/>
    <cellStyle name="Normal 86 3 4" xfId="38746" xr:uid="{00000000-0005-0000-0000-000092D00000}"/>
    <cellStyle name="Normal 86 3 4 2" xfId="38747" xr:uid="{00000000-0005-0000-0000-000093D00000}"/>
    <cellStyle name="Normal 86 3 5" xfId="38748" xr:uid="{00000000-0005-0000-0000-000094D00000}"/>
    <cellStyle name="Normal 86 3 5 2" xfId="38749" xr:uid="{00000000-0005-0000-0000-000095D00000}"/>
    <cellStyle name="Normal 86 3 6" xfId="38750" xr:uid="{00000000-0005-0000-0000-000096D00000}"/>
    <cellStyle name="Normal 86 4" xfId="38751" xr:uid="{00000000-0005-0000-0000-000097D00000}"/>
    <cellStyle name="Normal 86 4 2" xfId="38752" xr:uid="{00000000-0005-0000-0000-000098D00000}"/>
    <cellStyle name="Normal 86 4 2 2" xfId="38753" xr:uid="{00000000-0005-0000-0000-000099D00000}"/>
    <cellStyle name="Normal 86 4 3" xfId="38754" xr:uid="{00000000-0005-0000-0000-00009AD00000}"/>
    <cellStyle name="Normal 86 4 3 2" xfId="38755" xr:uid="{00000000-0005-0000-0000-00009BD00000}"/>
    <cellStyle name="Normal 86 4 4" xfId="38756" xr:uid="{00000000-0005-0000-0000-00009CD00000}"/>
    <cellStyle name="Normal 86 5" xfId="38757" xr:uid="{00000000-0005-0000-0000-00009DD00000}"/>
    <cellStyle name="Normal 86 5 2" xfId="38758" xr:uid="{00000000-0005-0000-0000-00009ED00000}"/>
    <cellStyle name="Normal 86 5 2 2" xfId="38759" xr:uid="{00000000-0005-0000-0000-00009FD00000}"/>
    <cellStyle name="Normal 86 5 3" xfId="38760" xr:uid="{00000000-0005-0000-0000-0000A0D00000}"/>
    <cellStyle name="Normal 86 5 3 2" xfId="38761" xr:uid="{00000000-0005-0000-0000-0000A1D00000}"/>
    <cellStyle name="Normal 86 5 4" xfId="38762" xr:uid="{00000000-0005-0000-0000-0000A2D00000}"/>
    <cellStyle name="Normal 86 6" xfId="38763" xr:uid="{00000000-0005-0000-0000-0000A3D00000}"/>
    <cellStyle name="Normal 86 6 2" xfId="38764" xr:uid="{00000000-0005-0000-0000-0000A4D00000}"/>
    <cellStyle name="Normal 86 6 2 2" xfId="38765" xr:uid="{00000000-0005-0000-0000-0000A5D00000}"/>
    <cellStyle name="Normal 86 6 3" xfId="38766" xr:uid="{00000000-0005-0000-0000-0000A6D00000}"/>
    <cellStyle name="Normal 86 6 3 2" xfId="38767" xr:uid="{00000000-0005-0000-0000-0000A7D00000}"/>
    <cellStyle name="Normal 86 6 4" xfId="38768" xr:uid="{00000000-0005-0000-0000-0000A8D00000}"/>
    <cellStyle name="Normal 86 7" xfId="38769" xr:uid="{00000000-0005-0000-0000-0000A9D00000}"/>
    <cellStyle name="Normal 86 7 2" xfId="38770" xr:uid="{00000000-0005-0000-0000-0000AAD00000}"/>
    <cellStyle name="Normal 86 7 2 2" xfId="38771" xr:uid="{00000000-0005-0000-0000-0000ABD00000}"/>
    <cellStyle name="Normal 86 7 3" xfId="38772" xr:uid="{00000000-0005-0000-0000-0000ACD00000}"/>
    <cellStyle name="Normal 86 7 3 2" xfId="38773" xr:uid="{00000000-0005-0000-0000-0000ADD00000}"/>
    <cellStyle name="Normal 86 7 4" xfId="38774" xr:uid="{00000000-0005-0000-0000-0000AED00000}"/>
    <cellStyle name="Normal 86 8" xfId="38775" xr:uid="{00000000-0005-0000-0000-0000AFD00000}"/>
    <cellStyle name="Normal 86 8 2" xfId="38776" xr:uid="{00000000-0005-0000-0000-0000B0D00000}"/>
    <cellStyle name="Normal 86 8 2 2" xfId="38777" xr:uid="{00000000-0005-0000-0000-0000B1D00000}"/>
    <cellStyle name="Normal 86 8 3" xfId="38778" xr:uid="{00000000-0005-0000-0000-0000B2D00000}"/>
    <cellStyle name="Normal 86 8 3 2" xfId="38779" xr:uid="{00000000-0005-0000-0000-0000B3D00000}"/>
    <cellStyle name="Normal 86 8 4" xfId="38780" xr:uid="{00000000-0005-0000-0000-0000B4D00000}"/>
    <cellStyle name="Normal 86 9" xfId="38781" xr:uid="{00000000-0005-0000-0000-0000B5D00000}"/>
    <cellStyle name="Normal 86 9 2" xfId="38782" xr:uid="{00000000-0005-0000-0000-0000B6D00000}"/>
    <cellStyle name="Normal 86 9 2 2" xfId="38783" xr:uid="{00000000-0005-0000-0000-0000B7D00000}"/>
    <cellStyle name="Normal 86 9 3" xfId="38784" xr:uid="{00000000-0005-0000-0000-0000B8D00000}"/>
    <cellStyle name="Normal 87" xfId="38785" xr:uid="{00000000-0005-0000-0000-0000B9D00000}"/>
    <cellStyle name="Normal 87 10" xfId="38786" xr:uid="{00000000-0005-0000-0000-0000BAD00000}"/>
    <cellStyle name="Normal 87 10 2" xfId="38787" xr:uid="{00000000-0005-0000-0000-0000BBD00000}"/>
    <cellStyle name="Normal 87 11" xfId="38788" xr:uid="{00000000-0005-0000-0000-0000BCD00000}"/>
    <cellStyle name="Normal 87 11 2" xfId="38789" xr:uid="{00000000-0005-0000-0000-0000BDD00000}"/>
    <cellStyle name="Normal 87 12" xfId="38790" xr:uid="{00000000-0005-0000-0000-0000BED00000}"/>
    <cellStyle name="Normal 87 13" xfId="38791" xr:uid="{00000000-0005-0000-0000-0000BFD00000}"/>
    <cellStyle name="Normal 87 2" xfId="38792" xr:uid="{00000000-0005-0000-0000-0000C0D00000}"/>
    <cellStyle name="Normal 87 2 10" xfId="38793" xr:uid="{00000000-0005-0000-0000-0000C1D00000}"/>
    <cellStyle name="Normal 87 2 10 2" xfId="38794" xr:uid="{00000000-0005-0000-0000-0000C2D00000}"/>
    <cellStyle name="Normal 87 2 11" xfId="38795" xr:uid="{00000000-0005-0000-0000-0000C3D00000}"/>
    <cellStyle name="Normal 87 2 2" xfId="38796" xr:uid="{00000000-0005-0000-0000-0000C4D00000}"/>
    <cellStyle name="Normal 87 2 2 2" xfId="38797" xr:uid="{00000000-0005-0000-0000-0000C5D00000}"/>
    <cellStyle name="Normal 87 2 2 2 2" xfId="38798" xr:uid="{00000000-0005-0000-0000-0000C6D00000}"/>
    <cellStyle name="Normal 87 2 2 2 2 2" xfId="38799" xr:uid="{00000000-0005-0000-0000-0000C7D00000}"/>
    <cellStyle name="Normal 87 2 2 2 3" xfId="38800" xr:uid="{00000000-0005-0000-0000-0000C8D00000}"/>
    <cellStyle name="Normal 87 2 2 2 3 2" xfId="38801" xr:uid="{00000000-0005-0000-0000-0000C9D00000}"/>
    <cellStyle name="Normal 87 2 2 2 4" xfId="38802" xr:uid="{00000000-0005-0000-0000-0000CAD00000}"/>
    <cellStyle name="Normal 87 2 2 3" xfId="38803" xr:uid="{00000000-0005-0000-0000-0000CBD00000}"/>
    <cellStyle name="Normal 87 2 2 3 2" xfId="38804" xr:uid="{00000000-0005-0000-0000-0000CCD00000}"/>
    <cellStyle name="Normal 87 2 2 3 2 2" xfId="38805" xr:uid="{00000000-0005-0000-0000-0000CDD00000}"/>
    <cellStyle name="Normal 87 2 2 3 3" xfId="38806" xr:uid="{00000000-0005-0000-0000-0000CED00000}"/>
    <cellStyle name="Normal 87 2 2 3 3 2" xfId="38807" xr:uid="{00000000-0005-0000-0000-0000CFD00000}"/>
    <cellStyle name="Normal 87 2 2 3 4" xfId="38808" xr:uid="{00000000-0005-0000-0000-0000D0D00000}"/>
    <cellStyle name="Normal 87 2 2 4" xfId="38809" xr:uid="{00000000-0005-0000-0000-0000D1D00000}"/>
    <cellStyle name="Normal 87 2 2 4 2" xfId="38810" xr:uid="{00000000-0005-0000-0000-0000D2D00000}"/>
    <cellStyle name="Normal 87 2 2 5" xfId="38811" xr:uid="{00000000-0005-0000-0000-0000D3D00000}"/>
    <cellStyle name="Normal 87 2 2 5 2" xfId="38812" xr:uid="{00000000-0005-0000-0000-0000D4D00000}"/>
    <cellStyle name="Normal 87 2 2 6" xfId="38813" xr:uid="{00000000-0005-0000-0000-0000D5D00000}"/>
    <cellStyle name="Normal 87 2 3" xfId="38814" xr:uid="{00000000-0005-0000-0000-0000D6D00000}"/>
    <cellStyle name="Normal 87 2 3 2" xfId="38815" xr:uid="{00000000-0005-0000-0000-0000D7D00000}"/>
    <cellStyle name="Normal 87 2 3 2 2" xfId="38816" xr:uid="{00000000-0005-0000-0000-0000D8D00000}"/>
    <cellStyle name="Normal 87 2 3 3" xfId="38817" xr:uid="{00000000-0005-0000-0000-0000D9D00000}"/>
    <cellStyle name="Normal 87 2 3 3 2" xfId="38818" xr:uid="{00000000-0005-0000-0000-0000DAD00000}"/>
    <cellStyle name="Normal 87 2 3 4" xfId="38819" xr:uid="{00000000-0005-0000-0000-0000DBD00000}"/>
    <cellStyle name="Normal 87 2 4" xfId="38820" xr:uid="{00000000-0005-0000-0000-0000DCD00000}"/>
    <cellStyle name="Normal 87 2 4 2" xfId="38821" xr:uid="{00000000-0005-0000-0000-0000DDD00000}"/>
    <cellStyle name="Normal 87 2 4 2 2" xfId="38822" xr:uid="{00000000-0005-0000-0000-0000DED00000}"/>
    <cellStyle name="Normal 87 2 4 3" xfId="38823" xr:uid="{00000000-0005-0000-0000-0000DFD00000}"/>
    <cellStyle name="Normal 87 2 4 3 2" xfId="38824" xr:uid="{00000000-0005-0000-0000-0000E0D00000}"/>
    <cellStyle name="Normal 87 2 4 4" xfId="38825" xr:uid="{00000000-0005-0000-0000-0000E1D00000}"/>
    <cellStyle name="Normal 87 2 5" xfId="38826" xr:uid="{00000000-0005-0000-0000-0000E2D00000}"/>
    <cellStyle name="Normal 87 2 5 2" xfId="38827" xr:uid="{00000000-0005-0000-0000-0000E3D00000}"/>
    <cellStyle name="Normal 87 2 5 2 2" xfId="38828" xr:uid="{00000000-0005-0000-0000-0000E4D00000}"/>
    <cellStyle name="Normal 87 2 5 3" xfId="38829" xr:uid="{00000000-0005-0000-0000-0000E5D00000}"/>
    <cellStyle name="Normal 87 2 5 3 2" xfId="38830" xr:uid="{00000000-0005-0000-0000-0000E6D00000}"/>
    <cellStyle name="Normal 87 2 5 4" xfId="38831" xr:uid="{00000000-0005-0000-0000-0000E7D00000}"/>
    <cellStyle name="Normal 87 2 6" xfId="38832" xr:uid="{00000000-0005-0000-0000-0000E8D00000}"/>
    <cellStyle name="Normal 87 2 6 2" xfId="38833" xr:uid="{00000000-0005-0000-0000-0000E9D00000}"/>
    <cellStyle name="Normal 87 2 6 2 2" xfId="38834" xr:uid="{00000000-0005-0000-0000-0000EAD00000}"/>
    <cellStyle name="Normal 87 2 6 3" xfId="38835" xr:uid="{00000000-0005-0000-0000-0000EBD00000}"/>
    <cellStyle name="Normal 87 2 6 3 2" xfId="38836" xr:uid="{00000000-0005-0000-0000-0000ECD00000}"/>
    <cellStyle name="Normal 87 2 6 4" xfId="38837" xr:uid="{00000000-0005-0000-0000-0000EDD00000}"/>
    <cellStyle name="Normal 87 2 7" xfId="38838" xr:uid="{00000000-0005-0000-0000-0000EED00000}"/>
    <cellStyle name="Normal 87 2 7 2" xfId="38839" xr:uid="{00000000-0005-0000-0000-0000EFD00000}"/>
    <cellStyle name="Normal 87 2 7 2 2" xfId="38840" xr:uid="{00000000-0005-0000-0000-0000F0D00000}"/>
    <cellStyle name="Normal 87 2 7 3" xfId="38841" xr:uid="{00000000-0005-0000-0000-0000F1D00000}"/>
    <cellStyle name="Normal 87 2 7 3 2" xfId="38842" xr:uid="{00000000-0005-0000-0000-0000F2D00000}"/>
    <cellStyle name="Normal 87 2 7 4" xfId="38843" xr:uid="{00000000-0005-0000-0000-0000F3D00000}"/>
    <cellStyle name="Normal 87 2 8" xfId="38844" xr:uid="{00000000-0005-0000-0000-0000F4D00000}"/>
    <cellStyle name="Normal 87 2 8 2" xfId="38845" xr:uid="{00000000-0005-0000-0000-0000F5D00000}"/>
    <cellStyle name="Normal 87 2 8 2 2" xfId="38846" xr:uid="{00000000-0005-0000-0000-0000F6D00000}"/>
    <cellStyle name="Normal 87 2 8 3" xfId="38847" xr:uid="{00000000-0005-0000-0000-0000F7D00000}"/>
    <cellStyle name="Normal 87 2 9" xfId="38848" xr:uid="{00000000-0005-0000-0000-0000F8D00000}"/>
    <cellStyle name="Normal 87 2 9 2" xfId="38849" xr:uid="{00000000-0005-0000-0000-0000F9D00000}"/>
    <cellStyle name="Normal 87 3" xfId="38850" xr:uid="{00000000-0005-0000-0000-0000FAD00000}"/>
    <cellStyle name="Normal 87 3 2" xfId="38851" xr:uid="{00000000-0005-0000-0000-0000FBD00000}"/>
    <cellStyle name="Normal 87 3 2 2" xfId="38852" xr:uid="{00000000-0005-0000-0000-0000FCD00000}"/>
    <cellStyle name="Normal 87 3 2 2 2" xfId="38853" xr:uid="{00000000-0005-0000-0000-0000FDD00000}"/>
    <cellStyle name="Normal 87 3 2 3" xfId="38854" xr:uid="{00000000-0005-0000-0000-0000FED00000}"/>
    <cellStyle name="Normal 87 3 2 3 2" xfId="38855" xr:uid="{00000000-0005-0000-0000-0000FFD00000}"/>
    <cellStyle name="Normal 87 3 2 4" xfId="38856" xr:uid="{00000000-0005-0000-0000-000000D10000}"/>
    <cellStyle name="Normal 87 3 3" xfId="38857" xr:uid="{00000000-0005-0000-0000-000001D10000}"/>
    <cellStyle name="Normal 87 3 3 2" xfId="38858" xr:uid="{00000000-0005-0000-0000-000002D10000}"/>
    <cellStyle name="Normal 87 3 3 2 2" xfId="38859" xr:uid="{00000000-0005-0000-0000-000003D10000}"/>
    <cellStyle name="Normal 87 3 3 3" xfId="38860" xr:uid="{00000000-0005-0000-0000-000004D10000}"/>
    <cellStyle name="Normal 87 3 3 3 2" xfId="38861" xr:uid="{00000000-0005-0000-0000-000005D10000}"/>
    <cellStyle name="Normal 87 3 3 4" xfId="38862" xr:uid="{00000000-0005-0000-0000-000006D10000}"/>
    <cellStyle name="Normal 87 3 4" xfId="38863" xr:uid="{00000000-0005-0000-0000-000007D10000}"/>
    <cellStyle name="Normal 87 3 4 2" xfId="38864" xr:uid="{00000000-0005-0000-0000-000008D10000}"/>
    <cellStyle name="Normal 87 3 5" xfId="38865" xr:uid="{00000000-0005-0000-0000-000009D10000}"/>
    <cellStyle name="Normal 87 3 5 2" xfId="38866" xr:uid="{00000000-0005-0000-0000-00000AD10000}"/>
    <cellStyle name="Normal 87 3 6" xfId="38867" xr:uid="{00000000-0005-0000-0000-00000BD10000}"/>
    <cellStyle name="Normal 87 4" xfId="38868" xr:uid="{00000000-0005-0000-0000-00000CD10000}"/>
    <cellStyle name="Normal 87 4 2" xfId="38869" xr:uid="{00000000-0005-0000-0000-00000DD10000}"/>
    <cellStyle name="Normal 87 4 2 2" xfId="38870" xr:uid="{00000000-0005-0000-0000-00000ED10000}"/>
    <cellStyle name="Normal 87 4 3" xfId="38871" xr:uid="{00000000-0005-0000-0000-00000FD10000}"/>
    <cellStyle name="Normal 87 4 3 2" xfId="38872" xr:uid="{00000000-0005-0000-0000-000010D10000}"/>
    <cellStyle name="Normal 87 4 4" xfId="38873" xr:uid="{00000000-0005-0000-0000-000011D10000}"/>
    <cellStyle name="Normal 87 5" xfId="38874" xr:uid="{00000000-0005-0000-0000-000012D10000}"/>
    <cellStyle name="Normal 87 5 2" xfId="38875" xr:uid="{00000000-0005-0000-0000-000013D10000}"/>
    <cellStyle name="Normal 87 5 2 2" xfId="38876" xr:uid="{00000000-0005-0000-0000-000014D10000}"/>
    <cellStyle name="Normal 87 5 3" xfId="38877" xr:uid="{00000000-0005-0000-0000-000015D10000}"/>
    <cellStyle name="Normal 87 5 3 2" xfId="38878" xr:uid="{00000000-0005-0000-0000-000016D10000}"/>
    <cellStyle name="Normal 87 5 4" xfId="38879" xr:uid="{00000000-0005-0000-0000-000017D10000}"/>
    <cellStyle name="Normal 87 6" xfId="38880" xr:uid="{00000000-0005-0000-0000-000018D10000}"/>
    <cellStyle name="Normal 87 6 2" xfId="38881" xr:uid="{00000000-0005-0000-0000-000019D10000}"/>
    <cellStyle name="Normal 87 6 2 2" xfId="38882" xr:uid="{00000000-0005-0000-0000-00001AD10000}"/>
    <cellStyle name="Normal 87 6 3" xfId="38883" xr:uid="{00000000-0005-0000-0000-00001BD10000}"/>
    <cellStyle name="Normal 87 6 3 2" xfId="38884" xr:uid="{00000000-0005-0000-0000-00001CD10000}"/>
    <cellStyle name="Normal 87 6 4" xfId="38885" xr:uid="{00000000-0005-0000-0000-00001DD10000}"/>
    <cellStyle name="Normal 87 7" xfId="38886" xr:uid="{00000000-0005-0000-0000-00001ED10000}"/>
    <cellStyle name="Normal 87 7 2" xfId="38887" xr:uid="{00000000-0005-0000-0000-00001FD10000}"/>
    <cellStyle name="Normal 87 7 2 2" xfId="38888" xr:uid="{00000000-0005-0000-0000-000020D10000}"/>
    <cellStyle name="Normal 87 7 3" xfId="38889" xr:uid="{00000000-0005-0000-0000-000021D10000}"/>
    <cellStyle name="Normal 87 7 3 2" xfId="38890" xr:uid="{00000000-0005-0000-0000-000022D10000}"/>
    <cellStyle name="Normal 87 7 4" xfId="38891" xr:uid="{00000000-0005-0000-0000-000023D10000}"/>
    <cellStyle name="Normal 87 8" xfId="38892" xr:uid="{00000000-0005-0000-0000-000024D10000}"/>
    <cellStyle name="Normal 87 8 2" xfId="38893" xr:uid="{00000000-0005-0000-0000-000025D10000}"/>
    <cellStyle name="Normal 87 8 2 2" xfId="38894" xr:uid="{00000000-0005-0000-0000-000026D10000}"/>
    <cellStyle name="Normal 87 8 3" xfId="38895" xr:uid="{00000000-0005-0000-0000-000027D10000}"/>
    <cellStyle name="Normal 87 8 3 2" xfId="38896" xr:uid="{00000000-0005-0000-0000-000028D10000}"/>
    <cellStyle name="Normal 87 8 4" xfId="38897" xr:uid="{00000000-0005-0000-0000-000029D10000}"/>
    <cellStyle name="Normal 87 9" xfId="38898" xr:uid="{00000000-0005-0000-0000-00002AD10000}"/>
    <cellStyle name="Normal 87 9 2" xfId="38899" xr:uid="{00000000-0005-0000-0000-00002BD10000}"/>
    <cellStyle name="Normal 87 9 2 2" xfId="38900" xr:uid="{00000000-0005-0000-0000-00002CD10000}"/>
    <cellStyle name="Normal 87 9 3" xfId="38901" xr:uid="{00000000-0005-0000-0000-00002DD10000}"/>
    <cellStyle name="Normal 88" xfId="38902" xr:uid="{00000000-0005-0000-0000-00002ED10000}"/>
    <cellStyle name="Normal 88 10" xfId="38903" xr:uid="{00000000-0005-0000-0000-00002FD10000}"/>
    <cellStyle name="Normal 88 10 2" xfId="38904" xr:uid="{00000000-0005-0000-0000-000030D10000}"/>
    <cellStyle name="Normal 88 11" xfId="38905" xr:uid="{00000000-0005-0000-0000-000031D10000}"/>
    <cellStyle name="Normal 88 11 2" xfId="38906" xr:uid="{00000000-0005-0000-0000-000032D10000}"/>
    <cellStyle name="Normal 88 12" xfId="38907" xr:uid="{00000000-0005-0000-0000-000033D10000}"/>
    <cellStyle name="Normal 88 13" xfId="38908" xr:uid="{00000000-0005-0000-0000-000034D10000}"/>
    <cellStyle name="Normal 88 2" xfId="38909" xr:uid="{00000000-0005-0000-0000-000035D10000}"/>
    <cellStyle name="Normal 88 2 10" xfId="38910" xr:uid="{00000000-0005-0000-0000-000036D10000}"/>
    <cellStyle name="Normal 88 2 10 2" xfId="38911" xr:uid="{00000000-0005-0000-0000-000037D10000}"/>
    <cellStyle name="Normal 88 2 11" xfId="38912" xr:uid="{00000000-0005-0000-0000-000038D10000}"/>
    <cellStyle name="Normal 88 2 2" xfId="38913" xr:uid="{00000000-0005-0000-0000-000039D10000}"/>
    <cellStyle name="Normal 88 2 2 2" xfId="38914" xr:uid="{00000000-0005-0000-0000-00003AD10000}"/>
    <cellStyle name="Normal 88 2 2 2 2" xfId="38915" xr:uid="{00000000-0005-0000-0000-00003BD10000}"/>
    <cellStyle name="Normal 88 2 2 2 2 2" xfId="38916" xr:uid="{00000000-0005-0000-0000-00003CD10000}"/>
    <cellStyle name="Normal 88 2 2 2 3" xfId="38917" xr:uid="{00000000-0005-0000-0000-00003DD10000}"/>
    <cellStyle name="Normal 88 2 2 2 3 2" xfId="38918" xr:uid="{00000000-0005-0000-0000-00003ED10000}"/>
    <cellStyle name="Normal 88 2 2 2 4" xfId="38919" xr:uid="{00000000-0005-0000-0000-00003FD10000}"/>
    <cellStyle name="Normal 88 2 2 3" xfId="38920" xr:uid="{00000000-0005-0000-0000-000040D10000}"/>
    <cellStyle name="Normal 88 2 2 3 2" xfId="38921" xr:uid="{00000000-0005-0000-0000-000041D10000}"/>
    <cellStyle name="Normal 88 2 2 3 2 2" xfId="38922" xr:uid="{00000000-0005-0000-0000-000042D10000}"/>
    <cellStyle name="Normal 88 2 2 3 3" xfId="38923" xr:uid="{00000000-0005-0000-0000-000043D10000}"/>
    <cellStyle name="Normal 88 2 2 3 3 2" xfId="38924" xr:uid="{00000000-0005-0000-0000-000044D10000}"/>
    <cellStyle name="Normal 88 2 2 3 4" xfId="38925" xr:uid="{00000000-0005-0000-0000-000045D10000}"/>
    <cellStyle name="Normal 88 2 2 4" xfId="38926" xr:uid="{00000000-0005-0000-0000-000046D10000}"/>
    <cellStyle name="Normal 88 2 2 4 2" xfId="38927" xr:uid="{00000000-0005-0000-0000-000047D10000}"/>
    <cellStyle name="Normal 88 2 2 5" xfId="38928" xr:uid="{00000000-0005-0000-0000-000048D10000}"/>
    <cellStyle name="Normal 88 2 2 5 2" xfId="38929" xr:uid="{00000000-0005-0000-0000-000049D10000}"/>
    <cellStyle name="Normal 88 2 2 6" xfId="38930" xr:uid="{00000000-0005-0000-0000-00004AD10000}"/>
    <cellStyle name="Normal 88 2 3" xfId="38931" xr:uid="{00000000-0005-0000-0000-00004BD10000}"/>
    <cellStyle name="Normal 88 2 3 2" xfId="38932" xr:uid="{00000000-0005-0000-0000-00004CD10000}"/>
    <cellStyle name="Normal 88 2 3 2 2" xfId="38933" xr:uid="{00000000-0005-0000-0000-00004DD10000}"/>
    <cellStyle name="Normal 88 2 3 3" xfId="38934" xr:uid="{00000000-0005-0000-0000-00004ED10000}"/>
    <cellStyle name="Normal 88 2 3 3 2" xfId="38935" xr:uid="{00000000-0005-0000-0000-00004FD10000}"/>
    <cellStyle name="Normal 88 2 3 4" xfId="38936" xr:uid="{00000000-0005-0000-0000-000050D10000}"/>
    <cellStyle name="Normal 88 2 4" xfId="38937" xr:uid="{00000000-0005-0000-0000-000051D10000}"/>
    <cellStyle name="Normal 88 2 4 2" xfId="38938" xr:uid="{00000000-0005-0000-0000-000052D10000}"/>
    <cellStyle name="Normal 88 2 4 2 2" xfId="38939" xr:uid="{00000000-0005-0000-0000-000053D10000}"/>
    <cellStyle name="Normal 88 2 4 3" xfId="38940" xr:uid="{00000000-0005-0000-0000-000054D10000}"/>
    <cellStyle name="Normal 88 2 4 3 2" xfId="38941" xr:uid="{00000000-0005-0000-0000-000055D10000}"/>
    <cellStyle name="Normal 88 2 4 4" xfId="38942" xr:uid="{00000000-0005-0000-0000-000056D10000}"/>
    <cellStyle name="Normal 88 2 5" xfId="38943" xr:uid="{00000000-0005-0000-0000-000057D10000}"/>
    <cellStyle name="Normal 88 2 5 2" xfId="38944" xr:uid="{00000000-0005-0000-0000-000058D10000}"/>
    <cellStyle name="Normal 88 2 5 2 2" xfId="38945" xr:uid="{00000000-0005-0000-0000-000059D10000}"/>
    <cellStyle name="Normal 88 2 5 3" xfId="38946" xr:uid="{00000000-0005-0000-0000-00005AD10000}"/>
    <cellStyle name="Normal 88 2 5 3 2" xfId="38947" xr:uid="{00000000-0005-0000-0000-00005BD10000}"/>
    <cellStyle name="Normal 88 2 5 4" xfId="38948" xr:uid="{00000000-0005-0000-0000-00005CD10000}"/>
    <cellStyle name="Normal 88 2 6" xfId="38949" xr:uid="{00000000-0005-0000-0000-00005DD10000}"/>
    <cellStyle name="Normal 88 2 6 2" xfId="38950" xr:uid="{00000000-0005-0000-0000-00005ED10000}"/>
    <cellStyle name="Normal 88 2 6 2 2" xfId="38951" xr:uid="{00000000-0005-0000-0000-00005FD10000}"/>
    <cellStyle name="Normal 88 2 6 3" xfId="38952" xr:uid="{00000000-0005-0000-0000-000060D10000}"/>
    <cellStyle name="Normal 88 2 6 3 2" xfId="38953" xr:uid="{00000000-0005-0000-0000-000061D10000}"/>
    <cellStyle name="Normal 88 2 6 4" xfId="38954" xr:uid="{00000000-0005-0000-0000-000062D10000}"/>
    <cellStyle name="Normal 88 2 7" xfId="38955" xr:uid="{00000000-0005-0000-0000-000063D10000}"/>
    <cellStyle name="Normal 88 2 7 2" xfId="38956" xr:uid="{00000000-0005-0000-0000-000064D10000}"/>
    <cellStyle name="Normal 88 2 7 2 2" xfId="38957" xr:uid="{00000000-0005-0000-0000-000065D10000}"/>
    <cellStyle name="Normal 88 2 7 3" xfId="38958" xr:uid="{00000000-0005-0000-0000-000066D10000}"/>
    <cellStyle name="Normal 88 2 7 3 2" xfId="38959" xr:uid="{00000000-0005-0000-0000-000067D10000}"/>
    <cellStyle name="Normal 88 2 7 4" xfId="38960" xr:uid="{00000000-0005-0000-0000-000068D10000}"/>
    <cellStyle name="Normal 88 2 8" xfId="38961" xr:uid="{00000000-0005-0000-0000-000069D10000}"/>
    <cellStyle name="Normal 88 2 8 2" xfId="38962" xr:uid="{00000000-0005-0000-0000-00006AD10000}"/>
    <cellStyle name="Normal 88 2 8 2 2" xfId="38963" xr:uid="{00000000-0005-0000-0000-00006BD10000}"/>
    <cellStyle name="Normal 88 2 8 3" xfId="38964" xr:uid="{00000000-0005-0000-0000-00006CD10000}"/>
    <cellStyle name="Normal 88 2 9" xfId="38965" xr:uid="{00000000-0005-0000-0000-00006DD10000}"/>
    <cellStyle name="Normal 88 2 9 2" xfId="38966" xr:uid="{00000000-0005-0000-0000-00006ED10000}"/>
    <cellStyle name="Normal 88 3" xfId="38967" xr:uid="{00000000-0005-0000-0000-00006FD10000}"/>
    <cellStyle name="Normal 88 3 2" xfId="38968" xr:uid="{00000000-0005-0000-0000-000070D10000}"/>
    <cellStyle name="Normal 88 3 2 2" xfId="38969" xr:uid="{00000000-0005-0000-0000-000071D10000}"/>
    <cellStyle name="Normal 88 3 2 2 2" xfId="38970" xr:uid="{00000000-0005-0000-0000-000072D10000}"/>
    <cellStyle name="Normal 88 3 2 3" xfId="38971" xr:uid="{00000000-0005-0000-0000-000073D10000}"/>
    <cellStyle name="Normal 88 3 2 3 2" xfId="38972" xr:uid="{00000000-0005-0000-0000-000074D10000}"/>
    <cellStyle name="Normal 88 3 2 4" xfId="38973" xr:uid="{00000000-0005-0000-0000-000075D10000}"/>
    <cellStyle name="Normal 88 3 3" xfId="38974" xr:uid="{00000000-0005-0000-0000-000076D10000}"/>
    <cellStyle name="Normal 88 3 3 2" xfId="38975" xr:uid="{00000000-0005-0000-0000-000077D10000}"/>
    <cellStyle name="Normal 88 3 3 2 2" xfId="38976" xr:uid="{00000000-0005-0000-0000-000078D10000}"/>
    <cellStyle name="Normal 88 3 3 3" xfId="38977" xr:uid="{00000000-0005-0000-0000-000079D10000}"/>
    <cellStyle name="Normal 88 3 3 3 2" xfId="38978" xr:uid="{00000000-0005-0000-0000-00007AD10000}"/>
    <cellStyle name="Normal 88 3 3 4" xfId="38979" xr:uid="{00000000-0005-0000-0000-00007BD10000}"/>
    <cellStyle name="Normal 88 3 4" xfId="38980" xr:uid="{00000000-0005-0000-0000-00007CD10000}"/>
    <cellStyle name="Normal 88 3 4 2" xfId="38981" xr:uid="{00000000-0005-0000-0000-00007DD10000}"/>
    <cellStyle name="Normal 88 3 5" xfId="38982" xr:uid="{00000000-0005-0000-0000-00007ED10000}"/>
    <cellStyle name="Normal 88 3 5 2" xfId="38983" xr:uid="{00000000-0005-0000-0000-00007FD10000}"/>
    <cellStyle name="Normal 88 3 6" xfId="38984" xr:uid="{00000000-0005-0000-0000-000080D10000}"/>
    <cellStyle name="Normal 88 4" xfId="38985" xr:uid="{00000000-0005-0000-0000-000081D10000}"/>
    <cellStyle name="Normal 88 4 2" xfId="38986" xr:uid="{00000000-0005-0000-0000-000082D10000}"/>
    <cellStyle name="Normal 88 4 2 2" xfId="38987" xr:uid="{00000000-0005-0000-0000-000083D10000}"/>
    <cellStyle name="Normal 88 4 3" xfId="38988" xr:uid="{00000000-0005-0000-0000-000084D10000}"/>
    <cellStyle name="Normal 88 4 3 2" xfId="38989" xr:uid="{00000000-0005-0000-0000-000085D10000}"/>
    <cellStyle name="Normal 88 4 4" xfId="38990" xr:uid="{00000000-0005-0000-0000-000086D10000}"/>
    <cellStyle name="Normal 88 5" xfId="38991" xr:uid="{00000000-0005-0000-0000-000087D10000}"/>
    <cellStyle name="Normal 88 5 2" xfId="38992" xr:uid="{00000000-0005-0000-0000-000088D10000}"/>
    <cellStyle name="Normal 88 5 2 2" xfId="38993" xr:uid="{00000000-0005-0000-0000-000089D10000}"/>
    <cellStyle name="Normal 88 5 3" xfId="38994" xr:uid="{00000000-0005-0000-0000-00008AD10000}"/>
    <cellStyle name="Normal 88 5 3 2" xfId="38995" xr:uid="{00000000-0005-0000-0000-00008BD10000}"/>
    <cellStyle name="Normal 88 5 4" xfId="38996" xr:uid="{00000000-0005-0000-0000-00008CD10000}"/>
    <cellStyle name="Normal 88 6" xfId="38997" xr:uid="{00000000-0005-0000-0000-00008DD10000}"/>
    <cellStyle name="Normal 88 6 2" xfId="38998" xr:uid="{00000000-0005-0000-0000-00008ED10000}"/>
    <cellStyle name="Normal 88 6 2 2" xfId="38999" xr:uid="{00000000-0005-0000-0000-00008FD10000}"/>
    <cellStyle name="Normal 88 6 3" xfId="39000" xr:uid="{00000000-0005-0000-0000-000090D10000}"/>
    <cellStyle name="Normal 88 6 3 2" xfId="39001" xr:uid="{00000000-0005-0000-0000-000091D10000}"/>
    <cellStyle name="Normal 88 6 4" xfId="39002" xr:uid="{00000000-0005-0000-0000-000092D10000}"/>
    <cellStyle name="Normal 88 7" xfId="39003" xr:uid="{00000000-0005-0000-0000-000093D10000}"/>
    <cellStyle name="Normal 88 7 2" xfId="39004" xr:uid="{00000000-0005-0000-0000-000094D10000}"/>
    <cellStyle name="Normal 88 7 2 2" xfId="39005" xr:uid="{00000000-0005-0000-0000-000095D10000}"/>
    <cellStyle name="Normal 88 7 3" xfId="39006" xr:uid="{00000000-0005-0000-0000-000096D10000}"/>
    <cellStyle name="Normal 88 7 3 2" xfId="39007" xr:uid="{00000000-0005-0000-0000-000097D10000}"/>
    <cellStyle name="Normal 88 7 4" xfId="39008" xr:uid="{00000000-0005-0000-0000-000098D10000}"/>
    <cellStyle name="Normal 88 8" xfId="39009" xr:uid="{00000000-0005-0000-0000-000099D10000}"/>
    <cellStyle name="Normal 88 8 2" xfId="39010" xr:uid="{00000000-0005-0000-0000-00009AD10000}"/>
    <cellStyle name="Normal 88 8 2 2" xfId="39011" xr:uid="{00000000-0005-0000-0000-00009BD10000}"/>
    <cellStyle name="Normal 88 8 3" xfId="39012" xr:uid="{00000000-0005-0000-0000-00009CD10000}"/>
    <cellStyle name="Normal 88 8 3 2" xfId="39013" xr:uid="{00000000-0005-0000-0000-00009DD10000}"/>
    <cellStyle name="Normal 88 8 4" xfId="39014" xr:uid="{00000000-0005-0000-0000-00009ED10000}"/>
    <cellStyle name="Normal 88 9" xfId="39015" xr:uid="{00000000-0005-0000-0000-00009FD10000}"/>
    <cellStyle name="Normal 88 9 2" xfId="39016" xr:uid="{00000000-0005-0000-0000-0000A0D10000}"/>
    <cellStyle name="Normal 88 9 2 2" xfId="39017" xr:uid="{00000000-0005-0000-0000-0000A1D10000}"/>
    <cellStyle name="Normal 88 9 3" xfId="39018" xr:uid="{00000000-0005-0000-0000-0000A2D10000}"/>
    <cellStyle name="Normal 89" xfId="39019" xr:uid="{00000000-0005-0000-0000-0000A3D10000}"/>
    <cellStyle name="Normal 89 10" xfId="39020" xr:uid="{00000000-0005-0000-0000-0000A4D10000}"/>
    <cellStyle name="Normal 89 10 2" xfId="39021" xr:uid="{00000000-0005-0000-0000-0000A5D10000}"/>
    <cellStyle name="Normal 89 11" xfId="39022" xr:uid="{00000000-0005-0000-0000-0000A6D10000}"/>
    <cellStyle name="Normal 89 11 2" xfId="39023" xr:uid="{00000000-0005-0000-0000-0000A7D10000}"/>
    <cellStyle name="Normal 89 12" xfId="39024" xr:uid="{00000000-0005-0000-0000-0000A8D10000}"/>
    <cellStyle name="Normal 89 13" xfId="39025" xr:uid="{00000000-0005-0000-0000-0000A9D10000}"/>
    <cellStyle name="Normal 89 2" xfId="39026" xr:uid="{00000000-0005-0000-0000-0000AAD10000}"/>
    <cellStyle name="Normal 89 2 10" xfId="39027" xr:uid="{00000000-0005-0000-0000-0000ABD10000}"/>
    <cellStyle name="Normal 89 2 10 2" xfId="39028" xr:uid="{00000000-0005-0000-0000-0000ACD10000}"/>
    <cellStyle name="Normal 89 2 11" xfId="39029" xr:uid="{00000000-0005-0000-0000-0000ADD10000}"/>
    <cellStyle name="Normal 89 2 2" xfId="39030" xr:uid="{00000000-0005-0000-0000-0000AED10000}"/>
    <cellStyle name="Normal 89 2 2 2" xfId="39031" xr:uid="{00000000-0005-0000-0000-0000AFD10000}"/>
    <cellStyle name="Normal 89 2 2 2 2" xfId="39032" xr:uid="{00000000-0005-0000-0000-0000B0D10000}"/>
    <cellStyle name="Normal 89 2 2 2 2 2" xfId="39033" xr:uid="{00000000-0005-0000-0000-0000B1D10000}"/>
    <cellStyle name="Normal 89 2 2 2 3" xfId="39034" xr:uid="{00000000-0005-0000-0000-0000B2D10000}"/>
    <cellStyle name="Normal 89 2 2 2 3 2" xfId="39035" xr:uid="{00000000-0005-0000-0000-0000B3D10000}"/>
    <cellStyle name="Normal 89 2 2 2 4" xfId="39036" xr:uid="{00000000-0005-0000-0000-0000B4D10000}"/>
    <cellStyle name="Normal 89 2 2 3" xfId="39037" xr:uid="{00000000-0005-0000-0000-0000B5D10000}"/>
    <cellStyle name="Normal 89 2 2 3 2" xfId="39038" xr:uid="{00000000-0005-0000-0000-0000B6D10000}"/>
    <cellStyle name="Normal 89 2 2 3 2 2" xfId="39039" xr:uid="{00000000-0005-0000-0000-0000B7D10000}"/>
    <cellStyle name="Normal 89 2 2 3 3" xfId="39040" xr:uid="{00000000-0005-0000-0000-0000B8D10000}"/>
    <cellStyle name="Normal 89 2 2 3 3 2" xfId="39041" xr:uid="{00000000-0005-0000-0000-0000B9D10000}"/>
    <cellStyle name="Normal 89 2 2 3 4" xfId="39042" xr:uid="{00000000-0005-0000-0000-0000BAD10000}"/>
    <cellStyle name="Normal 89 2 2 4" xfId="39043" xr:uid="{00000000-0005-0000-0000-0000BBD10000}"/>
    <cellStyle name="Normal 89 2 2 4 2" xfId="39044" xr:uid="{00000000-0005-0000-0000-0000BCD10000}"/>
    <cellStyle name="Normal 89 2 2 5" xfId="39045" xr:uid="{00000000-0005-0000-0000-0000BDD10000}"/>
    <cellStyle name="Normal 89 2 2 5 2" xfId="39046" xr:uid="{00000000-0005-0000-0000-0000BED10000}"/>
    <cellStyle name="Normal 89 2 2 6" xfId="39047" xr:uid="{00000000-0005-0000-0000-0000BFD10000}"/>
    <cellStyle name="Normal 89 2 3" xfId="39048" xr:uid="{00000000-0005-0000-0000-0000C0D10000}"/>
    <cellStyle name="Normal 89 2 3 2" xfId="39049" xr:uid="{00000000-0005-0000-0000-0000C1D10000}"/>
    <cellStyle name="Normal 89 2 3 2 2" xfId="39050" xr:uid="{00000000-0005-0000-0000-0000C2D10000}"/>
    <cellStyle name="Normal 89 2 3 3" xfId="39051" xr:uid="{00000000-0005-0000-0000-0000C3D10000}"/>
    <cellStyle name="Normal 89 2 3 3 2" xfId="39052" xr:uid="{00000000-0005-0000-0000-0000C4D10000}"/>
    <cellStyle name="Normal 89 2 3 4" xfId="39053" xr:uid="{00000000-0005-0000-0000-0000C5D10000}"/>
    <cellStyle name="Normal 89 2 4" xfId="39054" xr:uid="{00000000-0005-0000-0000-0000C6D10000}"/>
    <cellStyle name="Normal 89 2 4 2" xfId="39055" xr:uid="{00000000-0005-0000-0000-0000C7D10000}"/>
    <cellStyle name="Normal 89 2 4 2 2" xfId="39056" xr:uid="{00000000-0005-0000-0000-0000C8D10000}"/>
    <cellStyle name="Normal 89 2 4 3" xfId="39057" xr:uid="{00000000-0005-0000-0000-0000C9D10000}"/>
    <cellStyle name="Normal 89 2 4 3 2" xfId="39058" xr:uid="{00000000-0005-0000-0000-0000CAD10000}"/>
    <cellStyle name="Normal 89 2 4 4" xfId="39059" xr:uid="{00000000-0005-0000-0000-0000CBD10000}"/>
    <cellStyle name="Normal 89 2 5" xfId="39060" xr:uid="{00000000-0005-0000-0000-0000CCD10000}"/>
    <cellStyle name="Normal 89 2 5 2" xfId="39061" xr:uid="{00000000-0005-0000-0000-0000CDD10000}"/>
    <cellStyle name="Normal 89 2 5 2 2" xfId="39062" xr:uid="{00000000-0005-0000-0000-0000CED10000}"/>
    <cellStyle name="Normal 89 2 5 3" xfId="39063" xr:uid="{00000000-0005-0000-0000-0000CFD10000}"/>
    <cellStyle name="Normal 89 2 5 3 2" xfId="39064" xr:uid="{00000000-0005-0000-0000-0000D0D10000}"/>
    <cellStyle name="Normal 89 2 5 4" xfId="39065" xr:uid="{00000000-0005-0000-0000-0000D1D10000}"/>
    <cellStyle name="Normal 89 2 6" xfId="39066" xr:uid="{00000000-0005-0000-0000-0000D2D10000}"/>
    <cellStyle name="Normal 89 2 6 2" xfId="39067" xr:uid="{00000000-0005-0000-0000-0000D3D10000}"/>
    <cellStyle name="Normal 89 2 6 2 2" xfId="39068" xr:uid="{00000000-0005-0000-0000-0000D4D10000}"/>
    <cellStyle name="Normal 89 2 6 3" xfId="39069" xr:uid="{00000000-0005-0000-0000-0000D5D10000}"/>
    <cellStyle name="Normal 89 2 6 3 2" xfId="39070" xr:uid="{00000000-0005-0000-0000-0000D6D10000}"/>
    <cellStyle name="Normal 89 2 6 4" xfId="39071" xr:uid="{00000000-0005-0000-0000-0000D7D10000}"/>
    <cellStyle name="Normal 89 2 7" xfId="39072" xr:uid="{00000000-0005-0000-0000-0000D8D10000}"/>
    <cellStyle name="Normal 89 2 7 2" xfId="39073" xr:uid="{00000000-0005-0000-0000-0000D9D10000}"/>
    <cellStyle name="Normal 89 2 7 2 2" xfId="39074" xr:uid="{00000000-0005-0000-0000-0000DAD10000}"/>
    <cellStyle name="Normal 89 2 7 3" xfId="39075" xr:uid="{00000000-0005-0000-0000-0000DBD10000}"/>
    <cellStyle name="Normal 89 2 7 3 2" xfId="39076" xr:uid="{00000000-0005-0000-0000-0000DCD10000}"/>
    <cellStyle name="Normal 89 2 7 4" xfId="39077" xr:uid="{00000000-0005-0000-0000-0000DDD10000}"/>
    <cellStyle name="Normal 89 2 8" xfId="39078" xr:uid="{00000000-0005-0000-0000-0000DED10000}"/>
    <cellStyle name="Normal 89 2 8 2" xfId="39079" xr:uid="{00000000-0005-0000-0000-0000DFD10000}"/>
    <cellStyle name="Normal 89 2 8 2 2" xfId="39080" xr:uid="{00000000-0005-0000-0000-0000E0D10000}"/>
    <cellStyle name="Normal 89 2 8 3" xfId="39081" xr:uid="{00000000-0005-0000-0000-0000E1D10000}"/>
    <cellStyle name="Normal 89 2 9" xfId="39082" xr:uid="{00000000-0005-0000-0000-0000E2D10000}"/>
    <cellStyle name="Normal 89 2 9 2" xfId="39083" xr:uid="{00000000-0005-0000-0000-0000E3D10000}"/>
    <cellStyle name="Normal 89 3" xfId="39084" xr:uid="{00000000-0005-0000-0000-0000E4D10000}"/>
    <cellStyle name="Normal 89 3 2" xfId="39085" xr:uid="{00000000-0005-0000-0000-0000E5D10000}"/>
    <cellStyle name="Normal 89 3 2 2" xfId="39086" xr:uid="{00000000-0005-0000-0000-0000E6D10000}"/>
    <cellStyle name="Normal 89 3 2 2 2" xfId="39087" xr:uid="{00000000-0005-0000-0000-0000E7D10000}"/>
    <cellStyle name="Normal 89 3 2 3" xfId="39088" xr:uid="{00000000-0005-0000-0000-0000E8D10000}"/>
    <cellStyle name="Normal 89 3 2 3 2" xfId="39089" xr:uid="{00000000-0005-0000-0000-0000E9D10000}"/>
    <cellStyle name="Normal 89 3 2 4" xfId="39090" xr:uid="{00000000-0005-0000-0000-0000EAD10000}"/>
    <cellStyle name="Normal 89 3 3" xfId="39091" xr:uid="{00000000-0005-0000-0000-0000EBD10000}"/>
    <cellStyle name="Normal 89 3 3 2" xfId="39092" xr:uid="{00000000-0005-0000-0000-0000ECD10000}"/>
    <cellStyle name="Normal 89 3 3 2 2" xfId="39093" xr:uid="{00000000-0005-0000-0000-0000EDD10000}"/>
    <cellStyle name="Normal 89 3 3 3" xfId="39094" xr:uid="{00000000-0005-0000-0000-0000EED10000}"/>
    <cellStyle name="Normal 89 3 3 3 2" xfId="39095" xr:uid="{00000000-0005-0000-0000-0000EFD10000}"/>
    <cellStyle name="Normal 89 3 3 4" xfId="39096" xr:uid="{00000000-0005-0000-0000-0000F0D10000}"/>
    <cellStyle name="Normal 89 3 4" xfId="39097" xr:uid="{00000000-0005-0000-0000-0000F1D10000}"/>
    <cellStyle name="Normal 89 3 4 2" xfId="39098" xr:uid="{00000000-0005-0000-0000-0000F2D10000}"/>
    <cellStyle name="Normal 89 3 5" xfId="39099" xr:uid="{00000000-0005-0000-0000-0000F3D10000}"/>
    <cellStyle name="Normal 89 3 5 2" xfId="39100" xr:uid="{00000000-0005-0000-0000-0000F4D10000}"/>
    <cellStyle name="Normal 89 3 6" xfId="39101" xr:uid="{00000000-0005-0000-0000-0000F5D10000}"/>
    <cellStyle name="Normal 89 4" xfId="39102" xr:uid="{00000000-0005-0000-0000-0000F6D10000}"/>
    <cellStyle name="Normal 89 4 2" xfId="39103" xr:uid="{00000000-0005-0000-0000-0000F7D10000}"/>
    <cellStyle name="Normal 89 4 2 2" xfId="39104" xr:uid="{00000000-0005-0000-0000-0000F8D10000}"/>
    <cellStyle name="Normal 89 4 3" xfId="39105" xr:uid="{00000000-0005-0000-0000-0000F9D10000}"/>
    <cellStyle name="Normal 89 4 3 2" xfId="39106" xr:uid="{00000000-0005-0000-0000-0000FAD10000}"/>
    <cellStyle name="Normal 89 4 4" xfId="39107" xr:uid="{00000000-0005-0000-0000-0000FBD10000}"/>
    <cellStyle name="Normal 89 5" xfId="39108" xr:uid="{00000000-0005-0000-0000-0000FCD10000}"/>
    <cellStyle name="Normal 89 5 2" xfId="39109" xr:uid="{00000000-0005-0000-0000-0000FDD10000}"/>
    <cellStyle name="Normal 89 5 2 2" xfId="39110" xr:uid="{00000000-0005-0000-0000-0000FED10000}"/>
    <cellStyle name="Normal 89 5 3" xfId="39111" xr:uid="{00000000-0005-0000-0000-0000FFD10000}"/>
    <cellStyle name="Normal 89 5 3 2" xfId="39112" xr:uid="{00000000-0005-0000-0000-000000D20000}"/>
    <cellStyle name="Normal 89 5 4" xfId="39113" xr:uid="{00000000-0005-0000-0000-000001D20000}"/>
    <cellStyle name="Normal 89 6" xfId="39114" xr:uid="{00000000-0005-0000-0000-000002D20000}"/>
    <cellStyle name="Normal 89 6 2" xfId="39115" xr:uid="{00000000-0005-0000-0000-000003D20000}"/>
    <cellStyle name="Normal 89 6 2 2" xfId="39116" xr:uid="{00000000-0005-0000-0000-000004D20000}"/>
    <cellStyle name="Normal 89 6 3" xfId="39117" xr:uid="{00000000-0005-0000-0000-000005D20000}"/>
    <cellStyle name="Normal 89 6 3 2" xfId="39118" xr:uid="{00000000-0005-0000-0000-000006D20000}"/>
    <cellStyle name="Normal 89 6 4" xfId="39119" xr:uid="{00000000-0005-0000-0000-000007D20000}"/>
    <cellStyle name="Normal 89 7" xfId="39120" xr:uid="{00000000-0005-0000-0000-000008D20000}"/>
    <cellStyle name="Normal 89 7 2" xfId="39121" xr:uid="{00000000-0005-0000-0000-000009D20000}"/>
    <cellStyle name="Normal 89 7 2 2" xfId="39122" xr:uid="{00000000-0005-0000-0000-00000AD20000}"/>
    <cellStyle name="Normal 89 7 3" xfId="39123" xr:uid="{00000000-0005-0000-0000-00000BD20000}"/>
    <cellStyle name="Normal 89 7 3 2" xfId="39124" xr:uid="{00000000-0005-0000-0000-00000CD20000}"/>
    <cellStyle name="Normal 89 7 4" xfId="39125" xr:uid="{00000000-0005-0000-0000-00000DD20000}"/>
    <cellStyle name="Normal 89 8" xfId="39126" xr:uid="{00000000-0005-0000-0000-00000ED20000}"/>
    <cellStyle name="Normal 89 8 2" xfId="39127" xr:uid="{00000000-0005-0000-0000-00000FD20000}"/>
    <cellStyle name="Normal 89 8 2 2" xfId="39128" xr:uid="{00000000-0005-0000-0000-000010D20000}"/>
    <cellStyle name="Normal 89 8 3" xfId="39129" xr:uid="{00000000-0005-0000-0000-000011D20000}"/>
    <cellStyle name="Normal 89 8 3 2" xfId="39130" xr:uid="{00000000-0005-0000-0000-000012D20000}"/>
    <cellStyle name="Normal 89 8 4" xfId="39131" xr:uid="{00000000-0005-0000-0000-000013D20000}"/>
    <cellStyle name="Normal 89 9" xfId="39132" xr:uid="{00000000-0005-0000-0000-000014D20000}"/>
    <cellStyle name="Normal 89 9 2" xfId="39133" xr:uid="{00000000-0005-0000-0000-000015D20000}"/>
    <cellStyle name="Normal 89 9 2 2" xfId="39134" xr:uid="{00000000-0005-0000-0000-000016D20000}"/>
    <cellStyle name="Normal 89 9 3" xfId="39135" xr:uid="{00000000-0005-0000-0000-000017D20000}"/>
    <cellStyle name="Normal 9" xfId="39136" xr:uid="{00000000-0005-0000-0000-000018D20000}"/>
    <cellStyle name="Normal 9 10" xfId="39137" xr:uid="{00000000-0005-0000-0000-000019D20000}"/>
    <cellStyle name="Normal 9 10 2" xfId="39138" xr:uid="{00000000-0005-0000-0000-00001AD20000}"/>
    <cellStyle name="Normal 9 10 2 2" xfId="39139" xr:uid="{00000000-0005-0000-0000-00001BD20000}"/>
    <cellStyle name="Normal 9 10 2 2 2" xfId="39140" xr:uid="{00000000-0005-0000-0000-00001CD20000}"/>
    <cellStyle name="Normal 9 10 2 2 2 2" xfId="60669" xr:uid="{00000000-0005-0000-0000-00001DD20000}"/>
    <cellStyle name="Normal 9 10 2 2 2 3" xfId="60670" xr:uid="{00000000-0005-0000-0000-00001ED20000}"/>
    <cellStyle name="Normal 9 10 2 2 3" xfId="39141" xr:uid="{00000000-0005-0000-0000-00001FD20000}"/>
    <cellStyle name="Normal 9 10 2 2 3 2" xfId="60671" xr:uid="{00000000-0005-0000-0000-000020D20000}"/>
    <cellStyle name="Normal 9 10 2 2 4" xfId="39142" xr:uid="{00000000-0005-0000-0000-000021D20000}"/>
    <cellStyle name="Normal 9 10 2 2 5" xfId="39143" xr:uid="{00000000-0005-0000-0000-000022D20000}"/>
    <cellStyle name="Normal 9 10 2 2 6" xfId="39144" xr:uid="{00000000-0005-0000-0000-000023D20000}"/>
    <cellStyle name="Normal 9 10 2 3" xfId="39145" xr:uid="{00000000-0005-0000-0000-000024D20000}"/>
    <cellStyle name="Normal 9 10 2 3 2" xfId="60672" xr:uid="{00000000-0005-0000-0000-000025D20000}"/>
    <cellStyle name="Normal 9 10 2 3 3" xfId="60673" xr:uid="{00000000-0005-0000-0000-000026D20000}"/>
    <cellStyle name="Normal 9 10 2 4" xfId="39146" xr:uid="{00000000-0005-0000-0000-000027D20000}"/>
    <cellStyle name="Normal 9 10 2 4 2" xfId="60674" xr:uid="{00000000-0005-0000-0000-000028D20000}"/>
    <cellStyle name="Normal 9 10 2 5" xfId="39147" xr:uid="{00000000-0005-0000-0000-000029D20000}"/>
    <cellStyle name="Normal 9 10 2 6" xfId="39148" xr:uid="{00000000-0005-0000-0000-00002AD20000}"/>
    <cellStyle name="Normal 9 10 2 7" xfId="39149" xr:uid="{00000000-0005-0000-0000-00002BD20000}"/>
    <cellStyle name="Normal 9 10 3" xfId="39150" xr:uid="{00000000-0005-0000-0000-00002CD20000}"/>
    <cellStyle name="Normal 9 10 3 2" xfId="39151" xr:uid="{00000000-0005-0000-0000-00002DD20000}"/>
    <cellStyle name="Normal 9 10 3 2 2" xfId="60675" xr:uid="{00000000-0005-0000-0000-00002ED20000}"/>
    <cellStyle name="Normal 9 10 3 2 3" xfId="60676" xr:uid="{00000000-0005-0000-0000-00002FD20000}"/>
    <cellStyle name="Normal 9 10 3 3" xfId="39152" xr:uid="{00000000-0005-0000-0000-000030D20000}"/>
    <cellStyle name="Normal 9 10 3 3 2" xfId="60677" xr:uid="{00000000-0005-0000-0000-000031D20000}"/>
    <cellStyle name="Normal 9 10 3 4" xfId="39153" xr:uid="{00000000-0005-0000-0000-000032D20000}"/>
    <cellStyle name="Normal 9 10 3 5" xfId="39154" xr:uid="{00000000-0005-0000-0000-000033D20000}"/>
    <cellStyle name="Normal 9 10 3 6" xfId="39155" xr:uid="{00000000-0005-0000-0000-000034D20000}"/>
    <cellStyle name="Normal 9 10 4" xfId="39156" xr:uid="{00000000-0005-0000-0000-000035D20000}"/>
    <cellStyle name="Normal 9 10 4 2" xfId="60678" xr:uid="{00000000-0005-0000-0000-000036D20000}"/>
    <cellStyle name="Normal 9 10 4 3" xfId="60679" xr:uid="{00000000-0005-0000-0000-000037D20000}"/>
    <cellStyle name="Normal 9 10 5" xfId="39157" xr:uid="{00000000-0005-0000-0000-000038D20000}"/>
    <cellStyle name="Normal 9 10 5 2" xfId="60680" xr:uid="{00000000-0005-0000-0000-000039D20000}"/>
    <cellStyle name="Normal 9 10 6" xfId="39158" xr:uid="{00000000-0005-0000-0000-00003AD20000}"/>
    <cellStyle name="Normal 9 10 7" xfId="39159" xr:uid="{00000000-0005-0000-0000-00003BD20000}"/>
    <cellStyle name="Normal 9 10 8" xfId="39160" xr:uid="{00000000-0005-0000-0000-00003CD20000}"/>
    <cellStyle name="Normal 9 11" xfId="39161" xr:uid="{00000000-0005-0000-0000-00003DD20000}"/>
    <cellStyle name="Normal 9 11 2" xfId="39162" xr:uid="{00000000-0005-0000-0000-00003ED20000}"/>
    <cellStyle name="Normal 9 11 2 2" xfId="39163" xr:uid="{00000000-0005-0000-0000-00003FD20000}"/>
    <cellStyle name="Normal 9 11 2 2 2" xfId="39164" xr:uid="{00000000-0005-0000-0000-000040D20000}"/>
    <cellStyle name="Normal 9 11 2 2 2 2" xfId="60681" xr:uid="{00000000-0005-0000-0000-000041D20000}"/>
    <cellStyle name="Normal 9 11 2 2 2 3" xfId="60682" xr:uid="{00000000-0005-0000-0000-000042D20000}"/>
    <cellStyle name="Normal 9 11 2 2 3" xfId="39165" xr:uid="{00000000-0005-0000-0000-000043D20000}"/>
    <cellStyle name="Normal 9 11 2 2 3 2" xfId="60683" xr:uid="{00000000-0005-0000-0000-000044D20000}"/>
    <cellStyle name="Normal 9 11 2 2 4" xfId="39166" xr:uid="{00000000-0005-0000-0000-000045D20000}"/>
    <cellStyle name="Normal 9 11 2 2 5" xfId="39167" xr:uid="{00000000-0005-0000-0000-000046D20000}"/>
    <cellStyle name="Normal 9 11 2 2 6" xfId="39168" xr:uid="{00000000-0005-0000-0000-000047D20000}"/>
    <cellStyle name="Normal 9 11 2 3" xfId="39169" xr:uid="{00000000-0005-0000-0000-000048D20000}"/>
    <cellStyle name="Normal 9 11 2 3 2" xfId="60684" xr:uid="{00000000-0005-0000-0000-000049D20000}"/>
    <cellStyle name="Normal 9 11 2 3 3" xfId="60685" xr:uid="{00000000-0005-0000-0000-00004AD20000}"/>
    <cellStyle name="Normal 9 11 2 4" xfId="39170" xr:uid="{00000000-0005-0000-0000-00004BD20000}"/>
    <cellStyle name="Normal 9 11 2 4 2" xfId="60686" xr:uid="{00000000-0005-0000-0000-00004CD20000}"/>
    <cellStyle name="Normal 9 11 2 5" xfId="39171" xr:uid="{00000000-0005-0000-0000-00004DD20000}"/>
    <cellStyle name="Normal 9 11 2 6" xfId="39172" xr:uid="{00000000-0005-0000-0000-00004ED20000}"/>
    <cellStyle name="Normal 9 11 2 7" xfId="39173" xr:uid="{00000000-0005-0000-0000-00004FD20000}"/>
    <cellStyle name="Normal 9 11 3" xfId="39174" xr:uid="{00000000-0005-0000-0000-000050D20000}"/>
    <cellStyle name="Normal 9 11 3 2" xfId="39175" xr:uid="{00000000-0005-0000-0000-000051D20000}"/>
    <cellStyle name="Normal 9 11 3 2 2" xfId="60687" xr:uid="{00000000-0005-0000-0000-000052D20000}"/>
    <cellStyle name="Normal 9 11 3 2 3" xfId="60688" xr:uid="{00000000-0005-0000-0000-000053D20000}"/>
    <cellStyle name="Normal 9 11 3 3" xfId="39176" xr:uid="{00000000-0005-0000-0000-000054D20000}"/>
    <cellStyle name="Normal 9 11 3 3 2" xfId="60689" xr:uid="{00000000-0005-0000-0000-000055D20000}"/>
    <cellStyle name="Normal 9 11 3 4" xfId="39177" xr:uid="{00000000-0005-0000-0000-000056D20000}"/>
    <cellStyle name="Normal 9 11 3 5" xfId="39178" xr:uid="{00000000-0005-0000-0000-000057D20000}"/>
    <cellStyle name="Normal 9 11 3 6" xfId="39179" xr:uid="{00000000-0005-0000-0000-000058D20000}"/>
    <cellStyle name="Normal 9 11 4" xfId="39180" xr:uid="{00000000-0005-0000-0000-000059D20000}"/>
    <cellStyle name="Normal 9 11 4 2" xfId="60690" xr:uid="{00000000-0005-0000-0000-00005AD20000}"/>
    <cellStyle name="Normal 9 11 4 3" xfId="60691" xr:uid="{00000000-0005-0000-0000-00005BD20000}"/>
    <cellStyle name="Normal 9 11 5" xfId="39181" xr:uid="{00000000-0005-0000-0000-00005CD20000}"/>
    <cellStyle name="Normal 9 11 5 2" xfId="60692" xr:uid="{00000000-0005-0000-0000-00005DD20000}"/>
    <cellStyle name="Normal 9 11 6" xfId="39182" xr:uid="{00000000-0005-0000-0000-00005ED20000}"/>
    <cellStyle name="Normal 9 11 7" xfId="39183" xr:uid="{00000000-0005-0000-0000-00005FD20000}"/>
    <cellStyle name="Normal 9 11 8" xfId="39184" xr:uid="{00000000-0005-0000-0000-000060D20000}"/>
    <cellStyle name="Normal 9 12" xfId="39185" xr:uid="{00000000-0005-0000-0000-000061D20000}"/>
    <cellStyle name="Normal 9 12 2" xfId="39186" xr:uid="{00000000-0005-0000-0000-000062D20000}"/>
    <cellStyle name="Normal 9 12 2 2" xfId="39187" xr:uid="{00000000-0005-0000-0000-000063D20000}"/>
    <cellStyle name="Normal 9 12 2 2 2" xfId="60693" xr:uid="{00000000-0005-0000-0000-000064D20000}"/>
    <cellStyle name="Normal 9 12 2 2 3" xfId="60694" xr:uid="{00000000-0005-0000-0000-000065D20000}"/>
    <cellStyle name="Normal 9 12 2 3" xfId="39188" xr:uid="{00000000-0005-0000-0000-000066D20000}"/>
    <cellStyle name="Normal 9 12 2 3 2" xfId="60695" xr:uid="{00000000-0005-0000-0000-000067D20000}"/>
    <cellStyle name="Normal 9 12 2 4" xfId="39189" xr:uid="{00000000-0005-0000-0000-000068D20000}"/>
    <cellStyle name="Normal 9 12 2 5" xfId="39190" xr:uid="{00000000-0005-0000-0000-000069D20000}"/>
    <cellStyle name="Normal 9 12 2 6" xfId="39191" xr:uid="{00000000-0005-0000-0000-00006AD20000}"/>
    <cellStyle name="Normal 9 12 3" xfId="39192" xr:uid="{00000000-0005-0000-0000-00006BD20000}"/>
    <cellStyle name="Normal 9 12 3 2" xfId="60696" xr:uid="{00000000-0005-0000-0000-00006CD20000}"/>
    <cellStyle name="Normal 9 12 3 3" xfId="60697" xr:uid="{00000000-0005-0000-0000-00006DD20000}"/>
    <cellStyle name="Normal 9 12 4" xfId="39193" xr:uid="{00000000-0005-0000-0000-00006ED20000}"/>
    <cellStyle name="Normal 9 12 4 2" xfId="60698" xr:uid="{00000000-0005-0000-0000-00006FD20000}"/>
    <cellStyle name="Normal 9 12 5" xfId="39194" xr:uid="{00000000-0005-0000-0000-000070D20000}"/>
    <cellStyle name="Normal 9 12 6" xfId="39195" xr:uid="{00000000-0005-0000-0000-000071D20000}"/>
    <cellStyle name="Normal 9 12 7" xfId="39196" xr:uid="{00000000-0005-0000-0000-000072D20000}"/>
    <cellStyle name="Normal 9 13" xfId="39197" xr:uid="{00000000-0005-0000-0000-000073D20000}"/>
    <cellStyle name="Normal 9 13 2" xfId="39198" xr:uid="{00000000-0005-0000-0000-000074D20000}"/>
    <cellStyle name="Normal 9 13 2 2" xfId="60699" xr:uid="{00000000-0005-0000-0000-000075D20000}"/>
    <cellStyle name="Normal 9 13 2 3" xfId="60700" xr:uid="{00000000-0005-0000-0000-000076D20000}"/>
    <cellStyle name="Normal 9 13 3" xfId="39199" xr:uid="{00000000-0005-0000-0000-000077D20000}"/>
    <cellStyle name="Normal 9 13 3 2" xfId="60701" xr:uid="{00000000-0005-0000-0000-000078D20000}"/>
    <cellStyle name="Normal 9 13 4" xfId="39200" xr:uid="{00000000-0005-0000-0000-000079D20000}"/>
    <cellStyle name="Normal 9 13 5" xfId="39201" xr:uid="{00000000-0005-0000-0000-00007AD20000}"/>
    <cellStyle name="Normal 9 13 6" xfId="39202" xr:uid="{00000000-0005-0000-0000-00007BD20000}"/>
    <cellStyle name="Normal 9 14" xfId="39203" xr:uid="{00000000-0005-0000-0000-00007CD20000}"/>
    <cellStyle name="Normal 9 14 2" xfId="60702" xr:uid="{00000000-0005-0000-0000-00007DD20000}"/>
    <cellStyle name="Normal 9 14 3" xfId="60703" xr:uid="{00000000-0005-0000-0000-00007ED20000}"/>
    <cellStyle name="Normal 9 15" xfId="39204" xr:uid="{00000000-0005-0000-0000-00007FD20000}"/>
    <cellStyle name="Normal 9 15 2" xfId="60704" xr:uid="{00000000-0005-0000-0000-000080D20000}"/>
    <cellStyle name="Normal 9 16" xfId="39205" xr:uid="{00000000-0005-0000-0000-000081D20000}"/>
    <cellStyle name="Normal 9 16 2" xfId="60705" xr:uid="{00000000-0005-0000-0000-000082D20000}"/>
    <cellStyle name="Normal 9 17" xfId="39206" xr:uid="{00000000-0005-0000-0000-000083D20000}"/>
    <cellStyle name="Normal 9 18" xfId="39207" xr:uid="{00000000-0005-0000-0000-000084D20000}"/>
    <cellStyle name="Normal 9 19" xfId="39208" xr:uid="{00000000-0005-0000-0000-000085D20000}"/>
    <cellStyle name="Normal 9 2" xfId="39209" xr:uid="{00000000-0005-0000-0000-000086D20000}"/>
    <cellStyle name="Normal 9 2 10" xfId="39210" xr:uid="{00000000-0005-0000-0000-000087D20000}"/>
    <cellStyle name="Normal 9 2 10 2" xfId="39211" xr:uid="{00000000-0005-0000-0000-000088D20000}"/>
    <cellStyle name="Normal 9 2 10 2 2" xfId="39212" xr:uid="{00000000-0005-0000-0000-000089D20000}"/>
    <cellStyle name="Normal 9 2 10 2 2 2" xfId="60706" xr:uid="{00000000-0005-0000-0000-00008AD20000}"/>
    <cellStyle name="Normal 9 2 10 2 2 3" xfId="60707" xr:uid="{00000000-0005-0000-0000-00008BD20000}"/>
    <cellStyle name="Normal 9 2 10 2 3" xfId="39213" xr:uid="{00000000-0005-0000-0000-00008CD20000}"/>
    <cellStyle name="Normal 9 2 10 2 3 2" xfId="60708" xr:uid="{00000000-0005-0000-0000-00008DD20000}"/>
    <cellStyle name="Normal 9 2 10 2 4" xfId="39214" xr:uid="{00000000-0005-0000-0000-00008ED20000}"/>
    <cellStyle name="Normal 9 2 10 2 5" xfId="39215" xr:uid="{00000000-0005-0000-0000-00008FD20000}"/>
    <cellStyle name="Normal 9 2 10 2 6" xfId="39216" xr:uid="{00000000-0005-0000-0000-000090D20000}"/>
    <cellStyle name="Normal 9 2 10 3" xfId="39217" xr:uid="{00000000-0005-0000-0000-000091D20000}"/>
    <cellStyle name="Normal 9 2 10 3 2" xfId="60709" xr:uid="{00000000-0005-0000-0000-000092D20000}"/>
    <cellStyle name="Normal 9 2 10 3 3" xfId="60710" xr:uid="{00000000-0005-0000-0000-000093D20000}"/>
    <cellStyle name="Normal 9 2 10 4" xfId="39218" xr:uid="{00000000-0005-0000-0000-000094D20000}"/>
    <cellStyle name="Normal 9 2 10 4 2" xfId="60711" xr:uid="{00000000-0005-0000-0000-000095D20000}"/>
    <cellStyle name="Normal 9 2 10 5" xfId="39219" xr:uid="{00000000-0005-0000-0000-000096D20000}"/>
    <cellStyle name="Normal 9 2 10 6" xfId="39220" xr:uid="{00000000-0005-0000-0000-000097D20000}"/>
    <cellStyle name="Normal 9 2 10 7" xfId="39221" xr:uid="{00000000-0005-0000-0000-000098D20000}"/>
    <cellStyle name="Normal 9 2 11" xfId="39222" xr:uid="{00000000-0005-0000-0000-000099D20000}"/>
    <cellStyle name="Normal 9 2 11 2" xfId="39223" xr:uid="{00000000-0005-0000-0000-00009AD20000}"/>
    <cellStyle name="Normal 9 2 11 2 2" xfId="60712" xr:uid="{00000000-0005-0000-0000-00009BD20000}"/>
    <cellStyle name="Normal 9 2 11 2 3" xfId="60713" xr:uid="{00000000-0005-0000-0000-00009CD20000}"/>
    <cellStyle name="Normal 9 2 11 3" xfId="39224" xr:uid="{00000000-0005-0000-0000-00009DD20000}"/>
    <cellStyle name="Normal 9 2 11 3 2" xfId="60714" xr:uid="{00000000-0005-0000-0000-00009ED20000}"/>
    <cellStyle name="Normal 9 2 11 4" xfId="39225" xr:uid="{00000000-0005-0000-0000-00009FD20000}"/>
    <cellStyle name="Normal 9 2 11 5" xfId="39226" xr:uid="{00000000-0005-0000-0000-0000A0D20000}"/>
    <cellStyle name="Normal 9 2 11 6" xfId="39227" xr:uid="{00000000-0005-0000-0000-0000A1D20000}"/>
    <cellStyle name="Normal 9 2 12" xfId="39228" xr:uid="{00000000-0005-0000-0000-0000A2D20000}"/>
    <cellStyle name="Normal 9 2 12 2" xfId="60715" xr:uid="{00000000-0005-0000-0000-0000A3D20000}"/>
    <cellStyle name="Normal 9 2 12 3" xfId="60716" xr:uid="{00000000-0005-0000-0000-0000A4D20000}"/>
    <cellStyle name="Normal 9 2 13" xfId="39229" xr:uid="{00000000-0005-0000-0000-0000A5D20000}"/>
    <cellStyle name="Normal 9 2 13 2" xfId="60717" xr:uid="{00000000-0005-0000-0000-0000A6D20000}"/>
    <cellStyle name="Normal 9 2 14" xfId="39230" xr:uid="{00000000-0005-0000-0000-0000A7D20000}"/>
    <cellStyle name="Normal 9 2 14 2" xfId="60718" xr:uid="{00000000-0005-0000-0000-0000A8D20000}"/>
    <cellStyle name="Normal 9 2 15" xfId="39231" xr:uid="{00000000-0005-0000-0000-0000A9D20000}"/>
    <cellStyle name="Normal 9 2 16" xfId="39232" xr:uid="{00000000-0005-0000-0000-0000AAD20000}"/>
    <cellStyle name="Normal 9 2 17" xfId="39233" xr:uid="{00000000-0005-0000-0000-0000ABD20000}"/>
    <cellStyle name="Normal 9 2 18" xfId="39234" xr:uid="{00000000-0005-0000-0000-0000ACD20000}"/>
    <cellStyle name="Normal 9 2 19" xfId="39235" xr:uid="{00000000-0005-0000-0000-0000ADD20000}"/>
    <cellStyle name="Normal 9 2 2" xfId="39236" xr:uid="{00000000-0005-0000-0000-0000AED20000}"/>
    <cellStyle name="Normal 9 2 2 10" xfId="39237" xr:uid="{00000000-0005-0000-0000-0000AFD20000}"/>
    <cellStyle name="Normal 9 2 2 11" xfId="39238" xr:uid="{00000000-0005-0000-0000-0000B0D20000}"/>
    <cellStyle name="Normal 9 2 2 12" xfId="39239" xr:uid="{00000000-0005-0000-0000-0000B1D20000}"/>
    <cellStyle name="Normal 9 2 2 13" xfId="39240" xr:uid="{00000000-0005-0000-0000-0000B2D20000}"/>
    <cellStyle name="Normal 9 2 2 14" xfId="39241" xr:uid="{00000000-0005-0000-0000-0000B3D20000}"/>
    <cellStyle name="Normal 9 2 2 15" xfId="39242" xr:uid="{00000000-0005-0000-0000-0000B4D20000}"/>
    <cellStyle name="Normal 9 2 2 16" xfId="39243" xr:uid="{00000000-0005-0000-0000-0000B5D20000}"/>
    <cellStyle name="Normal 9 2 2 2" xfId="39244" xr:uid="{00000000-0005-0000-0000-0000B6D20000}"/>
    <cellStyle name="Normal 9 2 2 2 10" xfId="39245" xr:uid="{00000000-0005-0000-0000-0000B7D20000}"/>
    <cellStyle name="Normal 9 2 2 2 11" xfId="39246" xr:uid="{00000000-0005-0000-0000-0000B8D20000}"/>
    <cellStyle name="Normal 9 2 2 2 12" xfId="39247" xr:uid="{00000000-0005-0000-0000-0000B9D20000}"/>
    <cellStyle name="Normal 9 2 2 2 13" xfId="39248" xr:uid="{00000000-0005-0000-0000-0000BAD20000}"/>
    <cellStyle name="Normal 9 2 2 2 14" xfId="39249" xr:uid="{00000000-0005-0000-0000-0000BBD20000}"/>
    <cellStyle name="Normal 9 2 2 2 2" xfId="39250" xr:uid="{00000000-0005-0000-0000-0000BCD20000}"/>
    <cellStyle name="Normal 9 2 2 2 2 2" xfId="39251" xr:uid="{00000000-0005-0000-0000-0000BDD20000}"/>
    <cellStyle name="Normal 9 2 2 2 2 2 2" xfId="39252" xr:uid="{00000000-0005-0000-0000-0000BED20000}"/>
    <cellStyle name="Normal 9 2 2 2 2 2 2 2" xfId="39253" xr:uid="{00000000-0005-0000-0000-0000BFD20000}"/>
    <cellStyle name="Normal 9 2 2 2 2 2 2 2 2" xfId="60719" xr:uid="{00000000-0005-0000-0000-0000C0D20000}"/>
    <cellStyle name="Normal 9 2 2 2 2 2 2 2 3" xfId="60720" xr:uid="{00000000-0005-0000-0000-0000C1D20000}"/>
    <cellStyle name="Normal 9 2 2 2 2 2 2 3" xfId="39254" xr:uid="{00000000-0005-0000-0000-0000C2D20000}"/>
    <cellStyle name="Normal 9 2 2 2 2 2 2 3 2" xfId="60721" xr:uid="{00000000-0005-0000-0000-0000C3D20000}"/>
    <cellStyle name="Normal 9 2 2 2 2 2 2 4" xfId="39255" xr:uid="{00000000-0005-0000-0000-0000C4D20000}"/>
    <cellStyle name="Normal 9 2 2 2 2 2 2 5" xfId="39256" xr:uid="{00000000-0005-0000-0000-0000C5D20000}"/>
    <cellStyle name="Normal 9 2 2 2 2 2 2 6" xfId="39257" xr:uid="{00000000-0005-0000-0000-0000C6D20000}"/>
    <cellStyle name="Normal 9 2 2 2 2 2 3" xfId="39258" xr:uid="{00000000-0005-0000-0000-0000C7D20000}"/>
    <cellStyle name="Normal 9 2 2 2 2 2 3 2" xfId="60722" xr:uid="{00000000-0005-0000-0000-0000C8D20000}"/>
    <cellStyle name="Normal 9 2 2 2 2 2 3 3" xfId="60723" xr:uid="{00000000-0005-0000-0000-0000C9D20000}"/>
    <cellStyle name="Normal 9 2 2 2 2 2 4" xfId="39259" xr:uid="{00000000-0005-0000-0000-0000CAD20000}"/>
    <cellStyle name="Normal 9 2 2 2 2 2 4 2" xfId="60724" xr:uid="{00000000-0005-0000-0000-0000CBD20000}"/>
    <cellStyle name="Normal 9 2 2 2 2 2 5" xfId="39260" xr:uid="{00000000-0005-0000-0000-0000CCD20000}"/>
    <cellStyle name="Normal 9 2 2 2 2 2 6" xfId="39261" xr:uid="{00000000-0005-0000-0000-0000CDD20000}"/>
    <cellStyle name="Normal 9 2 2 2 2 2 7" xfId="39262" xr:uid="{00000000-0005-0000-0000-0000CED20000}"/>
    <cellStyle name="Normal 9 2 2 2 2 3" xfId="39263" xr:uid="{00000000-0005-0000-0000-0000CFD20000}"/>
    <cellStyle name="Normal 9 2 2 2 2 3 2" xfId="39264" xr:uid="{00000000-0005-0000-0000-0000D0D20000}"/>
    <cellStyle name="Normal 9 2 2 2 2 3 2 2" xfId="60725" xr:uid="{00000000-0005-0000-0000-0000D1D20000}"/>
    <cellStyle name="Normal 9 2 2 2 2 3 2 3" xfId="60726" xr:uid="{00000000-0005-0000-0000-0000D2D20000}"/>
    <cellStyle name="Normal 9 2 2 2 2 3 3" xfId="39265" xr:uid="{00000000-0005-0000-0000-0000D3D20000}"/>
    <cellStyle name="Normal 9 2 2 2 2 3 3 2" xfId="60727" xr:uid="{00000000-0005-0000-0000-0000D4D20000}"/>
    <cellStyle name="Normal 9 2 2 2 2 3 4" xfId="39266" xr:uid="{00000000-0005-0000-0000-0000D5D20000}"/>
    <cellStyle name="Normal 9 2 2 2 2 3 5" xfId="39267" xr:uid="{00000000-0005-0000-0000-0000D6D20000}"/>
    <cellStyle name="Normal 9 2 2 2 2 3 6" xfId="39268" xr:uid="{00000000-0005-0000-0000-0000D7D20000}"/>
    <cellStyle name="Normal 9 2 2 2 2 4" xfId="39269" xr:uid="{00000000-0005-0000-0000-0000D8D20000}"/>
    <cellStyle name="Normal 9 2 2 2 2 4 2" xfId="60728" xr:uid="{00000000-0005-0000-0000-0000D9D20000}"/>
    <cellStyle name="Normal 9 2 2 2 2 4 3" xfId="60729" xr:uid="{00000000-0005-0000-0000-0000DAD20000}"/>
    <cellStyle name="Normal 9 2 2 2 2 5" xfId="39270" xr:uid="{00000000-0005-0000-0000-0000DBD20000}"/>
    <cellStyle name="Normal 9 2 2 2 2 5 2" xfId="60730" xr:uid="{00000000-0005-0000-0000-0000DCD20000}"/>
    <cellStyle name="Normal 9 2 2 2 2 6" xfId="39271" xr:uid="{00000000-0005-0000-0000-0000DDD20000}"/>
    <cellStyle name="Normal 9 2 2 2 2 7" xfId="39272" xr:uid="{00000000-0005-0000-0000-0000DED20000}"/>
    <cellStyle name="Normal 9 2 2 2 2 8" xfId="39273" xr:uid="{00000000-0005-0000-0000-0000DFD20000}"/>
    <cellStyle name="Normal 9 2 2 2 2 9" xfId="39274" xr:uid="{00000000-0005-0000-0000-0000E0D20000}"/>
    <cellStyle name="Normal 9 2 2 2 3" xfId="39275" xr:uid="{00000000-0005-0000-0000-0000E1D20000}"/>
    <cellStyle name="Normal 9 2 2 2 3 2" xfId="39276" xr:uid="{00000000-0005-0000-0000-0000E2D20000}"/>
    <cellStyle name="Normal 9 2 2 2 3 2 2" xfId="39277" xr:uid="{00000000-0005-0000-0000-0000E3D20000}"/>
    <cellStyle name="Normal 9 2 2 2 3 2 2 2" xfId="39278" xr:uid="{00000000-0005-0000-0000-0000E4D20000}"/>
    <cellStyle name="Normal 9 2 2 2 3 2 2 2 2" xfId="60731" xr:uid="{00000000-0005-0000-0000-0000E5D20000}"/>
    <cellStyle name="Normal 9 2 2 2 3 2 2 2 3" xfId="60732" xr:uid="{00000000-0005-0000-0000-0000E6D20000}"/>
    <cellStyle name="Normal 9 2 2 2 3 2 2 3" xfId="39279" xr:uid="{00000000-0005-0000-0000-0000E7D20000}"/>
    <cellStyle name="Normal 9 2 2 2 3 2 2 3 2" xfId="60733" xr:uid="{00000000-0005-0000-0000-0000E8D20000}"/>
    <cellStyle name="Normal 9 2 2 2 3 2 2 4" xfId="39280" xr:uid="{00000000-0005-0000-0000-0000E9D20000}"/>
    <cellStyle name="Normal 9 2 2 2 3 2 2 5" xfId="39281" xr:uid="{00000000-0005-0000-0000-0000EAD20000}"/>
    <cellStyle name="Normal 9 2 2 2 3 2 2 6" xfId="39282" xr:uid="{00000000-0005-0000-0000-0000EBD20000}"/>
    <cellStyle name="Normal 9 2 2 2 3 2 3" xfId="39283" xr:uid="{00000000-0005-0000-0000-0000ECD20000}"/>
    <cellStyle name="Normal 9 2 2 2 3 2 3 2" xfId="60734" xr:uid="{00000000-0005-0000-0000-0000EDD20000}"/>
    <cellStyle name="Normal 9 2 2 2 3 2 3 3" xfId="60735" xr:uid="{00000000-0005-0000-0000-0000EED20000}"/>
    <cellStyle name="Normal 9 2 2 2 3 2 4" xfId="39284" xr:uid="{00000000-0005-0000-0000-0000EFD20000}"/>
    <cellStyle name="Normal 9 2 2 2 3 2 4 2" xfId="60736" xr:uid="{00000000-0005-0000-0000-0000F0D20000}"/>
    <cellStyle name="Normal 9 2 2 2 3 2 5" xfId="39285" xr:uid="{00000000-0005-0000-0000-0000F1D20000}"/>
    <cellStyle name="Normal 9 2 2 2 3 2 6" xfId="39286" xr:uid="{00000000-0005-0000-0000-0000F2D20000}"/>
    <cellStyle name="Normal 9 2 2 2 3 2 7" xfId="39287" xr:uid="{00000000-0005-0000-0000-0000F3D20000}"/>
    <cellStyle name="Normal 9 2 2 2 3 3" xfId="39288" xr:uid="{00000000-0005-0000-0000-0000F4D20000}"/>
    <cellStyle name="Normal 9 2 2 2 3 3 2" xfId="39289" xr:uid="{00000000-0005-0000-0000-0000F5D20000}"/>
    <cellStyle name="Normal 9 2 2 2 3 3 2 2" xfId="60737" xr:uid="{00000000-0005-0000-0000-0000F6D20000}"/>
    <cellStyle name="Normal 9 2 2 2 3 3 2 3" xfId="60738" xr:uid="{00000000-0005-0000-0000-0000F7D20000}"/>
    <cellStyle name="Normal 9 2 2 2 3 3 3" xfId="39290" xr:uid="{00000000-0005-0000-0000-0000F8D20000}"/>
    <cellStyle name="Normal 9 2 2 2 3 3 3 2" xfId="60739" xr:uid="{00000000-0005-0000-0000-0000F9D20000}"/>
    <cellStyle name="Normal 9 2 2 2 3 3 4" xfId="39291" xr:uid="{00000000-0005-0000-0000-0000FAD20000}"/>
    <cellStyle name="Normal 9 2 2 2 3 3 5" xfId="39292" xr:uid="{00000000-0005-0000-0000-0000FBD20000}"/>
    <cellStyle name="Normal 9 2 2 2 3 3 6" xfId="39293" xr:uid="{00000000-0005-0000-0000-0000FCD20000}"/>
    <cellStyle name="Normal 9 2 2 2 3 4" xfId="39294" xr:uid="{00000000-0005-0000-0000-0000FDD20000}"/>
    <cellStyle name="Normal 9 2 2 2 3 4 2" xfId="60740" xr:uid="{00000000-0005-0000-0000-0000FED20000}"/>
    <cellStyle name="Normal 9 2 2 2 3 4 3" xfId="60741" xr:uid="{00000000-0005-0000-0000-0000FFD20000}"/>
    <cellStyle name="Normal 9 2 2 2 3 5" xfId="39295" xr:uid="{00000000-0005-0000-0000-000000D30000}"/>
    <cellStyle name="Normal 9 2 2 2 3 5 2" xfId="60742" xr:uid="{00000000-0005-0000-0000-000001D30000}"/>
    <cellStyle name="Normal 9 2 2 2 3 6" xfId="39296" xr:uid="{00000000-0005-0000-0000-000002D30000}"/>
    <cellStyle name="Normal 9 2 2 2 3 7" xfId="39297" xr:uid="{00000000-0005-0000-0000-000003D30000}"/>
    <cellStyle name="Normal 9 2 2 2 3 8" xfId="39298" xr:uid="{00000000-0005-0000-0000-000004D30000}"/>
    <cellStyle name="Normal 9 2 2 2 4" xfId="39299" xr:uid="{00000000-0005-0000-0000-000005D30000}"/>
    <cellStyle name="Normal 9 2 2 2 4 2" xfId="39300" xr:uid="{00000000-0005-0000-0000-000006D30000}"/>
    <cellStyle name="Normal 9 2 2 2 4 2 2" xfId="39301" xr:uid="{00000000-0005-0000-0000-000007D30000}"/>
    <cellStyle name="Normal 9 2 2 2 4 2 2 2" xfId="60743" xr:uid="{00000000-0005-0000-0000-000008D30000}"/>
    <cellStyle name="Normal 9 2 2 2 4 2 2 3" xfId="60744" xr:uid="{00000000-0005-0000-0000-000009D30000}"/>
    <cellStyle name="Normal 9 2 2 2 4 2 3" xfId="39302" xr:uid="{00000000-0005-0000-0000-00000AD30000}"/>
    <cellStyle name="Normal 9 2 2 2 4 2 3 2" xfId="60745" xr:uid="{00000000-0005-0000-0000-00000BD30000}"/>
    <cellStyle name="Normal 9 2 2 2 4 2 4" xfId="39303" xr:uid="{00000000-0005-0000-0000-00000CD30000}"/>
    <cellStyle name="Normal 9 2 2 2 4 2 5" xfId="39304" xr:uid="{00000000-0005-0000-0000-00000DD30000}"/>
    <cellStyle name="Normal 9 2 2 2 4 2 6" xfId="39305" xr:uid="{00000000-0005-0000-0000-00000ED30000}"/>
    <cellStyle name="Normal 9 2 2 2 4 3" xfId="39306" xr:uid="{00000000-0005-0000-0000-00000FD30000}"/>
    <cellStyle name="Normal 9 2 2 2 4 3 2" xfId="60746" xr:uid="{00000000-0005-0000-0000-000010D30000}"/>
    <cellStyle name="Normal 9 2 2 2 4 3 3" xfId="60747" xr:uid="{00000000-0005-0000-0000-000011D30000}"/>
    <cellStyle name="Normal 9 2 2 2 4 4" xfId="39307" xr:uid="{00000000-0005-0000-0000-000012D30000}"/>
    <cellStyle name="Normal 9 2 2 2 4 4 2" xfId="60748" xr:uid="{00000000-0005-0000-0000-000013D30000}"/>
    <cellStyle name="Normal 9 2 2 2 4 5" xfId="39308" xr:uid="{00000000-0005-0000-0000-000014D30000}"/>
    <cellStyle name="Normal 9 2 2 2 4 6" xfId="39309" xr:uid="{00000000-0005-0000-0000-000015D30000}"/>
    <cellStyle name="Normal 9 2 2 2 4 7" xfId="39310" xr:uid="{00000000-0005-0000-0000-000016D30000}"/>
    <cellStyle name="Normal 9 2 2 2 5" xfId="39311" xr:uid="{00000000-0005-0000-0000-000017D30000}"/>
    <cellStyle name="Normal 9 2 2 2 5 2" xfId="39312" xr:uid="{00000000-0005-0000-0000-000018D30000}"/>
    <cellStyle name="Normal 9 2 2 2 5 2 2" xfId="60749" xr:uid="{00000000-0005-0000-0000-000019D30000}"/>
    <cellStyle name="Normal 9 2 2 2 5 2 3" xfId="60750" xr:uid="{00000000-0005-0000-0000-00001AD30000}"/>
    <cellStyle name="Normal 9 2 2 2 5 3" xfId="39313" xr:uid="{00000000-0005-0000-0000-00001BD30000}"/>
    <cellStyle name="Normal 9 2 2 2 5 3 2" xfId="60751" xr:uid="{00000000-0005-0000-0000-00001CD30000}"/>
    <cellStyle name="Normal 9 2 2 2 5 4" xfId="39314" xr:uid="{00000000-0005-0000-0000-00001DD30000}"/>
    <cellStyle name="Normal 9 2 2 2 5 5" xfId="39315" xr:uid="{00000000-0005-0000-0000-00001ED30000}"/>
    <cellStyle name="Normal 9 2 2 2 5 6" xfId="39316" xr:uid="{00000000-0005-0000-0000-00001FD30000}"/>
    <cellStyle name="Normal 9 2 2 2 6" xfId="39317" xr:uid="{00000000-0005-0000-0000-000020D30000}"/>
    <cellStyle name="Normal 9 2 2 2 6 2" xfId="60752" xr:uid="{00000000-0005-0000-0000-000021D30000}"/>
    <cellStyle name="Normal 9 2 2 2 6 3" xfId="60753" xr:uid="{00000000-0005-0000-0000-000022D30000}"/>
    <cellStyle name="Normal 9 2 2 2 7" xfId="39318" xr:uid="{00000000-0005-0000-0000-000023D30000}"/>
    <cellStyle name="Normal 9 2 2 2 7 2" xfId="60754" xr:uid="{00000000-0005-0000-0000-000024D30000}"/>
    <cellStyle name="Normal 9 2 2 2 8" xfId="39319" xr:uid="{00000000-0005-0000-0000-000025D30000}"/>
    <cellStyle name="Normal 9 2 2 2 9" xfId="39320" xr:uid="{00000000-0005-0000-0000-000026D30000}"/>
    <cellStyle name="Normal 9 2 2 3" xfId="39321" xr:uid="{00000000-0005-0000-0000-000027D30000}"/>
    <cellStyle name="Normal 9 2 2 3 2" xfId="39322" xr:uid="{00000000-0005-0000-0000-000028D30000}"/>
    <cellStyle name="Normal 9 2 2 3 2 2" xfId="39323" xr:uid="{00000000-0005-0000-0000-000029D30000}"/>
    <cellStyle name="Normal 9 2 2 3 2 2 2" xfId="39324" xr:uid="{00000000-0005-0000-0000-00002AD30000}"/>
    <cellStyle name="Normal 9 2 2 3 2 2 2 2" xfId="60755" xr:uid="{00000000-0005-0000-0000-00002BD30000}"/>
    <cellStyle name="Normal 9 2 2 3 2 2 2 3" xfId="60756" xr:uid="{00000000-0005-0000-0000-00002CD30000}"/>
    <cellStyle name="Normal 9 2 2 3 2 2 3" xfId="39325" xr:uid="{00000000-0005-0000-0000-00002DD30000}"/>
    <cellStyle name="Normal 9 2 2 3 2 2 3 2" xfId="60757" xr:uid="{00000000-0005-0000-0000-00002ED30000}"/>
    <cellStyle name="Normal 9 2 2 3 2 2 4" xfId="39326" xr:uid="{00000000-0005-0000-0000-00002FD30000}"/>
    <cellStyle name="Normal 9 2 2 3 2 2 5" xfId="39327" xr:uid="{00000000-0005-0000-0000-000030D30000}"/>
    <cellStyle name="Normal 9 2 2 3 2 2 6" xfId="39328" xr:uid="{00000000-0005-0000-0000-000031D30000}"/>
    <cellStyle name="Normal 9 2 2 3 2 3" xfId="39329" xr:uid="{00000000-0005-0000-0000-000032D30000}"/>
    <cellStyle name="Normal 9 2 2 3 2 3 2" xfId="60758" xr:uid="{00000000-0005-0000-0000-000033D30000}"/>
    <cellStyle name="Normal 9 2 2 3 2 3 3" xfId="60759" xr:uid="{00000000-0005-0000-0000-000034D30000}"/>
    <cellStyle name="Normal 9 2 2 3 2 4" xfId="39330" xr:uid="{00000000-0005-0000-0000-000035D30000}"/>
    <cellStyle name="Normal 9 2 2 3 2 4 2" xfId="60760" xr:uid="{00000000-0005-0000-0000-000036D30000}"/>
    <cellStyle name="Normal 9 2 2 3 2 5" xfId="39331" xr:uid="{00000000-0005-0000-0000-000037D30000}"/>
    <cellStyle name="Normal 9 2 2 3 2 6" xfId="39332" xr:uid="{00000000-0005-0000-0000-000038D30000}"/>
    <cellStyle name="Normal 9 2 2 3 2 7" xfId="39333" xr:uid="{00000000-0005-0000-0000-000039D30000}"/>
    <cellStyle name="Normal 9 2 2 3 3" xfId="39334" xr:uid="{00000000-0005-0000-0000-00003AD30000}"/>
    <cellStyle name="Normal 9 2 2 3 3 2" xfId="39335" xr:uid="{00000000-0005-0000-0000-00003BD30000}"/>
    <cellStyle name="Normal 9 2 2 3 3 2 2" xfId="60761" xr:uid="{00000000-0005-0000-0000-00003CD30000}"/>
    <cellStyle name="Normal 9 2 2 3 3 2 3" xfId="60762" xr:uid="{00000000-0005-0000-0000-00003DD30000}"/>
    <cellStyle name="Normal 9 2 2 3 3 3" xfId="39336" xr:uid="{00000000-0005-0000-0000-00003ED30000}"/>
    <cellStyle name="Normal 9 2 2 3 3 3 2" xfId="60763" xr:uid="{00000000-0005-0000-0000-00003FD30000}"/>
    <cellStyle name="Normal 9 2 2 3 3 4" xfId="39337" xr:uid="{00000000-0005-0000-0000-000040D30000}"/>
    <cellStyle name="Normal 9 2 2 3 3 5" xfId="39338" xr:uid="{00000000-0005-0000-0000-000041D30000}"/>
    <cellStyle name="Normal 9 2 2 3 3 6" xfId="39339" xr:uid="{00000000-0005-0000-0000-000042D30000}"/>
    <cellStyle name="Normal 9 2 2 3 4" xfId="39340" xr:uid="{00000000-0005-0000-0000-000043D30000}"/>
    <cellStyle name="Normal 9 2 2 3 4 2" xfId="60764" xr:uid="{00000000-0005-0000-0000-000044D30000}"/>
    <cellStyle name="Normal 9 2 2 3 4 3" xfId="60765" xr:uid="{00000000-0005-0000-0000-000045D30000}"/>
    <cellStyle name="Normal 9 2 2 3 5" xfId="39341" xr:uid="{00000000-0005-0000-0000-000046D30000}"/>
    <cellStyle name="Normal 9 2 2 3 5 2" xfId="60766" xr:uid="{00000000-0005-0000-0000-000047D30000}"/>
    <cellStyle name="Normal 9 2 2 3 6" xfId="39342" xr:uid="{00000000-0005-0000-0000-000048D30000}"/>
    <cellStyle name="Normal 9 2 2 3 7" xfId="39343" xr:uid="{00000000-0005-0000-0000-000049D30000}"/>
    <cellStyle name="Normal 9 2 2 3 8" xfId="39344" xr:uid="{00000000-0005-0000-0000-00004AD30000}"/>
    <cellStyle name="Normal 9 2 2 3 9" xfId="39345" xr:uid="{00000000-0005-0000-0000-00004BD30000}"/>
    <cellStyle name="Normal 9 2 2 4" xfId="39346" xr:uid="{00000000-0005-0000-0000-00004CD30000}"/>
    <cellStyle name="Normal 9 2 2 4 2" xfId="39347" xr:uid="{00000000-0005-0000-0000-00004DD30000}"/>
    <cellStyle name="Normal 9 2 2 4 2 2" xfId="39348" xr:uid="{00000000-0005-0000-0000-00004ED30000}"/>
    <cellStyle name="Normal 9 2 2 4 2 2 2" xfId="39349" xr:uid="{00000000-0005-0000-0000-00004FD30000}"/>
    <cellStyle name="Normal 9 2 2 4 2 2 2 2" xfId="60767" xr:uid="{00000000-0005-0000-0000-000050D30000}"/>
    <cellStyle name="Normal 9 2 2 4 2 2 2 3" xfId="60768" xr:uid="{00000000-0005-0000-0000-000051D30000}"/>
    <cellStyle name="Normal 9 2 2 4 2 2 3" xfId="39350" xr:uid="{00000000-0005-0000-0000-000052D30000}"/>
    <cellStyle name="Normal 9 2 2 4 2 2 3 2" xfId="60769" xr:uid="{00000000-0005-0000-0000-000053D30000}"/>
    <cellStyle name="Normal 9 2 2 4 2 2 4" xfId="39351" xr:uid="{00000000-0005-0000-0000-000054D30000}"/>
    <cellStyle name="Normal 9 2 2 4 2 2 5" xfId="39352" xr:uid="{00000000-0005-0000-0000-000055D30000}"/>
    <cellStyle name="Normal 9 2 2 4 2 2 6" xfId="39353" xr:uid="{00000000-0005-0000-0000-000056D30000}"/>
    <cellStyle name="Normal 9 2 2 4 2 3" xfId="39354" xr:uid="{00000000-0005-0000-0000-000057D30000}"/>
    <cellStyle name="Normal 9 2 2 4 2 3 2" xfId="60770" xr:uid="{00000000-0005-0000-0000-000058D30000}"/>
    <cellStyle name="Normal 9 2 2 4 2 3 3" xfId="60771" xr:uid="{00000000-0005-0000-0000-000059D30000}"/>
    <cellStyle name="Normal 9 2 2 4 2 4" xfId="39355" xr:uid="{00000000-0005-0000-0000-00005AD30000}"/>
    <cellStyle name="Normal 9 2 2 4 2 4 2" xfId="60772" xr:uid="{00000000-0005-0000-0000-00005BD30000}"/>
    <cellStyle name="Normal 9 2 2 4 2 5" xfId="39356" xr:uid="{00000000-0005-0000-0000-00005CD30000}"/>
    <cellStyle name="Normal 9 2 2 4 2 6" xfId="39357" xr:uid="{00000000-0005-0000-0000-00005DD30000}"/>
    <cellStyle name="Normal 9 2 2 4 2 7" xfId="39358" xr:uid="{00000000-0005-0000-0000-00005ED30000}"/>
    <cellStyle name="Normal 9 2 2 4 3" xfId="39359" xr:uid="{00000000-0005-0000-0000-00005FD30000}"/>
    <cellStyle name="Normal 9 2 2 4 3 2" xfId="39360" xr:uid="{00000000-0005-0000-0000-000060D30000}"/>
    <cellStyle name="Normal 9 2 2 4 3 2 2" xfId="60773" xr:uid="{00000000-0005-0000-0000-000061D30000}"/>
    <cellStyle name="Normal 9 2 2 4 3 2 3" xfId="60774" xr:uid="{00000000-0005-0000-0000-000062D30000}"/>
    <cellStyle name="Normal 9 2 2 4 3 3" xfId="39361" xr:uid="{00000000-0005-0000-0000-000063D30000}"/>
    <cellStyle name="Normal 9 2 2 4 3 3 2" xfId="60775" xr:uid="{00000000-0005-0000-0000-000064D30000}"/>
    <cellStyle name="Normal 9 2 2 4 3 4" xfId="39362" xr:uid="{00000000-0005-0000-0000-000065D30000}"/>
    <cellStyle name="Normal 9 2 2 4 3 5" xfId="39363" xr:uid="{00000000-0005-0000-0000-000066D30000}"/>
    <cellStyle name="Normal 9 2 2 4 3 6" xfId="39364" xr:uid="{00000000-0005-0000-0000-000067D30000}"/>
    <cellStyle name="Normal 9 2 2 4 4" xfId="39365" xr:uid="{00000000-0005-0000-0000-000068D30000}"/>
    <cellStyle name="Normal 9 2 2 4 4 2" xfId="60776" xr:uid="{00000000-0005-0000-0000-000069D30000}"/>
    <cellStyle name="Normal 9 2 2 4 4 3" xfId="60777" xr:uid="{00000000-0005-0000-0000-00006AD30000}"/>
    <cellStyle name="Normal 9 2 2 4 5" xfId="39366" xr:uid="{00000000-0005-0000-0000-00006BD30000}"/>
    <cellStyle name="Normal 9 2 2 4 5 2" xfId="60778" xr:uid="{00000000-0005-0000-0000-00006CD30000}"/>
    <cellStyle name="Normal 9 2 2 4 6" xfId="39367" xr:uid="{00000000-0005-0000-0000-00006DD30000}"/>
    <cellStyle name="Normal 9 2 2 4 7" xfId="39368" xr:uid="{00000000-0005-0000-0000-00006ED30000}"/>
    <cellStyle name="Normal 9 2 2 4 8" xfId="39369" xr:uid="{00000000-0005-0000-0000-00006FD30000}"/>
    <cellStyle name="Normal 9 2 2 5" xfId="39370" xr:uid="{00000000-0005-0000-0000-000070D30000}"/>
    <cellStyle name="Normal 9 2 2 5 2" xfId="39371" xr:uid="{00000000-0005-0000-0000-000071D30000}"/>
    <cellStyle name="Normal 9 2 2 5 2 2" xfId="39372" xr:uid="{00000000-0005-0000-0000-000072D30000}"/>
    <cellStyle name="Normal 9 2 2 5 2 2 2" xfId="60779" xr:uid="{00000000-0005-0000-0000-000073D30000}"/>
    <cellStyle name="Normal 9 2 2 5 2 2 3" xfId="60780" xr:uid="{00000000-0005-0000-0000-000074D30000}"/>
    <cellStyle name="Normal 9 2 2 5 2 3" xfId="39373" xr:uid="{00000000-0005-0000-0000-000075D30000}"/>
    <cellStyle name="Normal 9 2 2 5 2 3 2" xfId="60781" xr:uid="{00000000-0005-0000-0000-000076D30000}"/>
    <cellStyle name="Normal 9 2 2 5 2 4" xfId="39374" xr:uid="{00000000-0005-0000-0000-000077D30000}"/>
    <cellStyle name="Normal 9 2 2 5 2 5" xfId="39375" xr:uid="{00000000-0005-0000-0000-000078D30000}"/>
    <cellStyle name="Normal 9 2 2 5 2 6" xfId="39376" xr:uid="{00000000-0005-0000-0000-000079D30000}"/>
    <cellStyle name="Normal 9 2 2 5 3" xfId="39377" xr:uid="{00000000-0005-0000-0000-00007AD30000}"/>
    <cellStyle name="Normal 9 2 2 5 3 2" xfId="60782" xr:uid="{00000000-0005-0000-0000-00007BD30000}"/>
    <cellStyle name="Normal 9 2 2 5 3 3" xfId="60783" xr:uid="{00000000-0005-0000-0000-00007CD30000}"/>
    <cellStyle name="Normal 9 2 2 5 4" xfId="39378" xr:uid="{00000000-0005-0000-0000-00007DD30000}"/>
    <cellStyle name="Normal 9 2 2 5 4 2" xfId="60784" xr:uid="{00000000-0005-0000-0000-00007ED30000}"/>
    <cellStyle name="Normal 9 2 2 5 5" xfId="39379" xr:uid="{00000000-0005-0000-0000-00007FD30000}"/>
    <cellStyle name="Normal 9 2 2 5 6" xfId="39380" xr:uid="{00000000-0005-0000-0000-000080D30000}"/>
    <cellStyle name="Normal 9 2 2 5 7" xfId="39381" xr:uid="{00000000-0005-0000-0000-000081D30000}"/>
    <cellStyle name="Normal 9 2 2 6" xfId="39382" xr:uid="{00000000-0005-0000-0000-000082D30000}"/>
    <cellStyle name="Normal 9 2 2 6 2" xfId="39383" xr:uid="{00000000-0005-0000-0000-000083D30000}"/>
    <cellStyle name="Normal 9 2 2 6 2 2" xfId="60785" xr:uid="{00000000-0005-0000-0000-000084D30000}"/>
    <cellStyle name="Normal 9 2 2 6 2 3" xfId="60786" xr:uid="{00000000-0005-0000-0000-000085D30000}"/>
    <cellStyle name="Normal 9 2 2 6 3" xfId="39384" xr:uid="{00000000-0005-0000-0000-000086D30000}"/>
    <cellStyle name="Normal 9 2 2 6 3 2" xfId="60787" xr:uid="{00000000-0005-0000-0000-000087D30000}"/>
    <cellStyle name="Normal 9 2 2 6 4" xfId="39385" xr:uid="{00000000-0005-0000-0000-000088D30000}"/>
    <cellStyle name="Normal 9 2 2 6 5" xfId="39386" xr:uid="{00000000-0005-0000-0000-000089D30000}"/>
    <cellStyle name="Normal 9 2 2 6 6" xfId="39387" xr:uid="{00000000-0005-0000-0000-00008AD30000}"/>
    <cellStyle name="Normal 9 2 2 7" xfId="39388" xr:uid="{00000000-0005-0000-0000-00008BD30000}"/>
    <cellStyle name="Normal 9 2 2 7 2" xfId="60788" xr:uid="{00000000-0005-0000-0000-00008CD30000}"/>
    <cellStyle name="Normal 9 2 2 7 3" xfId="60789" xr:uid="{00000000-0005-0000-0000-00008DD30000}"/>
    <cellStyle name="Normal 9 2 2 8" xfId="39389" xr:uid="{00000000-0005-0000-0000-00008ED30000}"/>
    <cellStyle name="Normal 9 2 2 8 2" xfId="60790" xr:uid="{00000000-0005-0000-0000-00008FD30000}"/>
    <cellStyle name="Normal 9 2 2 9" xfId="39390" xr:uid="{00000000-0005-0000-0000-000090D30000}"/>
    <cellStyle name="Normal 9 2 2 9 2" xfId="60791" xr:uid="{00000000-0005-0000-0000-000091D30000}"/>
    <cellStyle name="Normal 9 2 20" xfId="39391" xr:uid="{00000000-0005-0000-0000-000092D30000}"/>
    <cellStyle name="Normal 9 2 21" xfId="39392" xr:uid="{00000000-0005-0000-0000-000093D30000}"/>
    <cellStyle name="Normal 9 2 3" xfId="39393" xr:uid="{00000000-0005-0000-0000-000094D30000}"/>
    <cellStyle name="Normal 9 2 3 10" xfId="39394" xr:uid="{00000000-0005-0000-0000-000095D30000}"/>
    <cellStyle name="Normal 9 2 3 11" xfId="39395" xr:uid="{00000000-0005-0000-0000-000096D30000}"/>
    <cellStyle name="Normal 9 2 3 12" xfId="39396" xr:uid="{00000000-0005-0000-0000-000097D30000}"/>
    <cellStyle name="Normal 9 2 3 13" xfId="39397" xr:uid="{00000000-0005-0000-0000-000098D30000}"/>
    <cellStyle name="Normal 9 2 3 14" xfId="39398" xr:uid="{00000000-0005-0000-0000-000099D30000}"/>
    <cellStyle name="Normal 9 2 3 15" xfId="39399" xr:uid="{00000000-0005-0000-0000-00009AD30000}"/>
    <cellStyle name="Normal 9 2 3 2" xfId="39400" xr:uid="{00000000-0005-0000-0000-00009BD30000}"/>
    <cellStyle name="Normal 9 2 3 2 10" xfId="39401" xr:uid="{00000000-0005-0000-0000-00009CD30000}"/>
    <cellStyle name="Normal 9 2 3 2 11" xfId="39402" xr:uid="{00000000-0005-0000-0000-00009DD30000}"/>
    <cellStyle name="Normal 9 2 3 2 12" xfId="39403" xr:uid="{00000000-0005-0000-0000-00009ED30000}"/>
    <cellStyle name="Normal 9 2 3 2 13" xfId="39404" xr:uid="{00000000-0005-0000-0000-00009FD30000}"/>
    <cellStyle name="Normal 9 2 3 2 14" xfId="39405" xr:uid="{00000000-0005-0000-0000-0000A0D30000}"/>
    <cellStyle name="Normal 9 2 3 2 2" xfId="39406" xr:uid="{00000000-0005-0000-0000-0000A1D30000}"/>
    <cellStyle name="Normal 9 2 3 2 2 2" xfId="39407" xr:uid="{00000000-0005-0000-0000-0000A2D30000}"/>
    <cellStyle name="Normal 9 2 3 2 2 2 2" xfId="39408" xr:uid="{00000000-0005-0000-0000-0000A3D30000}"/>
    <cellStyle name="Normal 9 2 3 2 2 2 2 2" xfId="39409" xr:uid="{00000000-0005-0000-0000-0000A4D30000}"/>
    <cellStyle name="Normal 9 2 3 2 2 2 2 2 2" xfId="60792" xr:uid="{00000000-0005-0000-0000-0000A5D30000}"/>
    <cellStyle name="Normal 9 2 3 2 2 2 2 2 3" xfId="60793" xr:uid="{00000000-0005-0000-0000-0000A6D30000}"/>
    <cellStyle name="Normal 9 2 3 2 2 2 2 3" xfId="39410" xr:uid="{00000000-0005-0000-0000-0000A7D30000}"/>
    <cellStyle name="Normal 9 2 3 2 2 2 2 3 2" xfId="60794" xr:uid="{00000000-0005-0000-0000-0000A8D30000}"/>
    <cellStyle name="Normal 9 2 3 2 2 2 2 4" xfId="39411" xr:uid="{00000000-0005-0000-0000-0000A9D30000}"/>
    <cellStyle name="Normal 9 2 3 2 2 2 2 5" xfId="39412" xr:uid="{00000000-0005-0000-0000-0000AAD30000}"/>
    <cellStyle name="Normal 9 2 3 2 2 2 2 6" xfId="39413" xr:uid="{00000000-0005-0000-0000-0000ABD30000}"/>
    <cellStyle name="Normal 9 2 3 2 2 2 3" xfId="39414" xr:uid="{00000000-0005-0000-0000-0000ACD30000}"/>
    <cellStyle name="Normal 9 2 3 2 2 2 3 2" xfId="60795" xr:uid="{00000000-0005-0000-0000-0000ADD30000}"/>
    <cellStyle name="Normal 9 2 3 2 2 2 3 3" xfId="60796" xr:uid="{00000000-0005-0000-0000-0000AED30000}"/>
    <cellStyle name="Normal 9 2 3 2 2 2 4" xfId="39415" xr:uid="{00000000-0005-0000-0000-0000AFD30000}"/>
    <cellStyle name="Normal 9 2 3 2 2 2 4 2" xfId="60797" xr:uid="{00000000-0005-0000-0000-0000B0D30000}"/>
    <cellStyle name="Normal 9 2 3 2 2 2 5" xfId="39416" xr:uid="{00000000-0005-0000-0000-0000B1D30000}"/>
    <cellStyle name="Normal 9 2 3 2 2 2 6" xfId="39417" xr:uid="{00000000-0005-0000-0000-0000B2D30000}"/>
    <cellStyle name="Normal 9 2 3 2 2 2 7" xfId="39418" xr:uid="{00000000-0005-0000-0000-0000B3D30000}"/>
    <cellStyle name="Normal 9 2 3 2 2 3" xfId="39419" xr:uid="{00000000-0005-0000-0000-0000B4D30000}"/>
    <cellStyle name="Normal 9 2 3 2 2 3 2" xfId="39420" xr:uid="{00000000-0005-0000-0000-0000B5D30000}"/>
    <cellStyle name="Normal 9 2 3 2 2 3 2 2" xfId="60798" xr:uid="{00000000-0005-0000-0000-0000B6D30000}"/>
    <cellStyle name="Normal 9 2 3 2 2 3 2 3" xfId="60799" xr:uid="{00000000-0005-0000-0000-0000B7D30000}"/>
    <cellStyle name="Normal 9 2 3 2 2 3 3" xfId="39421" xr:uid="{00000000-0005-0000-0000-0000B8D30000}"/>
    <cellStyle name="Normal 9 2 3 2 2 3 3 2" xfId="60800" xr:uid="{00000000-0005-0000-0000-0000B9D30000}"/>
    <cellStyle name="Normal 9 2 3 2 2 3 4" xfId="39422" xr:uid="{00000000-0005-0000-0000-0000BAD30000}"/>
    <cellStyle name="Normal 9 2 3 2 2 3 5" xfId="39423" xr:uid="{00000000-0005-0000-0000-0000BBD30000}"/>
    <cellStyle name="Normal 9 2 3 2 2 3 6" xfId="39424" xr:uid="{00000000-0005-0000-0000-0000BCD30000}"/>
    <cellStyle name="Normal 9 2 3 2 2 4" xfId="39425" xr:uid="{00000000-0005-0000-0000-0000BDD30000}"/>
    <cellStyle name="Normal 9 2 3 2 2 4 2" xfId="60801" xr:uid="{00000000-0005-0000-0000-0000BED30000}"/>
    <cellStyle name="Normal 9 2 3 2 2 4 3" xfId="60802" xr:uid="{00000000-0005-0000-0000-0000BFD30000}"/>
    <cellStyle name="Normal 9 2 3 2 2 5" xfId="39426" xr:uid="{00000000-0005-0000-0000-0000C0D30000}"/>
    <cellStyle name="Normal 9 2 3 2 2 5 2" xfId="60803" xr:uid="{00000000-0005-0000-0000-0000C1D30000}"/>
    <cellStyle name="Normal 9 2 3 2 2 6" xfId="39427" xr:uid="{00000000-0005-0000-0000-0000C2D30000}"/>
    <cellStyle name="Normal 9 2 3 2 2 7" xfId="39428" xr:uid="{00000000-0005-0000-0000-0000C3D30000}"/>
    <cellStyle name="Normal 9 2 3 2 2 8" xfId="39429" xr:uid="{00000000-0005-0000-0000-0000C4D30000}"/>
    <cellStyle name="Normal 9 2 3 2 2 9" xfId="39430" xr:uid="{00000000-0005-0000-0000-0000C5D30000}"/>
    <cellStyle name="Normal 9 2 3 2 3" xfId="39431" xr:uid="{00000000-0005-0000-0000-0000C6D30000}"/>
    <cellStyle name="Normal 9 2 3 2 3 2" xfId="39432" xr:uid="{00000000-0005-0000-0000-0000C7D30000}"/>
    <cellStyle name="Normal 9 2 3 2 3 2 2" xfId="39433" xr:uid="{00000000-0005-0000-0000-0000C8D30000}"/>
    <cellStyle name="Normal 9 2 3 2 3 2 2 2" xfId="39434" xr:uid="{00000000-0005-0000-0000-0000C9D30000}"/>
    <cellStyle name="Normal 9 2 3 2 3 2 2 2 2" xfId="60804" xr:uid="{00000000-0005-0000-0000-0000CAD30000}"/>
    <cellStyle name="Normal 9 2 3 2 3 2 2 2 3" xfId="60805" xr:uid="{00000000-0005-0000-0000-0000CBD30000}"/>
    <cellStyle name="Normal 9 2 3 2 3 2 2 3" xfId="39435" xr:uid="{00000000-0005-0000-0000-0000CCD30000}"/>
    <cellStyle name="Normal 9 2 3 2 3 2 2 3 2" xfId="60806" xr:uid="{00000000-0005-0000-0000-0000CDD30000}"/>
    <cellStyle name="Normal 9 2 3 2 3 2 2 4" xfId="39436" xr:uid="{00000000-0005-0000-0000-0000CED30000}"/>
    <cellStyle name="Normal 9 2 3 2 3 2 2 5" xfId="39437" xr:uid="{00000000-0005-0000-0000-0000CFD30000}"/>
    <cellStyle name="Normal 9 2 3 2 3 2 2 6" xfId="39438" xr:uid="{00000000-0005-0000-0000-0000D0D30000}"/>
    <cellStyle name="Normal 9 2 3 2 3 2 3" xfId="39439" xr:uid="{00000000-0005-0000-0000-0000D1D30000}"/>
    <cellStyle name="Normal 9 2 3 2 3 2 3 2" xfId="60807" xr:uid="{00000000-0005-0000-0000-0000D2D30000}"/>
    <cellStyle name="Normal 9 2 3 2 3 2 3 3" xfId="60808" xr:uid="{00000000-0005-0000-0000-0000D3D30000}"/>
    <cellStyle name="Normal 9 2 3 2 3 2 4" xfId="39440" xr:uid="{00000000-0005-0000-0000-0000D4D30000}"/>
    <cellStyle name="Normal 9 2 3 2 3 2 4 2" xfId="60809" xr:uid="{00000000-0005-0000-0000-0000D5D30000}"/>
    <cellStyle name="Normal 9 2 3 2 3 2 5" xfId="39441" xr:uid="{00000000-0005-0000-0000-0000D6D30000}"/>
    <cellStyle name="Normal 9 2 3 2 3 2 6" xfId="39442" xr:uid="{00000000-0005-0000-0000-0000D7D30000}"/>
    <cellStyle name="Normal 9 2 3 2 3 2 7" xfId="39443" xr:uid="{00000000-0005-0000-0000-0000D8D30000}"/>
    <cellStyle name="Normal 9 2 3 2 3 3" xfId="39444" xr:uid="{00000000-0005-0000-0000-0000D9D30000}"/>
    <cellStyle name="Normal 9 2 3 2 3 3 2" xfId="39445" xr:uid="{00000000-0005-0000-0000-0000DAD30000}"/>
    <cellStyle name="Normal 9 2 3 2 3 3 2 2" xfId="60810" xr:uid="{00000000-0005-0000-0000-0000DBD30000}"/>
    <cellStyle name="Normal 9 2 3 2 3 3 2 3" xfId="60811" xr:uid="{00000000-0005-0000-0000-0000DCD30000}"/>
    <cellStyle name="Normal 9 2 3 2 3 3 3" xfId="39446" xr:uid="{00000000-0005-0000-0000-0000DDD30000}"/>
    <cellStyle name="Normal 9 2 3 2 3 3 3 2" xfId="60812" xr:uid="{00000000-0005-0000-0000-0000DED30000}"/>
    <cellStyle name="Normal 9 2 3 2 3 3 4" xfId="39447" xr:uid="{00000000-0005-0000-0000-0000DFD30000}"/>
    <cellStyle name="Normal 9 2 3 2 3 3 5" xfId="39448" xr:uid="{00000000-0005-0000-0000-0000E0D30000}"/>
    <cellStyle name="Normal 9 2 3 2 3 3 6" xfId="39449" xr:uid="{00000000-0005-0000-0000-0000E1D30000}"/>
    <cellStyle name="Normal 9 2 3 2 3 4" xfId="39450" xr:uid="{00000000-0005-0000-0000-0000E2D30000}"/>
    <cellStyle name="Normal 9 2 3 2 3 4 2" xfId="60813" xr:uid="{00000000-0005-0000-0000-0000E3D30000}"/>
    <cellStyle name="Normal 9 2 3 2 3 4 3" xfId="60814" xr:uid="{00000000-0005-0000-0000-0000E4D30000}"/>
    <cellStyle name="Normal 9 2 3 2 3 5" xfId="39451" xr:uid="{00000000-0005-0000-0000-0000E5D30000}"/>
    <cellStyle name="Normal 9 2 3 2 3 5 2" xfId="60815" xr:uid="{00000000-0005-0000-0000-0000E6D30000}"/>
    <cellStyle name="Normal 9 2 3 2 3 6" xfId="39452" xr:uid="{00000000-0005-0000-0000-0000E7D30000}"/>
    <cellStyle name="Normal 9 2 3 2 3 7" xfId="39453" xr:uid="{00000000-0005-0000-0000-0000E8D30000}"/>
    <cellStyle name="Normal 9 2 3 2 3 8" xfId="39454" xr:uid="{00000000-0005-0000-0000-0000E9D30000}"/>
    <cellStyle name="Normal 9 2 3 2 4" xfId="39455" xr:uid="{00000000-0005-0000-0000-0000EAD30000}"/>
    <cellStyle name="Normal 9 2 3 2 4 2" xfId="39456" xr:uid="{00000000-0005-0000-0000-0000EBD30000}"/>
    <cellStyle name="Normal 9 2 3 2 4 2 2" xfId="39457" xr:uid="{00000000-0005-0000-0000-0000ECD30000}"/>
    <cellStyle name="Normal 9 2 3 2 4 2 2 2" xfId="60816" xr:uid="{00000000-0005-0000-0000-0000EDD30000}"/>
    <cellStyle name="Normal 9 2 3 2 4 2 2 3" xfId="60817" xr:uid="{00000000-0005-0000-0000-0000EED30000}"/>
    <cellStyle name="Normal 9 2 3 2 4 2 3" xfId="39458" xr:uid="{00000000-0005-0000-0000-0000EFD30000}"/>
    <cellStyle name="Normal 9 2 3 2 4 2 3 2" xfId="60818" xr:uid="{00000000-0005-0000-0000-0000F0D30000}"/>
    <cellStyle name="Normal 9 2 3 2 4 2 4" xfId="39459" xr:uid="{00000000-0005-0000-0000-0000F1D30000}"/>
    <cellStyle name="Normal 9 2 3 2 4 2 5" xfId="39460" xr:uid="{00000000-0005-0000-0000-0000F2D30000}"/>
    <cellStyle name="Normal 9 2 3 2 4 2 6" xfId="39461" xr:uid="{00000000-0005-0000-0000-0000F3D30000}"/>
    <cellStyle name="Normal 9 2 3 2 4 3" xfId="39462" xr:uid="{00000000-0005-0000-0000-0000F4D30000}"/>
    <cellStyle name="Normal 9 2 3 2 4 3 2" xfId="60819" xr:uid="{00000000-0005-0000-0000-0000F5D30000}"/>
    <cellStyle name="Normal 9 2 3 2 4 3 3" xfId="60820" xr:uid="{00000000-0005-0000-0000-0000F6D30000}"/>
    <cellStyle name="Normal 9 2 3 2 4 4" xfId="39463" xr:uid="{00000000-0005-0000-0000-0000F7D30000}"/>
    <cellStyle name="Normal 9 2 3 2 4 4 2" xfId="60821" xr:uid="{00000000-0005-0000-0000-0000F8D30000}"/>
    <cellStyle name="Normal 9 2 3 2 4 5" xfId="39464" xr:uid="{00000000-0005-0000-0000-0000F9D30000}"/>
    <cellStyle name="Normal 9 2 3 2 4 6" xfId="39465" xr:uid="{00000000-0005-0000-0000-0000FAD30000}"/>
    <cellStyle name="Normal 9 2 3 2 4 7" xfId="39466" xr:uid="{00000000-0005-0000-0000-0000FBD30000}"/>
    <cellStyle name="Normal 9 2 3 2 5" xfId="39467" xr:uid="{00000000-0005-0000-0000-0000FCD30000}"/>
    <cellStyle name="Normal 9 2 3 2 5 2" xfId="39468" xr:uid="{00000000-0005-0000-0000-0000FDD30000}"/>
    <cellStyle name="Normal 9 2 3 2 5 2 2" xfId="60822" xr:uid="{00000000-0005-0000-0000-0000FED30000}"/>
    <cellStyle name="Normal 9 2 3 2 5 2 3" xfId="60823" xr:uid="{00000000-0005-0000-0000-0000FFD30000}"/>
    <cellStyle name="Normal 9 2 3 2 5 3" xfId="39469" xr:uid="{00000000-0005-0000-0000-000000D40000}"/>
    <cellStyle name="Normal 9 2 3 2 5 3 2" xfId="60824" xr:uid="{00000000-0005-0000-0000-000001D40000}"/>
    <cellStyle name="Normal 9 2 3 2 5 4" xfId="39470" xr:uid="{00000000-0005-0000-0000-000002D40000}"/>
    <cellStyle name="Normal 9 2 3 2 5 5" xfId="39471" xr:uid="{00000000-0005-0000-0000-000003D40000}"/>
    <cellStyle name="Normal 9 2 3 2 5 6" xfId="39472" xr:uid="{00000000-0005-0000-0000-000004D40000}"/>
    <cellStyle name="Normal 9 2 3 2 6" xfId="39473" xr:uid="{00000000-0005-0000-0000-000005D40000}"/>
    <cellStyle name="Normal 9 2 3 2 6 2" xfId="60825" xr:uid="{00000000-0005-0000-0000-000006D40000}"/>
    <cellStyle name="Normal 9 2 3 2 6 3" xfId="60826" xr:uid="{00000000-0005-0000-0000-000007D40000}"/>
    <cellStyle name="Normal 9 2 3 2 7" xfId="39474" xr:uid="{00000000-0005-0000-0000-000008D40000}"/>
    <cellStyle name="Normal 9 2 3 2 7 2" xfId="60827" xr:uid="{00000000-0005-0000-0000-000009D40000}"/>
    <cellStyle name="Normal 9 2 3 2 8" xfId="39475" xr:uid="{00000000-0005-0000-0000-00000AD40000}"/>
    <cellStyle name="Normal 9 2 3 2 9" xfId="39476" xr:uid="{00000000-0005-0000-0000-00000BD40000}"/>
    <cellStyle name="Normal 9 2 3 3" xfId="39477" xr:uid="{00000000-0005-0000-0000-00000CD40000}"/>
    <cellStyle name="Normal 9 2 3 3 2" xfId="39478" xr:uid="{00000000-0005-0000-0000-00000DD40000}"/>
    <cellStyle name="Normal 9 2 3 3 2 2" xfId="39479" xr:uid="{00000000-0005-0000-0000-00000ED40000}"/>
    <cellStyle name="Normal 9 2 3 3 2 2 2" xfId="39480" xr:uid="{00000000-0005-0000-0000-00000FD40000}"/>
    <cellStyle name="Normal 9 2 3 3 2 2 2 2" xfId="60828" xr:uid="{00000000-0005-0000-0000-000010D40000}"/>
    <cellStyle name="Normal 9 2 3 3 2 2 2 3" xfId="60829" xr:uid="{00000000-0005-0000-0000-000011D40000}"/>
    <cellStyle name="Normal 9 2 3 3 2 2 3" xfId="39481" xr:uid="{00000000-0005-0000-0000-000012D40000}"/>
    <cellStyle name="Normal 9 2 3 3 2 2 3 2" xfId="60830" xr:uid="{00000000-0005-0000-0000-000013D40000}"/>
    <cellStyle name="Normal 9 2 3 3 2 2 4" xfId="39482" xr:uid="{00000000-0005-0000-0000-000014D40000}"/>
    <cellStyle name="Normal 9 2 3 3 2 2 5" xfId="39483" xr:uid="{00000000-0005-0000-0000-000015D40000}"/>
    <cellStyle name="Normal 9 2 3 3 2 2 6" xfId="39484" xr:uid="{00000000-0005-0000-0000-000016D40000}"/>
    <cellStyle name="Normal 9 2 3 3 2 3" xfId="39485" xr:uid="{00000000-0005-0000-0000-000017D40000}"/>
    <cellStyle name="Normal 9 2 3 3 2 3 2" xfId="60831" xr:uid="{00000000-0005-0000-0000-000018D40000}"/>
    <cellStyle name="Normal 9 2 3 3 2 3 3" xfId="60832" xr:uid="{00000000-0005-0000-0000-000019D40000}"/>
    <cellStyle name="Normal 9 2 3 3 2 4" xfId="39486" xr:uid="{00000000-0005-0000-0000-00001AD40000}"/>
    <cellStyle name="Normal 9 2 3 3 2 4 2" xfId="60833" xr:uid="{00000000-0005-0000-0000-00001BD40000}"/>
    <cellStyle name="Normal 9 2 3 3 2 5" xfId="39487" xr:uid="{00000000-0005-0000-0000-00001CD40000}"/>
    <cellStyle name="Normal 9 2 3 3 2 6" xfId="39488" xr:uid="{00000000-0005-0000-0000-00001DD40000}"/>
    <cellStyle name="Normal 9 2 3 3 2 7" xfId="39489" xr:uid="{00000000-0005-0000-0000-00001ED40000}"/>
    <cellStyle name="Normal 9 2 3 3 3" xfId="39490" xr:uid="{00000000-0005-0000-0000-00001FD40000}"/>
    <cellStyle name="Normal 9 2 3 3 3 2" xfId="39491" xr:uid="{00000000-0005-0000-0000-000020D40000}"/>
    <cellStyle name="Normal 9 2 3 3 3 2 2" xfId="60834" xr:uid="{00000000-0005-0000-0000-000021D40000}"/>
    <cellStyle name="Normal 9 2 3 3 3 2 3" xfId="60835" xr:uid="{00000000-0005-0000-0000-000022D40000}"/>
    <cellStyle name="Normal 9 2 3 3 3 3" xfId="39492" xr:uid="{00000000-0005-0000-0000-000023D40000}"/>
    <cellStyle name="Normal 9 2 3 3 3 3 2" xfId="60836" xr:uid="{00000000-0005-0000-0000-000024D40000}"/>
    <cellStyle name="Normal 9 2 3 3 3 4" xfId="39493" xr:uid="{00000000-0005-0000-0000-000025D40000}"/>
    <cellStyle name="Normal 9 2 3 3 3 5" xfId="39494" xr:uid="{00000000-0005-0000-0000-000026D40000}"/>
    <cellStyle name="Normal 9 2 3 3 3 6" xfId="39495" xr:uid="{00000000-0005-0000-0000-000027D40000}"/>
    <cellStyle name="Normal 9 2 3 3 4" xfId="39496" xr:uid="{00000000-0005-0000-0000-000028D40000}"/>
    <cellStyle name="Normal 9 2 3 3 4 2" xfId="60837" xr:uid="{00000000-0005-0000-0000-000029D40000}"/>
    <cellStyle name="Normal 9 2 3 3 4 3" xfId="60838" xr:uid="{00000000-0005-0000-0000-00002AD40000}"/>
    <cellStyle name="Normal 9 2 3 3 5" xfId="39497" xr:uid="{00000000-0005-0000-0000-00002BD40000}"/>
    <cellStyle name="Normal 9 2 3 3 5 2" xfId="60839" xr:uid="{00000000-0005-0000-0000-00002CD40000}"/>
    <cellStyle name="Normal 9 2 3 3 6" xfId="39498" xr:uid="{00000000-0005-0000-0000-00002DD40000}"/>
    <cellStyle name="Normal 9 2 3 3 7" xfId="39499" xr:uid="{00000000-0005-0000-0000-00002ED40000}"/>
    <cellStyle name="Normal 9 2 3 3 8" xfId="39500" xr:uid="{00000000-0005-0000-0000-00002FD40000}"/>
    <cellStyle name="Normal 9 2 3 3 9" xfId="39501" xr:uid="{00000000-0005-0000-0000-000030D40000}"/>
    <cellStyle name="Normal 9 2 3 4" xfId="39502" xr:uid="{00000000-0005-0000-0000-000031D40000}"/>
    <cellStyle name="Normal 9 2 3 4 2" xfId="39503" xr:uid="{00000000-0005-0000-0000-000032D40000}"/>
    <cellStyle name="Normal 9 2 3 4 2 2" xfId="39504" xr:uid="{00000000-0005-0000-0000-000033D40000}"/>
    <cellStyle name="Normal 9 2 3 4 2 2 2" xfId="39505" xr:uid="{00000000-0005-0000-0000-000034D40000}"/>
    <cellStyle name="Normal 9 2 3 4 2 2 2 2" xfId="60840" xr:uid="{00000000-0005-0000-0000-000035D40000}"/>
    <cellStyle name="Normal 9 2 3 4 2 2 2 3" xfId="60841" xr:uid="{00000000-0005-0000-0000-000036D40000}"/>
    <cellStyle name="Normal 9 2 3 4 2 2 3" xfId="39506" xr:uid="{00000000-0005-0000-0000-000037D40000}"/>
    <cellStyle name="Normal 9 2 3 4 2 2 3 2" xfId="60842" xr:uid="{00000000-0005-0000-0000-000038D40000}"/>
    <cellStyle name="Normal 9 2 3 4 2 2 4" xfId="39507" xr:uid="{00000000-0005-0000-0000-000039D40000}"/>
    <cellStyle name="Normal 9 2 3 4 2 2 5" xfId="39508" xr:uid="{00000000-0005-0000-0000-00003AD40000}"/>
    <cellStyle name="Normal 9 2 3 4 2 2 6" xfId="39509" xr:uid="{00000000-0005-0000-0000-00003BD40000}"/>
    <cellStyle name="Normal 9 2 3 4 2 3" xfId="39510" xr:uid="{00000000-0005-0000-0000-00003CD40000}"/>
    <cellStyle name="Normal 9 2 3 4 2 3 2" xfId="60843" xr:uid="{00000000-0005-0000-0000-00003DD40000}"/>
    <cellStyle name="Normal 9 2 3 4 2 3 3" xfId="60844" xr:uid="{00000000-0005-0000-0000-00003ED40000}"/>
    <cellStyle name="Normal 9 2 3 4 2 4" xfId="39511" xr:uid="{00000000-0005-0000-0000-00003FD40000}"/>
    <cellStyle name="Normal 9 2 3 4 2 4 2" xfId="60845" xr:uid="{00000000-0005-0000-0000-000040D40000}"/>
    <cellStyle name="Normal 9 2 3 4 2 5" xfId="39512" xr:uid="{00000000-0005-0000-0000-000041D40000}"/>
    <cellStyle name="Normal 9 2 3 4 2 6" xfId="39513" xr:uid="{00000000-0005-0000-0000-000042D40000}"/>
    <cellStyle name="Normal 9 2 3 4 2 7" xfId="39514" xr:uid="{00000000-0005-0000-0000-000043D40000}"/>
    <cellStyle name="Normal 9 2 3 4 3" xfId="39515" xr:uid="{00000000-0005-0000-0000-000044D40000}"/>
    <cellStyle name="Normal 9 2 3 4 3 2" xfId="39516" xr:uid="{00000000-0005-0000-0000-000045D40000}"/>
    <cellStyle name="Normal 9 2 3 4 3 2 2" xfId="60846" xr:uid="{00000000-0005-0000-0000-000046D40000}"/>
    <cellStyle name="Normal 9 2 3 4 3 2 3" xfId="60847" xr:uid="{00000000-0005-0000-0000-000047D40000}"/>
    <cellStyle name="Normal 9 2 3 4 3 3" xfId="39517" xr:uid="{00000000-0005-0000-0000-000048D40000}"/>
    <cellStyle name="Normal 9 2 3 4 3 3 2" xfId="60848" xr:uid="{00000000-0005-0000-0000-000049D40000}"/>
    <cellStyle name="Normal 9 2 3 4 3 4" xfId="39518" xr:uid="{00000000-0005-0000-0000-00004AD40000}"/>
    <cellStyle name="Normal 9 2 3 4 3 5" xfId="39519" xr:uid="{00000000-0005-0000-0000-00004BD40000}"/>
    <cellStyle name="Normal 9 2 3 4 3 6" xfId="39520" xr:uid="{00000000-0005-0000-0000-00004CD40000}"/>
    <cellStyle name="Normal 9 2 3 4 4" xfId="39521" xr:uid="{00000000-0005-0000-0000-00004DD40000}"/>
    <cellStyle name="Normal 9 2 3 4 4 2" xfId="60849" xr:uid="{00000000-0005-0000-0000-00004ED40000}"/>
    <cellStyle name="Normal 9 2 3 4 4 3" xfId="60850" xr:uid="{00000000-0005-0000-0000-00004FD40000}"/>
    <cellStyle name="Normal 9 2 3 4 5" xfId="39522" xr:uid="{00000000-0005-0000-0000-000050D40000}"/>
    <cellStyle name="Normal 9 2 3 4 5 2" xfId="60851" xr:uid="{00000000-0005-0000-0000-000051D40000}"/>
    <cellStyle name="Normal 9 2 3 4 6" xfId="39523" xr:uid="{00000000-0005-0000-0000-000052D40000}"/>
    <cellStyle name="Normal 9 2 3 4 7" xfId="39524" xr:uid="{00000000-0005-0000-0000-000053D40000}"/>
    <cellStyle name="Normal 9 2 3 4 8" xfId="39525" xr:uid="{00000000-0005-0000-0000-000054D40000}"/>
    <cellStyle name="Normal 9 2 3 5" xfId="39526" xr:uid="{00000000-0005-0000-0000-000055D40000}"/>
    <cellStyle name="Normal 9 2 3 5 2" xfId="39527" xr:uid="{00000000-0005-0000-0000-000056D40000}"/>
    <cellStyle name="Normal 9 2 3 5 2 2" xfId="39528" xr:uid="{00000000-0005-0000-0000-000057D40000}"/>
    <cellStyle name="Normal 9 2 3 5 2 2 2" xfId="60852" xr:uid="{00000000-0005-0000-0000-000058D40000}"/>
    <cellStyle name="Normal 9 2 3 5 2 2 3" xfId="60853" xr:uid="{00000000-0005-0000-0000-000059D40000}"/>
    <cellStyle name="Normal 9 2 3 5 2 3" xfId="39529" xr:uid="{00000000-0005-0000-0000-00005AD40000}"/>
    <cellStyle name="Normal 9 2 3 5 2 3 2" xfId="60854" xr:uid="{00000000-0005-0000-0000-00005BD40000}"/>
    <cellStyle name="Normal 9 2 3 5 2 4" xfId="39530" xr:uid="{00000000-0005-0000-0000-00005CD40000}"/>
    <cellStyle name="Normal 9 2 3 5 2 5" xfId="39531" xr:uid="{00000000-0005-0000-0000-00005DD40000}"/>
    <cellStyle name="Normal 9 2 3 5 2 6" xfId="39532" xr:uid="{00000000-0005-0000-0000-00005ED40000}"/>
    <cellStyle name="Normal 9 2 3 5 3" xfId="39533" xr:uid="{00000000-0005-0000-0000-00005FD40000}"/>
    <cellStyle name="Normal 9 2 3 5 3 2" xfId="60855" xr:uid="{00000000-0005-0000-0000-000060D40000}"/>
    <cellStyle name="Normal 9 2 3 5 3 3" xfId="60856" xr:uid="{00000000-0005-0000-0000-000061D40000}"/>
    <cellStyle name="Normal 9 2 3 5 4" xfId="39534" xr:uid="{00000000-0005-0000-0000-000062D40000}"/>
    <cellStyle name="Normal 9 2 3 5 4 2" xfId="60857" xr:uid="{00000000-0005-0000-0000-000063D40000}"/>
    <cellStyle name="Normal 9 2 3 5 5" xfId="39535" xr:uid="{00000000-0005-0000-0000-000064D40000}"/>
    <cellStyle name="Normal 9 2 3 5 6" xfId="39536" xr:uid="{00000000-0005-0000-0000-000065D40000}"/>
    <cellStyle name="Normal 9 2 3 5 7" xfId="39537" xr:uid="{00000000-0005-0000-0000-000066D40000}"/>
    <cellStyle name="Normal 9 2 3 6" xfId="39538" xr:uid="{00000000-0005-0000-0000-000067D40000}"/>
    <cellStyle name="Normal 9 2 3 6 2" xfId="39539" xr:uid="{00000000-0005-0000-0000-000068D40000}"/>
    <cellStyle name="Normal 9 2 3 6 2 2" xfId="60858" xr:uid="{00000000-0005-0000-0000-000069D40000}"/>
    <cellStyle name="Normal 9 2 3 6 2 3" xfId="60859" xr:uid="{00000000-0005-0000-0000-00006AD40000}"/>
    <cellStyle name="Normal 9 2 3 6 3" xfId="39540" xr:uid="{00000000-0005-0000-0000-00006BD40000}"/>
    <cellStyle name="Normal 9 2 3 6 3 2" xfId="60860" xr:uid="{00000000-0005-0000-0000-00006CD40000}"/>
    <cellStyle name="Normal 9 2 3 6 4" xfId="39541" xr:uid="{00000000-0005-0000-0000-00006DD40000}"/>
    <cellStyle name="Normal 9 2 3 6 5" xfId="39542" xr:uid="{00000000-0005-0000-0000-00006ED40000}"/>
    <cellStyle name="Normal 9 2 3 6 6" xfId="39543" xr:uid="{00000000-0005-0000-0000-00006FD40000}"/>
    <cellStyle name="Normal 9 2 3 7" xfId="39544" xr:uid="{00000000-0005-0000-0000-000070D40000}"/>
    <cellStyle name="Normal 9 2 3 7 2" xfId="60861" xr:uid="{00000000-0005-0000-0000-000071D40000}"/>
    <cellStyle name="Normal 9 2 3 7 3" xfId="60862" xr:uid="{00000000-0005-0000-0000-000072D40000}"/>
    <cellStyle name="Normal 9 2 3 8" xfId="39545" xr:uid="{00000000-0005-0000-0000-000073D40000}"/>
    <cellStyle name="Normal 9 2 3 8 2" xfId="60863" xr:uid="{00000000-0005-0000-0000-000074D40000}"/>
    <cellStyle name="Normal 9 2 3 9" xfId="39546" xr:uid="{00000000-0005-0000-0000-000075D40000}"/>
    <cellStyle name="Normal 9 2 4" xfId="39547" xr:uid="{00000000-0005-0000-0000-000076D40000}"/>
    <cellStyle name="Normal 9 2 4 10" xfId="39548" xr:uid="{00000000-0005-0000-0000-000077D40000}"/>
    <cellStyle name="Normal 9 2 4 11" xfId="39549" xr:uid="{00000000-0005-0000-0000-000078D40000}"/>
    <cellStyle name="Normal 9 2 4 12" xfId="39550" xr:uid="{00000000-0005-0000-0000-000079D40000}"/>
    <cellStyle name="Normal 9 2 4 13" xfId="39551" xr:uid="{00000000-0005-0000-0000-00007AD40000}"/>
    <cellStyle name="Normal 9 2 4 14" xfId="39552" xr:uid="{00000000-0005-0000-0000-00007BD40000}"/>
    <cellStyle name="Normal 9 2 4 2" xfId="39553" xr:uid="{00000000-0005-0000-0000-00007CD40000}"/>
    <cellStyle name="Normal 9 2 4 2 2" xfId="39554" xr:uid="{00000000-0005-0000-0000-00007DD40000}"/>
    <cellStyle name="Normal 9 2 4 2 2 2" xfId="39555" xr:uid="{00000000-0005-0000-0000-00007ED40000}"/>
    <cellStyle name="Normal 9 2 4 2 2 2 2" xfId="39556" xr:uid="{00000000-0005-0000-0000-00007FD40000}"/>
    <cellStyle name="Normal 9 2 4 2 2 2 2 2" xfId="60864" xr:uid="{00000000-0005-0000-0000-000080D40000}"/>
    <cellStyle name="Normal 9 2 4 2 2 2 2 3" xfId="60865" xr:uid="{00000000-0005-0000-0000-000081D40000}"/>
    <cellStyle name="Normal 9 2 4 2 2 2 3" xfId="39557" xr:uid="{00000000-0005-0000-0000-000082D40000}"/>
    <cellStyle name="Normal 9 2 4 2 2 2 3 2" xfId="60866" xr:uid="{00000000-0005-0000-0000-000083D40000}"/>
    <cellStyle name="Normal 9 2 4 2 2 2 4" xfId="39558" xr:uid="{00000000-0005-0000-0000-000084D40000}"/>
    <cellStyle name="Normal 9 2 4 2 2 2 5" xfId="39559" xr:uid="{00000000-0005-0000-0000-000085D40000}"/>
    <cellStyle name="Normal 9 2 4 2 2 2 6" xfId="39560" xr:uid="{00000000-0005-0000-0000-000086D40000}"/>
    <cellStyle name="Normal 9 2 4 2 2 3" xfId="39561" xr:uid="{00000000-0005-0000-0000-000087D40000}"/>
    <cellStyle name="Normal 9 2 4 2 2 3 2" xfId="60867" xr:uid="{00000000-0005-0000-0000-000088D40000}"/>
    <cellStyle name="Normal 9 2 4 2 2 3 3" xfId="60868" xr:uid="{00000000-0005-0000-0000-000089D40000}"/>
    <cellStyle name="Normal 9 2 4 2 2 4" xfId="39562" xr:uid="{00000000-0005-0000-0000-00008AD40000}"/>
    <cellStyle name="Normal 9 2 4 2 2 4 2" xfId="60869" xr:uid="{00000000-0005-0000-0000-00008BD40000}"/>
    <cellStyle name="Normal 9 2 4 2 2 5" xfId="39563" xr:uid="{00000000-0005-0000-0000-00008CD40000}"/>
    <cellStyle name="Normal 9 2 4 2 2 6" xfId="39564" xr:uid="{00000000-0005-0000-0000-00008DD40000}"/>
    <cellStyle name="Normal 9 2 4 2 2 7" xfId="39565" xr:uid="{00000000-0005-0000-0000-00008ED40000}"/>
    <cellStyle name="Normal 9 2 4 2 3" xfId="39566" xr:uid="{00000000-0005-0000-0000-00008FD40000}"/>
    <cellStyle name="Normal 9 2 4 2 3 2" xfId="39567" xr:uid="{00000000-0005-0000-0000-000090D40000}"/>
    <cellStyle name="Normal 9 2 4 2 3 2 2" xfId="60870" xr:uid="{00000000-0005-0000-0000-000091D40000}"/>
    <cellStyle name="Normal 9 2 4 2 3 2 3" xfId="60871" xr:uid="{00000000-0005-0000-0000-000092D40000}"/>
    <cellStyle name="Normal 9 2 4 2 3 3" xfId="39568" xr:uid="{00000000-0005-0000-0000-000093D40000}"/>
    <cellStyle name="Normal 9 2 4 2 3 3 2" xfId="60872" xr:uid="{00000000-0005-0000-0000-000094D40000}"/>
    <cellStyle name="Normal 9 2 4 2 3 4" xfId="39569" xr:uid="{00000000-0005-0000-0000-000095D40000}"/>
    <cellStyle name="Normal 9 2 4 2 3 5" xfId="39570" xr:uid="{00000000-0005-0000-0000-000096D40000}"/>
    <cellStyle name="Normal 9 2 4 2 3 6" xfId="39571" xr:uid="{00000000-0005-0000-0000-000097D40000}"/>
    <cellStyle name="Normal 9 2 4 2 4" xfId="39572" xr:uid="{00000000-0005-0000-0000-000098D40000}"/>
    <cellStyle name="Normal 9 2 4 2 4 2" xfId="60873" xr:uid="{00000000-0005-0000-0000-000099D40000}"/>
    <cellStyle name="Normal 9 2 4 2 4 3" xfId="60874" xr:uid="{00000000-0005-0000-0000-00009AD40000}"/>
    <cellStyle name="Normal 9 2 4 2 5" xfId="39573" xr:uid="{00000000-0005-0000-0000-00009BD40000}"/>
    <cellStyle name="Normal 9 2 4 2 5 2" xfId="60875" xr:uid="{00000000-0005-0000-0000-00009CD40000}"/>
    <cellStyle name="Normal 9 2 4 2 6" xfId="39574" xr:uid="{00000000-0005-0000-0000-00009DD40000}"/>
    <cellStyle name="Normal 9 2 4 2 7" xfId="39575" xr:uid="{00000000-0005-0000-0000-00009ED40000}"/>
    <cellStyle name="Normal 9 2 4 2 8" xfId="39576" xr:uid="{00000000-0005-0000-0000-00009FD40000}"/>
    <cellStyle name="Normal 9 2 4 2 9" xfId="39577" xr:uid="{00000000-0005-0000-0000-0000A0D40000}"/>
    <cellStyle name="Normal 9 2 4 3" xfId="39578" xr:uid="{00000000-0005-0000-0000-0000A1D40000}"/>
    <cellStyle name="Normal 9 2 4 3 2" xfId="39579" xr:uid="{00000000-0005-0000-0000-0000A2D40000}"/>
    <cellStyle name="Normal 9 2 4 3 2 2" xfId="39580" xr:uid="{00000000-0005-0000-0000-0000A3D40000}"/>
    <cellStyle name="Normal 9 2 4 3 2 2 2" xfId="39581" xr:uid="{00000000-0005-0000-0000-0000A4D40000}"/>
    <cellStyle name="Normal 9 2 4 3 2 2 2 2" xfId="60876" xr:uid="{00000000-0005-0000-0000-0000A5D40000}"/>
    <cellStyle name="Normal 9 2 4 3 2 2 2 3" xfId="60877" xr:uid="{00000000-0005-0000-0000-0000A6D40000}"/>
    <cellStyle name="Normal 9 2 4 3 2 2 3" xfId="39582" xr:uid="{00000000-0005-0000-0000-0000A7D40000}"/>
    <cellStyle name="Normal 9 2 4 3 2 2 3 2" xfId="60878" xr:uid="{00000000-0005-0000-0000-0000A8D40000}"/>
    <cellStyle name="Normal 9 2 4 3 2 2 4" xfId="39583" xr:uid="{00000000-0005-0000-0000-0000A9D40000}"/>
    <cellStyle name="Normal 9 2 4 3 2 2 5" xfId="39584" xr:uid="{00000000-0005-0000-0000-0000AAD40000}"/>
    <cellStyle name="Normal 9 2 4 3 2 2 6" xfId="39585" xr:uid="{00000000-0005-0000-0000-0000ABD40000}"/>
    <cellStyle name="Normal 9 2 4 3 2 3" xfId="39586" xr:uid="{00000000-0005-0000-0000-0000ACD40000}"/>
    <cellStyle name="Normal 9 2 4 3 2 3 2" xfId="60879" xr:uid="{00000000-0005-0000-0000-0000ADD40000}"/>
    <cellStyle name="Normal 9 2 4 3 2 3 3" xfId="60880" xr:uid="{00000000-0005-0000-0000-0000AED40000}"/>
    <cellStyle name="Normal 9 2 4 3 2 4" xfId="39587" xr:uid="{00000000-0005-0000-0000-0000AFD40000}"/>
    <cellStyle name="Normal 9 2 4 3 2 4 2" xfId="60881" xr:uid="{00000000-0005-0000-0000-0000B0D40000}"/>
    <cellStyle name="Normal 9 2 4 3 2 5" xfId="39588" xr:uid="{00000000-0005-0000-0000-0000B1D40000}"/>
    <cellStyle name="Normal 9 2 4 3 2 6" xfId="39589" xr:uid="{00000000-0005-0000-0000-0000B2D40000}"/>
    <cellStyle name="Normal 9 2 4 3 2 7" xfId="39590" xr:uid="{00000000-0005-0000-0000-0000B3D40000}"/>
    <cellStyle name="Normal 9 2 4 3 3" xfId="39591" xr:uid="{00000000-0005-0000-0000-0000B4D40000}"/>
    <cellStyle name="Normal 9 2 4 3 3 2" xfId="39592" xr:uid="{00000000-0005-0000-0000-0000B5D40000}"/>
    <cellStyle name="Normal 9 2 4 3 3 2 2" xfId="60882" xr:uid="{00000000-0005-0000-0000-0000B6D40000}"/>
    <cellStyle name="Normal 9 2 4 3 3 2 3" xfId="60883" xr:uid="{00000000-0005-0000-0000-0000B7D40000}"/>
    <cellStyle name="Normal 9 2 4 3 3 3" xfId="39593" xr:uid="{00000000-0005-0000-0000-0000B8D40000}"/>
    <cellStyle name="Normal 9 2 4 3 3 3 2" xfId="60884" xr:uid="{00000000-0005-0000-0000-0000B9D40000}"/>
    <cellStyle name="Normal 9 2 4 3 3 4" xfId="39594" xr:uid="{00000000-0005-0000-0000-0000BAD40000}"/>
    <cellStyle name="Normal 9 2 4 3 3 5" xfId="39595" xr:uid="{00000000-0005-0000-0000-0000BBD40000}"/>
    <cellStyle name="Normal 9 2 4 3 3 6" xfId="39596" xr:uid="{00000000-0005-0000-0000-0000BCD40000}"/>
    <cellStyle name="Normal 9 2 4 3 4" xfId="39597" xr:uid="{00000000-0005-0000-0000-0000BDD40000}"/>
    <cellStyle name="Normal 9 2 4 3 4 2" xfId="60885" xr:uid="{00000000-0005-0000-0000-0000BED40000}"/>
    <cellStyle name="Normal 9 2 4 3 4 3" xfId="60886" xr:uid="{00000000-0005-0000-0000-0000BFD40000}"/>
    <cellStyle name="Normal 9 2 4 3 5" xfId="39598" xr:uid="{00000000-0005-0000-0000-0000C0D40000}"/>
    <cellStyle name="Normal 9 2 4 3 5 2" xfId="60887" xr:uid="{00000000-0005-0000-0000-0000C1D40000}"/>
    <cellStyle name="Normal 9 2 4 3 6" xfId="39599" xr:uid="{00000000-0005-0000-0000-0000C2D40000}"/>
    <cellStyle name="Normal 9 2 4 3 7" xfId="39600" xr:uid="{00000000-0005-0000-0000-0000C3D40000}"/>
    <cellStyle name="Normal 9 2 4 3 8" xfId="39601" xr:uid="{00000000-0005-0000-0000-0000C4D40000}"/>
    <cellStyle name="Normal 9 2 4 4" xfId="39602" xr:uid="{00000000-0005-0000-0000-0000C5D40000}"/>
    <cellStyle name="Normal 9 2 4 4 2" xfId="39603" xr:uid="{00000000-0005-0000-0000-0000C6D40000}"/>
    <cellStyle name="Normal 9 2 4 4 2 2" xfId="39604" xr:uid="{00000000-0005-0000-0000-0000C7D40000}"/>
    <cellStyle name="Normal 9 2 4 4 2 2 2" xfId="60888" xr:uid="{00000000-0005-0000-0000-0000C8D40000}"/>
    <cellStyle name="Normal 9 2 4 4 2 2 3" xfId="60889" xr:uid="{00000000-0005-0000-0000-0000C9D40000}"/>
    <cellStyle name="Normal 9 2 4 4 2 3" xfId="39605" xr:uid="{00000000-0005-0000-0000-0000CAD40000}"/>
    <cellStyle name="Normal 9 2 4 4 2 3 2" xfId="60890" xr:uid="{00000000-0005-0000-0000-0000CBD40000}"/>
    <cellStyle name="Normal 9 2 4 4 2 4" xfId="39606" xr:uid="{00000000-0005-0000-0000-0000CCD40000}"/>
    <cellStyle name="Normal 9 2 4 4 2 5" xfId="39607" xr:uid="{00000000-0005-0000-0000-0000CDD40000}"/>
    <cellStyle name="Normal 9 2 4 4 2 6" xfId="39608" xr:uid="{00000000-0005-0000-0000-0000CED40000}"/>
    <cellStyle name="Normal 9 2 4 4 3" xfId="39609" xr:uid="{00000000-0005-0000-0000-0000CFD40000}"/>
    <cellStyle name="Normal 9 2 4 4 3 2" xfId="60891" xr:uid="{00000000-0005-0000-0000-0000D0D40000}"/>
    <cellStyle name="Normal 9 2 4 4 3 3" xfId="60892" xr:uid="{00000000-0005-0000-0000-0000D1D40000}"/>
    <cellStyle name="Normal 9 2 4 4 4" xfId="39610" xr:uid="{00000000-0005-0000-0000-0000D2D40000}"/>
    <cellStyle name="Normal 9 2 4 4 4 2" xfId="60893" xr:uid="{00000000-0005-0000-0000-0000D3D40000}"/>
    <cellStyle name="Normal 9 2 4 4 5" xfId="39611" xr:uid="{00000000-0005-0000-0000-0000D4D40000}"/>
    <cellStyle name="Normal 9 2 4 4 6" xfId="39612" xr:uid="{00000000-0005-0000-0000-0000D5D40000}"/>
    <cellStyle name="Normal 9 2 4 4 7" xfId="39613" xr:uid="{00000000-0005-0000-0000-0000D6D40000}"/>
    <cellStyle name="Normal 9 2 4 5" xfId="39614" xr:uid="{00000000-0005-0000-0000-0000D7D40000}"/>
    <cellStyle name="Normal 9 2 4 5 2" xfId="39615" xr:uid="{00000000-0005-0000-0000-0000D8D40000}"/>
    <cellStyle name="Normal 9 2 4 5 2 2" xfId="60894" xr:uid="{00000000-0005-0000-0000-0000D9D40000}"/>
    <cellStyle name="Normal 9 2 4 5 2 3" xfId="60895" xr:uid="{00000000-0005-0000-0000-0000DAD40000}"/>
    <cellStyle name="Normal 9 2 4 5 3" xfId="39616" xr:uid="{00000000-0005-0000-0000-0000DBD40000}"/>
    <cellStyle name="Normal 9 2 4 5 3 2" xfId="60896" xr:uid="{00000000-0005-0000-0000-0000DCD40000}"/>
    <cellStyle name="Normal 9 2 4 5 4" xfId="39617" xr:uid="{00000000-0005-0000-0000-0000DDD40000}"/>
    <cellStyle name="Normal 9 2 4 5 5" xfId="39618" xr:uid="{00000000-0005-0000-0000-0000DED40000}"/>
    <cellStyle name="Normal 9 2 4 5 6" xfId="39619" xr:uid="{00000000-0005-0000-0000-0000DFD40000}"/>
    <cellStyle name="Normal 9 2 4 6" xfId="39620" xr:uid="{00000000-0005-0000-0000-0000E0D40000}"/>
    <cellStyle name="Normal 9 2 4 6 2" xfId="60897" xr:uid="{00000000-0005-0000-0000-0000E1D40000}"/>
    <cellStyle name="Normal 9 2 4 6 3" xfId="60898" xr:uid="{00000000-0005-0000-0000-0000E2D40000}"/>
    <cellStyle name="Normal 9 2 4 7" xfId="39621" xr:uid="{00000000-0005-0000-0000-0000E3D40000}"/>
    <cellStyle name="Normal 9 2 4 7 2" xfId="60899" xr:uid="{00000000-0005-0000-0000-0000E4D40000}"/>
    <cellStyle name="Normal 9 2 4 8" xfId="39622" xr:uid="{00000000-0005-0000-0000-0000E5D40000}"/>
    <cellStyle name="Normal 9 2 4 9" xfId="39623" xr:uid="{00000000-0005-0000-0000-0000E6D40000}"/>
    <cellStyle name="Normal 9 2 5" xfId="39624" xr:uid="{00000000-0005-0000-0000-0000E7D40000}"/>
    <cellStyle name="Normal 9 2 5 10" xfId="39625" xr:uid="{00000000-0005-0000-0000-0000E8D40000}"/>
    <cellStyle name="Normal 9 2 5 11" xfId="39626" xr:uid="{00000000-0005-0000-0000-0000E9D40000}"/>
    <cellStyle name="Normal 9 2 5 12" xfId="39627" xr:uid="{00000000-0005-0000-0000-0000EAD40000}"/>
    <cellStyle name="Normal 9 2 5 13" xfId="39628" xr:uid="{00000000-0005-0000-0000-0000EBD40000}"/>
    <cellStyle name="Normal 9 2 5 14" xfId="39629" xr:uid="{00000000-0005-0000-0000-0000ECD40000}"/>
    <cellStyle name="Normal 9 2 5 2" xfId="39630" xr:uid="{00000000-0005-0000-0000-0000EDD40000}"/>
    <cellStyle name="Normal 9 2 5 2 2" xfId="39631" xr:uid="{00000000-0005-0000-0000-0000EED40000}"/>
    <cellStyle name="Normal 9 2 5 2 2 2" xfId="39632" xr:uid="{00000000-0005-0000-0000-0000EFD40000}"/>
    <cellStyle name="Normal 9 2 5 2 2 2 2" xfId="39633" xr:uid="{00000000-0005-0000-0000-0000F0D40000}"/>
    <cellStyle name="Normal 9 2 5 2 2 2 2 2" xfId="60900" xr:uid="{00000000-0005-0000-0000-0000F1D40000}"/>
    <cellStyle name="Normal 9 2 5 2 2 2 2 3" xfId="60901" xr:uid="{00000000-0005-0000-0000-0000F2D40000}"/>
    <cellStyle name="Normal 9 2 5 2 2 2 3" xfId="39634" xr:uid="{00000000-0005-0000-0000-0000F3D40000}"/>
    <cellStyle name="Normal 9 2 5 2 2 2 3 2" xfId="60902" xr:uid="{00000000-0005-0000-0000-0000F4D40000}"/>
    <cellStyle name="Normal 9 2 5 2 2 2 4" xfId="39635" xr:uid="{00000000-0005-0000-0000-0000F5D40000}"/>
    <cellStyle name="Normal 9 2 5 2 2 2 5" xfId="39636" xr:uid="{00000000-0005-0000-0000-0000F6D40000}"/>
    <cellStyle name="Normal 9 2 5 2 2 2 6" xfId="39637" xr:uid="{00000000-0005-0000-0000-0000F7D40000}"/>
    <cellStyle name="Normal 9 2 5 2 2 3" xfId="39638" xr:uid="{00000000-0005-0000-0000-0000F8D40000}"/>
    <cellStyle name="Normal 9 2 5 2 2 3 2" xfId="60903" xr:uid="{00000000-0005-0000-0000-0000F9D40000}"/>
    <cellStyle name="Normal 9 2 5 2 2 3 3" xfId="60904" xr:uid="{00000000-0005-0000-0000-0000FAD40000}"/>
    <cellStyle name="Normal 9 2 5 2 2 4" xfId="39639" xr:uid="{00000000-0005-0000-0000-0000FBD40000}"/>
    <cellStyle name="Normal 9 2 5 2 2 4 2" xfId="60905" xr:uid="{00000000-0005-0000-0000-0000FCD40000}"/>
    <cellStyle name="Normal 9 2 5 2 2 5" xfId="39640" xr:uid="{00000000-0005-0000-0000-0000FDD40000}"/>
    <cellStyle name="Normal 9 2 5 2 2 6" xfId="39641" xr:uid="{00000000-0005-0000-0000-0000FED40000}"/>
    <cellStyle name="Normal 9 2 5 2 2 7" xfId="39642" xr:uid="{00000000-0005-0000-0000-0000FFD40000}"/>
    <cellStyle name="Normal 9 2 5 2 3" xfId="39643" xr:uid="{00000000-0005-0000-0000-000000D50000}"/>
    <cellStyle name="Normal 9 2 5 2 3 2" xfId="39644" xr:uid="{00000000-0005-0000-0000-000001D50000}"/>
    <cellStyle name="Normal 9 2 5 2 3 2 2" xfId="60906" xr:uid="{00000000-0005-0000-0000-000002D50000}"/>
    <cellStyle name="Normal 9 2 5 2 3 2 3" xfId="60907" xr:uid="{00000000-0005-0000-0000-000003D50000}"/>
    <cellStyle name="Normal 9 2 5 2 3 3" xfId="39645" xr:uid="{00000000-0005-0000-0000-000004D50000}"/>
    <cellStyle name="Normal 9 2 5 2 3 3 2" xfId="60908" xr:uid="{00000000-0005-0000-0000-000005D50000}"/>
    <cellStyle name="Normal 9 2 5 2 3 4" xfId="39646" xr:uid="{00000000-0005-0000-0000-000006D50000}"/>
    <cellStyle name="Normal 9 2 5 2 3 5" xfId="39647" xr:uid="{00000000-0005-0000-0000-000007D50000}"/>
    <cellStyle name="Normal 9 2 5 2 3 6" xfId="39648" xr:uid="{00000000-0005-0000-0000-000008D50000}"/>
    <cellStyle name="Normal 9 2 5 2 4" xfId="39649" xr:uid="{00000000-0005-0000-0000-000009D50000}"/>
    <cellStyle name="Normal 9 2 5 2 4 2" xfId="60909" xr:uid="{00000000-0005-0000-0000-00000AD50000}"/>
    <cellStyle name="Normal 9 2 5 2 4 3" xfId="60910" xr:uid="{00000000-0005-0000-0000-00000BD50000}"/>
    <cellStyle name="Normal 9 2 5 2 5" xfId="39650" xr:uid="{00000000-0005-0000-0000-00000CD50000}"/>
    <cellStyle name="Normal 9 2 5 2 5 2" xfId="60911" xr:uid="{00000000-0005-0000-0000-00000DD50000}"/>
    <cellStyle name="Normal 9 2 5 2 6" xfId="39651" xr:uid="{00000000-0005-0000-0000-00000ED50000}"/>
    <cellStyle name="Normal 9 2 5 2 7" xfId="39652" xr:uid="{00000000-0005-0000-0000-00000FD50000}"/>
    <cellStyle name="Normal 9 2 5 2 8" xfId="39653" xr:uid="{00000000-0005-0000-0000-000010D50000}"/>
    <cellStyle name="Normal 9 2 5 2 9" xfId="39654" xr:uid="{00000000-0005-0000-0000-000011D50000}"/>
    <cellStyle name="Normal 9 2 5 3" xfId="39655" xr:uid="{00000000-0005-0000-0000-000012D50000}"/>
    <cellStyle name="Normal 9 2 5 3 2" xfId="39656" xr:uid="{00000000-0005-0000-0000-000013D50000}"/>
    <cellStyle name="Normal 9 2 5 3 2 2" xfId="39657" xr:uid="{00000000-0005-0000-0000-000014D50000}"/>
    <cellStyle name="Normal 9 2 5 3 2 2 2" xfId="39658" xr:uid="{00000000-0005-0000-0000-000015D50000}"/>
    <cellStyle name="Normal 9 2 5 3 2 2 2 2" xfId="60912" xr:uid="{00000000-0005-0000-0000-000016D50000}"/>
    <cellStyle name="Normal 9 2 5 3 2 2 2 3" xfId="60913" xr:uid="{00000000-0005-0000-0000-000017D50000}"/>
    <cellStyle name="Normal 9 2 5 3 2 2 3" xfId="39659" xr:uid="{00000000-0005-0000-0000-000018D50000}"/>
    <cellStyle name="Normal 9 2 5 3 2 2 3 2" xfId="60914" xr:uid="{00000000-0005-0000-0000-000019D50000}"/>
    <cellStyle name="Normal 9 2 5 3 2 2 4" xfId="39660" xr:uid="{00000000-0005-0000-0000-00001AD50000}"/>
    <cellStyle name="Normal 9 2 5 3 2 2 5" xfId="39661" xr:uid="{00000000-0005-0000-0000-00001BD50000}"/>
    <cellStyle name="Normal 9 2 5 3 2 2 6" xfId="39662" xr:uid="{00000000-0005-0000-0000-00001CD50000}"/>
    <cellStyle name="Normal 9 2 5 3 2 3" xfId="39663" xr:uid="{00000000-0005-0000-0000-00001DD50000}"/>
    <cellStyle name="Normal 9 2 5 3 2 3 2" xfId="60915" xr:uid="{00000000-0005-0000-0000-00001ED50000}"/>
    <cellStyle name="Normal 9 2 5 3 2 3 3" xfId="60916" xr:uid="{00000000-0005-0000-0000-00001FD50000}"/>
    <cellStyle name="Normal 9 2 5 3 2 4" xfId="39664" xr:uid="{00000000-0005-0000-0000-000020D50000}"/>
    <cellStyle name="Normal 9 2 5 3 2 4 2" xfId="60917" xr:uid="{00000000-0005-0000-0000-000021D50000}"/>
    <cellStyle name="Normal 9 2 5 3 2 5" xfId="39665" xr:uid="{00000000-0005-0000-0000-000022D50000}"/>
    <cellStyle name="Normal 9 2 5 3 2 6" xfId="39666" xr:uid="{00000000-0005-0000-0000-000023D50000}"/>
    <cellStyle name="Normal 9 2 5 3 2 7" xfId="39667" xr:uid="{00000000-0005-0000-0000-000024D50000}"/>
    <cellStyle name="Normal 9 2 5 3 3" xfId="39668" xr:uid="{00000000-0005-0000-0000-000025D50000}"/>
    <cellStyle name="Normal 9 2 5 3 3 2" xfId="39669" xr:uid="{00000000-0005-0000-0000-000026D50000}"/>
    <cellStyle name="Normal 9 2 5 3 3 2 2" xfId="60918" xr:uid="{00000000-0005-0000-0000-000027D50000}"/>
    <cellStyle name="Normal 9 2 5 3 3 2 3" xfId="60919" xr:uid="{00000000-0005-0000-0000-000028D50000}"/>
    <cellStyle name="Normal 9 2 5 3 3 3" xfId="39670" xr:uid="{00000000-0005-0000-0000-000029D50000}"/>
    <cellStyle name="Normal 9 2 5 3 3 3 2" xfId="60920" xr:uid="{00000000-0005-0000-0000-00002AD50000}"/>
    <cellStyle name="Normal 9 2 5 3 3 4" xfId="39671" xr:uid="{00000000-0005-0000-0000-00002BD50000}"/>
    <cellStyle name="Normal 9 2 5 3 3 5" xfId="39672" xr:uid="{00000000-0005-0000-0000-00002CD50000}"/>
    <cellStyle name="Normal 9 2 5 3 3 6" xfId="39673" xr:uid="{00000000-0005-0000-0000-00002DD50000}"/>
    <cellStyle name="Normal 9 2 5 3 4" xfId="39674" xr:uid="{00000000-0005-0000-0000-00002ED50000}"/>
    <cellStyle name="Normal 9 2 5 3 4 2" xfId="60921" xr:uid="{00000000-0005-0000-0000-00002FD50000}"/>
    <cellStyle name="Normal 9 2 5 3 4 3" xfId="60922" xr:uid="{00000000-0005-0000-0000-000030D50000}"/>
    <cellStyle name="Normal 9 2 5 3 5" xfId="39675" xr:uid="{00000000-0005-0000-0000-000031D50000}"/>
    <cellStyle name="Normal 9 2 5 3 5 2" xfId="60923" xr:uid="{00000000-0005-0000-0000-000032D50000}"/>
    <cellStyle name="Normal 9 2 5 3 6" xfId="39676" xr:uid="{00000000-0005-0000-0000-000033D50000}"/>
    <cellStyle name="Normal 9 2 5 3 7" xfId="39677" xr:uid="{00000000-0005-0000-0000-000034D50000}"/>
    <cellStyle name="Normal 9 2 5 3 8" xfId="39678" xr:uid="{00000000-0005-0000-0000-000035D50000}"/>
    <cellStyle name="Normal 9 2 5 4" xfId="39679" xr:uid="{00000000-0005-0000-0000-000036D50000}"/>
    <cellStyle name="Normal 9 2 5 4 2" xfId="39680" xr:uid="{00000000-0005-0000-0000-000037D50000}"/>
    <cellStyle name="Normal 9 2 5 4 2 2" xfId="39681" xr:uid="{00000000-0005-0000-0000-000038D50000}"/>
    <cellStyle name="Normal 9 2 5 4 2 2 2" xfId="60924" xr:uid="{00000000-0005-0000-0000-000039D50000}"/>
    <cellStyle name="Normal 9 2 5 4 2 2 3" xfId="60925" xr:uid="{00000000-0005-0000-0000-00003AD50000}"/>
    <cellStyle name="Normal 9 2 5 4 2 3" xfId="39682" xr:uid="{00000000-0005-0000-0000-00003BD50000}"/>
    <cellStyle name="Normal 9 2 5 4 2 3 2" xfId="60926" xr:uid="{00000000-0005-0000-0000-00003CD50000}"/>
    <cellStyle name="Normal 9 2 5 4 2 4" xfId="39683" xr:uid="{00000000-0005-0000-0000-00003DD50000}"/>
    <cellStyle name="Normal 9 2 5 4 2 5" xfId="39684" xr:uid="{00000000-0005-0000-0000-00003ED50000}"/>
    <cellStyle name="Normal 9 2 5 4 2 6" xfId="39685" xr:uid="{00000000-0005-0000-0000-00003FD50000}"/>
    <cellStyle name="Normal 9 2 5 4 3" xfId="39686" xr:uid="{00000000-0005-0000-0000-000040D50000}"/>
    <cellStyle name="Normal 9 2 5 4 3 2" xfId="60927" xr:uid="{00000000-0005-0000-0000-000041D50000}"/>
    <cellStyle name="Normal 9 2 5 4 3 3" xfId="60928" xr:uid="{00000000-0005-0000-0000-000042D50000}"/>
    <cellStyle name="Normal 9 2 5 4 4" xfId="39687" xr:uid="{00000000-0005-0000-0000-000043D50000}"/>
    <cellStyle name="Normal 9 2 5 4 4 2" xfId="60929" xr:uid="{00000000-0005-0000-0000-000044D50000}"/>
    <cellStyle name="Normal 9 2 5 4 5" xfId="39688" xr:uid="{00000000-0005-0000-0000-000045D50000}"/>
    <cellStyle name="Normal 9 2 5 4 6" xfId="39689" xr:uid="{00000000-0005-0000-0000-000046D50000}"/>
    <cellStyle name="Normal 9 2 5 4 7" xfId="39690" xr:uid="{00000000-0005-0000-0000-000047D50000}"/>
    <cellStyle name="Normal 9 2 5 5" xfId="39691" xr:uid="{00000000-0005-0000-0000-000048D50000}"/>
    <cellStyle name="Normal 9 2 5 5 2" xfId="39692" xr:uid="{00000000-0005-0000-0000-000049D50000}"/>
    <cellStyle name="Normal 9 2 5 5 2 2" xfId="60930" xr:uid="{00000000-0005-0000-0000-00004AD50000}"/>
    <cellStyle name="Normal 9 2 5 5 2 3" xfId="60931" xr:uid="{00000000-0005-0000-0000-00004BD50000}"/>
    <cellStyle name="Normal 9 2 5 5 3" xfId="39693" xr:uid="{00000000-0005-0000-0000-00004CD50000}"/>
    <cellStyle name="Normal 9 2 5 5 3 2" xfId="60932" xr:uid="{00000000-0005-0000-0000-00004DD50000}"/>
    <cellStyle name="Normal 9 2 5 5 4" xfId="39694" xr:uid="{00000000-0005-0000-0000-00004ED50000}"/>
    <cellStyle name="Normal 9 2 5 5 5" xfId="39695" xr:uid="{00000000-0005-0000-0000-00004FD50000}"/>
    <cellStyle name="Normal 9 2 5 5 6" xfId="39696" xr:uid="{00000000-0005-0000-0000-000050D50000}"/>
    <cellStyle name="Normal 9 2 5 6" xfId="39697" xr:uid="{00000000-0005-0000-0000-000051D50000}"/>
    <cellStyle name="Normal 9 2 5 6 2" xfId="60933" xr:uid="{00000000-0005-0000-0000-000052D50000}"/>
    <cellStyle name="Normal 9 2 5 6 3" xfId="60934" xr:uid="{00000000-0005-0000-0000-000053D50000}"/>
    <cellStyle name="Normal 9 2 5 7" xfId="39698" xr:uid="{00000000-0005-0000-0000-000054D50000}"/>
    <cellStyle name="Normal 9 2 5 7 2" xfId="60935" xr:uid="{00000000-0005-0000-0000-000055D50000}"/>
    <cellStyle name="Normal 9 2 5 8" xfId="39699" xr:uid="{00000000-0005-0000-0000-000056D50000}"/>
    <cellStyle name="Normal 9 2 5 9" xfId="39700" xr:uid="{00000000-0005-0000-0000-000057D50000}"/>
    <cellStyle name="Normal 9 2 6" xfId="39701" xr:uid="{00000000-0005-0000-0000-000058D50000}"/>
    <cellStyle name="Normal 9 2 6 10" xfId="39702" xr:uid="{00000000-0005-0000-0000-000059D50000}"/>
    <cellStyle name="Normal 9 2 6 11" xfId="39703" xr:uid="{00000000-0005-0000-0000-00005AD50000}"/>
    <cellStyle name="Normal 9 2 6 12" xfId="39704" xr:uid="{00000000-0005-0000-0000-00005BD50000}"/>
    <cellStyle name="Normal 9 2 6 13" xfId="39705" xr:uid="{00000000-0005-0000-0000-00005CD50000}"/>
    <cellStyle name="Normal 9 2 6 2" xfId="39706" xr:uid="{00000000-0005-0000-0000-00005DD50000}"/>
    <cellStyle name="Normal 9 2 6 2 2" xfId="39707" xr:uid="{00000000-0005-0000-0000-00005ED50000}"/>
    <cellStyle name="Normal 9 2 6 2 2 2" xfId="39708" xr:uid="{00000000-0005-0000-0000-00005FD50000}"/>
    <cellStyle name="Normal 9 2 6 2 2 2 2" xfId="39709" xr:uid="{00000000-0005-0000-0000-000060D50000}"/>
    <cellStyle name="Normal 9 2 6 2 2 2 2 2" xfId="60936" xr:uid="{00000000-0005-0000-0000-000061D50000}"/>
    <cellStyle name="Normal 9 2 6 2 2 2 2 3" xfId="60937" xr:uid="{00000000-0005-0000-0000-000062D50000}"/>
    <cellStyle name="Normal 9 2 6 2 2 2 3" xfId="39710" xr:uid="{00000000-0005-0000-0000-000063D50000}"/>
    <cellStyle name="Normal 9 2 6 2 2 2 3 2" xfId="60938" xr:uid="{00000000-0005-0000-0000-000064D50000}"/>
    <cellStyle name="Normal 9 2 6 2 2 2 4" xfId="39711" xr:uid="{00000000-0005-0000-0000-000065D50000}"/>
    <cellStyle name="Normal 9 2 6 2 2 2 5" xfId="39712" xr:uid="{00000000-0005-0000-0000-000066D50000}"/>
    <cellStyle name="Normal 9 2 6 2 2 2 6" xfId="39713" xr:uid="{00000000-0005-0000-0000-000067D50000}"/>
    <cellStyle name="Normal 9 2 6 2 2 3" xfId="39714" xr:uid="{00000000-0005-0000-0000-000068D50000}"/>
    <cellStyle name="Normal 9 2 6 2 2 3 2" xfId="60939" xr:uid="{00000000-0005-0000-0000-000069D50000}"/>
    <cellStyle name="Normal 9 2 6 2 2 3 3" xfId="60940" xr:uid="{00000000-0005-0000-0000-00006AD50000}"/>
    <cellStyle name="Normal 9 2 6 2 2 4" xfId="39715" xr:uid="{00000000-0005-0000-0000-00006BD50000}"/>
    <cellStyle name="Normal 9 2 6 2 2 4 2" xfId="60941" xr:uid="{00000000-0005-0000-0000-00006CD50000}"/>
    <cellStyle name="Normal 9 2 6 2 2 5" xfId="39716" xr:uid="{00000000-0005-0000-0000-00006DD50000}"/>
    <cellStyle name="Normal 9 2 6 2 2 6" xfId="39717" xr:uid="{00000000-0005-0000-0000-00006ED50000}"/>
    <cellStyle name="Normal 9 2 6 2 2 7" xfId="39718" xr:uid="{00000000-0005-0000-0000-00006FD50000}"/>
    <cellStyle name="Normal 9 2 6 2 3" xfId="39719" xr:uid="{00000000-0005-0000-0000-000070D50000}"/>
    <cellStyle name="Normal 9 2 6 2 3 2" xfId="39720" xr:uid="{00000000-0005-0000-0000-000071D50000}"/>
    <cellStyle name="Normal 9 2 6 2 3 2 2" xfId="60942" xr:uid="{00000000-0005-0000-0000-000072D50000}"/>
    <cellStyle name="Normal 9 2 6 2 3 2 3" xfId="60943" xr:uid="{00000000-0005-0000-0000-000073D50000}"/>
    <cellStyle name="Normal 9 2 6 2 3 3" xfId="39721" xr:uid="{00000000-0005-0000-0000-000074D50000}"/>
    <cellStyle name="Normal 9 2 6 2 3 3 2" xfId="60944" xr:uid="{00000000-0005-0000-0000-000075D50000}"/>
    <cellStyle name="Normal 9 2 6 2 3 4" xfId="39722" xr:uid="{00000000-0005-0000-0000-000076D50000}"/>
    <cellStyle name="Normal 9 2 6 2 3 5" xfId="39723" xr:uid="{00000000-0005-0000-0000-000077D50000}"/>
    <cellStyle name="Normal 9 2 6 2 3 6" xfId="39724" xr:uid="{00000000-0005-0000-0000-000078D50000}"/>
    <cellStyle name="Normal 9 2 6 2 4" xfId="39725" xr:uid="{00000000-0005-0000-0000-000079D50000}"/>
    <cellStyle name="Normal 9 2 6 2 4 2" xfId="60945" xr:uid="{00000000-0005-0000-0000-00007AD50000}"/>
    <cellStyle name="Normal 9 2 6 2 4 3" xfId="60946" xr:uid="{00000000-0005-0000-0000-00007BD50000}"/>
    <cellStyle name="Normal 9 2 6 2 5" xfId="39726" xr:uid="{00000000-0005-0000-0000-00007CD50000}"/>
    <cellStyle name="Normal 9 2 6 2 5 2" xfId="60947" xr:uid="{00000000-0005-0000-0000-00007DD50000}"/>
    <cellStyle name="Normal 9 2 6 2 6" xfId="39727" xr:uid="{00000000-0005-0000-0000-00007ED50000}"/>
    <cellStyle name="Normal 9 2 6 2 7" xfId="39728" xr:uid="{00000000-0005-0000-0000-00007FD50000}"/>
    <cellStyle name="Normal 9 2 6 2 8" xfId="39729" xr:uid="{00000000-0005-0000-0000-000080D50000}"/>
    <cellStyle name="Normal 9 2 6 2 9" xfId="39730" xr:uid="{00000000-0005-0000-0000-000081D50000}"/>
    <cellStyle name="Normal 9 2 6 3" xfId="39731" xr:uid="{00000000-0005-0000-0000-000082D50000}"/>
    <cellStyle name="Normal 9 2 6 3 2" xfId="39732" xr:uid="{00000000-0005-0000-0000-000083D50000}"/>
    <cellStyle name="Normal 9 2 6 3 2 2" xfId="39733" xr:uid="{00000000-0005-0000-0000-000084D50000}"/>
    <cellStyle name="Normal 9 2 6 3 2 2 2" xfId="60948" xr:uid="{00000000-0005-0000-0000-000085D50000}"/>
    <cellStyle name="Normal 9 2 6 3 2 2 3" xfId="60949" xr:uid="{00000000-0005-0000-0000-000086D50000}"/>
    <cellStyle name="Normal 9 2 6 3 2 3" xfId="39734" xr:uid="{00000000-0005-0000-0000-000087D50000}"/>
    <cellStyle name="Normal 9 2 6 3 2 3 2" xfId="60950" xr:uid="{00000000-0005-0000-0000-000088D50000}"/>
    <cellStyle name="Normal 9 2 6 3 2 4" xfId="39735" xr:uid="{00000000-0005-0000-0000-000089D50000}"/>
    <cellStyle name="Normal 9 2 6 3 2 5" xfId="39736" xr:uid="{00000000-0005-0000-0000-00008AD50000}"/>
    <cellStyle name="Normal 9 2 6 3 2 6" xfId="39737" xr:uid="{00000000-0005-0000-0000-00008BD50000}"/>
    <cellStyle name="Normal 9 2 6 3 3" xfId="39738" xr:uid="{00000000-0005-0000-0000-00008CD50000}"/>
    <cellStyle name="Normal 9 2 6 3 3 2" xfId="60951" xr:uid="{00000000-0005-0000-0000-00008DD50000}"/>
    <cellStyle name="Normal 9 2 6 3 3 3" xfId="60952" xr:uid="{00000000-0005-0000-0000-00008ED50000}"/>
    <cellStyle name="Normal 9 2 6 3 4" xfId="39739" xr:uid="{00000000-0005-0000-0000-00008FD50000}"/>
    <cellStyle name="Normal 9 2 6 3 4 2" xfId="60953" xr:uid="{00000000-0005-0000-0000-000090D50000}"/>
    <cellStyle name="Normal 9 2 6 3 5" xfId="39740" xr:uid="{00000000-0005-0000-0000-000091D50000}"/>
    <cellStyle name="Normal 9 2 6 3 6" xfId="39741" xr:uid="{00000000-0005-0000-0000-000092D50000}"/>
    <cellStyle name="Normal 9 2 6 3 7" xfId="39742" xr:uid="{00000000-0005-0000-0000-000093D50000}"/>
    <cellStyle name="Normal 9 2 6 4" xfId="39743" xr:uid="{00000000-0005-0000-0000-000094D50000}"/>
    <cellStyle name="Normal 9 2 6 4 2" xfId="39744" xr:uid="{00000000-0005-0000-0000-000095D50000}"/>
    <cellStyle name="Normal 9 2 6 4 2 2" xfId="60954" xr:uid="{00000000-0005-0000-0000-000096D50000}"/>
    <cellStyle name="Normal 9 2 6 4 2 3" xfId="60955" xr:uid="{00000000-0005-0000-0000-000097D50000}"/>
    <cellStyle name="Normal 9 2 6 4 3" xfId="39745" xr:uid="{00000000-0005-0000-0000-000098D50000}"/>
    <cellStyle name="Normal 9 2 6 4 3 2" xfId="60956" xr:uid="{00000000-0005-0000-0000-000099D50000}"/>
    <cellStyle name="Normal 9 2 6 4 4" xfId="39746" xr:uid="{00000000-0005-0000-0000-00009AD50000}"/>
    <cellStyle name="Normal 9 2 6 4 5" xfId="39747" xr:uid="{00000000-0005-0000-0000-00009BD50000}"/>
    <cellStyle name="Normal 9 2 6 4 6" xfId="39748" xr:uid="{00000000-0005-0000-0000-00009CD50000}"/>
    <cellStyle name="Normal 9 2 6 5" xfId="39749" xr:uid="{00000000-0005-0000-0000-00009DD50000}"/>
    <cellStyle name="Normal 9 2 6 5 2" xfId="60957" xr:uid="{00000000-0005-0000-0000-00009ED50000}"/>
    <cellStyle name="Normal 9 2 6 5 3" xfId="60958" xr:uid="{00000000-0005-0000-0000-00009FD50000}"/>
    <cellStyle name="Normal 9 2 6 6" xfId="39750" xr:uid="{00000000-0005-0000-0000-0000A0D50000}"/>
    <cellStyle name="Normal 9 2 6 6 2" xfId="60959" xr:uid="{00000000-0005-0000-0000-0000A1D50000}"/>
    <cellStyle name="Normal 9 2 6 7" xfId="39751" xr:uid="{00000000-0005-0000-0000-0000A2D50000}"/>
    <cellStyle name="Normal 9 2 6 8" xfId="39752" xr:uid="{00000000-0005-0000-0000-0000A3D50000}"/>
    <cellStyle name="Normal 9 2 6 9" xfId="39753" xr:uid="{00000000-0005-0000-0000-0000A4D50000}"/>
    <cellStyle name="Normal 9 2 7" xfId="39754" xr:uid="{00000000-0005-0000-0000-0000A5D50000}"/>
    <cellStyle name="Normal 9 2 7 2" xfId="39755" xr:uid="{00000000-0005-0000-0000-0000A6D50000}"/>
    <cellStyle name="Normal 9 2 7 2 2" xfId="39756" xr:uid="{00000000-0005-0000-0000-0000A7D50000}"/>
    <cellStyle name="Normal 9 2 7 2 2 2" xfId="39757" xr:uid="{00000000-0005-0000-0000-0000A8D50000}"/>
    <cellStyle name="Normal 9 2 7 2 2 2 2" xfId="60960" xr:uid="{00000000-0005-0000-0000-0000A9D50000}"/>
    <cellStyle name="Normal 9 2 7 2 2 2 3" xfId="60961" xr:uid="{00000000-0005-0000-0000-0000AAD50000}"/>
    <cellStyle name="Normal 9 2 7 2 2 3" xfId="39758" xr:uid="{00000000-0005-0000-0000-0000ABD50000}"/>
    <cellStyle name="Normal 9 2 7 2 2 3 2" xfId="60962" xr:uid="{00000000-0005-0000-0000-0000ACD50000}"/>
    <cellStyle name="Normal 9 2 7 2 2 4" xfId="39759" xr:uid="{00000000-0005-0000-0000-0000ADD50000}"/>
    <cellStyle name="Normal 9 2 7 2 2 5" xfId="39760" xr:uid="{00000000-0005-0000-0000-0000AED50000}"/>
    <cellStyle name="Normal 9 2 7 2 2 6" xfId="39761" xr:uid="{00000000-0005-0000-0000-0000AFD50000}"/>
    <cellStyle name="Normal 9 2 7 2 3" xfId="39762" xr:uid="{00000000-0005-0000-0000-0000B0D50000}"/>
    <cellStyle name="Normal 9 2 7 2 3 2" xfId="60963" xr:uid="{00000000-0005-0000-0000-0000B1D50000}"/>
    <cellStyle name="Normal 9 2 7 2 3 3" xfId="60964" xr:uid="{00000000-0005-0000-0000-0000B2D50000}"/>
    <cellStyle name="Normal 9 2 7 2 4" xfId="39763" xr:uid="{00000000-0005-0000-0000-0000B3D50000}"/>
    <cellStyle name="Normal 9 2 7 2 4 2" xfId="60965" xr:uid="{00000000-0005-0000-0000-0000B4D50000}"/>
    <cellStyle name="Normal 9 2 7 2 5" xfId="39764" xr:uid="{00000000-0005-0000-0000-0000B5D50000}"/>
    <cellStyle name="Normal 9 2 7 2 6" xfId="39765" xr:uid="{00000000-0005-0000-0000-0000B6D50000}"/>
    <cellStyle name="Normal 9 2 7 2 7" xfId="39766" xr:uid="{00000000-0005-0000-0000-0000B7D50000}"/>
    <cellStyle name="Normal 9 2 7 3" xfId="39767" xr:uid="{00000000-0005-0000-0000-0000B8D50000}"/>
    <cellStyle name="Normal 9 2 7 3 2" xfId="39768" xr:uid="{00000000-0005-0000-0000-0000B9D50000}"/>
    <cellStyle name="Normal 9 2 7 3 2 2" xfId="60966" xr:uid="{00000000-0005-0000-0000-0000BAD50000}"/>
    <cellStyle name="Normal 9 2 7 3 2 3" xfId="60967" xr:uid="{00000000-0005-0000-0000-0000BBD50000}"/>
    <cellStyle name="Normal 9 2 7 3 3" xfId="39769" xr:uid="{00000000-0005-0000-0000-0000BCD50000}"/>
    <cellStyle name="Normal 9 2 7 3 3 2" xfId="60968" xr:uid="{00000000-0005-0000-0000-0000BDD50000}"/>
    <cellStyle name="Normal 9 2 7 3 4" xfId="39770" xr:uid="{00000000-0005-0000-0000-0000BED50000}"/>
    <cellStyle name="Normal 9 2 7 3 5" xfId="39771" xr:uid="{00000000-0005-0000-0000-0000BFD50000}"/>
    <cellStyle name="Normal 9 2 7 3 6" xfId="39772" xr:uid="{00000000-0005-0000-0000-0000C0D50000}"/>
    <cellStyle name="Normal 9 2 7 4" xfId="39773" xr:uid="{00000000-0005-0000-0000-0000C1D50000}"/>
    <cellStyle name="Normal 9 2 7 4 2" xfId="60969" xr:uid="{00000000-0005-0000-0000-0000C2D50000}"/>
    <cellStyle name="Normal 9 2 7 4 3" xfId="60970" xr:uid="{00000000-0005-0000-0000-0000C3D50000}"/>
    <cellStyle name="Normal 9 2 7 5" xfId="39774" xr:uid="{00000000-0005-0000-0000-0000C4D50000}"/>
    <cellStyle name="Normal 9 2 7 5 2" xfId="60971" xr:uid="{00000000-0005-0000-0000-0000C5D50000}"/>
    <cellStyle name="Normal 9 2 7 6" xfId="39775" xr:uid="{00000000-0005-0000-0000-0000C6D50000}"/>
    <cellStyle name="Normal 9 2 7 7" xfId="39776" xr:uid="{00000000-0005-0000-0000-0000C7D50000}"/>
    <cellStyle name="Normal 9 2 7 8" xfId="39777" xr:uid="{00000000-0005-0000-0000-0000C8D50000}"/>
    <cellStyle name="Normal 9 2 7 9" xfId="39778" xr:uid="{00000000-0005-0000-0000-0000C9D50000}"/>
    <cellStyle name="Normal 9 2 8" xfId="39779" xr:uid="{00000000-0005-0000-0000-0000CAD50000}"/>
    <cellStyle name="Normal 9 2 8 2" xfId="39780" xr:uid="{00000000-0005-0000-0000-0000CBD50000}"/>
    <cellStyle name="Normal 9 2 8 2 2" xfId="39781" xr:uid="{00000000-0005-0000-0000-0000CCD50000}"/>
    <cellStyle name="Normal 9 2 8 2 2 2" xfId="39782" xr:uid="{00000000-0005-0000-0000-0000CDD50000}"/>
    <cellStyle name="Normal 9 2 8 2 2 2 2" xfId="60972" xr:uid="{00000000-0005-0000-0000-0000CED50000}"/>
    <cellStyle name="Normal 9 2 8 2 2 2 3" xfId="60973" xr:uid="{00000000-0005-0000-0000-0000CFD50000}"/>
    <cellStyle name="Normal 9 2 8 2 2 3" xfId="39783" xr:uid="{00000000-0005-0000-0000-0000D0D50000}"/>
    <cellStyle name="Normal 9 2 8 2 2 3 2" xfId="60974" xr:uid="{00000000-0005-0000-0000-0000D1D50000}"/>
    <cellStyle name="Normal 9 2 8 2 2 4" xfId="39784" xr:uid="{00000000-0005-0000-0000-0000D2D50000}"/>
    <cellStyle name="Normal 9 2 8 2 2 5" xfId="39785" xr:uid="{00000000-0005-0000-0000-0000D3D50000}"/>
    <cellStyle name="Normal 9 2 8 2 2 6" xfId="39786" xr:uid="{00000000-0005-0000-0000-0000D4D50000}"/>
    <cellStyle name="Normal 9 2 8 2 3" xfId="39787" xr:uid="{00000000-0005-0000-0000-0000D5D50000}"/>
    <cellStyle name="Normal 9 2 8 2 3 2" xfId="60975" xr:uid="{00000000-0005-0000-0000-0000D6D50000}"/>
    <cellStyle name="Normal 9 2 8 2 3 3" xfId="60976" xr:uid="{00000000-0005-0000-0000-0000D7D50000}"/>
    <cellStyle name="Normal 9 2 8 2 4" xfId="39788" xr:uid="{00000000-0005-0000-0000-0000D8D50000}"/>
    <cellStyle name="Normal 9 2 8 2 4 2" xfId="60977" xr:uid="{00000000-0005-0000-0000-0000D9D50000}"/>
    <cellStyle name="Normal 9 2 8 2 5" xfId="39789" xr:uid="{00000000-0005-0000-0000-0000DAD50000}"/>
    <cellStyle name="Normal 9 2 8 2 6" xfId="39790" xr:uid="{00000000-0005-0000-0000-0000DBD50000}"/>
    <cellStyle name="Normal 9 2 8 2 7" xfId="39791" xr:uid="{00000000-0005-0000-0000-0000DCD50000}"/>
    <cellStyle name="Normal 9 2 8 3" xfId="39792" xr:uid="{00000000-0005-0000-0000-0000DDD50000}"/>
    <cellStyle name="Normal 9 2 8 3 2" xfId="39793" xr:uid="{00000000-0005-0000-0000-0000DED50000}"/>
    <cellStyle name="Normal 9 2 8 3 2 2" xfId="60978" xr:uid="{00000000-0005-0000-0000-0000DFD50000}"/>
    <cellStyle name="Normal 9 2 8 3 2 3" xfId="60979" xr:uid="{00000000-0005-0000-0000-0000E0D50000}"/>
    <cellStyle name="Normal 9 2 8 3 3" xfId="39794" xr:uid="{00000000-0005-0000-0000-0000E1D50000}"/>
    <cellStyle name="Normal 9 2 8 3 3 2" xfId="60980" xr:uid="{00000000-0005-0000-0000-0000E2D50000}"/>
    <cellStyle name="Normal 9 2 8 3 4" xfId="39795" xr:uid="{00000000-0005-0000-0000-0000E3D50000}"/>
    <cellStyle name="Normal 9 2 8 3 5" xfId="39796" xr:uid="{00000000-0005-0000-0000-0000E4D50000}"/>
    <cellStyle name="Normal 9 2 8 3 6" xfId="39797" xr:uid="{00000000-0005-0000-0000-0000E5D50000}"/>
    <cellStyle name="Normal 9 2 8 4" xfId="39798" xr:uid="{00000000-0005-0000-0000-0000E6D50000}"/>
    <cellStyle name="Normal 9 2 8 4 2" xfId="60981" xr:uid="{00000000-0005-0000-0000-0000E7D50000}"/>
    <cellStyle name="Normal 9 2 8 4 3" xfId="60982" xr:uid="{00000000-0005-0000-0000-0000E8D50000}"/>
    <cellStyle name="Normal 9 2 8 5" xfId="39799" xr:uid="{00000000-0005-0000-0000-0000E9D50000}"/>
    <cellStyle name="Normal 9 2 8 5 2" xfId="60983" xr:uid="{00000000-0005-0000-0000-0000EAD50000}"/>
    <cellStyle name="Normal 9 2 8 6" xfId="39800" xr:uid="{00000000-0005-0000-0000-0000EBD50000}"/>
    <cellStyle name="Normal 9 2 8 7" xfId="39801" xr:uid="{00000000-0005-0000-0000-0000ECD50000}"/>
    <cellStyle name="Normal 9 2 8 8" xfId="39802" xr:uid="{00000000-0005-0000-0000-0000EDD50000}"/>
    <cellStyle name="Normal 9 2 9" xfId="39803" xr:uid="{00000000-0005-0000-0000-0000EED50000}"/>
    <cellStyle name="Normal 9 2 9 2" xfId="39804" xr:uid="{00000000-0005-0000-0000-0000EFD50000}"/>
    <cellStyle name="Normal 9 2 9 2 2" xfId="39805" xr:uid="{00000000-0005-0000-0000-0000F0D50000}"/>
    <cellStyle name="Normal 9 2 9 2 2 2" xfId="39806" xr:uid="{00000000-0005-0000-0000-0000F1D50000}"/>
    <cellStyle name="Normal 9 2 9 2 2 2 2" xfId="60984" xr:uid="{00000000-0005-0000-0000-0000F2D50000}"/>
    <cellStyle name="Normal 9 2 9 2 2 2 3" xfId="60985" xr:uid="{00000000-0005-0000-0000-0000F3D50000}"/>
    <cellStyle name="Normal 9 2 9 2 2 3" xfId="39807" xr:uid="{00000000-0005-0000-0000-0000F4D50000}"/>
    <cellStyle name="Normal 9 2 9 2 2 3 2" xfId="60986" xr:uid="{00000000-0005-0000-0000-0000F5D50000}"/>
    <cellStyle name="Normal 9 2 9 2 2 4" xfId="39808" xr:uid="{00000000-0005-0000-0000-0000F6D50000}"/>
    <cellStyle name="Normal 9 2 9 2 2 5" xfId="39809" xr:uid="{00000000-0005-0000-0000-0000F7D50000}"/>
    <cellStyle name="Normal 9 2 9 2 2 6" xfId="39810" xr:uid="{00000000-0005-0000-0000-0000F8D50000}"/>
    <cellStyle name="Normal 9 2 9 2 3" xfId="39811" xr:uid="{00000000-0005-0000-0000-0000F9D50000}"/>
    <cellStyle name="Normal 9 2 9 2 3 2" xfId="60987" xr:uid="{00000000-0005-0000-0000-0000FAD50000}"/>
    <cellStyle name="Normal 9 2 9 2 3 3" xfId="60988" xr:uid="{00000000-0005-0000-0000-0000FBD50000}"/>
    <cellStyle name="Normal 9 2 9 2 4" xfId="39812" xr:uid="{00000000-0005-0000-0000-0000FCD50000}"/>
    <cellStyle name="Normal 9 2 9 2 4 2" xfId="60989" xr:uid="{00000000-0005-0000-0000-0000FDD50000}"/>
    <cellStyle name="Normal 9 2 9 2 5" xfId="39813" xr:uid="{00000000-0005-0000-0000-0000FED50000}"/>
    <cellStyle name="Normal 9 2 9 2 6" xfId="39814" xr:uid="{00000000-0005-0000-0000-0000FFD50000}"/>
    <cellStyle name="Normal 9 2 9 2 7" xfId="39815" xr:uid="{00000000-0005-0000-0000-000000D60000}"/>
    <cellStyle name="Normal 9 2 9 3" xfId="39816" xr:uid="{00000000-0005-0000-0000-000001D60000}"/>
    <cellStyle name="Normal 9 2 9 3 2" xfId="39817" xr:uid="{00000000-0005-0000-0000-000002D60000}"/>
    <cellStyle name="Normal 9 2 9 3 2 2" xfId="60990" xr:uid="{00000000-0005-0000-0000-000003D60000}"/>
    <cellStyle name="Normal 9 2 9 3 2 3" xfId="60991" xr:uid="{00000000-0005-0000-0000-000004D60000}"/>
    <cellStyle name="Normal 9 2 9 3 3" xfId="39818" xr:uid="{00000000-0005-0000-0000-000005D60000}"/>
    <cellStyle name="Normal 9 2 9 3 3 2" xfId="60992" xr:uid="{00000000-0005-0000-0000-000006D60000}"/>
    <cellStyle name="Normal 9 2 9 3 4" xfId="39819" xr:uid="{00000000-0005-0000-0000-000007D60000}"/>
    <cellStyle name="Normal 9 2 9 3 5" xfId="39820" xr:uid="{00000000-0005-0000-0000-000008D60000}"/>
    <cellStyle name="Normal 9 2 9 3 6" xfId="39821" xr:uid="{00000000-0005-0000-0000-000009D60000}"/>
    <cellStyle name="Normal 9 2 9 4" xfId="39822" xr:uid="{00000000-0005-0000-0000-00000AD60000}"/>
    <cellStyle name="Normal 9 2 9 4 2" xfId="60993" xr:uid="{00000000-0005-0000-0000-00000BD60000}"/>
    <cellStyle name="Normal 9 2 9 4 3" xfId="60994" xr:uid="{00000000-0005-0000-0000-00000CD60000}"/>
    <cellStyle name="Normal 9 2 9 5" xfId="39823" xr:uid="{00000000-0005-0000-0000-00000DD60000}"/>
    <cellStyle name="Normal 9 2 9 5 2" xfId="60995" xr:uid="{00000000-0005-0000-0000-00000ED60000}"/>
    <cellStyle name="Normal 9 2 9 6" xfId="39824" xr:uid="{00000000-0005-0000-0000-00000FD60000}"/>
    <cellStyle name="Normal 9 2 9 7" xfId="39825" xr:uid="{00000000-0005-0000-0000-000010D60000}"/>
    <cellStyle name="Normal 9 2 9 8" xfId="39826" xr:uid="{00000000-0005-0000-0000-000011D60000}"/>
    <cellStyle name="Normal 9 20" xfId="39827" xr:uid="{00000000-0005-0000-0000-000012D60000}"/>
    <cellStyle name="Normal 9 21" xfId="39828" xr:uid="{00000000-0005-0000-0000-000013D60000}"/>
    <cellStyle name="Normal 9 22" xfId="39829" xr:uid="{00000000-0005-0000-0000-000014D60000}"/>
    <cellStyle name="Normal 9 23" xfId="39830" xr:uid="{00000000-0005-0000-0000-000015D60000}"/>
    <cellStyle name="Normal 9 3" xfId="39831" xr:uid="{00000000-0005-0000-0000-000016D60000}"/>
    <cellStyle name="Normal 9 3 10" xfId="39832" xr:uid="{00000000-0005-0000-0000-000017D60000}"/>
    <cellStyle name="Normal 9 3 10 2" xfId="39833" xr:uid="{00000000-0005-0000-0000-000018D60000}"/>
    <cellStyle name="Normal 9 3 10 2 2" xfId="39834" xr:uid="{00000000-0005-0000-0000-000019D60000}"/>
    <cellStyle name="Normal 9 3 10 2 2 2" xfId="60996" xr:uid="{00000000-0005-0000-0000-00001AD60000}"/>
    <cellStyle name="Normal 9 3 10 2 2 3" xfId="60997" xr:uid="{00000000-0005-0000-0000-00001BD60000}"/>
    <cellStyle name="Normal 9 3 10 2 3" xfId="39835" xr:uid="{00000000-0005-0000-0000-00001CD60000}"/>
    <cellStyle name="Normal 9 3 10 2 3 2" xfId="60998" xr:uid="{00000000-0005-0000-0000-00001DD60000}"/>
    <cellStyle name="Normal 9 3 10 2 4" xfId="39836" xr:uid="{00000000-0005-0000-0000-00001ED60000}"/>
    <cellStyle name="Normal 9 3 10 2 5" xfId="39837" xr:uid="{00000000-0005-0000-0000-00001FD60000}"/>
    <cellStyle name="Normal 9 3 10 2 6" xfId="39838" xr:uid="{00000000-0005-0000-0000-000020D60000}"/>
    <cellStyle name="Normal 9 3 10 3" xfId="39839" xr:uid="{00000000-0005-0000-0000-000021D60000}"/>
    <cellStyle name="Normal 9 3 10 3 2" xfId="60999" xr:uid="{00000000-0005-0000-0000-000022D60000}"/>
    <cellStyle name="Normal 9 3 10 3 3" xfId="61000" xr:uid="{00000000-0005-0000-0000-000023D60000}"/>
    <cellStyle name="Normal 9 3 10 4" xfId="39840" xr:uid="{00000000-0005-0000-0000-000024D60000}"/>
    <cellStyle name="Normal 9 3 10 4 2" xfId="61001" xr:uid="{00000000-0005-0000-0000-000025D60000}"/>
    <cellStyle name="Normal 9 3 10 5" xfId="39841" xr:uid="{00000000-0005-0000-0000-000026D60000}"/>
    <cellStyle name="Normal 9 3 10 6" xfId="39842" xr:uid="{00000000-0005-0000-0000-000027D60000}"/>
    <cellStyle name="Normal 9 3 10 7" xfId="39843" xr:uid="{00000000-0005-0000-0000-000028D60000}"/>
    <cellStyle name="Normal 9 3 11" xfId="39844" xr:uid="{00000000-0005-0000-0000-000029D60000}"/>
    <cellStyle name="Normal 9 3 11 2" xfId="39845" xr:uid="{00000000-0005-0000-0000-00002AD60000}"/>
    <cellStyle name="Normal 9 3 11 2 2" xfId="61002" xr:uid="{00000000-0005-0000-0000-00002BD60000}"/>
    <cellStyle name="Normal 9 3 11 2 3" xfId="61003" xr:uid="{00000000-0005-0000-0000-00002CD60000}"/>
    <cellStyle name="Normal 9 3 11 3" xfId="39846" xr:uid="{00000000-0005-0000-0000-00002DD60000}"/>
    <cellStyle name="Normal 9 3 11 3 2" xfId="61004" xr:uid="{00000000-0005-0000-0000-00002ED60000}"/>
    <cellStyle name="Normal 9 3 11 4" xfId="39847" xr:uid="{00000000-0005-0000-0000-00002FD60000}"/>
    <cellStyle name="Normal 9 3 11 5" xfId="39848" xr:uid="{00000000-0005-0000-0000-000030D60000}"/>
    <cellStyle name="Normal 9 3 11 6" xfId="39849" xr:uid="{00000000-0005-0000-0000-000031D60000}"/>
    <cellStyle name="Normal 9 3 12" xfId="39850" xr:uid="{00000000-0005-0000-0000-000032D60000}"/>
    <cellStyle name="Normal 9 3 12 2" xfId="61005" xr:uid="{00000000-0005-0000-0000-000033D60000}"/>
    <cellStyle name="Normal 9 3 12 3" xfId="61006" xr:uid="{00000000-0005-0000-0000-000034D60000}"/>
    <cellStyle name="Normal 9 3 13" xfId="39851" xr:uid="{00000000-0005-0000-0000-000035D60000}"/>
    <cellStyle name="Normal 9 3 13 2" xfId="61007" xr:uid="{00000000-0005-0000-0000-000036D60000}"/>
    <cellStyle name="Normal 9 3 14" xfId="39852" xr:uid="{00000000-0005-0000-0000-000037D60000}"/>
    <cellStyle name="Normal 9 3 14 2" xfId="61008" xr:uid="{00000000-0005-0000-0000-000038D60000}"/>
    <cellStyle name="Normal 9 3 15" xfId="39853" xr:uid="{00000000-0005-0000-0000-000039D60000}"/>
    <cellStyle name="Normal 9 3 16" xfId="39854" xr:uid="{00000000-0005-0000-0000-00003AD60000}"/>
    <cellStyle name="Normal 9 3 17" xfId="39855" xr:uid="{00000000-0005-0000-0000-00003BD60000}"/>
    <cellStyle name="Normal 9 3 18" xfId="39856" xr:uid="{00000000-0005-0000-0000-00003CD60000}"/>
    <cellStyle name="Normal 9 3 19" xfId="39857" xr:uid="{00000000-0005-0000-0000-00003DD60000}"/>
    <cellStyle name="Normal 9 3 2" xfId="39858" xr:uid="{00000000-0005-0000-0000-00003ED60000}"/>
    <cellStyle name="Normal 9 3 2 10" xfId="39859" xr:uid="{00000000-0005-0000-0000-00003FD60000}"/>
    <cellStyle name="Normal 9 3 2 11" xfId="39860" xr:uid="{00000000-0005-0000-0000-000040D60000}"/>
    <cellStyle name="Normal 9 3 2 12" xfId="39861" xr:uid="{00000000-0005-0000-0000-000041D60000}"/>
    <cellStyle name="Normal 9 3 2 13" xfId="39862" xr:uid="{00000000-0005-0000-0000-000042D60000}"/>
    <cellStyle name="Normal 9 3 2 14" xfId="39863" xr:uid="{00000000-0005-0000-0000-000043D60000}"/>
    <cellStyle name="Normal 9 3 2 15" xfId="39864" xr:uid="{00000000-0005-0000-0000-000044D60000}"/>
    <cellStyle name="Normal 9 3 2 16" xfId="39865" xr:uid="{00000000-0005-0000-0000-000045D60000}"/>
    <cellStyle name="Normal 9 3 2 2" xfId="39866" xr:uid="{00000000-0005-0000-0000-000046D60000}"/>
    <cellStyle name="Normal 9 3 2 2 10" xfId="39867" xr:uid="{00000000-0005-0000-0000-000047D60000}"/>
    <cellStyle name="Normal 9 3 2 2 11" xfId="39868" xr:uid="{00000000-0005-0000-0000-000048D60000}"/>
    <cellStyle name="Normal 9 3 2 2 12" xfId="39869" xr:uid="{00000000-0005-0000-0000-000049D60000}"/>
    <cellStyle name="Normal 9 3 2 2 13" xfId="39870" xr:uid="{00000000-0005-0000-0000-00004AD60000}"/>
    <cellStyle name="Normal 9 3 2 2 14" xfId="39871" xr:uid="{00000000-0005-0000-0000-00004BD60000}"/>
    <cellStyle name="Normal 9 3 2 2 2" xfId="39872" xr:uid="{00000000-0005-0000-0000-00004CD60000}"/>
    <cellStyle name="Normal 9 3 2 2 2 2" xfId="39873" xr:uid="{00000000-0005-0000-0000-00004DD60000}"/>
    <cellStyle name="Normal 9 3 2 2 2 2 2" xfId="39874" xr:uid="{00000000-0005-0000-0000-00004ED60000}"/>
    <cellStyle name="Normal 9 3 2 2 2 2 2 2" xfId="39875" xr:uid="{00000000-0005-0000-0000-00004FD60000}"/>
    <cellStyle name="Normal 9 3 2 2 2 2 2 2 2" xfId="61009" xr:uid="{00000000-0005-0000-0000-000050D60000}"/>
    <cellStyle name="Normal 9 3 2 2 2 2 2 2 3" xfId="61010" xr:uid="{00000000-0005-0000-0000-000051D60000}"/>
    <cellStyle name="Normal 9 3 2 2 2 2 2 3" xfId="39876" xr:uid="{00000000-0005-0000-0000-000052D60000}"/>
    <cellStyle name="Normal 9 3 2 2 2 2 2 3 2" xfId="61011" xr:uid="{00000000-0005-0000-0000-000053D60000}"/>
    <cellStyle name="Normal 9 3 2 2 2 2 2 4" xfId="39877" xr:uid="{00000000-0005-0000-0000-000054D60000}"/>
    <cellStyle name="Normal 9 3 2 2 2 2 2 5" xfId="39878" xr:uid="{00000000-0005-0000-0000-000055D60000}"/>
    <cellStyle name="Normal 9 3 2 2 2 2 2 6" xfId="39879" xr:uid="{00000000-0005-0000-0000-000056D60000}"/>
    <cellStyle name="Normal 9 3 2 2 2 2 3" xfId="39880" xr:uid="{00000000-0005-0000-0000-000057D60000}"/>
    <cellStyle name="Normal 9 3 2 2 2 2 3 2" xfId="61012" xr:uid="{00000000-0005-0000-0000-000058D60000}"/>
    <cellStyle name="Normal 9 3 2 2 2 2 3 3" xfId="61013" xr:uid="{00000000-0005-0000-0000-000059D60000}"/>
    <cellStyle name="Normal 9 3 2 2 2 2 4" xfId="39881" xr:uid="{00000000-0005-0000-0000-00005AD60000}"/>
    <cellStyle name="Normal 9 3 2 2 2 2 4 2" xfId="61014" xr:uid="{00000000-0005-0000-0000-00005BD60000}"/>
    <cellStyle name="Normal 9 3 2 2 2 2 5" xfId="39882" xr:uid="{00000000-0005-0000-0000-00005CD60000}"/>
    <cellStyle name="Normal 9 3 2 2 2 2 6" xfId="39883" xr:uid="{00000000-0005-0000-0000-00005DD60000}"/>
    <cellStyle name="Normal 9 3 2 2 2 2 7" xfId="39884" xr:uid="{00000000-0005-0000-0000-00005ED60000}"/>
    <cellStyle name="Normal 9 3 2 2 2 3" xfId="39885" xr:uid="{00000000-0005-0000-0000-00005FD60000}"/>
    <cellStyle name="Normal 9 3 2 2 2 3 2" xfId="39886" xr:uid="{00000000-0005-0000-0000-000060D60000}"/>
    <cellStyle name="Normal 9 3 2 2 2 3 2 2" xfId="61015" xr:uid="{00000000-0005-0000-0000-000061D60000}"/>
    <cellStyle name="Normal 9 3 2 2 2 3 2 3" xfId="61016" xr:uid="{00000000-0005-0000-0000-000062D60000}"/>
    <cellStyle name="Normal 9 3 2 2 2 3 3" xfId="39887" xr:uid="{00000000-0005-0000-0000-000063D60000}"/>
    <cellStyle name="Normal 9 3 2 2 2 3 3 2" xfId="61017" xr:uid="{00000000-0005-0000-0000-000064D60000}"/>
    <cellStyle name="Normal 9 3 2 2 2 3 4" xfId="39888" xr:uid="{00000000-0005-0000-0000-000065D60000}"/>
    <cellStyle name="Normal 9 3 2 2 2 3 5" xfId="39889" xr:uid="{00000000-0005-0000-0000-000066D60000}"/>
    <cellStyle name="Normal 9 3 2 2 2 3 6" xfId="39890" xr:uid="{00000000-0005-0000-0000-000067D60000}"/>
    <cellStyle name="Normal 9 3 2 2 2 4" xfId="39891" xr:uid="{00000000-0005-0000-0000-000068D60000}"/>
    <cellStyle name="Normal 9 3 2 2 2 4 2" xfId="61018" xr:uid="{00000000-0005-0000-0000-000069D60000}"/>
    <cellStyle name="Normal 9 3 2 2 2 4 3" xfId="61019" xr:uid="{00000000-0005-0000-0000-00006AD60000}"/>
    <cellStyle name="Normal 9 3 2 2 2 5" xfId="39892" xr:uid="{00000000-0005-0000-0000-00006BD60000}"/>
    <cellStyle name="Normal 9 3 2 2 2 5 2" xfId="61020" xr:uid="{00000000-0005-0000-0000-00006CD60000}"/>
    <cellStyle name="Normal 9 3 2 2 2 6" xfId="39893" xr:uid="{00000000-0005-0000-0000-00006DD60000}"/>
    <cellStyle name="Normal 9 3 2 2 2 7" xfId="39894" xr:uid="{00000000-0005-0000-0000-00006ED60000}"/>
    <cellStyle name="Normal 9 3 2 2 2 8" xfId="39895" xr:uid="{00000000-0005-0000-0000-00006FD60000}"/>
    <cellStyle name="Normal 9 3 2 2 2 9" xfId="39896" xr:uid="{00000000-0005-0000-0000-000070D60000}"/>
    <cellStyle name="Normal 9 3 2 2 3" xfId="39897" xr:uid="{00000000-0005-0000-0000-000071D60000}"/>
    <cellStyle name="Normal 9 3 2 2 3 2" xfId="39898" xr:uid="{00000000-0005-0000-0000-000072D60000}"/>
    <cellStyle name="Normal 9 3 2 2 3 2 2" xfId="39899" xr:uid="{00000000-0005-0000-0000-000073D60000}"/>
    <cellStyle name="Normal 9 3 2 2 3 2 2 2" xfId="39900" xr:uid="{00000000-0005-0000-0000-000074D60000}"/>
    <cellStyle name="Normal 9 3 2 2 3 2 2 2 2" xfId="61021" xr:uid="{00000000-0005-0000-0000-000075D60000}"/>
    <cellStyle name="Normal 9 3 2 2 3 2 2 2 3" xfId="61022" xr:uid="{00000000-0005-0000-0000-000076D60000}"/>
    <cellStyle name="Normal 9 3 2 2 3 2 2 3" xfId="39901" xr:uid="{00000000-0005-0000-0000-000077D60000}"/>
    <cellStyle name="Normal 9 3 2 2 3 2 2 3 2" xfId="61023" xr:uid="{00000000-0005-0000-0000-000078D60000}"/>
    <cellStyle name="Normal 9 3 2 2 3 2 2 4" xfId="39902" xr:uid="{00000000-0005-0000-0000-000079D60000}"/>
    <cellStyle name="Normal 9 3 2 2 3 2 2 5" xfId="39903" xr:uid="{00000000-0005-0000-0000-00007AD60000}"/>
    <cellStyle name="Normal 9 3 2 2 3 2 2 6" xfId="39904" xr:uid="{00000000-0005-0000-0000-00007BD60000}"/>
    <cellStyle name="Normal 9 3 2 2 3 2 3" xfId="39905" xr:uid="{00000000-0005-0000-0000-00007CD60000}"/>
    <cellStyle name="Normal 9 3 2 2 3 2 3 2" xfId="61024" xr:uid="{00000000-0005-0000-0000-00007DD60000}"/>
    <cellStyle name="Normal 9 3 2 2 3 2 3 3" xfId="61025" xr:uid="{00000000-0005-0000-0000-00007ED60000}"/>
    <cellStyle name="Normal 9 3 2 2 3 2 4" xfId="39906" xr:uid="{00000000-0005-0000-0000-00007FD60000}"/>
    <cellStyle name="Normal 9 3 2 2 3 2 4 2" xfId="61026" xr:uid="{00000000-0005-0000-0000-000080D60000}"/>
    <cellStyle name="Normal 9 3 2 2 3 2 5" xfId="39907" xr:uid="{00000000-0005-0000-0000-000081D60000}"/>
    <cellStyle name="Normal 9 3 2 2 3 2 6" xfId="39908" xr:uid="{00000000-0005-0000-0000-000082D60000}"/>
    <cellStyle name="Normal 9 3 2 2 3 2 7" xfId="39909" xr:uid="{00000000-0005-0000-0000-000083D60000}"/>
    <cellStyle name="Normal 9 3 2 2 3 3" xfId="39910" xr:uid="{00000000-0005-0000-0000-000084D60000}"/>
    <cellStyle name="Normal 9 3 2 2 3 3 2" xfId="39911" xr:uid="{00000000-0005-0000-0000-000085D60000}"/>
    <cellStyle name="Normal 9 3 2 2 3 3 2 2" xfId="61027" xr:uid="{00000000-0005-0000-0000-000086D60000}"/>
    <cellStyle name="Normal 9 3 2 2 3 3 2 3" xfId="61028" xr:uid="{00000000-0005-0000-0000-000087D60000}"/>
    <cellStyle name="Normal 9 3 2 2 3 3 3" xfId="39912" xr:uid="{00000000-0005-0000-0000-000088D60000}"/>
    <cellStyle name="Normal 9 3 2 2 3 3 3 2" xfId="61029" xr:uid="{00000000-0005-0000-0000-000089D60000}"/>
    <cellStyle name="Normal 9 3 2 2 3 3 4" xfId="39913" xr:uid="{00000000-0005-0000-0000-00008AD60000}"/>
    <cellStyle name="Normal 9 3 2 2 3 3 5" xfId="39914" xr:uid="{00000000-0005-0000-0000-00008BD60000}"/>
    <cellStyle name="Normal 9 3 2 2 3 3 6" xfId="39915" xr:uid="{00000000-0005-0000-0000-00008CD60000}"/>
    <cellStyle name="Normal 9 3 2 2 3 4" xfId="39916" xr:uid="{00000000-0005-0000-0000-00008DD60000}"/>
    <cellStyle name="Normal 9 3 2 2 3 4 2" xfId="61030" xr:uid="{00000000-0005-0000-0000-00008ED60000}"/>
    <cellStyle name="Normal 9 3 2 2 3 4 3" xfId="61031" xr:uid="{00000000-0005-0000-0000-00008FD60000}"/>
    <cellStyle name="Normal 9 3 2 2 3 5" xfId="39917" xr:uid="{00000000-0005-0000-0000-000090D60000}"/>
    <cellStyle name="Normal 9 3 2 2 3 5 2" xfId="61032" xr:uid="{00000000-0005-0000-0000-000091D60000}"/>
    <cellStyle name="Normal 9 3 2 2 3 6" xfId="39918" xr:uid="{00000000-0005-0000-0000-000092D60000}"/>
    <cellStyle name="Normal 9 3 2 2 3 7" xfId="39919" xr:uid="{00000000-0005-0000-0000-000093D60000}"/>
    <cellStyle name="Normal 9 3 2 2 3 8" xfId="39920" xr:uid="{00000000-0005-0000-0000-000094D60000}"/>
    <cellStyle name="Normal 9 3 2 2 4" xfId="39921" xr:uid="{00000000-0005-0000-0000-000095D60000}"/>
    <cellStyle name="Normal 9 3 2 2 4 2" xfId="39922" xr:uid="{00000000-0005-0000-0000-000096D60000}"/>
    <cellStyle name="Normal 9 3 2 2 4 2 2" xfId="39923" xr:uid="{00000000-0005-0000-0000-000097D60000}"/>
    <cellStyle name="Normal 9 3 2 2 4 2 2 2" xfId="61033" xr:uid="{00000000-0005-0000-0000-000098D60000}"/>
    <cellStyle name="Normal 9 3 2 2 4 2 2 3" xfId="61034" xr:uid="{00000000-0005-0000-0000-000099D60000}"/>
    <cellStyle name="Normal 9 3 2 2 4 2 3" xfId="39924" xr:uid="{00000000-0005-0000-0000-00009AD60000}"/>
    <cellStyle name="Normal 9 3 2 2 4 2 3 2" xfId="61035" xr:uid="{00000000-0005-0000-0000-00009BD60000}"/>
    <cellStyle name="Normal 9 3 2 2 4 2 4" xfId="39925" xr:uid="{00000000-0005-0000-0000-00009CD60000}"/>
    <cellStyle name="Normal 9 3 2 2 4 2 5" xfId="39926" xr:uid="{00000000-0005-0000-0000-00009DD60000}"/>
    <cellStyle name="Normal 9 3 2 2 4 2 6" xfId="39927" xr:uid="{00000000-0005-0000-0000-00009ED60000}"/>
    <cellStyle name="Normal 9 3 2 2 4 3" xfId="39928" xr:uid="{00000000-0005-0000-0000-00009FD60000}"/>
    <cellStyle name="Normal 9 3 2 2 4 3 2" xfId="61036" xr:uid="{00000000-0005-0000-0000-0000A0D60000}"/>
    <cellStyle name="Normal 9 3 2 2 4 3 3" xfId="61037" xr:uid="{00000000-0005-0000-0000-0000A1D60000}"/>
    <cellStyle name="Normal 9 3 2 2 4 4" xfId="39929" xr:uid="{00000000-0005-0000-0000-0000A2D60000}"/>
    <cellStyle name="Normal 9 3 2 2 4 4 2" xfId="61038" xr:uid="{00000000-0005-0000-0000-0000A3D60000}"/>
    <cellStyle name="Normal 9 3 2 2 4 5" xfId="39930" xr:uid="{00000000-0005-0000-0000-0000A4D60000}"/>
    <cellStyle name="Normal 9 3 2 2 4 6" xfId="39931" xr:uid="{00000000-0005-0000-0000-0000A5D60000}"/>
    <cellStyle name="Normal 9 3 2 2 4 7" xfId="39932" xr:uid="{00000000-0005-0000-0000-0000A6D60000}"/>
    <cellStyle name="Normal 9 3 2 2 5" xfId="39933" xr:uid="{00000000-0005-0000-0000-0000A7D60000}"/>
    <cellStyle name="Normal 9 3 2 2 5 2" xfId="39934" xr:uid="{00000000-0005-0000-0000-0000A8D60000}"/>
    <cellStyle name="Normal 9 3 2 2 5 2 2" xfId="61039" xr:uid="{00000000-0005-0000-0000-0000A9D60000}"/>
    <cellStyle name="Normal 9 3 2 2 5 2 3" xfId="61040" xr:uid="{00000000-0005-0000-0000-0000AAD60000}"/>
    <cellStyle name="Normal 9 3 2 2 5 3" xfId="39935" xr:uid="{00000000-0005-0000-0000-0000ABD60000}"/>
    <cellStyle name="Normal 9 3 2 2 5 3 2" xfId="61041" xr:uid="{00000000-0005-0000-0000-0000ACD60000}"/>
    <cellStyle name="Normal 9 3 2 2 5 4" xfId="39936" xr:uid="{00000000-0005-0000-0000-0000ADD60000}"/>
    <cellStyle name="Normal 9 3 2 2 5 5" xfId="39937" xr:uid="{00000000-0005-0000-0000-0000AED60000}"/>
    <cellStyle name="Normal 9 3 2 2 5 6" xfId="39938" xr:uid="{00000000-0005-0000-0000-0000AFD60000}"/>
    <cellStyle name="Normal 9 3 2 2 6" xfId="39939" xr:uid="{00000000-0005-0000-0000-0000B0D60000}"/>
    <cellStyle name="Normal 9 3 2 2 6 2" xfId="61042" xr:uid="{00000000-0005-0000-0000-0000B1D60000}"/>
    <cellStyle name="Normal 9 3 2 2 6 3" xfId="61043" xr:uid="{00000000-0005-0000-0000-0000B2D60000}"/>
    <cellStyle name="Normal 9 3 2 2 7" xfId="39940" xr:uid="{00000000-0005-0000-0000-0000B3D60000}"/>
    <cellStyle name="Normal 9 3 2 2 7 2" xfId="61044" xr:uid="{00000000-0005-0000-0000-0000B4D60000}"/>
    <cellStyle name="Normal 9 3 2 2 8" xfId="39941" xr:uid="{00000000-0005-0000-0000-0000B5D60000}"/>
    <cellStyle name="Normal 9 3 2 2 9" xfId="39942" xr:uid="{00000000-0005-0000-0000-0000B6D60000}"/>
    <cellStyle name="Normal 9 3 2 3" xfId="39943" xr:uid="{00000000-0005-0000-0000-0000B7D60000}"/>
    <cellStyle name="Normal 9 3 2 3 2" xfId="39944" xr:uid="{00000000-0005-0000-0000-0000B8D60000}"/>
    <cellStyle name="Normal 9 3 2 3 2 2" xfId="39945" xr:uid="{00000000-0005-0000-0000-0000B9D60000}"/>
    <cellStyle name="Normal 9 3 2 3 2 2 2" xfId="39946" xr:uid="{00000000-0005-0000-0000-0000BAD60000}"/>
    <cellStyle name="Normal 9 3 2 3 2 2 2 2" xfId="61045" xr:uid="{00000000-0005-0000-0000-0000BBD60000}"/>
    <cellStyle name="Normal 9 3 2 3 2 2 2 3" xfId="61046" xr:uid="{00000000-0005-0000-0000-0000BCD60000}"/>
    <cellStyle name="Normal 9 3 2 3 2 2 3" xfId="39947" xr:uid="{00000000-0005-0000-0000-0000BDD60000}"/>
    <cellStyle name="Normal 9 3 2 3 2 2 3 2" xfId="61047" xr:uid="{00000000-0005-0000-0000-0000BED60000}"/>
    <cellStyle name="Normal 9 3 2 3 2 2 4" xfId="39948" xr:uid="{00000000-0005-0000-0000-0000BFD60000}"/>
    <cellStyle name="Normal 9 3 2 3 2 2 5" xfId="39949" xr:uid="{00000000-0005-0000-0000-0000C0D60000}"/>
    <cellStyle name="Normal 9 3 2 3 2 2 6" xfId="39950" xr:uid="{00000000-0005-0000-0000-0000C1D60000}"/>
    <cellStyle name="Normal 9 3 2 3 2 3" xfId="39951" xr:uid="{00000000-0005-0000-0000-0000C2D60000}"/>
    <cellStyle name="Normal 9 3 2 3 2 3 2" xfId="61048" xr:uid="{00000000-0005-0000-0000-0000C3D60000}"/>
    <cellStyle name="Normal 9 3 2 3 2 3 3" xfId="61049" xr:uid="{00000000-0005-0000-0000-0000C4D60000}"/>
    <cellStyle name="Normal 9 3 2 3 2 4" xfId="39952" xr:uid="{00000000-0005-0000-0000-0000C5D60000}"/>
    <cellStyle name="Normal 9 3 2 3 2 4 2" xfId="61050" xr:uid="{00000000-0005-0000-0000-0000C6D60000}"/>
    <cellStyle name="Normal 9 3 2 3 2 5" xfId="39953" xr:uid="{00000000-0005-0000-0000-0000C7D60000}"/>
    <cellStyle name="Normal 9 3 2 3 2 6" xfId="39954" xr:uid="{00000000-0005-0000-0000-0000C8D60000}"/>
    <cellStyle name="Normal 9 3 2 3 2 7" xfId="39955" xr:uid="{00000000-0005-0000-0000-0000C9D60000}"/>
    <cellStyle name="Normal 9 3 2 3 3" xfId="39956" xr:uid="{00000000-0005-0000-0000-0000CAD60000}"/>
    <cellStyle name="Normal 9 3 2 3 3 2" xfId="39957" xr:uid="{00000000-0005-0000-0000-0000CBD60000}"/>
    <cellStyle name="Normal 9 3 2 3 3 2 2" xfId="61051" xr:uid="{00000000-0005-0000-0000-0000CCD60000}"/>
    <cellStyle name="Normal 9 3 2 3 3 2 3" xfId="61052" xr:uid="{00000000-0005-0000-0000-0000CDD60000}"/>
    <cellStyle name="Normal 9 3 2 3 3 3" xfId="39958" xr:uid="{00000000-0005-0000-0000-0000CED60000}"/>
    <cellStyle name="Normal 9 3 2 3 3 3 2" xfId="61053" xr:uid="{00000000-0005-0000-0000-0000CFD60000}"/>
    <cellStyle name="Normal 9 3 2 3 3 4" xfId="39959" xr:uid="{00000000-0005-0000-0000-0000D0D60000}"/>
    <cellStyle name="Normal 9 3 2 3 3 5" xfId="39960" xr:uid="{00000000-0005-0000-0000-0000D1D60000}"/>
    <cellStyle name="Normal 9 3 2 3 3 6" xfId="39961" xr:uid="{00000000-0005-0000-0000-0000D2D60000}"/>
    <cellStyle name="Normal 9 3 2 3 4" xfId="39962" xr:uid="{00000000-0005-0000-0000-0000D3D60000}"/>
    <cellStyle name="Normal 9 3 2 3 4 2" xfId="61054" xr:uid="{00000000-0005-0000-0000-0000D4D60000}"/>
    <cellStyle name="Normal 9 3 2 3 4 3" xfId="61055" xr:uid="{00000000-0005-0000-0000-0000D5D60000}"/>
    <cellStyle name="Normal 9 3 2 3 5" xfId="39963" xr:uid="{00000000-0005-0000-0000-0000D6D60000}"/>
    <cellStyle name="Normal 9 3 2 3 5 2" xfId="61056" xr:uid="{00000000-0005-0000-0000-0000D7D60000}"/>
    <cellStyle name="Normal 9 3 2 3 6" xfId="39964" xr:uid="{00000000-0005-0000-0000-0000D8D60000}"/>
    <cellStyle name="Normal 9 3 2 3 7" xfId="39965" xr:uid="{00000000-0005-0000-0000-0000D9D60000}"/>
    <cellStyle name="Normal 9 3 2 3 8" xfId="39966" xr:uid="{00000000-0005-0000-0000-0000DAD60000}"/>
    <cellStyle name="Normal 9 3 2 3 9" xfId="39967" xr:uid="{00000000-0005-0000-0000-0000DBD60000}"/>
    <cellStyle name="Normal 9 3 2 4" xfId="39968" xr:uid="{00000000-0005-0000-0000-0000DCD60000}"/>
    <cellStyle name="Normal 9 3 2 4 2" xfId="39969" xr:uid="{00000000-0005-0000-0000-0000DDD60000}"/>
    <cellStyle name="Normal 9 3 2 4 2 2" xfId="39970" xr:uid="{00000000-0005-0000-0000-0000DED60000}"/>
    <cellStyle name="Normal 9 3 2 4 2 2 2" xfId="39971" xr:uid="{00000000-0005-0000-0000-0000DFD60000}"/>
    <cellStyle name="Normal 9 3 2 4 2 2 2 2" xfId="61057" xr:uid="{00000000-0005-0000-0000-0000E0D60000}"/>
    <cellStyle name="Normal 9 3 2 4 2 2 2 3" xfId="61058" xr:uid="{00000000-0005-0000-0000-0000E1D60000}"/>
    <cellStyle name="Normal 9 3 2 4 2 2 3" xfId="39972" xr:uid="{00000000-0005-0000-0000-0000E2D60000}"/>
    <cellStyle name="Normal 9 3 2 4 2 2 3 2" xfId="61059" xr:uid="{00000000-0005-0000-0000-0000E3D60000}"/>
    <cellStyle name="Normal 9 3 2 4 2 2 4" xfId="39973" xr:uid="{00000000-0005-0000-0000-0000E4D60000}"/>
    <cellStyle name="Normal 9 3 2 4 2 2 5" xfId="39974" xr:uid="{00000000-0005-0000-0000-0000E5D60000}"/>
    <cellStyle name="Normal 9 3 2 4 2 2 6" xfId="39975" xr:uid="{00000000-0005-0000-0000-0000E6D60000}"/>
    <cellStyle name="Normal 9 3 2 4 2 3" xfId="39976" xr:uid="{00000000-0005-0000-0000-0000E7D60000}"/>
    <cellStyle name="Normal 9 3 2 4 2 3 2" xfId="61060" xr:uid="{00000000-0005-0000-0000-0000E8D60000}"/>
    <cellStyle name="Normal 9 3 2 4 2 3 3" xfId="61061" xr:uid="{00000000-0005-0000-0000-0000E9D60000}"/>
    <cellStyle name="Normal 9 3 2 4 2 4" xfId="39977" xr:uid="{00000000-0005-0000-0000-0000EAD60000}"/>
    <cellStyle name="Normal 9 3 2 4 2 4 2" xfId="61062" xr:uid="{00000000-0005-0000-0000-0000EBD60000}"/>
    <cellStyle name="Normal 9 3 2 4 2 5" xfId="39978" xr:uid="{00000000-0005-0000-0000-0000ECD60000}"/>
    <cellStyle name="Normal 9 3 2 4 2 6" xfId="39979" xr:uid="{00000000-0005-0000-0000-0000EDD60000}"/>
    <cellStyle name="Normal 9 3 2 4 2 7" xfId="39980" xr:uid="{00000000-0005-0000-0000-0000EED60000}"/>
    <cellStyle name="Normal 9 3 2 4 3" xfId="39981" xr:uid="{00000000-0005-0000-0000-0000EFD60000}"/>
    <cellStyle name="Normal 9 3 2 4 3 2" xfId="39982" xr:uid="{00000000-0005-0000-0000-0000F0D60000}"/>
    <cellStyle name="Normal 9 3 2 4 3 2 2" xfId="61063" xr:uid="{00000000-0005-0000-0000-0000F1D60000}"/>
    <cellStyle name="Normal 9 3 2 4 3 2 3" xfId="61064" xr:uid="{00000000-0005-0000-0000-0000F2D60000}"/>
    <cellStyle name="Normal 9 3 2 4 3 3" xfId="39983" xr:uid="{00000000-0005-0000-0000-0000F3D60000}"/>
    <cellStyle name="Normal 9 3 2 4 3 3 2" xfId="61065" xr:uid="{00000000-0005-0000-0000-0000F4D60000}"/>
    <cellStyle name="Normal 9 3 2 4 3 4" xfId="39984" xr:uid="{00000000-0005-0000-0000-0000F5D60000}"/>
    <cellStyle name="Normal 9 3 2 4 3 5" xfId="39985" xr:uid="{00000000-0005-0000-0000-0000F6D60000}"/>
    <cellStyle name="Normal 9 3 2 4 3 6" xfId="39986" xr:uid="{00000000-0005-0000-0000-0000F7D60000}"/>
    <cellStyle name="Normal 9 3 2 4 4" xfId="39987" xr:uid="{00000000-0005-0000-0000-0000F8D60000}"/>
    <cellStyle name="Normal 9 3 2 4 4 2" xfId="61066" xr:uid="{00000000-0005-0000-0000-0000F9D60000}"/>
    <cellStyle name="Normal 9 3 2 4 4 3" xfId="61067" xr:uid="{00000000-0005-0000-0000-0000FAD60000}"/>
    <cellStyle name="Normal 9 3 2 4 5" xfId="39988" xr:uid="{00000000-0005-0000-0000-0000FBD60000}"/>
    <cellStyle name="Normal 9 3 2 4 5 2" xfId="61068" xr:uid="{00000000-0005-0000-0000-0000FCD60000}"/>
    <cellStyle name="Normal 9 3 2 4 6" xfId="39989" xr:uid="{00000000-0005-0000-0000-0000FDD60000}"/>
    <cellStyle name="Normal 9 3 2 4 7" xfId="39990" xr:uid="{00000000-0005-0000-0000-0000FED60000}"/>
    <cellStyle name="Normal 9 3 2 4 8" xfId="39991" xr:uid="{00000000-0005-0000-0000-0000FFD60000}"/>
    <cellStyle name="Normal 9 3 2 5" xfId="39992" xr:uid="{00000000-0005-0000-0000-000000D70000}"/>
    <cellStyle name="Normal 9 3 2 5 2" xfId="39993" xr:uid="{00000000-0005-0000-0000-000001D70000}"/>
    <cellStyle name="Normal 9 3 2 5 2 2" xfId="39994" xr:uid="{00000000-0005-0000-0000-000002D70000}"/>
    <cellStyle name="Normal 9 3 2 5 2 2 2" xfId="61069" xr:uid="{00000000-0005-0000-0000-000003D70000}"/>
    <cellStyle name="Normal 9 3 2 5 2 2 3" xfId="61070" xr:uid="{00000000-0005-0000-0000-000004D70000}"/>
    <cellStyle name="Normal 9 3 2 5 2 3" xfId="39995" xr:uid="{00000000-0005-0000-0000-000005D70000}"/>
    <cellStyle name="Normal 9 3 2 5 2 3 2" xfId="61071" xr:uid="{00000000-0005-0000-0000-000006D70000}"/>
    <cellStyle name="Normal 9 3 2 5 2 4" xfId="39996" xr:uid="{00000000-0005-0000-0000-000007D70000}"/>
    <cellStyle name="Normal 9 3 2 5 2 5" xfId="39997" xr:uid="{00000000-0005-0000-0000-000008D70000}"/>
    <cellStyle name="Normal 9 3 2 5 2 6" xfId="39998" xr:uid="{00000000-0005-0000-0000-000009D70000}"/>
    <cellStyle name="Normal 9 3 2 5 3" xfId="39999" xr:uid="{00000000-0005-0000-0000-00000AD70000}"/>
    <cellStyle name="Normal 9 3 2 5 3 2" xfId="61072" xr:uid="{00000000-0005-0000-0000-00000BD70000}"/>
    <cellStyle name="Normal 9 3 2 5 3 3" xfId="61073" xr:uid="{00000000-0005-0000-0000-00000CD70000}"/>
    <cellStyle name="Normal 9 3 2 5 4" xfId="40000" xr:uid="{00000000-0005-0000-0000-00000DD70000}"/>
    <cellStyle name="Normal 9 3 2 5 4 2" xfId="61074" xr:uid="{00000000-0005-0000-0000-00000ED70000}"/>
    <cellStyle name="Normal 9 3 2 5 5" xfId="40001" xr:uid="{00000000-0005-0000-0000-00000FD70000}"/>
    <cellStyle name="Normal 9 3 2 5 6" xfId="40002" xr:uid="{00000000-0005-0000-0000-000010D70000}"/>
    <cellStyle name="Normal 9 3 2 5 7" xfId="40003" xr:uid="{00000000-0005-0000-0000-000011D70000}"/>
    <cellStyle name="Normal 9 3 2 6" xfId="40004" xr:uid="{00000000-0005-0000-0000-000012D70000}"/>
    <cellStyle name="Normal 9 3 2 6 2" xfId="40005" xr:uid="{00000000-0005-0000-0000-000013D70000}"/>
    <cellStyle name="Normal 9 3 2 6 2 2" xfId="61075" xr:uid="{00000000-0005-0000-0000-000014D70000}"/>
    <cellStyle name="Normal 9 3 2 6 2 3" xfId="61076" xr:uid="{00000000-0005-0000-0000-000015D70000}"/>
    <cellStyle name="Normal 9 3 2 6 3" xfId="40006" xr:uid="{00000000-0005-0000-0000-000016D70000}"/>
    <cellStyle name="Normal 9 3 2 6 3 2" xfId="61077" xr:uid="{00000000-0005-0000-0000-000017D70000}"/>
    <cellStyle name="Normal 9 3 2 6 4" xfId="40007" xr:uid="{00000000-0005-0000-0000-000018D70000}"/>
    <cellStyle name="Normal 9 3 2 6 5" xfId="40008" xr:uid="{00000000-0005-0000-0000-000019D70000}"/>
    <cellStyle name="Normal 9 3 2 6 6" xfId="40009" xr:uid="{00000000-0005-0000-0000-00001AD70000}"/>
    <cellStyle name="Normal 9 3 2 7" xfId="40010" xr:uid="{00000000-0005-0000-0000-00001BD70000}"/>
    <cellStyle name="Normal 9 3 2 7 2" xfId="61078" xr:uid="{00000000-0005-0000-0000-00001CD70000}"/>
    <cellStyle name="Normal 9 3 2 7 3" xfId="61079" xr:uid="{00000000-0005-0000-0000-00001DD70000}"/>
    <cellStyle name="Normal 9 3 2 8" xfId="40011" xr:uid="{00000000-0005-0000-0000-00001ED70000}"/>
    <cellStyle name="Normal 9 3 2 8 2" xfId="61080" xr:uid="{00000000-0005-0000-0000-00001FD70000}"/>
    <cellStyle name="Normal 9 3 2 9" xfId="40012" xr:uid="{00000000-0005-0000-0000-000020D70000}"/>
    <cellStyle name="Normal 9 3 2 9 2" xfId="61081" xr:uid="{00000000-0005-0000-0000-000021D70000}"/>
    <cellStyle name="Normal 9 3 20" xfId="40013" xr:uid="{00000000-0005-0000-0000-000022D70000}"/>
    <cellStyle name="Normal 9 3 21" xfId="40014" xr:uid="{00000000-0005-0000-0000-000023D70000}"/>
    <cellStyle name="Normal 9 3 3" xfId="40015" xr:uid="{00000000-0005-0000-0000-000024D70000}"/>
    <cellStyle name="Normal 9 3 3 10" xfId="40016" xr:uid="{00000000-0005-0000-0000-000025D70000}"/>
    <cellStyle name="Normal 9 3 3 11" xfId="40017" xr:uid="{00000000-0005-0000-0000-000026D70000}"/>
    <cellStyle name="Normal 9 3 3 12" xfId="40018" xr:uid="{00000000-0005-0000-0000-000027D70000}"/>
    <cellStyle name="Normal 9 3 3 13" xfId="40019" xr:uid="{00000000-0005-0000-0000-000028D70000}"/>
    <cellStyle name="Normal 9 3 3 14" xfId="40020" xr:uid="{00000000-0005-0000-0000-000029D70000}"/>
    <cellStyle name="Normal 9 3 3 15" xfId="40021" xr:uid="{00000000-0005-0000-0000-00002AD70000}"/>
    <cellStyle name="Normal 9 3 3 2" xfId="40022" xr:uid="{00000000-0005-0000-0000-00002BD70000}"/>
    <cellStyle name="Normal 9 3 3 2 10" xfId="40023" xr:uid="{00000000-0005-0000-0000-00002CD70000}"/>
    <cellStyle name="Normal 9 3 3 2 11" xfId="40024" xr:uid="{00000000-0005-0000-0000-00002DD70000}"/>
    <cellStyle name="Normal 9 3 3 2 12" xfId="40025" xr:uid="{00000000-0005-0000-0000-00002ED70000}"/>
    <cellStyle name="Normal 9 3 3 2 13" xfId="40026" xr:uid="{00000000-0005-0000-0000-00002FD70000}"/>
    <cellStyle name="Normal 9 3 3 2 14" xfId="40027" xr:uid="{00000000-0005-0000-0000-000030D70000}"/>
    <cellStyle name="Normal 9 3 3 2 2" xfId="40028" xr:uid="{00000000-0005-0000-0000-000031D70000}"/>
    <cellStyle name="Normal 9 3 3 2 2 2" xfId="40029" xr:uid="{00000000-0005-0000-0000-000032D70000}"/>
    <cellStyle name="Normal 9 3 3 2 2 2 2" xfId="40030" xr:uid="{00000000-0005-0000-0000-000033D70000}"/>
    <cellStyle name="Normal 9 3 3 2 2 2 2 2" xfId="40031" xr:uid="{00000000-0005-0000-0000-000034D70000}"/>
    <cellStyle name="Normal 9 3 3 2 2 2 2 2 2" xfId="61082" xr:uid="{00000000-0005-0000-0000-000035D70000}"/>
    <cellStyle name="Normal 9 3 3 2 2 2 2 2 3" xfId="61083" xr:uid="{00000000-0005-0000-0000-000036D70000}"/>
    <cellStyle name="Normal 9 3 3 2 2 2 2 3" xfId="40032" xr:uid="{00000000-0005-0000-0000-000037D70000}"/>
    <cellStyle name="Normal 9 3 3 2 2 2 2 3 2" xfId="61084" xr:uid="{00000000-0005-0000-0000-000038D70000}"/>
    <cellStyle name="Normal 9 3 3 2 2 2 2 4" xfId="40033" xr:uid="{00000000-0005-0000-0000-000039D70000}"/>
    <cellStyle name="Normal 9 3 3 2 2 2 2 5" xfId="40034" xr:uid="{00000000-0005-0000-0000-00003AD70000}"/>
    <cellStyle name="Normal 9 3 3 2 2 2 2 6" xfId="40035" xr:uid="{00000000-0005-0000-0000-00003BD70000}"/>
    <cellStyle name="Normal 9 3 3 2 2 2 3" xfId="40036" xr:uid="{00000000-0005-0000-0000-00003CD70000}"/>
    <cellStyle name="Normal 9 3 3 2 2 2 3 2" xfId="61085" xr:uid="{00000000-0005-0000-0000-00003DD70000}"/>
    <cellStyle name="Normal 9 3 3 2 2 2 3 3" xfId="61086" xr:uid="{00000000-0005-0000-0000-00003ED70000}"/>
    <cellStyle name="Normal 9 3 3 2 2 2 4" xfId="40037" xr:uid="{00000000-0005-0000-0000-00003FD70000}"/>
    <cellStyle name="Normal 9 3 3 2 2 2 4 2" xfId="61087" xr:uid="{00000000-0005-0000-0000-000040D70000}"/>
    <cellStyle name="Normal 9 3 3 2 2 2 5" xfId="40038" xr:uid="{00000000-0005-0000-0000-000041D70000}"/>
    <cellStyle name="Normal 9 3 3 2 2 2 6" xfId="40039" xr:uid="{00000000-0005-0000-0000-000042D70000}"/>
    <cellStyle name="Normal 9 3 3 2 2 2 7" xfId="40040" xr:uid="{00000000-0005-0000-0000-000043D70000}"/>
    <cellStyle name="Normal 9 3 3 2 2 3" xfId="40041" xr:uid="{00000000-0005-0000-0000-000044D70000}"/>
    <cellStyle name="Normal 9 3 3 2 2 3 2" xfId="40042" xr:uid="{00000000-0005-0000-0000-000045D70000}"/>
    <cellStyle name="Normal 9 3 3 2 2 3 2 2" xfId="61088" xr:uid="{00000000-0005-0000-0000-000046D70000}"/>
    <cellStyle name="Normal 9 3 3 2 2 3 2 3" xfId="61089" xr:uid="{00000000-0005-0000-0000-000047D70000}"/>
    <cellStyle name="Normal 9 3 3 2 2 3 3" xfId="40043" xr:uid="{00000000-0005-0000-0000-000048D70000}"/>
    <cellStyle name="Normal 9 3 3 2 2 3 3 2" xfId="61090" xr:uid="{00000000-0005-0000-0000-000049D70000}"/>
    <cellStyle name="Normal 9 3 3 2 2 3 4" xfId="40044" xr:uid="{00000000-0005-0000-0000-00004AD70000}"/>
    <cellStyle name="Normal 9 3 3 2 2 3 5" xfId="40045" xr:uid="{00000000-0005-0000-0000-00004BD70000}"/>
    <cellStyle name="Normal 9 3 3 2 2 3 6" xfId="40046" xr:uid="{00000000-0005-0000-0000-00004CD70000}"/>
    <cellStyle name="Normal 9 3 3 2 2 4" xfId="40047" xr:uid="{00000000-0005-0000-0000-00004DD70000}"/>
    <cellStyle name="Normal 9 3 3 2 2 4 2" xfId="61091" xr:uid="{00000000-0005-0000-0000-00004ED70000}"/>
    <cellStyle name="Normal 9 3 3 2 2 4 3" xfId="61092" xr:uid="{00000000-0005-0000-0000-00004FD70000}"/>
    <cellStyle name="Normal 9 3 3 2 2 5" xfId="40048" xr:uid="{00000000-0005-0000-0000-000050D70000}"/>
    <cellStyle name="Normal 9 3 3 2 2 5 2" xfId="61093" xr:uid="{00000000-0005-0000-0000-000051D70000}"/>
    <cellStyle name="Normal 9 3 3 2 2 6" xfId="40049" xr:uid="{00000000-0005-0000-0000-000052D70000}"/>
    <cellStyle name="Normal 9 3 3 2 2 7" xfId="40050" xr:uid="{00000000-0005-0000-0000-000053D70000}"/>
    <cellStyle name="Normal 9 3 3 2 2 8" xfId="40051" xr:uid="{00000000-0005-0000-0000-000054D70000}"/>
    <cellStyle name="Normal 9 3 3 2 2 9" xfId="40052" xr:uid="{00000000-0005-0000-0000-000055D70000}"/>
    <cellStyle name="Normal 9 3 3 2 3" xfId="40053" xr:uid="{00000000-0005-0000-0000-000056D70000}"/>
    <cellStyle name="Normal 9 3 3 2 3 2" xfId="40054" xr:uid="{00000000-0005-0000-0000-000057D70000}"/>
    <cellStyle name="Normal 9 3 3 2 3 2 2" xfId="40055" xr:uid="{00000000-0005-0000-0000-000058D70000}"/>
    <cellStyle name="Normal 9 3 3 2 3 2 2 2" xfId="40056" xr:uid="{00000000-0005-0000-0000-000059D70000}"/>
    <cellStyle name="Normal 9 3 3 2 3 2 2 2 2" xfId="61094" xr:uid="{00000000-0005-0000-0000-00005AD70000}"/>
    <cellStyle name="Normal 9 3 3 2 3 2 2 2 3" xfId="61095" xr:uid="{00000000-0005-0000-0000-00005BD70000}"/>
    <cellStyle name="Normal 9 3 3 2 3 2 2 3" xfId="40057" xr:uid="{00000000-0005-0000-0000-00005CD70000}"/>
    <cellStyle name="Normal 9 3 3 2 3 2 2 3 2" xfId="61096" xr:uid="{00000000-0005-0000-0000-00005DD70000}"/>
    <cellStyle name="Normal 9 3 3 2 3 2 2 4" xfId="40058" xr:uid="{00000000-0005-0000-0000-00005ED70000}"/>
    <cellStyle name="Normal 9 3 3 2 3 2 2 5" xfId="40059" xr:uid="{00000000-0005-0000-0000-00005FD70000}"/>
    <cellStyle name="Normal 9 3 3 2 3 2 2 6" xfId="40060" xr:uid="{00000000-0005-0000-0000-000060D70000}"/>
    <cellStyle name="Normal 9 3 3 2 3 2 3" xfId="40061" xr:uid="{00000000-0005-0000-0000-000061D70000}"/>
    <cellStyle name="Normal 9 3 3 2 3 2 3 2" xfId="61097" xr:uid="{00000000-0005-0000-0000-000062D70000}"/>
    <cellStyle name="Normal 9 3 3 2 3 2 3 3" xfId="61098" xr:uid="{00000000-0005-0000-0000-000063D70000}"/>
    <cellStyle name="Normal 9 3 3 2 3 2 4" xfId="40062" xr:uid="{00000000-0005-0000-0000-000064D70000}"/>
    <cellStyle name="Normal 9 3 3 2 3 2 4 2" xfId="61099" xr:uid="{00000000-0005-0000-0000-000065D70000}"/>
    <cellStyle name="Normal 9 3 3 2 3 2 5" xfId="40063" xr:uid="{00000000-0005-0000-0000-000066D70000}"/>
    <cellStyle name="Normal 9 3 3 2 3 2 6" xfId="40064" xr:uid="{00000000-0005-0000-0000-000067D70000}"/>
    <cellStyle name="Normal 9 3 3 2 3 2 7" xfId="40065" xr:uid="{00000000-0005-0000-0000-000068D70000}"/>
    <cellStyle name="Normal 9 3 3 2 3 3" xfId="40066" xr:uid="{00000000-0005-0000-0000-000069D70000}"/>
    <cellStyle name="Normal 9 3 3 2 3 3 2" xfId="40067" xr:uid="{00000000-0005-0000-0000-00006AD70000}"/>
    <cellStyle name="Normal 9 3 3 2 3 3 2 2" xfId="61100" xr:uid="{00000000-0005-0000-0000-00006BD70000}"/>
    <cellStyle name="Normal 9 3 3 2 3 3 2 3" xfId="61101" xr:uid="{00000000-0005-0000-0000-00006CD70000}"/>
    <cellStyle name="Normal 9 3 3 2 3 3 3" xfId="40068" xr:uid="{00000000-0005-0000-0000-00006DD70000}"/>
    <cellStyle name="Normal 9 3 3 2 3 3 3 2" xfId="61102" xr:uid="{00000000-0005-0000-0000-00006ED70000}"/>
    <cellStyle name="Normal 9 3 3 2 3 3 4" xfId="40069" xr:uid="{00000000-0005-0000-0000-00006FD70000}"/>
    <cellStyle name="Normal 9 3 3 2 3 3 5" xfId="40070" xr:uid="{00000000-0005-0000-0000-000070D70000}"/>
    <cellStyle name="Normal 9 3 3 2 3 3 6" xfId="40071" xr:uid="{00000000-0005-0000-0000-000071D70000}"/>
    <cellStyle name="Normal 9 3 3 2 3 4" xfId="40072" xr:uid="{00000000-0005-0000-0000-000072D70000}"/>
    <cellStyle name="Normal 9 3 3 2 3 4 2" xfId="61103" xr:uid="{00000000-0005-0000-0000-000073D70000}"/>
    <cellStyle name="Normal 9 3 3 2 3 4 3" xfId="61104" xr:uid="{00000000-0005-0000-0000-000074D70000}"/>
    <cellStyle name="Normal 9 3 3 2 3 5" xfId="40073" xr:uid="{00000000-0005-0000-0000-000075D70000}"/>
    <cellStyle name="Normal 9 3 3 2 3 5 2" xfId="61105" xr:uid="{00000000-0005-0000-0000-000076D70000}"/>
    <cellStyle name="Normal 9 3 3 2 3 6" xfId="40074" xr:uid="{00000000-0005-0000-0000-000077D70000}"/>
    <cellStyle name="Normal 9 3 3 2 3 7" xfId="40075" xr:uid="{00000000-0005-0000-0000-000078D70000}"/>
    <cellStyle name="Normal 9 3 3 2 3 8" xfId="40076" xr:uid="{00000000-0005-0000-0000-000079D70000}"/>
    <cellStyle name="Normal 9 3 3 2 4" xfId="40077" xr:uid="{00000000-0005-0000-0000-00007AD70000}"/>
    <cellStyle name="Normal 9 3 3 2 4 2" xfId="40078" xr:uid="{00000000-0005-0000-0000-00007BD70000}"/>
    <cellStyle name="Normal 9 3 3 2 4 2 2" xfId="40079" xr:uid="{00000000-0005-0000-0000-00007CD70000}"/>
    <cellStyle name="Normal 9 3 3 2 4 2 2 2" xfId="61106" xr:uid="{00000000-0005-0000-0000-00007DD70000}"/>
    <cellStyle name="Normal 9 3 3 2 4 2 2 3" xfId="61107" xr:uid="{00000000-0005-0000-0000-00007ED70000}"/>
    <cellStyle name="Normal 9 3 3 2 4 2 3" xfId="40080" xr:uid="{00000000-0005-0000-0000-00007FD70000}"/>
    <cellStyle name="Normal 9 3 3 2 4 2 3 2" xfId="61108" xr:uid="{00000000-0005-0000-0000-000080D70000}"/>
    <cellStyle name="Normal 9 3 3 2 4 2 4" xfId="40081" xr:uid="{00000000-0005-0000-0000-000081D70000}"/>
    <cellStyle name="Normal 9 3 3 2 4 2 5" xfId="40082" xr:uid="{00000000-0005-0000-0000-000082D70000}"/>
    <cellStyle name="Normal 9 3 3 2 4 2 6" xfId="40083" xr:uid="{00000000-0005-0000-0000-000083D70000}"/>
    <cellStyle name="Normal 9 3 3 2 4 3" xfId="40084" xr:uid="{00000000-0005-0000-0000-000084D70000}"/>
    <cellStyle name="Normal 9 3 3 2 4 3 2" xfId="61109" xr:uid="{00000000-0005-0000-0000-000085D70000}"/>
    <cellStyle name="Normal 9 3 3 2 4 3 3" xfId="61110" xr:uid="{00000000-0005-0000-0000-000086D70000}"/>
    <cellStyle name="Normal 9 3 3 2 4 4" xfId="40085" xr:uid="{00000000-0005-0000-0000-000087D70000}"/>
    <cellStyle name="Normal 9 3 3 2 4 4 2" xfId="61111" xr:uid="{00000000-0005-0000-0000-000088D70000}"/>
    <cellStyle name="Normal 9 3 3 2 4 5" xfId="40086" xr:uid="{00000000-0005-0000-0000-000089D70000}"/>
    <cellStyle name="Normal 9 3 3 2 4 6" xfId="40087" xr:uid="{00000000-0005-0000-0000-00008AD70000}"/>
    <cellStyle name="Normal 9 3 3 2 4 7" xfId="40088" xr:uid="{00000000-0005-0000-0000-00008BD70000}"/>
    <cellStyle name="Normal 9 3 3 2 5" xfId="40089" xr:uid="{00000000-0005-0000-0000-00008CD70000}"/>
    <cellStyle name="Normal 9 3 3 2 5 2" xfId="40090" xr:uid="{00000000-0005-0000-0000-00008DD70000}"/>
    <cellStyle name="Normal 9 3 3 2 5 2 2" xfId="61112" xr:uid="{00000000-0005-0000-0000-00008ED70000}"/>
    <cellStyle name="Normal 9 3 3 2 5 2 3" xfId="61113" xr:uid="{00000000-0005-0000-0000-00008FD70000}"/>
    <cellStyle name="Normal 9 3 3 2 5 3" xfId="40091" xr:uid="{00000000-0005-0000-0000-000090D70000}"/>
    <cellStyle name="Normal 9 3 3 2 5 3 2" xfId="61114" xr:uid="{00000000-0005-0000-0000-000091D70000}"/>
    <cellStyle name="Normal 9 3 3 2 5 4" xfId="40092" xr:uid="{00000000-0005-0000-0000-000092D70000}"/>
    <cellStyle name="Normal 9 3 3 2 5 5" xfId="40093" xr:uid="{00000000-0005-0000-0000-000093D70000}"/>
    <cellStyle name="Normal 9 3 3 2 5 6" xfId="40094" xr:uid="{00000000-0005-0000-0000-000094D70000}"/>
    <cellStyle name="Normal 9 3 3 2 6" xfId="40095" xr:uid="{00000000-0005-0000-0000-000095D70000}"/>
    <cellStyle name="Normal 9 3 3 2 6 2" xfId="61115" xr:uid="{00000000-0005-0000-0000-000096D70000}"/>
    <cellStyle name="Normal 9 3 3 2 6 3" xfId="61116" xr:uid="{00000000-0005-0000-0000-000097D70000}"/>
    <cellStyle name="Normal 9 3 3 2 7" xfId="40096" xr:uid="{00000000-0005-0000-0000-000098D70000}"/>
    <cellStyle name="Normal 9 3 3 2 7 2" xfId="61117" xr:uid="{00000000-0005-0000-0000-000099D70000}"/>
    <cellStyle name="Normal 9 3 3 2 8" xfId="40097" xr:uid="{00000000-0005-0000-0000-00009AD70000}"/>
    <cellStyle name="Normal 9 3 3 2 9" xfId="40098" xr:uid="{00000000-0005-0000-0000-00009BD70000}"/>
    <cellStyle name="Normal 9 3 3 3" xfId="40099" xr:uid="{00000000-0005-0000-0000-00009CD70000}"/>
    <cellStyle name="Normal 9 3 3 3 2" xfId="40100" xr:uid="{00000000-0005-0000-0000-00009DD70000}"/>
    <cellStyle name="Normal 9 3 3 3 2 2" xfId="40101" xr:uid="{00000000-0005-0000-0000-00009ED70000}"/>
    <cellStyle name="Normal 9 3 3 3 2 2 2" xfId="40102" xr:uid="{00000000-0005-0000-0000-00009FD70000}"/>
    <cellStyle name="Normal 9 3 3 3 2 2 2 2" xfId="61118" xr:uid="{00000000-0005-0000-0000-0000A0D70000}"/>
    <cellStyle name="Normal 9 3 3 3 2 2 2 3" xfId="61119" xr:uid="{00000000-0005-0000-0000-0000A1D70000}"/>
    <cellStyle name="Normal 9 3 3 3 2 2 3" xfId="40103" xr:uid="{00000000-0005-0000-0000-0000A2D70000}"/>
    <cellStyle name="Normal 9 3 3 3 2 2 3 2" xfId="61120" xr:uid="{00000000-0005-0000-0000-0000A3D70000}"/>
    <cellStyle name="Normal 9 3 3 3 2 2 4" xfId="40104" xr:uid="{00000000-0005-0000-0000-0000A4D70000}"/>
    <cellStyle name="Normal 9 3 3 3 2 2 5" xfId="40105" xr:uid="{00000000-0005-0000-0000-0000A5D70000}"/>
    <cellStyle name="Normal 9 3 3 3 2 2 6" xfId="40106" xr:uid="{00000000-0005-0000-0000-0000A6D70000}"/>
    <cellStyle name="Normal 9 3 3 3 2 3" xfId="40107" xr:uid="{00000000-0005-0000-0000-0000A7D70000}"/>
    <cellStyle name="Normal 9 3 3 3 2 3 2" xfId="61121" xr:uid="{00000000-0005-0000-0000-0000A8D70000}"/>
    <cellStyle name="Normal 9 3 3 3 2 3 3" xfId="61122" xr:uid="{00000000-0005-0000-0000-0000A9D70000}"/>
    <cellStyle name="Normal 9 3 3 3 2 4" xfId="40108" xr:uid="{00000000-0005-0000-0000-0000AAD70000}"/>
    <cellStyle name="Normal 9 3 3 3 2 4 2" xfId="61123" xr:uid="{00000000-0005-0000-0000-0000ABD70000}"/>
    <cellStyle name="Normal 9 3 3 3 2 5" xfId="40109" xr:uid="{00000000-0005-0000-0000-0000ACD70000}"/>
    <cellStyle name="Normal 9 3 3 3 2 6" xfId="40110" xr:uid="{00000000-0005-0000-0000-0000ADD70000}"/>
    <cellStyle name="Normal 9 3 3 3 2 7" xfId="40111" xr:uid="{00000000-0005-0000-0000-0000AED70000}"/>
    <cellStyle name="Normal 9 3 3 3 3" xfId="40112" xr:uid="{00000000-0005-0000-0000-0000AFD70000}"/>
    <cellStyle name="Normal 9 3 3 3 3 2" xfId="40113" xr:uid="{00000000-0005-0000-0000-0000B0D70000}"/>
    <cellStyle name="Normal 9 3 3 3 3 2 2" xfId="61124" xr:uid="{00000000-0005-0000-0000-0000B1D70000}"/>
    <cellStyle name="Normal 9 3 3 3 3 2 3" xfId="61125" xr:uid="{00000000-0005-0000-0000-0000B2D70000}"/>
    <cellStyle name="Normal 9 3 3 3 3 3" xfId="40114" xr:uid="{00000000-0005-0000-0000-0000B3D70000}"/>
    <cellStyle name="Normal 9 3 3 3 3 3 2" xfId="61126" xr:uid="{00000000-0005-0000-0000-0000B4D70000}"/>
    <cellStyle name="Normal 9 3 3 3 3 4" xfId="40115" xr:uid="{00000000-0005-0000-0000-0000B5D70000}"/>
    <cellStyle name="Normal 9 3 3 3 3 5" xfId="40116" xr:uid="{00000000-0005-0000-0000-0000B6D70000}"/>
    <cellStyle name="Normal 9 3 3 3 3 6" xfId="40117" xr:uid="{00000000-0005-0000-0000-0000B7D70000}"/>
    <cellStyle name="Normal 9 3 3 3 4" xfId="40118" xr:uid="{00000000-0005-0000-0000-0000B8D70000}"/>
    <cellStyle name="Normal 9 3 3 3 4 2" xfId="61127" xr:uid="{00000000-0005-0000-0000-0000B9D70000}"/>
    <cellStyle name="Normal 9 3 3 3 4 3" xfId="61128" xr:uid="{00000000-0005-0000-0000-0000BAD70000}"/>
    <cellStyle name="Normal 9 3 3 3 5" xfId="40119" xr:uid="{00000000-0005-0000-0000-0000BBD70000}"/>
    <cellStyle name="Normal 9 3 3 3 5 2" xfId="61129" xr:uid="{00000000-0005-0000-0000-0000BCD70000}"/>
    <cellStyle name="Normal 9 3 3 3 6" xfId="40120" xr:uid="{00000000-0005-0000-0000-0000BDD70000}"/>
    <cellStyle name="Normal 9 3 3 3 7" xfId="40121" xr:uid="{00000000-0005-0000-0000-0000BED70000}"/>
    <cellStyle name="Normal 9 3 3 3 8" xfId="40122" xr:uid="{00000000-0005-0000-0000-0000BFD70000}"/>
    <cellStyle name="Normal 9 3 3 3 9" xfId="40123" xr:uid="{00000000-0005-0000-0000-0000C0D70000}"/>
    <cellStyle name="Normal 9 3 3 4" xfId="40124" xr:uid="{00000000-0005-0000-0000-0000C1D70000}"/>
    <cellStyle name="Normal 9 3 3 4 2" xfId="40125" xr:uid="{00000000-0005-0000-0000-0000C2D70000}"/>
    <cellStyle name="Normal 9 3 3 4 2 2" xfId="40126" xr:uid="{00000000-0005-0000-0000-0000C3D70000}"/>
    <cellStyle name="Normal 9 3 3 4 2 2 2" xfId="40127" xr:uid="{00000000-0005-0000-0000-0000C4D70000}"/>
    <cellStyle name="Normal 9 3 3 4 2 2 2 2" xfId="61130" xr:uid="{00000000-0005-0000-0000-0000C5D70000}"/>
    <cellStyle name="Normal 9 3 3 4 2 2 2 3" xfId="61131" xr:uid="{00000000-0005-0000-0000-0000C6D70000}"/>
    <cellStyle name="Normal 9 3 3 4 2 2 3" xfId="40128" xr:uid="{00000000-0005-0000-0000-0000C7D70000}"/>
    <cellStyle name="Normal 9 3 3 4 2 2 3 2" xfId="61132" xr:uid="{00000000-0005-0000-0000-0000C8D70000}"/>
    <cellStyle name="Normal 9 3 3 4 2 2 4" xfId="40129" xr:uid="{00000000-0005-0000-0000-0000C9D70000}"/>
    <cellStyle name="Normal 9 3 3 4 2 2 5" xfId="40130" xr:uid="{00000000-0005-0000-0000-0000CAD70000}"/>
    <cellStyle name="Normal 9 3 3 4 2 2 6" xfId="40131" xr:uid="{00000000-0005-0000-0000-0000CBD70000}"/>
    <cellStyle name="Normal 9 3 3 4 2 3" xfId="40132" xr:uid="{00000000-0005-0000-0000-0000CCD70000}"/>
    <cellStyle name="Normal 9 3 3 4 2 3 2" xfId="61133" xr:uid="{00000000-0005-0000-0000-0000CDD70000}"/>
    <cellStyle name="Normal 9 3 3 4 2 3 3" xfId="61134" xr:uid="{00000000-0005-0000-0000-0000CED70000}"/>
    <cellStyle name="Normal 9 3 3 4 2 4" xfId="40133" xr:uid="{00000000-0005-0000-0000-0000CFD70000}"/>
    <cellStyle name="Normal 9 3 3 4 2 4 2" xfId="61135" xr:uid="{00000000-0005-0000-0000-0000D0D70000}"/>
    <cellStyle name="Normal 9 3 3 4 2 5" xfId="40134" xr:uid="{00000000-0005-0000-0000-0000D1D70000}"/>
    <cellStyle name="Normal 9 3 3 4 2 6" xfId="40135" xr:uid="{00000000-0005-0000-0000-0000D2D70000}"/>
    <cellStyle name="Normal 9 3 3 4 2 7" xfId="40136" xr:uid="{00000000-0005-0000-0000-0000D3D70000}"/>
    <cellStyle name="Normal 9 3 3 4 3" xfId="40137" xr:uid="{00000000-0005-0000-0000-0000D4D70000}"/>
    <cellStyle name="Normal 9 3 3 4 3 2" xfId="40138" xr:uid="{00000000-0005-0000-0000-0000D5D70000}"/>
    <cellStyle name="Normal 9 3 3 4 3 2 2" xfId="61136" xr:uid="{00000000-0005-0000-0000-0000D6D70000}"/>
    <cellStyle name="Normal 9 3 3 4 3 2 3" xfId="61137" xr:uid="{00000000-0005-0000-0000-0000D7D70000}"/>
    <cellStyle name="Normal 9 3 3 4 3 3" xfId="40139" xr:uid="{00000000-0005-0000-0000-0000D8D70000}"/>
    <cellStyle name="Normal 9 3 3 4 3 3 2" xfId="61138" xr:uid="{00000000-0005-0000-0000-0000D9D70000}"/>
    <cellStyle name="Normal 9 3 3 4 3 4" xfId="40140" xr:uid="{00000000-0005-0000-0000-0000DAD70000}"/>
    <cellStyle name="Normal 9 3 3 4 3 5" xfId="40141" xr:uid="{00000000-0005-0000-0000-0000DBD70000}"/>
    <cellStyle name="Normal 9 3 3 4 3 6" xfId="40142" xr:uid="{00000000-0005-0000-0000-0000DCD70000}"/>
    <cellStyle name="Normal 9 3 3 4 4" xfId="40143" xr:uid="{00000000-0005-0000-0000-0000DDD70000}"/>
    <cellStyle name="Normal 9 3 3 4 4 2" xfId="61139" xr:uid="{00000000-0005-0000-0000-0000DED70000}"/>
    <cellStyle name="Normal 9 3 3 4 4 3" xfId="61140" xr:uid="{00000000-0005-0000-0000-0000DFD70000}"/>
    <cellStyle name="Normal 9 3 3 4 5" xfId="40144" xr:uid="{00000000-0005-0000-0000-0000E0D70000}"/>
    <cellStyle name="Normal 9 3 3 4 5 2" xfId="61141" xr:uid="{00000000-0005-0000-0000-0000E1D70000}"/>
    <cellStyle name="Normal 9 3 3 4 6" xfId="40145" xr:uid="{00000000-0005-0000-0000-0000E2D70000}"/>
    <cellStyle name="Normal 9 3 3 4 7" xfId="40146" xr:uid="{00000000-0005-0000-0000-0000E3D70000}"/>
    <cellStyle name="Normal 9 3 3 4 8" xfId="40147" xr:uid="{00000000-0005-0000-0000-0000E4D70000}"/>
    <cellStyle name="Normal 9 3 3 5" xfId="40148" xr:uid="{00000000-0005-0000-0000-0000E5D70000}"/>
    <cellStyle name="Normal 9 3 3 5 2" xfId="40149" xr:uid="{00000000-0005-0000-0000-0000E6D70000}"/>
    <cellStyle name="Normal 9 3 3 5 2 2" xfId="40150" xr:uid="{00000000-0005-0000-0000-0000E7D70000}"/>
    <cellStyle name="Normal 9 3 3 5 2 2 2" xfId="61142" xr:uid="{00000000-0005-0000-0000-0000E8D70000}"/>
    <cellStyle name="Normal 9 3 3 5 2 2 3" xfId="61143" xr:uid="{00000000-0005-0000-0000-0000E9D70000}"/>
    <cellStyle name="Normal 9 3 3 5 2 3" xfId="40151" xr:uid="{00000000-0005-0000-0000-0000EAD70000}"/>
    <cellStyle name="Normal 9 3 3 5 2 3 2" xfId="61144" xr:uid="{00000000-0005-0000-0000-0000EBD70000}"/>
    <cellStyle name="Normal 9 3 3 5 2 4" xfId="40152" xr:uid="{00000000-0005-0000-0000-0000ECD70000}"/>
    <cellStyle name="Normal 9 3 3 5 2 5" xfId="40153" xr:uid="{00000000-0005-0000-0000-0000EDD70000}"/>
    <cellStyle name="Normal 9 3 3 5 2 6" xfId="40154" xr:uid="{00000000-0005-0000-0000-0000EED70000}"/>
    <cellStyle name="Normal 9 3 3 5 3" xfId="40155" xr:uid="{00000000-0005-0000-0000-0000EFD70000}"/>
    <cellStyle name="Normal 9 3 3 5 3 2" xfId="61145" xr:uid="{00000000-0005-0000-0000-0000F0D70000}"/>
    <cellStyle name="Normal 9 3 3 5 3 3" xfId="61146" xr:uid="{00000000-0005-0000-0000-0000F1D70000}"/>
    <cellStyle name="Normal 9 3 3 5 4" xfId="40156" xr:uid="{00000000-0005-0000-0000-0000F2D70000}"/>
    <cellStyle name="Normal 9 3 3 5 4 2" xfId="61147" xr:uid="{00000000-0005-0000-0000-0000F3D70000}"/>
    <cellStyle name="Normal 9 3 3 5 5" xfId="40157" xr:uid="{00000000-0005-0000-0000-0000F4D70000}"/>
    <cellStyle name="Normal 9 3 3 5 6" xfId="40158" xr:uid="{00000000-0005-0000-0000-0000F5D70000}"/>
    <cellStyle name="Normal 9 3 3 5 7" xfId="40159" xr:uid="{00000000-0005-0000-0000-0000F6D70000}"/>
    <cellStyle name="Normal 9 3 3 6" xfId="40160" xr:uid="{00000000-0005-0000-0000-0000F7D70000}"/>
    <cellStyle name="Normal 9 3 3 6 2" xfId="40161" xr:uid="{00000000-0005-0000-0000-0000F8D70000}"/>
    <cellStyle name="Normal 9 3 3 6 2 2" xfId="61148" xr:uid="{00000000-0005-0000-0000-0000F9D70000}"/>
    <cellStyle name="Normal 9 3 3 6 2 3" xfId="61149" xr:uid="{00000000-0005-0000-0000-0000FAD70000}"/>
    <cellStyle name="Normal 9 3 3 6 3" xfId="40162" xr:uid="{00000000-0005-0000-0000-0000FBD70000}"/>
    <cellStyle name="Normal 9 3 3 6 3 2" xfId="61150" xr:uid="{00000000-0005-0000-0000-0000FCD70000}"/>
    <cellStyle name="Normal 9 3 3 6 4" xfId="40163" xr:uid="{00000000-0005-0000-0000-0000FDD70000}"/>
    <cellStyle name="Normal 9 3 3 6 5" xfId="40164" xr:uid="{00000000-0005-0000-0000-0000FED70000}"/>
    <cellStyle name="Normal 9 3 3 6 6" xfId="40165" xr:uid="{00000000-0005-0000-0000-0000FFD70000}"/>
    <cellStyle name="Normal 9 3 3 7" xfId="40166" xr:uid="{00000000-0005-0000-0000-000000D80000}"/>
    <cellStyle name="Normal 9 3 3 7 2" xfId="61151" xr:uid="{00000000-0005-0000-0000-000001D80000}"/>
    <cellStyle name="Normal 9 3 3 7 3" xfId="61152" xr:uid="{00000000-0005-0000-0000-000002D80000}"/>
    <cellStyle name="Normal 9 3 3 8" xfId="40167" xr:uid="{00000000-0005-0000-0000-000003D80000}"/>
    <cellStyle name="Normal 9 3 3 8 2" xfId="61153" xr:uid="{00000000-0005-0000-0000-000004D80000}"/>
    <cellStyle name="Normal 9 3 3 9" xfId="40168" xr:uid="{00000000-0005-0000-0000-000005D80000}"/>
    <cellStyle name="Normal 9 3 4" xfId="40169" xr:uid="{00000000-0005-0000-0000-000006D80000}"/>
    <cellStyle name="Normal 9 3 4 10" xfId="40170" xr:uid="{00000000-0005-0000-0000-000007D80000}"/>
    <cellStyle name="Normal 9 3 4 11" xfId="40171" xr:uid="{00000000-0005-0000-0000-000008D80000}"/>
    <cellStyle name="Normal 9 3 4 12" xfId="40172" xr:uid="{00000000-0005-0000-0000-000009D80000}"/>
    <cellStyle name="Normal 9 3 4 13" xfId="40173" xr:uid="{00000000-0005-0000-0000-00000AD80000}"/>
    <cellStyle name="Normal 9 3 4 14" xfId="40174" xr:uid="{00000000-0005-0000-0000-00000BD80000}"/>
    <cellStyle name="Normal 9 3 4 2" xfId="40175" xr:uid="{00000000-0005-0000-0000-00000CD80000}"/>
    <cellStyle name="Normal 9 3 4 2 2" xfId="40176" xr:uid="{00000000-0005-0000-0000-00000DD80000}"/>
    <cellStyle name="Normal 9 3 4 2 2 2" xfId="40177" xr:uid="{00000000-0005-0000-0000-00000ED80000}"/>
    <cellStyle name="Normal 9 3 4 2 2 2 2" xfId="40178" xr:uid="{00000000-0005-0000-0000-00000FD80000}"/>
    <cellStyle name="Normal 9 3 4 2 2 2 2 2" xfId="61154" xr:uid="{00000000-0005-0000-0000-000010D80000}"/>
    <cellStyle name="Normal 9 3 4 2 2 2 2 3" xfId="61155" xr:uid="{00000000-0005-0000-0000-000011D80000}"/>
    <cellStyle name="Normal 9 3 4 2 2 2 3" xfId="40179" xr:uid="{00000000-0005-0000-0000-000012D80000}"/>
    <cellStyle name="Normal 9 3 4 2 2 2 3 2" xfId="61156" xr:uid="{00000000-0005-0000-0000-000013D80000}"/>
    <cellStyle name="Normal 9 3 4 2 2 2 4" xfId="40180" xr:uid="{00000000-0005-0000-0000-000014D80000}"/>
    <cellStyle name="Normal 9 3 4 2 2 2 5" xfId="40181" xr:uid="{00000000-0005-0000-0000-000015D80000}"/>
    <cellStyle name="Normal 9 3 4 2 2 2 6" xfId="40182" xr:uid="{00000000-0005-0000-0000-000016D80000}"/>
    <cellStyle name="Normal 9 3 4 2 2 3" xfId="40183" xr:uid="{00000000-0005-0000-0000-000017D80000}"/>
    <cellStyle name="Normal 9 3 4 2 2 3 2" xfId="61157" xr:uid="{00000000-0005-0000-0000-000018D80000}"/>
    <cellStyle name="Normal 9 3 4 2 2 3 3" xfId="61158" xr:uid="{00000000-0005-0000-0000-000019D80000}"/>
    <cellStyle name="Normal 9 3 4 2 2 4" xfId="40184" xr:uid="{00000000-0005-0000-0000-00001AD80000}"/>
    <cellStyle name="Normal 9 3 4 2 2 4 2" xfId="61159" xr:uid="{00000000-0005-0000-0000-00001BD80000}"/>
    <cellStyle name="Normal 9 3 4 2 2 5" xfId="40185" xr:uid="{00000000-0005-0000-0000-00001CD80000}"/>
    <cellStyle name="Normal 9 3 4 2 2 6" xfId="40186" xr:uid="{00000000-0005-0000-0000-00001DD80000}"/>
    <cellStyle name="Normal 9 3 4 2 2 7" xfId="40187" xr:uid="{00000000-0005-0000-0000-00001ED80000}"/>
    <cellStyle name="Normal 9 3 4 2 3" xfId="40188" xr:uid="{00000000-0005-0000-0000-00001FD80000}"/>
    <cellStyle name="Normal 9 3 4 2 3 2" xfId="40189" xr:uid="{00000000-0005-0000-0000-000020D80000}"/>
    <cellStyle name="Normal 9 3 4 2 3 2 2" xfId="61160" xr:uid="{00000000-0005-0000-0000-000021D80000}"/>
    <cellStyle name="Normal 9 3 4 2 3 2 3" xfId="61161" xr:uid="{00000000-0005-0000-0000-000022D80000}"/>
    <cellStyle name="Normal 9 3 4 2 3 3" xfId="40190" xr:uid="{00000000-0005-0000-0000-000023D80000}"/>
    <cellStyle name="Normal 9 3 4 2 3 3 2" xfId="61162" xr:uid="{00000000-0005-0000-0000-000024D80000}"/>
    <cellStyle name="Normal 9 3 4 2 3 4" xfId="40191" xr:uid="{00000000-0005-0000-0000-000025D80000}"/>
    <cellStyle name="Normal 9 3 4 2 3 5" xfId="40192" xr:uid="{00000000-0005-0000-0000-000026D80000}"/>
    <cellStyle name="Normal 9 3 4 2 3 6" xfId="40193" xr:uid="{00000000-0005-0000-0000-000027D80000}"/>
    <cellStyle name="Normal 9 3 4 2 4" xfId="40194" xr:uid="{00000000-0005-0000-0000-000028D80000}"/>
    <cellStyle name="Normal 9 3 4 2 4 2" xfId="61163" xr:uid="{00000000-0005-0000-0000-000029D80000}"/>
    <cellStyle name="Normal 9 3 4 2 4 3" xfId="61164" xr:uid="{00000000-0005-0000-0000-00002AD80000}"/>
    <cellStyle name="Normal 9 3 4 2 5" xfId="40195" xr:uid="{00000000-0005-0000-0000-00002BD80000}"/>
    <cellStyle name="Normal 9 3 4 2 5 2" xfId="61165" xr:uid="{00000000-0005-0000-0000-00002CD80000}"/>
    <cellStyle name="Normal 9 3 4 2 6" xfId="40196" xr:uid="{00000000-0005-0000-0000-00002DD80000}"/>
    <cellStyle name="Normal 9 3 4 2 7" xfId="40197" xr:uid="{00000000-0005-0000-0000-00002ED80000}"/>
    <cellStyle name="Normal 9 3 4 2 8" xfId="40198" xr:uid="{00000000-0005-0000-0000-00002FD80000}"/>
    <cellStyle name="Normal 9 3 4 2 9" xfId="40199" xr:uid="{00000000-0005-0000-0000-000030D80000}"/>
    <cellStyle name="Normal 9 3 4 3" xfId="40200" xr:uid="{00000000-0005-0000-0000-000031D80000}"/>
    <cellStyle name="Normal 9 3 4 3 2" xfId="40201" xr:uid="{00000000-0005-0000-0000-000032D80000}"/>
    <cellStyle name="Normal 9 3 4 3 2 2" xfId="40202" xr:uid="{00000000-0005-0000-0000-000033D80000}"/>
    <cellStyle name="Normal 9 3 4 3 2 2 2" xfId="40203" xr:uid="{00000000-0005-0000-0000-000034D80000}"/>
    <cellStyle name="Normal 9 3 4 3 2 2 2 2" xfId="61166" xr:uid="{00000000-0005-0000-0000-000035D80000}"/>
    <cellStyle name="Normal 9 3 4 3 2 2 2 3" xfId="61167" xr:uid="{00000000-0005-0000-0000-000036D80000}"/>
    <cellStyle name="Normal 9 3 4 3 2 2 3" xfId="40204" xr:uid="{00000000-0005-0000-0000-000037D80000}"/>
    <cellStyle name="Normal 9 3 4 3 2 2 3 2" xfId="61168" xr:uid="{00000000-0005-0000-0000-000038D80000}"/>
    <cellStyle name="Normal 9 3 4 3 2 2 4" xfId="40205" xr:uid="{00000000-0005-0000-0000-000039D80000}"/>
    <cellStyle name="Normal 9 3 4 3 2 2 5" xfId="40206" xr:uid="{00000000-0005-0000-0000-00003AD80000}"/>
    <cellStyle name="Normal 9 3 4 3 2 2 6" xfId="40207" xr:uid="{00000000-0005-0000-0000-00003BD80000}"/>
    <cellStyle name="Normal 9 3 4 3 2 3" xfId="40208" xr:uid="{00000000-0005-0000-0000-00003CD80000}"/>
    <cellStyle name="Normal 9 3 4 3 2 3 2" xfId="61169" xr:uid="{00000000-0005-0000-0000-00003DD80000}"/>
    <cellStyle name="Normal 9 3 4 3 2 3 3" xfId="61170" xr:uid="{00000000-0005-0000-0000-00003ED80000}"/>
    <cellStyle name="Normal 9 3 4 3 2 4" xfId="40209" xr:uid="{00000000-0005-0000-0000-00003FD80000}"/>
    <cellStyle name="Normal 9 3 4 3 2 4 2" xfId="61171" xr:uid="{00000000-0005-0000-0000-000040D80000}"/>
    <cellStyle name="Normal 9 3 4 3 2 5" xfId="40210" xr:uid="{00000000-0005-0000-0000-000041D80000}"/>
    <cellStyle name="Normal 9 3 4 3 2 6" xfId="40211" xr:uid="{00000000-0005-0000-0000-000042D80000}"/>
    <cellStyle name="Normal 9 3 4 3 2 7" xfId="40212" xr:uid="{00000000-0005-0000-0000-000043D80000}"/>
    <cellStyle name="Normal 9 3 4 3 3" xfId="40213" xr:uid="{00000000-0005-0000-0000-000044D80000}"/>
    <cellStyle name="Normal 9 3 4 3 3 2" xfId="40214" xr:uid="{00000000-0005-0000-0000-000045D80000}"/>
    <cellStyle name="Normal 9 3 4 3 3 2 2" xfId="61172" xr:uid="{00000000-0005-0000-0000-000046D80000}"/>
    <cellStyle name="Normal 9 3 4 3 3 2 3" xfId="61173" xr:uid="{00000000-0005-0000-0000-000047D80000}"/>
    <cellStyle name="Normal 9 3 4 3 3 3" xfId="40215" xr:uid="{00000000-0005-0000-0000-000048D80000}"/>
    <cellStyle name="Normal 9 3 4 3 3 3 2" xfId="61174" xr:uid="{00000000-0005-0000-0000-000049D80000}"/>
    <cellStyle name="Normal 9 3 4 3 3 4" xfId="40216" xr:uid="{00000000-0005-0000-0000-00004AD80000}"/>
    <cellStyle name="Normal 9 3 4 3 3 5" xfId="40217" xr:uid="{00000000-0005-0000-0000-00004BD80000}"/>
    <cellStyle name="Normal 9 3 4 3 3 6" xfId="40218" xr:uid="{00000000-0005-0000-0000-00004CD80000}"/>
    <cellStyle name="Normal 9 3 4 3 4" xfId="40219" xr:uid="{00000000-0005-0000-0000-00004DD80000}"/>
    <cellStyle name="Normal 9 3 4 3 4 2" xfId="61175" xr:uid="{00000000-0005-0000-0000-00004ED80000}"/>
    <cellStyle name="Normal 9 3 4 3 4 3" xfId="61176" xr:uid="{00000000-0005-0000-0000-00004FD80000}"/>
    <cellStyle name="Normal 9 3 4 3 5" xfId="40220" xr:uid="{00000000-0005-0000-0000-000050D80000}"/>
    <cellStyle name="Normal 9 3 4 3 5 2" xfId="61177" xr:uid="{00000000-0005-0000-0000-000051D80000}"/>
    <cellStyle name="Normal 9 3 4 3 6" xfId="40221" xr:uid="{00000000-0005-0000-0000-000052D80000}"/>
    <cellStyle name="Normal 9 3 4 3 7" xfId="40222" xr:uid="{00000000-0005-0000-0000-000053D80000}"/>
    <cellStyle name="Normal 9 3 4 3 8" xfId="40223" xr:uid="{00000000-0005-0000-0000-000054D80000}"/>
    <cellStyle name="Normal 9 3 4 4" xfId="40224" xr:uid="{00000000-0005-0000-0000-000055D80000}"/>
    <cellStyle name="Normal 9 3 4 4 2" xfId="40225" xr:uid="{00000000-0005-0000-0000-000056D80000}"/>
    <cellStyle name="Normal 9 3 4 4 2 2" xfId="40226" xr:uid="{00000000-0005-0000-0000-000057D80000}"/>
    <cellStyle name="Normal 9 3 4 4 2 2 2" xfId="61178" xr:uid="{00000000-0005-0000-0000-000058D80000}"/>
    <cellStyle name="Normal 9 3 4 4 2 2 3" xfId="61179" xr:uid="{00000000-0005-0000-0000-000059D80000}"/>
    <cellStyle name="Normal 9 3 4 4 2 3" xfId="40227" xr:uid="{00000000-0005-0000-0000-00005AD80000}"/>
    <cellStyle name="Normal 9 3 4 4 2 3 2" xfId="61180" xr:uid="{00000000-0005-0000-0000-00005BD80000}"/>
    <cellStyle name="Normal 9 3 4 4 2 4" xfId="40228" xr:uid="{00000000-0005-0000-0000-00005CD80000}"/>
    <cellStyle name="Normal 9 3 4 4 2 5" xfId="40229" xr:uid="{00000000-0005-0000-0000-00005DD80000}"/>
    <cellStyle name="Normal 9 3 4 4 2 6" xfId="40230" xr:uid="{00000000-0005-0000-0000-00005ED80000}"/>
    <cellStyle name="Normal 9 3 4 4 3" xfId="40231" xr:uid="{00000000-0005-0000-0000-00005FD80000}"/>
    <cellStyle name="Normal 9 3 4 4 3 2" xfId="61181" xr:uid="{00000000-0005-0000-0000-000060D80000}"/>
    <cellStyle name="Normal 9 3 4 4 3 3" xfId="61182" xr:uid="{00000000-0005-0000-0000-000061D80000}"/>
    <cellStyle name="Normal 9 3 4 4 4" xfId="40232" xr:uid="{00000000-0005-0000-0000-000062D80000}"/>
    <cellStyle name="Normal 9 3 4 4 4 2" xfId="61183" xr:uid="{00000000-0005-0000-0000-000063D80000}"/>
    <cellStyle name="Normal 9 3 4 4 5" xfId="40233" xr:uid="{00000000-0005-0000-0000-000064D80000}"/>
    <cellStyle name="Normal 9 3 4 4 6" xfId="40234" xr:uid="{00000000-0005-0000-0000-000065D80000}"/>
    <cellStyle name="Normal 9 3 4 4 7" xfId="40235" xr:uid="{00000000-0005-0000-0000-000066D80000}"/>
    <cellStyle name="Normal 9 3 4 5" xfId="40236" xr:uid="{00000000-0005-0000-0000-000067D80000}"/>
    <cellStyle name="Normal 9 3 4 5 2" xfId="40237" xr:uid="{00000000-0005-0000-0000-000068D80000}"/>
    <cellStyle name="Normal 9 3 4 5 2 2" xfId="61184" xr:uid="{00000000-0005-0000-0000-000069D80000}"/>
    <cellStyle name="Normal 9 3 4 5 2 3" xfId="61185" xr:uid="{00000000-0005-0000-0000-00006AD80000}"/>
    <cellStyle name="Normal 9 3 4 5 3" xfId="40238" xr:uid="{00000000-0005-0000-0000-00006BD80000}"/>
    <cellStyle name="Normal 9 3 4 5 3 2" xfId="61186" xr:uid="{00000000-0005-0000-0000-00006CD80000}"/>
    <cellStyle name="Normal 9 3 4 5 4" xfId="40239" xr:uid="{00000000-0005-0000-0000-00006DD80000}"/>
    <cellStyle name="Normal 9 3 4 5 5" xfId="40240" xr:uid="{00000000-0005-0000-0000-00006ED80000}"/>
    <cellStyle name="Normal 9 3 4 5 6" xfId="40241" xr:uid="{00000000-0005-0000-0000-00006FD80000}"/>
    <cellStyle name="Normal 9 3 4 6" xfId="40242" xr:uid="{00000000-0005-0000-0000-000070D80000}"/>
    <cellStyle name="Normal 9 3 4 6 2" xfId="61187" xr:uid="{00000000-0005-0000-0000-000071D80000}"/>
    <cellStyle name="Normal 9 3 4 6 3" xfId="61188" xr:uid="{00000000-0005-0000-0000-000072D80000}"/>
    <cellStyle name="Normal 9 3 4 7" xfId="40243" xr:uid="{00000000-0005-0000-0000-000073D80000}"/>
    <cellStyle name="Normal 9 3 4 7 2" xfId="61189" xr:uid="{00000000-0005-0000-0000-000074D80000}"/>
    <cellStyle name="Normal 9 3 4 8" xfId="40244" xr:uid="{00000000-0005-0000-0000-000075D80000}"/>
    <cellStyle name="Normal 9 3 4 9" xfId="40245" xr:uid="{00000000-0005-0000-0000-000076D80000}"/>
    <cellStyle name="Normal 9 3 5" xfId="40246" xr:uid="{00000000-0005-0000-0000-000077D80000}"/>
    <cellStyle name="Normal 9 3 5 10" xfId="40247" xr:uid="{00000000-0005-0000-0000-000078D80000}"/>
    <cellStyle name="Normal 9 3 5 11" xfId="40248" xr:uid="{00000000-0005-0000-0000-000079D80000}"/>
    <cellStyle name="Normal 9 3 5 12" xfId="40249" xr:uid="{00000000-0005-0000-0000-00007AD80000}"/>
    <cellStyle name="Normal 9 3 5 13" xfId="40250" xr:uid="{00000000-0005-0000-0000-00007BD80000}"/>
    <cellStyle name="Normal 9 3 5 14" xfId="40251" xr:uid="{00000000-0005-0000-0000-00007CD80000}"/>
    <cellStyle name="Normal 9 3 5 2" xfId="40252" xr:uid="{00000000-0005-0000-0000-00007DD80000}"/>
    <cellStyle name="Normal 9 3 5 2 2" xfId="40253" xr:uid="{00000000-0005-0000-0000-00007ED80000}"/>
    <cellStyle name="Normal 9 3 5 2 2 2" xfId="40254" xr:uid="{00000000-0005-0000-0000-00007FD80000}"/>
    <cellStyle name="Normal 9 3 5 2 2 2 2" xfId="40255" xr:uid="{00000000-0005-0000-0000-000080D80000}"/>
    <cellStyle name="Normal 9 3 5 2 2 2 2 2" xfId="61190" xr:uid="{00000000-0005-0000-0000-000081D80000}"/>
    <cellStyle name="Normal 9 3 5 2 2 2 2 3" xfId="61191" xr:uid="{00000000-0005-0000-0000-000082D80000}"/>
    <cellStyle name="Normal 9 3 5 2 2 2 3" xfId="40256" xr:uid="{00000000-0005-0000-0000-000083D80000}"/>
    <cellStyle name="Normal 9 3 5 2 2 2 3 2" xfId="61192" xr:uid="{00000000-0005-0000-0000-000084D80000}"/>
    <cellStyle name="Normal 9 3 5 2 2 2 4" xfId="40257" xr:uid="{00000000-0005-0000-0000-000085D80000}"/>
    <cellStyle name="Normal 9 3 5 2 2 2 5" xfId="40258" xr:uid="{00000000-0005-0000-0000-000086D80000}"/>
    <cellStyle name="Normal 9 3 5 2 2 2 6" xfId="40259" xr:uid="{00000000-0005-0000-0000-000087D80000}"/>
    <cellStyle name="Normal 9 3 5 2 2 3" xfId="40260" xr:uid="{00000000-0005-0000-0000-000088D80000}"/>
    <cellStyle name="Normal 9 3 5 2 2 3 2" xfId="61193" xr:uid="{00000000-0005-0000-0000-000089D80000}"/>
    <cellStyle name="Normal 9 3 5 2 2 3 3" xfId="61194" xr:uid="{00000000-0005-0000-0000-00008AD80000}"/>
    <cellStyle name="Normal 9 3 5 2 2 4" xfId="40261" xr:uid="{00000000-0005-0000-0000-00008BD80000}"/>
    <cellStyle name="Normal 9 3 5 2 2 4 2" xfId="61195" xr:uid="{00000000-0005-0000-0000-00008CD80000}"/>
    <cellStyle name="Normal 9 3 5 2 2 5" xfId="40262" xr:uid="{00000000-0005-0000-0000-00008DD80000}"/>
    <cellStyle name="Normal 9 3 5 2 2 6" xfId="40263" xr:uid="{00000000-0005-0000-0000-00008ED80000}"/>
    <cellStyle name="Normal 9 3 5 2 2 7" xfId="40264" xr:uid="{00000000-0005-0000-0000-00008FD80000}"/>
    <cellStyle name="Normal 9 3 5 2 3" xfId="40265" xr:uid="{00000000-0005-0000-0000-000090D80000}"/>
    <cellStyle name="Normal 9 3 5 2 3 2" xfId="40266" xr:uid="{00000000-0005-0000-0000-000091D80000}"/>
    <cellStyle name="Normal 9 3 5 2 3 2 2" xfId="61196" xr:uid="{00000000-0005-0000-0000-000092D80000}"/>
    <cellStyle name="Normal 9 3 5 2 3 2 3" xfId="61197" xr:uid="{00000000-0005-0000-0000-000093D80000}"/>
    <cellStyle name="Normal 9 3 5 2 3 3" xfId="40267" xr:uid="{00000000-0005-0000-0000-000094D80000}"/>
    <cellStyle name="Normal 9 3 5 2 3 3 2" xfId="61198" xr:uid="{00000000-0005-0000-0000-000095D80000}"/>
    <cellStyle name="Normal 9 3 5 2 3 4" xfId="40268" xr:uid="{00000000-0005-0000-0000-000096D80000}"/>
    <cellStyle name="Normal 9 3 5 2 3 5" xfId="40269" xr:uid="{00000000-0005-0000-0000-000097D80000}"/>
    <cellStyle name="Normal 9 3 5 2 3 6" xfId="40270" xr:uid="{00000000-0005-0000-0000-000098D80000}"/>
    <cellStyle name="Normal 9 3 5 2 4" xfId="40271" xr:uid="{00000000-0005-0000-0000-000099D80000}"/>
    <cellStyle name="Normal 9 3 5 2 4 2" xfId="61199" xr:uid="{00000000-0005-0000-0000-00009AD80000}"/>
    <cellStyle name="Normal 9 3 5 2 4 3" xfId="61200" xr:uid="{00000000-0005-0000-0000-00009BD80000}"/>
    <cellStyle name="Normal 9 3 5 2 5" xfId="40272" xr:uid="{00000000-0005-0000-0000-00009CD80000}"/>
    <cellStyle name="Normal 9 3 5 2 5 2" xfId="61201" xr:uid="{00000000-0005-0000-0000-00009DD80000}"/>
    <cellStyle name="Normal 9 3 5 2 6" xfId="40273" xr:uid="{00000000-0005-0000-0000-00009ED80000}"/>
    <cellStyle name="Normal 9 3 5 2 7" xfId="40274" xr:uid="{00000000-0005-0000-0000-00009FD80000}"/>
    <cellStyle name="Normal 9 3 5 2 8" xfId="40275" xr:uid="{00000000-0005-0000-0000-0000A0D80000}"/>
    <cellStyle name="Normal 9 3 5 2 9" xfId="40276" xr:uid="{00000000-0005-0000-0000-0000A1D80000}"/>
    <cellStyle name="Normal 9 3 5 3" xfId="40277" xr:uid="{00000000-0005-0000-0000-0000A2D80000}"/>
    <cellStyle name="Normal 9 3 5 3 2" xfId="40278" xr:uid="{00000000-0005-0000-0000-0000A3D80000}"/>
    <cellStyle name="Normal 9 3 5 3 2 2" xfId="40279" xr:uid="{00000000-0005-0000-0000-0000A4D80000}"/>
    <cellStyle name="Normal 9 3 5 3 2 2 2" xfId="40280" xr:uid="{00000000-0005-0000-0000-0000A5D80000}"/>
    <cellStyle name="Normal 9 3 5 3 2 2 2 2" xfId="61202" xr:uid="{00000000-0005-0000-0000-0000A6D80000}"/>
    <cellStyle name="Normal 9 3 5 3 2 2 2 3" xfId="61203" xr:uid="{00000000-0005-0000-0000-0000A7D80000}"/>
    <cellStyle name="Normal 9 3 5 3 2 2 3" xfId="40281" xr:uid="{00000000-0005-0000-0000-0000A8D80000}"/>
    <cellStyle name="Normal 9 3 5 3 2 2 3 2" xfId="61204" xr:uid="{00000000-0005-0000-0000-0000A9D80000}"/>
    <cellStyle name="Normal 9 3 5 3 2 2 4" xfId="40282" xr:uid="{00000000-0005-0000-0000-0000AAD80000}"/>
    <cellStyle name="Normal 9 3 5 3 2 2 5" xfId="40283" xr:uid="{00000000-0005-0000-0000-0000ABD80000}"/>
    <cellStyle name="Normal 9 3 5 3 2 2 6" xfId="40284" xr:uid="{00000000-0005-0000-0000-0000ACD80000}"/>
    <cellStyle name="Normal 9 3 5 3 2 3" xfId="40285" xr:uid="{00000000-0005-0000-0000-0000ADD80000}"/>
    <cellStyle name="Normal 9 3 5 3 2 3 2" xfId="61205" xr:uid="{00000000-0005-0000-0000-0000AED80000}"/>
    <cellStyle name="Normal 9 3 5 3 2 3 3" xfId="61206" xr:uid="{00000000-0005-0000-0000-0000AFD80000}"/>
    <cellStyle name="Normal 9 3 5 3 2 4" xfId="40286" xr:uid="{00000000-0005-0000-0000-0000B0D80000}"/>
    <cellStyle name="Normal 9 3 5 3 2 4 2" xfId="61207" xr:uid="{00000000-0005-0000-0000-0000B1D80000}"/>
    <cellStyle name="Normal 9 3 5 3 2 5" xfId="40287" xr:uid="{00000000-0005-0000-0000-0000B2D80000}"/>
    <cellStyle name="Normal 9 3 5 3 2 6" xfId="40288" xr:uid="{00000000-0005-0000-0000-0000B3D80000}"/>
    <cellStyle name="Normal 9 3 5 3 2 7" xfId="40289" xr:uid="{00000000-0005-0000-0000-0000B4D80000}"/>
    <cellStyle name="Normal 9 3 5 3 3" xfId="40290" xr:uid="{00000000-0005-0000-0000-0000B5D80000}"/>
    <cellStyle name="Normal 9 3 5 3 3 2" xfId="40291" xr:uid="{00000000-0005-0000-0000-0000B6D80000}"/>
    <cellStyle name="Normal 9 3 5 3 3 2 2" xfId="61208" xr:uid="{00000000-0005-0000-0000-0000B7D80000}"/>
    <cellStyle name="Normal 9 3 5 3 3 2 3" xfId="61209" xr:uid="{00000000-0005-0000-0000-0000B8D80000}"/>
    <cellStyle name="Normal 9 3 5 3 3 3" xfId="40292" xr:uid="{00000000-0005-0000-0000-0000B9D80000}"/>
    <cellStyle name="Normal 9 3 5 3 3 3 2" xfId="61210" xr:uid="{00000000-0005-0000-0000-0000BAD80000}"/>
    <cellStyle name="Normal 9 3 5 3 3 4" xfId="40293" xr:uid="{00000000-0005-0000-0000-0000BBD80000}"/>
    <cellStyle name="Normal 9 3 5 3 3 5" xfId="40294" xr:uid="{00000000-0005-0000-0000-0000BCD80000}"/>
    <cellStyle name="Normal 9 3 5 3 3 6" xfId="40295" xr:uid="{00000000-0005-0000-0000-0000BDD80000}"/>
    <cellStyle name="Normal 9 3 5 3 4" xfId="40296" xr:uid="{00000000-0005-0000-0000-0000BED80000}"/>
    <cellStyle name="Normal 9 3 5 3 4 2" xfId="61211" xr:uid="{00000000-0005-0000-0000-0000BFD80000}"/>
    <cellStyle name="Normal 9 3 5 3 4 3" xfId="61212" xr:uid="{00000000-0005-0000-0000-0000C0D80000}"/>
    <cellStyle name="Normal 9 3 5 3 5" xfId="40297" xr:uid="{00000000-0005-0000-0000-0000C1D80000}"/>
    <cellStyle name="Normal 9 3 5 3 5 2" xfId="61213" xr:uid="{00000000-0005-0000-0000-0000C2D80000}"/>
    <cellStyle name="Normal 9 3 5 3 6" xfId="40298" xr:uid="{00000000-0005-0000-0000-0000C3D80000}"/>
    <cellStyle name="Normal 9 3 5 3 7" xfId="40299" xr:uid="{00000000-0005-0000-0000-0000C4D80000}"/>
    <cellStyle name="Normal 9 3 5 3 8" xfId="40300" xr:uid="{00000000-0005-0000-0000-0000C5D80000}"/>
    <cellStyle name="Normal 9 3 5 4" xfId="40301" xr:uid="{00000000-0005-0000-0000-0000C6D80000}"/>
    <cellStyle name="Normal 9 3 5 4 2" xfId="40302" xr:uid="{00000000-0005-0000-0000-0000C7D80000}"/>
    <cellStyle name="Normal 9 3 5 4 2 2" xfId="40303" xr:uid="{00000000-0005-0000-0000-0000C8D80000}"/>
    <cellStyle name="Normal 9 3 5 4 2 2 2" xfId="61214" xr:uid="{00000000-0005-0000-0000-0000C9D80000}"/>
    <cellStyle name="Normal 9 3 5 4 2 2 3" xfId="61215" xr:uid="{00000000-0005-0000-0000-0000CAD80000}"/>
    <cellStyle name="Normal 9 3 5 4 2 3" xfId="40304" xr:uid="{00000000-0005-0000-0000-0000CBD80000}"/>
    <cellStyle name="Normal 9 3 5 4 2 3 2" xfId="61216" xr:uid="{00000000-0005-0000-0000-0000CCD80000}"/>
    <cellStyle name="Normal 9 3 5 4 2 4" xfId="40305" xr:uid="{00000000-0005-0000-0000-0000CDD80000}"/>
    <cellStyle name="Normal 9 3 5 4 2 5" xfId="40306" xr:uid="{00000000-0005-0000-0000-0000CED80000}"/>
    <cellStyle name="Normal 9 3 5 4 2 6" xfId="40307" xr:uid="{00000000-0005-0000-0000-0000CFD80000}"/>
    <cellStyle name="Normal 9 3 5 4 3" xfId="40308" xr:uid="{00000000-0005-0000-0000-0000D0D80000}"/>
    <cellStyle name="Normal 9 3 5 4 3 2" xfId="61217" xr:uid="{00000000-0005-0000-0000-0000D1D80000}"/>
    <cellStyle name="Normal 9 3 5 4 3 3" xfId="61218" xr:uid="{00000000-0005-0000-0000-0000D2D80000}"/>
    <cellStyle name="Normal 9 3 5 4 4" xfId="40309" xr:uid="{00000000-0005-0000-0000-0000D3D80000}"/>
    <cellStyle name="Normal 9 3 5 4 4 2" xfId="61219" xr:uid="{00000000-0005-0000-0000-0000D4D80000}"/>
    <cellStyle name="Normal 9 3 5 4 5" xfId="40310" xr:uid="{00000000-0005-0000-0000-0000D5D80000}"/>
    <cellStyle name="Normal 9 3 5 4 6" xfId="40311" xr:uid="{00000000-0005-0000-0000-0000D6D80000}"/>
    <cellStyle name="Normal 9 3 5 4 7" xfId="40312" xr:uid="{00000000-0005-0000-0000-0000D7D80000}"/>
    <cellStyle name="Normal 9 3 5 5" xfId="40313" xr:uid="{00000000-0005-0000-0000-0000D8D80000}"/>
    <cellStyle name="Normal 9 3 5 5 2" xfId="40314" xr:uid="{00000000-0005-0000-0000-0000D9D80000}"/>
    <cellStyle name="Normal 9 3 5 5 2 2" xfId="61220" xr:uid="{00000000-0005-0000-0000-0000DAD80000}"/>
    <cellStyle name="Normal 9 3 5 5 2 3" xfId="61221" xr:uid="{00000000-0005-0000-0000-0000DBD80000}"/>
    <cellStyle name="Normal 9 3 5 5 3" xfId="40315" xr:uid="{00000000-0005-0000-0000-0000DCD80000}"/>
    <cellStyle name="Normal 9 3 5 5 3 2" xfId="61222" xr:uid="{00000000-0005-0000-0000-0000DDD80000}"/>
    <cellStyle name="Normal 9 3 5 5 4" xfId="40316" xr:uid="{00000000-0005-0000-0000-0000DED80000}"/>
    <cellStyle name="Normal 9 3 5 5 5" xfId="40317" xr:uid="{00000000-0005-0000-0000-0000DFD80000}"/>
    <cellStyle name="Normal 9 3 5 5 6" xfId="40318" xr:uid="{00000000-0005-0000-0000-0000E0D80000}"/>
    <cellStyle name="Normal 9 3 5 6" xfId="40319" xr:uid="{00000000-0005-0000-0000-0000E1D80000}"/>
    <cellStyle name="Normal 9 3 5 6 2" xfId="61223" xr:uid="{00000000-0005-0000-0000-0000E2D80000}"/>
    <cellStyle name="Normal 9 3 5 6 3" xfId="61224" xr:uid="{00000000-0005-0000-0000-0000E3D80000}"/>
    <cellStyle name="Normal 9 3 5 7" xfId="40320" xr:uid="{00000000-0005-0000-0000-0000E4D80000}"/>
    <cellStyle name="Normal 9 3 5 7 2" xfId="61225" xr:uid="{00000000-0005-0000-0000-0000E5D80000}"/>
    <cellStyle name="Normal 9 3 5 8" xfId="40321" xr:uid="{00000000-0005-0000-0000-0000E6D80000}"/>
    <cellStyle name="Normal 9 3 5 9" xfId="40322" xr:uid="{00000000-0005-0000-0000-0000E7D80000}"/>
    <cellStyle name="Normal 9 3 6" xfId="40323" xr:uid="{00000000-0005-0000-0000-0000E8D80000}"/>
    <cellStyle name="Normal 9 3 6 10" xfId="40324" xr:uid="{00000000-0005-0000-0000-0000E9D80000}"/>
    <cellStyle name="Normal 9 3 6 11" xfId="40325" xr:uid="{00000000-0005-0000-0000-0000EAD80000}"/>
    <cellStyle name="Normal 9 3 6 12" xfId="40326" xr:uid="{00000000-0005-0000-0000-0000EBD80000}"/>
    <cellStyle name="Normal 9 3 6 13" xfId="40327" xr:uid="{00000000-0005-0000-0000-0000ECD80000}"/>
    <cellStyle name="Normal 9 3 6 2" xfId="40328" xr:uid="{00000000-0005-0000-0000-0000EDD80000}"/>
    <cellStyle name="Normal 9 3 6 2 2" xfId="40329" xr:uid="{00000000-0005-0000-0000-0000EED80000}"/>
    <cellStyle name="Normal 9 3 6 2 2 2" xfId="40330" xr:uid="{00000000-0005-0000-0000-0000EFD80000}"/>
    <cellStyle name="Normal 9 3 6 2 2 2 2" xfId="40331" xr:uid="{00000000-0005-0000-0000-0000F0D80000}"/>
    <cellStyle name="Normal 9 3 6 2 2 2 2 2" xfId="61226" xr:uid="{00000000-0005-0000-0000-0000F1D80000}"/>
    <cellStyle name="Normal 9 3 6 2 2 2 2 3" xfId="61227" xr:uid="{00000000-0005-0000-0000-0000F2D80000}"/>
    <cellStyle name="Normal 9 3 6 2 2 2 3" xfId="40332" xr:uid="{00000000-0005-0000-0000-0000F3D80000}"/>
    <cellStyle name="Normal 9 3 6 2 2 2 3 2" xfId="61228" xr:uid="{00000000-0005-0000-0000-0000F4D80000}"/>
    <cellStyle name="Normal 9 3 6 2 2 2 4" xfId="40333" xr:uid="{00000000-0005-0000-0000-0000F5D80000}"/>
    <cellStyle name="Normal 9 3 6 2 2 2 5" xfId="40334" xr:uid="{00000000-0005-0000-0000-0000F6D80000}"/>
    <cellStyle name="Normal 9 3 6 2 2 2 6" xfId="40335" xr:uid="{00000000-0005-0000-0000-0000F7D80000}"/>
    <cellStyle name="Normal 9 3 6 2 2 3" xfId="40336" xr:uid="{00000000-0005-0000-0000-0000F8D80000}"/>
    <cellStyle name="Normal 9 3 6 2 2 3 2" xfId="61229" xr:uid="{00000000-0005-0000-0000-0000F9D80000}"/>
    <cellStyle name="Normal 9 3 6 2 2 3 3" xfId="61230" xr:uid="{00000000-0005-0000-0000-0000FAD80000}"/>
    <cellStyle name="Normal 9 3 6 2 2 4" xfId="40337" xr:uid="{00000000-0005-0000-0000-0000FBD80000}"/>
    <cellStyle name="Normal 9 3 6 2 2 4 2" xfId="61231" xr:uid="{00000000-0005-0000-0000-0000FCD80000}"/>
    <cellStyle name="Normal 9 3 6 2 2 5" xfId="40338" xr:uid="{00000000-0005-0000-0000-0000FDD80000}"/>
    <cellStyle name="Normal 9 3 6 2 2 6" xfId="40339" xr:uid="{00000000-0005-0000-0000-0000FED80000}"/>
    <cellStyle name="Normal 9 3 6 2 2 7" xfId="40340" xr:uid="{00000000-0005-0000-0000-0000FFD80000}"/>
    <cellStyle name="Normal 9 3 6 2 3" xfId="40341" xr:uid="{00000000-0005-0000-0000-000000D90000}"/>
    <cellStyle name="Normal 9 3 6 2 3 2" xfId="40342" xr:uid="{00000000-0005-0000-0000-000001D90000}"/>
    <cellStyle name="Normal 9 3 6 2 3 2 2" xfId="61232" xr:uid="{00000000-0005-0000-0000-000002D90000}"/>
    <cellStyle name="Normal 9 3 6 2 3 2 3" xfId="61233" xr:uid="{00000000-0005-0000-0000-000003D90000}"/>
    <cellStyle name="Normal 9 3 6 2 3 3" xfId="40343" xr:uid="{00000000-0005-0000-0000-000004D90000}"/>
    <cellStyle name="Normal 9 3 6 2 3 3 2" xfId="61234" xr:uid="{00000000-0005-0000-0000-000005D90000}"/>
    <cellStyle name="Normal 9 3 6 2 3 4" xfId="40344" xr:uid="{00000000-0005-0000-0000-000006D90000}"/>
    <cellStyle name="Normal 9 3 6 2 3 5" xfId="40345" xr:uid="{00000000-0005-0000-0000-000007D90000}"/>
    <cellStyle name="Normal 9 3 6 2 3 6" xfId="40346" xr:uid="{00000000-0005-0000-0000-000008D90000}"/>
    <cellStyle name="Normal 9 3 6 2 4" xfId="40347" xr:uid="{00000000-0005-0000-0000-000009D90000}"/>
    <cellStyle name="Normal 9 3 6 2 4 2" xfId="61235" xr:uid="{00000000-0005-0000-0000-00000AD90000}"/>
    <cellStyle name="Normal 9 3 6 2 4 3" xfId="61236" xr:uid="{00000000-0005-0000-0000-00000BD90000}"/>
    <cellStyle name="Normal 9 3 6 2 5" xfId="40348" xr:uid="{00000000-0005-0000-0000-00000CD90000}"/>
    <cellStyle name="Normal 9 3 6 2 5 2" xfId="61237" xr:uid="{00000000-0005-0000-0000-00000DD90000}"/>
    <cellStyle name="Normal 9 3 6 2 6" xfId="40349" xr:uid="{00000000-0005-0000-0000-00000ED90000}"/>
    <cellStyle name="Normal 9 3 6 2 7" xfId="40350" xr:uid="{00000000-0005-0000-0000-00000FD90000}"/>
    <cellStyle name="Normal 9 3 6 2 8" xfId="40351" xr:uid="{00000000-0005-0000-0000-000010D90000}"/>
    <cellStyle name="Normal 9 3 6 2 9" xfId="40352" xr:uid="{00000000-0005-0000-0000-000011D90000}"/>
    <cellStyle name="Normal 9 3 6 3" xfId="40353" xr:uid="{00000000-0005-0000-0000-000012D90000}"/>
    <cellStyle name="Normal 9 3 6 3 2" xfId="40354" xr:uid="{00000000-0005-0000-0000-000013D90000}"/>
    <cellStyle name="Normal 9 3 6 3 2 2" xfId="40355" xr:uid="{00000000-0005-0000-0000-000014D90000}"/>
    <cellStyle name="Normal 9 3 6 3 2 2 2" xfId="61238" xr:uid="{00000000-0005-0000-0000-000015D90000}"/>
    <cellStyle name="Normal 9 3 6 3 2 2 3" xfId="61239" xr:uid="{00000000-0005-0000-0000-000016D90000}"/>
    <cellStyle name="Normal 9 3 6 3 2 3" xfId="40356" xr:uid="{00000000-0005-0000-0000-000017D90000}"/>
    <cellStyle name="Normal 9 3 6 3 2 3 2" xfId="61240" xr:uid="{00000000-0005-0000-0000-000018D90000}"/>
    <cellStyle name="Normal 9 3 6 3 2 4" xfId="40357" xr:uid="{00000000-0005-0000-0000-000019D90000}"/>
    <cellStyle name="Normal 9 3 6 3 2 5" xfId="40358" xr:uid="{00000000-0005-0000-0000-00001AD90000}"/>
    <cellStyle name="Normal 9 3 6 3 2 6" xfId="40359" xr:uid="{00000000-0005-0000-0000-00001BD90000}"/>
    <cellStyle name="Normal 9 3 6 3 3" xfId="40360" xr:uid="{00000000-0005-0000-0000-00001CD90000}"/>
    <cellStyle name="Normal 9 3 6 3 3 2" xfId="61241" xr:uid="{00000000-0005-0000-0000-00001DD90000}"/>
    <cellStyle name="Normal 9 3 6 3 3 3" xfId="61242" xr:uid="{00000000-0005-0000-0000-00001ED90000}"/>
    <cellStyle name="Normal 9 3 6 3 4" xfId="40361" xr:uid="{00000000-0005-0000-0000-00001FD90000}"/>
    <cellStyle name="Normal 9 3 6 3 4 2" xfId="61243" xr:uid="{00000000-0005-0000-0000-000020D90000}"/>
    <cellStyle name="Normal 9 3 6 3 5" xfId="40362" xr:uid="{00000000-0005-0000-0000-000021D90000}"/>
    <cellStyle name="Normal 9 3 6 3 6" xfId="40363" xr:uid="{00000000-0005-0000-0000-000022D90000}"/>
    <cellStyle name="Normal 9 3 6 3 7" xfId="40364" xr:uid="{00000000-0005-0000-0000-000023D90000}"/>
    <cellStyle name="Normal 9 3 6 4" xfId="40365" xr:uid="{00000000-0005-0000-0000-000024D90000}"/>
    <cellStyle name="Normal 9 3 6 4 2" xfId="40366" xr:uid="{00000000-0005-0000-0000-000025D90000}"/>
    <cellStyle name="Normal 9 3 6 4 2 2" xfId="61244" xr:uid="{00000000-0005-0000-0000-000026D90000}"/>
    <cellStyle name="Normal 9 3 6 4 2 3" xfId="61245" xr:uid="{00000000-0005-0000-0000-000027D90000}"/>
    <cellStyle name="Normal 9 3 6 4 3" xfId="40367" xr:uid="{00000000-0005-0000-0000-000028D90000}"/>
    <cellStyle name="Normal 9 3 6 4 3 2" xfId="61246" xr:uid="{00000000-0005-0000-0000-000029D90000}"/>
    <cellStyle name="Normal 9 3 6 4 4" xfId="40368" xr:uid="{00000000-0005-0000-0000-00002AD90000}"/>
    <cellStyle name="Normal 9 3 6 4 5" xfId="40369" xr:uid="{00000000-0005-0000-0000-00002BD90000}"/>
    <cellStyle name="Normal 9 3 6 4 6" xfId="40370" xr:uid="{00000000-0005-0000-0000-00002CD90000}"/>
    <cellStyle name="Normal 9 3 6 5" xfId="40371" xr:uid="{00000000-0005-0000-0000-00002DD90000}"/>
    <cellStyle name="Normal 9 3 6 5 2" xfId="61247" xr:uid="{00000000-0005-0000-0000-00002ED90000}"/>
    <cellStyle name="Normal 9 3 6 5 3" xfId="61248" xr:uid="{00000000-0005-0000-0000-00002FD90000}"/>
    <cellStyle name="Normal 9 3 6 6" xfId="40372" xr:uid="{00000000-0005-0000-0000-000030D90000}"/>
    <cellStyle name="Normal 9 3 6 6 2" xfId="61249" xr:uid="{00000000-0005-0000-0000-000031D90000}"/>
    <cellStyle name="Normal 9 3 6 7" xfId="40373" xr:uid="{00000000-0005-0000-0000-000032D90000}"/>
    <cellStyle name="Normal 9 3 6 8" xfId="40374" xr:uid="{00000000-0005-0000-0000-000033D90000}"/>
    <cellStyle name="Normal 9 3 6 9" xfId="40375" xr:uid="{00000000-0005-0000-0000-000034D90000}"/>
    <cellStyle name="Normal 9 3 7" xfId="40376" xr:uid="{00000000-0005-0000-0000-000035D90000}"/>
    <cellStyle name="Normal 9 3 7 2" xfId="40377" xr:uid="{00000000-0005-0000-0000-000036D90000}"/>
    <cellStyle name="Normal 9 3 7 2 2" xfId="40378" xr:uid="{00000000-0005-0000-0000-000037D90000}"/>
    <cellStyle name="Normal 9 3 7 2 2 2" xfId="40379" xr:uid="{00000000-0005-0000-0000-000038D90000}"/>
    <cellStyle name="Normal 9 3 7 2 2 2 2" xfId="61250" xr:uid="{00000000-0005-0000-0000-000039D90000}"/>
    <cellStyle name="Normal 9 3 7 2 2 2 3" xfId="61251" xr:uid="{00000000-0005-0000-0000-00003AD90000}"/>
    <cellStyle name="Normal 9 3 7 2 2 3" xfId="40380" xr:uid="{00000000-0005-0000-0000-00003BD90000}"/>
    <cellStyle name="Normal 9 3 7 2 2 3 2" xfId="61252" xr:uid="{00000000-0005-0000-0000-00003CD90000}"/>
    <cellStyle name="Normal 9 3 7 2 2 4" xfId="40381" xr:uid="{00000000-0005-0000-0000-00003DD90000}"/>
    <cellStyle name="Normal 9 3 7 2 2 5" xfId="40382" xr:uid="{00000000-0005-0000-0000-00003ED90000}"/>
    <cellStyle name="Normal 9 3 7 2 2 6" xfId="40383" xr:uid="{00000000-0005-0000-0000-00003FD90000}"/>
    <cellStyle name="Normal 9 3 7 2 3" xfId="40384" xr:uid="{00000000-0005-0000-0000-000040D90000}"/>
    <cellStyle name="Normal 9 3 7 2 3 2" xfId="61253" xr:uid="{00000000-0005-0000-0000-000041D90000}"/>
    <cellStyle name="Normal 9 3 7 2 3 3" xfId="61254" xr:uid="{00000000-0005-0000-0000-000042D90000}"/>
    <cellStyle name="Normal 9 3 7 2 4" xfId="40385" xr:uid="{00000000-0005-0000-0000-000043D90000}"/>
    <cellStyle name="Normal 9 3 7 2 4 2" xfId="61255" xr:uid="{00000000-0005-0000-0000-000044D90000}"/>
    <cellStyle name="Normal 9 3 7 2 5" xfId="40386" xr:uid="{00000000-0005-0000-0000-000045D90000}"/>
    <cellStyle name="Normal 9 3 7 2 6" xfId="40387" xr:uid="{00000000-0005-0000-0000-000046D90000}"/>
    <cellStyle name="Normal 9 3 7 2 7" xfId="40388" xr:uid="{00000000-0005-0000-0000-000047D90000}"/>
    <cellStyle name="Normal 9 3 7 3" xfId="40389" xr:uid="{00000000-0005-0000-0000-000048D90000}"/>
    <cellStyle name="Normal 9 3 7 3 2" xfId="40390" xr:uid="{00000000-0005-0000-0000-000049D90000}"/>
    <cellStyle name="Normal 9 3 7 3 2 2" xfId="61256" xr:uid="{00000000-0005-0000-0000-00004AD90000}"/>
    <cellStyle name="Normal 9 3 7 3 2 3" xfId="61257" xr:uid="{00000000-0005-0000-0000-00004BD90000}"/>
    <cellStyle name="Normal 9 3 7 3 3" xfId="40391" xr:uid="{00000000-0005-0000-0000-00004CD90000}"/>
    <cellStyle name="Normal 9 3 7 3 3 2" xfId="61258" xr:uid="{00000000-0005-0000-0000-00004DD90000}"/>
    <cellStyle name="Normal 9 3 7 3 4" xfId="40392" xr:uid="{00000000-0005-0000-0000-00004ED90000}"/>
    <cellStyle name="Normal 9 3 7 3 5" xfId="40393" xr:uid="{00000000-0005-0000-0000-00004FD90000}"/>
    <cellStyle name="Normal 9 3 7 3 6" xfId="40394" xr:uid="{00000000-0005-0000-0000-000050D90000}"/>
    <cellStyle name="Normal 9 3 7 4" xfId="40395" xr:uid="{00000000-0005-0000-0000-000051D90000}"/>
    <cellStyle name="Normal 9 3 7 4 2" xfId="61259" xr:uid="{00000000-0005-0000-0000-000052D90000}"/>
    <cellStyle name="Normal 9 3 7 4 3" xfId="61260" xr:uid="{00000000-0005-0000-0000-000053D90000}"/>
    <cellStyle name="Normal 9 3 7 5" xfId="40396" xr:uid="{00000000-0005-0000-0000-000054D90000}"/>
    <cellStyle name="Normal 9 3 7 5 2" xfId="61261" xr:uid="{00000000-0005-0000-0000-000055D90000}"/>
    <cellStyle name="Normal 9 3 7 6" xfId="40397" xr:uid="{00000000-0005-0000-0000-000056D90000}"/>
    <cellStyle name="Normal 9 3 7 7" xfId="40398" xr:uid="{00000000-0005-0000-0000-000057D90000}"/>
    <cellStyle name="Normal 9 3 7 8" xfId="40399" xr:uid="{00000000-0005-0000-0000-000058D90000}"/>
    <cellStyle name="Normal 9 3 7 9" xfId="40400" xr:uid="{00000000-0005-0000-0000-000059D90000}"/>
    <cellStyle name="Normal 9 3 8" xfId="40401" xr:uid="{00000000-0005-0000-0000-00005AD90000}"/>
    <cellStyle name="Normal 9 3 8 2" xfId="40402" xr:uid="{00000000-0005-0000-0000-00005BD90000}"/>
    <cellStyle name="Normal 9 3 8 2 2" xfId="40403" xr:uid="{00000000-0005-0000-0000-00005CD90000}"/>
    <cellStyle name="Normal 9 3 8 2 2 2" xfId="40404" xr:uid="{00000000-0005-0000-0000-00005DD90000}"/>
    <cellStyle name="Normal 9 3 8 2 2 2 2" xfId="61262" xr:uid="{00000000-0005-0000-0000-00005ED90000}"/>
    <cellStyle name="Normal 9 3 8 2 2 2 3" xfId="61263" xr:uid="{00000000-0005-0000-0000-00005FD90000}"/>
    <cellStyle name="Normal 9 3 8 2 2 3" xfId="40405" xr:uid="{00000000-0005-0000-0000-000060D90000}"/>
    <cellStyle name="Normal 9 3 8 2 2 3 2" xfId="61264" xr:uid="{00000000-0005-0000-0000-000061D90000}"/>
    <cellStyle name="Normal 9 3 8 2 2 4" xfId="40406" xr:uid="{00000000-0005-0000-0000-000062D90000}"/>
    <cellStyle name="Normal 9 3 8 2 2 5" xfId="40407" xr:uid="{00000000-0005-0000-0000-000063D90000}"/>
    <cellStyle name="Normal 9 3 8 2 2 6" xfId="40408" xr:uid="{00000000-0005-0000-0000-000064D90000}"/>
    <cellStyle name="Normal 9 3 8 2 3" xfId="40409" xr:uid="{00000000-0005-0000-0000-000065D90000}"/>
    <cellStyle name="Normal 9 3 8 2 3 2" xfId="61265" xr:uid="{00000000-0005-0000-0000-000066D90000}"/>
    <cellStyle name="Normal 9 3 8 2 3 3" xfId="61266" xr:uid="{00000000-0005-0000-0000-000067D90000}"/>
    <cellStyle name="Normal 9 3 8 2 4" xfId="40410" xr:uid="{00000000-0005-0000-0000-000068D90000}"/>
    <cellStyle name="Normal 9 3 8 2 4 2" xfId="61267" xr:uid="{00000000-0005-0000-0000-000069D90000}"/>
    <cellStyle name="Normal 9 3 8 2 5" xfId="40411" xr:uid="{00000000-0005-0000-0000-00006AD90000}"/>
    <cellStyle name="Normal 9 3 8 2 6" xfId="40412" xr:uid="{00000000-0005-0000-0000-00006BD90000}"/>
    <cellStyle name="Normal 9 3 8 2 7" xfId="40413" xr:uid="{00000000-0005-0000-0000-00006CD90000}"/>
    <cellStyle name="Normal 9 3 8 3" xfId="40414" xr:uid="{00000000-0005-0000-0000-00006DD90000}"/>
    <cellStyle name="Normal 9 3 8 3 2" xfId="40415" xr:uid="{00000000-0005-0000-0000-00006ED90000}"/>
    <cellStyle name="Normal 9 3 8 3 2 2" xfId="61268" xr:uid="{00000000-0005-0000-0000-00006FD90000}"/>
    <cellStyle name="Normal 9 3 8 3 2 3" xfId="61269" xr:uid="{00000000-0005-0000-0000-000070D90000}"/>
    <cellStyle name="Normal 9 3 8 3 3" xfId="40416" xr:uid="{00000000-0005-0000-0000-000071D90000}"/>
    <cellStyle name="Normal 9 3 8 3 3 2" xfId="61270" xr:uid="{00000000-0005-0000-0000-000072D90000}"/>
    <cellStyle name="Normal 9 3 8 3 4" xfId="40417" xr:uid="{00000000-0005-0000-0000-000073D90000}"/>
    <cellStyle name="Normal 9 3 8 3 5" xfId="40418" xr:uid="{00000000-0005-0000-0000-000074D90000}"/>
    <cellStyle name="Normal 9 3 8 3 6" xfId="40419" xr:uid="{00000000-0005-0000-0000-000075D90000}"/>
    <cellStyle name="Normal 9 3 8 4" xfId="40420" xr:uid="{00000000-0005-0000-0000-000076D90000}"/>
    <cellStyle name="Normal 9 3 8 4 2" xfId="61271" xr:uid="{00000000-0005-0000-0000-000077D90000}"/>
    <cellStyle name="Normal 9 3 8 4 3" xfId="61272" xr:uid="{00000000-0005-0000-0000-000078D90000}"/>
    <cellStyle name="Normal 9 3 8 5" xfId="40421" xr:uid="{00000000-0005-0000-0000-000079D90000}"/>
    <cellStyle name="Normal 9 3 8 5 2" xfId="61273" xr:uid="{00000000-0005-0000-0000-00007AD90000}"/>
    <cellStyle name="Normal 9 3 8 6" xfId="40422" xr:uid="{00000000-0005-0000-0000-00007BD90000}"/>
    <cellStyle name="Normal 9 3 8 7" xfId="40423" xr:uid="{00000000-0005-0000-0000-00007CD90000}"/>
    <cellStyle name="Normal 9 3 8 8" xfId="40424" xr:uid="{00000000-0005-0000-0000-00007DD90000}"/>
    <cellStyle name="Normal 9 3 9" xfId="40425" xr:uid="{00000000-0005-0000-0000-00007ED90000}"/>
    <cellStyle name="Normal 9 3 9 2" xfId="40426" xr:uid="{00000000-0005-0000-0000-00007FD90000}"/>
    <cellStyle name="Normal 9 3 9 2 2" xfId="40427" xr:uid="{00000000-0005-0000-0000-000080D90000}"/>
    <cellStyle name="Normal 9 3 9 2 2 2" xfId="40428" xr:uid="{00000000-0005-0000-0000-000081D90000}"/>
    <cellStyle name="Normal 9 3 9 2 2 2 2" xfId="61274" xr:uid="{00000000-0005-0000-0000-000082D90000}"/>
    <cellStyle name="Normal 9 3 9 2 2 2 3" xfId="61275" xr:uid="{00000000-0005-0000-0000-000083D90000}"/>
    <cellStyle name="Normal 9 3 9 2 2 3" xfId="40429" xr:uid="{00000000-0005-0000-0000-000084D90000}"/>
    <cellStyle name="Normal 9 3 9 2 2 3 2" xfId="61276" xr:uid="{00000000-0005-0000-0000-000085D90000}"/>
    <cellStyle name="Normal 9 3 9 2 2 4" xfId="40430" xr:uid="{00000000-0005-0000-0000-000086D90000}"/>
    <cellStyle name="Normal 9 3 9 2 2 5" xfId="40431" xr:uid="{00000000-0005-0000-0000-000087D90000}"/>
    <cellStyle name="Normal 9 3 9 2 2 6" xfId="40432" xr:uid="{00000000-0005-0000-0000-000088D90000}"/>
    <cellStyle name="Normal 9 3 9 2 3" xfId="40433" xr:uid="{00000000-0005-0000-0000-000089D90000}"/>
    <cellStyle name="Normal 9 3 9 2 3 2" xfId="61277" xr:uid="{00000000-0005-0000-0000-00008AD90000}"/>
    <cellStyle name="Normal 9 3 9 2 3 3" xfId="61278" xr:uid="{00000000-0005-0000-0000-00008BD90000}"/>
    <cellStyle name="Normal 9 3 9 2 4" xfId="40434" xr:uid="{00000000-0005-0000-0000-00008CD90000}"/>
    <cellStyle name="Normal 9 3 9 2 4 2" xfId="61279" xr:uid="{00000000-0005-0000-0000-00008DD90000}"/>
    <cellStyle name="Normal 9 3 9 2 5" xfId="40435" xr:uid="{00000000-0005-0000-0000-00008ED90000}"/>
    <cellStyle name="Normal 9 3 9 2 6" xfId="40436" xr:uid="{00000000-0005-0000-0000-00008FD90000}"/>
    <cellStyle name="Normal 9 3 9 2 7" xfId="40437" xr:uid="{00000000-0005-0000-0000-000090D90000}"/>
    <cellStyle name="Normal 9 3 9 3" xfId="40438" xr:uid="{00000000-0005-0000-0000-000091D90000}"/>
    <cellStyle name="Normal 9 3 9 3 2" xfId="40439" xr:uid="{00000000-0005-0000-0000-000092D90000}"/>
    <cellStyle name="Normal 9 3 9 3 2 2" xfId="61280" xr:uid="{00000000-0005-0000-0000-000093D90000}"/>
    <cellStyle name="Normal 9 3 9 3 2 3" xfId="61281" xr:uid="{00000000-0005-0000-0000-000094D90000}"/>
    <cellStyle name="Normal 9 3 9 3 3" xfId="40440" xr:uid="{00000000-0005-0000-0000-000095D90000}"/>
    <cellStyle name="Normal 9 3 9 3 3 2" xfId="61282" xr:uid="{00000000-0005-0000-0000-000096D90000}"/>
    <cellStyle name="Normal 9 3 9 3 4" xfId="40441" xr:uid="{00000000-0005-0000-0000-000097D90000}"/>
    <cellStyle name="Normal 9 3 9 3 5" xfId="40442" xr:uid="{00000000-0005-0000-0000-000098D90000}"/>
    <cellStyle name="Normal 9 3 9 3 6" xfId="40443" xr:uid="{00000000-0005-0000-0000-000099D90000}"/>
    <cellStyle name="Normal 9 3 9 4" xfId="40444" xr:uid="{00000000-0005-0000-0000-00009AD90000}"/>
    <cellStyle name="Normal 9 3 9 4 2" xfId="61283" xr:uid="{00000000-0005-0000-0000-00009BD90000}"/>
    <cellStyle name="Normal 9 3 9 4 3" xfId="61284" xr:uid="{00000000-0005-0000-0000-00009CD90000}"/>
    <cellStyle name="Normal 9 3 9 5" xfId="40445" xr:uid="{00000000-0005-0000-0000-00009DD90000}"/>
    <cellStyle name="Normal 9 3 9 5 2" xfId="61285" xr:uid="{00000000-0005-0000-0000-00009ED90000}"/>
    <cellStyle name="Normal 9 3 9 6" xfId="40446" xr:uid="{00000000-0005-0000-0000-00009FD90000}"/>
    <cellStyle name="Normal 9 3 9 7" xfId="40447" xr:uid="{00000000-0005-0000-0000-0000A0D90000}"/>
    <cellStyle name="Normal 9 3 9 8" xfId="40448" xr:uid="{00000000-0005-0000-0000-0000A1D90000}"/>
    <cellStyle name="Normal 9 4" xfId="40449" xr:uid="{00000000-0005-0000-0000-0000A2D90000}"/>
    <cellStyle name="Normal 9 4 10" xfId="40450" xr:uid="{00000000-0005-0000-0000-0000A3D90000}"/>
    <cellStyle name="Normal 9 4 11" xfId="40451" xr:uid="{00000000-0005-0000-0000-0000A4D90000}"/>
    <cellStyle name="Normal 9 4 12" xfId="40452" xr:uid="{00000000-0005-0000-0000-0000A5D90000}"/>
    <cellStyle name="Normal 9 4 13" xfId="40453" xr:uid="{00000000-0005-0000-0000-0000A6D90000}"/>
    <cellStyle name="Normal 9 4 14" xfId="40454" xr:uid="{00000000-0005-0000-0000-0000A7D90000}"/>
    <cellStyle name="Normal 9 4 15" xfId="40455" xr:uid="{00000000-0005-0000-0000-0000A8D90000}"/>
    <cellStyle name="Normal 9 4 16" xfId="40456" xr:uid="{00000000-0005-0000-0000-0000A9D90000}"/>
    <cellStyle name="Normal 9 4 2" xfId="40457" xr:uid="{00000000-0005-0000-0000-0000AAD90000}"/>
    <cellStyle name="Normal 9 4 2 10" xfId="40458" xr:uid="{00000000-0005-0000-0000-0000ABD90000}"/>
    <cellStyle name="Normal 9 4 2 11" xfId="40459" xr:uid="{00000000-0005-0000-0000-0000ACD90000}"/>
    <cellStyle name="Normal 9 4 2 12" xfId="40460" xr:uid="{00000000-0005-0000-0000-0000ADD90000}"/>
    <cellStyle name="Normal 9 4 2 13" xfId="40461" xr:uid="{00000000-0005-0000-0000-0000AED90000}"/>
    <cellStyle name="Normal 9 4 2 14" xfId="40462" xr:uid="{00000000-0005-0000-0000-0000AFD90000}"/>
    <cellStyle name="Normal 9 4 2 2" xfId="40463" xr:uid="{00000000-0005-0000-0000-0000B0D90000}"/>
    <cellStyle name="Normal 9 4 2 2 2" xfId="40464" xr:uid="{00000000-0005-0000-0000-0000B1D90000}"/>
    <cellStyle name="Normal 9 4 2 2 2 2" xfId="40465" xr:uid="{00000000-0005-0000-0000-0000B2D90000}"/>
    <cellStyle name="Normal 9 4 2 2 2 2 2" xfId="40466" xr:uid="{00000000-0005-0000-0000-0000B3D90000}"/>
    <cellStyle name="Normal 9 4 2 2 2 2 2 2" xfId="61286" xr:uid="{00000000-0005-0000-0000-0000B4D90000}"/>
    <cellStyle name="Normal 9 4 2 2 2 2 2 3" xfId="61287" xr:uid="{00000000-0005-0000-0000-0000B5D90000}"/>
    <cellStyle name="Normal 9 4 2 2 2 2 3" xfId="40467" xr:uid="{00000000-0005-0000-0000-0000B6D90000}"/>
    <cellStyle name="Normal 9 4 2 2 2 2 3 2" xfId="61288" xr:uid="{00000000-0005-0000-0000-0000B7D90000}"/>
    <cellStyle name="Normal 9 4 2 2 2 2 4" xfId="40468" xr:uid="{00000000-0005-0000-0000-0000B8D90000}"/>
    <cellStyle name="Normal 9 4 2 2 2 2 5" xfId="40469" xr:uid="{00000000-0005-0000-0000-0000B9D90000}"/>
    <cellStyle name="Normal 9 4 2 2 2 2 6" xfId="40470" xr:uid="{00000000-0005-0000-0000-0000BAD90000}"/>
    <cellStyle name="Normal 9 4 2 2 2 3" xfId="40471" xr:uid="{00000000-0005-0000-0000-0000BBD90000}"/>
    <cellStyle name="Normal 9 4 2 2 2 3 2" xfId="61289" xr:uid="{00000000-0005-0000-0000-0000BCD90000}"/>
    <cellStyle name="Normal 9 4 2 2 2 3 3" xfId="61290" xr:uid="{00000000-0005-0000-0000-0000BDD90000}"/>
    <cellStyle name="Normal 9 4 2 2 2 4" xfId="40472" xr:uid="{00000000-0005-0000-0000-0000BED90000}"/>
    <cellStyle name="Normal 9 4 2 2 2 4 2" xfId="61291" xr:uid="{00000000-0005-0000-0000-0000BFD90000}"/>
    <cellStyle name="Normal 9 4 2 2 2 5" xfId="40473" xr:uid="{00000000-0005-0000-0000-0000C0D90000}"/>
    <cellStyle name="Normal 9 4 2 2 2 6" xfId="40474" xr:uid="{00000000-0005-0000-0000-0000C1D90000}"/>
    <cellStyle name="Normal 9 4 2 2 2 7" xfId="40475" xr:uid="{00000000-0005-0000-0000-0000C2D90000}"/>
    <cellStyle name="Normal 9 4 2 2 3" xfId="40476" xr:uid="{00000000-0005-0000-0000-0000C3D90000}"/>
    <cellStyle name="Normal 9 4 2 2 3 2" xfId="40477" xr:uid="{00000000-0005-0000-0000-0000C4D90000}"/>
    <cellStyle name="Normal 9 4 2 2 3 2 2" xfId="61292" xr:uid="{00000000-0005-0000-0000-0000C5D90000}"/>
    <cellStyle name="Normal 9 4 2 2 3 2 3" xfId="61293" xr:uid="{00000000-0005-0000-0000-0000C6D90000}"/>
    <cellStyle name="Normal 9 4 2 2 3 3" xfId="40478" xr:uid="{00000000-0005-0000-0000-0000C7D90000}"/>
    <cellStyle name="Normal 9 4 2 2 3 3 2" xfId="61294" xr:uid="{00000000-0005-0000-0000-0000C8D90000}"/>
    <cellStyle name="Normal 9 4 2 2 3 4" xfId="40479" xr:uid="{00000000-0005-0000-0000-0000C9D90000}"/>
    <cellStyle name="Normal 9 4 2 2 3 5" xfId="40480" xr:uid="{00000000-0005-0000-0000-0000CAD90000}"/>
    <cellStyle name="Normal 9 4 2 2 3 6" xfId="40481" xr:uid="{00000000-0005-0000-0000-0000CBD90000}"/>
    <cellStyle name="Normal 9 4 2 2 4" xfId="40482" xr:uid="{00000000-0005-0000-0000-0000CCD90000}"/>
    <cellStyle name="Normal 9 4 2 2 4 2" xfId="61295" xr:uid="{00000000-0005-0000-0000-0000CDD90000}"/>
    <cellStyle name="Normal 9 4 2 2 4 3" xfId="61296" xr:uid="{00000000-0005-0000-0000-0000CED90000}"/>
    <cellStyle name="Normal 9 4 2 2 5" xfId="40483" xr:uid="{00000000-0005-0000-0000-0000CFD90000}"/>
    <cellStyle name="Normal 9 4 2 2 5 2" xfId="61297" xr:uid="{00000000-0005-0000-0000-0000D0D90000}"/>
    <cellStyle name="Normal 9 4 2 2 6" xfId="40484" xr:uid="{00000000-0005-0000-0000-0000D1D90000}"/>
    <cellStyle name="Normal 9 4 2 2 7" xfId="40485" xr:uid="{00000000-0005-0000-0000-0000D2D90000}"/>
    <cellStyle name="Normal 9 4 2 2 8" xfId="40486" xr:uid="{00000000-0005-0000-0000-0000D3D90000}"/>
    <cellStyle name="Normal 9 4 2 2 9" xfId="40487" xr:uid="{00000000-0005-0000-0000-0000D4D90000}"/>
    <cellStyle name="Normal 9 4 2 3" xfId="40488" xr:uid="{00000000-0005-0000-0000-0000D5D90000}"/>
    <cellStyle name="Normal 9 4 2 3 2" xfId="40489" xr:uid="{00000000-0005-0000-0000-0000D6D90000}"/>
    <cellStyle name="Normal 9 4 2 3 2 2" xfId="40490" xr:uid="{00000000-0005-0000-0000-0000D7D90000}"/>
    <cellStyle name="Normal 9 4 2 3 2 2 2" xfId="40491" xr:uid="{00000000-0005-0000-0000-0000D8D90000}"/>
    <cellStyle name="Normal 9 4 2 3 2 2 2 2" xfId="61298" xr:uid="{00000000-0005-0000-0000-0000D9D90000}"/>
    <cellStyle name="Normal 9 4 2 3 2 2 2 3" xfId="61299" xr:uid="{00000000-0005-0000-0000-0000DAD90000}"/>
    <cellStyle name="Normal 9 4 2 3 2 2 3" xfId="40492" xr:uid="{00000000-0005-0000-0000-0000DBD90000}"/>
    <cellStyle name="Normal 9 4 2 3 2 2 3 2" xfId="61300" xr:uid="{00000000-0005-0000-0000-0000DCD90000}"/>
    <cellStyle name="Normal 9 4 2 3 2 2 4" xfId="40493" xr:uid="{00000000-0005-0000-0000-0000DDD90000}"/>
    <cellStyle name="Normal 9 4 2 3 2 2 5" xfId="40494" xr:uid="{00000000-0005-0000-0000-0000DED90000}"/>
    <cellStyle name="Normal 9 4 2 3 2 2 6" xfId="40495" xr:uid="{00000000-0005-0000-0000-0000DFD90000}"/>
    <cellStyle name="Normal 9 4 2 3 2 3" xfId="40496" xr:uid="{00000000-0005-0000-0000-0000E0D90000}"/>
    <cellStyle name="Normal 9 4 2 3 2 3 2" xfId="61301" xr:uid="{00000000-0005-0000-0000-0000E1D90000}"/>
    <cellStyle name="Normal 9 4 2 3 2 3 3" xfId="61302" xr:uid="{00000000-0005-0000-0000-0000E2D90000}"/>
    <cellStyle name="Normal 9 4 2 3 2 4" xfId="40497" xr:uid="{00000000-0005-0000-0000-0000E3D90000}"/>
    <cellStyle name="Normal 9 4 2 3 2 4 2" xfId="61303" xr:uid="{00000000-0005-0000-0000-0000E4D90000}"/>
    <cellStyle name="Normal 9 4 2 3 2 5" xfId="40498" xr:uid="{00000000-0005-0000-0000-0000E5D90000}"/>
    <cellStyle name="Normal 9 4 2 3 2 6" xfId="40499" xr:uid="{00000000-0005-0000-0000-0000E6D90000}"/>
    <cellStyle name="Normal 9 4 2 3 2 7" xfId="40500" xr:uid="{00000000-0005-0000-0000-0000E7D90000}"/>
    <cellStyle name="Normal 9 4 2 3 3" xfId="40501" xr:uid="{00000000-0005-0000-0000-0000E8D90000}"/>
    <cellStyle name="Normal 9 4 2 3 3 2" xfId="40502" xr:uid="{00000000-0005-0000-0000-0000E9D90000}"/>
    <cellStyle name="Normal 9 4 2 3 3 2 2" xfId="61304" xr:uid="{00000000-0005-0000-0000-0000EAD90000}"/>
    <cellStyle name="Normal 9 4 2 3 3 2 3" xfId="61305" xr:uid="{00000000-0005-0000-0000-0000EBD90000}"/>
    <cellStyle name="Normal 9 4 2 3 3 3" xfId="40503" xr:uid="{00000000-0005-0000-0000-0000ECD90000}"/>
    <cellStyle name="Normal 9 4 2 3 3 3 2" xfId="61306" xr:uid="{00000000-0005-0000-0000-0000EDD90000}"/>
    <cellStyle name="Normal 9 4 2 3 3 4" xfId="40504" xr:uid="{00000000-0005-0000-0000-0000EED90000}"/>
    <cellStyle name="Normal 9 4 2 3 3 5" xfId="40505" xr:uid="{00000000-0005-0000-0000-0000EFD90000}"/>
    <cellStyle name="Normal 9 4 2 3 3 6" xfId="40506" xr:uid="{00000000-0005-0000-0000-0000F0D90000}"/>
    <cellStyle name="Normal 9 4 2 3 4" xfId="40507" xr:uid="{00000000-0005-0000-0000-0000F1D90000}"/>
    <cellStyle name="Normal 9 4 2 3 4 2" xfId="61307" xr:uid="{00000000-0005-0000-0000-0000F2D90000}"/>
    <cellStyle name="Normal 9 4 2 3 4 3" xfId="61308" xr:uid="{00000000-0005-0000-0000-0000F3D90000}"/>
    <cellStyle name="Normal 9 4 2 3 5" xfId="40508" xr:uid="{00000000-0005-0000-0000-0000F4D90000}"/>
    <cellStyle name="Normal 9 4 2 3 5 2" xfId="61309" xr:uid="{00000000-0005-0000-0000-0000F5D90000}"/>
    <cellStyle name="Normal 9 4 2 3 6" xfId="40509" xr:uid="{00000000-0005-0000-0000-0000F6D90000}"/>
    <cellStyle name="Normal 9 4 2 3 7" xfId="40510" xr:uid="{00000000-0005-0000-0000-0000F7D90000}"/>
    <cellStyle name="Normal 9 4 2 3 8" xfId="40511" xr:uid="{00000000-0005-0000-0000-0000F8D90000}"/>
    <cellStyle name="Normal 9 4 2 4" xfId="40512" xr:uid="{00000000-0005-0000-0000-0000F9D90000}"/>
    <cellStyle name="Normal 9 4 2 4 2" xfId="40513" xr:uid="{00000000-0005-0000-0000-0000FAD90000}"/>
    <cellStyle name="Normal 9 4 2 4 2 2" xfId="40514" xr:uid="{00000000-0005-0000-0000-0000FBD90000}"/>
    <cellStyle name="Normal 9 4 2 4 2 2 2" xfId="61310" xr:uid="{00000000-0005-0000-0000-0000FCD90000}"/>
    <cellStyle name="Normal 9 4 2 4 2 2 3" xfId="61311" xr:uid="{00000000-0005-0000-0000-0000FDD90000}"/>
    <cellStyle name="Normal 9 4 2 4 2 3" xfId="40515" xr:uid="{00000000-0005-0000-0000-0000FED90000}"/>
    <cellStyle name="Normal 9 4 2 4 2 3 2" xfId="61312" xr:uid="{00000000-0005-0000-0000-0000FFD90000}"/>
    <cellStyle name="Normal 9 4 2 4 2 4" xfId="40516" xr:uid="{00000000-0005-0000-0000-000000DA0000}"/>
    <cellStyle name="Normal 9 4 2 4 2 5" xfId="40517" xr:uid="{00000000-0005-0000-0000-000001DA0000}"/>
    <cellStyle name="Normal 9 4 2 4 2 6" xfId="40518" xr:uid="{00000000-0005-0000-0000-000002DA0000}"/>
    <cellStyle name="Normal 9 4 2 4 3" xfId="40519" xr:uid="{00000000-0005-0000-0000-000003DA0000}"/>
    <cellStyle name="Normal 9 4 2 4 3 2" xfId="61313" xr:uid="{00000000-0005-0000-0000-000004DA0000}"/>
    <cellStyle name="Normal 9 4 2 4 3 3" xfId="61314" xr:uid="{00000000-0005-0000-0000-000005DA0000}"/>
    <cellStyle name="Normal 9 4 2 4 4" xfId="40520" xr:uid="{00000000-0005-0000-0000-000006DA0000}"/>
    <cellStyle name="Normal 9 4 2 4 4 2" xfId="61315" xr:uid="{00000000-0005-0000-0000-000007DA0000}"/>
    <cellStyle name="Normal 9 4 2 4 5" xfId="40521" xr:uid="{00000000-0005-0000-0000-000008DA0000}"/>
    <cellStyle name="Normal 9 4 2 4 6" xfId="40522" xr:uid="{00000000-0005-0000-0000-000009DA0000}"/>
    <cellStyle name="Normal 9 4 2 4 7" xfId="40523" xr:uid="{00000000-0005-0000-0000-00000ADA0000}"/>
    <cellStyle name="Normal 9 4 2 5" xfId="40524" xr:uid="{00000000-0005-0000-0000-00000BDA0000}"/>
    <cellStyle name="Normal 9 4 2 5 2" xfId="40525" xr:uid="{00000000-0005-0000-0000-00000CDA0000}"/>
    <cellStyle name="Normal 9 4 2 5 2 2" xfId="61316" xr:uid="{00000000-0005-0000-0000-00000DDA0000}"/>
    <cellStyle name="Normal 9 4 2 5 2 3" xfId="61317" xr:uid="{00000000-0005-0000-0000-00000EDA0000}"/>
    <cellStyle name="Normal 9 4 2 5 3" xfId="40526" xr:uid="{00000000-0005-0000-0000-00000FDA0000}"/>
    <cellStyle name="Normal 9 4 2 5 3 2" xfId="61318" xr:uid="{00000000-0005-0000-0000-000010DA0000}"/>
    <cellStyle name="Normal 9 4 2 5 4" xfId="40527" xr:uid="{00000000-0005-0000-0000-000011DA0000}"/>
    <cellStyle name="Normal 9 4 2 5 5" xfId="40528" xr:uid="{00000000-0005-0000-0000-000012DA0000}"/>
    <cellStyle name="Normal 9 4 2 5 6" xfId="40529" xr:uid="{00000000-0005-0000-0000-000013DA0000}"/>
    <cellStyle name="Normal 9 4 2 6" xfId="40530" xr:uid="{00000000-0005-0000-0000-000014DA0000}"/>
    <cellStyle name="Normal 9 4 2 6 2" xfId="61319" xr:uid="{00000000-0005-0000-0000-000015DA0000}"/>
    <cellStyle name="Normal 9 4 2 6 3" xfId="61320" xr:uid="{00000000-0005-0000-0000-000016DA0000}"/>
    <cellStyle name="Normal 9 4 2 7" xfId="40531" xr:uid="{00000000-0005-0000-0000-000017DA0000}"/>
    <cellStyle name="Normal 9 4 2 7 2" xfId="61321" xr:uid="{00000000-0005-0000-0000-000018DA0000}"/>
    <cellStyle name="Normal 9 4 2 8" xfId="40532" xr:uid="{00000000-0005-0000-0000-000019DA0000}"/>
    <cellStyle name="Normal 9 4 2 8 2" xfId="61322" xr:uid="{00000000-0005-0000-0000-00001ADA0000}"/>
    <cellStyle name="Normal 9 4 2 9" xfId="40533" xr:uid="{00000000-0005-0000-0000-00001BDA0000}"/>
    <cellStyle name="Normal 9 4 3" xfId="40534" xr:uid="{00000000-0005-0000-0000-00001CDA0000}"/>
    <cellStyle name="Normal 9 4 3 2" xfId="40535" xr:uid="{00000000-0005-0000-0000-00001DDA0000}"/>
    <cellStyle name="Normal 9 4 3 2 2" xfId="40536" xr:uid="{00000000-0005-0000-0000-00001EDA0000}"/>
    <cellStyle name="Normal 9 4 3 2 2 2" xfId="40537" xr:uid="{00000000-0005-0000-0000-00001FDA0000}"/>
    <cellStyle name="Normal 9 4 3 2 2 2 2" xfId="61323" xr:uid="{00000000-0005-0000-0000-000020DA0000}"/>
    <cellStyle name="Normal 9 4 3 2 2 2 3" xfId="61324" xr:uid="{00000000-0005-0000-0000-000021DA0000}"/>
    <cellStyle name="Normal 9 4 3 2 2 3" xfId="40538" xr:uid="{00000000-0005-0000-0000-000022DA0000}"/>
    <cellStyle name="Normal 9 4 3 2 2 3 2" xfId="61325" xr:uid="{00000000-0005-0000-0000-000023DA0000}"/>
    <cellStyle name="Normal 9 4 3 2 2 4" xfId="40539" xr:uid="{00000000-0005-0000-0000-000024DA0000}"/>
    <cellStyle name="Normal 9 4 3 2 2 5" xfId="40540" xr:uid="{00000000-0005-0000-0000-000025DA0000}"/>
    <cellStyle name="Normal 9 4 3 2 2 6" xfId="40541" xr:uid="{00000000-0005-0000-0000-000026DA0000}"/>
    <cellStyle name="Normal 9 4 3 2 3" xfId="40542" xr:uid="{00000000-0005-0000-0000-000027DA0000}"/>
    <cellStyle name="Normal 9 4 3 2 3 2" xfId="61326" xr:uid="{00000000-0005-0000-0000-000028DA0000}"/>
    <cellStyle name="Normal 9 4 3 2 3 3" xfId="61327" xr:uid="{00000000-0005-0000-0000-000029DA0000}"/>
    <cellStyle name="Normal 9 4 3 2 4" xfId="40543" xr:uid="{00000000-0005-0000-0000-00002ADA0000}"/>
    <cellStyle name="Normal 9 4 3 2 4 2" xfId="61328" xr:uid="{00000000-0005-0000-0000-00002BDA0000}"/>
    <cellStyle name="Normal 9 4 3 2 5" xfId="40544" xr:uid="{00000000-0005-0000-0000-00002CDA0000}"/>
    <cellStyle name="Normal 9 4 3 2 6" xfId="40545" xr:uid="{00000000-0005-0000-0000-00002DDA0000}"/>
    <cellStyle name="Normal 9 4 3 2 7" xfId="40546" xr:uid="{00000000-0005-0000-0000-00002EDA0000}"/>
    <cellStyle name="Normal 9 4 3 3" xfId="40547" xr:uid="{00000000-0005-0000-0000-00002FDA0000}"/>
    <cellStyle name="Normal 9 4 3 3 2" xfId="40548" xr:uid="{00000000-0005-0000-0000-000030DA0000}"/>
    <cellStyle name="Normal 9 4 3 3 2 2" xfId="61329" xr:uid="{00000000-0005-0000-0000-000031DA0000}"/>
    <cellStyle name="Normal 9 4 3 3 2 3" xfId="61330" xr:uid="{00000000-0005-0000-0000-000032DA0000}"/>
    <cellStyle name="Normal 9 4 3 3 3" xfId="40549" xr:uid="{00000000-0005-0000-0000-000033DA0000}"/>
    <cellStyle name="Normal 9 4 3 3 3 2" xfId="61331" xr:uid="{00000000-0005-0000-0000-000034DA0000}"/>
    <cellStyle name="Normal 9 4 3 3 4" xfId="40550" xr:uid="{00000000-0005-0000-0000-000035DA0000}"/>
    <cellStyle name="Normal 9 4 3 3 5" xfId="40551" xr:uid="{00000000-0005-0000-0000-000036DA0000}"/>
    <cellStyle name="Normal 9 4 3 3 6" xfId="40552" xr:uid="{00000000-0005-0000-0000-000037DA0000}"/>
    <cellStyle name="Normal 9 4 3 4" xfId="40553" xr:uid="{00000000-0005-0000-0000-000038DA0000}"/>
    <cellStyle name="Normal 9 4 3 4 2" xfId="61332" xr:uid="{00000000-0005-0000-0000-000039DA0000}"/>
    <cellStyle name="Normal 9 4 3 4 3" xfId="61333" xr:uid="{00000000-0005-0000-0000-00003ADA0000}"/>
    <cellStyle name="Normal 9 4 3 5" xfId="40554" xr:uid="{00000000-0005-0000-0000-00003BDA0000}"/>
    <cellStyle name="Normal 9 4 3 5 2" xfId="61334" xr:uid="{00000000-0005-0000-0000-00003CDA0000}"/>
    <cellStyle name="Normal 9 4 3 6" xfId="40555" xr:uid="{00000000-0005-0000-0000-00003DDA0000}"/>
    <cellStyle name="Normal 9 4 3 7" xfId="40556" xr:uid="{00000000-0005-0000-0000-00003EDA0000}"/>
    <cellStyle name="Normal 9 4 3 8" xfId="40557" xr:uid="{00000000-0005-0000-0000-00003FDA0000}"/>
    <cellStyle name="Normal 9 4 3 9" xfId="40558" xr:uid="{00000000-0005-0000-0000-000040DA0000}"/>
    <cellStyle name="Normal 9 4 4" xfId="40559" xr:uid="{00000000-0005-0000-0000-000041DA0000}"/>
    <cellStyle name="Normal 9 4 4 2" xfId="40560" xr:uid="{00000000-0005-0000-0000-000042DA0000}"/>
    <cellStyle name="Normal 9 4 4 2 2" xfId="40561" xr:uid="{00000000-0005-0000-0000-000043DA0000}"/>
    <cellStyle name="Normal 9 4 4 2 2 2" xfId="40562" xr:uid="{00000000-0005-0000-0000-000044DA0000}"/>
    <cellStyle name="Normal 9 4 4 2 2 2 2" xfId="61335" xr:uid="{00000000-0005-0000-0000-000045DA0000}"/>
    <cellStyle name="Normal 9 4 4 2 2 2 3" xfId="61336" xr:uid="{00000000-0005-0000-0000-000046DA0000}"/>
    <cellStyle name="Normal 9 4 4 2 2 3" xfId="40563" xr:uid="{00000000-0005-0000-0000-000047DA0000}"/>
    <cellStyle name="Normal 9 4 4 2 2 3 2" xfId="61337" xr:uid="{00000000-0005-0000-0000-000048DA0000}"/>
    <cellStyle name="Normal 9 4 4 2 2 4" xfId="40564" xr:uid="{00000000-0005-0000-0000-000049DA0000}"/>
    <cellStyle name="Normal 9 4 4 2 2 5" xfId="40565" xr:uid="{00000000-0005-0000-0000-00004ADA0000}"/>
    <cellStyle name="Normal 9 4 4 2 2 6" xfId="40566" xr:uid="{00000000-0005-0000-0000-00004BDA0000}"/>
    <cellStyle name="Normal 9 4 4 2 3" xfId="40567" xr:uid="{00000000-0005-0000-0000-00004CDA0000}"/>
    <cellStyle name="Normal 9 4 4 2 3 2" xfId="61338" xr:uid="{00000000-0005-0000-0000-00004DDA0000}"/>
    <cellStyle name="Normal 9 4 4 2 3 3" xfId="61339" xr:uid="{00000000-0005-0000-0000-00004EDA0000}"/>
    <cellStyle name="Normal 9 4 4 2 4" xfId="40568" xr:uid="{00000000-0005-0000-0000-00004FDA0000}"/>
    <cellStyle name="Normal 9 4 4 2 4 2" xfId="61340" xr:uid="{00000000-0005-0000-0000-000050DA0000}"/>
    <cellStyle name="Normal 9 4 4 2 5" xfId="40569" xr:uid="{00000000-0005-0000-0000-000051DA0000}"/>
    <cellStyle name="Normal 9 4 4 2 6" xfId="40570" xr:uid="{00000000-0005-0000-0000-000052DA0000}"/>
    <cellStyle name="Normal 9 4 4 2 7" xfId="40571" xr:uid="{00000000-0005-0000-0000-000053DA0000}"/>
    <cellStyle name="Normal 9 4 4 3" xfId="40572" xr:uid="{00000000-0005-0000-0000-000054DA0000}"/>
    <cellStyle name="Normal 9 4 4 3 2" xfId="40573" xr:uid="{00000000-0005-0000-0000-000055DA0000}"/>
    <cellStyle name="Normal 9 4 4 3 2 2" xfId="61341" xr:uid="{00000000-0005-0000-0000-000056DA0000}"/>
    <cellStyle name="Normal 9 4 4 3 2 3" xfId="61342" xr:uid="{00000000-0005-0000-0000-000057DA0000}"/>
    <cellStyle name="Normal 9 4 4 3 3" xfId="40574" xr:uid="{00000000-0005-0000-0000-000058DA0000}"/>
    <cellStyle name="Normal 9 4 4 3 3 2" xfId="61343" xr:uid="{00000000-0005-0000-0000-000059DA0000}"/>
    <cellStyle name="Normal 9 4 4 3 4" xfId="40575" xr:uid="{00000000-0005-0000-0000-00005ADA0000}"/>
    <cellStyle name="Normal 9 4 4 3 5" xfId="40576" xr:uid="{00000000-0005-0000-0000-00005BDA0000}"/>
    <cellStyle name="Normal 9 4 4 3 6" xfId="40577" xr:uid="{00000000-0005-0000-0000-00005CDA0000}"/>
    <cellStyle name="Normal 9 4 4 4" xfId="40578" xr:uid="{00000000-0005-0000-0000-00005DDA0000}"/>
    <cellStyle name="Normal 9 4 4 4 2" xfId="61344" xr:uid="{00000000-0005-0000-0000-00005EDA0000}"/>
    <cellStyle name="Normal 9 4 4 4 3" xfId="61345" xr:uid="{00000000-0005-0000-0000-00005FDA0000}"/>
    <cellStyle name="Normal 9 4 4 5" xfId="40579" xr:uid="{00000000-0005-0000-0000-000060DA0000}"/>
    <cellStyle name="Normal 9 4 4 5 2" xfId="61346" xr:uid="{00000000-0005-0000-0000-000061DA0000}"/>
    <cellStyle name="Normal 9 4 4 6" xfId="40580" xr:uid="{00000000-0005-0000-0000-000062DA0000}"/>
    <cellStyle name="Normal 9 4 4 7" xfId="40581" xr:uid="{00000000-0005-0000-0000-000063DA0000}"/>
    <cellStyle name="Normal 9 4 4 8" xfId="40582" xr:uid="{00000000-0005-0000-0000-000064DA0000}"/>
    <cellStyle name="Normal 9 4 5" xfId="40583" xr:uid="{00000000-0005-0000-0000-000065DA0000}"/>
    <cellStyle name="Normal 9 4 5 2" xfId="40584" xr:uid="{00000000-0005-0000-0000-000066DA0000}"/>
    <cellStyle name="Normal 9 4 5 2 2" xfId="40585" xr:uid="{00000000-0005-0000-0000-000067DA0000}"/>
    <cellStyle name="Normal 9 4 5 2 2 2" xfId="61347" xr:uid="{00000000-0005-0000-0000-000068DA0000}"/>
    <cellStyle name="Normal 9 4 5 2 2 3" xfId="61348" xr:uid="{00000000-0005-0000-0000-000069DA0000}"/>
    <cellStyle name="Normal 9 4 5 2 3" xfId="40586" xr:uid="{00000000-0005-0000-0000-00006ADA0000}"/>
    <cellStyle name="Normal 9 4 5 2 3 2" xfId="61349" xr:uid="{00000000-0005-0000-0000-00006BDA0000}"/>
    <cellStyle name="Normal 9 4 5 2 4" xfId="40587" xr:uid="{00000000-0005-0000-0000-00006CDA0000}"/>
    <cellStyle name="Normal 9 4 5 2 5" xfId="40588" xr:uid="{00000000-0005-0000-0000-00006DDA0000}"/>
    <cellStyle name="Normal 9 4 5 2 6" xfId="40589" xr:uid="{00000000-0005-0000-0000-00006EDA0000}"/>
    <cellStyle name="Normal 9 4 5 3" xfId="40590" xr:uid="{00000000-0005-0000-0000-00006FDA0000}"/>
    <cellStyle name="Normal 9 4 5 3 2" xfId="61350" xr:uid="{00000000-0005-0000-0000-000070DA0000}"/>
    <cellStyle name="Normal 9 4 5 3 3" xfId="61351" xr:uid="{00000000-0005-0000-0000-000071DA0000}"/>
    <cellStyle name="Normal 9 4 5 4" xfId="40591" xr:uid="{00000000-0005-0000-0000-000072DA0000}"/>
    <cellStyle name="Normal 9 4 5 4 2" xfId="61352" xr:uid="{00000000-0005-0000-0000-000073DA0000}"/>
    <cellStyle name="Normal 9 4 5 5" xfId="40592" xr:uid="{00000000-0005-0000-0000-000074DA0000}"/>
    <cellStyle name="Normal 9 4 5 6" xfId="40593" xr:uid="{00000000-0005-0000-0000-000075DA0000}"/>
    <cellStyle name="Normal 9 4 5 7" xfId="40594" xr:uid="{00000000-0005-0000-0000-000076DA0000}"/>
    <cellStyle name="Normal 9 4 6" xfId="40595" xr:uid="{00000000-0005-0000-0000-000077DA0000}"/>
    <cellStyle name="Normal 9 4 6 2" xfId="40596" xr:uid="{00000000-0005-0000-0000-000078DA0000}"/>
    <cellStyle name="Normal 9 4 6 2 2" xfId="61353" xr:uid="{00000000-0005-0000-0000-000079DA0000}"/>
    <cellStyle name="Normal 9 4 6 2 3" xfId="61354" xr:uid="{00000000-0005-0000-0000-00007ADA0000}"/>
    <cellStyle name="Normal 9 4 6 3" xfId="40597" xr:uid="{00000000-0005-0000-0000-00007BDA0000}"/>
    <cellStyle name="Normal 9 4 6 3 2" xfId="61355" xr:uid="{00000000-0005-0000-0000-00007CDA0000}"/>
    <cellStyle name="Normal 9 4 6 4" xfId="40598" xr:uid="{00000000-0005-0000-0000-00007DDA0000}"/>
    <cellStyle name="Normal 9 4 6 5" xfId="40599" xr:uid="{00000000-0005-0000-0000-00007EDA0000}"/>
    <cellStyle name="Normal 9 4 6 6" xfId="40600" xr:uid="{00000000-0005-0000-0000-00007FDA0000}"/>
    <cellStyle name="Normal 9 4 7" xfId="40601" xr:uid="{00000000-0005-0000-0000-000080DA0000}"/>
    <cellStyle name="Normal 9 4 7 2" xfId="61356" xr:uid="{00000000-0005-0000-0000-000081DA0000}"/>
    <cellStyle name="Normal 9 4 7 3" xfId="61357" xr:uid="{00000000-0005-0000-0000-000082DA0000}"/>
    <cellStyle name="Normal 9 4 8" xfId="40602" xr:uid="{00000000-0005-0000-0000-000083DA0000}"/>
    <cellStyle name="Normal 9 4 8 2" xfId="61358" xr:uid="{00000000-0005-0000-0000-000084DA0000}"/>
    <cellStyle name="Normal 9 4 9" xfId="40603" xr:uid="{00000000-0005-0000-0000-000085DA0000}"/>
    <cellStyle name="Normal 9 4 9 2" xfId="61359" xr:uid="{00000000-0005-0000-0000-000086DA0000}"/>
    <cellStyle name="Normal 9 5" xfId="40604" xr:uid="{00000000-0005-0000-0000-000087DA0000}"/>
    <cellStyle name="Normal 9 5 10" xfId="40605" xr:uid="{00000000-0005-0000-0000-000088DA0000}"/>
    <cellStyle name="Normal 9 5 11" xfId="40606" xr:uid="{00000000-0005-0000-0000-000089DA0000}"/>
    <cellStyle name="Normal 9 5 12" xfId="40607" xr:uid="{00000000-0005-0000-0000-00008ADA0000}"/>
    <cellStyle name="Normal 9 5 13" xfId="40608" xr:uid="{00000000-0005-0000-0000-00008BDA0000}"/>
    <cellStyle name="Normal 9 5 14" xfId="40609" xr:uid="{00000000-0005-0000-0000-00008CDA0000}"/>
    <cellStyle name="Normal 9 5 15" xfId="40610" xr:uid="{00000000-0005-0000-0000-00008DDA0000}"/>
    <cellStyle name="Normal 9 5 16" xfId="40611" xr:uid="{00000000-0005-0000-0000-00008EDA0000}"/>
    <cellStyle name="Normal 9 5 2" xfId="40612" xr:uid="{00000000-0005-0000-0000-00008FDA0000}"/>
    <cellStyle name="Normal 9 5 2 10" xfId="40613" xr:uid="{00000000-0005-0000-0000-000090DA0000}"/>
    <cellStyle name="Normal 9 5 2 11" xfId="40614" xr:uid="{00000000-0005-0000-0000-000091DA0000}"/>
    <cellStyle name="Normal 9 5 2 12" xfId="40615" xr:uid="{00000000-0005-0000-0000-000092DA0000}"/>
    <cellStyle name="Normal 9 5 2 13" xfId="40616" xr:uid="{00000000-0005-0000-0000-000093DA0000}"/>
    <cellStyle name="Normal 9 5 2 14" xfId="40617" xr:uid="{00000000-0005-0000-0000-000094DA0000}"/>
    <cellStyle name="Normal 9 5 2 2" xfId="40618" xr:uid="{00000000-0005-0000-0000-000095DA0000}"/>
    <cellStyle name="Normal 9 5 2 2 2" xfId="40619" xr:uid="{00000000-0005-0000-0000-000096DA0000}"/>
    <cellStyle name="Normal 9 5 2 2 2 2" xfId="40620" xr:uid="{00000000-0005-0000-0000-000097DA0000}"/>
    <cellStyle name="Normal 9 5 2 2 2 2 2" xfId="40621" xr:uid="{00000000-0005-0000-0000-000098DA0000}"/>
    <cellStyle name="Normal 9 5 2 2 2 2 2 2" xfId="61360" xr:uid="{00000000-0005-0000-0000-000099DA0000}"/>
    <cellStyle name="Normal 9 5 2 2 2 2 2 3" xfId="61361" xr:uid="{00000000-0005-0000-0000-00009ADA0000}"/>
    <cellStyle name="Normal 9 5 2 2 2 2 3" xfId="40622" xr:uid="{00000000-0005-0000-0000-00009BDA0000}"/>
    <cellStyle name="Normal 9 5 2 2 2 2 3 2" xfId="61362" xr:uid="{00000000-0005-0000-0000-00009CDA0000}"/>
    <cellStyle name="Normal 9 5 2 2 2 2 4" xfId="40623" xr:uid="{00000000-0005-0000-0000-00009DDA0000}"/>
    <cellStyle name="Normal 9 5 2 2 2 2 5" xfId="40624" xr:uid="{00000000-0005-0000-0000-00009EDA0000}"/>
    <cellStyle name="Normal 9 5 2 2 2 2 6" xfId="40625" xr:uid="{00000000-0005-0000-0000-00009FDA0000}"/>
    <cellStyle name="Normal 9 5 2 2 2 3" xfId="40626" xr:uid="{00000000-0005-0000-0000-0000A0DA0000}"/>
    <cellStyle name="Normal 9 5 2 2 2 3 2" xfId="61363" xr:uid="{00000000-0005-0000-0000-0000A1DA0000}"/>
    <cellStyle name="Normal 9 5 2 2 2 3 3" xfId="61364" xr:uid="{00000000-0005-0000-0000-0000A2DA0000}"/>
    <cellStyle name="Normal 9 5 2 2 2 4" xfId="40627" xr:uid="{00000000-0005-0000-0000-0000A3DA0000}"/>
    <cellStyle name="Normal 9 5 2 2 2 4 2" xfId="61365" xr:uid="{00000000-0005-0000-0000-0000A4DA0000}"/>
    <cellStyle name="Normal 9 5 2 2 2 5" xfId="40628" xr:uid="{00000000-0005-0000-0000-0000A5DA0000}"/>
    <cellStyle name="Normal 9 5 2 2 2 6" xfId="40629" xr:uid="{00000000-0005-0000-0000-0000A6DA0000}"/>
    <cellStyle name="Normal 9 5 2 2 2 7" xfId="40630" xr:uid="{00000000-0005-0000-0000-0000A7DA0000}"/>
    <cellStyle name="Normal 9 5 2 2 3" xfId="40631" xr:uid="{00000000-0005-0000-0000-0000A8DA0000}"/>
    <cellStyle name="Normal 9 5 2 2 3 2" xfId="40632" xr:uid="{00000000-0005-0000-0000-0000A9DA0000}"/>
    <cellStyle name="Normal 9 5 2 2 3 2 2" xfId="61366" xr:uid="{00000000-0005-0000-0000-0000AADA0000}"/>
    <cellStyle name="Normal 9 5 2 2 3 2 3" xfId="61367" xr:uid="{00000000-0005-0000-0000-0000ABDA0000}"/>
    <cellStyle name="Normal 9 5 2 2 3 3" xfId="40633" xr:uid="{00000000-0005-0000-0000-0000ACDA0000}"/>
    <cellStyle name="Normal 9 5 2 2 3 3 2" xfId="61368" xr:uid="{00000000-0005-0000-0000-0000ADDA0000}"/>
    <cellStyle name="Normal 9 5 2 2 3 4" xfId="40634" xr:uid="{00000000-0005-0000-0000-0000AEDA0000}"/>
    <cellStyle name="Normal 9 5 2 2 3 5" xfId="40635" xr:uid="{00000000-0005-0000-0000-0000AFDA0000}"/>
    <cellStyle name="Normal 9 5 2 2 3 6" xfId="40636" xr:uid="{00000000-0005-0000-0000-0000B0DA0000}"/>
    <cellStyle name="Normal 9 5 2 2 4" xfId="40637" xr:uid="{00000000-0005-0000-0000-0000B1DA0000}"/>
    <cellStyle name="Normal 9 5 2 2 4 2" xfId="61369" xr:uid="{00000000-0005-0000-0000-0000B2DA0000}"/>
    <cellStyle name="Normal 9 5 2 2 4 3" xfId="61370" xr:uid="{00000000-0005-0000-0000-0000B3DA0000}"/>
    <cellStyle name="Normal 9 5 2 2 5" xfId="40638" xr:uid="{00000000-0005-0000-0000-0000B4DA0000}"/>
    <cellStyle name="Normal 9 5 2 2 5 2" xfId="61371" xr:uid="{00000000-0005-0000-0000-0000B5DA0000}"/>
    <cellStyle name="Normal 9 5 2 2 6" xfId="40639" xr:uid="{00000000-0005-0000-0000-0000B6DA0000}"/>
    <cellStyle name="Normal 9 5 2 2 7" xfId="40640" xr:uid="{00000000-0005-0000-0000-0000B7DA0000}"/>
    <cellStyle name="Normal 9 5 2 2 8" xfId="40641" xr:uid="{00000000-0005-0000-0000-0000B8DA0000}"/>
    <cellStyle name="Normal 9 5 2 2 9" xfId="40642" xr:uid="{00000000-0005-0000-0000-0000B9DA0000}"/>
    <cellStyle name="Normal 9 5 2 3" xfId="40643" xr:uid="{00000000-0005-0000-0000-0000BADA0000}"/>
    <cellStyle name="Normal 9 5 2 3 2" xfId="40644" xr:uid="{00000000-0005-0000-0000-0000BBDA0000}"/>
    <cellStyle name="Normal 9 5 2 3 2 2" xfId="40645" xr:uid="{00000000-0005-0000-0000-0000BCDA0000}"/>
    <cellStyle name="Normal 9 5 2 3 2 2 2" xfId="40646" xr:uid="{00000000-0005-0000-0000-0000BDDA0000}"/>
    <cellStyle name="Normal 9 5 2 3 2 2 2 2" xfId="61372" xr:uid="{00000000-0005-0000-0000-0000BEDA0000}"/>
    <cellStyle name="Normal 9 5 2 3 2 2 2 3" xfId="61373" xr:uid="{00000000-0005-0000-0000-0000BFDA0000}"/>
    <cellStyle name="Normal 9 5 2 3 2 2 3" xfId="40647" xr:uid="{00000000-0005-0000-0000-0000C0DA0000}"/>
    <cellStyle name="Normal 9 5 2 3 2 2 3 2" xfId="61374" xr:uid="{00000000-0005-0000-0000-0000C1DA0000}"/>
    <cellStyle name="Normal 9 5 2 3 2 2 4" xfId="40648" xr:uid="{00000000-0005-0000-0000-0000C2DA0000}"/>
    <cellStyle name="Normal 9 5 2 3 2 2 5" xfId="40649" xr:uid="{00000000-0005-0000-0000-0000C3DA0000}"/>
    <cellStyle name="Normal 9 5 2 3 2 2 6" xfId="40650" xr:uid="{00000000-0005-0000-0000-0000C4DA0000}"/>
    <cellStyle name="Normal 9 5 2 3 2 3" xfId="40651" xr:uid="{00000000-0005-0000-0000-0000C5DA0000}"/>
    <cellStyle name="Normal 9 5 2 3 2 3 2" xfId="61375" xr:uid="{00000000-0005-0000-0000-0000C6DA0000}"/>
    <cellStyle name="Normal 9 5 2 3 2 3 3" xfId="61376" xr:uid="{00000000-0005-0000-0000-0000C7DA0000}"/>
    <cellStyle name="Normal 9 5 2 3 2 4" xfId="40652" xr:uid="{00000000-0005-0000-0000-0000C8DA0000}"/>
    <cellStyle name="Normal 9 5 2 3 2 4 2" xfId="61377" xr:uid="{00000000-0005-0000-0000-0000C9DA0000}"/>
    <cellStyle name="Normal 9 5 2 3 2 5" xfId="40653" xr:uid="{00000000-0005-0000-0000-0000CADA0000}"/>
    <cellStyle name="Normal 9 5 2 3 2 6" xfId="40654" xr:uid="{00000000-0005-0000-0000-0000CBDA0000}"/>
    <cellStyle name="Normal 9 5 2 3 2 7" xfId="40655" xr:uid="{00000000-0005-0000-0000-0000CCDA0000}"/>
    <cellStyle name="Normal 9 5 2 3 3" xfId="40656" xr:uid="{00000000-0005-0000-0000-0000CDDA0000}"/>
    <cellStyle name="Normal 9 5 2 3 3 2" xfId="40657" xr:uid="{00000000-0005-0000-0000-0000CEDA0000}"/>
    <cellStyle name="Normal 9 5 2 3 3 2 2" xfId="61378" xr:uid="{00000000-0005-0000-0000-0000CFDA0000}"/>
    <cellStyle name="Normal 9 5 2 3 3 2 3" xfId="61379" xr:uid="{00000000-0005-0000-0000-0000D0DA0000}"/>
    <cellStyle name="Normal 9 5 2 3 3 3" xfId="40658" xr:uid="{00000000-0005-0000-0000-0000D1DA0000}"/>
    <cellStyle name="Normal 9 5 2 3 3 3 2" xfId="61380" xr:uid="{00000000-0005-0000-0000-0000D2DA0000}"/>
    <cellStyle name="Normal 9 5 2 3 3 4" xfId="40659" xr:uid="{00000000-0005-0000-0000-0000D3DA0000}"/>
    <cellStyle name="Normal 9 5 2 3 3 5" xfId="40660" xr:uid="{00000000-0005-0000-0000-0000D4DA0000}"/>
    <cellStyle name="Normal 9 5 2 3 3 6" xfId="40661" xr:uid="{00000000-0005-0000-0000-0000D5DA0000}"/>
    <cellStyle name="Normal 9 5 2 3 4" xfId="40662" xr:uid="{00000000-0005-0000-0000-0000D6DA0000}"/>
    <cellStyle name="Normal 9 5 2 3 4 2" xfId="61381" xr:uid="{00000000-0005-0000-0000-0000D7DA0000}"/>
    <cellStyle name="Normal 9 5 2 3 4 3" xfId="61382" xr:uid="{00000000-0005-0000-0000-0000D8DA0000}"/>
    <cellStyle name="Normal 9 5 2 3 5" xfId="40663" xr:uid="{00000000-0005-0000-0000-0000D9DA0000}"/>
    <cellStyle name="Normal 9 5 2 3 5 2" xfId="61383" xr:uid="{00000000-0005-0000-0000-0000DADA0000}"/>
    <cellStyle name="Normal 9 5 2 3 6" xfId="40664" xr:uid="{00000000-0005-0000-0000-0000DBDA0000}"/>
    <cellStyle name="Normal 9 5 2 3 7" xfId="40665" xr:uid="{00000000-0005-0000-0000-0000DCDA0000}"/>
    <cellStyle name="Normal 9 5 2 3 8" xfId="40666" xr:uid="{00000000-0005-0000-0000-0000DDDA0000}"/>
    <cellStyle name="Normal 9 5 2 4" xfId="40667" xr:uid="{00000000-0005-0000-0000-0000DEDA0000}"/>
    <cellStyle name="Normal 9 5 2 4 2" xfId="40668" xr:uid="{00000000-0005-0000-0000-0000DFDA0000}"/>
    <cellStyle name="Normal 9 5 2 4 2 2" xfId="40669" xr:uid="{00000000-0005-0000-0000-0000E0DA0000}"/>
    <cellStyle name="Normal 9 5 2 4 2 2 2" xfId="61384" xr:uid="{00000000-0005-0000-0000-0000E1DA0000}"/>
    <cellStyle name="Normal 9 5 2 4 2 2 3" xfId="61385" xr:uid="{00000000-0005-0000-0000-0000E2DA0000}"/>
    <cellStyle name="Normal 9 5 2 4 2 3" xfId="40670" xr:uid="{00000000-0005-0000-0000-0000E3DA0000}"/>
    <cellStyle name="Normal 9 5 2 4 2 3 2" xfId="61386" xr:uid="{00000000-0005-0000-0000-0000E4DA0000}"/>
    <cellStyle name="Normal 9 5 2 4 2 4" xfId="40671" xr:uid="{00000000-0005-0000-0000-0000E5DA0000}"/>
    <cellStyle name="Normal 9 5 2 4 2 5" xfId="40672" xr:uid="{00000000-0005-0000-0000-0000E6DA0000}"/>
    <cellStyle name="Normal 9 5 2 4 2 6" xfId="40673" xr:uid="{00000000-0005-0000-0000-0000E7DA0000}"/>
    <cellStyle name="Normal 9 5 2 4 3" xfId="40674" xr:uid="{00000000-0005-0000-0000-0000E8DA0000}"/>
    <cellStyle name="Normal 9 5 2 4 3 2" xfId="61387" xr:uid="{00000000-0005-0000-0000-0000E9DA0000}"/>
    <cellStyle name="Normal 9 5 2 4 3 3" xfId="61388" xr:uid="{00000000-0005-0000-0000-0000EADA0000}"/>
    <cellStyle name="Normal 9 5 2 4 4" xfId="40675" xr:uid="{00000000-0005-0000-0000-0000EBDA0000}"/>
    <cellStyle name="Normal 9 5 2 4 4 2" xfId="61389" xr:uid="{00000000-0005-0000-0000-0000ECDA0000}"/>
    <cellStyle name="Normal 9 5 2 4 5" xfId="40676" xr:uid="{00000000-0005-0000-0000-0000EDDA0000}"/>
    <cellStyle name="Normal 9 5 2 4 6" xfId="40677" xr:uid="{00000000-0005-0000-0000-0000EEDA0000}"/>
    <cellStyle name="Normal 9 5 2 4 7" xfId="40678" xr:uid="{00000000-0005-0000-0000-0000EFDA0000}"/>
    <cellStyle name="Normal 9 5 2 5" xfId="40679" xr:uid="{00000000-0005-0000-0000-0000F0DA0000}"/>
    <cellStyle name="Normal 9 5 2 5 2" xfId="40680" xr:uid="{00000000-0005-0000-0000-0000F1DA0000}"/>
    <cellStyle name="Normal 9 5 2 5 2 2" xfId="61390" xr:uid="{00000000-0005-0000-0000-0000F2DA0000}"/>
    <cellStyle name="Normal 9 5 2 5 2 3" xfId="61391" xr:uid="{00000000-0005-0000-0000-0000F3DA0000}"/>
    <cellStyle name="Normal 9 5 2 5 3" xfId="40681" xr:uid="{00000000-0005-0000-0000-0000F4DA0000}"/>
    <cellStyle name="Normal 9 5 2 5 3 2" xfId="61392" xr:uid="{00000000-0005-0000-0000-0000F5DA0000}"/>
    <cellStyle name="Normal 9 5 2 5 4" xfId="40682" xr:uid="{00000000-0005-0000-0000-0000F6DA0000}"/>
    <cellStyle name="Normal 9 5 2 5 5" xfId="40683" xr:uid="{00000000-0005-0000-0000-0000F7DA0000}"/>
    <cellStyle name="Normal 9 5 2 5 6" xfId="40684" xr:uid="{00000000-0005-0000-0000-0000F8DA0000}"/>
    <cellStyle name="Normal 9 5 2 6" xfId="40685" xr:uid="{00000000-0005-0000-0000-0000F9DA0000}"/>
    <cellStyle name="Normal 9 5 2 6 2" xfId="61393" xr:uid="{00000000-0005-0000-0000-0000FADA0000}"/>
    <cellStyle name="Normal 9 5 2 6 3" xfId="61394" xr:uid="{00000000-0005-0000-0000-0000FBDA0000}"/>
    <cellStyle name="Normal 9 5 2 7" xfId="40686" xr:uid="{00000000-0005-0000-0000-0000FCDA0000}"/>
    <cellStyle name="Normal 9 5 2 7 2" xfId="61395" xr:uid="{00000000-0005-0000-0000-0000FDDA0000}"/>
    <cellStyle name="Normal 9 5 2 8" xfId="40687" xr:uid="{00000000-0005-0000-0000-0000FEDA0000}"/>
    <cellStyle name="Normal 9 5 2 9" xfId="40688" xr:uid="{00000000-0005-0000-0000-0000FFDA0000}"/>
    <cellStyle name="Normal 9 5 3" xfId="40689" xr:uid="{00000000-0005-0000-0000-000000DB0000}"/>
    <cellStyle name="Normal 9 5 3 2" xfId="40690" xr:uid="{00000000-0005-0000-0000-000001DB0000}"/>
    <cellStyle name="Normal 9 5 3 2 2" xfId="40691" xr:uid="{00000000-0005-0000-0000-000002DB0000}"/>
    <cellStyle name="Normal 9 5 3 2 2 2" xfId="40692" xr:uid="{00000000-0005-0000-0000-000003DB0000}"/>
    <cellStyle name="Normal 9 5 3 2 2 2 2" xfId="61396" xr:uid="{00000000-0005-0000-0000-000004DB0000}"/>
    <cellStyle name="Normal 9 5 3 2 2 2 3" xfId="61397" xr:uid="{00000000-0005-0000-0000-000005DB0000}"/>
    <cellStyle name="Normal 9 5 3 2 2 3" xfId="40693" xr:uid="{00000000-0005-0000-0000-000006DB0000}"/>
    <cellStyle name="Normal 9 5 3 2 2 3 2" xfId="61398" xr:uid="{00000000-0005-0000-0000-000007DB0000}"/>
    <cellStyle name="Normal 9 5 3 2 2 4" xfId="40694" xr:uid="{00000000-0005-0000-0000-000008DB0000}"/>
    <cellStyle name="Normal 9 5 3 2 2 5" xfId="40695" xr:uid="{00000000-0005-0000-0000-000009DB0000}"/>
    <cellStyle name="Normal 9 5 3 2 2 6" xfId="40696" xr:uid="{00000000-0005-0000-0000-00000ADB0000}"/>
    <cellStyle name="Normal 9 5 3 2 3" xfId="40697" xr:uid="{00000000-0005-0000-0000-00000BDB0000}"/>
    <cellStyle name="Normal 9 5 3 2 3 2" xfId="61399" xr:uid="{00000000-0005-0000-0000-00000CDB0000}"/>
    <cellStyle name="Normal 9 5 3 2 3 3" xfId="61400" xr:uid="{00000000-0005-0000-0000-00000DDB0000}"/>
    <cellStyle name="Normal 9 5 3 2 4" xfId="40698" xr:uid="{00000000-0005-0000-0000-00000EDB0000}"/>
    <cellStyle name="Normal 9 5 3 2 4 2" xfId="61401" xr:uid="{00000000-0005-0000-0000-00000FDB0000}"/>
    <cellStyle name="Normal 9 5 3 2 5" xfId="40699" xr:uid="{00000000-0005-0000-0000-000010DB0000}"/>
    <cellStyle name="Normal 9 5 3 2 6" xfId="40700" xr:uid="{00000000-0005-0000-0000-000011DB0000}"/>
    <cellStyle name="Normal 9 5 3 2 7" xfId="40701" xr:uid="{00000000-0005-0000-0000-000012DB0000}"/>
    <cellStyle name="Normal 9 5 3 3" xfId="40702" xr:uid="{00000000-0005-0000-0000-000013DB0000}"/>
    <cellStyle name="Normal 9 5 3 3 2" xfId="40703" xr:uid="{00000000-0005-0000-0000-000014DB0000}"/>
    <cellStyle name="Normal 9 5 3 3 2 2" xfId="61402" xr:uid="{00000000-0005-0000-0000-000015DB0000}"/>
    <cellStyle name="Normal 9 5 3 3 2 3" xfId="61403" xr:uid="{00000000-0005-0000-0000-000016DB0000}"/>
    <cellStyle name="Normal 9 5 3 3 3" xfId="40704" xr:uid="{00000000-0005-0000-0000-000017DB0000}"/>
    <cellStyle name="Normal 9 5 3 3 3 2" xfId="61404" xr:uid="{00000000-0005-0000-0000-000018DB0000}"/>
    <cellStyle name="Normal 9 5 3 3 4" xfId="40705" xr:uid="{00000000-0005-0000-0000-000019DB0000}"/>
    <cellStyle name="Normal 9 5 3 3 5" xfId="40706" xr:uid="{00000000-0005-0000-0000-00001ADB0000}"/>
    <cellStyle name="Normal 9 5 3 3 6" xfId="40707" xr:uid="{00000000-0005-0000-0000-00001BDB0000}"/>
    <cellStyle name="Normal 9 5 3 4" xfId="40708" xr:uid="{00000000-0005-0000-0000-00001CDB0000}"/>
    <cellStyle name="Normal 9 5 3 4 2" xfId="61405" xr:uid="{00000000-0005-0000-0000-00001DDB0000}"/>
    <cellStyle name="Normal 9 5 3 4 3" xfId="61406" xr:uid="{00000000-0005-0000-0000-00001EDB0000}"/>
    <cellStyle name="Normal 9 5 3 5" xfId="40709" xr:uid="{00000000-0005-0000-0000-00001FDB0000}"/>
    <cellStyle name="Normal 9 5 3 5 2" xfId="61407" xr:uid="{00000000-0005-0000-0000-000020DB0000}"/>
    <cellStyle name="Normal 9 5 3 6" xfId="40710" xr:uid="{00000000-0005-0000-0000-000021DB0000}"/>
    <cellStyle name="Normal 9 5 3 7" xfId="40711" xr:uid="{00000000-0005-0000-0000-000022DB0000}"/>
    <cellStyle name="Normal 9 5 3 8" xfId="40712" xr:uid="{00000000-0005-0000-0000-000023DB0000}"/>
    <cellStyle name="Normal 9 5 3 9" xfId="40713" xr:uid="{00000000-0005-0000-0000-000024DB0000}"/>
    <cellStyle name="Normal 9 5 4" xfId="40714" xr:uid="{00000000-0005-0000-0000-000025DB0000}"/>
    <cellStyle name="Normal 9 5 4 2" xfId="40715" xr:uid="{00000000-0005-0000-0000-000026DB0000}"/>
    <cellStyle name="Normal 9 5 4 2 2" xfId="40716" xr:uid="{00000000-0005-0000-0000-000027DB0000}"/>
    <cellStyle name="Normal 9 5 4 2 2 2" xfId="40717" xr:uid="{00000000-0005-0000-0000-000028DB0000}"/>
    <cellStyle name="Normal 9 5 4 2 2 2 2" xfId="61408" xr:uid="{00000000-0005-0000-0000-000029DB0000}"/>
    <cellStyle name="Normal 9 5 4 2 2 2 3" xfId="61409" xr:uid="{00000000-0005-0000-0000-00002ADB0000}"/>
    <cellStyle name="Normal 9 5 4 2 2 3" xfId="40718" xr:uid="{00000000-0005-0000-0000-00002BDB0000}"/>
    <cellStyle name="Normal 9 5 4 2 2 3 2" xfId="61410" xr:uid="{00000000-0005-0000-0000-00002CDB0000}"/>
    <cellStyle name="Normal 9 5 4 2 2 4" xfId="40719" xr:uid="{00000000-0005-0000-0000-00002DDB0000}"/>
    <cellStyle name="Normal 9 5 4 2 2 5" xfId="40720" xr:uid="{00000000-0005-0000-0000-00002EDB0000}"/>
    <cellStyle name="Normal 9 5 4 2 2 6" xfId="40721" xr:uid="{00000000-0005-0000-0000-00002FDB0000}"/>
    <cellStyle name="Normal 9 5 4 2 3" xfId="40722" xr:uid="{00000000-0005-0000-0000-000030DB0000}"/>
    <cellStyle name="Normal 9 5 4 2 3 2" xfId="61411" xr:uid="{00000000-0005-0000-0000-000031DB0000}"/>
    <cellStyle name="Normal 9 5 4 2 3 3" xfId="61412" xr:uid="{00000000-0005-0000-0000-000032DB0000}"/>
    <cellStyle name="Normal 9 5 4 2 4" xfId="40723" xr:uid="{00000000-0005-0000-0000-000033DB0000}"/>
    <cellStyle name="Normal 9 5 4 2 4 2" xfId="61413" xr:uid="{00000000-0005-0000-0000-000034DB0000}"/>
    <cellStyle name="Normal 9 5 4 2 5" xfId="40724" xr:uid="{00000000-0005-0000-0000-000035DB0000}"/>
    <cellStyle name="Normal 9 5 4 2 6" xfId="40725" xr:uid="{00000000-0005-0000-0000-000036DB0000}"/>
    <cellStyle name="Normal 9 5 4 2 7" xfId="40726" xr:uid="{00000000-0005-0000-0000-000037DB0000}"/>
    <cellStyle name="Normal 9 5 4 3" xfId="40727" xr:uid="{00000000-0005-0000-0000-000038DB0000}"/>
    <cellStyle name="Normal 9 5 4 3 2" xfId="40728" xr:uid="{00000000-0005-0000-0000-000039DB0000}"/>
    <cellStyle name="Normal 9 5 4 3 2 2" xfId="61414" xr:uid="{00000000-0005-0000-0000-00003ADB0000}"/>
    <cellStyle name="Normal 9 5 4 3 2 3" xfId="61415" xr:uid="{00000000-0005-0000-0000-00003BDB0000}"/>
    <cellStyle name="Normal 9 5 4 3 3" xfId="40729" xr:uid="{00000000-0005-0000-0000-00003CDB0000}"/>
    <cellStyle name="Normal 9 5 4 3 3 2" xfId="61416" xr:uid="{00000000-0005-0000-0000-00003DDB0000}"/>
    <cellStyle name="Normal 9 5 4 3 4" xfId="40730" xr:uid="{00000000-0005-0000-0000-00003EDB0000}"/>
    <cellStyle name="Normal 9 5 4 3 5" xfId="40731" xr:uid="{00000000-0005-0000-0000-00003FDB0000}"/>
    <cellStyle name="Normal 9 5 4 3 6" xfId="40732" xr:uid="{00000000-0005-0000-0000-000040DB0000}"/>
    <cellStyle name="Normal 9 5 4 4" xfId="40733" xr:uid="{00000000-0005-0000-0000-000041DB0000}"/>
    <cellStyle name="Normal 9 5 4 4 2" xfId="61417" xr:uid="{00000000-0005-0000-0000-000042DB0000}"/>
    <cellStyle name="Normal 9 5 4 4 3" xfId="61418" xr:uid="{00000000-0005-0000-0000-000043DB0000}"/>
    <cellStyle name="Normal 9 5 4 5" xfId="40734" xr:uid="{00000000-0005-0000-0000-000044DB0000}"/>
    <cellStyle name="Normal 9 5 4 5 2" xfId="61419" xr:uid="{00000000-0005-0000-0000-000045DB0000}"/>
    <cellStyle name="Normal 9 5 4 6" xfId="40735" xr:uid="{00000000-0005-0000-0000-000046DB0000}"/>
    <cellStyle name="Normal 9 5 4 7" xfId="40736" xr:uid="{00000000-0005-0000-0000-000047DB0000}"/>
    <cellStyle name="Normal 9 5 4 8" xfId="40737" xr:uid="{00000000-0005-0000-0000-000048DB0000}"/>
    <cellStyle name="Normal 9 5 5" xfId="40738" xr:uid="{00000000-0005-0000-0000-000049DB0000}"/>
    <cellStyle name="Normal 9 5 5 2" xfId="40739" xr:uid="{00000000-0005-0000-0000-00004ADB0000}"/>
    <cellStyle name="Normal 9 5 5 2 2" xfId="40740" xr:uid="{00000000-0005-0000-0000-00004BDB0000}"/>
    <cellStyle name="Normal 9 5 5 2 2 2" xfId="61420" xr:uid="{00000000-0005-0000-0000-00004CDB0000}"/>
    <cellStyle name="Normal 9 5 5 2 2 3" xfId="61421" xr:uid="{00000000-0005-0000-0000-00004DDB0000}"/>
    <cellStyle name="Normal 9 5 5 2 3" xfId="40741" xr:uid="{00000000-0005-0000-0000-00004EDB0000}"/>
    <cellStyle name="Normal 9 5 5 2 3 2" xfId="61422" xr:uid="{00000000-0005-0000-0000-00004FDB0000}"/>
    <cellStyle name="Normal 9 5 5 2 4" xfId="40742" xr:uid="{00000000-0005-0000-0000-000050DB0000}"/>
    <cellStyle name="Normal 9 5 5 2 5" xfId="40743" xr:uid="{00000000-0005-0000-0000-000051DB0000}"/>
    <cellStyle name="Normal 9 5 5 2 6" xfId="40744" xr:uid="{00000000-0005-0000-0000-000052DB0000}"/>
    <cellStyle name="Normal 9 5 5 3" xfId="40745" xr:uid="{00000000-0005-0000-0000-000053DB0000}"/>
    <cellStyle name="Normal 9 5 5 3 2" xfId="61423" xr:uid="{00000000-0005-0000-0000-000054DB0000}"/>
    <cellStyle name="Normal 9 5 5 3 3" xfId="61424" xr:uid="{00000000-0005-0000-0000-000055DB0000}"/>
    <cellStyle name="Normal 9 5 5 4" xfId="40746" xr:uid="{00000000-0005-0000-0000-000056DB0000}"/>
    <cellStyle name="Normal 9 5 5 4 2" xfId="61425" xr:uid="{00000000-0005-0000-0000-000057DB0000}"/>
    <cellStyle name="Normal 9 5 5 5" xfId="40747" xr:uid="{00000000-0005-0000-0000-000058DB0000}"/>
    <cellStyle name="Normal 9 5 5 6" xfId="40748" xr:uid="{00000000-0005-0000-0000-000059DB0000}"/>
    <cellStyle name="Normal 9 5 5 7" xfId="40749" xr:uid="{00000000-0005-0000-0000-00005ADB0000}"/>
    <cellStyle name="Normal 9 5 6" xfId="40750" xr:uid="{00000000-0005-0000-0000-00005BDB0000}"/>
    <cellStyle name="Normal 9 5 6 2" xfId="40751" xr:uid="{00000000-0005-0000-0000-00005CDB0000}"/>
    <cellStyle name="Normal 9 5 6 2 2" xfId="61426" xr:uid="{00000000-0005-0000-0000-00005DDB0000}"/>
    <cellStyle name="Normal 9 5 6 2 3" xfId="61427" xr:uid="{00000000-0005-0000-0000-00005EDB0000}"/>
    <cellStyle name="Normal 9 5 6 3" xfId="40752" xr:uid="{00000000-0005-0000-0000-00005FDB0000}"/>
    <cellStyle name="Normal 9 5 6 3 2" xfId="61428" xr:uid="{00000000-0005-0000-0000-000060DB0000}"/>
    <cellStyle name="Normal 9 5 6 4" xfId="40753" xr:uid="{00000000-0005-0000-0000-000061DB0000}"/>
    <cellStyle name="Normal 9 5 6 5" xfId="40754" xr:uid="{00000000-0005-0000-0000-000062DB0000}"/>
    <cellStyle name="Normal 9 5 6 6" xfId="40755" xr:uid="{00000000-0005-0000-0000-000063DB0000}"/>
    <cellStyle name="Normal 9 5 7" xfId="40756" xr:uid="{00000000-0005-0000-0000-000064DB0000}"/>
    <cellStyle name="Normal 9 5 7 2" xfId="61429" xr:uid="{00000000-0005-0000-0000-000065DB0000}"/>
    <cellStyle name="Normal 9 5 7 3" xfId="61430" xr:uid="{00000000-0005-0000-0000-000066DB0000}"/>
    <cellStyle name="Normal 9 5 8" xfId="40757" xr:uid="{00000000-0005-0000-0000-000067DB0000}"/>
    <cellStyle name="Normal 9 5 8 2" xfId="61431" xr:uid="{00000000-0005-0000-0000-000068DB0000}"/>
    <cellStyle name="Normal 9 5 9" xfId="40758" xr:uid="{00000000-0005-0000-0000-000069DB0000}"/>
    <cellStyle name="Normal 9 5 9 2" xfId="61432" xr:uid="{00000000-0005-0000-0000-00006ADB0000}"/>
    <cellStyle name="Normal 9 6" xfId="40759" xr:uid="{00000000-0005-0000-0000-00006BDB0000}"/>
    <cellStyle name="Normal 9 6 10" xfId="40760" xr:uid="{00000000-0005-0000-0000-00006CDB0000}"/>
    <cellStyle name="Normal 9 6 11" xfId="40761" xr:uid="{00000000-0005-0000-0000-00006DDB0000}"/>
    <cellStyle name="Normal 9 6 12" xfId="40762" xr:uid="{00000000-0005-0000-0000-00006EDB0000}"/>
    <cellStyle name="Normal 9 6 13" xfId="40763" xr:uid="{00000000-0005-0000-0000-00006FDB0000}"/>
    <cellStyle name="Normal 9 6 14" xfId="40764" xr:uid="{00000000-0005-0000-0000-000070DB0000}"/>
    <cellStyle name="Normal 9 6 2" xfId="40765" xr:uid="{00000000-0005-0000-0000-000071DB0000}"/>
    <cellStyle name="Normal 9 6 2 2" xfId="40766" xr:uid="{00000000-0005-0000-0000-000072DB0000}"/>
    <cellStyle name="Normal 9 6 2 2 2" xfId="40767" xr:uid="{00000000-0005-0000-0000-000073DB0000}"/>
    <cellStyle name="Normal 9 6 2 2 2 2" xfId="40768" xr:uid="{00000000-0005-0000-0000-000074DB0000}"/>
    <cellStyle name="Normal 9 6 2 2 2 2 2" xfId="61433" xr:uid="{00000000-0005-0000-0000-000075DB0000}"/>
    <cellStyle name="Normal 9 6 2 2 2 2 3" xfId="61434" xr:uid="{00000000-0005-0000-0000-000076DB0000}"/>
    <cellStyle name="Normal 9 6 2 2 2 3" xfId="40769" xr:uid="{00000000-0005-0000-0000-000077DB0000}"/>
    <cellStyle name="Normal 9 6 2 2 2 3 2" xfId="61435" xr:uid="{00000000-0005-0000-0000-000078DB0000}"/>
    <cellStyle name="Normal 9 6 2 2 2 4" xfId="40770" xr:uid="{00000000-0005-0000-0000-000079DB0000}"/>
    <cellStyle name="Normal 9 6 2 2 2 5" xfId="40771" xr:uid="{00000000-0005-0000-0000-00007ADB0000}"/>
    <cellStyle name="Normal 9 6 2 2 2 6" xfId="40772" xr:uid="{00000000-0005-0000-0000-00007BDB0000}"/>
    <cellStyle name="Normal 9 6 2 2 3" xfId="40773" xr:uid="{00000000-0005-0000-0000-00007CDB0000}"/>
    <cellStyle name="Normal 9 6 2 2 3 2" xfId="61436" xr:uid="{00000000-0005-0000-0000-00007DDB0000}"/>
    <cellStyle name="Normal 9 6 2 2 3 3" xfId="61437" xr:uid="{00000000-0005-0000-0000-00007EDB0000}"/>
    <cellStyle name="Normal 9 6 2 2 4" xfId="40774" xr:uid="{00000000-0005-0000-0000-00007FDB0000}"/>
    <cellStyle name="Normal 9 6 2 2 4 2" xfId="61438" xr:uid="{00000000-0005-0000-0000-000080DB0000}"/>
    <cellStyle name="Normal 9 6 2 2 5" xfId="40775" xr:uid="{00000000-0005-0000-0000-000081DB0000}"/>
    <cellStyle name="Normal 9 6 2 2 6" xfId="40776" xr:uid="{00000000-0005-0000-0000-000082DB0000}"/>
    <cellStyle name="Normal 9 6 2 2 7" xfId="40777" xr:uid="{00000000-0005-0000-0000-000083DB0000}"/>
    <cellStyle name="Normal 9 6 2 3" xfId="40778" xr:uid="{00000000-0005-0000-0000-000084DB0000}"/>
    <cellStyle name="Normal 9 6 2 3 2" xfId="40779" xr:uid="{00000000-0005-0000-0000-000085DB0000}"/>
    <cellStyle name="Normal 9 6 2 3 2 2" xfId="61439" xr:uid="{00000000-0005-0000-0000-000086DB0000}"/>
    <cellStyle name="Normal 9 6 2 3 2 3" xfId="61440" xr:uid="{00000000-0005-0000-0000-000087DB0000}"/>
    <cellStyle name="Normal 9 6 2 3 3" xfId="40780" xr:uid="{00000000-0005-0000-0000-000088DB0000}"/>
    <cellStyle name="Normal 9 6 2 3 3 2" xfId="61441" xr:uid="{00000000-0005-0000-0000-000089DB0000}"/>
    <cellStyle name="Normal 9 6 2 3 4" xfId="40781" xr:uid="{00000000-0005-0000-0000-00008ADB0000}"/>
    <cellStyle name="Normal 9 6 2 3 5" xfId="40782" xr:uid="{00000000-0005-0000-0000-00008BDB0000}"/>
    <cellStyle name="Normal 9 6 2 3 6" xfId="40783" xr:uid="{00000000-0005-0000-0000-00008CDB0000}"/>
    <cellStyle name="Normal 9 6 2 4" xfId="40784" xr:uid="{00000000-0005-0000-0000-00008DDB0000}"/>
    <cellStyle name="Normal 9 6 2 4 2" xfId="61442" xr:uid="{00000000-0005-0000-0000-00008EDB0000}"/>
    <cellStyle name="Normal 9 6 2 4 3" xfId="61443" xr:uid="{00000000-0005-0000-0000-00008FDB0000}"/>
    <cellStyle name="Normal 9 6 2 5" xfId="40785" xr:uid="{00000000-0005-0000-0000-000090DB0000}"/>
    <cellStyle name="Normal 9 6 2 5 2" xfId="61444" xr:uid="{00000000-0005-0000-0000-000091DB0000}"/>
    <cellStyle name="Normal 9 6 2 6" xfId="40786" xr:uid="{00000000-0005-0000-0000-000092DB0000}"/>
    <cellStyle name="Normal 9 6 2 7" xfId="40787" xr:uid="{00000000-0005-0000-0000-000093DB0000}"/>
    <cellStyle name="Normal 9 6 2 8" xfId="40788" xr:uid="{00000000-0005-0000-0000-000094DB0000}"/>
    <cellStyle name="Normal 9 6 2 9" xfId="40789" xr:uid="{00000000-0005-0000-0000-000095DB0000}"/>
    <cellStyle name="Normal 9 6 3" xfId="40790" xr:uid="{00000000-0005-0000-0000-000096DB0000}"/>
    <cellStyle name="Normal 9 6 3 2" xfId="40791" xr:uid="{00000000-0005-0000-0000-000097DB0000}"/>
    <cellStyle name="Normal 9 6 3 2 2" xfId="40792" xr:uid="{00000000-0005-0000-0000-000098DB0000}"/>
    <cellStyle name="Normal 9 6 3 2 2 2" xfId="40793" xr:uid="{00000000-0005-0000-0000-000099DB0000}"/>
    <cellStyle name="Normal 9 6 3 2 2 2 2" xfId="61445" xr:uid="{00000000-0005-0000-0000-00009ADB0000}"/>
    <cellStyle name="Normal 9 6 3 2 2 2 3" xfId="61446" xr:uid="{00000000-0005-0000-0000-00009BDB0000}"/>
    <cellStyle name="Normal 9 6 3 2 2 3" xfId="40794" xr:uid="{00000000-0005-0000-0000-00009CDB0000}"/>
    <cellStyle name="Normal 9 6 3 2 2 3 2" xfId="61447" xr:uid="{00000000-0005-0000-0000-00009DDB0000}"/>
    <cellStyle name="Normal 9 6 3 2 2 4" xfId="40795" xr:uid="{00000000-0005-0000-0000-00009EDB0000}"/>
    <cellStyle name="Normal 9 6 3 2 2 5" xfId="40796" xr:uid="{00000000-0005-0000-0000-00009FDB0000}"/>
    <cellStyle name="Normal 9 6 3 2 2 6" xfId="40797" xr:uid="{00000000-0005-0000-0000-0000A0DB0000}"/>
    <cellStyle name="Normal 9 6 3 2 3" xfId="40798" xr:uid="{00000000-0005-0000-0000-0000A1DB0000}"/>
    <cellStyle name="Normal 9 6 3 2 3 2" xfId="61448" xr:uid="{00000000-0005-0000-0000-0000A2DB0000}"/>
    <cellStyle name="Normal 9 6 3 2 3 3" xfId="61449" xr:uid="{00000000-0005-0000-0000-0000A3DB0000}"/>
    <cellStyle name="Normal 9 6 3 2 4" xfId="40799" xr:uid="{00000000-0005-0000-0000-0000A4DB0000}"/>
    <cellStyle name="Normal 9 6 3 2 4 2" xfId="61450" xr:uid="{00000000-0005-0000-0000-0000A5DB0000}"/>
    <cellStyle name="Normal 9 6 3 2 5" xfId="40800" xr:uid="{00000000-0005-0000-0000-0000A6DB0000}"/>
    <cellStyle name="Normal 9 6 3 2 6" xfId="40801" xr:uid="{00000000-0005-0000-0000-0000A7DB0000}"/>
    <cellStyle name="Normal 9 6 3 2 7" xfId="40802" xr:uid="{00000000-0005-0000-0000-0000A8DB0000}"/>
    <cellStyle name="Normal 9 6 3 3" xfId="40803" xr:uid="{00000000-0005-0000-0000-0000A9DB0000}"/>
    <cellStyle name="Normal 9 6 3 3 2" xfId="40804" xr:uid="{00000000-0005-0000-0000-0000AADB0000}"/>
    <cellStyle name="Normal 9 6 3 3 2 2" xfId="61451" xr:uid="{00000000-0005-0000-0000-0000ABDB0000}"/>
    <cellStyle name="Normal 9 6 3 3 2 3" xfId="61452" xr:uid="{00000000-0005-0000-0000-0000ACDB0000}"/>
    <cellStyle name="Normal 9 6 3 3 3" xfId="40805" xr:uid="{00000000-0005-0000-0000-0000ADDB0000}"/>
    <cellStyle name="Normal 9 6 3 3 3 2" xfId="61453" xr:uid="{00000000-0005-0000-0000-0000AEDB0000}"/>
    <cellStyle name="Normal 9 6 3 3 4" xfId="40806" xr:uid="{00000000-0005-0000-0000-0000AFDB0000}"/>
    <cellStyle name="Normal 9 6 3 3 5" xfId="40807" xr:uid="{00000000-0005-0000-0000-0000B0DB0000}"/>
    <cellStyle name="Normal 9 6 3 3 6" xfId="40808" xr:uid="{00000000-0005-0000-0000-0000B1DB0000}"/>
    <cellStyle name="Normal 9 6 3 4" xfId="40809" xr:uid="{00000000-0005-0000-0000-0000B2DB0000}"/>
    <cellStyle name="Normal 9 6 3 4 2" xfId="61454" xr:uid="{00000000-0005-0000-0000-0000B3DB0000}"/>
    <cellStyle name="Normal 9 6 3 4 3" xfId="61455" xr:uid="{00000000-0005-0000-0000-0000B4DB0000}"/>
    <cellStyle name="Normal 9 6 3 5" xfId="40810" xr:uid="{00000000-0005-0000-0000-0000B5DB0000}"/>
    <cellStyle name="Normal 9 6 3 5 2" xfId="61456" xr:uid="{00000000-0005-0000-0000-0000B6DB0000}"/>
    <cellStyle name="Normal 9 6 3 6" xfId="40811" xr:uid="{00000000-0005-0000-0000-0000B7DB0000}"/>
    <cellStyle name="Normal 9 6 3 7" xfId="40812" xr:uid="{00000000-0005-0000-0000-0000B8DB0000}"/>
    <cellStyle name="Normal 9 6 3 8" xfId="40813" xr:uid="{00000000-0005-0000-0000-0000B9DB0000}"/>
    <cellStyle name="Normal 9 6 4" xfId="40814" xr:uid="{00000000-0005-0000-0000-0000BADB0000}"/>
    <cellStyle name="Normal 9 6 4 2" xfId="40815" xr:uid="{00000000-0005-0000-0000-0000BBDB0000}"/>
    <cellStyle name="Normal 9 6 4 2 2" xfId="40816" xr:uid="{00000000-0005-0000-0000-0000BCDB0000}"/>
    <cellStyle name="Normal 9 6 4 2 2 2" xfId="61457" xr:uid="{00000000-0005-0000-0000-0000BDDB0000}"/>
    <cellStyle name="Normal 9 6 4 2 2 3" xfId="61458" xr:uid="{00000000-0005-0000-0000-0000BEDB0000}"/>
    <cellStyle name="Normal 9 6 4 2 3" xfId="40817" xr:uid="{00000000-0005-0000-0000-0000BFDB0000}"/>
    <cellStyle name="Normal 9 6 4 2 3 2" xfId="61459" xr:uid="{00000000-0005-0000-0000-0000C0DB0000}"/>
    <cellStyle name="Normal 9 6 4 2 4" xfId="40818" xr:uid="{00000000-0005-0000-0000-0000C1DB0000}"/>
    <cellStyle name="Normal 9 6 4 2 5" xfId="40819" xr:uid="{00000000-0005-0000-0000-0000C2DB0000}"/>
    <cellStyle name="Normal 9 6 4 2 6" xfId="40820" xr:uid="{00000000-0005-0000-0000-0000C3DB0000}"/>
    <cellStyle name="Normal 9 6 4 3" xfId="40821" xr:uid="{00000000-0005-0000-0000-0000C4DB0000}"/>
    <cellStyle name="Normal 9 6 4 3 2" xfId="61460" xr:uid="{00000000-0005-0000-0000-0000C5DB0000}"/>
    <cellStyle name="Normal 9 6 4 3 3" xfId="61461" xr:uid="{00000000-0005-0000-0000-0000C6DB0000}"/>
    <cellStyle name="Normal 9 6 4 4" xfId="40822" xr:uid="{00000000-0005-0000-0000-0000C7DB0000}"/>
    <cellStyle name="Normal 9 6 4 4 2" xfId="61462" xr:uid="{00000000-0005-0000-0000-0000C8DB0000}"/>
    <cellStyle name="Normal 9 6 4 5" xfId="40823" xr:uid="{00000000-0005-0000-0000-0000C9DB0000}"/>
    <cellStyle name="Normal 9 6 4 6" xfId="40824" xr:uid="{00000000-0005-0000-0000-0000CADB0000}"/>
    <cellStyle name="Normal 9 6 4 7" xfId="40825" xr:uid="{00000000-0005-0000-0000-0000CBDB0000}"/>
    <cellStyle name="Normal 9 6 5" xfId="40826" xr:uid="{00000000-0005-0000-0000-0000CCDB0000}"/>
    <cellStyle name="Normal 9 6 5 2" xfId="40827" xr:uid="{00000000-0005-0000-0000-0000CDDB0000}"/>
    <cellStyle name="Normal 9 6 5 2 2" xfId="61463" xr:uid="{00000000-0005-0000-0000-0000CEDB0000}"/>
    <cellStyle name="Normal 9 6 5 2 3" xfId="61464" xr:uid="{00000000-0005-0000-0000-0000CFDB0000}"/>
    <cellStyle name="Normal 9 6 5 3" xfId="40828" xr:uid="{00000000-0005-0000-0000-0000D0DB0000}"/>
    <cellStyle name="Normal 9 6 5 3 2" xfId="61465" xr:uid="{00000000-0005-0000-0000-0000D1DB0000}"/>
    <cellStyle name="Normal 9 6 5 4" xfId="40829" xr:uid="{00000000-0005-0000-0000-0000D2DB0000}"/>
    <cellStyle name="Normal 9 6 5 5" xfId="40830" xr:uid="{00000000-0005-0000-0000-0000D3DB0000}"/>
    <cellStyle name="Normal 9 6 5 6" xfId="40831" xr:uid="{00000000-0005-0000-0000-0000D4DB0000}"/>
    <cellStyle name="Normal 9 6 6" xfId="40832" xr:uid="{00000000-0005-0000-0000-0000D5DB0000}"/>
    <cellStyle name="Normal 9 6 6 2" xfId="61466" xr:uid="{00000000-0005-0000-0000-0000D6DB0000}"/>
    <cellStyle name="Normal 9 6 6 3" xfId="61467" xr:uid="{00000000-0005-0000-0000-0000D7DB0000}"/>
    <cellStyle name="Normal 9 6 7" xfId="40833" xr:uid="{00000000-0005-0000-0000-0000D8DB0000}"/>
    <cellStyle name="Normal 9 6 7 2" xfId="61468" xr:uid="{00000000-0005-0000-0000-0000D9DB0000}"/>
    <cellStyle name="Normal 9 6 8" xfId="40834" xr:uid="{00000000-0005-0000-0000-0000DADB0000}"/>
    <cellStyle name="Normal 9 6 9" xfId="40835" xr:uid="{00000000-0005-0000-0000-0000DBDB0000}"/>
    <cellStyle name="Normal 9 7" xfId="40836" xr:uid="{00000000-0005-0000-0000-0000DCDB0000}"/>
    <cellStyle name="Normal 9 7 10" xfId="40837" xr:uid="{00000000-0005-0000-0000-0000DDDB0000}"/>
    <cellStyle name="Normal 9 7 11" xfId="40838" xr:uid="{00000000-0005-0000-0000-0000DEDB0000}"/>
    <cellStyle name="Normal 9 7 12" xfId="40839" xr:uid="{00000000-0005-0000-0000-0000DFDB0000}"/>
    <cellStyle name="Normal 9 7 13" xfId="40840" xr:uid="{00000000-0005-0000-0000-0000E0DB0000}"/>
    <cellStyle name="Normal 9 7 14" xfId="40841" xr:uid="{00000000-0005-0000-0000-0000E1DB0000}"/>
    <cellStyle name="Normal 9 7 2" xfId="40842" xr:uid="{00000000-0005-0000-0000-0000E2DB0000}"/>
    <cellStyle name="Normal 9 7 2 2" xfId="40843" xr:uid="{00000000-0005-0000-0000-0000E3DB0000}"/>
    <cellStyle name="Normal 9 7 2 2 2" xfId="40844" xr:uid="{00000000-0005-0000-0000-0000E4DB0000}"/>
    <cellStyle name="Normal 9 7 2 2 2 2" xfId="40845" xr:uid="{00000000-0005-0000-0000-0000E5DB0000}"/>
    <cellStyle name="Normal 9 7 2 2 2 2 2" xfId="61469" xr:uid="{00000000-0005-0000-0000-0000E6DB0000}"/>
    <cellStyle name="Normal 9 7 2 2 2 2 3" xfId="61470" xr:uid="{00000000-0005-0000-0000-0000E7DB0000}"/>
    <cellStyle name="Normal 9 7 2 2 2 3" xfId="40846" xr:uid="{00000000-0005-0000-0000-0000E8DB0000}"/>
    <cellStyle name="Normal 9 7 2 2 2 3 2" xfId="61471" xr:uid="{00000000-0005-0000-0000-0000E9DB0000}"/>
    <cellStyle name="Normal 9 7 2 2 2 4" xfId="40847" xr:uid="{00000000-0005-0000-0000-0000EADB0000}"/>
    <cellStyle name="Normal 9 7 2 2 2 5" xfId="40848" xr:uid="{00000000-0005-0000-0000-0000EBDB0000}"/>
    <cellStyle name="Normal 9 7 2 2 2 6" xfId="40849" xr:uid="{00000000-0005-0000-0000-0000ECDB0000}"/>
    <cellStyle name="Normal 9 7 2 2 3" xfId="40850" xr:uid="{00000000-0005-0000-0000-0000EDDB0000}"/>
    <cellStyle name="Normal 9 7 2 2 3 2" xfId="61472" xr:uid="{00000000-0005-0000-0000-0000EEDB0000}"/>
    <cellStyle name="Normal 9 7 2 2 3 3" xfId="61473" xr:uid="{00000000-0005-0000-0000-0000EFDB0000}"/>
    <cellStyle name="Normal 9 7 2 2 4" xfId="40851" xr:uid="{00000000-0005-0000-0000-0000F0DB0000}"/>
    <cellStyle name="Normal 9 7 2 2 4 2" xfId="61474" xr:uid="{00000000-0005-0000-0000-0000F1DB0000}"/>
    <cellStyle name="Normal 9 7 2 2 5" xfId="40852" xr:uid="{00000000-0005-0000-0000-0000F2DB0000}"/>
    <cellStyle name="Normal 9 7 2 2 6" xfId="40853" xr:uid="{00000000-0005-0000-0000-0000F3DB0000}"/>
    <cellStyle name="Normal 9 7 2 2 7" xfId="40854" xr:uid="{00000000-0005-0000-0000-0000F4DB0000}"/>
    <cellStyle name="Normal 9 7 2 3" xfId="40855" xr:uid="{00000000-0005-0000-0000-0000F5DB0000}"/>
    <cellStyle name="Normal 9 7 2 3 2" xfId="40856" xr:uid="{00000000-0005-0000-0000-0000F6DB0000}"/>
    <cellStyle name="Normal 9 7 2 3 2 2" xfId="61475" xr:uid="{00000000-0005-0000-0000-0000F7DB0000}"/>
    <cellStyle name="Normal 9 7 2 3 2 3" xfId="61476" xr:uid="{00000000-0005-0000-0000-0000F8DB0000}"/>
    <cellStyle name="Normal 9 7 2 3 3" xfId="40857" xr:uid="{00000000-0005-0000-0000-0000F9DB0000}"/>
    <cellStyle name="Normal 9 7 2 3 3 2" xfId="61477" xr:uid="{00000000-0005-0000-0000-0000FADB0000}"/>
    <cellStyle name="Normal 9 7 2 3 4" xfId="40858" xr:uid="{00000000-0005-0000-0000-0000FBDB0000}"/>
    <cellStyle name="Normal 9 7 2 3 5" xfId="40859" xr:uid="{00000000-0005-0000-0000-0000FCDB0000}"/>
    <cellStyle name="Normal 9 7 2 3 6" xfId="40860" xr:uid="{00000000-0005-0000-0000-0000FDDB0000}"/>
    <cellStyle name="Normal 9 7 2 4" xfId="40861" xr:uid="{00000000-0005-0000-0000-0000FEDB0000}"/>
    <cellStyle name="Normal 9 7 2 4 2" xfId="61478" xr:uid="{00000000-0005-0000-0000-0000FFDB0000}"/>
    <cellStyle name="Normal 9 7 2 4 3" xfId="61479" xr:uid="{00000000-0005-0000-0000-000000DC0000}"/>
    <cellStyle name="Normal 9 7 2 5" xfId="40862" xr:uid="{00000000-0005-0000-0000-000001DC0000}"/>
    <cellStyle name="Normal 9 7 2 5 2" xfId="61480" xr:uid="{00000000-0005-0000-0000-000002DC0000}"/>
    <cellStyle name="Normal 9 7 2 6" xfId="40863" xr:uid="{00000000-0005-0000-0000-000003DC0000}"/>
    <cellStyle name="Normal 9 7 2 7" xfId="40864" xr:uid="{00000000-0005-0000-0000-000004DC0000}"/>
    <cellStyle name="Normal 9 7 2 8" xfId="40865" xr:uid="{00000000-0005-0000-0000-000005DC0000}"/>
    <cellStyle name="Normal 9 7 2 9" xfId="40866" xr:uid="{00000000-0005-0000-0000-000006DC0000}"/>
    <cellStyle name="Normal 9 7 3" xfId="40867" xr:uid="{00000000-0005-0000-0000-000007DC0000}"/>
    <cellStyle name="Normal 9 7 3 2" xfId="40868" xr:uid="{00000000-0005-0000-0000-000008DC0000}"/>
    <cellStyle name="Normal 9 7 3 2 2" xfId="40869" xr:uid="{00000000-0005-0000-0000-000009DC0000}"/>
    <cellStyle name="Normal 9 7 3 2 2 2" xfId="40870" xr:uid="{00000000-0005-0000-0000-00000ADC0000}"/>
    <cellStyle name="Normal 9 7 3 2 2 2 2" xfId="61481" xr:uid="{00000000-0005-0000-0000-00000BDC0000}"/>
    <cellStyle name="Normal 9 7 3 2 2 2 3" xfId="61482" xr:uid="{00000000-0005-0000-0000-00000CDC0000}"/>
    <cellStyle name="Normal 9 7 3 2 2 3" xfId="40871" xr:uid="{00000000-0005-0000-0000-00000DDC0000}"/>
    <cellStyle name="Normal 9 7 3 2 2 3 2" xfId="61483" xr:uid="{00000000-0005-0000-0000-00000EDC0000}"/>
    <cellStyle name="Normal 9 7 3 2 2 4" xfId="40872" xr:uid="{00000000-0005-0000-0000-00000FDC0000}"/>
    <cellStyle name="Normal 9 7 3 2 2 5" xfId="40873" xr:uid="{00000000-0005-0000-0000-000010DC0000}"/>
    <cellStyle name="Normal 9 7 3 2 2 6" xfId="40874" xr:uid="{00000000-0005-0000-0000-000011DC0000}"/>
    <cellStyle name="Normal 9 7 3 2 3" xfId="40875" xr:uid="{00000000-0005-0000-0000-000012DC0000}"/>
    <cellStyle name="Normal 9 7 3 2 3 2" xfId="61484" xr:uid="{00000000-0005-0000-0000-000013DC0000}"/>
    <cellStyle name="Normal 9 7 3 2 3 3" xfId="61485" xr:uid="{00000000-0005-0000-0000-000014DC0000}"/>
    <cellStyle name="Normal 9 7 3 2 4" xfId="40876" xr:uid="{00000000-0005-0000-0000-000015DC0000}"/>
    <cellStyle name="Normal 9 7 3 2 4 2" xfId="61486" xr:uid="{00000000-0005-0000-0000-000016DC0000}"/>
    <cellStyle name="Normal 9 7 3 2 5" xfId="40877" xr:uid="{00000000-0005-0000-0000-000017DC0000}"/>
    <cellStyle name="Normal 9 7 3 2 6" xfId="40878" xr:uid="{00000000-0005-0000-0000-000018DC0000}"/>
    <cellStyle name="Normal 9 7 3 2 7" xfId="40879" xr:uid="{00000000-0005-0000-0000-000019DC0000}"/>
    <cellStyle name="Normal 9 7 3 3" xfId="40880" xr:uid="{00000000-0005-0000-0000-00001ADC0000}"/>
    <cellStyle name="Normal 9 7 3 3 2" xfId="40881" xr:uid="{00000000-0005-0000-0000-00001BDC0000}"/>
    <cellStyle name="Normal 9 7 3 3 2 2" xfId="61487" xr:uid="{00000000-0005-0000-0000-00001CDC0000}"/>
    <cellStyle name="Normal 9 7 3 3 2 3" xfId="61488" xr:uid="{00000000-0005-0000-0000-00001DDC0000}"/>
    <cellStyle name="Normal 9 7 3 3 3" xfId="40882" xr:uid="{00000000-0005-0000-0000-00001EDC0000}"/>
    <cellStyle name="Normal 9 7 3 3 3 2" xfId="61489" xr:uid="{00000000-0005-0000-0000-00001FDC0000}"/>
    <cellStyle name="Normal 9 7 3 3 4" xfId="40883" xr:uid="{00000000-0005-0000-0000-000020DC0000}"/>
    <cellStyle name="Normal 9 7 3 3 5" xfId="40884" xr:uid="{00000000-0005-0000-0000-000021DC0000}"/>
    <cellStyle name="Normal 9 7 3 3 6" xfId="40885" xr:uid="{00000000-0005-0000-0000-000022DC0000}"/>
    <cellStyle name="Normal 9 7 3 4" xfId="40886" xr:uid="{00000000-0005-0000-0000-000023DC0000}"/>
    <cellStyle name="Normal 9 7 3 4 2" xfId="61490" xr:uid="{00000000-0005-0000-0000-000024DC0000}"/>
    <cellStyle name="Normal 9 7 3 4 3" xfId="61491" xr:uid="{00000000-0005-0000-0000-000025DC0000}"/>
    <cellStyle name="Normal 9 7 3 5" xfId="40887" xr:uid="{00000000-0005-0000-0000-000026DC0000}"/>
    <cellStyle name="Normal 9 7 3 5 2" xfId="61492" xr:uid="{00000000-0005-0000-0000-000027DC0000}"/>
    <cellStyle name="Normal 9 7 3 6" xfId="40888" xr:uid="{00000000-0005-0000-0000-000028DC0000}"/>
    <cellStyle name="Normal 9 7 3 7" xfId="40889" xr:uid="{00000000-0005-0000-0000-000029DC0000}"/>
    <cellStyle name="Normal 9 7 3 8" xfId="40890" xr:uid="{00000000-0005-0000-0000-00002ADC0000}"/>
    <cellStyle name="Normal 9 7 4" xfId="40891" xr:uid="{00000000-0005-0000-0000-00002BDC0000}"/>
    <cellStyle name="Normal 9 7 4 2" xfId="40892" xr:uid="{00000000-0005-0000-0000-00002CDC0000}"/>
    <cellStyle name="Normal 9 7 4 2 2" xfId="40893" xr:uid="{00000000-0005-0000-0000-00002DDC0000}"/>
    <cellStyle name="Normal 9 7 4 2 2 2" xfId="61493" xr:uid="{00000000-0005-0000-0000-00002EDC0000}"/>
    <cellStyle name="Normal 9 7 4 2 2 3" xfId="61494" xr:uid="{00000000-0005-0000-0000-00002FDC0000}"/>
    <cellStyle name="Normal 9 7 4 2 3" xfId="40894" xr:uid="{00000000-0005-0000-0000-000030DC0000}"/>
    <cellStyle name="Normal 9 7 4 2 3 2" xfId="61495" xr:uid="{00000000-0005-0000-0000-000031DC0000}"/>
    <cellStyle name="Normal 9 7 4 2 4" xfId="40895" xr:uid="{00000000-0005-0000-0000-000032DC0000}"/>
    <cellStyle name="Normal 9 7 4 2 5" xfId="40896" xr:uid="{00000000-0005-0000-0000-000033DC0000}"/>
    <cellStyle name="Normal 9 7 4 2 6" xfId="40897" xr:uid="{00000000-0005-0000-0000-000034DC0000}"/>
    <cellStyle name="Normal 9 7 4 3" xfId="40898" xr:uid="{00000000-0005-0000-0000-000035DC0000}"/>
    <cellStyle name="Normal 9 7 4 3 2" xfId="61496" xr:uid="{00000000-0005-0000-0000-000036DC0000}"/>
    <cellStyle name="Normal 9 7 4 3 3" xfId="61497" xr:uid="{00000000-0005-0000-0000-000037DC0000}"/>
    <cellStyle name="Normal 9 7 4 4" xfId="40899" xr:uid="{00000000-0005-0000-0000-000038DC0000}"/>
    <cellStyle name="Normal 9 7 4 4 2" xfId="61498" xr:uid="{00000000-0005-0000-0000-000039DC0000}"/>
    <cellStyle name="Normal 9 7 4 5" xfId="40900" xr:uid="{00000000-0005-0000-0000-00003ADC0000}"/>
    <cellStyle name="Normal 9 7 4 6" xfId="40901" xr:uid="{00000000-0005-0000-0000-00003BDC0000}"/>
    <cellStyle name="Normal 9 7 4 7" xfId="40902" xr:uid="{00000000-0005-0000-0000-00003CDC0000}"/>
    <cellStyle name="Normal 9 7 5" xfId="40903" xr:uid="{00000000-0005-0000-0000-00003DDC0000}"/>
    <cellStyle name="Normal 9 7 5 2" xfId="40904" xr:uid="{00000000-0005-0000-0000-00003EDC0000}"/>
    <cellStyle name="Normal 9 7 5 2 2" xfId="61499" xr:uid="{00000000-0005-0000-0000-00003FDC0000}"/>
    <cellStyle name="Normal 9 7 5 2 3" xfId="61500" xr:uid="{00000000-0005-0000-0000-000040DC0000}"/>
    <cellStyle name="Normal 9 7 5 3" xfId="40905" xr:uid="{00000000-0005-0000-0000-000041DC0000}"/>
    <cellStyle name="Normal 9 7 5 3 2" xfId="61501" xr:uid="{00000000-0005-0000-0000-000042DC0000}"/>
    <cellStyle name="Normal 9 7 5 4" xfId="40906" xr:uid="{00000000-0005-0000-0000-000043DC0000}"/>
    <cellStyle name="Normal 9 7 5 5" xfId="40907" xr:uid="{00000000-0005-0000-0000-000044DC0000}"/>
    <cellStyle name="Normal 9 7 5 6" xfId="40908" xr:uid="{00000000-0005-0000-0000-000045DC0000}"/>
    <cellStyle name="Normal 9 7 6" xfId="40909" xr:uid="{00000000-0005-0000-0000-000046DC0000}"/>
    <cellStyle name="Normal 9 7 6 2" xfId="61502" xr:uid="{00000000-0005-0000-0000-000047DC0000}"/>
    <cellStyle name="Normal 9 7 6 3" xfId="61503" xr:uid="{00000000-0005-0000-0000-000048DC0000}"/>
    <cellStyle name="Normal 9 7 7" xfId="40910" xr:uid="{00000000-0005-0000-0000-000049DC0000}"/>
    <cellStyle name="Normal 9 7 7 2" xfId="61504" xr:uid="{00000000-0005-0000-0000-00004ADC0000}"/>
    <cellStyle name="Normal 9 7 8" xfId="40911" xr:uid="{00000000-0005-0000-0000-00004BDC0000}"/>
    <cellStyle name="Normal 9 7 9" xfId="40912" xr:uid="{00000000-0005-0000-0000-00004CDC0000}"/>
    <cellStyle name="Normal 9 8" xfId="40913" xr:uid="{00000000-0005-0000-0000-00004DDC0000}"/>
    <cellStyle name="Normal 9 8 10" xfId="40914" xr:uid="{00000000-0005-0000-0000-00004EDC0000}"/>
    <cellStyle name="Normal 9 8 11" xfId="40915" xr:uid="{00000000-0005-0000-0000-00004FDC0000}"/>
    <cellStyle name="Normal 9 8 12" xfId="40916" xr:uid="{00000000-0005-0000-0000-000050DC0000}"/>
    <cellStyle name="Normal 9 8 13" xfId="40917" xr:uid="{00000000-0005-0000-0000-000051DC0000}"/>
    <cellStyle name="Normal 9 8 2" xfId="40918" xr:uid="{00000000-0005-0000-0000-000052DC0000}"/>
    <cellStyle name="Normal 9 8 2 2" xfId="40919" xr:uid="{00000000-0005-0000-0000-000053DC0000}"/>
    <cellStyle name="Normal 9 8 2 2 2" xfId="40920" xr:uid="{00000000-0005-0000-0000-000054DC0000}"/>
    <cellStyle name="Normal 9 8 2 2 2 2" xfId="40921" xr:uid="{00000000-0005-0000-0000-000055DC0000}"/>
    <cellStyle name="Normal 9 8 2 2 2 2 2" xfId="61505" xr:uid="{00000000-0005-0000-0000-000056DC0000}"/>
    <cellStyle name="Normal 9 8 2 2 2 2 3" xfId="61506" xr:uid="{00000000-0005-0000-0000-000057DC0000}"/>
    <cellStyle name="Normal 9 8 2 2 2 3" xfId="40922" xr:uid="{00000000-0005-0000-0000-000058DC0000}"/>
    <cellStyle name="Normal 9 8 2 2 2 3 2" xfId="61507" xr:uid="{00000000-0005-0000-0000-000059DC0000}"/>
    <cellStyle name="Normal 9 8 2 2 2 4" xfId="40923" xr:uid="{00000000-0005-0000-0000-00005ADC0000}"/>
    <cellStyle name="Normal 9 8 2 2 2 5" xfId="40924" xr:uid="{00000000-0005-0000-0000-00005BDC0000}"/>
    <cellStyle name="Normal 9 8 2 2 2 6" xfId="40925" xr:uid="{00000000-0005-0000-0000-00005CDC0000}"/>
    <cellStyle name="Normal 9 8 2 2 3" xfId="40926" xr:uid="{00000000-0005-0000-0000-00005DDC0000}"/>
    <cellStyle name="Normal 9 8 2 2 3 2" xfId="61508" xr:uid="{00000000-0005-0000-0000-00005EDC0000}"/>
    <cellStyle name="Normal 9 8 2 2 3 3" xfId="61509" xr:uid="{00000000-0005-0000-0000-00005FDC0000}"/>
    <cellStyle name="Normal 9 8 2 2 4" xfId="40927" xr:uid="{00000000-0005-0000-0000-000060DC0000}"/>
    <cellStyle name="Normal 9 8 2 2 4 2" xfId="61510" xr:uid="{00000000-0005-0000-0000-000061DC0000}"/>
    <cellStyle name="Normal 9 8 2 2 5" xfId="40928" xr:uid="{00000000-0005-0000-0000-000062DC0000}"/>
    <cellStyle name="Normal 9 8 2 2 6" xfId="40929" xr:uid="{00000000-0005-0000-0000-000063DC0000}"/>
    <cellStyle name="Normal 9 8 2 2 7" xfId="40930" xr:uid="{00000000-0005-0000-0000-000064DC0000}"/>
    <cellStyle name="Normal 9 8 2 3" xfId="40931" xr:uid="{00000000-0005-0000-0000-000065DC0000}"/>
    <cellStyle name="Normal 9 8 2 3 2" xfId="40932" xr:uid="{00000000-0005-0000-0000-000066DC0000}"/>
    <cellStyle name="Normal 9 8 2 3 2 2" xfId="61511" xr:uid="{00000000-0005-0000-0000-000067DC0000}"/>
    <cellStyle name="Normal 9 8 2 3 2 3" xfId="61512" xr:uid="{00000000-0005-0000-0000-000068DC0000}"/>
    <cellStyle name="Normal 9 8 2 3 3" xfId="40933" xr:uid="{00000000-0005-0000-0000-000069DC0000}"/>
    <cellStyle name="Normal 9 8 2 3 3 2" xfId="61513" xr:uid="{00000000-0005-0000-0000-00006ADC0000}"/>
    <cellStyle name="Normal 9 8 2 3 4" xfId="40934" xr:uid="{00000000-0005-0000-0000-00006BDC0000}"/>
    <cellStyle name="Normal 9 8 2 3 5" xfId="40935" xr:uid="{00000000-0005-0000-0000-00006CDC0000}"/>
    <cellStyle name="Normal 9 8 2 3 6" xfId="40936" xr:uid="{00000000-0005-0000-0000-00006DDC0000}"/>
    <cellStyle name="Normal 9 8 2 4" xfId="40937" xr:uid="{00000000-0005-0000-0000-00006EDC0000}"/>
    <cellStyle name="Normal 9 8 2 4 2" xfId="61514" xr:uid="{00000000-0005-0000-0000-00006FDC0000}"/>
    <cellStyle name="Normal 9 8 2 4 3" xfId="61515" xr:uid="{00000000-0005-0000-0000-000070DC0000}"/>
    <cellStyle name="Normal 9 8 2 5" xfId="40938" xr:uid="{00000000-0005-0000-0000-000071DC0000}"/>
    <cellStyle name="Normal 9 8 2 5 2" xfId="61516" xr:uid="{00000000-0005-0000-0000-000072DC0000}"/>
    <cellStyle name="Normal 9 8 2 6" xfId="40939" xr:uid="{00000000-0005-0000-0000-000073DC0000}"/>
    <cellStyle name="Normal 9 8 2 7" xfId="40940" xr:uid="{00000000-0005-0000-0000-000074DC0000}"/>
    <cellStyle name="Normal 9 8 2 8" xfId="40941" xr:uid="{00000000-0005-0000-0000-000075DC0000}"/>
    <cellStyle name="Normal 9 8 2 9" xfId="40942" xr:uid="{00000000-0005-0000-0000-000076DC0000}"/>
    <cellStyle name="Normal 9 8 3" xfId="40943" xr:uid="{00000000-0005-0000-0000-000077DC0000}"/>
    <cellStyle name="Normal 9 8 3 2" xfId="40944" xr:uid="{00000000-0005-0000-0000-000078DC0000}"/>
    <cellStyle name="Normal 9 8 3 2 2" xfId="40945" xr:uid="{00000000-0005-0000-0000-000079DC0000}"/>
    <cellStyle name="Normal 9 8 3 2 2 2" xfId="61517" xr:uid="{00000000-0005-0000-0000-00007ADC0000}"/>
    <cellStyle name="Normal 9 8 3 2 2 3" xfId="61518" xr:uid="{00000000-0005-0000-0000-00007BDC0000}"/>
    <cellStyle name="Normal 9 8 3 2 3" xfId="40946" xr:uid="{00000000-0005-0000-0000-00007CDC0000}"/>
    <cellStyle name="Normal 9 8 3 2 3 2" xfId="61519" xr:uid="{00000000-0005-0000-0000-00007DDC0000}"/>
    <cellStyle name="Normal 9 8 3 2 4" xfId="40947" xr:uid="{00000000-0005-0000-0000-00007EDC0000}"/>
    <cellStyle name="Normal 9 8 3 2 5" xfId="40948" xr:uid="{00000000-0005-0000-0000-00007FDC0000}"/>
    <cellStyle name="Normal 9 8 3 2 6" xfId="40949" xr:uid="{00000000-0005-0000-0000-000080DC0000}"/>
    <cellStyle name="Normal 9 8 3 3" xfId="40950" xr:uid="{00000000-0005-0000-0000-000081DC0000}"/>
    <cellStyle name="Normal 9 8 3 3 2" xfId="61520" xr:uid="{00000000-0005-0000-0000-000082DC0000}"/>
    <cellStyle name="Normal 9 8 3 3 3" xfId="61521" xr:uid="{00000000-0005-0000-0000-000083DC0000}"/>
    <cellStyle name="Normal 9 8 3 4" xfId="40951" xr:uid="{00000000-0005-0000-0000-000084DC0000}"/>
    <cellStyle name="Normal 9 8 3 4 2" xfId="61522" xr:uid="{00000000-0005-0000-0000-000085DC0000}"/>
    <cellStyle name="Normal 9 8 3 5" xfId="40952" xr:uid="{00000000-0005-0000-0000-000086DC0000}"/>
    <cellStyle name="Normal 9 8 3 6" xfId="40953" xr:uid="{00000000-0005-0000-0000-000087DC0000}"/>
    <cellStyle name="Normal 9 8 3 7" xfId="40954" xr:uid="{00000000-0005-0000-0000-000088DC0000}"/>
    <cellStyle name="Normal 9 8 4" xfId="40955" xr:uid="{00000000-0005-0000-0000-000089DC0000}"/>
    <cellStyle name="Normal 9 8 4 2" xfId="40956" xr:uid="{00000000-0005-0000-0000-00008ADC0000}"/>
    <cellStyle name="Normal 9 8 4 2 2" xfId="61523" xr:uid="{00000000-0005-0000-0000-00008BDC0000}"/>
    <cellStyle name="Normal 9 8 4 2 3" xfId="61524" xr:uid="{00000000-0005-0000-0000-00008CDC0000}"/>
    <cellStyle name="Normal 9 8 4 3" xfId="40957" xr:uid="{00000000-0005-0000-0000-00008DDC0000}"/>
    <cellStyle name="Normal 9 8 4 3 2" xfId="61525" xr:uid="{00000000-0005-0000-0000-00008EDC0000}"/>
    <cellStyle name="Normal 9 8 4 4" xfId="40958" xr:uid="{00000000-0005-0000-0000-00008FDC0000}"/>
    <cellStyle name="Normal 9 8 4 5" xfId="40959" xr:uid="{00000000-0005-0000-0000-000090DC0000}"/>
    <cellStyle name="Normal 9 8 4 6" xfId="40960" xr:uid="{00000000-0005-0000-0000-000091DC0000}"/>
    <cellStyle name="Normal 9 8 5" xfId="40961" xr:uid="{00000000-0005-0000-0000-000092DC0000}"/>
    <cellStyle name="Normal 9 8 5 2" xfId="61526" xr:uid="{00000000-0005-0000-0000-000093DC0000}"/>
    <cellStyle name="Normal 9 8 5 3" xfId="61527" xr:uid="{00000000-0005-0000-0000-000094DC0000}"/>
    <cellStyle name="Normal 9 8 6" xfId="40962" xr:uid="{00000000-0005-0000-0000-000095DC0000}"/>
    <cellStyle name="Normal 9 8 6 2" xfId="61528" xr:uid="{00000000-0005-0000-0000-000096DC0000}"/>
    <cellStyle name="Normal 9 8 7" xfId="40963" xr:uid="{00000000-0005-0000-0000-000097DC0000}"/>
    <cellStyle name="Normal 9 8 8" xfId="40964" xr:uid="{00000000-0005-0000-0000-000098DC0000}"/>
    <cellStyle name="Normal 9 8 9" xfId="40965" xr:uid="{00000000-0005-0000-0000-000099DC0000}"/>
    <cellStyle name="Normal 9 9" xfId="40966" xr:uid="{00000000-0005-0000-0000-00009ADC0000}"/>
    <cellStyle name="Normal 9 9 2" xfId="40967" xr:uid="{00000000-0005-0000-0000-00009BDC0000}"/>
    <cellStyle name="Normal 9 9 2 2" xfId="40968" xr:uid="{00000000-0005-0000-0000-00009CDC0000}"/>
    <cellStyle name="Normal 9 9 2 2 2" xfId="40969" xr:uid="{00000000-0005-0000-0000-00009DDC0000}"/>
    <cellStyle name="Normal 9 9 2 2 2 2" xfId="61529" xr:uid="{00000000-0005-0000-0000-00009EDC0000}"/>
    <cellStyle name="Normal 9 9 2 2 2 3" xfId="61530" xr:uid="{00000000-0005-0000-0000-00009FDC0000}"/>
    <cellStyle name="Normal 9 9 2 2 3" xfId="40970" xr:uid="{00000000-0005-0000-0000-0000A0DC0000}"/>
    <cellStyle name="Normal 9 9 2 2 3 2" xfId="61531" xr:uid="{00000000-0005-0000-0000-0000A1DC0000}"/>
    <cellStyle name="Normal 9 9 2 2 4" xfId="40971" xr:uid="{00000000-0005-0000-0000-0000A2DC0000}"/>
    <cellStyle name="Normal 9 9 2 2 5" xfId="40972" xr:uid="{00000000-0005-0000-0000-0000A3DC0000}"/>
    <cellStyle name="Normal 9 9 2 2 6" xfId="40973" xr:uid="{00000000-0005-0000-0000-0000A4DC0000}"/>
    <cellStyle name="Normal 9 9 2 3" xfId="40974" xr:uid="{00000000-0005-0000-0000-0000A5DC0000}"/>
    <cellStyle name="Normal 9 9 2 3 2" xfId="61532" xr:uid="{00000000-0005-0000-0000-0000A6DC0000}"/>
    <cellStyle name="Normal 9 9 2 3 3" xfId="61533" xr:uid="{00000000-0005-0000-0000-0000A7DC0000}"/>
    <cellStyle name="Normal 9 9 2 4" xfId="40975" xr:uid="{00000000-0005-0000-0000-0000A8DC0000}"/>
    <cellStyle name="Normal 9 9 2 4 2" xfId="61534" xr:uid="{00000000-0005-0000-0000-0000A9DC0000}"/>
    <cellStyle name="Normal 9 9 2 5" xfId="40976" xr:uid="{00000000-0005-0000-0000-0000AADC0000}"/>
    <cellStyle name="Normal 9 9 2 6" xfId="40977" xr:uid="{00000000-0005-0000-0000-0000ABDC0000}"/>
    <cellStyle name="Normal 9 9 2 7" xfId="40978" xr:uid="{00000000-0005-0000-0000-0000ACDC0000}"/>
    <cellStyle name="Normal 9 9 3" xfId="40979" xr:uid="{00000000-0005-0000-0000-0000ADDC0000}"/>
    <cellStyle name="Normal 9 9 3 2" xfId="40980" xr:uid="{00000000-0005-0000-0000-0000AEDC0000}"/>
    <cellStyle name="Normal 9 9 3 2 2" xfId="61535" xr:uid="{00000000-0005-0000-0000-0000AFDC0000}"/>
    <cellStyle name="Normal 9 9 3 2 3" xfId="61536" xr:uid="{00000000-0005-0000-0000-0000B0DC0000}"/>
    <cellStyle name="Normal 9 9 3 3" xfId="40981" xr:uid="{00000000-0005-0000-0000-0000B1DC0000}"/>
    <cellStyle name="Normal 9 9 3 3 2" xfId="61537" xr:uid="{00000000-0005-0000-0000-0000B2DC0000}"/>
    <cellStyle name="Normal 9 9 3 4" xfId="40982" xr:uid="{00000000-0005-0000-0000-0000B3DC0000}"/>
    <cellStyle name="Normal 9 9 3 5" xfId="40983" xr:uid="{00000000-0005-0000-0000-0000B4DC0000}"/>
    <cellStyle name="Normal 9 9 3 6" xfId="40984" xr:uid="{00000000-0005-0000-0000-0000B5DC0000}"/>
    <cellStyle name="Normal 9 9 4" xfId="40985" xr:uid="{00000000-0005-0000-0000-0000B6DC0000}"/>
    <cellStyle name="Normal 9 9 4 2" xfId="61538" xr:uid="{00000000-0005-0000-0000-0000B7DC0000}"/>
    <cellStyle name="Normal 9 9 4 3" xfId="61539" xr:uid="{00000000-0005-0000-0000-0000B8DC0000}"/>
    <cellStyle name="Normal 9 9 5" xfId="40986" xr:uid="{00000000-0005-0000-0000-0000B9DC0000}"/>
    <cellStyle name="Normal 9 9 5 2" xfId="61540" xr:uid="{00000000-0005-0000-0000-0000BADC0000}"/>
    <cellStyle name="Normal 9 9 6" xfId="40987" xr:uid="{00000000-0005-0000-0000-0000BBDC0000}"/>
    <cellStyle name="Normal 9 9 7" xfId="40988" xr:uid="{00000000-0005-0000-0000-0000BCDC0000}"/>
    <cellStyle name="Normal 9 9 8" xfId="40989" xr:uid="{00000000-0005-0000-0000-0000BDDC0000}"/>
    <cellStyle name="Normal 9 9 9" xfId="40990" xr:uid="{00000000-0005-0000-0000-0000BEDC0000}"/>
    <cellStyle name="Normal 9_Sheet2" xfId="40991" xr:uid="{00000000-0005-0000-0000-0000BFDC0000}"/>
    <cellStyle name="Normal 90" xfId="40992" xr:uid="{00000000-0005-0000-0000-0000C0DC0000}"/>
    <cellStyle name="Normal 90 10" xfId="40993" xr:uid="{00000000-0005-0000-0000-0000C1DC0000}"/>
    <cellStyle name="Normal 90 10 2" xfId="40994" xr:uid="{00000000-0005-0000-0000-0000C2DC0000}"/>
    <cellStyle name="Normal 90 11" xfId="40995" xr:uid="{00000000-0005-0000-0000-0000C3DC0000}"/>
    <cellStyle name="Normal 90 11 2" xfId="40996" xr:uid="{00000000-0005-0000-0000-0000C4DC0000}"/>
    <cellStyle name="Normal 90 12" xfId="40997" xr:uid="{00000000-0005-0000-0000-0000C5DC0000}"/>
    <cellStyle name="Normal 90 13" xfId="40998" xr:uid="{00000000-0005-0000-0000-0000C6DC0000}"/>
    <cellStyle name="Normal 90 2" xfId="40999" xr:uid="{00000000-0005-0000-0000-0000C7DC0000}"/>
    <cellStyle name="Normal 90 2 10" xfId="41000" xr:uid="{00000000-0005-0000-0000-0000C8DC0000}"/>
    <cellStyle name="Normal 90 2 10 2" xfId="41001" xr:uid="{00000000-0005-0000-0000-0000C9DC0000}"/>
    <cellStyle name="Normal 90 2 11" xfId="41002" xr:uid="{00000000-0005-0000-0000-0000CADC0000}"/>
    <cellStyle name="Normal 90 2 2" xfId="41003" xr:uid="{00000000-0005-0000-0000-0000CBDC0000}"/>
    <cellStyle name="Normal 90 2 2 2" xfId="41004" xr:uid="{00000000-0005-0000-0000-0000CCDC0000}"/>
    <cellStyle name="Normal 90 2 2 2 2" xfId="41005" xr:uid="{00000000-0005-0000-0000-0000CDDC0000}"/>
    <cellStyle name="Normal 90 2 2 2 2 2" xfId="41006" xr:uid="{00000000-0005-0000-0000-0000CEDC0000}"/>
    <cellStyle name="Normal 90 2 2 2 3" xfId="41007" xr:uid="{00000000-0005-0000-0000-0000CFDC0000}"/>
    <cellStyle name="Normal 90 2 2 2 3 2" xfId="41008" xr:uid="{00000000-0005-0000-0000-0000D0DC0000}"/>
    <cellStyle name="Normal 90 2 2 2 4" xfId="41009" xr:uid="{00000000-0005-0000-0000-0000D1DC0000}"/>
    <cellStyle name="Normal 90 2 2 3" xfId="41010" xr:uid="{00000000-0005-0000-0000-0000D2DC0000}"/>
    <cellStyle name="Normal 90 2 2 3 2" xfId="41011" xr:uid="{00000000-0005-0000-0000-0000D3DC0000}"/>
    <cellStyle name="Normal 90 2 2 3 2 2" xfId="41012" xr:uid="{00000000-0005-0000-0000-0000D4DC0000}"/>
    <cellStyle name="Normal 90 2 2 3 3" xfId="41013" xr:uid="{00000000-0005-0000-0000-0000D5DC0000}"/>
    <cellStyle name="Normal 90 2 2 3 3 2" xfId="41014" xr:uid="{00000000-0005-0000-0000-0000D6DC0000}"/>
    <cellStyle name="Normal 90 2 2 3 4" xfId="41015" xr:uid="{00000000-0005-0000-0000-0000D7DC0000}"/>
    <cellStyle name="Normal 90 2 2 4" xfId="41016" xr:uid="{00000000-0005-0000-0000-0000D8DC0000}"/>
    <cellStyle name="Normal 90 2 2 4 2" xfId="41017" xr:uid="{00000000-0005-0000-0000-0000D9DC0000}"/>
    <cellStyle name="Normal 90 2 2 5" xfId="41018" xr:uid="{00000000-0005-0000-0000-0000DADC0000}"/>
    <cellStyle name="Normal 90 2 2 5 2" xfId="41019" xr:uid="{00000000-0005-0000-0000-0000DBDC0000}"/>
    <cellStyle name="Normal 90 2 2 6" xfId="41020" xr:uid="{00000000-0005-0000-0000-0000DCDC0000}"/>
    <cellStyle name="Normal 90 2 3" xfId="41021" xr:uid="{00000000-0005-0000-0000-0000DDDC0000}"/>
    <cellStyle name="Normal 90 2 3 2" xfId="41022" xr:uid="{00000000-0005-0000-0000-0000DEDC0000}"/>
    <cellStyle name="Normal 90 2 3 2 2" xfId="41023" xr:uid="{00000000-0005-0000-0000-0000DFDC0000}"/>
    <cellStyle name="Normal 90 2 3 3" xfId="41024" xr:uid="{00000000-0005-0000-0000-0000E0DC0000}"/>
    <cellStyle name="Normal 90 2 3 3 2" xfId="41025" xr:uid="{00000000-0005-0000-0000-0000E1DC0000}"/>
    <cellStyle name="Normal 90 2 3 4" xfId="41026" xr:uid="{00000000-0005-0000-0000-0000E2DC0000}"/>
    <cellStyle name="Normal 90 2 4" xfId="41027" xr:uid="{00000000-0005-0000-0000-0000E3DC0000}"/>
    <cellStyle name="Normal 90 2 4 2" xfId="41028" xr:uid="{00000000-0005-0000-0000-0000E4DC0000}"/>
    <cellStyle name="Normal 90 2 4 2 2" xfId="41029" xr:uid="{00000000-0005-0000-0000-0000E5DC0000}"/>
    <cellStyle name="Normal 90 2 4 3" xfId="41030" xr:uid="{00000000-0005-0000-0000-0000E6DC0000}"/>
    <cellStyle name="Normal 90 2 4 3 2" xfId="41031" xr:uid="{00000000-0005-0000-0000-0000E7DC0000}"/>
    <cellStyle name="Normal 90 2 4 4" xfId="41032" xr:uid="{00000000-0005-0000-0000-0000E8DC0000}"/>
    <cellStyle name="Normal 90 2 5" xfId="41033" xr:uid="{00000000-0005-0000-0000-0000E9DC0000}"/>
    <cellStyle name="Normal 90 2 5 2" xfId="41034" xr:uid="{00000000-0005-0000-0000-0000EADC0000}"/>
    <cellStyle name="Normal 90 2 5 2 2" xfId="41035" xr:uid="{00000000-0005-0000-0000-0000EBDC0000}"/>
    <cellStyle name="Normal 90 2 5 3" xfId="41036" xr:uid="{00000000-0005-0000-0000-0000ECDC0000}"/>
    <cellStyle name="Normal 90 2 5 3 2" xfId="41037" xr:uid="{00000000-0005-0000-0000-0000EDDC0000}"/>
    <cellStyle name="Normal 90 2 5 4" xfId="41038" xr:uid="{00000000-0005-0000-0000-0000EEDC0000}"/>
    <cellStyle name="Normal 90 2 6" xfId="41039" xr:uid="{00000000-0005-0000-0000-0000EFDC0000}"/>
    <cellStyle name="Normal 90 2 6 2" xfId="41040" xr:uid="{00000000-0005-0000-0000-0000F0DC0000}"/>
    <cellStyle name="Normal 90 2 6 2 2" xfId="41041" xr:uid="{00000000-0005-0000-0000-0000F1DC0000}"/>
    <cellStyle name="Normal 90 2 6 3" xfId="41042" xr:uid="{00000000-0005-0000-0000-0000F2DC0000}"/>
    <cellStyle name="Normal 90 2 6 3 2" xfId="41043" xr:uid="{00000000-0005-0000-0000-0000F3DC0000}"/>
    <cellStyle name="Normal 90 2 6 4" xfId="41044" xr:uid="{00000000-0005-0000-0000-0000F4DC0000}"/>
    <cellStyle name="Normal 90 2 7" xfId="41045" xr:uid="{00000000-0005-0000-0000-0000F5DC0000}"/>
    <cellStyle name="Normal 90 2 7 2" xfId="41046" xr:uid="{00000000-0005-0000-0000-0000F6DC0000}"/>
    <cellStyle name="Normal 90 2 7 2 2" xfId="41047" xr:uid="{00000000-0005-0000-0000-0000F7DC0000}"/>
    <cellStyle name="Normal 90 2 7 3" xfId="41048" xr:uid="{00000000-0005-0000-0000-0000F8DC0000}"/>
    <cellStyle name="Normal 90 2 7 3 2" xfId="41049" xr:uid="{00000000-0005-0000-0000-0000F9DC0000}"/>
    <cellStyle name="Normal 90 2 7 4" xfId="41050" xr:uid="{00000000-0005-0000-0000-0000FADC0000}"/>
    <cellStyle name="Normal 90 2 8" xfId="41051" xr:uid="{00000000-0005-0000-0000-0000FBDC0000}"/>
    <cellStyle name="Normal 90 2 8 2" xfId="41052" xr:uid="{00000000-0005-0000-0000-0000FCDC0000}"/>
    <cellStyle name="Normal 90 2 8 2 2" xfId="41053" xr:uid="{00000000-0005-0000-0000-0000FDDC0000}"/>
    <cellStyle name="Normal 90 2 8 3" xfId="41054" xr:uid="{00000000-0005-0000-0000-0000FEDC0000}"/>
    <cellStyle name="Normal 90 2 9" xfId="41055" xr:uid="{00000000-0005-0000-0000-0000FFDC0000}"/>
    <cellStyle name="Normal 90 2 9 2" xfId="41056" xr:uid="{00000000-0005-0000-0000-000000DD0000}"/>
    <cellStyle name="Normal 90 3" xfId="41057" xr:uid="{00000000-0005-0000-0000-000001DD0000}"/>
    <cellStyle name="Normal 90 3 2" xfId="41058" xr:uid="{00000000-0005-0000-0000-000002DD0000}"/>
    <cellStyle name="Normal 90 3 2 2" xfId="41059" xr:uid="{00000000-0005-0000-0000-000003DD0000}"/>
    <cellStyle name="Normal 90 3 2 2 2" xfId="41060" xr:uid="{00000000-0005-0000-0000-000004DD0000}"/>
    <cellStyle name="Normal 90 3 2 3" xfId="41061" xr:uid="{00000000-0005-0000-0000-000005DD0000}"/>
    <cellStyle name="Normal 90 3 2 3 2" xfId="41062" xr:uid="{00000000-0005-0000-0000-000006DD0000}"/>
    <cellStyle name="Normal 90 3 2 4" xfId="41063" xr:uid="{00000000-0005-0000-0000-000007DD0000}"/>
    <cellStyle name="Normal 90 3 3" xfId="41064" xr:uid="{00000000-0005-0000-0000-000008DD0000}"/>
    <cellStyle name="Normal 90 3 3 2" xfId="41065" xr:uid="{00000000-0005-0000-0000-000009DD0000}"/>
    <cellStyle name="Normal 90 3 3 2 2" xfId="41066" xr:uid="{00000000-0005-0000-0000-00000ADD0000}"/>
    <cellStyle name="Normal 90 3 3 3" xfId="41067" xr:uid="{00000000-0005-0000-0000-00000BDD0000}"/>
    <cellStyle name="Normal 90 3 3 3 2" xfId="41068" xr:uid="{00000000-0005-0000-0000-00000CDD0000}"/>
    <cellStyle name="Normal 90 3 3 4" xfId="41069" xr:uid="{00000000-0005-0000-0000-00000DDD0000}"/>
    <cellStyle name="Normal 90 3 4" xfId="41070" xr:uid="{00000000-0005-0000-0000-00000EDD0000}"/>
    <cellStyle name="Normal 90 3 4 2" xfId="41071" xr:uid="{00000000-0005-0000-0000-00000FDD0000}"/>
    <cellStyle name="Normal 90 3 5" xfId="41072" xr:uid="{00000000-0005-0000-0000-000010DD0000}"/>
    <cellStyle name="Normal 90 3 5 2" xfId="41073" xr:uid="{00000000-0005-0000-0000-000011DD0000}"/>
    <cellStyle name="Normal 90 3 6" xfId="41074" xr:uid="{00000000-0005-0000-0000-000012DD0000}"/>
    <cellStyle name="Normal 90 4" xfId="41075" xr:uid="{00000000-0005-0000-0000-000013DD0000}"/>
    <cellStyle name="Normal 90 4 2" xfId="41076" xr:uid="{00000000-0005-0000-0000-000014DD0000}"/>
    <cellStyle name="Normal 90 4 2 2" xfId="41077" xr:uid="{00000000-0005-0000-0000-000015DD0000}"/>
    <cellStyle name="Normal 90 4 3" xfId="41078" xr:uid="{00000000-0005-0000-0000-000016DD0000}"/>
    <cellStyle name="Normal 90 4 3 2" xfId="41079" xr:uid="{00000000-0005-0000-0000-000017DD0000}"/>
    <cellStyle name="Normal 90 4 4" xfId="41080" xr:uid="{00000000-0005-0000-0000-000018DD0000}"/>
    <cellStyle name="Normal 90 5" xfId="41081" xr:uid="{00000000-0005-0000-0000-000019DD0000}"/>
    <cellStyle name="Normal 90 5 2" xfId="41082" xr:uid="{00000000-0005-0000-0000-00001ADD0000}"/>
    <cellStyle name="Normal 90 5 2 2" xfId="41083" xr:uid="{00000000-0005-0000-0000-00001BDD0000}"/>
    <cellStyle name="Normal 90 5 3" xfId="41084" xr:uid="{00000000-0005-0000-0000-00001CDD0000}"/>
    <cellStyle name="Normal 90 5 3 2" xfId="41085" xr:uid="{00000000-0005-0000-0000-00001DDD0000}"/>
    <cellStyle name="Normal 90 5 4" xfId="41086" xr:uid="{00000000-0005-0000-0000-00001EDD0000}"/>
    <cellStyle name="Normal 90 6" xfId="41087" xr:uid="{00000000-0005-0000-0000-00001FDD0000}"/>
    <cellStyle name="Normal 90 6 2" xfId="41088" xr:uid="{00000000-0005-0000-0000-000020DD0000}"/>
    <cellStyle name="Normal 90 6 2 2" xfId="41089" xr:uid="{00000000-0005-0000-0000-000021DD0000}"/>
    <cellStyle name="Normal 90 6 3" xfId="41090" xr:uid="{00000000-0005-0000-0000-000022DD0000}"/>
    <cellStyle name="Normal 90 6 3 2" xfId="41091" xr:uid="{00000000-0005-0000-0000-000023DD0000}"/>
    <cellStyle name="Normal 90 6 4" xfId="41092" xr:uid="{00000000-0005-0000-0000-000024DD0000}"/>
    <cellStyle name="Normal 90 7" xfId="41093" xr:uid="{00000000-0005-0000-0000-000025DD0000}"/>
    <cellStyle name="Normal 90 7 2" xfId="41094" xr:uid="{00000000-0005-0000-0000-000026DD0000}"/>
    <cellStyle name="Normal 90 7 2 2" xfId="41095" xr:uid="{00000000-0005-0000-0000-000027DD0000}"/>
    <cellStyle name="Normal 90 7 3" xfId="41096" xr:uid="{00000000-0005-0000-0000-000028DD0000}"/>
    <cellStyle name="Normal 90 7 3 2" xfId="41097" xr:uid="{00000000-0005-0000-0000-000029DD0000}"/>
    <cellStyle name="Normal 90 7 4" xfId="41098" xr:uid="{00000000-0005-0000-0000-00002ADD0000}"/>
    <cellStyle name="Normal 90 8" xfId="41099" xr:uid="{00000000-0005-0000-0000-00002BDD0000}"/>
    <cellStyle name="Normal 90 8 2" xfId="41100" xr:uid="{00000000-0005-0000-0000-00002CDD0000}"/>
    <cellStyle name="Normal 90 8 2 2" xfId="41101" xr:uid="{00000000-0005-0000-0000-00002DDD0000}"/>
    <cellStyle name="Normal 90 8 3" xfId="41102" xr:uid="{00000000-0005-0000-0000-00002EDD0000}"/>
    <cellStyle name="Normal 90 8 3 2" xfId="41103" xr:uid="{00000000-0005-0000-0000-00002FDD0000}"/>
    <cellStyle name="Normal 90 8 4" xfId="41104" xr:uid="{00000000-0005-0000-0000-000030DD0000}"/>
    <cellStyle name="Normal 90 9" xfId="41105" xr:uid="{00000000-0005-0000-0000-000031DD0000}"/>
    <cellStyle name="Normal 90 9 2" xfId="41106" xr:uid="{00000000-0005-0000-0000-000032DD0000}"/>
    <cellStyle name="Normal 90 9 2 2" xfId="41107" xr:uid="{00000000-0005-0000-0000-000033DD0000}"/>
    <cellStyle name="Normal 90 9 3" xfId="41108" xr:uid="{00000000-0005-0000-0000-000034DD0000}"/>
    <cellStyle name="Normal 91" xfId="41109" xr:uid="{00000000-0005-0000-0000-000035DD0000}"/>
    <cellStyle name="Normal 91 10" xfId="41110" xr:uid="{00000000-0005-0000-0000-000036DD0000}"/>
    <cellStyle name="Normal 91 10 2" xfId="41111" xr:uid="{00000000-0005-0000-0000-000037DD0000}"/>
    <cellStyle name="Normal 91 11" xfId="41112" xr:uid="{00000000-0005-0000-0000-000038DD0000}"/>
    <cellStyle name="Normal 91 11 2" xfId="41113" xr:uid="{00000000-0005-0000-0000-000039DD0000}"/>
    <cellStyle name="Normal 91 12" xfId="41114" xr:uid="{00000000-0005-0000-0000-00003ADD0000}"/>
    <cellStyle name="Normal 91 13" xfId="41115" xr:uid="{00000000-0005-0000-0000-00003BDD0000}"/>
    <cellStyle name="Normal 91 2" xfId="41116" xr:uid="{00000000-0005-0000-0000-00003CDD0000}"/>
    <cellStyle name="Normal 91 2 10" xfId="41117" xr:uid="{00000000-0005-0000-0000-00003DDD0000}"/>
    <cellStyle name="Normal 91 2 10 2" xfId="41118" xr:uid="{00000000-0005-0000-0000-00003EDD0000}"/>
    <cellStyle name="Normal 91 2 11" xfId="41119" xr:uid="{00000000-0005-0000-0000-00003FDD0000}"/>
    <cellStyle name="Normal 91 2 2" xfId="41120" xr:uid="{00000000-0005-0000-0000-000040DD0000}"/>
    <cellStyle name="Normal 91 2 2 2" xfId="41121" xr:uid="{00000000-0005-0000-0000-000041DD0000}"/>
    <cellStyle name="Normal 91 2 2 2 2" xfId="41122" xr:uid="{00000000-0005-0000-0000-000042DD0000}"/>
    <cellStyle name="Normal 91 2 2 2 2 2" xfId="41123" xr:uid="{00000000-0005-0000-0000-000043DD0000}"/>
    <cellStyle name="Normal 91 2 2 2 3" xfId="41124" xr:uid="{00000000-0005-0000-0000-000044DD0000}"/>
    <cellStyle name="Normal 91 2 2 2 3 2" xfId="41125" xr:uid="{00000000-0005-0000-0000-000045DD0000}"/>
    <cellStyle name="Normal 91 2 2 2 4" xfId="41126" xr:uid="{00000000-0005-0000-0000-000046DD0000}"/>
    <cellStyle name="Normal 91 2 2 3" xfId="41127" xr:uid="{00000000-0005-0000-0000-000047DD0000}"/>
    <cellStyle name="Normal 91 2 2 3 2" xfId="41128" xr:uid="{00000000-0005-0000-0000-000048DD0000}"/>
    <cellStyle name="Normal 91 2 2 3 2 2" xfId="41129" xr:uid="{00000000-0005-0000-0000-000049DD0000}"/>
    <cellStyle name="Normal 91 2 2 3 3" xfId="41130" xr:uid="{00000000-0005-0000-0000-00004ADD0000}"/>
    <cellStyle name="Normal 91 2 2 3 3 2" xfId="41131" xr:uid="{00000000-0005-0000-0000-00004BDD0000}"/>
    <cellStyle name="Normal 91 2 2 3 4" xfId="41132" xr:uid="{00000000-0005-0000-0000-00004CDD0000}"/>
    <cellStyle name="Normal 91 2 2 4" xfId="41133" xr:uid="{00000000-0005-0000-0000-00004DDD0000}"/>
    <cellStyle name="Normal 91 2 2 4 2" xfId="41134" xr:uid="{00000000-0005-0000-0000-00004EDD0000}"/>
    <cellStyle name="Normal 91 2 2 5" xfId="41135" xr:uid="{00000000-0005-0000-0000-00004FDD0000}"/>
    <cellStyle name="Normal 91 2 2 5 2" xfId="41136" xr:uid="{00000000-0005-0000-0000-000050DD0000}"/>
    <cellStyle name="Normal 91 2 2 6" xfId="41137" xr:uid="{00000000-0005-0000-0000-000051DD0000}"/>
    <cellStyle name="Normal 91 2 3" xfId="41138" xr:uid="{00000000-0005-0000-0000-000052DD0000}"/>
    <cellStyle name="Normal 91 2 3 2" xfId="41139" xr:uid="{00000000-0005-0000-0000-000053DD0000}"/>
    <cellStyle name="Normal 91 2 3 2 2" xfId="41140" xr:uid="{00000000-0005-0000-0000-000054DD0000}"/>
    <cellStyle name="Normal 91 2 3 3" xfId="41141" xr:uid="{00000000-0005-0000-0000-000055DD0000}"/>
    <cellStyle name="Normal 91 2 3 3 2" xfId="41142" xr:uid="{00000000-0005-0000-0000-000056DD0000}"/>
    <cellStyle name="Normal 91 2 3 4" xfId="41143" xr:uid="{00000000-0005-0000-0000-000057DD0000}"/>
    <cellStyle name="Normal 91 2 4" xfId="41144" xr:uid="{00000000-0005-0000-0000-000058DD0000}"/>
    <cellStyle name="Normal 91 2 4 2" xfId="41145" xr:uid="{00000000-0005-0000-0000-000059DD0000}"/>
    <cellStyle name="Normal 91 2 4 2 2" xfId="41146" xr:uid="{00000000-0005-0000-0000-00005ADD0000}"/>
    <cellStyle name="Normal 91 2 4 3" xfId="41147" xr:uid="{00000000-0005-0000-0000-00005BDD0000}"/>
    <cellStyle name="Normal 91 2 4 3 2" xfId="41148" xr:uid="{00000000-0005-0000-0000-00005CDD0000}"/>
    <cellStyle name="Normal 91 2 4 4" xfId="41149" xr:uid="{00000000-0005-0000-0000-00005DDD0000}"/>
    <cellStyle name="Normal 91 2 5" xfId="41150" xr:uid="{00000000-0005-0000-0000-00005EDD0000}"/>
    <cellStyle name="Normal 91 2 5 2" xfId="41151" xr:uid="{00000000-0005-0000-0000-00005FDD0000}"/>
    <cellStyle name="Normal 91 2 5 2 2" xfId="41152" xr:uid="{00000000-0005-0000-0000-000060DD0000}"/>
    <cellStyle name="Normal 91 2 5 3" xfId="41153" xr:uid="{00000000-0005-0000-0000-000061DD0000}"/>
    <cellStyle name="Normal 91 2 5 3 2" xfId="41154" xr:uid="{00000000-0005-0000-0000-000062DD0000}"/>
    <cellStyle name="Normal 91 2 5 4" xfId="41155" xr:uid="{00000000-0005-0000-0000-000063DD0000}"/>
    <cellStyle name="Normal 91 2 6" xfId="41156" xr:uid="{00000000-0005-0000-0000-000064DD0000}"/>
    <cellStyle name="Normal 91 2 6 2" xfId="41157" xr:uid="{00000000-0005-0000-0000-000065DD0000}"/>
    <cellStyle name="Normal 91 2 6 2 2" xfId="41158" xr:uid="{00000000-0005-0000-0000-000066DD0000}"/>
    <cellStyle name="Normal 91 2 6 3" xfId="41159" xr:uid="{00000000-0005-0000-0000-000067DD0000}"/>
    <cellStyle name="Normal 91 2 6 3 2" xfId="41160" xr:uid="{00000000-0005-0000-0000-000068DD0000}"/>
    <cellStyle name="Normal 91 2 6 4" xfId="41161" xr:uid="{00000000-0005-0000-0000-000069DD0000}"/>
    <cellStyle name="Normal 91 2 7" xfId="41162" xr:uid="{00000000-0005-0000-0000-00006ADD0000}"/>
    <cellStyle name="Normal 91 2 7 2" xfId="41163" xr:uid="{00000000-0005-0000-0000-00006BDD0000}"/>
    <cellStyle name="Normal 91 2 7 2 2" xfId="41164" xr:uid="{00000000-0005-0000-0000-00006CDD0000}"/>
    <cellStyle name="Normal 91 2 7 3" xfId="41165" xr:uid="{00000000-0005-0000-0000-00006DDD0000}"/>
    <cellStyle name="Normal 91 2 7 3 2" xfId="41166" xr:uid="{00000000-0005-0000-0000-00006EDD0000}"/>
    <cellStyle name="Normal 91 2 7 4" xfId="41167" xr:uid="{00000000-0005-0000-0000-00006FDD0000}"/>
    <cellStyle name="Normal 91 2 8" xfId="41168" xr:uid="{00000000-0005-0000-0000-000070DD0000}"/>
    <cellStyle name="Normal 91 2 8 2" xfId="41169" xr:uid="{00000000-0005-0000-0000-000071DD0000}"/>
    <cellStyle name="Normal 91 2 8 2 2" xfId="41170" xr:uid="{00000000-0005-0000-0000-000072DD0000}"/>
    <cellStyle name="Normal 91 2 8 3" xfId="41171" xr:uid="{00000000-0005-0000-0000-000073DD0000}"/>
    <cellStyle name="Normal 91 2 9" xfId="41172" xr:uid="{00000000-0005-0000-0000-000074DD0000}"/>
    <cellStyle name="Normal 91 2 9 2" xfId="41173" xr:uid="{00000000-0005-0000-0000-000075DD0000}"/>
    <cellStyle name="Normal 91 3" xfId="41174" xr:uid="{00000000-0005-0000-0000-000076DD0000}"/>
    <cellStyle name="Normal 91 3 2" xfId="41175" xr:uid="{00000000-0005-0000-0000-000077DD0000}"/>
    <cellStyle name="Normal 91 3 2 2" xfId="41176" xr:uid="{00000000-0005-0000-0000-000078DD0000}"/>
    <cellStyle name="Normal 91 3 2 2 2" xfId="41177" xr:uid="{00000000-0005-0000-0000-000079DD0000}"/>
    <cellStyle name="Normal 91 3 2 3" xfId="41178" xr:uid="{00000000-0005-0000-0000-00007ADD0000}"/>
    <cellStyle name="Normal 91 3 2 3 2" xfId="41179" xr:uid="{00000000-0005-0000-0000-00007BDD0000}"/>
    <cellStyle name="Normal 91 3 2 4" xfId="41180" xr:uid="{00000000-0005-0000-0000-00007CDD0000}"/>
    <cellStyle name="Normal 91 3 3" xfId="41181" xr:uid="{00000000-0005-0000-0000-00007DDD0000}"/>
    <cellStyle name="Normal 91 3 3 2" xfId="41182" xr:uid="{00000000-0005-0000-0000-00007EDD0000}"/>
    <cellStyle name="Normal 91 3 3 2 2" xfId="41183" xr:uid="{00000000-0005-0000-0000-00007FDD0000}"/>
    <cellStyle name="Normal 91 3 3 3" xfId="41184" xr:uid="{00000000-0005-0000-0000-000080DD0000}"/>
    <cellStyle name="Normal 91 3 3 3 2" xfId="41185" xr:uid="{00000000-0005-0000-0000-000081DD0000}"/>
    <cellStyle name="Normal 91 3 3 4" xfId="41186" xr:uid="{00000000-0005-0000-0000-000082DD0000}"/>
    <cellStyle name="Normal 91 3 4" xfId="41187" xr:uid="{00000000-0005-0000-0000-000083DD0000}"/>
    <cellStyle name="Normal 91 3 4 2" xfId="41188" xr:uid="{00000000-0005-0000-0000-000084DD0000}"/>
    <cellStyle name="Normal 91 3 5" xfId="41189" xr:uid="{00000000-0005-0000-0000-000085DD0000}"/>
    <cellStyle name="Normal 91 3 5 2" xfId="41190" xr:uid="{00000000-0005-0000-0000-000086DD0000}"/>
    <cellStyle name="Normal 91 3 6" xfId="41191" xr:uid="{00000000-0005-0000-0000-000087DD0000}"/>
    <cellStyle name="Normal 91 4" xfId="41192" xr:uid="{00000000-0005-0000-0000-000088DD0000}"/>
    <cellStyle name="Normal 91 4 2" xfId="41193" xr:uid="{00000000-0005-0000-0000-000089DD0000}"/>
    <cellStyle name="Normal 91 4 2 2" xfId="41194" xr:uid="{00000000-0005-0000-0000-00008ADD0000}"/>
    <cellStyle name="Normal 91 4 3" xfId="41195" xr:uid="{00000000-0005-0000-0000-00008BDD0000}"/>
    <cellStyle name="Normal 91 4 3 2" xfId="41196" xr:uid="{00000000-0005-0000-0000-00008CDD0000}"/>
    <cellStyle name="Normal 91 4 4" xfId="41197" xr:uid="{00000000-0005-0000-0000-00008DDD0000}"/>
    <cellStyle name="Normal 91 5" xfId="41198" xr:uid="{00000000-0005-0000-0000-00008EDD0000}"/>
    <cellStyle name="Normal 91 5 2" xfId="41199" xr:uid="{00000000-0005-0000-0000-00008FDD0000}"/>
    <cellStyle name="Normal 91 5 2 2" xfId="41200" xr:uid="{00000000-0005-0000-0000-000090DD0000}"/>
    <cellStyle name="Normal 91 5 3" xfId="41201" xr:uid="{00000000-0005-0000-0000-000091DD0000}"/>
    <cellStyle name="Normal 91 5 3 2" xfId="41202" xr:uid="{00000000-0005-0000-0000-000092DD0000}"/>
    <cellStyle name="Normal 91 5 4" xfId="41203" xr:uid="{00000000-0005-0000-0000-000093DD0000}"/>
    <cellStyle name="Normal 91 6" xfId="41204" xr:uid="{00000000-0005-0000-0000-000094DD0000}"/>
    <cellStyle name="Normal 91 6 2" xfId="41205" xr:uid="{00000000-0005-0000-0000-000095DD0000}"/>
    <cellStyle name="Normal 91 6 2 2" xfId="41206" xr:uid="{00000000-0005-0000-0000-000096DD0000}"/>
    <cellStyle name="Normal 91 6 3" xfId="41207" xr:uid="{00000000-0005-0000-0000-000097DD0000}"/>
    <cellStyle name="Normal 91 6 3 2" xfId="41208" xr:uid="{00000000-0005-0000-0000-000098DD0000}"/>
    <cellStyle name="Normal 91 6 4" xfId="41209" xr:uid="{00000000-0005-0000-0000-000099DD0000}"/>
    <cellStyle name="Normal 91 7" xfId="41210" xr:uid="{00000000-0005-0000-0000-00009ADD0000}"/>
    <cellStyle name="Normal 91 7 2" xfId="41211" xr:uid="{00000000-0005-0000-0000-00009BDD0000}"/>
    <cellStyle name="Normal 91 7 2 2" xfId="41212" xr:uid="{00000000-0005-0000-0000-00009CDD0000}"/>
    <cellStyle name="Normal 91 7 3" xfId="41213" xr:uid="{00000000-0005-0000-0000-00009DDD0000}"/>
    <cellStyle name="Normal 91 7 3 2" xfId="41214" xr:uid="{00000000-0005-0000-0000-00009EDD0000}"/>
    <cellStyle name="Normal 91 7 4" xfId="41215" xr:uid="{00000000-0005-0000-0000-00009FDD0000}"/>
    <cellStyle name="Normal 91 8" xfId="41216" xr:uid="{00000000-0005-0000-0000-0000A0DD0000}"/>
    <cellStyle name="Normal 91 8 2" xfId="41217" xr:uid="{00000000-0005-0000-0000-0000A1DD0000}"/>
    <cellStyle name="Normal 91 8 2 2" xfId="41218" xr:uid="{00000000-0005-0000-0000-0000A2DD0000}"/>
    <cellStyle name="Normal 91 8 3" xfId="41219" xr:uid="{00000000-0005-0000-0000-0000A3DD0000}"/>
    <cellStyle name="Normal 91 8 3 2" xfId="41220" xr:uid="{00000000-0005-0000-0000-0000A4DD0000}"/>
    <cellStyle name="Normal 91 8 4" xfId="41221" xr:uid="{00000000-0005-0000-0000-0000A5DD0000}"/>
    <cellStyle name="Normal 91 9" xfId="41222" xr:uid="{00000000-0005-0000-0000-0000A6DD0000}"/>
    <cellStyle name="Normal 91 9 2" xfId="41223" xr:uid="{00000000-0005-0000-0000-0000A7DD0000}"/>
    <cellStyle name="Normal 91 9 2 2" xfId="41224" xr:uid="{00000000-0005-0000-0000-0000A8DD0000}"/>
    <cellStyle name="Normal 91 9 3" xfId="41225" xr:uid="{00000000-0005-0000-0000-0000A9DD0000}"/>
    <cellStyle name="Normal 92" xfId="41226" xr:uid="{00000000-0005-0000-0000-0000AADD0000}"/>
    <cellStyle name="Normal 92 10" xfId="41227" xr:uid="{00000000-0005-0000-0000-0000ABDD0000}"/>
    <cellStyle name="Normal 92 10 2" xfId="41228" xr:uid="{00000000-0005-0000-0000-0000ACDD0000}"/>
    <cellStyle name="Normal 92 11" xfId="41229" xr:uid="{00000000-0005-0000-0000-0000ADDD0000}"/>
    <cellStyle name="Normal 92 11 2" xfId="41230" xr:uid="{00000000-0005-0000-0000-0000AEDD0000}"/>
    <cellStyle name="Normal 92 12" xfId="41231" xr:uid="{00000000-0005-0000-0000-0000AFDD0000}"/>
    <cellStyle name="Normal 92 13" xfId="41232" xr:uid="{00000000-0005-0000-0000-0000B0DD0000}"/>
    <cellStyle name="Normal 92 2" xfId="41233" xr:uid="{00000000-0005-0000-0000-0000B1DD0000}"/>
    <cellStyle name="Normal 92 2 10" xfId="41234" xr:uid="{00000000-0005-0000-0000-0000B2DD0000}"/>
    <cellStyle name="Normal 92 2 10 2" xfId="41235" xr:uid="{00000000-0005-0000-0000-0000B3DD0000}"/>
    <cellStyle name="Normal 92 2 11" xfId="41236" xr:uid="{00000000-0005-0000-0000-0000B4DD0000}"/>
    <cellStyle name="Normal 92 2 2" xfId="41237" xr:uid="{00000000-0005-0000-0000-0000B5DD0000}"/>
    <cellStyle name="Normal 92 2 2 2" xfId="41238" xr:uid="{00000000-0005-0000-0000-0000B6DD0000}"/>
    <cellStyle name="Normal 92 2 2 2 2" xfId="41239" xr:uid="{00000000-0005-0000-0000-0000B7DD0000}"/>
    <cellStyle name="Normal 92 2 2 2 2 2" xfId="41240" xr:uid="{00000000-0005-0000-0000-0000B8DD0000}"/>
    <cellStyle name="Normal 92 2 2 2 3" xfId="41241" xr:uid="{00000000-0005-0000-0000-0000B9DD0000}"/>
    <cellStyle name="Normal 92 2 2 2 3 2" xfId="41242" xr:uid="{00000000-0005-0000-0000-0000BADD0000}"/>
    <cellStyle name="Normal 92 2 2 2 4" xfId="41243" xr:uid="{00000000-0005-0000-0000-0000BBDD0000}"/>
    <cellStyle name="Normal 92 2 2 3" xfId="41244" xr:uid="{00000000-0005-0000-0000-0000BCDD0000}"/>
    <cellStyle name="Normal 92 2 2 3 2" xfId="41245" xr:uid="{00000000-0005-0000-0000-0000BDDD0000}"/>
    <cellStyle name="Normal 92 2 2 3 2 2" xfId="41246" xr:uid="{00000000-0005-0000-0000-0000BEDD0000}"/>
    <cellStyle name="Normal 92 2 2 3 3" xfId="41247" xr:uid="{00000000-0005-0000-0000-0000BFDD0000}"/>
    <cellStyle name="Normal 92 2 2 3 3 2" xfId="41248" xr:uid="{00000000-0005-0000-0000-0000C0DD0000}"/>
    <cellStyle name="Normal 92 2 2 3 4" xfId="41249" xr:uid="{00000000-0005-0000-0000-0000C1DD0000}"/>
    <cellStyle name="Normal 92 2 2 4" xfId="41250" xr:uid="{00000000-0005-0000-0000-0000C2DD0000}"/>
    <cellStyle name="Normal 92 2 2 4 2" xfId="41251" xr:uid="{00000000-0005-0000-0000-0000C3DD0000}"/>
    <cellStyle name="Normal 92 2 2 5" xfId="41252" xr:uid="{00000000-0005-0000-0000-0000C4DD0000}"/>
    <cellStyle name="Normal 92 2 2 5 2" xfId="41253" xr:uid="{00000000-0005-0000-0000-0000C5DD0000}"/>
    <cellStyle name="Normal 92 2 2 6" xfId="41254" xr:uid="{00000000-0005-0000-0000-0000C6DD0000}"/>
    <cellStyle name="Normal 92 2 3" xfId="41255" xr:uid="{00000000-0005-0000-0000-0000C7DD0000}"/>
    <cellStyle name="Normal 92 2 3 2" xfId="41256" xr:uid="{00000000-0005-0000-0000-0000C8DD0000}"/>
    <cellStyle name="Normal 92 2 3 2 2" xfId="41257" xr:uid="{00000000-0005-0000-0000-0000C9DD0000}"/>
    <cellStyle name="Normal 92 2 3 3" xfId="41258" xr:uid="{00000000-0005-0000-0000-0000CADD0000}"/>
    <cellStyle name="Normal 92 2 3 3 2" xfId="41259" xr:uid="{00000000-0005-0000-0000-0000CBDD0000}"/>
    <cellStyle name="Normal 92 2 3 4" xfId="41260" xr:uid="{00000000-0005-0000-0000-0000CCDD0000}"/>
    <cellStyle name="Normal 92 2 4" xfId="41261" xr:uid="{00000000-0005-0000-0000-0000CDDD0000}"/>
    <cellStyle name="Normal 92 2 4 2" xfId="41262" xr:uid="{00000000-0005-0000-0000-0000CEDD0000}"/>
    <cellStyle name="Normal 92 2 4 2 2" xfId="41263" xr:uid="{00000000-0005-0000-0000-0000CFDD0000}"/>
    <cellStyle name="Normal 92 2 4 3" xfId="41264" xr:uid="{00000000-0005-0000-0000-0000D0DD0000}"/>
    <cellStyle name="Normal 92 2 4 3 2" xfId="41265" xr:uid="{00000000-0005-0000-0000-0000D1DD0000}"/>
    <cellStyle name="Normal 92 2 4 4" xfId="41266" xr:uid="{00000000-0005-0000-0000-0000D2DD0000}"/>
    <cellStyle name="Normal 92 2 5" xfId="41267" xr:uid="{00000000-0005-0000-0000-0000D3DD0000}"/>
    <cellStyle name="Normal 92 2 5 2" xfId="41268" xr:uid="{00000000-0005-0000-0000-0000D4DD0000}"/>
    <cellStyle name="Normal 92 2 5 2 2" xfId="41269" xr:uid="{00000000-0005-0000-0000-0000D5DD0000}"/>
    <cellStyle name="Normal 92 2 5 3" xfId="41270" xr:uid="{00000000-0005-0000-0000-0000D6DD0000}"/>
    <cellStyle name="Normal 92 2 5 3 2" xfId="41271" xr:uid="{00000000-0005-0000-0000-0000D7DD0000}"/>
    <cellStyle name="Normal 92 2 5 4" xfId="41272" xr:uid="{00000000-0005-0000-0000-0000D8DD0000}"/>
    <cellStyle name="Normal 92 2 6" xfId="41273" xr:uid="{00000000-0005-0000-0000-0000D9DD0000}"/>
    <cellStyle name="Normal 92 2 6 2" xfId="41274" xr:uid="{00000000-0005-0000-0000-0000DADD0000}"/>
    <cellStyle name="Normal 92 2 6 2 2" xfId="41275" xr:uid="{00000000-0005-0000-0000-0000DBDD0000}"/>
    <cellStyle name="Normal 92 2 6 3" xfId="41276" xr:uid="{00000000-0005-0000-0000-0000DCDD0000}"/>
    <cellStyle name="Normal 92 2 6 3 2" xfId="41277" xr:uid="{00000000-0005-0000-0000-0000DDDD0000}"/>
    <cellStyle name="Normal 92 2 6 4" xfId="41278" xr:uid="{00000000-0005-0000-0000-0000DEDD0000}"/>
    <cellStyle name="Normal 92 2 7" xfId="41279" xr:uid="{00000000-0005-0000-0000-0000DFDD0000}"/>
    <cellStyle name="Normal 92 2 7 2" xfId="41280" xr:uid="{00000000-0005-0000-0000-0000E0DD0000}"/>
    <cellStyle name="Normal 92 2 7 2 2" xfId="41281" xr:uid="{00000000-0005-0000-0000-0000E1DD0000}"/>
    <cellStyle name="Normal 92 2 7 3" xfId="41282" xr:uid="{00000000-0005-0000-0000-0000E2DD0000}"/>
    <cellStyle name="Normal 92 2 7 3 2" xfId="41283" xr:uid="{00000000-0005-0000-0000-0000E3DD0000}"/>
    <cellStyle name="Normal 92 2 7 4" xfId="41284" xr:uid="{00000000-0005-0000-0000-0000E4DD0000}"/>
    <cellStyle name="Normal 92 2 8" xfId="41285" xr:uid="{00000000-0005-0000-0000-0000E5DD0000}"/>
    <cellStyle name="Normal 92 2 8 2" xfId="41286" xr:uid="{00000000-0005-0000-0000-0000E6DD0000}"/>
    <cellStyle name="Normal 92 2 8 2 2" xfId="41287" xr:uid="{00000000-0005-0000-0000-0000E7DD0000}"/>
    <cellStyle name="Normal 92 2 8 3" xfId="41288" xr:uid="{00000000-0005-0000-0000-0000E8DD0000}"/>
    <cellStyle name="Normal 92 2 9" xfId="41289" xr:uid="{00000000-0005-0000-0000-0000E9DD0000}"/>
    <cellStyle name="Normal 92 2 9 2" xfId="41290" xr:uid="{00000000-0005-0000-0000-0000EADD0000}"/>
    <cellStyle name="Normal 92 3" xfId="41291" xr:uid="{00000000-0005-0000-0000-0000EBDD0000}"/>
    <cellStyle name="Normal 92 3 2" xfId="41292" xr:uid="{00000000-0005-0000-0000-0000ECDD0000}"/>
    <cellStyle name="Normal 92 3 2 2" xfId="41293" xr:uid="{00000000-0005-0000-0000-0000EDDD0000}"/>
    <cellStyle name="Normal 92 3 2 2 2" xfId="41294" xr:uid="{00000000-0005-0000-0000-0000EEDD0000}"/>
    <cellStyle name="Normal 92 3 2 3" xfId="41295" xr:uid="{00000000-0005-0000-0000-0000EFDD0000}"/>
    <cellStyle name="Normal 92 3 2 3 2" xfId="41296" xr:uid="{00000000-0005-0000-0000-0000F0DD0000}"/>
    <cellStyle name="Normal 92 3 2 4" xfId="41297" xr:uid="{00000000-0005-0000-0000-0000F1DD0000}"/>
    <cellStyle name="Normal 92 3 3" xfId="41298" xr:uid="{00000000-0005-0000-0000-0000F2DD0000}"/>
    <cellStyle name="Normal 92 3 3 2" xfId="41299" xr:uid="{00000000-0005-0000-0000-0000F3DD0000}"/>
    <cellStyle name="Normal 92 3 3 2 2" xfId="41300" xr:uid="{00000000-0005-0000-0000-0000F4DD0000}"/>
    <cellStyle name="Normal 92 3 3 3" xfId="41301" xr:uid="{00000000-0005-0000-0000-0000F5DD0000}"/>
    <cellStyle name="Normal 92 3 3 3 2" xfId="41302" xr:uid="{00000000-0005-0000-0000-0000F6DD0000}"/>
    <cellStyle name="Normal 92 3 3 4" xfId="41303" xr:uid="{00000000-0005-0000-0000-0000F7DD0000}"/>
    <cellStyle name="Normal 92 3 4" xfId="41304" xr:uid="{00000000-0005-0000-0000-0000F8DD0000}"/>
    <cellStyle name="Normal 92 3 4 2" xfId="41305" xr:uid="{00000000-0005-0000-0000-0000F9DD0000}"/>
    <cellStyle name="Normal 92 3 5" xfId="41306" xr:uid="{00000000-0005-0000-0000-0000FADD0000}"/>
    <cellStyle name="Normal 92 3 5 2" xfId="41307" xr:uid="{00000000-0005-0000-0000-0000FBDD0000}"/>
    <cellStyle name="Normal 92 3 6" xfId="41308" xr:uid="{00000000-0005-0000-0000-0000FCDD0000}"/>
    <cellStyle name="Normal 92 4" xfId="41309" xr:uid="{00000000-0005-0000-0000-0000FDDD0000}"/>
    <cellStyle name="Normal 92 4 2" xfId="41310" xr:uid="{00000000-0005-0000-0000-0000FEDD0000}"/>
    <cellStyle name="Normal 92 4 2 2" xfId="41311" xr:uid="{00000000-0005-0000-0000-0000FFDD0000}"/>
    <cellStyle name="Normal 92 4 3" xfId="41312" xr:uid="{00000000-0005-0000-0000-000000DE0000}"/>
    <cellStyle name="Normal 92 4 3 2" xfId="41313" xr:uid="{00000000-0005-0000-0000-000001DE0000}"/>
    <cellStyle name="Normal 92 4 4" xfId="41314" xr:uid="{00000000-0005-0000-0000-000002DE0000}"/>
    <cellStyle name="Normal 92 5" xfId="41315" xr:uid="{00000000-0005-0000-0000-000003DE0000}"/>
    <cellStyle name="Normal 92 5 2" xfId="41316" xr:uid="{00000000-0005-0000-0000-000004DE0000}"/>
    <cellStyle name="Normal 92 5 2 2" xfId="41317" xr:uid="{00000000-0005-0000-0000-000005DE0000}"/>
    <cellStyle name="Normal 92 5 3" xfId="41318" xr:uid="{00000000-0005-0000-0000-000006DE0000}"/>
    <cellStyle name="Normal 92 5 3 2" xfId="41319" xr:uid="{00000000-0005-0000-0000-000007DE0000}"/>
    <cellStyle name="Normal 92 5 4" xfId="41320" xr:uid="{00000000-0005-0000-0000-000008DE0000}"/>
    <cellStyle name="Normal 92 6" xfId="41321" xr:uid="{00000000-0005-0000-0000-000009DE0000}"/>
    <cellStyle name="Normal 92 6 2" xfId="41322" xr:uid="{00000000-0005-0000-0000-00000ADE0000}"/>
    <cellStyle name="Normal 92 6 2 2" xfId="41323" xr:uid="{00000000-0005-0000-0000-00000BDE0000}"/>
    <cellStyle name="Normal 92 6 3" xfId="41324" xr:uid="{00000000-0005-0000-0000-00000CDE0000}"/>
    <cellStyle name="Normal 92 6 3 2" xfId="41325" xr:uid="{00000000-0005-0000-0000-00000DDE0000}"/>
    <cellStyle name="Normal 92 6 4" xfId="41326" xr:uid="{00000000-0005-0000-0000-00000EDE0000}"/>
    <cellStyle name="Normal 92 7" xfId="41327" xr:uid="{00000000-0005-0000-0000-00000FDE0000}"/>
    <cellStyle name="Normal 92 7 2" xfId="41328" xr:uid="{00000000-0005-0000-0000-000010DE0000}"/>
    <cellStyle name="Normal 92 7 2 2" xfId="41329" xr:uid="{00000000-0005-0000-0000-000011DE0000}"/>
    <cellStyle name="Normal 92 7 3" xfId="41330" xr:uid="{00000000-0005-0000-0000-000012DE0000}"/>
    <cellStyle name="Normal 92 7 3 2" xfId="41331" xr:uid="{00000000-0005-0000-0000-000013DE0000}"/>
    <cellStyle name="Normal 92 7 4" xfId="41332" xr:uid="{00000000-0005-0000-0000-000014DE0000}"/>
    <cellStyle name="Normal 92 8" xfId="41333" xr:uid="{00000000-0005-0000-0000-000015DE0000}"/>
    <cellStyle name="Normal 92 8 2" xfId="41334" xr:uid="{00000000-0005-0000-0000-000016DE0000}"/>
    <cellStyle name="Normal 92 8 2 2" xfId="41335" xr:uid="{00000000-0005-0000-0000-000017DE0000}"/>
    <cellStyle name="Normal 92 8 3" xfId="41336" xr:uid="{00000000-0005-0000-0000-000018DE0000}"/>
    <cellStyle name="Normal 92 8 3 2" xfId="41337" xr:uid="{00000000-0005-0000-0000-000019DE0000}"/>
    <cellStyle name="Normal 92 8 4" xfId="41338" xr:uid="{00000000-0005-0000-0000-00001ADE0000}"/>
    <cellStyle name="Normal 92 9" xfId="41339" xr:uid="{00000000-0005-0000-0000-00001BDE0000}"/>
    <cellStyle name="Normal 92 9 2" xfId="41340" xr:uid="{00000000-0005-0000-0000-00001CDE0000}"/>
    <cellStyle name="Normal 92 9 2 2" xfId="41341" xr:uid="{00000000-0005-0000-0000-00001DDE0000}"/>
    <cellStyle name="Normal 92 9 3" xfId="41342" xr:uid="{00000000-0005-0000-0000-00001EDE0000}"/>
    <cellStyle name="Normal 93" xfId="41343" xr:uid="{00000000-0005-0000-0000-00001FDE0000}"/>
    <cellStyle name="Normal 93 10" xfId="41344" xr:uid="{00000000-0005-0000-0000-000020DE0000}"/>
    <cellStyle name="Normal 93 10 2" xfId="41345" xr:uid="{00000000-0005-0000-0000-000021DE0000}"/>
    <cellStyle name="Normal 93 11" xfId="41346" xr:uid="{00000000-0005-0000-0000-000022DE0000}"/>
    <cellStyle name="Normal 93 11 2" xfId="41347" xr:uid="{00000000-0005-0000-0000-000023DE0000}"/>
    <cellStyle name="Normal 93 12" xfId="41348" xr:uid="{00000000-0005-0000-0000-000024DE0000}"/>
    <cellStyle name="Normal 93 13" xfId="41349" xr:uid="{00000000-0005-0000-0000-000025DE0000}"/>
    <cellStyle name="Normal 93 2" xfId="41350" xr:uid="{00000000-0005-0000-0000-000026DE0000}"/>
    <cellStyle name="Normal 93 2 10" xfId="41351" xr:uid="{00000000-0005-0000-0000-000027DE0000}"/>
    <cellStyle name="Normal 93 2 10 2" xfId="41352" xr:uid="{00000000-0005-0000-0000-000028DE0000}"/>
    <cellStyle name="Normal 93 2 11" xfId="41353" xr:uid="{00000000-0005-0000-0000-000029DE0000}"/>
    <cellStyle name="Normal 93 2 12" xfId="41354" xr:uid="{00000000-0005-0000-0000-00002ADE0000}"/>
    <cellStyle name="Normal 93 2 2" xfId="41355" xr:uid="{00000000-0005-0000-0000-00002BDE0000}"/>
    <cellStyle name="Normal 93 2 2 2" xfId="41356" xr:uid="{00000000-0005-0000-0000-00002CDE0000}"/>
    <cellStyle name="Normal 93 2 2 2 2" xfId="41357" xr:uid="{00000000-0005-0000-0000-00002DDE0000}"/>
    <cellStyle name="Normal 93 2 2 2 2 2" xfId="41358" xr:uid="{00000000-0005-0000-0000-00002EDE0000}"/>
    <cellStyle name="Normal 93 2 2 2 3" xfId="41359" xr:uid="{00000000-0005-0000-0000-00002FDE0000}"/>
    <cellStyle name="Normal 93 2 2 2 3 2" xfId="41360" xr:uid="{00000000-0005-0000-0000-000030DE0000}"/>
    <cellStyle name="Normal 93 2 2 2 4" xfId="41361" xr:uid="{00000000-0005-0000-0000-000031DE0000}"/>
    <cellStyle name="Normal 93 2 2 3" xfId="41362" xr:uid="{00000000-0005-0000-0000-000032DE0000}"/>
    <cellStyle name="Normal 93 2 2 3 2" xfId="41363" xr:uid="{00000000-0005-0000-0000-000033DE0000}"/>
    <cellStyle name="Normal 93 2 2 3 2 2" xfId="41364" xr:uid="{00000000-0005-0000-0000-000034DE0000}"/>
    <cellStyle name="Normal 93 2 2 3 3" xfId="41365" xr:uid="{00000000-0005-0000-0000-000035DE0000}"/>
    <cellStyle name="Normal 93 2 2 3 3 2" xfId="41366" xr:uid="{00000000-0005-0000-0000-000036DE0000}"/>
    <cellStyle name="Normal 93 2 2 3 4" xfId="41367" xr:uid="{00000000-0005-0000-0000-000037DE0000}"/>
    <cellStyle name="Normal 93 2 2 4" xfId="41368" xr:uid="{00000000-0005-0000-0000-000038DE0000}"/>
    <cellStyle name="Normal 93 2 2 4 2" xfId="41369" xr:uid="{00000000-0005-0000-0000-000039DE0000}"/>
    <cellStyle name="Normal 93 2 2 5" xfId="41370" xr:uid="{00000000-0005-0000-0000-00003ADE0000}"/>
    <cellStyle name="Normal 93 2 2 5 2" xfId="41371" xr:uid="{00000000-0005-0000-0000-00003BDE0000}"/>
    <cellStyle name="Normal 93 2 2 6" xfId="41372" xr:uid="{00000000-0005-0000-0000-00003CDE0000}"/>
    <cellStyle name="Normal 93 2 3" xfId="41373" xr:uid="{00000000-0005-0000-0000-00003DDE0000}"/>
    <cellStyle name="Normal 93 2 3 2" xfId="41374" xr:uid="{00000000-0005-0000-0000-00003EDE0000}"/>
    <cellStyle name="Normal 93 2 3 2 2" xfId="41375" xr:uid="{00000000-0005-0000-0000-00003FDE0000}"/>
    <cellStyle name="Normal 93 2 3 3" xfId="41376" xr:uid="{00000000-0005-0000-0000-000040DE0000}"/>
    <cellStyle name="Normal 93 2 3 3 2" xfId="41377" xr:uid="{00000000-0005-0000-0000-000041DE0000}"/>
    <cellStyle name="Normal 93 2 3 4" xfId="41378" xr:uid="{00000000-0005-0000-0000-000042DE0000}"/>
    <cellStyle name="Normal 93 2 4" xfId="41379" xr:uid="{00000000-0005-0000-0000-000043DE0000}"/>
    <cellStyle name="Normal 93 2 4 2" xfId="41380" xr:uid="{00000000-0005-0000-0000-000044DE0000}"/>
    <cellStyle name="Normal 93 2 4 2 2" xfId="41381" xr:uid="{00000000-0005-0000-0000-000045DE0000}"/>
    <cellStyle name="Normal 93 2 4 3" xfId="41382" xr:uid="{00000000-0005-0000-0000-000046DE0000}"/>
    <cellStyle name="Normal 93 2 4 3 2" xfId="41383" xr:uid="{00000000-0005-0000-0000-000047DE0000}"/>
    <cellStyle name="Normal 93 2 4 4" xfId="41384" xr:uid="{00000000-0005-0000-0000-000048DE0000}"/>
    <cellStyle name="Normal 93 2 5" xfId="41385" xr:uid="{00000000-0005-0000-0000-000049DE0000}"/>
    <cellStyle name="Normal 93 2 5 2" xfId="41386" xr:uid="{00000000-0005-0000-0000-00004ADE0000}"/>
    <cellStyle name="Normal 93 2 5 2 2" xfId="41387" xr:uid="{00000000-0005-0000-0000-00004BDE0000}"/>
    <cellStyle name="Normal 93 2 5 3" xfId="41388" xr:uid="{00000000-0005-0000-0000-00004CDE0000}"/>
    <cellStyle name="Normal 93 2 5 3 2" xfId="41389" xr:uid="{00000000-0005-0000-0000-00004DDE0000}"/>
    <cellStyle name="Normal 93 2 5 4" xfId="41390" xr:uid="{00000000-0005-0000-0000-00004EDE0000}"/>
    <cellStyle name="Normal 93 2 6" xfId="41391" xr:uid="{00000000-0005-0000-0000-00004FDE0000}"/>
    <cellStyle name="Normal 93 2 6 2" xfId="41392" xr:uid="{00000000-0005-0000-0000-000050DE0000}"/>
    <cellStyle name="Normal 93 2 6 2 2" xfId="41393" xr:uid="{00000000-0005-0000-0000-000051DE0000}"/>
    <cellStyle name="Normal 93 2 6 3" xfId="41394" xr:uid="{00000000-0005-0000-0000-000052DE0000}"/>
    <cellStyle name="Normal 93 2 6 3 2" xfId="41395" xr:uid="{00000000-0005-0000-0000-000053DE0000}"/>
    <cellStyle name="Normal 93 2 6 4" xfId="41396" xr:uid="{00000000-0005-0000-0000-000054DE0000}"/>
    <cellStyle name="Normal 93 2 7" xfId="41397" xr:uid="{00000000-0005-0000-0000-000055DE0000}"/>
    <cellStyle name="Normal 93 2 7 2" xfId="41398" xr:uid="{00000000-0005-0000-0000-000056DE0000}"/>
    <cellStyle name="Normal 93 2 7 2 2" xfId="41399" xr:uid="{00000000-0005-0000-0000-000057DE0000}"/>
    <cellStyle name="Normal 93 2 7 3" xfId="41400" xr:uid="{00000000-0005-0000-0000-000058DE0000}"/>
    <cellStyle name="Normal 93 2 7 3 2" xfId="41401" xr:uid="{00000000-0005-0000-0000-000059DE0000}"/>
    <cellStyle name="Normal 93 2 7 4" xfId="41402" xr:uid="{00000000-0005-0000-0000-00005ADE0000}"/>
    <cellStyle name="Normal 93 2 8" xfId="41403" xr:uid="{00000000-0005-0000-0000-00005BDE0000}"/>
    <cellStyle name="Normal 93 2 8 2" xfId="41404" xr:uid="{00000000-0005-0000-0000-00005CDE0000}"/>
    <cellStyle name="Normal 93 2 8 2 2" xfId="41405" xr:uid="{00000000-0005-0000-0000-00005DDE0000}"/>
    <cellStyle name="Normal 93 2 8 3" xfId="41406" xr:uid="{00000000-0005-0000-0000-00005EDE0000}"/>
    <cellStyle name="Normal 93 2 9" xfId="41407" xr:uid="{00000000-0005-0000-0000-00005FDE0000}"/>
    <cellStyle name="Normal 93 2 9 2" xfId="41408" xr:uid="{00000000-0005-0000-0000-000060DE0000}"/>
    <cellStyle name="Normal 93 3" xfId="41409" xr:uid="{00000000-0005-0000-0000-000061DE0000}"/>
    <cellStyle name="Normal 93 3 2" xfId="41410" xr:uid="{00000000-0005-0000-0000-000062DE0000}"/>
    <cellStyle name="Normal 93 3 2 2" xfId="41411" xr:uid="{00000000-0005-0000-0000-000063DE0000}"/>
    <cellStyle name="Normal 93 3 2 2 2" xfId="41412" xr:uid="{00000000-0005-0000-0000-000064DE0000}"/>
    <cellStyle name="Normal 93 3 2 3" xfId="41413" xr:uid="{00000000-0005-0000-0000-000065DE0000}"/>
    <cellStyle name="Normal 93 3 2 3 2" xfId="41414" xr:uid="{00000000-0005-0000-0000-000066DE0000}"/>
    <cellStyle name="Normal 93 3 2 4" xfId="41415" xr:uid="{00000000-0005-0000-0000-000067DE0000}"/>
    <cellStyle name="Normal 93 3 3" xfId="41416" xr:uid="{00000000-0005-0000-0000-000068DE0000}"/>
    <cellStyle name="Normal 93 3 3 2" xfId="41417" xr:uid="{00000000-0005-0000-0000-000069DE0000}"/>
    <cellStyle name="Normal 93 3 3 2 2" xfId="41418" xr:uid="{00000000-0005-0000-0000-00006ADE0000}"/>
    <cellStyle name="Normal 93 3 3 3" xfId="41419" xr:uid="{00000000-0005-0000-0000-00006BDE0000}"/>
    <cellStyle name="Normal 93 3 3 3 2" xfId="41420" xr:uid="{00000000-0005-0000-0000-00006CDE0000}"/>
    <cellStyle name="Normal 93 3 3 4" xfId="41421" xr:uid="{00000000-0005-0000-0000-00006DDE0000}"/>
    <cellStyle name="Normal 93 3 4" xfId="41422" xr:uid="{00000000-0005-0000-0000-00006EDE0000}"/>
    <cellStyle name="Normal 93 3 4 2" xfId="41423" xr:uid="{00000000-0005-0000-0000-00006FDE0000}"/>
    <cellStyle name="Normal 93 3 5" xfId="41424" xr:uid="{00000000-0005-0000-0000-000070DE0000}"/>
    <cellStyle name="Normal 93 3 5 2" xfId="41425" xr:uid="{00000000-0005-0000-0000-000071DE0000}"/>
    <cellStyle name="Normal 93 3 6" xfId="41426" xr:uid="{00000000-0005-0000-0000-000072DE0000}"/>
    <cellStyle name="Normal 93 4" xfId="41427" xr:uid="{00000000-0005-0000-0000-000073DE0000}"/>
    <cellStyle name="Normal 93 4 2" xfId="41428" xr:uid="{00000000-0005-0000-0000-000074DE0000}"/>
    <cellStyle name="Normal 93 4 2 2" xfId="41429" xr:uid="{00000000-0005-0000-0000-000075DE0000}"/>
    <cellStyle name="Normal 93 4 3" xfId="41430" xr:uid="{00000000-0005-0000-0000-000076DE0000}"/>
    <cellStyle name="Normal 93 4 3 2" xfId="41431" xr:uid="{00000000-0005-0000-0000-000077DE0000}"/>
    <cellStyle name="Normal 93 4 4" xfId="41432" xr:uid="{00000000-0005-0000-0000-000078DE0000}"/>
    <cellStyle name="Normal 93 5" xfId="41433" xr:uid="{00000000-0005-0000-0000-000079DE0000}"/>
    <cellStyle name="Normal 93 5 2" xfId="41434" xr:uid="{00000000-0005-0000-0000-00007ADE0000}"/>
    <cellStyle name="Normal 93 5 2 2" xfId="41435" xr:uid="{00000000-0005-0000-0000-00007BDE0000}"/>
    <cellStyle name="Normal 93 5 3" xfId="41436" xr:uid="{00000000-0005-0000-0000-00007CDE0000}"/>
    <cellStyle name="Normal 93 5 3 2" xfId="41437" xr:uid="{00000000-0005-0000-0000-00007DDE0000}"/>
    <cellStyle name="Normal 93 5 4" xfId="41438" xr:uid="{00000000-0005-0000-0000-00007EDE0000}"/>
    <cellStyle name="Normal 93 6" xfId="41439" xr:uid="{00000000-0005-0000-0000-00007FDE0000}"/>
    <cellStyle name="Normal 93 6 2" xfId="41440" xr:uid="{00000000-0005-0000-0000-000080DE0000}"/>
    <cellStyle name="Normal 93 6 2 2" xfId="41441" xr:uid="{00000000-0005-0000-0000-000081DE0000}"/>
    <cellStyle name="Normal 93 6 3" xfId="41442" xr:uid="{00000000-0005-0000-0000-000082DE0000}"/>
    <cellStyle name="Normal 93 6 3 2" xfId="41443" xr:uid="{00000000-0005-0000-0000-000083DE0000}"/>
    <cellStyle name="Normal 93 6 4" xfId="41444" xr:uid="{00000000-0005-0000-0000-000084DE0000}"/>
    <cellStyle name="Normal 93 7" xfId="41445" xr:uid="{00000000-0005-0000-0000-000085DE0000}"/>
    <cellStyle name="Normal 93 7 2" xfId="41446" xr:uid="{00000000-0005-0000-0000-000086DE0000}"/>
    <cellStyle name="Normal 93 7 2 2" xfId="41447" xr:uid="{00000000-0005-0000-0000-000087DE0000}"/>
    <cellStyle name="Normal 93 7 3" xfId="41448" xr:uid="{00000000-0005-0000-0000-000088DE0000}"/>
    <cellStyle name="Normal 93 7 3 2" xfId="41449" xr:uid="{00000000-0005-0000-0000-000089DE0000}"/>
    <cellStyle name="Normal 93 7 4" xfId="41450" xr:uid="{00000000-0005-0000-0000-00008ADE0000}"/>
    <cellStyle name="Normal 93 8" xfId="41451" xr:uid="{00000000-0005-0000-0000-00008BDE0000}"/>
    <cellStyle name="Normal 93 8 2" xfId="41452" xr:uid="{00000000-0005-0000-0000-00008CDE0000}"/>
    <cellStyle name="Normal 93 8 2 2" xfId="41453" xr:uid="{00000000-0005-0000-0000-00008DDE0000}"/>
    <cellStyle name="Normal 93 8 3" xfId="41454" xr:uid="{00000000-0005-0000-0000-00008EDE0000}"/>
    <cellStyle name="Normal 93 8 3 2" xfId="41455" xr:uid="{00000000-0005-0000-0000-00008FDE0000}"/>
    <cellStyle name="Normal 93 8 4" xfId="41456" xr:uid="{00000000-0005-0000-0000-000090DE0000}"/>
    <cellStyle name="Normal 93 9" xfId="41457" xr:uid="{00000000-0005-0000-0000-000091DE0000}"/>
    <cellStyle name="Normal 93 9 2" xfId="41458" xr:uid="{00000000-0005-0000-0000-000092DE0000}"/>
    <cellStyle name="Normal 93 9 2 2" xfId="41459" xr:uid="{00000000-0005-0000-0000-000093DE0000}"/>
    <cellStyle name="Normal 93 9 3" xfId="41460" xr:uid="{00000000-0005-0000-0000-000094DE0000}"/>
    <cellStyle name="Normal 94" xfId="41461" xr:uid="{00000000-0005-0000-0000-000095DE0000}"/>
    <cellStyle name="Normal 94 10" xfId="41462" xr:uid="{00000000-0005-0000-0000-000096DE0000}"/>
    <cellStyle name="Normal 94 10 2" xfId="41463" xr:uid="{00000000-0005-0000-0000-000097DE0000}"/>
    <cellStyle name="Normal 94 11" xfId="41464" xr:uid="{00000000-0005-0000-0000-000098DE0000}"/>
    <cellStyle name="Normal 94 11 2" xfId="41465" xr:uid="{00000000-0005-0000-0000-000099DE0000}"/>
    <cellStyle name="Normal 94 12" xfId="41466" xr:uid="{00000000-0005-0000-0000-00009ADE0000}"/>
    <cellStyle name="Normal 94 13" xfId="41467" xr:uid="{00000000-0005-0000-0000-00009BDE0000}"/>
    <cellStyle name="Normal 94 2" xfId="41468" xr:uid="{00000000-0005-0000-0000-00009CDE0000}"/>
    <cellStyle name="Normal 94 2 10" xfId="41469" xr:uid="{00000000-0005-0000-0000-00009DDE0000}"/>
    <cellStyle name="Normal 94 2 10 2" xfId="41470" xr:uid="{00000000-0005-0000-0000-00009EDE0000}"/>
    <cellStyle name="Normal 94 2 11" xfId="41471" xr:uid="{00000000-0005-0000-0000-00009FDE0000}"/>
    <cellStyle name="Normal 94 2 2" xfId="41472" xr:uid="{00000000-0005-0000-0000-0000A0DE0000}"/>
    <cellStyle name="Normal 94 2 2 2" xfId="41473" xr:uid="{00000000-0005-0000-0000-0000A1DE0000}"/>
    <cellStyle name="Normal 94 2 2 2 2" xfId="41474" xr:uid="{00000000-0005-0000-0000-0000A2DE0000}"/>
    <cellStyle name="Normal 94 2 2 2 2 2" xfId="41475" xr:uid="{00000000-0005-0000-0000-0000A3DE0000}"/>
    <cellStyle name="Normal 94 2 2 2 3" xfId="41476" xr:uid="{00000000-0005-0000-0000-0000A4DE0000}"/>
    <cellStyle name="Normal 94 2 2 2 3 2" xfId="41477" xr:uid="{00000000-0005-0000-0000-0000A5DE0000}"/>
    <cellStyle name="Normal 94 2 2 2 4" xfId="41478" xr:uid="{00000000-0005-0000-0000-0000A6DE0000}"/>
    <cellStyle name="Normal 94 2 2 3" xfId="41479" xr:uid="{00000000-0005-0000-0000-0000A7DE0000}"/>
    <cellStyle name="Normal 94 2 2 3 2" xfId="41480" xr:uid="{00000000-0005-0000-0000-0000A8DE0000}"/>
    <cellStyle name="Normal 94 2 2 3 2 2" xfId="41481" xr:uid="{00000000-0005-0000-0000-0000A9DE0000}"/>
    <cellStyle name="Normal 94 2 2 3 3" xfId="41482" xr:uid="{00000000-0005-0000-0000-0000AADE0000}"/>
    <cellStyle name="Normal 94 2 2 3 3 2" xfId="41483" xr:uid="{00000000-0005-0000-0000-0000ABDE0000}"/>
    <cellStyle name="Normal 94 2 2 3 4" xfId="41484" xr:uid="{00000000-0005-0000-0000-0000ACDE0000}"/>
    <cellStyle name="Normal 94 2 2 4" xfId="41485" xr:uid="{00000000-0005-0000-0000-0000ADDE0000}"/>
    <cellStyle name="Normal 94 2 2 4 2" xfId="41486" xr:uid="{00000000-0005-0000-0000-0000AEDE0000}"/>
    <cellStyle name="Normal 94 2 2 5" xfId="41487" xr:uid="{00000000-0005-0000-0000-0000AFDE0000}"/>
    <cellStyle name="Normal 94 2 2 5 2" xfId="41488" xr:uid="{00000000-0005-0000-0000-0000B0DE0000}"/>
    <cellStyle name="Normal 94 2 2 6" xfId="41489" xr:uid="{00000000-0005-0000-0000-0000B1DE0000}"/>
    <cellStyle name="Normal 94 2 3" xfId="41490" xr:uid="{00000000-0005-0000-0000-0000B2DE0000}"/>
    <cellStyle name="Normal 94 2 3 2" xfId="41491" xr:uid="{00000000-0005-0000-0000-0000B3DE0000}"/>
    <cellStyle name="Normal 94 2 3 2 2" xfId="41492" xr:uid="{00000000-0005-0000-0000-0000B4DE0000}"/>
    <cellStyle name="Normal 94 2 3 3" xfId="41493" xr:uid="{00000000-0005-0000-0000-0000B5DE0000}"/>
    <cellStyle name="Normal 94 2 3 3 2" xfId="41494" xr:uid="{00000000-0005-0000-0000-0000B6DE0000}"/>
    <cellStyle name="Normal 94 2 3 4" xfId="41495" xr:uid="{00000000-0005-0000-0000-0000B7DE0000}"/>
    <cellStyle name="Normal 94 2 4" xfId="41496" xr:uid="{00000000-0005-0000-0000-0000B8DE0000}"/>
    <cellStyle name="Normal 94 2 4 2" xfId="41497" xr:uid="{00000000-0005-0000-0000-0000B9DE0000}"/>
    <cellStyle name="Normal 94 2 4 2 2" xfId="41498" xr:uid="{00000000-0005-0000-0000-0000BADE0000}"/>
    <cellStyle name="Normal 94 2 4 3" xfId="41499" xr:uid="{00000000-0005-0000-0000-0000BBDE0000}"/>
    <cellStyle name="Normal 94 2 4 3 2" xfId="41500" xr:uid="{00000000-0005-0000-0000-0000BCDE0000}"/>
    <cellStyle name="Normal 94 2 4 4" xfId="41501" xr:uid="{00000000-0005-0000-0000-0000BDDE0000}"/>
    <cellStyle name="Normal 94 2 5" xfId="41502" xr:uid="{00000000-0005-0000-0000-0000BEDE0000}"/>
    <cellStyle name="Normal 94 2 5 2" xfId="41503" xr:uid="{00000000-0005-0000-0000-0000BFDE0000}"/>
    <cellStyle name="Normal 94 2 5 2 2" xfId="41504" xr:uid="{00000000-0005-0000-0000-0000C0DE0000}"/>
    <cellStyle name="Normal 94 2 5 3" xfId="41505" xr:uid="{00000000-0005-0000-0000-0000C1DE0000}"/>
    <cellStyle name="Normal 94 2 5 3 2" xfId="41506" xr:uid="{00000000-0005-0000-0000-0000C2DE0000}"/>
    <cellStyle name="Normal 94 2 5 4" xfId="41507" xr:uid="{00000000-0005-0000-0000-0000C3DE0000}"/>
    <cellStyle name="Normal 94 2 6" xfId="41508" xr:uid="{00000000-0005-0000-0000-0000C4DE0000}"/>
    <cellStyle name="Normal 94 2 6 2" xfId="41509" xr:uid="{00000000-0005-0000-0000-0000C5DE0000}"/>
    <cellStyle name="Normal 94 2 6 2 2" xfId="41510" xr:uid="{00000000-0005-0000-0000-0000C6DE0000}"/>
    <cellStyle name="Normal 94 2 6 3" xfId="41511" xr:uid="{00000000-0005-0000-0000-0000C7DE0000}"/>
    <cellStyle name="Normal 94 2 6 3 2" xfId="41512" xr:uid="{00000000-0005-0000-0000-0000C8DE0000}"/>
    <cellStyle name="Normal 94 2 6 4" xfId="41513" xr:uid="{00000000-0005-0000-0000-0000C9DE0000}"/>
    <cellStyle name="Normal 94 2 7" xfId="41514" xr:uid="{00000000-0005-0000-0000-0000CADE0000}"/>
    <cellStyle name="Normal 94 2 7 2" xfId="41515" xr:uid="{00000000-0005-0000-0000-0000CBDE0000}"/>
    <cellStyle name="Normal 94 2 7 2 2" xfId="41516" xr:uid="{00000000-0005-0000-0000-0000CCDE0000}"/>
    <cellStyle name="Normal 94 2 7 3" xfId="41517" xr:uid="{00000000-0005-0000-0000-0000CDDE0000}"/>
    <cellStyle name="Normal 94 2 7 3 2" xfId="41518" xr:uid="{00000000-0005-0000-0000-0000CEDE0000}"/>
    <cellStyle name="Normal 94 2 7 4" xfId="41519" xr:uid="{00000000-0005-0000-0000-0000CFDE0000}"/>
    <cellStyle name="Normal 94 2 8" xfId="41520" xr:uid="{00000000-0005-0000-0000-0000D0DE0000}"/>
    <cellStyle name="Normal 94 2 8 2" xfId="41521" xr:uid="{00000000-0005-0000-0000-0000D1DE0000}"/>
    <cellStyle name="Normal 94 2 8 2 2" xfId="41522" xr:uid="{00000000-0005-0000-0000-0000D2DE0000}"/>
    <cellStyle name="Normal 94 2 8 3" xfId="41523" xr:uid="{00000000-0005-0000-0000-0000D3DE0000}"/>
    <cellStyle name="Normal 94 2 9" xfId="41524" xr:uid="{00000000-0005-0000-0000-0000D4DE0000}"/>
    <cellStyle name="Normal 94 2 9 2" xfId="41525" xr:uid="{00000000-0005-0000-0000-0000D5DE0000}"/>
    <cellStyle name="Normal 94 3" xfId="41526" xr:uid="{00000000-0005-0000-0000-0000D6DE0000}"/>
    <cellStyle name="Normal 94 3 2" xfId="41527" xr:uid="{00000000-0005-0000-0000-0000D7DE0000}"/>
    <cellStyle name="Normal 94 3 2 2" xfId="41528" xr:uid="{00000000-0005-0000-0000-0000D8DE0000}"/>
    <cellStyle name="Normal 94 3 2 2 2" xfId="41529" xr:uid="{00000000-0005-0000-0000-0000D9DE0000}"/>
    <cellStyle name="Normal 94 3 2 3" xfId="41530" xr:uid="{00000000-0005-0000-0000-0000DADE0000}"/>
    <cellStyle name="Normal 94 3 2 3 2" xfId="41531" xr:uid="{00000000-0005-0000-0000-0000DBDE0000}"/>
    <cellStyle name="Normal 94 3 2 4" xfId="41532" xr:uid="{00000000-0005-0000-0000-0000DCDE0000}"/>
    <cellStyle name="Normal 94 3 3" xfId="41533" xr:uid="{00000000-0005-0000-0000-0000DDDE0000}"/>
    <cellStyle name="Normal 94 3 3 2" xfId="41534" xr:uid="{00000000-0005-0000-0000-0000DEDE0000}"/>
    <cellStyle name="Normal 94 3 3 2 2" xfId="41535" xr:uid="{00000000-0005-0000-0000-0000DFDE0000}"/>
    <cellStyle name="Normal 94 3 3 3" xfId="41536" xr:uid="{00000000-0005-0000-0000-0000E0DE0000}"/>
    <cellStyle name="Normal 94 3 3 3 2" xfId="41537" xr:uid="{00000000-0005-0000-0000-0000E1DE0000}"/>
    <cellStyle name="Normal 94 3 3 4" xfId="41538" xr:uid="{00000000-0005-0000-0000-0000E2DE0000}"/>
    <cellStyle name="Normal 94 3 4" xfId="41539" xr:uid="{00000000-0005-0000-0000-0000E3DE0000}"/>
    <cellStyle name="Normal 94 3 4 2" xfId="41540" xr:uid="{00000000-0005-0000-0000-0000E4DE0000}"/>
    <cellStyle name="Normal 94 3 5" xfId="41541" xr:uid="{00000000-0005-0000-0000-0000E5DE0000}"/>
    <cellStyle name="Normal 94 3 5 2" xfId="41542" xr:uid="{00000000-0005-0000-0000-0000E6DE0000}"/>
    <cellStyle name="Normal 94 3 6" xfId="41543" xr:uid="{00000000-0005-0000-0000-0000E7DE0000}"/>
    <cellStyle name="Normal 94 4" xfId="41544" xr:uid="{00000000-0005-0000-0000-0000E8DE0000}"/>
    <cellStyle name="Normal 94 4 2" xfId="41545" xr:uid="{00000000-0005-0000-0000-0000E9DE0000}"/>
    <cellStyle name="Normal 94 4 2 2" xfId="41546" xr:uid="{00000000-0005-0000-0000-0000EADE0000}"/>
    <cellStyle name="Normal 94 4 3" xfId="41547" xr:uid="{00000000-0005-0000-0000-0000EBDE0000}"/>
    <cellStyle name="Normal 94 4 3 2" xfId="41548" xr:uid="{00000000-0005-0000-0000-0000ECDE0000}"/>
    <cellStyle name="Normal 94 4 4" xfId="41549" xr:uid="{00000000-0005-0000-0000-0000EDDE0000}"/>
    <cellStyle name="Normal 94 5" xfId="41550" xr:uid="{00000000-0005-0000-0000-0000EEDE0000}"/>
    <cellStyle name="Normal 94 5 2" xfId="41551" xr:uid="{00000000-0005-0000-0000-0000EFDE0000}"/>
    <cellStyle name="Normal 94 5 2 2" xfId="41552" xr:uid="{00000000-0005-0000-0000-0000F0DE0000}"/>
    <cellStyle name="Normal 94 5 3" xfId="41553" xr:uid="{00000000-0005-0000-0000-0000F1DE0000}"/>
    <cellStyle name="Normal 94 5 3 2" xfId="41554" xr:uid="{00000000-0005-0000-0000-0000F2DE0000}"/>
    <cellStyle name="Normal 94 5 4" xfId="41555" xr:uid="{00000000-0005-0000-0000-0000F3DE0000}"/>
    <cellStyle name="Normal 94 6" xfId="41556" xr:uid="{00000000-0005-0000-0000-0000F4DE0000}"/>
    <cellStyle name="Normal 94 6 2" xfId="41557" xr:uid="{00000000-0005-0000-0000-0000F5DE0000}"/>
    <cellStyle name="Normal 94 6 2 2" xfId="41558" xr:uid="{00000000-0005-0000-0000-0000F6DE0000}"/>
    <cellStyle name="Normal 94 6 3" xfId="41559" xr:uid="{00000000-0005-0000-0000-0000F7DE0000}"/>
    <cellStyle name="Normal 94 6 3 2" xfId="41560" xr:uid="{00000000-0005-0000-0000-0000F8DE0000}"/>
    <cellStyle name="Normal 94 6 4" xfId="41561" xr:uid="{00000000-0005-0000-0000-0000F9DE0000}"/>
    <cellStyle name="Normal 94 7" xfId="41562" xr:uid="{00000000-0005-0000-0000-0000FADE0000}"/>
    <cellStyle name="Normal 94 7 2" xfId="41563" xr:uid="{00000000-0005-0000-0000-0000FBDE0000}"/>
    <cellStyle name="Normal 94 7 2 2" xfId="41564" xr:uid="{00000000-0005-0000-0000-0000FCDE0000}"/>
    <cellStyle name="Normal 94 7 3" xfId="41565" xr:uid="{00000000-0005-0000-0000-0000FDDE0000}"/>
    <cellStyle name="Normal 94 7 3 2" xfId="41566" xr:uid="{00000000-0005-0000-0000-0000FEDE0000}"/>
    <cellStyle name="Normal 94 7 4" xfId="41567" xr:uid="{00000000-0005-0000-0000-0000FFDE0000}"/>
    <cellStyle name="Normal 94 8" xfId="41568" xr:uid="{00000000-0005-0000-0000-000000DF0000}"/>
    <cellStyle name="Normal 94 8 2" xfId="41569" xr:uid="{00000000-0005-0000-0000-000001DF0000}"/>
    <cellStyle name="Normal 94 8 2 2" xfId="41570" xr:uid="{00000000-0005-0000-0000-000002DF0000}"/>
    <cellStyle name="Normal 94 8 3" xfId="41571" xr:uid="{00000000-0005-0000-0000-000003DF0000}"/>
    <cellStyle name="Normal 94 8 3 2" xfId="41572" xr:uid="{00000000-0005-0000-0000-000004DF0000}"/>
    <cellStyle name="Normal 94 8 4" xfId="41573" xr:uid="{00000000-0005-0000-0000-000005DF0000}"/>
    <cellStyle name="Normal 94 9" xfId="41574" xr:uid="{00000000-0005-0000-0000-000006DF0000}"/>
    <cellStyle name="Normal 94 9 2" xfId="41575" xr:uid="{00000000-0005-0000-0000-000007DF0000}"/>
    <cellStyle name="Normal 94 9 2 2" xfId="41576" xr:uid="{00000000-0005-0000-0000-000008DF0000}"/>
    <cellStyle name="Normal 94 9 3" xfId="41577" xr:uid="{00000000-0005-0000-0000-000009DF0000}"/>
    <cellStyle name="Normal 95" xfId="41578" xr:uid="{00000000-0005-0000-0000-00000ADF0000}"/>
    <cellStyle name="Normal 95 10" xfId="41579" xr:uid="{00000000-0005-0000-0000-00000BDF0000}"/>
    <cellStyle name="Normal 95 10 2" xfId="41580" xr:uid="{00000000-0005-0000-0000-00000CDF0000}"/>
    <cellStyle name="Normal 95 11" xfId="41581" xr:uid="{00000000-0005-0000-0000-00000DDF0000}"/>
    <cellStyle name="Normal 95 11 2" xfId="41582" xr:uid="{00000000-0005-0000-0000-00000EDF0000}"/>
    <cellStyle name="Normal 95 12" xfId="41583" xr:uid="{00000000-0005-0000-0000-00000FDF0000}"/>
    <cellStyle name="Normal 95 2" xfId="41584" xr:uid="{00000000-0005-0000-0000-000010DF0000}"/>
    <cellStyle name="Normal 95 2 10" xfId="41585" xr:uid="{00000000-0005-0000-0000-000011DF0000}"/>
    <cellStyle name="Normal 95 2 10 2" xfId="41586" xr:uid="{00000000-0005-0000-0000-000012DF0000}"/>
    <cellStyle name="Normal 95 2 11" xfId="41587" xr:uid="{00000000-0005-0000-0000-000013DF0000}"/>
    <cellStyle name="Normal 95 2 2" xfId="41588" xr:uid="{00000000-0005-0000-0000-000014DF0000}"/>
    <cellStyle name="Normal 95 2 2 2" xfId="41589" xr:uid="{00000000-0005-0000-0000-000015DF0000}"/>
    <cellStyle name="Normal 95 2 2 2 2" xfId="41590" xr:uid="{00000000-0005-0000-0000-000016DF0000}"/>
    <cellStyle name="Normal 95 2 2 2 2 2" xfId="41591" xr:uid="{00000000-0005-0000-0000-000017DF0000}"/>
    <cellStyle name="Normal 95 2 2 2 3" xfId="41592" xr:uid="{00000000-0005-0000-0000-000018DF0000}"/>
    <cellStyle name="Normal 95 2 2 2 3 2" xfId="41593" xr:uid="{00000000-0005-0000-0000-000019DF0000}"/>
    <cellStyle name="Normal 95 2 2 2 4" xfId="41594" xr:uid="{00000000-0005-0000-0000-00001ADF0000}"/>
    <cellStyle name="Normal 95 2 2 3" xfId="41595" xr:uid="{00000000-0005-0000-0000-00001BDF0000}"/>
    <cellStyle name="Normal 95 2 2 3 2" xfId="41596" xr:uid="{00000000-0005-0000-0000-00001CDF0000}"/>
    <cellStyle name="Normal 95 2 2 3 2 2" xfId="41597" xr:uid="{00000000-0005-0000-0000-00001DDF0000}"/>
    <cellStyle name="Normal 95 2 2 3 3" xfId="41598" xr:uid="{00000000-0005-0000-0000-00001EDF0000}"/>
    <cellStyle name="Normal 95 2 2 3 3 2" xfId="41599" xr:uid="{00000000-0005-0000-0000-00001FDF0000}"/>
    <cellStyle name="Normal 95 2 2 3 4" xfId="41600" xr:uid="{00000000-0005-0000-0000-000020DF0000}"/>
    <cellStyle name="Normal 95 2 2 4" xfId="41601" xr:uid="{00000000-0005-0000-0000-000021DF0000}"/>
    <cellStyle name="Normal 95 2 2 4 2" xfId="41602" xr:uid="{00000000-0005-0000-0000-000022DF0000}"/>
    <cellStyle name="Normal 95 2 2 5" xfId="41603" xr:uid="{00000000-0005-0000-0000-000023DF0000}"/>
    <cellStyle name="Normal 95 2 2 5 2" xfId="41604" xr:uid="{00000000-0005-0000-0000-000024DF0000}"/>
    <cellStyle name="Normal 95 2 2 6" xfId="41605" xr:uid="{00000000-0005-0000-0000-000025DF0000}"/>
    <cellStyle name="Normal 95 2 3" xfId="41606" xr:uid="{00000000-0005-0000-0000-000026DF0000}"/>
    <cellStyle name="Normal 95 2 3 2" xfId="41607" xr:uid="{00000000-0005-0000-0000-000027DF0000}"/>
    <cellStyle name="Normal 95 2 3 2 2" xfId="41608" xr:uid="{00000000-0005-0000-0000-000028DF0000}"/>
    <cellStyle name="Normal 95 2 3 3" xfId="41609" xr:uid="{00000000-0005-0000-0000-000029DF0000}"/>
    <cellStyle name="Normal 95 2 3 3 2" xfId="41610" xr:uid="{00000000-0005-0000-0000-00002ADF0000}"/>
    <cellStyle name="Normal 95 2 3 4" xfId="41611" xr:uid="{00000000-0005-0000-0000-00002BDF0000}"/>
    <cellStyle name="Normal 95 2 4" xfId="41612" xr:uid="{00000000-0005-0000-0000-00002CDF0000}"/>
    <cellStyle name="Normal 95 2 4 2" xfId="41613" xr:uid="{00000000-0005-0000-0000-00002DDF0000}"/>
    <cellStyle name="Normal 95 2 4 2 2" xfId="41614" xr:uid="{00000000-0005-0000-0000-00002EDF0000}"/>
    <cellStyle name="Normal 95 2 4 3" xfId="41615" xr:uid="{00000000-0005-0000-0000-00002FDF0000}"/>
    <cellStyle name="Normal 95 2 4 3 2" xfId="41616" xr:uid="{00000000-0005-0000-0000-000030DF0000}"/>
    <cellStyle name="Normal 95 2 4 4" xfId="41617" xr:uid="{00000000-0005-0000-0000-000031DF0000}"/>
    <cellStyle name="Normal 95 2 5" xfId="41618" xr:uid="{00000000-0005-0000-0000-000032DF0000}"/>
    <cellStyle name="Normal 95 2 5 2" xfId="41619" xr:uid="{00000000-0005-0000-0000-000033DF0000}"/>
    <cellStyle name="Normal 95 2 5 2 2" xfId="41620" xr:uid="{00000000-0005-0000-0000-000034DF0000}"/>
    <cellStyle name="Normal 95 2 5 3" xfId="41621" xr:uid="{00000000-0005-0000-0000-000035DF0000}"/>
    <cellStyle name="Normal 95 2 5 3 2" xfId="41622" xr:uid="{00000000-0005-0000-0000-000036DF0000}"/>
    <cellStyle name="Normal 95 2 5 4" xfId="41623" xr:uid="{00000000-0005-0000-0000-000037DF0000}"/>
    <cellStyle name="Normal 95 2 6" xfId="41624" xr:uid="{00000000-0005-0000-0000-000038DF0000}"/>
    <cellStyle name="Normal 95 2 6 2" xfId="41625" xr:uid="{00000000-0005-0000-0000-000039DF0000}"/>
    <cellStyle name="Normal 95 2 6 2 2" xfId="41626" xr:uid="{00000000-0005-0000-0000-00003ADF0000}"/>
    <cellStyle name="Normal 95 2 6 3" xfId="41627" xr:uid="{00000000-0005-0000-0000-00003BDF0000}"/>
    <cellStyle name="Normal 95 2 6 3 2" xfId="41628" xr:uid="{00000000-0005-0000-0000-00003CDF0000}"/>
    <cellStyle name="Normal 95 2 6 4" xfId="41629" xr:uid="{00000000-0005-0000-0000-00003DDF0000}"/>
    <cellStyle name="Normal 95 2 7" xfId="41630" xr:uid="{00000000-0005-0000-0000-00003EDF0000}"/>
    <cellStyle name="Normal 95 2 7 2" xfId="41631" xr:uid="{00000000-0005-0000-0000-00003FDF0000}"/>
    <cellStyle name="Normal 95 2 7 2 2" xfId="41632" xr:uid="{00000000-0005-0000-0000-000040DF0000}"/>
    <cellStyle name="Normal 95 2 7 3" xfId="41633" xr:uid="{00000000-0005-0000-0000-000041DF0000}"/>
    <cellStyle name="Normal 95 2 7 3 2" xfId="41634" xr:uid="{00000000-0005-0000-0000-000042DF0000}"/>
    <cellStyle name="Normal 95 2 7 4" xfId="41635" xr:uid="{00000000-0005-0000-0000-000043DF0000}"/>
    <cellStyle name="Normal 95 2 8" xfId="41636" xr:uid="{00000000-0005-0000-0000-000044DF0000}"/>
    <cellStyle name="Normal 95 2 8 2" xfId="41637" xr:uid="{00000000-0005-0000-0000-000045DF0000}"/>
    <cellStyle name="Normal 95 2 8 2 2" xfId="41638" xr:uid="{00000000-0005-0000-0000-000046DF0000}"/>
    <cellStyle name="Normal 95 2 8 3" xfId="41639" xr:uid="{00000000-0005-0000-0000-000047DF0000}"/>
    <cellStyle name="Normal 95 2 9" xfId="41640" xr:uid="{00000000-0005-0000-0000-000048DF0000}"/>
    <cellStyle name="Normal 95 2 9 2" xfId="41641" xr:uid="{00000000-0005-0000-0000-000049DF0000}"/>
    <cellStyle name="Normal 95 3" xfId="41642" xr:uid="{00000000-0005-0000-0000-00004ADF0000}"/>
    <cellStyle name="Normal 95 3 2" xfId="41643" xr:uid="{00000000-0005-0000-0000-00004BDF0000}"/>
    <cellStyle name="Normal 95 3 2 2" xfId="41644" xr:uid="{00000000-0005-0000-0000-00004CDF0000}"/>
    <cellStyle name="Normal 95 3 2 2 2" xfId="41645" xr:uid="{00000000-0005-0000-0000-00004DDF0000}"/>
    <cellStyle name="Normal 95 3 2 3" xfId="41646" xr:uid="{00000000-0005-0000-0000-00004EDF0000}"/>
    <cellStyle name="Normal 95 3 2 3 2" xfId="41647" xr:uid="{00000000-0005-0000-0000-00004FDF0000}"/>
    <cellStyle name="Normal 95 3 2 4" xfId="41648" xr:uid="{00000000-0005-0000-0000-000050DF0000}"/>
    <cellStyle name="Normal 95 3 3" xfId="41649" xr:uid="{00000000-0005-0000-0000-000051DF0000}"/>
    <cellStyle name="Normal 95 3 3 2" xfId="41650" xr:uid="{00000000-0005-0000-0000-000052DF0000}"/>
    <cellStyle name="Normal 95 3 3 2 2" xfId="41651" xr:uid="{00000000-0005-0000-0000-000053DF0000}"/>
    <cellStyle name="Normal 95 3 3 3" xfId="41652" xr:uid="{00000000-0005-0000-0000-000054DF0000}"/>
    <cellStyle name="Normal 95 3 3 3 2" xfId="41653" xr:uid="{00000000-0005-0000-0000-000055DF0000}"/>
    <cellStyle name="Normal 95 3 3 4" xfId="41654" xr:uid="{00000000-0005-0000-0000-000056DF0000}"/>
    <cellStyle name="Normal 95 3 4" xfId="41655" xr:uid="{00000000-0005-0000-0000-000057DF0000}"/>
    <cellStyle name="Normal 95 3 4 2" xfId="41656" xr:uid="{00000000-0005-0000-0000-000058DF0000}"/>
    <cellStyle name="Normal 95 3 5" xfId="41657" xr:uid="{00000000-0005-0000-0000-000059DF0000}"/>
    <cellStyle name="Normal 95 3 5 2" xfId="41658" xr:uid="{00000000-0005-0000-0000-00005ADF0000}"/>
    <cellStyle name="Normal 95 3 6" xfId="41659" xr:uid="{00000000-0005-0000-0000-00005BDF0000}"/>
    <cellStyle name="Normal 95 4" xfId="41660" xr:uid="{00000000-0005-0000-0000-00005CDF0000}"/>
    <cellStyle name="Normal 95 4 2" xfId="41661" xr:uid="{00000000-0005-0000-0000-00005DDF0000}"/>
    <cellStyle name="Normal 95 4 2 2" xfId="41662" xr:uid="{00000000-0005-0000-0000-00005EDF0000}"/>
    <cellStyle name="Normal 95 4 3" xfId="41663" xr:uid="{00000000-0005-0000-0000-00005FDF0000}"/>
    <cellStyle name="Normal 95 4 3 2" xfId="41664" xr:uid="{00000000-0005-0000-0000-000060DF0000}"/>
    <cellStyle name="Normal 95 4 4" xfId="41665" xr:uid="{00000000-0005-0000-0000-000061DF0000}"/>
    <cellStyle name="Normal 95 5" xfId="41666" xr:uid="{00000000-0005-0000-0000-000062DF0000}"/>
    <cellStyle name="Normal 95 5 2" xfId="41667" xr:uid="{00000000-0005-0000-0000-000063DF0000}"/>
    <cellStyle name="Normal 95 5 2 2" xfId="41668" xr:uid="{00000000-0005-0000-0000-000064DF0000}"/>
    <cellStyle name="Normal 95 5 3" xfId="41669" xr:uid="{00000000-0005-0000-0000-000065DF0000}"/>
    <cellStyle name="Normal 95 5 3 2" xfId="41670" xr:uid="{00000000-0005-0000-0000-000066DF0000}"/>
    <cellStyle name="Normal 95 5 4" xfId="41671" xr:uid="{00000000-0005-0000-0000-000067DF0000}"/>
    <cellStyle name="Normal 95 6" xfId="41672" xr:uid="{00000000-0005-0000-0000-000068DF0000}"/>
    <cellStyle name="Normal 95 6 2" xfId="41673" xr:uid="{00000000-0005-0000-0000-000069DF0000}"/>
    <cellStyle name="Normal 95 6 2 2" xfId="41674" xr:uid="{00000000-0005-0000-0000-00006ADF0000}"/>
    <cellStyle name="Normal 95 6 3" xfId="41675" xr:uid="{00000000-0005-0000-0000-00006BDF0000}"/>
    <cellStyle name="Normal 95 6 3 2" xfId="41676" xr:uid="{00000000-0005-0000-0000-00006CDF0000}"/>
    <cellStyle name="Normal 95 6 4" xfId="41677" xr:uid="{00000000-0005-0000-0000-00006DDF0000}"/>
    <cellStyle name="Normal 95 7" xfId="41678" xr:uid="{00000000-0005-0000-0000-00006EDF0000}"/>
    <cellStyle name="Normal 95 7 2" xfId="41679" xr:uid="{00000000-0005-0000-0000-00006FDF0000}"/>
    <cellStyle name="Normal 95 7 2 2" xfId="41680" xr:uid="{00000000-0005-0000-0000-000070DF0000}"/>
    <cellStyle name="Normal 95 7 3" xfId="41681" xr:uid="{00000000-0005-0000-0000-000071DF0000}"/>
    <cellStyle name="Normal 95 7 3 2" xfId="41682" xr:uid="{00000000-0005-0000-0000-000072DF0000}"/>
    <cellStyle name="Normal 95 7 4" xfId="41683" xr:uid="{00000000-0005-0000-0000-000073DF0000}"/>
    <cellStyle name="Normal 95 8" xfId="41684" xr:uid="{00000000-0005-0000-0000-000074DF0000}"/>
    <cellStyle name="Normal 95 8 2" xfId="41685" xr:uid="{00000000-0005-0000-0000-000075DF0000}"/>
    <cellStyle name="Normal 95 8 2 2" xfId="41686" xr:uid="{00000000-0005-0000-0000-000076DF0000}"/>
    <cellStyle name="Normal 95 8 3" xfId="41687" xr:uid="{00000000-0005-0000-0000-000077DF0000}"/>
    <cellStyle name="Normal 95 8 3 2" xfId="41688" xr:uid="{00000000-0005-0000-0000-000078DF0000}"/>
    <cellStyle name="Normal 95 8 4" xfId="41689" xr:uid="{00000000-0005-0000-0000-000079DF0000}"/>
    <cellStyle name="Normal 95 9" xfId="41690" xr:uid="{00000000-0005-0000-0000-00007ADF0000}"/>
    <cellStyle name="Normal 95 9 2" xfId="41691" xr:uid="{00000000-0005-0000-0000-00007BDF0000}"/>
    <cellStyle name="Normal 95 9 2 2" xfId="41692" xr:uid="{00000000-0005-0000-0000-00007CDF0000}"/>
    <cellStyle name="Normal 95 9 3" xfId="41693" xr:uid="{00000000-0005-0000-0000-00007DDF0000}"/>
    <cellStyle name="Normal 96" xfId="41694" xr:uid="{00000000-0005-0000-0000-00007EDF0000}"/>
    <cellStyle name="Normal 96 10" xfId="41695" xr:uid="{00000000-0005-0000-0000-00007FDF0000}"/>
    <cellStyle name="Normal 96 10 2" xfId="41696" xr:uid="{00000000-0005-0000-0000-000080DF0000}"/>
    <cellStyle name="Normal 96 11" xfId="41697" xr:uid="{00000000-0005-0000-0000-000081DF0000}"/>
    <cellStyle name="Normal 96 11 2" xfId="41698" xr:uid="{00000000-0005-0000-0000-000082DF0000}"/>
    <cellStyle name="Normal 96 12" xfId="41699" xr:uid="{00000000-0005-0000-0000-000083DF0000}"/>
    <cellStyle name="Normal 96 2" xfId="41700" xr:uid="{00000000-0005-0000-0000-000084DF0000}"/>
    <cellStyle name="Normal 96 2 10" xfId="41701" xr:uid="{00000000-0005-0000-0000-000085DF0000}"/>
    <cellStyle name="Normal 96 2 10 2" xfId="41702" xr:uid="{00000000-0005-0000-0000-000086DF0000}"/>
    <cellStyle name="Normal 96 2 11" xfId="41703" xr:uid="{00000000-0005-0000-0000-000087DF0000}"/>
    <cellStyle name="Normal 96 2 2" xfId="41704" xr:uid="{00000000-0005-0000-0000-000088DF0000}"/>
    <cellStyle name="Normal 96 2 2 2" xfId="41705" xr:uid="{00000000-0005-0000-0000-000089DF0000}"/>
    <cellStyle name="Normal 96 2 2 2 2" xfId="41706" xr:uid="{00000000-0005-0000-0000-00008ADF0000}"/>
    <cellStyle name="Normal 96 2 2 2 2 2" xfId="41707" xr:uid="{00000000-0005-0000-0000-00008BDF0000}"/>
    <cellStyle name="Normal 96 2 2 2 3" xfId="41708" xr:uid="{00000000-0005-0000-0000-00008CDF0000}"/>
    <cellStyle name="Normal 96 2 2 2 3 2" xfId="41709" xr:uid="{00000000-0005-0000-0000-00008DDF0000}"/>
    <cellStyle name="Normal 96 2 2 2 4" xfId="41710" xr:uid="{00000000-0005-0000-0000-00008EDF0000}"/>
    <cellStyle name="Normal 96 2 2 3" xfId="41711" xr:uid="{00000000-0005-0000-0000-00008FDF0000}"/>
    <cellStyle name="Normal 96 2 2 3 2" xfId="41712" xr:uid="{00000000-0005-0000-0000-000090DF0000}"/>
    <cellStyle name="Normal 96 2 2 3 2 2" xfId="41713" xr:uid="{00000000-0005-0000-0000-000091DF0000}"/>
    <cellStyle name="Normal 96 2 2 3 3" xfId="41714" xr:uid="{00000000-0005-0000-0000-000092DF0000}"/>
    <cellStyle name="Normal 96 2 2 3 3 2" xfId="41715" xr:uid="{00000000-0005-0000-0000-000093DF0000}"/>
    <cellStyle name="Normal 96 2 2 3 4" xfId="41716" xr:uid="{00000000-0005-0000-0000-000094DF0000}"/>
    <cellStyle name="Normal 96 2 2 4" xfId="41717" xr:uid="{00000000-0005-0000-0000-000095DF0000}"/>
    <cellStyle name="Normal 96 2 2 4 2" xfId="41718" xr:uid="{00000000-0005-0000-0000-000096DF0000}"/>
    <cellStyle name="Normal 96 2 2 5" xfId="41719" xr:uid="{00000000-0005-0000-0000-000097DF0000}"/>
    <cellStyle name="Normal 96 2 2 5 2" xfId="41720" xr:uid="{00000000-0005-0000-0000-000098DF0000}"/>
    <cellStyle name="Normal 96 2 2 6" xfId="41721" xr:uid="{00000000-0005-0000-0000-000099DF0000}"/>
    <cellStyle name="Normal 96 2 3" xfId="41722" xr:uid="{00000000-0005-0000-0000-00009ADF0000}"/>
    <cellStyle name="Normal 96 2 3 2" xfId="41723" xr:uid="{00000000-0005-0000-0000-00009BDF0000}"/>
    <cellStyle name="Normal 96 2 3 2 2" xfId="41724" xr:uid="{00000000-0005-0000-0000-00009CDF0000}"/>
    <cellStyle name="Normal 96 2 3 3" xfId="41725" xr:uid="{00000000-0005-0000-0000-00009DDF0000}"/>
    <cellStyle name="Normal 96 2 3 3 2" xfId="41726" xr:uid="{00000000-0005-0000-0000-00009EDF0000}"/>
    <cellStyle name="Normal 96 2 3 4" xfId="41727" xr:uid="{00000000-0005-0000-0000-00009FDF0000}"/>
    <cellStyle name="Normal 96 2 4" xfId="41728" xr:uid="{00000000-0005-0000-0000-0000A0DF0000}"/>
    <cellStyle name="Normal 96 2 4 2" xfId="41729" xr:uid="{00000000-0005-0000-0000-0000A1DF0000}"/>
    <cellStyle name="Normal 96 2 4 2 2" xfId="41730" xr:uid="{00000000-0005-0000-0000-0000A2DF0000}"/>
    <cellStyle name="Normal 96 2 4 3" xfId="41731" xr:uid="{00000000-0005-0000-0000-0000A3DF0000}"/>
    <cellStyle name="Normal 96 2 4 3 2" xfId="41732" xr:uid="{00000000-0005-0000-0000-0000A4DF0000}"/>
    <cellStyle name="Normal 96 2 4 4" xfId="41733" xr:uid="{00000000-0005-0000-0000-0000A5DF0000}"/>
    <cellStyle name="Normal 96 2 5" xfId="41734" xr:uid="{00000000-0005-0000-0000-0000A6DF0000}"/>
    <cellStyle name="Normal 96 2 5 2" xfId="41735" xr:uid="{00000000-0005-0000-0000-0000A7DF0000}"/>
    <cellStyle name="Normal 96 2 5 2 2" xfId="41736" xr:uid="{00000000-0005-0000-0000-0000A8DF0000}"/>
    <cellStyle name="Normal 96 2 5 3" xfId="41737" xr:uid="{00000000-0005-0000-0000-0000A9DF0000}"/>
    <cellStyle name="Normal 96 2 5 3 2" xfId="41738" xr:uid="{00000000-0005-0000-0000-0000AADF0000}"/>
    <cellStyle name="Normal 96 2 5 4" xfId="41739" xr:uid="{00000000-0005-0000-0000-0000ABDF0000}"/>
    <cellStyle name="Normal 96 2 6" xfId="41740" xr:uid="{00000000-0005-0000-0000-0000ACDF0000}"/>
    <cellStyle name="Normal 96 2 6 2" xfId="41741" xr:uid="{00000000-0005-0000-0000-0000ADDF0000}"/>
    <cellStyle name="Normal 96 2 6 2 2" xfId="41742" xr:uid="{00000000-0005-0000-0000-0000AEDF0000}"/>
    <cellStyle name="Normal 96 2 6 3" xfId="41743" xr:uid="{00000000-0005-0000-0000-0000AFDF0000}"/>
    <cellStyle name="Normal 96 2 6 3 2" xfId="41744" xr:uid="{00000000-0005-0000-0000-0000B0DF0000}"/>
    <cellStyle name="Normal 96 2 6 4" xfId="41745" xr:uid="{00000000-0005-0000-0000-0000B1DF0000}"/>
    <cellStyle name="Normal 96 2 7" xfId="41746" xr:uid="{00000000-0005-0000-0000-0000B2DF0000}"/>
    <cellStyle name="Normal 96 2 7 2" xfId="41747" xr:uid="{00000000-0005-0000-0000-0000B3DF0000}"/>
    <cellStyle name="Normal 96 2 7 2 2" xfId="41748" xr:uid="{00000000-0005-0000-0000-0000B4DF0000}"/>
    <cellStyle name="Normal 96 2 7 3" xfId="41749" xr:uid="{00000000-0005-0000-0000-0000B5DF0000}"/>
    <cellStyle name="Normal 96 2 7 3 2" xfId="41750" xr:uid="{00000000-0005-0000-0000-0000B6DF0000}"/>
    <cellStyle name="Normal 96 2 7 4" xfId="41751" xr:uid="{00000000-0005-0000-0000-0000B7DF0000}"/>
    <cellStyle name="Normal 96 2 8" xfId="41752" xr:uid="{00000000-0005-0000-0000-0000B8DF0000}"/>
    <cellStyle name="Normal 96 2 8 2" xfId="41753" xr:uid="{00000000-0005-0000-0000-0000B9DF0000}"/>
    <cellStyle name="Normal 96 2 8 2 2" xfId="41754" xr:uid="{00000000-0005-0000-0000-0000BADF0000}"/>
    <cellStyle name="Normal 96 2 8 3" xfId="41755" xr:uid="{00000000-0005-0000-0000-0000BBDF0000}"/>
    <cellStyle name="Normal 96 2 9" xfId="41756" xr:uid="{00000000-0005-0000-0000-0000BCDF0000}"/>
    <cellStyle name="Normal 96 2 9 2" xfId="41757" xr:uid="{00000000-0005-0000-0000-0000BDDF0000}"/>
    <cellStyle name="Normal 96 3" xfId="41758" xr:uid="{00000000-0005-0000-0000-0000BEDF0000}"/>
    <cellStyle name="Normal 96 3 2" xfId="41759" xr:uid="{00000000-0005-0000-0000-0000BFDF0000}"/>
    <cellStyle name="Normal 96 3 2 2" xfId="41760" xr:uid="{00000000-0005-0000-0000-0000C0DF0000}"/>
    <cellStyle name="Normal 96 3 2 2 2" xfId="41761" xr:uid="{00000000-0005-0000-0000-0000C1DF0000}"/>
    <cellStyle name="Normal 96 3 2 3" xfId="41762" xr:uid="{00000000-0005-0000-0000-0000C2DF0000}"/>
    <cellStyle name="Normal 96 3 2 3 2" xfId="41763" xr:uid="{00000000-0005-0000-0000-0000C3DF0000}"/>
    <cellStyle name="Normal 96 3 2 4" xfId="41764" xr:uid="{00000000-0005-0000-0000-0000C4DF0000}"/>
    <cellStyle name="Normal 96 3 3" xfId="41765" xr:uid="{00000000-0005-0000-0000-0000C5DF0000}"/>
    <cellStyle name="Normal 96 3 3 2" xfId="41766" xr:uid="{00000000-0005-0000-0000-0000C6DF0000}"/>
    <cellStyle name="Normal 96 3 3 2 2" xfId="41767" xr:uid="{00000000-0005-0000-0000-0000C7DF0000}"/>
    <cellStyle name="Normal 96 3 3 3" xfId="41768" xr:uid="{00000000-0005-0000-0000-0000C8DF0000}"/>
    <cellStyle name="Normal 96 3 3 3 2" xfId="41769" xr:uid="{00000000-0005-0000-0000-0000C9DF0000}"/>
    <cellStyle name="Normal 96 3 3 4" xfId="41770" xr:uid="{00000000-0005-0000-0000-0000CADF0000}"/>
    <cellStyle name="Normal 96 3 4" xfId="41771" xr:uid="{00000000-0005-0000-0000-0000CBDF0000}"/>
    <cellStyle name="Normal 96 3 4 2" xfId="41772" xr:uid="{00000000-0005-0000-0000-0000CCDF0000}"/>
    <cellStyle name="Normal 96 3 5" xfId="41773" xr:uid="{00000000-0005-0000-0000-0000CDDF0000}"/>
    <cellStyle name="Normal 96 3 5 2" xfId="41774" xr:uid="{00000000-0005-0000-0000-0000CEDF0000}"/>
    <cellStyle name="Normal 96 3 6" xfId="41775" xr:uid="{00000000-0005-0000-0000-0000CFDF0000}"/>
    <cellStyle name="Normal 96 4" xfId="41776" xr:uid="{00000000-0005-0000-0000-0000D0DF0000}"/>
    <cellStyle name="Normal 96 4 2" xfId="41777" xr:uid="{00000000-0005-0000-0000-0000D1DF0000}"/>
    <cellStyle name="Normal 96 4 2 2" xfId="41778" xr:uid="{00000000-0005-0000-0000-0000D2DF0000}"/>
    <cellStyle name="Normal 96 4 3" xfId="41779" xr:uid="{00000000-0005-0000-0000-0000D3DF0000}"/>
    <cellStyle name="Normal 96 4 3 2" xfId="41780" xr:uid="{00000000-0005-0000-0000-0000D4DF0000}"/>
    <cellStyle name="Normal 96 4 4" xfId="41781" xr:uid="{00000000-0005-0000-0000-0000D5DF0000}"/>
    <cellStyle name="Normal 96 5" xfId="41782" xr:uid="{00000000-0005-0000-0000-0000D6DF0000}"/>
    <cellStyle name="Normal 96 5 2" xfId="41783" xr:uid="{00000000-0005-0000-0000-0000D7DF0000}"/>
    <cellStyle name="Normal 96 5 2 2" xfId="41784" xr:uid="{00000000-0005-0000-0000-0000D8DF0000}"/>
    <cellStyle name="Normal 96 5 3" xfId="41785" xr:uid="{00000000-0005-0000-0000-0000D9DF0000}"/>
    <cellStyle name="Normal 96 5 3 2" xfId="41786" xr:uid="{00000000-0005-0000-0000-0000DADF0000}"/>
    <cellStyle name="Normal 96 5 4" xfId="41787" xr:uid="{00000000-0005-0000-0000-0000DBDF0000}"/>
    <cellStyle name="Normal 96 6" xfId="41788" xr:uid="{00000000-0005-0000-0000-0000DCDF0000}"/>
    <cellStyle name="Normal 96 6 2" xfId="41789" xr:uid="{00000000-0005-0000-0000-0000DDDF0000}"/>
    <cellStyle name="Normal 96 6 2 2" xfId="41790" xr:uid="{00000000-0005-0000-0000-0000DEDF0000}"/>
    <cellStyle name="Normal 96 6 3" xfId="41791" xr:uid="{00000000-0005-0000-0000-0000DFDF0000}"/>
    <cellStyle name="Normal 96 6 3 2" xfId="41792" xr:uid="{00000000-0005-0000-0000-0000E0DF0000}"/>
    <cellStyle name="Normal 96 6 4" xfId="41793" xr:uid="{00000000-0005-0000-0000-0000E1DF0000}"/>
    <cellStyle name="Normal 96 7" xfId="41794" xr:uid="{00000000-0005-0000-0000-0000E2DF0000}"/>
    <cellStyle name="Normal 96 7 2" xfId="41795" xr:uid="{00000000-0005-0000-0000-0000E3DF0000}"/>
    <cellStyle name="Normal 96 7 2 2" xfId="41796" xr:uid="{00000000-0005-0000-0000-0000E4DF0000}"/>
    <cellStyle name="Normal 96 7 3" xfId="41797" xr:uid="{00000000-0005-0000-0000-0000E5DF0000}"/>
    <cellStyle name="Normal 96 7 3 2" xfId="41798" xr:uid="{00000000-0005-0000-0000-0000E6DF0000}"/>
    <cellStyle name="Normal 96 7 4" xfId="41799" xr:uid="{00000000-0005-0000-0000-0000E7DF0000}"/>
    <cellStyle name="Normal 96 8" xfId="41800" xr:uid="{00000000-0005-0000-0000-0000E8DF0000}"/>
    <cellStyle name="Normal 96 8 2" xfId="41801" xr:uid="{00000000-0005-0000-0000-0000E9DF0000}"/>
    <cellStyle name="Normal 96 8 2 2" xfId="41802" xr:uid="{00000000-0005-0000-0000-0000EADF0000}"/>
    <cellStyle name="Normal 96 8 3" xfId="41803" xr:uid="{00000000-0005-0000-0000-0000EBDF0000}"/>
    <cellStyle name="Normal 96 8 3 2" xfId="41804" xr:uid="{00000000-0005-0000-0000-0000ECDF0000}"/>
    <cellStyle name="Normal 96 8 4" xfId="41805" xr:uid="{00000000-0005-0000-0000-0000EDDF0000}"/>
    <cellStyle name="Normal 96 9" xfId="41806" xr:uid="{00000000-0005-0000-0000-0000EEDF0000}"/>
    <cellStyle name="Normal 96 9 2" xfId="41807" xr:uid="{00000000-0005-0000-0000-0000EFDF0000}"/>
    <cellStyle name="Normal 96 9 2 2" xfId="41808" xr:uid="{00000000-0005-0000-0000-0000F0DF0000}"/>
    <cellStyle name="Normal 96 9 3" xfId="41809" xr:uid="{00000000-0005-0000-0000-0000F1DF0000}"/>
    <cellStyle name="Normal 97" xfId="41810" xr:uid="{00000000-0005-0000-0000-0000F2DF0000}"/>
    <cellStyle name="Normal 97 10" xfId="41811" xr:uid="{00000000-0005-0000-0000-0000F3DF0000}"/>
    <cellStyle name="Normal 97 10 2" xfId="41812" xr:uid="{00000000-0005-0000-0000-0000F4DF0000}"/>
    <cellStyle name="Normal 97 11" xfId="41813" xr:uid="{00000000-0005-0000-0000-0000F5DF0000}"/>
    <cellStyle name="Normal 97 11 2" xfId="41814" xr:uid="{00000000-0005-0000-0000-0000F6DF0000}"/>
    <cellStyle name="Normal 97 12" xfId="41815" xr:uid="{00000000-0005-0000-0000-0000F7DF0000}"/>
    <cellStyle name="Normal 97 2" xfId="41816" xr:uid="{00000000-0005-0000-0000-0000F8DF0000}"/>
    <cellStyle name="Normal 97 2 10" xfId="41817" xr:uid="{00000000-0005-0000-0000-0000F9DF0000}"/>
    <cellStyle name="Normal 97 2 10 2" xfId="41818" xr:uid="{00000000-0005-0000-0000-0000FADF0000}"/>
    <cellStyle name="Normal 97 2 11" xfId="41819" xr:uid="{00000000-0005-0000-0000-0000FBDF0000}"/>
    <cellStyle name="Normal 97 2 2" xfId="41820" xr:uid="{00000000-0005-0000-0000-0000FCDF0000}"/>
    <cellStyle name="Normal 97 2 2 2" xfId="41821" xr:uid="{00000000-0005-0000-0000-0000FDDF0000}"/>
    <cellStyle name="Normal 97 2 2 2 2" xfId="41822" xr:uid="{00000000-0005-0000-0000-0000FEDF0000}"/>
    <cellStyle name="Normal 97 2 2 2 2 2" xfId="41823" xr:uid="{00000000-0005-0000-0000-0000FFDF0000}"/>
    <cellStyle name="Normal 97 2 2 2 3" xfId="41824" xr:uid="{00000000-0005-0000-0000-000000E00000}"/>
    <cellStyle name="Normal 97 2 2 2 3 2" xfId="41825" xr:uid="{00000000-0005-0000-0000-000001E00000}"/>
    <cellStyle name="Normal 97 2 2 2 4" xfId="41826" xr:uid="{00000000-0005-0000-0000-000002E00000}"/>
    <cellStyle name="Normal 97 2 2 3" xfId="41827" xr:uid="{00000000-0005-0000-0000-000003E00000}"/>
    <cellStyle name="Normal 97 2 2 3 2" xfId="41828" xr:uid="{00000000-0005-0000-0000-000004E00000}"/>
    <cellStyle name="Normal 97 2 2 3 2 2" xfId="41829" xr:uid="{00000000-0005-0000-0000-000005E00000}"/>
    <cellStyle name="Normal 97 2 2 3 3" xfId="41830" xr:uid="{00000000-0005-0000-0000-000006E00000}"/>
    <cellStyle name="Normal 97 2 2 3 3 2" xfId="41831" xr:uid="{00000000-0005-0000-0000-000007E00000}"/>
    <cellStyle name="Normal 97 2 2 3 4" xfId="41832" xr:uid="{00000000-0005-0000-0000-000008E00000}"/>
    <cellStyle name="Normal 97 2 2 4" xfId="41833" xr:uid="{00000000-0005-0000-0000-000009E00000}"/>
    <cellStyle name="Normal 97 2 2 4 2" xfId="41834" xr:uid="{00000000-0005-0000-0000-00000AE00000}"/>
    <cellStyle name="Normal 97 2 2 5" xfId="41835" xr:uid="{00000000-0005-0000-0000-00000BE00000}"/>
    <cellStyle name="Normal 97 2 2 5 2" xfId="41836" xr:uid="{00000000-0005-0000-0000-00000CE00000}"/>
    <cellStyle name="Normal 97 2 2 6" xfId="41837" xr:uid="{00000000-0005-0000-0000-00000DE00000}"/>
    <cellStyle name="Normal 97 2 3" xfId="41838" xr:uid="{00000000-0005-0000-0000-00000EE00000}"/>
    <cellStyle name="Normal 97 2 3 2" xfId="41839" xr:uid="{00000000-0005-0000-0000-00000FE00000}"/>
    <cellStyle name="Normal 97 2 3 2 2" xfId="41840" xr:uid="{00000000-0005-0000-0000-000010E00000}"/>
    <cellStyle name="Normal 97 2 3 3" xfId="41841" xr:uid="{00000000-0005-0000-0000-000011E00000}"/>
    <cellStyle name="Normal 97 2 3 3 2" xfId="41842" xr:uid="{00000000-0005-0000-0000-000012E00000}"/>
    <cellStyle name="Normal 97 2 3 4" xfId="41843" xr:uid="{00000000-0005-0000-0000-000013E00000}"/>
    <cellStyle name="Normal 97 2 4" xfId="41844" xr:uid="{00000000-0005-0000-0000-000014E00000}"/>
    <cellStyle name="Normal 97 2 4 2" xfId="41845" xr:uid="{00000000-0005-0000-0000-000015E00000}"/>
    <cellStyle name="Normal 97 2 4 2 2" xfId="41846" xr:uid="{00000000-0005-0000-0000-000016E00000}"/>
    <cellStyle name="Normal 97 2 4 3" xfId="41847" xr:uid="{00000000-0005-0000-0000-000017E00000}"/>
    <cellStyle name="Normal 97 2 4 3 2" xfId="41848" xr:uid="{00000000-0005-0000-0000-000018E00000}"/>
    <cellStyle name="Normal 97 2 4 4" xfId="41849" xr:uid="{00000000-0005-0000-0000-000019E00000}"/>
    <cellStyle name="Normal 97 2 5" xfId="41850" xr:uid="{00000000-0005-0000-0000-00001AE00000}"/>
    <cellStyle name="Normal 97 2 5 2" xfId="41851" xr:uid="{00000000-0005-0000-0000-00001BE00000}"/>
    <cellStyle name="Normal 97 2 5 2 2" xfId="41852" xr:uid="{00000000-0005-0000-0000-00001CE00000}"/>
    <cellStyle name="Normal 97 2 5 3" xfId="41853" xr:uid="{00000000-0005-0000-0000-00001DE00000}"/>
    <cellStyle name="Normal 97 2 5 3 2" xfId="41854" xr:uid="{00000000-0005-0000-0000-00001EE00000}"/>
    <cellStyle name="Normal 97 2 5 4" xfId="41855" xr:uid="{00000000-0005-0000-0000-00001FE00000}"/>
    <cellStyle name="Normal 97 2 6" xfId="41856" xr:uid="{00000000-0005-0000-0000-000020E00000}"/>
    <cellStyle name="Normal 97 2 6 2" xfId="41857" xr:uid="{00000000-0005-0000-0000-000021E00000}"/>
    <cellStyle name="Normal 97 2 6 2 2" xfId="41858" xr:uid="{00000000-0005-0000-0000-000022E00000}"/>
    <cellStyle name="Normal 97 2 6 3" xfId="41859" xr:uid="{00000000-0005-0000-0000-000023E00000}"/>
    <cellStyle name="Normal 97 2 6 3 2" xfId="41860" xr:uid="{00000000-0005-0000-0000-000024E00000}"/>
    <cellStyle name="Normal 97 2 6 4" xfId="41861" xr:uid="{00000000-0005-0000-0000-000025E00000}"/>
    <cellStyle name="Normal 97 2 7" xfId="41862" xr:uid="{00000000-0005-0000-0000-000026E00000}"/>
    <cellStyle name="Normal 97 2 7 2" xfId="41863" xr:uid="{00000000-0005-0000-0000-000027E00000}"/>
    <cellStyle name="Normal 97 2 7 2 2" xfId="41864" xr:uid="{00000000-0005-0000-0000-000028E00000}"/>
    <cellStyle name="Normal 97 2 7 3" xfId="41865" xr:uid="{00000000-0005-0000-0000-000029E00000}"/>
    <cellStyle name="Normal 97 2 7 3 2" xfId="41866" xr:uid="{00000000-0005-0000-0000-00002AE00000}"/>
    <cellStyle name="Normal 97 2 7 4" xfId="41867" xr:uid="{00000000-0005-0000-0000-00002BE00000}"/>
    <cellStyle name="Normal 97 2 8" xfId="41868" xr:uid="{00000000-0005-0000-0000-00002CE00000}"/>
    <cellStyle name="Normal 97 2 8 2" xfId="41869" xr:uid="{00000000-0005-0000-0000-00002DE00000}"/>
    <cellStyle name="Normal 97 2 8 2 2" xfId="41870" xr:uid="{00000000-0005-0000-0000-00002EE00000}"/>
    <cellStyle name="Normal 97 2 8 3" xfId="41871" xr:uid="{00000000-0005-0000-0000-00002FE00000}"/>
    <cellStyle name="Normal 97 2 9" xfId="41872" xr:uid="{00000000-0005-0000-0000-000030E00000}"/>
    <cellStyle name="Normal 97 2 9 2" xfId="41873" xr:uid="{00000000-0005-0000-0000-000031E00000}"/>
    <cellStyle name="Normal 97 3" xfId="41874" xr:uid="{00000000-0005-0000-0000-000032E00000}"/>
    <cellStyle name="Normal 97 3 2" xfId="41875" xr:uid="{00000000-0005-0000-0000-000033E00000}"/>
    <cellStyle name="Normal 97 3 2 2" xfId="41876" xr:uid="{00000000-0005-0000-0000-000034E00000}"/>
    <cellStyle name="Normal 97 3 2 2 2" xfId="41877" xr:uid="{00000000-0005-0000-0000-000035E00000}"/>
    <cellStyle name="Normal 97 3 2 3" xfId="41878" xr:uid="{00000000-0005-0000-0000-000036E00000}"/>
    <cellStyle name="Normal 97 3 2 3 2" xfId="41879" xr:uid="{00000000-0005-0000-0000-000037E00000}"/>
    <cellStyle name="Normal 97 3 2 4" xfId="41880" xr:uid="{00000000-0005-0000-0000-000038E00000}"/>
    <cellStyle name="Normal 97 3 3" xfId="41881" xr:uid="{00000000-0005-0000-0000-000039E00000}"/>
    <cellStyle name="Normal 97 3 3 2" xfId="41882" xr:uid="{00000000-0005-0000-0000-00003AE00000}"/>
    <cellStyle name="Normal 97 3 3 2 2" xfId="41883" xr:uid="{00000000-0005-0000-0000-00003BE00000}"/>
    <cellStyle name="Normal 97 3 3 3" xfId="41884" xr:uid="{00000000-0005-0000-0000-00003CE00000}"/>
    <cellStyle name="Normal 97 3 3 3 2" xfId="41885" xr:uid="{00000000-0005-0000-0000-00003DE00000}"/>
    <cellStyle name="Normal 97 3 3 4" xfId="41886" xr:uid="{00000000-0005-0000-0000-00003EE00000}"/>
    <cellStyle name="Normal 97 3 4" xfId="41887" xr:uid="{00000000-0005-0000-0000-00003FE00000}"/>
    <cellStyle name="Normal 97 3 4 2" xfId="41888" xr:uid="{00000000-0005-0000-0000-000040E00000}"/>
    <cellStyle name="Normal 97 3 5" xfId="41889" xr:uid="{00000000-0005-0000-0000-000041E00000}"/>
    <cellStyle name="Normal 97 3 5 2" xfId="41890" xr:uid="{00000000-0005-0000-0000-000042E00000}"/>
    <cellStyle name="Normal 97 3 6" xfId="41891" xr:uid="{00000000-0005-0000-0000-000043E00000}"/>
    <cellStyle name="Normal 97 4" xfId="41892" xr:uid="{00000000-0005-0000-0000-000044E00000}"/>
    <cellStyle name="Normal 97 4 2" xfId="41893" xr:uid="{00000000-0005-0000-0000-000045E00000}"/>
    <cellStyle name="Normal 97 4 2 2" xfId="41894" xr:uid="{00000000-0005-0000-0000-000046E00000}"/>
    <cellStyle name="Normal 97 4 3" xfId="41895" xr:uid="{00000000-0005-0000-0000-000047E00000}"/>
    <cellStyle name="Normal 97 4 3 2" xfId="41896" xr:uid="{00000000-0005-0000-0000-000048E00000}"/>
    <cellStyle name="Normal 97 4 4" xfId="41897" xr:uid="{00000000-0005-0000-0000-000049E00000}"/>
    <cellStyle name="Normal 97 5" xfId="41898" xr:uid="{00000000-0005-0000-0000-00004AE00000}"/>
    <cellStyle name="Normal 97 5 2" xfId="41899" xr:uid="{00000000-0005-0000-0000-00004BE00000}"/>
    <cellStyle name="Normal 97 5 2 2" xfId="41900" xr:uid="{00000000-0005-0000-0000-00004CE00000}"/>
    <cellStyle name="Normal 97 5 3" xfId="41901" xr:uid="{00000000-0005-0000-0000-00004DE00000}"/>
    <cellStyle name="Normal 97 5 3 2" xfId="41902" xr:uid="{00000000-0005-0000-0000-00004EE00000}"/>
    <cellStyle name="Normal 97 5 4" xfId="41903" xr:uid="{00000000-0005-0000-0000-00004FE00000}"/>
    <cellStyle name="Normal 97 6" xfId="41904" xr:uid="{00000000-0005-0000-0000-000050E00000}"/>
    <cellStyle name="Normal 97 6 2" xfId="41905" xr:uid="{00000000-0005-0000-0000-000051E00000}"/>
    <cellStyle name="Normal 97 6 2 2" xfId="41906" xr:uid="{00000000-0005-0000-0000-000052E00000}"/>
    <cellStyle name="Normal 97 6 3" xfId="41907" xr:uid="{00000000-0005-0000-0000-000053E00000}"/>
    <cellStyle name="Normal 97 6 3 2" xfId="41908" xr:uid="{00000000-0005-0000-0000-000054E00000}"/>
    <cellStyle name="Normal 97 6 4" xfId="41909" xr:uid="{00000000-0005-0000-0000-000055E00000}"/>
    <cellStyle name="Normal 97 7" xfId="41910" xr:uid="{00000000-0005-0000-0000-000056E00000}"/>
    <cellStyle name="Normal 97 7 2" xfId="41911" xr:uid="{00000000-0005-0000-0000-000057E00000}"/>
    <cellStyle name="Normal 97 7 2 2" xfId="41912" xr:uid="{00000000-0005-0000-0000-000058E00000}"/>
    <cellStyle name="Normal 97 7 3" xfId="41913" xr:uid="{00000000-0005-0000-0000-000059E00000}"/>
    <cellStyle name="Normal 97 7 3 2" xfId="41914" xr:uid="{00000000-0005-0000-0000-00005AE00000}"/>
    <cellStyle name="Normal 97 7 4" xfId="41915" xr:uid="{00000000-0005-0000-0000-00005BE00000}"/>
    <cellStyle name="Normal 97 8" xfId="41916" xr:uid="{00000000-0005-0000-0000-00005CE00000}"/>
    <cellStyle name="Normal 97 8 2" xfId="41917" xr:uid="{00000000-0005-0000-0000-00005DE00000}"/>
    <cellStyle name="Normal 97 8 2 2" xfId="41918" xr:uid="{00000000-0005-0000-0000-00005EE00000}"/>
    <cellStyle name="Normal 97 8 3" xfId="41919" xr:uid="{00000000-0005-0000-0000-00005FE00000}"/>
    <cellStyle name="Normal 97 8 3 2" xfId="41920" xr:uid="{00000000-0005-0000-0000-000060E00000}"/>
    <cellStyle name="Normal 97 8 4" xfId="41921" xr:uid="{00000000-0005-0000-0000-000061E00000}"/>
    <cellStyle name="Normal 97 9" xfId="41922" xr:uid="{00000000-0005-0000-0000-000062E00000}"/>
    <cellStyle name="Normal 97 9 2" xfId="41923" xr:uid="{00000000-0005-0000-0000-000063E00000}"/>
    <cellStyle name="Normal 97 9 2 2" xfId="41924" xr:uid="{00000000-0005-0000-0000-000064E00000}"/>
    <cellStyle name="Normal 97 9 3" xfId="41925" xr:uid="{00000000-0005-0000-0000-000065E00000}"/>
    <cellStyle name="Normal 98" xfId="41926" xr:uid="{00000000-0005-0000-0000-000066E00000}"/>
    <cellStyle name="Normal 98 10" xfId="41927" xr:uid="{00000000-0005-0000-0000-000067E00000}"/>
    <cellStyle name="Normal 98 10 2" xfId="41928" xr:uid="{00000000-0005-0000-0000-000068E00000}"/>
    <cellStyle name="Normal 98 11" xfId="41929" xr:uid="{00000000-0005-0000-0000-000069E00000}"/>
    <cellStyle name="Normal 98 11 2" xfId="41930" xr:uid="{00000000-0005-0000-0000-00006AE00000}"/>
    <cellStyle name="Normal 98 12" xfId="41931" xr:uid="{00000000-0005-0000-0000-00006BE00000}"/>
    <cellStyle name="Normal 98 2" xfId="41932" xr:uid="{00000000-0005-0000-0000-00006CE00000}"/>
    <cellStyle name="Normal 98 2 10" xfId="41933" xr:uid="{00000000-0005-0000-0000-00006DE00000}"/>
    <cellStyle name="Normal 98 2 10 2" xfId="41934" xr:uid="{00000000-0005-0000-0000-00006EE00000}"/>
    <cellStyle name="Normal 98 2 11" xfId="41935" xr:uid="{00000000-0005-0000-0000-00006FE00000}"/>
    <cellStyle name="Normal 98 2 2" xfId="41936" xr:uid="{00000000-0005-0000-0000-000070E00000}"/>
    <cellStyle name="Normal 98 2 2 2" xfId="41937" xr:uid="{00000000-0005-0000-0000-000071E00000}"/>
    <cellStyle name="Normal 98 2 2 2 2" xfId="41938" xr:uid="{00000000-0005-0000-0000-000072E00000}"/>
    <cellStyle name="Normal 98 2 2 2 2 2" xfId="41939" xr:uid="{00000000-0005-0000-0000-000073E00000}"/>
    <cellStyle name="Normal 98 2 2 2 3" xfId="41940" xr:uid="{00000000-0005-0000-0000-000074E00000}"/>
    <cellStyle name="Normal 98 2 2 2 3 2" xfId="41941" xr:uid="{00000000-0005-0000-0000-000075E00000}"/>
    <cellStyle name="Normal 98 2 2 2 4" xfId="41942" xr:uid="{00000000-0005-0000-0000-000076E00000}"/>
    <cellStyle name="Normal 98 2 2 3" xfId="41943" xr:uid="{00000000-0005-0000-0000-000077E00000}"/>
    <cellStyle name="Normal 98 2 2 3 2" xfId="41944" xr:uid="{00000000-0005-0000-0000-000078E00000}"/>
    <cellStyle name="Normal 98 2 2 3 2 2" xfId="41945" xr:uid="{00000000-0005-0000-0000-000079E00000}"/>
    <cellStyle name="Normal 98 2 2 3 3" xfId="41946" xr:uid="{00000000-0005-0000-0000-00007AE00000}"/>
    <cellStyle name="Normal 98 2 2 3 3 2" xfId="41947" xr:uid="{00000000-0005-0000-0000-00007BE00000}"/>
    <cellStyle name="Normal 98 2 2 3 4" xfId="41948" xr:uid="{00000000-0005-0000-0000-00007CE00000}"/>
    <cellStyle name="Normal 98 2 2 4" xfId="41949" xr:uid="{00000000-0005-0000-0000-00007DE00000}"/>
    <cellStyle name="Normal 98 2 2 4 2" xfId="41950" xr:uid="{00000000-0005-0000-0000-00007EE00000}"/>
    <cellStyle name="Normal 98 2 2 5" xfId="41951" xr:uid="{00000000-0005-0000-0000-00007FE00000}"/>
    <cellStyle name="Normal 98 2 2 5 2" xfId="41952" xr:uid="{00000000-0005-0000-0000-000080E00000}"/>
    <cellStyle name="Normal 98 2 2 6" xfId="41953" xr:uid="{00000000-0005-0000-0000-000081E00000}"/>
    <cellStyle name="Normal 98 2 3" xfId="41954" xr:uid="{00000000-0005-0000-0000-000082E00000}"/>
    <cellStyle name="Normal 98 2 3 2" xfId="41955" xr:uid="{00000000-0005-0000-0000-000083E00000}"/>
    <cellStyle name="Normal 98 2 3 2 2" xfId="41956" xr:uid="{00000000-0005-0000-0000-000084E00000}"/>
    <cellStyle name="Normal 98 2 3 3" xfId="41957" xr:uid="{00000000-0005-0000-0000-000085E00000}"/>
    <cellStyle name="Normal 98 2 3 3 2" xfId="41958" xr:uid="{00000000-0005-0000-0000-000086E00000}"/>
    <cellStyle name="Normal 98 2 3 4" xfId="41959" xr:uid="{00000000-0005-0000-0000-000087E00000}"/>
    <cellStyle name="Normal 98 2 4" xfId="41960" xr:uid="{00000000-0005-0000-0000-000088E00000}"/>
    <cellStyle name="Normal 98 2 4 2" xfId="41961" xr:uid="{00000000-0005-0000-0000-000089E00000}"/>
    <cellStyle name="Normal 98 2 4 2 2" xfId="41962" xr:uid="{00000000-0005-0000-0000-00008AE00000}"/>
    <cellStyle name="Normal 98 2 4 3" xfId="41963" xr:uid="{00000000-0005-0000-0000-00008BE00000}"/>
    <cellStyle name="Normal 98 2 4 3 2" xfId="41964" xr:uid="{00000000-0005-0000-0000-00008CE00000}"/>
    <cellStyle name="Normal 98 2 4 4" xfId="41965" xr:uid="{00000000-0005-0000-0000-00008DE00000}"/>
    <cellStyle name="Normal 98 2 5" xfId="41966" xr:uid="{00000000-0005-0000-0000-00008EE00000}"/>
    <cellStyle name="Normal 98 2 5 2" xfId="41967" xr:uid="{00000000-0005-0000-0000-00008FE00000}"/>
    <cellStyle name="Normal 98 2 5 2 2" xfId="41968" xr:uid="{00000000-0005-0000-0000-000090E00000}"/>
    <cellStyle name="Normal 98 2 5 3" xfId="41969" xr:uid="{00000000-0005-0000-0000-000091E00000}"/>
    <cellStyle name="Normal 98 2 5 3 2" xfId="41970" xr:uid="{00000000-0005-0000-0000-000092E00000}"/>
    <cellStyle name="Normal 98 2 5 4" xfId="41971" xr:uid="{00000000-0005-0000-0000-000093E00000}"/>
    <cellStyle name="Normal 98 2 6" xfId="41972" xr:uid="{00000000-0005-0000-0000-000094E00000}"/>
    <cellStyle name="Normal 98 2 6 2" xfId="41973" xr:uid="{00000000-0005-0000-0000-000095E00000}"/>
    <cellStyle name="Normal 98 2 6 2 2" xfId="41974" xr:uid="{00000000-0005-0000-0000-000096E00000}"/>
    <cellStyle name="Normal 98 2 6 3" xfId="41975" xr:uid="{00000000-0005-0000-0000-000097E00000}"/>
    <cellStyle name="Normal 98 2 6 3 2" xfId="41976" xr:uid="{00000000-0005-0000-0000-000098E00000}"/>
    <cellStyle name="Normal 98 2 6 4" xfId="41977" xr:uid="{00000000-0005-0000-0000-000099E00000}"/>
    <cellStyle name="Normal 98 2 7" xfId="41978" xr:uid="{00000000-0005-0000-0000-00009AE00000}"/>
    <cellStyle name="Normal 98 2 7 2" xfId="41979" xr:uid="{00000000-0005-0000-0000-00009BE00000}"/>
    <cellStyle name="Normal 98 2 7 2 2" xfId="41980" xr:uid="{00000000-0005-0000-0000-00009CE00000}"/>
    <cellStyle name="Normal 98 2 7 3" xfId="41981" xr:uid="{00000000-0005-0000-0000-00009DE00000}"/>
    <cellStyle name="Normal 98 2 7 3 2" xfId="41982" xr:uid="{00000000-0005-0000-0000-00009EE00000}"/>
    <cellStyle name="Normal 98 2 7 4" xfId="41983" xr:uid="{00000000-0005-0000-0000-00009FE00000}"/>
    <cellStyle name="Normal 98 2 8" xfId="41984" xr:uid="{00000000-0005-0000-0000-0000A0E00000}"/>
    <cellStyle name="Normal 98 2 8 2" xfId="41985" xr:uid="{00000000-0005-0000-0000-0000A1E00000}"/>
    <cellStyle name="Normal 98 2 8 2 2" xfId="41986" xr:uid="{00000000-0005-0000-0000-0000A2E00000}"/>
    <cellStyle name="Normal 98 2 8 3" xfId="41987" xr:uid="{00000000-0005-0000-0000-0000A3E00000}"/>
    <cellStyle name="Normal 98 2 9" xfId="41988" xr:uid="{00000000-0005-0000-0000-0000A4E00000}"/>
    <cellStyle name="Normal 98 2 9 2" xfId="41989" xr:uid="{00000000-0005-0000-0000-0000A5E00000}"/>
    <cellStyle name="Normal 98 3" xfId="41990" xr:uid="{00000000-0005-0000-0000-0000A6E00000}"/>
    <cellStyle name="Normal 98 3 2" xfId="41991" xr:uid="{00000000-0005-0000-0000-0000A7E00000}"/>
    <cellStyle name="Normal 98 3 2 2" xfId="41992" xr:uid="{00000000-0005-0000-0000-0000A8E00000}"/>
    <cellStyle name="Normal 98 3 2 2 2" xfId="41993" xr:uid="{00000000-0005-0000-0000-0000A9E00000}"/>
    <cellStyle name="Normal 98 3 2 3" xfId="41994" xr:uid="{00000000-0005-0000-0000-0000AAE00000}"/>
    <cellStyle name="Normal 98 3 2 3 2" xfId="41995" xr:uid="{00000000-0005-0000-0000-0000ABE00000}"/>
    <cellStyle name="Normal 98 3 2 4" xfId="41996" xr:uid="{00000000-0005-0000-0000-0000ACE00000}"/>
    <cellStyle name="Normal 98 3 3" xfId="41997" xr:uid="{00000000-0005-0000-0000-0000ADE00000}"/>
    <cellStyle name="Normal 98 3 3 2" xfId="41998" xr:uid="{00000000-0005-0000-0000-0000AEE00000}"/>
    <cellStyle name="Normal 98 3 3 2 2" xfId="41999" xr:uid="{00000000-0005-0000-0000-0000AFE00000}"/>
    <cellStyle name="Normal 98 3 3 3" xfId="42000" xr:uid="{00000000-0005-0000-0000-0000B0E00000}"/>
    <cellStyle name="Normal 98 3 3 3 2" xfId="42001" xr:uid="{00000000-0005-0000-0000-0000B1E00000}"/>
    <cellStyle name="Normal 98 3 3 4" xfId="42002" xr:uid="{00000000-0005-0000-0000-0000B2E00000}"/>
    <cellStyle name="Normal 98 3 4" xfId="42003" xr:uid="{00000000-0005-0000-0000-0000B3E00000}"/>
    <cellStyle name="Normal 98 3 4 2" xfId="42004" xr:uid="{00000000-0005-0000-0000-0000B4E00000}"/>
    <cellStyle name="Normal 98 3 5" xfId="42005" xr:uid="{00000000-0005-0000-0000-0000B5E00000}"/>
    <cellStyle name="Normal 98 3 5 2" xfId="42006" xr:uid="{00000000-0005-0000-0000-0000B6E00000}"/>
    <cellStyle name="Normal 98 3 6" xfId="42007" xr:uid="{00000000-0005-0000-0000-0000B7E00000}"/>
    <cellStyle name="Normal 98 4" xfId="42008" xr:uid="{00000000-0005-0000-0000-0000B8E00000}"/>
    <cellStyle name="Normal 98 4 2" xfId="42009" xr:uid="{00000000-0005-0000-0000-0000B9E00000}"/>
    <cellStyle name="Normal 98 4 2 2" xfId="42010" xr:uid="{00000000-0005-0000-0000-0000BAE00000}"/>
    <cellStyle name="Normal 98 4 3" xfId="42011" xr:uid="{00000000-0005-0000-0000-0000BBE00000}"/>
    <cellStyle name="Normal 98 4 3 2" xfId="42012" xr:uid="{00000000-0005-0000-0000-0000BCE00000}"/>
    <cellStyle name="Normal 98 4 4" xfId="42013" xr:uid="{00000000-0005-0000-0000-0000BDE00000}"/>
    <cellStyle name="Normal 98 5" xfId="42014" xr:uid="{00000000-0005-0000-0000-0000BEE00000}"/>
    <cellStyle name="Normal 98 5 2" xfId="42015" xr:uid="{00000000-0005-0000-0000-0000BFE00000}"/>
    <cellStyle name="Normal 98 5 2 2" xfId="42016" xr:uid="{00000000-0005-0000-0000-0000C0E00000}"/>
    <cellStyle name="Normal 98 5 3" xfId="42017" xr:uid="{00000000-0005-0000-0000-0000C1E00000}"/>
    <cellStyle name="Normal 98 5 3 2" xfId="42018" xr:uid="{00000000-0005-0000-0000-0000C2E00000}"/>
    <cellStyle name="Normal 98 5 4" xfId="42019" xr:uid="{00000000-0005-0000-0000-0000C3E00000}"/>
    <cellStyle name="Normal 98 6" xfId="42020" xr:uid="{00000000-0005-0000-0000-0000C4E00000}"/>
    <cellStyle name="Normal 98 6 2" xfId="42021" xr:uid="{00000000-0005-0000-0000-0000C5E00000}"/>
    <cellStyle name="Normal 98 6 2 2" xfId="42022" xr:uid="{00000000-0005-0000-0000-0000C6E00000}"/>
    <cellStyle name="Normal 98 6 3" xfId="42023" xr:uid="{00000000-0005-0000-0000-0000C7E00000}"/>
    <cellStyle name="Normal 98 6 3 2" xfId="42024" xr:uid="{00000000-0005-0000-0000-0000C8E00000}"/>
    <cellStyle name="Normal 98 6 4" xfId="42025" xr:uid="{00000000-0005-0000-0000-0000C9E00000}"/>
    <cellStyle name="Normal 98 7" xfId="42026" xr:uid="{00000000-0005-0000-0000-0000CAE00000}"/>
    <cellStyle name="Normal 98 7 2" xfId="42027" xr:uid="{00000000-0005-0000-0000-0000CBE00000}"/>
    <cellStyle name="Normal 98 7 2 2" xfId="42028" xr:uid="{00000000-0005-0000-0000-0000CCE00000}"/>
    <cellStyle name="Normal 98 7 3" xfId="42029" xr:uid="{00000000-0005-0000-0000-0000CDE00000}"/>
    <cellStyle name="Normal 98 7 3 2" xfId="42030" xr:uid="{00000000-0005-0000-0000-0000CEE00000}"/>
    <cellStyle name="Normal 98 7 4" xfId="42031" xr:uid="{00000000-0005-0000-0000-0000CFE00000}"/>
    <cellStyle name="Normal 98 8" xfId="42032" xr:uid="{00000000-0005-0000-0000-0000D0E00000}"/>
    <cellStyle name="Normal 98 8 2" xfId="42033" xr:uid="{00000000-0005-0000-0000-0000D1E00000}"/>
    <cellStyle name="Normal 98 8 2 2" xfId="42034" xr:uid="{00000000-0005-0000-0000-0000D2E00000}"/>
    <cellStyle name="Normal 98 8 3" xfId="42035" xr:uid="{00000000-0005-0000-0000-0000D3E00000}"/>
    <cellStyle name="Normal 98 8 3 2" xfId="42036" xr:uid="{00000000-0005-0000-0000-0000D4E00000}"/>
    <cellStyle name="Normal 98 8 4" xfId="42037" xr:uid="{00000000-0005-0000-0000-0000D5E00000}"/>
    <cellStyle name="Normal 98 9" xfId="42038" xr:uid="{00000000-0005-0000-0000-0000D6E00000}"/>
    <cellStyle name="Normal 98 9 2" xfId="42039" xr:uid="{00000000-0005-0000-0000-0000D7E00000}"/>
    <cellStyle name="Normal 98 9 2 2" xfId="42040" xr:uid="{00000000-0005-0000-0000-0000D8E00000}"/>
    <cellStyle name="Normal 98 9 3" xfId="42041" xr:uid="{00000000-0005-0000-0000-0000D9E00000}"/>
    <cellStyle name="Normal 99" xfId="42042" xr:uid="{00000000-0005-0000-0000-0000DAE00000}"/>
    <cellStyle name="Normal 99 10" xfId="42043" xr:uid="{00000000-0005-0000-0000-0000DBE00000}"/>
    <cellStyle name="Normal 99 10 2" xfId="42044" xr:uid="{00000000-0005-0000-0000-0000DCE00000}"/>
    <cellStyle name="Normal 99 11" xfId="42045" xr:uid="{00000000-0005-0000-0000-0000DDE00000}"/>
    <cellStyle name="Normal 99 11 2" xfId="42046" xr:uid="{00000000-0005-0000-0000-0000DEE00000}"/>
    <cellStyle name="Normal 99 12" xfId="42047" xr:uid="{00000000-0005-0000-0000-0000DFE00000}"/>
    <cellStyle name="Normal 99 2" xfId="42048" xr:uid="{00000000-0005-0000-0000-0000E0E00000}"/>
    <cellStyle name="Normal 99 2 10" xfId="42049" xr:uid="{00000000-0005-0000-0000-0000E1E00000}"/>
    <cellStyle name="Normal 99 2 10 2" xfId="42050" xr:uid="{00000000-0005-0000-0000-0000E2E00000}"/>
    <cellStyle name="Normal 99 2 11" xfId="42051" xr:uid="{00000000-0005-0000-0000-0000E3E00000}"/>
    <cellStyle name="Normal 99 2 2" xfId="42052" xr:uid="{00000000-0005-0000-0000-0000E4E00000}"/>
    <cellStyle name="Normal 99 2 2 2" xfId="42053" xr:uid="{00000000-0005-0000-0000-0000E5E00000}"/>
    <cellStyle name="Normal 99 2 2 2 2" xfId="42054" xr:uid="{00000000-0005-0000-0000-0000E6E00000}"/>
    <cellStyle name="Normal 99 2 2 2 2 2" xfId="42055" xr:uid="{00000000-0005-0000-0000-0000E7E00000}"/>
    <cellStyle name="Normal 99 2 2 2 3" xfId="42056" xr:uid="{00000000-0005-0000-0000-0000E8E00000}"/>
    <cellStyle name="Normal 99 2 2 2 3 2" xfId="42057" xr:uid="{00000000-0005-0000-0000-0000E9E00000}"/>
    <cellStyle name="Normal 99 2 2 2 4" xfId="42058" xr:uid="{00000000-0005-0000-0000-0000EAE00000}"/>
    <cellStyle name="Normal 99 2 2 3" xfId="42059" xr:uid="{00000000-0005-0000-0000-0000EBE00000}"/>
    <cellStyle name="Normal 99 2 2 3 2" xfId="42060" xr:uid="{00000000-0005-0000-0000-0000ECE00000}"/>
    <cellStyle name="Normal 99 2 2 3 2 2" xfId="42061" xr:uid="{00000000-0005-0000-0000-0000EDE00000}"/>
    <cellStyle name="Normal 99 2 2 3 3" xfId="42062" xr:uid="{00000000-0005-0000-0000-0000EEE00000}"/>
    <cellStyle name="Normal 99 2 2 3 3 2" xfId="42063" xr:uid="{00000000-0005-0000-0000-0000EFE00000}"/>
    <cellStyle name="Normal 99 2 2 3 4" xfId="42064" xr:uid="{00000000-0005-0000-0000-0000F0E00000}"/>
    <cellStyle name="Normal 99 2 2 4" xfId="42065" xr:uid="{00000000-0005-0000-0000-0000F1E00000}"/>
    <cellStyle name="Normal 99 2 2 4 2" xfId="42066" xr:uid="{00000000-0005-0000-0000-0000F2E00000}"/>
    <cellStyle name="Normal 99 2 2 5" xfId="42067" xr:uid="{00000000-0005-0000-0000-0000F3E00000}"/>
    <cellStyle name="Normal 99 2 2 5 2" xfId="42068" xr:uid="{00000000-0005-0000-0000-0000F4E00000}"/>
    <cellStyle name="Normal 99 2 2 6" xfId="42069" xr:uid="{00000000-0005-0000-0000-0000F5E00000}"/>
    <cellStyle name="Normal 99 2 3" xfId="42070" xr:uid="{00000000-0005-0000-0000-0000F6E00000}"/>
    <cellStyle name="Normal 99 2 3 2" xfId="42071" xr:uid="{00000000-0005-0000-0000-0000F7E00000}"/>
    <cellStyle name="Normal 99 2 3 2 2" xfId="42072" xr:uid="{00000000-0005-0000-0000-0000F8E00000}"/>
    <cellStyle name="Normal 99 2 3 3" xfId="42073" xr:uid="{00000000-0005-0000-0000-0000F9E00000}"/>
    <cellStyle name="Normal 99 2 3 3 2" xfId="42074" xr:uid="{00000000-0005-0000-0000-0000FAE00000}"/>
    <cellStyle name="Normal 99 2 3 4" xfId="42075" xr:uid="{00000000-0005-0000-0000-0000FBE00000}"/>
    <cellStyle name="Normal 99 2 4" xfId="42076" xr:uid="{00000000-0005-0000-0000-0000FCE00000}"/>
    <cellStyle name="Normal 99 2 4 2" xfId="42077" xr:uid="{00000000-0005-0000-0000-0000FDE00000}"/>
    <cellStyle name="Normal 99 2 4 2 2" xfId="42078" xr:uid="{00000000-0005-0000-0000-0000FEE00000}"/>
    <cellStyle name="Normal 99 2 4 3" xfId="42079" xr:uid="{00000000-0005-0000-0000-0000FFE00000}"/>
    <cellStyle name="Normal 99 2 4 3 2" xfId="42080" xr:uid="{00000000-0005-0000-0000-000000E10000}"/>
    <cellStyle name="Normal 99 2 4 4" xfId="42081" xr:uid="{00000000-0005-0000-0000-000001E10000}"/>
    <cellStyle name="Normal 99 2 5" xfId="42082" xr:uid="{00000000-0005-0000-0000-000002E10000}"/>
    <cellStyle name="Normal 99 2 5 2" xfId="42083" xr:uid="{00000000-0005-0000-0000-000003E10000}"/>
    <cellStyle name="Normal 99 2 5 2 2" xfId="42084" xr:uid="{00000000-0005-0000-0000-000004E10000}"/>
    <cellStyle name="Normal 99 2 5 3" xfId="42085" xr:uid="{00000000-0005-0000-0000-000005E10000}"/>
    <cellStyle name="Normal 99 2 5 3 2" xfId="42086" xr:uid="{00000000-0005-0000-0000-000006E10000}"/>
    <cellStyle name="Normal 99 2 5 4" xfId="42087" xr:uid="{00000000-0005-0000-0000-000007E10000}"/>
    <cellStyle name="Normal 99 2 6" xfId="42088" xr:uid="{00000000-0005-0000-0000-000008E10000}"/>
    <cellStyle name="Normal 99 2 6 2" xfId="42089" xr:uid="{00000000-0005-0000-0000-000009E10000}"/>
    <cellStyle name="Normal 99 2 6 2 2" xfId="42090" xr:uid="{00000000-0005-0000-0000-00000AE10000}"/>
    <cellStyle name="Normal 99 2 6 3" xfId="42091" xr:uid="{00000000-0005-0000-0000-00000BE10000}"/>
    <cellStyle name="Normal 99 2 6 3 2" xfId="42092" xr:uid="{00000000-0005-0000-0000-00000CE10000}"/>
    <cellStyle name="Normal 99 2 6 4" xfId="42093" xr:uid="{00000000-0005-0000-0000-00000DE10000}"/>
    <cellStyle name="Normal 99 2 7" xfId="42094" xr:uid="{00000000-0005-0000-0000-00000EE10000}"/>
    <cellStyle name="Normal 99 2 7 2" xfId="42095" xr:uid="{00000000-0005-0000-0000-00000FE10000}"/>
    <cellStyle name="Normal 99 2 7 2 2" xfId="42096" xr:uid="{00000000-0005-0000-0000-000010E10000}"/>
    <cellStyle name="Normal 99 2 7 3" xfId="42097" xr:uid="{00000000-0005-0000-0000-000011E10000}"/>
    <cellStyle name="Normal 99 2 7 3 2" xfId="42098" xr:uid="{00000000-0005-0000-0000-000012E10000}"/>
    <cellStyle name="Normal 99 2 7 4" xfId="42099" xr:uid="{00000000-0005-0000-0000-000013E10000}"/>
    <cellStyle name="Normal 99 2 8" xfId="42100" xr:uid="{00000000-0005-0000-0000-000014E10000}"/>
    <cellStyle name="Normal 99 2 8 2" xfId="42101" xr:uid="{00000000-0005-0000-0000-000015E10000}"/>
    <cellStyle name="Normal 99 2 8 2 2" xfId="42102" xr:uid="{00000000-0005-0000-0000-000016E10000}"/>
    <cellStyle name="Normal 99 2 8 3" xfId="42103" xr:uid="{00000000-0005-0000-0000-000017E10000}"/>
    <cellStyle name="Normal 99 2 9" xfId="42104" xr:uid="{00000000-0005-0000-0000-000018E10000}"/>
    <cellStyle name="Normal 99 2 9 2" xfId="42105" xr:uid="{00000000-0005-0000-0000-000019E10000}"/>
    <cellStyle name="Normal 99 3" xfId="42106" xr:uid="{00000000-0005-0000-0000-00001AE10000}"/>
    <cellStyle name="Normal 99 3 2" xfId="42107" xr:uid="{00000000-0005-0000-0000-00001BE10000}"/>
    <cellStyle name="Normal 99 3 2 2" xfId="42108" xr:uid="{00000000-0005-0000-0000-00001CE10000}"/>
    <cellStyle name="Normal 99 3 2 2 2" xfId="42109" xr:uid="{00000000-0005-0000-0000-00001DE10000}"/>
    <cellStyle name="Normal 99 3 2 3" xfId="42110" xr:uid="{00000000-0005-0000-0000-00001EE10000}"/>
    <cellStyle name="Normal 99 3 2 3 2" xfId="42111" xr:uid="{00000000-0005-0000-0000-00001FE10000}"/>
    <cellStyle name="Normal 99 3 2 4" xfId="42112" xr:uid="{00000000-0005-0000-0000-000020E10000}"/>
    <cellStyle name="Normal 99 3 3" xfId="42113" xr:uid="{00000000-0005-0000-0000-000021E10000}"/>
    <cellStyle name="Normal 99 3 3 2" xfId="42114" xr:uid="{00000000-0005-0000-0000-000022E10000}"/>
    <cellStyle name="Normal 99 3 3 2 2" xfId="42115" xr:uid="{00000000-0005-0000-0000-000023E10000}"/>
    <cellStyle name="Normal 99 3 3 3" xfId="42116" xr:uid="{00000000-0005-0000-0000-000024E10000}"/>
    <cellStyle name="Normal 99 3 3 3 2" xfId="42117" xr:uid="{00000000-0005-0000-0000-000025E10000}"/>
    <cellStyle name="Normal 99 3 3 4" xfId="42118" xr:uid="{00000000-0005-0000-0000-000026E10000}"/>
    <cellStyle name="Normal 99 3 4" xfId="42119" xr:uid="{00000000-0005-0000-0000-000027E10000}"/>
    <cellStyle name="Normal 99 3 4 2" xfId="42120" xr:uid="{00000000-0005-0000-0000-000028E10000}"/>
    <cellStyle name="Normal 99 3 5" xfId="42121" xr:uid="{00000000-0005-0000-0000-000029E10000}"/>
    <cellStyle name="Normal 99 3 5 2" xfId="42122" xr:uid="{00000000-0005-0000-0000-00002AE10000}"/>
    <cellStyle name="Normal 99 3 6" xfId="42123" xr:uid="{00000000-0005-0000-0000-00002BE10000}"/>
    <cellStyle name="Normal 99 4" xfId="42124" xr:uid="{00000000-0005-0000-0000-00002CE10000}"/>
    <cellStyle name="Normal 99 4 2" xfId="42125" xr:uid="{00000000-0005-0000-0000-00002DE10000}"/>
    <cellStyle name="Normal 99 4 2 2" xfId="42126" xr:uid="{00000000-0005-0000-0000-00002EE10000}"/>
    <cellStyle name="Normal 99 4 3" xfId="42127" xr:uid="{00000000-0005-0000-0000-00002FE10000}"/>
    <cellStyle name="Normal 99 4 3 2" xfId="42128" xr:uid="{00000000-0005-0000-0000-000030E10000}"/>
    <cellStyle name="Normal 99 4 4" xfId="42129" xr:uid="{00000000-0005-0000-0000-000031E10000}"/>
    <cellStyle name="Normal 99 5" xfId="42130" xr:uid="{00000000-0005-0000-0000-000032E10000}"/>
    <cellStyle name="Normal 99 5 2" xfId="42131" xr:uid="{00000000-0005-0000-0000-000033E10000}"/>
    <cellStyle name="Normal 99 5 2 2" xfId="42132" xr:uid="{00000000-0005-0000-0000-000034E10000}"/>
    <cellStyle name="Normal 99 5 3" xfId="42133" xr:uid="{00000000-0005-0000-0000-000035E10000}"/>
    <cellStyle name="Normal 99 5 3 2" xfId="42134" xr:uid="{00000000-0005-0000-0000-000036E10000}"/>
    <cellStyle name="Normal 99 5 4" xfId="42135" xr:uid="{00000000-0005-0000-0000-000037E10000}"/>
    <cellStyle name="Normal 99 6" xfId="42136" xr:uid="{00000000-0005-0000-0000-000038E10000}"/>
    <cellStyle name="Normal 99 6 2" xfId="42137" xr:uid="{00000000-0005-0000-0000-000039E10000}"/>
    <cellStyle name="Normal 99 6 2 2" xfId="42138" xr:uid="{00000000-0005-0000-0000-00003AE10000}"/>
    <cellStyle name="Normal 99 6 3" xfId="42139" xr:uid="{00000000-0005-0000-0000-00003BE10000}"/>
    <cellStyle name="Normal 99 6 3 2" xfId="42140" xr:uid="{00000000-0005-0000-0000-00003CE10000}"/>
    <cellStyle name="Normal 99 6 4" xfId="42141" xr:uid="{00000000-0005-0000-0000-00003DE10000}"/>
    <cellStyle name="Normal 99 7" xfId="42142" xr:uid="{00000000-0005-0000-0000-00003EE10000}"/>
    <cellStyle name="Normal 99 7 2" xfId="42143" xr:uid="{00000000-0005-0000-0000-00003FE10000}"/>
    <cellStyle name="Normal 99 7 2 2" xfId="42144" xr:uid="{00000000-0005-0000-0000-000040E10000}"/>
    <cellStyle name="Normal 99 7 3" xfId="42145" xr:uid="{00000000-0005-0000-0000-000041E10000}"/>
    <cellStyle name="Normal 99 7 3 2" xfId="42146" xr:uid="{00000000-0005-0000-0000-000042E10000}"/>
    <cellStyle name="Normal 99 7 4" xfId="42147" xr:uid="{00000000-0005-0000-0000-000043E10000}"/>
    <cellStyle name="Normal 99 8" xfId="42148" xr:uid="{00000000-0005-0000-0000-000044E10000}"/>
    <cellStyle name="Normal 99 8 2" xfId="42149" xr:uid="{00000000-0005-0000-0000-000045E10000}"/>
    <cellStyle name="Normal 99 8 2 2" xfId="42150" xr:uid="{00000000-0005-0000-0000-000046E10000}"/>
    <cellStyle name="Normal 99 8 3" xfId="42151" xr:uid="{00000000-0005-0000-0000-000047E10000}"/>
    <cellStyle name="Normal 99 8 3 2" xfId="42152" xr:uid="{00000000-0005-0000-0000-000048E10000}"/>
    <cellStyle name="Normal 99 8 4" xfId="42153" xr:uid="{00000000-0005-0000-0000-000049E10000}"/>
    <cellStyle name="Normal 99 9" xfId="42154" xr:uid="{00000000-0005-0000-0000-00004AE10000}"/>
    <cellStyle name="Normal 99 9 2" xfId="42155" xr:uid="{00000000-0005-0000-0000-00004BE10000}"/>
    <cellStyle name="Normal 99 9 2 2" xfId="42156" xr:uid="{00000000-0005-0000-0000-00004CE10000}"/>
    <cellStyle name="Normal 99 9 3" xfId="42157" xr:uid="{00000000-0005-0000-0000-00004DE10000}"/>
    <cellStyle name="Note 10" xfId="61541" xr:uid="{00000000-0005-0000-0000-00004EE10000}"/>
    <cellStyle name="Note 2" xfId="42158" xr:uid="{00000000-0005-0000-0000-00004FE10000}"/>
    <cellStyle name="Note 2 10" xfId="42159" xr:uid="{00000000-0005-0000-0000-000050E10000}"/>
    <cellStyle name="Note 2 10 2" xfId="42160" xr:uid="{00000000-0005-0000-0000-000051E10000}"/>
    <cellStyle name="Note 2 10 2 2" xfId="42161" xr:uid="{00000000-0005-0000-0000-000052E10000}"/>
    <cellStyle name="Note 2 10 2 2 2" xfId="61542" xr:uid="{00000000-0005-0000-0000-000053E10000}"/>
    <cellStyle name="Note 2 10 2 2 3" xfId="61543" xr:uid="{00000000-0005-0000-0000-000054E10000}"/>
    <cellStyle name="Note 2 10 2 3" xfId="42162" xr:uid="{00000000-0005-0000-0000-000055E10000}"/>
    <cellStyle name="Note 2 10 2 3 2" xfId="61544" xr:uid="{00000000-0005-0000-0000-000056E10000}"/>
    <cellStyle name="Note 2 10 2 4" xfId="42163" xr:uid="{00000000-0005-0000-0000-000057E10000}"/>
    <cellStyle name="Note 2 10 2 5" xfId="42164" xr:uid="{00000000-0005-0000-0000-000058E10000}"/>
    <cellStyle name="Note 2 10 2 6" xfId="42165" xr:uid="{00000000-0005-0000-0000-000059E10000}"/>
    <cellStyle name="Note 2 10 3" xfId="42166" xr:uid="{00000000-0005-0000-0000-00005AE10000}"/>
    <cellStyle name="Note 2 10 3 2" xfId="61545" xr:uid="{00000000-0005-0000-0000-00005BE10000}"/>
    <cellStyle name="Note 2 10 3 3" xfId="61546" xr:uid="{00000000-0005-0000-0000-00005CE10000}"/>
    <cellStyle name="Note 2 10 4" xfId="42167" xr:uid="{00000000-0005-0000-0000-00005DE10000}"/>
    <cellStyle name="Note 2 10 4 2" xfId="61547" xr:uid="{00000000-0005-0000-0000-00005EE10000}"/>
    <cellStyle name="Note 2 10 5" xfId="42168" xr:uid="{00000000-0005-0000-0000-00005FE10000}"/>
    <cellStyle name="Note 2 10 6" xfId="42169" xr:uid="{00000000-0005-0000-0000-000060E10000}"/>
    <cellStyle name="Note 2 10 7" xfId="42170" xr:uid="{00000000-0005-0000-0000-000061E10000}"/>
    <cellStyle name="Note 2 11" xfId="42171" xr:uid="{00000000-0005-0000-0000-000062E10000}"/>
    <cellStyle name="Note 2 11 2" xfId="42172" xr:uid="{00000000-0005-0000-0000-000063E10000}"/>
    <cellStyle name="Note 2 11 2 2" xfId="61548" xr:uid="{00000000-0005-0000-0000-000064E10000}"/>
    <cellStyle name="Note 2 11 2 3" xfId="61549" xr:uid="{00000000-0005-0000-0000-000065E10000}"/>
    <cellStyle name="Note 2 11 3" xfId="42173" xr:uid="{00000000-0005-0000-0000-000066E10000}"/>
    <cellStyle name="Note 2 11 3 2" xfId="61550" xr:uid="{00000000-0005-0000-0000-000067E10000}"/>
    <cellStyle name="Note 2 11 4" xfId="42174" xr:uid="{00000000-0005-0000-0000-000068E10000}"/>
    <cellStyle name="Note 2 11 5" xfId="42175" xr:uid="{00000000-0005-0000-0000-000069E10000}"/>
    <cellStyle name="Note 2 11 6" xfId="42176" xr:uid="{00000000-0005-0000-0000-00006AE10000}"/>
    <cellStyle name="Note 2 12" xfId="42177" xr:uid="{00000000-0005-0000-0000-00006BE10000}"/>
    <cellStyle name="Note 2 12 2" xfId="61551" xr:uid="{00000000-0005-0000-0000-00006CE10000}"/>
    <cellStyle name="Note 2 12 3" xfId="61552" xr:uid="{00000000-0005-0000-0000-00006DE10000}"/>
    <cellStyle name="Note 2 13" xfId="42178" xr:uid="{00000000-0005-0000-0000-00006EE10000}"/>
    <cellStyle name="Note 2 13 2" xfId="61553" xr:uid="{00000000-0005-0000-0000-00006FE10000}"/>
    <cellStyle name="Note 2 14" xfId="42179" xr:uid="{00000000-0005-0000-0000-000070E10000}"/>
    <cellStyle name="Note 2 14 2" xfId="61554" xr:uid="{00000000-0005-0000-0000-000071E10000}"/>
    <cellStyle name="Note 2 15" xfId="42180" xr:uid="{00000000-0005-0000-0000-000072E10000}"/>
    <cellStyle name="Note 2 16" xfId="42181" xr:uid="{00000000-0005-0000-0000-000073E10000}"/>
    <cellStyle name="Note 2 17" xfId="42182" xr:uid="{00000000-0005-0000-0000-000074E10000}"/>
    <cellStyle name="Note 2 18" xfId="42183" xr:uid="{00000000-0005-0000-0000-000075E10000}"/>
    <cellStyle name="Note 2 19" xfId="42184" xr:uid="{00000000-0005-0000-0000-000076E10000}"/>
    <cellStyle name="Note 2 2" xfId="42185" xr:uid="{00000000-0005-0000-0000-000077E10000}"/>
    <cellStyle name="Note 2 2 10" xfId="42186" xr:uid="{00000000-0005-0000-0000-000078E10000}"/>
    <cellStyle name="Note 2 2 11" xfId="42187" xr:uid="{00000000-0005-0000-0000-000079E10000}"/>
    <cellStyle name="Note 2 2 12" xfId="42188" xr:uid="{00000000-0005-0000-0000-00007AE10000}"/>
    <cellStyle name="Note 2 2 13" xfId="42189" xr:uid="{00000000-0005-0000-0000-00007BE10000}"/>
    <cellStyle name="Note 2 2 14" xfId="42190" xr:uid="{00000000-0005-0000-0000-00007CE10000}"/>
    <cellStyle name="Note 2 2 15" xfId="42191" xr:uid="{00000000-0005-0000-0000-00007DE10000}"/>
    <cellStyle name="Note 2 2 16" xfId="42192" xr:uid="{00000000-0005-0000-0000-00007EE10000}"/>
    <cellStyle name="Note 2 2 2" xfId="42193" xr:uid="{00000000-0005-0000-0000-00007FE10000}"/>
    <cellStyle name="Note 2 2 2 10" xfId="42194" xr:uid="{00000000-0005-0000-0000-000080E10000}"/>
    <cellStyle name="Note 2 2 2 11" xfId="42195" xr:uid="{00000000-0005-0000-0000-000081E10000}"/>
    <cellStyle name="Note 2 2 2 12" xfId="42196" xr:uid="{00000000-0005-0000-0000-000082E10000}"/>
    <cellStyle name="Note 2 2 2 13" xfId="42197" xr:uid="{00000000-0005-0000-0000-000083E10000}"/>
    <cellStyle name="Note 2 2 2 14" xfId="42198" xr:uid="{00000000-0005-0000-0000-000084E10000}"/>
    <cellStyle name="Note 2 2 2 15" xfId="42199" xr:uid="{00000000-0005-0000-0000-000085E10000}"/>
    <cellStyle name="Note 2 2 2 2" xfId="42200" xr:uid="{00000000-0005-0000-0000-000086E10000}"/>
    <cellStyle name="Note 2 2 2 2 2" xfId="42201" xr:uid="{00000000-0005-0000-0000-000087E10000}"/>
    <cellStyle name="Note 2 2 2 2 2 2" xfId="42202" xr:uid="{00000000-0005-0000-0000-000088E10000}"/>
    <cellStyle name="Note 2 2 2 2 2 2 2" xfId="42203" xr:uid="{00000000-0005-0000-0000-000089E10000}"/>
    <cellStyle name="Note 2 2 2 2 2 2 2 2" xfId="61555" xr:uid="{00000000-0005-0000-0000-00008AE10000}"/>
    <cellStyle name="Note 2 2 2 2 2 2 2 3" xfId="61556" xr:uid="{00000000-0005-0000-0000-00008BE10000}"/>
    <cellStyle name="Note 2 2 2 2 2 2 3" xfId="42204" xr:uid="{00000000-0005-0000-0000-00008CE10000}"/>
    <cellStyle name="Note 2 2 2 2 2 2 3 2" xfId="61557" xr:uid="{00000000-0005-0000-0000-00008DE10000}"/>
    <cellStyle name="Note 2 2 2 2 2 2 4" xfId="42205" xr:uid="{00000000-0005-0000-0000-00008EE10000}"/>
    <cellStyle name="Note 2 2 2 2 2 2 5" xfId="42206" xr:uid="{00000000-0005-0000-0000-00008FE10000}"/>
    <cellStyle name="Note 2 2 2 2 2 2 6" xfId="42207" xr:uid="{00000000-0005-0000-0000-000090E10000}"/>
    <cellStyle name="Note 2 2 2 2 2 3" xfId="42208" xr:uid="{00000000-0005-0000-0000-000091E10000}"/>
    <cellStyle name="Note 2 2 2 2 2 3 2" xfId="61558" xr:uid="{00000000-0005-0000-0000-000092E10000}"/>
    <cellStyle name="Note 2 2 2 2 2 3 3" xfId="61559" xr:uid="{00000000-0005-0000-0000-000093E10000}"/>
    <cellStyle name="Note 2 2 2 2 2 4" xfId="42209" xr:uid="{00000000-0005-0000-0000-000094E10000}"/>
    <cellStyle name="Note 2 2 2 2 2 4 2" xfId="61560" xr:uid="{00000000-0005-0000-0000-000095E10000}"/>
    <cellStyle name="Note 2 2 2 2 2 5" xfId="42210" xr:uid="{00000000-0005-0000-0000-000096E10000}"/>
    <cellStyle name="Note 2 2 2 2 2 6" xfId="42211" xr:uid="{00000000-0005-0000-0000-000097E10000}"/>
    <cellStyle name="Note 2 2 2 2 2 7" xfId="42212" xr:uid="{00000000-0005-0000-0000-000098E10000}"/>
    <cellStyle name="Note 2 2 2 2 3" xfId="42213" xr:uid="{00000000-0005-0000-0000-000099E10000}"/>
    <cellStyle name="Note 2 2 2 2 3 2" xfId="42214" xr:uid="{00000000-0005-0000-0000-00009AE10000}"/>
    <cellStyle name="Note 2 2 2 2 3 2 2" xfId="61561" xr:uid="{00000000-0005-0000-0000-00009BE10000}"/>
    <cellStyle name="Note 2 2 2 2 3 2 3" xfId="61562" xr:uid="{00000000-0005-0000-0000-00009CE10000}"/>
    <cellStyle name="Note 2 2 2 2 3 3" xfId="42215" xr:uid="{00000000-0005-0000-0000-00009DE10000}"/>
    <cellStyle name="Note 2 2 2 2 3 3 2" xfId="61563" xr:uid="{00000000-0005-0000-0000-00009EE10000}"/>
    <cellStyle name="Note 2 2 2 2 3 4" xfId="42216" xr:uid="{00000000-0005-0000-0000-00009FE10000}"/>
    <cellStyle name="Note 2 2 2 2 3 5" xfId="42217" xr:uid="{00000000-0005-0000-0000-0000A0E10000}"/>
    <cellStyle name="Note 2 2 2 2 3 6" xfId="42218" xr:uid="{00000000-0005-0000-0000-0000A1E10000}"/>
    <cellStyle name="Note 2 2 2 2 4" xfId="42219" xr:uid="{00000000-0005-0000-0000-0000A2E10000}"/>
    <cellStyle name="Note 2 2 2 2 4 2" xfId="61564" xr:uid="{00000000-0005-0000-0000-0000A3E10000}"/>
    <cellStyle name="Note 2 2 2 2 4 3" xfId="61565" xr:uid="{00000000-0005-0000-0000-0000A4E10000}"/>
    <cellStyle name="Note 2 2 2 2 5" xfId="42220" xr:uid="{00000000-0005-0000-0000-0000A5E10000}"/>
    <cellStyle name="Note 2 2 2 2 5 2" xfId="61566" xr:uid="{00000000-0005-0000-0000-0000A6E10000}"/>
    <cellStyle name="Note 2 2 2 2 6" xfId="42221" xr:uid="{00000000-0005-0000-0000-0000A7E10000}"/>
    <cellStyle name="Note 2 2 2 2 7" xfId="42222" xr:uid="{00000000-0005-0000-0000-0000A8E10000}"/>
    <cellStyle name="Note 2 2 2 2 8" xfId="42223" xr:uid="{00000000-0005-0000-0000-0000A9E10000}"/>
    <cellStyle name="Note 2 2 2 2 9" xfId="42224" xr:uid="{00000000-0005-0000-0000-0000AAE10000}"/>
    <cellStyle name="Note 2 2 2 3" xfId="42225" xr:uid="{00000000-0005-0000-0000-0000ABE10000}"/>
    <cellStyle name="Note 2 2 2 3 2" xfId="42226" xr:uid="{00000000-0005-0000-0000-0000ACE10000}"/>
    <cellStyle name="Note 2 2 2 3 2 2" xfId="42227" xr:uid="{00000000-0005-0000-0000-0000ADE10000}"/>
    <cellStyle name="Note 2 2 2 3 2 2 2" xfId="42228" xr:uid="{00000000-0005-0000-0000-0000AEE10000}"/>
    <cellStyle name="Note 2 2 2 3 2 2 2 2" xfId="61567" xr:uid="{00000000-0005-0000-0000-0000AFE10000}"/>
    <cellStyle name="Note 2 2 2 3 2 2 2 3" xfId="61568" xr:uid="{00000000-0005-0000-0000-0000B0E10000}"/>
    <cellStyle name="Note 2 2 2 3 2 2 3" xfId="42229" xr:uid="{00000000-0005-0000-0000-0000B1E10000}"/>
    <cellStyle name="Note 2 2 2 3 2 2 3 2" xfId="61569" xr:uid="{00000000-0005-0000-0000-0000B2E10000}"/>
    <cellStyle name="Note 2 2 2 3 2 2 4" xfId="42230" xr:uid="{00000000-0005-0000-0000-0000B3E10000}"/>
    <cellStyle name="Note 2 2 2 3 2 2 5" xfId="42231" xr:uid="{00000000-0005-0000-0000-0000B4E10000}"/>
    <cellStyle name="Note 2 2 2 3 2 2 6" xfId="42232" xr:uid="{00000000-0005-0000-0000-0000B5E10000}"/>
    <cellStyle name="Note 2 2 2 3 2 3" xfId="42233" xr:uid="{00000000-0005-0000-0000-0000B6E10000}"/>
    <cellStyle name="Note 2 2 2 3 2 3 2" xfId="61570" xr:uid="{00000000-0005-0000-0000-0000B7E10000}"/>
    <cellStyle name="Note 2 2 2 3 2 3 3" xfId="61571" xr:uid="{00000000-0005-0000-0000-0000B8E10000}"/>
    <cellStyle name="Note 2 2 2 3 2 4" xfId="42234" xr:uid="{00000000-0005-0000-0000-0000B9E10000}"/>
    <cellStyle name="Note 2 2 2 3 2 4 2" xfId="61572" xr:uid="{00000000-0005-0000-0000-0000BAE10000}"/>
    <cellStyle name="Note 2 2 2 3 2 5" xfId="42235" xr:uid="{00000000-0005-0000-0000-0000BBE10000}"/>
    <cellStyle name="Note 2 2 2 3 2 6" xfId="42236" xr:uid="{00000000-0005-0000-0000-0000BCE10000}"/>
    <cellStyle name="Note 2 2 2 3 2 7" xfId="42237" xr:uid="{00000000-0005-0000-0000-0000BDE10000}"/>
    <cellStyle name="Note 2 2 2 3 3" xfId="42238" xr:uid="{00000000-0005-0000-0000-0000BEE10000}"/>
    <cellStyle name="Note 2 2 2 3 3 2" xfId="42239" xr:uid="{00000000-0005-0000-0000-0000BFE10000}"/>
    <cellStyle name="Note 2 2 2 3 3 2 2" xfId="61573" xr:uid="{00000000-0005-0000-0000-0000C0E10000}"/>
    <cellStyle name="Note 2 2 2 3 3 2 3" xfId="61574" xr:uid="{00000000-0005-0000-0000-0000C1E10000}"/>
    <cellStyle name="Note 2 2 2 3 3 3" xfId="42240" xr:uid="{00000000-0005-0000-0000-0000C2E10000}"/>
    <cellStyle name="Note 2 2 2 3 3 3 2" xfId="61575" xr:uid="{00000000-0005-0000-0000-0000C3E10000}"/>
    <cellStyle name="Note 2 2 2 3 3 4" xfId="42241" xr:uid="{00000000-0005-0000-0000-0000C4E10000}"/>
    <cellStyle name="Note 2 2 2 3 3 5" xfId="42242" xr:uid="{00000000-0005-0000-0000-0000C5E10000}"/>
    <cellStyle name="Note 2 2 2 3 3 6" xfId="42243" xr:uid="{00000000-0005-0000-0000-0000C6E10000}"/>
    <cellStyle name="Note 2 2 2 3 4" xfId="42244" xr:uid="{00000000-0005-0000-0000-0000C7E10000}"/>
    <cellStyle name="Note 2 2 2 3 4 2" xfId="61576" xr:uid="{00000000-0005-0000-0000-0000C8E10000}"/>
    <cellStyle name="Note 2 2 2 3 4 3" xfId="61577" xr:uid="{00000000-0005-0000-0000-0000C9E10000}"/>
    <cellStyle name="Note 2 2 2 3 5" xfId="42245" xr:uid="{00000000-0005-0000-0000-0000CAE10000}"/>
    <cellStyle name="Note 2 2 2 3 5 2" xfId="61578" xr:uid="{00000000-0005-0000-0000-0000CBE10000}"/>
    <cellStyle name="Note 2 2 2 3 6" xfId="42246" xr:uid="{00000000-0005-0000-0000-0000CCE10000}"/>
    <cellStyle name="Note 2 2 2 3 7" xfId="42247" xr:uid="{00000000-0005-0000-0000-0000CDE10000}"/>
    <cellStyle name="Note 2 2 2 3 8" xfId="42248" xr:uid="{00000000-0005-0000-0000-0000CEE10000}"/>
    <cellStyle name="Note 2 2 2 4" xfId="42249" xr:uid="{00000000-0005-0000-0000-0000CFE10000}"/>
    <cellStyle name="Note 2 2 2 4 2" xfId="42250" xr:uid="{00000000-0005-0000-0000-0000D0E10000}"/>
    <cellStyle name="Note 2 2 2 4 2 2" xfId="42251" xr:uid="{00000000-0005-0000-0000-0000D1E10000}"/>
    <cellStyle name="Note 2 2 2 4 2 2 2" xfId="61579" xr:uid="{00000000-0005-0000-0000-0000D2E10000}"/>
    <cellStyle name="Note 2 2 2 4 2 2 3" xfId="61580" xr:uid="{00000000-0005-0000-0000-0000D3E10000}"/>
    <cellStyle name="Note 2 2 2 4 2 3" xfId="42252" xr:uid="{00000000-0005-0000-0000-0000D4E10000}"/>
    <cellStyle name="Note 2 2 2 4 2 3 2" xfId="61581" xr:uid="{00000000-0005-0000-0000-0000D5E10000}"/>
    <cellStyle name="Note 2 2 2 4 2 4" xfId="42253" xr:uid="{00000000-0005-0000-0000-0000D6E10000}"/>
    <cellStyle name="Note 2 2 2 4 2 5" xfId="42254" xr:uid="{00000000-0005-0000-0000-0000D7E10000}"/>
    <cellStyle name="Note 2 2 2 4 2 6" xfId="42255" xr:uid="{00000000-0005-0000-0000-0000D8E10000}"/>
    <cellStyle name="Note 2 2 2 4 3" xfId="42256" xr:uid="{00000000-0005-0000-0000-0000D9E10000}"/>
    <cellStyle name="Note 2 2 2 4 3 2" xfId="61582" xr:uid="{00000000-0005-0000-0000-0000DAE10000}"/>
    <cellStyle name="Note 2 2 2 4 3 3" xfId="61583" xr:uid="{00000000-0005-0000-0000-0000DBE10000}"/>
    <cellStyle name="Note 2 2 2 4 4" xfId="42257" xr:uid="{00000000-0005-0000-0000-0000DCE10000}"/>
    <cellStyle name="Note 2 2 2 4 4 2" xfId="61584" xr:uid="{00000000-0005-0000-0000-0000DDE10000}"/>
    <cellStyle name="Note 2 2 2 4 5" xfId="42258" xr:uid="{00000000-0005-0000-0000-0000DEE10000}"/>
    <cellStyle name="Note 2 2 2 4 6" xfId="42259" xr:uid="{00000000-0005-0000-0000-0000DFE10000}"/>
    <cellStyle name="Note 2 2 2 4 7" xfId="42260" xr:uid="{00000000-0005-0000-0000-0000E0E10000}"/>
    <cellStyle name="Note 2 2 2 5" xfId="42261" xr:uid="{00000000-0005-0000-0000-0000E1E10000}"/>
    <cellStyle name="Note 2 2 2 5 2" xfId="42262" xr:uid="{00000000-0005-0000-0000-0000E2E10000}"/>
    <cellStyle name="Note 2 2 2 5 2 2" xfId="61585" xr:uid="{00000000-0005-0000-0000-0000E3E10000}"/>
    <cellStyle name="Note 2 2 2 5 2 3" xfId="61586" xr:uid="{00000000-0005-0000-0000-0000E4E10000}"/>
    <cellStyle name="Note 2 2 2 5 3" xfId="42263" xr:uid="{00000000-0005-0000-0000-0000E5E10000}"/>
    <cellStyle name="Note 2 2 2 5 3 2" xfId="61587" xr:uid="{00000000-0005-0000-0000-0000E6E10000}"/>
    <cellStyle name="Note 2 2 2 5 4" xfId="42264" xr:uid="{00000000-0005-0000-0000-0000E7E10000}"/>
    <cellStyle name="Note 2 2 2 5 5" xfId="42265" xr:uid="{00000000-0005-0000-0000-0000E8E10000}"/>
    <cellStyle name="Note 2 2 2 5 6" xfId="42266" xr:uid="{00000000-0005-0000-0000-0000E9E10000}"/>
    <cellStyle name="Note 2 2 2 6" xfId="42267" xr:uid="{00000000-0005-0000-0000-0000EAE10000}"/>
    <cellStyle name="Note 2 2 2 6 2" xfId="61588" xr:uid="{00000000-0005-0000-0000-0000EBE10000}"/>
    <cellStyle name="Note 2 2 2 6 3" xfId="61589" xr:uid="{00000000-0005-0000-0000-0000ECE10000}"/>
    <cellStyle name="Note 2 2 2 7" xfId="42268" xr:uid="{00000000-0005-0000-0000-0000EDE10000}"/>
    <cellStyle name="Note 2 2 2 7 2" xfId="61590" xr:uid="{00000000-0005-0000-0000-0000EEE10000}"/>
    <cellStyle name="Note 2 2 2 8" xfId="42269" xr:uid="{00000000-0005-0000-0000-0000EFE10000}"/>
    <cellStyle name="Note 2 2 2 8 2" xfId="61591" xr:uid="{00000000-0005-0000-0000-0000F0E10000}"/>
    <cellStyle name="Note 2 2 2 9" xfId="42270" xr:uid="{00000000-0005-0000-0000-0000F1E10000}"/>
    <cellStyle name="Note 2 2 3" xfId="42271" xr:uid="{00000000-0005-0000-0000-0000F2E10000}"/>
    <cellStyle name="Note 2 2 3 10" xfId="42272" xr:uid="{00000000-0005-0000-0000-0000F3E10000}"/>
    <cellStyle name="Note 2 2 3 2" xfId="42273" xr:uid="{00000000-0005-0000-0000-0000F4E10000}"/>
    <cellStyle name="Note 2 2 3 2 2" xfId="42274" xr:uid="{00000000-0005-0000-0000-0000F5E10000}"/>
    <cellStyle name="Note 2 2 3 2 2 2" xfId="42275" xr:uid="{00000000-0005-0000-0000-0000F6E10000}"/>
    <cellStyle name="Note 2 2 3 2 2 2 2" xfId="61592" xr:uid="{00000000-0005-0000-0000-0000F7E10000}"/>
    <cellStyle name="Note 2 2 3 2 2 2 3" xfId="61593" xr:uid="{00000000-0005-0000-0000-0000F8E10000}"/>
    <cellStyle name="Note 2 2 3 2 2 3" xfId="42276" xr:uid="{00000000-0005-0000-0000-0000F9E10000}"/>
    <cellStyle name="Note 2 2 3 2 2 3 2" xfId="61594" xr:uid="{00000000-0005-0000-0000-0000FAE10000}"/>
    <cellStyle name="Note 2 2 3 2 2 4" xfId="42277" xr:uid="{00000000-0005-0000-0000-0000FBE10000}"/>
    <cellStyle name="Note 2 2 3 2 2 5" xfId="42278" xr:uid="{00000000-0005-0000-0000-0000FCE10000}"/>
    <cellStyle name="Note 2 2 3 2 2 6" xfId="42279" xr:uid="{00000000-0005-0000-0000-0000FDE10000}"/>
    <cellStyle name="Note 2 2 3 2 3" xfId="42280" xr:uid="{00000000-0005-0000-0000-0000FEE10000}"/>
    <cellStyle name="Note 2 2 3 2 3 2" xfId="61595" xr:uid="{00000000-0005-0000-0000-0000FFE10000}"/>
    <cellStyle name="Note 2 2 3 2 3 3" xfId="61596" xr:uid="{00000000-0005-0000-0000-000000E20000}"/>
    <cellStyle name="Note 2 2 3 2 4" xfId="42281" xr:uid="{00000000-0005-0000-0000-000001E20000}"/>
    <cellStyle name="Note 2 2 3 2 4 2" xfId="61597" xr:uid="{00000000-0005-0000-0000-000002E20000}"/>
    <cellStyle name="Note 2 2 3 2 5" xfId="42282" xr:uid="{00000000-0005-0000-0000-000003E20000}"/>
    <cellStyle name="Note 2 2 3 2 6" xfId="42283" xr:uid="{00000000-0005-0000-0000-000004E20000}"/>
    <cellStyle name="Note 2 2 3 2 7" xfId="42284" xr:uid="{00000000-0005-0000-0000-000005E20000}"/>
    <cellStyle name="Note 2 2 3 3" xfId="42285" xr:uid="{00000000-0005-0000-0000-000006E20000}"/>
    <cellStyle name="Note 2 2 3 3 2" xfId="42286" xr:uid="{00000000-0005-0000-0000-000007E20000}"/>
    <cellStyle name="Note 2 2 3 3 2 2" xfId="61598" xr:uid="{00000000-0005-0000-0000-000008E20000}"/>
    <cellStyle name="Note 2 2 3 3 2 3" xfId="61599" xr:uid="{00000000-0005-0000-0000-000009E20000}"/>
    <cellStyle name="Note 2 2 3 3 3" xfId="42287" xr:uid="{00000000-0005-0000-0000-00000AE20000}"/>
    <cellStyle name="Note 2 2 3 3 3 2" xfId="61600" xr:uid="{00000000-0005-0000-0000-00000BE20000}"/>
    <cellStyle name="Note 2 2 3 3 4" xfId="42288" xr:uid="{00000000-0005-0000-0000-00000CE20000}"/>
    <cellStyle name="Note 2 2 3 3 5" xfId="42289" xr:uid="{00000000-0005-0000-0000-00000DE20000}"/>
    <cellStyle name="Note 2 2 3 3 6" xfId="42290" xr:uid="{00000000-0005-0000-0000-00000EE20000}"/>
    <cellStyle name="Note 2 2 3 4" xfId="42291" xr:uid="{00000000-0005-0000-0000-00000FE20000}"/>
    <cellStyle name="Note 2 2 3 4 2" xfId="61601" xr:uid="{00000000-0005-0000-0000-000010E20000}"/>
    <cellStyle name="Note 2 2 3 4 3" xfId="61602" xr:uid="{00000000-0005-0000-0000-000011E20000}"/>
    <cellStyle name="Note 2 2 3 5" xfId="42292" xr:uid="{00000000-0005-0000-0000-000012E20000}"/>
    <cellStyle name="Note 2 2 3 5 2" xfId="61603" xr:uid="{00000000-0005-0000-0000-000013E20000}"/>
    <cellStyle name="Note 2 2 3 6" xfId="42293" xr:uid="{00000000-0005-0000-0000-000014E20000}"/>
    <cellStyle name="Note 2 2 3 7" xfId="42294" xr:uid="{00000000-0005-0000-0000-000015E20000}"/>
    <cellStyle name="Note 2 2 3 8" xfId="42295" xr:uid="{00000000-0005-0000-0000-000016E20000}"/>
    <cellStyle name="Note 2 2 3 9" xfId="42296" xr:uid="{00000000-0005-0000-0000-000017E20000}"/>
    <cellStyle name="Note 2 2 4" xfId="42297" xr:uid="{00000000-0005-0000-0000-000018E20000}"/>
    <cellStyle name="Note 2 2 4 10" xfId="42298" xr:uid="{00000000-0005-0000-0000-000019E20000}"/>
    <cellStyle name="Note 2 2 4 2" xfId="42299" xr:uid="{00000000-0005-0000-0000-00001AE20000}"/>
    <cellStyle name="Note 2 2 4 2 2" xfId="42300" xr:uid="{00000000-0005-0000-0000-00001BE20000}"/>
    <cellStyle name="Note 2 2 4 2 2 2" xfId="42301" xr:uid="{00000000-0005-0000-0000-00001CE20000}"/>
    <cellStyle name="Note 2 2 4 2 2 2 2" xfId="61604" xr:uid="{00000000-0005-0000-0000-00001DE20000}"/>
    <cellStyle name="Note 2 2 4 2 2 2 3" xfId="61605" xr:uid="{00000000-0005-0000-0000-00001EE20000}"/>
    <cellStyle name="Note 2 2 4 2 2 3" xfId="42302" xr:uid="{00000000-0005-0000-0000-00001FE20000}"/>
    <cellStyle name="Note 2 2 4 2 2 3 2" xfId="61606" xr:uid="{00000000-0005-0000-0000-000020E20000}"/>
    <cellStyle name="Note 2 2 4 2 2 4" xfId="42303" xr:uid="{00000000-0005-0000-0000-000021E20000}"/>
    <cellStyle name="Note 2 2 4 2 2 5" xfId="42304" xr:uid="{00000000-0005-0000-0000-000022E20000}"/>
    <cellStyle name="Note 2 2 4 2 2 6" xfId="42305" xr:uid="{00000000-0005-0000-0000-000023E20000}"/>
    <cellStyle name="Note 2 2 4 2 3" xfId="42306" xr:uid="{00000000-0005-0000-0000-000024E20000}"/>
    <cellStyle name="Note 2 2 4 2 3 2" xfId="61607" xr:uid="{00000000-0005-0000-0000-000025E20000}"/>
    <cellStyle name="Note 2 2 4 2 3 3" xfId="61608" xr:uid="{00000000-0005-0000-0000-000026E20000}"/>
    <cellStyle name="Note 2 2 4 2 4" xfId="42307" xr:uid="{00000000-0005-0000-0000-000027E20000}"/>
    <cellStyle name="Note 2 2 4 2 4 2" xfId="61609" xr:uid="{00000000-0005-0000-0000-000028E20000}"/>
    <cellStyle name="Note 2 2 4 2 5" xfId="42308" xr:uid="{00000000-0005-0000-0000-000029E20000}"/>
    <cellStyle name="Note 2 2 4 2 6" xfId="42309" xr:uid="{00000000-0005-0000-0000-00002AE20000}"/>
    <cellStyle name="Note 2 2 4 2 7" xfId="42310" xr:uid="{00000000-0005-0000-0000-00002BE20000}"/>
    <cellStyle name="Note 2 2 4 3" xfId="42311" xr:uid="{00000000-0005-0000-0000-00002CE20000}"/>
    <cellStyle name="Note 2 2 4 3 2" xfId="42312" xr:uid="{00000000-0005-0000-0000-00002DE20000}"/>
    <cellStyle name="Note 2 2 4 3 2 2" xfId="61610" xr:uid="{00000000-0005-0000-0000-00002EE20000}"/>
    <cellStyle name="Note 2 2 4 3 2 3" xfId="61611" xr:uid="{00000000-0005-0000-0000-00002FE20000}"/>
    <cellStyle name="Note 2 2 4 3 3" xfId="42313" xr:uid="{00000000-0005-0000-0000-000030E20000}"/>
    <cellStyle name="Note 2 2 4 3 3 2" xfId="61612" xr:uid="{00000000-0005-0000-0000-000031E20000}"/>
    <cellStyle name="Note 2 2 4 3 4" xfId="42314" xr:uid="{00000000-0005-0000-0000-000032E20000}"/>
    <cellStyle name="Note 2 2 4 3 5" xfId="42315" xr:uid="{00000000-0005-0000-0000-000033E20000}"/>
    <cellStyle name="Note 2 2 4 3 6" xfId="42316" xr:uid="{00000000-0005-0000-0000-000034E20000}"/>
    <cellStyle name="Note 2 2 4 4" xfId="42317" xr:uid="{00000000-0005-0000-0000-000035E20000}"/>
    <cellStyle name="Note 2 2 4 4 2" xfId="61613" xr:uid="{00000000-0005-0000-0000-000036E20000}"/>
    <cellStyle name="Note 2 2 4 4 3" xfId="61614" xr:uid="{00000000-0005-0000-0000-000037E20000}"/>
    <cellStyle name="Note 2 2 4 5" xfId="42318" xr:uid="{00000000-0005-0000-0000-000038E20000}"/>
    <cellStyle name="Note 2 2 4 5 2" xfId="61615" xr:uid="{00000000-0005-0000-0000-000039E20000}"/>
    <cellStyle name="Note 2 2 4 6" xfId="42319" xr:uid="{00000000-0005-0000-0000-00003AE20000}"/>
    <cellStyle name="Note 2 2 4 7" xfId="42320" xr:uid="{00000000-0005-0000-0000-00003BE20000}"/>
    <cellStyle name="Note 2 2 4 8" xfId="42321" xr:uid="{00000000-0005-0000-0000-00003CE20000}"/>
    <cellStyle name="Note 2 2 4 9" xfId="42322" xr:uid="{00000000-0005-0000-0000-00003DE20000}"/>
    <cellStyle name="Note 2 2 5" xfId="42323" xr:uid="{00000000-0005-0000-0000-00003EE20000}"/>
    <cellStyle name="Note 2 2 5 10" xfId="42324" xr:uid="{00000000-0005-0000-0000-00003FE20000}"/>
    <cellStyle name="Note 2 2 5 2" xfId="42325" xr:uid="{00000000-0005-0000-0000-000040E20000}"/>
    <cellStyle name="Note 2 2 5 2 2" xfId="42326" xr:uid="{00000000-0005-0000-0000-000041E20000}"/>
    <cellStyle name="Note 2 2 5 2 2 2" xfId="61616" xr:uid="{00000000-0005-0000-0000-000042E20000}"/>
    <cellStyle name="Note 2 2 5 2 2 3" xfId="61617" xr:uid="{00000000-0005-0000-0000-000043E20000}"/>
    <cellStyle name="Note 2 2 5 2 3" xfId="42327" xr:uid="{00000000-0005-0000-0000-000044E20000}"/>
    <cellStyle name="Note 2 2 5 2 3 2" xfId="61618" xr:uid="{00000000-0005-0000-0000-000045E20000}"/>
    <cellStyle name="Note 2 2 5 2 4" xfId="42328" xr:uid="{00000000-0005-0000-0000-000046E20000}"/>
    <cellStyle name="Note 2 2 5 2 5" xfId="42329" xr:uid="{00000000-0005-0000-0000-000047E20000}"/>
    <cellStyle name="Note 2 2 5 2 6" xfId="42330" xr:uid="{00000000-0005-0000-0000-000048E20000}"/>
    <cellStyle name="Note 2 2 5 3" xfId="42331" xr:uid="{00000000-0005-0000-0000-000049E20000}"/>
    <cellStyle name="Note 2 2 5 3 2" xfId="61619" xr:uid="{00000000-0005-0000-0000-00004AE20000}"/>
    <cellStyle name="Note 2 2 5 3 3" xfId="61620" xr:uid="{00000000-0005-0000-0000-00004BE20000}"/>
    <cellStyle name="Note 2 2 5 4" xfId="42332" xr:uid="{00000000-0005-0000-0000-00004CE20000}"/>
    <cellStyle name="Note 2 2 5 4 2" xfId="61621" xr:uid="{00000000-0005-0000-0000-00004DE20000}"/>
    <cellStyle name="Note 2 2 5 5" xfId="42333" xr:uid="{00000000-0005-0000-0000-00004EE20000}"/>
    <cellStyle name="Note 2 2 5 6" xfId="42334" xr:uid="{00000000-0005-0000-0000-00004FE20000}"/>
    <cellStyle name="Note 2 2 5 7" xfId="42335" xr:uid="{00000000-0005-0000-0000-000050E20000}"/>
    <cellStyle name="Note 2 2 5 8" xfId="42336" xr:uid="{00000000-0005-0000-0000-000051E20000}"/>
    <cellStyle name="Note 2 2 5 9" xfId="42337" xr:uid="{00000000-0005-0000-0000-000052E20000}"/>
    <cellStyle name="Note 2 2 6" xfId="42338" xr:uid="{00000000-0005-0000-0000-000053E20000}"/>
    <cellStyle name="Note 2 2 6 10" xfId="42339" xr:uid="{00000000-0005-0000-0000-000054E20000}"/>
    <cellStyle name="Note 2 2 6 2" xfId="42340" xr:uid="{00000000-0005-0000-0000-000055E20000}"/>
    <cellStyle name="Note 2 2 6 2 2" xfId="61622" xr:uid="{00000000-0005-0000-0000-000056E20000}"/>
    <cellStyle name="Note 2 2 6 2 3" xfId="61623" xr:uid="{00000000-0005-0000-0000-000057E20000}"/>
    <cellStyle name="Note 2 2 6 3" xfId="42341" xr:uid="{00000000-0005-0000-0000-000058E20000}"/>
    <cellStyle name="Note 2 2 6 3 2" xfId="61624" xr:uid="{00000000-0005-0000-0000-000059E20000}"/>
    <cellStyle name="Note 2 2 6 4" xfId="42342" xr:uid="{00000000-0005-0000-0000-00005AE20000}"/>
    <cellStyle name="Note 2 2 6 5" xfId="42343" xr:uid="{00000000-0005-0000-0000-00005BE20000}"/>
    <cellStyle name="Note 2 2 6 6" xfId="42344" xr:uid="{00000000-0005-0000-0000-00005CE20000}"/>
    <cellStyle name="Note 2 2 6 7" xfId="42345" xr:uid="{00000000-0005-0000-0000-00005DE20000}"/>
    <cellStyle name="Note 2 2 6 8" xfId="42346" xr:uid="{00000000-0005-0000-0000-00005EE20000}"/>
    <cellStyle name="Note 2 2 6 9" xfId="42347" xr:uid="{00000000-0005-0000-0000-00005FE20000}"/>
    <cellStyle name="Note 2 2 7" xfId="42348" xr:uid="{00000000-0005-0000-0000-000060E20000}"/>
    <cellStyle name="Note 2 2 7 10" xfId="42349" xr:uid="{00000000-0005-0000-0000-000061E20000}"/>
    <cellStyle name="Note 2 2 7 2" xfId="42350" xr:uid="{00000000-0005-0000-0000-000062E20000}"/>
    <cellStyle name="Note 2 2 7 3" xfId="42351" xr:uid="{00000000-0005-0000-0000-000063E20000}"/>
    <cellStyle name="Note 2 2 7 4" xfId="42352" xr:uid="{00000000-0005-0000-0000-000064E20000}"/>
    <cellStyle name="Note 2 2 7 5" xfId="42353" xr:uid="{00000000-0005-0000-0000-000065E20000}"/>
    <cellStyle name="Note 2 2 7 6" xfId="42354" xr:uid="{00000000-0005-0000-0000-000066E20000}"/>
    <cellStyle name="Note 2 2 7 7" xfId="42355" xr:uid="{00000000-0005-0000-0000-000067E20000}"/>
    <cellStyle name="Note 2 2 7 8" xfId="42356" xr:uid="{00000000-0005-0000-0000-000068E20000}"/>
    <cellStyle name="Note 2 2 7 9" xfId="42357" xr:uid="{00000000-0005-0000-0000-000069E20000}"/>
    <cellStyle name="Note 2 2 8" xfId="42358" xr:uid="{00000000-0005-0000-0000-00006AE20000}"/>
    <cellStyle name="Note 2 2 8 2" xfId="61625" xr:uid="{00000000-0005-0000-0000-00006BE20000}"/>
    <cellStyle name="Note 2 2 9" xfId="42359" xr:uid="{00000000-0005-0000-0000-00006CE20000}"/>
    <cellStyle name="Note 2 2 9 2" xfId="61626" xr:uid="{00000000-0005-0000-0000-00006DE20000}"/>
    <cellStyle name="Note 2 20" xfId="42360" xr:uid="{00000000-0005-0000-0000-00006EE20000}"/>
    <cellStyle name="Note 2 21" xfId="42361" xr:uid="{00000000-0005-0000-0000-00006FE20000}"/>
    <cellStyle name="Note 2 3" xfId="42362" xr:uid="{00000000-0005-0000-0000-000070E20000}"/>
    <cellStyle name="Note 2 3 10" xfId="42363" xr:uid="{00000000-0005-0000-0000-000071E20000}"/>
    <cellStyle name="Note 2 3 11" xfId="42364" xr:uid="{00000000-0005-0000-0000-000072E20000}"/>
    <cellStyle name="Note 2 3 12" xfId="42365" xr:uid="{00000000-0005-0000-0000-000073E20000}"/>
    <cellStyle name="Note 2 3 13" xfId="42366" xr:uid="{00000000-0005-0000-0000-000074E20000}"/>
    <cellStyle name="Note 2 3 14" xfId="42367" xr:uid="{00000000-0005-0000-0000-000075E20000}"/>
    <cellStyle name="Note 2 3 15" xfId="42368" xr:uid="{00000000-0005-0000-0000-000076E20000}"/>
    <cellStyle name="Note 2 3 16" xfId="42369" xr:uid="{00000000-0005-0000-0000-000077E20000}"/>
    <cellStyle name="Note 2 3 17" xfId="42370" xr:uid="{00000000-0005-0000-0000-000078E20000}"/>
    <cellStyle name="Note 2 3 2" xfId="42371" xr:uid="{00000000-0005-0000-0000-000079E20000}"/>
    <cellStyle name="Note 2 3 2 10" xfId="42372" xr:uid="{00000000-0005-0000-0000-00007AE20000}"/>
    <cellStyle name="Note 2 3 2 11" xfId="42373" xr:uid="{00000000-0005-0000-0000-00007BE20000}"/>
    <cellStyle name="Note 2 3 2 12" xfId="42374" xr:uid="{00000000-0005-0000-0000-00007CE20000}"/>
    <cellStyle name="Note 2 3 2 13" xfId="42375" xr:uid="{00000000-0005-0000-0000-00007DE20000}"/>
    <cellStyle name="Note 2 3 2 14" xfId="42376" xr:uid="{00000000-0005-0000-0000-00007EE20000}"/>
    <cellStyle name="Note 2 3 2 15" xfId="42377" xr:uid="{00000000-0005-0000-0000-00007FE20000}"/>
    <cellStyle name="Note 2 3 2 16" xfId="42378" xr:uid="{00000000-0005-0000-0000-000080E20000}"/>
    <cellStyle name="Note 2 3 2 2" xfId="42379" xr:uid="{00000000-0005-0000-0000-000081E20000}"/>
    <cellStyle name="Note 2 3 2 2 10" xfId="42380" xr:uid="{00000000-0005-0000-0000-000082E20000}"/>
    <cellStyle name="Note 2 3 2 2 2" xfId="42381" xr:uid="{00000000-0005-0000-0000-000083E20000}"/>
    <cellStyle name="Note 2 3 2 2 2 2" xfId="42382" xr:uid="{00000000-0005-0000-0000-000084E20000}"/>
    <cellStyle name="Note 2 3 2 2 2 2 2" xfId="42383" xr:uid="{00000000-0005-0000-0000-000085E20000}"/>
    <cellStyle name="Note 2 3 2 2 2 2 2 2" xfId="61627" xr:uid="{00000000-0005-0000-0000-000086E20000}"/>
    <cellStyle name="Note 2 3 2 2 2 2 2 3" xfId="61628" xr:uid="{00000000-0005-0000-0000-000087E20000}"/>
    <cellStyle name="Note 2 3 2 2 2 2 3" xfId="42384" xr:uid="{00000000-0005-0000-0000-000088E20000}"/>
    <cellStyle name="Note 2 3 2 2 2 2 3 2" xfId="61629" xr:uid="{00000000-0005-0000-0000-000089E20000}"/>
    <cellStyle name="Note 2 3 2 2 2 2 4" xfId="42385" xr:uid="{00000000-0005-0000-0000-00008AE20000}"/>
    <cellStyle name="Note 2 3 2 2 2 2 5" xfId="42386" xr:uid="{00000000-0005-0000-0000-00008BE20000}"/>
    <cellStyle name="Note 2 3 2 2 2 2 6" xfId="42387" xr:uid="{00000000-0005-0000-0000-00008CE20000}"/>
    <cellStyle name="Note 2 3 2 2 2 3" xfId="42388" xr:uid="{00000000-0005-0000-0000-00008DE20000}"/>
    <cellStyle name="Note 2 3 2 2 2 3 2" xfId="61630" xr:uid="{00000000-0005-0000-0000-00008EE20000}"/>
    <cellStyle name="Note 2 3 2 2 2 4" xfId="42389" xr:uid="{00000000-0005-0000-0000-00008FE20000}"/>
    <cellStyle name="Note 2 3 2 2 2 5" xfId="42390" xr:uid="{00000000-0005-0000-0000-000090E20000}"/>
    <cellStyle name="Note 2 3 2 2 2 6" xfId="42391" xr:uid="{00000000-0005-0000-0000-000091E20000}"/>
    <cellStyle name="Note 2 3 2 2 2 7" xfId="42392" xr:uid="{00000000-0005-0000-0000-000092E20000}"/>
    <cellStyle name="Note 2 3 2 2 2 8" xfId="42393" xr:uid="{00000000-0005-0000-0000-000093E20000}"/>
    <cellStyle name="Note 2 3 2 2 3" xfId="42394" xr:uid="{00000000-0005-0000-0000-000094E20000}"/>
    <cellStyle name="Note 2 3 2 2 3 2" xfId="42395" xr:uid="{00000000-0005-0000-0000-000095E20000}"/>
    <cellStyle name="Note 2 3 2 2 3 2 2" xfId="61631" xr:uid="{00000000-0005-0000-0000-000096E20000}"/>
    <cellStyle name="Note 2 3 2 2 3 2 3" xfId="61632" xr:uid="{00000000-0005-0000-0000-000097E20000}"/>
    <cellStyle name="Note 2 3 2 2 3 3" xfId="42396" xr:uid="{00000000-0005-0000-0000-000098E20000}"/>
    <cellStyle name="Note 2 3 2 2 3 3 2" xfId="61633" xr:uid="{00000000-0005-0000-0000-000099E20000}"/>
    <cellStyle name="Note 2 3 2 2 3 4" xfId="42397" xr:uid="{00000000-0005-0000-0000-00009AE20000}"/>
    <cellStyle name="Note 2 3 2 2 3 5" xfId="42398" xr:uid="{00000000-0005-0000-0000-00009BE20000}"/>
    <cellStyle name="Note 2 3 2 2 3 6" xfId="42399" xr:uid="{00000000-0005-0000-0000-00009CE20000}"/>
    <cellStyle name="Note 2 3 2 2 4" xfId="42400" xr:uid="{00000000-0005-0000-0000-00009DE20000}"/>
    <cellStyle name="Note 2 3 2 2 4 2" xfId="42401" xr:uid="{00000000-0005-0000-0000-00009EE20000}"/>
    <cellStyle name="Note 2 3 2 2 5" xfId="42402" xr:uid="{00000000-0005-0000-0000-00009FE20000}"/>
    <cellStyle name="Note 2 3 2 2 5 2" xfId="61634" xr:uid="{00000000-0005-0000-0000-0000A0E20000}"/>
    <cellStyle name="Note 2 3 2 2 6" xfId="42403" xr:uid="{00000000-0005-0000-0000-0000A1E20000}"/>
    <cellStyle name="Note 2 3 2 2 7" xfId="42404" xr:uid="{00000000-0005-0000-0000-0000A2E20000}"/>
    <cellStyle name="Note 2 3 2 2 8" xfId="42405" xr:uid="{00000000-0005-0000-0000-0000A3E20000}"/>
    <cellStyle name="Note 2 3 2 2 9" xfId="42406" xr:uid="{00000000-0005-0000-0000-0000A4E20000}"/>
    <cellStyle name="Note 2 3 2 3" xfId="42407" xr:uid="{00000000-0005-0000-0000-0000A5E20000}"/>
    <cellStyle name="Note 2 3 2 3 2" xfId="42408" xr:uid="{00000000-0005-0000-0000-0000A6E20000}"/>
    <cellStyle name="Note 2 3 2 3 2 2" xfId="42409" xr:uid="{00000000-0005-0000-0000-0000A7E20000}"/>
    <cellStyle name="Note 2 3 2 3 2 2 2" xfId="42410" xr:uid="{00000000-0005-0000-0000-0000A8E20000}"/>
    <cellStyle name="Note 2 3 2 3 2 2 2 2" xfId="61635" xr:uid="{00000000-0005-0000-0000-0000A9E20000}"/>
    <cellStyle name="Note 2 3 2 3 2 2 2 3" xfId="61636" xr:uid="{00000000-0005-0000-0000-0000AAE20000}"/>
    <cellStyle name="Note 2 3 2 3 2 2 3" xfId="42411" xr:uid="{00000000-0005-0000-0000-0000ABE20000}"/>
    <cellStyle name="Note 2 3 2 3 2 2 3 2" xfId="61637" xr:uid="{00000000-0005-0000-0000-0000ACE20000}"/>
    <cellStyle name="Note 2 3 2 3 2 2 4" xfId="42412" xr:uid="{00000000-0005-0000-0000-0000ADE20000}"/>
    <cellStyle name="Note 2 3 2 3 2 2 5" xfId="42413" xr:uid="{00000000-0005-0000-0000-0000AEE20000}"/>
    <cellStyle name="Note 2 3 2 3 2 2 6" xfId="42414" xr:uid="{00000000-0005-0000-0000-0000AFE20000}"/>
    <cellStyle name="Note 2 3 2 3 2 3" xfId="42415" xr:uid="{00000000-0005-0000-0000-0000B0E20000}"/>
    <cellStyle name="Note 2 3 2 3 2 3 2" xfId="61638" xr:uid="{00000000-0005-0000-0000-0000B1E20000}"/>
    <cellStyle name="Note 2 3 2 3 2 3 3" xfId="61639" xr:uid="{00000000-0005-0000-0000-0000B2E20000}"/>
    <cellStyle name="Note 2 3 2 3 2 4" xfId="42416" xr:uid="{00000000-0005-0000-0000-0000B3E20000}"/>
    <cellStyle name="Note 2 3 2 3 2 4 2" xfId="61640" xr:uid="{00000000-0005-0000-0000-0000B4E20000}"/>
    <cellStyle name="Note 2 3 2 3 2 5" xfId="42417" xr:uid="{00000000-0005-0000-0000-0000B5E20000}"/>
    <cellStyle name="Note 2 3 2 3 2 6" xfId="42418" xr:uid="{00000000-0005-0000-0000-0000B6E20000}"/>
    <cellStyle name="Note 2 3 2 3 2 7" xfId="42419" xr:uid="{00000000-0005-0000-0000-0000B7E20000}"/>
    <cellStyle name="Note 2 3 2 3 3" xfId="42420" xr:uid="{00000000-0005-0000-0000-0000B8E20000}"/>
    <cellStyle name="Note 2 3 2 3 3 2" xfId="42421" xr:uid="{00000000-0005-0000-0000-0000B9E20000}"/>
    <cellStyle name="Note 2 3 2 3 3 2 2" xfId="61641" xr:uid="{00000000-0005-0000-0000-0000BAE20000}"/>
    <cellStyle name="Note 2 3 2 3 3 2 3" xfId="61642" xr:uid="{00000000-0005-0000-0000-0000BBE20000}"/>
    <cellStyle name="Note 2 3 2 3 3 3" xfId="42422" xr:uid="{00000000-0005-0000-0000-0000BCE20000}"/>
    <cellStyle name="Note 2 3 2 3 3 3 2" xfId="61643" xr:uid="{00000000-0005-0000-0000-0000BDE20000}"/>
    <cellStyle name="Note 2 3 2 3 3 4" xfId="42423" xr:uid="{00000000-0005-0000-0000-0000BEE20000}"/>
    <cellStyle name="Note 2 3 2 3 3 5" xfId="42424" xr:uid="{00000000-0005-0000-0000-0000BFE20000}"/>
    <cellStyle name="Note 2 3 2 3 3 6" xfId="42425" xr:uid="{00000000-0005-0000-0000-0000C0E20000}"/>
    <cellStyle name="Note 2 3 2 3 4" xfId="42426" xr:uid="{00000000-0005-0000-0000-0000C1E20000}"/>
    <cellStyle name="Note 2 3 2 3 4 2" xfId="42427" xr:uid="{00000000-0005-0000-0000-0000C2E20000}"/>
    <cellStyle name="Note 2 3 2 3 5" xfId="42428" xr:uid="{00000000-0005-0000-0000-0000C3E20000}"/>
    <cellStyle name="Note 2 3 2 3 5 2" xfId="61644" xr:uid="{00000000-0005-0000-0000-0000C4E20000}"/>
    <cellStyle name="Note 2 3 2 3 6" xfId="42429" xr:uid="{00000000-0005-0000-0000-0000C5E20000}"/>
    <cellStyle name="Note 2 3 2 3 7" xfId="42430" xr:uid="{00000000-0005-0000-0000-0000C6E20000}"/>
    <cellStyle name="Note 2 3 2 3 8" xfId="42431" xr:uid="{00000000-0005-0000-0000-0000C7E20000}"/>
    <cellStyle name="Note 2 3 2 3 9" xfId="42432" xr:uid="{00000000-0005-0000-0000-0000C8E20000}"/>
    <cellStyle name="Note 2 3 2 4" xfId="42433" xr:uid="{00000000-0005-0000-0000-0000C9E20000}"/>
    <cellStyle name="Note 2 3 2 4 2" xfId="42434" xr:uid="{00000000-0005-0000-0000-0000CAE20000}"/>
    <cellStyle name="Note 2 3 2 4 2 2" xfId="42435" xr:uid="{00000000-0005-0000-0000-0000CBE20000}"/>
    <cellStyle name="Note 2 3 2 4 2 2 2" xfId="61645" xr:uid="{00000000-0005-0000-0000-0000CCE20000}"/>
    <cellStyle name="Note 2 3 2 4 2 2 3" xfId="61646" xr:uid="{00000000-0005-0000-0000-0000CDE20000}"/>
    <cellStyle name="Note 2 3 2 4 2 3" xfId="42436" xr:uid="{00000000-0005-0000-0000-0000CEE20000}"/>
    <cellStyle name="Note 2 3 2 4 2 3 2" xfId="61647" xr:uid="{00000000-0005-0000-0000-0000CFE20000}"/>
    <cellStyle name="Note 2 3 2 4 2 4" xfId="42437" xr:uid="{00000000-0005-0000-0000-0000D0E20000}"/>
    <cellStyle name="Note 2 3 2 4 2 5" xfId="42438" xr:uid="{00000000-0005-0000-0000-0000D1E20000}"/>
    <cellStyle name="Note 2 3 2 4 2 6" xfId="42439" xr:uid="{00000000-0005-0000-0000-0000D2E20000}"/>
    <cellStyle name="Note 2 3 2 4 3" xfId="42440" xr:uid="{00000000-0005-0000-0000-0000D3E20000}"/>
    <cellStyle name="Note 2 3 2 4 3 2" xfId="42441" xr:uid="{00000000-0005-0000-0000-0000D4E20000}"/>
    <cellStyle name="Note 2 3 2 4 4" xfId="42442" xr:uid="{00000000-0005-0000-0000-0000D5E20000}"/>
    <cellStyle name="Note 2 3 2 4 4 2" xfId="61648" xr:uid="{00000000-0005-0000-0000-0000D6E20000}"/>
    <cellStyle name="Note 2 3 2 4 5" xfId="42443" xr:uid="{00000000-0005-0000-0000-0000D7E20000}"/>
    <cellStyle name="Note 2 3 2 4 6" xfId="42444" xr:uid="{00000000-0005-0000-0000-0000D8E20000}"/>
    <cellStyle name="Note 2 3 2 4 7" xfId="42445" xr:uid="{00000000-0005-0000-0000-0000D9E20000}"/>
    <cellStyle name="Note 2 3 2 4 8" xfId="42446" xr:uid="{00000000-0005-0000-0000-0000DAE20000}"/>
    <cellStyle name="Note 2 3 2 5" xfId="42447" xr:uid="{00000000-0005-0000-0000-0000DBE20000}"/>
    <cellStyle name="Note 2 3 2 5 2" xfId="42448" xr:uid="{00000000-0005-0000-0000-0000DCE20000}"/>
    <cellStyle name="Note 2 3 2 5 2 2" xfId="61649" xr:uid="{00000000-0005-0000-0000-0000DDE20000}"/>
    <cellStyle name="Note 2 3 2 5 2 3" xfId="61650" xr:uid="{00000000-0005-0000-0000-0000DEE20000}"/>
    <cellStyle name="Note 2 3 2 5 3" xfId="42449" xr:uid="{00000000-0005-0000-0000-0000DFE20000}"/>
    <cellStyle name="Note 2 3 2 5 3 2" xfId="61651" xr:uid="{00000000-0005-0000-0000-0000E0E20000}"/>
    <cellStyle name="Note 2 3 2 5 4" xfId="42450" xr:uid="{00000000-0005-0000-0000-0000E1E20000}"/>
    <cellStyle name="Note 2 3 2 5 5" xfId="42451" xr:uid="{00000000-0005-0000-0000-0000E2E20000}"/>
    <cellStyle name="Note 2 3 2 5 6" xfId="42452" xr:uid="{00000000-0005-0000-0000-0000E3E20000}"/>
    <cellStyle name="Note 2 3 2 6" xfId="42453" xr:uid="{00000000-0005-0000-0000-0000E4E20000}"/>
    <cellStyle name="Note 2 3 2 6 2" xfId="42454" xr:uid="{00000000-0005-0000-0000-0000E5E20000}"/>
    <cellStyle name="Note 2 3 2 7" xfId="42455" xr:uid="{00000000-0005-0000-0000-0000E6E20000}"/>
    <cellStyle name="Note 2 3 2 7 2" xfId="61652" xr:uid="{00000000-0005-0000-0000-0000E7E20000}"/>
    <cellStyle name="Note 2 3 2 8" xfId="42456" xr:uid="{00000000-0005-0000-0000-0000E8E20000}"/>
    <cellStyle name="Note 2 3 2 9" xfId="42457" xr:uid="{00000000-0005-0000-0000-0000E9E20000}"/>
    <cellStyle name="Note 2 3 3" xfId="42458" xr:uid="{00000000-0005-0000-0000-0000EAE20000}"/>
    <cellStyle name="Note 2 3 3 10" xfId="42459" xr:uid="{00000000-0005-0000-0000-0000EBE20000}"/>
    <cellStyle name="Note 2 3 3 2" xfId="42460" xr:uid="{00000000-0005-0000-0000-0000ECE20000}"/>
    <cellStyle name="Note 2 3 3 2 2" xfId="42461" xr:uid="{00000000-0005-0000-0000-0000EDE20000}"/>
    <cellStyle name="Note 2 3 3 2 2 2" xfId="42462" xr:uid="{00000000-0005-0000-0000-0000EEE20000}"/>
    <cellStyle name="Note 2 3 3 2 2 2 2" xfId="61653" xr:uid="{00000000-0005-0000-0000-0000EFE20000}"/>
    <cellStyle name="Note 2 3 3 2 2 3" xfId="42463" xr:uid="{00000000-0005-0000-0000-0000F0E20000}"/>
    <cellStyle name="Note 2 3 3 2 2 4" xfId="42464" xr:uid="{00000000-0005-0000-0000-0000F1E20000}"/>
    <cellStyle name="Note 2 3 3 2 2 5" xfId="42465" xr:uid="{00000000-0005-0000-0000-0000F2E20000}"/>
    <cellStyle name="Note 2 3 3 2 2 6" xfId="42466" xr:uid="{00000000-0005-0000-0000-0000F3E20000}"/>
    <cellStyle name="Note 2 3 3 2 2 7" xfId="42467" xr:uid="{00000000-0005-0000-0000-0000F4E20000}"/>
    <cellStyle name="Note 2 3 3 2 3" xfId="42468" xr:uid="{00000000-0005-0000-0000-0000F5E20000}"/>
    <cellStyle name="Note 2 3 3 2 3 2" xfId="42469" xr:uid="{00000000-0005-0000-0000-0000F6E20000}"/>
    <cellStyle name="Note 2 3 3 2 4" xfId="42470" xr:uid="{00000000-0005-0000-0000-0000F7E20000}"/>
    <cellStyle name="Note 2 3 3 2 4 2" xfId="61654" xr:uid="{00000000-0005-0000-0000-0000F8E20000}"/>
    <cellStyle name="Note 2 3 3 2 5" xfId="42471" xr:uid="{00000000-0005-0000-0000-0000F9E20000}"/>
    <cellStyle name="Note 2 3 3 2 6" xfId="42472" xr:uid="{00000000-0005-0000-0000-0000FAE20000}"/>
    <cellStyle name="Note 2 3 3 2 7" xfId="42473" xr:uid="{00000000-0005-0000-0000-0000FBE20000}"/>
    <cellStyle name="Note 2 3 3 2 8" xfId="42474" xr:uid="{00000000-0005-0000-0000-0000FCE20000}"/>
    <cellStyle name="Note 2 3 3 3" xfId="42475" xr:uid="{00000000-0005-0000-0000-0000FDE20000}"/>
    <cellStyle name="Note 2 3 3 3 2" xfId="42476" xr:uid="{00000000-0005-0000-0000-0000FEE20000}"/>
    <cellStyle name="Note 2 3 3 3 2 2" xfId="42477" xr:uid="{00000000-0005-0000-0000-0000FFE20000}"/>
    <cellStyle name="Note 2 3 3 3 3" xfId="42478" xr:uid="{00000000-0005-0000-0000-000000E30000}"/>
    <cellStyle name="Note 2 3 3 3 3 2" xfId="61655" xr:uid="{00000000-0005-0000-0000-000001E30000}"/>
    <cellStyle name="Note 2 3 3 3 4" xfId="42479" xr:uid="{00000000-0005-0000-0000-000002E30000}"/>
    <cellStyle name="Note 2 3 3 3 5" xfId="42480" xr:uid="{00000000-0005-0000-0000-000003E30000}"/>
    <cellStyle name="Note 2 3 3 3 6" xfId="42481" xr:uid="{00000000-0005-0000-0000-000004E30000}"/>
    <cellStyle name="Note 2 3 3 3 7" xfId="42482" xr:uid="{00000000-0005-0000-0000-000005E30000}"/>
    <cellStyle name="Note 2 3 3 4" xfId="42483" xr:uid="{00000000-0005-0000-0000-000006E30000}"/>
    <cellStyle name="Note 2 3 3 4 2" xfId="42484" xr:uid="{00000000-0005-0000-0000-000007E30000}"/>
    <cellStyle name="Note 2 3 3 4 3" xfId="42485" xr:uid="{00000000-0005-0000-0000-000008E30000}"/>
    <cellStyle name="Note 2 3 3 5" xfId="42486" xr:uid="{00000000-0005-0000-0000-000009E30000}"/>
    <cellStyle name="Note 2 3 3 5 2" xfId="42487" xr:uid="{00000000-0005-0000-0000-00000AE30000}"/>
    <cellStyle name="Note 2 3 3 6" xfId="42488" xr:uid="{00000000-0005-0000-0000-00000BE30000}"/>
    <cellStyle name="Note 2 3 3 6 2" xfId="61656" xr:uid="{00000000-0005-0000-0000-00000CE30000}"/>
    <cellStyle name="Note 2 3 3 7" xfId="42489" xr:uid="{00000000-0005-0000-0000-00000DE30000}"/>
    <cellStyle name="Note 2 3 3 8" xfId="42490" xr:uid="{00000000-0005-0000-0000-00000EE30000}"/>
    <cellStyle name="Note 2 3 3 9" xfId="42491" xr:uid="{00000000-0005-0000-0000-00000FE30000}"/>
    <cellStyle name="Note 2 3 4" xfId="42492" xr:uid="{00000000-0005-0000-0000-000010E30000}"/>
    <cellStyle name="Note 2 3 4 10" xfId="42493" xr:uid="{00000000-0005-0000-0000-000011E30000}"/>
    <cellStyle name="Note 2 3 4 2" xfId="42494" xr:uid="{00000000-0005-0000-0000-000012E30000}"/>
    <cellStyle name="Note 2 3 4 2 2" xfId="42495" xr:uid="{00000000-0005-0000-0000-000013E30000}"/>
    <cellStyle name="Note 2 3 4 2 2 2" xfId="42496" xr:uid="{00000000-0005-0000-0000-000014E30000}"/>
    <cellStyle name="Note 2 3 4 2 2 2 2" xfId="61657" xr:uid="{00000000-0005-0000-0000-000015E30000}"/>
    <cellStyle name="Note 2 3 4 2 2 2 3" xfId="61658" xr:uid="{00000000-0005-0000-0000-000016E30000}"/>
    <cellStyle name="Note 2 3 4 2 2 3" xfId="42497" xr:uid="{00000000-0005-0000-0000-000017E30000}"/>
    <cellStyle name="Note 2 3 4 2 2 3 2" xfId="61659" xr:uid="{00000000-0005-0000-0000-000018E30000}"/>
    <cellStyle name="Note 2 3 4 2 2 4" xfId="42498" xr:uid="{00000000-0005-0000-0000-000019E30000}"/>
    <cellStyle name="Note 2 3 4 2 2 5" xfId="42499" xr:uid="{00000000-0005-0000-0000-00001AE30000}"/>
    <cellStyle name="Note 2 3 4 2 2 6" xfId="42500" xr:uid="{00000000-0005-0000-0000-00001BE30000}"/>
    <cellStyle name="Note 2 3 4 2 3" xfId="42501" xr:uid="{00000000-0005-0000-0000-00001CE30000}"/>
    <cellStyle name="Note 2 3 4 2 3 2" xfId="61660" xr:uid="{00000000-0005-0000-0000-00001DE30000}"/>
    <cellStyle name="Note 2 3 4 2 4" xfId="42502" xr:uid="{00000000-0005-0000-0000-00001EE30000}"/>
    <cellStyle name="Note 2 3 4 2 5" xfId="42503" xr:uid="{00000000-0005-0000-0000-00001FE30000}"/>
    <cellStyle name="Note 2 3 4 2 6" xfId="42504" xr:uid="{00000000-0005-0000-0000-000020E30000}"/>
    <cellStyle name="Note 2 3 4 2 7" xfId="42505" xr:uid="{00000000-0005-0000-0000-000021E30000}"/>
    <cellStyle name="Note 2 3 4 2 8" xfId="42506" xr:uid="{00000000-0005-0000-0000-000022E30000}"/>
    <cellStyle name="Note 2 3 4 3" xfId="42507" xr:uid="{00000000-0005-0000-0000-000023E30000}"/>
    <cellStyle name="Note 2 3 4 3 2" xfId="42508" xr:uid="{00000000-0005-0000-0000-000024E30000}"/>
    <cellStyle name="Note 2 3 4 3 2 2" xfId="61661" xr:uid="{00000000-0005-0000-0000-000025E30000}"/>
    <cellStyle name="Note 2 3 4 3 2 3" xfId="61662" xr:uid="{00000000-0005-0000-0000-000026E30000}"/>
    <cellStyle name="Note 2 3 4 3 3" xfId="42509" xr:uid="{00000000-0005-0000-0000-000027E30000}"/>
    <cellStyle name="Note 2 3 4 3 3 2" xfId="61663" xr:uid="{00000000-0005-0000-0000-000028E30000}"/>
    <cellStyle name="Note 2 3 4 3 4" xfId="42510" xr:uid="{00000000-0005-0000-0000-000029E30000}"/>
    <cellStyle name="Note 2 3 4 3 5" xfId="42511" xr:uid="{00000000-0005-0000-0000-00002AE30000}"/>
    <cellStyle name="Note 2 3 4 3 6" xfId="42512" xr:uid="{00000000-0005-0000-0000-00002BE30000}"/>
    <cellStyle name="Note 2 3 4 4" xfId="42513" xr:uid="{00000000-0005-0000-0000-00002CE30000}"/>
    <cellStyle name="Note 2 3 4 4 2" xfId="42514" xr:uid="{00000000-0005-0000-0000-00002DE30000}"/>
    <cellStyle name="Note 2 3 4 5" xfId="42515" xr:uid="{00000000-0005-0000-0000-00002EE30000}"/>
    <cellStyle name="Note 2 3 4 5 2" xfId="61664" xr:uid="{00000000-0005-0000-0000-00002FE30000}"/>
    <cellStyle name="Note 2 3 4 6" xfId="42516" xr:uid="{00000000-0005-0000-0000-000030E30000}"/>
    <cellStyle name="Note 2 3 4 7" xfId="42517" xr:uid="{00000000-0005-0000-0000-000031E30000}"/>
    <cellStyle name="Note 2 3 4 8" xfId="42518" xr:uid="{00000000-0005-0000-0000-000032E30000}"/>
    <cellStyle name="Note 2 3 4 9" xfId="42519" xr:uid="{00000000-0005-0000-0000-000033E30000}"/>
    <cellStyle name="Note 2 3 5" xfId="42520" xr:uid="{00000000-0005-0000-0000-000034E30000}"/>
    <cellStyle name="Note 2 3 5 10" xfId="42521" xr:uid="{00000000-0005-0000-0000-000035E30000}"/>
    <cellStyle name="Note 2 3 5 2" xfId="42522" xr:uid="{00000000-0005-0000-0000-000036E30000}"/>
    <cellStyle name="Note 2 3 5 2 2" xfId="42523" xr:uid="{00000000-0005-0000-0000-000037E30000}"/>
    <cellStyle name="Note 2 3 5 2 2 2" xfId="61665" xr:uid="{00000000-0005-0000-0000-000038E30000}"/>
    <cellStyle name="Note 2 3 5 2 2 3" xfId="61666" xr:uid="{00000000-0005-0000-0000-000039E30000}"/>
    <cellStyle name="Note 2 3 5 2 3" xfId="42524" xr:uid="{00000000-0005-0000-0000-00003AE30000}"/>
    <cellStyle name="Note 2 3 5 2 3 2" xfId="61667" xr:uid="{00000000-0005-0000-0000-00003BE30000}"/>
    <cellStyle name="Note 2 3 5 2 4" xfId="42525" xr:uid="{00000000-0005-0000-0000-00003CE30000}"/>
    <cellStyle name="Note 2 3 5 2 5" xfId="42526" xr:uid="{00000000-0005-0000-0000-00003DE30000}"/>
    <cellStyle name="Note 2 3 5 2 6" xfId="42527" xr:uid="{00000000-0005-0000-0000-00003EE30000}"/>
    <cellStyle name="Note 2 3 5 3" xfId="42528" xr:uid="{00000000-0005-0000-0000-00003FE30000}"/>
    <cellStyle name="Note 2 3 5 3 2" xfId="42529" xr:uid="{00000000-0005-0000-0000-000040E30000}"/>
    <cellStyle name="Note 2 3 5 4" xfId="42530" xr:uid="{00000000-0005-0000-0000-000041E30000}"/>
    <cellStyle name="Note 2 3 5 4 2" xfId="61668" xr:uid="{00000000-0005-0000-0000-000042E30000}"/>
    <cellStyle name="Note 2 3 5 5" xfId="42531" xr:uid="{00000000-0005-0000-0000-000043E30000}"/>
    <cellStyle name="Note 2 3 5 6" xfId="42532" xr:uid="{00000000-0005-0000-0000-000044E30000}"/>
    <cellStyle name="Note 2 3 5 7" xfId="42533" xr:uid="{00000000-0005-0000-0000-000045E30000}"/>
    <cellStyle name="Note 2 3 5 8" xfId="42534" xr:uid="{00000000-0005-0000-0000-000046E30000}"/>
    <cellStyle name="Note 2 3 5 9" xfId="42535" xr:uid="{00000000-0005-0000-0000-000047E30000}"/>
    <cellStyle name="Note 2 3 6" xfId="42536" xr:uid="{00000000-0005-0000-0000-000048E30000}"/>
    <cellStyle name="Note 2 3 6 10" xfId="42537" xr:uid="{00000000-0005-0000-0000-000049E30000}"/>
    <cellStyle name="Note 2 3 6 2" xfId="42538" xr:uid="{00000000-0005-0000-0000-00004AE30000}"/>
    <cellStyle name="Note 2 3 6 2 2" xfId="42539" xr:uid="{00000000-0005-0000-0000-00004BE30000}"/>
    <cellStyle name="Note 2 3 6 3" xfId="42540" xr:uid="{00000000-0005-0000-0000-00004CE30000}"/>
    <cellStyle name="Note 2 3 6 3 2" xfId="61669" xr:uid="{00000000-0005-0000-0000-00004DE30000}"/>
    <cellStyle name="Note 2 3 6 4" xfId="42541" xr:uid="{00000000-0005-0000-0000-00004EE30000}"/>
    <cellStyle name="Note 2 3 6 5" xfId="42542" xr:uid="{00000000-0005-0000-0000-00004FE30000}"/>
    <cellStyle name="Note 2 3 6 6" xfId="42543" xr:uid="{00000000-0005-0000-0000-000050E30000}"/>
    <cellStyle name="Note 2 3 6 7" xfId="42544" xr:uid="{00000000-0005-0000-0000-000051E30000}"/>
    <cellStyle name="Note 2 3 6 8" xfId="42545" xr:uid="{00000000-0005-0000-0000-000052E30000}"/>
    <cellStyle name="Note 2 3 6 9" xfId="42546" xr:uid="{00000000-0005-0000-0000-000053E30000}"/>
    <cellStyle name="Note 2 3 7" xfId="42547" xr:uid="{00000000-0005-0000-0000-000054E30000}"/>
    <cellStyle name="Note 2 3 7 10" xfId="42548" xr:uid="{00000000-0005-0000-0000-000055E30000}"/>
    <cellStyle name="Note 2 3 7 2" xfId="42549" xr:uid="{00000000-0005-0000-0000-000056E30000}"/>
    <cellStyle name="Note 2 3 7 3" xfId="42550" xr:uid="{00000000-0005-0000-0000-000057E30000}"/>
    <cellStyle name="Note 2 3 7 4" xfId="42551" xr:uid="{00000000-0005-0000-0000-000058E30000}"/>
    <cellStyle name="Note 2 3 7 5" xfId="42552" xr:uid="{00000000-0005-0000-0000-000059E30000}"/>
    <cellStyle name="Note 2 3 7 6" xfId="42553" xr:uid="{00000000-0005-0000-0000-00005AE30000}"/>
    <cellStyle name="Note 2 3 7 7" xfId="42554" xr:uid="{00000000-0005-0000-0000-00005BE30000}"/>
    <cellStyle name="Note 2 3 7 8" xfId="42555" xr:uid="{00000000-0005-0000-0000-00005CE30000}"/>
    <cellStyle name="Note 2 3 7 9" xfId="42556" xr:uid="{00000000-0005-0000-0000-00005DE30000}"/>
    <cellStyle name="Note 2 3 8" xfId="42557" xr:uid="{00000000-0005-0000-0000-00005EE30000}"/>
    <cellStyle name="Note 2 3 8 2" xfId="61670" xr:uid="{00000000-0005-0000-0000-00005FE30000}"/>
    <cellStyle name="Note 2 3 9" xfId="42558" xr:uid="{00000000-0005-0000-0000-000060E30000}"/>
    <cellStyle name="Note 2 4" xfId="42559" xr:uid="{00000000-0005-0000-0000-000061E30000}"/>
    <cellStyle name="Note 2 4 10" xfId="42560" xr:uid="{00000000-0005-0000-0000-000062E30000}"/>
    <cellStyle name="Note 2 4 11" xfId="42561" xr:uid="{00000000-0005-0000-0000-000063E30000}"/>
    <cellStyle name="Note 2 4 12" xfId="42562" xr:uid="{00000000-0005-0000-0000-000064E30000}"/>
    <cellStyle name="Note 2 4 13" xfId="42563" xr:uid="{00000000-0005-0000-0000-000065E30000}"/>
    <cellStyle name="Note 2 4 14" xfId="42564" xr:uid="{00000000-0005-0000-0000-000066E30000}"/>
    <cellStyle name="Note 2 4 15" xfId="42565" xr:uid="{00000000-0005-0000-0000-000067E30000}"/>
    <cellStyle name="Note 2 4 16" xfId="42566" xr:uid="{00000000-0005-0000-0000-000068E30000}"/>
    <cellStyle name="Note 2 4 2" xfId="42567" xr:uid="{00000000-0005-0000-0000-000069E30000}"/>
    <cellStyle name="Note 2 4 2 10" xfId="42568" xr:uid="{00000000-0005-0000-0000-00006AE30000}"/>
    <cellStyle name="Note 2 4 2 2" xfId="42569" xr:uid="{00000000-0005-0000-0000-00006BE30000}"/>
    <cellStyle name="Note 2 4 2 2 2" xfId="42570" xr:uid="{00000000-0005-0000-0000-00006CE30000}"/>
    <cellStyle name="Note 2 4 2 2 2 2" xfId="42571" xr:uid="{00000000-0005-0000-0000-00006DE30000}"/>
    <cellStyle name="Note 2 4 2 2 2 2 2" xfId="61671" xr:uid="{00000000-0005-0000-0000-00006EE30000}"/>
    <cellStyle name="Note 2 4 2 2 2 2 3" xfId="61672" xr:uid="{00000000-0005-0000-0000-00006FE30000}"/>
    <cellStyle name="Note 2 4 2 2 2 3" xfId="42572" xr:uid="{00000000-0005-0000-0000-000070E30000}"/>
    <cellStyle name="Note 2 4 2 2 2 3 2" xfId="61673" xr:uid="{00000000-0005-0000-0000-000071E30000}"/>
    <cellStyle name="Note 2 4 2 2 2 4" xfId="42573" xr:uid="{00000000-0005-0000-0000-000072E30000}"/>
    <cellStyle name="Note 2 4 2 2 2 5" xfId="42574" xr:uid="{00000000-0005-0000-0000-000073E30000}"/>
    <cellStyle name="Note 2 4 2 2 2 6" xfId="42575" xr:uid="{00000000-0005-0000-0000-000074E30000}"/>
    <cellStyle name="Note 2 4 2 2 3" xfId="42576" xr:uid="{00000000-0005-0000-0000-000075E30000}"/>
    <cellStyle name="Note 2 4 2 2 3 2" xfId="61674" xr:uid="{00000000-0005-0000-0000-000076E30000}"/>
    <cellStyle name="Note 2 4 2 2 4" xfId="42577" xr:uid="{00000000-0005-0000-0000-000077E30000}"/>
    <cellStyle name="Note 2 4 2 2 5" xfId="42578" xr:uid="{00000000-0005-0000-0000-000078E30000}"/>
    <cellStyle name="Note 2 4 2 2 6" xfId="42579" xr:uid="{00000000-0005-0000-0000-000079E30000}"/>
    <cellStyle name="Note 2 4 2 2 7" xfId="42580" xr:uid="{00000000-0005-0000-0000-00007AE30000}"/>
    <cellStyle name="Note 2 4 2 2 8" xfId="42581" xr:uid="{00000000-0005-0000-0000-00007BE30000}"/>
    <cellStyle name="Note 2 4 2 3" xfId="42582" xr:uid="{00000000-0005-0000-0000-00007CE30000}"/>
    <cellStyle name="Note 2 4 2 3 2" xfId="42583" xr:uid="{00000000-0005-0000-0000-00007DE30000}"/>
    <cellStyle name="Note 2 4 2 3 2 2" xfId="61675" xr:uid="{00000000-0005-0000-0000-00007EE30000}"/>
    <cellStyle name="Note 2 4 2 3 2 3" xfId="61676" xr:uid="{00000000-0005-0000-0000-00007FE30000}"/>
    <cellStyle name="Note 2 4 2 3 3" xfId="42584" xr:uid="{00000000-0005-0000-0000-000080E30000}"/>
    <cellStyle name="Note 2 4 2 3 3 2" xfId="61677" xr:uid="{00000000-0005-0000-0000-000081E30000}"/>
    <cellStyle name="Note 2 4 2 3 4" xfId="42585" xr:uid="{00000000-0005-0000-0000-000082E30000}"/>
    <cellStyle name="Note 2 4 2 3 5" xfId="42586" xr:uid="{00000000-0005-0000-0000-000083E30000}"/>
    <cellStyle name="Note 2 4 2 3 6" xfId="42587" xr:uid="{00000000-0005-0000-0000-000084E30000}"/>
    <cellStyle name="Note 2 4 2 4" xfId="42588" xr:uid="{00000000-0005-0000-0000-000085E30000}"/>
    <cellStyle name="Note 2 4 2 4 2" xfId="42589" xr:uid="{00000000-0005-0000-0000-000086E30000}"/>
    <cellStyle name="Note 2 4 2 5" xfId="42590" xr:uid="{00000000-0005-0000-0000-000087E30000}"/>
    <cellStyle name="Note 2 4 2 5 2" xfId="61678" xr:uid="{00000000-0005-0000-0000-000088E30000}"/>
    <cellStyle name="Note 2 4 2 6" xfId="42591" xr:uid="{00000000-0005-0000-0000-000089E30000}"/>
    <cellStyle name="Note 2 4 2 7" xfId="42592" xr:uid="{00000000-0005-0000-0000-00008AE30000}"/>
    <cellStyle name="Note 2 4 2 8" xfId="42593" xr:uid="{00000000-0005-0000-0000-00008BE30000}"/>
    <cellStyle name="Note 2 4 2 9" xfId="42594" xr:uid="{00000000-0005-0000-0000-00008CE30000}"/>
    <cellStyle name="Note 2 4 3" xfId="42595" xr:uid="{00000000-0005-0000-0000-00008DE30000}"/>
    <cellStyle name="Note 2 4 3 2" xfId="42596" xr:uid="{00000000-0005-0000-0000-00008EE30000}"/>
    <cellStyle name="Note 2 4 3 2 2" xfId="42597" xr:uid="{00000000-0005-0000-0000-00008FE30000}"/>
    <cellStyle name="Note 2 4 3 2 2 2" xfId="42598" xr:uid="{00000000-0005-0000-0000-000090E30000}"/>
    <cellStyle name="Note 2 4 3 2 2 2 2" xfId="61679" xr:uid="{00000000-0005-0000-0000-000091E30000}"/>
    <cellStyle name="Note 2 4 3 2 2 2 3" xfId="61680" xr:uid="{00000000-0005-0000-0000-000092E30000}"/>
    <cellStyle name="Note 2 4 3 2 2 3" xfId="42599" xr:uid="{00000000-0005-0000-0000-000093E30000}"/>
    <cellStyle name="Note 2 4 3 2 2 3 2" xfId="61681" xr:uid="{00000000-0005-0000-0000-000094E30000}"/>
    <cellStyle name="Note 2 4 3 2 2 4" xfId="42600" xr:uid="{00000000-0005-0000-0000-000095E30000}"/>
    <cellStyle name="Note 2 4 3 2 2 5" xfId="42601" xr:uid="{00000000-0005-0000-0000-000096E30000}"/>
    <cellStyle name="Note 2 4 3 2 2 6" xfId="42602" xr:uid="{00000000-0005-0000-0000-000097E30000}"/>
    <cellStyle name="Note 2 4 3 2 3" xfId="42603" xr:uid="{00000000-0005-0000-0000-000098E30000}"/>
    <cellStyle name="Note 2 4 3 2 3 2" xfId="61682" xr:uid="{00000000-0005-0000-0000-000099E30000}"/>
    <cellStyle name="Note 2 4 3 2 3 3" xfId="61683" xr:uid="{00000000-0005-0000-0000-00009AE30000}"/>
    <cellStyle name="Note 2 4 3 2 4" xfId="42604" xr:uid="{00000000-0005-0000-0000-00009BE30000}"/>
    <cellStyle name="Note 2 4 3 2 4 2" xfId="61684" xr:uid="{00000000-0005-0000-0000-00009CE30000}"/>
    <cellStyle name="Note 2 4 3 2 5" xfId="42605" xr:uid="{00000000-0005-0000-0000-00009DE30000}"/>
    <cellStyle name="Note 2 4 3 2 6" xfId="42606" xr:uid="{00000000-0005-0000-0000-00009EE30000}"/>
    <cellStyle name="Note 2 4 3 2 7" xfId="42607" xr:uid="{00000000-0005-0000-0000-00009FE30000}"/>
    <cellStyle name="Note 2 4 3 3" xfId="42608" xr:uid="{00000000-0005-0000-0000-0000A0E30000}"/>
    <cellStyle name="Note 2 4 3 3 2" xfId="42609" xr:uid="{00000000-0005-0000-0000-0000A1E30000}"/>
    <cellStyle name="Note 2 4 3 3 2 2" xfId="61685" xr:uid="{00000000-0005-0000-0000-0000A2E30000}"/>
    <cellStyle name="Note 2 4 3 3 2 3" xfId="61686" xr:uid="{00000000-0005-0000-0000-0000A3E30000}"/>
    <cellStyle name="Note 2 4 3 3 3" xfId="42610" xr:uid="{00000000-0005-0000-0000-0000A4E30000}"/>
    <cellStyle name="Note 2 4 3 3 3 2" xfId="61687" xr:uid="{00000000-0005-0000-0000-0000A5E30000}"/>
    <cellStyle name="Note 2 4 3 3 4" xfId="42611" xr:uid="{00000000-0005-0000-0000-0000A6E30000}"/>
    <cellStyle name="Note 2 4 3 3 5" xfId="42612" xr:uid="{00000000-0005-0000-0000-0000A7E30000}"/>
    <cellStyle name="Note 2 4 3 3 6" xfId="42613" xr:uid="{00000000-0005-0000-0000-0000A8E30000}"/>
    <cellStyle name="Note 2 4 3 4" xfId="42614" xr:uid="{00000000-0005-0000-0000-0000A9E30000}"/>
    <cellStyle name="Note 2 4 3 4 2" xfId="42615" xr:uid="{00000000-0005-0000-0000-0000AAE30000}"/>
    <cellStyle name="Note 2 4 3 5" xfId="42616" xr:uid="{00000000-0005-0000-0000-0000ABE30000}"/>
    <cellStyle name="Note 2 4 3 5 2" xfId="61688" xr:uid="{00000000-0005-0000-0000-0000ACE30000}"/>
    <cellStyle name="Note 2 4 3 6" xfId="42617" xr:uid="{00000000-0005-0000-0000-0000ADE30000}"/>
    <cellStyle name="Note 2 4 3 7" xfId="42618" xr:uid="{00000000-0005-0000-0000-0000AEE30000}"/>
    <cellStyle name="Note 2 4 3 8" xfId="42619" xr:uid="{00000000-0005-0000-0000-0000AFE30000}"/>
    <cellStyle name="Note 2 4 3 9" xfId="42620" xr:uid="{00000000-0005-0000-0000-0000B0E30000}"/>
    <cellStyle name="Note 2 4 4" xfId="42621" xr:uid="{00000000-0005-0000-0000-0000B1E30000}"/>
    <cellStyle name="Note 2 4 4 2" xfId="42622" xr:uid="{00000000-0005-0000-0000-0000B2E30000}"/>
    <cellStyle name="Note 2 4 4 2 2" xfId="42623" xr:uid="{00000000-0005-0000-0000-0000B3E30000}"/>
    <cellStyle name="Note 2 4 4 2 2 2" xfId="61689" xr:uid="{00000000-0005-0000-0000-0000B4E30000}"/>
    <cellStyle name="Note 2 4 4 2 2 3" xfId="61690" xr:uid="{00000000-0005-0000-0000-0000B5E30000}"/>
    <cellStyle name="Note 2 4 4 2 3" xfId="42624" xr:uid="{00000000-0005-0000-0000-0000B6E30000}"/>
    <cellStyle name="Note 2 4 4 2 3 2" xfId="61691" xr:uid="{00000000-0005-0000-0000-0000B7E30000}"/>
    <cellStyle name="Note 2 4 4 2 4" xfId="42625" xr:uid="{00000000-0005-0000-0000-0000B8E30000}"/>
    <cellStyle name="Note 2 4 4 2 5" xfId="42626" xr:uid="{00000000-0005-0000-0000-0000B9E30000}"/>
    <cellStyle name="Note 2 4 4 2 6" xfId="42627" xr:uid="{00000000-0005-0000-0000-0000BAE30000}"/>
    <cellStyle name="Note 2 4 4 3" xfId="42628" xr:uid="{00000000-0005-0000-0000-0000BBE30000}"/>
    <cellStyle name="Note 2 4 4 3 2" xfId="42629" xr:uid="{00000000-0005-0000-0000-0000BCE30000}"/>
    <cellStyle name="Note 2 4 4 4" xfId="42630" xr:uid="{00000000-0005-0000-0000-0000BDE30000}"/>
    <cellStyle name="Note 2 4 4 4 2" xfId="61692" xr:uid="{00000000-0005-0000-0000-0000BEE30000}"/>
    <cellStyle name="Note 2 4 4 5" xfId="42631" xr:uid="{00000000-0005-0000-0000-0000BFE30000}"/>
    <cellStyle name="Note 2 4 4 6" xfId="42632" xr:uid="{00000000-0005-0000-0000-0000C0E30000}"/>
    <cellStyle name="Note 2 4 4 7" xfId="42633" xr:uid="{00000000-0005-0000-0000-0000C1E30000}"/>
    <cellStyle name="Note 2 4 4 8" xfId="42634" xr:uid="{00000000-0005-0000-0000-0000C2E30000}"/>
    <cellStyle name="Note 2 4 5" xfId="42635" xr:uid="{00000000-0005-0000-0000-0000C3E30000}"/>
    <cellStyle name="Note 2 4 5 2" xfId="42636" xr:uid="{00000000-0005-0000-0000-0000C4E30000}"/>
    <cellStyle name="Note 2 4 5 2 2" xfId="61693" xr:uid="{00000000-0005-0000-0000-0000C5E30000}"/>
    <cellStyle name="Note 2 4 5 2 3" xfId="61694" xr:uid="{00000000-0005-0000-0000-0000C6E30000}"/>
    <cellStyle name="Note 2 4 5 3" xfId="42637" xr:uid="{00000000-0005-0000-0000-0000C7E30000}"/>
    <cellStyle name="Note 2 4 5 3 2" xfId="61695" xr:uid="{00000000-0005-0000-0000-0000C8E30000}"/>
    <cellStyle name="Note 2 4 5 4" xfId="42638" xr:uid="{00000000-0005-0000-0000-0000C9E30000}"/>
    <cellStyle name="Note 2 4 5 5" xfId="42639" xr:uid="{00000000-0005-0000-0000-0000CAE30000}"/>
    <cellStyle name="Note 2 4 5 6" xfId="42640" xr:uid="{00000000-0005-0000-0000-0000CBE30000}"/>
    <cellStyle name="Note 2 4 6" xfId="42641" xr:uid="{00000000-0005-0000-0000-0000CCE30000}"/>
    <cellStyle name="Note 2 4 6 2" xfId="42642" xr:uid="{00000000-0005-0000-0000-0000CDE30000}"/>
    <cellStyle name="Note 2 4 7" xfId="42643" xr:uid="{00000000-0005-0000-0000-0000CEE30000}"/>
    <cellStyle name="Note 2 4 7 2" xfId="61696" xr:uid="{00000000-0005-0000-0000-0000CFE30000}"/>
    <cellStyle name="Note 2 4 8" xfId="42644" xr:uid="{00000000-0005-0000-0000-0000D0E30000}"/>
    <cellStyle name="Note 2 4 9" xfId="42645" xr:uid="{00000000-0005-0000-0000-0000D1E30000}"/>
    <cellStyle name="Note 2 5" xfId="42646" xr:uid="{00000000-0005-0000-0000-0000D2E30000}"/>
    <cellStyle name="Note 2 5 10" xfId="42647" xr:uid="{00000000-0005-0000-0000-0000D3E30000}"/>
    <cellStyle name="Note 2 5 11" xfId="42648" xr:uid="{00000000-0005-0000-0000-0000D4E30000}"/>
    <cellStyle name="Note 2 5 12" xfId="42649" xr:uid="{00000000-0005-0000-0000-0000D5E30000}"/>
    <cellStyle name="Note 2 5 13" xfId="42650" xr:uid="{00000000-0005-0000-0000-0000D6E30000}"/>
    <cellStyle name="Note 2 5 14" xfId="42651" xr:uid="{00000000-0005-0000-0000-0000D7E30000}"/>
    <cellStyle name="Note 2 5 15" xfId="42652" xr:uid="{00000000-0005-0000-0000-0000D8E30000}"/>
    <cellStyle name="Note 2 5 16" xfId="42653" xr:uid="{00000000-0005-0000-0000-0000D9E30000}"/>
    <cellStyle name="Note 2 5 2" xfId="42654" xr:uid="{00000000-0005-0000-0000-0000DAE30000}"/>
    <cellStyle name="Note 2 5 2 10" xfId="42655" xr:uid="{00000000-0005-0000-0000-0000DBE30000}"/>
    <cellStyle name="Note 2 5 2 2" xfId="42656" xr:uid="{00000000-0005-0000-0000-0000DCE30000}"/>
    <cellStyle name="Note 2 5 2 2 2" xfId="42657" xr:uid="{00000000-0005-0000-0000-0000DDE30000}"/>
    <cellStyle name="Note 2 5 2 2 2 2" xfId="42658" xr:uid="{00000000-0005-0000-0000-0000DEE30000}"/>
    <cellStyle name="Note 2 5 2 2 2 2 2" xfId="61697" xr:uid="{00000000-0005-0000-0000-0000DFE30000}"/>
    <cellStyle name="Note 2 5 2 2 2 2 3" xfId="61698" xr:uid="{00000000-0005-0000-0000-0000E0E30000}"/>
    <cellStyle name="Note 2 5 2 2 2 3" xfId="42659" xr:uid="{00000000-0005-0000-0000-0000E1E30000}"/>
    <cellStyle name="Note 2 5 2 2 2 3 2" xfId="61699" xr:uid="{00000000-0005-0000-0000-0000E2E30000}"/>
    <cellStyle name="Note 2 5 2 2 2 4" xfId="42660" xr:uid="{00000000-0005-0000-0000-0000E3E30000}"/>
    <cellStyle name="Note 2 5 2 2 2 5" xfId="42661" xr:uid="{00000000-0005-0000-0000-0000E4E30000}"/>
    <cellStyle name="Note 2 5 2 2 2 6" xfId="42662" xr:uid="{00000000-0005-0000-0000-0000E5E30000}"/>
    <cellStyle name="Note 2 5 2 2 3" xfId="42663" xr:uid="{00000000-0005-0000-0000-0000E6E30000}"/>
    <cellStyle name="Note 2 5 2 2 3 2" xfId="61700" xr:uid="{00000000-0005-0000-0000-0000E7E30000}"/>
    <cellStyle name="Note 2 5 2 2 4" xfId="42664" xr:uid="{00000000-0005-0000-0000-0000E8E30000}"/>
    <cellStyle name="Note 2 5 2 2 5" xfId="42665" xr:uid="{00000000-0005-0000-0000-0000E9E30000}"/>
    <cellStyle name="Note 2 5 2 2 6" xfId="42666" xr:uid="{00000000-0005-0000-0000-0000EAE30000}"/>
    <cellStyle name="Note 2 5 2 2 7" xfId="42667" xr:uid="{00000000-0005-0000-0000-0000EBE30000}"/>
    <cellStyle name="Note 2 5 2 2 8" xfId="42668" xr:uid="{00000000-0005-0000-0000-0000ECE30000}"/>
    <cellStyle name="Note 2 5 2 3" xfId="42669" xr:uid="{00000000-0005-0000-0000-0000EDE30000}"/>
    <cellStyle name="Note 2 5 2 3 2" xfId="42670" xr:uid="{00000000-0005-0000-0000-0000EEE30000}"/>
    <cellStyle name="Note 2 5 2 3 2 2" xfId="61701" xr:uid="{00000000-0005-0000-0000-0000EFE30000}"/>
    <cellStyle name="Note 2 5 2 3 2 3" xfId="61702" xr:uid="{00000000-0005-0000-0000-0000F0E30000}"/>
    <cellStyle name="Note 2 5 2 3 3" xfId="42671" xr:uid="{00000000-0005-0000-0000-0000F1E30000}"/>
    <cellStyle name="Note 2 5 2 3 3 2" xfId="61703" xr:uid="{00000000-0005-0000-0000-0000F2E30000}"/>
    <cellStyle name="Note 2 5 2 3 4" xfId="42672" xr:uid="{00000000-0005-0000-0000-0000F3E30000}"/>
    <cellStyle name="Note 2 5 2 3 5" xfId="42673" xr:uid="{00000000-0005-0000-0000-0000F4E30000}"/>
    <cellStyle name="Note 2 5 2 3 6" xfId="42674" xr:uid="{00000000-0005-0000-0000-0000F5E30000}"/>
    <cellStyle name="Note 2 5 2 4" xfId="42675" xr:uid="{00000000-0005-0000-0000-0000F6E30000}"/>
    <cellStyle name="Note 2 5 2 4 2" xfId="42676" xr:uid="{00000000-0005-0000-0000-0000F7E30000}"/>
    <cellStyle name="Note 2 5 2 5" xfId="42677" xr:uid="{00000000-0005-0000-0000-0000F8E30000}"/>
    <cellStyle name="Note 2 5 2 5 2" xfId="61704" xr:uid="{00000000-0005-0000-0000-0000F9E30000}"/>
    <cellStyle name="Note 2 5 2 6" xfId="42678" xr:uid="{00000000-0005-0000-0000-0000FAE30000}"/>
    <cellStyle name="Note 2 5 2 7" xfId="42679" xr:uid="{00000000-0005-0000-0000-0000FBE30000}"/>
    <cellStyle name="Note 2 5 2 8" xfId="42680" xr:uid="{00000000-0005-0000-0000-0000FCE30000}"/>
    <cellStyle name="Note 2 5 2 9" xfId="42681" xr:uid="{00000000-0005-0000-0000-0000FDE30000}"/>
    <cellStyle name="Note 2 5 3" xfId="42682" xr:uid="{00000000-0005-0000-0000-0000FEE30000}"/>
    <cellStyle name="Note 2 5 3 2" xfId="42683" xr:uid="{00000000-0005-0000-0000-0000FFE30000}"/>
    <cellStyle name="Note 2 5 3 2 2" xfId="42684" xr:uid="{00000000-0005-0000-0000-000000E40000}"/>
    <cellStyle name="Note 2 5 3 2 2 2" xfId="42685" xr:uid="{00000000-0005-0000-0000-000001E40000}"/>
    <cellStyle name="Note 2 5 3 2 2 2 2" xfId="61705" xr:uid="{00000000-0005-0000-0000-000002E40000}"/>
    <cellStyle name="Note 2 5 3 2 2 2 3" xfId="61706" xr:uid="{00000000-0005-0000-0000-000003E40000}"/>
    <cellStyle name="Note 2 5 3 2 2 3" xfId="42686" xr:uid="{00000000-0005-0000-0000-000004E40000}"/>
    <cellStyle name="Note 2 5 3 2 2 3 2" xfId="61707" xr:uid="{00000000-0005-0000-0000-000005E40000}"/>
    <cellStyle name="Note 2 5 3 2 2 4" xfId="42687" xr:uid="{00000000-0005-0000-0000-000006E40000}"/>
    <cellStyle name="Note 2 5 3 2 2 5" xfId="42688" xr:uid="{00000000-0005-0000-0000-000007E40000}"/>
    <cellStyle name="Note 2 5 3 2 2 6" xfId="42689" xr:uid="{00000000-0005-0000-0000-000008E40000}"/>
    <cellStyle name="Note 2 5 3 2 3" xfId="42690" xr:uid="{00000000-0005-0000-0000-000009E40000}"/>
    <cellStyle name="Note 2 5 3 2 3 2" xfId="61708" xr:uid="{00000000-0005-0000-0000-00000AE40000}"/>
    <cellStyle name="Note 2 5 3 2 3 3" xfId="61709" xr:uid="{00000000-0005-0000-0000-00000BE40000}"/>
    <cellStyle name="Note 2 5 3 2 4" xfId="42691" xr:uid="{00000000-0005-0000-0000-00000CE40000}"/>
    <cellStyle name="Note 2 5 3 2 4 2" xfId="61710" xr:uid="{00000000-0005-0000-0000-00000DE40000}"/>
    <cellStyle name="Note 2 5 3 2 5" xfId="42692" xr:uid="{00000000-0005-0000-0000-00000EE40000}"/>
    <cellStyle name="Note 2 5 3 2 6" xfId="42693" xr:uid="{00000000-0005-0000-0000-00000FE40000}"/>
    <cellStyle name="Note 2 5 3 2 7" xfId="42694" xr:uid="{00000000-0005-0000-0000-000010E40000}"/>
    <cellStyle name="Note 2 5 3 3" xfId="42695" xr:uid="{00000000-0005-0000-0000-000011E40000}"/>
    <cellStyle name="Note 2 5 3 3 2" xfId="42696" xr:uid="{00000000-0005-0000-0000-000012E40000}"/>
    <cellStyle name="Note 2 5 3 3 2 2" xfId="61711" xr:uid="{00000000-0005-0000-0000-000013E40000}"/>
    <cellStyle name="Note 2 5 3 3 2 3" xfId="61712" xr:uid="{00000000-0005-0000-0000-000014E40000}"/>
    <cellStyle name="Note 2 5 3 3 3" xfId="42697" xr:uid="{00000000-0005-0000-0000-000015E40000}"/>
    <cellStyle name="Note 2 5 3 3 3 2" xfId="61713" xr:uid="{00000000-0005-0000-0000-000016E40000}"/>
    <cellStyle name="Note 2 5 3 3 4" xfId="42698" xr:uid="{00000000-0005-0000-0000-000017E40000}"/>
    <cellStyle name="Note 2 5 3 3 5" xfId="42699" xr:uid="{00000000-0005-0000-0000-000018E40000}"/>
    <cellStyle name="Note 2 5 3 3 6" xfId="42700" xr:uid="{00000000-0005-0000-0000-000019E40000}"/>
    <cellStyle name="Note 2 5 3 4" xfId="42701" xr:uid="{00000000-0005-0000-0000-00001AE40000}"/>
    <cellStyle name="Note 2 5 3 4 2" xfId="42702" xr:uid="{00000000-0005-0000-0000-00001BE40000}"/>
    <cellStyle name="Note 2 5 3 5" xfId="42703" xr:uid="{00000000-0005-0000-0000-00001CE40000}"/>
    <cellStyle name="Note 2 5 3 5 2" xfId="61714" xr:uid="{00000000-0005-0000-0000-00001DE40000}"/>
    <cellStyle name="Note 2 5 3 6" xfId="42704" xr:uid="{00000000-0005-0000-0000-00001EE40000}"/>
    <cellStyle name="Note 2 5 3 7" xfId="42705" xr:uid="{00000000-0005-0000-0000-00001FE40000}"/>
    <cellStyle name="Note 2 5 3 8" xfId="42706" xr:uid="{00000000-0005-0000-0000-000020E40000}"/>
    <cellStyle name="Note 2 5 3 9" xfId="42707" xr:uid="{00000000-0005-0000-0000-000021E40000}"/>
    <cellStyle name="Note 2 5 4" xfId="42708" xr:uid="{00000000-0005-0000-0000-000022E40000}"/>
    <cellStyle name="Note 2 5 4 2" xfId="42709" xr:uid="{00000000-0005-0000-0000-000023E40000}"/>
    <cellStyle name="Note 2 5 4 2 2" xfId="42710" xr:uid="{00000000-0005-0000-0000-000024E40000}"/>
    <cellStyle name="Note 2 5 4 2 2 2" xfId="61715" xr:uid="{00000000-0005-0000-0000-000025E40000}"/>
    <cellStyle name="Note 2 5 4 2 2 3" xfId="61716" xr:uid="{00000000-0005-0000-0000-000026E40000}"/>
    <cellStyle name="Note 2 5 4 2 3" xfId="42711" xr:uid="{00000000-0005-0000-0000-000027E40000}"/>
    <cellStyle name="Note 2 5 4 2 3 2" xfId="61717" xr:uid="{00000000-0005-0000-0000-000028E40000}"/>
    <cellStyle name="Note 2 5 4 2 4" xfId="42712" xr:uid="{00000000-0005-0000-0000-000029E40000}"/>
    <cellStyle name="Note 2 5 4 2 5" xfId="42713" xr:uid="{00000000-0005-0000-0000-00002AE40000}"/>
    <cellStyle name="Note 2 5 4 2 6" xfId="42714" xr:uid="{00000000-0005-0000-0000-00002BE40000}"/>
    <cellStyle name="Note 2 5 4 3" xfId="42715" xr:uid="{00000000-0005-0000-0000-00002CE40000}"/>
    <cellStyle name="Note 2 5 4 3 2" xfId="42716" xr:uid="{00000000-0005-0000-0000-00002DE40000}"/>
    <cellStyle name="Note 2 5 4 4" xfId="42717" xr:uid="{00000000-0005-0000-0000-00002EE40000}"/>
    <cellStyle name="Note 2 5 4 4 2" xfId="61718" xr:uid="{00000000-0005-0000-0000-00002FE40000}"/>
    <cellStyle name="Note 2 5 4 5" xfId="42718" xr:uid="{00000000-0005-0000-0000-000030E40000}"/>
    <cellStyle name="Note 2 5 4 6" xfId="42719" xr:uid="{00000000-0005-0000-0000-000031E40000}"/>
    <cellStyle name="Note 2 5 4 7" xfId="42720" xr:uid="{00000000-0005-0000-0000-000032E40000}"/>
    <cellStyle name="Note 2 5 4 8" xfId="42721" xr:uid="{00000000-0005-0000-0000-000033E40000}"/>
    <cellStyle name="Note 2 5 5" xfId="42722" xr:uid="{00000000-0005-0000-0000-000034E40000}"/>
    <cellStyle name="Note 2 5 5 2" xfId="42723" xr:uid="{00000000-0005-0000-0000-000035E40000}"/>
    <cellStyle name="Note 2 5 5 2 2" xfId="61719" xr:uid="{00000000-0005-0000-0000-000036E40000}"/>
    <cellStyle name="Note 2 5 5 2 3" xfId="61720" xr:uid="{00000000-0005-0000-0000-000037E40000}"/>
    <cellStyle name="Note 2 5 5 3" xfId="42724" xr:uid="{00000000-0005-0000-0000-000038E40000}"/>
    <cellStyle name="Note 2 5 5 3 2" xfId="61721" xr:uid="{00000000-0005-0000-0000-000039E40000}"/>
    <cellStyle name="Note 2 5 5 4" xfId="42725" xr:uid="{00000000-0005-0000-0000-00003AE40000}"/>
    <cellStyle name="Note 2 5 5 5" xfId="42726" xr:uid="{00000000-0005-0000-0000-00003BE40000}"/>
    <cellStyle name="Note 2 5 5 6" xfId="42727" xr:uid="{00000000-0005-0000-0000-00003CE40000}"/>
    <cellStyle name="Note 2 5 6" xfId="42728" xr:uid="{00000000-0005-0000-0000-00003DE40000}"/>
    <cellStyle name="Note 2 5 6 2" xfId="42729" xr:uid="{00000000-0005-0000-0000-00003EE40000}"/>
    <cellStyle name="Note 2 5 7" xfId="42730" xr:uid="{00000000-0005-0000-0000-00003FE40000}"/>
    <cellStyle name="Note 2 5 7 2" xfId="61722" xr:uid="{00000000-0005-0000-0000-000040E40000}"/>
    <cellStyle name="Note 2 5 8" xfId="42731" xr:uid="{00000000-0005-0000-0000-000041E40000}"/>
    <cellStyle name="Note 2 5 9" xfId="42732" xr:uid="{00000000-0005-0000-0000-000042E40000}"/>
    <cellStyle name="Note 2 6" xfId="42733" xr:uid="{00000000-0005-0000-0000-000043E40000}"/>
    <cellStyle name="Note 2 6 10" xfId="42734" xr:uid="{00000000-0005-0000-0000-000044E40000}"/>
    <cellStyle name="Note 2 6 11" xfId="42735" xr:uid="{00000000-0005-0000-0000-000045E40000}"/>
    <cellStyle name="Note 2 6 12" xfId="42736" xr:uid="{00000000-0005-0000-0000-000046E40000}"/>
    <cellStyle name="Note 2 6 13" xfId="42737" xr:uid="{00000000-0005-0000-0000-000047E40000}"/>
    <cellStyle name="Note 2 6 14" xfId="42738" xr:uid="{00000000-0005-0000-0000-000048E40000}"/>
    <cellStyle name="Note 2 6 15" xfId="42739" xr:uid="{00000000-0005-0000-0000-000049E40000}"/>
    <cellStyle name="Note 2 6 2" xfId="42740" xr:uid="{00000000-0005-0000-0000-00004AE40000}"/>
    <cellStyle name="Note 2 6 2 10" xfId="42741" xr:uid="{00000000-0005-0000-0000-00004BE40000}"/>
    <cellStyle name="Note 2 6 2 2" xfId="42742" xr:uid="{00000000-0005-0000-0000-00004CE40000}"/>
    <cellStyle name="Note 2 6 2 2 2" xfId="42743" xr:uid="{00000000-0005-0000-0000-00004DE40000}"/>
    <cellStyle name="Note 2 6 2 2 2 2" xfId="42744" xr:uid="{00000000-0005-0000-0000-00004EE40000}"/>
    <cellStyle name="Note 2 6 2 2 2 2 2" xfId="61723" xr:uid="{00000000-0005-0000-0000-00004FE40000}"/>
    <cellStyle name="Note 2 6 2 2 2 2 3" xfId="61724" xr:uid="{00000000-0005-0000-0000-000050E40000}"/>
    <cellStyle name="Note 2 6 2 2 2 3" xfId="42745" xr:uid="{00000000-0005-0000-0000-000051E40000}"/>
    <cellStyle name="Note 2 6 2 2 2 3 2" xfId="61725" xr:uid="{00000000-0005-0000-0000-000052E40000}"/>
    <cellStyle name="Note 2 6 2 2 2 4" xfId="42746" xr:uid="{00000000-0005-0000-0000-000053E40000}"/>
    <cellStyle name="Note 2 6 2 2 2 5" xfId="42747" xr:uid="{00000000-0005-0000-0000-000054E40000}"/>
    <cellStyle name="Note 2 6 2 2 2 6" xfId="42748" xr:uid="{00000000-0005-0000-0000-000055E40000}"/>
    <cellStyle name="Note 2 6 2 2 3" xfId="42749" xr:uid="{00000000-0005-0000-0000-000056E40000}"/>
    <cellStyle name="Note 2 6 2 2 3 2" xfId="61726" xr:uid="{00000000-0005-0000-0000-000057E40000}"/>
    <cellStyle name="Note 2 6 2 2 4" xfId="42750" xr:uid="{00000000-0005-0000-0000-000058E40000}"/>
    <cellStyle name="Note 2 6 2 2 5" xfId="42751" xr:uid="{00000000-0005-0000-0000-000059E40000}"/>
    <cellStyle name="Note 2 6 2 2 6" xfId="42752" xr:uid="{00000000-0005-0000-0000-00005AE40000}"/>
    <cellStyle name="Note 2 6 2 2 7" xfId="42753" xr:uid="{00000000-0005-0000-0000-00005BE40000}"/>
    <cellStyle name="Note 2 6 2 2 8" xfId="42754" xr:uid="{00000000-0005-0000-0000-00005CE40000}"/>
    <cellStyle name="Note 2 6 2 3" xfId="42755" xr:uid="{00000000-0005-0000-0000-00005DE40000}"/>
    <cellStyle name="Note 2 6 2 3 2" xfId="42756" xr:uid="{00000000-0005-0000-0000-00005EE40000}"/>
    <cellStyle name="Note 2 6 2 3 2 2" xfId="61727" xr:uid="{00000000-0005-0000-0000-00005FE40000}"/>
    <cellStyle name="Note 2 6 2 3 2 3" xfId="61728" xr:uid="{00000000-0005-0000-0000-000060E40000}"/>
    <cellStyle name="Note 2 6 2 3 3" xfId="42757" xr:uid="{00000000-0005-0000-0000-000061E40000}"/>
    <cellStyle name="Note 2 6 2 3 3 2" xfId="61729" xr:uid="{00000000-0005-0000-0000-000062E40000}"/>
    <cellStyle name="Note 2 6 2 3 4" xfId="42758" xr:uid="{00000000-0005-0000-0000-000063E40000}"/>
    <cellStyle name="Note 2 6 2 3 5" xfId="42759" xr:uid="{00000000-0005-0000-0000-000064E40000}"/>
    <cellStyle name="Note 2 6 2 3 6" xfId="42760" xr:uid="{00000000-0005-0000-0000-000065E40000}"/>
    <cellStyle name="Note 2 6 2 4" xfId="42761" xr:uid="{00000000-0005-0000-0000-000066E40000}"/>
    <cellStyle name="Note 2 6 2 4 2" xfId="42762" xr:uid="{00000000-0005-0000-0000-000067E40000}"/>
    <cellStyle name="Note 2 6 2 5" xfId="42763" xr:uid="{00000000-0005-0000-0000-000068E40000}"/>
    <cellStyle name="Note 2 6 2 5 2" xfId="61730" xr:uid="{00000000-0005-0000-0000-000069E40000}"/>
    <cellStyle name="Note 2 6 2 6" xfId="42764" xr:uid="{00000000-0005-0000-0000-00006AE40000}"/>
    <cellStyle name="Note 2 6 2 7" xfId="42765" xr:uid="{00000000-0005-0000-0000-00006BE40000}"/>
    <cellStyle name="Note 2 6 2 8" xfId="42766" xr:uid="{00000000-0005-0000-0000-00006CE40000}"/>
    <cellStyle name="Note 2 6 2 9" xfId="42767" xr:uid="{00000000-0005-0000-0000-00006DE40000}"/>
    <cellStyle name="Note 2 6 3" xfId="42768" xr:uid="{00000000-0005-0000-0000-00006EE40000}"/>
    <cellStyle name="Note 2 6 3 2" xfId="42769" xr:uid="{00000000-0005-0000-0000-00006FE40000}"/>
    <cellStyle name="Note 2 6 3 2 2" xfId="42770" xr:uid="{00000000-0005-0000-0000-000070E40000}"/>
    <cellStyle name="Note 2 6 3 2 2 2" xfId="61731" xr:uid="{00000000-0005-0000-0000-000071E40000}"/>
    <cellStyle name="Note 2 6 3 2 2 3" xfId="61732" xr:uid="{00000000-0005-0000-0000-000072E40000}"/>
    <cellStyle name="Note 2 6 3 2 3" xfId="42771" xr:uid="{00000000-0005-0000-0000-000073E40000}"/>
    <cellStyle name="Note 2 6 3 2 3 2" xfId="61733" xr:uid="{00000000-0005-0000-0000-000074E40000}"/>
    <cellStyle name="Note 2 6 3 2 4" xfId="42772" xr:uid="{00000000-0005-0000-0000-000075E40000}"/>
    <cellStyle name="Note 2 6 3 2 5" xfId="42773" xr:uid="{00000000-0005-0000-0000-000076E40000}"/>
    <cellStyle name="Note 2 6 3 2 6" xfId="42774" xr:uid="{00000000-0005-0000-0000-000077E40000}"/>
    <cellStyle name="Note 2 6 3 3" xfId="42775" xr:uid="{00000000-0005-0000-0000-000078E40000}"/>
    <cellStyle name="Note 2 6 3 3 2" xfId="42776" xr:uid="{00000000-0005-0000-0000-000079E40000}"/>
    <cellStyle name="Note 2 6 3 4" xfId="42777" xr:uid="{00000000-0005-0000-0000-00007AE40000}"/>
    <cellStyle name="Note 2 6 3 4 2" xfId="61734" xr:uid="{00000000-0005-0000-0000-00007BE40000}"/>
    <cellStyle name="Note 2 6 3 5" xfId="42778" xr:uid="{00000000-0005-0000-0000-00007CE40000}"/>
    <cellStyle name="Note 2 6 3 6" xfId="42779" xr:uid="{00000000-0005-0000-0000-00007DE40000}"/>
    <cellStyle name="Note 2 6 3 7" xfId="42780" xr:uid="{00000000-0005-0000-0000-00007EE40000}"/>
    <cellStyle name="Note 2 6 3 8" xfId="42781" xr:uid="{00000000-0005-0000-0000-00007FE40000}"/>
    <cellStyle name="Note 2 6 4" xfId="42782" xr:uid="{00000000-0005-0000-0000-000080E40000}"/>
    <cellStyle name="Note 2 6 4 2" xfId="42783" xr:uid="{00000000-0005-0000-0000-000081E40000}"/>
    <cellStyle name="Note 2 6 4 2 2" xfId="42784" xr:uid="{00000000-0005-0000-0000-000082E40000}"/>
    <cellStyle name="Note 2 6 4 3" xfId="42785" xr:uid="{00000000-0005-0000-0000-000083E40000}"/>
    <cellStyle name="Note 2 6 4 3 2" xfId="61735" xr:uid="{00000000-0005-0000-0000-000084E40000}"/>
    <cellStyle name="Note 2 6 4 4" xfId="42786" xr:uid="{00000000-0005-0000-0000-000085E40000}"/>
    <cellStyle name="Note 2 6 4 5" xfId="42787" xr:uid="{00000000-0005-0000-0000-000086E40000}"/>
    <cellStyle name="Note 2 6 4 6" xfId="42788" xr:uid="{00000000-0005-0000-0000-000087E40000}"/>
    <cellStyle name="Note 2 6 4 7" xfId="42789" xr:uid="{00000000-0005-0000-0000-000088E40000}"/>
    <cellStyle name="Note 2 6 5" xfId="42790" xr:uid="{00000000-0005-0000-0000-000089E40000}"/>
    <cellStyle name="Note 2 6 5 2" xfId="42791" xr:uid="{00000000-0005-0000-0000-00008AE40000}"/>
    <cellStyle name="Note 2 6 6" xfId="42792" xr:uid="{00000000-0005-0000-0000-00008BE40000}"/>
    <cellStyle name="Note 2 6 6 2" xfId="61736" xr:uid="{00000000-0005-0000-0000-00008CE40000}"/>
    <cellStyle name="Note 2 6 7" xfId="42793" xr:uid="{00000000-0005-0000-0000-00008DE40000}"/>
    <cellStyle name="Note 2 6 8" xfId="42794" xr:uid="{00000000-0005-0000-0000-00008EE40000}"/>
    <cellStyle name="Note 2 6 9" xfId="42795" xr:uid="{00000000-0005-0000-0000-00008FE40000}"/>
    <cellStyle name="Note 2 7" xfId="42796" xr:uid="{00000000-0005-0000-0000-000090E40000}"/>
    <cellStyle name="Note 2 7 10" xfId="42797" xr:uid="{00000000-0005-0000-0000-000091E40000}"/>
    <cellStyle name="Note 2 7 11" xfId="42798" xr:uid="{00000000-0005-0000-0000-000092E40000}"/>
    <cellStyle name="Note 2 7 2" xfId="42799" xr:uid="{00000000-0005-0000-0000-000093E40000}"/>
    <cellStyle name="Note 2 7 2 2" xfId="42800" xr:uid="{00000000-0005-0000-0000-000094E40000}"/>
    <cellStyle name="Note 2 7 2 2 2" xfId="42801" xr:uid="{00000000-0005-0000-0000-000095E40000}"/>
    <cellStyle name="Note 2 7 2 2 2 2" xfId="61737" xr:uid="{00000000-0005-0000-0000-000096E40000}"/>
    <cellStyle name="Note 2 7 2 2 3" xfId="42802" xr:uid="{00000000-0005-0000-0000-000097E40000}"/>
    <cellStyle name="Note 2 7 2 2 4" xfId="42803" xr:uid="{00000000-0005-0000-0000-000098E40000}"/>
    <cellStyle name="Note 2 7 2 2 5" xfId="42804" xr:uid="{00000000-0005-0000-0000-000099E40000}"/>
    <cellStyle name="Note 2 7 2 2 6" xfId="42805" xr:uid="{00000000-0005-0000-0000-00009AE40000}"/>
    <cellStyle name="Note 2 7 2 2 7" xfId="42806" xr:uid="{00000000-0005-0000-0000-00009BE40000}"/>
    <cellStyle name="Note 2 7 2 3" xfId="42807" xr:uid="{00000000-0005-0000-0000-00009CE40000}"/>
    <cellStyle name="Note 2 7 2 3 2" xfId="42808" xr:uid="{00000000-0005-0000-0000-00009DE40000}"/>
    <cellStyle name="Note 2 7 2 4" xfId="42809" xr:uid="{00000000-0005-0000-0000-00009EE40000}"/>
    <cellStyle name="Note 2 7 2 4 2" xfId="61738" xr:uid="{00000000-0005-0000-0000-00009FE40000}"/>
    <cellStyle name="Note 2 7 2 5" xfId="42810" xr:uid="{00000000-0005-0000-0000-0000A0E40000}"/>
    <cellStyle name="Note 2 7 2 6" xfId="42811" xr:uid="{00000000-0005-0000-0000-0000A1E40000}"/>
    <cellStyle name="Note 2 7 2 7" xfId="42812" xr:uid="{00000000-0005-0000-0000-0000A2E40000}"/>
    <cellStyle name="Note 2 7 2 8" xfId="42813" xr:uid="{00000000-0005-0000-0000-0000A3E40000}"/>
    <cellStyle name="Note 2 7 3" xfId="42814" xr:uid="{00000000-0005-0000-0000-0000A4E40000}"/>
    <cellStyle name="Note 2 7 3 2" xfId="42815" xr:uid="{00000000-0005-0000-0000-0000A5E40000}"/>
    <cellStyle name="Note 2 7 3 2 2" xfId="42816" xr:uid="{00000000-0005-0000-0000-0000A6E40000}"/>
    <cellStyle name="Note 2 7 3 3" xfId="42817" xr:uid="{00000000-0005-0000-0000-0000A7E40000}"/>
    <cellStyle name="Note 2 7 3 3 2" xfId="61739" xr:uid="{00000000-0005-0000-0000-0000A8E40000}"/>
    <cellStyle name="Note 2 7 3 4" xfId="42818" xr:uid="{00000000-0005-0000-0000-0000A9E40000}"/>
    <cellStyle name="Note 2 7 3 5" xfId="42819" xr:uid="{00000000-0005-0000-0000-0000AAE40000}"/>
    <cellStyle name="Note 2 7 3 6" xfId="42820" xr:uid="{00000000-0005-0000-0000-0000ABE40000}"/>
    <cellStyle name="Note 2 7 3 7" xfId="42821" xr:uid="{00000000-0005-0000-0000-0000ACE40000}"/>
    <cellStyle name="Note 2 7 4" xfId="42822" xr:uid="{00000000-0005-0000-0000-0000ADE40000}"/>
    <cellStyle name="Note 2 7 4 2" xfId="42823" xr:uid="{00000000-0005-0000-0000-0000AEE40000}"/>
    <cellStyle name="Note 2 7 5" xfId="42824" xr:uid="{00000000-0005-0000-0000-0000AFE40000}"/>
    <cellStyle name="Note 2 7 5 2" xfId="61740" xr:uid="{00000000-0005-0000-0000-0000B0E40000}"/>
    <cellStyle name="Note 2 7 6" xfId="42825" xr:uid="{00000000-0005-0000-0000-0000B1E40000}"/>
    <cellStyle name="Note 2 7 7" xfId="42826" xr:uid="{00000000-0005-0000-0000-0000B2E40000}"/>
    <cellStyle name="Note 2 7 8" xfId="42827" xr:uid="{00000000-0005-0000-0000-0000B3E40000}"/>
    <cellStyle name="Note 2 7 9" xfId="42828" xr:uid="{00000000-0005-0000-0000-0000B4E40000}"/>
    <cellStyle name="Note 2 8" xfId="42829" xr:uid="{00000000-0005-0000-0000-0000B5E40000}"/>
    <cellStyle name="Note 2 8 10" xfId="42830" xr:uid="{00000000-0005-0000-0000-0000B6E40000}"/>
    <cellStyle name="Note 2 8 2" xfId="42831" xr:uid="{00000000-0005-0000-0000-0000B7E40000}"/>
    <cellStyle name="Note 2 8 2 2" xfId="42832" xr:uid="{00000000-0005-0000-0000-0000B8E40000}"/>
    <cellStyle name="Note 2 8 2 2 2" xfId="42833" xr:uid="{00000000-0005-0000-0000-0000B9E40000}"/>
    <cellStyle name="Note 2 8 2 2 2 2" xfId="61741" xr:uid="{00000000-0005-0000-0000-0000BAE40000}"/>
    <cellStyle name="Note 2 8 2 2 2 3" xfId="61742" xr:uid="{00000000-0005-0000-0000-0000BBE40000}"/>
    <cellStyle name="Note 2 8 2 2 3" xfId="42834" xr:uid="{00000000-0005-0000-0000-0000BCE40000}"/>
    <cellStyle name="Note 2 8 2 2 3 2" xfId="61743" xr:uid="{00000000-0005-0000-0000-0000BDE40000}"/>
    <cellStyle name="Note 2 8 2 2 4" xfId="42835" xr:uid="{00000000-0005-0000-0000-0000BEE40000}"/>
    <cellStyle name="Note 2 8 2 2 5" xfId="42836" xr:uid="{00000000-0005-0000-0000-0000BFE40000}"/>
    <cellStyle name="Note 2 8 2 2 6" xfId="42837" xr:uid="{00000000-0005-0000-0000-0000C0E40000}"/>
    <cellStyle name="Note 2 8 2 3" xfId="42838" xr:uid="{00000000-0005-0000-0000-0000C1E40000}"/>
    <cellStyle name="Note 2 8 2 3 2" xfId="61744" xr:uid="{00000000-0005-0000-0000-0000C2E40000}"/>
    <cellStyle name="Note 2 8 2 3 3" xfId="61745" xr:uid="{00000000-0005-0000-0000-0000C3E40000}"/>
    <cellStyle name="Note 2 8 2 4" xfId="42839" xr:uid="{00000000-0005-0000-0000-0000C4E40000}"/>
    <cellStyle name="Note 2 8 2 4 2" xfId="61746" xr:uid="{00000000-0005-0000-0000-0000C5E40000}"/>
    <cellStyle name="Note 2 8 2 5" xfId="42840" xr:uid="{00000000-0005-0000-0000-0000C6E40000}"/>
    <cellStyle name="Note 2 8 2 6" xfId="42841" xr:uid="{00000000-0005-0000-0000-0000C7E40000}"/>
    <cellStyle name="Note 2 8 2 7" xfId="42842" xr:uid="{00000000-0005-0000-0000-0000C8E40000}"/>
    <cellStyle name="Note 2 8 3" xfId="42843" xr:uid="{00000000-0005-0000-0000-0000C9E40000}"/>
    <cellStyle name="Note 2 8 3 2" xfId="42844" xr:uid="{00000000-0005-0000-0000-0000CAE40000}"/>
    <cellStyle name="Note 2 8 3 2 2" xfId="61747" xr:uid="{00000000-0005-0000-0000-0000CBE40000}"/>
    <cellStyle name="Note 2 8 3 2 3" xfId="61748" xr:uid="{00000000-0005-0000-0000-0000CCE40000}"/>
    <cellStyle name="Note 2 8 3 3" xfId="42845" xr:uid="{00000000-0005-0000-0000-0000CDE40000}"/>
    <cellStyle name="Note 2 8 3 3 2" xfId="61749" xr:uid="{00000000-0005-0000-0000-0000CEE40000}"/>
    <cellStyle name="Note 2 8 3 4" xfId="42846" xr:uid="{00000000-0005-0000-0000-0000CFE40000}"/>
    <cellStyle name="Note 2 8 3 5" xfId="42847" xr:uid="{00000000-0005-0000-0000-0000D0E40000}"/>
    <cellStyle name="Note 2 8 3 6" xfId="42848" xr:uid="{00000000-0005-0000-0000-0000D1E40000}"/>
    <cellStyle name="Note 2 8 4" xfId="42849" xr:uid="{00000000-0005-0000-0000-0000D2E40000}"/>
    <cellStyle name="Note 2 8 4 2" xfId="61750" xr:uid="{00000000-0005-0000-0000-0000D3E40000}"/>
    <cellStyle name="Note 2 8 4 3" xfId="61751" xr:uid="{00000000-0005-0000-0000-0000D4E40000}"/>
    <cellStyle name="Note 2 8 5" xfId="42850" xr:uid="{00000000-0005-0000-0000-0000D5E40000}"/>
    <cellStyle name="Note 2 8 5 2" xfId="61752" xr:uid="{00000000-0005-0000-0000-0000D6E40000}"/>
    <cellStyle name="Note 2 8 6" xfId="42851" xr:uid="{00000000-0005-0000-0000-0000D7E40000}"/>
    <cellStyle name="Note 2 8 6 2" xfId="61753" xr:uid="{00000000-0005-0000-0000-0000D8E40000}"/>
    <cellStyle name="Note 2 8 7" xfId="42852" xr:uid="{00000000-0005-0000-0000-0000D9E40000}"/>
    <cellStyle name="Note 2 8 8" xfId="42853" xr:uid="{00000000-0005-0000-0000-0000DAE40000}"/>
    <cellStyle name="Note 2 8 9" xfId="42854" xr:uid="{00000000-0005-0000-0000-0000DBE40000}"/>
    <cellStyle name="Note 2 9" xfId="42855" xr:uid="{00000000-0005-0000-0000-0000DCE40000}"/>
    <cellStyle name="Note 2 9 10" xfId="42856" xr:uid="{00000000-0005-0000-0000-0000DDE40000}"/>
    <cellStyle name="Note 2 9 2" xfId="42857" xr:uid="{00000000-0005-0000-0000-0000DEE40000}"/>
    <cellStyle name="Note 2 9 2 2" xfId="42858" xr:uid="{00000000-0005-0000-0000-0000DFE40000}"/>
    <cellStyle name="Note 2 9 2 2 2" xfId="42859" xr:uid="{00000000-0005-0000-0000-0000E0E40000}"/>
    <cellStyle name="Note 2 9 2 2 2 2" xfId="61754" xr:uid="{00000000-0005-0000-0000-0000E1E40000}"/>
    <cellStyle name="Note 2 9 2 2 2 3" xfId="61755" xr:uid="{00000000-0005-0000-0000-0000E2E40000}"/>
    <cellStyle name="Note 2 9 2 2 3" xfId="42860" xr:uid="{00000000-0005-0000-0000-0000E3E40000}"/>
    <cellStyle name="Note 2 9 2 2 3 2" xfId="61756" xr:uid="{00000000-0005-0000-0000-0000E4E40000}"/>
    <cellStyle name="Note 2 9 2 2 4" xfId="42861" xr:uid="{00000000-0005-0000-0000-0000E5E40000}"/>
    <cellStyle name="Note 2 9 2 2 5" xfId="42862" xr:uid="{00000000-0005-0000-0000-0000E6E40000}"/>
    <cellStyle name="Note 2 9 2 2 6" xfId="42863" xr:uid="{00000000-0005-0000-0000-0000E7E40000}"/>
    <cellStyle name="Note 2 9 2 3" xfId="42864" xr:uid="{00000000-0005-0000-0000-0000E8E40000}"/>
    <cellStyle name="Note 2 9 2 3 2" xfId="61757" xr:uid="{00000000-0005-0000-0000-0000E9E40000}"/>
    <cellStyle name="Note 2 9 2 3 3" xfId="61758" xr:uid="{00000000-0005-0000-0000-0000EAE40000}"/>
    <cellStyle name="Note 2 9 2 4" xfId="42865" xr:uid="{00000000-0005-0000-0000-0000EBE40000}"/>
    <cellStyle name="Note 2 9 2 4 2" xfId="61759" xr:uid="{00000000-0005-0000-0000-0000ECE40000}"/>
    <cellStyle name="Note 2 9 2 5" xfId="42866" xr:uid="{00000000-0005-0000-0000-0000EDE40000}"/>
    <cellStyle name="Note 2 9 2 6" xfId="42867" xr:uid="{00000000-0005-0000-0000-0000EEE40000}"/>
    <cellStyle name="Note 2 9 2 7" xfId="42868" xr:uid="{00000000-0005-0000-0000-0000EFE40000}"/>
    <cellStyle name="Note 2 9 3" xfId="42869" xr:uid="{00000000-0005-0000-0000-0000F0E40000}"/>
    <cellStyle name="Note 2 9 3 2" xfId="42870" xr:uid="{00000000-0005-0000-0000-0000F1E40000}"/>
    <cellStyle name="Note 2 9 3 2 2" xfId="61760" xr:uid="{00000000-0005-0000-0000-0000F2E40000}"/>
    <cellStyle name="Note 2 9 3 2 3" xfId="61761" xr:uid="{00000000-0005-0000-0000-0000F3E40000}"/>
    <cellStyle name="Note 2 9 3 3" xfId="42871" xr:uid="{00000000-0005-0000-0000-0000F4E40000}"/>
    <cellStyle name="Note 2 9 3 3 2" xfId="61762" xr:uid="{00000000-0005-0000-0000-0000F5E40000}"/>
    <cellStyle name="Note 2 9 3 4" xfId="42872" xr:uid="{00000000-0005-0000-0000-0000F6E40000}"/>
    <cellStyle name="Note 2 9 3 5" xfId="42873" xr:uid="{00000000-0005-0000-0000-0000F7E40000}"/>
    <cellStyle name="Note 2 9 3 6" xfId="42874" xr:uid="{00000000-0005-0000-0000-0000F8E40000}"/>
    <cellStyle name="Note 2 9 4" xfId="42875" xr:uid="{00000000-0005-0000-0000-0000F9E40000}"/>
    <cellStyle name="Note 2 9 4 2" xfId="61763" xr:uid="{00000000-0005-0000-0000-0000FAE40000}"/>
    <cellStyle name="Note 2 9 4 3" xfId="61764" xr:uid="{00000000-0005-0000-0000-0000FBE40000}"/>
    <cellStyle name="Note 2 9 5" xfId="42876" xr:uid="{00000000-0005-0000-0000-0000FCE40000}"/>
    <cellStyle name="Note 2 9 5 2" xfId="61765" xr:uid="{00000000-0005-0000-0000-0000FDE40000}"/>
    <cellStyle name="Note 2 9 6" xfId="42877" xr:uid="{00000000-0005-0000-0000-0000FEE40000}"/>
    <cellStyle name="Note 2 9 7" xfId="42878" xr:uid="{00000000-0005-0000-0000-0000FFE40000}"/>
    <cellStyle name="Note 2 9 8" xfId="42879" xr:uid="{00000000-0005-0000-0000-000000E50000}"/>
    <cellStyle name="Note 2 9 9" xfId="42880" xr:uid="{00000000-0005-0000-0000-000001E50000}"/>
    <cellStyle name="Note 3" xfId="42881" xr:uid="{00000000-0005-0000-0000-000002E50000}"/>
    <cellStyle name="Note 3 10" xfId="42882" xr:uid="{00000000-0005-0000-0000-000003E50000}"/>
    <cellStyle name="Note 3 10 2" xfId="42883" xr:uid="{00000000-0005-0000-0000-000004E50000}"/>
    <cellStyle name="Note 3 10 2 2" xfId="42884" xr:uid="{00000000-0005-0000-0000-000005E50000}"/>
    <cellStyle name="Note 3 10 2 2 2" xfId="61766" xr:uid="{00000000-0005-0000-0000-000006E50000}"/>
    <cellStyle name="Note 3 10 2 2 3" xfId="61767" xr:uid="{00000000-0005-0000-0000-000007E50000}"/>
    <cellStyle name="Note 3 10 2 3" xfId="42885" xr:uid="{00000000-0005-0000-0000-000008E50000}"/>
    <cellStyle name="Note 3 10 2 3 2" xfId="61768" xr:uid="{00000000-0005-0000-0000-000009E50000}"/>
    <cellStyle name="Note 3 10 2 4" xfId="42886" xr:uid="{00000000-0005-0000-0000-00000AE50000}"/>
    <cellStyle name="Note 3 10 2 5" xfId="42887" xr:uid="{00000000-0005-0000-0000-00000BE50000}"/>
    <cellStyle name="Note 3 10 2 6" xfId="42888" xr:uid="{00000000-0005-0000-0000-00000CE50000}"/>
    <cellStyle name="Note 3 10 3" xfId="42889" xr:uid="{00000000-0005-0000-0000-00000DE50000}"/>
    <cellStyle name="Note 3 10 3 2" xfId="61769" xr:uid="{00000000-0005-0000-0000-00000EE50000}"/>
    <cellStyle name="Note 3 10 3 3" xfId="61770" xr:uid="{00000000-0005-0000-0000-00000FE50000}"/>
    <cellStyle name="Note 3 10 4" xfId="42890" xr:uid="{00000000-0005-0000-0000-000010E50000}"/>
    <cellStyle name="Note 3 10 4 2" xfId="61771" xr:uid="{00000000-0005-0000-0000-000011E50000}"/>
    <cellStyle name="Note 3 10 5" xfId="42891" xr:uid="{00000000-0005-0000-0000-000012E50000}"/>
    <cellStyle name="Note 3 10 6" xfId="42892" xr:uid="{00000000-0005-0000-0000-000013E50000}"/>
    <cellStyle name="Note 3 10 7" xfId="42893" xr:uid="{00000000-0005-0000-0000-000014E50000}"/>
    <cellStyle name="Note 3 11" xfId="42894" xr:uid="{00000000-0005-0000-0000-000015E50000}"/>
    <cellStyle name="Note 3 11 2" xfId="42895" xr:uid="{00000000-0005-0000-0000-000016E50000}"/>
    <cellStyle name="Note 3 11 2 2" xfId="61772" xr:uid="{00000000-0005-0000-0000-000017E50000}"/>
    <cellStyle name="Note 3 11 2 3" xfId="61773" xr:uid="{00000000-0005-0000-0000-000018E50000}"/>
    <cellStyle name="Note 3 11 3" xfId="42896" xr:uid="{00000000-0005-0000-0000-000019E50000}"/>
    <cellStyle name="Note 3 11 3 2" xfId="61774" xr:uid="{00000000-0005-0000-0000-00001AE50000}"/>
    <cellStyle name="Note 3 11 4" xfId="42897" xr:uid="{00000000-0005-0000-0000-00001BE50000}"/>
    <cellStyle name="Note 3 11 5" xfId="42898" xr:uid="{00000000-0005-0000-0000-00001CE50000}"/>
    <cellStyle name="Note 3 11 6" xfId="42899" xr:uid="{00000000-0005-0000-0000-00001DE50000}"/>
    <cellStyle name="Note 3 12" xfId="42900" xr:uid="{00000000-0005-0000-0000-00001EE50000}"/>
    <cellStyle name="Note 3 12 2" xfId="61775" xr:uid="{00000000-0005-0000-0000-00001FE50000}"/>
    <cellStyle name="Note 3 12 3" xfId="61776" xr:uid="{00000000-0005-0000-0000-000020E50000}"/>
    <cellStyle name="Note 3 13" xfId="42901" xr:uid="{00000000-0005-0000-0000-000021E50000}"/>
    <cellStyle name="Note 3 13 2" xfId="61777" xr:uid="{00000000-0005-0000-0000-000022E50000}"/>
    <cellStyle name="Note 3 14" xfId="42902" xr:uid="{00000000-0005-0000-0000-000023E50000}"/>
    <cellStyle name="Note 3 14 2" xfId="61778" xr:uid="{00000000-0005-0000-0000-000024E50000}"/>
    <cellStyle name="Note 3 15" xfId="42903" xr:uid="{00000000-0005-0000-0000-000025E50000}"/>
    <cellStyle name="Note 3 16" xfId="42904" xr:uid="{00000000-0005-0000-0000-000026E50000}"/>
    <cellStyle name="Note 3 17" xfId="42905" xr:uid="{00000000-0005-0000-0000-000027E50000}"/>
    <cellStyle name="Note 3 18" xfId="42906" xr:uid="{00000000-0005-0000-0000-000028E50000}"/>
    <cellStyle name="Note 3 19" xfId="42907" xr:uid="{00000000-0005-0000-0000-000029E50000}"/>
    <cellStyle name="Note 3 2" xfId="42908" xr:uid="{00000000-0005-0000-0000-00002AE50000}"/>
    <cellStyle name="Note 3 2 10" xfId="42909" xr:uid="{00000000-0005-0000-0000-00002BE50000}"/>
    <cellStyle name="Note 3 2 11" xfId="42910" xr:uid="{00000000-0005-0000-0000-00002CE50000}"/>
    <cellStyle name="Note 3 2 12" xfId="42911" xr:uid="{00000000-0005-0000-0000-00002DE50000}"/>
    <cellStyle name="Note 3 2 13" xfId="42912" xr:uid="{00000000-0005-0000-0000-00002EE50000}"/>
    <cellStyle name="Note 3 2 14" xfId="42913" xr:uid="{00000000-0005-0000-0000-00002FE50000}"/>
    <cellStyle name="Note 3 2 15" xfId="42914" xr:uid="{00000000-0005-0000-0000-000030E50000}"/>
    <cellStyle name="Note 3 2 16" xfId="42915" xr:uid="{00000000-0005-0000-0000-000031E50000}"/>
    <cellStyle name="Note 3 2 2" xfId="42916" xr:uid="{00000000-0005-0000-0000-000032E50000}"/>
    <cellStyle name="Note 3 2 2 10" xfId="42917" xr:uid="{00000000-0005-0000-0000-000033E50000}"/>
    <cellStyle name="Note 3 2 2 11" xfId="42918" xr:uid="{00000000-0005-0000-0000-000034E50000}"/>
    <cellStyle name="Note 3 2 2 12" xfId="42919" xr:uid="{00000000-0005-0000-0000-000035E50000}"/>
    <cellStyle name="Note 3 2 2 13" xfId="42920" xr:uid="{00000000-0005-0000-0000-000036E50000}"/>
    <cellStyle name="Note 3 2 2 14" xfId="42921" xr:uid="{00000000-0005-0000-0000-000037E50000}"/>
    <cellStyle name="Note 3 2 2 15" xfId="42922" xr:uid="{00000000-0005-0000-0000-000038E50000}"/>
    <cellStyle name="Note 3 2 2 2" xfId="42923" xr:uid="{00000000-0005-0000-0000-000039E50000}"/>
    <cellStyle name="Note 3 2 2 2 2" xfId="42924" xr:uid="{00000000-0005-0000-0000-00003AE50000}"/>
    <cellStyle name="Note 3 2 2 2 2 2" xfId="42925" xr:uid="{00000000-0005-0000-0000-00003BE50000}"/>
    <cellStyle name="Note 3 2 2 2 2 2 2" xfId="42926" xr:uid="{00000000-0005-0000-0000-00003CE50000}"/>
    <cellStyle name="Note 3 2 2 2 2 2 2 2" xfId="61779" xr:uid="{00000000-0005-0000-0000-00003DE50000}"/>
    <cellStyle name="Note 3 2 2 2 2 2 2 3" xfId="61780" xr:uid="{00000000-0005-0000-0000-00003EE50000}"/>
    <cellStyle name="Note 3 2 2 2 2 2 3" xfId="42927" xr:uid="{00000000-0005-0000-0000-00003FE50000}"/>
    <cellStyle name="Note 3 2 2 2 2 2 3 2" xfId="61781" xr:uid="{00000000-0005-0000-0000-000040E50000}"/>
    <cellStyle name="Note 3 2 2 2 2 2 4" xfId="42928" xr:uid="{00000000-0005-0000-0000-000041E50000}"/>
    <cellStyle name="Note 3 2 2 2 2 2 5" xfId="42929" xr:uid="{00000000-0005-0000-0000-000042E50000}"/>
    <cellStyle name="Note 3 2 2 2 2 2 6" xfId="42930" xr:uid="{00000000-0005-0000-0000-000043E50000}"/>
    <cellStyle name="Note 3 2 2 2 2 3" xfId="42931" xr:uid="{00000000-0005-0000-0000-000044E50000}"/>
    <cellStyle name="Note 3 2 2 2 2 3 2" xfId="61782" xr:uid="{00000000-0005-0000-0000-000045E50000}"/>
    <cellStyle name="Note 3 2 2 2 2 3 3" xfId="61783" xr:uid="{00000000-0005-0000-0000-000046E50000}"/>
    <cellStyle name="Note 3 2 2 2 2 4" xfId="42932" xr:uid="{00000000-0005-0000-0000-000047E50000}"/>
    <cellStyle name="Note 3 2 2 2 2 4 2" xfId="61784" xr:uid="{00000000-0005-0000-0000-000048E50000}"/>
    <cellStyle name="Note 3 2 2 2 2 5" xfId="42933" xr:uid="{00000000-0005-0000-0000-000049E50000}"/>
    <cellStyle name="Note 3 2 2 2 2 6" xfId="42934" xr:uid="{00000000-0005-0000-0000-00004AE50000}"/>
    <cellStyle name="Note 3 2 2 2 2 7" xfId="42935" xr:uid="{00000000-0005-0000-0000-00004BE50000}"/>
    <cellStyle name="Note 3 2 2 2 3" xfId="42936" xr:uid="{00000000-0005-0000-0000-00004CE50000}"/>
    <cellStyle name="Note 3 2 2 2 3 2" xfId="42937" xr:uid="{00000000-0005-0000-0000-00004DE50000}"/>
    <cellStyle name="Note 3 2 2 2 3 2 2" xfId="61785" xr:uid="{00000000-0005-0000-0000-00004EE50000}"/>
    <cellStyle name="Note 3 2 2 2 3 2 3" xfId="61786" xr:uid="{00000000-0005-0000-0000-00004FE50000}"/>
    <cellStyle name="Note 3 2 2 2 3 3" xfId="42938" xr:uid="{00000000-0005-0000-0000-000050E50000}"/>
    <cellStyle name="Note 3 2 2 2 3 3 2" xfId="61787" xr:uid="{00000000-0005-0000-0000-000051E50000}"/>
    <cellStyle name="Note 3 2 2 2 3 4" xfId="42939" xr:uid="{00000000-0005-0000-0000-000052E50000}"/>
    <cellStyle name="Note 3 2 2 2 3 5" xfId="42940" xr:uid="{00000000-0005-0000-0000-000053E50000}"/>
    <cellStyle name="Note 3 2 2 2 3 6" xfId="42941" xr:uid="{00000000-0005-0000-0000-000054E50000}"/>
    <cellStyle name="Note 3 2 2 2 4" xfId="42942" xr:uid="{00000000-0005-0000-0000-000055E50000}"/>
    <cellStyle name="Note 3 2 2 2 4 2" xfId="61788" xr:uid="{00000000-0005-0000-0000-000056E50000}"/>
    <cellStyle name="Note 3 2 2 2 4 3" xfId="61789" xr:uid="{00000000-0005-0000-0000-000057E50000}"/>
    <cellStyle name="Note 3 2 2 2 5" xfId="42943" xr:uid="{00000000-0005-0000-0000-000058E50000}"/>
    <cellStyle name="Note 3 2 2 2 5 2" xfId="61790" xr:uid="{00000000-0005-0000-0000-000059E50000}"/>
    <cellStyle name="Note 3 2 2 2 6" xfId="42944" xr:uid="{00000000-0005-0000-0000-00005AE50000}"/>
    <cellStyle name="Note 3 2 2 2 7" xfId="42945" xr:uid="{00000000-0005-0000-0000-00005BE50000}"/>
    <cellStyle name="Note 3 2 2 2 8" xfId="42946" xr:uid="{00000000-0005-0000-0000-00005CE50000}"/>
    <cellStyle name="Note 3 2 2 2 9" xfId="42947" xr:uid="{00000000-0005-0000-0000-00005DE50000}"/>
    <cellStyle name="Note 3 2 2 3" xfId="42948" xr:uid="{00000000-0005-0000-0000-00005EE50000}"/>
    <cellStyle name="Note 3 2 2 3 2" xfId="42949" xr:uid="{00000000-0005-0000-0000-00005FE50000}"/>
    <cellStyle name="Note 3 2 2 3 2 2" xfId="42950" xr:uid="{00000000-0005-0000-0000-000060E50000}"/>
    <cellStyle name="Note 3 2 2 3 2 2 2" xfId="42951" xr:uid="{00000000-0005-0000-0000-000061E50000}"/>
    <cellStyle name="Note 3 2 2 3 2 2 2 2" xfId="61791" xr:uid="{00000000-0005-0000-0000-000062E50000}"/>
    <cellStyle name="Note 3 2 2 3 2 2 2 3" xfId="61792" xr:uid="{00000000-0005-0000-0000-000063E50000}"/>
    <cellStyle name="Note 3 2 2 3 2 2 3" xfId="42952" xr:uid="{00000000-0005-0000-0000-000064E50000}"/>
    <cellStyle name="Note 3 2 2 3 2 2 3 2" xfId="61793" xr:uid="{00000000-0005-0000-0000-000065E50000}"/>
    <cellStyle name="Note 3 2 2 3 2 2 4" xfId="42953" xr:uid="{00000000-0005-0000-0000-000066E50000}"/>
    <cellStyle name="Note 3 2 2 3 2 2 5" xfId="42954" xr:uid="{00000000-0005-0000-0000-000067E50000}"/>
    <cellStyle name="Note 3 2 2 3 2 2 6" xfId="42955" xr:uid="{00000000-0005-0000-0000-000068E50000}"/>
    <cellStyle name="Note 3 2 2 3 2 3" xfId="42956" xr:uid="{00000000-0005-0000-0000-000069E50000}"/>
    <cellStyle name="Note 3 2 2 3 2 3 2" xfId="61794" xr:uid="{00000000-0005-0000-0000-00006AE50000}"/>
    <cellStyle name="Note 3 2 2 3 2 3 3" xfId="61795" xr:uid="{00000000-0005-0000-0000-00006BE50000}"/>
    <cellStyle name="Note 3 2 2 3 2 4" xfId="42957" xr:uid="{00000000-0005-0000-0000-00006CE50000}"/>
    <cellStyle name="Note 3 2 2 3 2 4 2" xfId="61796" xr:uid="{00000000-0005-0000-0000-00006DE50000}"/>
    <cellStyle name="Note 3 2 2 3 2 5" xfId="42958" xr:uid="{00000000-0005-0000-0000-00006EE50000}"/>
    <cellStyle name="Note 3 2 2 3 2 6" xfId="42959" xr:uid="{00000000-0005-0000-0000-00006FE50000}"/>
    <cellStyle name="Note 3 2 2 3 2 7" xfId="42960" xr:uid="{00000000-0005-0000-0000-000070E50000}"/>
    <cellStyle name="Note 3 2 2 3 3" xfId="42961" xr:uid="{00000000-0005-0000-0000-000071E50000}"/>
    <cellStyle name="Note 3 2 2 3 3 2" xfId="42962" xr:uid="{00000000-0005-0000-0000-000072E50000}"/>
    <cellStyle name="Note 3 2 2 3 3 2 2" xfId="61797" xr:uid="{00000000-0005-0000-0000-000073E50000}"/>
    <cellStyle name="Note 3 2 2 3 3 2 3" xfId="61798" xr:uid="{00000000-0005-0000-0000-000074E50000}"/>
    <cellStyle name="Note 3 2 2 3 3 3" xfId="42963" xr:uid="{00000000-0005-0000-0000-000075E50000}"/>
    <cellStyle name="Note 3 2 2 3 3 3 2" xfId="61799" xr:uid="{00000000-0005-0000-0000-000076E50000}"/>
    <cellStyle name="Note 3 2 2 3 3 4" xfId="42964" xr:uid="{00000000-0005-0000-0000-000077E50000}"/>
    <cellStyle name="Note 3 2 2 3 3 5" xfId="42965" xr:uid="{00000000-0005-0000-0000-000078E50000}"/>
    <cellStyle name="Note 3 2 2 3 3 6" xfId="42966" xr:uid="{00000000-0005-0000-0000-000079E50000}"/>
    <cellStyle name="Note 3 2 2 3 4" xfId="42967" xr:uid="{00000000-0005-0000-0000-00007AE50000}"/>
    <cellStyle name="Note 3 2 2 3 4 2" xfId="61800" xr:uid="{00000000-0005-0000-0000-00007BE50000}"/>
    <cellStyle name="Note 3 2 2 3 4 3" xfId="61801" xr:uid="{00000000-0005-0000-0000-00007CE50000}"/>
    <cellStyle name="Note 3 2 2 3 5" xfId="42968" xr:uid="{00000000-0005-0000-0000-00007DE50000}"/>
    <cellStyle name="Note 3 2 2 3 5 2" xfId="61802" xr:uid="{00000000-0005-0000-0000-00007EE50000}"/>
    <cellStyle name="Note 3 2 2 3 6" xfId="42969" xr:uid="{00000000-0005-0000-0000-00007FE50000}"/>
    <cellStyle name="Note 3 2 2 3 7" xfId="42970" xr:uid="{00000000-0005-0000-0000-000080E50000}"/>
    <cellStyle name="Note 3 2 2 3 8" xfId="42971" xr:uid="{00000000-0005-0000-0000-000081E50000}"/>
    <cellStyle name="Note 3 2 2 4" xfId="42972" xr:uid="{00000000-0005-0000-0000-000082E50000}"/>
    <cellStyle name="Note 3 2 2 4 2" xfId="42973" xr:uid="{00000000-0005-0000-0000-000083E50000}"/>
    <cellStyle name="Note 3 2 2 4 2 2" xfId="42974" xr:uid="{00000000-0005-0000-0000-000084E50000}"/>
    <cellStyle name="Note 3 2 2 4 2 2 2" xfId="61803" xr:uid="{00000000-0005-0000-0000-000085E50000}"/>
    <cellStyle name="Note 3 2 2 4 2 2 3" xfId="61804" xr:uid="{00000000-0005-0000-0000-000086E50000}"/>
    <cellStyle name="Note 3 2 2 4 2 3" xfId="42975" xr:uid="{00000000-0005-0000-0000-000087E50000}"/>
    <cellStyle name="Note 3 2 2 4 2 3 2" xfId="61805" xr:uid="{00000000-0005-0000-0000-000088E50000}"/>
    <cellStyle name="Note 3 2 2 4 2 4" xfId="42976" xr:uid="{00000000-0005-0000-0000-000089E50000}"/>
    <cellStyle name="Note 3 2 2 4 2 5" xfId="42977" xr:uid="{00000000-0005-0000-0000-00008AE50000}"/>
    <cellStyle name="Note 3 2 2 4 2 6" xfId="42978" xr:uid="{00000000-0005-0000-0000-00008BE50000}"/>
    <cellStyle name="Note 3 2 2 4 3" xfId="42979" xr:uid="{00000000-0005-0000-0000-00008CE50000}"/>
    <cellStyle name="Note 3 2 2 4 3 2" xfId="61806" xr:uid="{00000000-0005-0000-0000-00008DE50000}"/>
    <cellStyle name="Note 3 2 2 4 3 3" xfId="61807" xr:uid="{00000000-0005-0000-0000-00008EE50000}"/>
    <cellStyle name="Note 3 2 2 4 4" xfId="42980" xr:uid="{00000000-0005-0000-0000-00008FE50000}"/>
    <cellStyle name="Note 3 2 2 4 4 2" xfId="61808" xr:uid="{00000000-0005-0000-0000-000090E50000}"/>
    <cellStyle name="Note 3 2 2 4 5" xfId="42981" xr:uid="{00000000-0005-0000-0000-000091E50000}"/>
    <cellStyle name="Note 3 2 2 4 6" xfId="42982" xr:uid="{00000000-0005-0000-0000-000092E50000}"/>
    <cellStyle name="Note 3 2 2 4 7" xfId="42983" xr:uid="{00000000-0005-0000-0000-000093E50000}"/>
    <cellStyle name="Note 3 2 2 5" xfId="42984" xr:uid="{00000000-0005-0000-0000-000094E50000}"/>
    <cellStyle name="Note 3 2 2 5 2" xfId="42985" xr:uid="{00000000-0005-0000-0000-000095E50000}"/>
    <cellStyle name="Note 3 2 2 5 2 2" xfId="61809" xr:uid="{00000000-0005-0000-0000-000096E50000}"/>
    <cellStyle name="Note 3 2 2 5 2 3" xfId="61810" xr:uid="{00000000-0005-0000-0000-000097E50000}"/>
    <cellStyle name="Note 3 2 2 5 3" xfId="42986" xr:uid="{00000000-0005-0000-0000-000098E50000}"/>
    <cellStyle name="Note 3 2 2 5 3 2" xfId="61811" xr:uid="{00000000-0005-0000-0000-000099E50000}"/>
    <cellStyle name="Note 3 2 2 5 4" xfId="42987" xr:uid="{00000000-0005-0000-0000-00009AE50000}"/>
    <cellStyle name="Note 3 2 2 5 5" xfId="42988" xr:uid="{00000000-0005-0000-0000-00009BE50000}"/>
    <cellStyle name="Note 3 2 2 5 6" xfId="42989" xr:uid="{00000000-0005-0000-0000-00009CE50000}"/>
    <cellStyle name="Note 3 2 2 6" xfId="42990" xr:uid="{00000000-0005-0000-0000-00009DE50000}"/>
    <cellStyle name="Note 3 2 2 6 2" xfId="61812" xr:uid="{00000000-0005-0000-0000-00009EE50000}"/>
    <cellStyle name="Note 3 2 2 6 3" xfId="61813" xr:uid="{00000000-0005-0000-0000-00009FE50000}"/>
    <cellStyle name="Note 3 2 2 7" xfId="42991" xr:uid="{00000000-0005-0000-0000-0000A0E50000}"/>
    <cellStyle name="Note 3 2 2 7 2" xfId="61814" xr:uid="{00000000-0005-0000-0000-0000A1E50000}"/>
    <cellStyle name="Note 3 2 2 8" xfId="42992" xr:uid="{00000000-0005-0000-0000-0000A2E50000}"/>
    <cellStyle name="Note 3 2 2 9" xfId="42993" xr:uid="{00000000-0005-0000-0000-0000A3E50000}"/>
    <cellStyle name="Note 3 2 3" xfId="42994" xr:uid="{00000000-0005-0000-0000-0000A4E50000}"/>
    <cellStyle name="Note 3 2 3 2" xfId="42995" xr:uid="{00000000-0005-0000-0000-0000A5E50000}"/>
    <cellStyle name="Note 3 2 3 2 2" xfId="42996" xr:uid="{00000000-0005-0000-0000-0000A6E50000}"/>
    <cellStyle name="Note 3 2 3 2 2 2" xfId="42997" xr:uid="{00000000-0005-0000-0000-0000A7E50000}"/>
    <cellStyle name="Note 3 2 3 2 2 2 2" xfId="61815" xr:uid="{00000000-0005-0000-0000-0000A8E50000}"/>
    <cellStyle name="Note 3 2 3 2 2 2 3" xfId="61816" xr:uid="{00000000-0005-0000-0000-0000A9E50000}"/>
    <cellStyle name="Note 3 2 3 2 2 3" xfId="42998" xr:uid="{00000000-0005-0000-0000-0000AAE50000}"/>
    <cellStyle name="Note 3 2 3 2 2 3 2" xfId="61817" xr:uid="{00000000-0005-0000-0000-0000ABE50000}"/>
    <cellStyle name="Note 3 2 3 2 2 4" xfId="42999" xr:uid="{00000000-0005-0000-0000-0000ACE50000}"/>
    <cellStyle name="Note 3 2 3 2 2 5" xfId="43000" xr:uid="{00000000-0005-0000-0000-0000ADE50000}"/>
    <cellStyle name="Note 3 2 3 2 2 6" xfId="43001" xr:uid="{00000000-0005-0000-0000-0000AEE50000}"/>
    <cellStyle name="Note 3 2 3 2 3" xfId="43002" xr:uid="{00000000-0005-0000-0000-0000AFE50000}"/>
    <cellStyle name="Note 3 2 3 2 3 2" xfId="61818" xr:uid="{00000000-0005-0000-0000-0000B0E50000}"/>
    <cellStyle name="Note 3 2 3 2 3 3" xfId="61819" xr:uid="{00000000-0005-0000-0000-0000B1E50000}"/>
    <cellStyle name="Note 3 2 3 2 4" xfId="43003" xr:uid="{00000000-0005-0000-0000-0000B2E50000}"/>
    <cellStyle name="Note 3 2 3 2 4 2" xfId="61820" xr:uid="{00000000-0005-0000-0000-0000B3E50000}"/>
    <cellStyle name="Note 3 2 3 2 5" xfId="43004" xr:uid="{00000000-0005-0000-0000-0000B4E50000}"/>
    <cellStyle name="Note 3 2 3 2 6" xfId="43005" xr:uid="{00000000-0005-0000-0000-0000B5E50000}"/>
    <cellStyle name="Note 3 2 3 2 7" xfId="43006" xr:uid="{00000000-0005-0000-0000-0000B6E50000}"/>
    <cellStyle name="Note 3 2 3 3" xfId="43007" xr:uid="{00000000-0005-0000-0000-0000B7E50000}"/>
    <cellStyle name="Note 3 2 3 3 2" xfId="43008" xr:uid="{00000000-0005-0000-0000-0000B8E50000}"/>
    <cellStyle name="Note 3 2 3 3 2 2" xfId="61821" xr:uid="{00000000-0005-0000-0000-0000B9E50000}"/>
    <cellStyle name="Note 3 2 3 3 2 3" xfId="61822" xr:uid="{00000000-0005-0000-0000-0000BAE50000}"/>
    <cellStyle name="Note 3 2 3 3 3" xfId="43009" xr:uid="{00000000-0005-0000-0000-0000BBE50000}"/>
    <cellStyle name="Note 3 2 3 3 3 2" xfId="61823" xr:uid="{00000000-0005-0000-0000-0000BCE50000}"/>
    <cellStyle name="Note 3 2 3 3 4" xfId="43010" xr:uid="{00000000-0005-0000-0000-0000BDE50000}"/>
    <cellStyle name="Note 3 2 3 3 5" xfId="43011" xr:uid="{00000000-0005-0000-0000-0000BEE50000}"/>
    <cellStyle name="Note 3 2 3 3 6" xfId="43012" xr:uid="{00000000-0005-0000-0000-0000BFE50000}"/>
    <cellStyle name="Note 3 2 3 4" xfId="43013" xr:uid="{00000000-0005-0000-0000-0000C0E50000}"/>
    <cellStyle name="Note 3 2 3 4 2" xfId="61824" xr:uid="{00000000-0005-0000-0000-0000C1E50000}"/>
    <cellStyle name="Note 3 2 3 4 3" xfId="61825" xr:uid="{00000000-0005-0000-0000-0000C2E50000}"/>
    <cellStyle name="Note 3 2 3 5" xfId="43014" xr:uid="{00000000-0005-0000-0000-0000C3E50000}"/>
    <cellStyle name="Note 3 2 3 5 2" xfId="61826" xr:uid="{00000000-0005-0000-0000-0000C4E50000}"/>
    <cellStyle name="Note 3 2 3 6" xfId="43015" xr:uid="{00000000-0005-0000-0000-0000C5E50000}"/>
    <cellStyle name="Note 3 2 3 7" xfId="43016" xr:uid="{00000000-0005-0000-0000-0000C6E50000}"/>
    <cellStyle name="Note 3 2 3 8" xfId="43017" xr:uid="{00000000-0005-0000-0000-0000C7E50000}"/>
    <cellStyle name="Note 3 2 3 9" xfId="43018" xr:uid="{00000000-0005-0000-0000-0000C8E50000}"/>
    <cellStyle name="Note 3 2 4" xfId="43019" xr:uid="{00000000-0005-0000-0000-0000C9E50000}"/>
    <cellStyle name="Note 3 2 4 2" xfId="43020" xr:uid="{00000000-0005-0000-0000-0000CAE50000}"/>
    <cellStyle name="Note 3 2 4 2 2" xfId="43021" xr:uid="{00000000-0005-0000-0000-0000CBE50000}"/>
    <cellStyle name="Note 3 2 4 2 2 2" xfId="43022" xr:uid="{00000000-0005-0000-0000-0000CCE50000}"/>
    <cellStyle name="Note 3 2 4 2 2 2 2" xfId="61827" xr:uid="{00000000-0005-0000-0000-0000CDE50000}"/>
    <cellStyle name="Note 3 2 4 2 2 2 3" xfId="61828" xr:uid="{00000000-0005-0000-0000-0000CEE50000}"/>
    <cellStyle name="Note 3 2 4 2 2 3" xfId="43023" xr:uid="{00000000-0005-0000-0000-0000CFE50000}"/>
    <cellStyle name="Note 3 2 4 2 2 3 2" xfId="61829" xr:uid="{00000000-0005-0000-0000-0000D0E50000}"/>
    <cellStyle name="Note 3 2 4 2 2 4" xfId="43024" xr:uid="{00000000-0005-0000-0000-0000D1E50000}"/>
    <cellStyle name="Note 3 2 4 2 2 5" xfId="43025" xr:uid="{00000000-0005-0000-0000-0000D2E50000}"/>
    <cellStyle name="Note 3 2 4 2 2 6" xfId="43026" xr:uid="{00000000-0005-0000-0000-0000D3E50000}"/>
    <cellStyle name="Note 3 2 4 2 3" xfId="43027" xr:uid="{00000000-0005-0000-0000-0000D4E50000}"/>
    <cellStyle name="Note 3 2 4 2 3 2" xfId="61830" xr:uid="{00000000-0005-0000-0000-0000D5E50000}"/>
    <cellStyle name="Note 3 2 4 2 3 3" xfId="61831" xr:uid="{00000000-0005-0000-0000-0000D6E50000}"/>
    <cellStyle name="Note 3 2 4 2 4" xfId="43028" xr:uid="{00000000-0005-0000-0000-0000D7E50000}"/>
    <cellStyle name="Note 3 2 4 2 4 2" xfId="61832" xr:uid="{00000000-0005-0000-0000-0000D8E50000}"/>
    <cellStyle name="Note 3 2 4 2 5" xfId="43029" xr:uid="{00000000-0005-0000-0000-0000D9E50000}"/>
    <cellStyle name="Note 3 2 4 2 6" xfId="43030" xr:uid="{00000000-0005-0000-0000-0000DAE50000}"/>
    <cellStyle name="Note 3 2 4 2 7" xfId="43031" xr:uid="{00000000-0005-0000-0000-0000DBE50000}"/>
    <cellStyle name="Note 3 2 4 3" xfId="43032" xr:uid="{00000000-0005-0000-0000-0000DCE50000}"/>
    <cellStyle name="Note 3 2 4 3 2" xfId="43033" xr:uid="{00000000-0005-0000-0000-0000DDE50000}"/>
    <cellStyle name="Note 3 2 4 3 2 2" xfId="61833" xr:uid="{00000000-0005-0000-0000-0000DEE50000}"/>
    <cellStyle name="Note 3 2 4 3 2 3" xfId="61834" xr:uid="{00000000-0005-0000-0000-0000DFE50000}"/>
    <cellStyle name="Note 3 2 4 3 3" xfId="43034" xr:uid="{00000000-0005-0000-0000-0000E0E50000}"/>
    <cellStyle name="Note 3 2 4 3 3 2" xfId="61835" xr:uid="{00000000-0005-0000-0000-0000E1E50000}"/>
    <cellStyle name="Note 3 2 4 3 4" xfId="43035" xr:uid="{00000000-0005-0000-0000-0000E2E50000}"/>
    <cellStyle name="Note 3 2 4 3 5" xfId="43036" xr:uid="{00000000-0005-0000-0000-0000E3E50000}"/>
    <cellStyle name="Note 3 2 4 3 6" xfId="43037" xr:uid="{00000000-0005-0000-0000-0000E4E50000}"/>
    <cellStyle name="Note 3 2 4 4" xfId="43038" xr:uid="{00000000-0005-0000-0000-0000E5E50000}"/>
    <cellStyle name="Note 3 2 4 4 2" xfId="61836" xr:uid="{00000000-0005-0000-0000-0000E6E50000}"/>
    <cellStyle name="Note 3 2 4 4 3" xfId="61837" xr:uid="{00000000-0005-0000-0000-0000E7E50000}"/>
    <cellStyle name="Note 3 2 4 5" xfId="43039" xr:uid="{00000000-0005-0000-0000-0000E8E50000}"/>
    <cellStyle name="Note 3 2 4 5 2" xfId="61838" xr:uid="{00000000-0005-0000-0000-0000E9E50000}"/>
    <cellStyle name="Note 3 2 4 6" xfId="43040" xr:uid="{00000000-0005-0000-0000-0000EAE50000}"/>
    <cellStyle name="Note 3 2 4 7" xfId="43041" xr:uid="{00000000-0005-0000-0000-0000EBE50000}"/>
    <cellStyle name="Note 3 2 4 8" xfId="43042" xr:uid="{00000000-0005-0000-0000-0000ECE50000}"/>
    <cellStyle name="Note 3 2 5" xfId="43043" xr:uid="{00000000-0005-0000-0000-0000EDE50000}"/>
    <cellStyle name="Note 3 2 5 2" xfId="43044" xr:uid="{00000000-0005-0000-0000-0000EEE50000}"/>
    <cellStyle name="Note 3 2 5 2 2" xfId="43045" xr:uid="{00000000-0005-0000-0000-0000EFE50000}"/>
    <cellStyle name="Note 3 2 5 2 2 2" xfId="61839" xr:uid="{00000000-0005-0000-0000-0000F0E50000}"/>
    <cellStyle name="Note 3 2 5 2 2 3" xfId="61840" xr:uid="{00000000-0005-0000-0000-0000F1E50000}"/>
    <cellStyle name="Note 3 2 5 2 3" xfId="43046" xr:uid="{00000000-0005-0000-0000-0000F2E50000}"/>
    <cellStyle name="Note 3 2 5 2 3 2" xfId="61841" xr:uid="{00000000-0005-0000-0000-0000F3E50000}"/>
    <cellStyle name="Note 3 2 5 2 4" xfId="43047" xr:uid="{00000000-0005-0000-0000-0000F4E50000}"/>
    <cellStyle name="Note 3 2 5 2 5" xfId="43048" xr:uid="{00000000-0005-0000-0000-0000F5E50000}"/>
    <cellStyle name="Note 3 2 5 2 6" xfId="43049" xr:uid="{00000000-0005-0000-0000-0000F6E50000}"/>
    <cellStyle name="Note 3 2 5 3" xfId="43050" xr:uid="{00000000-0005-0000-0000-0000F7E50000}"/>
    <cellStyle name="Note 3 2 5 3 2" xfId="61842" xr:uid="{00000000-0005-0000-0000-0000F8E50000}"/>
    <cellStyle name="Note 3 2 5 3 3" xfId="61843" xr:uid="{00000000-0005-0000-0000-0000F9E50000}"/>
    <cellStyle name="Note 3 2 5 4" xfId="43051" xr:uid="{00000000-0005-0000-0000-0000FAE50000}"/>
    <cellStyle name="Note 3 2 5 4 2" xfId="61844" xr:uid="{00000000-0005-0000-0000-0000FBE50000}"/>
    <cellStyle name="Note 3 2 5 5" xfId="43052" xr:uid="{00000000-0005-0000-0000-0000FCE50000}"/>
    <cellStyle name="Note 3 2 5 6" xfId="43053" xr:uid="{00000000-0005-0000-0000-0000FDE50000}"/>
    <cellStyle name="Note 3 2 5 7" xfId="43054" xr:uid="{00000000-0005-0000-0000-0000FEE50000}"/>
    <cellStyle name="Note 3 2 6" xfId="43055" xr:uid="{00000000-0005-0000-0000-0000FFE50000}"/>
    <cellStyle name="Note 3 2 6 2" xfId="43056" xr:uid="{00000000-0005-0000-0000-000000E60000}"/>
    <cellStyle name="Note 3 2 6 2 2" xfId="61845" xr:uid="{00000000-0005-0000-0000-000001E60000}"/>
    <cellStyle name="Note 3 2 6 2 3" xfId="61846" xr:uid="{00000000-0005-0000-0000-000002E60000}"/>
    <cellStyle name="Note 3 2 6 3" xfId="43057" xr:uid="{00000000-0005-0000-0000-000003E60000}"/>
    <cellStyle name="Note 3 2 6 3 2" xfId="61847" xr:uid="{00000000-0005-0000-0000-000004E60000}"/>
    <cellStyle name="Note 3 2 6 4" xfId="43058" xr:uid="{00000000-0005-0000-0000-000005E60000}"/>
    <cellStyle name="Note 3 2 6 5" xfId="43059" xr:uid="{00000000-0005-0000-0000-000006E60000}"/>
    <cellStyle name="Note 3 2 6 6" xfId="43060" xr:uid="{00000000-0005-0000-0000-000007E60000}"/>
    <cellStyle name="Note 3 2 7" xfId="43061" xr:uid="{00000000-0005-0000-0000-000008E60000}"/>
    <cellStyle name="Note 3 2 7 2" xfId="61848" xr:uid="{00000000-0005-0000-0000-000009E60000}"/>
    <cellStyle name="Note 3 2 7 3" xfId="61849" xr:uid="{00000000-0005-0000-0000-00000AE60000}"/>
    <cellStyle name="Note 3 2 8" xfId="43062" xr:uid="{00000000-0005-0000-0000-00000BE60000}"/>
    <cellStyle name="Note 3 2 8 2" xfId="61850" xr:uid="{00000000-0005-0000-0000-00000CE60000}"/>
    <cellStyle name="Note 3 2 9" xfId="43063" xr:uid="{00000000-0005-0000-0000-00000DE60000}"/>
    <cellStyle name="Note 3 2 9 2" xfId="61851" xr:uid="{00000000-0005-0000-0000-00000EE60000}"/>
    <cellStyle name="Note 3 20" xfId="43064" xr:uid="{00000000-0005-0000-0000-00000FE60000}"/>
    <cellStyle name="Note 3 3" xfId="43065" xr:uid="{00000000-0005-0000-0000-000010E60000}"/>
    <cellStyle name="Note 3 3 10" xfId="43066" xr:uid="{00000000-0005-0000-0000-000011E60000}"/>
    <cellStyle name="Note 3 3 11" xfId="43067" xr:uid="{00000000-0005-0000-0000-000012E60000}"/>
    <cellStyle name="Note 3 3 12" xfId="43068" xr:uid="{00000000-0005-0000-0000-000013E60000}"/>
    <cellStyle name="Note 3 3 13" xfId="43069" xr:uid="{00000000-0005-0000-0000-000014E60000}"/>
    <cellStyle name="Note 3 3 14" xfId="43070" xr:uid="{00000000-0005-0000-0000-000015E60000}"/>
    <cellStyle name="Note 3 3 15" xfId="43071" xr:uid="{00000000-0005-0000-0000-000016E60000}"/>
    <cellStyle name="Note 3 3 16" xfId="43072" xr:uid="{00000000-0005-0000-0000-000017E60000}"/>
    <cellStyle name="Note 3 3 2" xfId="43073" xr:uid="{00000000-0005-0000-0000-000018E60000}"/>
    <cellStyle name="Note 3 3 2 10" xfId="43074" xr:uid="{00000000-0005-0000-0000-000019E60000}"/>
    <cellStyle name="Note 3 3 2 11" xfId="43075" xr:uid="{00000000-0005-0000-0000-00001AE60000}"/>
    <cellStyle name="Note 3 3 2 12" xfId="43076" xr:uid="{00000000-0005-0000-0000-00001BE60000}"/>
    <cellStyle name="Note 3 3 2 13" xfId="43077" xr:uid="{00000000-0005-0000-0000-00001CE60000}"/>
    <cellStyle name="Note 3 3 2 14" xfId="43078" xr:uid="{00000000-0005-0000-0000-00001DE60000}"/>
    <cellStyle name="Note 3 3 2 15" xfId="43079" xr:uid="{00000000-0005-0000-0000-00001EE60000}"/>
    <cellStyle name="Note 3 3 2 2" xfId="43080" xr:uid="{00000000-0005-0000-0000-00001FE60000}"/>
    <cellStyle name="Note 3 3 2 2 2" xfId="43081" xr:uid="{00000000-0005-0000-0000-000020E60000}"/>
    <cellStyle name="Note 3 3 2 2 2 2" xfId="43082" xr:uid="{00000000-0005-0000-0000-000021E60000}"/>
    <cellStyle name="Note 3 3 2 2 2 2 2" xfId="43083" xr:uid="{00000000-0005-0000-0000-000022E60000}"/>
    <cellStyle name="Note 3 3 2 2 2 2 2 2" xfId="61852" xr:uid="{00000000-0005-0000-0000-000023E60000}"/>
    <cellStyle name="Note 3 3 2 2 2 2 2 3" xfId="61853" xr:uid="{00000000-0005-0000-0000-000024E60000}"/>
    <cellStyle name="Note 3 3 2 2 2 2 3" xfId="43084" xr:uid="{00000000-0005-0000-0000-000025E60000}"/>
    <cellStyle name="Note 3 3 2 2 2 2 3 2" xfId="61854" xr:uid="{00000000-0005-0000-0000-000026E60000}"/>
    <cellStyle name="Note 3 3 2 2 2 2 4" xfId="43085" xr:uid="{00000000-0005-0000-0000-000027E60000}"/>
    <cellStyle name="Note 3 3 2 2 2 2 5" xfId="43086" xr:uid="{00000000-0005-0000-0000-000028E60000}"/>
    <cellStyle name="Note 3 3 2 2 2 2 6" xfId="43087" xr:uid="{00000000-0005-0000-0000-000029E60000}"/>
    <cellStyle name="Note 3 3 2 2 2 3" xfId="43088" xr:uid="{00000000-0005-0000-0000-00002AE60000}"/>
    <cellStyle name="Note 3 3 2 2 2 3 2" xfId="61855" xr:uid="{00000000-0005-0000-0000-00002BE60000}"/>
    <cellStyle name="Note 3 3 2 2 2 3 3" xfId="61856" xr:uid="{00000000-0005-0000-0000-00002CE60000}"/>
    <cellStyle name="Note 3 3 2 2 2 4" xfId="43089" xr:uid="{00000000-0005-0000-0000-00002DE60000}"/>
    <cellStyle name="Note 3 3 2 2 2 4 2" xfId="61857" xr:uid="{00000000-0005-0000-0000-00002EE60000}"/>
    <cellStyle name="Note 3 3 2 2 2 5" xfId="43090" xr:uid="{00000000-0005-0000-0000-00002FE60000}"/>
    <cellStyle name="Note 3 3 2 2 2 6" xfId="43091" xr:uid="{00000000-0005-0000-0000-000030E60000}"/>
    <cellStyle name="Note 3 3 2 2 2 7" xfId="43092" xr:uid="{00000000-0005-0000-0000-000031E60000}"/>
    <cellStyle name="Note 3 3 2 2 3" xfId="43093" xr:uid="{00000000-0005-0000-0000-000032E60000}"/>
    <cellStyle name="Note 3 3 2 2 3 2" xfId="43094" xr:uid="{00000000-0005-0000-0000-000033E60000}"/>
    <cellStyle name="Note 3 3 2 2 3 2 2" xfId="61858" xr:uid="{00000000-0005-0000-0000-000034E60000}"/>
    <cellStyle name="Note 3 3 2 2 3 2 3" xfId="61859" xr:uid="{00000000-0005-0000-0000-000035E60000}"/>
    <cellStyle name="Note 3 3 2 2 3 3" xfId="43095" xr:uid="{00000000-0005-0000-0000-000036E60000}"/>
    <cellStyle name="Note 3 3 2 2 3 3 2" xfId="61860" xr:uid="{00000000-0005-0000-0000-000037E60000}"/>
    <cellStyle name="Note 3 3 2 2 3 4" xfId="43096" xr:uid="{00000000-0005-0000-0000-000038E60000}"/>
    <cellStyle name="Note 3 3 2 2 3 5" xfId="43097" xr:uid="{00000000-0005-0000-0000-000039E60000}"/>
    <cellStyle name="Note 3 3 2 2 3 6" xfId="43098" xr:uid="{00000000-0005-0000-0000-00003AE60000}"/>
    <cellStyle name="Note 3 3 2 2 4" xfId="43099" xr:uid="{00000000-0005-0000-0000-00003BE60000}"/>
    <cellStyle name="Note 3 3 2 2 4 2" xfId="61861" xr:uid="{00000000-0005-0000-0000-00003CE60000}"/>
    <cellStyle name="Note 3 3 2 2 4 3" xfId="61862" xr:uid="{00000000-0005-0000-0000-00003DE60000}"/>
    <cellStyle name="Note 3 3 2 2 5" xfId="43100" xr:uid="{00000000-0005-0000-0000-00003EE60000}"/>
    <cellStyle name="Note 3 3 2 2 5 2" xfId="61863" xr:uid="{00000000-0005-0000-0000-00003FE60000}"/>
    <cellStyle name="Note 3 3 2 2 6" xfId="43101" xr:uid="{00000000-0005-0000-0000-000040E60000}"/>
    <cellStyle name="Note 3 3 2 2 7" xfId="43102" xr:uid="{00000000-0005-0000-0000-000041E60000}"/>
    <cellStyle name="Note 3 3 2 2 8" xfId="43103" xr:uid="{00000000-0005-0000-0000-000042E60000}"/>
    <cellStyle name="Note 3 3 2 2 9" xfId="43104" xr:uid="{00000000-0005-0000-0000-000043E60000}"/>
    <cellStyle name="Note 3 3 2 3" xfId="43105" xr:uid="{00000000-0005-0000-0000-000044E60000}"/>
    <cellStyle name="Note 3 3 2 3 2" xfId="43106" xr:uid="{00000000-0005-0000-0000-000045E60000}"/>
    <cellStyle name="Note 3 3 2 3 2 2" xfId="43107" xr:uid="{00000000-0005-0000-0000-000046E60000}"/>
    <cellStyle name="Note 3 3 2 3 2 2 2" xfId="43108" xr:uid="{00000000-0005-0000-0000-000047E60000}"/>
    <cellStyle name="Note 3 3 2 3 2 2 2 2" xfId="61864" xr:uid="{00000000-0005-0000-0000-000048E60000}"/>
    <cellStyle name="Note 3 3 2 3 2 2 2 3" xfId="61865" xr:uid="{00000000-0005-0000-0000-000049E60000}"/>
    <cellStyle name="Note 3 3 2 3 2 2 3" xfId="43109" xr:uid="{00000000-0005-0000-0000-00004AE60000}"/>
    <cellStyle name="Note 3 3 2 3 2 2 3 2" xfId="61866" xr:uid="{00000000-0005-0000-0000-00004BE60000}"/>
    <cellStyle name="Note 3 3 2 3 2 2 4" xfId="43110" xr:uid="{00000000-0005-0000-0000-00004CE60000}"/>
    <cellStyle name="Note 3 3 2 3 2 2 5" xfId="43111" xr:uid="{00000000-0005-0000-0000-00004DE60000}"/>
    <cellStyle name="Note 3 3 2 3 2 2 6" xfId="43112" xr:uid="{00000000-0005-0000-0000-00004EE60000}"/>
    <cellStyle name="Note 3 3 2 3 2 3" xfId="43113" xr:uid="{00000000-0005-0000-0000-00004FE60000}"/>
    <cellStyle name="Note 3 3 2 3 2 3 2" xfId="61867" xr:uid="{00000000-0005-0000-0000-000050E60000}"/>
    <cellStyle name="Note 3 3 2 3 2 3 3" xfId="61868" xr:uid="{00000000-0005-0000-0000-000051E60000}"/>
    <cellStyle name="Note 3 3 2 3 2 4" xfId="43114" xr:uid="{00000000-0005-0000-0000-000052E60000}"/>
    <cellStyle name="Note 3 3 2 3 2 4 2" xfId="61869" xr:uid="{00000000-0005-0000-0000-000053E60000}"/>
    <cellStyle name="Note 3 3 2 3 2 5" xfId="43115" xr:uid="{00000000-0005-0000-0000-000054E60000}"/>
    <cellStyle name="Note 3 3 2 3 2 6" xfId="43116" xr:uid="{00000000-0005-0000-0000-000055E60000}"/>
    <cellStyle name="Note 3 3 2 3 2 7" xfId="43117" xr:uid="{00000000-0005-0000-0000-000056E60000}"/>
    <cellStyle name="Note 3 3 2 3 3" xfId="43118" xr:uid="{00000000-0005-0000-0000-000057E60000}"/>
    <cellStyle name="Note 3 3 2 3 3 2" xfId="43119" xr:uid="{00000000-0005-0000-0000-000058E60000}"/>
    <cellStyle name="Note 3 3 2 3 3 2 2" xfId="61870" xr:uid="{00000000-0005-0000-0000-000059E60000}"/>
    <cellStyle name="Note 3 3 2 3 3 2 3" xfId="61871" xr:uid="{00000000-0005-0000-0000-00005AE60000}"/>
    <cellStyle name="Note 3 3 2 3 3 3" xfId="43120" xr:uid="{00000000-0005-0000-0000-00005BE60000}"/>
    <cellStyle name="Note 3 3 2 3 3 3 2" xfId="61872" xr:uid="{00000000-0005-0000-0000-00005CE60000}"/>
    <cellStyle name="Note 3 3 2 3 3 4" xfId="43121" xr:uid="{00000000-0005-0000-0000-00005DE60000}"/>
    <cellStyle name="Note 3 3 2 3 3 5" xfId="43122" xr:uid="{00000000-0005-0000-0000-00005EE60000}"/>
    <cellStyle name="Note 3 3 2 3 3 6" xfId="43123" xr:uid="{00000000-0005-0000-0000-00005FE60000}"/>
    <cellStyle name="Note 3 3 2 3 4" xfId="43124" xr:uid="{00000000-0005-0000-0000-000060E60000}"/>
    <cellStyle name="Note 3 3 2 3 4 2" xfId="61873" xr:uid="{00000000-0005-0000-0000-000061E60000}"/>
    <cellStyle name="Note 3 3 2 3 4 3" xfId="61874" xr:uid="{00000000-0005-0000-0000-000062E60000}"/>
    <cellStyle name="Note 3 3 2 3 5" xfId="43125" xr:uid="{00000000-0005-0000-0000-000063E60000}"/>
    <cellStyle name="Note 3 3 2 3 5 2" xfId="61875" xr:uid="{00000000-0005-0000-0000-000064E60000}"/>
    <cellStyle name="Note 3 3 2 3 6" xfId="43126" xr:uid="{00000000-0005-0000-0000-000065E60000}"/>
    <cellStyle name="Note 3 3 2 3 7" xfId="43127" xr:uid="{00000000-0005-0000-0000-000066E60000}"/>
    <cellStyle name="Note 3 3 2 3 8" xfId="43128" xr:uid="{00000000-0005-0000-0000-000067E60000}"/>
    <cellStyle name="Note 3 3 2 4" xfId="43129" xr:uid="{00000000-0005-0000-0000-000068E60000}"/>
    <cellStyle name="Note 3 3 2 4 2" xfId="43130" xr:uid="{00000000-0005-0000-0000-000069E60000}"/>
    <cellStyle name="Note 3 3 2 4 2 2" xfId="43131" xr:uid="{00000000-0005-0000-0000-00006AE60000}"/>
    <cellStyle name="Note 3 3 2 4 2 2 2" xfId="61876" xr:uid="{00000000-0005-0000-0000-00006BE60000}"/>
    <cellStyle name="Note 3 3 2 4 2 2 3" xfId="61877" xr:uid="{00000000-0005-0000-0000-00006CE60000}"/>
    <cellStyle name="Note 3 3 2 4 2 3" xfId="43132" xr:uid="{00000000-0005-0000-0000-00006DE60000}"/>
    <cellStyle name="Note 3 3 2 4 2 3 2" xfId="61878" xr:uid="{00000000-0005-0000-0000-00006EE60000}"/>
    <cellStyle name="Note 3 3 2 4 2 4" xfId="43133" xr:uid="{00000000-0005-0000-0000-00006FE60000}"/>
    <cellStyle name="Note 3 3 2 4 2 5" xfId="43134" xr:uid="{00000000-0005-0000-0000-000070E60000}"/>
    <cellStyle name="Note 3 3 2 4 2 6" xfId="43135" xr:uid="{00000000-0005-0000-0000-000071E60000}"/>
    <cellStyle name="Note 3 3 2 4 3" xfId="43136" xr:uid="{00000000-0005-0000-0000-000072E60000}"/>
    <cellStyle name="Note 3 3 2 4 3 2" xfId="61879" xr:uid="{00000000-0005-0000-0000-000073E60000}"/>
    <cellStyle name="Note 3 3 2 4 3 3" xfId="61880" xr:uid="{00000000-0005-0000-0000-000074E60000}"/>
    <cellStyle name="Note 3 3 2 4 4" xfId="43137" xr:uid="{00000000-0005-0000-0000-000075E60000}"/>
    <cellStyle name="Note 3 3 2 4 4 2" xfId="61881" xr:uid="{00000000-0005-0000-0000-000076E60000}"/>
    <cellStyle name="Note 3 3 2 4 5" xfId="43138" xr:uid="{00000000-0005-0000-0000-000077E60000}"/>
    <cellStyle name="Note 3 3 2 4 6" xfId="43139" xr:uid="{00000000-0005-0000-0000-000078E60000}"/>
    <cellStyle name="Note 3 3 2 4 7" xfId="43140" xr:uid="{00000000-0005-0000-0000-000079E60000}"/>
    <cellStyle name="Note 3 3 2 5" xfId="43141" xr:uid="{00000000-0005-0000-0000-00007AE60000}"/>
    <cellStyle name="Note 3 3 2 5 2" xfId="43142" xr:uid="{00000000-0005-0000-0000-00007BE60000}"/>
    <cellStyle name="Note 3 3 2 5 2 2" xfId="61882" xr:uid="{00000000-0005-0000-0000-00007CE60000}"/>
    <cellStyle name="Note 3 3 2 5 2 3" xfId="61883" xr:uid="{00000000-0005-0000-0000-00007DE60000}"/>
    <cellStyle name="Note 3 3 2 5 3" xfId="43143" xr:uid="{00000000-0005-0000-0000-00007EE60000}"/>
    <cellStyle name="Note 3 3 2 5 3 2" xfId="61884" xr:uid="{00000000-0005-0000-0000-00007FE60000}"/>
    <cellStyle name="Note 3 3 2 5 4" xfId="43144" xr:uid="{00000000-0005-0000-0000-000080E60000}"/>
    <cellStyle name="Note 3 3 2 5 5" xfId="43145" xr:uid="{00000000-0005-0000-0000-000081E60000}"/>
    <cellStyle name="Note 3 3 2 5 6" xfId="43146" xr:uid="{00000000-0005-0000-0000-000082E60000}"/>
    <cellStyle name="Note 3 3 2 6" xfId="43147" xr:uid="{00000000-0005-0000-0000-000083E60000}"/>
    <cellStyle name="Note 3 3 2 6 2" xfId="61885" xr:uid="{00000000-0005-0000-0000-000084E60000}"/>
    <cellStyle name="Note 3 3 2 6 3" xfId="61886" xr:uid="{00000000-0005-0000-0000-000085E60000}"/>
    <cellStyle name="Note 3 3 2 7" xfId="43148" xr:uid="{00000000-0005-0000-0000-000086E60000}"/>
    <cellStyle name="Note 3 3 2 7 2" xfId="61887" xr:uid="{00000000-0005-0000-0000-000087E60000}"/>
    <cellStyle name="Note 3 3 2 8" xfId="43149" xr:uid="{00000000-0005-0000-0000-000088E60000}"/>
    <cellStyle name="Note 3 3 2 9" xfId="43150" xr:uid="{00000000-0005-0000-0000-000089E60000}"/>
    <cellStyle name="Note 3 3 3" xfId="43151" xr:uid="{00000000-0005-0000-0000-00008AE60000}"/>
    <cellStyle name="Note 3 3 3 2" xfId="43152" xr:uid="{00000000-0005-0000-0000-00008BE60000}"/>
    <cellStyle name="Note 3 3 3 2 2" xfId="43153" xr:uid="{00000000-0005-0000-0000-00008CE60000}"/>
    <cellStyle name="Note 3 3 3 2 2 2" xfId="43154" xr:uid="{00000000-0005-0000-0000-00008DE60000}"/>
    <cellStyle name="Note 3 3 3 2 2 2 2" xfId="61888" xr:uid="{00000000-0005-0000-0000-00008EE60000}"/>
    <cellStyle name="Note 3 3 3 2 2 2 3" xfId="61889" xr:uid="{00000000-0005-0000-0000-00008FE60000}"/>
    <cellStyle name="Note 3 3 3 2 2 3" xfId="43155" xr:uid="{00000000-0005-0000-0000-000090E60000}"/>
    <cellStyle name="Note 3 3 3 2 2 3 2" xfId="61890" xr:uid="{00000000-0005-0000-0000-000091E60000}"/>
    <cellStyle name="Note 3 3 3 2 2 4" xfId="43156" xr:uid="{00000000-0005-0000-0000-000092E60000}"/>
    <cellStyle name="Note 3 3 3 2 2 5" xfId="43157" xr:uid="{00000000-0005-0000-0000-000093E60000}"/>
    <cellStyle name="Note 3 3 3 2 2 6" xfId="43158" xr:uid="{00000000-0005-0000-0000-000094E60000}"/>
    <cellStyle name="Note 3 3 3 2 3" xfId="43159" xr:uid="{00000000-0005-0000-0000-000095E60000}"/>
    <cellStyle name="Note 3 3 3 2 3 2" xfId="61891" xr:uid="{00000000-0005-0000-0000-000096E60000}"/>
    <cellStyle name="Note 3 3 3 2 3 3" xfId="61892" xr:uid="{00000000-0005-0000-0000-000097E60000}"/>
    <cellStyle name="Note 3 3 3 2 4" xfId="43160" xr:uid="{00000000-0005-0000-0000-000098E60000}"/>
    <cellStyle name="Note 3 3 3 2 4 2" xfId="61893" xr:uid="{00000000-0005-0000-0000-000099E60000}"/>
    <cellStyle name="Note 3 3 3 2 5" xfId="43161" xr:uid="{00000000-0005-0000-0000-00009AE60000}"/>
    <cellStyle name="Note 3 3 3 2 6" xfId="43162" xr:uid="{00000000-0005-0000-0000-00009BE60000}"/>
    <cellStyle name="Note 3 3 3 2 7" xfId="43163" xr:uid="{00000000-0005-0000-0000-00009CE60000}"/>
    <cellStyle name="Note 3 3 3 3" xfId="43164" xr:uid="{00000000-0005-0000-0000-00009DE60000}"/>
    <cellStyle name="Note 3 3 3 3 2" xfId="43165" xr:uid="{00000000-0005-0000-0000-00009EE60000}"/>
    <cellStyle name="Note 3 3 3 3 2 2" xfId="61894" xr:uid="{00000000-0005-0000-0000-00009FE60000}"/>
    <cellStyle name="Note 3 3 3 3 2 3" xfId="61895" xr:uid="{00000000-0005-0000-0000-0000A0E60000}"/>
    <cellStyle name="Note 3 3 3 3 3" xfId="43166" xr:uid="{00000000-0005-0000-0000-0000A1E60000}"/>
    <cellStyle name="Note 3 3 3 3 3 2" xfId="61896" xr:uid="{00000000-0005-0000-0000-0000A2E60000}"/>
    <cellStyle name="Note 3 3 3 3 4" xfId="43167" xr:uid="{00000000-0005-0000-0000-0000A3E60000}"/>
    <cellStyle name="Note 3 3 3 3 5" xfId="43168" xr:uid="{00000000-0005-0000-0000-0000A4E60000}"/>
    <cellStyle name="Note 3 3 3 3 6" xfId="43169" xr:uid="{00000000-0005-0000-0000-0000A5E60000}"/>
    <cellStyle name="Note 3 3 3 4" xfId="43170" xr:uid="{00000000-0005-0000-0000-0000A6E60000}"/>
    <cellStyle name="Note 3 3 3 4 2" xfId="61897" xr:uid="{00000000-0005-0000-0000-0000A7E60000}"/>
    <cellStyle name="Note 3 3 3 4 3" xfId="61898" xr:uid="{00000000-0005-0000-0000-0000A8E60000}"/>
    <cellStyle name="Note 3 3 3 5" xfId="43171" xr:uid="{00000000-0005-0000-0000-0000A9E60000}"/>
    <cellStyle name="Note 3 3 3 5 2" xfId="61899" xr:uid="{00000000-0005-0000-0000-0000AAE60000}"/>
    <cellStyle name="Note 3 3 3 6" xfId="43172" xr:uid="{00000000-0005-0000-0000-0000ABE60000}"/>
    <cellStyle name="Note 3 3 3 7" xfId="43173" xr:uid="{00000000-0005-0000-0000-0000ACE60000}"/>
    <cellStyle name="Note 3 3 3 8" xfId="43174" xr:uid="{00000000-0005-0000-0000-0000ADE60000}"/>
    <cellStyle name="Note 3 3 3 9" xfId="43175" xr:uid="{00000000-0005-0000-0000-0000AEE60000}"/>
    <cellStyle name="Note 3 3 4" xfId="43176" xr:uid="{00000000-0005-0000-0000-0000AFE60000}"/>
    <cellStyle name="Note 3 3 4 2" xfId="43177" xr:uid="{00000000-0005-0000-0000-0000B0E60000}"/>
    <cellStyle name="Note 3 3 4 2 2" xfId="43178" xr:uid="{00000000-0005-0000-0000-0000B1E60000}"/>
    <cellStyle name="Note 3 3 4 2 2 2" xfId="43179" xr:uid="{00000000-0005-0000-0000-0000B2E60000}"/>
    <cellStyle name="Note 3 3 4 2 2 2 2" xfId="61900" xr:uid="{00000000-0005-0000-0000-0000B3E60000}"/>
    <cellStyle name="Note 3 3 4 2 2 2 3" xfId="61901" xr:uid="{00000000-0005-0000-0000-0000B4E60000}"/>
    <cellStyle name="Note 3 3 4 2 2 3" xfId="43180" xr:uid="{00000000-0005-0000-0000-0000B5E60000}"/>
    <cellStyle name="Note 3 3 4 2 2 3 2" xfId="61902" xr:uid="{00000000-0005-0000-0000-0000B6E60000}"/>
    <cellStyle name="Note 3 3 4 2 2 4" xfId="43181" xr:uid="{00000000-0005-0000-0000-0000B7E60000}"/>
    <cellStyle name="Note 3 3 4 2 2 5" xfId="43182" xr:uid="{00000000-0005-0000-0000-0000B8E60000}"/>
    <cellStyle name="Note 3 3 4 2 2 6" xfId="43183" xr:uid="{00000000-0005-0000-0000-0000B9E60000}"/>
    <cellStyle name="Note 3 3 4 2 3" xfId="43184" xr:uid="{00000000-0005-0000-0000-0000BAE60000}"/>
    <cellStyle name="Note 3 3 4 2 3 2" xfId="61903" xr:uid="{00000000-0005-0000-0000-0000BBE60000}"/>
    <cellStyle name="Note 3 3 4 2 3 3" xfId="61904" xr:uid="{00000000-0005-0000-0000-0000BCE60000}"/>
    <cellStyle name="Note 3 3 4 2 4" xfId="43185" xr:uid="{00000000-0005-0000-0000-0000BDE60000}"/>
    <cellStyle name="Note 3 3 4 2 4 2" xfId="61905" xr:uid="{00000000-0005-0000-0000-0000BEE60000}"/>
    <cellStyle name="Note 3 3 4 2 5" xfId="43186" xr:uid="{00000000-0005-0000-0000-0000BFE60000}"/>
    <cellStyle name="Note 3 3 4 2 6" xfId="43187" xr:uid="{00000000-0005-0000-0000-0000C0E60000}"/>
    <cellStyle name="Note 3 3 4 2 7" xfId="43188" xr:uid="{00000000-0005-0000-0000-0000C1E60000}"/>
    <cellStyle name="Note 3 3 4 3" xfId="43189" xr:uid="{00000000-0005-0000-0000-0000C2E60000}"/>
    <cellStyle name="Note 3 3 4 3 2" xfId="43190" xr:uid="{00000000-0005-0000-0000-0000C3E60000}"/>
    <cellStyle name="Note 3 3 4 3 2 2" xfId="61906" xr:uid="{00000000-0005-0000-0000-0000C4E60000}"/>
    <cellStyle name="Note 3 3 4 3 2 3" xfId="61907" xr:uid="{00000000-0005-0000-0000-0000C5E60000}"/>
    <cellStyle name="Note 3 3 4 3 3" xfId="43191" xr:uid="{00000000-0005-0000-0000-0000C6E60000}"/>
    <cellStyle name="Note 3 3 4 3 3 2" xfId="61908" xr:uid="{00000000-0005-0000-0000-0000C7E60000}"/>
    <cellStyle name="Note 3 3 4 3 4" xfId="43192" xr:uid="{00000000-0005-0000-0000-0000C8E60000}"/>
    <cellStyle name="Note 3 3 4 3 5" xfId="43193" xr:uid="{00000000-0005-0000-0000-0000C9E60000}"/>
    <cellStyle name="Note 3 3 4 3 6" xfId="43194" xr:uid="{00000000-0005-0000-0000-0000CAE60000}"/>
    <cellStyle name="Note 3 3 4 4" xfId="43195" xr:uid="{00000000-0005-0000-0000-0000CBE60000}"/>
    <cellStyle name="Note 3 3 4 4 2" xfId="61909" xr:uid="{00000000-0005-0000-0000-0000CCE60000}"/>
    <cellStyle name="Note 3 3 4 4 3" xfId="61910" xr:uid="{00000000-0005-0000-0000-0000CDE60000}"/>
    <cellStyle name="Note 3 3 4 5" xfId="43196" xr:uid="{00000000-0005-0000-0000-0000CEE60000}"/>
    <cellStyle name="Note 3 3 4 5 2" xfId="61911" xr:uid="{00000000-0005-0000-0000-0000CFE60000}"/>
    <cellStyle name="Note 3 3 4 6" xfId="43197" xr:uid="{00000000-0005-0000-0000-0000D0E60000}"/>
    <cellStyle name="Note 3 3 4 7" xfId="43198" xr:uid="{00000000-0005-0000-0000-0000D1E60000}"/>
    <cellStyle name="Note 3 3 4 8" xfId="43199" xr:uid="{00000000-0005-0000-0000-0000D2E60000}"/>
    <cellStyle name="Note 3 3 5" xfId="43200" xr:uid="{00000000-0005-0000-0000-0000D3E60000}"/>
    <cellStyle name="Note 3 3 5 2" xfId="43201" xr:uid="{00000000-0005-0000-0000-0000D4E60000}"/>
    <cellStyle name="Note 3 3 5 2 2" xfId="43202" xr:uid="{00000000-0005-0000-0000-0000D5E60000}"/>
    <cellStyle name="Note 3 3 5 2 2 2" xfId="61912" xr:uid="{00000000-0005-0000-0000-0000D6E60000}"/>
    <cellStyle name="Note 3 3 5 2 2 3" xfId="61913" xr:uid="{00000000-0005-0000-0000-0000D7E60000}"/>
    <cellStyle name="Note 3 3 5 2 3" xfId="43203" xr:uid="{00000000-0005-0000-0000-0000D8E60000}"/>
    <cellStyle name="Note 3 3 5 2 3 2" xfId="61914" xr:uid="{00000000-0005-0000-0000-0000D9E60000}"/>
    <cellStyle name="Note 3 3 5 2 4" xfId="43204" xr:uid="{00000000-0005-0000-0000-0000DAE60000}"/>
    <cellStyle name="Note 3 3 5 2 5" xfId="43205" xr:uid="{00000000-0005-0000-0000-0000DBE60000}"/>
    <cellStyle name="Note 3 3 5 2 6" xfId="43206" xr:uid="{00000000-0005-0000-0000-0000DCE60000}"/>
    <cellStyle name="Note 3 3 5 3" xfId="43207" xr:uid="{00000000-0005-0000-0000-0000DDE60000}"/>
    <cellStyle name="Note 3 3 5 3 2" xfId="61915" xr:uid="{00000000-0005-0000-0000-0000DEE60000}"/>
    <cellStyle name="Note 3 3 5 3 3" xfId="61916" xr:uid="{00000000-0005-0000-0000-0000DFE60000}"/>
    <cellStyle name="Note 3 3 5 4" xfId="43208" xr:uid="{00000000-0005-0000-0000-0000E0E60000}"/>
    <cellStyle name="Note 3 3 5 4 2" xfId="61917" xr:uid="{00000000-0005-0000-0000-0000E1E60000}"/>
    <cellStyle name="Note 3 3 5 5" xfId="43209" xr:uid="{00000000-0005-0000-0000-0000E2E60000}"/>
    <cellStyle name="Note 3 3 5 6" xfId="43210" xr:uid="{00000000-0005-0000-0000-0000E3E60000}"/>
    <cellStyle name="Note 3 3 5 7" xfId="43211" xr:uid="{00000000-0005-0000-0000-0000E4E60000}"/>
    <cellStyle name="Note 3 3 6" xfId="43212" xr:uid="{00000000-0005-0000-0000-0000E5E60000}"/>
    <cellStyle name="Note 3 3 6 2" xfId="43213" xr:uid="{00000000-0005-0000-0000-0000E6E60000}"/>
    <cellStyle name="Note 3 3 6 2 2" xfId="61918" xr:uid="{00000000-0005-0000-0000-0000E7E60000}"/>
    <cellStyle name="Note 3 3 6 2 3" xfId="61919" xr:uid="{00000000-0005-0000-0000-0000E8E60000}"/>
    <cellStyle name="Note 3 3 6 3" xfId="43214" xr:uid="{00000000-0005-0000-0000-0000E9E60000}"/>
    <cellStyle name="Note 3 3 6 3 2" xfId="61920" xr:uid="{00000000-0005-0000-0000-0000EAE60000}"/>
    <cellStyle name="Note 3 3 6 4" xfId="43215" xr:uid="{00000000-0005-0000-0000-0000EBE60000}"/>
    <cellStyle name="Note 3 3 6 5" xfId="43216" xr:uid="{00000000-0005-0000-0000-0000ECE60000}"/>
    <cellStyle name="Note 3 3 6 6" xfId="43217" xr:uid="{00000000-0005-0000-0000-0000EDE60000}"/>
    <cellStyle name="Note 3 3 7" xfId="43218" xr:uid="{00000000-0005-0000-0000-0000EEE60000}"/>
    <cellStyle name="Note 3 3 7 2" xfId="61921" xr:uid="{00000000-0005-0000-0000-0000EFE60000}"/>
    <cellStyle name="Note 3 3 7 3" xfId="61922" xr:uid="{00000000-0005-0000-0000-0000F0E60000}"/>
    <cellStyle name="Note 3 3 8" xfId="43219" xr:uid="{00000000-0005-0000-0000-0000F1E60000}"/>
    <cellStyle name="Note 3 3 8 2" xfId="61923" xr:uid="{00000000-0005-0000-0000-0000F2E60000}"/>
    <cellStyle name="Note 3 3 9" xfId="43220" xr:uid="{00000000-0005-0000-0000-0000F3E60000}"/>
    <cellStyle name="Note 3 4" xfId="43221" xr:uid="{00000000-0005-0000-0000-0000F4E60000}"/>
    <cellStyle name="Note 3 4 10" xfId="43222" xr:uid="{00000000-0005-0000-0000-0000F5E60000}"/>
    <cellStyle name="Note 3 4 11" xfId="43223" xr:uid="{00000000-0005-0000-0000-0000F6E60000}"/>
    <cellStyle name="Note 3 4 12" xfId="43224" xr:uid="{00000000-0005-0000-0000-0000F7E60000}"/>
    <cellStyle name="Note 3 4 13" xfId="43225" xr:uid="{00000000-0005-0000-0000-0000F8E60000}"/>
    <cellStyle name="Note 3 4 14" xfId="43226" xr:uid="{00000000-0005-0000-0000-0000F9E60000}"/>
    <cellStyle name="Note 3 4 15" xfId="43227" xr:uid="{00000000-0005-0000-0000-0000FAE60000}"/>
    <cellStyle name="Note 3 4 2" xfId="43228" xr:uid="{00000000-0005-0000-0000-0000FBE60000}"/>
    <cellStyle name="Note 3 4 2 2" xfId="43229" xr:uid="{00000000-0005-0000-0000-0000FCE60000}"/>
    <cellStyle name="Note 3 4 2 2 2" xfId="43230" xr:uid="{00000000-0005-0000-0000-0000FDE60000}"/>
    <cellStyle name="Note 3 4 2 2 2 2" xfId="43231" xr:uid="{00000000-0005-0000-0000-0000FEE60000}"/>
    <cellStyle name="Note 3 4 2 2 2 2 2" xfId="61924" xr:uid="{00000000-0005-0000-0000-0000FFE60000}"/>
    <cellStyle name="Note 3 4 2 2 2 2 3" xfId="61925" xr:uid="{00000000-0005-0000-0000-000000E70000}"/>
    <cellStyle name="Note 3 4 2 2 2 3" xfId="43232" xr:uid="{00000000-0005-0000-0000-000001E70000}"/>
    <cellStyle name="Note 3 4 2 2 2 3 2" xfId="61926" xr:uid="{00000000-0005-0000-0000-000002E70000}"/>
    <cellStyle name="Note 3 4 2 2 2 4" xfId="43233" xr:uid="{00000000-0005-0000-0000-000003E70000}"/>
    <cellStyle name="Note 3 4 2 2 2 5" xfId="43234" xr:uid="{00000000-0005-0000-0000-000004E70000}"/>
    <cellStyle name="Note 3 4 2 2 2 6" xfId="43235" xr:uid="{00000000-0005-0000-0000-000005E70000}"/>
    <cellStyle name="Note 3 4 2 2 3" xfId="43236" xr:uid="{00000000-0005-0000-0000-000006E70000}"/>
    <cellStyle name="Note 3 4 2 2 3 2" xfId="61927" xr:uid="{00000000-0005-0000-0000-000007E70000}"/>
    <cellStyle name="Note 3 4 2 2 3 3" xfId="61928" xr:uid="{00000000-0005-0000-0000-000008E70000}"/>
    <cellStyle name="Note 3 4 2 2 4" xfId="43237" xr:uid="{00000000-0005-0000-0000-000009E70000}"/>
    <cellStyle name="Note 3 4 2 2 4 2" xfId="61929" xr:uid="{00000000-0005-0000-0000-00000AE70000}"/>
    <cellStyle name="Note 3 4 2 2 5" xfId="43238" xr:uid="{00000000-0005-0000-0000-00000BE70000}"/>
    <cellStyle name="Note 3 4 2 2 6" xfId="43239" xr:uid="{00000000-0005-0000-0000-00000CE70000}"/>
    <cellStyle name="Note 3 4 2 2 7" xfId="43240" xr:uid="{00000000-0005-0000-0000-00000DE70000}"/>
    <cellStyle name="Note 3 4 2 3" xfId="43241" xr:uid="{00000000-0005-0000-0000-00000EE70000}"/>
    <cellStyle name="Note 3 4 2 3 2" xfId="43242" xr:uid="{00000000-0005-0000-0000-00000FE70000}"/>
    <cellStyle name="Note 3 4 2 3 2 2" xfId="61930" xr:uid="{00000000-0005-0000-0000-000010E70000}"/>
    <cellStyle name="Note 3 4 2 3 2 3" xfId="61931" xr:uid="{00000000-0005-0000-0000-000011E70000}"/>
    <cellStyle name="Note 3 4 2 3 3" xfId="43243" xr:uid="{00000000-0005-0000-0000-000012E70000}"/>
    <cellStyle name="Note 3 4 2 3 3 2" xfId="61932" xr:uid="{00000000-0005-0000-0000-000013E70000}"/>
    <cellStyle name="Note 3 4 2 3 4" xfId="43244" xr:uid="{00000000-0005-0000-0000-000014E70000}"/>
    <cellStyle name="Note 3 4 2 3 5" xfId="43245" xr:uid="{00000000-0005-0000-0000-000015E70000}"/>
    <cellStyle name="Note 3 4 2 3 6" xfId="43246" xr:uid="{00000000-0005-0000-0000-000016E70000}"/>
    <cellStyle name="Note 3 4 2 4" xfId="43247" xr:uid="{00000000-0005-0000-0000-000017E70000}"/>
    <cellStyle name="Note 3 4 2 4 2" xfId="61933" xr:uid="{00000000-0005-0000-0000-000018E70000}"/>
    <cellStyle name="Note 3 4 2 4 3" xfId="61934" xr:uid="{00000000-0005-0000-0000-000019E70000}"/>
    <cellStyle name="Note 3 4 2 5" xfId="43248" xr:uid="{00000000-0005-0000-0000-00001AE70000}"/>
    <cellStyle name="Note 3 4 2 5 2" xfId="61935" xr:uid="{00000000-0005-0000-0000-00001BE70000}"/>
    <cellStyle name="Note 3 4 2 6" xfId="43249" xr:uid="{00000000-0005-0000-0000-00001CE70000}"/>
    <cellStyle name="Note 3 4 2 7" xfId="43250" xr:uid="{00000000-0005-0000-0000-00001DE70000}"/>
    <cellStyle name="Note 3 4 2 8" xfId="43251" xr:uid="{00000000-0005-0000-0000-00001EE70000}"/>
    <cellStyle name="Note 3 4 2 9" xfId="43252" xr:uid="{00000000-0005-0000-0000-00001FE70000}"/>
    <cellStyle name="Note 3 4 3" xfId="43253" xr:uid="{00000000-0005-0000-0000-000020E70000}"/>
    <cellStyle name="Note 3 4 3 2" xfId="43254" xr:uid="{00000000-0005-0000-0000-000021E70000}"/>
    <cellStyle name="Note 3 4 3 2 2" xfId="43255" xr:uid="{00000000-0005-0000-0000-000022E70000}"/>
    <cellStyle name="Note 3 4 3 2 2 2" xfId="43256" xr:uid="{00000000-0005-0000-0000-000023E70000}"/>
    <cellStyle name="Note 3 4 3 2 2 2 2" xfId="61936" xr:uid="{00000000-0005-0000-0000-000024E70000}"/>
    <cellStyle name="Note 3 4 3 2 2 2 3" xfId="61937" xr:uid="{00000000-0005-0000-0000-000025E70000}"/>
    <cellStyle name="Note 3 4 3 2 2 3" xfId="43257" xr:uid="{00000000-0005-0000-0000-000026E70000}"/>
    <cellStyle name="Note 3 4 3 2 2 3 2" xfId="61938" xr:uid="{00000000-0005-0000-0000-000027E70000}"/>
    <cellStyle name="Note 3 4 3 2 2 4" xfId="43258" xr:uid="{00000000-0005-0000-0000-000028E70000}"/>
    <cellStyle name="Note 3 4 3 2 2 5" xfId="43259" xr:uid="{00000000-0005-0000-0000-000029E70000}"/>
    <cellStyle name="Note 3 4 3 2 2 6" xfId="43260" xr:uid="{00000000-0005-0000-0000-00002AE70000}"/>
    <cellStyle name="Note 3 4 3 2 3" xfId="43261" xr:uid="{00000000-0005-0000-0000-00002BE70000}"/>
    <cellStyle name="Note 3 4 3 2 3 2" xfId="61939" xr:uid="{00000000-0005-0000-0000-00002CE70000}"/>
    <cellStyle name="Note 3 4 3 2 3 3" xfId="61940" xr:uid="{00000000-0005-0000-0000-00002DE70000}"/>
    <cellStyle name="Note 3 4 3 2 4" xfId="43262" xr:uid="{00000000-0005-0000-0000-00002EE70000}"/>
    <cellStyle name="Note 3 4 3 2 4 2" xfId="61941" xr:uid="{00000000-0005-0000-0000-00002FE70000}"/>
    <cellStyle name="Note 3 4 3 2 5" xfId="43263" xr:uid="{00000000-0005-0000-0000-000030E70000}"/>
    <cellStyle name="Note 3 4 3 2 6" xfId="43264" xr:uid="{00000000-0005-0000-0000-000031E70000}"/>
    <cellStyle name="Note 3 4 3 2 7" xfId="43265" xr:uid="{00000000-0005-0000-0000-000032E70000}"/>
    <cellStyle name="Note 3 4 3 3" xfId="43266" xr:uid="{00000000-0005-0000-0000-000033E70000}"/>
    <cellStyle name="Note 3 4 3 3 2" xfId="43267" xr:uid="{00000000-0005-0000-0000-000034E70000}"/>
    <cellStyle name="Note 3 4 3 3 2 2" xfId="61942" xr:uid="{00000000-0005-0000-0000-000035E70000}"/>
    <cellStyle name="Note 3 4 3 3 2 3" xfId="61943" xr:uid="{00000000-0005-0000-0000-000036E70000}"/>
    <cellStyle name="Note 3 4 3 3 3" xfId="43268" xr:uid="{00000000-0005-0000-0000-000037E70000}"/>
    <cellStyle name="Note 3 4 3 3 3 2" xfId="61944" xr:uid="{00000000-0005-0000-0000-000038E70000}"/>
    <cellStyle name="Note 3 4 3 3 4" xfId="43269" xr:uid="{00000000-0005-0000-0000-000039E70000}"/>
    <cellStyle name="Note 3 4 3 3 5" xfId="43270" xr:uid="{00000000-0005-0000-0000-00003AE70000}"/>
    <cellStyle name="Note 3 4 3 3 6" xfId="43271" xr:uid="{00000000-0005-0000-0000-00003BE70000}"/>
    <cellStyle name="Note 3 4 3 4" xfId="43272" xr:uid="{00000000-0005-0000-0000-00003CE70000}"/>
    <cellStyle name="Note 3 4 3 4 2" xfId="61945" xr:uid="{00000000-0005-0000-0000-00003DE70000}"/>
    <cellStyle name="Note 3 4 3 4 3" xfId="61946" xr:uid="{00000000-0005-0000-0000-00003EE70000}"/>
    <cellStyle name="Note 3 4 3 5" xfId="43273" xr:uid="{00000000-0005-0000-0000-00003FE70000}"/>
    <cellStyle name="Note 3 4 3 5 2" xfId="61947" xr:uid="{00000000-0005-0000-0000-000040E70000}"/>
    <cellStyle name="Note 3 4 3 6" xfId="43274" xr:uid="{00000000-0005-0000-0000-000041E70000}"/>
    <cellStyle name="Note 3 4 3 7" xfId="43275" xr:uid="{00000000-0005-0000-0000-000042E70000}"/>
    <cellStyle name="Note 3 4 3 8" xfId="43276" xr:uid="{00000000-0005-0000-0000-000043E70000}"/>
    <cellStyle name="Note 3 4 4" xfId="43277" xr:uid="{00000000-0005-0000-0000-000044E70000}"/>
    <cellStyle name="Note 3 4 4 2" xfId="43278" xr:uid="{00000000-0005-0000-0000-000045E70000}"/>
    <cellStyle name="Note 3 4 4 2 2" xfId="43279" xr:uid="{00000000-0005-0000-0000-000046E70000}"/>
    <cellStyle name="Note 3 4 4 2 2 2" xfId="61948" xr:uid="{00000000-0005-0000-0000-000047E70000}"/>
    <cellStyle name="Note 3 4 4 2 2 3" xfId="61949" xr:uid="{00000000-0005-0000-0000-000048E70000}"/>
    <cellStyle name="Note 3 4 4 2 3" xfId="43280" xr:uid="{00000000-0005-0000-0000-000049E70000}"/>
    <cellStyle name="Note 3 4 4 2 3 2" xfId="61950" xr:uid="{00000000-0005-0000-0000-00004AE70000}"/>
    <cellStyle name="Note 3 4 4 2 4" xfId="43281" xr:uid="{00000000-0005-0000-0000-00004BE70000}"/>
    <cellStyle name="Note 3 4 4 2 5" xfId="43282" xr:uid="{00000000-0005-0000-0000-00004CE70000}"/>
    <cellStyle name="Note 3 4 4 2 6" xfId="43283" xr:uid="{00000000-0005-0000-0000-00004DE70000}"/>
    <cellStyle name="Note 3 4 4 3" xfId="43284" xr:uid="{00000000-0005-0000-0000-00004EE70000}"/>
    <cellStyle name="Note 3 4 4 3 2" xfId="61951" xr:uid="{00000000-0005-0000-0000-00004FE70000}"/>
    <cellStyle name="Note 3 4 4 3 3" xfId="61952" xr:uid="{00000000-0005-0000-0000-000050E70000}"/>
    <cellStyle name="Note 3 4 4 4" xfId="43285" xr:uid="{00000000-0005-0000-0000-000051E70000}"/>
    <cellStyle name="Note 3 4 4 4 2" xfId="61953" xr:uid="{00000000-0005-0000-0000-000052E70000}"/>
    <cellStyle name="Note 3 4 4 5" xfId="43286" xr:uid="{00000000-0005-0000-0000-000053E70000}"/>
    <cellStyle name="Note 3 4 4 6" xfId="43287" xr:uid="{00000000-0005-0000-0000-000054E70000}"/>
    <cellStyle name="Note 3 4 4 7" xfId="43288" xr:uid="{00000000-0005-0000-0000-000055E70000}"/>
    <cellStyle name="Note 3 4 5" xfId="43289" xr:uid="{00000000-0005-0000-0000-000056E70000}"/>
    <cellStyle name="Note 3 4 5 2" xfId="43290" xr:uid="{00000000-0005-0000-0000-000057E70000}"/>
    <cellStyle name="Note 3 4 5 2 2" xfId="61954" xr:uid="{00000000-0005-0000-0000-000058E70000}"/>
    <cellStyle name="Note 3 4 5 2 3" xfId="61955" xr:uid="{00000000-0005-0000-0000-000059E70000}"/>
    <cellStyle name="Note 3 4 5 3" xfId="43291" xr:uid="{00000000-0005-0000-0000-00005AE70000}"/>
    <cellStyle name="Note 3 4 5 3 2" xfId="61956" xr:uid="{00000000-0005-0000-0000-00005BE70000}"/>
    <cellStyle name="Note 3 4 5 4" xfId="43292" xr:uid="{00000000-0005-0000-0000-00005CE70000}"/>
    <cellStyle name="Note 3 4 5 5" xfId="43293" xr:uid="{00000000-0005-0000-0000-00005DE70000}"/>
    <cellStyle name="Note 3 4 5 6" xfId="43294" xr:uid="{00000000-0005-0000-0000-00005EE70000}"/>
    <cellStyle name="Note 3 4 6" xfId="43295" xr:uid="{00000000-0005-0000-0000-00005FE70000}"/>
    <cellStyle name="Note 3 4 6 2" xfId="61957" xr:uid="{00000000-0005-0000-0000-000060E70000}"/>
    <cellStyle name="Note 3 4 6 3" xfId="61958" xr:uid="{00000000-0005-0000-0000-000061E70000}"/>
    <cellStyle name="Note 3 4 7" xfId="43296" xr:uid="{00000000-0005-0000-0000-000062E70000}"/>
    <cellStyle name="Note 3 4 7 2" xfId="61959" xr:uid="{00000000-0005-0000-0000-000063E70000}"/>
    <cellStyle name="Note 3 4 8" xfId="43297" xr:uid="{00000000-0005-0000-0000-000064E70000}"/>
    <cellStyle name="Note 3 4 9" xfId="43298" xr:uid="{00000000-0005-0000-0000-000065E70000}"/>
    <cellStyle name="Note 3 5" xfId="43299" xr:uid="{00000000-0005-0000-0000-000066E70000}"/>
    <cellStyle name="Note 3 5 10" xfId="43300" xr:uid="{00000000-0005-0000-0000-000067E70000}"/>
    <cellStyle name="Note 3 5 11" xfId="43301" xr:uid="{00000000-0005-0000-0000-000068E70000}"/>
    <cellStyle name="Note 3 5 12" xfId="43302" xr:uid="{00000000-0005-0000-0000-000069E70000}"/>
    <cellStyle name="Note 3 5 13" xfId="43303" xr:uid="{00000000-0005-0000-0000-00006AE70000}"/>
    <cellStyle name="Note 3 5 14" xfId="43304" xr:uid="{00000000-0005-0000-0000-00006BE70000}"/>
    <cellStyle name="Note 3 5 15" xfId="43305" xr:uid="{00000000-0005-0000-0000-00006CE70000}"/>
    <cellStyle name="Note 3 5 2" xfId="43306" xr:uid="{00000000-0005-0000-0000-00006DE70000}"/>
    <cellStyle name="Note 3 5 2 2" xfId="43307" xr:uid="{00000000-0005-0000-0000-00006EE70000}"/>
    <cellStyle name="Note 3 5 2 2 2" xfId="43308" xr:uid="{00000000-0005-0000-0000-00006FE70000}"/>
    <cellStyle name="Note 3 5 2 2 2 2" xfId="43309" xr:uid="{00000000-0005-0000-0000-000070E70000}"/>
    <cellStyle name="Note 3 5 2 2 2 2 2" xfId="61960" xr:uid="{00000000-0005-0000-0000-000071E70000}"/>
    <cellStyle name="Note 3 5 2 2 2 2 3" xfId="61961" xr:uid="{00000000-0005-0000-0000-000072E70000}"/>
    <cellStyle name="Note 3 5 2 2 2 3" xfId="43310" xr:uid="{00000000-0005-0000-0000-000073E70000}"/>
    <cellStyle name="Note 3 5 2 2 2 3 2" xfId="61962" xr:uid="{00000000-0005-0000-0000-000074E70000}"/>
    <cellStyle name="Note 3 5 2 2 2 4" xfId="43311" xr:uid="{00000000-0005-0000-0000-000075E70000}"/>
    <cellStyle name="Note 3 5 2 2 2 5" xfId="43312" xr:uid="{00000000-0005-0000-0000-000076E70000}"/>
    <cellStyle name="Note 3 5 2 2 2 6" xfId="43313" xr:uid="{00000000-0005-0000-0000-000077E70000}"/>
    <cellStyle name="Note 3 5 2 2 3" xfId="43314" xr:uid="{00000000-0005-0000-0000-000078E70000}"/>
    <cellStyle name="Note 3 5 2 2 3 2" xfId="61963" xr:uid="{00000000-0005-0000-0000-000079E70000}"/>
    <cellStyle name="Note 3 5 2 2 3 3" xfId="61964" xr:uid="{00000000-0005-0000-0000-00007AE70000}"/>
    <cellStyle name="Note 3 5 2 2 4" xfId="43315" xr:uid="{00000000-0005-0000-0000-00007BE70000}"/>
    <cellStyle name="Note 3 5 2 2 4 2" xfId="61965" xr:uid="{00000000-0005-0000-0000-00007CE70000}"/>
    <cellStyle name="Note 3 5 2 2 5" xfId="43316" xr:uid="{00000000-0005-0000-0000-00007DE70000}"/>
    <cellStyle name="Note 3 5 2 2 6" xfId="43317" xr:uid="{00000000-0005-0000-0000-00007EE70000}"/>
    <cellStyle name="Note 3 5 2 2 7" xfId="43318" xr:uid="{00000000-0005-0000-0000-00007FE70000}"/>
    <cellStyle name="Note 3 5 2 3" xfId="43319" xr:uid="{00000000-0005-0000-0000-000080E70000}"/>
    <cellStyle name="Note 3 5 2 3 2" xfId="43320" xr:uid="{00000000-0005-0000-0000-000081E70000}"/>
    <cellStyle name="Note 3 5 2 3 2 2" xfId="61966" xr:uid="{00000000-0005-0000-0000-000082E70000}"/>
    <cellStyle name="Note 3 5 2 3 2 3" xfId="61967" xr:uid="{00000000-0005-0000-0000-000083E70000}"/>
    <cellStyle name="Note 3 5 2 3 3" xfId="43321" xr:uid="{00000000-0005-0000-0000-000084E70000}"/>
    <cellStyle name="Note 3 5 2 3 3 2" xfId="61968" xr:uid="{00000000-0005-0000-0000-000085E70000}"/>
    <cellStyle name="Note 3 5 2 3 4" xfId="43322" xr:uid="{00000000-0005-0000-0000-000086E70000}"/>
    <cellStyle name="Note 3 5 2 3 5" xfId="43323" xr:uid="{00000000-0005-0000-0000-000087E70000}"/>
    <cellStyle name="Note 3 5 2 3 6" xfId="43324" xr:uid="{00000000-0005-0000-0000-000088E70000}"/>
    <cellStyle name="Note 3 5 2 4" xfId="43325" xr:uid="{00000000-0005-0000-0000-000089E70000}"/>
    <cellStyle name="Note 3 5 2 4 2" xfId="61969" xr:uid="{00000000-0005-0000-0000-00008AE70000}"/>
    <cellStyle name="Note 3 5 2 4 3" xfId="61970" xr:uid="{00000000-0005-0000-0000-00008BE70000}"/>
    <cellStyle name="Note 3 5 2 5" xfId="43326" xr:uid="{00000000-0005-0000-0000-00008CE70000}"/>
    <cellStyle name="Note 3 5 2 5 2" xfId="61971" xr:uid="{00000000-0005-0000-0000-00008DE70000}"/>
    <cellStyle name="Note 3 5 2 6" xfId="43327" xr:uid="{00000000-0005-0000-0000-00008EE70000}"/>
    <cellStyle name="Note 3 5 2 7" xfId="43328" xr:uid="{00000000-0005-0000-0000-00008FE70000}"/>
    <cellStyle name="Note 3 5 2 8" xfId="43329" xr:uid="{00000000-0005-0000-0000-000090E70000}"/>
    <cellStyle name="Note 3 5 2 9" xfId="43330" xr:uid="{00000000-0005-0000-0000-000091E70000}"/>
    <cellStyle name="Note 3 5 3" xfId="43331" xr:uid="{00000000-0005-0000-0000-000092E70000}"/>
    <cellStyle name="Note 3 5 3 2" xfId="43332" xr:uid="{00000000-0005-0000-0000-000093E70000}"/>
    <cellStyle name="Note 3 5 3 2 2" xfId="43333" xr:uid="{00000000-0005-0000-0000-000094E70000}"/>
    <cellStyle name="Note 3 5 3 2 2 2" xfId="43334" xr:uid="{00000000-0005-0000-0000-000095E70000}"/>
    <cellStyle name="Note 3 5 3 2 2 2 2" xfId="61972" xr:uid="{00000000-0005-0000-0000-000096E70000}"/>
    <cellStyle name="Note 3 5 3 2 2 2 3" xfId="61973" xr:uid="{00000000-0005-0000-0000-000097E70000}"/>
    <cellStyle name="Note 3 5 3 2 2 3" xfId="43335" xr:uid="{00000000-0005-0000-0000-000098E70000}"/>
    <cellStyle name="Note 3 5 3 2 2 3 2" xfId="61974" xr:uid="{00000000-0005-0000-0000-000099E70000}"/>
    <cellStyle name="Note 3 5 3 2 2 4" xfId="43336" xr:uid="{00000000-0005-0000-0000-00009AE70000}"/>
    <cellStyle name="Note 3 5 3 2 2 5" xfId="43337" xr:uid="{00000000-0005-0000-0000-00009BE70000}"/>
    <cellStyle name="Note 3 5 3 2 2 6" xfId="43338" xr:uid="{00000000-0005-0000-0000-00009CE70000}"/>
    <cellStyle name="Note 3 5 3 2 3" xfId="43339" xr:uid="{00000000-0005-0000-0000-00009DE70000}"/>
    <cellStyle name="Note 3 5 3 2 3 2" xfId="61975" xr:uid="{00000000-0005-0000-0000-00009EE70000}"/>
    <cellStyle name="Note 3 5 3 2 3 3" xfId="61976" xr:uid="{00000000-0005-0000-0000-00009FE70000}"/>
    <cellStyle name="Note 3 5 3 2 4" xfId="43340" xr:uid="{00000000-0005-0000-0000-0000A0E70000}"/>
    <cellStyle name="Note 3 5 3 2 4 2" xfId="61977" xr:uid="{00000000-0005-0000-0000-0000A1E70000}"/>
    <cellStyle name="Note 3 5 3 2 5" xfId="43341" xr:uid="{00000000-0005-0000-0000-0000A2E70000}"/>
    <cellStyle name="Note 3 5 3 2 6" xfId="43342" xr:uid="{00000000-0005-0000-0000-0000A3E70000}"/>
    <cellStyle name="Note 3 5 3 2 7" xfId="43343" xr:uid="{00000000-0005-0000-0000-0000A4E70000}"/>
    <cellStyle name="Note 3 5 3 3" xfId="43344" xr:uid="{00000000-0005-0000-0000-0000A5E70000}"/>
    <cellStyle name="Note 3 5 3 3 2" xfId="43345" xr:uid="{00000000-0005-0000-0000-0000A6E70000}"/>
    <cellStyle name="Note 3 5 3 3 2 2" xfId="61978" xr:uid="{00000000-0005-0000-0000-0000A7E70000}"/>
    <cellStyle name="Note 3 5 3 3 2 3" xfId="61979" xr:uid="{00000000-0005-0000-0000-0000A8E70000}"/>
    <cellStyle name="Note 3 5 3 3 3" xfId="43346" xr:uid="{00000000-0005-0000-0000-0000A9E70000}"/>
    <cellStyle name="Note 3 5 3 3 3 2" xfId="61980" xr:uid="{00000000-0005-0000-0000-0000AAE70000}"/>
    <cellStyle name="Note 3 5 3 3 4" xfId="43347" xr:uid="{00000000-0005-0000-0000-0000ABE70000}"/>
    <cellStyle name="Note 3 5 3 3 5" xfId="43348" xr:uid="{00000000-0005-0000-0000-0000ACE70000}"/>
    <cellStyle name="Note 3 5 3 3 6" xfId="43349" xr:uid="{00000000-0005-0000-0000-0000ADE70000}"/>
    <cellStyle name="Note 3 5 3 4" xfId="43350" xr:uid="{00000000-0005-0000-0000-0000AEE70000}"/>
    <cellStyle name="Note 3 5 3 4 2" xfId="61981" xr:uid="{00000000-0005-0000-0000-0000AFE70000}"/>
    <cellStyle name="Note 3 5 3 4 3" xfId="61982" xr:uid="{00000000-0005-0000-0000-0000B0E70000}"/>
    <cellStyle name="Note 3 5 3 5" xfId="43351" xr:uid="{00000000-0005-0000-0000-0000B1E70000}"/>
    <cellStyle name="Note 3 5 3 5 2" xfId="61983" xr:uid="{00000000-0005-0000-0000-0000B2E70000}"/>
    <cellStyle name="Note 3 5 3 6" xfId="43352" xr:uid="{00000000-0005-0000-0000-0000B3E70000}"/>
    <cellStyle name="Note 3 5 3 7" xfId="43353" xr:uid="{00000000-0005-0000-0000-0000B4E70000}"/>
    <cellStyle name="Note 3 5 3 8" xfId="43354" xr:uid="{00000000-0005-0000-0000-0000B5E70000}"/>
    <cellStyle name="Note 3 5 4" xfId="43355" xr:uid="{00000000-0005-0000-0000-0000B6E70000}"/>
    <cellStyle name="Note 3 5 4 2" xfId="43356" xr:uid="{00000000-0005-0000-0000-0000B7E70000}"/>
    <cellStyle name="Note 3 5 4 2 2" xfId="43357" xr:uid="{00000000-0005-0000-0000-0000B8E70000}"/>
    <cellStyle name="Note 3 5 4 2 2 2" xfId="61984" xr:uid="{00000000-0005-0000-0000-0000B9E70000}"/>
    <cellStyle name="Note 3 5 4 2 2 3" xfId="61985" xr:uid="{00000000-0005-0000-0000-0000BAE70000}"/>
    <cellStyle name="Note 3 5 4 2 3" xfId="43358" xr:uid="{00000000-0005-0000-0000-0000BBE70000}"/>
    <cellStyle name="Note 3 5 4 2 3 2" xfId="61986" xr:uid="{00000000-0005-0000-0000-0000BCE70000}"/>
    <cellStyle name="Note 3 5 4 2 4" xfId="43359" xr:uid="{00000000-0005-0000-0000-0000BDE70000}"/>
    <cellStyle name="Note 3 5 4 2 5" xfId="43360" xr:uid="{00000000-0005-0000-0000-0000BEE70000}"/>
    <cellStyle name="Note 3 5 4 2 6" xfId="43361" xr:uid="{00000000-0005-0000-0000-0000BFE70000}"/>
    <cellStyle name="Note 3 5 4 3" xfId="43362" xr:uid="{00000000-0005-0000-0000-0000C0E70000}"/>
    <cellStyle name="Note 3 5 4 3 2" xfId="61987" xr:uid="{00000000-0005-0000-0000-0000C1E70000}"/>
    <cellStyle name="Note 3 5 4 3 3" xfId="61988" xr:uid="{00000000-0005-0000-0000-0000C2E70000}"/>
    <cellStyle name="Note 3 5 4 4" xfId="43363" xr:uid="{00000000-0005-0000-0000-0000C3E70000}"/>
    <cellStyle name="Note 3 5 4 4 2" xfId="61989" xr:uid="{00000000-0005-0000-0000-0000C4E70000}"/>
    <cellStyle name="Note 3 5 4 5" xfId="43364" xr:uid="{00000000-0005-0000-0000-0000C5E70000}"/>
    <cellStyle name="Note 3 5 4 6" xfId="43365" xr:uid="{00000000-0005-0000-0000-0000C6E70000}"/>
    <cellStyle name="Note 3 5 4 7" xfId="43366" xr:uid="{00000000-0005-0000-0000-0000C7E70000}"/>
    <cellStyle name="Note 3 5 5" xfId="43367" xr:uid="{00000000-0005-0000-0000-0000C8E70000}"/>
    <cellStyle name="Note 3 5 5 2" xfId="43368" xr:uid="{00000000-0005-0000-0000-0000C9E70000}"/>
    <cellStyle name="Note 3 5 5 2 2" xfId="61990" xr:uid="{00000000-0005-0000-0000-0000CAE70000}"/>
    <cellStyle name="Note 3 5 5 2 3" xfId="61991" xr:uid="{00000000-0005-0000-0000-0000CBE70000}"/>
    <cellStyle name="Note 3 5 5 3" xfId="43369" xr:uid="{00000000-0005-0000-0000-0000CCE70000}"/>
    <cellStyle name="Note 3 5 5 3 2" xfId="61992" xr:uid="{00000000-0005-0000-0000-0000CDE70000}"/>
    <cellStyle name="Note 3 5 5 4" xfId="43370" xr:uid="{00000000-0005-0000-0000-0000CEE70000}"/>
    <cellStyle name="Note 3 5 5 5" xfId="43371" xr:uid="{00000000-0005-0000-0000-0000CFE70000}"/>
    <cellStyle name="Note 3 5 5 6" xfId="43372" xr:uid="{00000000-0005-0000-0000-0000D0E70000}"/>
    <cellStyle name="Note 3 5 6" xfId="43373" xr:uid="{00000000-0005-0000-0000-0000D1E70000}"/>
    <cellStyle name="Note 3 5 6 2" xfId="61993" xr:uid="{00000000-0005-0000-0000-0000D2E70000}"/>
    <cellStyle name="Note 3 5 6 3" xfId="61994" xr:uid="{00000000-0005-0000-0000-0000D3E70000}"/>
    <cellStyle name="Note 3 5 7" xfId="43374" xr:uid="{00000000-0005-0000-0000-0000D4E70000}"/>
    <cellStyle name="Note 3 5 7 2" xfId="61995" xr:uid="{00000000-0005-0000-0000-0000D5E70000}"/>
    <cellStyle name="Note 3 5 8" xfId="43375" xr:uid="{00000000-0005-0000-0000-0000D6E70000}"/>
    <cellStyle name="Note 3 5 9" xfId="43376" xr:uid="{00000000-0005-0000-0000-0000D7E70000}"/>
    <cellStyle name="Note 3 6" xfId="43377" xr:uid="{00000000-0005-0000-0000-0000D8E70000}"/>
    <cellStyle name="Note 3 6 10" xfId="43378" xr:uid="{00000000-0005-0000-0000-0000D9E70000}"/>
    <cellStyle name="Note 3 6 11" xfId="43379" xr:uid="{00000000-0005-0000-0000-0000DAE70000}"/>
    <cellStyle name="Note 3 6 12" xfId="43380" xr:uid="{00000000-0005-0000-0000-0000DBE70000}"/>
    <cellStyle name="Note 3 6 13" xfId="43381" xr:uid="{00000000-0005-0000-0000-0000DCE70000}"/>
    <cellStyle name="Note 3 6 2" xfId="43382" xr:uid="{00000000-0005-0000-0000-0000DDE70000}"/>
    <cellStyle name="Note 3 6 2 2" xfId="43383" xr:uid="{00000000-0005-0000-0000-0000DEE70000}"/>
    <cellStyle name="Note 3 6 2 2 2" xfId="43384" xr:uid="{00000000-0005-0000-0000-0000DFE70000}"/>
    <cellStyle name="Note 3 6 2 2 2 2" xfId="43385" xr:uid="{00000000-0005-0000-0000-0000E0E70000}"/>
    <cellStyle name="Note 3 6 2 2 2 2 2" xfId="61996" xr:uid="{00000000-0005-0000-0000-0000E1E70000}"/>
    <cellStyle name="Note 3 6 2 2 2 2 3" xfId="61997" xr:uid="{00000000-0005-0000-0000-0000E2E70000}"/>
    <cellStyle name="Note 3 6 2 2 2 3" xfId="43386" xr:uid="{00000000-0005-0000-0000-0000E3E70000}"/>
    <cellStyle name="Note 3 6 2 2 2 3 2" xfId="61998" xr:uid="{00000000-0005-0000-0000-0000E4E70000}"/>
    <cellStyle name="Note 3 6 2 2 2 4" xfId="43387" xr:uid="{00000000-0005-0000-0000-0000E5E70000}"/>
    <cellStyle name="Note 3 6 2 2 2 5" xfId="43388" xr:uid="{00000000-0005-0000-0000-0000E6E70000}"/>
    <cellStyle name="Note 3 6 2 2 2 6" xfId="43389" xr:uid="{00000000-0005-0000-0000-0000E7E70000}"/>
    <cellStyle name="Note 3 6 2 2 3" xfId="43390" xr:uid="{00000000-0005-0000-0000-0000E8E70000}"/>
    <cellStyle name="Note 3 6 2 2 3 2" xfId="61999" xr:uid="{00000000-0005-0000-0000-0000E9E70000}"/>
    <cellStyle name="Note 3 6 2 2 3 3" xfId="62000" xr:uid="{00000000-0005-0000-0000-0000EAE70000}"/>
    <cellStyle name="Note 3 6 2 2 4" xfId="43391" xr:uid="{00000000-0005-0000-0000-0000EBE70000}"/>
    <cellStyle name="Note 3 6 2 2 4 2" xfId="62001" xr:uid="{00000000-0005-0000-0000-0000ECE70000}"/>
    <cellStyle name="Note 3 6 2 2 5" xfId="43392" xr:uid="{00000000-0005-0000-0000-0000EDE70000}"/>
    <cellStyle name="Note 3 6 2 2 6" xfId="43393" xr:uid="{00000000-0005-0000-0000-0000EEE70000}"/>
    <cellStyle name="Note 3 6 2 2 7" xfId="43394" xr:uid="{00000000-0005-0000-0000-0000EFE70000}"/>
    <cellStyle name="Note 3 6 2 3" xfId="43395" xr:uid="{00000000-0005-0000-0000-0000F0E70000}"/>
    <cellStyle name="Note 3 6 2 3 2" xfId="43396" xr:uid="{00000000-0005-0000-0000-0000F1E70000}"/>
    <cellStyle name="Note 3 6 2 3 2 2" xfId="62002" xr:uid="{00000000-0005-0000-0000-0000F2E70000}"/>
    <cellStyle name="Note 3 6 2 3 2 3" xfId="62003" xr:uid="{00000000-0005-0000-0000-0000F3E70000}"/>
    <cellStyle name="Note 3 6 2 3 3" xfId="43397" xr:uid="{00000000-0005-0000-0000-0000F4E70000}"/>
    <cellStyle name="Note 3 6 2 3 3 2" xfId="62004" xr:uid="{00000000-0005-0000-0000-0000F5E70000}"/>
    <cellStyle name="Note 3 6 2 3 4" xfId="43398" xr:uid="{00000000-0005-0000-0000-0000F6E70000}"/>
    <cellStyle name="Note 3 6 2 3 5" xfId="43399" xr:uid="{00000000-0005-0000-0000-0000F7E70000}"/>
    <cellStyle name="Note 3 6 2 3 6" xfId="43400" xr:uid="{00000000-0005-0000-0000-0000F8E70000}"/>
    <cellStyle name="Note 3 6 2 4" xfId="43401" xr:uid="{00000000-0005-0000-0000-0000F9E70000}"/>
    <cellStyle name="Note 3 6 2 4 2" xfId="62005" xr:uid="{00000000-0005-0000-0000-0000FAE70000}"/>
    <cellStyle name="Note 3 6 2 4 3" xfId="62006" xr:uid="{00000000-0005-0000-0000-0000FBE70000}"/>
    <cellStyle name="Note 3 6 2 5" xfId="43402" xr:uid="{00000000-0005-0000-0000-0000FCE70000}"/>
    <cellStyle name="Note 3 6 2 5 2" xfId="62007" xr:uid="{00000000-0005-0000-0000-0000FDE70000}"/>
    <cellStyle name="Note 3 6 2 6" xfId="43403" xr:uid="{00000000-0005-0000-0000-0000FEE70000}"/>
    <cellStyle name="Note 3 6 2 7" xfId="43404" xr:uid="{00000000-0005-0000-0000-0000FFE70000}"/>
    <cellStyle name="Note 3 6 2 8" xfId="43405" xr:uid="{00000000-0005-0000-0000-000000E80000}"/>
    <cellStyle name="Note 3 6 2 9" xfId="43406" xr:uid="{00000000-0005-0000-0000-000001E80000}"/>
    <cellStyle name="Note 3 6 3" xfId="43407" xr:uid="{00000000-0005-0000-0000-000002E80000}"/>
    <cellStyle name="Note 3 6 3 2" xfId="43408" xr:uid="{00000000-0005-0000-0000-000003E80000}"/>
    <cellStyle name="Note 3 6 3 2 2" xfId="43409" xr:uid="{00000000-0005-0000-0000-000004E80000}"/>
    <cellStyle name="Note 3 6 3 2 2 2" xfId="62008" xr:uid="{00000000-0005-0000-0000-000005E80000}"/>
    <cellStyle name="Note 3 6 3 2 2 3" xfId="62009" xr:uid="{00000000-0005-0000-0000-000006E80000}"/>
    <cellStyle name="Note 3 6 3 2 3" xfId="43410" xr:uid="{00000000-0005-0000-0000-000007E80000}"/>
    <cellStyle name="Note 3 6 3 2 3 2" xfId="62010" xr:uid="{00000000-0005-0000-0000-000008E80000}"/>
    <cellStyle name="Note 3 6 3 2 4" xfId="43411" xr:uid="{00000000-0005-0000-0000-000009E80000}"/>
    <cellStyle name="Note 3 6 3 2 5" xfId="43412" xr:uid="{00000000-0005-0000-0000-00000AE80000}"/>
    <cellStyle name="Note 3 6 3 2 6" xfId="43413" xr:uid="{00000000-0005-0000-0000-00000BE80000}"/>
    <cellStyle name="Note 3 6 3 3" xfId="43414" xr:uid="{00000000-0005-0000-0000-00000CE80000}"/>
    <cellStyle name="Note 3 6 3 3 2" xfId="62011" xr:uid="{00000000-0005-0000-0000-00000DE80000}"/>
    <cellStyle name="Note 3 6 3 3 3" xfId="62012" xr:uid="{00000000-0005-0000-0000-00000EE80000}"/>
    <cellStyle name="Note 3 6 3 4" xfId="43415" xr:uid="{00000000-0005-0000-0000-00000FE80000}"/>
    <cellStyle name="Note 3 6 3 4 2" xfId="62013" xr:uid="{00000000-0005-0000-0000-000010E80000}"/>
    <cellStyle name="Note 3 6 3 5" xfId="43416" xr:uid="{00000000-0005-0000-0000-000011E80000}"/>
    <cellStyle name="Note 3 6 3 6" xfId="43417" xr:uid="{00000000-0005-0000-0000-000012E80000}"/>
    <cellStyle name="Note 3 6 3 7" xfId="43418" xr:uid="{00000000-0005-0000-0000-000013E80000}"/>
    <cellStyle name="Note 3 6 4" xfId="43419" xr:uid="{00000000-0005-0000-0000-000014E80000}"/>
    <cellStyle name="Note 3 6 4 2" xfId="43420" xr:uid="{00000000-0005-0000-0000-000015E80000}"/>
    <cellStyle name="Note 3 6 4 2 2" xfId="62014" xr:uid="{00000000-0005-0000-0000-000016E80000}"/>
    <cellStyle name="Note 3 6 4 2 3" xfId="62015" xr:uid="{00000000-0005-0000-0000-000017E80000}"/>
    <cellStyle name="Note 3 6 4 3" xfId="43421" xr:uid="{00000000-0005-0000-0000-000018E80000}"/>
    <cellStyle name="Note 3 6 4 3 2" xfId="62016" xr:uid="{00000000-0005-0000-0000-000019E80000}"/>
    <cellStyle name="Note 3 6 4 4" xfId="43422" xr:uid="{00000000-0005-0000-0000-00001AE80000}"/>
    <cellStyle name="Note 3 6 4 5" xfId="43423" xr:uid="{00000000-0005-0000-0000-00001BE80000}"/>
    <cellStyle name="Note 3 6 4 6" xfId="43424" xr:uid="{00000000-0005-0000-0000-00001CE80000}"/>
    <cellStyle name="Note 3 6 5" xfId="43425" xr:uid="{00000000-0005-0000-0000-00001DE80000}"/>
    <cellStyle name="Note 3 6 5 2" xfId="62017" xr:uid="{00000000-0005-0000-0000-00001EE80000}"/>
    <cellStyle name="Note 3 6 5 3" xfId="62018" xr:uid="{00000000-0005-0000-0000-00001FE80000}"/>
    <cellStyle name="Note 3 6 6" xfId="43426" xr:uid="{00000000-0005-0000-0000-000020E80000}"/>
    <cellStyle name="Note 3 6 6 2" xfId="62019" xr:uid="{00000000-0005-0000-0000-000021E80000}"/>
    <cellStyle name="Note 3 6 7" xfId="43427" xr:uid="{00000000-0005-0000-0000-000022E80000}"/>
    <cellStyle name="Note 3 6 8" xfId="43428" xr:uid="{00000000-0005-0000-0000-000023E80000}"/>
    <cellStyle name="Note 3 6 9" xfId="43429" xr:uid="{00000000-0005-0000-0000-000024E80000}"/>
    <cellStyle name="Note 3 7" xfId="43430" xr:uid="{00000000-0005-0000-0000-000025E80000}"/>
    <cellStyle name="Note 3 7 2" xfId="43431" xr:uid="{00000000-0005-0000-0000-000026E80000}"/>
    <cellStyle name="Note 3 7 2 2" xfId="43432" xr:uid="{00000000-0005-0000-0000-000027E80000}"/>
    <cellStyle name="Note 3 7 2 2 2" xfId="43433" xr:uid="{00000000-0005-0000-0000-000028E80000}"/>
    <cellStyle name="Note 3 7 2 2 2 2" xfId="62020" xr:uid="{00000000-0005-0000-0000-000029E80000}"/>
    <cellStyle name="Note 3 7 2 2 2 3" xfId="62021" xr:uid="{00000000-0005-0000-0000-00002AE80000}"/>
    <cellStyle name="Note 3 7 2 2 3" xfId="43434" xr:uid="{00000000-0005-0000-0000-00002BE80000}"/>
    <cellStyle name="Note 3 7 2 2 3 2" xfId="62022" xr:uid="{00000000-0005-0000-0000-00002CE80000}"/>
    <cellStyle name="Note 3 7 2 2 4" xfId="43435" xr:uid="{00000000-0005-0000-0000-00002DE80000}"/>
    <cellStyle name="Note 3 7 2 2 5" xfId="43436" xr:uid="{00000000-0005-0000-0000-00002EE80000}"/>
    <cellStyle name="Note 3 7 2 2 6" xfId="43437" xr:uid="{00000000-0005-0000-0000-00002FE80000}"/>
    <cellStyle name="Note 3 7 2 3" xfId="43438" xr:uid="{00000000-0005-0000-0000-000030E80000}"/>
    <cellStyle name="Note 3 7 2 3 2" xfId="62023" xr:uid="{00000000-0005-0000-0000-000031E80000}"/>
    <cellStyle name="Note 3 7 2 3 3" xfId="62024" xr:uid="{00000000-0005-0000-0000-000032E80000}"/>
    <cellStyle name="Note 3 7 2 4" xfId="43439" xr:uid="{00000000-0005-0000-0000-000033E80000}"/>
    <cellStyle name="Note 3 7 2 4 2" xfId="62025" xr:uid="{00000000-0005-0000-0000-000034E80000}"/>
    <cellStyle name="Note 3 7 2 5" xfId="43440" xr:uid="{00000000-0005-0000-0000-000035E80000}"/>
    <cellStyle name="Note 3 7 2 6" xfId="43441" xr:uid="{00000000-0005-0000-0000-000036E80000}"/>
    <cellStyle name="Note 3 7 2 7" xfId="43442" xr:uid="{00000000-0005-0000-0000-000037E80000}"/>
    <cellStyle name="Note 3 7 3" xfId="43443" xr:uid="{00000000-0005-0000-0000-000038E80000}"/>
    <cellStyle name="Note 3 7 3 2" xfId="43444" xr:uid="{00000000-0005-0000-0000-000039E80000}"/>
    <cellStyle name="Note 3 7 3 2 2" xfId="62026" xr:uid="{00000000-0005-0000-0000-00003AE80000}"/>
    <cellStyle name="Note 3 7 3 2 3" xfId="62027" xr:uid="{00000000-0005-0000-0000-00003BE80000}"/>
    <cellStyle name="Note 3 7 3 3" xfId="43445" xr:uid="{00000000-0005-0000-0000-00003CE80000}"/>
    <cellStyle name="Note 3 7 3 3 2" xfId="62028" xr:uid="{00000000-0005-0000-0000-00003DE80000}"/>
    <cellStyle name="Note 3 7 3 4" xfId="43446" xr:uid="{00000000-0005-0000-0000-00003EE80000}"/>
    <cellStyle name="Note 3 7 3 5" xfId="43447" xr:uid="{00000000-0005-0000-0000-00003FE80000}"/>
    <cellStyle name="Note 3 7 3 6" xfId="43448" xr:uid="{00000000-0005-0000-0000-000040E80000}"/>
    <cellStyle name="Note 3 7 4" xfId="43449" xr:uid="{00000000-0005-0000-0000-000041E80000}"/>
    <cellStyle name="Note 3 7 4 2" xfId="62029" xr:uid="{00000000-0005-0000-0000-000042E80000}"/>
    <cellStyle name="Note 3 7 4 3" xfId="62030" xr:uid="{00000000-0005-0000-0000-000043E80000}"/>
    <cellStyle name="Note 3 7 5" xfId="43450" xr:uid="{00000000-0005-0000-0000-000044E80000}"/>
    <cellStyle name="Note 3 7 5 2" xfId="62031" xr:uid="{00000000-0005-0000-0000-000045E80000}"/>
    <cellStyle name="Note 3 7 6" xfId="43451" xr:uid="{00000000-0005-0000-0000-000046E80000}"/>
    <cellStyle name="Note 3 7 7" xfId="43452" xr:uid="{00000000-0005-0000-0000-000047E80000}"/>
    <cellStyle name="Note 3 7 8" xfId="43453" xr:uid="{00000000-0005-0000-0000-000048E80000}"/>
    <cellStyle name="Note 3 7 9" xfId="43454" xr:uid="{00000000-0005-0000-0000-000049E80000}"/>
    <cellStyle name="Note 3 8" xfId="43455" xr:uid="{00000000-0005-0000-0000-00004AE80000}"/>
    <cellStyle name="Note 3 8 2" xfId="43456" xr:uid="{00000000-0005-0000-0000-00004BE80000}"/>
    <cellStyle name="Note 3 8 2 2" xfId="43457" xr:uid="{00000000-0005-0000-0000-00004CE80000}"/>
    <cellStyle name="Note 3 8 2 2 2" xfId="43458" xr:uid="{00000000-0005-0000-0000-00004DE80000}"/>
    <cellStyle name="Note 3 8 2 2 2 2" xfId="62032" xr:uid="{00000000-0005-0000-0000-00004EE80000}"/>
    <cellStyle name="Note 3 8 2 2 2 3" xfId="62033" xr:uid="{00000000-0005-0000-0000-00004FE80000}"/>
    <cellStyle name="Note 3 8 2 2 3" xfId="43459" xr:uid="{00000000-0005-0000-0000-000050E80000}"/>
    <cellStyle name="Note 3 8 2 2 3 2" xfId="62034" xr:uid="{00000000-0005-0000-0000-000051E80000}"/>
    <cellStyle name="Note 3 8 2 2 4" xfId="43460" xr:uid="{00000000-0005-0000-0000-000052E80000}"/>
    <cellStyle name="Note 3 8 2 2 5" xfId="43461" xr:uid="{00000000-0005-0000-0000-000053E80000}"/>
    <cellStyle name="Note 3 8 2 2 6" xfId="43462" xr:uid="{00000000-0005-0000-0000-000054E80000}"/>
    <cellStyle name="Note 3 8 2 3" xfId="43463" xr:uid="{00000000-0005-0000-0000-000055E80000}"/>
    <cellStyle name="Note 3 8 2 3 2" xfId="62035" xr:uid="{00000000-0005-0000-0000-000056E80000}"/>
    <cellStyle name="Note 3 8 2 3 3" xfId="62036" xr:uid="{00000000-0005-0000-0000-000057E80000}"/>
    <cellStyle name="Note 3 8 2 4" xfId="43464" xr:uid="{00000000-0005-0000-0000-000058E80000}"/>
    <cellStyle name="Note 3 8 2 4 2" xfId="62037" xr:uid="{00000000-0005-0000-0000-000059E80000}"/>
    <cellStyle name="Note 3 8 2 5" xfId="43465" xr:uid="{00000000-0005-0000-0000-00005AE80000}"/>
    <cellStyle name="Note 3 8 2 6" xfId="43466" xr:uid="{00000000-0005-0000-0000-00005BE80000}"/>
    <cellStyle name="Note 3 8 2 7" xfId="43467" xr:uid="{00000000-0005-0000-0000-00005CE80000}"/>
    <cellStyle name="Note 3 8 3" xfId="43468" xr:uid="{00000000-0005-0000-0000-00005DE80000}"/>
    <cellStyle name="Note 3 8 3 2" xfId="43469" xr:uid="{00000000-0005-0000-0000-00005EE80000}"/>
    <cellStyle name="Note 3 8 3 2 2" xfId="62038" xr:uid="{00000000-0005-0000-0000-00005FE80000}"/>
    <cellStyle name="Note 3 8 3 2 3" xfId="62039" xr:uid="{00000000-0005-0000-0000-000060E80000}"/>
    <cellStyle name="Note 3 8 3 3" xfId="43470" xr:uid="{00000000-0005-0000-0000-000061E80000}"/>
    <cellStyle name="Note 3 8 3 3 2" xfId="62040" xr:uid="{00000000-0005-0000-0000-000062E80000}"/>
    <cellStyle name="Note 3 8 3 4" xfId="43471" xr:uid="{00000000-0005-0000-0000-000063E80000}"/>
    <cellStyle name="Note 3 8 3 5" xfId="43472" xr:uid="{00000000-0005-0000-0000-000064E80000}"/>
    <cellStyle name="Note 3 8 3 6" xfId="43473" xr:uid="{00000000-0005-0000-0000-000065E80000}"/>
    <cellStyle name="Note 3 8 4" xfId="43474" xr:uid="{00000000-0005-0000-0000-000066E80000}"/>
    <cellStyle name="Note 3 8 4 2" xfId="62041" xr:uid="{00000000-0005-0000-0000-000067E80000}"/>
    <cellStyle name="Note 3 8 4 3" xfId="62042" xr:uid="{00000000-0005-0000-0000-000068E80000}"/>
    <cellStyle name="Note 3 8 5" xfId="43475" xr:uid="{00000000-0005-0000-0000-000069E80000}"/>
    <cellStyle name="Note 3 8 5 2" xfId="62043" xr:uid="{00000000-0005-0000-0000-00006AE80000}"/>
    <cellStyle name="Note 3 8 6" xfId="43476" xr:uid="{00000000-0005-0000-0000-00006BE80000}"/>
    <cellStyle name="Note 3 8 7" xfId="43477" xr:uid="{00000000-0005-0000-0000-00006CE80000}"/>
    <cellStyle name="Note 3 8 8" xfId="43478" xr:uid="{00000000-0005-0000-0000-00006DE80000}"/>
    <cellStyle name="Note 3 9" xfId="43479" xr:uid="{00000000-0005-0000-0000-00006EE80000}"/>
    <cellStyle name="Note 3 9 2" xfId="43480" xr:uid="{00000000-0005-0000-0000-00006FE80000}"/>
    <cellStyle name="Note 3 9 2 2" xfId="43481" xr:uid="{00000000-0005-0000-0000-000070E80000}"/>
    <cellStyle name="Note 3 9 2 2 2" xfId="43482" xr:uid="{00000000-0005-0000-0000-000071E80000}"/>
    <cellStyle name="Note 3 9 2 2 2 2" xfId="62044" xr:uid="{00000000-0005-0000-0000-000072E80000}"/>
    <cellStyle name="Note 3 9 2 2 2 3" xfId="62045" xr:uid="{00000000-0005-0000-0000-000073E80000}"/>
    <cellStyle name="Note 3 9 2 2 3" xfId="43483" xr:uid="{00000000-0005-0000-0000-000074E80000}"/>
    <cellStyle name="Note 3 9 2 2 3 2" xfId="62046" xr:uid="{00000000-0005-0000-0000-000075E80000}"/>
    <cellStyle name="Note 3 9 2 2 4" xfId="43484" xr:uid="{00000000-0005-0000-0000-000076E80000}"/>
    <cellStyle name="Note 3 9 2 2 5" xfId="43485" xr:uid="{00000000-0005-0000-0000-000077E80000}"/>
    <cellStyle name="Note 3 9 2 2 6" xfId="43486" xr:uid="{00000000-0005-0000-0000-000078E80000}"/>
    <cellStyle name="Note 3 9 2 3" xfId="43487" xr:uid="{00000000-0005-0000-0000-000079E80000}"/>
    <cellStyle name="Note 3 9 2 3 2" xfId="62047" xr:uid="{00000000-0005-0000-0000-00007AE80000}"/>
    <cellStyle name="Note 3 9 2 3 3" xfId="62048" xr:uid="{00000000-0005-0000-0000-00007BE80000}"/>
    <cellStyle name="Note 3 9 2 4" xfId="43488" xr:uid="{00000000-0005-0000-0000-00007CE80000}"/>
    <cellStyle name="Note 3 9 2 4 2" xfId="62049" xr:uid="{00000000-0005-0000-0000-00007DE80000}"/>
    <cellStyle name="Note 3 9 2 5" xfId="43489" xr:uid="{00000000-0005-0000-0000-00007EE80000}"/>
    <cellStyle name="Note 3 9 2 6" xfId="43490" xr:uid="{00000000-0005-0000-0000-00007FE80000}"/>
    <cellStyle name="Note 3 9 2 7" xfId="43491" xr:uid="{00000000-0005-0000-0000-000080E80000}"/>
    <cellStyle name="Note 3 9 3" xfId="43492" xr:uid="{00000000-0005-0000-0000-000081E80000}"/>
    <cellStyle name="Note 3 9 3 2" xfId="43493" xr:uid="{00000000-0005-0000-0000-000082E80000}"/>
    <cellStyle name="Note 3 9 3 2 2" xfId="62050" xr:uid="{00000000-0005-0000-0000-000083E80000}"/>
    <cellStyle name="Note 3 9 3 2 3" xfId="62051" xr:uid="{00000000-0005-0000-0000-000084E80000}"/>
    <cellStyle name="Note 3 9 3 3" xfId="43494" xr:uid="{00000000-0005-0000-0000-000085E80000}"/>
    <cellStyle name="Note 3 9 3 3 2" xfId="62052" xr:uid="{00000000-0005-0000-0000-000086E80000}"/>
    <cellStyle name="Note 3 9 3 4" xfId="43495" xr:uid="{00000000-0005-0000-0000-000087E80000}"/>
    <cellStyle name="Note 3 9 3 5" xfId="43496" xr:uid="{00000000-0005-0000-0000-000088E80000}"/>
    <cellStyle name="Note 3 9 3 6" xfId="43497" xr:uid="{00000000-0005-0000-0000-000089E80000}"/>
    <cellStyle name="Note 3 9 4" xfId="43498" xr:uid="{00000000-0005-0000-0000-00008AE80000}"/>
    <cellStyle name="Note 3 9 4 2" xfId="62053" xr:uid="{00000000-0005-0000-0000-00008BE80000}"/>
    <cellStyle name="Note 3 9 4 3" xfId="62054" xr:uid="{00000000-0005-0000-0000-00008CE80000}"/>
    <cellStyle name="Note 3 9 5" xfId="43499" xr:uid="{00000000-0005-0000-0000-00008DE80000}"/>
    <cellStyle name="Note 3 9 5 2" xfId="62055" xr:uid="{00000000-0005-0000-0000-00008EE80000}"/>
    <cellStyle name="Note 3 9 6" xfId="43500" xr:uid="{00000000-0005-0000-0000-00008FE80000}"/>
    <cellStyle name="Note 3 9 7" xfId="43501" xr:uid="{00000000-0005-0000-0000-000090E80000}"/>
    <cellStyle name="Note 3 9 8" xfId="43502" xr:uid="{00000000-0005-0000-0000-000091E80000}"/>
    <cellStyle name="Note 4" xfId="43503" xr:uid="{00000000-0005-0000-0000-000092E80000}"/>
    <cellStyle name="Note 4 10" xfId="43504" xr:uid="{00000000-0005-0000-0000-000093E80000}"/>
    <cellStyle name="Note 4 10 2" xfId="62056" xr:uid="{00000000-0005-0000-0000-000094E80000}"/>
    <cellStyle name="Note 4 10 3" xfId="62057" xr:uid="{00000000-0005-0000-0000-000095E80000}"/>
    <cellStyle name="Note 4 11" xfId="43505" xr:uid="{00000000-0005-0000-0000-000096E80000}"/>
    <cellStyle name="Note 4 11 2" xfId="62058" xr:uid="{00000000-0005-0000-0000-000097E80000}"/>
    <cellStyle name="Note 4 12" xfId="43506" xr:uid="{00000000-0005-0000-0000-000098E80000}"/>
    <cellStyle name="Note 4 13" xfId="43507" xr:uid="{00000000-0005-0000-0000-000099E80000}"/>
    <cellStyle name="Note 4 14" xfId="43508" xr:uid="{00000000-0005-0000-0000-00009AE80000}"/>
    <cellStyle name="Note 4 15" xfId="43509" xr:uid="{00000000-0005-0000-0000-00009BE80000}"/>
    <cellStyle name="Note 4 16" xfId="43510" xr:uid="{00000000-0005-0000-0000-00009CE80000}"/>
    <cellStyle name="Note 4 17" xfId="43511" xr:uid="{00000000-0005-0000-0000-00009DE80000}"/>
    <cellStyle name="Note 4 18" xfId="43512" xr:uid="{00000000-0005-0000-0000-00009EE80000}"/>
    <cellStyle name="Note 4 19" xfId="43513" xr:uid="{00000000-0005-0000-0000-00009FE80000}"/>
    <cellStyle name="Note 4 2" xfId="43514" xr:uid="{00000000-0005-0000-0000-0000A0E80000}"/>
    <cellStyle name="Note 4 2 10" xfId="43515" xr:uid="{00000000-0005-0000-0000-0000A1E80000}"/>
    <cellStyle name="Note 4 2 11" xfId="43516" xr:uid="{00000000-0005-0000-0000-0000A2E80000}"/>
    <cellStyle name="Note 4 2 12" xfId="43517" xr:uid="{00000000-0005-0000-0000-0000A3E80000}"/>
    <cellStyle name="Note 4 2 13" xfId="43518" xr:uid="{00000000-0005-0000-0000-0000A4E80000}"/>
    <cellStyle name="Note 4 2 14" xfId="43519" xr:uid="{00000000-0005-0000-0000-0000A5E80000}"/>
    <cellStyle name="Note 4 2 15" xfId="43520" xr:uid="{00000000-0005-0000-0000-0000A6E80000}"/>
    <cellStyle name="Note 4 2 2" xfId="43521" xr:uid="{00000000-0005-0000-0000-0000A7E80000}"/>
    <cellStyle name="Note 4 2 2 2" xfId="43522" xr:uid="{00000000-0005-0000-0000-0000A8E80000}"/>
    <cellStyle name="Note 4 2 2 2 2" xfId="43523" xr:uid="{00000000-0005-0000-0000-0000A9E80000}"/>
    <cellStyle name="Note 4 2 2 2 2 2" xfId="43524" xr:uid="{00000000-0005-0000-0000-0000AAE80000}"/>
    <cellStyle name="Note 4 2 2 2 2 2 2" xfId="62059" xr:uid="{00000000-0005-0000-0000-0000ABE80000}"/>
    <cellStyle name="Note 4 2 2 2 2 2 3" xfId="62060" xr:uid="{00000000-0005-0000-0000-0000ACE80000}"/>
    <cellStyle name="Note 4 2 2 2 2 3" xfId="43525" xr:uid="{00000000-0005-0000-0000-0000ADE80000}"/>
    <cellStyle name="Note 4 2 2 2 2 3 2" xfId="62061" xr:uid="{00000000-0005-0000-0000-0000AEE80000}"/>
    <cellStyle name="Note 4 2 2 2 2 4" xfId="43526" xr:uid="{00000000-0005-0000-0000-0000AFE80000}"/>
    <cellStyle name="Note 4 2 2 2 2 5" xfId="43527" xr:uid="{00000000-0005-0000-0000-0000B0E80000}"/>
    <cellStyle name="Note 4 2 2 2 2 6" xfId="43528" xr:uid="{00000000-0005-0000-0000-0000B1E80000}"/>
    <cellStyle name="Note 4 2 2 2 3" xfId="43529" xr:uid="{00000000-0005-0000-0000-0000B2E80000}"/>
    <cellStyle name="Note 4 2 2 2 3 2" xfId="62062" xr:uid="{00000000-0005-0000-0000-0000B3E80000}"/>
    <cellStyle name="Note 4 2 2 2 3 3" xfId="62063" xr:uid="{00000000-0005-0000-0000-0000B4E80000}"/>
    <cellStyle name="Note 4 2 2 2 4" xfId="43530" xr:uid="{00000000-0005-0000-0000-0000B5E80000}"/>
    <cellStyle name="Note 4 2 2 2 4 2" xfId="62064" xr:uid="{00000000-0005-0000-0000-0000B6E80000}"/>
    <cellStyle name="Note 4 2 2 2 5" xfId="43531" xr:uid="{00000000-0005-0000-0000-0000B7E80000}"/>
    <cellStyle name="Note 4 2 2 2 6" xfId="43532" xr:uid="{00000000-0005-0000-0000-0000B8E80000}"/>
    <cellStyle name="Note 4 2 2 2 7" xfId="43533" xr:uid="{00000000-0005-0000-0000-0000B9E80000}"/>
    <cellStyle name="Note 4 2 2 3" xfId="43534" xr:uid="{00000000-0005-0000-0000-0000BAE80000}"/>
    <cellStyle name="Note 4 2 2 3 2" xfId="43535" xr:uid="{00000000-0005-0000-0000-0000BBE80000}"/>
    <cellStyle name="Note 4 2 2 3 2 2" xfId="62065" xr:uid="{00000000-0005-0000-0000-0000BCE80000}"/>
    <cellStyle name="Note 4 2 2 3 2 3" xfId="62066" xr:uid="{00000000-0005-0000-0000-0000BDE80000}"/>
    <cellStyle name="Note 4 2 2 3 3" xfId="43536" xr:uid="{00000000-0005-0000-0000-0000BEE80000}"/>
    <cellStyle name="Note 4 2 2 3 3 2" xfId="62067" xr:uid="{00000000-0005-0000-0000-0000BFE80000}"/>
    <cellStyle name="Note 4 2 2 3 4" xfId="43537" xr:uid="{00000000-0005-0000-0000-0000C0E80000}"/>
    <cellStyle name="Note 4 2 2 3 5" xfId="43538" xr:uid="{00000000-0005-0000-0000-0000C1E80000}"/>
    <cellStyle name="Note 4 2 2 3 6" xfId="43539" xr:uid="{00000000-0005-0000-0000-0000C2E80000}"/>
    <cellStyle name="Note 4 2 2 4" xfId="43540" xr:uid="{00000000-0005-0000-0000-0000C3E80000}"/>
    <cellStyle name="Note 4 2 2 4 2" xfId="62068" xr:uid="{00000000-0005-0000-0000-0000C4E80000}"/>
    <cellStyle name="Note 4 2 2 4 3" xfId="62069" xr:uid="{00000000-0005-0000-0000-0000C5E80000}"/>
    <cellStyle name="Note 4 2 2 5" xfId="43541" xr:uid="{00000000-0005-0000-0000-0000C6E80000}"/>
    <cellStyle name="Note 4 2 2 5 2" xfId="62070" xr:uid="{00000000-0005-0000-0000-0000C7E80000}"/>
    <cellStyle name="Note 4 2 2 6" xfId="43542" xr:uid="{00000000-0005-0000-0000-0000C8E80000}"/>
    <cellStyle name="Note 4 2 2 7" xfId="43543" xr:uid="{00000000-0005-0000-0000-0000C9E80000}"/>
    <cellStyle name="Note 4 2 2 8" xfId="43544" xr:uid="{00000000-0005-0000-0000-0000CAE80000}"/>
    <cellStyle name="Note 4 2 2 9" xfId="43545" xr:uid="{00000000-0005-0000-0000-0000CBE80000}"/>
    <cellStyle name="Note 4 2 3" xfId="43546" xr:uid="{00000000-0005-0000-0000-0000CCE80000}"/>
    <cellStyle name="Note 4 2 3 2" xfId="43547" xr:uid="{00000000-0005-0000-0000-0000CDE80000}"/>
    <cellStyle name="Note 4 2 3 2 2" xfId="43548" xr:uid="{00000000-0005-0000-0000-0000CEE80000}"/>
    <cellStyle name="Note 4 2 3 2 2 2" xfId="43549" xr:uid="{00000000-0005-0000-0000-0000CFE80000}"/>
    <cellStyle name="Note 4 2 3 2 2 2 2" xfId="62071" xr:uid="{00000000-0005-0000-0000-0000D0E80000}"/>
    <cellStyle name="Note 4 2 3 2 2 2 3" xfId="62072" xr:uid="{00000000-0005-0000-0000-0000D1E80000}"/>
    <cellStyle name="Note 4 2 3 2 2 3" xfId="43550" xr:uid="{00000000-0005-0000-0000-0000D2E80000}"/>
    <cellStyle name="Note 4 2 3 2 2 3 2" xfId="62073" xr:uid="{00000000-0005-0000-0000-0000D3E80000}"/>
    <cellStyle name="Note 4 2 3 2 2 4" xfId="43551" xr:uid="{00000000-0005-0000-0000-0000D4E80000}"/>
    <cellStyle name="Note 4 2 3 2 2 5" xfId="43552" xr:uid="{00000000-0005-0000-0000-0000D5E80000}"/>
    <cellStyle name="Note 4 2 3 2 2 6" xfId="43553" xr:uid="{00000000-0005-0000-0000-0000D6E80000}"/>
    <cellStyle name="Note 4 2 3 2 3" xfId="43554" xr:uid="{00000000-0005-0000-0000-0000D7E80000}"/>
    <cellStyle name="Note 4 2 3 2 3 2" xfId="62074" xr:uid="{00000000-0005-0000-0000-0000D8E80000}"/>
    <cellStyle name="Note 4 2 3 2 3 3" xfId="62075" xr:uid="{00000000-0005-0000-0000-0000D9E80000}"/>
    <cellStyle name="Note 4 2 3 2 4" xfId="43555" xr:uid="{00000000-0005-0000-0000-0000DAE80000}"/>
    <cellStyle name="Note 4 2 3 2 4 2" xfId="62076" xr:uid="{00000000-0005-0000-0000-0000DBE80000}"/>
    <cellStyle name="Note 4 2 3 2 5" xfId="43556" xr:uid="{00000000-0005-0000-0000-0000DCE80000}"/>
    <cellStyle name="Note 4 2 3 2 6" xfId="43557" xr:uid="{00000000-0005-0000-0000-0000DDE80000}"/>
    <cellStyle name="Note 4 2 3 2 7" xfId="43558" xr:uid="{00000000-0005-0000-0000-0000DEE80000}"/>
    <cellStyle name="Note 4 2 3 3" xfId="43559" xr:uid="{00000000-0005-0000-0000-0000DFE80000}"/>
    <cellStyle name="Note 4 2 3 3 2" xfId="43560" xr:uid="{00000000-0005-0000-0000-0000E0E80000}"/>
    <cellStyle name="Note 4 2 3 3 2 2" xfId="62077" xr:uid="{00000000-0005-0000-0000-0000E1E80000}"/>
    <cellStyle name="Note 4 2 3 3 2 3" xfId="62078" xr:uid="{00000000-0005-0000-0000-0000E2E80000}"/>
    <cellStyle name="Note 4 2 3 3 3" xfId="43561" xr:uid="{00000000-0005-0000-0000-0000E3E80000}"/>
    <cellStyle name="Note 4 2 3 3 3 2" xfId="62079" xr:uid="{00000000-0005-0000-0000-0000E4E80000}"/>
    <cellStyle name="Note 4 2 3 3 4" xfId="43562" xr:uid="{00000000-0005-0000-0000-0000E5E80000}"/>
    <cellStyle name="Note 4 2 3 3 5" xfId="43563" xr:uid="{00000000-0005-0000-0000-0000E6E80000}"/>
    <cellStyle name="Note 4 2 3 3 6" xfId="43564" xr:uid="{00000000-0005-0000-0000-0000E7E80000}"/>
    <cellStyle name="Note 4 2 3 4" xfId="43565" xr:uid="{00000000-0005-0000-0000-0000E8E80000}"/>
    <cellStyle name="Note 4 2 3 4 2" xfId="62080" xr:uid="{00000000-0005-0000-0000-0000E9E80000}"/>
    <cellStyle name="Note 4 2 3 4 3" xfId="62081" xr:uid="{00000000-0005-0000-0000-0000EAE80000}"/>
    <cellStyle name="Note 4 2 3 5" xfId="43566" xr:uid="{00000000-0005-0000-0000-0000EBE80000}"/>
    <cellStyle name="Note 4 2 3 5 2" xfId="62082" xr:uid="{00000000-0005-0000-0000-0000ECE80000}"/>
    <cellStyle name="Note 4 2 3 6" xfId="43567" xr:uid="{00000000-0005-0000-0000-0000EDE80000}"/>
    <cellStyle name="Note 4 2 3 7" xfId="43568" xr:uid="{00000000-0005-0000-0000-0000EEE80000}"/>
    <cellStyle name="Note 4 2 3 8" xfId="43569" xr:uid="{00000000-0005-0000-0000-0000EFE80000}"/>
    <cellStyle name="Note 4 2 4" xfId="43570" xr:uid="{00000000-0005-0000-0000-0000F0E80000}"/>
    <cellStyle name="Note 4 2 4 2" xfId="43571" xr:uid="{00000000-0005-0000-0000-0000F1E80000}"/>
    <cellStyle name="Note 4 2 4 2 2" xfId="43572" xr:uid="{00000000-0005-0000-0000-0000F2E80000}"/>
    <cellStyle name="Note 4 2 4 2 2 2" xfId="62083" xr:uid="{00000000-0005-0000-0000-0000F3E80000}"/>
    <cellStyle name="Note 4 2 4 2 2 3" xfId="62084" xr:uid="{00000000-0005-0000-0000-0000F4E80000}"/>
    <cellStyle name="Note 4 2 4 2 3" xfId="43573" xr:uid="{00000000-0005-0000-0000-0000F5E80000}"/>
    <cellStyle name="Note 4 2 4 2 3 2" xfId="62085" xr:uid="{00000000-0005-0000-0000-0000F6E80000}"/>
    <cellStyle name="Note 4 2 4 2 4" xfId="43574" xr:uid="{00000000-0005-0000-0000-0000F7E80000}"/>
    <cellStyle name="Note 4 2 4 2 5" xfId="43575" xr:uid="{00000000-0005-0000-0000-0000F8E80000}"/>
    <cellStyle name="Note 4 2 4 2 6" xfId="43576" xr:uid="{00000000-0005-0000-0000-0000F9E80000}"/>
    <cellStyle name="Note 4 2 4 3" xfId="43577" xr:uid="{00000000-0005-0000-0000-0000FAE80000}"/>
    <cellStyle name="Note 4 2 4 3 2" xfId="62086" xr:uid="{00000000-0005-0000-0000-0000FBE80000}"/>
    <cellStyle name="Note 4 2 4 3 3" xfId="62087" xr:uid="{00000000-0005-0000-0000-0000FCE80000}"/>
    <cellStyle name="Note 4 2 4 4" xfId="43578" xr:uid="{00000000-0005-0000-0000-0000FDE80000}"/>
    <cellStyle name="Note 4 2 4 4 2" xfId="62088" xr:uid="{00000000-0005-0000-0000-0000FEE80000}"/>
    <cellStyle name="Note 4 2 4 5" xfId="43579" xr:uid="{00000000-0005-0000-0000-0000FFE80000}"/>
    <cellStyle name="Note 4 2 4 6" xfId="43580" xr:uid="{00000000-0005-0000-0000-000000E90000}"/>
    <cellStyle name="Note 4 2 4 7" xfId="43581" xr:uid="{00000000-0005-0000-0000-000001E90000}"/>
    <cellStyle name="Note 4 2 5" xfId="43582" xr:uid="{00000000-0005-0000-0000-000002E90000}"/>
    <cellStyle name="Note 4 2 5 2" xfId="43583" xr:uid="{00000000-0005-0000-0000-000003E90000}"/>
    <cellStyle name="Note 4 2 5 2 2" xfId="62089" xr:uid="{00000000-0005-0000-0000-000004E90000}"/>
    <cellStyle name="Note 4 2 5 2 3" xfId="62090" xr:uid="{00000000-0005-0000-0000-000005E90000}"/>
    <cellStyle name="Note 4 2 5 3" xfId="43584" xr:uid="{00000000-0005-0000-0000-000006E90000}"/>
    <cellStyle name="Note 4 2 5 3 2" xfId="62091" xr:uid="{00000000-0005-0000-0000-000007E90000}"/>
    <cellStyle name="Note 4 2 5 4" xfId="43585" xr:uid="{00000000-0005-0000-0000-000008E90000}"/>
    <cellStyle name="Note 4 2 5 5" xfId="43586" xr:uid="{00000000-0005-0000-0000-000009E90000}"/>
    <cellStyle name="Note 4 2 5 6" xfId="43587" xr:uid="{00000000-0005-0000-0000-00000AE90000}"/>
    <cellStyle name="Note 4 2 6" xfId="43588" xr:uid="{00000000-0005-0000-0000-00000BE90000}"/>
    <cellStyle name="Note 4 2 6 2" xfId="62092" xr:uid="{00000000-0005-0000-0000-00000CE90000}"/>
    <cellStyle name="Note 4 2 6 3" xfId="62093" xr:uid="{00000000-0005-0000-0000-00000DE90000}"/>
    <cellStyle name="Note 4 2 7" xfId="43589" xr:uid="{00000000-0005-0000-0000-00000EE90000}"/>
    <cellStyle name="Note 4 2 7 2" xfId="62094" xr:uid="{00000000-0005-0000-0000-00000FE90000}"/>
    <cellStyle name="Note 4 2 8" xfId="43590" xr:uid="{00000000-0005-0000-0000-000010E90000}"/>
    <cellStyle name="Note 4 2 9" xfId="43591" xr:uid="{00000000-0005-0000-0000-000011E90000}"/>
    <cellStyle name="Note 4 3" xfId="43592" xr:uid="{00000000-0005-0000-0000-000012E90000}"/>
    <cellStyle name="Note 4 3 10" xfId="43593" xr:uid="{00000000-0005-0000-0000-000013E90000}"/>
    <cellStyle name="Note 4 3 11" xfId="43594" xr:uid="{00000000-0005-0000-0000-000014E90000}"/>
    <cellStyle name="Note 4 3 12" xfId="43595" xr:uid="{00000000-0005-0000-0000-000015E90000}"/>
    <cellStyle name="Note 4 3 13" xfId="43596" xr:uid="{00000000-0005-0000-0000-000016E90000}"/>
    <cellStyle name="Note 4 3 14" xfId="43597" xr:uid="{00000000-0005-0000-0000-000017E90000}"/>
    <cellStyle name="Note 4 3 2" xfId="43598" xr:uid="{00000000-0005-0000-0000-000018E90000}"/>
    <cellStyle name="Note 4 3 2 2" xfId="43599" xr:uid="{00000000-0005-0000-0000-000019E90000}"/>
    <cellStyle name="Note 4 3 2 2 2" xfId="43600" xr:uid="{00000000-0005-0000-0000-00001AE90000}"/>
    <cellStyle name="Note 4 3 2 2 2 2" xfId="43601" xr:uid="{00000000-0005-0000-0000-00001BE90000}"/>
    <cellStyle name="Note 4 3 2 2 2 2 2" xfId="62095" xr:uid="{00000000-0005-0000-0000-00001CE90000}"/>
    <cellStyle name="Note 4 3 2 2 2 2 3" xfId="62096" xr:uid="{00000000-0005-0000-0000-00001DE90000}"/>
    <cellStyle name="Note 4 3 2 2 2 3" xfId="43602" xr:uid="{00000000-0005-0000-0000-00001EE90000}"/>
    <cellStyle name="Note 4 3 2 2 2 3 2" xfId="62097" xr:uid="{00000000-0005-0000-0000-00001FE90000}"/>
    <cellStyle name="Note 4 3 2 2 2 4" xfId="43603" xr:uid="{00000000-0005-0000-0000-000020E90000}"/>
    <cellStyle name="Note 4 3 2 2 2 5" xfId="43604" xr:uid="{00000000-0005-0000-0000-000021E90000}"/>
    <cellStyle name="Note 4 3 2 2 2 6" xfId="43605" xr:uid="{00000000-0005-0000-0000-000022E90000}"/>
    <cellStyle name="Note 4 3 2 2 3" xfId="43606" xr:uid="{00000000-0005-0000-0000-000023E90000}"/>
    <cellStyle name="Note 4 3 2 2 3 2" xfId="62098" xr:uid="{00000000-0005-0000-0000-000024E90000}"/>
    <cellStyle name="Note 4 3 2 2 3 3" xfId="62099" xr:uid="{00000000-0005-0000-0000-000025E90000}"/>
    <cellStyle name="Note 4 3 2 2 4" xfId="43607" xr:uid="{00000000-0005-0000-0000-000026E90000}"/>
    <cellStyle name="Note 4 3 2 2 4 2" xfId="62100" xr:uid="{00000000-0005-0000-0000-000027E90000}"/>
    <cellStyle name="Note 4 3 2 2 5" xfId="43608" xr:uid="{00000000-0005-0000-0000-000028E90000}"/>
    <cellStyle name="Note 4 3 2 2 6" xfId="43609" xr:uid="{00000000-0005-0000-0000-000029E90000}"/>
    <cellStyle name="Note 4 3 2 2 7" xfId="43610" xr:uid="{00000000-0005-0000-0000-00002AE90000}"/>
    <cellStyle name="Note 4 3 2 3" xfId="43611" xr:uid="{00000000-0005-0000-0000-00002BE90000}"/>
    <cellStyle name="Note 4 3 2 3 2" xfId="43612" xr:uid="{00000000-0005-0000-0000-00002CE90000}"/>
    <cellStyle name="Note 4 3 2 3 2 2" xfId="62101" xr:uid="{00000000-0005-0000-0000-00002DE90000}"/>
    <cellStyle name="Note 4 3 2 3 2 3" xfId="62102" xr:uid="{00000000-0005-0000-0000-00002EE90000}"/>
    <cellStyle name="Note 4 3 2 3 3" xfId="43613" xr:uid="{00000000-0005-0000-0000-00002FE90000}"/>
    <cellStyle name="Note 4 3 2 3 3 2" xfId="62103" xr:uid="{00000000-0005-0000-0000-000030E90000}"/>
    <cellStyle name="Note 4 3 2 3 4" xfId="43614" xr:uid="{00000000-0005-0000-0000-000031E90000}"/>
    <cellStyle name="Note 4 3 2 3 5" xfId="43615" xr:uid="{00000000-0005-0000-0000-000032E90000}"/>
    <cellStyle name="Note 4 3 2 3 6" xfId="43616" xr:uid="{00000000-0005-0000-0000-000033E90000}"/>
    <cellStyle name="Note 4 3 2 4" xfId="43617" xr:uid="{00000000-0005-0000-0000-000034E90000}"/>
    <cellStyle name="Note 4 3 2 4 2" xfId="62104" xr:uid="{00000000-0005-0000-0000-000035E90000}"/>
    <cellStyle name="Note 4 3 2 4 3" xfId="62105" xr:uid="{00000000-0005-0000-0000-000036E90000}"/>
    <cellStyle name="Note 4 3 2 5" xfId="43618" xr:uid="{00000000-0005-0000-0000-000037E90000}"/>
    <cellStyle name="Note 4 3 2 5 2" xfId="62106" xr:uid="{00000000-0005-0000-0000-000038E90000}"/>
    <cellStyle name="Note 4 3 2 6" xfId="43619" xr:uid="{00000000-0005-0000-0000-000039E90000}"/>
    <cellStyle name="Note 4 3 2 7" xfId="43620" xr:uid="{00000000-0005-0000-0000-00003AE90000}"/>
    <cellStyle name="Note 4 3 2 8" xfId="43621" xr:uid="{00000000-0005-0000-0000-00003BE90000}"/>
    <cellStyle name="Note 4 3 2 9" xfId="43622" xr:uid="{00000000-0005-0000-0000-00003CE90000}"/>
    <cellStyle name="Note 4 3 3" xfId="43623" xr:uid="{00000000-0005-0000-0000-00003DE90000}"/>
    <cellStyle name="Note 4 3 3 2" xfId="43624" xr:uid="{00000000-0005-0000-0000-00003EE90000}"/>
    <cellStyle name="Note 4 3 3 2 2" xfId="43625" xr:uid="{00000000-0005-0000-0000-00003FE90000}"/>
    <cellStyle name="Note 4 3 3 2 2 2" xfId="43626" xr:uid="{00000000-0005-0000-0000-000040E90000}"/>
    <cellStyle name="Note 4 3 3 2 2 2 2" xfId="62107" xr:uid="{00000000-0005-0000-0000-000041E90000}"/>
    <cellStyle name="Note 4 3 3 2 2 2 3" xfId="62108" xr:uid="{00000000-0005-0000-0000-000042E90000}"/>
    <cellStyle name="Note 4 3 3 2 2 3" xfId="43627" xr:uid="{00000000-0005-0000-0000-000043E90000}"/>
    <cellStyle name="Note 4 3 3 2 2 3 2" xfId="62109" xr:uid="{00000000-0005-0000-0000-000044E90000}"/>
    <cellStyle name="Note 4 3 3 2 2 4" xfId="43628" xr:uid="{00000000-0005-0000-0000-000045E90000}"/>
    <cellStyle name="Note 4 3 3 2 2 5" xfId="43629" xr:uid="{00000000-0005-0000-0000-000046E90000}"/>
    <cellStyle name="Note 4 3 3 2 2 6" xfId="43630" xr:uid="{00000000-0005-0000-0000-000047E90000}"/>
    <cellStyle name="Note 4 3 3 2 3" xfId="43631" xr:uid="{00000000-0005-0000-0000-000048E90000}"/>
    <cellStyle name="Note 4 3 3 2 3 2" xfId="62110" xr:uid="{00000000-0005-0000-0000-000049E90000}"/>
    <cellStyle name="Note 4 3 3 2 3 3" xfId="62111" xr:uid="{00000000-0005-0000-0000-00004AE90000}"/>
    <cellStyle name="Note 4 3 3 2 4" xfId="43632" xr:uid="{00000000-0005-0000-0000-00004BE90000}"/>
    <cellStyle name="Note 4 3 3 2 4 2" xfId="62112" xr:uid="{00000000-0005-0000-0000-00004CE90000}"/>
    <cellStyle name="Note 4 3 3 2 5" xfId="43633" xr:uid="{00000000-0005-0000-0000-00004DE90000}"/>
    <cellStyle name="Note 4 3 3 2 6" xfId="43634" xr:uid="{00000000-0005-0000-0000-00004EE90000}"/>
    <cellStyle name="Note 4 3 3 2 7" xfId="43635" xr:uid="{00000000-0005-0000-0000-00004FE90000}"/>
    <cellStyle name="Note 4 3 3 3" xfId="43636" xr:uid="{00000000-0005-0000-0000-000050E90000}"/>
    <cellStyle name="Note 4 3 3 3 2" xfId="43637" xr:uid="{00000000-0005-0000-0000-000051E90000}"/>
    <cellStyle name="Note 4 3 3 3 2 2" xfId="62113" xr:uid="{00000000-0005-0000-0000-000052E90000}"/>
    <cellStyle name="Note 4 3 3 3 2 3" xfId="62114" xr:uid="{00000000-0005-0000-0000-000053E90000}"/>
    <cellStyle name="Note 4 3 3 3 3" xfId="43638" xr:uid="{00000000-0005-0000-0000-000054E90000}"/>
    <cellStyle name="Note 4 3 3 3 3 2" xfId="62115" xr:uid="{00000000-0005-0000-0000-000055E90000}"/>
    <cellStyle name="Note 4 3 3 3 4" xfId="43639" xr:uid="{00000000-0005-0000-0000-000056E90000}"/>
    <cellStyle name="Note 4 3 3 3 5" xfId="43640" xr:uid="{00000000-0005-0000-0000-000057E90000}"/>
    <cellStyle name="Note 4 3 3 3 6" xfId="43641" xr:uid="{00000000-0005-0000-0000-000058E90000}"/>
    <cellStyle name="Note 4 3 3 4" xfId="43642" xr:uid="{00000000-0005-0000-0000-000059E90000}"/>
    <cellStyle name="Note 4 3 3 4 2" xfId="62116" xr:uid="{00000000-0005-0000-0000-00005AE90000}"/>
    <cellStyle name="Note 4 3 3 4 3" xfId="62117" xr:uid="{00000000-0005-0000-0000-00005BE90000}"/>
    <cellStyle name="Note 4 3 3 5" xfId="43643" xr:uid="{00000000-0005-0000-0000-00005CE90000}"/>
    <cellStyle name="Note 4 3 3 5 2" xfId="62118" xr:uid="{00000000-0005-0000-0000-00005DE90000}"/>
    <cellStyle name="Note 4 3 3 6" xfId="43644" xr:uid="{00000000-0005-0000-0000-00005EE90000}"/>
    <cellStyle name="Note 4 3 3 7" xfId="43645" xr:uid="{00000000-0005-0000-0000-00005FE90000}"/>
    <cellStyle name="Note 4 3 3 8" xfId="43646" xr:uid="{00000000-0005-0000-0000-000060E90000}"/>
    <cellStyle name="Note 4 3 4" xfId="43647" xr:uid="{00000000-0005-0000-0000-000061E90000}"/>
    <cellStyle name="Note 4 3 4 2" xfId="43648" xr:uid="{00000000-0005-0000-0000-000062E90000}"/>
    <cellStyle name="Note 4 3 4 2 2" xfId="43649" xr:uid="{00000000-0005-0000-0000-000063E90000}"/>
    <cellStyle name="Note 4 3 4 2 2 2" xfId="62119" xr:uid="{00000000-0005-0000-0000-000064E90000}"/>
    <cellStyle name="Note 4 3 4 2 2 3" xfId="62120" xr:uid="{00000000-0005-0000-0000-000065E90000}"/>
    <cellStyle name="Note 4 3 4 2 3" xfId="43650" xr:uid="{00000000-0005-0000-0000-000066E90000}"/>
    <cellStyle name="Note 4 3 4 2 3 2" xfId="62121" xr:uid="{00000000-0005-0000-0000-000067E90000}"/>
    <cellStyle name="Note 4 3 4 2 4" xfId="43651" xr:uid="{00000000-0005-0000-0000-000068E90000}"/>
    <cellStyle name="Note 4 3 4 2 5" xfId="43652" xr:uid="{00000000-0005-0000-0000-000069E90000}"/>
    <cellStyle name="Note 4 3 4 2 6" xfId="43653" xr:uid="{00000000-0005-0000-0000-00006AE90000}"/>
    <cellStyle name="Note 4 3 4 3" xfId="43654" xr:uid="{00000000-0005-0000-0000-00006BE90000}"/>
    <cellStyle name="Note 4 3 4 3 2" xfId="62122" xr:uid="{00000000-0005-0000-0000-00006CE90000}"/>
    <cellStyle name="Note 4 3 4 3 3" xfId="62123" xr:uid="{00000000-0005-0000-0000-00006DE90000}"/>
    <cellStyle name="Note 4 3 4 4" xfId="43655" xr:uid="{00000000-0005-0000-0000-00006EE90000}"/>
    <cellStyle name="Note 4 3 4 4 2" xfId="62124" xr:uid="{00000000-0005-0000-0000-00006FE90000}"/>
    <cellStyle name="Note 4 3 4 5" xfId="43656" xr:uid="{00000000-0005-0000-0000-000070E90000}"/>
    <cellStyle name="Note 4 3 4 6" xfId="43657" xr:uid="{00000000-0005-0000-0000-000071E90000}"/>
    <cellStyle name="Note 4 3 4 7" xfId="43658" xr:uid="{00000000-0005-0000-0000-000072E90000}"/>
    <cellStyle name="Note 4 3 5" xfId="43659" xr:uid="{00000000-0005-0000-0000-000073E90000}"/>
    <cellStyle name="Note 4 3 5 2" xfId="43660" xr:uid="{00000000-0005-0000-0000-000074E90000}"/>
    <cellStyle name="Note 4 3 5 2 2" xfId="62125" xr:uid="{00000000-0005-0000-0000-000075E90000}"/>
    <cellStyle name="Note 4 3 5 2 3" xfId="62126" xr:uid="{00000000-0005-0000-0000-000076E90000}"/>
    <cellStyle name="Note 4 3 5 3" xfId="43661" xr:uid="{00000000-0005-0000-0000-000077E90000}"/>
    <cellStyle name="Note 4 3 5 3 2" xfId="62127" xr:uid="{00000000-0005-0000-0000-000078E90000}"/>
    <cellStyle name="Note 4 3 5 4" xfId="43662" xr:uid="{00000000-0005-0000-0000-000079E90000}"/>
    <cellStyle name="Note 4 3 5 5" xfId="43663" xr:uid="{00000000-0005-0000-0000-00007AE90000}"/>
    <cellStyle name="Note 4 3 5 6" xfId="43664" xr:uid="{00000000-0005-0000-0000-00007BE90000}"/>
    <cellStyle name="Note 4 3 6" xfId="43665" xr:uid="{00000000-0005-0000-0000-00007CE90000}"/>
    <cellStyle name="Note 4 3 6 2" xfId="62128" xr:uid="{00000000-0005-0000-0000-00007DE90000}"/>
    <cellStyle name="Note 4 3 6 3" xfId="62129" xr:uid="{00000000-0005-0000-0000-00007EE90000}"/>
    <cellStyle name="Note 4 3 7" xfId="43666" xr:uid="{00000000-0005-0000-0000-00007FE90000}"/>
    <cellStyle name="Note 4 3 7 2" xfId="62130" xr:uid="{00000000-0005-0000-0000-000080E90000}"/>
    <cellStyle name="Note 4 3 8" xfId="43667" xr:uid="{00000000-0005-0000-0000-000081E90000}"/>
    <cellStyle name="Note 4 3 9" xfId="43668" xr:uid="{00000000-0005-0000-0000-000082E90000}"/>
    <cellStyle name="Note 4 4" xfId="43669" xr:uid="{00000000-0005-0000-0000-000083E90000}"/>
    <cellStyle name="Note 4 4 10" xfId="43670" xr:uid="{00000000-0005-0000-0000-000084E90000}"/>
    <cellStyle name="Note 4 4 11" xfId="43671" xr:uid="{00000000-0005-0000-0000-000085E90000}"/>
    <cellStyle name="Note 4 4 12" xfId="43672" xr:uid="{00000000-0005-0000-0000-000086E90000}"/>
    <cellStyle name="Note 4 4 13" xfId="43673" xr:uid="{00000000-0005-0000-0000-000087E90000}"/>
    <cellStyle name="Note 4 4 2" xfId="43674" xr:uid="{00000000-0005-0000-0000-000088E90000}"/>
    <cellStyle name="Note 4 4 2 2" xfId="43675" xr:uid="{00000000-0005-0000-0000-000089E90000}"/>
    <cellStyle name="Note 4 4 2 2 2" xfId="43676" xr:uid="{00000000-0005-0000-0000-00008AE90000}"/>
    <cellStyle name="Note 4 4 2 2 2 2" xfId="43677" xr:uid="{00000000-0005-0000-0000-00008BE90000}"/>
    <cellStyle name="Note 4 4 2 2 2 2 2" xfId="62131" xr:uid="{00000000-0005-0000-0000-00008CE90000}"/>
    <cellStyle name="Note 4 4 2 2 2 2 3" xfId="62132" xr:uid="{00000000-0005-0000-0000-00008DE90000}"/>
    <cellStyle name="Note 4 4 2 2 2 3" xfId="43678" xr:uid="{00000000-0005-0000-0000-00008EE90000}"/>
    <cellStyle name="Note 4 4 2 2 2 3 2" xfId="62133" xr:uid="{00000000-0005-0000-0000-00008FE90000}"/>
    <cellStyle name="Note 4 4 2 2 2 4" xfId="43679" xr:uid="{00000000-0005-0000-0000-000090E90000}"/>
    <cellStyle name="Note 4 4 2 2 2 5" xfId="43680" xr:uid="{00000000-0005-0000-0000-000091E90000}"/>
    <cellStyle name="Note 4 4 2 2 2 6" xfId="43681" xr:uid="{00000000-0005-0000-0000-000092E90000}"/>
    <cellStyle name="Note 4 4 2 2 3" xfId="43682" xr:uid="{00000000-0005-0000-0000-000093E90000}"/>
    <cellStyle name="Note 4 4 2 2 3 2" xfId="62134" xr:uid="{00000000-0005-0000-0000-000094E90000}"/>
    <cellStyle name="Note 4 4 2 2 3 3" xfId="62135" xr:uid="{00000000-0005-0000-0000-000095E90000}"/>
    <cellStyle name="Note 4 4 2 2 4" xfId="43683" xr:uid="{00000000-0005-0000-0000-000096E90000}"/>
    <cellStyle name="Note 4 4 2 2 4 2" xfId="62136" xr:uid="{00000000-0005-0000-0000-000097E90000}"/>
    <cellStyle name="Note 4 4 2 2 5" xfId="43684" xr:uid="{00000000-0005-0000-0000-000098E90000}"/>
    <cellStyle name="Note 4 4 2 2 6" xfId="43685" xr:uid="{00000000-0005-0000-0000-000099E90000}"/>
    <cellStyle name="Note 4 4 2 2 7" xfId="43686" xr:uid="{00000000-0005-0000-0000-00009AE90000}"/>
    <cellStyle name="Note 4 4 2 3" xfId="43687" xr:uid="{00000000-0005-0000-0000-00009BE90000}"/>
    <cellStyle name="Note 4 4 2 3 2" xfId="43688" xr:uid="{00000000-0005-0000-0000-00009CE90000}"/>
    <cellStyle name="Note 4 4 2 3 2 2" xfId="62137" xr:uid="{00000000-0005-0000-0000-00009DE90000}"/>
    <cellStyle name="Note 4 4 2 3 2 3" xfId="62138" xr:uid="{00000000-0005-0000-0000-00009EE90000}"/>
    <cellStyle name="Note 4 4 2 3 3" xfId="43689" xr:uid="{00000000-0005-0000-0000-00009FE90000}"/>
    <cellStyle name="Note 4 4 2 3 3 2" xfId="62139" xr:uid="{00000000-0005-0000-0000-0000A0E90000}"/>
    <cellStyle name="Note 4 4 2 3 4" xfId="43690" xr:uid="{00000000-0005-0000-0000-0000A1E90000}"/>
    <cellStyle name="Note 4 4 2 3 5" xfId="43691" xr:uid="{00000000-0005-0000-0000-0000A2E90000}"/>
    <cellStyle name="Note 4 4 2 3 6" xfId="43692" xr:uid="{00000000-0005-0000-0000-0000A3E90000}"/>
    <cellStyle name="Note 4 4 2 4" xfId="43693" xr:uid="{00000000-0005-0000-0000-0000A4E90000}"/>
    <cellStyle name="Note 4 4 2 4 2" xfId="62140" xr:uid="{00000000-0005-0000-0000-0000A5E90000}"/>
    <cellStyle name="Note 4 4 2 4 3" xfId="62141" xr:uid="{00000000-0005-0000-0000-0000A6E90000}"/>
    <cellStyle name="Note 4 4 2 5" xfId="43694" xr:uid="{00000000-0005-0000-0000-0000A7E90000}"/>
    <cellStyle name="Note 4 4 2 5 2" xfId="62142" xr:uid="{00000000-0005-0000-0000-0000A8E90000}"/>
    <cellStyle name="Note 4 4 2 6" xfId="43695" xr:uid="{00000000-0005-0000-0000-0000A9E90000}"/>
    <cellStyle name="Note 4 4 2 7" xfId="43696" xr:uid="{00000000-0005-0000-0000-0000AAE90000}"/>
    <cellStyle name="Note 4 4 2 8" xfId="43697" xr:uid="{00000000-0005-0000-0000-0000ABE90000}"/>
    <cellStyle name="Note 4 4 2 9" xfId="43698" xr:uid="{00000000-0005-0000-0000-0000ACE90000}"/>
    <cellStyle name="Note 4 4 3" xfId="43699" xr:uid="{00000000-0005-0000-0000-0000ADE90000}"/>
    <cellStyle name="Note 4 4 3 2" xfId="43700" xr:uid="{00000000-0005-0000-0000-0000AEE90000}"/>
    <cellStyle name="Note 4 4 3 2 2" xfId="43701" xr:uid="{00000000-0005-0000-0000-0000AFE90000}"/>
    <cellStyle name="Note 4 4 3 2 2 2" xfId="62143" xr:uid="{00000000-0005-0000-0000-0000B0E90000}"/>
    <cellStyle name="Note 4 4 3 2 2 3" xfId="62144" xr:uid="{00000000-0005-0000-0000-0000B1E90000}"/>
    <cellStyle name="Note 4 4 3 2 3" xfId="43702" xr:uid="{00000000-0005-0000-0000-0000B2E90000}"/>
    <cellStyle name="Note 4 4 3 2 3 2" xfId="62145" xr:uid="{00000000-0005-0000-0000-0000B3E90000}"/>
    <cellStyle name="Note 4 4 3 2 4" xfId="43703" xr:uid="{00000000-0005-0000-0000-0000B4E90000}"/>
    <cellStyle name="Note 4 4 3 2 5" xfId="43704" xr:uid="{00000000-0005-0000-0000-0000B5E90000}"/>
    <cellStyle name="Note 4 4 3 2 6" xfId="43705" xr:uid="{00000000-0005-0000-0000-0000B6E90000}"/>
    <cellStyle name="Note 4 4 3 3" xfId="43706" xr:uid="{00000000-0005-0000-0000-0000B7E90000}"/>
    <cellStyle name="Note 4 4 3 3 2" xfId="62146" xr:uid="{00000000-0005-0000-0000-0000B8E90000}"/>
    <cellStyle name="Note 4 4 3 3 3" xfId="62147" xr:uid="{00000000-0005-0000-0000-0000B9E90000}"/>
    <cellStyle name="Note 4 4 3 4" xfId="43707" xr:uid="{00000000-0005-0000-0000-0000BAE90000}"/>
    <cellStyle name="Note 4 4 3 4 2" xfId="62148" xr:uid="{00000000-0005-0000-0000-0000BBE90000}"/>
    <cellStyle name="Note 4 4 3 5" xfId="43708" xr:uid="{00000000-0005-0000-0000-0000BCE90000}"/>
    <cellStyle name="Note 4 4 3 6" xfId="43709" xr:uid="{00000000-0005-0000-0000-0000BDE90000}"/>
    <cellStyle name="Note 4 4 3 7" xfId="43710" xr:uid="{00000000-0005-0000-0000-0000BEE90000}"/>
    <cellStyle name="Note 4 4 4" xfId="43711" xr:uid="{00000000-0005-0000-0000-0000BFE90000}"/>
    <cellStyle name="Note 4 4 4 2" xfId="43712" xr:uid="{00000000-0005-0000-0000-0000C0E90000}"/>
    <cellStyle name="Note 4 4 4 2 2" xfId="62149" xr:uid="{00000000-0005-0000-0000-0000C1E90000}"/>
    <cellStyle name="Note 4 4 4 2 3" xfId="62150" xr:uid="{00000000-0005-0000-0000-0000C2E90000}"/>
    <cellStyle name="Note 4 4 4 3" xfId="43713" xr:uid="{00000000-0005-0000-0000-0000C3E90000}"/>
    <cellStyle name="Note 4 4 4 3 2" xfId="62151" xr:uid="{00000000-0005-0000-0000-0000C4E90000}"/>
    <cellStyle name="Note 4 4 4 4" xfId="43714" xr:uid="{00000000-0005-0000-0000-0000C5E90000}"/>
    <cellStyle name="Note 4 4 4 5" xfId="43715" xr:uid="{00000000-0005-0000-0000-0000C6E90000}"/>
    <cellStyle name="Note 4 4 4 6" xfId="43716" xr:uid="{00000000-0005-0000-0000-0000C7E90000}"/>
    <cellStyle name="Note 4 4 5" xfId="43717" xr:uid="{00000000-0005-0000-0000-0000C8E90000}"/>
    <cellStyle name="Note 4 4 5 2" xfId="62152" xr:uid="{00000000-0005-0000-0000-0000C9E90000}"/>
    <cellStyle name="Note 4 4 5 3" xfId="62153" xr:uid="{00000000-0005-0000-0000-0000CAE90000}"/>
    <cellStyle name="Note 4 4 6" xfId="43718" xr:uid="{00000000-0005-0000-0000-0000CBE90000}"/>
    <cellStyle name="Note 4 4 6 2" xfId="62154" xr:uid="{00000000-0005-0000-0000-0000CCE90000}"/>
    <cellStyle name="Note 4 4 7" xfId="43719" xr:uid="{00000000-0005-0000-0000-0000CDE90000}"/>
    <cellStyle name="Note 4 4 8" xfId="43720" xr:uid="{00000000-0005-0000-0000-0000CEE90000}"/>
    <cellStyle name="Note 4 4 9" xfId="43721" xr:uid="{00000000-0005-0000-0000-0000CFE90000}"/>
    <cellStyle name="Note 4 5" xfId="43722" xr:uid="{00000000-0005-0000-0000-0000D0E90000}"/>
    <cellStyle name="Note 4 5 2" xfId="43723" xr:uid="{00000000-0005-0000-0000-0000D1E90000}"/>
    <cellStyle name="Note 4 5 2 2" xfId="43724" xr:uid="{00000000-0005-0000-0000-0000D2E90000}"/>
    <cellStyle name="Note 4 5 2 2 2" xfId="43725" xr:uid="{00000000-0005-0000-0000-0000D3E90000}"/>
    <cellStyle name="Note 4 5 2 2 2 2" xfId="62155" xr:uid="{00000000-0005-0000-0000-0000D4E90000}"/>
    <cellStyle name="Note 4 5 2 2 2 3" xfId="62156" xr:uid="{00000000-0005-0000-0000-0000D5E90000}"/>
    <cellStyle name="Note 4 5 2 2 3" xfId="43726" xr:uid="{00000000-0005-0000-0000-0000D6E90000}"/>
    <cellStyle name="Note 4 5 2 2 3 2" xfId="62157" xr:uid="{00000000-0005-0000-0000-0000D7E90000}"/>
    <cellStyle name="Note 4 5 2 2 4" xfId="43727" xr:uid="{00000000-0005-0000-0000-0000D8E90000}"/>
    <cellStyle name="Note 4 5 2 2 5" xfId="43728" xr:uid="{00000000-0005-0000-0000-0000D9E90000}"/>
    <cellStyle name="Note 4 5 2 2 6" xfId="43729" xr:uid="{00000000-0005-0000-0000-0000DAE90000}"/>
    <cellStyle name="Note 4 5 2 3" xfId="43730" xr:uid="{00000000-0005-0000-0000-0000DBE90000}"/>
    <cellStyle name="Note 4 5 2 3 2" xfId="62158" xr:uid="{00000000-0005-0000-0000-0000DCE90000}"/>
    <cellStyle name="Note 4 5 2 3 3" xfId="62159" xr:uid="{00000000-0005-0000-0000-0000DDE90000}"/>
    <cellStyle name="Note 4 5 2 4" xfId="43731" xr:uid="{00000000-0005-0000-0000-0000DEE90000}"/>
    <cellStyle name="Note 4 5 2 4 2" xfId="62160" xr:uid="{00000000-0005-0000-0000-0000DFE90000}"/>
    <cellStyle name="Note 4 5 2 5" xfId="43732" xr:uid="{00000000-0005-0000-0000-0000E0E90000}"/>
    <cellStyle name="Note 4 5 2 6" xfId="43733" xr:uid="{00000000-0005-0000-0000-0000E1E90000}"/>
    <cellStyle name="Note 4 5 2 7" xfId="43734" xr:uid="{00000000-0005-0000-0000-0000E2E90000}"/>
    <cellStyle name="Note 4 5 3" xfId="43735" xr:uid="{00000000-0005-0000-0000-0000E3E90000}"/>
    <cellStyle name="Note 4 5 3 2" xfId="43736" xr:uid="{00000000-0005-0000-0000-0000E4E90000}"/>
    <cellStyle name="Note 4 5 3 2 2" xfId="62161" xr:uid="{00000000-0005-0000-0000-0000E5E90000}"/>
    <cellStyle name="Note 4 5 3 2 3" xfId="62162" xr:uid="{00000000-0005-0000-0000-0000E6E90000}"/>
    <cellStyle name="Note 4 5 3 3" xfId="43737" xr:uid="{00000000-0005-0000-0000-0000E7E90000}"/>
    <cellStyle name="Note 4 5 3 3 2" xfId="62163" xr:uid="{00000000-0005-0000-0000-0000E8E90000}"/>
    <cellStyle name="Note 4 5 3 4" xfId="43738" xr:uid="{00000000-0005-0000-0000-0000E9E90000}"/>
    <cellStyle name="Note 4 5 3 5" xfId="43739" xr:uid="{00000000-0005-0000-0000-0000EAE90000}"/>
    <cellStyle name="Note 4 5 3 6" xfId="43740" xr:uid="{00000000-0005-0000-0000-0000EBE90000}"/>
    <cellStyle name="Note 4 5 4" xfId="43741" xr:uid="{00000000-0005-0000-0000-0000ECE90000}"/>
    <cellStyle name="Note 4 5 4 2" xfId="62164" xr:uid="{00000000-0005-0000-0000-0000EDE90000}"/>
    <cellStyle name="Note 4 5 4 3" xfId="62165" xr:uid="{00000000-0005-0000-0000-0000EEE90000}"/>
    <cellStyle name="Note 4 5 5" xfId="43742" xr:uid="{00000000-0005-0000-0000-0000EFE90000}"/>
    <cellStyle name="Note 4 5 5 2" xfId="62166" xr:uid="{00000000-0005-0000-0000-0000F0E90000}"/>
    <cellStyle name="Note 4 5 6" xfId="43743" xr:uid="{00000000-0005-0000-0000-0000F1E90000}"/>
    <cellStyle name="Note 4 5 7" xfId="43744" xr:uid="{00000000-0005-0000-0000-0000F2E90000}"/>
    <cellStyle name="Note 4 5 8" xfId="43745" xr:uid="{00000000-0005-0000-0000-0000F3E90000}"/>
    <cellStyle name="Note 4 5 9" xfId="43746" xr:uid="{00000000-0005-0000-0000-0000F4E90000}"/>
    <cellStyle name="Note 4 6" xfId="43747" xr:uid="{00000000-0005-0000-0000-0000F5E90000}"/>
    <cellStyle name="Note 4 6 2" xfId="43748" xr:uid="{00000000-0005-0000-0000-0000F6E90000}"/>
    <cellStyle name="Note 4 6 2 2" xfId="43749" xr:uid="{00000000-0005-0000-0000-0000F7E90000}"/>
    <cellStyle name="Note 4 6 2 2 2" xfId="43750" xr:uid="{00000000-0005-0000-0000-0000F8E90000}"/>
    <cellStyle name="Note 4 6 2 2 2 2" xfId="62167" xr:uid="{00000000-0005-0000-0000-0000F9E90000}"/>
    <cellStyle name="Note 4 6 2 2 2 3" xfId="62168" xr:uid="{00000000-0005-0000-0000-0000FAE90000}"/>
    <cellStyle name="Note 4 6 2 2 3" xfId="43751" xr:uid="{00000000-0005-0000-0000-0000FBE90000}"/>
    <cellStyle name="Note 4 6 2 2 3 2" xfId="62169" xr:uid="{00000000-0005-0000-0000-0000FCE90000}"/>
    <cellStyle name="Note 4 6 2 2 4" xfId="43752" xr:uid="{00000000-0005-0000-0000-0000FDE90000}"/>
    <cellStyle name="Note 4 6 2 2 5" xfId="43753" xr:uid="{00000000-0005-0000-0000-0000FEE90000}"/>
    <cellStyle name="Note 4 6 2 2 6" xfId="43754" xr:uid="{00000000-0005-0000-0000-0000FFE90000}"/>
    <cellStyle name="Note 4 6 2 3" xfId="43755" xr:uid="{00000000-0005-0000-0000-000000EA0000}"/>
    <cellStyle name="Note 4 6 2 3 2" xfId="62170" xr:uid="{00000000-0005-0000-0000-000001EA0000}"/>
    <cellStyle name="Note 4 6 2 3 3" xfId="62171" xr:uid="{00000000-0005-0000-0000-000002EA0000}"/>
    <cellStyle name="Note 4 6 2 4" xfId="43756" xr:uid="{00000000-0005-0000-0000-000003EA0000}"/>
    <cellStyle name="Note 4 6 2 4 2" xfId="62172" xr:uid="{00000000-0005-0000-0000-000004EA0000}"/>
    <cellStyle name="Note 4 6 2 5" xfId="43757" xr:uid="{00000000-0005-0000-0000-000005EA0000}"/>
    <cellStyle name="Note 4 6 2 6" xfId="43758" xr:uid="{00000000-0005-0000-0000-000006EA0000}"/>
    <cellStyle name="Note 4 6 2 7" xfId="43759" xr:uid="{00000000-0005-0000-0000-000007EA0000}"/>
    <cellStyle name="Note 4 6 3" xfId="43760" xr:uid="{00000000-0005-0000-0000-000008EA0000}"/>
    <cellStyle name="Note 4 6 3 2" xfId="43761" xr:uid="{00000000-0005-0000-0000-000009EA0000}"/>
    <cellStyle name="Note 4 6 3 2 2" xfId="62173" xr:uid="{00000000-0005-0000-0000-00000AEA0000}"/>
    <cellStyle name="Note 4 6 3 2 3" xfId="62174" xr:uid="{00000000-0005-0000-0000-00000BEA0000}"/>
    <cellStyle name="Note 4 6 3 3" xfId="43762" xr:uid="{00000000-0005-0000-0000-00000CEA0000}"/>
    <cellStyle name="Note 4 6 3 3 2" xfId="62175" xr:uid="{00000000-0005-0000-0000-00000DEA0000}"/>
    <cellStyle name="Note 4 6 3 4" xfId="43763" xr:uid="{00000000-0005-0000-0000-00000EEA0000}"/>
    <cellStyle name="Note 4 6 3 5" xfId="43764" xr:uid="{00000000-0005-0000-0000-00000FEA0000}"/>
    <cellStyle name="Note 4 6 3 6" xfId="43765" xr:uid="{00000000-0005-0000-0000-000010EA0000}"/>
    <cellStyle name="Note 4 6 4" xfId="43766" xr:uid="{00000000-0005-0000-0000-000011EA0000}"/>
    <cellStyle name="Note 4 6 4 2" xfId="62176" xr:uid="{00000000-0005-0000-0000-000012EA0000}"/>
    <cellStyle name="Note 4 6 4 3" xfId="62177" xr:uid="{00000000-0005-0000-0000-000013EA0000}"/>
    <cellStyle name="Note 4 6 5" xfId="43767" xr:uid="{00000000-0005-0000-0000-000014EA0000}"/>
    <cellStyle name="Note 4 6 5 2" xfId="62178" xr:uid="{00000000-0005-0000-0000-000015EA0000}"/>
    <cellStyle name="Note 4 6 6" xfId="43768" xr:uid="{00000000-0005-0000-0000-000016EA0000}"/>
    <cellStyle name="Note 4 6 7" xfId="43769" xr:uid="{00000000-0005-0000-0000-000017EA0000}"/>
    <cellStyle name="Note 4 6 8" xfId="43770" xr:uid="{00000000-0005-0000-0000-000018EA0000}"/>
    <cellStyle name="Note 4 7" xfId="43771" xr:uid="{00000000-0005-0000-0000-000019EA0000}"/>
    <cellStyle name="Note 4 7 2" xfId="43772" xr:uid="{00000000-0005-0000-0000-00001AEA0000}"/>
    <cellStyle name="Note 4 7 2 2" xfId="43773" xr:uid="{00000000-0005-0000-0000-00001BEA0000}"/>
    <cellStyle name="Note 4 7 2 2 2" xfId="43774" xr:uid="{00000000-0005-0000-0000-00001CEA0000}"/>
    <cellStyle name="Note 4 7 2 2 2 2" xfId="62179" xr:uid="{00000000-0005-0000-0000-00001DEA0000}"/>
    <cellStyle name="Note 4 7 2 2 2 3" xfId="62180" xr:uid="{00000000-0005-0000-0000-00001EEA0000}"/>
    <cellStyle name="Note 4 7 2 2 3" xfId="43775" xr:uid="{00000000-0005-0000-0000-00001FEA0000}"/>
    <cellStyle name="Note 4 7 2 2 3 2" xfId="62181" xr:uid="{00000000-0005-0000-0000-000020EA0000}"/>
    <cellStyle name="Note 4 7 2 2 4" xfId="43776" xr:uid="{00000000-0005-0000-0000-000021EA0000}"/>
    <cellStyle name="Note 4 7 2 2 5" xfId="43777" xr:uid="{00000000-0005-0000-0000-000022EA0000}"/>
    <cellStyle name="Note 4 7 2 2 6" xfId="43778" xr:uid="{00000000-0005-0000-0000-000023EA0000}"/>
    <cellStyle name="Note 4 7 2 3" xfId="43779" xr:uid="{00000000-0005-0000-0000-000024EA0000}"/>
    <cellStyle name="Note 4 7 2 3 2" xfId="62182" xr:uid="{00000000-0005-0000-0000-000025EA0000}"/>
    <cellStyle name="Note 4 7 2 3 3" xfId="62183" xr:uid="{00000000-0005-0000-0000-000026EA0000}"/>
    <cellStyle name="Note 4 7 2 4" xfId="43780" xr:uid="{00000000-0005-0000-0000-000027EA0000}"/>
    <cellStyle name="Note 4 7 2 4 2" xfId="62184" xr:uid="{00000000-0005-0000-0000-000028EA0000}"/>
    <cellStyle name="Note 4 7 2 5" xfId="43781" xr:uid="{00000000-0005-0000-0000-000029EA0000}"/>
    <cellStyle name="Note 4 7 2 6" xfId="43782" xr:uid="{00000000-0005-0000-0000-00002AEA0000}"/>
    <cellStyle name="Note 4 7 2 7" xfId="43783" xr:uid="{00000000-0005-0000-0000-00002BEA0000}"/>
    <cellStyle name="Note 4 7 3" xfId="43784" xr:uid="{00000000-0005-0000-0000-00002CEA0000}"/>
    <cellStyle name="Note 4 7 3 2" xfId="43785" xr:uid="{00000000-0005-0000-0000-00002DEA0000}"/>
    <cellStyle name="Note 4 7 3 2 2" xfId="62185" xr:uid="{00000000-0005-0000-0000-00002EEA0000}"/>
    <cellStyle name="Note 4 7 3 2 3" xfId="62186" xr:uid="{00000000-0005-0000-0000-00002FEA0000}"/>
    <cellStyle name="Note 4 7 3 3" xfId="43786" xr:uid="{00000000-0005-0000-0000-000030EA0000}"/>
    <cellStyle name="Note 4 7 3 3 2" xfId="62187" xr:uid="{00000000-0005-0000-0000-000031EA0000}"/>
    <cellStyle name="Note 4 7 3 4" xfId="43787" xr:uid="{00000000-0005-0000-0000-000032EA0000}"/>
    <cellStyle name="Note 4 7 3 5" xfId="43788" xr:uid="{00000000-0005-0000-0000-000033EA0000}"/>
    <cellStyle name="Note 4 7 3 6" xfId="43789" xr:uid="{00000000-0005-0000-0000-000034EA0000}"/>
    <cellStyle name="Note 4 7 4" xfId="43790" xr:uid="{00000000-0005-0000-0000-000035EA0000}"/>
    <cellStyle name="Note 4 7 4 2" xfId="62188" xr:uid="{00000000-0005-0000-0000-000036EA0000}"/>
    <cellStyle name="Note 4 7 4 3" xfId="62189" xr:uid="{00000000-0005-0000-0000-000037EA0000}"/>
    <cellStyle name="Note 4 7 5" xfId="43791" xr:uid="{00000000-0005-0000-0000-000038EA0000}"/>
    <cellStyle name="Note 4 7 5 2" xfId="62190" xr:uid="{00000000-0005-0000-0000-000039EA0000}"/>
    <cellStyle name="Note 4 7 6" xfId="43792" xr:uid="{00000000-0005-0000-0000-00003AEA0000}"/>
    <cellStyle name="Note 4 7 7" xfId="43793" xr:uid="{00000000-0005-0000-0000-00003BEA0000}"/>
    <cellStyle name="Note 4 7 8" xfId="43794" xr:uid="{00000000-0005-0000-0000-00003CEA0000}"/>
    <cellStyle name="Note 4 8" xfId="43795" xr:uid="{00000000-0005-0000-0000-00003DEA0000}"/>
    <cellStyle name="Note 4 8 2" xfId="43796" xr:uid="{00000000-0005-0000-0000-00003EEA0000}"/>
    <cellStyle name="Note 4 8 2 2" xfId="43797" xr:uid="{00000000-0005-0000-0000-00003FEA0000}"/>
    <cellStyle name="Note 4 8 2 2 2" xfId="62191" xr:uid="{00000000-0005-0000-0000-000040EA0000}"/>
    <cellStyle name="Note 4 8 2 2 3" xfId="62192" xr:uid="{00000000-0005-0000-0000-000041EA0000}"/>
    <cellStyle name="Note 4 8 2 3" xfId="43798" xr:uid="{00000000-0005-0000-0000-000042EA0000}"/>
    <cellStyle name="Note 4 8 2 3 2" xfId="62193" xr:uid="{00000000-0005-0000-0000-000043EA0000}"/>
    <cellStyle name="Note 4 8 2 4" xfId="43799" xr:uid="{00000000-0005-0000-0000-000044EA0000}"/>
    <cellStyle name="Note 4 8 2 5" xfId="43800" xr:uid="{00000000-0005-0000-0000-000045EA0000}"/>
    <cellStyle name="Note 4 8 2 6" xfId="43801" xr:uid="{00000000-0005-0000-0000-000046EA0000}"/>
    <cellStyle name="Note 4 8 3" xfId="43802" xr:uid="{00000000-0005-0000-0000-000047EA0000}"/>
    <cellStyle name="Note 4 8 3 2" xfId="62194" xr:uid="{00000000-0005-0000-0000-000048EA0000}"/>
    <cellStyle name="Note 4 8 3 3" xfId="62195" xr:uid="{00000000-0005-0000-0000-000049EA0000}"/>
    <cellStyle name="Note 4 8 4" xfId="43803" xr:uid="{00000000-0005-0000-0000-00004AEA0000}"/>
    <cellStyle name="Note 4 8 4 2" xfId="62196" xr:uid="{00000000-0005-0000-0000-00004BEA0000}"/>
    <cellStyle name="Note 4 8 5" xfId="43804" xr:uid="{00000000-0005-0000-0000-00004CEA0000}"/>
    <cellStyle name="Note 4 8 6" xfId="43805" xr:uid="{00000000-0005-0000-0000-00004DEA0000}"/>
    <cellStyle name="Note 4 8 7" xfId="43806" xr:uid="{00000000-0005-0000-0000-00004EEA0000}"/>
    <cellStyle name="Note 4 9" xfId="43807" xr:uid="{00000000-0005-0000-0000-00004FEA0000}"/>
    <cellStyle name="Note 4 9 2" xfId="43808" xr:uid="{00000000-0005-0000-0000-000050EA0000}"/>
    <cellStyle name="Note 4 9 2 2" xfId="62197" xr:uid="{00000000-0005-0000-0000-000051EA0000}"/>
    <cellStyle name="Note 4 9 2 3" xfId="62198" xr:uid="{00000000-0005-0000-0000-000052EA0000}"/>
    <cellStyle name="Note 4 9 3" xfId="43809" xr:uid="{00000000-0005-0000-0000-000053EA0000}"/>
    <cellStyle name="Note 4 9 3 2" xfId="62199" xr:uid="{00000000-0005-0000-0000-000054EA0000}"/>
    <cellStyle name="Note 4 9 4" xfId="43810" xr:uid="{00000000-0005-0000-0000-000055EA0000}"/>
    <cellStyle name="Note 4 9 5" xfId="43811" xr:uid="{00000000-0005-0000-0000-000056EA0000}"/>
    <cellStyle name="Note 4 9 6" xfId="43812" xr:uid="{00000000-0005-0000-0000-000057EA0000}"/>
    <cellStyle name="Note 5" xfId="43813" xr:uid="{00000000-0005-0000-0000-000058EA0000}"/>
    <cellStyle name="Note 5 10" xfId="43814" xr:uid="{00000000-0005-0000-0000-000059EA0000}"/>
    <cellStyle name="Note 5 11" xfId="43815" xr:uid="{00000000-0005-0000-0000-00005AEA0000}"/>
    <cellStyle name="Note 5 12" xfId="43816" xr:uid="{00000000-0005-0000-0000-00005BEA0000}"/>
    <cellStyle name="Note 5 13" xfId="43817" xr:uid="{00000000-0005-0000-0000-00005CEA0000}"/>
    <cellStyle name="Note 5 14" xfId="43818" xr:uid="{00000000-0005-0000-0000-00005DEA0000}"/>
    <cellStyle name="Note 5 15" xfId="43819" xr:uid="{00000000-0005-0000-0000-00005EEA0000}"/>
    <cellStyle name="Note 5 2" xfId="43820" xr:uid="{00000000-0005-0000-0000-00005FEA0000}"/>
    <cellStyle name="Note 5 2 2" xfId="43821" xr:uid="{00000000-0005-0000-0000-000060EA0000}"/>
    <cellStyle name="Note 5 2 2 2" xfId="43822" xr:uid="{00000000-0005-0000-0000-000061EA0000}"/>
    <cellStyle name="Note 5 2 2 2 2" xfId="43823" xr:uid="{00000000-0005-0000-0000-000062EA0000}"/>
    <cellStyle name="Note 5 2 2 2 2 2" xfId="62200" xr:uid="{00000000-0005-0000-0000-000063EA0000}"/>
    <cellStyle name="Note 5 2 2 2 2 3" xfId="62201" xr:uid="{00000000-0005-0000-0000-000064EA0000}"/>
    <cellStyle name="Note 5 2 2 2 3" xfId="43824" xr:uid="{00000000-0005-0000-0000-000065EA0000}"/>
    <cellStyle name="Note 5 2 2 2 3 2" xfId="62202" xr:uid="{00000000-0005-0000-0000-000066EA0000}"/>
    <cellStyle name="Note 5 2 2 2 4" xfId="43825" xr:uid="{00000000-0005-0000-0000-000067EA0000}"/>
    <cellStyle name="Note 5 2 2 2 5" xfId="43826" xr:uid="{00000000-0005-0000-0000-000068EA0000}"/>
    <cellStyle name="Note 5 2 2 2 6" xfId="43827" xr:uid="{00000000-0005-0000-0000-000069EA0000}"/>
    <cellStyle name="Note 5 2 2 3" xfId="43828" xr:uid="{00000000-0005-0000-0000-00006AEA0000}"/>
    <cellStyle name="Note 5 2 2 3 2" xfId="62203" xr:uid="{00000000-0005-0000-0000-00006BEA0000}"/>
    <cellStyle name="Note 5 2 2 3 3" xfId="62204" xr:uid="{00000000-0005-0000-0000-00006CEA0000}"/>
    <cellStyle name="Note 5 2 2 4" xfId="43829" xr:uid="{00000000-0005-0000-0000-00006DEA0000}"/>
    <cellStyle name="Note 5 2 2 4 2" xfId="62205" xr:uid="{00000000-0005-0000-0000-00006EEA0000}"/>
    <cellStyle name="Note 5 2 2 5" xfId="43830" xr:uid="{00000000-0005-0000-0000-00006FEA0000}"/>
    <cellStyle name="Note 5 2 2 6" xfId="43831" xr:uid="{00000000-0005-0000-0000-000070EA0000}"/>
    <cellStyle name="Note 5 2 2 7" xfId="43832" xr:uid="{00000000-0005-0000-0000-000071EA0000}"/>
    <cellStyle name="Note 5 2 3" xfId="43833" xr:uid="{00000000-0005-0000-0000-000072EA0000}"/>
    <cellStyle name="Note 5 2 3 2" xfId="43834" xr:uid="{00000000-0005-0000-0000-000073EA0000}"/>
    <cellStyle name="Note 5 2 3 2 2" xfId="62206" xr:uid="{00000000-0005-0000-0000-000074EA0000}"/>
    <cellStyle name="Note 5 2 3 2 3" xfId="62207" xr:uid="{00000000-0005-0000-0000-000075EA0000}"/>
    <cellStyle name="Note 5 2 3 3" xfId="43835" xr:uid="{00000000-0005-0000-0000-000076EA0000}"/>
    <cellStyle name="Note 5 2 3 3 2" xfId="62208" xr:uid="{00000000-0005-0000-0000-000077EA0000}"/>
    <cellStyle name="Note 5 2 3 4" xfId="43836" xr:uid="{00000000-0005-0000-0000-000078EA0000}"/>
    <cellStyle name="Note 5 2 3 5" xfId="43837" xr:uid="{00000000-0005-0000-0000-000079EA0000}"/>
    <cellStyle name="Note 5 2 3 6" xfId="43838" xr:uid="{00000000-0005-0000-0000-00007AEA0000}"/>
    <cellStyle name="Note 5 2 4" xfId="43839" xr:uid="{00000000-0005-0000-0000-00007BEA0000}"/>
    <cellStyle name="Note 5 2 4 2" xfId="62209" xr:uid="{00000000-0005-0000-0000-00007CEA0000}"/>
    <cellStyle name="Note 5 2 4 3" xfId="62210" xr:uid="{00000000-0005-0000-0000-00007DEA0000}"/>
    <cellStyle name="Note 5 2 5" xfId="43840" xr:uid="{00000000-0005-0000-0000-00007EEA0000}"/>
    <cellStyle name="Note 5 2 5 2" xfId="62211" xr:uid="{00000000-0005-0000-0000-00007FEA0000}"/>
    <cellStyle name="Note 5 2 6" xfId="43841" xr:uid="{00000000-0005-0000-0000-000080EA0000}"/>
    <cellStyle name="Note 5 2 7" xfId="43842" xr:uid="{00000000-0005-0000-0000-000081EA0000}"/>
    <cellStyle name="Note 5 2 8" xfId="43843" xr:uid="{00000000-0005-0000-0000-000082EA0000}"/>
    <cellStyle name="Note 5 2 9" xfId="43844" xr:uid="{00000000-0005-0000-0000-000083EA0000}"/>
    <cellStyle name="Note 5 3" xfId="43845" xr:uid="{00000000-0005-0000-0000-000084EA0000}"/>
    <cellStyle name="Note 5 3 2" xfId="43846" xr:uid="{00000000-0005-0000-0000-000085EA0000}"/>
    <cellStyle name="Note 5 3 2 2" xfId="43847" xr:uid="{00000000-0005-0000-0000-000086EA0000}"/>
    <cellStyle name="Note 5 3 2 2 2" xfId="43848" xr:uid="{00000000-0005-0000-0000-000087EA0000}"/>
    <cellStyle name="Note 5 3 2 2 2 2" xfId="62212" xr:uid="{00000000-0005-0000-0000-000088EA0000}"/>
    <cellStyle name="Note 5 3 2 2 2 3" xfId="62213" xr:uid="{00000000-0005-0000-0000-000089EA0000}"/>
    <cellStyle name="Note 5 3 2 2 3" xfId="43849" xr:uid="{00000000-0005-0000-0000-00008AEA0000}"/>
    <cellStyle name="Note 5 3 2 2 3 2" xfId="62214" xr:uid="{00000000-0005-0000-0000-00008BEA0000}"/>
    <cellStyle name="Note 5 3 2 2 4" xfId="43850" xr:uid="{00000000-0005-0000-0000-00008CEA0000}"/>
    <cellStyle name="Note 5 3 2 2 5" xfId="43851" xr:uid="{00000000-0005-0000-0000-00008DEA0000}"/>
    <cellStyle name="Note 5 3 2 2 6" xfId="43852" xr:uid="{00000000-0005-0000-0000-00008EEA0000}"/>
    <cellStyle name="Note 5 3 2 3" xfId="43853" xr:uid="{00000000-0005-0000-0000-00008FEA0000}"/>
    <cellStyle name="Note 5 3 2 3 2" xfId="62215" xr:uid="{00000000-0005-0000-0000-000090EA0000}"/>
    <cellStyle name="Note 5 3 2 3 3" xfId="62216" xr:uid="{00000000-0005-0000-0000-000091EA0000}"/>
    <cellStyle name="Note 5 3 2 4" xfId="43854" xr:uid="{00000000-0005-0000-0000-000092EA0000}"/>
    <cellStyle name="Note 5 3 2 4 2" xfId="62217" xr:uid="{00000000-0005-0000-0000-000093EA0000}"/>
    <cellStyle name="Note 5 3 2 5" xfId="43855" xr:uid="{00000000-0005-0000-0000-000094EA0000}"/>
    <cellStyle name="Note 5 3 2 6" xfId="43856" xr:uid="{00000000-0005-0000-0000-000095EA0000}"/>
    <cellStyle name="Note 5 3 2 7" xfId="43857" xr:uid="{00000000-0005-0000-0000-000096EA0000}"/>
    <cellStyle name="Note 5 3 3" xfId="43858" xr:uid="{00000000-0005-0000-0000-000097EA0000}"/>
    <cellStyle name="Note 5 3 3 2" xfId="43859" xr:uid="{00000000-0005-0000-0000-000098EA0000}"/>
    <cellStyle name="Note 5 3 3 2 2" xfId="62218" xr:uid="{00000000-0005-0000-0000-000099EA0000}"/>
    <cellStyle name="Note 5 3 3 2 3" xfId="62219" xr:uid="{00000000-0005-0000-0000-00009AEA0000}"/>
    <cellStyle name="Note 5 3 3 3" xfId="43860" xr:uid="{00000000-0005-0000-0000-00009BEA0000}"/>
    <cellStyle name="Note 5 3 3 3 2" xfId="62220" xr:uid="{00000000-0005-0000-0000-00009CEA0000}"/>
    <cellStyle name="Note 5 3 3 4" xfId="43861" xr:uid="{00000000-0005-0000-0000-00009DEA0000}"/>
    <cellStyle name="Note 5 3 3 5" xfId="43862" xr:uid="{00000000-0005-0000-0000-00009EEA0000}"/>
    <cellStyle name="Note 5 3 3 6" xfId="43863" xr:uid="{00000000-0005-0000-0000-00009FEA0000}"/>
    <cellStyle name="Note 5 3 4" xfId="43864" xr:uid="{00000000-0005-0000-0000-0000A0EA0000}"/>
    <cellStyle name="Note 5 3 4 2" xfId="62221" xr:uid="{00000000-0005-0000-0000-0000A1EA0000}"/>
    <cellStyle name="Note 5 3 4 3" xfId="62222" xr:uid="{00000000-0005-0000-0000-0000A2EA0000}"/>
    <cellStyle name="Note 5 3 5" xfId="43865" xr:uid="{00000000-0005-0000-0000-0000A3EA0000}"/>
    <cellStyle name="Note 5 3 5 2" xfId="62223" xr:uid="{00000000-0005-0000-0000-0000A4EA0000}"/>
    <cellStyle name="Note 5 3 6" xfId="43866" xr:uid="{00000000-0005-0000-0000-0000A5EA0000}"/>
    <cellStyle name="Note 5 3 7" xfId="43867" xr:uid="{00000000-0005-0000-0000-0000A6EA0000}"/>
    <cellStyle name="Note 5 3 8" xfId="43868" xr:uid="{00000000-0005-0000-0000-0000A7EA0000}"/>
    <cellStyle name="Note 5 4" xfId="43869" xr:uid="{00000000-0005-0000-0000-0000A8EA0000}"/>
    <cellStyle name="Note 5 4 2" xfId="43870" xr:uid="{00000000-0005-0000-0000-0000A9EA0000}"/>
    <cellStyle name="Note 5 4 2 2" xfId="43871" xr:uid="{00000000-0005-0000-0000-0000AAEA0000}"/>
    <cellStyle name="Note 5 4 2 2 2" xfId="62224" xr:uid="{00000000-0005-0000-0000-0000ABEA0000}"/>
    <cellStyle name="Note 5 4 2 2 3" xfId="62225" xr:uid="{00000000-0005-0000-0000-0000ACEA0000}"/>
    <cellStyle name="Note 5 4 2 3" xfId="43872" xr:uid="{00000000-0005-0000-0000-0000ADEA0000}"/>
    <cellStyle name="Note 5 4 2 3 2" xfId="62226" xr:uid="{00000000-0005-0000-0000-0000AEEA0000}"/>
    <cellStyle name="Note 5 4 2 4" xfId="43873" xr:uid="{00000000-0005-0000-0000-0000AFEA0000}"/>
    <cellStyle name="Note 5 4 2 5" xfId="43874" xr:uid="{00000000-0005-0000-0000-0000B0EA0000}"/>
    <cellStyle name="Note 5 4 2 6" xfId="43875" xr:uid="{00000000-0005-0000-0000-0000B1EA0000}"/>
    <cellStyle name="Note 5 4 3" xfId="43876" xr:uid="{00000000-0005-0000-0000-0000B2EA0000}"/>
    <cellStyle name="Note 5 4 3 2" xfId="62227" xr:uid="{00000000-0005-0000-0000-0000B3EA0000}"/>
    <cellStyle name="Note 5 4 3 3" xfId="62228" xr:uid="{00000000-0005-0000-0000-0000B4EA0000}"/>
    <cellStyle name="Note 5 4 4" xfId="43877" xr:uid="{00000000-0005-0000-0000-0000B5EA0000}"/>
    <cellStyle name="Note 5 4 4 2" xfId="62229" xr:uid="{00000000-0005-0000-0000-0000B6EA0000}"/>
    <cellStyle name="Note 5 4 5" xfId="43878" xr:uid="{00000000-0005-0000-0000-0000B7EA0000}"/>
    <cellStyle name="Note 5 4 6" xfId="43879" xr:uid="{00000000-0005-0000-0000-0000B8EA0000}"/>
    <cellStyle name="Note 5 4 7" xfId="43880" xr:uid="{00000000-0005-0000-0000-0000B9EA0000}"/>
    <cellStyle name="Note 5 5" xfId="43881" xr:uid="{00000000-0005-0000-0000-0000BAEA0000}"/>
    <cellStyle name="Note 5 5 2" xfId="43882" xr:uid="{00000000-0005-0000-0000-0000BBEA0000}"/>
    <cellStyle name="Note 5 5 2 2" xfId="62230" xr:uid="{00000000-0005-0000-0000-0000BCEA0000}"/>
    <cellStyle name="Note 5 5 2 3" xfId="62231" xr:uid="{00000000-0005-0000-0000-0000BDEA0000}"/>
    <cellStyle name="Note 5 5 3" xfId="43883" xr:uid="{00000000-0005-0000-0000-0000BEEA0000}"/>
    <cellStyle name="Note 5 5 3 2" xfId="62232" xr:uid="{00000000-0005-0000-0000-0000BFEA0000}"/>
    <cellStyle name="Note 5 5 4" xfId="43884" xr:uid="{00000000-0005-0000-0000-0000C0EA0000}"/>
    <cellStyle name="Note 5 5 5" xfId="43885" xr:uid="{00000000-0005-0000-0000-0000C1EA0000}"/>
    <cellStyle name="Note 5 5 6" xfId="43886" xr:uid="{00000000-0005-0000-0000-0000C2EA0000}"/>
    <cellStyle name="Note 5 6" xfId="43887" xr:uid="{00000000-0005-0000-0000-0000C3EA0000}"/>
    <cellStyle name="Note 5 6 2" xfId="62233" xr:uid="{00000000-0005-0000-0000-0000C4EA0000}"/>
    <cellStyle name="Note 5 6 3" xfId="62234" xr:uid="{00000000-0005-0000-0000-0000C5EA0000}"/>
    <cellStyle name="Note 5 7" xfId="43888" xr:uid="{00000000-0005-0000-0000-0000C6EA0000}"/>
    <cellStyle name="Note 5 7 2" xfId="62235" xr:uid="{00000000-0005-0000-0000-0000C7EA0000}"/>
    <cellStyle name="Note 5 8" xfId="43889" xr:uid="{00000000-0005-0000-0000-0000C8EA0000}"/>
    <cellStyle name="Note 5 9" xfId="43890" xr:uid="{00000000-0005-0000-0000-0000C9EA0000}"/>
    <cellStyle name="Note 6" xfId="43891" xr:uid="{00000000-0005-0000-0000-0000CAEA0000}"/>
    <cellStyle name="Note 6 10" xfId="43892" xr:uid="{00000000-0005-0000-0000-0000CBEA0000}"/>
    <cellStyle name="Note 6 11" xfId="43893" xr:uid="{00000000-0005-0000-0000-0000CCEA0000}"/>
    <cellStyle name="Note 6 12" xfId="43894" xr:uid="{00000000-0005-0000-0000-0000CDEA0000}"/>
    <cellStyle name="Note 6 13" xfId="43895" xr:uid="{00000000-0005-0000-0000-0000CEEA0000}"/>
    <cellStyle name="Note 6 14" xfId="43896" xr:uid="{00000000-0005-0000-0000-0000CFEA0000}"/>
    <cellStyle name="Note 6 2" xfId="43897" xr:uid="{00000000-0005-0000-0000-0000D0EA0000}"/>
    <cellStyle name="Note 6 2 2" xfId="43898" xr:uid="{00000000-0005-0000-0000-0000D1EA0000}"/>
    <cellStyle name="Note 6 2 2 2" xfId="43899" xr:uid="{00000000-0005-0000-0000-0000D2EA0000}"/>
    <cellStyle name="Note 6 2 2 2 2" xfId="43900" xr:uid="{00000000-0005-0000-0000-0000D3EA0000}"/>
    <cellStyle name="Note 6 2 2 2 2 2" xfId="62236" xr:uid="{00000000-0005-0000-0000-0000D4EA0000}"/>
    <cellStyle name="Note 6 2 2 2 2 3" xfId="62237" xr:uid="{00000000-0005-0000-0000-0000D5EA0000}"/>
    <cellStyle name="Note 6 2 2 2 3" xfId="43901" xr:uid="{00000000-0005-0000-0000-0000D6EA0000}"/>
    <cellStyle name="Note 6 2 2 2 3 2" xfId="62238" xr:uid="{00000000-0005-0000-0000-0000D7EA0000}"/>
    <cellStyle name="Note 6 2 2 2 4" xfId="43902" xr:uid="{00000000-0005-0000-0000-0000D8EA0000}"/>
    <cellStyle name="Note 6 2 2 2 5" xfId="43903" xr:uid="{00000000-0005-0000-0000-0000D9EA0000}"/>
    <cellStyle name="Note 6 2 2 2 6" xfId="43904" xr:uid="{00000000-0005-0000-0000-0000DAEA0000}"/>
    <cellStyle name="Note 6 2 2 3" xfId="43905" xr:uid="{00000000-0005-0000-0000-0000DBEA0000}"/>
    <cellStyle name="Note 6 2 2 3 2" xfId="62239" xr:uid="{00000000-0005-0000-0000-0000DCEA0000}"/>
    <cellStyle name="Note 6 2 2 3 3" xfId="62240" xr:uid="{00000000-0005-0000-0000-0000DDEA0000}"/>
    <cellStyle name="Note 6 2 2 4" xfId="43906" xr:uid="{00000000-0005-0000-0000-0000DEEA0000}"/>
    <cellStyle name="Note 6 2 2 4 2" xfId="62241" xr:uid="{00000000-0005-0000-0000-0000DFEA0000}"/>
    <cellStyle name="Note 6 2 2 5" xfId="43907" xr:uid="{00000000-0005-0000-0000-0000E0EA0000}"/>
    <cellStyle name="Note 6 2 2 6" xfId="43908" xr:uid="{00000000-0005-0000-0000-0000E1EA0000}"/>
    <cellStyle name="Note 6 2 2 7" xfId="43909" xr:uid="{00000000-0005-0000-0000-0000E2EA0000}"/>
    <cellStyle name="Note 6 2 3" xfId="43910" xr:uid="{00000000-0005-0000-0000-0000E3EA0000}"/>
    <cellStyle name="Note 6 2 3 2" xfId="43911" xr:uid="{00000000-0005-0000-0000-0000E4EA0000}"/>
    <cellStyle name="Note 6 2 3 2 2" xfId="62242" xr:uid="{00000000-0005-0000-0000-0000E5EA0000}"/>
    <cellStyle name="Note 6 2 3 2 3" xfId="62243" xr:uid="{00000000-0005-0000-0000-0000E6EA0000}"/>
    <cellStyle name="Note 6 2 3 3" xfId="43912" xr:uid="{00000000-0005-0000-0000-0000E7EA0000}"/>
    <cellStyle name="Note 6 2 3 3 2" xfId="62244" xr:uid="{00000000-0005-0000-0000-0000E8EA0000}"/>
    <cellStyle name="Note 6 2 3 4" xfId="43913" xr:uid="{00000000-0005-0000-0000-0000E9EA0000}"/>
    <cellStyle name="Note 6 2 3 5" xfId="43914" xr:uid="{00000000-0005-0000-0000-0000EAEA0000}"/>
    <cellStyle name="Note 6 2 3 6" xfId="43915" xr:uid="{00000000-0005-0000-0000-0000EBEA0000}"/>
    <cellStyle name="Note 6 2 4" xfId="43916" xr:uid="{00000000-0005-0000-0000-0000ECEA0000}"/>
    <cellStyle name="Note 6 2 4 2" xfId="62245" xr:uid="{00000000-0005-0000-0000-0000EDEA0000}"/>
    <cellStyle name="Note 6 2 4 3" xfId="62246" xr:uid="{00000000-0005-0000-0000-0000EEEA0000}"/>
    <cellStyle name="Note 6 2 5" xfId="43917" xr:uid="{00000000-0005-0000-0000-0000EFEA0000}"/>
    <cellStyle name="Note 6 2 5 2" xfId="62247" xr:uid="{00000000-0005-0000-0000-0000F0EA0000}"/>
    <cellStyle name="Note 6 2 6" xfId="43918" xr:uid="{00000000-0005-0000-0000-0000F1EA0000}"/>
    <cellStyle name="Note 6 2 7" xfId="43919" xr:uid="{00000000-0005-0000-0000-0000F2EA0000}"/>
    <cellStyle name="Note 6 2 8" xfId="43920" xr:uid="{00000000-0005-0000-0000-0000F3EA0000}"/>
    <cellStyle name="Note 6 2 9" xfId="43921" xr:uid="{00000000-0005-0000-0000-0000F4EA0000}"/>
    <cellStyle name="Note 6 3" xfId="43922" xr:uid="{00000000-0005-0000-0000-0000F5EA0000}"/>
    <cellStyle name="Note 6 3 2" xfId="43923" xr:uid="{00000000-0005-0000-0000-0000F6EA0000}"/>
    <cellStyle name="Note 6 3 2 2" xfId="43924" xr:uid="{00000000-0005-0000-0000-0000F7EA0000}"/>
    <cellStyle name="Note 6 3 2 2 2" xfId="62248" xr:uid="{00000000-0005-0000-0000-0000F8EA0000}"/>
    <cellStyle name="Note 6 3 2 2 3" xfId="62249" xr:uid="{00000000-0005-0000-0000-0000F9EA0000}"/>
    <cellStyle name="Note 6 3 2 3" xfId="43925" xr:uid="{00000000-0005-0000-0000-0000FAEA0000}"/>
    <cellStyle name="Note 6 3 2 3 2" xfId="62250" xr:uid="{00000000-0005-0000-0000-0000FBEA0000}"/>
    <cellStyle name="Note 6 3 2 4" xfId="43926" xr:uid="{00000000-0005-0000-0000-0000FCEA0000}"/>
    <cellStyle name="Note 6 3 2 5" xfId="43927" xr:uid="{00000000-0005-0000-0000-0000FDEA0000}"/>
    <cellStyle name="Note 6 3 2 6" xfId="43928" xr:uid="{00000000-0005-0000-0000-0000FEEA0000}"/>
    <cellStyle name="Note 6 3 3" xfId="43929" xr:uid="{00000000-0005-0000-0000-0000FFEA0000}"/>
    <cellStyle name="Note 6 3 3 2" xfId="62251" xr:uid="{00000000-0005-0000-0000-000000EB0000}"/>
    <cellStyle name="Note 6 3 3 3" xfId="62252" xr:uid="{00000000-0005-0000-0000-000001EB0000}"/>
    <cellStyle name="Note 6 3 4" xfId="43930" xr:uid="{00000000-0005-0000-0000-000002EB0000}"/>
    <cellStyle name="Note 6 3 4 2" xfId="62253" xr:uid="{00000000-0005-0000-0000-000003EB0000}"/>
    <cellStyle name="Note 6 3 5" xfId="43931" xr:uid="{00000000-0005-0000-0000-000004EB0000}"/>
    <cellStyle name="Note 6 3 6" xfId="43932" xr:uid="{00000000-0005-0000-0000-000005EB0000}"/>
    <cellStyle name="Note 6 3 7" xfId="43933" xr:uid="{00000000-0005-0000-0000-000006EB0000}"/>
    <cellStyle name="Note 6 4" xfId="43934" xr:uid="{00000000-0005-0000-0000-000007EB0000}"/>
    <cellStyle name="Note 6 4 2" xfId="43935" xr:uid="{00000000-0005-0000-0000-000008EB0000}"/>
    <cellStyle name="Note 6 4 2 2" xfId="62254" xr:uid="{00000000-0005-0000-0000-000009EB0000}"/>
    <cellStyle name="Note 6 4 2 3" xfId="62255" xr:uid="{00000000-0005-0000-0000-00000AEB0000}"/>
    <cellStyle name="Note 6 4 3" xfId="43936" xr:uid="{00000000-0005-0000-0000-00000BEB0000}"/>
    <cellStyle name="Note 6 4 3 2" xfId="62256" xr:uid="{00000000-0005-0000-0000-00000CEB0000}"/>
    <cellStyle name="Note 6 4 4" xfId="43937" xr:uid="{00000000-0005-0000-0000-00000DEB0000}"/>
    <cellStyle name="Note 6 4 5" xfId="43938" xr:uid="{00000000-0005-0000-0000-00000EEB0000}"/>
    <cellStyle name="Note 6 4 6" xfId="43939" xr:uid="{00000000-0005-0000-0000-00000FEB0000}"/>
    <cellStyle name="Note 6 5" xfId="43940" xr:uid="{00000000-0005-0000-0000-000010EB0000}"/>
    <cellStyle name="Note 6 5 2" xfId="62257" xr:uid="{00000000-0005-0000-0000-000011EB0000}"/>
    <cellStyle name="Note 6 5 3" xfId="62258" xr:uid="{00000000-0005-0000-0000-000012EB0000}"/>
    <cellStyle name="Note 6 6" xfId="43941" xr:uid="{00000000-0005-0000-0000-000013EB0000}"/>
    <cellStyle name="Note 6 6 2" xfId="62259" xr:uid="{00000000-0005-0000-0000-000014EB0000}"/>
    <cellStyle name="Note 6 7" xfId="43942" xr:uid="{00000000-0005-0000-0000-000015EB0000}"/>
    <cellStyle name="Note 6 8" xfId="43943" xr:uid="{00000000-0005-0000-0000-000016EB0000}"/>
    <cellStyle name="Note 6 9" xfId="43944" xr:uid="{00000000-0005-0000-0000-000017EB0000}"/>
    <cellStyle name="Note 7" xfId="43945" xr:uid="{00000000-0005-0000-0000-000018EB0000}"/>
    <cellStyle name="Note 7 2" xfId="43946" xr:uid="{00000000-0005-0000-0000-000019EB0000}"/>
    <cellStyle name="Note 7 2 2" xfId="43947" xr:uid="{00000000-0005-0000-0000-00001AEB0000}"/>
    <cellStyle name="Note 7 2 2 2" xfId="43948" xr:uid="{00000000-0005-0000-0000-00001BEB0000}"/>
    <cellStyle name="Note 7 2 2 2 2" xfId="62260" xr:uid="{00000000-0005-0000-0000-00001CEB0000}"/>
    <cellStyle name="Note 7 2 2 2 3" xfId="62261" xr:uid="{00000000-0005-0000-0000-00001DEB0000}"/>
    <cellStyle name="Note 7 2 2 3" xfId="43949" xr:uid="{00000000-0005-0000-0000-00001EEB0000}"/>
    <cellStyle name="Note 7 2 2 3 2" xfId="62262" xr:uid="{00000000-0005-0000-0000-00001FEB0000}"/>
    <cellStyle name="Note 7 2 2 4" xfId="43950" xr:uid="{00000000-0005-0000-0000-000020EB0000}"/>
    <cellStyle name="Note 7 2 2 5" xfId="43951" xr:uid="{00000000-0005-0000-0000-000021EB0000}"/>
    <cellStyle name="Note 7 2 2 6" xfId="43952" xr:uid="{00000000-0005-0000-0000-000022EB0000}"/>
    <cellStyle name="Note 7 2 3" xfId="43953" xr:uid="{00000000-0005-0000-0000-000023EB0000}"/>
    <cellStyle name="Note 7 2 3 2" xfId="62263" xr:uid="{00000000-0005-0000-0000-000024EB0000}"/>
    <cellStyle name="Note 7 2 3 3" xfId="62264" xr:uid="{00000000-0005-0000-0000-000025EB0000}"/>
    <cellStyle name="Note 7 2 4" xfId="43954" xr:uid="{00000000-0005-0000-0000-000026EB0000}"/>
    <cellStyle name="Note 7 2 4 2" xfId="62265" xr:uid="{00000000-0005-0000-0000-000027EB0000}"/>
    <cellStyle name="Note 7 2 5" xfId="43955" xr:uid="{00000000-0005-0000-0000-000028EB0000}"/>
    <cellStyle name="Note 7 2 6" xfId="43956" xr:uid="{00000000-0005-0000-0000-000029EB0000}"/>
    <cellStyle name="Note 7 2 7" xfId="43957" xr:uid="{00000000-0005-0000-0000-00002AEB0000}"/>
    <cellStyle name="Note 7 3" xfId="43958" xr:uid="{00000000-0005-0000-0000-00002BEB0000}"/>
    <cellStyle name="Note 7 3 2" xfId="43959" xr:uid="{00000000-0005-0000-0000-00002CEB0000}"/>
    <cellStyle name="Note 7 3 2 2" xfId="62266" xr:uid="{00000000-0005-0000-0000-00002DEB0000}"/>
    <cellStyle name="Note 7 3 2 3" xfId="62267" xr:uid="{00000000-0005-0000-0000-00002EEB0000}"/>
    <cellStyle name="Note 7 3 3" xfId="43960" xr:uid="{00000000-0005-0000-0000-00002FEB0000}"/>
    <cellStyle name="Note 7 3 3 2" xfId="62268" xr:uid="{00000000-0005-0000-0000-000030EB0000}"/>
    <cellStyle name="Note 7 3 4" xfId="43961" xr:uid="{00000000-0005-0000-0000-000031EB0000}"/>
    <cellStyle name="Note 7 3 5" xfId="43962" xr:uid="{00000000-0005-0000-0000-000032EB0000}"/>
    <cellStyle name="Note 7 3 6" xfId="43963" xr:uid="{00000000-0005-0000-0000-000033EB0000}"/>
    <cellStyle name="Note 7 4" xfId="43964" xr:uid="{00000000-0005-0000-0000-000034EB0000}"/>
    <cellStyle name="Note 7 4 2" xfId="62269" xr:uid="{00000000-0005-0000-0000-000035EB0000}"/>
    <cellStyle name="Note 7 4 3" xfId="62270" xr:uid="{00000000-0005-0000-0000-000036EB0000}"/>
    <cellStyle name="Note 7 5" xfId="43965" xr:uid="{00000000-0005-0000-0000-000037EB0000}"/>
    <cellStyle name="Note 7 5 2" xfId="62271" xr:uid="{00000000-0005-0000-0000-000038EB0000}"/>
    <cellStyle name="Note 7 6" xfId="43966" xr:uid="{00000000-0005-0000-0000-000039EB0000}"/>
    <cellStyle name="Note 7 7" xfId="43967" xr:uid="{00000000-0005-0000-0000-00003AEB0000}"/>
    <cellStyle name="Note 7 8" xfId="43968" xr:uid="{00000000-0005-0000-0000-00003BEB0000}"/>
    <cellStyle name="Note 8" xfId="43969" xr:uid="{00000000-0005-0000-0000-00003CEB0000}"/>
    <cellStyle name="Note 8 2" xfId="43970" xr:uid="{00000000-0005-0000-0000-00003DEB0000}"/>
    <cellStyle name="Note 8 2 2" xfId="62272" xr:uid="{00000000-0005-0000-0000-00003EEB0000}"/>
    <cellStyle name="Note 8 2 3" xfId="62273" xr:uid="{00000000-0005-0000-0000-00003FEB0000}"/>
    <cellStyle name="Note 8 3" xfId="43971" xr:uid="{00000000-0005-0000-0000-000040EB0000}"/>
    <cellStyle name="Note 8 3 2" xfId="62274" xr:uid="{00000000-0005-0000-0000-000041EB0000}"/>
    <cellStyle name="Note 8 4" xfId="43972" xr:uid="{00000000-0005-0000-0000-000042EB0000}"/>
    <cellStyle name="Note 8 5" xfId="43973" xr:uid="{00000000-0005-0000-0000-000043EB0000}"/>
    <cellStyle name="Note 8 6" xfId="43974" xr:uid="{00000000-0005-0000-0000-000044EB0000}"/>
    <cellStyle name="Note 9" xfId="62275" xr:uid="{00000000-0005-0000-0000-000045EB0000}"/>
    <cellStyle name="Note 9 2" xfId="62276" xr:uid="{00000000-0005-0000-0000-000046EB0000}"/>
    <cellStyle name="Output 2" xfId="43975" xr:uid="{00000000-0005-0000-0000-000047EB0000}"/>
    <cellStyle name="Output 2 2" xfId="43976" xr:uid="{00000000-0005-0000-0000-000048EB0000}"/>
    <cellStyle name="Output 2 2 2" xfId="43977" xr:uid="{00000000-0005-0000-0000-000049EB0000}"/>
    <cellStyle name="Output 2 2 2 10" xfId="43978" xr:uid="{00000000-0005-0000-0000-00004AEB0000}"/>
    <cellStyle name="Output 2 2 2 2" xfId="43979" xr:uid="{00000000-0005-0000-0000-00004BEB0000}"/>
    <cellStyle name="Output 2 2 2 2 2" xfId="43980" xr:uid="{00000000-0005-0000-0000-00004CEB0000}"/>
    <cellStyle name="Output 2 2 2 2 3" xfId="43981" xr:uid="{00000000-0005-0000-0000-00004DEB0000}"/>
    <cellStyle name="Output 2 2 2 3" xfId="43982" xr:uid="{00000000-0005-0000-0000-00004EEB0000}"/>
    <cellStyle name="Output 2 2 2 4" xfId="43983" xr:uid="{00000000-0005-0000-0000-00004FEB0000}"/>
    <cellStyle name="Output 2 2 2 5" xfId="43984" xr:uid="{00000000-0005-0000-0000-000050EB0000}"/>
    <cellStyle name="Output 2 2 2 6" xfId="43985" xr:uid="{00000000-0005-0000-0000-000051EB0000}"/>
    <cellStyle name="Output 2 2 2 7" xfId="43986" xr:uid="{00000000-0005-0000-0000-000052EB0000}"/>
    <cellStyle name="Output 2 2 2 8" xfId="43987" xr:uid="{00000000-0005-0000-0000-000053EB0000}"/>
    <cellStyle name="Output 2 2 2 9" xfId="43988" xr:uid="{00000000-0005-0000-0000-000054EB0000}"/>
    <cellStyle name="Output 2 2 3" xfId="43989" xr:uid="{00000000-0005-0000-0000-000055EB0000}"/>
    <cellStyle name="Output 2 2 3 10" xfId="43990" xr:uid="{00000000-0005-0000-0000-000056EB0000}"/>
    <cellStyle name="Output 2 2 3 2" xfId="43991" xr:uid="{00000000-0005-0000-0000-000057EB0000}"/>
    <cellStyle name="Output 2 2 3 2 2" xfId="43992" xr:uid="{00000000-0005-0000-0000-000058EB0000}"/>
    <cellStyle name="Output 2 2 3 2 3" xfId="43993" xr:uid="{00000000-0005-0000-0000-000059EB0000}"/>
    <cellStyle name="Output 2 2 3 3" xfId="43994" xr:uid="{00000000-0005-0000-0000-00005AEB0000}"/>
    <cellStyle name="Output 2 2 3 4" xfId="43995" xr:uid="{00000000-0005-0000-0000-00005BEB0000}"/>
    <cellStyle name="Output 2 2 3 5" xfId="43996" xr:uid="{00000000-0005-0000-0000-00005CEB0000}"/>
    <cellStyle name="Output 2 2 3 6" xfId="43997" xr:uid="{00000000-0005-0000-0000-00005DEB0000}"/>
    <cellStyle name="Output 2 2 3 7" xfId="43998" xr:uid="{00000000-0005-0000-0000-00005EEB0000}"/>
    <cellStyle name="Output 2 2 3 8" xfId="43999" xr:uid="{00000000-0005-0000-0000-00005FEB0000}"/>
    <cellStyle name="Output 2 2 3 9" xfId="44000" xr:uid="{00000000-0005-0000-0000-000060EB0000}"/>
    <cellStyle name="Output 2 2 4" xfId="44001" xr:uid="{00000000-0005-0000-0000-000061EB0000}"/>
    <cellStyle name="Output 2 2 4 10" xfId="44002" xr:uid="{00000000-0005-0000-0000-000062EB0000}"/>
    <cellStyle name="Output 2 2 4 2" xfId="44003" xr:uid="{00000000-0005-0000-0000-000063EB0000}"/>
    <cellStyle name="Output 2 2 4 3" xfId="44004" xr:uid="{00000000-0005-0000-0000-000064EB0000}"/>
    <cellStyle name="Output 2 2 4 4" xfId="44005" xr:uid="{00000000-0005-0000-0000-000065EB0000}"/>
    <cellStyle name="Output 2 2 4 5" xfId="44006" xr:uid="{00000000-0005-0000-0000-000066EB0000}"/>
    <cellStyle name="Output 2 2 4 6" xfId="44007" xr:uid="{00000000-0005-0000-0000-000067EB0000}"/>
    <cellStyle name="Output 2 2 4 7" xfId="44008" xr:uid="{00000000-0005-0000-0000-000068EB0000}"/>
    <cellStyle name="Output 2 2 4 8" xfId="44009" xr:uid="{00000000-0005-0000-0000-000069EB0000}"/>
    <cellStyle name="Output 2 2 4 9" xfId="44010" xr:uid="{00000000-0005-0000-0000-00006AEB0000}"/>
    <cellStyle name="Output 2 2 5" xfId="44011" xr:uid="{00000000-0005-0000-0000-00006BEB0000}"/>
    <cellStyle name="Output 2 2 5 10" xfId="44012" xr:uid="{00000000-0005-0000-0000-00006CEB0000}"/>
    <cellStyle name="Output 2 2 5 2" xfId="44013" xr:uid="{00000000-0005-0000-0000-00006DEB0000}"/>
    <cellStyle name="Output 2 2 5 3" xfId="44014" xr:uid="{00000000-0005-0000-0000-00006EEB0000}"/>
    <cellStyle name="Output 2 2 5 4" xfId="44015" xr:uid="{00000000-0005-0000-0000-00006FEB0000}"/>
    <cellStyle name="Output 2 2 5 5" xfId="44016" xr:uid="{00000000-0005-0000-0000-000070EB0000}"/>
    <cellStyle name="Output 2 2 5 6" xfId="44017" xr:uid="{00000000-0005-0000-0000-000071EB0000}"/>
    <cellStyle name="Output 2 2 5 7" xfId="44018" xr:uid="{00000000-0005-0000-0000-000072EB0000}"/>
    <cellStyle name="Output 2 2 5 8" xfId="44019" xr:uid="{00000000-0005-0000-0000-000073EB0000}"/>
    <cellStyle name="Output 2 2 5 9" xfId="44020" xr:uid="{00000000-0005-0000-0000-000074EB0000}"/>
    <cellStyle name="Output 2 2 6" xfId="44021" xr:uid="{00000000-0005-0000-0000-000075EB0000}"/>
    <cellStyle name="Output 2 2 6 10" xfId="44022" xr:uid="{00000000-0005-0000-0000-000076EB0000}"/>
    <cellStyle name="Output 2 2 6 2" xfId="44023" xr:uid="{00000000-0005-0000-0000-000077EB0000}"/>
    <cellStyle name="Output 2 2 6 3" xfId="44024" xr:uid="{00000000-0005-0000-0000-000078EB0000}"/>
    <cellStyle name="Output 2 2 6 4" xfId="44025" xr:uid="{00000000-0005-0000-0000-000079EB0000}"/>
    <cellStyle name="Output 2 2 6 5" xfId="44026" xr:uid="{00000000-0005-0000-0000-00007AEB0000}"/>
    <cellStyle name="Output 2 2 6 6" xfId="44027" xr:uid="{00000000-0005-0000-0000-00007BEB0000}"/>
    <cellStyle name="Output 2 2 6 7" xfId="44028" xr:uid="{00000000-0005-0000-0000-00007CEB0000}"/>
    <cellStyle name="Output 2 2 6 8" xfId="44029" xr:uid="{00000000-0005-0000-0000-00007DEB0000}"/>
    <cellStyle name="Output 2 2 6 9" xfId="44030" xr:uid="{00000000-0005-0000-0000-00007EEB0000}"/>
    <cellStyle name="Output 2 2 7" xfId="44031" xr:uid="{00000000-0005-0000-0000-00007FEB0000}"/>
    <cellStyle name="Output 2 2 7 10" xfId="44032" xr:uid="{00000000-0005-0000-0000-000080EB0000}"/>
    <cellStyle name="Output 2 2 7 2" xfId="44033" xr:uid="{00000000-0005-0000-0000-000081EB0000}"/>
    <cellStyle name="Output 2 2 7 3" xfId="44034" xr:uid="{00000000-0005-0000-0000-000082EB0000}"/>
    <cellStyle name="Output 2 2 7 4" xfId="44035" xr:uid="{00000000-0005-0000-0000-000083EB0000}"/>
    <cellStyle name="Output 2 2 7 5" xfId="44036" xr:uid="{00000000-0005-0000-0000-000084EB0000}"/>
    <cellStyle name="Output 2 2 7 6" xfId="44037" xr:uid="{00000000-0005-0000-0000-000085EB0000}"/>
    <cellStyle name="Output 2 2 7 7" xfId="44038" xr:uid="{00000000-0005-0000-0000-000086EB0000}"/>
    <cellStyle name="Output 2 2 7 8" xfId="44039" xr:uid="{00000000-0005-0000-0000-000087EB0000}"/>
    <cellStyle name="Output 2 2 7 9" xfId="44040" xr:uid="{00000000-0005-0000-0000-000088EB0000}"/>
    <cellStyle name="Output 2 2 8" xfId="44041" xr:uid="{00000000-0005-0000-0000-000089EB0000}"/>
    <cellStyle name="Output 2 2 9" xfId="44042" xr:uid="{00000000-0005-0000-0000-00008AEB0000}"/>
    <cellStyle name="Output 2 3" xfId="44043" xr:uid="{00000000-0005-0000-0000-00008BEB0000}"/>
    <cellStyle name="Output 2 3 10" xfId="44044" xr:uid="{00000000-0005-0000-0000-00008CEB0000}"/>
    <cellStyle name="Output 2 3 2" xfId="44045" xr:uid="{00000000-0005-0000-0000-00008DEB0000}"/>
    <cellStyle name="Output 2 3 2 2" xfId="44046" xr:uid="{00000000-0005-0000-0000-00008EEB0000}"/>
    <cellStyle name="Output 2 3 2 3" xfId="44047" xr:uid="{00000000-0005-0000-0000-00008FEB0000}"/>
    <cellStyle name="Output 2 3 3" xfId="44048" xr:uid="{00000000-0005-0000-0000-000090EB0000}"/>
    <cellStyle name="Output 2 3 4" xfId="44049" xr:uid="{00000000-0005-0000-0000-000091EB0000}"/>
    <cellStyle name="Output 2 3 5" xfId="44050" xr:uid="{00000000-0005-0000-0000-000092EB0000}"/>
    <cellStyle name="Output 2 3 6" xfId="44051" xr:uid="{00000000-0005-0000-0000-000093EB0000}"/>
    <cellStyle name="Output 2 3 7" xfId="44052" xr:uid="{00000000-0005-0000-0000-000094EB0000}"/>
    <cellStyle name="Output 2 3 8" xfId="44053" xr:uid="{00000000-0005-0000-0000-000095EB0000}"/>
    <cellStyle name="Output 2 3 9" xfId="44054" xr:uid="{00000000-0005-0000-0000-000096EB0000}"/>
    <cellStyle name="Output 2 4" xfId="44055" xr:uid="{00000000-0005-0000-0000-000097EB0000}"/>
    <cellStyle name="Output 2 4 10" xfId="44056" xr:uid="{00000000-0005-0000-0000-000098EB0000}"/>
    <cellStyle name="Output 2 4 2" xfId="44057" xr:uid="{00000000-0005-0000-0000-000099EB0000}"/>
    <cellStyle name="Output 2 4 2 2" xfId="44058" xr:uid="{00000000-0005-0000-0000-00009AEB0000}"/>
    <cellStyle name="Output 2 4 2 3" xfId="44059" xr:uid="{00000000-0005-0000-0000-00009BEB0000}"/>
    <cellStyle name="Output 2 4 3" xfId="44060" xr:uid="{00000000-0005-0000-0000-00009CEB0000}"/>
    <cellStyle name="Output 2 4 4" xfId="44061" xr:uid="{00000000-0005-0000-0000-00009DEB0000}"/>
    <cellStyle name="Output 2 4 5" xfId="44062" xr:uid="{00000000-0005-0000-0000-00009EEB0000}"/>
    <cellStyle name="Output 2 4 6" xfId="44063" xr:uid="{00000000-0005-0000-0000-00009FEB0000}"/>
    <cellStyle name="Output 2 4 7" xfId="44064" xr:uid="{00000000-0005-0000-0000-0000A0EB0000}"/>
    <cellStyle name="Output 2 4 8" xfId="44065" xr:uid="{00000000-0005-0000-0000-0000A1EB0000}"/>
    <cellStyle name="Output 2 4 9" xfId="44066" xr:uid="{00000000-0005-0000-0000-0000A2EB0000}"/>
    <cellStyle name="Output 2 5" xfId="44067" xr:uid="{00000000-0005-0000-0000-0000A3EB0000}"/>
    <cellStyle name="Output 2 5 10" xfId="44068" xr:uid="{00000000-0005-0000-0000-0000A4EB0000}"/>
    <cellStyle name="Output 2 5 2" xfId="44069" xr:uid="{00000000-0005-0000-0000-0000A5EB0000}"/>
    <cellStyle name="Output 2 5 2 2" xfId="44070" xr:uid="{00000000-0005-0000-0000-0000A6EB0000}"/>
    <cellStyle name="Output 2 5 2 3" xfId="44071" xr:uid="{00000000-0005-0000-0000-0000A7EB0000}"/>
    <cellStyle name="Output 2 5 3" xfId="44072" xr:uid="{00000000-0005-0000-0000-0000A8EB0000}"/>
    <cellStyle name="Output 2 5 3 2" xfId="44073" xr:uid="{00000000-0005-0000-0000-0000A9EB0000}"/>
    <cellStyle name="Output 2 5 4" xfId="44074" xr:uid="{00000000-0005-0000-0000-0000AAEB0000}"/>
    <cellStyle name="Output 2 5 5" xfId="44075" xr:uid="{00000000-0005-0000-0000-0000ABEB0000}"/>
    <cellStyle name="Output 2 5 6" xfId="44076" xr:uid="{00000000-0005-0000-0000-0000ACEB0000}"/>
    <cellStyle name="Output 2 5 7" xfId="44077" xr:uid="{00000000-0005-0000-0000-0000ADEB0000}"/>
    <cellStyle name="Output 2 5 8" xfId="44078" xr:uid="{00000000-0005-0000-0000-0000AEEB0000}"/>
    <cellStyle name="Output 2 5 9" xfId="44079" xr:uid="{00000000-0005-0000-0000-0000AFEB0000}"/>
    <cellStyle name="Output 2 6" xfId="44080" xr:uid="{00000000-0005-0000-0000-0000B0EB0000}"/>
    <cellStyle name="Output 2 6 10" xfId="44081" xr:uid="{00000000-0005-0000-0000-0000B1EB0000}"/>
    <cellStyle name="Output 2 6 11" xfId="44082" xr:uid="{00000000-0005-0000-0000-0000B2EB0000}"/>
    <cellStyle name="Output 2 6 2" xfId="44083" xr:uid="{00000000-0005-0000-0000-0000B3EB0000}"/>
    <cellStyle name="Output 2 6 3" xfId="44084" xr:uid="{00000000-0005-0000-0000-0000B4EB0000}"/>
    <cellStyle name="Output 2 6 4" xfId="44085" xr:uid="{00000000-0005-0000-0000-0000B5EB0000}"/>
    <cellStyle name="Output 2 6 5" xfId="44086" xr:uid="{00000000-0005-0000-0000-0000B6EB0000}"/>
    <cellStyle name="Output 2 6 6" xfId="44087" xr:uid="{00000000-0005-0000-0000-0000B7EB0000}"/>
    <cellStyle name="Output 2 6 7" xfId="44088" xr:uid="{00000000-0005-0000-0000-0000B8EB0000}"/>
    <cellStyle name="Output 2 6 8" xfId="44089" xr:uid="{00000000-0005-0000-0000-0000B9EB0000}"/>
    <cellStyle name="Output 2 6 9" xfId="44090" xr:uid="{00000000-0005-0000-0000-0000BAEB0000}"/>
    <cellStyle name="Output 2 7" xfId="44091" xr:uid="{00000000-0005-0000-0000-0000BBEB0000}"/>
    <cellStyle name="Output 2 7 10" xfId="44092" xr:uid="{00000000-0005-0000-0000-0000BCEB0000}"/>
    <cellStyle name="Output 2 7 11" xfId="44093" xr:uid="{00000000-0005-0000-0000-0000BDEB0000}"/>
    <cellStyle name="Output 2 7 2" xfId="44094" xr:uid="{00000000-0005-0000-0000-0000BEEB0000}"/>
    <cellStyle name="Output 2 7 3" xfId="44095" xr:uid="{00000000-0005-0000-0000-0000BFEB0000}"/>
    <cellStyle name="Output 2 7 4" xfId="44096" xr:uid="{00000000-0005-0000-0000-0000C0EB0000}"/>
    <cellStyle name="Output 2 7 5" xfId="44097" xr:uid="{00000000-0005-0000-0000-0000C1EB0000}"/>
    <cellStyle name="Output 2 7 6" xfId="44098" xr:uid="{00000000-0005-0000-0000-0000C2EB0000}"/>
    <cellStyle name="Output 2 7 7" xfId="44099" xr:uid="{00000000-0005-0000-0000-0000C3EB0000}"/>
    <cellStyle name="Output 2 7 8" xfId="44100" xr:uid="{00000000-0005-0000-0000-0000C4EB0000}"/>
    <cellStyle name="Output 2 7 9" xfId="44101" xr:uid="{00000000-0005-0000-0000-0000C5EB0000}"/>
    <cellStyle name="Output 2 8" xfId="44102" xr:uid="{00000000-0005-0000-0000-0000C6EB0000}"/>
    <cellStyle name="Output 2 8 10" xfId="44103" xr:uid="{00000000-0005-0000-0000-0000C7EB0000}"/>
    <cellStyle name="Output 2 8 2" xfId="44104" xr:uid="{00000000-0005-0000-0000-0000C8EB0000}"/>
    <cellStyle name="Output 2 8 3" xfId="44105" xr:uid="{00000000-0005-0000-0000-0000C9EB0000}"/>
    <cellStyle name="Output 2 8 4" xfId="44106" xr:uid="{00000000-0005-0000-0000-0000CAEB0000}"/>
    <cellStyle name="Output 2 8 5" xfId="44107" xr:uid="{00000000-0005-0000-0000-0000CBEB0000}"/>
    <cellStyle name="Output 2 8 6" xfId="44108" xr:uid="{00000000-0005-0000-0000-0000CCEB0000}"/>
    <cellStyle name="Output 2 8 7" xfId="44109" xr:uid="{00000000-0005-0000-0000-0000CDEB0000}"/>
    <cellStyle name="Output 2 8 8" xfId="44110" xr:uid="{00000000-0005-0000-0000-0000CEEB0000}"/>
    <cellStyle name="Output 2 8 9" xfId="44111" xr:uid="{00000000-0005-0000-0000-0000CFEB0000}"/>
    <cellStyle name="Output 3" xfId="44112" xr:uid="{00000000-0005-0000-0000-0000D0EB0000}"/>
    <cellStyle name="Output 3 2" xfId="44113" xr:uid="{00000000-0005-0000-0000-0000D1EB0000}"/>
    <cellStyle name="Output 3 2 2" xfId="44114" xr:uid="{00000000-0005-0000-0000-0000D2EB0000}"/>
    <cellStyle name="Output 3 3" xfId="44115" xr:uid="{00000000-0005-0000-0000-0000D3EB0000}"/>
    <cellStyle name="Output 3 3 2" xfId="44116" xr:uid="{00000000-0005-0000-0000-0000D4EB0000}"/>
    <cellStyle name="Output 3 4" xfId="44117" xr:uid="{00000000-0005-0000-0000-0000D5EB0000}"/>
    <cellStyle name="Output 4" xfId="44118" xr:uid="{00000000-0005-0000-0000-0000D6EB0000}"/>
    <cellStyle name="Output 4 2" xfId="44119" xr:uid="{00000000-0005-0000-0000-0000D7EB0000}"/>
    <cellStyle name="Output 5" xfId="44120" xr:uid="{00000000-0005-0000-0000-0000D8EB0000}"/>
    <cellStyle name="Percent" xfId="63077" builtinId="5"/>
    <cellStyle name="Percent 10" xfId="44121" xr:uid="{00000000-0005-0000-0000-0000DAEB0000}"/>
    <cellStyle name="Percent 10 2" xfId="44122" xr:uid="{00000000-0005-0000-0000-0000DBEB0000}"/>
    <cellStyle name="Percent 10 3" xfId="44123" xr:uid="{00000000-0005-0000-0000-0000DCEB0000}"/>
    <cellStyle name="Percent 11" xfId="44124" xr:uid="{00000000-0005-0000-0000-0000DDEB0000}"/>
    <cellStyle name="Percent 11 2" xfId="44125" xr:uid="{00000000-0005-0000-0000-0000DEEB0000}"/>
    <cellStyle name="Percent 12" xfId="44126" xr:uid="{00000000-0005-0000-0000-0000DFEB0000}"/>
    <cellStyle name="Percent 13" xfId="44127" xr:uid="{00000000-0005-0000-0000-0000E0EB0000}"/>
    <cellStyle name="Percent 14" xfId="44128" xr:uid="{00000000-0005-0000-0000-0000E1EB0000}"/>
    <cellStyle name="Percent 2" xfId="44129" xr:uid="{00000000-0005-0000-0000-0000E2EB0000}"/>
    <cellStyle name="Percent 2 2" xfId="44130" xr:uid="{00000000-0005-0000-0000-0000E3EB0000}"/>
    <cellStyle name="Percent 2 2 2" xfId="44131" xr:uid="{00000000-0005-0000-0000-0000E4EB0000}"/>
    <cellStyle name="Percent 2 2 2 2" xfId="44132" xr:uid="{00000000-0005-0000-0000-0000E5EB0000}"/>
    <cellStyle name="Percent 2 2 2 2 2" xfId="62277" xr:uid="{00000000-0005-0000-0000-0000E6EB0000}"/>
    <cellStyle name="Percent 2 2 2 3" xfId="44133" xr:uid="{00000000-0005-0000-0000-0000E7EB0000}"/>
    <cellStyle name="Percent 2 2 3" xfId="44134" xr:uid="{00000000-0005-0000-0000-0000E8EB0000}"/>
    <cellStyle name="Percent 2 2 3 2" xfId="44135" xr:uid="{00000000-0005-0000-0000-0000E9EB0000}"/>
    <cellStyle name="Percent 2 2 4" xfId="44136" xr:uid="{00000000-0005-0000-0000-0000EAEB0000}"/>
    <cellStyle name="Percent 2 3" xfId="44137" xr:uid="{00000000-0005-0000-0000-0000EBEB0000}"/>
    <cellStyle name="Percent 2 3 2" xfId="44138" xr:uid="{00000000-0005-0000-0000-0000ECEB0000}"/>
    <cellStyle name="Percent 3" xfId="44139" xr:uid="{00000000-0005-0000-0000-0000EDEB0000}"/>
    <cellStyle name="Percent 3 10" xfId="44140" xr:uid="{00000000-0005-0000-0000-0000EEEB0000}"/>
    <cellStyle name="Percent 3 10 2" xfId="44141" xr:uid="{00000000-0005-0000-0000-0000EFEB0000}"/>
    <cellStyle name="Percent 3 10 2 2" xfId="44142" xr:uid="{00000000-0005-0000-0000-0000F0EB0000}"/>
    <cellStyle name="Percent 3 10 2 2 2" xfId="62278" xr:uid="{00000000-0005-0000-0000-0000F1EB0000}"/>
    <cellStyle name="Percent 3 10 2 2 3" xfId="62279" xr:uid="{00000000-0005-0000-0000-0000F2EB0000}"/>
    <cellStyle name="Percent 3 10 2 3" xfId="44143" xr:uid="{00000000-0005-0000-0000-0000F3EB0000}"/>
    <cellStyle name="Percent 3 10 2 3 2" xfId="62280" xr:uid="{00000000-0005-0000-0000-0000F4EB0000}"/>
    <cellStyle name="Percent 3 10 2 4" xfId="44144" xr:uid="{00000000-0005-0000-0000-0000F5EB0000}"/>
    <cellStyle name="Percent 3 10 2 5" xfId="44145" xr:uid="{00000000-0005-0000-0000-0000F6EB0000}"/>
    <cellStyle name="Percent 3 10 2 6" xfId="44146" xr:uid="{00000000-0005-0000-0000-0000F7EB0000}"/>
    <cellStyle name="Percent 3 10 3" xfId="44147" xr:uid="{00000000-0005-0000-0000-0000F8EB0000}"/>
    <cellStyle name="Percent 3 10 3 2" xfId="62281" xr:uid="{00000000-0005-0000-0000-0000F9EB0000}"/>
    <cellStyle name="Percent 3 10 3 3" xfId="62282" xr:uid="{00000000-0005-0000-0000-0000FAEB0000}"/>
    <cellStyle name="Percent 3 10 4" xfId="44148" xr:uid="{00000000-0005-0000-0000-0000FBEB0000}"/>
    <cellStyle name="Percent 3 10 4 2" xfId="62283" xr:uid="{00000000-0005-0000-0000-0000FCEB0000}"/>
    <cellStyle name="Percent 3 10 5" xfId="44149" xr:uid="{00000000-0005-0000-0000-0000FDEB0000}"/>
    <cellStyle name="Percent 3 10 6" xfId="44150" xr:uid="{00000000-0005-0000-0000-0000FEEB0000}"/>
    <cellStyle name="Percent 3 10 7" xfId="44151" xr:uid="{00000000-0005-0000-0000-0000FFEB0000}"/>
    <cellStyle name="Percent 3 11" xfId="44152" xr:uid="{00000000-0005-0000-0000-000000EC0000}"/>
    <cellStyle name="Percent 3 11 2" xfId="44153" xr:uid="{00000000-0005-0000-0000-000001EC0000}"/>
    <cellStyle name="Percent 3 11 2 2" xfId="62284" xr:uid="{00000000-0005-0000-0000-000002EC0000}"/>
    <cellStyle name="Percent 3 11 2 3" xfId="62285" xr:uid="{00000000-0005-0000-0000-000003EC0000}"/>
    <cellStyle name="Percent 3 11 3" xfId="44154" xr:uid="{00000000-0005-0000-0000-000004EC0000}"/>
    <cellStyle name="Percent 3 11 3 2" xfId="62286" xr:uid="{00000000-0005-0000-0000-000005EC0000}"/>
    <cellStyle name="Percent 3 11 4" xfId="44155" xr:uid="{00000000-0005-0000-0000-000006EC0000}"/>
    <cellStyle name="Percent 3 11 5" xfId="44156" xr:uid="{00000000-0005-0000-0000-000007EC0000}"/>
    <cellStyle name="Percent 3 11 6" xfId="44157" xr:uid="{00000000-0005-0000-0000-000008EC0000}"/>
    <cellStyle name="Percent 3 12" xfId="44158" xr:uid="{00000000-0005-0000-0000-000009EC0000}"/>
    <cellStyle name="Percent 3 12 2" xfId="62287" xr:uid="{00000000-0005-0000-0000-00000AEC0000}"/>
    <cellStyle name="Percent 3 12 3" xfId="62288" xr:uid="{00000000-0005-0000-0000-00000BEC0000}"/>
    <cellStyle name="Percent 3 13" xfId="44159" xr:uid="{00000000-0005-0000-0000-00000CEC0000}"/>
    <cellStyle name="Percent 3 13 2" xfId="62289" xr:uid="{00000000-0005-0000-0000-00000DEC0000}"/>
    <cellStyle name="Percent 3 14" xfId="44160" xr:uid="{00000000-0005-0000-0000-00000EEC0000}"/>
    <cellStyle name="Percent 3 14 2" xfId="62290" xr:uid="{00000000-0005-0000-0000-00000FEC0000}"/>
    <cellStyle name="Percent 3 15" xfId="44161" xr:uid="{00000000-0005-0000-0000-000010EC0000}"/>
    <cellStyle name="Percent 3 16" xfId="44162" xr:uid="{00000000-0005-0000-0000-000011EC0000}"/>
    <cellStyle name="Percent 3 17" xfId="44163" xr:uid="{00000000-0005-0000-0000-000012EC0000}"/>
    <cellStyle name="Percent 3 18" xfId="44164" xr:uid="{00000000-0005-0000-0000-000013EC0000}"/>
    <cellStyle name="Percent 3 19" xfId="44165" xr:uid="{00000000-0005-0000-0000-000014EC0000}"/>
    <cellStyle name="Percent 3 2" xfId="44166" xr:uid="{00000000-0005-0000-0000-000015EC0000}"/>
    <cellStyle name="Percent 3 2 10" xfId="44167" xr:uid="{00000000-0005-0000-0000-000016EC0000}"/>
    <cellStyle name="Percent 3 2 10 2" xfId="62291" xr:uid="{00000000-0005-0000-0000-000017EC0000}"/>
    <cellStyle name="Percent 3 2 11" xfId="44168" xr:uid="{00000000-0005-0000-0000-000018EC0000}"/>
    <cellStyle name="Percent 3 2 12" xfId="44169" xr:uid="{00000000-0005-0000-0000-000019EC0000}"/>
    <cellStyle name="Percent 3 2 13" xfId="44170" xr:uid="{00000000-0005-0000-0000-00001AEC0000}"/>
    <cellStyle name="Percent 3 2 14" xfId="44171" xr:uid="{00000000-0005-0000-0000-00001BEC0000}"/>
    <cellStyle name="Percent 3 2 15" xfId="44172" xr:uid="{00000000-0005-0000-0000-00001CEC0000}"/>
    <cellStyle name="Percent 3 2 16" xfId="44173" xr:uid="{00000000-0005-0000-0000-00001DEC0000}"/>
    <cellStyle name="Percent 3 2 2" xfId="44174" xr:uid="{00000000-0005-0000-0000-00001EEC0000}"/>
    <cellStyle name="Percent 3 2 2 10" xfId="44175" xr:uid="{00000000-0005-0000-0000-00001FEC0000}"/>
    <cellStyle name="Percent 3 2 2 11" xfId="44176" xr:uid="{00000000-0005-0000-0000-000020EC0000}"/>
    <cellStyle name="Percent 3 2 2 12" xfId="44177" xr:uid="{00000000-0005-0000-0000-000021EC0000}"/>
    <cellStyle name="Percent 3 2 2 13" xfId="44178" xr:uid="{00000000-0005-0000-0000-000022EC0000}"/>
    <cellStyle name="Percent 3 2 2 14" xfId="44179" xr:uid="{00000000-0005-0000-0000-000023EC0000}"/>
    <cellStyle name="Percent 3 2 2 15" xfId="44180" xr:uid="{00000000-0005-0000-0000-000024EC0000}"/>
    <cellStyle name="Percent 3 2 2 2" xfId="44181" xr:uid="{00000000-0005-0000-0000-000025EC0000}"/>
    <cellStyle name="Percent 3 2 2 2 2" xfId="44182" xr:uid="{00000000-0005-0000-0000-000026EC0000}"/>
    <cellStyle name="Percent 3 2 2 2 2 2" xfId="44183" xr:uid="{00000000-0005-0000-0000-000027EC0000}"/>
    <cellStyle name="Percent 3 2 2 2 2 2 2" xfId="44184" xr:uid="{00000000-0005-0000-0000-000028EC0000}"/>
    <cellStyle name="Percent 3 2 2 2 2 2 2 2" xfId="62292" xr:uid="{00000000-0005-0000-0000-000029EC0000}"/>
    <cellStyle name="Percent 3 2 2 2 2 2 2 3" xfId="62293" xr:uid="{00000000-0005-0000-0000-00002AEC0000}"/>
    <cellStyle name="Percent 3 2 2 2 2 2 3" xfId="44185" xr:uid="{00000000-0005-0000-0000-00002BEC0000}"/>
    <cellStyle name="Percent 3 2 2 2 2 2 3 2" xfId="62294" xr:uid="{00000000-0005-0000-0000-00002CEC0000}"/>
    <cellStyle name="Percent 3 2 2 2 2 2 4" xfId="44186" xr:uid="{00000000-0005-0000-0000-00002DEC0000}"/>
    <cellStyle name="Percent 3 2 2 2 2 2 5" xfId="44187" xr:uid="{00000000-0005-0000-0000-00002EEC0000}"/>
    <cellStyle name="Percent 3 2 2 2 2 2 6" xfId="44188" xr:uid="{00000000-0005-0000-0000-00002FEC0000}"/>
    <cellStyle name="Percent 3 2 2 2 2 3" xfId="44189" xr:uid="{00000000-0005-0000-0000-000030EC0000}"/>
    <cellStyle name="Percent 3 2 2 2 2 3 2" xfId="62295" xr:uid="{00000000-0005-0000-0000-000031EC0000}"/>
    <cellStyle name="Percent 3 2 2 2 2 3 3" xfId="62296" xr:uid="{00000000-0005-0000-0000-000032EC0000}"/>
    <cellStyle name="Percent 3 2 2 2 2 4" xfId="44190" xr:uid="{00000000-0005-0000-0000-000033EC0000}"/>
    <cellStyle name="Percent 3 2 2 2 2 4 2" xfId="62297" xr:uid="{00000000-0005-0000-0000-000034EC0000}"/>
    <cellStyle name="Percent 3 2 2 2 2 5" xfId="44191" xr:uid="{00000000-0005-0000-0000-000035EC0000}"/>
    <cellStyle name="Percent 3 2 2 2 2 6" xfId="44192" xr:uid="{00000000-0005-0000-0000-000036EC0000}"/>
    <cellStyle name="Percent 3 2 2 2 2 7" xfId="44193" xr:uid="{00000000-0005-0000-0000-000037EC0000}"/>
    <cellStyle name="Percent 3 2 2 2 3" xfId="44194" xr:uid="{00000000-0005-0000-0000-000038EC0000}"/>
    <cellStyle name="Percent 3 2 2 2 3 2" xfId="44195" xr:uid="{00000000-0005-0000-0000-000039EC0000}"/>
    <cellStyle name="Percent 3 2 2 2 3 2 2" xfId="62298" xr:uid="{00000000-0005-0000-0000-00003AEC0000}"/>
    <cellStyle name="Percent 3 2 2 2 3 2 3" xfId="62299" xr:uid="{00000000-0005-0000-0000-00003BEC0000}"/>
    <cellStyle name="Percent 3 2 2 2 3 3" xfId="44196" xr:uid="{00000000-0005-0000-0000-00003CEC0000}"/>
    <cellStyle name="Percent 3 2 2 2 3 3 2" xfId="62300" xr:uid="{00000000-0005-0000-0000-00003DEC0000}"/>
    <cellStyle name="Percent 3 2 2 2 3 4" xfId="44197" xr:uid="{00000000-0005-0000-0000-00003EEC0000}"/>
    <cellStyle name="Percent 3 2 2 2 3 5" xfId="44198" xr:uid="{00000000-0005-0000-0000-00003FEC0000}"/>
    <cellStyle name="Percent 3 2 2 2 3 6" xfId="44199" xr:uid="{00000000-0005-0000-0000-000040EC0000}"/>
    <cellStyle name="Percent 3 2 2 2 4" xfId="44200" xr:uid="{00000000-0005-0000-0000-000041EC0000}"/>
    <cellStyle name="Percent 3 2 2 2 4 2" xfId="62301" xr:uid="{00000000-0005-0000-0000-000042EC0000}"/>
    <cellStyle name="Percent 3 2 2 2 4 3" xfId="62302" xr:uid="{00000000-0005-0000-0000-000043EC0000}"/>
    <cellStyle name="Percent 3 2 2 2 5" xfId="44201" xr:uid="{00000000-0005-0000-0000-000044EC0000}"/>
    <cellStyle name="Percent 3 2 2 2 5 2" xfId="62303" xr:uid="{00000000-0005-0000-0000-000045EC0000}"/>
    <cellStyle name="Percent 3 2 2 2 6" xfId="44202" xr:uid="{00000000-0005-0000-0000-000046EC0000}"/>
    <cellStyle name="Percent 3 2 2 2 7" xfId="44203" xr:uid="{00000000-0005-0000-0000-000047EC0000}"/>
    <cellStyle name="Percent 3 2 2 2 8" xfId="44204" xr:uid="{00000000-0005-0000-0000-000048EC0000}"/>
    <cellStyle name="Percent 3 2 2 2 9" xfId="44205" xr:uid="{00000000-0005-0000-0000-000049EC0000}"/>
    <cellStyle name="Percent 3 2 2 3" xfId="44206" xr:uid="{00000000-0005-0000-0000-00004AEC0000}"/>
    <cellStyle name="Percent 3 2 2 3 2" xfId="44207" xr:uid="{00000000-0005-0000-0000-00004BEC0000}"/>
    <cellStyle name="Percent 3 2 2 3 2 2" xfId="44208" xr:uid="{00000000-0005-0000-0000-00004CEC0000}"/>
    <cellStyle name="Percent 3 2 2 3 2 2 2" xfId="44209" xr:uid="{00000000-0005-0000-0000-00004DEC0000}"/>
    <cellStyle name="Percent 3 2 2 3 2 2 2 2" xfId="62304" xr:uid="{00000000-0005-0000-0000-00004EEC0000}"/>
    <cellStyle name="Percent 3 2 2 3 2 2 2 3" xfId="62305" xr:uid="{00000000-0005-0000-0000-00004FEC0000}"/>
    <cellStyle name="Percent 3 2 2 3 2 2 3" xfId="44210" xr:uid="{00000000-0005-0000-0000-000050EC0000}"/>
    <cellStyle name="Percent 3 2 2 3 2 2 3 2" xfId="62306" xr:uid="{00000000-0005-0000-0000-000051EC0000}"/>
    <cellStyle name="Percent 3 2 2 3 2 2 4" xfId="44211" xr:uid="{00000000-0005-0000-0000-000052EC0000}"/>
    <cellStyle name="Percent 3 2 2 3 2 2 5" xfId="44212" xr:uid="{00000000-0005-0000-0000-000053EC0000}"/>
    <cellStyle name="Percent 3 2 2 3 2 2 6" xfId="44213" xr:uid="{00000000-0005-0000-0000-000054EC0000}"/>
    <cellStyle name="Percent 3 2 2 3 2 3" xfId="44214" xr:uid="{00000000-0005-0000-0000-000055EC0000}"/>
    <cellStyle name="Percent 3 2 2 3 2 3 2" xfId="62307" xr:uid="{00000000-0005-0000-0000-000056EC0000}"/>
    <cellStyle name="Percent 3 2 2 3 2 3 3" xfId="62308" xr:uid="{00000000-0005-0000-0000-000057EC0000}"/>
    <cellStyle name="Percent 3 2 2 3 2 4" xfId="44215" xr:uid="{00000000-0005-0000-0000-000058EC0000}"/>
    <cellStyle name="Percent 3 2 2 3 2 4 2" xfId="62309" xr:uid="{00000000-0005-0000-0000-000059EC0000}"/>
    <cellStyle name="Percent 3 2 2 3 2 5" xfId="44216" xr:uid="{00000000-0005-0000-0000-00005AEC0000}"/>
    <cellStyle name="Percent 3 2 2 3 2 6" xfId="44217" xr:uid="{00000000-0005-0000-0000-00005BEC0000}"/>
    <cellStyle name="Percent 3 2 2 3 2 7" xfId="44218" xr:uid="{00000000-0005-0000-0000-00005CEC0000}"/>
    <cellStyle name="Percent 3 2 2 3 3" xfId="44219" xr:uid="{00000000-0005-0000-0000-00005DEC0000}"/>
    <cellStyle name="Percent 3 2 2 3 3 2" xfId="44220" xr:uid="{00000000-0005-0000-0000-00005EEC0000}"/>
    <cellStyle name="Percent 3 2 2 3 3 2 2" xfId="62310" xr:uid="{00000000-0005-0000-0000-00005FEC0000}"/>
    <cellStyle name="Percent 3 2 2 3 3 2 3" xfId="62311" xr:uid="{00000000-0005-0000-0000-000060EC0000}"/>
    <cellStyle name="Percent 3 2 2 3 3 3" xfId="44221" xr:uid="{00000000-0005-0000-0000-000061EC0000}"/>
    <cellStyle name="Percent 3 2 2 3 3 3 2" xfId="62312" xr:uid="{00000000-0005-0000-0000-000062EC0000}"/>
    <cellStyle name="Percent 3 2 2 3 3 4" xfId="44222" xr:uid="{00000000-0005-0000-0000-000063EC0000}"/>
    <cellStyle name="Percent 3 2 2 3 3 5" xfId="44223" xr:uid="{00000000-0005-0000-0000-000064EC0000}"/>
    <cellStyle name="Percent 3 2 2 3 3 6" xfId="44224" xr:uid="{00000000-0005-0000-0000-000065EC0000}"/>
    <cellStyle name="Percent 3 2 2 3 4" xfId="44225" xr:uid="{00000000-0005-0000-0000-000066EC0000}"/>
    <cellStyle name="Percent 3 2 2 3 4 2" xfId="62313" xr:uid="{00000000-0005-0000-0000-000067EC0000}"/>
    <cellStyle name="Percent 3 2 2 3 4 3" xfId="62314" xr:uid="{00000000-0005-0000-0000-000068EC0000}"/>
    <cellStyle name="Percent 3 2 2 3 5" xfId="44226" xr:uid="{00000000-0005-0000-0000-000069EC0000}"/>
    <cellStyle name="Percent 3 2 2 3 5 2" xfId="62315" xr:uid="{00000000-0005-0000-0000-00006AEC0000}"/>
    <cellStyle name="Percent 3 2 2 3 6" xfId="44227" xr:uid="{00000000-0005-0000-0000-00006BEC0000}"/>
    <cellStyle name="Percent 3 2 2 3 7" xfId="44228" xr:uid="{00000000-0005-0000-0000-00006CEC0000}"/>
    <cellStyle name="Percent 3 2 2 3 8" xfId="44229" xr:uid="{00000000-0005-0000-0000-00006DEC0000}"/>
    <cellStyle name="Percent 3 2 2 4" xfId="44230" xr:uid="{00000000-0005-0000-0000-00006EEC0000}"/>
    <cellStyle name="Percent 3 2 2 4 2" xfId="44231" xr:uid="{00000000-0005-0000-0000-00006FEC0000}"/>
    <cellStyle name="Percent 3 2 2 4 2 2" xfId="44232" xr:uid="{00000000-0005-0000-0000-000070EC0000}"/>
    <cellStyle name="Percent 3 2 2 4 2 2 2" xfId="62316" xr:uid="{00000000-0005-0000-0000-000071EC0000}"/>
    <cellStyle name="Percent 3 2 2 4 2 2 3" xfId="62317" xr:uid="{00000000-0005-0000-0000-000072EC0000}"/>
    <cellStyle name="Percent 3 2 2 4 2 3" xfId="44233" xr:uid="{00000000-0005-0000-0000-000073EC0000}"/>
    <cellStyle name="Percent 3 2 2 4 2 3 2" xfId="62318" xr:uid="{00000000-0005-0000-0000-000074EC0000}"/>
    <cellStyle name="Percent 3 2 2 4 2 4" xfId="44234" xr:uid="{00000000-0005-0000-0000-000075EC0000}"/>
    <cellStyle name="Percent 3 2 2 4 2 5" xfId="44235" xr:uid="{00000000-0005-0000-0000-000076EC0000}"/>
    <cellStyle name="Percent 3 2 2 4 2 6" xfId="44236" xr:uid="{00000000-0005-0000-0000-000077EC0000}"/>
    <cellStyle name="Percent 3 2 2 4 3" xfId="44237" xr:uid="{00000000-0005-0000-0000-000078EC0000}"/>
    <cellStyle name="Percent 3 2 2 4 3 2" xfId="62319" xr:uid="{00000000-0005-0000-0000-000079EC0000}"/>
    <cellStyle name="Percent 3 2 2 4 3 3" xfId="62320" xr:uid="{00000000-0005-0000-0000-00007AEC0000}"/>
    <cellStyle name="Percent 3 2 2 4 4" xfId="44238" xr:uid="{00000000-0005-0000-0000-00007BEC0000}"/>
    <cellStyle name="Percent 3 2 2 4 4 2" xfId="62321" xr:uid="{00000000-0005-0000-0000-00007CEC0000}"/>
    <cellStyle name="Percent 3 2 2 4 5" xfId="44239" xr:uid="{00000000-0005-0000-0000-00007DEC0000}"/>
    <cellStyle name="Percent 3 2 2 4 6" xfId="44240" xr:uid="{00000000-0005-0000-0000-00007EEC0000}"/>
    <cellStyle name="Percent 3 2 2 4 7" xfId="44241" xr:uid="{00000000-0005-0000-0000-00007FEC0000}"/>
    <cellStyle name="Percent 3 2 2 5" xfId="44242" xr:uid="{00000000-0005-0000-0000-000080EC0000}"/>
    <cellStyle name="Percent 3 2 2 5 2" xfId="44243" xr:uid="{00000000-0005-0000-0000-000081EC0000}"/>
    <cellStyle name="Percent 3 2 2 5 2 2" xfId="62322" xr:uid="{00000000-0005-0000-0000-000082EC0000}"/>
    <cellStyle name="Percent 3 2 2 5 2 3" xfId="62323" xr:uid="{00000000-0005-0000-0000-000083EC0000}"/>
    <cellStyle name="Percent 3 2 2 5 3" xfId="44244" xr:uid="{00000000-0005-0000-0000-000084EC0000}"/>
    <cellStyle name="Percent 3 2 2 5 3 2" xfId="62324" xr:uid="{00000000-0005-0000-0000-000085EC0000}"/>
    <cellStyle name="Percent 3 2 2 5 4" xfId="44245" xr:uid="{00000000-0005-0000-0000-000086EC0000}"/>
    <cellStyle name="Percent 3 2 2 5 5" xfId="44246" xr:uid="{00000000-0005-0000-0000-000087EC0000}"/>
    <cellStyle name="Percent 3 2 2 5 6" xfId="44247" xr:uid="{00000000-0005-0000-0000-000088EC0000}"/>
    <cellStyle name="Percent 3 2 2 6" xfId="44248" xr:uid="{00000000-0005-0000-0000-000089EC0000}"/>
    <cellStyle name="Percent 3 2 2 6 2" xfId="62325" xr:uid="{00000000-0005-0000-0000-00008AEC0000}"/>
    <cellStyle name="Percent 3 2 2 6 3" xfId="62326" xr:uid="{00000000-0005-0000-0000-00008BEC0000}"/>
    <cellStyle name="Percent 3 2 2 7" xfId="44249" xr:uid="{00000000-0005-0000-0000-00008CEC0000}"/>
    <cellStyle name="Percent 3 2 2 7 2" xfId="62327" xr:uid="{00000000-0005-0000-0000-00008DEC0000}"/>
    <cellStyle name="Percent 3 2 2 8" xfId="44250" xr:uid="{00000000-0005-0000-0000-00008EEC0000}"/>
    <cellStyle name="Percent 3 2 2 9" xfId="44251" xr:uid="{00000000-0005-0000-0000-00008FEC0000}"/>
    <cellStyle name="Percent 3 2 3" xfId="44252" xr:uid="{00000000-0005-0000-0000-000090EC0000}"/>
    <cellStyle name="Percent 3 2 3 10" xfId="44253" xr:uid="{00000000-0005-0000-0000-000091EC0000}"/>
    <cellStyle name="Percent 3 2 3 2" xfId="44254" xr:uid="{00000000-0005-0000-0000-000092EC0000}"/>
    <cellStyle name="Percent 3 2 3 2 2" xfId="44255" xr:uid="{00000000-0005-0000-0000-000093EC0000}"/>
    <cellStyle name="Percent 3 2 3 2 2 2" xfId="44256" xr:uid="{00000000-0005-0000-0000-000094EC0000}"/>
    <cellStyle name="Percent 3 2 3 2 2 2 2" xfId="62328" xr:uid="{00000000-0005-0000-0000-000095EC0000}"/>
    <cellStyle name="Percent 3 2 3 2 2 2 3" xfId="62329" xr:uid="{00000000-0005-0000-0000-000096EC0000}"/>
    <cellStyle name="Percent 3 2 3 2 2 3" xfId="44257" xr:uid="{00000000-0005-0000-0000-000097EC0000}"/>
    <cellStyle name="Percent 3 2 3 2 2 3 2" xfId="62330" xr:uid="{00000000-0005-0000-0000-000098EC0000}"/>
    <cellStyle name="Percent 3 2 3 2 2 4" xfId="44258" xr:uid="{00000000-0005-0000-0000-000099EC0000}"/>
    <cellStyle name="Percent 3 2 3 2 2 5" xfId="44259" xr:uid="{00000000-0005-0000-0000-00009AEC0000}"/>
    <cellStyle name="Percent 3 2 3 2 2 6" xfId="44260" xr:uid="{00000000-0005-0000-0000-00009BEC0000}"/>
    <cellStyle name="Percent 3 2 3 2 3" xfId="44261" xr:uid="{00000000-0005-0000-0000-00009CEC0000}"/>
    <cellStyle name="Percent 3 2 3 2 3 2" xfId="62331" xr:uid="{00000000-0005-0000-0000-00009DEC0000}"/>
    <cellStyle name="Percent 3 2 3 2 3 3" xfId="62332" xr:uid="{00000000-0005-0000-0000-00009EEC0000}"/>
    <cellStyle name="Percent 3 2 3 2 4" xfId="44262" xr:uid="{00000000-0005-0000-0000-00009FEC0000}"/>
    <cellStyle name="Percent 3 2 3 2 4 2" xfId="62333" xr:uid="{00000000-0005-0000-0000-0000A0EC0000}"/>
    <cellStyle name="Percent 3 2 3 2 5" xfId="44263" xr:uid="{00000000-0005-0000-0000-0000A1EC0000}"/>
    <cellStyle name="Percent 3 2 3 2 6" xfId="44264" xr:uid="{00000000-0005-0000-0000-0000A2EC0000}"/>
    <cellStyle name="Percent 3 2 3 2 7" xfId="44265" xr:uid="{00000000-0005-0000-0000-0000A3EC0000}"/>
    <cellStyle name="Percent 3 2 3 3" xfId="44266" xr:uid="{00000000-0005-0000-0000-0000A4EC0000}"/>
    <cellStyle name="Percent 3 2 3 3 2" xfId="44267" xr:uid="{00000000-0005-0000-0000-0000A5EC0000}"/>
    <cellStyle name="Percent 3 2 3 3 2 2" xfId="62334" xr:uid="{00000000-0005-0000-0000-0000A6EC0000}"/>
    <cellStyle name="Percent 3 2 3 3 2 3" xfId="62335" xr:uid="{00000000-0005-0000-0000-0000A7EC0000}"/>
    <cellStyle name="Percent 3 2 3 3 3" xfId="44268" xr:uid="{00000000-0005-0000-0000-0000A8EC0000}"/>
    <cellStyle name="Percent 3 2 3 3 3 2" xfId="62336" xr:uid="{00000000-0005-0000-0000-0000A9EC0000}"/>
    <cellStyle name="Percent 3 2 3 3 4" xfId="44269" xr:uid="{00000000-0005-0000-0000-0000AAEC0000}"/>
    <cellStyle name="Percent 3 2 3 3 5" xfId="44270" xr:uid="{00000000-0005-0000-0000-0000ABEC0000}"/>
    <cellStyle name="Percent 3 2 3 3 6" xfId="44271" xr:uid="{00000000-0005-0000-0000-0000ACEC0000}"/>
    <cellStyle name="Percent 3 2 3 4" xfId="44272" xr:uid="{00000000-0005-0000-0000-0000ADEC0000}"/>
    <cellStyle name="Percent 3 2 3 4 2" xfId="62337" xr:uid="{00000000-0005-0000-0000-0000AEEC0000}"/>
    <cellStyle name="Percent 3 2 3 4 3" xfId="62338" xr:uid="{00000000-0005-0000-0000-0000AFEC0000}"/>
    <cellStyle name="Percent 3 2 3 5" xfId="44273" xr:uid="{00000000-0005-0000-0000-0000B0EC0000}"/>
    <cellStyle name="Percent 3 2 3 5 2" xfId="62339" xr:uid="{00000000-0005-0000-0000-0000B1EC0000}"/>
    <cellStyle name="Percent 3 2 3 6" xfId="44274" xr:uid="{00000000-0005-0000-0000-0000B2EC0000}"/>
    <cellStyle name="Percent 3 2 3 7" xfId="44275" xr:uid="{00000000-0005-0000-0000-0000B3EC0000}"/>
    <cellStyle name="Percent 3 2 3 8" xfId="44276" xr:uid="{00000000-0005-0000-0000-0000B4EC0000}"/>
    <cellStyle name="Percent 3 2 3 9" xfId="44277" xr:uid="{00000000-0005-0000-0000-0000B5EC0000}"/>
    <cellStyle name="Percent 3 2 4" xfId="44278" xr:uid="{00000000-0005-0000-0000-0000B6EC0000}"/>
    <cellStyle name="Percent 3 2 4 2" xfId="44279" xr:uid="{00000000-0005-0000-0000-0000B7EC0000}"/>
    <cellStyle name="Percent 3 2 4 2 2" xfId="44280" xr:uid="{00000000-0005-0000-0000-0000B8EC0000}"/>
    <cellStyle name="Percent 3 2 4 2 2 2" xfId="44281" xr:uid="{00000000-0005-0000-0000-0000B9EC0000}"/>
    <cellStyle name="Percent 3 2 4 2 2 2 2" xfId="62340" xr:uid="{00000000-0005-0000-0000-0000BAEC0000}"/>
    <cellStyle name="Percent 3 2 4 2 2 2 3" xfId="62341" xr:uid="{00000000-0005-0000-0000-0000BBEC0000}"/>
    <cellStyle name="Percent 3 2 4 2 2 3" xfId="44282" xr:uid="{00000000-0005-0000-0000-0000BCEC0000}"/>
    <cellStyle name="Percent 3 2 4 2 2 3 2" xfId="62342" xr:uid="{00000000-0005-0000-0000-0000BDEC0000}"/>
    <cellStyle name="Percent 3 2 4 2 2 4" xfId="44283" xr:uid="{00000000-0005-0000-0000-0000BEEC0000}"/>
    <cellStyle name="Percent 3 2 4 2 2 5" xfId="44284" xr:uid="{00000000-0005-0000-0000-0000BFEC0000}"/>
    <cellStyle name="Percent 3 2 4 2 2 6" xfId="44285" xr:uid="{00000000-0005-0000-0000-0000C0EC0000}"/>
    <cellStyle name="Percent 3 2 4 2 3" xfId="44286" xr:uid="{00000000-0005-0000-0000-0000C1EC0000}"/>
    <cellStyle name="Percent 3 2 4 2 3 2" xfId="62343" xr:uid="{00000000-0005-0000-0000-0000C2EC0000}"/>
    <cellStyle name="Percent 3 2 4 2 3 3" xfId="62344" xr:uid="{00000000-0005-0000-0000-0000C3EC0000}"/>
    <cellStyle name="Percent 3 2 4 2 4" xfId="44287" xr:uid="{00000000-0005-0000-0000-0000C4EC0000}"/>
    <cellStyle name="Percent 3 2 4 2 4 2" xfId="62345" xr:uid="{00000000-0005-0000-0000-0000C5EC0000}"/>
    <cellStyle name="Percent 3 2 4 2 5" xfId="44288" xr:uid="{00000000-0005-0000-0000-0000C6EC0000}"/>
    <cellStyle name="Percent 3 2 4 2 6" xfId="44289" xr:uid="{00000000-0005-0000-0000-0000C7EC0000}"/>
    <cellStyle name="Percent 3 2 4 2 7" xfId="44290" xr:uid="{00000000-0005-0000-0000-0000C8EC0000}"/>
    <cellStyle name="Percent 3 2 4 3" xfId="44291" xr:uid="{00000000-0005-0000-0000-0000C9EC0000}"/>
    <cellStyle name="Percent 3 2 4 3 2" xfId="44292" xr:uid="{00000000-0005-0000-0000-0000CAEC0000}"/>
    <cellStyle name="Percent 3 2 4 3 2 2" xfId="62346" xr:uid="{00000000-0005-0000-0000-0000CBEC0000}"/>
    <cellStyle name="Percent 3 2 4 3 2 3" xfId="62347" xr:uid="{00000000-0005-0000-0000-0000CCEC0000}"/>
    <cellStyle name="Percent 3 2 4 3 3" xfId="44293" xr:uid="{00000000-0005-0000-0000-0000CDEC0000}"/>
    <cellStyle name="Percent 3 2 4 3 3 2" xfId="62348" xr:uid="{00000000-0005-0000-0000-0000CEEC0000}"/>
    <cellStyle name="Percent 3 2 4 3 4" xfId="44294" xr:uid="{00000000-0005-0000-0000-0000CFEC0000}"/>
    <cellStyle name="Percent 3 2 4 3 5" xfId="44295" xr:uid="{00000000-0005-0000-0000-0000D0EC0000}"/>
    <cellStyle name="Percent 3 2 4 3 6" xfId="44296" xr:uid="{00000000-0005-0000-0000-0000D1EC0000}"/>
    <cellStyle name="Percent 3 2 4 4" xfId="44297" xr:uid="{00000000-0005-0000-0000-0000D2EC0000}"/>
    <cellStyle name="Percent 3 2 4 4 2" xfId="62349" xr:uid="{00000000-0005-0000-0000-0000D3EC0000}"/>
    <cellStyle name="Percent 3 2 4 4 3" xfId="62350" xr:uid="{00000000-0005-0000-0000-0000D4EC0000}"/>
    <cellStyle name="Percent 3 2 4 5" xfId="44298" xr:uid="{00000000-0005-0000-0000-0000D5EC0000}"/>
    <cellStyle name="Percent 3 2 4 5 2" xfId="62351" xr:uid="{00000000-0005-0000-0000-0000D6EC0000}"/>
    <cellStyle name="Percent 3 2 4 6" xfId="44299" xr:uid="{00000000-0005-0000-0000-0000D7EC0000}"/>
    <cellStyle name="Percent 3 2 4 7" xfId="44300" xr:uid="{00000000-0005-0000-0000-0000D8EC0000}"/>
    <cellStyle name="Percent 3 2 4 8" xfId="44301" xr:uid="{00000000-0005-0000-0000-0000D9EC0000}"/>
    <cellStyle name="Percent 3 2 5" xfId="44302" xr:uid="{00000000-0005-0000-0000-0000DAEC0000}"/>
    <cellStyle name="Percent 3 2 5 2" xfId="44303" xr:uid="{00000000-0005-0000-0000-0000DBEC0000}"/>
    <cellStyle name="Percent 3 2 5 2 2" xfId="44304" xr:uid="{00000000-0005-0000-0000-0000DCEC0000}"/>
    <cellStyle name="Percent 3 2 5 2 2 2" xfId="62352" xr:uid="{00000000-0005-0000-0000-0000DDEC0000}"/>
    <cellStyle name="Percent 3 2 5 2 2 3" xfId="62353" xr:uid="{00000000-0005-0000-0000-0000DEEC0000}"/>
    <cellStyle name="Percent 3 2 5 2 3" xfId="44305" xr:uid="{00000000-0005-0000-0000-0000DFEC0000}"/>
    <cellStyle name="Percent 3 2 5 2 3 2" xfId="62354" xr:uid="{00000000-0005-0000-0000-0000E0EC0000}"/>
    <cellStyle name="Percent 3 2 5 2 4" xfId="44306" xr:uid="{00000000-0005-0000-0000-0000E1EC0000}"/>
    <cellStyle name="Percent 3 2 5 2 5" xfId="44307" xr:uid="{00000000-0005-0000-0000-0000E2EC0000}"/>
    <cellStyle name="Percent 3 2 5 2 6" xfId="44308" xr:uid="{00000000-0005-0000-0000-0000E3EC0000}"/>
    <cellStyle name="Percent 3 2 5 3" xfId="44309" xr:uid="{00000000-0005-0000-0000-0000E4EC0000}"/>
    <cellStyle name="Percent 3 2 5 3 2" xfId="62355" xr:uid="{00000000-0005-0000-0000-0000E5EC0000}"/>
    <cellStyle name="Percent 3 2 5 3 3" xfId="62356" xr:uid="{00000000-0005-0000-0000-0000E6EC0000}"/>
    <cellStyle name="Percent 3 2 5 4" xfId="44310" xr:uid="{00000000-0005-0000-0000-0000E7EC0000}"/>
    <cellStyle name="Percent 3 2 5 4 2" xfId="62357" xr:uid="{00000000-0005-0000-0000-0000E8EC0000}"/>
    <cellStyle name="Percent 3 2 5 5" xfId="44311" xr:uid="{00000000-0005-0000-0000-0000E9EC0000}"/>
    <cellStyle name="Percent 3 2 5 6" xfId="44312" xr:uid="{00000000-0005-0000-0000-0000EAEC0000}"/>
    <cellStyle name="Percent 3 2 5 7" xfId="44313" xr:uid="{00000000-0005-0000-0000-0000EBEC0000}"/>
    <cellStyle name="Percent 3 2 6" xfId="44314" xr:uid="{00000000-0005-0000-0000-0000ECEC0000}"/>
    <cellStyle name="Percent 3 2 6 2" xfId="44315" xr:uid="{00000000-0005-0000-0000-0000EDEC0000}"/>
    <cellStyle name="Percent 3 2 6 2 2" xfId="62358" xr:uid="{00000000-0005-0000-0000-0000EEEC0000}"/>
    <cellStyle name="Percent 3 2 6 2 3" xfId="62359" xr:uid="{00000000-0005-0000-0000-0000EFEC0000}"/>
    <cellStyle name="Percent 3 2 6 3" xfId="44316" xr:uid="{00000000-0005-0000-0000-0000F0EC0000}"/>
    <cellStyle name="Percent 3 2 6 3 2" xfId="62360" xr:uid="{00000000-0005-0000-0000-0000F1EC0000}"/>
    <cellStyle name="Percent 3 2 6 4" xfId="44317" xr:uid="{00000000-0005-0000-0000-0000F2EC0000}"/>
    <cellStyle name="Percent 3 2 6 5" xfId="44318" xr:uid="{00000000-0005-0000-0000-0000F3EC0000}"/>
    <cellStyle name="Percent 3 2 6 6" xfId="44319" xr:uid="{00000000-0005-0000-0000-0000F4EC0000}"/>
    <cellStyle name="Percent 3 2 7" xfId="44320" xr:uid="{00000000-0005-0000-0000-0000F5EC0000}"/>
    <cellStyle name="Percent 3 2 7 2" xfId="62361" xr:uid="{00000000-0005-0000-0000-0000F6EC0000}"/>
    <cellStyle name="Percent 3 2 7 3" xfId="62362" xr:uid="{00000000-0005-0000-0000-0000F7EC0000}"/>
    <cellStyle name="Percent 3 2 8" xfId="44321" xr:uid="{00000000-0005-0000-0000-0000F8EC0000}"/>
    <cellStyle name="Percent 3 2 8 2" xfId="62363" xr:uid="{00000000-0005-0000-0000-0000F9EC0000}"/>
    <cellStyle name="Percent 3 2 9" xfId="44322" xr:uid="{00000000-0005-0000-0000-0000FAEC0000}"/>
    <cellStyle name="Percent 3 2 9 2" xfId="44323" xr:uid="{00000000-0005-0000-0000-0000FBEC0000}"/>
    <cellStyle name="Percent 3 20" xfId="44324" xr:uid="{00000000-0005-0000-0000-0000FCEC0000}"/>
    <cellStyle name="Percent 3 21" xfId="44325" xr:uid="{00000000-0005-0000-0000-0000FDEC0000}"/>
    <cellStyle name="Percent 3 3" xfId="44326" xr:uid="{00000000-0005-0000-0000-0000FEEC0000}"/>
    <cellStyle name="Percent 3 3 10" xfId="44327" xr:uid="{00000000-0005-0000-0000-0000FFEC0000}"/>
    <cellStyle name="Percent 3 3 11" xfId="44328" xr:uid="{00000000-0005-0000-0000-000000ED0000}"/>
    <cellStyle name="Percent 3 3 12" xfId="44329" xr:uid="{00000000-0005-0000-0000-000001ED0000}"/>
    <cellStyle name="Percent 3 3 13" xfId="44330" xr:uid="{00000000-0005-0000-0000-000002ED0000}"/>
    <cellStyle name="Percent 3 3 14" xfId="44331" xr:uid="{00000000-0005-0000-0000-000003ED0000}"/>
    <cellStyle name="Percent 3 3 15" xfId="44332" xr:uid="{00000000-0005-0000-0000-000004ED0000}"/>
    <cellStyle name="Percent 3 3 16" xfId="44333" xr:uid="{00000000-0005-0000-0000-000005ED0000}"/>
    <cellStyle name="Percent 3 3 2" xfId="44334" xr:uid="{00000000-0005-0000-0000-000006ED0000}"/>
    <cellStyle name="Percent 3 3 2 10" xfId="44335" xr:uid="{00000000-0005-0000-0000-000007ED0000}"/>
    <cellStyle name="Percent 3 3 2 11" xfId="44336" xr:uid="{00000000-0005-0000-0000-000008ED0000}"/>
    <cellStyle name="Percent 3 3 2 12" xfId="44337" xr:uid="{00000000-0005-0000-0000-000009ED0000}"/>
    <cellStyle name="Percent 3 3 2 13" xfId="44338" xr:uid="{00000000-0005-0000-0000-00000AED0000}"/>
    <cellStyle name="Percent 3 3 2 14" xfId="44339" xr:uid="{00000000-0005-0000-0000-00000BED0000}"/>
    <cellStyle name="Percent 3 3 2 2" xfId="44340" xr:uid="{00000000-0005-0000-0000-00000CED0000}"/>
    <cellStyle name="Percent 3 3 2 2 2" xfId="44341" xr:uid="{00000000-0005-0000-0000-00000DED0000}"/>
    <cellStyle name="Percent 3 3 2 2 2 2" xfId="44342" xr:uid="{00000000-0005-0000-0000-00000EED0000}"/>
    <cellStyle name="Percent 3 3 2 2 2 2 2" xfId="44343" xr:uid="{00000000-0005-0000-0000-00000FED0000}"/>
    <cellStyle name="Percent 3 3 2 2 2 2 2 2" xfId="62364" xr:uid="{00000000-0005-0000-0000-000010ED0000}"/>
    <cellStyle name="Percent 3 3 2 2 2 2 2 3" xfId="62365" xr:uid="{00000000-0005-0000-0000-000011ED0000}"/>
    <cellStyle name="Percent 3 3 2 2 2 2 3" xfId="44344" xr:uid="{00000000-0005-0000-0000-000012ED0000}"/>
    <cellStyle name="Percent 3 3 2 2 2 2 3 2" xfId="62366" xr:uid="{00000000-0005-0000-0000-000013ED0000}"/>
    <cellStyle name="Percent 3 3 2 2 2 2 4" xfId="44345" xr:uid="{00000000-0005-0000-0000-000014ED0000}"/>
    <cellStyle name="Percent 3 3 2 2 2 2 5" xfId="44346" xr:uid="{00000000-0005-0000-0000-000015ED0000}"/>
    <cellStyle name="Percent 3 3 2 2 2 2 6" xfId="44347" xr:uid="{00000000-0005-0000-0000-000016ED0000}"/>
    <cellStyle name="Percent 3 3 2 2 2 3" xfId="44348" xr:uid="{00000000-0005-0000-0000-000017ED0000}"/>
    <cellStyle name="Percent 3 3 2 2 2 3 2" xfId="62367" xr:uid="{00000000-0005-0000-0000-000018ED0000}"/>
    <cellStyle name="Percent 3 3 2 2 2 3 3" xfId="62368" xr:uid="{00000000-0005-0000-0000-000019ED0000}"/>
    <cellStyle name="Percent 3 3 2 2 2 4" xfId="44349" xr:uid="{00000000-0005-0000-0000-00001AED0000}"/>
    <cellStyle name="Percent 3 3 2 2 2 4 2" xfId="62369" xr:uid="{00000000-0005-0000-0000-00001BED0000}"/>
    <cellStyle name="Percent 3 3 2 2 2 5" xfId="44350" xr:uid="{00000000-0005-0000-0000-00001CED0000}"/>
    <cellStyle name="Percent 3 3 2 2 2 6" xfId="44351" xr:uid="{00000000-0005-0000-0000-00001DED0000}"/>
    <cellStyle name="Percent 3 3 2 2 2 7" xfId="44352" xr:uid="{00000000-0005-0000-0000-00001EED0000}"/>
    <cellStyle name="Percent 3 3 2 2 3" xfId="44353" xr:uid="{00000000-0005-0000-0000-00001FED0000}"/>
    <cellStyle name="Percent 3 3 2 2 3 2" xfId="44354" xr:uid="{00000000-0005-0000-0000-000020ED0000}"/>
    <cellStyle name="Percent 3 3 2 2 3 2 2" xfId="62370" xr:uid="{00000000-0005-0000-0000-000021ED0000}"/>
    <cellStyle name="Percent 3 3 2 2 3 2 3" xfId="62371" xr:uid="{00000000-0005-0000-0000-000022ED0000}"/>
    <cellStyle name="Percent 3 3 2 2 3 3" xfId="44355" xr:uid="{00000000-0005-0000-0000-000023ED0000}"/>
    <cellStyle name="Percent 3 3 2 2 3 3 2" xfId="62372" xr:uid="{00000000-0005-0000-0000-000024ED0000}"/>
    <cellStyle name="Percent 3 3 2 2 3 4" xfId="44356" xr:uid="{00000000-0005-0000-0000-000025ED0000}"/>
    <cellStyle name="Percent 3 3 2 2 3 5" xfId="44357" xr:uid="{00000000-0005-0000-0000-000026ED0000}"/>
    <cellStyle name="Percent 3 3 2 2 3 6" xfId="44358" xr:uid="{00000000-0005-0000-0000-000027ED0000}"/>
    <cellStyle name="Percent 3 3 2 2 4" xfId="44359" xr:uid="{00000000-0005-0000-0000-000028ED0000}"/>
    <cellStyle name="Percent 3 3 2 2 4 2" xfId="62373" xr:uid="{00000000-0005-0000-0000-000029ED0000}"/>
    <cellStyle name="Percent 3 3 2 2 4 3" xfId="62374" xr:uid="{00000000-0005-0000-0000-00002AED0000}"/>
    <cellStyle name="Percent 3 3 2 2 5" xfId="44360" xr:uid="{00000000-0005-0000-0000-00002BED0000}"/>
    <cellStyle name="Percent 3 3 2 2 5 2" xfId="62375" xr:uid="{00000000-0005-0000-0000-00002CED0000}"/>
    <cellStyle name="Percent 3 3 2 2 6" xfId="44361" xr:uid="{00000000-0005-0000-0000-00002DED0000}"/>
    <cellStyle name="Percent 3 3 2 2 7" xfId="44362" xr:uid="{00000000-0005-0000-0000-00002EED0000}"/>
    <cellStyle name="Percent 3 3 2 2 8" xfId="44363" xr:uid="{00000000-0005-0000-0000-00002FED0000}"/>
    <cellStyle name="Percent 3 3 2 2 9" xfId="44364" xr:uid="{00000000-0005-0000-0000-000030ED0000}"/>
    <cellStyle name="Percent 3 3 2 3" xfId="44365" xr:uid="{00000000-0005-0000-0000-000031ED0000}"/>
    <cellStyle name="Percent 3 3 2 3 2" xfId="44366" xr:uid="{00000000-0005-0000-0000-000032ED0000}"/>
    <cellStyle name="Percent 3 3 2 3 2 2" xfId="44367" xr:uid="{00000000-0005-0000-0000-000033ED0000}"/>
    <cellStyle name="Percent 3 3 2 3 2 2 2" xfId="44368" xr:uid="{00000000-0005-0000-0000-000034ED0000}"/>
    <cellStyle name="Percent 3 3 2 3 2 2 2 2" xfId="62376" xr:uid="{00000000-0005-0000-0000-000035ED0000}"/>
    <cellStyle name="Percent 3 3 2 3 2 2 2 3" xfId="62377" xr:uid="{00000000-0005-0000-0000-000036ED0000}"/>
    <cellStyle name="Percent 3 3 2 3 2 2 3" xfId="44369" xr:uid="{00000000-0005-0000-0000-000037ED0000}"/>
    <cellStyle name="Percent 3 3 2 3 2 2 3 2" xfId="62378" xr:uid="{00000000-0005-0000-0000-000038ED0000}"/>
    <cellStyle name="Percent 3 3 2 3 2 2 4" xfId="44370" xr:uid="{00000000-0005-0000-0000-000039ED0000}"/>
    <cellStyle name="Percent 3 3 2 3 2 2 5" xfId="44371" xr:uid="{00000000-0005-0000-0000-00003AED0000}"/>
    <cellStyle name="Percent 3 3 2 3 2 2 6" xfId="44372" xr:uid="{00000000-0005-0000-0000-00003BED0000}"/>
    <cellStyle name="Percent 3 3 2 3 2 3" xfId="44373" xr:uid="{00000000-0005-0000-0000-00003CED0000}"/>
    <cellStyle name="Percent 3 3 2 3 2 3 2" xfId="62379" xr:uid="{00000000-0005-0000-0000-00003DED0000}"/>
    <cellStyle name="Percent 3 3 2 3 2 3 3" xfId="62380" xr:uid="{00000000-0005-0000-0000-00003EED0000}"/>
    <cellStyle name="Percent 3 3 2 3 2 4" xfId="44374" xr:uid="{00000000-0005-0000-0000-00003FED0000}"/>
    <cellStyle name="Percent 3 3 2 3 2 4 2" xfId="62381" xr:uid="{00000000-0005-0000-0000-000040ED0000}"/>
    <cellStyle name="Percent 3 3 2 3 2 5" xfId="44375" xr:uid="{00000000-0005-0000-0000-000041ED0000}"/>
    <cellStyle name="Percent 3 3 2 3 2 6" xfId="44376" xr:uid="{00000000-0005-0000-0000-000042ED0000}"/>
    <cellStyle name="Percent 3 3 2 3 2 7" xfId="44377" xr:uid="{00000000-0005-0000-0000-000043ED0000}"/>
    <cellStyle name="Percent 3 3 2 3 3" xfId="44378" xr:uid="{00000000-0005-0000-0000-000044ED0000}"/>
    <cellStyle name="Percent 3 3 2 3 3 2" xfId="44379" xr:uid="{00000000-0005-0000-0000-000045ED0000}"/>
    <cellStyle name="Percent 3 3 2 3 3 2 2" xfId="62382" xr:uid="{00000000-0005-0000-0000-000046ED0000}"/>
    <cellStyle name="Percent 3 3 2 3 3 2 3" xfId="62383" xr:uid="{00000000-0005-0000-0000-000047ED0000}"/>
    <cellStyle name="Percent 3 3 2 3 3 3" xfId="44380" xr:uid="{00000000-0005-0000-0000-000048ED0000}"/>
    <cellStyle name="Percent 3 3 2 3 3 3 2" xfId="62384" xr:uid="{00000000-0005-0000-0000-000049ED0000}"/>
    <cellStyle name="Percent 3 3 2 3 3 4" xfId="44381" xr:uid="{00000000-0005-0000-0000-00004AED0000}"/>
    <cellStyle name="Percent 3 3 2 3 3 5" xfId="44382" xr:uid="{00000000-0005-0000-0000-00004BED0000}"/>
    <cellStyle name="Percent 3 3 2 3 3 6" xfId="44383" xr:uid="{00000000-0005-0000-0000-00004CED0000}"/>
    <cellStyle name="Percent 3 3 2 3 4" xfId="44384" xr:uid="{00000000-0005-0000-0000-00004DED0000}"/>
    <cellStyle name="Percent 3 3 2 3 4 2" xfId="62385" xr:uid="{00000000-0005-0000-0000-00004EED0000}"/>
    <cellStyle name="Percent 3 3 2 3 4 3" xfId="62386" xr:uid="{00000000-0005-0000-0000-00004FED0000}"/>
    <cellStyle name="Percent 3 3 2 3 5" xfId="44385" xr:uid="{00000000-0005-0000-0000-000050ED0000}"/>
    <cellStyle name="Percent 3 3 2 3 5 2" xfId="62387" xr:uid="{00000000-0005-0000-0000-000051ED0000}"/>
    <cellStyle name="Percent 3 3 2 3 6" xfId="44386" xr:uid="{00000000-0005-0000-0000-000052ED0000}"/>
    <cellStyle name="Percent 3 3 2 3 7" xfId="44387" xr:uid="{00000000-0005-0000-0000-000053ED0000}"/>
    <cellStyle name="Percent 3 3 2 3 8" xfId="44388" xr:uid="{00000000-0005-0000-0000-000054ED0000}"/>
    <cellStyle name="Percent 3 3 2 4" xfId="44389" xr:uid="{00000000-0005-0000-0000-000055ED0000}"/>
    <cellStyle name="Percent 3 3 2 4 2" xfId="44390" xr:uid="{00000000-0005-0000-0000-000056ED0000}"/>
    <cellStyle name="Percent 3 3 2 4 2 2" xfId="44391" xr:uid="{00000000-0005-0000-0000-000057ED0000}"/>
    <cellStyle name="Percent 3 3 2 4 2 2 2" xfId="62388" xr:uid="{00000000-0005-0000-0000-000058ED0000}"/>
    <cellStyle name="Percent 3 3 2 4 2 2 3" xfId="62389" xr:uid="{00000000-0005-0000-0000-000059ED0000}"/>
    <cellStyle name="Percent 3 3 2 4 2 3" xfId="44392" xr:uid="{00000000-0005-0000-0000-00005AED0000}"/>
    <cellStyle name="Percent 3 3 2 4 2 3 2" xfId="62390" xr:uid="{00000000-0005-0000-0000-00005BED0000}"/>
    <cellStyle name="Percent 3 3 2 4 2 4" xfId="44393" xr:uid="{00000000-0005-0000-0000-00005CED0000}"/>
    <cellStyle name="Percent 3 3 2 4 2 5" xfId="44394" xr:uid="{00000000-0005-0000-0000-00005DED0000}"/>
    <cellStyle name="Percent 3 3 2 4 2 6" xfId="44395" xr:uid="{00000000-0005-0000-0000-00005EED0000}"/>
    <cellStyle name="Percent 3 3 2 4 3" xfId="44396" xr:uid="{00000000-0005-0000-0000-00005FED0000}"/>
    <cellStyle name="Percent 3 3 2 4 3 2" xfId="62391" xr:uid="{00000000-0005-0000-0000-000060ED0000}"/>
    <cellStyle name="Percent 3 3 2 4 3 3" xfId="62392" xr:uid="{00000000-0005-0000-0000-000061ED0000}"/>
    <cellStyle name="Percent 3 3 2 4 4" xfId="44397" xr:uid="{00000000-0005-0000-0000-000062ED0000}"/>
    <cellStyle name="Percent 3 3 2 4 4 2" xfId="62393" xr:uid="{00000000-0005-0000-0000-000063ED0000}"/>
    <cellStyle name="Percent 3 3 2 4 5" xfId="44398" xr:uid="{00000000-0005-0000-0000-000064ED0000}"/>
    <cellStyle name="Percent 3 3 2 4 6" xfId="44399" xr:uid="{00000000-0005-0000-0000-000065ED0000}"/>
    <cellStyle name="Percent 3 3 2 4 7" xfId="44400" xr:uid="{00000000-0005-0000-0000-000066ED0000}"/>
    <cellStyle name="Percent 3 3 2 5" xfId="44401" xr:uid="{00000000-0005-0000-0000-000067ED0000}"/>
    <cellStyle name="Percent 3 3 2 5 2" xfId="44402" xr:uid="{00000000-0005-0000-0000-000068ED0000}"/>
    <cellStyle name="Percent 3 3 2 5 2 2" xfId="62394" xr:uid="{00000000-0005-0000-0000-000069ED0000}"/>
    <cellStyle name="Percent 3 3 2 5 2 3" xfId="62395" xr:uid="{00000000-0005-0000-0000-00006AED0000}"/>
    <cellStyle name="Percent 3 3 2 5 3" xfId="44403" xr:uid="{00000000-0005-0000-0000-00006BED0000}"/>
    <cellStyle name="Percent 3 3 2 5 3 2" xfId="62396" xr:uid="{00000000-0005-0000-0000-00006CED0000}"/>
    <cellStyle name="Percent 3 3 2 5 4" xfId="44404" xr:uid="{00000000-0005-0000-0000-00006DED0000}"/>
    <cellStyle name="Percent 3 3 2 5 5" xfId="44405" xr:uid="{00000000-0005-0000-0000-00006EED0000}"/>
    <cellStyle name="Percent 3 3 2 5 6" xfId="44406" xr:uid="{00000000-0005-0000-0000-00006FED0000}"/>
    <cellStyle name="Percent 3 3 2 6" xfId="44407" xr:uid="{00000000-0005-0000-0000-000070ED0000}"/>
    <cellStyle name="Percent 3 3 2 6 2" xfId="62397" xr:uid="{00000000-0005-0000-0000-000071ED0000}"/>
    <cellStyle name="Percent 3 3 2 6 3" xfId="62398" xr:uid="{00000000-0005-0000-0000-000072ED0000}"/>
    <cellStyle name="Percent 3 3 2 7" xfId="44408" xr:uid="{00000000-0005-0000-0000-000073ED0000}"/>
    <cellStyle name="Percent 3 3 2 7 2" xfId="62399" xr:uid="{00000000-0005-0000-0000-000074ED0000}"/>
    <cellStyle name="Percent 3 3 2 8" xfId="44409" xr:uid="{00000000-0005-0000-0000-000075ED0000}"/>
    <cellStyle name="Percent 3 3 2 9" xfId="44410" xr:uid="{00000000-0005-0000-0000-000076ED0000}"/>
    <cellStyle name="Percent 3 3 3" xfId="44411" xr:uid="{00000000-0005-0000-0000-000077ED0000}"/>
    <cellStyle name="Percent 3 3 3 2" xfId="44412" xr:uid="{00000000-0005-0000-0000-000078ED0000}"/>
    <cellStyle name="Percent 3 3 3 2 2" xfId="44413" xr:uid="{00000000-0005-0000-0000-000079ED0000}"/>
    <cellStyle name="Percent 3 3 3 2 2 2" xfId="44414" xr:uid="{00000000-0005-0000-0000-00007AED0000}"/>
    <cellStyle name="Percent 3 3 3 2 2 2 2" xfId="62400" xr:uid="{00000000-0005-0000-0000-00007BED0000}"/>
    <cellStyle name="Percent 3 3 3 2 2 2 3" xfId="62401" xr:uid="{00000000-0005-0000-0000-00007CED0000}"/>
    <cellStyle name="Percent 3 3 3 2 2 3" xfId="44415" xr:uid="{00000000-0005-0000-0000-00007DED0000}"/>
    <cellStyle name="Percent 3 3 3 2 2 3 2" xfId="62402" xr:uid="{00000000-0005-0000-0000-00007EED0000}"/>
    <cellStyle name="Percent 3 3 3 2 2 4" xfId="44416" xr:uid="{00000000-0005-0000-0000-00007FED0000}"/>
    <cellStyle name="Percent 3 3 3 2 2 5" xfId="44417" xr:uid="{00000000-0005-0000-0000-000080ED0000}"/>
    <cellStyle name="Percent 3 3 3 2 2 6" xfId="44418" xr:uid="{00000000-0005-0000-0000-000081ED0000}"/>
    <cellStyle name="Percent 3 3 3 2 3" xfId="44419" xr:uid="{00000000-0005-0000-0000-000082ED0000}"/>
    <cellStyle name="Percent 3 3 3 2 3 2" xfId="62403" xr:uid="{00000000-0005-0000-0000-000083ED0000}"/>
    <cellStyle name="Percent 3 3 3 2 3 3" xfId="62404" xr:uid="{00000000-0005-0000-0000-000084ED0000}"/>
    <cellStyle name="Percent 3 3 3 2 4" xfId="44420" xr:uid="{00000000-0005-0000-0000-000085ED0000}"/>
    <cellStyle name="Percent 3 3 3 2 4 2" xfId="62405" xr:uid="{00000000-0005-0000-0000-000086ED0000}"/>
    <cellStyle name="Percent 3 3 3 2 5" xfId="44421" xr:uid="{00000000-0005-0000-0000-000087ED0000}"/>
    <cellStyle name="Percent 3 3 3 2 6" xfId="44422" xr:uid="{00000000-0005-0000-0000-000088ED0000}"/>
    <cellStyle name="Percent 3 3 3 2 7" xfId="44423" xr:uid="{00000000-0005-0000-0000-000089ED0000}"/>
    <cellStyle name="Percent 3 3 3 3" xfId="44424" xr:uid="{00000000-0005-0000-0000-00008AED0000}"/>
    <cellStyle name="Percent 3 3 3 3 2" xfId="44425" xr:uid="{00000000-0005-0000-0000-00008BED0000}"/>
    <cellStyle name="Percent 3 3 3 3 2 2" xfId="62406" xr:uid="{00000000-0005-0000-0000-00008CED0000}"/>
    <cellStyle name="Percent 3 3 3 3 2 3" xfId="62407" xr:uid="{00000000-0005-0000-0000-00008DED0000}"/>
    <cellStyle name="Percent 3 3 3 3 3" xfId="44426" xr:uid="{00000000-0005-0000-0000-00008EED0000}"/>
    <cellStyle name="Percent 3 3 3 3 3 2" xfId="62408" xr:uid="{00000000-0005-0000-0000-00008FED0000}"/>
    <cellStyle name="Percent 3 3 3 3 4" xfId="44427" xr:uid="{00000000-0005-0000-0000-000090ED0000}"/>
    <cellStyle name="Percent 3 3 3 3 5" xfId="44428" xr:uid="{00000000-0005-0000-0000-000091ED0000}"/>
    <cellStyle name="Percent 3 3 3 3 6" xfId="44429" xr:uid="{00000000-0005-0000-0000-000092ED0000}"/>
    <cellStyle name="Percent 3 3 3 4" xfId="44430" xr:uid="{00000000-0005-0000-0000-000093ED0000}"/>
    <cellStyle name="Percent 3 3 3 4 2" xfId="62409" xr:uid="{00000000-0005-0000-0000-000094ED0000}"/>
    <cellStyle name="Percent 3 3 3 4 3" xfId="62410" xr:uid="{00000000-0005-0000-0000-000095ED0000}"/>
    <cellStyle name="Percent 3 3 3 5" xfId="44431" xr:uid="{00000000-0005-0000-0000-000096ED0000}"/>
    <cellStyle name="Percent 3 3 3 5 2" xfId="62411" xr:uid="{00000000-0005-0000-0000-000097ED0000}"/>
    <cellStyle name="Percent 3 3 3 6" xfId="44432" xr:uid="{00000000-0005-0000-0000-000098ED0000}"/>
    <cellStyle name="Percent 3 3 3 7" xfId="44433" xr:uid="{00000000-0005-0000-0000-000099ED0000}"/>
    <cellStyle name="Percent 3 3 3 8" xfId="44434" xr:uid="{00000000-0005-0000-0000-00009AED0000}"/>
    <cellStyle name="Percent 3 3 3 9" xfId="44435" xr:uid="{00000000-0005-0000-0000-00009BED0000}"/>
    <cellStyle name="Percent 3 3 4" xfId="44436" xr:uid="{00000000-0005-0000-0000-00009CED0000}"/>
    <cellStyle name="Percent 3 3 4 2" xfId="44437" xr:uid="{00000000-0005-0000-0000-00009DED0000}"/>
    <cellStyle name="Percent 3 3 4 2 2" xfId="44438" xr:uid="{00000000-0005-0000-0000-00009EED0000}"/>
    <cellStyle name="Percent 3 3 4 2 2 2" xfId="44439" xr:uid="{00000000-0005-0000-0000-00009FED0000}"/>
    <cellStyle name="Percent 3 3 4 2 2 2 2" xfId="62412" xr:uid="{00000000-0005-0000-0000-0000A0ED0000}"/>
    <cellStyle name="Percent 3 3 4 2 2 2 3" xfId="62413" xr:uid="{00000000-0005-0000-0000-0000A1ED0000}"/>
    <cellStyle name="Percent 3 3 4 2 2 3" xfId="44440" xr:uid="{00000000-0005-0000-0000-0000A2ED0000}"/>
    <cellStyle name="Percent 3 3 4 2 2 3 2" xfId="62414" xr:uid="{00000000-0005-0000-0000-0000A3ED0000}"/>
    <cellStyle name="Percent 3 3 4 2 2 4" xfId="44441" xr:uid="{00000000-0005-0000-0000-0000A4ED0000}"/>
    <cellStyle name="Percent 3 3 4 2 2 5" xfId="44442" xr:uid="{00000000-0005-0000-0000-0000A5ED0000}"/>
    <cellStyle name="Percent 3 3 4 2 2 6" xfId="44443" xr:uid="{00000000-0005-0000-0000-0000A6ED0000}"/>
    <cellStyle name="Percent 3 3 4 2 3" xfId="44444" xr:uid="{00000000-0005-0000-0000-0000A7ED0000}"/>
    <cellStyle name="Percent 3 3 4 2 3 2" xfId="62415" xr:uid="{00000000-0005-0000-0000-0000A8ED0000}"/>
    <cellStyle name="Percent 3 3 4 2 3 3" xfId="62416" xr:uid="{00000000-0005-0000-0000-0000A9ED0000}"/>
    <cellStyle name="Percent 3 3 4 2 4" xfId="44445" xr:uid="{00000000-0005-0000-0000-0000AAED0000}"/>
    <cellStyle name="Percent 3 3 4 2 4 2" xfId="62417" xr:uid="{00000000-0005-0000-0000-0000ABED0000}"/>
    <cellStyle name="Percent 3 3 4 2 5" xfId="44446" xr:uid="{00000000-0005-0000-0000-0000ACED0000}"/>
    <cellStyle name="Percent 3 3 4 2 6" xfId="44447" xr:uid="{00000000-0005-0000-0000-0000ADED0000}"/>
    <cellStyle name="Percent 3 3 4 2 7" xfId="44448" xr:uid="{00000000-0005-0000-0000-0000AEED0000}"/>
    <cellStyle name="Percent 3 3 4 3" xfId="44449" xr:uid="{00000000-0005-0000-0000-0000AFED0000}"/>
    <cellStyle name="Percent 3 3 4 3 2" xfId="44450" xr:uid="{00000000-0005-0000-0000-0000B0ED0000}"/>
    <cellStyle name="Percent 3 3 4 3 2 2" xfId="62418" xr:uid="{00000000-0005-0000-0000-0000B1ED0000}"/>
    <cellStyle name="Percent 3 3 4 3 2 3" xfId="62419" xr:uid="{00000000-0005-0000-0000-0000B2ED0000}"/>
    <cellStyle name="Percent 3 3 4 3 3" xfId="44451" xr:uid="{00000000-0005-0000-0000-0000B3ED0000}"/>
    <cellStyle name="Percent 3 3 4 3 3 2" xfId="62420" xr:uid="{00000000-0005-0000-0000-0000B4ED0000}"/>
    <cellStyle name="Percent 3 3 4 3 4" xfId="44452" xr:uid="{00000000-0005-0000-0000-0000B5ED0000}"/>
    <cellStyle name="Percent 3 3 4 3 5" xfId="44453" xr:uid="{00000000-0005-0000-0000-0000B6ED0000}"/>
    <cellStyle name="Percent 3 3 4 3 6" xfId="44454" xr:uid="{00000000-0005-0000-0000-0000B7ED0000}"/>
    <cellStyle name="Percent 3 3 4 4" xfId="44455" xr:uid="{00000000-0005-0000-0000-0000B8ED0000}"/>
    <cellStyle name="Percent 3 3 4 4 2" xfId="62421" xr:uid="{00000000-0005-0000-0000-0000B9ED0000}"/>
    <cellStyle name="Percent 3 3 4 4 3" xfId="62422" xr:uid="{00000000-0005-0000-0000-0000BAED0000}"/>
    <cellStyle name="Percent 3 3 4 5" xfId="44456" xr:uid="{00000000-0005-0000-0000-0000BBED0000}"/>
    <cellStyle name="Percent 3 3 4 5 2" xfId="62423" xr:uid="{00000000-0005-0000-0000-0000BCED0000}"/>
    <cellStyle name="Percent 3 3 4 6" xfId="44457" xr:uid="{00000000-0005-0000-0000-0000BDED0000}"/>
    <cellStyle name="Percent 3 3 4 7" xfId="44458" xr:uid="{00000000-0005-0000-0000-0000BEED0000}"/>
    <cellStyle name="Percent 3 3 4 8" xfId="44459" xr:uid="{00000000-0005-0000-0000-0000BFED0000}"/>
    <cellStyle name="Percent 3 3 5" xfId="44460" xr:uid="{00000000-0005-0000-0000-0000C0ED0000}"/>
    <cellStyle name="Percent 3 3 5 2" xfId="44461" xr:uid="{00000000-0005-0000-0000-0000C1ED0000}"/>
    <cellStyle name="Percent 3 3 5 2 2" xfId="44462" xr:uid="{00000000-0005-0000-0000-0000C2ED0000}"/>
    <cellStyle name="Percent 3 3 5 2 2 2" xfId="62424" xr:uid="{00000000-0005-0000-0000-0000C3ED0000}"/>
    <cellStyle name="Percent 3 3 5 2 2 3" xfId="62425" xr:uid="{00000000-0005-0000-0000-0000C4ED0000}"/>
    <cellStyle name="Percent 3 3 5 2 3" xfId="44463" xr:uid="{00000000-0005-0000-0000-0000C5ED0000}"/>
    <cellStyle name="Percent 3 3 5 2 3 2" xfId="62426" xr:uid="{00000000-0005-0000-0000-0000C6ED0000}"/>
    <cellStyle name="Percent 3 3 5 2 4" xfId="44464" xr:uid="{00000000-0005-0000-0000-0000C7ED0000}"/>
    <cellStyle name="Percent 3 3 5 2 5" xfId="44465" xr:uid="{00000000-0005-0000-0000-0000C8ED0000}"/>
    <cellStyle name="Percent 3 3 5 2 6" xfId="44466" xr:uid="{00000000-0005-0000-0000-0000C9ED0000}"/>
    <cellStyle name="Percent 3 3 5 3" xfId="44467" xr:uid="{00000000-0005-0000-0000-0000CAED0000}"/>
    <cellStyle name="Percent 3 3 5 3 2" xfId="62427" xr:uid="{00000000-0005-0000-0000-0000CBED0000}"/>
    <cellStyle name="Percent 3 3 5 3 3" xfId="62428" xr:uid="{00000000-0005-0000-0000-0000CCED0000}"/>
    <cellStyle name="Percent 3 3 5 4" xfId="44468" xr:uid="{00000000-0005-0000-0000-0000CDED0000}"/>
    <cellStyle name="Percent 3 3 5 4 2" xfId="62429" xr:uid="{00000000-0005-0000-0000-0000CEED0000}"/>
    <cellStyle name="Percent 3 3 5 5" xfId="44469" xr:uid="{00000000-0005-0000-0000-0000CFED0000}"/>
    <cellStyle name="Percent 3 3 5 6" xfId="44470" xr:uid="{00000000-0005-0000-0000-0000D0ED0000}"/>
    <cellStyle name="Percent 3 3 5 7" xfId="44471" xr:uid="{00000000-0005-0000-0000-0000D1ED0000}"/>
    <cellStyle name="Percent 3 3 6" xfId="44472" xr:uid="{00000000-0005-0000-0000-0000D2ED0000}"/>
    <cellStyle name="Percent 3 3 6 2" xfId="44473" xr:uid="{00000000-0005-0000-0000-0000D3ED0000}"/>
    <cellStyle name="Percent 3 3 6 2 2" xfId="62430" xr:uid="{00000000-0005-0000-0000-0000D4ED0000}"/>
    <cellStyle name="Percent 3 3 6 2 3" xfId="62431" xr:uid="{00000000-0005-0000-0000-0000D5ED0000}"/>
    <cellStyle name="Percent 3 3 6 3" xfId="44474" xr:uid="{00000000-0005-0000-0000-0000D6ED0000}"/>
    <cellStyle name="Percent 3 3 6 3 2" xfId="62432" xr:uid="{00000000-0005-0000-0000-0000D7ED0000}"/>
    <cellStyle name="Percent 3 3 6 4" xfId="44475" xr:uid="{00000000-0005-0000-0000-0000D8ED0000}"/>
    <cellStyle name="Percent 3 3 6 5" xfId="44476" xr:uid="{00000000-0005-0000-0000-0000D9ED0000}"/>
    <cellStyle name="Percent 3 3 6 6" xfId="44477" xr:uid="{00000000-0005-0000-0000-0000DAED0000}"/>
    <cellStyle name="Percent 3 3 7" xfId="44478" xr:uid="{00000000-0005-0000-0000-0000DBED0000}"/>
    <cellStyle name="Percent 3 3 7 2" xfId="62433" xr:uid="{00000000-0005-0000-0000-0000DCED0000}"/>
    <cellStyle name="Percent 3 3 7 3" xfId="62434" xr:uid="{00000000-0005-0000-0000-0000DDED0000}"/>
    <cellStyle name="Percent 3 3 8" xfId="44479" xr:uid="{00000000-0005-0000-0000-0000DEED0000}"/>
    <cellStyle name="Percent 3 3 8 2" xfId="62435" xr:uid="{00000000-0005-0000-0000-0000DFED0000}"/>
    <cellStyle name="Percent 3 3 9" xfId="44480" xr:uid="{00000000-0005-0000-0000-0000E0ED0000}"/>
    <cellStyle name="Percent 3 4" xfId="44481" xr:uid="{00000000-0005-0000-0000-0000E1ED0000}"/>
    <cellStyle name="Percent 3 4 10" xfId="44482" xr:uid="{00000000-0005-0000-0000-0000E2ED0000}"/>
    <cellStyle name="Percent 3 4 11" xfId="44483" xr:uid="{00000000-0005-0000-0000-0000E3ED0000}"/>
    <cellStyle name="Percent 3 4 12" xfId="44484" xr:uid="{00000000-0005-0000-0000-0000E4ED0000}"/>
    <cellStyle name="Percent 3 4 13" xfId="44485" xr:uid="{00000000-0005-0000-0000-0000E5ED0000}"/>
    <cellStyle name="Percent 3 4 14" xfId="44486" xr:uid="{00000000-0005-0000-0000-0000E6ED0000}"/>
    <cellStyle name="Percent 3 4 15" xfId="44487" xr:uid="{00000000-0005-0000-0000-0000E7ED0000}"/>
    <cellStyle name="Percent 3 4 2" xfId="44488" xr:uid="{00000000-0005-0000-0000-0000E8ED0000}"/>
    <cellStyle name="Percent 3 4 2 2" xfId="44489" xr:uid="{00000000-0005-0000-0000-0000E9ED0000}"/>
    <cellStyle name="Percent 3 4 2 2 2" xfId="44490" xr:uid="{00000000-0005-0000-0000-0000EAED0000}"/>
    <cellStyle name="Percent 3 4 2 2 2 2" xfId="44491" xr:uid="{00000000-0005-0000-0000-0000EBED0000}"/>
    <cellStyle name="Percent 3 4 2 2 2 2 2" xfId="62436" xr:uid="{00000000-0005-0000-0000-0000ECED0000}"/>
    <cellStyle name="Percent 3 4 2 2 2 2 3" xfId="62437" xr:uid="{00000000-0005-0000-0000-0000EDED0000}"/>
    <cellStyle name="Percent 3 4 2 2 2 3" xfId="44492" xr:uid="{00000000-0005-0000-0000-0000EEED0000}"/>
    <cellStyle name="Percent 3 4 2 2 2 3 2" xfId="62438" xr:uid="{00000000-0005-0000-0000-0000EFED0000}"/>
    <cellStyle name="Percent 3 4 2 2 2 4" xfId="44493" xr:uid="{00000000-0005-0000-0000-0000F0ED0000}"/>
    <cellStyle name="Percent 3 4 2 2 2 5" xfId="44494" xr:uid="{00000000-0005-0000-0000-0000F1ED0000}"/>
    <cellStyle name="Percent 3 4 2 2 2 6" xfId="44495" xr:uid="{00000000-0005-0000-0000-0000F2ED0000}"/>
    <cellStyle name="Percent 3 4 2 2 3" xfId="44496" xr:uid="{00000000-0005-0000-0000-0000F3ED0000}"/>
    <cellStyle name="Percent 3 4 2 2 3 2" xfId="62439" xr:uid="{00000000-0005-0000-0000-0000F4ED0000}"/>
    <cellStyle name="Percent 3 4 2 2 3 3" xfId="62440" xr:uid="{00000000-0005-0000-0000-0000F5ED0000}"/>
    <cellStyle name="Percent 3 4 2 2 4" xfId="44497" xr:uid="{00000000-0005-0000-0000-0000F6ED0000}"/>
    <cellStyle name="Percent 3 4 2 2 4 2" xfId="62441" xr:uid="{00000000-0005-0000-0000-0000F7ED0000}"/>
    <cellStyle name="Percent 3 4 2 2 5" xfId="44498" xr:uid="{00000000-0005-0000-0000-0000F8ED0000}"/>
    <cellStyle name="Percent 3 4 2 2 6" xfId="44499" xr:uid="{00000000-0005-0000-0000-0000F9ED0000}"/>
    <cellStyle name="Percent 3 4 2 2 7" xfId="44500" xr:uid="{00000000-0005-0000-0000-0000FAED0000}"/>
    <cellStyle name="Percent 3 4 2 3" xfId="44501" xr:uid="{00000000-0005-0000-0000-0000FBED0000}"/>
    <cellStyle name="Percent 3 4 2 3 2" xfId="44502" xr:uid="{00000000-0005-0000-0000-0000FCED0000}"/>
    <cellStyle name="Percent 3 4 2 3 2 2" xfId="62442" xr:uid="{00000000-0005-0000-0000-0000FDED0000}"/>
    <cellStyle name="Percent 3 4 2 3 2 3" xfId="62443" xr:uid="{00000000-0005-0000-0000-0000FEED0000}"/>
    <cellStyle name="Percent 3 4 2 3 3" xfId="44503" xr:uid="{00000000-0005-0000-0000-0000FFED0000}"/>
    <cellStyle name="Percent 3 4 2 3 3 2" xfId="62444" xr:uid="{00000000-0005-0000-0000-000000EE0000}"/>
    <cellStyle name="Percent 3 4 2 3 4" xfId="44504" xr:uid="{00000000-0005-0000-0000-000001EE0000}"/>
    <cellStyle name="Percent 3 4 2 3 5" xfId="44505" xr:uid="{00000000-0005-0000-0000-000002EE0000}"/>
    <cellStyle name="Percent 3 4 2 3 6" xfId="44506" xr:uid="{00000000-0005-0000-0000-000003EE0000}"/>
    <cellStyle name="Percent 3 4 2 4" xfId="44507" xr:uid="{00000000-0005-0000-0000-000004EE0000}"/>
    <cellStyle name="Percent 3 4 2 4 2" xfId="62445" xr:uid="{00000000-0005-0000-0000-000005EE0000}"/>
    <cellStyle name="Percent 3 4 2 4 3" xfId="62446" xr:uid="{00000000-0005-0000-0000-000006EE0000}"/>
    <cellStyle name="Percent 3 4 2 5" xfId="44508" xr:uid="{00000000-0005-0000-0000-000007EE0000}"/>
    <cellStyle name="Percent 3 4 2 5 2" xfId="62447" xr:uid="{00000000-0005-0000-0000-000008EE0000}"/>
    <cellStyle name="Percent 3 4 2 6" xfId="44509" xr:uid="{00000000-0005-0000-0000-000009EE0000}"/>
    <cellStyle name="Percent 3 4 2 7" xfId="44510" xr:uid="{00000000-0005-0000-0000-00000AEE0000}"/>
    <cellStyle name="Percent 3 4 2 8" xfId="44511" xr:uid="{00000000-0005-0000-0000-00000BEE0000}"/>
    <cellStyle name="Percent 3 4 2 9" xfId="44512" xr:uid="{00000000-0005-0000-0000-00000CEE0000}"/>
    <cellStyle name="Percent 3 4 3" xfId="44513" xr:uid="{00000000-0005-0000-0000-00000DEE0000}"/>
    <cellStyle name="Percent 3 4 3 2" xfId="44514" xr:uid="{00000000-0005-0000-0000-00000EEE0000}"/>
    <cellStyle name="Percent 3 4 3 2 2" xfId="44515" xr:uid="{00000000-0005-0000-0000-00000FEE0000}"/>
    <cellStyle name="Percent 3 4 3 2 2 2" xfId="44516" xr:uid="{00000000-0005-0000-0000-000010EE0000}"/>
    <cellStyle name="Percent 3 4 3 2 2 2 2" xfId="62448" xr:uid="{00000000-0005-0000-0000-000011EE0000}"/>
    <cellStyle name="Percent 3 4 3 2 2 2 3" xfId="62449" xr:uid="{00000000-0005-0000-0000-000012EE0000}"/>
    <cellStyle name="Percent 3 4 3 2 2 3" xfId="44517" xr:uid="{00000000-0005-0000-0000-000013EE0000}"/>
    <cellStyle name="Percent 3 4 3 2 2 3 2" xfId="62450" xr:uid="{00000000-0005-0000-0000-000014EE0000}"/>
    <cellStyle name="Percent 3 4 3 2 2 4" xfId="44518" xr:uid="{00000000-0005-0000-0000-000015EE0000}"/>
    <cellStyle name="Percent 3 4 3 2 2 5" xfId="44519" xr:uid="{00000000-0005-0000-0000-000016EE0000}"/>
    <cellStyle name="Percent 3 4 3 2 2 6" xfId="44520" xr:uid="{00000000-0005-0000-0000-000017EE0000}"/>
    <cellStyle name="Percent 3 4 3 2 3" xfId="44521" xr:uid="{00000000-0005-0000-0000-000018EE0000}"/>
    <cellStyle name="Percent 3 4 3 2 3 2" xfId="62451" xr:uid="{00000000-0005-0000-0000-000019EE0000}"/>
    <cellStyle name="Percent 3 4 3 2 3 3" xfId="62452" xr:uid="{00000000-0005-0000-0000-00001AEE0000}"/>
    <cellStyle name="Percent 3 4 3 2 4" xfId="44522" xr:uid="{00000000-0005-0000-0000-00001BEE0000}"/>
    <cellStyle name="Percent 3 4 3 2 4 2" xfId="62453" xr:uid="{00000000-0005-0000-0000-00001CEE0000}"/>
    <cellStyle name="Percent 3 4 3 2 5" xfId="44523" xr:uid="{00000000-0005-0000-0000-00001DEE0000}"/>
    <cellStyle name="Percent 3 4 3 2 6" xfId="44524" xr:uid="{00000000-0005-0000-0000-00001EEE0000}"/>
    <cellStyle name="Percent 3 4 3 2 7" xfId="44525" xr:uid="{00000000-0005-0000-0000-00001FEE0000}"/>
    <cellStyle name="Percent 3 4 3 3" xfId="44526" xr:uid="{00000000-0005-0000-0000-000020EE0000}"/>
    <cellStyle name="Percent 3 4 3 3 2" xfId="44527" xr:uid="{00000000-0005-0000-0000-000021EE0000}"/>
    <cellStyle name="Percent 3 4 3 3 2 2" xfId="62454" xr:uid="{00000000-0005-0000-0000-000022EE0000}"/>
    <cellStyle name="Percent 3 4 3 3 2 3" xfId="62455" xr:uid="{00000000-0005-0000-0000-000023EE0000}"/>
    <cellStyle name="Percent 3 4 3 3 3" xfId="44528" xr:uid="{00000000-0005-0000-0000-000024EE0000}"/>
    <cellStyle name="Percent 3 4 3 3 3 2" xfId="62456" xr:uid="{00000000-0005-0000-0000-000025EE0000}"/>
    <cellStyle name="Percent 3 4 3 3 4" xfId="44529" xr:uid="{00000000-0005-0000-0000-000026EE0000}"/>
    <cellStyle name="Percent 3 4 3 3 5" xfId="44530" xr:uid="{00000000-0005-0000-0000-000027EE0000}"/>
    <cellStyle name="Percent 3 4 3 3 6" xfId="44531" xr:uid="{00000000-0005-0000-0000-000028EE0000}"/>
    <cellStyle name="Percent 3 4 3 4" xfId="44532" xr:uid="{00000000-0005-0000-0000-000029EE0000}"/>
    <cellStyle name="Percent 3 4 3 4 2" xfId="62457" xr:uid="{00000000-0005-0000-0000-00002AEE0000}"/>
    <cellStyle name="Percent 3 4 3 4 3" xfId="62458" xr:uid="{00000000-0005-0000-0000-00002BEE0000}"/>
    <cellStyle name="Percent 3 4 3 5" xfId="44533" xr:uid="{00000000-0005-0000-0000-00002CEE0000}"/>
    <cellStyle name="Percent 3 4 3 5 2" xfId="62459" xr:uid="{00000000-0005-0000-0000-00002DEE0000}"/>
    <cellStyle name="Percent 3 4 3 6" xfId="44534" xr:uid="{00000000-0005-0000-0000-00002EEE0000}"/>
    <cellStyle name="Percent 3 4 3 7" xfId="44535" xr:uid="{00000000-0005-0000-0000-00002FEE0000}"/>
    <cellStyle name="Percent 3 4 3 8" xfId="44536" xr:uid="{00000000-0005-0000-0000-000030EE0000}"/>
    <cellStyle name="Percent 3 4 4" xfId="44537" xr:uid="{00000000-0005-0000-0000-000031EE0000}"/>
    <cellStyle name="Percent 3 4 4 2" xfId="44538" xr:uid="{00000000-0005-0000-0000-000032EE0000}"/>
    <cellStyle name="Percent 3 4 4 2 2" xfId="44539" xr:uid="{00000000-0005-0000-0000-000033EE0000}"/>
    <cellStyle name="Percent 3 4 4 2 2 2" xfId="62460" xr:uid="{00000000-0005-0000-0000-000034EE0000}"/>
    <cellStyle name="Percent 3 4 4 2 2 3" xfId="62461" xr:uid="{00000000-0005-0000-0000-000035EE0000}"/>
    <cellStyle name="Percent 3 4 4 2 3" xfId="44540" xr:uid="{00000000-0005-0000-0000-000036EE0000}"/>
    <cellStyle name="Percent 3 4 4 2 3 2" xfId="62462" xr:uid="{00000000-0005-0000-0000-000037EE0000}"/>
    <cellStyle name="Percent 3 4 4 2 4" xfId="44541" xr:uid="{00000000-0005-0000-0000-000038EE0000}"/>
    <cellStyle name="Percent 3 4 4 2 5" xfId="44542" xr:uid="{00000000-0005-0000-0000-000039EE0000}"/>
    <cellStyle name="Percent 3 4 4 2 6" xfId="44543" xr:uid="{00000000-0005-0000-0000-00003AEE0000}"/>
    <cellStyle name="Percent 3 4 4 3" xfId="44544" xr:uid="{00000000-0005-0000-0000-00003BEE0000}"/>
    <cellStyle name="Percent 3 4 4 3 2" xfId="62463" xr:uid="{00000000-0005-0000-0000-00003CEE0000}"/>
    <cellStyle name="Percent 3 4 4 3 3" xfId="62464" xr:uid="{00000000-0005-0000-0000-00003DEE0000}"/>
    <cellStyle name="Percent 3 4 4 4" xfId="44545" xr:uid="{00000000-0005-0000-0000-00003EEE0000}"/>
    <cellStyle name="Percent 3 4 4 4 2" xfId="62465" xr:uid="{00000000-0005-0000-0000-00003FEE0000}"/>
    <cellStyle name="Percent 3 4 4 5" xfId="44546" xr:uid="{00000000-0005-0000-0000-000040EE0000}"/>
    <cellStyle name="Percent 3 4 4 6" xfId="44547" xr:uid="{00000000-0005-0000-0000-000041EE0000}"/>
    <cellStyle name="Percent 3 4 4 7" xfId="44548" xr:uid="{00000000-0005-0000-0000-000042EE0000}"/>
    <cellStyle name="Percent 3 4 5" xfId="44549" xr:uid="{00000000-0005-0000-0000-000043EE0000}"/>
    <cellStyle name="Percent 3 4 5 2" xfId="44550" xr:uid="{00000000-0005-0000-0000-000044EE0000}"/>
    <cellStyle name="Percent 3 4 5 2 2" xfId="62466" xr:uid="{00000000-0005-0000-0000-000045EE0000}"/>
    <cellStyle name="Percent 3 4 5 2 3" xfId="62467" xr:uid="{00000000-0005-0000-0000-000046EE0000}"/>
    <cellStyle name="Percent 3 4 5 3" xfId="44551" xr:uid="{00000000-0005-0000-0000-000047EE0000}"/>
    <cellStyle name="Percent 3 4 5 3 2" xfId="62468" xr:uid="{00000000-0005-0000-0000-000048EE0000}"/>
    <cellStyle name="Percent 3 4 5 4" xfId="44552" xr:uid="{00000000-0005-0000-0000-000049EE0000}"/>
    <cellStyle name="Percent 3 4 5 5" xfId="44553" xr:uid="{00000000-0005-0000-0000-00004AEE0000}"/>
    <cellStyle name="Percent 3 4 5 6" xfId="44554" xr:uid="{00000000-0005-0000-0000-00004BEE0000}"/>
    <cellStyle name="Percent 3 4 6" xfId="44555" xr:uid="{00000000-0005-0000-0000-00004CEE0000}"/>
    <cellStyle name="Percent 3 4 6 2" xfId="62469" xr:uid="{00000000-0005-0000-0000-00004DEE0000}"/>
    <cellStyle name="Percent 3 4 6 3" xfId="62470" xr:uid="{00000000-0005-0000-0000-00004EEE0000}"/>
    <cellStyle name="Percent 3 4 7" xfId="44556" xr:uid="{00000000-0005-0000-0000-00004FEE0000}"/>
    <cellStyle name="Percent 3 4 7 2" xfId="62471" xr:uid="{00000000-0005-0000-0000-000050EE0000}"/>
    <cellStyle name="Percent 3 4 8" xfId="44557" xr:uid="{00000000-0005-0000-0000-000051EE0000}"/>
    <cellStyle name="Percent 3 4 9" xfId="44558" xr:uid="{00000000-0005-0000-0000-000052EE0000}"/>
    <cellStyle name="Percent 3 5" xfId="44559" xr:uid="{00000000-0005-0000-0000-000053EE0000}"/>
    <cellStyle name="Percent 3 5 10" xfId="44560" xr:uid="{00000000-0005-0000-0000-000054EE0000}"/>
    <cellStyle name="Percent 3 5 11" xfId="44561" xr:uid="{00000000-0005-0000-0000-000055EE0000}"/>
    <cellStyle name="Percent 3 5 12" xfId="44562" xr:uid="{00000000-0005-0000-0000-000056EE0000}"/>
    <cellStyle name="Percent 3 5 13" xfId="44563" xr:uid="{00000000-0005-0000-0000-000057EE0000}"/>
    <cellStyle name="Percent 3 5 14" xfId="44564" xr:uid="{00000000-0005-0000-0000-000058EE0000}"/>
    <cellStyle name="Percent 3 5 15" xfId="44565" xr:uid="{00000000-0005-0000-0000-000059EE0000}"/>
    <cellStyle name="Percent 3 5 2" xfId="44566" xr:uid="{00000000-0005-0000-0000-00005AEE0000}"/>
    <cellStyle name="Percent 3 5 2 2" xfId="44567" xr:uid="{00000000-0005-0000-0000-00005BEE0000}"/>
    <cellStyle name="Percent 3 5 2 2 2" xfId="44568" xr:uid="{00000000-0005-0000-0000-00005CEE0000}"/>
    <cellStyle name="Percent 3 5 2 2 2 2" xfId="44569" xr:uid="{00000000-0005-0000-0000-00005DEE0000}"/>
    <cellStyle name="Percent 3 5 2 2 2 2 2" xfId="62472" xr:uid="{00000000-0005-0000-0000-00005EEE0000}"/>
    <cellStyle name="Percent 3 5 2 2 2 2 3" xfId="62473" xr:uid="{00000000-0005-0000-0000-00005FEE0000}"/>
    <cellStyle name="Percent 3 5 2 2 2 3" xfId="44570" xr:uid="{00000000-0005-0000-0000-000060EE0000}"/>
    <cellStyle name="Percent 3 5 2 2 2 3 2" xfId="62474" xr:uid="{00000000-0005-0000-0000-000061EE0000}"/>
    <cellStyle name="Percent 3 5 2 2 2 4" xfId="44571" xr:uid="{00000000-0005-0000-0000-000062EE0000}"/>
    <cellStyle name="Percent 3 5 2 2 2 5" xfId="44572" xr:uid="{00000000-0005-0000-0000-000063EE0000}"/>
    <cellStyle name="Percent 3 5 2 2 2 6" xfId="44573" xr:uid="{00000000-0005-0000-0000-000064EE0000}"/>
    <cellStyle name="Percent 3 5 2 2 3" xfId="44574" xr:uid="{00000000-0005-0000-0000-000065EE0000}"/>
    <cellStyle name="Percent 3 5 2 2 3 2" xfId="62475" xr:uid="{00000000-0005-0000-0000-000066EE0000}"/>
    <cellStyle name="Percent 3 5 2 2 3 3" xfId="62476" xr:uid="{00000000-0005-0000-0000-000067EE0000}"/>
    <cellStyle name="Percent 3 5 2 2 4" xfId="44575" xr:uid="{00000000-0005-0000-0000-000068EE0000}"/>
    <cellStyle name="Percent 3 5 2 2 4 2" xfId="62477" xr:uid="{00000000-0005-0000-0000-000069EE0000}"/>
    <cellStyle name="Percent 3 5 2 2 5" xfId="44576" xr:uid="{00000000-0005-0000-0000-00006AEE0000}"/>
    <cellStyle name="Percent 3 5 2 2 6" xfId="44577" xr:uid="{00000000-0005-0000-0000-00006BEE0000}"/>
    <cellStyle name="Percent 3 5 2 2 7" xfId="44578" xr:uid="{00000000-0005-0000-0000-00006CEE0000}"/>
    <cellStyle name="Percent 3 5 2 3" xfId="44579" xr:uid="{00000000-0005-0000-0000-00006DEE0000}"/>
    <cellStyle name="Percent 3 5 2 3 2" xfId="44580" xr:uid="{00000000-0005-0000-0000-00006EEE0000}"/>
    <cellStyle name="Percent 3 5 2 3 2 2" xfId="62478" xr:uid="{00000000-0005-0000-0000-00006FEE0000}"/>
    <cellStyle name="Percent 3 5 2 3 2 3" xfId="62479" xr:uid="{00000000-0005-0000-0000-000070EE0000}"/>
    <cellStyle name="Percent 3 5 2 3 3" xfId="44581" xr:uid="{00000000-0005-0000-0000-000071EE0000}"/>
    <cellStyle name="Percent 3 5 2 3 3 2" xfId="62480" xr:uid="{00000000-0005-0000-0000-000072EE0000}"/>
    <cellStyle name="Percent 3 5 2 3 4" xfId="44582" xr:uid="{00000000-0005-0000-0000-000073EE0000}"/>
    <cellStyle name="Percent 3 5 2 3 5" xfId="44583" xr:uid="{00000000-0005-0000-0000-000074EE0000}"/>
    <cellStyle name="Percent 3 5 2 3 6" xfId="44584" xr:uid="{00000000-0005-0000-0000-000075EE0000}"/>
    <cellStyle name="Percent 3 5 2 4" xfId="44585" xr:uid="{00000000-0005-0000-0000-000076EE0000}"/>
    <cellStyle name="Percent 3 5 2 4 2" xfId="62481" xr:uid="{00000000-0005-0000-0000-000077EE0000}"/>
    <cellStyle name="Percent 3 5 2 4 3" xfId="62482" xr:uid="{00000000-0005-0000-0000-000078EE0000}"/>
    <cellStyle name="Percent 3 5 2 5" xfId="44586" xr:uid="{00000000-0005-0000-0000-000079EE0000}"/>
    <cellStyle name="Percent 3 5 2 5 2" xfId="62483" xr:uid="{00000000-0005-0000-0000-00007AEE0000}"/>
    <cellStyle name="Percent 3 5 2 6" xfId="44587" xr:uid="{00000000-0005-0000-0000-00007BEE0000}"/>
    <cellStyle name="Percent 3 5 2 7" xfId="44588" xr:uid="{00000000-0005-0000-0000-00007CEE0000}"/>
    <cellStyle name="Percent 3 5 2 8" xfId="44589" xr:uid="{00000000-0005-0000-0000-00007DEE0000}"/>
    <cellStyle name="Percent 3 5 2 9" xfId="44590" xr:uid="{00000000-0005-0000-0000-00007EEE0000}"/>
    <cellStyle name="Percent 3 5 3" xfId="44591" xr:uid="{00000000-0005-0000-0000-00007FEE0000}"/>
    <cellStyle name="Percent 3 5 3 2" xfId="44592" xr:uid="{00000000-0005-0000-0000-000080EE0000}"/>
    <cellStyle name="Percent 3 5 3 2 2" xfId="44593" xr:uid="{00000000-0005-0000-0000-000081EE0000}"/>
    <cellStyle name="Percent 3 5 3 2 2 2" xfId="44594" xr:uid="{00000000-0005-0000-0000-000082EE0000}"/>
    <cellStyle name="Percent 3 5 3 2 2 2 2" xfId="62484" xr:uid="{00000000-0005-0000-0000-000083EE0000}"/>
    <cellStyle name="Percent 3 5 3 2 2 2 3" xfId="62485" xr:uid="{00000000-0005-0000-0000-000084EE0000}"/>
    <cellStyle name="Percent 3 5 3 2 2 3" xfId="44595" xr:uid="{00000000-0005-0000-0000-000085EE0000}"/>
    <cellStyle name="Percent 3 5 3 2 2 3 2" xfId="62486" xr:uid="{00000000-0005-0000-0000-000086EE0000}"/>
    <cellStyle name="Percent 3 5 3 2 2 4" xfId="44596" xr:uid="{00000000-0005-0000-0000-000087EE0000}"/>
    <cellStyle name="Percent 3 5 3 2 2 5" xfId="44597" xr:uid="{00000000-0005-0000-0000-000088EE0000}"/>
    <cellStyle name="Percent 3 5 3 2 2 6" xfId="44598" xr:uid="{00000000-0005-0000-0000-000089EE0000}"/>
    <cellStyle name="Percent 3 5 3 2 3" xfId="44599" xr:uid="{00000000-0005-0000-0000-00008AEE0000}"/>
    <cellStyle name="Percent 3 5 3 2 3 2" xfId="62487" xr:uid="{00000000-0005-0000-0000-00008BEE0000}"/>
    <cellStyle name="Percent 3 5 3 2 3 3" xfId="62488" xr:uid="{00000000-0005-0000-0000-00008CEE0000}"/>
    <cellStyle name="Percent 3 5 3 2 4" xfId="44600" xr:uid="{00000000-0005-0000-0000-00008DEE0000}"/>
    <cellStyle name="Percent 3 5 3 2 4 2" xfId="62489" xr:uid="{00000000-0005-0000-0000-00008EEE0000}"/>
    <cellStyle name="Percent 3 5 3 2 5" xfId="44601" xr:uid="{00000000-0005-0000-0000-00008FEE0000}"/>
    <cellStyle name="Percent 3 5 3 2 6" xfId="44602" xr:uid="{00000000-0005-0000-0000-000090EE0000}"/>
    <cellStyle name="Percent 3 5 3 2 7" xfId="44603" xr:uid="{00000000-0005-0000-0000-000091EE0000}"/>
    <cellStyle name="Percent 3 5 3 3" xfId="44604" xr:uid="{00000000-0005-0000-0000-000092EE0000}"/>
    <cellStyle name="Percent 3 5 3 3 2" xfId="44605" xr:uid="{00000000-0005-0000-0000-000093EE0000}"/>
    <cellStyle name="Percent 3 5 3 3 2 2" xfId="62490" xr:uid="{00000000-0005-0000-0000-000094EE0000}"/>
    <cellStyle name="Percent 3 5 3 3 2 3" xfId="62491" xr:uid="{00000000-0005-0000-0000-000095EE0000}"/>
    <cellStyle name="Percent 3 5 3 3 3" xfId="44606" xr:uid="{00000000-0005-0000-0000-000096EE0000}"/>
    <cellStyle name="Percent 3 5 3 3 3 2" xfId="62492" xr:uid="{00000000-0005-0000-0000-000097EE0000}"/>
    <cellStyle name="Percent 3 5 3 3 4" xfId="44607" xr:uid="{00000000-0005-0000-0000-000098EE0000}"/>
    <cellStyle name="Percent 3 5 3 3 5" xfId="44608" xr:uid="{00000000-0005-0000-0000-000099EE0000}"/>
    <cellStyle name="Percent 3 5 3 3 6" xfId="44609" xr:uid="{00000000-0005-0000-0000-00009AEE0000}"/>
    <cellStyle name="Percent 3 5 3 4" xfId="44610" xr:uid="{00000000-0005-0000-0000-00009BEE0000}"/>
    <cellStyle name="Percent 3 5 3 4 2" xfId="62493" xr:uid="{00000000-0005-0000-0000-00009CEE0000}"/>
    <cellStyle name="Percent 3 5 3 4 3" xfId="62494" xr:uid="{00000000-0005-0000-0000-00009DEE0000}"/>
    <cellStyle name="Percent 3 5 3 5" xfId="44611" xr:uid="{00000000-0005-0000-0000-00009EEE0000}"/>
    <cellStyle name="Percent 3 5 3 5 2" xfId="62495" xr:uid="{00000000-0005-0000-0000-00009FEE0000}"/>
    <cellStyle name="Percent 3 5 3 6" xfId="44612" xr:uid="{00000000-0005-0000-0000-0000A0EE0000}"/>
    <cellStyle name="Percent 3 5 3 7" xfId="44613" xr:uid="{00000000-0005-0000-0000-0000A1EE0000}"/>
    <cellStyle name="Percent 3 5 3 8" xfId="44614" xr:uid="{00000000-0005-0000-0000-0000A2EE0000}"/>
    <cellStyle name="Percent 3 5 4" xfId="44615" xr:uid="{00000000-0005-0000-0000-0000A3EE0000}"/>
    <cellStyle name="Percent 3 5 4 2" xfId="44616" xr:uid="{00000000-0005-0000-0000-0000A4EE0000}"/>
    <cellStyle name="Percent 3 5 4 2 2" xfId="44617" xr:uid="{00000000-0005-0000-0000-0000A5EE0000}"/>
    <cellStyle name="Percent 3 5 4 2 2 2" xfId="62496" xr:uid="{00000000-0005-0000-0000-0000A6EE0000}"/>
    <cellStyle name="Percent 3 5 4 2 2 3" xfId="62497" xr:uid="{00000000-0005-0000-0000-0000A7EE0000}"/>
    <cellStyle name="Percent 3 5 4 2 3" xfId="44618" xr:uid="{00000000-0005-0000-0000-0000A8EE0000}"/>
    <cellStyle name="Percent 3 5 4 2 3 2" xfId="62498" xr:uid="{00000000-0005-0000-0000-0000A9EE0000}"/>
    <cellStyle name="Percent 3 5 4 2 4" xfId="44619" xr:uid="{00000000-0005-0000-0000-0000AAEE0000}"/>
    <cellStyle name="Percent 3 5 4 2 5" xfId="44620" xr:uid="{00000000-0005-0000-0000-0000ABEE0000}"/>
    <cellStyle name="Percent 3 5 4 2 6" xfId="44621" xr:uid="{00000000-0005-0000-0000-0000ACEE0000}"/>
    <cellStyle name="Percent 3 5 4 3" xfId="44622" xr:uid="{00000000-0005-0000-0000-0000ADEE0000}"/>
    <cellStyle name="Percent 3 5 4 3 2" xfId="62499" xr:uid="{00000000-0005-0000-0000-0000AEEE0000}"/>
    <cellStyle name="Percent 3 5 4 3 3" xfId="62500" xr:uid="{00000000-0005-0000-0000-0000AFEE0000}"/>
    <cellStyle name="Percent 3 5 4 4" xfId="44623" xr:uid="{00000000-0005-0000-0000-0000B0EE0000}"/>
    <cellStyle name="Percent 3 5 4 4 2" xfId="62501" xr:uid="{00000000-0005-0000-0000-0000B1EE0000}"/>
    <cellStyle name="Percent 3 5 4 5" xfId="44624" xr:uid="{00000000-0005-0000-0000-0000B2EE0000}"/>
    <cellStyle name="Percent 3 5 4 6" xfId="44625" xr:uid="{00000000-0005-0000-0000-0000B3EE0000}"/>
    <cellStyle name="Percent 3 5 4 7" xfId="44626" xr:uid="{00000000-0005-0000-0000-0000B4EE0000}"/>
    <cellStyle name="Percent 3 5 5" xfId="44627" xr:uid="{00000000-0005-0000-0000-0000B5EE0000}"/>
    <cellStyle name="Percent 3 5 5 2" xfId="44628" xr:uid="{00000000-0005-0000-0000-0000B6EE0000}"/>
    <cellStyle name="Percent 3 5 5 2 2" xfId="62502" xr:uid="{00000000-0005-0000-0000-0000B7EE0000}"/>
    <cellStyle name="Percent 3 5 5 2 3" xfId="62503" xr:uid="{00000000-0005-0000-0000-0000B8EE0000}"/>
    <cellStyle name="Percent 3 5 5 3" xfId="44629" xr:uid="{00000000-0005-0000-0000-0000B9EE0000}"/>
    <cellStyle name="Percent 3 5 5 3 2" xfId="62504" xr:uid="{00000000-0005-0000-0000-0000BAEE0000}"/>
    <cellStyle name="Percent 3 5 5 4" xfId="44630" xr:uid="{00000000-0005-0000-0000-0000BBEE0000}"/>
    <cellStyle name="Percent 3 5 5 5" xfId="44631" xr:uid="{00000000-0005-0000-0000-0000BCEE0000}"/>
    <cellStyle name="Percent 3 5 5 6" xfId="44632" xr:uid="{00000000-0005-0000-0000-0000BDEE0000}"/>
    <cellStyle name="Percent 3 5 6" xfId="44633" xr:uid="{00000000-0005-0000-0000-0000BEEE0000}"/>
    <cellStyle name="Percent 3 5 6 2" xfId="62505" xr:uid="{00000000-0005-0000-0000-0000BFEE0000}"/>
    <cellStyle name="Percent 3 5 6 3" xfId="62506" xr:uid="{00000000-0005-0000-0000-0000C0EE0000}"/>
    <cellStyle name="Percent 3 5 7" xfId="44634" xr:uid="{00000000-0005-0000-0000-0000C1EE0000}"/>
    <cellStyle name="Percent 3 5 7 2" xfId="62507" xr:uid="{00000000-0005-0000-0000-0000C2EE0000}"/>
    <cellStyle name="Percent 3 5 8" xfId="44635" xr:uid="{00000000-0005-0000-0000-0000C3EE0000}"/>
    <cellStyle name="Percent 3 5 9" xfId="44636" xr:uid="{00000000-0005-0000-0000-0000C4EE0000}"/>
    <cellStyle name="Percent 3 6" xfId="44637" xr:uid="{00000000-0005-0000-0000-0000C5EE0000}"/>
    <cellStyle name="Percent 3 6 10" xfId="44638" xr:uid="{00000000-0005-0000-0000-0000C6EE0000}"/>
    <cellStyle name="Percent 3 6 11" xfId="44639" xr:uid="{00000000-0005-0000-0000-0000C7EE0000}"/>
    <cellStyle name="Percent 3 6 12" xfId="44640" xr:uid="{00000000-0005-0000-0000-0000C8EE0000}"/>
    <cellStyle name="Percent 3 6 13" xfId="44641" xr:uid="{00000000-0005-0000-0000-0000C9EE0000}"/>
    <cellStyle name="Percent 3 6 2" xfId="44642" xr:uid="{00000000-0005-0000-0000-0000CAEE0000}"/>
    <cellStyle name="Percent 3 6 2 2" xfId="44643" xr:uid="{00000000-0005-0000-0000-0000CBEE0000}"/>
    <cellStyle name="Percent 3 6 2 2 2" xfId="44644" xr:uid="{00000000-0005-0000-0000-0000CCEE0000}"/>
    <cellStyle name="Percent 3 6 2 2 2 2" xfId="44645" xr:uid="{00000000-0005-0000-0000-0000CDEE0000}"/>
    <cellStyle name="Percent 3 6 2 2 2 2 2" xfId="62508" xr:uid="{00000000-0005-0000-0000-0000CEEE0000}"/>
    <cellStyle name="Percent 3 6 2 2 2 2 3" xfId="62509" xr:uid="{00000000-0005-0000-0000-0000CFEE0000}"/>
    <cellStyle name="Percent 3 6 2 2 2 3" xfId="44646" xr:uid="{00000000-0005-0000-0000-0000D0EE0000}"/>
    <cellStyle name="Percent 3 6 2 2 2 3 2" xfId="62510" xr:uid="{00000000-0005-0000-0000-0000D1EE0000}"/>
    <cellStyle name="Percent 3 6 2 2 2 4" xfId="44647" xr:uid="{00000000-0005-0000-0000-0000D2EE0000}"/>
    <cellStyle name="Percent 3 6 2 2 2 5" xfId="44648" xr:uid="{00000000-0005-0000-0000-0000D3EE0000}"/>
    <cellStyle name="Percent 3 6 2 2 2 6" xfId="44649" xr:uid="{00000000-0005-0000-0000-0000D4EE0000}"/>
    <cellStyle name="Percent 3 6 2 2 3" xfId="44650" xr:uid="{00000000-0005-0000-0000-0000D5EE0000}"/>
    <cellStyle name="Percent 3 6 2 2 3 2" xfId="62511" xr:uid="{00000000-0005-0000-0000-0000D6EE0000}"/>
    <cellStyle name="Percent 3 6 2 2 3 3" xfId="62512" xr:uid="{00000000-0005-0000-0000-0000D7EE0000}"/>
    <cellStyle name="Percent 3 6 2 2 4" xfId="44651" xr:uid="{00000000-0005-0000-0000-0000D8EE0000}"/>
    <cellStyle name="Percent 3 6 2 2 4 2" xfId="62513" xr:uid="{00000000-0005-0000-0000-0000D9EE0000}"/>
    <cellStyle name="Percent 3 6 2 2 5" xfId="44652" xr:uid="{00000000-0005-0000-0000-0000DAEE0000}"/>
    <cellStyle name="Percent 3 6 2 2 6" xfId="44653" xr:uid="{00000000-0005-0000-0000-0000DBEE0000}"/>
    <cellStyle name="Percent 3 6 2 2 7" xfId="44654" xr:uid="{00000000-0005-0000-0000-0000DCEE0000}"/>
    <cellStyle name="Percent 3 6 2 3" xfId="44655" xr:uid="{00000000-0005-0000-0000-0000DDEE0000}"/>
    <cellStyle name="Percent 3 6 2 3 2" xfId="44656" xr:uid="{00000000-0005-0000-0000-0000DEEE0000}"/>
    <cellStyle name="Percent 3 6 2 3 2 2" xfId="62514" xr:uid="{00000000-0005-0000-0000-0000DFEE0000}"/>
    <cellStyle name="Percent 3 6 2 3 2 3" xfId="62515" xr:uid="{00000000-0005-0000-0000-0000E0EE0000}"/>
    <cellStyle name="Percent 3 6 2 3 3" xfId="44657" xr:uid="{00000000-0005-0000-0000-0000E1EE0000}"/>
    <cellStyle name="Percent 3 6 2 3 3 2" xfId="62516" xr:uid="{00000000-0005-0000-0000-0000E2EE0000}"/>
    <cellStyle name="Percent 3 6 2 3 4" xfId="44658" xr:uid="{00000000-0005-0000-0000-0000E3EE0000}"/>
    <cellStyle name="Percent 3 6 2 3 5" xfId="44659" xr:uid="{00000000-0005-0000-0000-0000E4EE0000}"/>
    <cellStyle name="Percent 3 6 2 3 6" xfId="44660" xr:uid="{00000000-0005-0000-0000-0000E5EE0000}"/>
    <cellStyle name="Percent 3 6 2 4" xfId="44661" xr:uid="{00000000-0005-0000-0000-0000E6EE0000}"/>
    <cellStyle name="Percent 3 6 2 4 2" xfId="62517" xr:uid="{00000000-0005-0000-0000-0000E7EE0000}"/>
    <cellStyle name="Percent 3 6 2 4 3" xfId="62518" xr:uid="{00000000-0005-0000-0000-0000E8EE0000}"/>
    <cellStyle name="Percent 3 6 2 5" xfId="44662" xr:uid="{00000000-0005-0000-0000-0000E9EE0000}"/>
    <cellStyle name="Percent 3 6 2 5 2" xfId="62519" xr:uid="{00000000-0005-0000-0000-0000EAEE0000}"/>
    <cellStyle name="Percent 3 6 2 6" xfId="44663" xr:uid="{00000000-0005-0000-0000-0000EBEE0000}"/>
    <cellStyle name="Percent 3 6 2 7" xfId="44664" xr:uid="{00000000-0005-0000-0000-0000ECEE0000}"/>
    <cellStyle name="Percent 3 6 2 8" xfId="44665" xr:uid="{00000000-0005-0000-0000-0000EDEE0000}"/>
    <cellStyle name="Percent 3 6 2 9" xfId="44666" xr:uid="{00000000-0005-0000-0000-0000EEEE0000}"/>
    <cellStyle name="Percent 3 6 3" xfId="44667" xr:uid="{00000000-0005-0000-0000-0000EFEE0000}"/>
    <cellStyle name="Percent 3 6 3 2" xfId="44668" xr:uid="{00000000-0005-0000-0000-0000F0EE0000}"/>
    <cellStyle name="Percent 3 6 3 2 2" xfId="44669" xr:uid="{00000000-0005-0000-0000-0000F1EE0000}"/>
    <cellStyle name="Percent 3 6 3 2 2 2" xfId="62520" xr:uid="{00000000-0005-0000-0000-0000F2EE0000}"/>
    <cellStyle name="Percent 3 6 3 2 2 3" xfId="62521" xr:uid="{00000000-0005-0000-0000-0000F3EE0000}"/>
    <cellStyle name="Percent 3 6 3 2 3" xfId="44670" xr:uid="{00000000-0005-0000-0000-0000F4EE0000}"/>
    <cellStyle name="Percent 3 6 3 2 3 2" xfId="62522" xr:uid="{00000000-0005-0000-0000-0000F5EE0000}"/>
    <cellStyle name="Percent 3 6 3 2 4" xfId="44671" xr:uid="{00000000-0005-0000-0000-0000F6EE0000}"/>
    <cellStyle name="Percent 3 6 3 2 5" xfId="44672" xr:uid="{00000000-0005-0000-0000-0000F7EE0000}"/>
    <cellStyle name="Percent 3 6 3 2 6" xfId="44673" xr:uid="{00000000-0005-0000-0000-0000F8EE0000}"/>
    <cellStyle name="Percent 3 6 3 3" xfId="44674" xr:uid="{00000000-0005-0000-0000-0000F9EE0000}"/>
    <cellStyle name="Percent 3 6 3 3 2" xfId="62523" xr:uid="{00000000-0005-0000-0000-0000FAEE0000}"/>
    <cellStyle name="Percent 3 6 3 3 3" xfId="62524" xr:uid="{00000000-0005-0000-0000-0000FBEE0000}"/>
    <cellStyle name="Percent 3 6 3 4" xfId="44675" xr:uid="{00000000-0005-0000-0000-0000FCEE0000}"/>
    <cellStyle name="Percent 3 6 3 4 2" xfId="62525" xr:uid="{00000000-0005-0000-0000-0000FDEE0000}"/>
    <cellStyle name="Percent 3 6 3 5" xfId="44676" xr:uid="{00000000-0005-0000-0000-0000FEEE0000}"/>
    <cellStyle name="Percent 3 6 3 6" xfId="44677" xr:uid="{00000000-0005-0000-0000-0000FFEE0000}"/>
    <cellStyle name="Percent 3 6 3 7" xfId="44678" xr:uid="{00000000-0005-0000-0000-000000EF0000}"/>
    <cellStyle name="Percent 3 6 4" xfId="44679" xr:uid="{00000000-0005-0000-0000-000001EF0000}"/>
    <cellStyle name="Percent 3 6 4 2" xfId="44680" xr:uid="{00000000-0005-0000-0000-000002EF0000}"/>
    <cellStyle name="Percent 3 6 4 2 2" xfId="62526" xr:uid="{00000000-0005-0000-0000-000003EF0000}"/>
    <cellStyle name="Percent 3 6 4 2 3" xfId="62527" xr:uid="{00000000-0005-0000-0000-000004EF0000}"/>
    <cellStyle name="Percent 3 6 4 3" xfId="44681" xr:uid="{00000000-0005-0000-0000-000005EF0000}"/>
    <cellStyle name="Percent 3 6 4 3 2" xfId="62528" xr:uid="{00000000-0005-0000-0000-000006EF0000}"/>
    <cellStyle name="Percent 3 6 4 4" xfId="44682" xr:uid="{00000000-0005-0000-0000-000007EF0000}"/>
    <cellStyle name="Percent 3 6 4 5" xfId="44683" xr:uid="{00000000-0005-0000-0000-000008EF0000}"/>
    <cellStyle name="Percent 3 6 4 6" xfId="44684" xr:uid="{00000000-0005-0000-0000-000009EF0000}"/>
    <cellStyle name="Percent 3 6 5" xfId="44685" xr:uid="{00000000-0005-0000-0000-00000AEF0000}"/>
    <cellStyle name="Percent 3 6 5 2" xfId="62529" xr:uid="{00000000-0005-0000-0000-00000BEF0000}"/>
    <cellStyle name="Percent 3 6 5 3" xfId="62530" xr:uid="{00000000-0005-0000-0000-00000CEF0000}"/>
    <cellStyle name="Percent 3 6 6" xfId="44686" xr:uid="{00000000-0005-0000-0000-00000DEF0000}"/>
    <cellStyle name="Percent 3 6 6 2" xfId="62531" xr:uid="{00000000-0005-0000-0000-00000EEF0000}"/>
    <cellStyle name="Percent 3 6 7" xfId="44687" xr:uid="{00000000-0005-0000-0000-00000FEF0000}"/>
    <cellStyle name="Percent 3 6 8" xfId="44688" xr:uid="{00000000-0005-0000-0000-000010EF0000}"/>
    <cellStyle name="Percent 3 6 9" xfId="44689" xr:uid="{00000000-0005-0000-0000-000011EF0000}"/>
    <cellStyle name="Percent 3 7" xfId="44690" xr:uid="{00000000-0005-0000-0000-000012EF0000}"/>
    <cellStyle name="Percent 3 7 2" xfId="44691" xr:uid="{00000000-0005-0000-0000-000013EF0000}"/>
    <cellStyle name="Percent 3 7 2 2" xfId="44692" xr:uid="{00000000-0005-0000-0000-000014EF0000}"/>
    <cellStyle name="Percent 3 7 2 2 2" xfId="44693" xr:uid="{00000000-0005-0000-0000-000015EF0000}"/>
    <cellStyle name="Percent 3 7 2 2 2 2" xfId="62532" xr:uid="{00000000-0005-0000-0000-000016EF0000}"/>
    <cellStyle name="Percent 3 7 2 2 2 3" xfId="62533" xr:uid="{00000000-0005-0000-0000-000017EF0000}"/>
    <cellStyle name="Percent 3 7 2 2 3" xfId="44694" xr:uid="{00000000-0005-0000-0000-000018EF0000}"/>
    <cellStyle name="Percent 3 7 2 2 3 2" xfId="62534" xr:uid="{00000000-0005-0000-0000-000019EF0000}"/>
    <cellStyle name="Percent 3 7 2 2 4" xfId="44695" xr:uid="{00000000-0005-0000-0000-00001AEF0000}"/>
    <cellStyle name="Percent 3 7 2 2 5" xfId="44696" xr:uid="{00000000-0005-0000-0000-00001BEF0000}"/>
    <cellStyle name="Percent 3 7 2 2 6" xfId="44697" xr:uid="{00000000-0005-0000-0000-00001CEF0000}"/>
    <cellStyle name="Percent 3 7 2 3" xfId="44698" xr:uid="{00000000-0005-0000-0000-00001DEF0000}"/>
    <cellStyle name="Percent 3 7 2 3 2" xfId="62535" xr:uid="{00000000-0005-0000-0000-00001EEF0000}"/>
    <cellStyle name="Percent 3 7 2 3 3" xfId="62536" xr:uid="{00000000-0005-0000-0000-00001FEF0000}"/>
    <cellStyle name="Percent 3 7 2 4" xfId="44699" xr:uid="{00000000-0005-0000-0000-000020EF0000}"/>
    <cellStyle name="Percent 3 7 2 4 2" xfId="62537" xr:uid="{00000000-0005-0000-0000-000021EF0000}"/>
    <cellStyle name="Percent 3 7 2 5" xfId="44700" xr:uid="{00000000-0005-0000-0000-000022EF0000}"/>
    <cellStyle name="Percent 3 7 2 6" xfId="44701" xr:uid="{00000000-0005-0000-0000-000023EF0000}"/>
    <cellStyle name="Percent 3 7 2 7" xfId="44702" xr:uid="{00000000-0005-0000-0000-000024EF0000}"/>
    <cellStyle name="Percent 3 7 3" xfId="44703" xr:uid="{00000000-0005-0000-0000-000025EF0000}"/>
    <cellStyle name="Percent 3 7 3 2" xfId="44704" xr:uid="{00000000-0005-0000-0000-000026EF0000}"/>
    <cellStyle name="Percent 3 7 3 2 2" xfId="62538" xr:uid="{00000000-0005-0000-0000-000027EF0000}"/>
    <cellStyle name="Percent 3 7 3 2 3" xfId="62539" xr:uid="{00000000-0005-0000-0000-000028EF0000}"/>
    <cellStyle name="Percent 3 7 3 3" xfId="44705" xr:uid="{00000000-0005-0000-0000-000029EF0000}"/>
    <cellStyle name="Percent 3 7 3 3 2" xfId="62540" xr:uid="{00000000-0005-0000-0000-00002AEF0000}"/>
    <cellStyle name="Percent 3 7 3 4" xfId="44706" xr:uid="{00000000-0005-0000-0000-00002BEF0000}"/>
    <cellStyle name="Percent 3 7 3 5" xfId="44707" xr:uid="{00000000-0005-0000-0000-00002CEF0000}"/>
    <cellStyle name="Percent 3 7 3 6" xfId="44708" xr:uid="{00000000-0005-0000-0000-00002DEF0000}"/>
    <cellStyle name="Percent 3 7 4" xfId="44709" xr:uid="{00000000-0005-0000-0000-00002EEF0000}"/>
    <cellStyle name="Percent 3 7 4 2" xfId="62541" xr:uid="{00000000-0005-0000-0000-00002FEF0000}"/>
    <cellStyle name="Percent 3 7 4 3" xfId="62542" xr:uid="{00000000-0005-0000-0000-000030EF0000}"/>
    <cellStyle name="Percent 3 7 5" xfId="44710" xr:uid="{00000000-0005-0000-0000-000031EF0000}"/>
    <cellStyle name="Percent 3 7 5 2" xfId="62543" xr:uid="{00000000-0005-0000-0000-000032EF0000}"/>
    <cellStyle name="Percent 3 7 6" xfId="44711" xr:uid="{00000000-0005-0000-0000-000033EF0000}"/>
    <cellStyle name="Percent 3 7 7" xfId="44712" xr:uid="{00000000-0005-0000-0000-000034EF0000}"/>
    <cellStyle name="Percent 3 7 8" xfId="44713" xr:uid="{00000000-0005-0000-0000-000035EF0000}"/>
    <cellStyle name="Percent 3 7 9" xfId="44714" xr:uid="{00000000-0005-0000-0000-000036EF0000}"/>
    <cellStyle name="Percent 3 8" xfId="44715" xr:uid="{00000000-0005-0000-0000-000037EF0000}"/>
    <cellStyle name="Percent 3 8 2" xfId="44716" xr:uid="{00000000-0005-0000-0000-000038EF0000}"/>
    <cellStyle name="Percent 3 8 2 2" xfId="44717" xr:uid="{00000000-0005-0000-0000-000039EF0000}"/>
    <cellStyle name="Percent 3 8 2 2 2" xfId="44718" xr:uid="{00000000-0005-0000-0000-00003AEF0000}"/>
    <cellStyle name="Percent 3 8 2 2 2 2" xfId="62544" xr:uid="{00000000-0005-0000-0000-00003BEF0000}"/>
    <cellStyle name="Percent 3 8 2 2 2 3" xfId="62545" xr:uid="{00000000-0005-0000-0000-00003CEF0000}"/>
    <cellStyle name="Percent 3 8 2 2 3" xfId="44719" xr:uid="{00000000-0005-0000-0000-00003DEF0000}"/>
    <cellStyle name="Percent 3 8 2 2 3 2" xfId="62546" xr:uid="{00000000-0005-0000-0000-00003EEF0000}"/>
    <cellStyle name="Percent 3 8 2 2 4" xfId="44720" xr:uid="{00000000-0005-0000-0000-00003FEF0000}"/>
    <cellStyle name="Percent 3 8 2 2 5" xfId="44721" xr:uid="{00000000-0005-0000-0000-000040EF0000}"/>
    <cellStyle name="Percent 3 8 2 2 6" xfId="44722" xr:uid="{00000000-0005-0000-0000-000041EF0000}"/>
    <cellStyle name="Percent 3 8 2 3" xfId="44723" xr:uid="{00000000-0005-0000-0000-000042EF0000}"/>
    <cellStyle name="Percent 3 8 2 3 2" xfId="62547" xr:uid="{00000000-0005-0000-0000-000043EF0000}"/>
    <cellStyle name="Percent 3 8 2 3 3" xfId="62548" xr:uid="{00000000-0005-0000-0000-000044EF0000}"/>
    <cellStyle name="Percent 3 8 2 4" xfId="44724" xr:uid="{00000000-0005-0000-0000-000045EF0000}"/>
    <cellStyle name="Percent 3 8 2 4 2" xfId="62549" xr:uid="{00000000-0005-0000-0000-000046EF0000}"/>
    <cellStyle name="Percent 3 8 2 5" xfId="44725" xr:uid="{00000000-0005-0000-0000-000047EF0000}"/>
    <cellStyle name="Percent 3 8 2 6" xfId="44726" xr:uid="{00000000-0005-0000-0000-000048EF0000}"/>
    <cellStyle name="Percent 3 8 2 7" xfId="44727" xr:uid="{00000000-0005-0000-0000-000049EF0000}"/>
    <cellStyle name="Percent 3 8 3" xfId="44728" xr:uid="{00000000-0005-0000-0000-00004AEF0000}"/>
    <cellStyle name="Percent 3 8 3 2" xfId="44729" xr:uid="{00000000-0005-0000-0000-00004BEF0000}"/>
    <cellStyle name="Percent 3 8 3 2 2" xfId="62550" xr:uid="{00000000-0005-0000-0000-00004CEF0000}"/>
    <cellStyle name="Percent 3 8 3 2 3" xfId="62551" xr:uid="{00000000-0005-0000-0000-00004DEF0000}"/>
    <cellStyle name="Percent 3 8 3 3" xfId="44730" xr:uid="{00000000-0005-0000-0000-00004EEF0000}"/>
    <cellStyle name="Percent 3 8 3 3 2" xfId="62552" xr:uid="{00000000-0005-0000-0000-00004FEF0000}"/>
    <cellStyle name="Percent 3 8 3 4" xfId="44731" xr:uid="{00000000-0005-0000-0000-000050EF0000}"/>
    <cellStyle name="Percent 3 8 3 5" xfId="44732" xr:uid="{00000000-0005-0000-0000-000051EF0000}"/>
    <cellStyle name="Percent 3 8 3 6" xfId="44733" xr:uid="{00000000-0005-0000-0000-000052EF0000}"/>
    <cellStyle name="Percent 3 8 4" xfId="44734" xr:uid="{00000000-0005-0000-0000-000053EF0000}"/>
    <cellStyle name="Percent 3 8 4 2" xfId="62553" xr:uid="{00000000-0005-0000-0000-000054EF0000}"/>
    <cellStyle name="Percent 3 8 4 3" xfId="62554" xr:uid="{00000000-0005-0000-0000-000055EF0000}"/>
    <cellStyle name="Percent 3 8 5" xfId="44735" xr:uid="{00000000-0005-0000-0000-000056EF0000}"/>
    <cellStyle name="Percent 3 8 5 2" xfId="62555" xr:uid="{00000000-0005-0000-0000-000057EF0000}"/>
    <cellStyle name="Percent 3 8 6" xfId="44736" xr:uid="{00000000-0005-0000-0000-000058EF0000}"/>
    <cellStyle name="Percent 3 8 7" xfId="44737" xr:uid="{00000000-0005-0000-0000-000059EF0000}"/>
    <cellStyle name="Percent 3 8 8" xfId="44738" xr:uid="{00000000-0005-0000-0000-00005AEF0000}"/>
    <cellStyle name="Percent 3 9" xfId="44739" xr:uid="{00000000-0005-0000-0000-00005BEF0000}"/>
    <cellStyle name="Percent 3 9 2" xfId="44740" xr:uid="{00000000-0005-0000-0000-00005CEF0000}"/>
    <cellStyle name="Percent 3 9 2 2" xfId="44741" xr:uid="{00000000-0005-0000-0000-00005DEF0000}"/>
    <cellStyle name="Percent 3 9 2 2 2" xfId="44742" xr:uid="{00000000-0005-0000-0000-00005EEF0000}"/>
    <cellStyle name="Percent 3 9 2 2 2 2" xfId="62556" xr:uid="{00000000-0005-0000-0000-00005FEF0000}"/>
    <cellStyle name="Percent 3 9 2 2 2 3" xfId="62557" xr:uid="{00000000-0005-0000-0000-000060EF0000}"/>
    <cellStyle name="Percent 3 9 2 2 3" xfId="44743" xr:uid="{00000000-0005-0000-0000-000061EF0000}"/>
    <cellStyle name="Percent 3 9 2 2 3 2" xfId="62558" xr:uid="{00000000-0005-0000-0000-000062EF0000}"/>
    <cellStyle name="Percent 3 9 2 2 4" xfId="44744" xr:uid="{00000000-0005-0000-0000-000063EF0000}"/>
    <cellStyle name="Percent 3 9 2 2 5" xfId="44745" xr:uid="{00000000-0005-0000-0000-000064EF0000}"/>
    <cellStyle name="Percent 3 9 2 2 6" xfId="44746" xr:uid="{00000000-0005-0000-0000-000065EF0000}"/>
    <cellStyle name="Percent 3 9 2 3" xfId="44747" xr:uid="{00000000-0005-0000-0000-000066EF0000}"/>
    <cellStyle name="Percent 3 9 2 3 2" xfId="62559" xr:uid="{00000000-0005-0000-0000-000067EF0000}"/>
    <cellStyle name="Percent 3 9 2 3 3" xfId="62560" xr:uid="{00000000-0005-0000-0000-000068EF0000}"/>
    <cellStyle name="Percent 3 9 2 4" xfId="44748" xr:uid="{00000000-0005-0000-0000-000069EF0000}"/>
    <cellStyle name="Percent 3 9 2 4 2" xfId="62561" xr:uid="{00000000-0005-0000-0000-00006AEF0000}"/>
    <cellStyle name="Percent 3 9 2 5" xfId="44749" xr:uid="{00000000-0005-0000-0000-00006BEF0000}"/>
    <cellStyle name="Percent 3 9 2 6" xfId="44750" xr:uid="{00000000-0005-0000-0000-00006CEF0000}"/>
    <cellStyle name="Percent 3 9 2 7" xfId="44751" xr:uid="{00000000-0005-0000-0000-00006DEF0000}"/>
    <cellStyle name="Percent 3 9 3" xfId="44752" xr:uid="{00000000-0005-0000-0000-00006EEF0000}"/>
    <cellStyle name="Percent 3 9 3 2" xfId="44753" xr:uid="{00000000-0005-0000-0000-00006FEF0000}"/>
    <cellStyle name="Percent 3 9 3 2 2" xfId="62562" xr:uid="{00000000-0005-0000-0000-000070EF0000}"/>
    <cellStyle name="Percent 3 9 3 2 3" xfId="62563" xr:uid="{00000000-0005-0000-0000-000071EF0000}"/>
    <cellStyle name="Percent 3 9 3 3" xfId="44754" xr:uid="{00000000-0005-0000-0000-000072EF0000}"/>
    <cellStyle name="Percent 3 9 3 3 2" xfId="62564" xr:uid="{00000000-0005-0000-0000-000073EF0000}"/>
    <cellStyle name="Percent 3 9 3 4" xfId="44755" xr:uid="{00000000-0005-0000-0000-000074EF0000}"/>
    <cellStyle name="Percent 3 9 3 5" xfId="44756" xr:uid="{00000000-0005-0000-0000-000075EF0000}"/>
    <cellStyle name="Percent 3 9 3 6" xfId="44757" xr:uid="{00000000-0005-0000-0000-000076EF0000}"/>
    <cellStyle name="Percent 3 9 4" xfId="44758" xr:uid="{00000000-0005-0000-0000-000077EF0000}"/>
    <cellStyle name="Percent 3 9 4 2" xfId="62565" xr:uid="{00000000-0005-0000-0000-000078EF0000}"/>
    <cellStyle name="Percent 3 9 4 3" xfId="62566" xr:uid="{00000000-0005-0000-0000-000079EF0000}"/>
    <cellStyle name="Percent 3 9 5" xfId="44759" xr:uid="{00000000-0005-0000-0000-00007AEF0000}"/>
    <cellStyle name="Percent 3 9 5 2" xfId="62567" xr:uid="{00000000-0005-0000-0000-00007BEF0000}"/>
    <cellStyle name="Percent 3 9 6" xfId="44760" xr:uid="{00000000-0005-0000-0000-00007CEF0000}"/>
    <cellStyle name="Percent 3 9 7" xfId="44761" xr:uid="{00000000-0005-0000-0000-00007DEF0000}"/>
    <cellStyle name="Percent 3 9 8" xfId="44762" xr:uid="{00000000-0005-0000-0000-00007EEF0000}"/>
    <cellStyle name="Percent 4" xfId="44763" xr:uid="{00000000-0005-0000-0000-00007FEF0000}"/>
    <cellStyle name="Percent 4 10" xfId="44764" xr:uid="{00000000-0005-0000-0000-000080EF0000}"/>
    <cellStyle name="Percent 4 10 2" xfId="44765" xr:uid="{00000000-0005-0000-0000-000081EF0000}"/>
    <cellStyle name="Percent 4 10 2 2" xfId="44766" xr:uid="{00000000-0005-0000-0000-000082EF0000}"/>
    <cellStyle name="Percent 4 10 2 2 2" xfId="62568" xr:uid="{00000000-0005-0000-0000-000083EF0000}"/>
    <cellStyle name="Percent 4 10 2 2 3" xfId="62569" xr:uid="{00000000-0005-0000-0000-000084EF0000}"/>
    <cellStyle name="Percent 4 10 2 3" xfId="44767" xr:uid="{00000000-0005-0000-0000-000085EF0000}"/>
    <cellStyle name="Percent 4 10 2 3 2" xfId="62570" xr:uid="{00000000-0005-0000-0000-000086EF0000}"/>
    <cellStyle name="Percent 4 10 2 4" xfId="44768" xr:uid="{00000000-0005-0000-0000-000087EF0000}"/>
    <cellStyle name="Percent 4 10 2 5" xfId="44769" xr:uid="{00000000-0005-0000-0000-000088EF0000}"/>
    <cellStyle name="Percent 4 10 2 6" xfId="44770" xr:uid="{00000000-0005-0000-0000-000089EF0000}"/>
    <cellStyle name="Percent 4 10 3" xfId="44771" xr:uid="{00000000-0005-0000-0000-00008AEF0000}"/>
    <cellStyle name="Percent 4 10 3 2" xfId="62571" xr:uid="{00000000-0005-0000-0000-00008BEF0000}"/>
    <cellStyle name="Percent 4 10 3 3" xfId="62572" xr:uid="{00000000-0005-0000-0000-00008CEF0000}"/>
    <cellStyle name="Percent 4 10 4" xfId="44772" xr:uid="{00000000-0005-0000-0000-00008DEF0000}"/>
    <cellStyle name="Percent 4 10 4 2" xfId="62573" xr:uid="{00000000-0005-0000-0000-00008EEF0000}"/>
    <cellStyle name="Percent 4 10 5" xfId="44773" xr:uid="{00000000-0005-0000-0000-00008FEF0000}"/>
    <cellStyle name="Percent 4 10 6" xfId="44774" xr:uid="{00000000-0005-0000-0000-000090EF0000}"/>
    <cellStyle name="Percent 4 10 7" xfId="44775" xr:uid="{00000000-0005-0000-0000-000091EF0000}"/>
    <cellStyle name="Percent 4 11" xfId="44776" xr:uid="{00000000-0005-0000-0000-000092EF0000}"/>
    <cellStyle name="Percent 4 11 2" xfId="44777" xr:uid="{00000000-0005-0000-0000-000093EF0000}"/>
    <cellStyle name="Percent 4 11 2 2" xfId="62574" xr:uid="{00000000-0005-0000-0000-000094EF0000}"/>
    <cellStyle name="Percent 4 11 2 3" xfId="62575" xr:uid="{00000000-0005-0000-0000-000095EF0000}"/>
    <cellStyle name="Percent 4 11 3" xfId="44778" xr:uid="{00000000-0005-0000-0000-000096EF0000}"/>
    <cellStyle name="Percent 4 11 3 2" xfId="62576" xr:uid="{00000000-0005-0000-0000-000097EF0000}"/>
    <cellStyle name="Percent 4 11 4" xfId="44779" xr:uid="{00000000-0005-0000-0000-000098EF0000}"/>
    <cellStyle name="Percent 4 11 5" xfId="44780" xr:uid="{00000000-0005-0000-0000-000099EF0000}"/>
    <cellStyle name="Percent 4 11 6" xfId="44781" xr:uid="{00000000-0005-0000-0000-00009AEF0000}"/>
    <cellStyle name="Percent 4 12" xfId="44782" xr:uid="{00000000-0005-0000-0000-00009BEF0000}"/>
    <cellStyle name="Percent 4 12 2" xfId="62577" xr:uid="{00000000-0005-0000-0000-00009CEF0000}"/>
    <cellStyle name="Percent 4 12 3" xfId="62578" xr:uid="{00000000-0005-0000-0000-00009DEF0000}"/>
    <cellStyle name="Percent 4 13" xfId="44783" xr:uid="{00000000-0005-0000-0000-00009EEF0000}"/>
    <cellStyle name="Percent 4 13 2" xfId="62579" xr:uid="{00000000-0005-0000-0000-00009FEF0000}"/>
    <cellStyle name="Percent 4 14" xfId="44784" xr:uid="{00000000-0005-0000-0000-0000A0EF0000}"/>
    <cellStyle name="Percent 4 14 2" xfId="62580" xr:uid="{00000000-0005-0000-0000-0000A1EF0000}"/>
    <cellStyle name="Percent 4 15" xfId="44785" xr:uid="{00000000-0005-0000-0000-0000A2EF0000}"/>
    <cellStyle name="Percent 4 16" xfId="44786" xr:uid="{00000000-0005-0000-0000-0000A3EF0000}"/>
    <cellStyle name="Percent 4 17" xfId="44787" xr:uid="{00000000-0005-0000-0000-0000A4EF0000}"/>
    <cellStyle name="Percent 4 18" xfId="44788" xr:uid="{00000000-0005-0000-0000-0000A5EF0000}"/>
    <cellStyle name="Percent 4 19" xfId="44789" xr:uid="{00000000-0005-0000-0000-0000A6EF0000}"/>
    <cellStyle name="Percent 4 2" xfId="44790" xr:uid="{00000000-0005-0000-0000-0000A7EF0000}"/>
    <cellStyle name="Percent 4 2 10" xfId="44791" xr:uid="{00000000-0005-0000-0000-0000A8EF0000}"/>
    <cellStyle name="Percent 4 2 11" xfId="44792" xr:uid="{00000000-0005-0000-0000-0000A9EF0000}"/>
    <cellStyle name="Percent 4 2 12" xfId="44793" xr:uid="{00000000-0005-0000-0000-0000AAEF0000}"/>
    <cellStyle name="Percent 4 2 13" xfId="44794" xr:uid="{00000000-0005-0000-0000-0000ABEF0000}"/>
    <cellStyle name="Percent 4 2 14" xfId="44795" xr:uid="{00000000-0005-0000-0000-0000ACEF0000}"/>
    <cellStyle name="Percent 4 2 15" xfId="44796" xr:uid="{00000000-0005-0000-0000-0000ADEF0000}"/>
    <cellStyle name="Percent 4 2 16" xfId="44797" xr:uid="{00000000-0005-0000-0000-0000AEEF0000}"/>
    <cellStyle name="Percent 4 2 2" xfId="44798" xr:uid="{00000000-0005-0000-0000-0000AFEF0000}"/>
    <cellStyle name="Percent 4 2 2 10" xfId="44799" xr:uid="{00000000-0005-0000-0000-0000B0EF0000}"/>
    <cellStyle name="Percent 4 2 2 11" xfId="44800" xr:uid="{00000000-0005-0000-0000-0000B1EF0000}"/>
    <cellStyle name="Percent 4 2 2 12" xfId="44801" xr:uid="{00000000-0005-0000-0000-0000B2EF0000}"/>
    <cellStyle name="Percent 4 2 2 13" xfId="44802" xr:uid="{00000000-0005-0000-0000-0000B3EF0000}"/>
    <cellStyle name="Percent 4 2 2 14" xfId="44803" xr:uid="{00000000-0005-0000-0000-0000B4EF0000}"/>
    <cellStyle name="Percent 4 2 2 15" xfId="44804" xr:uid="{00000000-0005-0000-0000-0000B5EF0000}"/>
    <cellStyle name="Percent 4 2 2 2" xfId="44805" xr:uid="{00000000-0005-0000-0000-0000B6EF0000}"/>
    <cellStyle name="Percent 4 2 2 2 2" xfId="44806" xr:uid="{00000000-0005-0000-0000-0000B7EF0000}"/>
    <cellStyle name="Percent 4 2 2 2 2 2" xfId="44807" xr:uid="{00000000-0005-0000-0000-0000B8EF0000}"/>
    <cellStyle name="Percent 4 2 2 2 2 2 2" xfId="44808" xr:uid="{00000000-0005-0000-0000-0000B9EF0000}"/>
    <cellStyle name="Percent 4 2 2 2 2 2 2 2" xfId="62581" xr:uid="{00000000-0005-0000-0000-0000BAEF0000}"/>
    <cellStyle name="Percent 4 2 2 2 2 2 2 3" xfId="62582" xr:uid="{00000000-0005-0000-0000-0000BBEF0000}"/>
    <cellStyle name="Percent 4 2 2 2 2 2 3" xfId="44809" xr:uid="{00000000-0005-0000-0000-0000BCEF0000}"/>
    <cellStyle name="Percent 4 2 2 2 2 2 3 2" xfId="62583" xr:uid="{00000000-0005-0000-0000-0000BDEF0000}"/>
    <cellStyle name="Percent 4 2 2 2 2 2 4" xfId="44810" xr:uid="{00000000-0005-0000-0000-0000BEEF0000}"/>
    <cellStyle name="Percent 4 2 2 2 2 2 5" xfId="44811" xr:uid="{00000000-0005-0000-0000-0000BFEF0000}"/>
    <cellStyle name="Percent 4 2 2 2 2 2 6" xfId="44812" xr:uid="{00000000-0005-0000-0000-0000C0EF0000}"/>
    <cellStyle name="Percent 4 2 2 2 2 3" xfId="44813" xr:uid="{00000000-0005-0000-0000-0000C1EF0000}"/>
    <cellStyle name="Percent 4 2 2 2 2 3 2" xfId="62584" xr:uid="{00000000-0005-0000-0000-0000C2EF0000}"/>
    <cellStyle name="Percent 4 2 2 2 2 3 3" xfId="62585" xr:uid="{00000000-0005-0000-0000-0000C3EF0000}"/>
    <cellStyle name="Percent 4 2 2 2 2 4" xfId="44814" xr:uid="{00000000-0005-0000-0000-0000C4EF0000}"/>
    <cellStyle name="Percent 4 2 2 2 2 4 2" xfId="62586" xr:uid="{00000000-0005-0000-0000-0000C5EF0000}"/>
    <cellStyle name="Percent 4 2 2 2 2 5" xfId="44815" xr:uid="{00000000-0005-0000-0000-0000C6EF0000}"/>
    <cellStyle name="Percent 4 2 2 2 2 6" xfId="44816" xr:uid="{00000000-0005-0000-0000-0000C7EF0000}"/>
    <cellStyle name="Percent 4 2 2 2 2 7" xfId="44817" xr:uid="{00000000-0005-0000-0000-0000C8EF0000}"/>
    <cellStyle name="Percent 4 2 2 2 3" xfId="44818" xr:uid="{00000000-0005-0000-0000-0000C9EF0000}"/>
    <cellStyle name="Percent 4 2 2 2 3 2" xfId="44819" xr:uid="{00000000-0005-0000-0000-0000CAEF0000}"/>
    <cellStyle name="Percent 4 2 2 2 3 2 2" xfId="62587" xr:uid="{00000000-0005-0000-0000-0000CBEF0000}"/>
    <cellStyle name="Percent 4 2 2 2 3 2 3" xfId="62588" xr:uid="{00000000-0005-0000-0000-0000CCEF0000}"/>
    <cellStyle name="Percent 4 2 2 2 3 3" xfId="44820" xr:uid="{00000000-0005-0000-0000-0000CDEF0000}"/>
    <cellStyle name="Percent 4 2 2 2 3 3 2" xfId="62589" xr:uid="{00000000-0005-0000-0000-0000CEEF0000}"/>
    <cellStyle name="Percent 4 2 2 2 3 4" xfId="44821" xr:uid="{00000000-0005-0000-0000-0000CFEF0000}"/>
    <cellStyle name="Percent 4 2 2 2 3 5" xfId="44822" xr:uid="{00000000-0005-0000-0000-0000D0EF0000}"/>
    <cellStyle name="Percent 4 2 2 2 3 6" xfId="44823" xr:uid="{00000000-0005-0000-0000-0000D1EF0000}"/>
    <cellStyle name="Percent 4 2 2 2 4" xfId="44824" xr:uid="{00000000-0005-0000-0000-0000D2EF0000}"/>
    <cellStyle name="Percent 4 2 2 2 4 2" xfId="62590" xr:uid="{00000000-0005-0000-0000-0000D3EF0000}"/>
    <cellStyle name="Percent 4 2 2 2 4 3" xfId="62591" xr:uid="{00000000-0005-0000-0000-0000D4EF0000}"/>
    <cellStyle name="Percent 4 2 2 2 5" xfId="44825" xr:uid="{00000000-0005-0000-0000-0000D5EF0000}"/>
    <cellStyle name="Percent 4 2 2 2 5 2" xfId="62592" xr:uid="{00000000-0005-0000-0000-0000D6EF0000}"/>
    <cellStyle name="Percent 4 2 2 2 6" xfId="44826" xr:uid="{00000000-0005-0000-0000-0000D7EF0000}"/>
    <cellStyle name="Percent 4 2 2 2 7" xfId="44827" xr:uid="{00000000-0005-0000-0000-0000D8EF0000}"/>
    <cellStyle name="Percent 4 2 2 2 8" xfId="44828" xr:uid="{00000000-0005-0000-0000-0000D9EF0000}"/>
    <cellStyle name="Percent 4 2 2 2 9" xfId="44829" xr:uid="{00000000-0005-0000-0000-0000DAEF0000}"/>
    <cellStyle name="Percent 4 2 2 3" xfId="44830" xr:uid="{00000000-0005-0000-0000-0000DBEF0000}"/>
    <cellStyle name="Percent 4 2 2 3 2" xfId="44831" xr:uid="{00000000-0005-0000-0000-0000DCEF0000}"/>
    <cellStyle name="Percent 4 2 2 3 2 2" xfId="44832" xr:uid="{00000000-0005-0000-0000-0000DDEF0000}"/>
    <cellStyle name="Percent 4 2 2 3 2 2 2" xfId="44833" xr:uid="{00000000-0005-0000-0000-0000DEEF0000}"/>
    <cellStyle name="Percent 4 2 2 3 2 2 2 2" xfId="62593" xr:uid="{00000000-0005-0000-0000-0000DFEF0000}"/>
    <cellStyle name="Percent 4 2 2 3 2 2 2 3" xfId="62594" xr:uid="{00000000-0005-0000-0000-0000E0EF0000}"/>
    <cellStyle name="Percent 4 2 2 3 2 2 3" xfId="44834" xr:uid="{00000000-0005-0000-0000-0000E1EF0000}"/>
    <cellStyle name="Percent 4 2 2 3 2 2 3 2" xfId="62595" xr:uid="{00000000-0005-0000-0000-0000E2EF0000}"/>
    <cellStyle name="Percent 4 2 2 3 2 2 4" xfId="44835" xr:uid="{00000000-0005-0000-0000-0000E3EF0000}"/>
    <cellStyle name="Percent 4 2 2 3 2 2 5" xfId="44836" xr:uid="{00000000-0005-0000-0000-0000E4EF0000}"/>
    <cellStyle name="Percent 4 2 2 3 2 2 6" xfId="44837" xr:uid="{00000000-0005-0000-0000-0000E5EF0000}"/>
    <cellStyle name="Percent 4 2 2 3 2 3" xfId="44838" xr:uid="{00000000-0005-0000-0000-0000E6EF0000}"/>
    <cellStyle name="Percent 4 2 2 3 2 3 2" xfId="62596" xr:uid="{00000000-0005-0000-0000-0000E7EF0000}"/>
    <cellStyle name="Percent 4 2 2 3 2 3 3" xfId="62597" xr:uid="{00000000-0005-0000-0000-0000E8EF0000}"/>
    <cellStyle name="Percent 4 2 2 3 2 4" xfId="44839" xr:uid="{00000000-0005-0000-0000-0000E9EF0000}"/>
    <cellStyle name="Percent 4 2 2 3 2 4 2" xfId="62598" xr:uid="{00000000-0005-0000-0000-0000EAEF0000}"/>
    <cellStyle name="Percent 4 2 2 3 2 5" xfId="44840" xr:uid="{00000000-0005-0000-0000-0000EBEF0000}"/>
    <cellStyle name="Percent 4 2 2 3 2 6" xfId="44841" xr:uid="{00000000-0005-0000-0000-0000ECEF0000}"/>
    <cellStyle name="Percent 4 2 2 3 2 7" xfId="44842" xr:uid="{00000000-0005-0000-0000-0000EDEF0000}"/>
    <cellStyle name="Percent 4 2 2 3 3" xfId="44843" xr:uid="{00000000-0005-0000-0000-0000EEEF0000}"/>
    <cellStyle name="Percent 4 2 2 3 3 2" xfId="44844" xr:uid="{00000000-0005-0000-0000-0000EFEF0000}"/>
    <cellStyle name="Percent 4 2 2 3 3 2 2" xfId="62599" xr:uid="{00000000-0005-0000-0000-0000F0EF0000}"/>
    <cellStyle name="Percent 4 2 2 3 3 2 3" xfId="62600" xr:uid="{00000000-0005-0000-0000-0000F1EF0000}"/>
    <cellStyle name="Percent 4 2 2 3 3 3" xfId="44845" xr:uid="{00000000-0005-0000-0000-0000F2EF0000}"/>
    <cellStyle name="Percent 4 2 2 3 3 3 2" xfId="62601" xr:uid="{00000000-0005-0000-0000-0000F3EF0000}"/>
    <cellStyle name="Percent 4 2 2 3 3 4" xfId="44846" xr:uid="{00000000-0005-0000-0000-0000F4EF0000}"/>
    <cellStyle name="Percent 4 2 2 3 3 5" xfId="44847" xr:uid="{00000000-0005-0000-0000-0000F5EF0000}"/>
    <cellStyle name="Percent 4 2 2 3 3 6" xfId="44848" xr:uid="{00000000-0005-0000-0000-0000F6EF0000}"/>
    <cellStyle name="Percent 4 2 2 3 4" xfId="44849" xr:uid="{00000000-0005-0000-0000-0000F7EF0000}"/>
    <cellStyle name="Percent 4 2 2 3 4 2" xfId="62602" xr:uid="{00000000-0005-0000-0000-0000F8EF0000}"/>
    <cellStyle name="Percent 4 2 2 3 4 3" xfId="62603" xr:uid="{00000000-0005-0000-0000-0000F9EF0000}"/>
    <cellStyle name="Percent 4 2 2 3 5" xfId="44850" xr:uid="{00000000-0005-0000-0000-0000FAEF0000}"/>
    <cellStyle name="Percent 4 2 2 3 5 2" xfId="62604" xr:uid="{00000000-0005-0000-0000-0000FBEF0000}"/>
    <cellStyle name="Percent 4 2 2 3 6" xfId="44851" xr:uid="{00000000-0005-0000-0000-0000FCEF0000}"/>
    <cellStyle name="Percent 4 2 2 3 7" xfId="44852" xr:uid="{00000000-0005-0000-0000-0000FDEF0000}"/>
    <cellStyle name="Percent 4 2 2 3 8" xfId="44853" xr:uid="{00000000-0005-0000-0000-0000FEEF0000}"/>
    <cellStyle name="Percent 4 2 2 4" xfId="44854" xr:uid="{00000000-0005-0000-0000-0000FFEF0000}"/>
    <cellStyle name="Percent 4 2 2 4 2" xfId="44855" xr:uid="{00000000-0005-0000-0000-000000F00000}"/>
    <cellStyle name="Percent 4 2 2 4 2 2" xfId="44856" xr:uid="{00000000-0005-0000-0000-000001F00000}"/>
    <cellStyle name="Percent 4 2 2 4 2 2 2" xfId="62605" xr:uid="{00000000-0005-0000-0000-000002F00000}"/>
    <cellStyle name="Percent 4 2 2 4 2 2 3" xfId="62606" xr:uid="{00000000-0005-0000-0000-000003F00000}"/>
    <cellStyle name="Percent 4 2 2 4 2 3" xfId="44857" xr:uid="{00000000-0005-0000-0000-000004F00000}"/>
    <cellStyle name="Percent 4 2 2 4 2 3 2" xfId="62607" xr:uid="{00000000-0005-0000-0000-000005F00000}"/>
    <cellStyle name="Percent 4 2 2 4 2 4" xfId="44858" xr:uid="{00000000-0005-0000-0000-000006F00000}"/>
    <cellStyle name="Percent 4 2 2 4 2 5" xfId="44859" xr:uid="{00000000-0005-0000-0000-000007F00000}"/>
    <cellStyle name="Percent 4 2 2 4 2 6" xfId="44860" xr:uid="{00000000-0005-0000-0000-000008F00000}"/>
    <cellStyle name="Percent 4 2 2 4 3" xfId="44861" xr:uid="{00000000-0005-0000-0000-000009F00000}"/>
    <cellStyle name="Percent 4 2 2 4 3 2" xfId="62608" xr:uid="{00000000-0005-0000-0000-00000AF00000}"/>
    <cellStyle name="Percent 4 2 2 4 3 3" xfId="62609" xr:uid="{00000000-0005-0000-0000-00000BF00000}"/>
    <cellStyle name="Percent 4 2 2 4 4" xfId="44862" xr:uid="{00000000-0005-0000-0000-00000CF00000}"/>
    <cellStyle name="Percent 4 2 2 4 4 2" xfId="62610" xr:uid="{00000000-0005-0000-0000-00000DF00000}"/>
    <cellStyle name="Percent 4 2 2 4 5" xfId="44863" xr:uid="{00000000-0005-0000-0000-00000EF00000}"/>
    <cellStyle name="Percent 4 2 2 4 6" xfId="44864" xr:uid="{00000000-0005-0000-0000-00000FF00000}"/>
    <cellStyle name="Percent 4 2 2 4 7" xfId="44865" xr:uid="{00000000-0005-0000-0000-000010F00000}"/>
    <cellStyle name="Percent 4 2 2 5" xfId="44866" xr:uid="{00000000-0005-0000-0000-000011F00000}"/>
    <cellStyle name="Percent 4 2 2 5 2" xfId="44867" xr:uid="{00000000-0005-0000-0000-000012F00000}"/>
    <cellStyle name="Percent 4 2 2 5 2 2" xfId="62611" xr:uid="{00000000-0005-0000-0000-000013F00000}"/>
    <cellStyle name="Percent 4 2 2 5 2 3" xfId="62612" xr:uid="{00000000-0005-0000-0000-000014F00000}"/>
    <cellStyle name="Percent 4 2 2 5 3" xfId="44868" xr:uid="{00000000-0005-0000-0000-000015F00000}"/>
    <cellStyle name="Percent 4 2 2 5 3 2" xfId="62613" xr:uid="{00000000-0005-0000-0000-000016F00000}"/>
    <cellStyle name="Percent 4 2 2 5 4" xfId="44869" xr:uid="{00000000-0005-0000-0000-000017F00000}"/>
    <cellStyle name="Percent 4 2 2 5 5" xfId="44870" xr:uid="{00000000-0005-0000-0000-000018F00000}"/>
    <cellStyle name="Percent 4 2 2 5 6" xfId="44871" xr:uid="{00000000-0005-0000-0000-000019F00000}"/>
    <cellStyle name="Percent 4 2 2 6" xfId="44872" xr:uid="{00000000-0005-0000-0000-00001AF00000}"/>
    <cellStyle name="Percent 4 2 2 6 2" xfId="62614" xr:uid="{00000000-0005-0000-0000-00001BF00000}"/>
    <cellStyle name="Percent 4 2 2 6 3" xfId="62615" xr:uid="{00000000-0005-0000-0000-00001CF00000}"/>
    <cellStyle name="Percent 4 2 2 7" xfId="44873" xr:uid="{00000000-0005-0000-0000-00001DF00000}"/>
    <cellStyle name="Percent 4 2 2 7 2" xfId="62616" xr:uid="{00000000-0005-0000-0000-00001EF00000}"/>
    <cellStyle name="Percent 4 2 2 8" xfId="44874" xr:uid="{00000000-0005-0000-0000-00001FF00000}"/>
    <cellStyle name="Percent 4 2 2 9" xfId="44875" xr:uid="{00000000-0005-0000-0000-000020F00000}"/>
    <cellStyle name="Percent 4 2 3" xfId="44876" xr:uid="{00000000-0005-0000-0000-000021F00000}"/>
    <cellStyle name="Percent 4 2 3 2" xfId="44877" xr:uid="{00000000-0005-0000-0000-000022F00000}"/>
    <cellStyle name="Percent 4 2 3 2 2" xfId="44878" xr:uid="{00000000-0005-0000-0000-000023F00000}"/>
    <cellStyle name="Percent 4 2 3 2 2 2" xfId="44879" xr:uid="{00000000-0005-0000-0000-000024F00000}"/>
    <cellStyle name="Percent 4 2 3 2 2 2 2" xfId="62617" xr:uid="{00000000-0005-0000-0000-000025F00000}"/>
    <cellStyle name="Percent 4 2 3 2 2 2 3" xfId="62618" xr:uid="{00000000-0005-0000-0000-000026F00000}"/>
    <cellStyle name="Percent 4 2 3 2 2 3" xfId="44880" xr:uid="{00000000-0005-0000-0000-000027F00000}"/>
    <cellStyle name="Percent 4 2 3 2 2 3 2" xfId="62619" xr:uid="{00000000-0005-0000-0000-000028F00000}"/>
    <cellStyle name="Percent 4 2 3 2 2 4" xfId="44881" xr:uid="{00000000-0005-0000-0000-000029F00000}"/>
    <cellStyle name="Percent 4 2 3 2 2 5" xfId="44882" xr:uid="{00000000-0005-0000-0000-00002AF00000}"/>
    <cellStyle name="Percent 4 2 3 2 2 6" xfId="44883" xr:uid="{00000000-0005-0000-0000-00002BF00000}"/>
    <cellStyle name="Percent 4 2 3 2 3" xfId="44884" xr:uid="{00000000-0005-0000-0000-00002CF00000}"/>
    <cellStyle name="Percent 4 2 3 2 3 2" xfId="62620" xr:uid="{00000000-0005-0000-0000-00002DF00000}"/>
    <cellStyle name="Percent 4 2 3 2 3 3" xfId="62621" xr:uid="{00000000-0005-0000-0000-00002EF00000}"/>
    <cellStyle name="Percent 4 2 3 2 4" xfId="44885" xr:uid="{00000000-0005-0000-0000-00002FF00000}"/>
    <cellStyle name="Percent 4 2 3 2 4 2" xfId="62622" xr:uid="{00000000-0005-0000-0000-000030F00000}"/>
    <cellStyle name="Percent 4 2 3 2 5" xfId="44886" xr:uid="{00000000-0005-0000-0000-000031F00000}"/>
    <cellStyle name="Percent 4 2 3 2 6" xfId="44887" xr:uid="{00000000-0005-0000-0000-000032F00000}"/>
    <cellStyle name="Percent 4 2 3 2 7" xfId="44888" xr:uid="{00000000-0005-0000-0000-000033F00000}"/>
    <cellStyle name="Percent 4 2 3 3" xfId="44889" xr:uid="{00000000-0005-0000-0000-000034F00000}"/>
    <cellStyle name="Percent 4 2 3 3 2" xfId="44890" xr:uid="{00000000-0005-0000-0000-000035F00000}"/>
    <cellStyle name="Percent 4 2 3 3 2 2" xfId="62623" xr:uid="{00000000-0005-0000-0000-000036F00000}"/>
    <cellStyle name="Percent 4 2 3 3 2 3" xfId="62624" xr:uid="{00000000-0005-0000-0000-000037F00000}"/>
    <cellStyle name="Percent 4 2 3 3 3" xfId="44891" xr:uid="{00000000-0005-0000-0000-000038F00000}"/>
    <cellStyle name="Percent 4 2 3 3 3 2" xfId="62625" xr:uid="{00000000-0005-0000-0000-000039F00000}"/>
    <cellStyle name="Percent 4 2 3 3 4" xfId="44892" xr:uid="{00000000-0005-0000-0000-00003AF00000}"/>
    <cellStyle name="Percent 4 2 3 3 5" xfId="44893" xr:uid="{00000000-0005-0000-0000-00003BF00000}"/>
    <cellStyle name="Percent 4 2 3 3 6" xfId="44894" xr:uid="{00000000-0005-0000-0000-00003CF00000}"/>
    <cellStyle name="Percent 4 2 3 4" xfId="44895" xr:uid="{00000000-0005-0000-0000-00003DF00000}"/>
    <cellStyle name="Percent 4 2 3 4 2" xfId="62626" xr:uid="{00000000-0005-0000-0000-00003EF00000}"/>
    <cellStyle name="Percent 4 2 3 4 3" xfId="62627" xr:uid="{00000000-0005-0000-0000-00003FF00000}"/>
    <cellStyle name="Percent 4 2 3 5" xfId="44896" xr:uid="{00000000-0005-0000-0000-000040F00000}"/>
    <cellStyle name="Percent 4 2 3 5 2" xfId="62628" xr:uid="{00000000-0005-0000-0000-000041F00000}"/>
    <cellStyle name="Percent 4 2 3 6" xfId="44897" xr:uid="{00000000-0005-0000-0000-000042F00000}"/>
    <cellStyle name="Percent 4 2 3 7" xfId="44898" xr:uid="{00000000-0005-0000-0000-000043F00000}"/>
    <cellStyle name="Percent 4 2 3 8" xfId="44899" xr:uid="{00000000-0005-0000-0000-000044F00000}"/>
    <cellStyle name="Percent 4 2 3 9" xfId="44900" xr:uid="{00000000-0005-0000-0000-000045F00000}"/>
    <cellStyle name="Percent 4 2 4" xfId="44901" xr:uid="{00000000-0005-0000-0000-000046F00000}"/>
    <cellStyle name="Percent 4 2 4 2" xfId="44902" xr:uid="{00000000-0005-0000-0000-000047F00000}"/>
    <cellStyle name="Percent 4 2 4 2 2" xfId="44903" xr:uid="{00000000-0005-0000-0000-000048F00000}"/>
    <cellStyle name="Percent 4 2 4 2 2 2" xfId="44904" xr:uid="{00000000-0005-0000-0000-000049F00000}"/>
    <cellStyle name="Percent 4 2 4 2 2 2 2" xfId="62629" xr:uid="{00000000-0005-0000-0000-00004AF00000}"/>
    <cellStyle name="Percent 4 2 4 2 2 2 3" xfId="62630" xr:uid="{00000000-0005-0000-0000-00004BF00000}"/>
    <cellStyle name="Percent 4 2 4 2 2 3" xfId="44905" xr:uid="{00000000-0005-0000-0000-00004CF00000}"/>
    <cellStyle name="Percent 4 2 4 2 2 3 2" xfId="62631" xr:uid="{00000000-0005-0000-0000-00004DF00000}"/>
    <cellStyle name="Percent 4 2 4 2 2 4" xfId="44906" xr:uid="{00000000-0005-0000-0000-00004EF00000}"/>
    <cellStyle name="Percent 4 2 4 2 2 5" xfId="44907" xr:uid="{00000000-0005-0000-0000-00004FF00000}"/>
    <cellStyle name="Percent 4 2 4 2 2 6" xfId="44908" xr:uid="{00000000-0005-0000-0000-000050F00000}"/>
    <cellStyle name="Percent 4 2 4 2 3" xfId="44909" xr:uid="{00000000-0005-0000-0000-000051F00000}"/>
    <cellStyle name="Percent 4 2 4 2 3 2" xfId="62632" xr:uid="{00000000-0005-0000-0000-000052F00000}"/>
    <cellStyle name="Percent 4 2 4 2 3 3" xfId="62633" xr:uid="{00000000-0005-0000-0000-000053F00000}"/>
    <cellStyle name="Percent 4 2 4 2 4" xfId="44910" xr:uid="{00000000-0005-0000-0000-000054F00000}"/>
    <cellStyle name="Percent 4 2 4 2 4 2" xfId="62634" xr:uid="{00000000-0005-0000-0000-000055F00000}"/>
    <cellStyle name="Percent 4 2 4 2 5" xfId="44911" xr:uid="{00000000-0005-0000-0000-000056F00000}"/>
    <cellStyle name="Percent 4 2 4 2 6" xfId="44912" xr:uid="{00000000-0005-0000-0000-000057F00000}"/>
    <cellStyle name="Percent 4 2 4 2 7" xfId="44913" xr:uid="{00000000-0005-0000-0000-000058F00000}"/>
    <cellStyle name="Percent 4 2 4 3" xfId="44914" xr:uid="{00000000-0005-0000-0000-000059F00000}"/>
    <cellStyle name="Percent 4 2 4 3 2" xfId="44915" xr:uid="{00000000-0005-0000-0000-00005AF00000}"/>
    <cellStyle name="Percent 4 2 4 3 2 2" xfId="62635" xr:uid="{00000000-0005-0000-0000-00005BF00000}"/>
    <cellStyle name="Percent 4 2 4 3 2 3" xfId="62636" xr:uid="{00000000-0005-0000-0000-00005CF00000}"/>
    <cellStyle name="Percent 4 2 4 3 3" xfId="44916" xr:uid="{00000000-0005-0000-0000-00005DF00000}"/>
    <cellStyle name="Percent 4 2 4 3 3 2" xfId="62637" xr:uid="{00000000-0005-0000-0000-00005EF00000}"/>
    <cellStyle name="Percent 4 2 4 3 4" xfId="44917" xr:uid="{00000000-0005-0000-0000-00005FF00000}"/>
    <cellStyle name="Percent 4 2 4 3 5" xfId="44918" xr:uid="{00000000-0005-0000-0000-000060F00000}"/>
    <cellStyle name="Percent 4 2 4 3 6" xfId="44919" xr:uid="{00000000-0005-0000-0000-000061F00000}"/>
    <cellStyle name="Percent 4 2 4 4" xfId="44920" xr:uid="{00000000-0005-0000-0000-000062F00000}"/>
    <cellStyle name="Percent 4 2 4 4 2" xfId="62638" xr:uid="{00000000-0005-0000-0000-000063F00000}"/>
    <cellStyle name="Percent 4 2 4 4 3" xfId="62639" xr:uid="{00000000-0005-0000-0000-000064F00000}"/>
    <cellStyle name="Percent 4 2 4 5" xfId="44921" xr:uid="{00000000-0005-0000-0000-000065F00000}"/>
    <cellStyle name="Percent 4 2 4 5 2" xfId="62640" xr:uid="{00000000-0005-0000-0000-000066F00000}"/>
    <cellStyle name="Percent 4 2 4 6" xfId="44922" xr:uid="{00000000-0005-0000-0000-000067F00000}"/>
    <cellStyle name="Percent 4 2 4 7" xfId="44923" xr:uid="{00000000-0005-0000-0000-000068F00000}"/>
    <cellStyle name="Percent 4 2 4 8" xfId="44924" xr:uid="{00000000-0005-0000-0000-000069F00000}"/>
    <cellStyle name="Percent 4 2 5" xfId="44925" xr:uid="{00000000-0005-0000-0000-00006AF00000}"/>
    <cellStyle name="Percent 4 2 5 2" xfId="44926" xr:uid="{00000000-0005-0000-0000-00006BF00000}"/>
    <cellStyle name="Percent 4 2 5 2 2" xfId="44927" xr:uid="{00000000-0005-0000-0000-00006CF00000}"/>
    <cellStyle name="Percent 4 2 5 2 2 2" xfId="62641" xr:uid="{00000000-0005-0000-0000-00006DF00000}"/>
    <cellStyle name="Percent 4 2 5 2 2 3" xfId="62642" xr:uid="{00000000-0005-0000-0000-00006EF00000}"/>
    <cellStyle name="Percent 4 2 5 2 3" xfId="44928" xr:uid="{00000000-0005-0000-0000-00006FF00000}"/>
    <cellStyle name="Percent 4 2 5 2 3 2" xfId="62643" xr:uid="{00000000-0005-0000-0000-000070F00000}"/>
    <cellStyle name="Percent 4 2 5 2 4" xfId="44929" xr:uid="{00000000-0005-0000-0000-000071F00000}"/>
    <cellStyle name="Percent 4 2 5 2 5" xfId="44930" xr:uid="{00000000-0005-0000-0000-000072F00000}"/>
    <cellStyle name="Percent 4 2 5 2 6" xfId="44931" xr:uid="{00000000-0005-0000-0000-000073F00000}"/>
    <cellStyle name="Percent 4 2 5 3" xfId="44932" xr:uid="{00000000-0005-0000-0000-000074F00000}"/>
    <cellStyle name="Percent 4 2 5 3 2" xfId="62644" xr:uid="{00000000-0005-0000-0000-000075F00000}"/>
    <cellStyle name="Percent 4 2 5 3 3" xfId="62645" xr:uid="{00000000-0005-0000-0000-000076F00000}"/>
    <cellStyle name="Percent 4 2 5 4" xfId="44933" xr:uid="{00000000-0005-0000-0000-000077F00000}"/>
    <cellStyle name="Percent 4 2 5 4 2" xfId="62646" xr:uid="{00000000-0005-0000-0000-000078F00000}"/>
    <cellStyle name="Percent 4 2 5 5" xfId="44934" xr:uid="{00000000-0005-0000-0000-000079F00000}"/>
    <cellStyle name="Percent 4 2 5 6" xfId="44935" xr:uid="{00000000-0005-0000-0000-00007AF00000}"/>
    <cellStyle name="Percent 4 2 5 7" xfId="44936" xr:uid="{00000000-0005-0000-0000-00007BF00000}"/>
    <cellStyle name="Percent 4 2 6" xfId="44937" xr:uid="{00000000-0005-0000-0000-00007CF00000}"/>
    <cellStyle name="Percent 4 2 6 2" xfId="44938" xr:uid="{00000000-0005-0000-0000-00007DF00000}"/>
    <cellStyle name="Percent 4 2 6 2 2" xfId="62647" xr:uid="{00000000-0005-0000-0000-00007EF00000}"/>
    <cellStyle name="Percent 4 2 6 2 3" xfId="62648" xr:uid="{00000000-0005-0000-0000-00007FF00000}"/>
    <cellStyle name="Percent 4 2 6 3" xfId="44939" xr:uid="{00000000-0005-0000-0000-000080F00000}"/>
    <cellStyle name="Percent 4 2 6 3 2" xfId="62649" xr:uid="{00000000-0005-0000-0000-000081F00000}"/>
    <cellStyle name="Percent 4 2 6 4" xfId="44940" xr:uid="{00000000-0005-0000-0000-000082F00000}"/>
    <cellStyle name="Percent 4 2 6 5" xfId="44941" xr:uid="{00000000-0005-0000-0000-000083F00000}"/>
    <cellStyle name="Percent 4 2 6 6" xfId="44942" xr:uid="{00000000-0005-0000-0000-000084F00000}"/>
    <cellStyle name="Percent 4 2 7" xfId="44943" xr:uid="{00000000-0005-0000-0000-000085F00000}"/>
    <cellStyle name="Percent 4 2 7 2" xfId="62650" xr:uid="{00000000-0005-0000-0000-000086F00000}"/>
    <cellStyle name="Percent 4 2 7 3" xfId="62651" xr:uid="{00000000-0005-0000-0000-000087F00000}"/>
    <cellStyle name="Percent 4 2 8" xfId="44944" xr:uid="{00000000-0005-0000-0000-000088F00000}"/>
    <cellStyle name="Percent 4 2 8 2" xfId="62652" xr:uid="{00000000-0005-0000-0000-000089F00000}"/>
    <cellStyle name="Percent 4 2 9" xfId="44945" xr:uid="{00000000-0005-0000-0000-00008AF00000}"/>
    <cellStyle name="Percent 4 2 9 2" xfId="62653" xr:uid="{00000000-0005-0000-0000-00008BF00000}"/>
    <cellStyle name="Percent 4 20" xfId="44946" xr:uid="{00000000-0005-0000-0000-00008CF00000}"/>
    <cellStyle name="Percent 4 21" xfId="44947" xr:uid="{00000000-0005-0000-0000-00008DF00000}"/>
    <cellStyle name="Percent 4 3" xfId="44948" xr:uid="{00000000-0005-0000-0000-00008EF00000}"/>
    <cellStyle name="Percent 4 3 10" xfId="44949" xr:uid="{00000000-0005-0000-0000-00008FF00000}"/>
    <cellStyle name="Percent 4 3 11" xfId="44950" xr:uid="{00000000-0005-0000-0000-000090F00000}"/>
    <cellStyle name="Percent 4 3 12" xfId="44951" xr:uid="{00000000-0005-0000-0000-000091F00000}"/>
    <cellStyle name="Percent 4 3 13" xfId="44952" xr:uid="{00000000-0005-0000-0000-000092F00000}"/>
    <cellStyle name="Percent 4 3 14" xfId="44953" xr:uid="{00000000-0005-0000-0000-000093F00000}"/>
    <cellStyle name="Percent 4 3 15" xfId="44954" xr:uid="{00000000-0005-0000-0000-000094F00000}"/>
    <cellStyle name="Percent 4 3 16" xfId="44955" xr:uid="{00000000-0005-0000-0000-000095F00000}"/>
    <cellStyle name="Percent 4 3 2" xfId="44956" xr:uid="{00000000-0005-0000-0000-000096F00000}"/>
    <cellStyle name="Percent 4 3 2 10" xfId="44957" xr:uid="{00000000-0005-0000-0000-000097F00000}"/>
    <cellStyle name="Percent 4 3 2 11" xfId="44958" xr:uid="{00000000-0005-0000-0000-000098F00000}"/>
    <cellStyle name="Percent 4 3 2 12" xfId="44959" xr:uid="{00000000-0005-0000-0000-000099F00000}"/>
    <cellStyle name="Percent 4 3 2 13" xfId="44960" xr:uid="{00000000-0005-0000-0000-00009AF00000}"/>
    <cellStyle name="Percent 4 3 2 14" xfId="44961" xr:uid="{00000000-0005-0000-0000-00009BF00000}"/>
    <cellStyle name="Percent 4 3 2 2" xfId="44962" xr:uid="{00000000-0005-0000-0000-00009CF00000}"/>
    <cellStyle name="Percent 4 3 2 2 2" xfId="44963" xr:uid="{00000000-0005-0000-0000-00009DF00000}"/>
    <cellStyle name="Percent 4 3 2 2 2 2" xfId="44964" xr:uid="{00000000-0005-0000-0000-00009EF00000}"/>
    <cellStyle name="Percent 4 3 2 2 2 2 2" xfId="44965" xr:uid="{00000000-0005-0000-0000-00009FF00000}"/>
    <cellStyle name="Percent 4 3 2 2 2 2 2 2" xfId="62654" xr:uid="{00000000-0005-0000-0000-0000A0F00000}"/>
    <cellStyle name="Percent 4 3 2 2 2 2 2 3" xfId="62655" xr:uid="{00000000-0005-0000-0000-0000A1F00000}"/>
    <cellStyle name="Percent 4 3 2 2 2 2 3" xfId="44966" xr:uid="{00000000-0005-0000-0000-0000A2F00000}"/>
    <cellStyle name="Percent 4 3 2 2 2 2 3 2" xfId="62656" xr:uid="{00000000-0005-0000-0000-0000A3F00000}"/>
    <cellStyle name="Percent 4 3 2 2 2 2 4" xfId="44967" xr:uid="{00000000-0005-0000-0000-0000A4F00000}"/>
    <cellStyle name="Percent 4 3 2 2 2 2 5" xfId="44968" xr:uid="{00000000-0005-0000-0000-0000A5F00000}"/>
    <cellStyle name="Percent 4 3 2 2 2 2 6" xfId="44969" xr:uid="{00000000-0005-0000-0000-0000A6F00000}"/>
    <cellStyle name="Percent 4 3 2 2 2 3" xfId="44970" xr:uid="{00000000-0005-0000-0000-0000A7F00000}"/>
    <cellStyle name="Percent 4 3 2 2 2 3 2" xfId="62657" xr:uid="{00000000-0005-0000-0000-0000A8F00000}"/>
    <cellStyle name="Percent 4 3 2 2 2 3 3" xfId="62658" xr:uid="{00000000-0005-0000-0000-0000A9F00000}"/>
    <cellStyle name="Percent 4 3 2 2 2 4" xfId="44971" xr:uid="{00000000-0005-0000-0000-0000AAF00000}"/>
    <cellStyle name="Percent 4 3 2 2 2 4 2" xfId="62659" xr:uid="{00000000-0005-0000-0000-0000ABF00000}"/>
    <cellStyle name="Percent 4 3 2 2 2 5" xfId="44972" xr:uid="{00000000-0005-0000-0000-0000ACF00000}"/>
    <cellStyle name="Percent 4 3 2 2 2 6" xfId="44973" xr:uid="{00000000-0005-0000-0000-0000ADF00000}"/>
    <cellStyle name="Percent 4 3 2 2 2 7" xfId="44974" xr:uid="{00000000-0005-0000-0000-0000AEF00000}"/>
    <cellStyle name="Percent 4 3 2 2 3" xfId="44975" xr:uid="{00000000-0005-0000-0000-0000AFF00000}"/>
    <cellStyle name="Percent 4 3 2 2 3 2" xfId="44976" xr:uid="{00000000-0005-0000-0000-0000B0F00000}"/>
    <cellStyle name="Percent 4 3 2 2 3 2 2" xfId="62660" xr:uid="{00000000-0005-0000-0000-0000B1F00000}"/>
    <cellStyle name="Percent 4 3 2 2 3 2 3" xfId="62661" xr:uid="{00000000-0005-0000-0000-0000B2F00000}"/>
    <cellStyle name="Percent 4 3 2 2 3 3" xfId="44977" xr:uid="{00000000-0005-0000-0000-0000B3F00000}"/>
    <cellStyle name="Percent 4 3 2 2 3 3 2" xfId="62662" xr:uid="{00000000-0005-0000-0000-0000B4F00000}"/>
    <cellStyle name="Percent 4 3 2 2 3 4" xfId="44978" xr:uid="{00000000-0005-0000-0000-0000B5F00000}"/>
    <cellStyle name="Percent 4 3 2 2 3 5" xfId="44979" xr:uid="{00000000-0005-0000-0000-0000B6F00000}"/>
    <cellStyle name="Percent 4 3 2 2 3 6" xfId="44980" xr:uid="{00000000-0005-0000-0000-0000B7F00000}"/>
    <cellStyle name="Percent 4 3 2 2 4" xfId="44981" xr:uid="{00000000-0005-0000-0000-0000B8F00000}"/>
    <cellStyle name="Percent 4 3 2 2 4 2" xfId="62663" xr:uid="{00000000-0005-0000-0000-0000B9F00000}"/>
    <cellStyle name="Percent 4 3 2 2 4 3" xfId="62664" xr:uid="{00000000-0005-0000-0000-0000BAF00000}"/>
    <cellStyle name="Percent 4 3 2 2 5" xfId="44982" xr:uid="{00000000-0005-0000-0000-0000BBF00000}"/>
    <cellStyle name="Percent 4 3 2 2 5 2" xfId="62665" xr:uid="{00000000-0005-0000-0000-0000BCF00000}"/>
    <cellStyle name="Percent 4 3 2 2 6" xfId="44983" xr:uid="{00000000-0005-0000-0000-0000BDF00000}"/>
    <cellStyle name="Percent 4 3 2 2 7" xfId="44984" xr:uid="{00000000-0005-0000-0000-0000BEF00000}"/>
    <cellStyle name="Percent 4 3 2 2 8" xfId="44985" xr:uid="{00000000-0005-0000-0000-0000BFF00000}"/>
    <cellStyle name="Percent 4 3 2 2 9" xfId="44986" xr:uid="{00000000-0005-0000-0000-0000C0F00000}"/>
    <cellStyle name="Percent 4 3 2 3" xfId="44987" xr:uid="{00000000-0005-0000-0000-0000C1F00000}"/>
    <cellStyle name="Percent 4 3 2 3 2" xfId="44988" xr:uid="{00000000-0005-0000-0000-0000C2F00000}"/>
    <cellStyle name="Percent 4 3 2 3 2 2" xfId="44989" xr:uid="{00000000-0005-0000-0000-0000C3F00000}"/>
    <cellStyle name="Percent 4 3 2 3 2 2 2" xfId="44990" xr:uid="{00000000-0005-0000-0000-0000C4F00000}"/>
    <cellStyle name="Percent 4 3 2 3 2 2 2 2" xfId="62666" xr:uid="{00000000-0005-0000-0000-0000C5F00000}"/>
    <cellStyle name="Percent 4 3 2 3 2 2 2 3" xfId="62667" xr:uid="{00000000-0005-0000-0000-0000C6F00000}"/>
    <cellStyle name="Percent 4 3 2 3 2 2 3" xfId="44991" xr:uid="{00000000-0005-0000-0000-0000C7F00000}"/>
    <cellStyle name="Percent 4 3 2 3 2 2 3 2" xfId="62668" xr:uid="{00000000-0005-0000-0000-0000C8F00000}"/>
    <cellStyle name="Percent 4 3 2 3 2 2 4" xfId="44992" xr:uid="{00000000-0005-0000-0000-0000C9F00000}"/>
    <cellStyle name="Percent 4 3 2 3 2 2 5" xfId="44993" xr:uid="{00000000-0005-0000-0000-0000CAF00000}"/>
    <cellStyle name="Percent 4 3 2 3 2 2 6" xfId="44994" xr:uid="{00000000-0005-0000-0000-0000CBF00000}"/>
    <cellStyle name="Percent 4 3 2 3 2 3" xfId="44995" xr:uid="{00000000-0005-0000-0000-0000CCF00000}"/>
    <cellStyle name="Percent 4 3 2 3 2 3 2" xfId="62669" xr:uid="{00000000-0005-0000-0000-0000CDF00000}"/>
    <cellStyle name="Percent 4 3 2 3 2 3 3" xfId="62670" xr:uid="{00000000-0005-0000-0000-0000CEF00000}"/>
    <cellStyle name="Percent 4 3 2 3 2 4" xfId="44996" xr:uid="{00000000-0005-0000-0000-0000CFF00000}"/>
    <cellStyle name="Percent 4 3 2 3 2 4 2" xfId="62671" xr:uid="{00000000-0005-0000-0000-0000D0F00000}"/>
    <cellStyle name="Percent 4 3 2 3 2 5" xfId="44997" xr:uid="{00000000-0005-0000-0000-0000D1F00000}"/>
    <cellStyle name="Percent 4 3 2 3 2 6" xfId="44998" xr:uid="{00000000-0005-0000-0000-0000D2F00000}"/>
    <cellStyle name="Percent 4 3 2 3 2 7" xfId="44999" xr:uid="{00000000-0005-0000-0000-0000D3F00000}"/>
    <cellStyle name="Percent 4 3 2 3 3" xfId="45000" xr:uid="{00000000-0005-0000-0000-0000D4F00000}"/>
    <cellStyle name="Percent 4 3 2 3 3 2" xfId="45001" xr:uid="{00000000-0005-0000-0000-0000D5F00000}"/>
    <cellStyle name="Percent 4 3 2 3 3 2 2" xfId="62672" xr:uid="{00000000-0005-0000-0000-0000D6F00000}"/>
    <cellStyle name="Percent 4 3 2 3 3 2 3" xfId="62673" xr:uid="{00000000-0005-0000-0000-0000D7F00000}"/>
    <cellStyle name="Percent 4 3 2 3 3 3" xfId="45002" xr:uid="{00000000-0005-0000-0000-0000D8F00000}"/>
    <cellStyle name="Percent 4 3 2 3 3 3 2" xfId="62674" xr:uid="{00000000-0005-0000-0000-0000D9F00000}"/>
    <cellStyle name="Percent 4 3 2 3 3 4" xfId="45003" xr:uid="{00000000-0005-0000-0000-0000DAF00000}"/>
    <cellStyle name="Percent 4 3 2 3 3 5" xfId="45004" xr:uid="{00000000-0005-0000-0000-0000DBF00000}"/>
    <cellStyle name="Percent 4 3 2 3 3 6" xfId="45005" xr:uid="{00000000-0005-0000-0000-0000DCF00000}"/>
    <cellStyle name="Percent 4 3 2 3 4" xfId="45006" xr:uid="{00000000-0005-0000-0000-0000DDF00000}"/>
    <cellStyle name="Percent 4 3 2 3 4 2" xfId="62675" xr:uid="{00000000-0005-0000-0000-0000DEF00000}"/>
    <cellStyle name="Percent 4 3 2 3 4 3" xfId="62676" xr:uid="{00000000-0005-0000-0000-0000DFF00000}"/>
    <cellStyle name="Percent 4 3 2 3 5" xfId="45007" xr:uid="{00000000-0005-0000-0000-0000E0F00000}"/>
    <cellStyle name="Percent 4 3 2 3 5 2" xfId="62677" xr:uid="{00000000-0005-0000-0000-0000E1F00000}"/>
    <cellStyle name="Percent 4 3 2 3 6" xfId="45008" xr:uid="{00000000-0005-0000-0000-0000E2F00000}"/>
    <cellStyle name="Percent 4 3 2 3 7" xfId="45009" xr:uid="{00000000-0005-0000-0000-0000E3F00000}"/>
    <cellStyle name="Percent 4 3 2 3 8" xfId="45010" xr:uid="{00000000-0005-0000-0000-0000E4F00000}"/>
    <cellStyle name="Percent 4 3 2 4" xfId="45011" xr:uid="{00000000-0005-0000-0000-0000E5F00000}"/>
    <cellStyle name="Percent 4 3 2 4 2" xfId="45012" xr:uid="{00000000-0005-0000-0000-0000E6F00000}"/>
    <cellStyle name="Percent 4 3 2 4 2 2" xfId="45013" xr:uid="{00000000-0005-0000-0000-0000E7F00000}"/>
    <cellStyle name="Percent 4 3 2 4 2 2 2" xfId="62678" xr:uid="{00000000-0005-0000-0000-0000E8F00000}"/>
    <cellStyle name="Percent 4 3 2 4 2 2 3" xfId="62679" xr:uid="{00000000-0005-0000-0000-0000E9F00000}"/>
    <cellStyle name="Percent 4 3 2 4 2 3" xfId="45014" xr:uid="{00000000-0005-0000-0000-0000EAF00000}"/>
    <cellStyle name="Percent 4 3 2 4 2 3 2" xfId="62680" xr:uid="{00000000-0005-0000-0000-0000EBF00000}"/>
    <cellStyle name="Percent 4 3 2 4 2 4" xfId="45015" xr:uid="{00000000-0005-0000-0000-0000ECF00000}"/>
    <cellStyle name="Percent 4 3 2 4 2 5" xfId="45016" xr:uid="{00000000-0005-0000-0000-0000EDF00000}"/>
    <cellStyle name="Percent 4 3 2 4 2 6" xfId="45017" xr:uid="{00000000-0005-0000-0000-0000EEF00000}"/>
    <cellStyle name="Percent 4 3 2 4 3" xfId="45018" xr:uid="{00000000-0005-0000-0000-0000EFF00000}"/>
    <cellStyle name="Percent 4 3 2 4 3 2" xfId="62681" xr:uid="{00000000-0005-0000-0000-0000F0F00000}"/>
    <cellStyle name="Percent 4 3 2 4 3 3" xfId="62682" xr:uid="{00000000-0005-0000-0000-0000F1F00000}"/>
    <cellStyle name="Percent 4 3 2 4 4" xfId="45019" xr:uid="{00000000-0005-0000-0000-0000F2F00000}"/>
    <cellStyle name="Percent 4 3 2 4 4 2" xfId="62683" xr:uid="{00000000-0005-0000-0000-0000F3F00000}"/>
    <cellStyle name="Percent 4 3 2 4 5" xfId="45020" xr:uid="{00000000-0005-0000-0000-0000F4F00000}"/>
    <cellStyle name="Percent 4 3 2 4 6" xfId="45021" xr:uid="{00000000-0005-0000-0000-0000F5F00000}"/>
    <cellStyle name="Percent 4 3 2 4 7" xfId="45022" xr:uid="{00000000-0005-0000-0000-0000F6F00000}"/>
    <cellStyle name="Percent 4 3 2 5" xfId="45023" xr:uid="{00000000-0005-0000-0000-0000F7F00000}"/>
    <cellStyle name="Percent 4 3 2 5 2" xfId="45024" xr:uid="{00000000-0005-0000-0000-0000F8F00000}"/>
    <cellStyle name="Percent 4 3 2 5 2 2" xfId="62684" xr:uid="{00000000-0005-0000-0000-0000F9F00000}"/>
    <cellStyle name="Percent 4 3 2 5 2 3" xfId="62685" xr:uid="{00000000-0005-0000-0000-0000FAF00000}"/>
    <cellStyle name="Percent 4 3 2 5 3" xfId="45025" xr:uid="{00000000-0005-0000-0000-0000FBF00000}"/>
    <cellStyle name="Percent 4 3 2 5 3 2" xfId="62686" xr:uid="{00000000-0005-0000-0000-0000FCF00000}"/>
    <cellStyle name="Percent 4 3 2 5 4" xfId="45026" xr:uid="{00000000-0005-0000-0000-0000FDF00000}"/>
    <cellStyle name="Percent 4 3 2 5 5" xfId="45027" xr:uid="{00000000-0005-0000-0000-0000FEF00000}"/>
    <cellStyle name="Percent 4 3 2 5 6" xfId="45028" xr:uid="{00000000-0005-0000-0000-0000FFF00000}"/>
    <cellStyle name="Percent 4 3 2 6" xfId="45029" xr:uid="{00000000-0005-0000-0000-000000F10000}"/>
    <cellStyle name="Percent 4 3 2 6 2" xfId="62687" xr:uid="{00000000-0005-0000-0000-000001F10000}"/>
    <cellStyle name="Percent 4 3 2 6 3" xfId="62688" xr:uid="{00000000-0005-0000-0000-000002F10000}"/>
    <cellStyle name="Percent 4 3 2 7" xfId="45030" xr:uid="{00000000-0005-0000-0000-000003F10000}"/>
    <cellStyle name="Percent 4 3 2 7 2" xfId="62689" xr:uid="{00000000-0005-0000-0000-000004F10000}"/>
    <cellStyle name="Percent 4 3 2 8" xfId="45031" xr:uid="{00000000-0005-0000-0000-000005F10000}"/>
    <cellStyle name="Percent 4 3 2 9" xfId="45032" xr:uid="{00000000-0005-0000-0000-000006F10000}"/>
    <cellStyle name="Percent 4 3 3" xfId="45033" xr:uid="{00000000-0005-0000-0000-000007F10000}"/>
    <cellStyle name="Percent 4 3 3 2" xfId="45034" xr:uid="{00000000-0005-0000-0000-000008F10000}"/>
    <cellStyle name="Percent 4 3 3 2 2" xfId="45035" xr:uid="{00000000-0005-0000-0000-000009F10000}"/>
    <cellStyle name="Percent 4 3 3 2 2 2" xfId="45036" xr:uid="{00000000-0005-0000-0000-00000AF10000}"/>
    <cellStyle name="Percent 4 3 3 2 2 2 2" xfId="62690" xr:uid="{00000000-0005-0000-0000-00000BF10000}"/>
    <cellStyle name="Percent 4 3 3 2 2 2 3" xfId="62691" xr:uid="{00000000-0005-0000-0000-00000CF10000}"/>
    <cellStyle name="Percent 4 3 3 2 2 3" xfId="45037" xr:uid="{00000000-0005-0000-0000-00000DF10000}"/>
    <cellStyle name="Percent 4 3 3 2 2 3 2" xfId="62692" xr:uid="{00000000-0005-0000-0000-00000EF10000}"/>
    <cellStyle name="Percent 4 3 3 2 2 4" xfId="45038" xr:uid="{00000000-0005-0000-0000-00000FF10000}"/>
    <cellStyle name="Percent 4 3 3 2 2 5" xfId="45039" xr:uid="{00000000-0005-0000-0000-000010F10000}"/>
    <cellStyle name="Percent 4 3 3 2 2 6" xfId="45040" xr:uid="{00000000-0005-0000-0000-000011F10000}"/>
    <cellStyle name="Percent 4 3 3 2 3" xfId="45041" xr:uid="{00000000-0005-0000-0000-000012F10000}"/>
    <cellStyle name="Percent 4 3 3 2 3 2" xfId="62693" xr:uid="{00000000-0005-0000-0000-000013F10000}"/>
    <cellStyle name="Percent 4 3 3 2 3 3" xfId="62694" xr:uid="{00000000-0005-0000-0000-000014F10000}"/>
    <cellStyle name="Percent 4 3 3 2 4" xfId="45042" xr:uid="{00000000-0005-0000-0000-000015F10000}"/>
    <cellStyle name="Percent 4 3 3 2 4 2" xfId="62695" xr:uid="{00000000-0005-0000-0000-000016F10000}"/>
    <cellStyle name="Percent 4 3 3 2 5" xfId="45043" xr:uid="{00000000-0005-0000-0000-000017F10000}"/>
    <cellStyle name="Percent 4 3 3 2 6" xfId="45044" xr:uid="{00000000-0005-0000-0000-000018F10000}"/>
    <cellStyle name="Percent 4 3 3 2 7" xfId="45045" xr:uid="{00000000-0005-0000-0000-000019F10000}"/>
    <cellStyle name="Percent 4 3 3 3" xfId="45046" xr:uid="{00000000-0005-0000-0000-00001AF10000}"/>
    <cellStyle name="Percent 4 3 3 3 2" xfId="45047" xr:uid="{00000000-0005-0000-0000-00001BF10000}"/>
    <cellStyle name="Percent 4 3 3 3 2 2" xfId="62696" xr:uid="{00000000-0005-0000-0000-00001CF10000}"/>
    <cellStyle name="Percent 4 3 3 3 2 3" xfId="62697" xr:uid="{00000000-0005-0000-0000-00001DF10000}"/>
    <cellStyle name="Percent 4 3 3 3 3" xfId="45048" xr:uid="{00000000-0005-0000-0000-00001EF10000}"/>
    <cellStyle name="Percent 4 3 3 3 3 2" xfId="62698" xr:uid="{00000000-0005-0000-0000-00001FF10000}"/>
    <cellStyle name="Percent 4 3 3 3 4" xfId="45049" xr:uid="{00000000-0005-0000-0000-000020F10000}"/>
    <cellStyle name="Percent 4 3 3 3 5" xfId="45050" xr:uid="{00000000-0005-0000-0000-000021F10000}"/>
    <cellStyle name="Percent 4 3 3 3 6" xfId="45051" xr:uid="{00000000-0005-0000-0000-000022F10000}"/>
    <cellStyle name="Percent 4 3 3 4" xfId="45052" xr:uid="{00000000-0005-0000-0000-000023F10000}"/>
    <cellStyle name="Percent 4 3 3 4 2" xfId="62699" xr:uid="{00000000-0005-0000-0000-000024F10000}"/>
    <cellStyle name="Percent 4 3 3 4 3" xfId="62700" xr:uid="{00000000-0005-0000-0000-000025F10000}"/>
    <cellStyle name="Percent 4 3 3 5" xfId="45053" xr:uid="{00000000-0005-0000-0000-000026F10000}"/>
    <cellStyle name="Percent 4 3 3 5 2" xfId="62701" xr:uid="{00000000-0005-0000-0000-000027F10000}"/>
    <cellStyle name="Percent 4 3 3 6" xfId="45054" xr:uid="{00000000-0005-0000-0000-000028F10000}"/>
    <cellStyle name="Percent 4 3 3 7" xfId="45055" xr:uid="{00000000-0005-0000-0000-000029F10000}"/>
    <cellStyle name="Percent 4 3 3 8" xfId="45056" xr:uid="{00000000-0005-0000-0000-00002AF10000}"/>
    <cellStyle name="Percent 4 3 3 9" xfId="45057" xr:uid="{00000000-0005-0000-0000-00002BF10000}"/>
    <cellStyle name="Percent 4 3 4" xfId="45058" xr:uid="{00000000-0005-0000-0000-00002CF10000}"/>
    <cellStyle name="Percent 4 3 4 2" xfId="45059" xr:uid="{00000000-0005-0000-0000-00002DF10000}"/>
    <cellStyle name="Percent 4 3 4 2 2" xfId="45060" xr:uid="{00000000-0005-0000-0000-00002EF10000}"/>
    <cellStyle name="Percent 4 3 4 2 2 2" xfId="45061" xr:uid="{00000000-0005-0000-0000-00002FF10000}"/>
    <cellStyle name="Percent 4 3 4 2 2 2 2" xfId="62702" xr:uid="{00000000-0005-0000-0000-000030F10000}"/>
    <cellStyle name="Percent 4 3 4 2 2 2 3" xfId="62703" xr:uid="{00000000-0005-0000-0000-000031F10000}"/>
    <cellStyle name="Percent 4 3 4 2 2 3" xfId="45062" xr:uid="{00000000-0005-0000-0000-000032F10000}"/>
    <cellStyle name="Percent 4 3 4 2 2 3 2" xfId="62704" xr:uid="{00000000-0005-0000-0000-000033F10000}"/>
    <cellStyle name="Percent 4 3 4 2 2 4" xfId="45063" xr:uid="{00000000-0005-0000-0000-000034F10000}"/>
    <cellStyle name="Percent 4 3 4 2 2 5" xfId="45064" xr:uid="{00000000-0005-0000-0000-000035F10000}"/>
    <cellStyle name="Percent 4 3 4 2 2 6" xfId="45065" xr:uid="{00000000-0005-0000-0000-000036F10000}"/>
    <cellStyle name="Percent 4 3 4 2 3" xfId="45066" xr:uid="{00000000-0005-0000-0000-000037F10000}"/>
    <cellStyle name="Percent 4 3 4 2 3 2" xfId="62705" xr:uid="{00000000-0005-0000-0000-000038F10000}"/>
    <cellStyle name="Percent 4 3 4 2 3 3" xfId="62706" xr:uid="{00000000-0005-0000-0000-000039F10000}"/>
    <cellStyle name="Percent 4 3 4 2 4" xfId="45067" xr:uid="{00000000-0005-0000-0000-00003AF10000}"/>
    <cellStyle name="Percent 4 3 4 2 4 2" xfId="62707" xr:uid="{00000000-0005-0000-0000-00003BF10000}"/>
    <cellStyle name="Percent 4 3 4 2 5" xfId="45068" xr:uid="{00000000-0005-0000-0000-00003CF10000}"/>
    <cellStyle name="Percent 4 3 4 2 6" xfId="45069" xr:uid="{00000000-0005-0000-0000-00003DF10000}"/>
    <cellStyle name="Percent 4 3 4 2 7" xfId="45070" xr:uid="{00000000-0005-0000-0000-00003EF10000}"/>
    <cellStyle name="Percent 4 3 4 3" xfId="45071" xr:uid="{00000000-0005-0000-0000-00003FF10000}"/>
    <cellStyle name="Percent 4 3 4 3 2" xfId="45072" xr:uid="{00000000-0005-0000-0000-000040F10000}"/>
    <cellStyle name="Percent 4 3 4 3 2 2" xfId="62708" xr:uid="{00000000-0005-0000-0000-000041F10000}"/>
    <cellStyle name="Percent 4 3 4 3 2 3" xfId="62709" xr:uid="{00000000-0005-0000-0000-000042F10000}"/>
    <cellStyle name="Percent 4 3 4 3 3" xfId="45073" xr:uid="{00000000-0005-0000-0000-000043F10000}"/>
    <cellStyle name="Percent 4 3 4 3 3 2" xfId="62710" xr:uid="{00000000-0005-0000-0000-000044F10000}"/>
    <cellStyle name="Percent 4 3 4 3 4" xfId="45074" xr:uid="{00000000-0005-0000-0000-000045F10000}"/>
    <cellStyle name="Percent 4 3 4 3 5" xfId="45075" xr:uid="{00000000-0005-0000-0000-000046F10000}"/>
    <cellStyle name="Percent 4 3 4 3 6" xfId="45076" xr:uid="{00000000-0005-0000-0000-000047F10000}"/>
    <cellStyle name="Percent 4 3 4 4" xfId="45077" xr:uid="{00000000-0005-0000-0000-000048F10000}"/>
    <cellStyle name="Percent 4 3 4 4 2" xfId="62711" xr:uid="{00000000-0005-0000-0000-000049F10000}"/>
    <cellStyle name="Percent 4 3 4 4 3" xfId="62712" xr:uid="{00000000-0005-0000-0000-00004AF10000}"/>
    <cellStyle name="Percent 4 3 4 5" xfId="45078" xr:uid="{00000000-0005-0000-0000-00004BF10000}"/>
    <cellStyle name="Percent 4 3 4 5 2" xfId="62713" xr:uid="{00000000-0005-0000-0000-00004CF10000}"/>
    <cellStyle name="Percent 4 3 4 6" xfId="45079" xr:uid="{00000000-0005-0000-0000-00004DF10000}"/>
    <cellStyle name="Percent 4 3 4 7" xfId="45080" xr:uid="{00000000-0005-0000-0000-00004EF10000}"/>
    <cellStyle name="Percent 4 3 4 8" xfId="45081" xr:uid="{00000000-0005-0000-0000-00004FF10000}"/>
    <cellStyle name="Percent 4 3 5" xfId="45082" xr:uid="{00000000-0005-0000-0000-000050F10000}"/>
    <cellStyle name="Percent 4 3 5 2" xfId="45083" xr:uid="{00000000-0005-0000-0000-000051F10000}"/>
    <cellStyle name="Percent 4 3 5 2 2" xfId="45084" xr:uid="{00000000-0005-0000-0000-000052F10000}"/>
    <cellStyle name="Percent 4 3 5 2 2 2" xfId="62714" xr:uid="{00000000-0005-0000-0000-000053F10000}"/>
    <cellStyle name="Percent 4 3 5 2 2 3" xfId="62715" xr:uid="{00000000-0005-0000-0000-000054F10000}"/>
    <cellStyle name="Percent 4 3 5 2 3" xfId="45085" xr:uid="{00000000-0005-0000-0000-000055F10000}"/>
    <cellStyle name="Percent 4 3 5 2 3 2" xfId="62716" xr:uid="{00000000-0005-0000-0000-000056F10000}"/>
    <cellStyle name="Percent 4 3 5 2 4" xfId="45086" xr:uid="{00000000-0005-0000-0000-000057F10000}"/>
    <cellStyle name="Percent 4 3 5 2 5" xfId="45087" xr:uid="{00000000-0005-0000-0000-000058F10000}"/>
    <cellStyle name="Percent 4 3 5 2 6" xfId="45088" xr:uid="{00000000-0005-0000-0000-000059F10000}"/>
    <cellStyle name="Percent 4 3 5 3" xfId="45089" xr:uid="{00000000-0005-0000-0000-00005AF10000}"/>
    <cellStyle name="Percent 4 3 5 3 2" xfId="62717" xr:uid="{00000000-0005-0000-0000-00005BF10000}"/>
    <cellStyle name="Percent 4 3 5 3 3" xfId="62718" xr:uid="{00000000-0005-0000-0000-00005CF10000}"/>
    <cellStyle name="Percent 4 3 5 4" xfId="45090" xr:uid="{00000000-0005-0000-0000-00005DF10000}"/>
    <cellStyle name="Percent 4 3 5 4 2" xfId="62719" xr:uid="{00000000-0005-0000-0000-00005EF10000}"/>
    <cellStyle name="Percent 4 3 5 5" xfId="45091" xr:uid="{00000000-0005-0000-0000-00005FF10000}"/>
    <cellStyle name="Percent 4 3 5 6" xfId="45092" xr:uid="{00000000-0005-0000-0000-000060F10000}"/>
    <cellStyle name="Percent 4 3 5 7" xfId="45093" xr:uid="{00000000-0005-0000-0000-000061F10000}"/>
    <cellStyle name="Percent 4 3 6" xfId="45094" xr:uid="{00000000-0005-0000-0000-000062F10000}"/>
    <cellStyle name="Percent 4 3 6 2" xfId="45095" xr:uid="{00000000-0005-0000-0000-000063F10000}"/>
    <cellStyle name="Percent 4 3 6 2 2" xfId="62720" xr:uid="{00000000-0005-0000-0000-000064F10000}"/>
    <cellStyle name="Percent 4 3 6 2 3" xfId="62721" xr:uid="{00000000-0005-0000-0000-000065F10000}"/>
    <cellStyle name="Percent 4 3 6 3" xfId="45096" xr:uid="{00000000-0005-0000-0000-000066F10000}"/>
    <cellStyle name="Percent 4 3 6 3 2" xfId="62722" xr:uid="{00000000-0005-0000-0000-000067F10000}"/>
    <cellStyle name="Percent 4 3 6 4" xfId="45097" xr:uid="{00000000-0005-0000-0000-000068F10000}"/>
    <cellStyle name="Percent 4 3 6 5" xfId="45098" xr:uid="{00000000-0005-0000-0000-000069F10000}"/>
    <cellStyle name="Percent 4 3 6 6" xfId="45099" xr:uid="{00000000-0005-0000-0000-00006AF10000}"/>
    <cellStyle name="Percent 4 3 7" xfId="45100" xr:uid="{00000000-0005-0000-0000-00006BF10000}"/>
    <cellStyle name="Percent 4 3 7 2" xfId="62723" xr:uid="{00000000-0005-0000-0000-00006CF10000}"/>
    <cellStyle name="Percent 4 3 7 3" xfId="62724" xr:uid="{00000000-0005-0000-0000-00006DF10000}"/>
    <cellStyle name="Percent 4 3 8" xfId="45101" xr:uid="{00000000-0005-0000-0000-00006EF10000}"/>
    <cellStyle name="Percent 4 3 8 2" xfId="62725" xr:uid="{00000000-0005-0000-0000-00006FF10000}"/>
    <cellStyle name="Percent 4 3 9" xfId="45102" xr:uid="{00000000-0005-0000-0000-000070F10000}"/>
    <cellStyle name="Percent 4 4" xfId="45103" xr:uid="{00000000-0005-0000-0000-000071F10000}"/>
    <cellStyle name="Percent 4 4 10" xfId="45104" xr:uid="{00000000-0005-0000-0000-000072F10000}"/>
    <cellStyle name="Percent 4 4 11" xfId="45105" xr:uid="{00000000-0005-0000-0000-000073F10000}"/>
    <cellStyle name="Percent 4 4 12" xfId="45106" xr:uid="{00000000-0005-0000-0000-000074F10000}"/>
    <cellStyle name="Percent 4 4 13" xfId="45107" xr:uid="{00000000-0005-0000-0000-000075F10000}"/>
    <cellStyle name="Percent 4 4 14" xfId="45108" xr:uid="{00000000-0005-0000-0000-000076F10000}"/>
    <cellStyle name="Percent 4 4 2" xfId="45109" xr:uid="{00000000-0005-0000-0000-000077F10000}"/>
    <cellStyle name="Percent 4 4 2 2" xfId="45110" xr:uid="{00000000-0005-0000-0000-000078F10000}"/>
    <cellStyle name="Percent 4 4 2 2 2" xfId="45111" xr:uid="{00000000-0005-0000-0000-000079F10000}"/>
    <cellStyle name="Percent 4 4 2 2 2 2" xfId="45112" xr:uid="{00000000-0005-0000-0000-00007AF10000}"/>
    <cellStyle name="Percent 4 4 2 2 2 2 2" xfId="62726" xr:uid="{00000000-0005-0000-0000-00007BF10000}"/>
    <cellStyle name="Percent 4 4 2 2 2 2 3" xfId="62727" xr:uid="{00000000-0005-0000-0000-00007CF10000}"/>
    <cellStyle name="Percent 4 4 2 2 2 3" xfId="45113" xr:uid="{00000000-0005-0000-0000-00007DF10000}"/>
    <cellStyle name="Percent 4 4 2 2 2 3 2" xfId="62728" xr:uid="{00000000-0005-0000-0000-00007EF10000}"/>
    <cellStyle name="Percent 4 4 2 2 2 4" xfId="45114" xr:uid="{00000000-0005-0000-0000-00007FF10000}"/>
    <cellStyle name="Percent 4 4 2 2 2 5" xfId="45115" xr:uid="{00000000-0005-0000-0000-000080F10000}"/>
    <cellStyle name="Percent 4 4 2 2 2 6" xfId="45116" xr:uid="{00000000-0005-0000-0000-000081F10000}"/>
    <cellStyle name="Percent 4 4 2 2 3" xfId="45117" xr:uid="{00000000-0005-0000-0000-000082F10000}"/>
    <cellStyle name="Percent 4 4 2 2 3 2" xfId="62729" xr:uid="{00000000-0005-0000-0000-000083F10000}"/>
    <cellStyle name="Percent 4 4 2 2 3 3" xfId="62730" xr:uid="{00000000-0005-0000-0000-000084F10000}"/>
    <cellStyle name="Percent 4 4 2 2 4" xfId="45118" xr:uid="{00000000-0005-0000-0000-000085F10000}"/>
    <cellStyle name="Percent 4 4 2 2 4 2" xfId="62731" xr:uid="{00000000-0005-0000-0000-000086F10000}"/>
    <cellStyle name="Percent 4 4 2 2 5" xfId="45119" xr:uid="{00000000-0005-0000-0000-000087F10000}"/>
    <cellStyle name="Percent 4 4 2 2 6" xfId="45120" xr:uid="{00000000-0005-0000-0000-000088F10000}"/>
    <cellStyle name="Percent 4 4 2 2 7" xfId="45121" xr:uid="{00000000-0005-0000-0000-000089F10000}"/>
    <cellStyle name="Percent 4 4 2 3" xfId="45122" xr:uid="{00000000-0005-0000-0000-00008AF10000}"/>
    <cellStyle name="Percent 4 4 2 3 2" xfId="45123" xr:uid="{00000000-0005-0000-0000-00008BF10000}"/>
    <cellStyle name="Percent 4 4 2 3 2 2" xfId="62732" xr:uid="{00000000-0005-0000-0000-00008CF10000}"/>
    <cellStyle name="Percent 4 4 2 3 2 3" xfId="62733" xr:uid="{00000000-0005-0000-0000-00008DF10000}"/>
    <cellStyle name="Percent 4 4 2 3 3" xfId="45124" xr:uid="{00000000-0005-0000-0000-00008EF10000}"/>
    <cellStyle name="Percent 4 4 2 3 3 2" xfId="62734" xr:uid="{00000000-0005-0000-0000-00008FF10000}"/>
    <cellStyle name="Percent 4 4 2 3 4" xfId="45125" xr:uid="{00000000-0005-0000-0000-000090F10000}"/>
    <cellStyle name="Percent 4 4 2 3 5" xfId="45126" xr:uid="{00000000-0005-0000-0000-000091F10000}"/>
    <cellStyle name="Percent 4 4 2 3 6" xfId="45127" xr:uid="{00000000-0005-0000-0000-000092F10000}"/>
    <cellStyle name="Percent 4 4 2 4" xfId="45128" xr:uid="{00000000-0005-0000-0000-000093F10000}"/>
    <cellStyle name="Percent 4 4 2 4 2" xfId="62735" xr:uid="{00000000-0005-0000-0000-000094F10000}"/>
    <cellStyle name="Percent 4 4 2 4 3" xfId="62736" xr:uid="{00000000-0005-0000-0000-000095F10000}"/>
    <cellStyle name="Percent 4 4 2 5" xfId="45129" xr:uid="{00000000-0005-0000-0000-000096F10000}"/>
    <cellStyle name="Percent 4 4 2 5 2" xfId="62737" xr:uid="{00000000-0005-0000-0000-000097F10000}"/>
    <cellStyle name="Percent 4 4 2 6" xfId="45130" xr:uid="{00000000-0005-0000-0000-000098F10000}"/>
    <cellStyle name="Percent 4 4 2 7" xfId="45131" xr:uid="{00000000-0005-0000-0000-000099F10000}"/>
    <cellStyle name="Percent 4 4 2 8" xfId="45132" xr:uid="{00000000-0005-0000-0000-00009AF10000}"/>
    <cellStyle name="Percent 4 4 2 9" xfId="45133" xr:uid="{00000000-0005-0000-0000-00009BF10000}"/>
    <cellStyle name="Percent 4 4 3" xfId="45134" xr:uid="{00000000-0005-0000-0000-00009CF10000}"/>
    <cellStyle name="Percent 4 4 3 2" xfId="45135" xr:uid="{00000000-0005-0000-0000-00009DF10000}"/>
    <cellStyle name="Percent 4 4 3 2 2" xfId="45136" xr:uid="{00000000-0005-0000-0000-00009EF10000}"/>
    <cellStyle name="Percent 4 4 3 2 2 2" xfId="45137" xr:uid="{00000000-0005-0000-0000-00009FF10000}"/>
    <cellStyle name="Percent 4 4 3 2 2 2 2" xfId="62738" xr:uid="{00000000-0005-0000-0000-0000A0F10000}"/>
    <cellStyle name="Percent 4 4 3 2 2 2 3" xfId="62739" xr:uid="{00000000-0005-0000-0000-0000A1F10000}"/>
    <cellStyle name="Percent 4 4 3 2 2 3" xfId="45138" xr:uid="{00000000-0005-0000-0000-0000A2F10000}"/>
    <cellStyle name="Percent 4 4 3 2 2 3 2" xfId="62740" xr:uid="{00000000-0005-0000-0000-0000A3F10000}"/>
    <cellStyle name="Percent 4 4 3 2 2 4" xfId="45139" xr:uid="{00000000-0005-0000-0000-0000A4F10000}"/>
    <cellStyle name="Percent 4 4 3 2 2 5" xfId="45140" xr:uid="{00000000-0005-0000-0000-0000A5F10000}"/>
    <cellStyle name="Percent 4 4 3 2 2 6" xfId="45141" xr:uid="{00000000-0005-0000-0000-0000A6F10000}"/>
    <cellStyle name="Percent 4 4 3 2 3" xfId="45142" xr:uid="{00000000-0005-0000-0000-0000A7F10000}"/>
    <cellStyle name="Percent 4 4 3 2 3 2" xfId="62741" xr:uid="{00000000-0005-0000-0000-0000A8F10000}"/>
    <cellStyle name="Percent 4 4 3 2 3 3" xfId="62742" xr:uid="{00000000-0005-0000-0000-0000A9F10000}"/>
    <cellStyle name="Percent 4 4 3 2 4" xfId="45143" xr:uid="{00000000-0005-0000-0000-0000AAF10000}"/>
    <cellStyle name="Percent 4 4 3 2 4 2" xfId="62743" xr:uid="{00000000-0005-0000-0000-0000ABF10000}"/>
    <cellStyle name="Percent 4 4 3 2 5" xfId="45144" xr:uid="{00000000-0005-0000-0000-0000ACF10000}"/>
    <cellStyle name="Percent 4 4 3 2 6" xfId="45145" xr:uid="{00000000-0005-0000-0000-0000ADF10000}"/>
    <cellStyle name="Percent 4 4 3 2 7" xfId="45146" xr:uid="{00000000-0005-0000-0000-0000AEF10000}"/>
    <cellStyle name="Percent 4 4 3 3" xfId="45147" xr:uid="{00000000-0005-0000-0000-0000AFF10000}"/>
    <cellStyle name="Percent 4 4 3 3 2" xfId="45148" xr:uid="{00000000-0005-0000-0000-0000B0F10000}"/>
    <cellStyle name="Percent 4 4 3 3 2 2" xfId="62744" xr:uid="{00000000-0005-0000-0000-0000B1F10000}"/>
    <cellStyle name="Percent 4 4 3 3 2 3" xfId="62745" xr:uid="{00000000-0005-0000-0000-0000B2F10000}"/>
    <cellStyle name="Percent 4 4 3 3 3" xfId="45149" xr:uid="{00000000-0005-0000-0000-0000B3F10000}"/>
    <cellStyle name="Percent 4 4 3 3 3 2" xfId="62746" xr:uid="{00000000-0005-0000-0000-0000B4F10000}"/>
    <cellStyle name="Percent 4 4 3 3 4" xfId="45150" xr:uid="{00000000-0005-0000-0000-0000B5F10000}"/>
    <cellStyle name="Percent 4 4 3 3 5" xfId="45151" xr:uid="{00000000-0005-0000-0000-0000B6F10000}"/>
    <cellStyle name="Percent 4 4 3 3 6" xfId="45152" xr:uid="{00000000-0005-0000-0000-0000B7F10000}"/>
    <cellStyle name="Percent 4 4 3 4" xfId="45153" xr:uid="{00000000-0005-0000-0000-0000B8F10000}"/>
    <cellStyle name="Percent 4 4 3 4 2" xfId="62747" xr:uid="{00000000-0005-0000-0000-0000B9F10000}"/>
    <cellStyle name="Percent 4 4 3 4 3" xfId="62748" xr:uid="{00000000-0005-0000-0000-0000BAF10000}"/>
    <cellStyle name="Percent 4 4 3 5" xfId="45154" xr:uid="{00000000-0005-0000-0000-0000BBF10000}"/>
    <cellStyle name="Percent 4 4 3 5 2" xfId="62749" xr:uid="{00000000-0005-0000-0000-0000BCF10000}"/>
    <cellStyle name="Percent 4 4 3 6" xfId="45155" xr:uid="{00000000-0005-0000-0000-0000BDF10000}"/>
    <cellStyle name="Percent 4 4 3 7" xfId="45156" xr:uid="{00000000-0005-0000-0000-0000BEF10000}"/>
    <cellStyle name="Percent 4 4 3 8" xfId="45157" xr:uid="{00000000-0005-0000-0000-0000BFF10000}"/>
    <cellStyle name="Percent 4 4 4" xfId="45158" xr:uid="{00000000-0005-0000-0000-0000C0F10000}"/>
    <cellStyle name="Percent 4 4 4 2" xfId="45159" xr:uid="{00000000-0005-0000-0000-0000C1F10000}"/>
    <cellStyle name="Percent 4 4 4 2 2" xfId="45160" xr:uid="{00000000-0005-0000-0000-0000C2F10000}"/>
    <cellStyle name="Percent 4 4 4 2 2 2" xfId="62750" xr:uid="{00000000-0005-0000-0000-0000C3F10000}"/>
    <cellStyle name="Percent 4 4 4 2 2 3" xfId="62751" xr:uid="{00000000-0005-0000-0000-0000C4F10000}"/>
    <cellStyle name="Percent 4 4 4 2 3" xfId="45161" xr:uid="{00000000-0005-0000-0000-0000C5F10000}"/>
    <cellStyle name="Percent 4 4 4 2 3 2" xfId="62752" xr:uid="{00000000-0005-0000-0000-0000C6F10000}"/>
    <cellStyle name="Percent 4 4 4 2 4" xfId="45162" xr:uid="{00000000-0005-0000-0000-0000C7F10000}"/>
    <cellStyle name="Percent 4 4 4 2 5" xfId="45163" xr:uid="{00000000-0005-0000-0000-0000C8F10000}"/>
    <cellStyle name="Percent 4 4 4 2 6" xfId="45164" xr:uid="{00000000-0005-0000-0000-0000C9F10000}"/>
    <cellStyle name="Percent 4 4 4 3" xfId="45165" xr:uid="{00000000-0005-0000-0000-0000CAF10000}"/>
    <cellStyle name="Percent 4 4 4 3 2" xfId="62753" xr:uid="{00000000-0005-0000-0000-0000CBF10000}"/>
    <cellStyle name="Percent 4 4 4 3 3" xfId="62754" xr:uid="{00000000-0005-0000-0000-0000CCF10000}"/>
    <cellStyle name="Percent 4 4 4 4" xfId="45166" xr:uid="{00000000-0005-0000-0000-0000CDF10000}"/>
    <cellStyle name="Percent 4 4 4 4 2" xfId="62755" xr:uid="{00000000-0005-0000-0000-0000CEF10000}"/>
    <cellStyle name="Percent 4 4 4 5" xfId="45167" xr:uid="{00000000-0005-0000-0000-0000CFF10000}"/>
    <cellStyle name="Percent 4 4 4 6" xfId="45168" xr:uid="{00000000-0005-0000-0000-0000D0F10000}"/>
    <cellStyle name="Percent 4 4 4 7" xfId="45169" xr:uid="{00000000-0005-0000-0000-0000D1F10000}"/>
    <cellStyle name="Percent 4 4 5" xfId="45170" xr:uid="{00000000-0005-0000-0000-0000D2F10000}"/>
    <cellStyle name="Percent 4 4 5 2" xfId="45171" xr:uid="{00000000-0005-0000-0000-0000D3F10000}"/>
    <cellStyle name="Percent 4 4 5 2 2" xfId="62756" xr:uid="{00000000-0005-0000-0000-0000D4F10000}"/>
    <cellStyle name="Percent 4 4 5 2 3" xfId="62757" xr:uid="{00000000-0005-0000-0000-0000D5F10000}"/>
    <cellStyle name="Percent 4 4 5 3" xfId="45172" xr:uid="{00000000-0005-0000-0000-0000D6F10000}"/>
    <cellStyle name="Percent 4 4 5 3 2" xfId="62758" xr:uid="{00000000-0005-0000-0000-0000D7F10000}"/>
    <cellStyle name="Percent 4 4 5 4" xfId="45173" xr:uid="{00000000-0005-0000-0000-0000D8F10000}"/>
    <cellStyle name="Percent 4 4 5 5" xfId="45174" xr:uid="{00000000-0005-0000-0000-0000D9F10000}"/>
    <cellStyle name="Percent 4 4 5 6" xfId="45175" xr:uid="{00000000-0005-0000-0000-0000DAF10000}"/>
    <cellStyle name="Percent 4 4 6" xfId="45176" xr:uid="{00000000-0005-0000-0000-0000DBF10000}"/>
    <cellStyle name="Percent 4 4 6 2" xfId="62759" xr:uid="{00000000-0005-0000-0000-0000DCF10000}"/>
    <cellStyle name="Percent 4 4 6 3" xfId="62760" xr:uid="{00000000-0005-0000-0000-0000DDF10000}"/>
    <cellStyle name="Percent 4 4 7" xfId="45177" xr:uid="{00000000-0005-0000-0000-0000DEF10000}"/>
    <cellStyle name="Percent 4 4 7 2" xfId="62761" xr:uid="{00000000-0005-0000-0000-0000DFF10000}"/>
    <cellStyle name="Percent 4 4 8" xfId="45178" xr:uid="{00000000-0005-0000-0000-0000E0F10000}"/>
    <cellStyle name="Percent 4 4 9" xfId="45179" xr:uid="{00000000-0005-0000-0000-0000E1F10000}"/>
    <cellStyle name="Percent 4 5" xfId="45180" xr:uid="{00000000-0005-0000-0000-0000E2F10000}"/>
    <cellStyle name="Percent 4 5 10" xfId="45181" xr:uid="{00000000-0005-0000-0000-0000E3F10000}"/>
    <cellStyle name="Percent 4 5 11" xfId="45182" xr:uid="{00000000-0005-0000-0000-0000E4F10000}"/>
    <cellStyle name="Percent 4 5 12" xfId="45183" xr:uid="{00000000-0005-0000-0000-0000E5F10000}"/>
    <cellStyle name="Percent 4 5 13" xfId="45184" xr:uid="{00000000-0005-0000-0000-0000E6F10000}"/>
    <cellStyle name="Percent 4 5 14" xfId="45185" xr:uid="{00000000-0005-0000-0000-0000E7F10000}"/>
    <cellStyle name="Percent 4 5 2" xfId="45186" xr:uid="{00000000-0005-0000-0000-0000E8F10000}"/>
    <cellStyle name="Percent 4 5 2 2" xfId="45187" xr:uid="{00000000-0005-0000-0000-0000E9F10000}"/>
    <cellStyle name="Percent 4 5 2 2 2" xfId="45188" xr:uid="{00000000-0005-0000-0000-0000EAF10000}"/>
    <cellStyle name="Percent 4 5 2 2 2 2" xfId="45189" xr:uid="{00000000-0005-0000-0000-0000EBF10000}"/>
    <cellStyle name="Percent 4 5 2 2 2 2 2" xfId="62762" xr:uid="{00000000-0005-0000-0000-0000ECF10000}"/>
    <cellStyle name="Percent 4 5 2 2 2 2 3" xfId="62763" xr:uid="{00000000-0005-0000-0000-0000EDF10000}"/>
    <cellStyle name="Percent 4 5 2 2 2 3" xfId="45190" xr:uid="{00000000-0005-0000-0000-0000EEF10000}"/>
    <cellStyle name="Percent 4 5 2 2 2 3 2" xfId="62764" xr:uid="{00000000-0005-0000-0000-0000EFF10000}"/>
    <cellStyle name="Percent 4 5 2 2 2 4" xfId="45191" xr:uid="{00000000-0005-0000-0000-0000F0F10000}"/>
    <cellStyle name="Percent 4 5 2 2 2 5" xfId="45192" xr:uid="{00000000-0005-0000-0000-0000F1F10000}"/>
    <cellStyle name="Percent 4 5 2 2 2 6" xfId="45193" xr:uid="{00000000-0005-0000-0000-0000F2F10000}"/>
    <cellStyle name="Percent 4 5 2 2 3" xfId="45194" xr:uid="{00000000-0005-0000-0000-0000F3F10000}"/>
    <cellStyle name="Percent 4 5 2 2 3 2" xfId="62765" xr:uid="{00000000-0005-0000-0000-0000F4F10000}"/>
    <cellStyle name="Percent 4 5 2 2 3 3" xfId="62766" xr:uid="{00000000-0005-0000-0000-0000F5F10000}"/>
    <cellStyle name="Percent 4 5 2 2 4" xfId="45195" xr:uid="{00000000-0005-0000-0000-0000F6F10000}"/>
    <cellStyle name="Percent 4 5 2 2 4 2" xfId="62767" xr:uid="{00000000-0005-0000-0000-0000F7F10000}"/>
    <cellStyle name="Percent 4 5 2 2 5" xfId="45196" xr:uid="{00000000-0005-0000-0000-0000F8F10000}"/>
    <cellStyle name="Percent 4 5 2 2 6" xfId="45197" xr:uid="{00000000-0005-0000-0000-0000F9F10000}"/>
    <cellStyle name="Percent 4 5 2 2 7" xfId="45198" xr:uid="{00000000-0005-0000-0000-0000FAF10000}"/>
    <cellStyle name="Percent 4 5 2 3" xfId="45199" xr:uid="{00000000-0005-0000-0000-0000FBF10000}"/>
    <cellStyle name="Percent 4 5 2 3 2" xfId="45200" xr:uid="{00000000-0005-0000-0000-0000FCF10000}"/>
    <cellStyle name="Percent 4 5 2 3 2 2" xfId="62768" xr:uid="{00000000-0005-0000-0000-0000FDF10000}"/>
    <cellStyle name="Percent 4 5 2 3 2 3" xfId="62769" xr:uid="{00000000-0005-0000-0000-0000FEF10000}"/>
    <cellStyle name="Percent 4 5 2 3 3" xfId="45201" xr:uid="{00000000-0005-0000-0000-0000FFF10000}"/>
    <cellStyle name="Percent 4 5 2 3 3 2" xfId="62770" xr:uid="{00000000-0005-0000-0000-000000F20000}"/>
    <cellStyle name="Percent 4 5 2 3 4" xfId="45202" xr:uid="{00000000-0005-0000-0000-000001F20000}"/>
    <cellStyle name="Percent 4 5 2 3 5" xfId="45203" xr:uid="{00000000-0005-0000-0000-000002F20000}"/>
    <cellStyle name="Percent 4 5 2 3 6" xfId="45204" xr:uid="{00000000-0005-0000-0000-000003F20000}"/>
    <cellStyle name="Percent 4 5 2 4" xfId="45205" xr:uid="{00000000-0005-0000-0000-000004F20000}"/>
    <cellStyle name="Percent 4 5 2 4 2" xfId="62771" xr:uid="{00000000-0005-0000-0000-000005F20000}"/>
    <cellStyle name="Percent 4 5 2 4 3" xfId="62772" xr:uid="{00000000-0005-0000-0000-000006F20000}"/>
    <cellStyle name="Percent 4 5 2 5" xfId="45206" xr:uid="{00000000-0005-0000-0000-000007F20000}"/>
    <cellStyle name="Percent 4 5 2 5 2" xfId="62773" xr:uid="{00000000-0005-0000-0000-000008F20000}"/>
    <cellStyle name="Percent 4 5 2 6" xfId="45207" xr:uid="{00000000-0005-0000-0000-000009F20000}"/>
    <cellStyle name="Percent 4 5 2 7" xfId="45208" xr:uid="{00000000-0005-0000-0000-00000AF20000}"/>
    <cellStyle name="Percent 4 5 2 8" xfId="45209" xr:uid="{00000000-0005-0000-0000-00000BF20000}"/>
    <cellStyle name="Percent 4 5 2 9" xfId="45210" xr:uid="{00000000-0005-0000-0000-00000CF20000}"/>
    <cellStyle name="Percent 4 5 3" xfId="45211" xr:uid="{00000000-0005-0000-0000-00000DF20000}"/>
    <cellStyle name="Percent 4 5 3 2" xfId="45212" xr:uid="{00000000-0005-0000-0000-00000EF20000}"/>
    <cellStyle name="Percent 4 5 3 2 2" xfId="45213" xr:uid="{00000000-0005-0000-0000-00000FF20000}"/>
    <cellStyle name="Percent 4 5 3 2 2 2" xfId="45214" xr:uid="{00000000-0005-0000-0000-000010F20000}"/>
    <cellStyle name="Percent 4 5 3 2 2 2 2" xfId="62774" xr:uid="{00000000-0005-0000-0000-000011F20000}"/>
    <cellStyle name="Percent 4 5 3 2 2 2 3" xfId="62775" xr:uid="{00000000-0005-0000-0000-000012F20000}"/>
    <cellStyle name="Percent 4 5 3 2 2 3" xfId="45215" xr:uid="{00000000-0005-0000-0000-000013F20000}"/>
    <cellStyle name="Percent 4 5 3 2 2 3 2" xfId="62776" xr:uid="{00000000-0005-0000-0000-000014F20000}"/>
    <cellStyle name="Percent 4 5 3 2 2 4" xfId="45216" xr:uid="{00000000-0005-0000-0000-000015F20000}"/>
    <cellStyle name="Percent 4 5 3 2 2 5" xfId="45217" xr:uid="{00000000-0005-0000-0000-000016F20000}"/>
    <cellStyle name="Percent 4 5 3 2 2 6" xfId="45218" xr:uid="{00000000-0005-0000-0000-000017F20000}"/>
    <cellStyle name="Percent 4 5 3 2 3" xfId="45219" xr:uid="{00000000-0005-0000-0000-000018F20000}"/>
    <cellStyle name="Percent 4 5 3 2 3 2" xfId="62777" xr:uid="{00000000-0005-0000-0000-000019F20000}"/>
    <cellStyle name="Percent 4 5 3 2 3 3" xfId="62778" xr:uid="{00000000-0005-0000-0000-00001AF20000}"/>
    <cellStyle name="Percent 4 5 3 2 4" xfId="45220" xr:uid="{00000000-0005-0000-0000-00001BF20000}"/>
    <cellStyle name="Percent 4 5 3 2 4 2" xfId="62779" xr:uid="{00000000-0005-0000-0000-00001CF20000}"/>
    <cellStyle name="Percent 4 5 3 2 5" xfId="45221" xr:uid="{00000000-0005-0000-0000-00001DF20000}"/>
    <cellStyle name="Percent 4 5 3 2 6" xfId="45222" xr:uid="{00000000-0005-0000-0000-00001EF20000}"/>
    <cellStyle name="Percent 4 5 3 2 7" xfId="45223" xr:uid="{00000000-0005-0000-0000-00001FF20000}"/>
    <cellStyle name="Percent 4 5 3 3" xfId="45224" xr:uid="{00000000-0005-0000-0000-000020F20000}"/>
    <cellStyle name="Percent 4 5 3 3 2" xfId="45225" xr:uid="{00000000-0005-0000-0000-000021F20000}"/>
    <cellStyle name="Percent 4 5 3 3 2 2" xfId="62780" xr:uid="{00000000-0005-0000-0000-000022F20000}"/>
    <cellStyle name="Percent 4 5 3 3 2 3" xfId="62781" xr:uid="{00000000-0005-0000-0000-000023F20000}"/>
    <cellStyle name="Percent 4 5 3 3 3" xfId="45226" xr:uid="{00000000-0005-0000-0000-000024F20000}"/>
    <cellStyle name="Percent 4 5 3 3 3 2" xfId="62782" xr:uid="{00000000-0005-0000-0000-000025F20000}"/>
    <cellStyle name="Percent 4 5 3 3 4" xfId="45227" xr:uid="{00000000-0005-0000-0000-000026F20000}"/>
    <cellStyle name="Percent 4 5 3 3 5" xfId="45228" xr:uid="{00000000-0005-0000-0000-000027F20000}"/>
    <cellStyle name="Percent 4 5 3 3 6" xfId="45229" xr:uid="{00000000-0005-0000-0000-000028F20000}"/>
    <cellStyle name="Percent 4 5 3 4" xfId="45230" xr:uid="{00000000-0005-0000-0000-000029F20000}"/>
    <cellStyle name="Percent 4 5 3 4 2" xfId="62783" xr:uid="{00000000-0005-0000-0000-00002AF20000}"/>
    <cellStyle name="Percent 4 5 3 4 3" xfId="62784" xr:uid="{00000000-0005-0000-0000-00002BF20000}"/>
    <cellStyle name="Percent 4 5 3 5" xfId="45231" xr:uid="{00000000-0005-0000-0000-00002CF20000}"/>
    <cellStyle name="Percent 4 5 3 5 2" xfId="62785" xr:uid="{00000000-0005-0000-0000-00002DF20000}"/>
    <cellStyle name="Percent 4 5 3 6" xfId="45232" xr:uid="{00000000-0005-0000-0000-00002EF20000}"/>
    <cellStyle name="Percent 4 5 3 7" xfId="45233" xr:uid="{00000000-0005-0000-0000-00002FF20000}"/>
    <cellStyle name="Percent 4 5 3 8" xfId="45234" xr:uid="{00000000-0005-0000-0000-000030F20000}"/>
    <cellStyle name="Percent 4 5 4" xfId="45235" xr:uid="{00000000-0005-0000-0000-000031F20000}"/>
    <cellStyle name="Percent 4 5 4 2" xfId="45236" xr:uid="{00000000-0005-0000-0000-000032F20000}"/>
    <cellStyle name="Percent 4 5 4 2 2" xfId="45237" xr:uid="{00000000-0005-0000-0000-000033F20000}"/>
    <cellStyle name="Percent 4 5 4 2 2 2" xfId="62786" xr:uid="{00000000-0005-0000-0000-000034F20000}"/>
    <cellStyle name="Percent 4 5 4 2 2 3" xfId="62787" xr:uid="{00000000-0005-0000-0000-000035F20000}"/>
    <cellStyle name="Percent 4 5 4 2 3" xfId="45238" xr:uid="{00000000-0005-0000-0000-000036F20000}"/>
    <cellStyle name="Percent 4 5 4 2 3 2" xfId="62788" xr:uid="{00000000-0005-0000-0000-000037F20000}"/>
    <cellStyle name="Percent 4 5 4 2 4" xfId="45239" xr:uid="{00000000-0005-0000-0000-000038F20000}"/>
    <cellStyle name="Percent 4 5 4 2 5" xfId="45240" xr:uid="{00000000-0005-0000-0000-000039F20000}"/>
    <cellStyle name="Percent 4 5 4 2 6" xfId="45241" xr:uid="{00000000-0005-0000-0000-00003AF20000}"/>
    <cellStyle name="Percent 4 5 4 3" xfId="45242" xr:uid="{00000000-0005-0000-0000-00003BF20000}"/>
    <cellStyle name="Percent 4 5 4 3 2" xfId="62789" xr:uid="{00000000-0005-0000-0000-00003CF20000}"/>
    <cellStyle name="Percent 4 5 4 3 3" xfId="62790" xr:uid="{00000000-0005-0000-0000-00003DF20000}"/>
    <cellStyle name="Percent 4 5 4 4" xfId="45243" xr:uid="{00000000-0005-0000-0000-00003EF20000}"/>
    <cellStyle name="Percent 4 5 4 4 2" xfId="62791" xr:uid="{00000000-0005-0000-0000-00003FF20000}"/>
    <cellStyle name="Percent 4 5 4 5" xfId="45244" xr:uid="{00000000-0005-0000-0000-000040F20000}"/>
    <cellStyle name="Percent 4 5 4 6" xfId="45245" xr:uid="{00000000-0005-0000-0000-000041F20000}"/>
    <cellStyle name="Percent 4 5 4 7" xfId="45246" xr:uid="{00000000-0005-0000-0000-000042F20000}"/>
    <cellStyle name="Percent 4 5 5" xfId="45247" xr:uid="{00000000-0005-0000-0000-000043F20000}"/>
    <cellStyle name="Percent 4 5 5 2" xfId="45248" xr:uid="{00000000-0005-0000-0000-000044F20000}"/>
    <cellStyle name="Percent 4 5 5 2 2" xfId="62792" xr:uid="{00000000-0005-0000-0000-000045F20000}"/>
    <cellStyle name="Percent 4 5 5 2 3" xfId="62793" xr:uid="{00000000-0005-0000-0000-000046F20000}"/>
    <cellStyle name="Percent 4 5 5 3" xfId="45249" xr:uid="{00000000-0005-0000-0000-000047F20000}"/>
    <cellStyle name="Percent 4 5 5 3 2" xfId="62794" xr:uid="{00000000-0005-0000-0000-000048F20000}"/>
    <cellStyle name="Percent 4 5 5 4" xfId="45250" xr:uid="{00000000-0005-0000-0000-000049F20000}"/>
    <cellStyle name="Percent 4 5 5 5" xfId="45251" xr:uid="{00000000-0005-0000-0000-00004AF20000}"/>
    <cellStyle name="Percent 4 5 5 6" xfId="45252" xr:uid="{00000000-0005-0000-0000-00004BF20000}"/>
    <cellStyle name="Percent 4 5 6" xfId="45253" xr:uid="{00000000-0005-0000-0000-00004CF20000}"/>
    <cellStyle name="Percent 4 5 6 2" xfId="62795" xr:uid="{00000000-0005-0000-0000-00004DF20000}"/>
    <cellStyle name="Percent 4 5 6 3" xfId="62796" xr:uid="{00000000-0005-0000-0000-00004EF20000}"/>
    <cellStyle name="Percent 4 5 7" xfId="45254" xr:uid="{00000000-0005-0000-0000-00004FF20000}"/>
    <cellStyle name="Percent 4 5 7 2" xfId="62797" xr:uid="{00000000-0005-0000-0000-000050F20000}"/>
    <cellStyle name="Percent 4 5 8" xfId="45255" xr:uid="{00000000-0005-0000-0000-000051F20000}"/>
    <cellStyle name="Percent 4 5 9" xfId="45256" xr:uid="{00000000-0005-0000-0000-000052F20000}"/>
    <cellStyle name="Percent 4 6" xfId="45257" xr:uid="{00000000-0005-0000-0000-000053F20000}"/>
    <cellStyle name="Percent 4 6 10" xfId="45258" xr:uid="{00000000-0005-0000-0000-000054F20000}"/>
    <cellStyle name="Percent 4 6 11" xfId="45259" xr:uid="{00000000-0005-0000-0000-000055F20000}"/>
    <cellStyle name="Percent 4 6 12" xfId="45260" xr:uid="{00000000-0005-0000-0000-000056F20000}"/>
    <cellStyle name="Percent 4 6 13" xfId="45261" xr:uid="{00000000-0005-0000-0000-000057F20000}"/>
    <cellStyle name="Percent 4 6 2" xfId="45262" xr:uid="{00000000-0005-0000-0000-000058F20000}"/>
    <cellStyle name="Percent 4 6 2 2" xfId="45263" xr:uid="{00000000-0005-0000-0000-000059F20000}"/>
    <cellStyle name="Percent 4 6 2 2 2" xfId="45264" xr:uid="{00000000-0005-0000-0000-00005AF20000}"/>
    <cellStyle name="Percent 4 6 2 2 2 2" xfId="45265" xr:uid="{00000000-0005-0000-0000-00005BF20000}"/>
    <cellStyle name="Percent 4 6 2 2 2 2 2" xfId="62798" xr:uid="{00000000-0005-0000-0000-00005CF20000}"/>
    <cellStyle name="Percent 4 6 2 2 2 2 3" xfId="62799" xr:uid="{00000000-0005-0000-0000-00005DF20000}"/>
    <cellStyle name="Percent 4 6 2 2 2 3" xfId="45266" xr:uid="{00000000-0005-0000-0000-00005EF20000}"/>
    <cellStyle name="Percent 4 6 2 2 2 3 2" xfId="62800" xr:uid="{00000000-0005-0000-0000-00005FF20000}"/>
    <cellStyle name="Percent 4 6 2 2 2 4" xfId="45267" xr:uid="{00000000-0005-0000-0000-000060F20000}"/>
    <cellStyle name="Percent 4 6 2 2 2 5" xfId="45268" xr:uid="{00000000-0005-0000-0000-000061F20000}"/>
    <cellStyle name="Percent 4 6 2 2 2 6" xfId="45269" xr:uid="{00000000-0005-0000-0000-000062F20000}"/>
    <cellStyle name="Percent 4 6 2 2 3" xfId="45270" xr:uid="{00000000-0005-0000-0000-000063F20000}"/>
    <cellStyle name="Percent 4 6 2 2 3 2" xfId="62801" xr:uid="{00000000-0005-0000-0000-000064F20000}"/>
    <cellStyle name="Percent 4 6 2 2 3 3" xfId="62802" xr:uid="{00000000-0005-0000-0000-000065F20000}"/>
    <cellStyle name="Percent 4 6 2 2 4" xfId="45271" xr:uid="{00000000-0005-0000-0000-000066F20000}"/>
    <cellStyle name="Percent 4 6 2 2 4 2" xfId="62803" xr:uid="{00000000-0005-0000-0000-000067F20000}"/>
    <cellStyle name="Percent 4 6 2 2 5" xfId="45272" xr:uid="{00000000-0005-0000-0000-000068F20000}"/>
    <cellStyle name="Percent 4 6 2 2 6" xfId="45273" xr:uid="{00000000-0005-0000-0000-000069F20000}"/>
    <cellStyle name="Percent 4 6 2 2 7" xfId="45274" xr:uid="{00000000-0005-0000-0000-00006AF20000}"/>
    <cellStyle name="Percent 4 6 2 3" xfId="45275" xr:uid="{00000000-0005-0000-0000-00006BF20000}"/>
    <cellStyle name="Percent 4 6 2 3 2" xfId="45276" xr:uid="{00000000-0005-0000-0000-00006CF20000}"/>
    <cellStyle name="Percent 4 6 2 3 2 2" xfId="62804" xr:uid="{00000000-0005-0000-0000-00006DF20000}"/>
    <cellStyle name="Percent 4 6 2 3 2 3" xfId="62805" xr:uid="{00000000-0005-0000-0000-00006EF20000}"/>
    <cellStyle name="Percent 4 6 2 3 3" xfId="45277" xr:uid="{00000000-0005-0000-0000-00006FF20000}"/>
    <cellStyle name="Percent 4 6 2 3 3 2" xfId="62806" xr:uid="{00000000-0005-0000-0000-000070F20000}"/>
    <cellStyle name="Percent 4 6 2 3 4" xfId="45278" xr:uid="{00000000-0005-0000-0000-000071F20000}"/>
    <cellStyle name="Percent 4 6 2 3 5" xfId="45279" xr:uid="{00000000-0005-0000-0000-000072F20000}"/>
    <cellStyle name="Percent 4 6 2 3 6" xfId="45280" xr:uid="{00000000-0005-0000-0000-000073F20000}"/>
    <cellStyle name="Percent 4 6 2 4" xfId="45281" xr:uid="{00000000-0005-0000-0000-000074F20000}"/>
    <cellStyle name="Percent 4 6 2 4 2" xfId="62807" xr:uid="{00000000-0005-0000-0000-000075F20000}"/>
    <cellStyle name="Percent 4 6 2 4 3" xfId="62808" xr:uid="{00000000-0005-0000-0000-000076F20000}"/>
    <cellStyle name="Percent 4 6 2 5" xfId="45282" xr:uid="{00000000-0005-0000-0000-000077F20000}"/>
    <cellStyle name="Percent 4 6 2 5 2" xfId="62809" xr:uid="{00000000-0005-0000-0000-000078F20000}"/>
    <cellStyle name="Percent 4 6 2 6" xfId="45283" xr:uid="{00000000-0005-0000-0000-000079F20000}"/>
    <cellStyle name="Percent 4 6 2 7" xfId="45284" xr:uid="{00000000-0005-0000-0000-00007AF20000}"/>
    <cellStyle name="Percent 4 6 2 8" xfId="45285" xr:uid="{00000000-0005-0000-0000-00007BF20000}"/>
    <cellStyle name="Percent 4 6 2 9" xfId="45286" xr:uid="{00000000-0005-0000-0000-00007CF20000}"/>
    <cellStyle name="Percent 4 6 3" xfId="45287" xr:uid="{00000000-0005-0000-0000-00007DF20000}"/>
    <cellStyle name="Percent 4 6 3 2" xfId="45288" xr:uid="{00000000-0005-0000-0000-00007EF20000}"/>
    <cellStyle name="Percent 4 6 3 2 2" xfId="45289" xr:uid="{00000000-0005-0000-0000-00007FF20000}"/>
    <cellStyle name="Percent 4 6 3 2 2 2" xfId="62810" xr:uid="{00000000-0005-0000-0000-000080F20000}"/>
    <cellStyle name="Percent 4 6 3 2 2 3" xfId="62811" xr:uid="{00000000-0005-0000-0000-000081F20000}"/>
    <cellStyle name="Percent 4 6 3 2 3" xfId="45290" xr:uid="{00000000-0005-0000-0000-000082F20000}"/>
    <cellStyle name="Percent 4 6 3 2 3 2" xfId="62812" xr:uid="{00000000-0005-0000-0000-000083F20000}"/>
    <cellStyle name="Percent 4 6 3 2 4" xfId="45291" xr:uid="{00000000-0005-0000-0000-000084F20000}"/>
    <cellStyle name="Percent 4 6 3 2 5" xfId="45292" xr:uid="{00000000-0005-0000-0000-000085F20000}"/>
    <cellStyle name="Percent 4 6 3 2 6" xfId="45293" xr:uid="{00000000-0005-0000-0000-000086F20000}"/>
    <cellStyle name="Percent 4 6 3 3" xfId="45294" xr:uid="{00000000-0005-0000-0000-000087F20000}"/>
    <cellStyle name="Percent 4 6 3 3 2" xfId="62813" xr:uid="{00000000-0005-0000-0000-000088F20000}"/>
    <cellStyle name="Percent 4 6 3 3 3" xfId="62814" xr:uid="{00000000-0005-0000-0000-000089F20000}"/>
    <cellStyle name="Percent 4 6 3 4" xfId="45295" xr:uid="{00000000-0005-0000-0000-00008AF20000}"/>
    <cellStyle name="Percent 4 6 3 4 2" xfId="62815" xr:uid="{00000000-0005-0000-0000-00008BF20000}"/>
    <cellStyle name="Percent 4 6 3 5" xfId="45296" xr:uid="{00000000-0005-0000-0000-00008CF20000}"/>
    <cellStyle name="Percent 4 6 3 6" xfId="45297" xr:uid="{00000000-0005-0000-0000-00008DF20000}"/>
    <cellStyle name="Percent 4 6 3 7" xfId="45298" xr:uid="{00000000-0005-0000-0000-00008EF20000}"/>
    <cellStyle name="Percent 4 6 4" xfId="45299" xr:uid="{00000000-0005-0000-0000-00008FF20000}"/>
    <cellStyle name="Percent 4 6 4 2" xfId="45300" xr:uid="{00000000-0005-0000-0000-000090F20000}"/>
    <cellStyle name="Percent 4 6 4 2 2" xfId="62816" xr:uid="{00000000-0005-0000-0000-000091F20000}"/>
    <cellStyle name="Percent 4 6 4 2 3" xfId="62817" xr:uid="{00000000-0005-0000-0000-000092F20000}"/>
    <cellStyle name="Percent 4 6 4 3" xfId="45301" xr:uid="{00000000-0005-0000-0000-000093F20000}"/>
    <cellStyle name="Percent 4 6 4 3 2" xfId="62818" xr:uid="{00000000-0005-0000-0000-000094F20000}"/>
    <cellStyle name="Percent 4 6 4 4" xfId="45302" xr:uid="{00000000-0005-0000-0000-000095F20000}"/>
    <cellStyle name="Percent 4 6 4 5" xfId="45303" xr:uid="{00000000-0005-0000-0000-000096F20000}"/>
    <cellStyle name="Percent 4 6 4 6" xfId="45304" xr:uid="{00000000-0005-0000-0000-000097F20000}"/>
    <cellStyle name="Percent 4 6 5" xfId="45305" xr:uid="{00000000-0005-0000-0000-000098F20000}"/>
    <cellStyle name="Percent 4 6 5 2" xfId="62819" xr:uid="{00000000-0005-0000-0000-000099F20000}"/>
    <cellStyle name="Percent 4 6 5 3" xfId="62820" xr:uid="{00000000-0005-0000-0000-00009AF20000}"/>
    <cellStyle name="Percent 4 6 6" xfId="45306" xr:uid="{00000000-0005-0000-0000-00009BF20000}"/>
    <cellStyle name="Percent 4 6 6 2" xfId="62821" xr:uid="{00000000-0005-0000-0000-00009CF20000}"/>
    <cellStyle name="Percent 4 6 7" xfId="45307" xr:uid="{00000000-0005-0000-0000-00009DF20000}"/>
    <cellStyle name="Percent 4 6 8" xfId="45308" xr:uid="{00000000-0005-0000-0000-00009EF20000}"/>
    <cellStyle name="Percent 4 6 9" xfId="45309" xr:uid="{00000000-0005-0000-0000-00009FF20000}"/>
    <cellStyle name="Percent 4 7" xfId="45310" xr:uid="{00000000-0005-0000-0000-0000A0F20000}"/>
    <cellStyle name="Percent 4 7 2" xfId="45311" xr:uid="{00000000-0005-0000-0000-0000A1F20000}"/>
    <cellStyle name="Percent 4 7 2 2" xfId="45312" xr:uid="{00000000-0005-0000-0000-0000A2F20000}"/>
    <cellStyle name="Percent 4 7 2 2 2" xfId="45313" xr:uid="{00000000-0005-0000-0000-0000A3F20000}"/>
    <cellStyle name="Percent 4 7 2 2 2 2" xfId="62822" xr:uid="{00000000-0005-0000-0000-0000A4F20000}"/>
    <cellStyle name="Percent 4 7 2 2 2 3" xfId="62823" xr:uid="{00000000-0005-0000-0000-0000A5F20000}"/>
    <cellStyle name="Percent 4 7 2 2 3" xfId="45314" xr:uid="{00000000-0005-0000-0000-0000A6F20000}"/>
    <cellStyle name="Percent 4 7 2 2 3 2" xfId="62824" xr:uid="{00000000-0005-0000-0000-0000A7F20000}"/>
    <cellStyle name="Percent 4 7 2 2 4" xfId="45315" xr:uid="{00000000-0005-0000-0000-0000A8F20000}"/>
    <cellStyle name="Percent 4 7 2 2 5" xfId="45316" xr:uid="{00000000-0005-0000-0000-0000A9F20000}"/>
    <cellStyle name="Percent 4 7 2 2 6" xfId="45317" xr:uid="{00000000-0005-0000-0000-0000AAF20000}"/>
    <cellStyle name="Percent 4 7 2 3" xfId="45318" xr:uid="{00000000-0005-0000-0000-0000ABF20000}"/>
    <cellStyle name="Percent 4 7 2 3 2" xfId="62825" xr:uid="{00000000-0005-0000-0000-0000ACF20000}"/>
    <cellStyle name="Percent 4 7 2 3 3" xfId="62826" xr:uid="{00000000-0005-0000-0000-0000ADF20000}"/>
    <cellStyle name="Percent 4 7 2 4" xfId="45319" xr:uid="{00000000-0005-0000-0000-0000AEF20000}"/>
    <cellStyle name="Percent 4 7 2 4 2" xfId="62827" xr:uid="{00000000-0005-0000-0000-0000AFF20000}"/>
    <cellStyle name="Percent 4 7 2 5" xfId="45320" xr:uid="{00000000-0005-0000-0000-0000B0F20000}"/>
    <cellStyle name="Percent 4 7 2 6" xfId="45321" xr:uid="{00000000-0005-0000-0000-0000B1F20000}"/>
    <cellStyle name="Percent 4 7 2 7" xfId="45322" xr:uid="{00000000-0005-0000-0000-0000B2F20000}"/>
    <cellStyle name="Percent 4 7 3" xfId="45323" xr:uid="{00000000-0005-0000-0000-0000B3F20000}"/>
    <cellStyle name="Percent 4 7 3 2" xfId="45324" xr:uid="{00000000-0005-0000-0000-0000B4F20000}"/>
    <cellStyle name="Percent 4 7 3 2 2" xfId="62828" xr:uid="{00000000-0005-0000-0000-0000B5F20000}"/>
    <cellStyle name="Percent 4 7 3 2 3" xfId="62829" xr:uid="{00000000-0005-0000-0000-0000B6F20000}"/>
    <cellStyle name="Percent 4 7 3 3" xfId="45325" xr:uid="{00000000-0005-0000-0000-0000B7F20000}"/>
    <cellStyle name="Percent 4 7 3 3 2" xfId="62830" xr:uid="{00000000-0005-0000-0000-0000B8F20000}"/>
    <cellStyle name="Percent 4 7 3 4" xfId="45326" xr:uid="{00000000-0005-0000-0000-0000B9F20000}"/>
    <cellStyle name="Percent 4 7 3 5" xfId="45327" xr:uid="{00000000-0005-0000-0000-0000BAF20000}"/>
    <cellStyle name="Percent 4 7 3 6" xfId="45328" xr:uid="{00000000-0005-0000-0000-0000BBF20000}"/>
    <cellStyle name="Percent 4 7 4" xfId="45329" xr:uid="{00000000-0005-0000-0000-0000BCF20000}"/>
    <cellStyle name="Percent 4 7 4 2" xfId="62831" xr:uid="{00000000-0005-0000-0000-0000BDF20000}"/>
    <cellStyle name="Percent 4 7 4 3" xfId="62832" xr:uid="{00000000-0005-0000-0000-0000BEF20000}"/>
    <cellStyle name="Percent 4 7 5" xfId="45330" xr:uid="{00000000-0005-0000-0000-0000BFF20000}"/>
    <cellStyle name="Percent 4 7 5 2" xfId="62833" xr:uid="{00000000-0005-0000-0000-0000C0F20000}"/>
    <cellStyle name="Percent 4 7 6" xfId="45331" xr:uid="{00000000-0005-0000-0000-0000C1F20000}"/>
    <cellStyle name="Percent 4 7 7" xfId="45332" xr:uid="{00000000-0005-0000-0000-0000C2F20000}"/>
    <cellStyle name="Percent 4 7 8" xfId="45333" xr:uid="{00000000-0005-0000-0000-0000C3F20000}"/>
    <cellStyle name="Percent 4 7 9" xfId="45334" xr:uid="{00000000-0005-0000-0000-0000C4F20000}"/>
    <cellStyle name="Percent 4 8" xfId="45335" xr:uid="{00000000-0005-0000-0000-0000C5F20000}"/>
    <cellStyle name="Percent 4 8 2" xfId="45336" xr:uid="{00000000-0005-0000-0000-0000C6F20000}"/>
    <cellStyle name="Percent 4 8 2 2" xfId="45337" xr:uid="{00000000-0005-0000-0000-0000C7F20000}"/>
    <cellStyle name="Percent 4 8 2 2 2" xfId="45338" xr:uid="{00000000-0005-0000-0000-0000C8F20000}"/>
    <cellStyle name="Percent 4 8 2 2 2 2" xfId="62834" xr:uid="{00000000-0005-0000-0000-0000C9F20000}"/>
    <cellStyle name="Percent 4 8 2 2 2 3" xfId="62835" xr:uid="{00000000-0005-0000-0000-0000CAF20000}"/>
    <cellStyle name="Percent 4 8 2 2 3" xfId="45339" xr:uid="{00000000-0005-0000-0000-0000CBF20000}"/>
    <cellStyle name="Percent 4 8 2 2 3 2" xfId="62836" xr:uid="{00000000-0005-0000-0000-0000CCF20000}"/>
    <cellStyle name="Percent 4 8 2 2 4" xfId="45340" xr:uid="{00000000-0005-0000-0000-0000CDF20000}"/>
    <cellStyle name="Percent 4 8 2 2 5" xfId="45341" xr:uid="{00000000-0005-0000-0000-0000CEF20000}"/>
    <cellStyle name="Percent 4 8 2 2 6" xfId="45342" xr:uid="{00000000-0005-0000-0000-0000CFF20000}"/>
    <cellStyle name="Percent 4 8 2 3" xfId="45343" xr:uid="{00000000-0005-0000-0000-0000D0F20000}"/>
    <cellStyle name="Percent 4 8 2 3 2" xfId="62837" xr:uid="{00000000-0005-0000-0000-0000D1F20000}"/>
    <cellStyle name="Percent 4 8 2 3 3" xfId="62838" xr:uid="{00000000-0005-0000-0000-0000D2F20000}"/>
    <cellStyle name="Percent 4 8 2 4" xfId="45344" xr:uid="{00000000-0005-0000-0000-0000D3F20000}"/>
    <cellStyle name="Percent 4 8 2 4 2" xfId="62839" xr:uid="{00000000-0005-0000-0000-0000D4F20000}"/>
    <cellStyle name="Percent 4 8 2 5" xfId="45345" xr:uid="{00000000-0005-0000-0000-0000D5F20000}"/>
    <cellStyle name="Percent 4 8 2 6" xfId="45346" xr:uid="{00000000-0005-0000-0000-0000D6F20000}"/>
    <cellStyle name="Percent 4 8 2 7" xfId="45347" xr:uid="{00000000-0005-0000-0000-0000D7F20000}"/>
    <cellStyle name="Percent 4 8 3" xfId="45348" xr:uid="{00000000-0005-0000-0000-0000D8F20000}"/>
    <cellStyle name="Percent 4 8 3 2" xfId="45349" xr:uid="{00000000-0005-0000-0000-0000D9F20000}"/>
    <cellStyle name="Percent 4 8 3 2 2" xfId="62840" xr:uid="{00000000-0005-0000-0000-0000DAF20000}"/>
    <cellStyle name="Percent 4 8 3 2 3" xfId="62841" xr:uid="{00000000-0005-0000-0000-0000DBF20000}"/>
    <cellStyle name="Percent 4 8 3 3" xfId="45350" xr:uid="{00000000-0005-0000-0000-0000DCF20000}"/>
    <cellStyle name="Percent 4 8 3 3 2" xfId="62842" xr:uid="{00000000-0005-0000-0000-0000DDF20000}"/>
    <cellStyle name="Percent 4 8 3 4" xfId="45351" xr:uid="{00000000-0005-0000-0000-0000DEF20000}"/>
    <cellStyle name="Percent 4 8 3 5" xfId="45352" xr:uid="{00000000-0005-0000-0000-0000DFF20000}"/>
    <cellStyle name="Percent 4 8 3 6" xfId="45353" xr:uid="{00000000-0005-0000-0000-0000E0F20000}"/>
    <cellStyle name="Percent 4 8 4" xfId="45354" xr:uid="{00000000-0005-0000-0000-0000E1F20000}"/>
    <cellStyle name="Percent 4 8 4 2" xfId="62843" xr:uid="{00000000-0005-0000-0000-0000E2F20000}"/>
    <cellStyle name="Percent 4 8 4 3" xfId="62844" xr:uid="{00000000-0005-0000-0000-0000E3F20000}"/>
    <cellStyle name="Percent 4 8 5" xfId="45355" xr:uid="{00000000-0005-0000-0000-0000E4F20000}"/>
    <cellStyle name="Percent 4 8 5 2" xfId="62845" xr:uid="{00000000-0005-0000-0000-0000E5F20000}"/>
    <cellStyle name="Percent 4 8 6" xfId="45356" xr:uid="{00000000-0005-0000-0000-0000E6F20000}"/>
    <cellStyle name="Percent 4 8 7" xfId="45357" xr:uid="{00000000-0005-0000-0000-0000E7F20000}"/>
    <cellStyle name="Percent 4 8 8" xfId="45358" xr:uid="{00000000-0005-0000-0000-0000E8F20000}"/>
    <cellStyle name="Percent 4 9" xfId="45359" xr:uid="{00000000-0005-0000-0000-0000E9F20000}"/>
    <cellStyle name="Percent 4 9 2" xfId="45360" xr:uid="{00000000-0005-0000-0000-0000EAF20000}"/>
    <cellStyle name="Percent 4 9 2 2" xfId="45361" xr:uid="{00000000-0005-0000-0000-0000EBF20000}"/>
    <cellStyle name="Percent 4 9 2 2 2" xfId="45362" xr:uid="{00000000-0005-0000-0000-0000ECF20000}"/>
    <cellStyle name="Percent 4 9 2 2 2 2" xfId="62846" xr:uid="{00000000-0005-0000-0000-0000EDF20000}"/>
    <cellStyle name="Percent 4 9 2 2 2 3" xfId="62847" xr:uid="{00000000-0005-0000-0000-0000EEF20000}"/>
    <cellStyle name="Percent 4 9 2 2 3" xfId="45363" xr:uid="{00000000-0005-0000-0000-0000EFF20000}"/>
    <cellStyle name="Percent 4 9 2 2 3 2" xfId="62848" xr:uid="{00000000-0005-0000-0000-0000F0F20000}"/>
    <cellStyle name="Percent 4 9 2 2 4" xfId="45364" xr:uid="{00000000-0005-0000-0000-0000F1F20000}"/>
    <cellStyle name="Percent 4 9 2 2 5" xfId="45365" xr:uid="{00000000-0005-0000-0000-0000F2F20000}"/>
    <cellStyle name="Percent 4 9 2 2 6" xfId="45366" xr:uid="{00000000-0005-0000-0000-0000F3F20000}"/>
    <cellStyle name="Percent 4 9 2 3" xfId="45367" xr:uid="{00000000-0005-0000-0000-0000F4F20000}"/>
    <cellStyle name="Percent 4 9 2 3 2" xfId="62849" xr:uid="{00000000-0005-0000-0000-0000F5F20000}"/>
    <cellStyle name="Percent 4 9 2 3 3" xfId="62850" xr:uid="{00000000-0005-0000-0000-0000F6F20000}"/>
    <cellStyle name="Percent 4 9 2 4" xfId="45368" xr:uid="{00000000-0005-0000-0000-0000F7F20000}"/>
    <cellStyle name="Percent 4 9 2 4 2" xfId="62851" xr:uid="{00000000-0005-0000-0000-0000F8F20000}"/>
    <cellStyle name="Percent 4 9 2 5" xfId="45369" xr:uid="{00000000-0005-0000-0000-0000F9F20000}"/>
    <cellStyle name="Percent 4 9 2 6" xfId="45370" xr:uid="{00000000-0005-0000-0000-0000FAF20000}"/>
    <cellStyle name="Percent 4 9 2 7" xfId="45371" xr:uid="{00000000-0005-0000-0000-0000FBF20000}"/>
    <cellStyle name="Percent 4 9 3" xfId="45372" xr:uid="{00000000-0005-0000-0000-0000FCF20000}"/>
    <cellStyle name="Percent 4 9 3 2" xfId="45373" xr:uid="{00000000-0005-0000-0000-0000FDF20000}"/>
    <cellStyle name="Percent 4 9 3 2 2" xfId="62852" xr:uid="{00000000-0005-0000-0000-0000FEF20000}"/>
    <cellStyle name="Percent 4 9 3 2 3" xfId="62853" xr:uid="{00000000-0005-0000-0000-0000FFF20000}"/>
    <cellStyle name="Percent 4 9 3 3" xfId="45374" xr:uid="{00000000-0005-0000-0000-000000F30000}"/>
    <cellStyle name="Percent 4 9 3 3 2" xfId="62854" xr:uid="{00000000-0005-0000-0000-000001F30000}"/>
    <cellStyle name="Percent 4 9 3 4" xfId="45375" xr:uid="{00000000-0005-0000-0000-000002F30000}"/>
    <cellStyle name="Percent 4 9 3 5" xfId="45376" xr:uid="{00000000-0005-0000-0000-000003F30000}"/>
    <cellStyle name="Percent 4 9 3 6" xfId="45377" xr:uid="{00000000-0005-0000-0000-000004F30000}"/>
    <cellStyle name="Percent 4 9 4" xfId="45378" xr:uid="{00000000-0005-0000-0000-000005F30000}"/>
    <cellStyle name="Percent 4 9 4 2" xfId="62855" xr:uid="{00000000-0005-0000-0000-000006F30000}"/>
    <cellStyle name="Percent 4 9 4 3" xfId="62856" xr:uid="{00000000-0005-0000-0000-000007F30000}"/>
    <cellStyle name="Percent 4 9 5" xfId="45379" xr:uid="{00000000-0005-0000-0000-000008F30000}"/>
    <cellStyle name="Percent 4 9 5 2" xfId="62857" xr:uid="{00000000-0005-0000-0000-000009F30000}"/>
    <cellStyle name="Percent 4 9 6" xfId="45380" xr:uid="{00000000-0005-0000-0000-00000AF30000}"/>
    <cellStyle name="Percent 4 9 7" xfId="45381" xr:uid="{00000000-0005-0000-0000-00000BF30000}"/>
    <cellStyle name="Percent 4 9 8" xfId="45382" xr:uid="{00000000-0005-0000-0000-00000CF30000}"/>
    <cellStyle name="Percent 5" xfId="45383" xr:uid="{00000000-0005-0000-0000-00000DF30000}"/>
    <cellStyle name="Percent 5 10" xfId="45384" xr:uid="{00000000-0005-0000-0000-00000EF30000}"/>
    <cellStyle name="Percent 5 10 2" xfId="62858" xr:uid="{00000000-0005-0000-0000-00000FF30000}"/>
    <cellStyle name="Percent 5 10 3" xfId="62859" xr:uid="{00000000-0005-0000-0000-000010F30000}"/>
    <cellStyle name="Percent 5 11" xfId="45385" xr:uid="{00000000-0005-0000-0000-000011F30000}"/>
    <cellStyle name="Percent 5 11 2" xfId="45386" xr:uid="{00000000-0005-0000-0000-000012F30000}"/>
    <cellStyle name="Percent 5 12" xfId="45387" xr:uid="{00000000-0005-0000-0000-000013F30000}"/>
    <cellStyle name="Percent 5 12 2" xfId="62860" xr:uid="{00000000-0005-0000-0000-000014F30000}"/>
    <cellStyle name="Percent 5 13" xfId="45388" xr:uid="{00000000-0005-0000-0000-000015F30000}"/>
    <cellStyle name="Percent 5 14" xfId="45389" xr:uid="{00000000-0005-0000-0000-000016F30000}"/>
    <cellStyle name="Percent 5 15" xfId="45390" xr:uid="{00000000-0005-0000-0000-000017F30000}"/>
    <cellStyle name="Percent 5 16" xfId="45391" xr:uid="{00000000-0005-0000-0000-000018F30000}"/>
    <cellStyle name="Percent 5 17" xfId="45392" xr:uid="{00000000-0005-0000-0000-000019F30000}"/>
    <cellStyle name="Percent 5 18" xfId="45393" xr:uid="{00000000-0005-0000-0000-00001AF30000}"/>
    <cellStyle name="Percent 5 19" xfId="45394" xr:uid="{00000000-0005-0000-0000-00001BF30000}"/>
    <cellStyle name="Percent 5 2" xfId="45395" xr:uid="{00000000-0005-0000-0000-00001CF30000}"/>
    <cellStyle name="Percent 5 2 10" xfId="45396" xr:uid="{00000000-0005-0000-0000-00001DF30000}"/>
    <cellStyle name="Percent 5 2 11" xfId="45397" xr:uid="{00000000-0005-0000-0000-00001EF30000}"/>
    <cellStyle name="Percent 5 2 12" xfId="45398" xr:uid="{00000000-0005-0000-0000-00001FF30000}"/>
    <cellStyle name="Percent 5 2 13" xfId="45399" xr:uid="{00000000-0005-0000-0000-000020F30000}"/>
    <cellStyle name="Percent 5 2 14" xfId="45400" xr:uid="{00000000-0005-0000-0000-000021F30000}"/>
    <cellStyle name="Percent 5 2 15" xfId="45401" xr:uid="{00000000-0005-0000-0000-000022F30000}"/>
    <cellStyle name="Percent 5 2 2" xfId="45402" xr:uid="{00000000-0005-0000-0000-000023F30000}"/>
    <cellStyle name="Percent 5 2 2 10" xfId="45403" xr:uid="{00000000-0005-0000-0000-000024F30000}"/>
    <cellStyle name="Percent 5 2 2 2" xfId="45404" xr:uid="{00000000-0005-0000-0000-000025F30000}"/>
    <cellStyle name="Percent 5 2 2 2 2" xfId="45405" xr:uid="{00000000-0005-0000-0000-000026F30000}"/>
    <cellStyle name="Percent 5 2 2 2 2 2" xfId="45406" xr:uid="{00000000-0005-0000-0000-000027F30000}"/>
    <cellStyle name="Percent 5 2 2 2 2 2 2" xfId="62861" xr:uid="{00000000-0005-0000-0000-000028F30000}"/>
    <cellStyle name="Percent 5 2 2 2 2 2 3" xfId="62862" xr:uid="{00000000-0005-0000-0000-000029F30000}"/>
    <cellStyle name="Percent 5 2 2 2 2 3" xfId="45407" xr:uid="{00000000-0005-0000-0000-00002AF30000}"/>
    <cellStyle name="Percent 5 2 2 2 2 3 2" xfId="62863" xr:uid="{00000000-0005-0000-0000-00002BF30000}"/>
    <cellStyle name="Percent 5 2 2 2 2 4" xfId="45408" xr:uid="{00000000-0005-0000-0000-00002CF30000}"/>
    <cellStyle name="Percent 5 2 2 2 2 5" xfId="45409" xr:uid="{00000000-0005-0000-0000-00002DF30000}"/>
    <cellStyle name="Percent 5 2 2 2 2 6" xfId="45410" xr:uid="{00000000-0005-0000-0000-00002EF30000}"/>
    <cellStyle name="Percent 5 2 2 2 3" xfId="45411" xr:uid="{00000000-0005-0000-0000-00002FF30000}"/>
    <cellStyle name="Percent 5 2 2 2 3 2" xfId="62864" xr:uid="{00000000-0005-0000-0000-000030F30000}"/>
    <cellStyle name="Percent 5 2 2 2 3 3" xfId="62865" xr:uid="{00000000-0005-0000-0000-000031F30000}"/>
    <cellStyle name="Percent 5 2 2 2 4" xfId="45412" xr:uid="{00000000-0005-0000-0000-000032F30000}"/>
    <cellStyle name="Percent 5 2 2 2 4 2" xfId="62866" xr:uid="{00000000-0005-0000-0000-000033F30000}"/>
    <cellStyle name="Percent 5 2 2 2 5" xfId="45413" xr:uid="{00000000-0005-0000-0000-000034F30000}"/>
    <cellStyle name="Percent 5 2 2 2 6" xfId="45414" xr:uid="{00000000-0005-0000-0000-000035F30000}"/>
    <cellStyle name="Percent 5 2 2 2 7" xfId="45415" xr:uid="{00000000-0005-0000-0000-000036F30000}"/>
    <cellStyle name="Percent 5 2 2 3" xfId="45416" xr:uid="{00000000-0005-0000-0000-000037F30000}"/>
    <cellStyle name="Percent 5 2 2 3 2" xfId="45417" xr:uid="{00000000-0005-0000-0000-000038F30000}"/>
    <cellStyle name="Percent 5 2 2 3 2 2" xfId="62867" xr:uid="{00000000-0005-0000-0000-000039F30000}"/>
    <cellStyle name="Percent 5 2 2 3 2 3" xfId="62868" xr:uid="{00000000-0005-0000-0000-00003AF30000}"/>
    <cellStyle name="Percent 5 2 2 3 3" xfId="45418" xr:uid="{00000000-0005-0000-0000-00003BF30000}"/>
    <cellStyle name="Percent 5 2 2 3 3 2" xfId="62869" xr:uid="{00000000-0005-0000-0000-00003CF30000}"/>
    <cellStyle name="Percent 5 2 2 3 4" xfId="45419" xr:uid="{00000000-0005-0000-0000-00003DF30000}"/>
    <cellStyle name="Percent 5 2 2 3 5" xfId="45420" xr:uid="{00000000-0005-0000-0000-00003EF30000}"/>
    <cellStyle name="Percent 5 2 2 3 6" xfId="45421" xr:uid="{00000000-0005-0000-0000-00003FF30000}"/>
    <cellStyle name="Percent 5 2 2 4" xfId="45422" xr:uid="{00000000-0005-0000-0000-000040F30000}"/>
    <cellStyle name="Percent 5 2 2 4 2" xfId="62870" xr:uid="{00000000-0005-0000-0000-000041F30000}"/>
    <cellStyle name="Percent 5 2 2 4 3" xfId="62871" xr:uid="{00000000-0005-0000-0000-000042F30000}"/>
    <cellStyle name="Percent 5 2 2 5" xfId="45423" xr:uid="{00000000-0005-0000-0000-000043F30000}"/>
    <cellStyle name="Percent 5 2 2 5 2" xfId="62872" xr:uid="{00000000-0005-0000-0000-000044F30000}"/>
    <cellStyle name="Percent 5 2 2 6" xfId="45424" xr:uid="{00000000-0005-0000-0000-000045F30000}"/>
    <cellStyle name="Percent 5 2 2 7" xfId="45425" xr:uid="{00000000-0005-0000-0000-000046F30000}"/>
    <cellStyle name="Percent 5 2 2 8" xfId="45426" xr:uid="{00000000-0005-0000-0000-000047F30000}"/>
    <cellStyle name="Percent 5 2 2 9" xfId="45427" xr:uid="{00000000-0005-0000-0000-000048F30000}"/>
    <cellStyle name="Percent 5 2 3" xfId="45428" xr:uid="{00000000-0005-0000-0000-000049F30000}"/>
    <cellStyle name="Percent 5 2 3 2" xfId="45429" xr:uid="{00000000-0005-0000-0000-00004AF30000}"/>
    <cellStyle name="Percent 5 2 3 2 2" xfId="45430" xr:uid="{00000000-0005-0000-0000-00004BF30000}"/>
    <cellStyle name="Percent 5 2 3 2 2 2" xfId="45431" xr:uid="{00000000-0005-0000-0000-00004CF30000}"/>
    <cellStyle name="Percent 5 2 3 2 2 2 2" xfId="62873" xr:uid="{00000000-0005-0000-0000-00004DF30000}"/>
    <cellStyle name="Percent 5 2 3 2 2 2 3" xfId="62874" xr:uid="{00000000-0005-0000-0000-00004EF30000}"/>
    <cellStyle name="Percent 5 2 3 2 2 3" xfId="45432" xr:uid="{00000000-0005-0000-0000-00004FF30000}"/>
    <cellStyle name="Percent 5 2 3 2 2 3 2" xfId="62875" xr:uid="{00000000-0005-0000-0000-000050F30000}"/>
    <cellStyle name="Percent 5 2 3 2 2 4" xfId="45433" xr:uid="{00000000-0005-0000-0000-000051F30000}"/>
    <cellStyle name="Percent 5 2 3 2 2 5" xfId="45434" xr:uid="{00000000-0005-0000-0000-000052F30000}"/>
    <cellStyle name="Percent 5 2 3 2 2 6" xfId="45435" xr:uid="{00000000-0005-0000-0000-000053F30000}"/>
    <cellStyle name="Percent 5 2 3 2 3" xfId="45436" xr:uid="{00000000-0005-0000-0000-000054F30000}"/>
    <cellStyle name="Percent 5 2 3 2 3 2" xfId="62876" xr:uid="{00000000-0005-0000-0000-000055F30000}"/>
    <cellStyle name="Percent 5 2 3 2 3 3" xfId="62877" xr:uid="{00000000-0005-0000-0000-000056F30000}"/>
    <cellStyle name="Percent 5 2 3 2 4" xfId="45437" xr:uid="{00000000-0005-0000-0000-000057F30000}"/>
    <cellStyle name="Percent 5 2 3 2 4 2" xfId="62878" xr:uid="{00000000-0005-0000-0000-000058F30000}"/>
    <cellStyle name="Percent 5 2 3 2 5" xfId="45438" xr:uid="{00000000-0005-0000-0000-000059F30000}"/>
    <cellStyle name="Percent 5 2 3 2 6" xfId="45439" xr:uid="{00000000-0005-0000-0000-00005AF30000}"/>
    <cellStyle name="Percent 5 2 3 2 7" xfId="45440" xr:uid="{00000000-0005-0000-0000-00005BF30000}"/>
    <cellStyle name="Percent 5 2 3 3" xfId="45441" xr:uid="{00000000-0005-0000-0000-00005CF30000}"/>
    <cellStyle name="Percent 5 2 3 3 2" xfId="45442" xr:uid="{00000000-0005-0000-0000-00005DF30000}"/>
    <cellStyle name="Percent 5 2 3 3 2 2" xfId="62879" xr:uid="{00000000-0005-0000-0000-00005EF30000}"/>
    <cellStyle name="Percent 5 2 3 3 2 3" xfId="62880" xr:uid="{00000000-0005-0000-0000-00005FF30000}"/>
    <cellStyle name="Percent 5 2 3 3 3" xfId="45443" xr:uid="{00000000-0005-0000-0000-000060F30000}"/>
    <cellStyle name="Percent 5 2 3 3 3 2" xfId="62881" xr:uid="{00000000-0005-0000-0000-000061F30000}"/>
    <cellStyle name="Percent 5 2 3 3 4" xfId="45444" xr:uid="{00000000-0005-0000-0000-000062F30000}"/>
    <cellStyle name="Percent 5 2 3 3 5" xfId="45445" xr:uid="{00000000-0005-0000-0000-000063F30000}"/>
    <cellStyle name="Percent 5 2 3 3 6" xfId="45446" xr:uid="{00000000-0005-0000-0000-000064F30000}"/>
    <cellStyle name="Percent 5 2 3 4" xfId="45447" xr:uid="{00000000-0005-0000-0000-000065F30000}"/>
    <cellStyle name="Percent 5 2 3 4 2" xfId="62882" xr:uid="{00000000-0005-0000-0000-000066F30000}"/>
    <cellStyle name="Percent 5 2 3 4 3" xfId="62883" xr:uid="{00000000-0005-0000-0000-000067F30000}"/>
    <cellStyle name="Percent 5 2 3 5" xfId="45448" xr:uid="{00000000-0005-0000-0000-000068F30000}"/>
    <cellStyle name="Percent 5 2 3 5 2" xfId="62884" xr:uid="{00000000-0005-0000-0000-000069F30000}"/>
    <cellStyle name="Percent 5 2 3 6" xfId="45449" xr:uid="{00000000-0005-0000-0000-00006AF30000}"/>
    <cellStyle name="Percent 5 2 3 7" xfId="45450" xr:uid="{00000000-0005-0000-0000-00006BF30000}"/>
    <cellStyle name="Percent 5 2 3 8" xfId="45451" xr:uid="{00000000-0005-0000-0000-00006CF30000}"/>
    <cellStyle name="Percent 5 2 4" xfId="45452" xr:uid="{00000000-0005-0000-0000-00006DF30000}"/>
    <cellStyle name="Percent 5 2 4 2" xfId="45453" xr:uid="{00000000-0005-0000-0000-00006EF30000}"/>
    <cellStyle name="Percent 5 2 4 2 2" xfId="45454" xr:uid="{00000000-0005-0000-0000-00006FF30000}"/>
    <cellStyle name="Percent 5 2 4 2 2 2" xfId="62885" xr:uid="{00000000-0005-0000-0000-000070F30000}"/>
    <cellStyle name="Percent 5 2 4 2 2 3" xfId="62886" xr:uid="{00000000-0005-0000-0000-000071F30000}"/>
    <cellStyle name="Percent 5 2 4 2 3" xfId="45455" xr:uid="{00000000-0005-0000-0000-000072F30000}"/>
    <cellStyle name="Percent 5 2 4 2 3 2" xfId="62887" xr:uid="{00000000-0005-0000-0000-000073F30000}"/>
    <cellStyle name="Percent 5 2 4 2 4" xfId="45456" xr:uid="{00000000-0005-0000-0000-000074F30000}"/>
    <cellStyle name="Percent 5 2 4 2 5" xfId="45457" xr:uid="{00000000-0005-0000-0000-000075F30000}"/>
    <cellStyle name="Percent 5 2 4 2 6" xfId="45458" xr:uid="{00000000-0005-0000-0000-000076F30000}"/>
    <cellStyle name="Percent 5 2 4 3" xfId="45459" xr:uid="{00000000-0005-0000-0000-000077F30000}"/>
    <cellStyle name="Percent 5 2 4 3 2" xfId="62888" xr:uid="{00000000-0005-0000-0000-000078F30000}"/>
    <cellStyle name="Percent 5 2 4 3 3" xfId="62889" xr:uid="{00000000-0005-0000-0000-000079F30000}"/>
    <cellStyle name="Percent 5 2 4 4" xfId="45460" xr:uid="{00000000-0005-0000-0000-00007AF30000}"/>
    <cellStyle name="Percent 5 2 4 4 2" xfId="62890" xr:uid="{00000000-0005-0000-0000-00007BF30000}"/>
    <cellStyle name="Percent 5 2 4 5" xfId="45461" xr:uid="{00000000-0005-0000-0000-00007CF30000}"/>
    <cellStyle name="Percent 5 2 4 6" xfId="45462" xr:uid="{00000000-0005-0000-0000-00007DF30000}"/>
    <cellStyle name="Percent 5 2 4 7" xfId="45463" xr:uid="{00000000-0005-0000-0000-00007EF30000}"/>
    <cellStyle name="Percent 5 2 5" xfId="45464" xr:uid="{00000000-0005-0000-0000-00007FF30000}"/>
    <cellStyle name="Percent 5 2 5 2" xfId="45465" xr:uid="{00000000-0005-0000-0000-000080F30000}"/>
    <cellStyle name="Percent 5 2 5 2 2" xfId="62891" xr:uid="{00000000-0005-0000-0000-000081F30000}"/>
    <cellStyle name="Percent 5 2 5 2 3" xfId="62892" xr:uid="{00000000-0005-0000-0000-000082F30000}"/>
    <cellStyle name="Percent 5 2 5 3" xfId="45466" xr:uid="{00000000-0005-0000-0000-000083F30000}"/>
    <cellStyle name="Percent 5 2 5 3 2" xfId="62893" xr:uid="{00000000-0005-0000-0000-000084F30000}"/>
    <cellStyle name="Percent 5 2 5 4" xfId="45467" xr:uid="{00000000-0005-0000-0000-000085F30000}"/>
    <cellStyle name="Percent 5 2 5 5" xfId="45468" xr:uid="{00000000-0005-0000-0000-000086F30000}"/>
    <cellStyle name="Percent 5 2 5 6" xfId="45469" xr:uid="{00000000-0005-0000-0000-000087F30000}"/>
    <cellStyle name="Percent 5 2 6" xfId="45470" xr:uid="{00000000-0005-0000-0000-000088F30000}"/>
    <cellStyle name="Percent 5 2 6 2" xfId="62894" xr:uid="{00000000-0005-0000-0000-000089F30000}"/>
    <cellStyle name="Percent 5 2 6 3" xfId="62895" xr:uid="{00000000-0005-0000-0000-00008AF30000}"/>
    <cellStyle name="Percent 5 2 7" xfId="45471" xr:uid="{00000000-0005-0000-0000-00008BF30000}"/>
    <cellStyle name="Percent 5 2 7 2" xfId="62896" xr:uid="{00000000-0005-0000-0000-00008CF30000}"/>
    <cellStyle name="Percent 5 2 8" xfId="45472" xr:uid="{00000000-0005-0000-0000-00008DF30000}"/>
    <cellStyle name="Percent 5 2 9" xfId="45473" xr:uid="{00000000-0005-0000-0000-00008EF30000}"/>
    <cellStyle name="Percent 5 3" xfId="45474" xr:uid="{00000000-0005-0000-0000-00008FF30000}"/>
    <cellStyle name="Percent 5 3 10" xfId="45475" xr:uid="{00000000-0005-0000-0000-000090F30000}"/>
    <cellStyle name="Percent 5 3 11" xfId="45476" xr:uid="{00000000-0005-0000-0000-000091F30000}"/>
    <cellStyle name="Percent 5 3 12" xfId="45477" xr:uid="{00000000-0005-0000-0000-000092F30000}"/>
    <cellStyle name="Percent 5 3 13" xfId="45478" xr:uid="{00000000-0005-0000-0000-000093F30000}"/>
    <cellStyle name="Percent 5 3 14" xfId="45479" xr:uid="{00000000-0005-0000-0000-000094F30000}"/>
    <cellStyle name="Percent 5 3 15" xfId="45480" xr:uid="{00000000-0005-0000-0000-000095F30000}"/>
    <cellStyle name="Percent 5 3 2" xfId="45481" xr:uid="{00000000-0005-0000-0000-000096F30000}"/>
    <cellStyle name="Percent 5 3 2 2" xfId="45482" xr:uid="{00000000-0005-0000-0000-000097F30000}"/>
    <cellStyle name="Percent 5 3 2 2 2" xfId="45483" xr:uid="{00000000-0005-0000-0000-000098F30000}"/>
    <cellStyle name="Percent 5 3 2 2 2 2" xfId="45484" xr:uid="{00000000-0005-0000-0000-000099F30000}"/>
    <cellStyle name="Percent 5 3 2 2 2 2 2" xfId="62897" xr:uid="{00000000-0005-0000-0000-00009AF30000}"/>
    <cellStyle name="Percent 5 3 2 2 2 2 3" xfId="62898" xr:uid="{00000000-0005-0000-0000-00009BF30000}"/>
    <cellStyle name="Percent 5 3 2 2 2 3" xfId="45485" xr:uid="{00000000-0005-0000-0000-00009CF30000}"/>
    <cellStyle name="Percent 5 3 2 2 2 3 2" xfId="62899" xr:uid="{00000000-0005-0000-0000-00009DF30000}"/>
    <cellStyle name="Percent 5 3 2 2 2 4" xfId="45486" xr:uid="{00000000-0005-0000-0000-00009EF30000}"/>
    <cellStyle name="Percent 5 3 2 2 2 5" xfId="45487" xr:uid="{00000000-0005-0000-0000-00009FF30000}"/>
    <cellStyle name="Percent 5 3 2 2 2 6" xfId="45488" xr:uid="{00000000-0005-0000-0000-0000A0F30000}"/>
    <cellStyle name="Percent 5 3 2 2 3" xfId="45489" xr:uid="{00000000-0005-0000-0000-0000A1F30000}"/>
    <cellStyle name="Percent 5 3 2 2 3 2" xfId="62900" xr:uid="{00000000-0005-0000-0000-0000A2F30000}"/>
    <cellStyle name="Percent 5 3 2 2 3 3" xfId="62901" xr:uid="{00000000-0005-0000-0000-0000A3F30000}"/>
    <cellStyle name="Percent 5 3 2 2 4" xfId="45490" xr:uid="{00000000-0005-0000-0000-0000A4F30000}"/>
    <cellStyle name="Percent 5 3 2 2 4 2" xfId="62902" xr:uid="{00000000-0005-0000-0000-0000A5F30000}"/>
    <cellStyle name="Percent 5 3 2 2 5" xfId="45491" xr:uid="{00000000-0005-0000-0000-0000A6F30000}"/>
    <cellStyle name="Percent 5 3 2 2 6" xfId="45492" xr:uid="{00000000-0005-0000-0000-0000A7F30000}"/>
    <cellStyle name="Percent 5 3 2 2 7" xfId="45493" xr:uid="{00000000-0005-0000-0000-0000A8F30000}"/>
    <cellStyle name="Percent 5 3 2 3" xfId="45494" xr:uid="{00000000-0005-0000-0000-0000A9F30000}"/>
    <cellStyle name="Percent 5 3 2 3 2" xfId="45495" xr:uid="{00000000-0005-0000-0000-0000AAF30000}"/>
    <cellStyle name="Percent 5 3 2 3 2 2" xfId="62903" xr:uid="{00000000-0005-0000-0000-0000ABF30000}"/>
    <cellStyle name="Percent 5 3 2 3 2 3" xfId="62904" xr:uid="{00000000-0005-0000-0000-0000ACF30000}"/>
    <cellStyle name="Percent 5 3 2 3 3" xfId="45496" xr:uid="{00000000-0005-0000-0000-0000ADF30000}"/>
    <cellStyle name="Percent 5 3 2 3 3 2" xfId="62905" xr:uid="{00000000-0005-0000-0000-0000AEF30000}"/>
    <cellStyle name="Percent 5 3 2 3 4" xfId="45497" xr:uid="{00000000-0005-0000-0000-0000AFF30000}"/>
    <cellStyle name="Percent 5 3 2 3 5" xfId="45498" xr:uid="{00000000-0005-0000-0000-0000B0F30000}"/>
    <cellStyle name="Percent 5 3 2 3 6" xfId="45499" xr:uid="{00000000-0005-0000-0000-0000B1F30000}"/>
    <cellStyle name="Percent 5 3 2 4" xfId="45500" xr:uid="{00000000-0005-0000-0000-0000B2F30000}"/>
    <cellStyle name="Percent 5 3 2 4 2" xfId="62906" xr:uid="{00000000-0005-0000-0000-0000B3F30000}"/>
    <cellStyle name="Percent 5 3 2 4 3" xfId="62907" xr:uid="{00000000-0005-0000-0000-0000B4F30000}"/>
    <cellStyle name="Percent 5 3 2 5" xfId="45501" xr:uid="{00000000-0005-0000-0000-0000B5F30000}"/>
    <cellStyle name="Percent 5 3 2 5 2" xfId="62908" xr:uid="{00000000-0005-0000-0000-0000B6F30000}"/>
    <cellStyle name="Percent 5 3 2 6" xfId="45502" xr:uid="{00000000-0005-0000-0000-0000B7F30000}"/>
    <cellStyle name="Percent 5 3 2 7" xfId="45503" xr:uid="{00000000-0005-0000-0000-0000B8F30000}"/>
    <cellStyle name="Percent 5 3 2 8" xfId="45504" xr:uid="{00000000-0005-0000-0000-0000B9F30000}"/>
    <cellStyle name="Percent 5 3 2 9" xfId="45505" xr:uid="{00000000-0005-0000-0000-0000BAF30000}"/>
    <cellStyle name="Percent 5 3 3" xfId="45506" xr:uid="{00000000-0005-0000-0000-0000BBF30000}"/>
    <cellStyle name="Percent 5 3 3 2" xfId="45507" xr:uid="{00000000-0005-0000-0000-0000BCF30000}"/>
    <cellStyle name="Percent 5 3 3 2 2" xfId="45508" xr:uid="{00000000-0005-0000-0000-0000BDF30000}"/>
    <cellStyle name="Percent 5 3 3 2 2 2" xfId="45509" xr:uid="{00000000-0005-0000-0000-0000BEF30000}"/>
    <cellStyle name="Percent 5 3 3 2 2 2 2" xfId="62909" xr:uid="{00000000-0005-0000-0000-0000BFF30000}"/>
    <cellStyle name="Percent 5 3 3 2 2 2 3" xfId="62910" xr:uid="{00000000-0005-0000-0000-0000C0F30000}"/>
    <cellStyle name="Percent 5 3 3 2 2 3" xfId="45510" xr:uid="{00000000-0005-0000-0000-0000C1F30000}"/>
    <cellStyle name="Percent 5 3 3 2 2 3 2" xfId="62911" xr:uid="{00000000-0005-0000-0000-0000C2F30000}"/>
    <cellStyle name="Percent 5 3 3 2 2 4" xfId="45511" xr:uid="{00000000-0005-0000-0000-0000C3F30000}"/>
    <cellStyle name="Percent 5 3 3 2 2 5" xfId="45512" xr:uid="{00000000-0005-0000-0000-0000C4F30000}"/>
    <cellStyle name="Percent 5 3 3 2 2 6" xfId="45513" xr:uid="{00000000-0005-0000-0000-0000C5F30000}"/>
    <cellStyle name="Percent 5 3 3 2 3" xfId="45514" xr:uid="{00000000-0005-0000-0000-0000C6F30000}"/>
    <cellStyle name="Percent 5 3 3 2 3 2" xfId="62912" xr:uid="{00000000-0005-0000-0000-0000C7F30000}"/>
    <cellStyle name="Percent 5 3 3 2 3 3" xfId="62913" xr:uid="{00000000-0005-0000-0000-0000C8F30000}"/>
    <cellStyle name="Percent 5 3 3 2 4" xfId="45515" xr:uid="{00000000-0005-0000-0000-0000C9F30000}"/>
    <cellStyle name="Percent 5 3 3 2 4 2" xfId="62914" xr:uid="{00000000-0005-0000-0000-0000CAF30000}"/>
    <cellStyle name="Percent 5 3 3 2 5" xfId="45516" xr:uid="{00000000-0005-0000-0000-0000CBF30000}"/>
    <cellStyle name="Percent 5 3 3 2 6" xfId="45517" xr:uid="{00000000-0005-0000-0000-0000CCF30000}"/>
    <cellStyle name="Percent 5 3 3 2 7" xfId="45518" xr:uid="{00000000-0005-0000-0000-0000CDF30000}"/>
    <cellStyle name="Percent 5 3 3 3" xfId="45519" xr:uid="{00000000-0005-0000-0000-0000CEF30000}"/>
    <cellStyle name="Percent 5 3 3 3 2" xfId="45520" xr:uid="{00000000-0005-0000-0000-0000CFF30000}"/>
    <cellStyle name="Percent 5 3 3 3 2 2" xfId="62915" xr:uid="{00000000-0005-0000-0000-0000D0F30000}"/>
    <cellStyle name="Percent 5 3 3 3 2 3" xfId="62916" xr:uid="{00000000-0005-0000-0000-0000D1F30000}"/>
    <cellStyle name="Percent 5 3 3 3 3" xfId="45521" xr:uid="{00000000-0005-0000-0000-0000D2F30000}"/>
    <cellStyle name="Percent 5 3 3 3 3 2" xfId="62917" xr:uid="{00000000-0005-0000-0000-0000D3F30000}"/>
    <cellStyle name="Percent 5 3 3 3 4" xfId="45522" xr:uid="{00000000-0005-0000-0000-0000D4F30000}"/>
    <cellStyle name="Percent 5 3 3 3 5" xfId="45523" xr:uid="{00000000-0005-0000-0000-0000D5F30000}"/>
    <cellStyle name="Percent 5 3 3 3 6" xfId="45524" xr:uid="{00000000-0005-0000-0000-0000D6F30000}"/>
    <cellStyle name="Percent 5 3 3 4" xfId="45525" xr:uid="{00000000-0005-0000-0000-0000D7F30000}"/>
    <cellStyle name="Percent 5 3 3 4 2" xfId="62918" xr:uid="{00000000-0005-0000-0000-0000D8F30000}"/>
    <cellStyle name="Percent 5 3 3 4 3" xfId="62919" xr:uid="{00000000-0005-0000-0000-0000D9F30000}"/>
    <cellStyle name="Percent 5 3 3 5" xfId="45526" xr:uid="{00000000-0005-0000-0000-0000DAF30000}"/>
    <cellStyle name="Percent 5 3 3 5 2" xfId="62920" xr:uid="{00000000-0005-0000-0000-0000DBF30000}"/>
    <cellStyle name="Percent 5 3 3 6" xfId="45527" xr:uid="{00000000-0005-0000-0000-0000DCF30000}"/>
    <cellStyle name="Percent 5 3 3 7" xfId="45528" xr:uid="{00000000-0005-0000-0000-0000DDF30000}"/>
    <cellStyle name="Percent 5 3 3 8" xfId="45529" xr:uid="{00000000-0005-0000-0000-0000DEF30000}"/>
    <cellStyle name="Percent 5 3 4" xfId="45530" xr:uid="{00000000-0005-0000-0000-0000DFF30000}"/>
    <cellStyle name="Percent 5 3 4 2" xfId="45531" xr:uid="{00000000-0005-0000-0000-0000E0F30000}"/>
    <cellStyle name="Percent 5 3 4 2 2" xfId="45532" xr:uid="{00000000-0005-0000-0000-0000E1F30000}"/>
    <cellStyle name="Percent 5 3 4 2 2 2" xfId="62921" xr:uid="{00000000-0005-0000-0000-0000E2F30000}"/>
    <cellStyle name="Percent 5 3 4 2 2 3" xfId="62922" xr:uid="{00000000-0005-0000-0000-0000E3F30000}"/>
    <cellStyle name="Percent 5 3 4 2 3" xfId="45533" xr:uid="{00000000-0005-0000-0000-0000E4F30000}"/>
    <cellStyle name="Percent 5 3 4 2 3 2" xfId="62923" xr:uid="{00000000-0005-0000-0000-0000E5F30000}"/>
    <cellStyle name="Percent 5 3 4 2 4" xfId="45534" xr:uid="{00000000-0005-0000-0000-0000E6F30000}"/>
    <cellStyle name="Percent 5 3 4 2 5" xfId="45535" xr:uid="{00000000-0005-0000-0000-0000E7F30000}"/>
    <cellStyle name="Percent 5 3 4 2 6" xfId="45536" xr:uid="{00000000-0005-0000-0000-0000E8F30000}"/>
    <cellStyle name="Percent 5 3 4 3" xfId="45537" xr:uid="{00000000-0005-0000-0000-0000E9F30000}"/>
    <cellStyle name="Percent 5 3 4 3 2" xfId="62924" xr:uid="{00000000-0005-0000-0000-0000EAF30000}"/>
    <cellStyle name="Percent 5 3 4 3 3" xfId="62925" xr:uid="{00000000-0005-0000-0000-0000EBF30000}"/>
    <cellStyle name="Percent 5 3 4 4" xfId="45538" xr:uid="{00000000-0005-0000-0000-0000ECF30000}"/>
    <cellStyle name="Percent 5 3 4 4 2" xfId="62926" xr:uid="{00000000-0005-0000-0000-0000EDF30000}"/>
    <cellStyle name="Percent 5 3 4 5" xfId="45539" xr:uid="{00000000-0005-0000-0000-0000EEF30000}"/>
    <cellStyle name="Percent 5 3 4 6" xfId="45540" xr:uid="{00000000-0005-0000-0000-0000EFF30000}"/>
    <cellStyle name="Percent 5 3 4 7" xfId="45541" xr:uid="{00000000-0005-0000-0000-0000F0F30000}"/>
    <cellStyle name="Percent 5 3 5" xfId="45542" xr:uid="{00000000-0005-0000-0000-0000F1F30000}"/>
    <cellStyle name="Percent 5 3 5 2" xfId="45543" xr:uid="{00000000-0005-0000-0000-0000F2F30000}"/>
    <cellStyle name="Percent 5 3 5 2 2" xfId="62927" xr:uid="{00000000-0005-0000-0000-0000F3F30000}"/>
    <cellStyle name="Percent 5 3 5 2 3" xfId="62928" xr:uid="{00000000-0005-0000-0000-0000F4F30000}"/>
    <cellStyle name="Percent 5 3 5 3" xfId="45544" xr:uid="{00000000-0005-0000-0000-0000F5F30000}"/>
    <cellStyle name="Percent 5 3 5 3 2" xfId="62929" xr:uid="{00000000-0005-0000-0000-0000F6F30000}"/>
    <cellStyle name="Percent 5 3 5 4" xfId="45545" xr:uid="{00000000-0005-0000-0000-0000F7F30000}"/>
    <cellStyle name="Percent 5 3 5 5" xfId="45546" xr:uid="{00000000-0005-0000-0000-0000F8F30000}"/>
    <cellStyle name="Percent 5 3 5 6" xfId="45547" xr:uid="{00000000-0005-0000-0000-0000F9F30000}"/>
    <cellStyle name="Percent 5 3 6" xfId="45548" xr:uid="{00000000-0005-0000-0000-0000FAF30000}"/>
    <cellStyle name="Percent 5 3 6 2" xfId="62930" xr:uid="{00000000-0005-0000-0000-0000FBF30000}"/>
    <cellStyle name="Percent 5 3 6 3" xfId="62931" xr:uid="{00000000-0005-0000-0000-0000FCF30000}"/>
    <cellStyle name="Percent 5 3 7" xfId="45549" xr:uid="{00000000-0005-0000-0000-0000FDF30000}"/>
    <cellStyle name="Percent 5 3 7 2" xfId="62932" xr:uid="{00000000-0005-0000-0000-0000FEF30000}"/>
    <cellStyle name="Percent 5 3 8" xfId="45550" xr:uid="{00000000-0005-0000-0000-0000FFF30000}"/>
    <cellStyle name="Percent 5 3 9" xfId="45551" xr:uid="{00000000-0005-0000-0000-000000F40000}"/>
    <cellStyle name="Percent 5 4" xfId="45552" xr:uid="{00000000-0005-0000-0000-000001F40000}"/>
    <cellStyle name="Percent 5 4 10" xfId="45553" xr:uid="{00000000-0005-0000-0000-000002F40000}"/>
    <cellStyle name="Percent 5 4 11" xfId="45554" xr:uid="{00000000-0005-0000-0000-000003F40000}"/>
    <cellStyle name="Percent 5 4 12" xfId="45555" xr:uid="{00000000-0005-0000-0000-000004F40000}"/>
    <cellStyle name="Percent 5 4 13" xfId="45556" xr:uid="{00000000-0005-0000-0000-000005F40000}"/>
    <cellStyle name="Percent 5 4 2" xfId="45557" xr:uid="{00000000-0005-0000-0000-000006F40000}"/>
    <cellStyle name="Percent 5 4 2 2" xfId="45558" xr:uid="{00000000-0005-0000-0000-000007F40000}"/>
    <cellStyle name="Percent 5 4 2 2 2" xfId="45559" xr:uid="{00000000-0005-0000-0000-000008F40000}"/>
    <cellStyle name="Percent 5 4 2 2 2 2" xfId="45560" xr:uid="{00000000-0005-0000-0000-000009F40000}"/>
    <cellStyle name="Percent 5 4 2 2 2 2 2" xfId="62933" xr:uid="{00000000-0005-0000-0000-00000AF40000}"/>
    <cellStyle name="Percent 5 4 2 2 2 2 3" xfId="62934" xr:uid="{00000000-0005-0000-0000-00000BF40000}"/>
    <cellStyle name="Percent 5 4 2 2 2 3" xfId="45561" xr:uid="{00000000-0005-0000-0000-00000CF40000}"/>
    <cellStyle name="Percent 5 4 2 2 2 3 2" xfId="62935" xr:uid="{00000000-0005-0000-0000-00000DF40000}"/>
    <cellStyle name="Percent 5 4 2 2 2 4" xfId="45562" xr:uid="{00000000-0005-0000-0000-00000EF40000}"/>
    <cellStyle name="Percent 5 4 2 2 2 5" xfId="45563" xr:uid="{00000000-0005-0000-0000-00000FF40000}"/>
    <cellStyle name="Percent 5 4 2 2 2 6" xfId="45564" xr:uid="{00000000-0005-0000-0000-000010F40000}"/>
    <cellStyle name="Percent 5 4 2 2 3" xfId="45565" xr:uid="{00000000-0005-0000-0000-000011F40000}"/>
    <cellStyle name="Percent 5 4 2 2 3 2" xfId="62936" xr:uid="{00000000-0005-0000-0000-000012F40000}"/>
    <cellStyle name="Percent 5 4 2 2 3 3" xfId="62937" xr:uid="{00000000-0005-0000-0000-000013F40000}"/>
    <cellStyle name="Percent 5 4 2 2 4" xfId="45566" xr:uid="{00000000-0005-0000-0000-000014F40000}"/>
    <cellStyle name="Percent 5 4 2 2 4 2" xfId="62938" xr:uid="{00000000-0005-0000-0000-000015F40000}"/>
    <cellStyle name="Percent 5 4 2 2 5" xfId="45567" xr:uid="{00000000-0005-0000-0000-000016F40000}"/>
    <cellStyle name="Percent 5 4 2 2 6" xfId="45568" xr:uid="{00000000-0005-0000-0000-000017F40000}"/>
    <cellStyle name="Percent 5 4 2 2 7" xfId="45569" xr:uid="{00000000-0005-0000-0000-000018F40000}"/>
    <cellStyle name="Percent 5 4 2 3" xfId="45570" xr:uid="{00000000-0005-0000-0000-000019F40000}"/>
    <cellStyle name="Percent 5 4 2 3 2" xfId="45571" xr:uid="{00000000-0005-0000-0000-00001AF40000}"/>
    <cellStyle name="Percent 5 4 2 3 2 2" xfId="62939" xr:uid="{00000000-0005-0000-0000-00001BF40000}"/>
    <cellStyle name="Percent 5 4 2 3 2 3" xfId="62940" xr:uid="{00000000-0005-0000-0000-00001CF40000}"/>
    <cellStyle name="Percent 5 4 2 3 3" xfId="45572" xr:uid="{00000000-0005-0000-0000-00001DF40000}"/>
    <cellStyle name="Percent 5 4 2 3 3 2" xfId="62941" xr:uid="{00000000-0005-0000-0000-00001EF40000}"/>
    <cellStyle name="Percent 5 4 2 3 4" xfId="45573" xr:uid="{00000000-0005-0000-0000-00001FF40000}"/>
    <cellStyle name="Percent 5 4 2 3 5" xfId="45574" xr:uid="{00000000-0005-0000-0000-000020F40000}"/>
    <cellStyle name="Percent 5 4 2 3 6" xfId="45575" xr:uid="{00000000-0005-0000-0000-000021F40000}"/>
    <cellStyle name="Percent 5 4 2 4" xfId="45576" xr:uid="{00000000-0005-0000-0000-000022F40000}"/>
    <cellStyle name="Percent 5 4 2 4 2" xfId="62942" xr:uid="{00000000-0005-0000-0000-000023F40000}"/>
    <cellStyle name="Percent 5 4 2 4 3" xfId="62943" xr:uid="{00000000-0005-0000-0000-000024F40000}"/>
    <cellStyle name="Percent 5 4 2 5" xfId="45577" xr:uid="{00000000-0005-0000-0000-000025F40000}"/>
    <cellStyle name="Percent 5 4 2 5 2" xfId="62944" xr:uid="{00000000-0005-0000-0000-000026F40000}"/>
    <cellStyle name="Percent 5 4 2 6" xfId="45578" xr:uid="{00000000-0005-0000-0000-000027F40000}"/>
    <cellStyle name="Percent 5 4 2 7" xfId="45579" xr:uid="{00000000-0005-0000-0000-000028F40000}"/>
    <cellStyle name="Percent 5 4 2 8" xfId="45580" xr:uid="{00000000-0005-0000-0000-000029F40000}"/>
    <cellStyle name="Percent 5 4 2 9" xfId="45581" xr:uid="{00000000-0005-0000-0000-00002AF40000}"/>
    <cellStyle name="Percent 5 4 3" xfId="45582" xr:uid="{00000000-0005-0000-0000-00002BF40000}"/>
    <cellStyle name="Percent 5 4 3 2" xfId="45583" xr:uid="{00000000-0005-0000-0000-00002CF40000}"/>
    <cellStyle name="Percent 5 4 3 2 2" xfId="45584" xr:uid="{00000000-0005-0000-0000-00002DF40000}"/>
    <cellStyle name="Percent 5 4 3 2 2 2" xfId="62945" xr:uid="{00000000-0005-0000-0000-00002EF40000}"/>
    <cellStyle name="Percent 5 4 3 2 2 3" xfId="62946" xr:uid="{00000000-0005-0000-0000-00002FF40000}"/>
    <cellStyle name="Percent 5 4 3 2 3" xfId="45585" xr:uid="{00000000-0005-0000-0000-000030F40000}"/>
    <cellStyle name="Percent 5 4 3 2 3 2" xfId="62947" xr:uid="{00000000-0005-0000-0000-000031F40000}"/>
    <cellStyle name="Percent 5 4 3 2 4" xfId="45586" xr:uid="{00000000-0005-0000-0000-000032F40000}"/>
    <cellStyle name="Percent 5 4 3 2 5" xfId="45587" xr:uid="{00000000-0005-0000-0000-000033F40000}"/>
    <cellStyle name="Percent 5 4 3 2 6" xfId="45588" xr:uid="{00000000-0005-0000-0000-000034F40000}"/>
    <cellStyle name="Percent 5 4 3 3" xfId="45589" xr:uid="{00000000-0005-0000-0000-000035F40000}"/>
    <cellStyle name="Percent 5 4 3 3 2" xfId="62948" xr:uid="{00000000-0005-0000-0000-000036F40000}"/>
    <cellStyle name="Percent 5 4 3 3 3" xfId="62949" xr:uid="{00000000-0005-0000-0000-000037F40000}"/>
    <cellStyle name="Percent 5 4 3 4" xfId="45590" xr:uid="{00000000-0005-0000-0000-000038F40000}"/>
    <cellStyle name="Percent 5 4 3 4 2" xfId="62950" xr:uid="{00000000-0005-0000-0000-000039F40000}"/>
    <cellStyle name="Percent 5 4 3 5" xfId="45591" xr:uid="{00000000-0005-0000-0000-00003AF40000}"/>
    <cellStyle name="Percent 5 4 3 6" xfId="45592" xr:uid="{00000000-0005-0000-0000-00003BF40000}"/>
    <cellStyle name="Percent 5 4 3 7" xfId="45593" xr:uid="{00000000-0005-0000-0000-00003CF40000}"/>
    <cellStyle name="Percent 5 4 4" xfId="45594" xr:uid="{00000000-0005-0000-0000-00003DF40000}"/>
    <cellStyle name="Percent 5 4 4 2" xfId="45595" xr:uid="{00000000-0005-0000-0000-00003EF40000}"/>
    <cellStyle name="Percent 5 4 4 2 2" xfId="62951" xr:uid="{00000000-0005-0000-0000-00003FF40000}"/>
    <cellStyle name="Percent 5 4 4 2 3" xfId="62952" xr:uid="{00000000-0005-0000-0000-000040F40000}"/>
    <cellStyle name="Percent 5 4 4 3" xfId="45596" xr:uid="{00000000-0005-0000-0000-000041F40000}"/>
    <cellStyle name="Percent 5 4 4 3 2" xfId="62953" xr:uid="{00000000-0005-0000-0000-000042F40000}"/>
    <cellStyle name="Percent 5 4 4 4" xfId="45597" xr:uid="{00000000-0005-0000-0000-000043F40000}"/>
    <cellStyle name="Percent 5 4 4 5" xfId="45598" xr:uid="{00000000-0005-0000-0000-000044F40000}"/>
    <cellStyle name="Percent 5 4 4 6" xfId="45599" xr:uid="{00000000-0005-0000-0000-000045F40000}"/>
    <cellStyle name="Percent 5 4 5" xfId="45600" xr:uid="{00000000-0005-0000-0000-000046F40000}"/>
    <cellStyle name="Percent 5 4 5 2" xfId="62954" xr:uid="{00000000-0005-0000-0000-000047F40000}"/>
    <cellStyle name="Percent 5 4 5 3" xfId="62955" xr:uid="{00000000-0005-0000-0000-000048F40000}"/>
    <cellStyle name="Percent 5 4 6" xfId="45601" xr:uid="{00000000-0005-0000-0000-000049F40000}"/>
    <cellStyle name="Percent 5 4 6 2" xfId="62956" xr:uid="{00000000-0005-0000-0000-00004AF40000}"/>
    <cellStyle name="Percent 5 4 7" xfId="45602" xr:uid="{00000000-0005-0000-0000-00004BF40000}"/>
    <cellStyle name="Percent 5 4 8" xfId="45603" xr:uid="{00000000-0005-0000-0000-00004CF40000}"/>
    <cellStyle name="Percent 5 4 9" xfId="45604" xr:uid="{00000000-0005-0000-0000-00004DF40000}"/>
    <cellStyle name="Percent 5 5" xfId="45605" xr:uid="{00000000-0005-0000-0000-00004EF40000}"/>
    <cellStyle name="Percent 5 5 2" xfId="45606" xr:uid="{00000000-0005-0000-0000-00004FF40000}"/>
    <cellStyle name="Percent 5 5 2 2" xfId="45607" xr:uid="{00000000-0005-0000-0000-000050F40000}"/>
    <cellStyle name="Percent 5 5 2 2 2" xfId="45608" xr:uid="{00000000-0005-0000-0000-000051F40000}"/>
    <cellStyle name="Percent 5 5 2 2 2 2" xfId="62957" xr:uid="{00000000-0005-0000-0000-000052F40000}"/>
    <cellStyle name="Percent 5 5 2 2 2 3" xfId="62958" xr:uid="{00000000-0005-0000-0000-000053F40000}"/>
    <cellStyle name="Percent 5 5 2 2 3" xfId="45609" xr:uid="{00000000-0005-0000-0000-000054F40000}"/>
    <cellStyle name="Percent 5 5 2 2 3 2" xfId="62959" xr:uid="{00000000-0005-0000-0000-000055F40000}"/>
    <cellStyle name="Percent 5 5 2 2 4" xfId="45610" xr:uid="{00000000-0005-0000-0000-000056F40000}"/>
    <cellStyle name="Percent 5 5 2 2 5" xfId="45611" xr:uid="{00000000-0005-0000-0000-000057F40000}"/>
    <cellStyle name="Percent 5 5 2 2 6" xfId="45612" xr:uid="{00000000-0005-0000-0000-000058F40000}"/>
    <cellStyle name="Percent 5 5 2 3" xfId="45613" xr:uid="{00000000-0005-0000-0000-000059F40000}"/>
    <cellStyle name="Percent 5 5 2 3 2" xfId="62960" xr:uid="{00000000-0005-0000-0000-00005AF40000}"/>
    <cellStyle name="Percent 5 5 2 3 3" xfId="62961" xr:uid="{00000000-0005-0000-0000-00005BF40000}"/>
    <cellStyle name="Percent 5 5 2 4" xfId="45614" xr:uid="{00000000-0005-0000-0000-00005CF40000}"/>
    <cellStyle name="Percent 5 5 2 4 2" xfId="62962" xr:uid="{00000000-0005-0000-0000-00005DF40000}"/>
    <cellStyle name="Percent 5 5 2 5" xfId="45615" xr:uid="{00000000-0005-0000-0000-00005EF40000}"/>
    <cellStyle name="Percent 5 5 2 6" xfId="45616" xr:uid="{00000000-0005-0000-0000-00005FF40000}"/>
    <cellStyle name="Percent 5 5 2 7" xfId="45617" xr:uid="{00000000-0005-0000-0000-000060F40000}"/>
    <cellStyle name="Percent 5 5 3" xfId="45618" xr:uid="{00000000-0005-0000-0000-000061F40000}"/>
    <cellStyle name="Percent 5 5 3 2" xfId="45619" xr:uid="{00000000-0005-0000-0000-000062F40000}"/>
    <cellStyle name="Percent 5 5 3 2 2" xfId="62963" xr:uid="{00000000-0005-0000-0000-000063F40000}"/>
    <cellStyle name="Percent 5 5 3 2 3" xfId="62964" xr:uid="{00000000-0005-0000-0000-000064F40000}"/>
    <cellStyle name="Percent 5 5 3 3" xfId="45620" xr:uid="{00000000-0005-0000-0000-000065F40000}"/>
    <cellStyle name="Percent 5 5 3 3 2" xfId="62965" xr:uid="{00000000-0005-0000-0000-000066F40000}"/>
    <cellStyle name="Percent 5 5 3 4" xfId="45621" xr:uid="{00000000-0005-0000-0000-000067F40000}"/>
    <cellStyle name="Percent 5 5 3 5" xfId="45622" xr:uid="{00000000-0005-0000-0000-000068F40000}"/>
    <cellStyle name="Percent 5 5 3 6" xfId="45623" xr:uid="{00000000-0005-0000-0000-000069F40000}"/>
    <cellStyle name="Percent 5 5 4" xfId="45624" xr:uid="{00000000-0005-0000-0000-00006AF40000}"/>
    <cellStyle name="Percent 5 5 4 2" xfId="62966" xr:uid="{00000000-0005-0000-0000-00006BF40000}"/>
    <cellStyle name="Percent 5 5 4 3" xfId="62967" xr:uid="{00000000-0005-0000-0000-00006CF40000}"/>
    <cellStyle name="Percent 5 5 5" xfId="45625" xr:uid="{00000000-0005-0000-0000-00006DF40000}"/>
    <cellStyle name="Percent 5 5 5 2" xfId="62968" xr:uid="{00000000-0005-0000-0000-00006EF40000}"/>
    <cellStyle name="Percent 5 5 6" xfId="45626" xr:uid="{00000000-0005-0000-0000-00006FF40000}"/>
    <cellStyle name="Percent 5 5 7" xfId="45627" xr:uid="{00000000-0005-0000-0000-000070F40000}"/>
    <cellStyle name="Percent 5 5 8" xfId="45628" xr:uid="{00000000-0005-0000-0000-000071F40000}"/>
    <cellStyle name="Percent 5 5 9" xfId="45629" xr:uid="{00000000-0005-0000-0000-000072F40000}"/>
    <cellStyle name="Percent 5 6" xfId="45630" xr:uid="{00000000-0005-0000-0000-000073F40000}"/>
    <cellStyle name="Percent 5 6 2" xfId="45631" xr:uid="{00000000-0005-0000-0000-000074F40000}"/>
    <cellStyle name="Percent 5 6 2 2" xfId="45632" xr:uid="{00000000-0005-0000-0000-000075F40000}"/>
    <cellStyle name="Percent 5 6 2 2 2" xfId="45633" xr:uid="{00000000-0005-0000-0000-000076F40000}"/>
    <cellStyle name="Percent 5 6 2 2 2 2" xfId="62969" xr:uid="{00000000-0005-0000-0000-000077F40000}"/>
    <cellStyle name="Percent 5 6 2 2 2 3" xfId="62970" xr:uid="{00000000-0005-0000-0000-000078F40000}"/>
    <cellStyle name="Percent 5 6 2 2 3" xfId="45634" xr:uid="{00000000-0005-0000-0000-000079F40000}"/>
    <cellStyle name="Percent 5 6 2 2 3 2" xfId="62971" xr:uid="{00000000-0005-0000-0000-00007AF40000}"/>
    <cellStyle name="Percent 5 6 2 2 4" xfId="45635" xr:uid="{00000000-0005-0000-0000-00007BF40000}"/>
    <cellStyle name="Percent 5 6 2 2 5" xfId="45636" xr:uid="{00000000-0005-0000-0000-00007CF40000}"/>
    <cellStyle name="Percent 5 6 2 2 6" xfId="45637" xr:uid="{00000000-0005-0000-0000-00007DF40000}"/>
    <cellStyle name="Percent 5 6 2 3" xfId="45638" xr:uid="{00000000-0005-0000-0000-00007EF40000}"/>
    <cellStyle name="Percent 5 6 2 3 2" xfId="62972" xr:uid="{00000000-0005-0000-0000-00007FF40000}"/>
    <cellStyle name="Percent 5 6 2 3 3" xfId="62973" xr:uid="{00000000-0005-0000-0000-000080F40000}"/>
    <cellStyle name="Percent 5 6 2 4" xfId="45639" xr:uid="{00000000-0005-0000-0000-000081F40000}"/>
    <cellStyle name="Percent 5 6 2 4 2" xfId="62974" xr:uid="{00000000-0005-0000-0000-000082F40000}"/>
    <cellStyle name="Percent 5 6 2 5" xfId="45640" xr:uid="{00000000-0005-0000-0000-000083F40000}"/>
    <cellStyle name="Percent 5 6 2 6" xfId="45641" xr:uid="{00000000-0005-0000-0000-000084F40000}"/>
    <cellStyle name="Percent 5 6 2 7" xfId="45642" xr:uid="{00000000-0005-0000-0000-000085F40000}"/>
    <cellStyle name="Percent 5 6 3" xfId="45643" xr:uid="{00000000-0005-0000-0000-000086F40000}"/>
    <cellStyle name="Percent 5 6 3 2" xfId="45644" xr:uid="{00000000-0005-0000-0000-000087F40000}"/>
    <cellStyle name="Percent 5 6 3 2 2" xfId="62975" xr:uid="{00000000-0005-0000-0000-000088F40000}"/>
    <cellStyle name="Percent 5 6 3 2 3" xfId="62976" xr:uid="{00000000-0005-0000-0000-000089F40000}"/>
    <cellStyle name="Percent 5 6 3 3" xfId="45645" xr:uid="{00000000-0005-0000-0000-00008AF40000}"/>
    <cellStyle name="Percent 5 6 3 3 2" xfId="62977" xr:uid="{00000000-0005-0000-0000-00008BF40000}"/>
    <cellStyle name="Percent 5 6 3 4" xfId="45646" xr:uid="{00000000-0005-0000-0000-00008CF40000}"/>
    <cellStyle name="Percent 5 6 3 5" xfId="45647" xr:uid="{00000000-0005-0000-0000-00008DF40000}"/>
    <cellStyle name="Percent 5 6 3 6" xfId="45648" xr:uid="{00000000-0005-0000-0000-00008EF40000}"/>
    <cellStyle name="Percent 5 6 4" xfId="45649" xr:uid="{00000000-0005-0000-0000-00008FF40000}"/>
    <cellStyle name="Percent 5 6 4 2" xfId="62978" xr:uid="{00000000-0005-0000-0000-000090F40000}"/>
    <cellStyle name="Percent 5 6 4 3" xfId="62979" xr:uid="{00000000-0005-0000-0000-000091F40000}"/>
    <cellStyle name="Percent 5 6 5" xfId="45650" xr:uid="{00000000-0005-0000-0000-000092F40000}"/>
    <cellStyle name="Percent 5 6 5 2" xfId="62980" xr:uid="{00000000-0005-0000-0000-000093F40000}"/>
    <cellStyle name="Percent 5 6 6" xfId="45651" xr:uid="{00000000-0005-0000-0000-000094F40000}"/>
    <cellStyle name="Percent 5 6 7" xfId="45652" xr:uid="{00000000-0005-0000-0000-000095F40000}"/>
    <cellStyle name="Percent 5 6 8" xfId="45653" xr:uid="{00000000-0005-0000-0000-000096F40000}"/>
    <cellStyle name="Percent 5 7" xfId="45654" xr:uid="{00000000-0005-0000-0000-000097F40000}"/>
    <cellStyle name="Percent 5 7 2" xfId="45655" xr:uid="{00000000-0005-0000-0000-000098F40000}"/>
    <cellStyle name="Percent 5 7 2 2" xfId="45656" xr:uid="{00000000-0005-0000-0000-000099F40000}"/>
    <cellStyle name="Percent 5 7 2 2 2" xfId="45657" xr:uid="{00000000-0005-0000-0000-00009AF40000}"/>
    <cellStyle name="Percent 5 7 2 2 2 2" xfId="62981" xr:uid="{00000000-0005-0000-0000-00009BF40000}"/>
    <cellStyle name="Percent 5 7 2 2 2 3" xfId="62982" xr:uid="{00000000-0005-0000-0000-00009CF40000}"/>
    <cellStyle name="Percent 5 7 2 2 3" xfId="45658" xr:uid="{00000000-0005-0000-0000-00009DF40000}"/>
    <cellStyle name="Percent 5 7 2 2 3 2" xfId="62983" xr:uid="{00000000-0005-0000-0000-00009EF40000}"/>
    <cellStyle name="Percent 5 7 2 2 4" xfId="45659" xr:uid="{00000000-0005-0000-0000-00009FF40000}"/>
    <cellStyle name="Percent 5 7 2 2 5" xfId="45660" xr:uid="{00000000-0005-0000-0000-0000A0F40000}"/>
    <cellStyle name="Percent 5 7 2 2 6" xfId="45661" xr:uid="{00000000-0005-0000-0000-0000A1F40000}"/>
    <cellStyle name="Percent 5 7 2 3" xfId="45662" xr:uid="{00000000-0005-0000-0000-0000A2F40000}"/>
    <cellStyle name="Percent 5 7 2 3 2" xfId="62984" xr:uid="{00000000-0005-0000-0000-0000A3F40000}"/>
    <cellStyle name="Percent 5 7 2 3 3" xfId="62985" xr:uid="{00000000-0005-0000-0000-0000A4F40000}"/>
    <cellStyle name="Percent 5 7 2 4" xfId="45663" xr:uid="{00000000-0005-0000-0000-0000A5F40000}"/>
    <cellStyle name="Percent 5 7 2 4 2" xfId="62986" xr:uid="{00000000-0005-0000-0000-0000A6F40000}"/>
    <cellStyle name="Percent 5 7 2 5" xfId="45664" xr:uid="{00000000-0005-0000-0000-0000A7F40000}"/>
    <cellStyle name="Percent 5 7 2 6" xfId="45665" xr:uid="{00000000-0005-0000-0000-0000A8F40000}"/>
    <cellStyle name="Percent 5 7 2 7" xfId="45666" xr:uid="{00000000-0005-0000-0000-0000A9F40000}"/>
    <cellStyle name="Percent 5 7 3" xfId="45667" xr:uid="{00000000-0005-0000-0000-0000AAF40000}"/>
    <cellStyle name="Percent 5 7 3 2" xfId="45668" xr:uid="{00000000-0005-0000-0000-0000ABF40000}"/>
    <cellStyle name="Percent 5 7 3 2 2" xfId="62987" xr:uid="{00000000-0005-0000-0000-0000ACF40000}"/>
    <cellStyle name="Percent 5 7 3 2 3" xfId="62988" xr:uid="{00000000-0005-0000-0000-0000ADF40000}"/>
    <cellStyle name="Percent 5 7 3 3" xfId="45669" xr:uid="{00000000-0005-0000-0000-0000AEF40000}"/>
    <cellStyle name="Percent 5 7 3 3 2" xfId="62989" xr:uid="{00000000-0005-0000-0000-0000AFF40000}"/>
    <cellStyle name="Percent 5 7 3 4" xfId="45670" xr:uid="{00000000-0005-0000-0000-0000B0F40000}"/>
    <cellStyle name="Percent 5 7 3 5" xfId="45671" xr:uid="{00000000-0005-0000-0000-0000B1F40000}"/>
    <cellStyle name="Percent 5 7 3 6" xfId="45672" xr:uid="{00000000-0005-0000-0000-0000B2F40000}"/>
    <cellStyle name="Percent 5 7 4" xfId="45673" xr:uid="{00000000-0005-0000-0000-0000B3F40000}"/>
    <cellStyle name="Percent 5 7 4 2" xfId="62990" xr:uid="{00000000-0005-0000-0000-0000B4F40000}"/>
    <cellStyle name="Percent 5 7 4 3" xfId="62991" xr:uid="{00000000-0005-0000-0000-0000B5F40000}"/>
    <cellStyle name="Percent 5 7 5" xfId="45674" xr:uid="{00000000-0005-0000-0000-0000B6F40000}"/>
    <cellStyle name="Percent 5 7 5 2" xfId="62992" xr:uid="{00000000-0005-0000-0000-0000B7F40000}"/>
    <cellStyle name="Percent 5 7 6" xfId="45675" xr:uid="{00000000-0005-0000-0000-0000B8F40000}"/>
    <cellStyle name="Percent 5 7 7" xfId="45676" xr:uid="{00000000-0005-0000-0000-0000B9F40000}"/>
    <cellStyle name="Percent 5 7 8" xfId="45677" xr:uid="{00000000-0005-0000-0000-0000BAF40000}"/>
    <cellStyle name="Percent 5 8" xfId="45678" xr:uid="{00000000-0005-0000-0000-0000BBF40000}"/>
    <cellStyle name="Percent 5 8 2" xfId="45679" xr:uid="{00000000-0005-0000-0000-0000BCF40000}"/>
    <cellStyle name="Percent 5 8 2 2" xfId="45680" xr:uid="{00000000-0005-0000-0000-0000BDF40000}"/>
    <cellStyle name="Percent 5 8 2 2 2" xfId="62993" xr:uid="{00000000-0005-0000-0000-0000BEF40000}"/>
    <cellStyle name="Percent 5 8 2 2 3" xfId="62994" xr:uid="{00000000-0005-0000-0000-0000BFF40000}"/>
    <cellStyle name="Percent 5 8 2 3" xfId="45681" xr:uid="{00000000-0005-0000-0000-0000C0F40000}"/>
    <cellStyle name="Percent 5 8 2 3 2" xfId="62995" xr:uid="{00000000-0005-0000-0000-0000C1F40000}"/>
    <cellStyle name="Percent 5 8 2 4" xfId="45682" xr:uid="{00000000-0005-0000-0000-0000C2F40000}"/>
    <cellStyle name="Percent 5 8 2 5" xfId="45683" xr:uid="{00000000-0005-0000-0000-0000C3F40000}"/>
    <cellStyle name="Percent 5 8 2 6" xfId="45684" xr:uid="{00000000-0005-0000-0000-0000C4F40000}"/>
    <cellStyle name="Percent 5 8 3" xfId="45685" xr:uid="{00000000-0005-0000-0000-0000C5F40000}"/>
    <cellStyle name="Percent 5 8 3 2" xfId="62996" xr:uid="{00000000-0005-0000-0000-0000C6F40000}"/>
    <cellStyle name="Percent 5 8 3 3" xfId="62997" xr:uid="{00000000-0005-0000-0000-0000C7F40000}"/>
    <cellStyle name="Percent 5 8 4" xfId="45686" xr:uid="{00000000-0005-0000-0000-0000C8F40000}"/>
    <cellStyle name="Percent 5 8 4 2" xfId="62998" xr:uid="{00000000-0005-0000-0000-0000C9F40000}"/>
    <cellStyle name="Percent 5 8 5" xfId="45687" xr:uid="{00000000-0005-0000-0000-0000CAF40000}"/>
    <cellStyle name="Percent 5 8 6" xfId="45688" xr:uid="{00000000-0005-0000-0000-0000CBF40000}"/>
    <cellStyle name="Percent 5 8 7" xfId="45689" xr:uid="{00000000-0005-0000-0000-0000CCF40000}"/>
    <cellStyle name="Percent 5 9" xfId="45690" xr:uid="{00000000-0005-0000-0000-0000CDF40000}"/>
    <cellStyle name="Percent 5 9 2" xfId="45691" xr:uid="{00000000-0005-0000-0000-0000CEF40000}"/>
    <cellStyle name="Percent 5 9 2 2" xfId="62999" xr:uid="{00000000-0005-0000-0000-0000CFF40000}"/>
    <cellStyle name="Percent 5 9 2 3" xfId="63000" xr:uid="{00000000-0005-0000-0000-0000D0F40000}"/>
    <cellStyle name="Percent 5 9 3" xfId="45692" xr:uid="{00000000-0005-0000-0000-0000D1F40000}"/>
    <cellStyle name="Percent 5 9 3 2" xfId="63001" xr:uid="{00000000-0005-0000-0000-0000D2F40000}"/>
    <cellStyle name="Percent 5 9 4" xfId="45693" xr:uid="{00000000-0005-0000-0000-0000D3F40000}"/>
    <cellStyle name="Percent 5 9 5" xfId="45694" xr:uid="{00000000-0005-0000-0000-0000D4F40000}"/>
    <cellStyle name="Percent 5 9 6" xfId="45695" xr:uid="{00000000-0005-0000-0000-0000D5F40000}"/>
    <cellStyle name="Percent 6" xfId="45696" xr:uid="{00000000-0005-0000-0000-0000D6F40000}"/>
    <cellStyle name="Percent 6 10" xfId="45697" xr:uid="{00000000-0005-0000-0000-0000D7F40000}"/>
    <cellStyle name="Percent 6 11" xfId="45698" xr:uid="{00000000-0005-0000-0000-0000D8F40000}"/>
    <cellStyle name="Percent 6 12" xfId="45699" xr:uid="{00000000-0005-0000-0000-0000D9F40000}"/>
    <cellStyle name="Percent 6 13" xfId="45700" xr:uid="{00000000-0005-0000-0000-0000DAF40000}"/>
    <cellStyle name="Percent 6 14" xfId="45701" xr:uid="{00000000-0005-0000-0000-0000DBF40000}"/>
    <cellStyle name="Percent 6 2" xfId="45702" xr:uid="{00000000-0005-0000-0000-0000DCF40000}"/>
    <cellStyle name="Percent 6 2 10" xfId="45703" xr:uid="{00000000-0005-0000-0000-0000DDF40000}"/>
    <cellStyle name="Percent 6 2 2" xfId="45704" xr:uid="{00000000-0005-0000-0000-0000DEF40000}"/>
    <cellStyle name="Percent 6 2 2 2" xfId="45705" xr:uid="{00000000-0005-0000-0000-0000DFF40000}"/>
    <cellStyle name="Percent 6 2 2 2 2" xfId="45706" xr:uid="{00000000-0005-0000-0000-0000E0F40000}"/>
    <cellStyle name="Percent 6 2 2 2 2 2" xfId="63002" xr:uid="{00000000-0005-0000-0000-0000E1F40000}"/>
    <cellStyle name="Percent 6 2 2 2 2 3" xfId="63003" xr:uid="{00000000-0005-0000-0000-0000E2F40000}"/>
    <cellStyle name="Percent 6 2 2 2 3" xfId="45707" xr:uid="{00000000-0005-0000-0000-0000E3F40000}"/>
    <cellStyle name="Percent 6 2 2 2 3 2" xfId="63004" xr:uid="{00000000-0005-0000-0000-0000E4F40000}"/>
    <cellStyle name="Percent 6 2 2 2 4" xfId="45708" xr:uid="{00000000-0005-0000-0000-0000E5F40000}"/>
    <cellStyle name="Percent 6 2 2 2 5" xfId="45709" xr:uid="{00000000-0005-0000-0000-0000E6F40000}"/>
    <cellStyle name="Percent 6 2 2 2 6" xfId="45710" xr:uid="{00000000-0005-0000-0000-0000E7F40000}"/>
    <cellStyle name="Percent 6 2 2 3" xfId="45711" xr:uid="{00000000-0005-0000-0000-0000E8F40000}"/>
    <cellStyle name="Percent 6 2 2 3 2" xfId="63005" xr:uid="{00000000-0005-0000-0000-0000E9F40000}"/>
    <cellStyle name="Percent 6 2 2 3 3" xfId="63006" xr:uid="{00000000-0005-0000-0000-0000EAF40000}"/>
    <cellStyle name="Percent 6 2 2 4" xfId="45712" xr:uid="{00000000-0005-0000-0000-0000EBF40000}"/>
    <cellStyle name="Percent 6 2 2 4 2" xfId="63007" xr:uid="{00000000-0005-0000-0000-0000ECF40000}"/>
    <cellStyle name="Percent 6 2 2 5" xfId="45713" xr:uid="{00000000-0005-0000-0000-0000EDF40000}"/>
    <cellStyle name="Percent 6 2 2 6" xfId="45714" xr:uid="{00000000-0005-0000-0000-0000EEF40000}"/>
    <cellStyle name="Percent 6 2 2 7" xfId="45715" xr:uid="{00000000-0005-0000-0000-0000EFF40000}"/>
    <cellStyle name="Percent 6 2 3" xfId="45716" xr:uid="{00000000-0005-0000-0000-0000F0F40000}"/>
    <cellStyle name="Percent 6 2 3 2" xfId="45717" xr:uid="{00000000-0005-0000-0000-0000F1F40000}"/>
    <cellStyle name="Percent 6 2 3 2 2" xfId="63008" xr:uid="{00000000-0005-0000-0000-0000F2F40000}"/>
    <cellStyle name="Percent 6 2 3 2 3" xfId="63009" xr:uid="{00000000-0005-0000-0000-0000F3F40000}"/>
    <cellStyle name="Percent 6 2 3 3" xfId="45718" xr:uid="{00000000-0005-0000-0000-0000F4F40000}"/>
    <cellStyle name="Percent 6 2 3 3 2" xfId="63010" xr:uid="{00000000-0005-0000-0000-0000F5F40000}"/>
    <cellStyle name="Percent 6 2 3 4" xfId="45719" xr:uid="{00000000-0005-0000-0000-0000F6F40000}"/>
    <cellStyle name="Percent 6 2 3 5" xfId="45720" xr:uid="{00000000-0005-0000-0000-0000F7F40000}"/>
    <cellStyle name="Percent 6 2 3 6" xfId="45721" xr:uid="{00000000-0005-0000-0000-0000F8F40000}"/>
    <cellStyle name="Percent 6 2 4" xfId="45722" xr:uid="{00000000-0005-0000-0000-0000F9F40000}"/>
    <cellStyle name="Percent 6 2 4 2" xfId="63011" xr:uid="{00000000-0005-0000-0000-0000FAF40000}"/>
    <cellStyle name="Percent 6 2 4 3" xfId="63012" xr:uid="{00000000-0005-0000-0000-0000FBF40000}"/>
    <cellStyle name="Percent 6 2 5" xfId="45723" xr:uid="{00000000-0005-0000-0000-0000FCF40000}"/>
    <cellStyle name="Percent 6 2 5 2" xfId="63013" xr:uid="{00000000-0005-0000-0000-0000FDF40000}"/>
    <cellStyle name="Percent 6 2 6" xfId="45724" xr:uid="{00000000-0005-0000-0000-0000FEF40000}"/>
    <cellStyle name="Percent 6 2 7" xfId="45725" xr:uid="{00000000-0005-0000-0000-0000FFF40000}"/>
    <cellStyle name="Percent 6 2 8" xfId="45726" xr:uid="{00000000-0005-0000-0000-000000F50000}"/>
    <cellStyle name="Percent 6 2 9" xfId="45727" xr:uid="{00000000-0005-0000-0000-000001F50000}"/>
    <cellStyle name="Percent 6 3" xfId="45728" xr:uid="{00000000-0005-0000-0000-000002F50000}"/>
    <cellStyle name="Percent 6 3 2" xfId="45729" xr:uid="{00000000-0005-0000-0000-000003F50000}"/>
    <cellStyle name="Percent 6 3 2 2" xfId="45730" xr:uid="{00000000-0005-0000-0000-000004F50000}"/>
    <cellStyle name="Percent 6 3 2 2 2" xfId="45731" xr:uid="{00000000-0005-0000-0000-000005F50000}"/>
    <cellStyle name="Percent 6 3 2 2 2 2" xfId="63014" xr:uid="{00000000-0005-0000-0000-000006F50000}"/>
    <cellStyle name="Percent 6 3 2 2 2 3" xfId="63015" xr:uid="{00000000-0005-0000-0000-000007F50000}"/>
    <cellStyle name="Percent 6 3 2 2 3" xfId="45732" xr:uid="{00000000-0005-0000-0000-000008F50000}"/>
    <cellStyle name="Percent 6 3 2 2 3 2" xfId="63016" xr:uid="{00000000-0005-0000-0000-000009F50000}"/>
    <cellStyle name="Percent 6 3 2 2 4" xfId="45733" xr:uid="{00000000-0005-0000-0000-00000AF50000}"/>
    <cellStyle name="Percent 6 3 2 2 5" xfId="45734" xr:uid="{00000000-0005-0000-0000-00000BF50000}"/>
    <cellStyle name="Percent 6 3 2 2 6" xfId="45735" xr:uid="{00000000-0005-0000-0000-00000CF50000}"/>
    <cellStyle name="Percent 6 3 2 3" xfId="45736" xr:uid="{00000000-0005-0000-0000-00000DF50000}"/>
    <cellStyle name="Percent 6 3 2 3 2" xfId="63017" xr:uid="{00000000-0005-0000-0000-00000EF50000}"/>
    <cellStyle name="Percent 6 3 2 3 3" xfId="63018" xr:uid="{00000000-0005-0000-0000-00000FF50000}"/>
    <cellStyle name="Percent 6 3 2 4" xfId="45737" xr:uid="{00000000-0005-0000-0000-000010F50000}"/>
    <cellStyle name="Percent 6 3 2 4 2" xfId="63019" xr:uid="{00000000-0005-0000-0000-000011F50000}"/>
    <cellStyle name="Percent 6 3 2 5" xfId="45738" xr:uid="{00000000-0005-0000-0000-000012F50000}"/>
    <cellStyle name="Percent 6 3 2 6" xfId="45739" xr:uid="{00000000-0005-0000-0000-000013F50000}"/>
    <cellStyle name="Percent 6 3 2 7" xfId="45740" xr:uid="{00000000-0005-0000-0000-000014F50000}"/>
    <cellStyle name="Percent 6 3 3" xfId="45741" xr:uid="{00000000-0005-0000-0000-000015F50000}"/>
    <cellStyle name="Percent 6 3 3 2" xfId="45742" xr:uid="{00000000-0005-0000-0000-000016F50000}"/>
    <cellStyle name="Percent 6 3 3 2 2" xfId="63020" xr:uid="{00000000-0005-0000-0000-000017F50000}"/>
    <cellStyle name="Percent 6 3 3 2 3" xfId="63021" xr:uid="{00000000-0005-0000-0000-000018F50000}"/>
    <cellStyle name="Percent 6 3 3 3" xfId="45743" xr:uid="{00000000-0005-0000-0000-000019F50000}"/>
    <cellStyle name="Percent 6 3 3 3 2" xfId="63022" xr:uid="{00000000-0005-0000-0000-00001AF50000}"/>
    <cellStyle name="Percent 6 3 3 4" xfId="45744" xr:uid="{00000000-0005-0000-0000-00001BF50000}"/>
    <cellStyle name="Percent 6 3 3 5" xfId="45745" xr:uid="{00000000-0005-0000-0000-00001CF50000}"/>
    <cellStyle name="Percent 6 3 3 6" xfId="45746" xr:uid="{00000000-0005-0000-0000-00001DF50000}"/>
    <cellStyle name="Percent 6 3 4" xfId="45747" xr:uid="{00000000-0005-0000-0000-00001EF50000}"/>
    <cellStyle name="Percent 6 3 4 2" xfId="63023" xr:uid="{00000000-0005-0000-0000-00001FF50000}"/>
    <cellStyle name="Percent 6 3 4 3" xfId="63024" xr:uid="{00000000-0005-0000-0000-000020F50000}"/>
    <cellStyle name="Percent 6 3 5" xfId="45748" xr:uid="{00000000-0005-0000-0000-000021F50000}"/>
    <cellStyle name="Percent 6 3 5 2" xfId="63025" xr:uid="{00000000-0005-0000-0000-000022F50000}"/>
    <cellStyle name="Percent 6 3 6" xfId="45749" xr:uid="{00000000-0005-0000-0000-000023F50000}"/>
    <cellStyle name="Percent 6 3 7" xfId="45750" xr:uid="{00000000-0005-0000-0000-000024F50000}"/>
    <cellStyle name="Percent 6 3 8" xfId="45751" xr:uid="{00000000-0005-0000-0000-000025F50000}"/>
    <cellStyle name="Percent 6 4" xfId="45752" xr:uid="{00000000-0005-0000-0000-000026F50000}"/>
    <cellStyle name="Percent 6 4 2" xfId="45753" xr:uid="{00000000-0005-0000-0000-000027F50000}"/>
    <cellStyle name="Percent 6 4 2 2" xfId="45754" xr:uid="{00000000-0005-0000-0000-000028F50000}"/>
    <cellStyle name="Percent 6 4 2 2 2" xfId="63026" xr:uid="{00000000-0005-0000-0000-000029F50000}"/>
    <cellStyle name="Percent 6 4 2 2 3" xfId="63027" xr:uid="{00000000-0005-0000-0000-00002AF50000}"/>
    <cellStyle name="Percent 6 4 2 3" xfId="45755" xr:uid="{00000000-0005-0000-0000-00002BF50000}"/>
    <cellStyle name="Percent 6 4 2 3 2" xfId="63028" xr:uid="{00000000-0005-0000-0000-00002CF50000}"/>
    <cellStyle name="Percent 6 4 2 4" xfId="45756" xr:uid="{00000000-0005-0000-0000-00002DF50000}"/>
    <cellStyle name="Percent 6 4 2 5" xfId="45757" xr:uid="{00000000-0005-0000-0000-00002EF50000}"/>
    <cellStyle name="Percent 6 4 2 6" xfId="45758" xr:uid="{00000000-0005-0000-0000-00002FF50000}"/>
    <cellStyle name="Percent 6 4 3" xfId="45759" xr:uid="{00000000-0005-0000-0000-000030F50000}"/>
    <cellStyle name="Percent 6 4 3 2" xfId="63029" xr:uid="{00000000-0005-0000-0000-000031F50000}"/>
    <cellStyle name="Percent 6 4 3 3" xfId="63030" xr:uid="{00000000-0005-0000-0000-000032F50000}"/>
    <cellStyle name="Percent 6 4 4" xfId="45760" xr:uid="{00000000-0005-0000-0000-000033F50000}"/>
    <cellStyle name="Percent 6 4 4 2" xfId="63031" xr:uid="{00000000-0005-0000-0000-000034F50000}"/>
    <cellStyle name="Percent 6 4 5" xfId="45761" xr:uid="{00000000-0005-0000-0000-000035F50000}"/>
    <cellStyle name="Percent 6 4 6" xfId="45762" xr:uid="{00000000-0005-0000-0000-000036F50000}"/>
    <cellStyle name="Percent 6 4 7" xfId="45763" xr:uid="{00000000-0005-0000-0000-000037F50000}"/>
    <cellStyle name="Percent 6 5" xfId="45764" xr:uid="{00000000-0005-0000-0000-000038F50000}"/>
    <cellStyle name="Percent 6 5 2" xfId="45765" xr:uid="{00000000-0005-0000-0000-000039F50000}"/>
    <cellStyle name="Percent 6 5 2 2" xfId="63032" xr:uid="{00000000-0005-0000-0000-00003AF50000}"/>
    <cellStyle name="Percent 6 5 2 3" xfId="63033" xr:uid="{00000000-0005-0000-0000-00003BF50000}"/>
    <cellStyle name="Percent 6 5 3" xfId="45766" xr:uid="{00000000-0005-0000-0000-00003CF50000}"/>
    <cellStyle name="Percent 6 5 3 2" xfId="63034" xr:uid="{00000000-0005-0000-0000-00003DF50000}"/>
    <cellStyle name="Percent 6 5 4" xfId="45767" xr:uid="{00000000-0005-0000-0000-00003EF50000}"/>
    <cellStyle name="Percent 6 5 5" xfId="45768" xr:uid="{00000000-0005-0000-0000-00003FF50000}"/>
    <cellStyle name="Percent 6 5 6" xfId="45769" xr:uid="{00000000-0005-0000-0000-000040F50000}"/>
    <cellStyle name="Percent 6 6" xfId="45770" xr:uid="{00000000-0005-0000-0000-000041F50000}"/>
    <cellStyle name="Percent 6 6 2" xfId="63035" xr:uid="{00000000-0005-0000-0000-000042F50000}"/>
    <cellStyle name="Percent 6 6 3" xfId="63036" xr:uid="{00000000-0005-0000-0000-000043F50000}"/>
    <cellStyle name="Percent 6 7" xfId="45771" xr:uid="{00000000-0005-0000-0000-000044F50000}"/>
    <cellStyle name="Percent 6 7 2" xfId="63037" xr:uid="{00000000-0005-0000-0000-000045F50000}"/>
    <cellStyle name="Percent 6 8" xfId="45772" xr:uid="{00000000-0005-0000-0000-000046F50000}"/>
    <cellStyle name="Percent 6 9" xfId="45773" xr:uid="{00000000-0005-0000-0000-000047F50000}"/>
    <cellStyle name="Percent 7" xfId="45774" xr:uid="{00000000-0005-0000-0000-000048F50000}"/>
    <cellStyle name="Percent 7 10" xfId="45775" xr:uid="{00000000-0005-0000-0000-000049F50000}"/>
    <cellStyle name="Percent 7 11" xfId="45776" xr:uid="{00000000-0005-0000-0000-00004AF50000}"/>
    <cellStyle name="Percent 7 12" xfId="45777" xr:uid="{00000000-0005-0000-0000-00004BF50000}"/>
    <cellStyle name="Percent 7 13" xfId="45778" xr:uid="{00000000-0005-0000-0000-00004CF50000}"/>
    <cellStyle name="Percent 7 14" xfId="45779" xr:uid="{00000000-0005-0000-0000-00004DF50000}"/>
    <cellStyle name="Percent 7 2" xfId="45780" xr:uid="{00000000-0005-0000-0000-00004EF50000}"/>
    <cellStyle name="Percent 7 2 10" xfId="45781" xr:uid="{00000000-0005-0000-0000-00004FF50000}"/>
    <cellStyle name="Percent 7 2 2" xfId="45782" xr:uid="{00000000-0005-0000-0000-000050F50000}"/>
    <cellStyle name="Percent 7 2 2 2" xfId="45783" xr:uid="{00000000-0005-0000-0000-000051F50000}"/>
    <cellStyle name="Percent 7 2 2 2 2" xfId="45784" xr:uid="{00000000-0005-0000-0000-000052F50000}"/>
    <cellStyle name="Percent 7 2 2 2 2 2" xfId="63038" xr:uid="{00000000-0005-0000-0000-000053F50000}"/>
    <cellStyle name="Percent 7 2 2 2 2 3" xfId="63039" xr:uid="{00000000-0005-0000-0000-000054F50000}"/>
    <cellStyle name="Percent 7 2 2 2 3" xfId="45785" xr:uid="{00000000-0005-0000-0000-000055F50000}"/>
    <cellStyle name="Percent 7 2 2 2 3 2" xfId="63040" xr:uid="{00000000-0005-0000-0000-000056F50000}"/>
    <cellStyle name="Percent 7 2 2 2 4" xfId="45786" xr:uid="{00000000-0005-0000-0000-000057F50000}"/>
    <cellStyle name="Percent 7 2 2 2 5" xfId="45787" xr:uid="{00000000-0005-0000-0000-000058F50000}"/>
    <cellStyle name="Percent 7 2 2 2 6" xfId="45788" xr:uid="{00000000-0005-0000-0000-000059F50000}"/>
    <cellStyle name="Percent 7 2 2 3" xfId="45789" xr:uid="{00000000-0005-0000-0000-00005AF50000}"/>
    <cellStyle name="Percent 7 2 2 3 2" xfId="63041" xr:uid="{00000000-0005-0000-0000-00005BF50000}"/>
    <cellStyle name="Percent 7 2 2 3 3" xfId="63042" xr:uid="{00000000-0005-0000-0000-00005CF50000}"/>
    <cellStyle name="Percent 7 2 2 4" xfId="45790" xr:uid="{00000000-0005-0000-0000-00005DF50000}"/>
    <cellStyle name="Percent 7 2 2 4 2" xfId="63043" xr:uid="{00000000-0005-0000-0000-00005EF50000}"/>
    <cellStyle name="Percent 7 2 2 5" xfId="45791" xr:uid="{00000000-0005-0000-0000-00005FF50000}"/>
    <cellStyle name="Percent 7 2 2 6" xfId="45792" xr:uid="{00000000-0005-0000-0000-000060F50000}"/>
    <cellStyle name="Percent 7 2 2 7" xfId="45793" xr:uid="{00000000-0005-0000-0000-000061F50000}"/>
    <cellStyle name="Percent 7 2 3" xfId="45794" xr:uid="{00000000-0005-0000-0000-000062F50000}"/>
    <cellStyle name="Percent 7 2 3 2" xfId="45795" xr:uid="{00000000-0005-0000-0000-000063F50000}"/>
    <cellStyle name="Percent 7 2 3 2 2" xfId="63044" xr:uid="{00000000-0005-0000-0000-000064F50000}"/>
    <cellStyle name="Percent 7 2 3 2 3" xfId="63045" xr:uid="{00000000-0005-0000-0000-000065F50000}"/>
    <cellStyle name="Percent 7 2 3 3" xfId="45796" xr:uid="{00000000-0005-0000-0000-000066F50000}"/>
    <cellStyle name="Percent 7 2 3 3 2" xfId="63046" xr:uid="{00000000-0005-0000-0000-000067F50000}"/>
    <cellStyle name="Percent 7 2 3 4" xfId="45797" xr:uid="{00000000-0005-0000-0000-000068F50000}"/>
    <cellStyle name="Percent 7 2 3 5" xfId="45798" xr:uid="{00000000-0005-0000-0000-000069F50000}"/>
    <cellStyle name="Percent 7 2 3 6" xfId="45799" xr:uid="{00000000-0005-0000-0000-00006AF50000}"/>
    <cellStyle name="Percent 7 2 4" xfId="45800" xr:uid="{00000000-0005-0000-0000-00006BF50000}"/>
    <cellStyle name="Percent 7 2 4 2" xfId="63047" xr:uid="{00000000-0005-0000-0000-00006CF50000}"/>
    <cellStyle name="Percent 7 2 4 3" xfId="63048" xr:uid="{00000000-0005-0000-0000-00006DF50000}"/>
    <cellStyle name="Percent 7 2 5" xfId="45801" xr:uid="{00000000-0005-0000-0000-00006EF50000}"/>
    <cellStyle name="Percent 7 2 5 2" xfId="63049" xr:uid="{00000000-0005-0000-0000-00006FF50000}"/>
    <cellStyle name="Percent 7 2 6" xfId="45802" xr:uid="{00000000-0005-0000-0000-000070F50000}"/>
    <cellStyle name="Percent 7 2 7" xfId="45803" xr:uid="{00000000-0005-0000-0000-000071F50000}"/>
    <cellStyle name="Percent 7 2 8" xfId="45804" xr:uid="{00000000-0005-0000-0000-000072F50000}"/>
    <cellStyle name="Percent 7 2 9" xfId="45805" xr:uid="{00000000-0005-0000-0000-000073F50000}"/>
    <cellStyle name="Percent 7 3" xfId="45806" xr:uid="{00000000-0005-0000-0000-000074F50000}"/>
    <cellStyle name="Percent 7 3 2" xfId="45807" xr:uid="{00000000-0005-0000-0000-000075F50000}"/>
    <cellStyle name="Percent 7 3 2 2" xfId="45808" xr:uid="{00000000-0005-0000-0000-000076F50000}"/>
    <cellStyle name="Percent 7 3 2 2 2" xfId="63050" xr:uid="{00000000-0005-0000-0000-000077F50000}"/>
    <cellStyle name="Percent 7 3 2 2 3" xfId="63051" xr:uid="{00000000-0005-0000-0000-000078F50000}"/>
    <cellStyle name="Percent 7 3 2 3" xfId="45809" xr:uid="{00000000-0005-0000-0000-000079F50000}"/>
    <cellStyle name="Percent 7 3 2 3 2" xfId="63052" xr:uid="{00000000-0005-0000-0000-00007AF50000}"/>
    <cellStyle name="Percent 7 3 2 4" xfId="45810" xr:uid="{00000000-0005-0000-0000-00007BF50000}"/>
    <cellStyle name="Percent 7 3 2 5" xfId="45811" xr:uid="{00000000-0005-0000-0000-00007CF50000}"/>
    <cellStyle name="Percent 7 3 2 6" xfId="45812" xr:uid="{00000000-0005-0000-0000-00007DF50000}"/>
    <cellStyle name="Percent 7 3 3" xfId="45813" xr:uid="{00000000-0005-0000-0000-00007EF50000}"/>
    <cellStyle name="Percent 7 3 3 2" xfId="63053" xr:uid="{00000000-0005-0000-0000-00007FF50000}"/>
    <cellStyle name="Percent 7 3 3 3" xfId="63054" xr:uid="{00000000-0005-0000-0000-000080F50000}"/>
    <cellStyle name="Percent 7 3 4" xfId="45814" xr:uid="{00000000-0005-0000-0000-000081F50000}"/>
    <cellStyle name="Percent 7 3 4 2" xfId="63055" xr:uid="{00000000-0005-0000-0000-000082F50000}"/>
    <cellStyle name="Percent 7 3 5" xfId="45815" xr:uid="{00000000-0005-0000-0000-000083F50000}"/>
    <cellStyle name="Percent 7 3 6" xfId="45816" xr:uid="{00000000-0005-0000-0000-000084F50000}"/>
    <cellStyle name="Percent 7 3 7" xfId="45817" xr:uid="{00000000-0005-0000-0000-000085F50000}"/>
    <cellStyle name="Percent 7 4" xfId="45818" xr:uid="{00000000-0005-0000-0000-000086F50000}"/>
    <cellStyle name="Percent 7 4 2" xfId="45819" xr:uid="{00000000-0005-0000-0000-000087F50000}"/>
    <cellStyle name="Percent 7 4 2 2" xfId="63056" xr:uid="{00000000-0005-0000-0000-000088F50000}"/>
    <cellStyle name="Percent 7 4 2 3" xfId="63057" xr:uid="{00000000-0005-0000-0000-000089F50000}"/>
    <cellStyle name="Percent 7 4 3" xfId="45820" xr:uid="{00000000-0005-0000-0000-00008AF50000}"/>
    <cellStyle name="Percent 7 4 3 2" xfId="63058" xr:uid="{00000000-0005-0000-0000-00008BF50000}"/>
    <cellStyle name="Percent 7 4 4" xfId="45821" xr:uid="{00000000-0005-0000-0000-00008CF50000}"/>
    <cellStyle name="Percent 7 4 5" xfId="45822" xr:uid="{00000000-0005-0000-0000-00008DF50000}"/>
    <cellStyle name="Percent 7 4 6" xfId="45823" xr:uid="{00000000-0005-0000-0000-00008EF50000}"/>
    <cellStyle name="Percent 7 5" xfId="45824" xr:uid="{00000000-0005-0000-0000-00008FF50000}"/>
    <cellStyle name="Percent 7 5 2" xfId="63059" xr:uid="{00000000-0005-0000-0000-000090F50000}"/>
    <cellStyle name="Percent 7 5 3" xfId="63060" xr:uid="{00000000-0005-0000-0000-000091F50000}"/>
    <cellStyle name="Percent 7 6" xfId="45825" xr:uid="{00000000-0005-0000-0000-000092F50000}"/>
    <cellStyle name="Percent 7 6 2" xfId="63061" xr:uid="{00000000-0005-0000-0000-000093F50000}"/>
    <cellStyle name="Percent 7 7" xfId="45826" xr:uid="{00000000-0005-0000-0000-000094F50000}"/>
    <cellStyle name="Percent 7 8" xfId="45827" xr:uid="{00000000-0005-0000-0000-000095F50000}"/>
    <cellStyle name="Percent 7 9" xfId="45828" xr:uid="{00000000-0005-0000-0000-000096F50000}"/>
    <cellStyle name="Percent 8" xfId="45829" xr:uid="{00000000-0005-0000-0000-000097F50000}"/>
    <cellStyle name="Percent 8 2" xfId="45830" xr:uid="{00000000-0005-0000-0000-000098F50000}"/>
    <cellStyle name="Percent 8 2 2" xfId="45831" xr:uid="{00000000-0005-0000-0000-000099F50000}"/>
    <cellStyle name="Percent 8 2 2 2" xfId="45832" xr:uid="{00000000-0005-0000-0000-00009AF50000}"/>
    <cellStyle name="Percent 8 2 2 2 2" xfId="63062" xr:uid="{00000000-0005-0000-0000-00009BF50000}"/>
    <cellStyle name="Percent 8 2 2 2 3" xfId="63063" xr:uid="{00000000-0005-0000-0000-00009CF50000}"/>
    <cellStyle name="Percent 8 2 2 3" xfId="45833" xr:uid="{00000000-0005-0000-0000-00009DF50000}"/>
    <cellStyle name="Percent 8 2 2 3 2" xfId="63064" xr:uid="{00000000-0005-0000-0000-00009EF50000}"/>
    <cellStyle name="Percent 8 2 2 4" xfId="45834" xr:uid="{00000000-0005-0000-0000-00009FF50000}"/>
    <cellStyle name="Percent 8 2 2 5" xfId="45835" xr:uid="{00000000-0005-0000-0000-0000A0F50000}"/>
    <cellStyle name="Percent 8 2 2 6" xfId="45836" xr:uid="{00000000-0005-0000-0000-0000A1F50000}"/>
    <cellStyle name="Percent 8 2 3" xfId="45837" xr:uid="{00000000-0005-0000-0000-0000A2F50000}"/>
    <cellStyle name="Percent 8 2 3 2" xfId="63065" xr:uid="{00000000-0005-0000-0000-0000A3F50000}"/>
    <cellStyle name="Percent 8 2 3 3" xfId="63066" xr:uid="{00000000-0005-0000-0000-0000A4F50000}"/>
    <cellStyle name="Percent 8 2 4" xfId="45838" xr:uid="{00000000-0005-0000-0000-0000A5F50000}"/>
    <cellStyle name="Percent 8 2 4 2" xfId="63067" xr:uid="{00000000-0005-0000-0000-0000A6F50000}"/>
    <cellStyle name="Percent 8 2 5" xfId="45839" xr:uid="{00000000-0005-0000-0000-0000A7F50000}"/>
    <cellStyle name="Percent 8 2 6" xfId="45840" xr:uid="{00000000-0005-0000-0000-0000A8F50000}"/>
    <cellStyle name="Percent 8 2 7" xfId="45841" xr:uid="{00000000-0005-0000-0000-0000A9F50000}"/>
    <cellStyle name="Percent 8 2 8" xfId="45842" xr:uid="{00000000-0005-0000-0000-0000AAF50000}"/>
    <cellStyle name="Percent 8 3" xfId="45843" xr:uid="{00000000-0005-0000-0000-0000ABF50000}"/>
    <cellStyle name="Percent 8 3 2" xfId="45844" xr:uid="{00000000-0005-0000-0000-0000ACF50000}"/>
    <cellStyle name="Percent 8 3 2 2" xfId="63068" xr:uid="{00000000-0005-0000-0000-0000ADF50000}"/>
    <cellStyle name="Percent 8 3 2 3" xfId="63069" xr:uid="{00000000-0005-0000-0000-0000AEF50000}"/>
    <cellStyle name="Percent 8 3 3" xfId="45845" xr:uid="{00000000-0005-0000-0000-0000AFF50000}"/>
    <cellStyle name="Percent 8 3 3 2" xfId="63070" xr:uid="{00000000-0005-0000-0000-0000B0F50000}"/>
    <cellStyle name="Percent 8 3 4" xfId="45846" xr:uid="{00000000-0005-0000-0000-0000B1F50000}"/>
    <cellStyle name="Percent 8 3 5" xfId="45847" xr:uid="{00000000-0005-0000-0000-0000B2F50000}"/>
    <cellStyle name="Percent 8 3 6" xfId="45848" xr:uid="{00000000-0005-0000-0000-0000B3F50000}"/>
    <cellStyle name="Percent 8 4" xfId="45849" xr:uid="{00000000-0005-0000-0000-0000B4F50000}"/>
    <cellStyle name="Percent 8 4 2" xfId="63071" xr:uid="{00000000-0005-0000-0000-0000B5F50000}"/>
    <cellStyle name="Percent 8 4 3" xfId="63072" xr:uid="{00000000-0005-0000-0000-0000B6F50000}"/>
    <cellStyle name="Percent 8 5" xfId="45850" xr:uid="{00000000-0005-0000-0000-0000B7F50000}"/>
    <cellStyle name="Percent 8 5 2" xfId="63073" xr:uid="{00000000-0005-0000-0000-0000B8F50000}"/>
    <cellStyle name="Percent 8 6" xfId="45851" xr:uid="{00000000-0005-0000-0000-0000B9F50000}"/>
    <cellStyle name="Percent 8 7" xfId="45852" xr:uid="{00000000-0005-0000-0000-0000BAF50000}"/>
    <cellStyle name="Percent 8 8" xfId="45853" xr:uid="{00000000-0005-0000-0000-0000BBF50000}"/>
    <cellStyle name="Percent 8 9" xfId="45854" xr:uid="{00000000-0005-0000-0000-0000BCF50000}"/>
    <cellStyle name="Percent 9" xfId="45855" xr:uid="{00000000-0005-0000-0000-0000BDF50000}"/>
    <cellStyle name="Percent 9 2" xfId="45856" xr:uid="{00000000-0005-0000-0000-0000BEF50000}"/>
    <cellStyle name="Percent 9 2 2" xfId="45857" xr:uid="{00000000-0005-0000-0000-0000BFF50000}"/>
    <cellStyle name="Percent 9 2 3" xfId="63074" xr:uid="{00000000-0005-0000-0000-0000C0F50000}"/>
    <cellStyle name="Percent 9 3" xfId="45858" xr:uid="{00000000-0005-0000-0000-0000C1F50000}"/>
    <cellStyle name="Percent 9 3 2" xfId="63075" xr:uid="{00000000-0005-0000-0000-0000C2F50000}"/>
    <cellStyle name="Percent 9 4" xfId="45859" xr:uid="{00000000-0005-0000-0000-0000C3F50000}"/>
    <cellStyle name="Percent 9 5" xfId="45860" xr:uid="{00000000-0005-0000-0000-0000C4F50000}"/>
    <cellStyle name="Percent 9 6" xfId="45861" xr:uid="{00000000-0005-0000-0000-0000C5F50000}"/>
    <cellStyle name="Percent 9 7" xfId="45862" xr:uid="{00000000-0005-0000-0000-0000C6F50000}"/>
    <cellStyle name="RedBold" xfId="45863" xr:uid="{00000000-0005-0000-0000-0000C7F50000}"/>
    <cellStyle name="RedItalic" xfId="45864" xr:uid="{00000000-0005-0000-0000-0000C8F50000}"/>
    <cellStyle name="Title 2" xfId="45865" xr:uid="{00000000-0005-0000-0000-0000C9F50000}"/>
    <cellStyle name="Title 2 2" xfId="45866" xr:uid="{00000000-0005-0000-0000-0000CAF50000}"/>
    <cellStyle name="Title 2 3" xfId="45867" xr:uid="{00000000-0005-0000-0000-0000CBF50000}"/>
    <cellStyle name="Title 3" xfId="45868" xr:uid="{00000000-0005-0000-0000-0000CCF50000}"/>
    <cellStyle name="Total 2" xfId="45869" xr:uid="{00000000-0005-0000-0000-0000CDF50000}"/>
    <cellStyle name="Total 2 2" xfId="45870" xr:uid="{00000000-0005-0000-0000-0000CEF50000}"/>
    <cellStyle name="Total 2 2 2" xfId="45871" xr:uid="{00000000-0005-0000-0000-0000CFF50000}"/>
    <cellStyle name="Total 2 2 2 10" xfId="45872" xr:uid="{00000000-0005-0000-0000-0000D0F50000}"/>
    <cellStyle name="Total 2 2 2 2" xfId="45873" xr:uid="{00000000-0005-0000-0000-0000D1F50000}"/>
    <cellStyle name="Total 2 2 2 2 2" xfId="45874" xr:uid="{00000000-0005-0000-0000-0000D2F50000}"/>
    <cellStyle name="Total 2 2 2 2 3" xfId="45875" xr:uid="{00000000-0005-0000-0000-0000D3F50000}"/>
    <cellStyle name="Total 2 2 2 3" xfId="45876" xr:uid="{00000000-0005-0000-0000-0000D4F50000}"/>
    <cellStyle name="Total 2 2 2 4" xfId="45877" xr:uid="{00000000-0005-0000-0000-0000D5F50000}"/>
    <cellStyle name="Total 2 2 2 5" xfId="45878" xr:uid="{00000000-0005-0000-0000-0000D6F50000}"/>
    <cellStyle name="Total 2 2 2 6" xfId="45879" xr:uid="{00000000-0005-0000-0000-0000D7F50000}"/>
    <cellStyle name="Total 2 2 2 7" xfId="45880" xr:uid="{00000000-0005-0000-0000-0000D8F50000}"/>
    <cellStyle name="Total 2 2 2 8" xfId="45881" xr:uid="{00000000-0005-0000-0000-0000D9F50000}"/>
    <cellStyle name="Total 2 2 2 9" xfId="45882" xr:uid="{00000000-0005-0000-0000-0000DAF50000}"/>
    <cellStyle name="Total 2 2 3" xfId="45883" xr:uid="{00000000-0005-0000-0000-0000DBF50000}"/>
    <cellStyle name="Total 2 2 3 10" xfId="45884" xr:uid="{00000000-0005-0000-0000-0000DCF50000}"/>
    <cellStyle name="Total 2 2 3 2" xfId="45885" xr:uid="{00000000-0005-0000-0000-0000DDF50000}"/>
    <cellStyle name="Total 2 2 3 2 2" xfId="45886" xr:uid="{00000000-0005-0000-0000-0000DEF50000}"/>
    <cellStyle name="Total 2 2 3 2 3" xfId="45887" xr:uid="{00000000-0005-0000-0000-0000DFF50000}"/>
    <cellStyle name="Total 2 2 3 3" xfId="45888" xr:uid="{00000000-0005-0000-0000-0000E0F50000}"/>
    <cellStyle name="Total 2 2 3 4" xfId="45889" xr:uid="{00000000-0005-0000-0000-0000E1F50000}"/>
    <cellStyle name="Total 2 2 3 5" xfId="45890" xr:uid="{00000000-0005-0000-0000-0000E2F50000}"/>
    <cellStyle name="Total 2 2 3 6" xfId="45891" xr:uid="{00000000-0005-0000-0000-0000E3F50000}"/>
    <cellStyle name="Total 2 2 3 7" xfId="45892" xr:uid="{00000000-0005-0000-0000-0000E4F50000}"/>
    <cellStyle name="Total 2 2 3 8" xfId="45893" xr:uid="{00000000-0005-0000-0000-0000E5F50000}"/>
    <cellStyle name="Total 2 2 3 9" xfId="45894" xr:uid="{00000000-0005-0000-0000-0000E6F50000}"/>
    <cellStyle name="Total 2 2 4" xfId="45895" xr:uid="{00000000-0005-0000-0000-0000E7F50000}"/>
    <cellStyle name="Total 2 2 4 10" xfId="45896" xr:uid="{00000000-0005-0000-0000-0000E8F50000}"/>
    <cellStyle name="Total 2 2 4 2" xfId="45897" xr:uid="{00000000-0005-0000-0000-0000E9F50000}"/>
    <cellStyle name="Total 2 2 4 3" xfId="45898" xr:uid="{00000000-0005-0000-0000-0000EAF50000}"/>
    <cellStyle name="Total 2 2 4 4" xfId="45899" xr:uid="{00000000-0005-0000-0000-0000EBF50000}"/>
    <cellStyle name="Total 2 2 4 5" xfId="45900" xr:uid="{00000000-0005-0000-0000-0000ECF50000}"/>
    <cellStyle name="Total 2 2 4 6" xfId="45901" xr:uid="{00000000-0005-0000-0000-0000EDF50000}"/>
    <cellStyle name="Total 2 2 4 7" xfId="45902" xr:uid="{00000000-0005-0000-0000-0000EEF50000}"/>
    <cellStyle name="Total 2 2 4 8" xfId="45903" xr:uid="{00000000-0005-0000-0000-0000EFF50000}"/>
    <cellStyle name="Total 2 2 4 9" xfId="45904" xr:uid="{00000000-0005-0000-0000-0000F0F50000}"/>
    <cellStyle name="Total 2 2 5" xfId="45905" xr:uid="{00000000-0005-0000-0000-0000F1F50000}"/>
    <cellStyle name="Total 2 2 5 10" xfId="45906" xr:uid="{00000000-0005-0000-0000-0000F2F50000}"/>
    <cellStyle name="Total 2 2 5 2" xfId="45907" xr:uid="{00000000-0005-0000-0000-0000F3F50000}"/>
    <cellStyle name="Total 2 2 5 3" xfId="45908" xr:uid="{00000000-0005-0000-0000-0000F4F50000}"/>
    <cellStyle name="Total 2 2 5 4" xfId="45909" xr:uid="{00000000-0005-0000-0000-0000F5F50000}"/>
    <cellStyle name="Total 2 2 5 5" xfId="45910" xr:uid="{00000000-0005-0000-0000-0000F6F50000}"/>
    <cellStyle name="Total 2 2 5 6" xfId="45911" xr:uid="{00000000-0005-0000-0000-0000F7F50000}"/>
    <cellStyle name="Total 2 2 5 7" xfId="45912" xr:uid="{00000000-0005-0000-0000-0000F8F50000}"/>
    <cellStyle name="Total 2 2 5 8" xfId="45913" xr:uid="{00000000-0005-0000-0000-0000F9F50000}"/>
    <cellStyle name="Total 2 2 5 9" xfId="45914" xr:uid="{00000000-0005-0000-0000-0000FAF50000}"/>
    <cellStyle name="Total 2 2 6" xfId="45915" xr:uid="{00000000-0005-0000-0000-0000FBF50000}"/>
    <cellStyle name="Total 2 2 6 10" xfId="45916" xr:uid="{00000000-0005-0000-0000-0000FCF50000}"/>
    <cellStyle name="Total 2 2 6 2" xfId="45917" xr:uid="{00000000-0005-0000-0000-0000FDF50000}"/>
    <cellStyle name="Total 2 2 6 3" xfId="45918" xr:uid="{00000000-0005-0000-0000-0000FEF50000}"/>
    <cellStyle name="Total 2 2 6 4" xfId="45919" xr:uid="{00000000-0005-0000-0000-0000FFF50000}"/>
    <cellStyle name="Total 2 2 6 5" xfId="45920" xr:uid="{00000000-0005-0000-0000-000000F60000}"/>
    <cellStyle name="Total 2 2 6 6" xfId="45921" xr:uid="{00000000-0005-0000-0000-000001F60000}"/>
    <cellStyle name="Total 2 2 6 7" xfId="45922" xr:uid="{00000000-0005-0000-0000-000002F60000}"/>
    <cellStyle name="Total 2 2 6 8" xfId="45923" xr:uid="{00000000-0005-0000-0000-000003F60000}"/>
    <cellStyle name="Total 2 2 6 9" xfId="45924" xr:uid="{00000000-0005-0000-0000-000004F60000}"/>
    <cellStyle name="Total 2 2 7" xfId="45925" xr:uid="{00000000-0005-0000-0000-000005F60000}"/>
    <cellStyle name="Total 2 2 7 10" xfId="45926" xr:uid="{00000000-0005-0000-0000-000006F60000}"/>
    <cellStyle name="Total 2 2 7 2" xfId="45927" xr:uid="{00000000-0005-0000-0000-000007F60000}"/>
    <cellStyle name="Total 2 2 7 3" xfId="45928" xr:uid="{00000000-0005-0000-0000-000008F60000}"/>
    <cellStyle name="Total 2 2 7 4" xfId="45929" xr:uid="{00000000-0005-0000-0000-000009F60000}"/>
    <cellStyle name="Total 2 2 7 5" xfId="45930" xr:uid="{00000000-0005-0000-0000-00000AF60000}"/>
    <cellStyle name="Total 2 2 7 6" xfId="45931" xr:uid="{00000000-0005-0000-0000-00000BF60000}"/>
    <cellStyle name="Total 2 2 7 7" xfId="45932" xr:uid="{00000000-0005-0000-0000-00000CF60000}"/>
    <cellStyle name="Total 2 2 7 8" xfId="45933" xr:uid="{00000000-0005-0000-0000-00000DF60000}"/>
    <cellStyle name="Total 2 2 7 9" xfId="45934" xr:uid="{00000000-0005-0000-0000-00000EF60000}"/>
    <cellStyle name="Total 2 2 8" xfId="45935" xr:uid="{00000000-0005-0000-0000-00000FF60000}"/>
    <cellStyle name="Total 2 2 9" xfId="45936" xr:uid="{00000000-0005-0000-0000-000010F60000}"/>
    <cellStyle name="Total 2 3" xfId="45937" xr:uid="{00000000-0005-0000-0000-000011F60000}"/>
    <cellStyle name="Total 2 3 10" xfId="45938" xr:uid="{00000000-0005-0000-0000-000012F60000}"/>
    <cellStyle name="Total 2 3 2" xfId="45939" xr:uid="{00000000-0005-0000-0000-000013F60000}"/>
    <cellStyle name="Total 2 3 2 2" xfId="45940" xr:uid="{00000000-0005-0000-0000-000014F60000}"/>
    <cellStyle name="Total 2 3 2 3" xfId="45941" xr:uid="{00000000-0005-0000-0000-000015F60000}"/>
    <cellStyle name="Total 2 3 3" xfId="45942" xr:uid="{00000000-0005-0000-0000-000016F60000}"/>
    <cellStyle name="Total 2 3 4" xfId="45943" xr:uid="{00000000-0005-0000-0000-000017F60000}"/>
    <cellStyle name="Total 2 3 5" xfId="45944" xr:uid="{00000000-0005-0000-0000-000018F60000}"/>
    <cellStyle name="Total 2 3 6" xfId="45945" xr:uid="{00000000-0005-0000-0000-000019F60000}"/>
    <cellStyle name="Total 2 3 7" xfId="45946" xr:uid="{00000000-0005-0000-0000-00001AF60000}"/>
    <cellStyle name="Total 2 3 8" xfId="45947" xr:uid="{00000000-0005-0000-0000-00001BF60000}"/>
    <cellStyle name="Total 2 3 9" xfId="45948" xr:uid="{00000000-0005-0000-0000-00001CF60000}"/>
    <cellStyle name="Total 2 4" xfId="45949" xr:uid="{00000000-0005-0000-0000-00001DF60000}"/>
    <cellStyle name="Total 2 4 10" xfId="45950" xr:uid="{00000000-0005-0000-0000-00001EF60000}"/>
    <cellStyle name="Total 2 4 2" xfId="45951" xr:uid="{00000000-0005-0000-0000-00001FF60000}"/>
    <cellStyle name="Total 2 4 2 2" xfId="45952" xr:uid="{00000000-0005-0000-0000-000020F60000}"/>
    <cellStyle name="Total 2 4 2 3" xfId="45953" xr:uid="{00000000-0005-0000-0000-000021F60000}"/>
    <cellStyle name="Total 2 4 3" xfId="45954" xr:uid="{00000000-0005-0000-0000-000022F60000}"/>
    <cellStyle name="Total 2 4 4" xfId="45955" xr:uid="{00000000-0005-0000-0000-000023F60000}"/>
    <cellStyle name="Total 2 4 5" xfId="45956" xr:uid="{00000000-0005-0000-0000-000024F60000}"/>
    <cellStyle name="Total 2 4 6" xfId="45957" xr:uid="{00000000-0005-0000-0000-000025F60000}"/>
    <cellStyle name="Total 2 4 7" xfId="45958" xr:uid="{00000000-0005-0000-0000-000026F60000}"/>
    <cellStyle name="Total 2 4 8" xfId="45959" xr:uid="{00000000-0005-0000-0000-000027F60000}"/>
    <cellStyle name="Total 2 4 9" xfId="45960" xr:uid="{00000000-0005-0000-0000-000028F60000}"/>
    <cellStyle name="Total 2 5" xfId="45961" xr:uid="{00000000-0005-0000-0000-000029F60000}"/>
    <cellStyle name="Total 2 5 10" xfId="45962" xr:uid="{00000000-0005-0000-0000-00002AF60000}"/>
    <cellStyle name="Total 2 5 2" xfId="45963" xr:uid="{00000000-0005-0000-0000-00002BF60000}"/>
    <cellStyle name="Total 2 5 2 2" xfId="45964" xr:uid="{00000000-0005-0000-0000-00002CF60000}"/>
    <cellStyle name="Total 2 5 2 3" xfId="45965" xr:uid="{00000000-0005-0000-0000-00002DF60000}"/>
    <cellStyle name="Total 2 5 3" xfId="45966" xr:uid="{00000000-0005-0000-0000-00002EF60000}"/>
    <cellStyle name="Total 2 5 3 2" xfId="45967" xr:uid="{00000000-0005-0000-0000-00002FF60000}"/>
    <cellStyle name="Total 2 5 4" xfId="45968" xr:uid="{00000000-0005-0000-0000-000030F60000}"/>
    <cellStyle name="Total 2 5 5" xfId="45969" xr:uid="{00000000-0005-0000-0000-000031F60000}"/>
    <cellStyle name="Total 2 5 6" xfId="45970" xr:uid="{00000000-0005-0000-0000-000032F60000}"/>
    <cellStyle name="Total 2 5 7" xfId="45971" xr:uid="{00000000-0005-0000-0000-000033F60000}"/>
    <cellStyle name="Total 2 5 8" xfId="45972" xr:uid="{00000000-0005-0000-0000-000034F60000}"/>
    <cellStyle name="Total 2 5 9" xfId="45973" xr:uid="{00000000-0005-0000-0000-000035F60000}"/>
    <cellStyle name="Total 2 6" xfId="45974" xr:uid="{00000000-0005-0000-0000-000036F60000}"/>
    <cellStyle name="Total 2 6 10" xfId="45975" xr:uid="{00000000-0005-0000-0000-000037F60000}"/>
    <cellStyle name="Total 2 6 11" xfId="45976" xr:uid="{00000000-0005-0000-0000-000038F60000}"/>
    <cellStyle name="Total 2 6 2" xfId="45977" xr:uid="{00000000-0005-0000-0000-000039F60000}"/>
    <cellStyle name="Total 2 6 3" xfId="45978" xr:uid="{00000000-0005-0000-0000-00003AF60000}"/>
    <cellStyle name="Total 2 6 4" xfId="45979" xr:uid="{00000000-0005-0000-0000-00003BF60000}"/>
    <cellStyle name="Total 2 6 5" xfId="45980" xr:uid="{00000000-0005-0000-0000-00003CF60000}"/>
    <cellStyle name="Total 2 6 6" xfId="45981" xr:uid="{00000000-0005-0000-0000-00003DF60000}"/>
    <cellStyle name="Total 2 6 7" xfId="45982" xr:uid="{00000000-0005-0000-0000-00003EF60000}"/>
    <cellStyle name="Total 2 6 8" xfId="45983" xr:uid="{00000000-0005-0000-0000-00003FF60000}"/>
    <cellStyle name="Total 2 6 9" xfId="45984" xr:uid="{00000000-0005-0000-0000-000040F60000}"/>
    <cellStyle name="Total 2 7" xfId="45985" xr:uid="{00000000-0005-0000-0000-000041F60000}"/>
    <cellStyle name="Total 2 7 10" xfId="45986" xr:uid="{00000000-0005-0000-0000-000042F60000}"/>
    <cellStyle name="Total 2 7 11" xfId="45987" xr:uid="{00000000-0005-0000-0000-000043F60000}"/>
    <cellStyle name="Total 2 7 2" xfId="45988" xr:uid="{00000000-0005-0000-0000-000044F60000}"/>
    <cellStyle name="Total 2 7 3" xfId="45989" xr:uid="{00000000-0005-0000-0000-000045F60000}"/>
    <cellStyle name="Total 2 7 4" xfId="45990" xr:uid="{00000000-0005-0000-0000-000046F60000}"/>
    <cellStyle name="Total 2 7 5" xfId="45991" xr:uid="{00000000-0005-0000-0000-000047F60000}"/>
    <cellStyle name="Total 2 7 6" xfId="45992" xr:uid="{00000000-0005-0000-0000-000048F60000}"/>
    <cellStyle name="Total 2 7 7" xfId="45993" xr:uid="{00000000-0005-0000-0000-000049F60000}"/>
    <cellStyle name="Total 2 7 8" xfId="45994" xr:uid="{00000000-0005-0000-0000-00004AF60000}"/>
    <cellStyle name="Total 2 7 9" xfId="45995" xr:uid="{00000000-0005-0000-0000-00004BF60000}"/>
    <cellStyle name="Total 2 8" xfId="45996" xr:uid="{00000000-0005-0000-0000-00004CF60000}"/>
    <cellStyle name="Total 2 8 10" xfId="45997" xr:uid="{00000000-0005-0000-0000-00004DF60000}"/>
    <cellStyle name="Total 2 8 2" xfId="45998" xr:uid="{00000000-0005-0000-0000-00004EF60000}"/>
    <cellStyle name="Total 2 8 3" xfId="45999" xr:uid="{00000000-0005-0000-0000-00004FF60000}"/>
    <cellStyle name="Total 2 8 4" xfId="46000" xr:uid="{00000000-0005-0000-0000-000050F60000}"/>
    <cellStyle name="Total 2 8 5" xfId="46001" xr:uid="{00000000-0005-0000-0000-000051F60000}"/>
    <cellStyle name="Total 2 8 6" xfId="46002" xr:uid="{00000000-0005-0000-0000-000052F60000}"/>
    <cellStyle name="Total 2 8 7" xfId="46003" xr:uid="{00000000-0005-0000-0000-000053F60000}"/>
    <cellStyle name="Total 2 8 8" xfId="46004" xr:uid="{00000000-0005-0000-0000-000054F60000}"/>
    <cellStyle name="Total 2 8 9" xfId="46005" xr:uid="{00000000-0005-0000-0000-000055F60000}"/>
    <cellStyle name="Total 3" xfId="46006" xr:uid="{00000000-0005-0000-0000-000056F60000}"/>
    <cellStyle name="Total 3 2" xfId="46007" xr:uid="{00000000-0005-0000-0000-000057F60000}"/>
    <cellStyle name="Total 3 2 2" xfId="46008" xr:uid="{00000000-0005-0000-0000-000058F60000}"/>
    <cellStyle name="Total 3 3" xfId="46009" xr:uid="{00000000-0005-0000-0000-000059F60000}"/>
    <cellStyle name="Total 3 3 2" xfId="46010" xr:uid="{00000000-0005-0000-0000-00005AF60000}"/>
    <cellStyle name="Total 3 4" xfId="46011" xr:uid="{00000000-0005-0000-0000-00005BF60000}"/>
    <cellStyle name="Total 3 5" xfId="46012" xr:uid="{00000000-0005-0000-0000-00005CF60000}"/>
    <cellStyle name="Total 3 6" xfId="46013" xr:uid="{00000000-0005-0000-0000-00005DF60000}"/>
    <cellStyle name="Total 4" xfId="46014" xr:uid="{00000000-0005-0000-0000-00005EF60000}"/>
    <cellStyle name="Total 4 2" xfId="46015" xr:uid="{00000000-0005-0000-0000-00005FF60000}"/>
    <cellStyle name="Total 5" xfId="46016" xr:uid="{00000000-0005-0000-0000-000060F60000}"/>
    <cellStyle name="Totals" xfId="46017" xr:uid="{00000000-0005-0000-0000-000061F60000}"/>
    <cellStyle name="Warning Text 2" xfId="46018" xr:uid="{00000000-0005-0000-0000-000062F60000}"/>
    <cellStyle name="Warning Text 2 2" xfId="46019" xr:uid="{00000000-0005-0000-0000-000063F60000}"/>
    <cellStyle name="Warning Text 2 2 2" xfId="46020" xr:uid="{00000000-0005-0000-0000-000064F60000}"/>
    <cellStyle name="Warning Text 2 3" xfId="46021" xr:uid="{00000000-0005-0000-0000-000065F60000}"/>
    <cellStyle name="Warning Text 2 4" xfId="46022" xr:uid="{00000000-0005-0000-0000-000066F60000}"/>
    <cellStyle name="Warning Text 3" xfId="46023" xr:uid="{00000000-0005-0000-0000-000067F60000}"/>
    <cellStyle name="Warning Text 4" xfId="46024" xr:uid="{00000000-0005-0000-0000-000068F60000}"/>
  </cellStyles>
  <dxfs count="32">
    <dxf>
      <font>
        <color theme="0"/>
      </font>
      <fill>
        <patternFill patternType="none">
          <bgColor auto="1"/>
        </patternFill>
      </fill>
    </dxf>
    <dxf>
      <font>
        <color rgb="FF00B050"/>
      </font>
    </dxf>
    <dxf>
      <font>
        <color theme="0"/>
      </font>
      <fill>
        <patternFill patternType="none">
          <bgColor auto="1"/>
        </patternFill>
      </fill>
      <border>
        <left/>
        <right/>
        <top style="thin">
          <color auto="1"/>
        </top>
        <bottom/>
        <vertical/>
        <horizontal/>
      </border>
    </dxf>
    <dxf>
      <fill>
        <patternFill>
          <bgColor rgb="FFFFFFCC"/>
        </patternFill>
      </fill>
      <border>
        <left style="thin">
          <color auto="1"/>
        </left>
        <right style="thin">
          <color auto="1"/>
        </right>
        <top style="thin">
          <color auto="1"/>
        </top>
        <bottom style="thin">
          <color auto="1"/>
        </bottom>
        <vertical/>
        <horizontal/>
      </border>
    </dxf>
    <dxf>
      <font>
        <color theme="0"/>
      </font>
    </dxf>
    <dxf>
      <fill>
        <patternFill patternType="none">
          <bgColor auto="1"/>
        </patternFill>
      </fill>
      <border>
        <left/>
        <right/>
        <vertical/>
        <horizontal/>
      </border>
    </dxf>
    <dxf>
      <fill>
        <patternFill patternType="none">
          <bgColor auto="1"/>
        </patternFill>
      </fill>
    </dxf>
    <dxf>
      <fill>
        <patternFill>
          <bgColor theme="0"/>
        </patternFill>
      </fill>
    </dxf>
    <dxf>
      <fill>
        <patternFill>
          <bgColor theme="0"/>
        </patternFill>
      </fill>
      <border>
        <left/>
        <right/>
        <top/>
        <bottom/>
        <vertical/>
        <horizontal/>
      </border>
    </dxf>
    <dxf>
      <font>
        <color theme="0"/>
      </font>
      <border>
        <left/>
        <right/>
        <bottom/>
        <vertical/>
        <horizontal/>
      </border>
    </dxf>
    <dxf>
      <fill>
        <patternFill>
          <bgColor theme="0"/>
        </patternFill>
      </fill>
    </dxf>
    <dxf>
      <fill>
        <patternFill>
          <bgColor theme="0"/>
        </patternFill>
      </fill>
      <border>
        <left/>
        <right/>
        <top/>
        <bottom/>
        <vertical/>
        <horizontal/>
      </border>
    </dxf>
    <dxf>
      <font>
        <color theme="0"/>
      </font>
    </dxf>
    <dxf>
      <fill>
        <patternFill patternType="none">
          <bgColor auto="1"/>
        </patternFill>
      </fill>
      <border>
        <left/>
        <right/>
        <vertical/>
        <horizontal/>
      </border>
    </dxf>
    <dxf>
      <font>
        <color theme="0"/>
      </font>
    </dxf>
    <dxf>
      <font>
        <color theme="0"/>
      </font>
      <fill>
        <patternFill patternType="solid">
          <bgColor theme="0"/>
        </patternFill>
      </fill>
      <border>
        <right/>
        <top/>
        <bottom/>
        <vertical/>
        <horizontal/>
      </border>
    </dxf>
    <dxf>
      <font>
        <color theme="0"/>
      </font>
    </dxf>
    <dxf>
      <font>
        <color theme="0"/>
      </font>
      <fill>
        <patternFill patternType="solid">
          <bgColor theme="0"/>
        </patternFill>
      </fill>
      <border>
        <right/>
        <top/>
        <bottom/>
        <vertical/>
        <horizontal/>
      </border>
    </dxf>
    <dxf>
      <font>
        <color theme="0"/>
      </font>
      <fill>
        <patternFill patternType="none">
          <bgColor auto="1"/>
        </patternFill>
      </fill>
      <border>
        <left/>
        <right/>
        <top/>
        <bottom/>
        <vertical/>
        <horizontal/>
      </border>
    </dxf>
    <dxf>
      <fill>
        <patternFill>
          <bgColor rgb="FFFFFFCC"/>
        </patternFill>
      </fill>
    </dxf>
    <dxf>
      <font>
        <color theme="0"/>
      </font>
    </dxf>
    <dxf>
      <fill>
        <patternFill patternType="none">
          <bgColor auto="1"/>
        </patternFill>
      </fill>
      <border>
        <left/>
        <right/>
        <vertical/>
        <horizontal/>
      </border>
    </dxf>
    <dxf>
      <font>
        <color theme="0"/>
      </font>
    </dxf>
    <dxf>
      <font>
        <color theme="0"/>
      </font>
    </dxf>
    <dxf>
      <font>
        <color auto="1"/>
      </font>
    </dxf>
    <dxf>
      <fill>
        <patternFill>
          <bgColor rgb="FFFFFFCC"/>
        </patternFill>
      </fill>
      <border>
        <left style="thin">
          <color auto="1"/>
        </left>
        <right style="thin">
          <color auto="1"/>
        </right>
        <top style="thin">
          <color auto="1"/>
        </top>
        <bottom style="thin">
          <color auto="1"/>
        </bottom>
        <vertical/>
        <horizontal/>
      </border>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fill>
        <patternFill patternType="none">
          <bgColor auto="1"/>
        </patternFill>
      </fill>
      <border>
        <left/>
        <right/>
        <top/>
        <bottom/>
        <vertical/>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xdr:colOff>
          <xdr:row>1</xdr:row>
          <xdr:rowOff>11207</xdr:rowOff>
        </xdr:from>
        <xdr:to>
          <xdr:col>10</xdr:col>
          <xdr:colOff>1548013</xdr:colOff>
          <xdr:row>1</xdr:row>
          <xdr:rowOff>1194973</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Account Info'!$C$8:$J$14" spid="_x0000_s13855"/>
                </a:ext>
              </a:extLst>
            </xdr:cNvPicPr>
          </xdr:nvPicPr>
          <xdr:blipFill>
            <a:blip xmlns:r="http://schemas.openxmlformats.org/officeDocument/2006/relationships" r:embed="rId1"/>
            <a:srcRect/>
            <a:stretch>
              <a:fillRect/>
            </a:stretch>
          </xdr:blipFill>
          <xdr:spPr bwMode="auto">
            <a:xfrm>
              <a:off x="44825" y="33619"/>
              <a:ext cx="8628528" cy="11837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40822</xdr:colOff>
          <xdr:row>1</xdr:row>
          <xdr:rowOff>13608</xdr:rowOff>
        </xdr:from>
        <xdr:to>
          <xdr:col>13</xdr:col>
          <xdr:colOff>517072</xdr:colOff>
          <xdr:row>1</xdr:row>
          <xdr:rowOff>394608</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Account Info'!$G$18:$H$19" spid="_x0000_s13856"/>
                </a:ext>
              </a:extLst>
            </xdr:cNvPicPr>
          </xdr:nvPicPr>
          <xdr:blipFill>
            <a:blip xmlns:r="http://schemas.openxmlformats.org/officeDocument/2006/relationships" r:embed="rId2"/>
            <a:srcRect/>
            <a:stretch>
              <a:fillRect/>
            </a:stretch>
          </xdr:blipFill>
          <xdr:spPr bwMode="auto">
            <a:xfrm>
              <a:off x="8967108" y="27215"/>
              <a:ext cx="2313214" cy="3810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213</xdr:col>
      <xdr:colOff>128868</xdr:colOff>
      <xdr:row>22</xdr:row>
      <xdr:rowOff>187699</xdr:rowOff>
    </xdr:from>
    <xdr:to>
      <xdr:col>223</xdr:col>
      <xdr:colOff>454392</xdr:colOff>
      <xdr:row>49</xdr:row>
      <xdr:rowOff>33618</xdr:rowOff>
    </xdr:to>
    <xdr:pic>
      <xdr:nvPicPr>
        <xdr:cNvPr id="2" name="Picture 1" descr="image00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355750" y="4434728"/>
          <a:ext cx="6376701" cy="51238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33</xdr:col>
      <xdr:colOff>61633</xdr:colOff>
      <xdr:row>7</xdr:row>
      <xdr:rowOff>116541</xdr:rowOff>
    </xdr:from>
    <xdr:to>
      <xdr:col>52</xdr:col>
      <xdr:colOff>33058</xdr:colOff>
      <xdr:row>38</xdr:row>
      <xdr:rowOff>0</xdr:rowOff>
    </xdr:to>
    <xdr:pic>
      <xdr:nvPicPr>
        <xdr:cNvPr id="2" name="Picture 1" descr="image00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144751" y="1158688"/>
          <a:ext cx="8700807" cy="68260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0</xdr:colOff>
      <xdr:row>40</xdr:row>
      <xdr:rowOff>0</xdr:rowOff>
    </xdr:from>
    <xdr:to>
      <xdr:col>50</xdr:col>
      <xdr:colOff>409575</xdr:colOff>
      <xdr:row>42</xdr:row>
      <xdr:rowOff>76200</xdr:rowOff>
    </xdr:to>
    <xdr:pic>
      <xdr:nvPicPr>
        <xdr:cNvPr id="3" name="Picture 2" descr="image003">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468600" y="7620000"/>
          <a:ext cx="81819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NFS1\share\EVCAN\Data%20Entry%20Sheets%20and%20Raters\Raters%20-%20PROD%20versions\2011\Analysis\New%20Templates%20in%20Development\ESU%20CML-2012%20Price%20Monitoring%20Templat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DX%20Coding%20Table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nfs1\Actuarial\PROGRAM\Everest%20Specialty\Lawyers\Rater\Copy%20of%20PRIVATECO-NFP-V2.5.12(PROD)(PCI-CYB-NFP%20PM%20Spec)-v2%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MR Format"/>
      <sheetName val="Renewal-Excess"/>
      <sheetName val="Renewal-Primary"/>
      <sheetName val="New Business-Excess"/>
      <sheetName val="New Business-Primary"/>
      <sheetName val="AUM Bands"/>
      <sheetName val="ILFs"/>
      <sheetName val="Tables"/>
    </sheetNames>
    <sheetDataSet>
      <sheetData sheetId="0">
        <row r="2">
          <cell r="AB2" t="str">
            <v>E&amp;O</v>
          </cell>
        </row>
      </sheetData>
      <sheetData sheetId="1">
        <row r="2">
          <cell r="AW2" t="str">
            <v>E&amp;O</v>
          </cell>
        </row>
      </sheetData>
      <sheetData sheetId="2">
        <row r="2">
          <cell r="AW2" t="str">
            <v>E&amp;O</v>
          </cell>
        </row>
      </sheetData>
      <sheetData sheetId="3"/>
      <sheetData sheetId="4" refreshError="1"/>
      <sheetData sheetId="5">
        <row r="4">
          <cell r="B4">
            <v>1</v>
          </cell>
        </row>
      </sheetData>
      <sheetData sheetId="6">
        <row r="7">
          <cell r="A7">
            <v>25000</v>
          </cell>
        </row>
      </sheetData>
      <sheetData sheetId="7">
        <row r="2">
          <cell r="A2" t="str">
            <v>E&amp;O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X Coding Tab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Instructions"/>
      <sheetName val="Account Info"/>
      <sheetName val="Rater"/>
      <sheetName val="States"/>
      <sheetName val="Tables"/>
      <sheetName val="NAICS"/>
      <sheetName val="WINS Coding"/>
      <sheetName val="Workbook names"/>
      <sheetName val="Escape"/>
      <sheetName val="Lookups"/>
      <sheetName val="Version"/>
      <sheetName val="PM Spec"/>
      <sheetName val="D&amp;O-EPL-Crime-Fidu ILFs(R)"/>
      <sheetName val="D&amp;O-EPL-Crime-Fidu ILFs(E)"/>
      <sheetName val="Crime ILFs(R)"/>
      <sheetName val="Crime ILFs(E)"/>
      <sheetName val="Cyber ILFs(R)"/>
      <sheetName val="Cyber ILFs(E)"/>
      <sheetName val="MPL and Law ILFs(R)"/>
      <sheetName val="MPL and Law ILFs(E)"/>
      <sheetName val="K&amp;R ILFs(R)"/>
      <sheetName val="K&amp;R ILFs(E)"/>
    </sheetNames>
    <sheetDataSet>
      <sheetData sheetId="0">
        <row r="6">
          <cell r="B6" t="str">
            <v>AL</v>
          </cell>
        </row>
      </sheetData>
      <sheetData sheetId="1"/>
      <sheetData sheetId="2">
        <row r="7">
          <cell r="AB7" t="str">
            <v>Everest Expedition Private Company</v>
          </cell>
        </row>
        <row r="8">
          <cell r="AB8" t="str">
            <v>Everest Cyber Elevation</v>
          </cell>
        </row>
        <row r="9">
          <cell r="AA9" t="b">
            <v>0</v>
          </cell>
          <cell r="AB9" t="str">
            <v>Everest Expedition Not For Profit</v>
          </cell>
        </row>
      </sheetData>
      <sheetData sheetId="3">
        <row r="2">
          <cell r="D2">
            <v>87324</v>
          </cell>
        </row>
        <row r="11">
          <cell r="D11">
            <v>800000000</v>
          </cell>
          <cell r="P11">
            <v>1300000000</v>
          </cell>
        </row>
        <row r="21">
          <cell r="T21">
            <v>3300</v>
          </cell>
        </row>
        <row r="24">
          <cell r="D24">
            <v>5000000</v>
          </cell>
          <cell r="I24">
            <v>5000000</v>
          </cell>
          <cell r="P24">
            <v>2000000</v>
          </cell>
          <cell r="T24">
            <v>1000000</v>
          </cell>
        </row>
        <row r="26">
          <cell r="D26">
            <v>25000</v>
          </cell>
          <cell r="I26">
            <v>10000</v>
          </cell>
          <cell r="P26">
            <v>1500</v>
          </cell>
          <cell r="T26">
            <v>5000</v>
          </cell>
        </row>
        <row r="32">
          <cell r="X32" t="str">
            <v>Hazard 1</v>
          </cell>
        </row>
        <row r="33">
          <cell r="X33" t="str">
            <v>Hazard 2</v>
          </cell>
        </row>
        <row r="34">
          <cell r="X34" t="str">
            <v>Hazard 3</v>
          </cell>
        </row>
        <row r="35">
          <cell r="X35" t="str">
            <v>Hazard 4</v>
          </cell>
        </row>
        <row r="36">
          <cell r="I36">
            <v>25</v>
          </cell>
          <cell r="P36">
            <v>50000000</v>
          </cell>
          <cell r="T36">
            <v>270</v>
          </cell>
        </row>
        <row r="38">
          <cell r="I38">
            <v>6452</v>
          </cell>
        </row>
        <row r="41">
          <cell r="D41">
            <v>2500000</v>
          </cell>
          <cell r="I41">
            <v>2000000</v>
          </cell>
          <cell r="P41">
            <v>1000000</v>
          </cell>
          <cell r="T41">
            <v>1000000</v>
          </cell>
        </row>
        <row r="43">
          <cell r="D43">
            <v>25000</v>
          </cell>
          <cell r="I43">
            <v>10000</v>
          </cell>
          <cell r="P43">
            <v>5000</v>
          </cell>
          <cell r="T43">
            <v>15000</v>
          </cell>
        </row>
        <row r="122">
          <cell r="I122">
            <v>0</v>
          </cell>
          <cell r="Z122">
            <v>0</v>
          </cell>
        </row>
        <row r="123">
          <cell r="Z123">
            <v>250000</v>
          </cell>
        </row>
        <row r="124">
          <cell r="X124" t="str">
            <v>Yes</v>
          </cell>
          <cell r="Z124">
            <v>500000</v>
          </cell>
        </row>
        <row r="125">
          <cell r="X125" t="str">
            <v>No</v>
          </cell>
          <cell r="Z125">
            <v>750000</v>
          </cell>
        </row>
        <row r="126">
          <cell r="Z126">
            <v>1000000</v>
          </cell>
        </row>
        <row r="127">
          <cell r="Z127">
            <v>1250000</v>
          </cell>
        </row>
        <row r="128">
          <cell r="Z128">
            <v>1500000</v>
          </cell>
        </row>
        <row r="130">
          <cell r="AN130" t="str">
            <v>Low Risk</v>
          </cell>
        </row>
        <row r="131">
          <cell r="AN131" t="str">
            <v>Average Risk</v>
          </cell>
        </row>
        <row r="132">
          <cell r="AN132" t="str">
            <v>Moderate Risk</v>
          </cell>
        </row>
        <row r="133">
          <cell r="AN133" t="str">
            <v>High Risk</v>
          </cell>
        </row>
        <row r="135">
          <cell r="X135" t="str">
            <v>Low Risk</v>
          </cell>
          <cell r="AD135" t="str">
            <v>Low Risk</v>
          </cell>
          <cell r="AJ135" t="str">
            <v>Low Risk</v>
          </cell>
          <cell r="AN135" t="str">
            <v>Low Frequency</v>
          </cell>
        </row>
        <row r="136">
          <cell r="X136" t="str">
            <v>Average Risk</v>
          </cell>
          <cell r="AD136" t="str">
            <v>Average Risk</v>
          </cell>
          <cell r="AJ136" t="str">
            <v>Average Risk</v>
          </cell>
          <cell r="AN136" t="str">
            <v>Average Frequency</v>
          </cell>
        </row>
        <row r="137">
          <cell r="X137" t="str">
            <v>Moderate Risk</v>
          </cell>
          <cell r="AD137" t="str">
            <v>Moderate Risk</v>
          </cell>
          <cell r="AJ137" t="str">
            <v>Moderate Risk</v>
          </cell>
          <cell r="AN137" t="str">
            <v>Moderate Frequency</v>
          </cell>
        </row>
        <row r="138">
          <cell r="X138" t="str">
            <v>High Risk</v>
          </cell>
          <cell r="AD138" t="str">
            <v>High Risk</v>
          </cell>
          <cell r="AJ138" t="str">
            <v>High Risk</v>
          </cell>
          <cell r="AN138" t="str">
            <v>High Frequency</v>
          </cell>
        </row>
        <row r="140">
          <cell r="X140" t="str">
            <v>Greater than or equal to 3 Years</v>
          </cell>
          <cell r="AD140" t="str">
            <v>Low RIsk</v>
          </cell>
          <cell r="AJ140" t="str">
            <v>Greater than or equal to 3 years</v>
          </cell>
          <cell r="AN140" t="str">
            <v>Above Average Security</v>
          </cell>
        </row>
        <row r="141">
          <cell r="X141" t="str">
            <v>Less than 3 Years</v>
          </cell>
          <cell r="AD141" t="str">
            <v>Average Risk</v>
          </cell>
          <cell r="AJ141" t="str">
            <v>Less than 3 years</v>
          </cell>
          <cell r="AN141" t="str">
            <v>Average Security</v>
          </cell>
        </row>
        <row r="142">
          <cell r="AD142" t="str">
            <v>Moderate Risk</v>
          </cell>
          <cell r="AN142" t="str">
            <v>Below Average Security</v>
          </cell>
        </row>
        <row r="143">
          <cell r="AD143" t="str">
            <v>High RIsk</v>
          </cell>
          <cell r="AN143" t="str">
            <v>Poor Security</v>
          </cell>
        </row>
        <row r="152">
          <cell r="X152" t="str">
            <v>Less than or equal to 3</v>
          </cell>
          <cell r="AD152" t="str">
            <v>Greater than or equal to 3 Years (0.8 - 1) (0.9)</v>
          </cell>
          <cell r="AJ152" t="str">
            <v>Low Risk</v>
          </cell>
          <cell r="AN152" t="str">
            <v>Low Risk</v>
          </cell>
        </row>
        <row r="153">
          <cell r="X153" t="str">
            <v>Greater than 3</v>
          </cell>
          <cell r="AD153" t="str">
            <v>Less than 3 Years (1.01 - 1.3) (1.16)</v>
          </cell>
          <cell r="AJ153" t="str">
            <v>Average Risk</v>
          </cell>
          <cell r="AN153" t="str">
            <v>Average Risk</v>
          </cell>
        </row>
        <row r="154">
          <cell r="AJ154" t="str">
            <v>Moderate Risk</v>
          </cell>
          <cell r="AN154" t="str">
            <v>Moderate Risk</v>
          </cell>
        </row>
        <row r="155">
          <cell r="AJ155" t="str">
            <v>High Risk</v>
          </cell>
          <cell r="AN155" t="str">
            <v>High Risk</v>
          </cell>
        </row>
        <row r="157">
          <cell r="X157" t="str">
            <v>Low Risk</v>
          </cell>
          <cell r="AN157" t="str">
            <v>Above Average Policies</v>
          </cell>
        </row>
        <row r="158">
          <cell r="X158" t="str">
            <v>Average Risk</v>
          </cell>
          <cell r="AN158" t="str">
            <v>Average Policies</v>
          </cell>
        </row>
        <row r="159">
          <cell r="X159" t="str">
            <v>Moderate Risk</v>
          </cell>
          <cell r="AN159" t="str">
            <v>Below Average Policies</v>
          </cell>
        </row>
        <row r="160">
          <cell r="X160" t="str">
            <v>High Risk</v>
          </cell>
          <cell r="AN160" t="str">
            <v>Poor Policies</v>
          </cell>
        </row>
        <row r="162">
          <cell r="X162" t="str">
            <v>Greater than 50%</v>
          </cell>
          <cell r="AD162" t="str">
            <v>Low Risk</v>
          </cell>
          <cell r="AJ162" t="str">
            <v>Plans do not include a Defined Benefit Plan</v>
          </cell>
          <cell r="AN162" t="str">
            <v>Low Risk</v>
          </cell>
        </row>
        <row r="163">
          <cell r="X163" t="str">
            <v>Less than or equal to 50%</v>
          </cell>
          <cell r="AD163" t="str">
            <v>Average Risk</v>
          </cell>
          <cell r="AJ163" t="str">
            <v>Plans include an adequately funded Defined Benefit Plan</v>
          </cell>
          <cell r="AN163" t="str">
            <v>Average Risk</v>
          </cell>
        </row>
        <row r="164">
          <cell r="AD164" t="str">
            <v>Moderate Risk</v>
          </cell>
          <cell r="AJ164" t="str">
            <v>Plans include an deficiently  funded Defined Benefit Plan</v>
          </cell>
          <cell r="AN164" t="str">
            <v>Moderate Risk</v>
          </cell>
        </row>
        <row r="165">
          <cell r="AD165" t="str">
            <v>High Risk</v>
          </cell>
          <cell r="AN165" t="str">
            <v>High Risk</v>
          </cell>
        </row>
        <row r="176">
          <cell r="X176">
            <v>72021.027542130687</v>
          </cell>
        </row>
        <row r="179">
          <cell r="X179" t="str">
            <v>Low Risk</v>
          </cell>
          <cell r="AD179" t="str">
            <v>Low Risk</v>
          </cell>
          <cell r="AJ179" t="str">
            <v>No Employee Stock Ownership Plan or Low Risk</v>
          </cell>
        </row>
        <row r="180">
          <cell r="X180" t="str">
            <v>Average Risk</v>
          </cell>
          <cell r="AD180" t="str">
            <v>Average Risk</v>
          </cell>
          <cell r="AJ180" t="str">
            <v>Average Risk</v>
          </cell>
        </row>
        <row r="181">
          <cell r="X181" t="str">
            <v>Moderate Risk</v>
          </cell>
          <cell r="AD181" t="str">
            <v>Moderate Risk</v>
          </cell>
          <cell r="AJ181" t="str">
            <v>Moderate Risk</v>
          </cell>
        </row>
        <row r="182">
          <cell r="X182" t="str">
            <v>High Risk</v>
          </cell>
          <cell r="AD182" t="str">
            <v>High Risk</v>
          </cell>
          <cell r="AJ182" t="str">
            <v>High Risk</v>
          </cell>
        </row>
        <row r="184">
          <cell r="X184" t="str">
            <v>Low RIsk</v>
          </cell>
          <cell r="AD184" t="str">
            <v>Low % earning over EPL retenton</v>
          </cell>
          <cell r="AJ184" t="str">
            <v>No Defined Benefit Plans or Low Risk</v>
          </cell>
        </row>
        <row r="185">
          <cell r="X185" t="str">
            <v>Average Risk</v>
          </cell>
          <cell r="AD185" t="str">
            <v>Moderate % earning over EPL retention</v>
          </cell>
          <cell r="AJ185" t="str">
            <v>Average Risk</v>
          </cell>
        </row>
        <row r="186">
          <cell r="X186" t="str">
            <v>Moderate Risk</v>
          </cell>
          <cell r="AD186" t="str">
            <v>High % earning over EPL retention</v>
          </cell>
          <cell r="AJ186" t="str">
            <v>Moderate Risk</v>
          </cell>
        </row>
        <row r="187">
          <cell r="X187" t="str">
            <v>High Risk</v>
          </cell>
          <cell r="AJ187" t="str">
            <v>High Risk</v>
          </cell>
        </row>
        <row r="190">
          <cell r="X190" t="str">
            <v>Low Risk</v>
          </cell>
          <cell r="AD190" t="str">
            <v>Low Risk</v>
          </cell>
          <cell r="AJ190" t="str">
            <v>Less than or equal to 500</v>
          </cell>
        </row>
        <row r="191">
          <cell r="X191" t="str">
            <v>Average Risk</v>
          </cell>
          <cell r="AD191" t="str">
            <v>Average Risk</v>
          </cell>
          <cell r="AJ191" t="str">
            <v>501-999</v>
          </cell>
        </row>
        <row r="192">
          <cell r="X192" t="str">
            <v>Moderate Risk</v>
          </cell>
          <cell r="AD192" t="str">
            <v>Moderate Risk</v>
          </cell>
          <cell r="AJ192" t="str">
            <v>&gt;=1,000</v>
          </cell>
        </row>
        <row r="193">
          <cell r="X193" t="str">
            <v>High Risk</v>
          </cell>
          <cell r="AD193" t="str">
            <v>High Risk</v>
          </cell>
        </row>
        <row r="195">
          <cell r="X195" t="str">
            <v>Low Turnover</v>
          </cell>
          <cell r="AD195" t="str">
            <v>Low Risk</v>
          </cell>
          <cell r="AJ195" t="str">
            <v>Low Risk</v>
          </cell>
        </row>
        <row r="196">
          <cell r="X196" t="str">
            <v>Average Turnover</v>
          </cell>
          <cell r="AD196" t="str">
            <v>Average Risk</v>
          </cell>
          <cell r="AJ196" t="str">
            <v>Average Risk</v>
          </cell>
        </row>
        <row r="197">
          <cell r="X197" t="str">
            <v>Moderate Turnover</v>
          </cell>
          <cell r="AD197" t="str">
            <v>Moderate Risk</v>
          </cell>
          <cell r="AJ197" t="str">
            <v>Moderate Risk</v>
          </cell>
        </row>
        <row r="198">
          <cell r="X198" t="str">
            <v>High Turnover</v>
          </cell>
          <cell r="AD198" t="str">
            <v>High Risk</v>
          </cell>
          <cell r="AJ198" t="str">
            <v>High Risk</v>
          </cell>
        </row>
        <row r="200">
          <cell r="X200" t="str">
            <v>Strong</v>
          </cell>
          <cell r="AD200" t="str">
            <v>Low RIsk</v>
          </cell>
          <cell r="AJ200" t="str">
            <v>Low Risk</v>
          </cell>
        </row>
        <row r="201">
          <cell r="X201" t="str">
            <v>Above Average</v>
          </cell>
          <cell r="AD201" t="str">
            <v>Average Risk</v>
          </cell>
          <cell r="AJ201" t="str">
            <v>Average Risk</v>
          </cell>
        </row>
        <row r="202">
          <cell r="X202" t="str">
            <v>Average</v>
          </cell>
          <cell r="AD202" t="str">
            <v>Moderate Risk</v>
          </cell>
          <cell r="AJ202" t="str">
            <v>Moderate Risk</v>
          </cell>
        </row>
        <row r="203">
          <cell r="X203" t="str">
            <v>Below Aveage</v>
          </cell>
          <cell r="AD203" t="str">
            <v>High Risk</v>
          </cell>
          <cell r="AJ203" t="str">
            <v>High Risk</v>
          </cell>
        </row>
        <row r="204">
          <cell r="I204">
            <v>0</v>
          </cell>
          <cell r="X204" t="str">
            <v>Poor</v>
          </cell>
        </row>
        <row r="215">
          <cell r="X215" t="str">
            <v>Strong</v>
          </cell>
          <cell r="AD215" t="str">
            <v>Low Turnover</v>
          </cell>
          <cell r="AJ215" t="str">
            <v>Low Risk</v>
          </cell>
        </row>
        <row r="216">
          <cell r="X216" t="str">
            <v>Above Average</v>
          </cell>
          <cell r="AD216" t="str">
            <v>Average Turnover</v>
          </cell>
          <cell r="AJ216" t="str">
            <v>Average Risk</v>
          </cell>
        </row>
        <row r="217">
          <cell r="X217" t="str">
            <v>Average</v>
          </cell>
          <cell r="AD217" t="str">
            <v>Moderate Turnover</v>
          </cell>
          <cell r="AJ217" t="str">
            <v>Moderate Risk</v>
          </cell>
        </row>
        <row r="218">
          <cell r="X218" t="str">
            <v>Below Average</v>
          </cell>
          <cell r="AD218" t="str">
            <v>High Turnover</v>
          </cell>
          <cell r="AJ218" t="str">
            <v>High Risk</v>
          </cell>
        </row>
        <row r="219">
          <cell r="X219" t="str">
            <v>Poor</v>
          </cell>
        </row>
        <row r="221">
          <cell r="X221" t="str">
            <v>Strong</v>
          </cell>
          <cell r="AD221" t="str">
            <v>Strong</v>
          </cell>
        </row>
        <row r="222">
          <cell r="X222" t="str">
            <v>Above Average</v>
          </cell>
          <cell r="AD222" t="str">
            <v>Above Average</v>
          </cell>
        </row>
        <row r="223">
          <cell r="X223" t="str">
            <v>Average</v>
          </cell>
          <cell r="AD223" t="str">
            <v>Average</v>
          </cell>
        </row>
        <row r="224">
          <cell r="X224" t="str">
            <v>Below Average</v>
          </cell>
          <cell r="AD224" t="str">
            <v>Below Average</v>
          </cell>
        </row>
        <row r="225">
          <cell r="X225" t="str">
            <v>Poor</v>
          </cell>
          <cell r="AD225" t="str">
            <v>Poor</v>
          </cell>
        </row>
        <row r="264">
          <cell r="X264" t="str">
            <v>Non-Duty to Defend</v>
          </cell>
          <cell r="AD264" t="str">
            <v>Duty to Defend</v>
          </cell>
        </row>
        <row r="265">
          <cell r="X265" t="str">
            <v>Optional Duty to Defend</v>
          </cell>
          <cell r="AD265" t="str">
            <v>Optional Duty to Defend</v>
          </cell>
        </row>
        <row r="266">
          <cell r="X266" t="str">
            <v>Duty to Defend</v>
          </cell>
          <cell r="AD266" t="str">
            <v>Non-Duty to Defend</v>
          </cell>
        </row>
        <row r="268">
          <cell r="AD268" t="str">
            <v>Insuring Agreement B Third Party Liability is removed</v>
          </cell>
          <cell r="AJ268" t="str">
            <v>No Restrictive or Expansive Endorsement(s)</v>
          </cell>
        </row>
        <row r="269">
          <cell r="AD269" t="str">
            <v>Insuring Agreement B Third Party Liability is not removed</v>
          </cell>
          <cell r="AJ269" t="str">
            <v>Restrictive Endorsement(s)</v>
          </cell>
        </row>
        <row r="270">
          <cell r="AJ270" t="str">
            <v>Expansive Endorsement(s)</v>
          </cell>
        </row>
        <row r="271">
          <cell r="AJ271" t="str">
            <v>Very Restrictive Endorsement(s)</v>
          </cell>
        </row>
        <row r="272">
          <cell r="AJ272" t="str">
            <v>Very Expansive Endorsemet(s)</v>
          </cell>
        </row>
        <row r="273">
          <cell r="X273" t="str">
            <v>No Restrictive or Expansive Endorsement(s)</v>
          </cell>
          <cell r="AD273" t="str">
            <v>Low Risk</v>
          </cell>
        </row>
        <row r="274">
          <cell r="X274" t="str">
            <v>Restrictive Endorsement(s)</v>
          </cell>
          <cell r="AD274" t="str">
            <v>Average Risk</v>
          </cell>
          <cell r="AJ274">
            <v>0</v>
          </cell>
        </row>
        <row r="275">
          <cell r="X275" t="str">
            <v>Expansive Endorsement(s)</v>
          </cell>
          <cell r="AD275" t="str">
            <v>Moderate Risk</v>
          </cell>
          <cell r="AJ275">
            <v>50000</v>
          </cell>
        </row>
        <row r="276">
          <cell r="X276" t="str">
            <v>Very Restrictive Endorsemet(s)</v>
          </cell>
          <cell r="AD276" t="str">
            <v>High Risk</v>
          </cell>
          <cell r="AJ276">
            <v>250000</v>
          </cell>
        </row>
        <row r="277">
          <cell r="X277" t="str">
            <v>Very Expansive Endorsement(s)</v>
          </cell>
          <cell r="AD277" t="str">
            <v>Third Part Liability Coverage is removed</v>
          </cell>
          <cell r="AJ277">
            <v>500000</v>
          </cell>
        </row>
        <row r="278">
          <cell r="AJ278">
            <v>750000</v>
          </cell>
        </row>
        <row r="279">
          <cell r="AJ279">
            <v>1000000</v>
          </cell>
        </row>
        <row r="280">
          <cell r="AD280" t="str">
            <v>No Restrictive or Expansive Endorsement(s)</v>
          </cell>
          <cell r="AJ280">
            <v>1250000</v>
          </cell>
        </row>
        <row r="281">
          <cell r="X281">
            <v>0</v>
          </cell>
          <cell r="AD281" t="str">
            <v>Restrictive Endorsement(s)</v>
          </cell>
          <cell r="AJ281">
            <v>1500000</v>
          </cell>
        </row>
        <row r="282">
          <cell r="X282">
            <v>50000</v>
          </cell>
          <cell r="AD282" t="str">
            <v>Expansive Endorsement(s)</v>
          </cell>
          <cell r="AJ282">
            <v>5000000</v>
          </cell>
        </row>
        <row r="283">
          <cell r="X283">
            <v>250000</v>
          </cell>
          <cell r="AD283" t="str">
            <v>Very Restrictive Endorsement(s)</v>
          </cell>
          <cell r="AJ283">
            <v>10000000</v>
          </cell>
        </row>
        <row r="284">
          <cell r="X284">
            <v>500000</v>
          </cell>
          <cell r="AD284" t="str">
            <v>Very Expansive Endorsement(s)</v>
          </cell>
          <cell r="AJ284">
            <v>25000000</v>
          </cell>
        </row>
        <row r="285">
          <cell r="X285">
            <v>1000000</v>
          </cell>
        </row>
        <row r="286">
          <cell r="I286">
            <v>0</v>
          </cell>
          <cell r="X286">
            <v>5000000</v>
          </cell>
        </row>
        <row r="287">
          <cell r="X287">
            <v>10000000</v>
          </cell>
          <cell r="AE287" t="str">
            <v>Low</v>
          </cell>
          <cell r="AF287" t="str">
            <v>Medium</v>
          </cell>
          <cell r="AG287" t="str">
            <v>High</v>
          </cell>
        </row>
        <row r="288">
          <cell r="X288">
            <v>25000000</v>
          </cell>
          <cell r="AD288">
            <v>0</v>
          </cell>
        </row>
        <row r="289">
          <cell r="AD289">
            <v>1</v>
          </cell>
        </row>
        <row r="290">
          <cell r="X290">
            <v>0</v>
          </cell>
          <cell r="AD290">
            <v>100001</v>
          </cell>
        </row>
        <row r="291">
          <cell r="X291">
            <v>50000</v>
          </cell>
          <cell r="AD291">
            <v>150001</v>
          </cell>
        </row>
        <row r="292">
          <cell r="X292">
            <v>250000</v>
          </cell>
          <cell r="AD292">
            <v>250001</v>
          </cell>
        </row>
        <row r="293">
          <cell r="X293">
            <v>1000000</v>
          </cell>
          <cell r="AD293">
            <v>500001</v>
          </cell>
        </row>
        <row r="294">
          <cell r="X294">
            <v>5000000</v>
          </cell>
          <cell r="AD294">
            <v>1000001</v>
          </cell>
        </row>
        <row r="295">
          <cell r="X295">
            <v>10000000</v>
          </cell>
          <cell r="AD295">
            <v>2000001</v>
          </cell>
        </row>
        <row r="296">
          <cell r="X296">
            <v>25000000</v>
          </cell>
        </row>
        <row r="297">
          <cell r="AD297">
            <v>0</v>
          </cell>
        </row>
        <row r="298">
          <cell r="AD298">
            <v>50000</v>
          </cell>
        </row>
        <row r="299">
          <cell r="AD299">
            <v>250000</v>
          </cell>
        </row>
        <row r="300">
          <cell r="AD300">
            <v>500000</v>
          </cell>
        </row>
        <row r="301">
          <cell r="AD301">
            <v>1000000</v>
          </cell>
        </row>
        <row r="302">
          <cell r="AD302">
            <v>5000000</v>
          </cell>
        </row>
        <row r="303">
          <cell r="AD303">
            <v>10000000</v>
          </cell>
        </row>
        <row r="304">
          <cell r="AD304">
            <v>25000000</v>
          </cell>
        </row>
        <row r="306">
          <cell r="AD306">
            <v>0</v>
          </cell>
        </row>
        <row r="307">
          <cell r="AD307">
            <v>25000</v>
          </cell>
        </row>
        <row r="308">
          <cell r="AD308">
            <v>50000</v>
          </cell>
        </row>
        <row r="309">
          <cell r="X309">
            <v>0</v>
          </cell>
          <cell r="AD309">
            <v>250000</v>
          </cell>
        </row>
        <row r="310">
          <cell r="X310">
            <v>50000</v>
          </cell>
          <cell r="AD310">
            <v>1000000</v>
          </cell>
        </row>
        <row r="311">
          <cell r="X311">
            <v>250000</v>
          </cell>
          <cell r="AD311">
            <v>5000000</v>
          </cell>
        </row>
        <row r="312">
          <cell r="X312">
            <v>1000000</v>
          </cell>
          <cell r="AD312">
            <v>10000000</v>
          </cell>
        </row>
        <row r="313">
          <cell r="X313">
            <v>5000000</v>
          </cell>
          <cell r="AD313">
            <v>25000000</v>
          </cell>
        </row>
        <row r="314">
          <cell r="X314">
            <v>10000000</v>
          </cell>
        </row>
        <row r="315">
          <cell r="X315">
            <v>25000000</v>
          </cell>
        </row>
        <row r="324">
          <cell r="X324" t="str">
            <v>Low Risk</v>
          </cell>
        </row>
        <row r="325">
          <cell r="X325" t="str">
            <v>Average Risk</v>
          </cell>
        </row>
        <row r="326">
          <cell r="X326" t="str">
            <v>Moderate Risk</v>
          </cell>
        </row>
        <row r="327">
          <cell r="X327" t="str">
            <v>High Risk</v>
          </cell>
        </row>
        <row r="329">
          <cell r="X329" t="str">
            <v>Below Average Risk</v>
          </cell>
        </row>
        <row r="330">
          <cell r="X330" t="str">
            <v>Average Risk</v>
          </cell>
        </row>
        <row r="331">
          <cell r="X331" t="str">
            <v>Above Average Risk</v>
          </cell>
        </row>
        <row r="333">
          <cell r="X333" t="str">
            <v>Low Risk</v>
          </cell>
        </row>
        <row r="334">
          <cell r="X334" t="str">
            <v>Moderate Risk</v>
          </cell>
        </row>
        <row r="335">
          <cell r="X335" t="str">
            <v>High Risk</v>
          </cell>
        </row>
        <row r="337">
          <cell r="X337" t="str">
            <v>Low Risk</v>
          </cell>
        </row>
        <row r="338">
          <cell r="X338" t="str">
            <v>Average Risk</v>
          </cell>
        </row>
        <row r="339">
          <cell r="X339" t="str">
            <v>Moderate Risk</v>
          </cell>
        </row>
        <row r="340">
          <cell r="X340" t="str">
            <v>High Risk</v>
          </cell>
        </row>
        <row r="341">
          <cell r="K341">
            <v>1</v>
          </cell>
        </row>
        <row r="343">
          <cell r="W343">
            <v>7262.1157549269401</v>
          </cell>
          <cell r="AD343" t="str">
            <v>Low</v>
          </cell>
        </row>
        <row r="344">
          <cell r="AD344" t="str">
            <v>Moderate</v>
          </cell>
        </row>
        <row r="345">
          <cell r="AD345" t="str">
            <v>High</v>
          </cell>
        </row>
        <row r="346">
          <cell r="X346" t="str">
            <v>Low Risk</v>
          </cell>
        </row>
        <row r="347">
          <cell r="X347" t="str">
            <v>Moderate Risk</v>
          </cell>
        </row>
        <row r="348">
          <cell r="X348" t="str">
            <v>High Risk</v>
          </cell>
        </row>
        <row r="350">
          <cell r="X350" t="str">
            <v>Excellent</v>
          </cell>
        </row>
        <row r="351">
          <cell r="M351">
            <v>0</v>
          </cell>
          <cell r="X351" t="str">
            <v>Acceptable</v>
          </cell>
        </row>
        <row r="352">
          <cell r="X352" t="str">
            <v>Minimal</v>
          </cell>
        </row>
        <row r="354">
          <cell r="C354">
            <v>1000000</v>
          </cell>
          <cell r="E354">
            <v>5000</v>
          </cell>
          <cell r="M354">
            <v>145</v>
          </cell>
          <cell r="X354" t="str">
            <v>Excellent</v>
          </cell>
        </row>
        <row r="355">
          <cell r="X355" t="str">
            <v>Acceptable</v>
          </cell>
        </row>
        <row r="356">
          <cell r="X356" t="str">
            <v>Minimal</v>
          </cell>
        </row>
        <row r="357">
          <cell r="C357">
            <v>500000</v>
          </cell>
          <cell r="E357">
            <v>5000</v>
          </cell>
          <cell r="M357">
            <v>218</v>
          </cell>
        </row>
        <row r="358">
          <cell r="X358" t="str">
            <v>Excellent</v>
          </cell>
        </row>
        <row r="359">
          <cell r="X359" t="str">
            <v>Acceptable</v>
          </cell>
        </row>
        <row r="360">
          <cell r="C360">
            <v>750000</v>
          </cell>
          <cell r="E360">
            <v>5000</v>
          </cell>
          <cell r="M360">
            <v>191</v>
          </cell>
          <cell r="X360" t="str">
            <v>Minimal</v>
          </cell>
        </row>
        <row r="362">
          <cell r="X362" t="str">
            <v>Excellent</v>
          </cell>
        </row>
        <row r="363">
          <cell r="C363">
            <v>1000000</v>
          </cell>
          <cell r="E363">
            <v>15000</v>
          </cell>
          <cell r="M363">
            <v>203</v>
          </cell>
          <cell r="X363" t="str">
            <v>Acceptable</v>
          </cell>
        </row>
        <row r="364">
          <cell r="X364" t="str">
            <v>Minimal</v>
          </cell>
        </row>
        <row r="366">
          <cell r="M366">
            <v>0</v>
          </cell>
          <cell r="X366" t="str">
            <v>Excellent</v>
          </cell>
        </row>
        <row r="367">
          <cell r="X367" t="str">
            <v>Acceptable</v>
          </cell>
        </row>
        <row r="368">
          <cell r="X368" t="str">
            <v>Minimal</v>
          </cell>
        </row>
        <row r="369">
          <cell r="C369">
            <v>500000</v>
          </cell>
          <cell r="E369">
            <v>1000</v>
          </cell>
          <cell r="M369">
            <v>225</v>
          </cell>
        </row>
        <row r="372">
          <cell r="C372">
            <v>1000000</v>
          </cell>
          <cell r="E372">
            <v>5000</v>
          </cell>
          <cell r="M372">
            <v>363</v>
          </cell>
        </row>
        <row r="375">
          <cell r="C375">
            <v>100000</v>
          </cell>
          <cell r="E375">
            <v>50000</v>
          </cell>
          <cell r="M375">
            <v>30</v>
          </cell>
          <cell r="X375" t="str">
            <v>More than 10</v>
          </cell>
        </row>
        <row r="376">
          <cell r="X376" t="str">
            <v>5 to 10</v>
          </cell>
        </row>
        <row r="377">
          <cell r="X377" t="str">
            <v>Less than 5</v>
          </cell>
        </row>
        <row r="378">
          <cell r="C378">
            <v>25000</v>
          </cell>
          <cell r="E378">
            <v>0</v>
          </cell>
          <cell r="M378">
            <v>395</v>
          </cell>
        </row>
        <row r="379">
          <cell r="X379" t="str">
            <v>Low Risk</v>
          </cell>
        </row>
        <row r="380">
          <cell r="X380" t="str">
            <v>Average Risk</v>
          </cell>
        </row>
        <row r="381">
          <cell r="X381" t="str">
            <v>Moderate Risk</v>
          </cell>
        </row>
        <row r="382">
          <cell r="X382" t="str">
            <v>High Risk</v>
          </cell>
        </row>
        <row r="383">
          <cell r="AJ383" t="str">
            <v>Low Risk</v>
          </cell>
          <cell r="AO383" t="str">
            <v>No Restrictive or Expansive Endorsement(s)</v>
          </cell>
        </row>
        <row r="384">
          <cell r="AJ384" t="str">
            <v>Average Risk</v>
          </cell>
          <cell r="AO384" t="str">
            <v>Restrictive Endorsement(s)</v>
          </cell>
        </row>
        <row r="385">
          <cell r="AJ385" t="str">
            <v>Moderate Risk</v>
          </cell>
          <cell r="AO385" t="str">
            <v>Expansive Endorsement(s)</v>
          </cell>
        </row>
        <row r="386">
          <cell r="AJ386" t="str">
            <v>High Risk</v>
          </cell>
          <cell r="AO386" t="str">
            <v>Very Restrictive Endorsemet(s)</v>
          </cell>
        </row>
        <row r="387">
          <cell r="AO387" t="str">
            <v>Very Expansive Endorsement(s)</v>
          </cell>
        </row>
        <row r="388">
          <cell r="AJ388" t="str">
            <v>Favorable</v>
          </cell>
        </row>
        <row r="389">
          <cell r="AJ389" t="str">
            <v>Moderate</v>
          </cell>
          <cell r="AO389" t="str">
            <v>Low Exposure</v>
          </cell>
        </row>
        <row r="390">
          <cell r="AJ390" t="str">
            <v>Unfavorable</v>
          </cell>
          <cell r="AO390" t="str">
            <v>Moderate Exposure</v>
          </cell>
        </row>
        <row r="391">
          <cell r="AO391" t="str">
            <v>High Exposure</v>
          </cell>
        </row>
        <row r="392">
          <cell r="AJ392" t="str">
            <v>Low Risk</v>
          </cell>
          <cell r="AO392" t="str">
            <v>Severe Exposure</v>
          </cell>
        </row>
        <row r="393">
          <cell r="AJ393" t="str">
            <v>Moderate Risk</v>
          </cell>
        </row>
        <row r="394">
          <cell r="AJ394" t="str">
            <v>High Risk</v>
          </cell>
        </row>
        <row r="396">
          <cell r="AJ396" t="str">
            <v>Low Risk</v>
          </cell>
        </row>
        <row r="397">
          <cell r="AJ397" t="str">
            <v>Average Risk</v>
          </cell>
        </row>
        <row r="398">
          <cell r="AJ398" t="str">
            <v>Moderate Risk</v>
          </cell>
        </row>
        <row r="399">
          <cell r="AJ399" t="str">
            <v>High Risk</v>
          </cell>
        </row>
        <row r="401">
          <cell r="AJ401" t="str">
            <v>Low Risk</v>
          </cell>
        </row>
        <row r="402">
          <cell r="AJ402" t="str">
            <v>Moderate Risk</v>
          </cell>
        </row>
        <row r="403">
          <cell r="AJ403" t="str">
            <v>High Risk</v>
          </cell>
        </row>
        <row r="405">
          <cell r="AJ405" t="str">
            <v>Excellent</v>
          </cell>
        </row>
        <row r="406">
          <cell r="AJ406" t="str">
            <v>Acceptable</v>
          </cell>
        </row>
        <row r="407">
          <cell r="AJ407" t="str">
            <v>Minimal</v>
          </cell>
        </row>
        <row r="408">
          <cell r="AT408">
            <v>1</v>
          </cell>
        </row>
        <row r="409">
          <cell r="AJ409" t="str">
            <v>Low Risk</v>
          </cell>
          <cell r="AT409">
            <v>2</v>
          </cell>
        </row>
        <row r="410">
          <cell r="AJ410" t="str">
            <v>Moderate Risk</v>
          </cell>
          <cell r="AT410">
            <v>4</v>
          </cell>
        </row>
        <row r="411">
          <cell r="AJ411" t="str">
            <v>High Risk</v>
          </cell>
          <cell r="AT411">
            <v>6</v>
          </cell>
        </row>
        <row r="412">
          <cell r="AT412">
            <v>8</v>
          </cell>
        </row>
        <row r="413">
          <cell r="AJ413" t="str">
            <v>Excellent</v>
          </cell>
          <cell r="AT413">
            <v>10</v>
          </cell>
        </row>
        <row r="414">
          <cell r="AJ414" t="str">
            <v>Acceptable</v>
          </cell>
          <cell r="AT414">
            <v>12</v>
          </cell>
        </row>
        <row r="415">
          <cell r="AJ415" t="str">
            <v>Minimal</v>
          </cell>
          <cell r="AT415">
            <v>24</v>
          </cell>
        </row>
        <row r="416">
          <cell r="AT416">
            <v>48</v>
          </cell>
        </row>
        <row r="417">
          <cell r="AJ417" t="str">
            <v>Excellent</v>
          </cell>
          <cell r="AT417">
            <v>72</v>
          </cell>
        </row>
        <row r="418">
          <cell r="AJ418" t="str">
            <v>Acceptable</v>
          </cell>
        </row>
        <row r="419">
          <cell r="AJ419" t="str">
            <v>Minimal</v>
          </cell>
        </row>
        <row r="421">
          <cell r="AJ421" t="str">
            <v>Excellent</v>
          </cell>
        </row>
        <row r="422">
          <cell r="AJ422" t="str">
            <v>Acceptable</v>
          </cell>
        </row>
        <row r="423">
          <cell r="AJ423" t="str">
            <v>Minimal</v>
          </cell>
        </row>
        <row r="425">
          <cell r="AJ425" t="str">
            <v>Excellent</v>
          </cell>
        </row>
        <row r="426">
          <cell r="AJ426" t="str">
            <v>Acceptable</v>
          </cell>
        </row>
        <row r="427">
          <cell r="AJ427" t="str">
            <v>Minimal</v>
          </cell>
        </row>
        <row r="429">
          <cell r="AJ429" t="str">
            <v>Low Risk</v>
          </cell>
        </row>
        <row r="430">
          <cell r="AJ430" t="str">
            <v>Moderate Risk</v>
          </cell>
        </row>
        <row r="431">
          <cell r="AJ431" t="str">
            <v>High Risk</v>
          </cell>
        </row>
        <row r="433">
          <cell r="AJ433" t="str">
            <v>Low Risk</v>
          </cell>
        </row>
        <row r="434">
          <cell r="AJ434" t="str">
            <v>Moderate Risk</v>
          </cell>
        </row>
        <row r="435">
          <cell r="AJ435" t="str">
            <v>High Risk</v>
          </cell>
        </row>
        <row r="436">
          <cell r="K436">
            <v>1.1000000000000001</v>
          </cell>
        </row>
        <row r="437">
          <cell r="AJ437" t="str">
            <v>Excellent</v>
          </cell>
        </row>
        <row r="438">
          <cell r="AJ438" t="str">
            <v>Acceptable</v>
          </cell>
        </row>
        <row r="439">
          <cell r="AJ439" t="str">
            <v>Minimal</v>
          </cell>
        </row>
        <row r="441">
          <cell r="AJ441" t="str">
            <v>Low Risk</v>
          </cell>
        </row>
        <row r="442">
          <cell r="AJ442" t="str">
            <v>Moderate Risk</v>
          </cell>
        </row>
        <row r="443">
          <cell r="AJ443" t="str">
            <v>High Risk</v>
          </cell>
        </row>
        <row r="446">
          <cell r="C446">
            <v>2500000</v>
          </cell>
          <cell r="E446">
            <v>25000</v>
          </cell>
          <cell r="M446">
            <v>1665</v>
          </cell>
        </row>
        <row r="450">
          <cell r="C450">
            <v>2500000</v>
          </cell>
          <cell r="E450">
            <v>25000</v>
          </cell>
          <cell r="M450">
            <v>1665</v>
          </cell>
        </row>
        <row r="454">
          <cell r="M454">
            <v>0</v>
          </cell>
        </row>
        <row r="458">
          <cell r="C458">
            <v>500000</v>
          </cell>
          <cell r="E458">
            <v>25000</v>
          </cell>
          <cell r="M458">
            <v>722</v>
          </cell>
        </row>
        <row r="462">
          <cell r="C462">
            <v>500000</v>
          </cell>
          <cell r="E462">
            <v>5000</v>
          </cell>
          <cell r="M462">
            <v>2620</v>
          </cell>
        </row>
        <row r="467">
          <cell r="C467">
            <v>2500000</v>
          </cell>
          <cell r="E467">
            <v>0</v>
          </cell>
          <cell r="M467">
            <v>8212</v>
          </cell>
        </row>
        <row r="472">
          <cell r="C472">
            <v>250000</v>
          </cell>
          <cell r="E472">
            <v>1000</v>
          </cell>
          <cell r="M472">
            <v>1528</v>
          </cell>
        </row>
        <row r="476">
          <cell r="C476">
            <v>2500000</v>
          </cell>
          <cell r="E476">
            <v>25000</v>
          </cell>
          <cell r="M476">
            <v>1665</v>
          </cell>
        </row>
        <row r="480">
          <cell r="M480">
            <v>0</v>
          </cell>
        </row>
        <row r="484">
          <cell r="C484">
            <v>25000</v>
          </cell>
          <cell r="E484">
            <v>0</v>
          </cell>
          <cell r="M484">
            <v>370</v>
          </cell>
        </row>
        <row r="488">
          <cell r="C488">
            <v>100000</v>
          </cell>
          <cell r="E488">
            <v>25000</v>
          </cell>
          <cell r="M488">
            <v>267</v>
          </cell>
        </row>
        <row r="492">
          <cell r="C492">
            <v>400000</v>
          </cell>
          <cell r="E492">
            <v>15000</v>
          </cell>
          <cell r="M492">
            <v>1137</v>
          </cell>
        </row>
        <row r="496">
          <cell r="C496">
            <v>2500000</v>
          </cell>
          <cell r="E496">
            <v>25000</v>
          </cell>
          <cell r="M496">
            <v>2050</v>
          </cell>
        </row>
        <row r="500">
          <cell r="C500">
            <v>50000</v>
          </cell>
          <cell r="E500">
            <v>0</v>
          </cell>
          <cell r="M500">
            <v>1737</v>
          </cell>
        </row>
        <row r="532">
          <cell r="AD532" t="str">
            <v>Duty to Defend</v>
          </cell>
        </row>
        <row r="533">
          <cell r="AD533" t="str">
            <v>Optional Duty to Defend</v>
          </cell>
        </row>
        <row r="534">
          <cell r="X534" t="str">
            <v>Duty to Defend</v>
          </cell>
          <cell r="AD534" t="str">
            <v>Non-Duty to Defend</v>
          </cell>
        </row>
        <row r="535">
          <cell r="X535" t="str">
            <v>Optional Duty to Defend</v>
          </cell>
        </row>
        <row r="536">
          <cell r="X536" t="str">
            <v>Non-Duty to Defend</v>
          </cell>
          <cell r="AD536" t="str">
            <v>No Restrictive or Expansive Endorsement(s)</v>
          </cell>
        </row>
        <row r="537">
          <cell r="AD537" t="str">
            <v>Restrictive Endorsement(s)</v>
          </cell>
        </row>
        <row r="538">
          <cell r="AD538" t="str">
            <v>Expansive Endorsement(s)</v>
          </cell>
        </row>
        <row r="539">
          <cell r="AD539" t="str">
            <v>Very Restrictive Endorsemet(s)</v>
          </cell>
        </row>
        <row r="540">
          <cell r="AD540" t="str">
            <v>Very Expansive Endorsement(s)</v>
          </cell>
        </row>
        <row r="542">
          <cell r="AD542" t="str">
            <v>Yes</v>
          </cell>
        </row>
        <row r="543">
          <cell r="AD543" t="str">
            <v>No</v>
          </cell>
        </row>
        <row r="547">
          <cell r="X547" t="str">
            <v>No Restrictive or Expansive Endorsement(s)</v>
          </cell>
        </row>
        <row r="548">
          <cell r="X548" t="str">
            <v>Restrictive Endorsement(s)</v>
          </cell>
        </row>
        <row r="549">
          <cell r="X549" t="str">
            <v>Expansive Endorsement(s)</v>
          </cell>
        </row>
        <row r="550">
          <cell r="X550" t="str">
            <v>Very Restrictive Endorsemet(s)</v>
          </cell>
        </row>
        <row r="551">
          <cell r="X551" t="str">
            <v>Very Expansive Endorsement(s)</v>
          </cell>
        </row>
        <row r="553">
          <cell r="X553" t="str">
            <v>Yes</v>
          </cell>
        </row>
        <row r="554">
          <cell r="X554" t="str">
            <v>No</v>
          </cell>
        </row>
        <row r="560">
          <cell r="I560">
            <v>0</v>
          </cell>
        </row>
        <row r="594">
          <cell r="X594" t="str">
            <v>More than 10</v>
          </cell>
        </row>
        <row r="595">
          <cell r="X595" t="str">
            <v>5 to 10</v>
          </cell>
        </row>
        <row r="596">
          <cell r="X596" t="str">
            <v>Less than 5</v>
          </cell>
          <cell r="AD596" t="str">
            <v>Low Risk</v>
          </cell>
        </row>
        <row r="597">
          <cell r="AD597" t="str">
            <v>Average Risk</v>
          </cell>
        </row>
        <row r="598">
          <cell r="X598" t="str">
            <v>Low</v>
          </cell>
          <cell r="AD598" t="str">
            <v>High Risk</v>
          </cell>
        </row>
        <row r="599">
          <cell r="X599" t="str">
            <v>Average</v>
          </cell>
        </row>
        <row r="600">
          <cell r="X600" t="str">
            <v>High</v>
          </cell>
          <cell r="AD600" t="str">
            <v>None</v>
          </cell>
        </row>
        <row r="601">
          <cell r="AD601" t="str">
            <v>Minimal</v>
          </cell>
        </row>
        <row r="602">
          <cell r="AD602" t="str">
            <v>Moderate</v>
          </cell>
        </row>
        <row r="603">
          <cell r="AD603" t="str">
            <v>Significant</v>
          </cell>
        </row>
        <row r="604">
          <cell r="W604">
            <v>41569.900334309998</v>
          </cell>
        </row>
        <row r="605">
          <cell r="AD605" t="str">
            <v>No</v>
          </cell>
        </row>
        <row r="606">
          <cell r="AD606" t="str">
            <v>Yes</v>
          </cell>
        </row>
        <row r="607">
          <cell r="X607" t="str">
            <v>Over 10 Years</v>
          </cell>
        </row>
        <row r="608">
          <cell r="X608" t="str">
            <v>3 to 10 Years</v>
          </cell>
        </row>
        <row r="609">
          <cell r="X609" t="str">
            <v>Less than 3 Years</v>
          </cell>
        </row>
        <row r="611">
          <cell r="X611" t="str">
            <v>Low Risk</v>
          </cell>
        </row>
        <row r="612">
          <cell r="X612" t="str">
            <v>Average Risk</v>
          </cell>
        </row>
        <row r="613">
          <cell r="X613" t="str">
            <v>Moderate Risk</v>
          </cell>
        </row>
        <row r="614">
          <cell r="X614" t="str">
            <v>High Risk</v>
          </cell>
        </row>
        <row r="616">
          <cell r="X616" t="str">
            <v>Low</v>
          </cell>
          <cell r="AD616" t="str">
            <v>Low Risk</v>
          </cell>
        </row>
        <row r="617">
          <cell r="X617" t="str">
            <v>Average</v>
          </cell>
          <cell r="AD617" t="str">
            <v>Average Risk</v>
          </cell>
        </row>
        <row r="618">
          <cell r="X618" t="str">
            <v>High</v>
          </cell>
          <cell r="AD618" t="str">
            <v>Moderate Risk</v>
          </cell>
        </row>
        <row r="619">
          <cell r="AD619" t="str">
            <v>High Risk</v>
          </cell>
        </row>
        <row r="620">
          <cell r="I620">
            <v>0</v>
          </cell>
          <cell r="X620" t="str">
            <v>Above Average</v>
          </cell>
        </row>
        <row r="621">
          <cell r="X621" t="str">
            <v>Average</v>
          </cell>
          <cell r="AD621" t="str">
            <v>Above Average</v>
          </cell>
        </row>
        <row r="622">
          <cell r="X622" t="str">
            <v>Below Average</v>
          </cell>
          <cell r="AD622" t="str">
            <v>Average</v>
          </cell>
        </row>
        <row r="623">
          <cell r="AD623" t="str">
            <v>Below Average</v>
          </cell>
        </row>
        <row r="625">
          <cell r="X625" t="str">
            <v>Less than 1</v>
          </cell>
        </row>
        <row r="626">
          <cell r="X626" t="str">
            <v>Greater than or equal to 1, but less than 2</v>
          </cell>
          <cell r="AD626" t="str">
            <v>Above Average</v>
          </cell>
        </row>
        <row r="627">
          <cell r="X627" t="str">
            <v>Greater than or equal to 2, but less than 3</v>
          </cell>
          <cell r="AD627" t="str">
            <v>Average</v>
          </cell>
        </row>
        <row r="628">
          <cell r="X628" t="str">
            <v>Greater than or equal to 3</v>
          </cell>
          <cell r="AD628" t="str">
            <v>Below Average</v>
          </cell>
        </row>
        <row r="630">
          <cell r="X630" t="str">
            <v>Low Risk</v>
          </cell>
        </row>
        <row r="631">
          <cell r="X631" t="str">
            <v>Average Risk</v>
          </cell>
        </row>
        <row r="632">
          <cell r="X632" t="str">
            <v>High Risk</v>
          </cell>
        </row>
        <row r="634">
          <cell r="X634" t="str">
            <v>Low Risk</v>
          </cell>
          <cell r="AD634" t="str">
            <v>Low Risk</v>
          </cell>
        </row>
        <row r="635">
          <cell r="X635" t="str">
            <v>Averge Risk</v>
          </cell>
          <cell r="AD635" t="str">
            <v>Average Risk</v>
          </cell>
        </row>
        <row r="636">
          <cell r="X636" t="str">
            <v>High Risk</v>
          </cell>
          <cell r="AD636" t="str">
            <v>Moderate Risk</v>
          </cell>
        </row>
        <row r="637">
          <cell r="AD637" t="str">
            <v>High Risk</v>
          </cell>
        </row>
        <row r="655">
          <cell r="W655">
            <v>1540.8703023126536</v>
          </cell>
        </row>
        <row r="664">
          <cell r="C664">
            <v>1000000</v>
          </cell>
          <cell r="M664">
            <v>58</v>
          </cell>
        </row>
        <row r="666">
          <cell r="X666" t="str">
            <v>100% of Limit</v>
          </cell>
        </row>
        <row r="667">
          <cell r="X667" t="str">
            <v>150% of Limit</v>
          </cell>
        </row>
        <row r="668">
          <cell r="C668">
            <v>250000</v>
          </cell>
          <cell r="M668">
            <v>39</v>
          </cell>
          <cell r="X668" t="str">
            <v>200% of Limit</v>
          </cell>
        </row>
        <row r="669">
          <cell r="X669" t="str">
            <v>No Aggregate Limit</v>
          </cell>
        </row>
        <row r="672">
          <cell r="M672">
            <v>0</v>
          </cell>
        </row>
        <row r="677">
          <cell r="C677">
            <v>500000</v>
          </cell>
        </row>
        <row r="679">
          <cell r="M679">
            <v>111</v>
          </cell>
        </row>
        <row r="682">
          <cell r="C682">
            <v>500000</v>
          </cell>
        </row>
        <row r="684">
          <cell r="M684">
            <v>74</v>
          </cell>
        </row>
        <row r="687">
          <cell r="C687">
            <v>500000</v>
          </cell>
        </row>
        <row r="689">
          <cell r="M689">
            <v>74</v>
          </cell>
        </row>
      </sheetData>
      <sheetData sheetId="4">
        <row r="2">
          <cell r="A2" t="str">
            <v>Alabama</v>
          </cell>
        </row>
        <row r="3">
          <cell r="A3" t="str">
            <v>Alaska</v>
          </cell>
        </row>
        <row r="4">
          <cell r="A4" t="str">
            <v>American Samoa</v>
          </cell>
        </row>
        <row r="5">
          <cell r="A5" t="str">
            <v>Arizona</v>
          </cell>
        </row>
        <row r="6">
          <cell r="A6" t="str">
            <v>Arkansas</v>
          </cell>
        </row>
        <row r="7">
          <cell r="A7" t="str">
            <v>Bermuda</v>
          </cell>
        </row>
        <row r="8">
          <cell r="A8" t="str">
            <v>California</v>
          </cell>
        </row>
        <row r="9">
          <cell r="A9" t="str">
            <v>Colorado</v>
          </cell>
        </row>
        <row r="10">
          <cell r="A10" t="str">
            <v>Connecticut</v>
          </cell>
        </row>
        <row r="11">
          <cell r="A11" t="str">
            <v>Delaware</v>
          </cell>
        </row>
        <row r="12">
          <cell r="A12" t="str">
            <v>District Of Columbia</v>
          </cell>
        </row>
        <row r="13">
          <cell r="A13" t="str">
            <v>Florida</v>
          </cell>
        </row>
        <row r="14">
          <cell r="A14" t="str">
            <v>Georgia</v>
          </cell>
        </row>
        <row r="15">
          <cell r="A15" t="str">
            <v>Guam</v>
          </cell>
        </row>
        <row r="16">
          <cell r="A16" t="str">
            <v>Hawaii</v>
          </cell>
        </row>
        <row r="17">
          <cell r="A17" t="str">
            <v>Idaho</v>
          </cell>
        </row>
        <row r="18">
          <cell r="A18" t="str">
            <v>Illinois</v>
          </cell>
        </row>
        <row r="19">
          <cell r="A19" t="str">
            <v>Indiana</v>
          </cell>
        </row>
        <row r="20">
          <cell r="A20" t="str">
            <v>Iowa</v>
          </cell>
        </row>
        <row r="21">
          <cell r="A21" t="str">
            <v>Kansas</v>
          </cell>
        </row>
        <row r="22">
          <cell r="A22" t="str">
            <v>Kentucky</v>
          </cell>
        </row>
        <row r="23">
          <cell r="A23" t="str">
            <v>Louisiana</v>
          </cell>
        </row>
        <row r="24">
          <cell r="A24" t="str">
            <v>Maine</v>
          </cell>
        </row>
        <row r="25">
          <cell r="A25" t="str">
            <v>Marshall Islands</v>
          </cell>
        </row>
        <row r="26">
          <cell r="A26" t="str">
            <v>Maryland</v>
          </cell>
        </row>
        <row r="27">
          <cell r="A27" t="str">
            <v>Massachusetts</v>
          </cell>
        </row>
        <row r="28">
          <cell r="A28" t="str">
            <v>Michigan</v>
          </cell>
        </row>
        <row r="29">
          <cell r="A29" t="str">
            <v>Minnesota</v>
          </cell>
        </row>
        <row r="30">
          <cell r="A30" t="str">
            <v>Mississippi</v>
          </cell>
        </row>
        <row r="31">
          <cell r="A31" t="str">
            <v>Missouri</v>
          </cell>
        </row>
        <row r="32">
          <cell r="A32" t="str">
            <v>Montana</v>
          </cell>
        </row>
        <row r="33">
          <cell r="A33" t="str">
            <v>Nebraska</v>
          </cell>
        </row>
        <row r="34">
          <cell r="A34" t="str">
            <v>Nevada</v>
          </cell>
        </row>
        <row r="35">
          <cell r="A35" t="str">
            <v>New Hampshire</v>
          </cell>
        </row>
        <row r="36">
          <cell r="A36" t="str">
            <v>New Jersey</v>
          </cell>
        </row>
        <row r="37">
          <cell r="A37" t="str">
            <v>New Mexico</v>
          </cell>
        </row>
        <row r="38">
          <cell r="A38" t="str">
            <v>New York</v>
          </cell>
        </row>
        <row r="39">
          <cell r="A39" t="str">
            <v>North Carolina</v>
          </cell>
        </row>
        <row r="40">
          <cell r="A40" t="str">
            <v>North Dakota</v>
          </cell>
        </row>
        <row r="41">
          <cell r="A41" t="str">
            <v>Northern Mariana Islands</v>
          </cell>
        </row>
        <row r="42">
          <cell r="A42" t="str">
            <v>Ohio</v>
          </cell>
        </row>
        <row r="43">
          <cell r="A43" t="str">
            <v>Oklahoma</v>
          </cell>
        </row>
        <row r="44">
          <cell r="A44" t="str">
            <v>Oregon</v>
          </cell>
        </row>
        <row r="45">
          <cell r="A45" t="str">
            <v>Palau</v>
          </cell>
        </row>
        <row r="46">
          <cell r="A46" t="str">
            <v>Pennsylvania</v>
          </cell>
        </row>
        <row r="47">
          <cell r="A47" t="str">
            <v>Puerto Rico</v>
          </cell>
        </row>
        <row r="48">
          <cell r="A48" t="str">
            <v>Rhode Island</v>
          </cell>
        </row>
        <row r="49">
          <cell r="A49" t="str">
            <v>South Carolina</v>
          </cell>
        </row>
        <row r="50">
          <cell r="A50" t="str">
            <v>South Dakota</v>
          </cell>
        </row>
        <row r="51">
          <cell r="A51" t="str">
            <v>Tennessee</v>
          </cell>
        </row>
        <row r="52">
          <cell r="A52" t="str">
            <v>Texas</v>
          </cell>
        </row>
        <row r="53">
          <cell r="A53" t="str">
            <v>Utah</v>
          </cell>
        </row>
        <row r="54">
          <cell r="A54" t="str">
            <v>Vermont</v>
          </cell>
        </row>
        <row r="55">
          <cell r="A55" t="str">
            <v>Virgin Islands</v>
          </cell>
        </row>
        <row r="56">
          <cell r="A56" t="str">
            <v>Virginia</v>
          </cell>
        </row>
        <row r="57">
          <cell r="A57" t="str">
            <v>Washington</v>
          </cell>
        </row>
        <row r="58">
          <cell r="A58" t="str">
            <v>West Virginia</v>
          </cell>
        </row>
        <row r="59">
          <cell r="A59" t="str">
            <v>Wisconsin</v>
          </cell>
        </row>
        <row r="60">
          <cell r="A60" t="str">
            <v>Wyoming</v>
          </cell>
        </row>
        <row r="61">
          <cell r="A61" t="str">
            <v>Not Applicable</v>
          </cell>
        </row>
      </sheetData>
      <sheetData sheetId="5">
        <row r="2">
          <cell r="A2" t="str">
            <v>Asset Management</v>
          </cell>
        </row>
        <row r="3">
          <cell r="A3" t="str">
            <v>Broker/Dealer</v>
          </cell>
        </row>
        <row r="4">
          <cell r="A4" t="str">
            <v>Consumer Discretionary</v>
          </cell>
        </row>
        <row r="5">
          <cell r="A5" t="str">
            <v>Consumer Staples</v>
          </cell>
        </row>
        <row r="6">
          <cell r="A6" t="str">
            <v>Energy</v>
          </cell>
        </row>
        <row r="7">
          <cell r="A7" t="str">
            <v>Financials</v>
          </cell>
        </row>
        <row r="8">
          <cell r="A8" t="str">
            <v>Healthcare</v>
          </cell>
        </row>
        <row r="9">
          <cell r="A9" t="str">
            <v>Industrials</v>
          </cell>
        </row>
        <row r="10">
          <cell r="A10" t="str">
            <v>Information Technology</v>
          </cell>
        </row>
        <row r="11">
          <cell r="A11" t="str">
            <v>Materials</v>
          </cell>
        </row>
        <row r="12">
          <cell r="A12" t="str">
            <v>Real Estate</v>
          </cell>
        </row>
        <row r="13">
          <cell r="A13" t="str">
            <v>Telecommunication Services</v>
          </cell>
        </row>
        <row r="14">
          <cell r="A14" t="str">
            <v>Utilities</v>
          </cell>
        </row>
      </sheetData>
      <sheetData sheetId="6">
        <row r="2">
          <cell r="C2">
            <v>111110</v>
          </cell>
        </row>
        <row r="3">
          <cell r="C3">
            <v>111120</v>
          </cell>
        </row>
        <row r="4">
          <cell r="C4">
            <v>111130</v>
          </cell>
        </row>
        <row r="5">
          <cell r="C5">
            <v>111140</v>
          </cell>
        </row>
        <row r="6">
          <cell r="C6">
            <v>111150</v>
          </cell>
        </row>
        <row r="7">
          <cell r="C7">
            <v>111150</v>
          </cell>
        </row>
        <row r="8">
          <cell r="C8">
            <v>111160</v>
          </cell>
        </row>
        <row r="9">
          <cell r="C9">
            <v>111191</v>
          </cell>
        </row>
        <row r="10">
          <cell r="C10">
            <v>111199</v>
          </cell>
        </row>
        <row r="11">
          <cell r="C11">
            <v>111199</v>
          </cell>
        </row>
        <row r="12">
          <cell r="C12">
            <v>111211</v>
          </cell>
        </row>
        <row r="13">
          <cell r="C13">
            <v>111211</v>
          </cell>
        </row>
        <row r="14">
          <cell r="C14">
            <v>111211</v>
          </cell>
        </row>
        <row r="15">
          <cell r="C15">
            <v>111219</v>
          </cell>
        </row>
        <row r="16">
          <cell r="C16">
            <v>111219</v>
          </cell>
        </row>
        <row r="17">
          <cell r="C17">
            <v>111310</v>
          </cell>
        </row>
        <row r="18">
          <cell r="C18">
            <v>111320</v>
          </cell>
        </row>
        <row r="19">
          <cell r="C19">
            <v>111331</v>
          </cell>
        </row>
        <row r="20">
          <cell r="C20">
            <v>111332</v>
          </cell>
        </row>
        <row r="21">
          <cell r="C21">
            <v>111333</v>
          </cell>
        </row>
        <row r="22">
          <cell r="C22">
            <v>111334</v>
          </cell>
        </row>
        <row r="23">
          <cell r="C23">
            <v>111335</v>
          </cell>
        </row>
        <row r="24">
          <cell r="C24">
            <v>111336</v>
          </cell>
        </row>
        <row r="25">
          <cell r="C25">
            <v>111339</v>
          </cell>
        </row>
        <row r="26">
          <cell r="C26">
            <v>111339</v>
          </cell>
        </row>
        <row r="27">
          <cell r="C27">
            <v>111411</v>
          </cell>
        </row>
        <row r="28">
          <cell r="C28">
            <v>111419</v>
          </cell>
        </row>
        <row r="29">
          <cell r="C29">
            <v>111421</v>
          </cell>
        </row>
        <row r="30">
          <cell r="C30">
            <v>111421</v>
          </cell>
        </row>
        <row r="31">
          <cell r="C31">
            <v>111422</v>
          </cell>
        </row>
        <row r="32">
          <cell r="C32">
            <v>111910</v>
          </cell>
        </row>
        <row r="33">
          <cell r="C33">
            <v>111920</v>
          </cell>
        </row>
        <row r="34">
          <cell r="C34">
            <v>111930</v>
          </cell>
        </row>
        <row r="35">
          <cell r="C35">
            <v>111940</v>
          </cell>
        </row>
        <row r="36">
          <cell r="C36">
            <v>111991</v>
          </cell>
        </row>
        <row r="37">
          <cell r="C37">
            <v>111992</v>
          </cell>
        </row>
        <row r="38">
          <cell r="C38">
            <v>111998</v>
          </cell>
        </row>
        <row r="39">
          <cell r="C39">
            <v>111998</v>
          </cell>
        </row>
        <row r="40">
          <cell r="C40">
            <v>111998</v>
          </cell>
        </row>
        <row r="41">
          <cell r="C41">
            <v>111998</v>
          </cell>
        </row>
        <row r="42">
          <cell r="C42">
            <v>111998</v>
          </cell>
        </row>
        <row r="43">
          <cell r="C43">
            <v>112111</v>
          </cell>
        </row>
        <row r="44">
          <cell r="C44">
            <v>112111</v>
          </cell>
        </row>
        <row r="45">
          <cell r="C45">
            <v>112112</v>
          </cell>
        </row>
        <row r="46">
          <cell r="C46">
            <v>112120</v>
          </cell>
        </row>
        <row r="47">
          <cell r="C47">
            <v>112130</v>
          </cell>
        </row>
        <row r="48">
          <cell r="C48">
            <v>112210</v>
          </cell>
        </row>
        <row r="49">
          <cell r="C49">
            <v>112310</v>
          </cell>
        </row>
        <row r="50">
          <cell r="C50">
            <v>112320</v>
          </cell>
        </row>
        <row r="51">
          <cell r="C51">
            <v>112330</v>
          </cell>
        </row>
        <row r="52">
          <cell r="C52">
            <v>112340</v>
          </cell>
        </row>
        <row r="53">
          <cell r="C53">
            <v>112390</v>
          </cell>
        </row>
        <row r="54">
          <cell r="C54">
            <v>112410</v>
          </cell>
        </row>
        <row r="55">
          <cell r="C55">
            <v>112420</v>
          </cell>
        </row>
        <row r="56">
          <cell r="C56">
            <v>112511</v>
          </cell>
        </row>
        <row r="57">
          <cell r="C57">
            <v>112511</v>
          </cell>
        </row>
        <row r="58">
          <cell r="C58">
            <v>112512</v>
          </cell>
        </row>
        <row r="59">
          <cell r="C59">
            <v>112512</v>
          </cell>
        </row>
        <row r="60">
          <cell r="C60">
            <v>112512</v>
          </cell>
        </row>
        <row r="61">
          <cell r="C61">
            <v>112519</v>
          </cell>
        </row>
        <row r="62">
          <cell r="C62">
            <v>112519</v>
          </cell>
        </row>
        <row r="63">
          <cell r="C63">
            <v>112519</v>
          </cell>
        </row>
        <row r="64">
          <cell r="C64">
            <v>112519</v>
          </cell>
        </row>
        <row r="65">
          <cell r="C65">
            <v>112519</v>
          </cell>
        </row>
        <row r="66">
          <cell r="C66">
            <v>112519</v>
          </cell>
        </row>
        <row r="67">
          <cell r="C67">
            <v>112519</v>
          </cell>
        </row>
        <row r="68">
          <cell r="C68">
            <v>112910</v>
          </cell>
        </row>
        <row r="69">
          <cell r="C69">
            <v>112920</v>
          </cell>
        </row>
        <row r="70">
          <cell r="C70">
            <v>112930</v>
          </cell>
        </row>
        <row r="71">
          <cell r="C71">
            <v>112990</v>
          </cell>
        </row>
        <row r="72">
          <cell r="C72">
            <v>112990</v>
          </cell>
        </row>
        <row r="73">
          <cell r="C73">
            <v>112990</v>
          </cell>
        </row>
        <row r="74">
          <cell r="C74">
            <v>113110</v>
          </cell>
        </row>
        <row r="75">
          <cell r="C75">
            <v>113210</v>
          </cell>
        </row>
        <row r="76">
          <cell r="C76">
            <v>113310</v>
          </cell>
        </row>
        <row r="77">
          <cell r="C77">
            <v>114111</v>
          </cell>
        </row>
        <row r="78">
          <cell r="C78">
            <v>114112</v>
          </cell>
        </row>
        <row r="79">
          <cell r="C79">
            <v>114112</v>
          </cell>
        </row>
        <row r="80">
          <cell r="C80">
            <v>114119</v>
          </cell>
        </row>
        <row r="81">
          <cell r="C81">
            <v>114210</v>
          </cell>
        </row>
        <row r="82">
          <cell r="C82">
            <v>115111</v>
          </cell>
        </row>
        <row r="83">
          <cell r="C83">
            <v>115112</v>
          </cell>
        </row>
        <row r="84">
          <cell r="C84">
            <v>115112</v>
          </cell>
        </row>
        <row r="85">
          <cell r="C85">
            <v>115113</v>
          </cell>
        </row>
        <row r="86">
          <cell r="C86">
            <v>115114</v>
          </cell>
        </row>
        <row r="87">
          <cell r="C87">
            <v>115115</v>
          </cell>
        </row>
        <row r="88">
          <cell r="C88">
            <v>115116</v>
          </cell>
        </row>
        <row r="89">
          <cell r="C89">
            <v>115210</v>
          </cell>
        </row>
        <row r="90">
          <cell r="C90">
            <v>115210</v>
          </cell>
        </row>
        <row r="91">
          <cell r="C91">
            <v>115210</v>
          </cell>
        </row>
        <row r="92">
          <cell r="C92">
            <v>115310</v>
          </cell>
        </row>
        <row r="93">
          <cell r="C93">
            <v>211120</v>
          </cell>
        </row>
        <row r="94">
          <cell r="C94">
            <v>211130</v>
          </cell>
        </row>
        <row r="95">
          <cell r="C95">
            <v>211130</v>
          </cell>
        </row>
        <row r="96">
          <cell r="C96">
            <v>211130</v>
          </cell>
        </row>
        <row r="97">
          <cell r="C97">
            <v>212111</v>
          </cell>
        </row>
        <row r="98">
          <cell r="C98">
            <v>212112</v>
          </cell>
        </row>
        <row r="99">
          <cell r="C99">
            <v>212113</v>
          </cell>
        </row>
        <row r="100">
          <cell r="C100">
            <v>212210</v>
          </cell>
        </row>
        <row r="101">
          <cell r="C101">
            <v>212221</v>
          </cell>
        </row>
        <row r="102">
          <cell r="C102">
            <v>212222</v>
          </cell>
        </row>
        <row r="103">
          <cell r="C103">
            <v>212230</v>
          </cell>
        </row>
        <row r="104">
          <cell r="C104">
            <v>212230</v>
          </cell>
        </row>
        <row r="105">
          <cell r="C105">
            <v>212230</v>
          </cell>
        </row>
        <row r="106">
          <cell r="C106">
            <v>212291</v>
          </cell>
        </row>
        <row r="107">
          <cell r="C107">
            <v>212299</v>
          </cell>
        </row>
        <row r="108">
          <cell r="C108">
            <v>212299</v>
          </cell>
        </row>
        <row r="109">
          <cell r="C109">
            <v>212311</v>
          </cell>
        </row>
        <row r="110">
          <cell r="C110">
            <v>212312</v>
          </cell>
        </row>
        <row r="111">
          <cell r="C111">
            <v>212313</v>
          </cell>
        </row>
        <row r="112">
          <cell r="C112">
            <v>212319</v>
          </cell>
        </row>
        <row r="113">
          <cell r="C113">
            <v>212319</v>
          </cell>
        </row>
        <row r="114">
          <cell r="C114">
            <v>212321</v>
          </cell>
        </row>
        <row r="115">
          <cell r="C115">
            <v>212322</v>
          </cell>
        </row>
        <row r="116">
          <cell r="C116">
            <v>212324</v>
          </cell>
        </row>
        <row r="117">
          <cell r="C117">
            <v>212324</v>
          </cell>
        </row>
        <row r="118">
          <cell r="C118">
            <v>212325</v>
          </cell>
        </row>
        <row r="119">
          <cell r="C119">
            <v>212325</v>
          </cell>
        </row>
        <row r="120">
          <cell r="C120">
            <v>212391</v>
          </cell>
        </row>
        <row r="121">
          <cell r="C121">
            <v>212392</v>
          </cell>
        </row>
        <row r="122">
          <cell r="C122">
            <v>212393</v>
          </cell>
        </row>
        <row r="123">
          <cell r="C123">
            <v>212393</v>
          </cell>
        </row>
        <row r="124">
          <cell r="C124">
            <v>212399</v>
          </cell>
        </row>
        <row r="125">
          <cell r="C125">
            <v>212399</v>
          </cell>
        </row>
        <row r="126">
          <cell r="C126">
            <v>213111</v>
          </cell>
        </row>
        <row r="127">
          <cell r="C127">
            <v>213112</v>
          </cell>
        </row>
        <row r="128">
          <cell r="C128">
            <v>213112</v>
          </cell>
        </row>
        <row r="129">
          <cell r="C129">
            <v>213113</v>
          </cell>
        </row>
        <row r="130">
          <cell r="C130">
            <v>213114</v>
          </cell>
        </row>
        <row r="131">
          <cell r="C131">
            <v>213115</v>
          </cell>
        </row>
        <row r="132">
          <cell r="C132">
            <v>221111</v>
          </cell>
        </row>
        <row r="133">
          <cell r="C133">
            <v>221111</v>
          </cell>
        </row>
        <row r="134">
          <cell r="C134">
            <v>221111</v>
          </cell>
        </row>
        <row r="135">
          <cell r="C135">
            <v>221112</v>
          </cell>
        </row>
        <row r="136">
          <cell r="C136">
            <v>221112</v>
          </cell>
        </row>
        <row r="137">
          <cell r="C137">
            <v>221112</v>
          </cell>
        </row>
        <row r="138">
          <cell r="C138">
            <v>221113</v>
          </cell>
        </row>
        <row r="139">
          <cell r="C139">
            <v>221113</v>
          </cell>
        </row>
        <row r="140">
          <cell r="C140">
            <v>221113</v>
          </cell>
        </row>
        <row r="141">
          <cell r="C141">
            <v>221114</v>
          </cell>
        </row>
        <row r="142">
          <cell r="C142">
            <v>221114</v>
          </cell>
        </row>
        <row r="143">
          <cell r="C143">
            <v>221114</v>
          </cell>
        </row>
        <row r="144">
          <cell r="C144">
            <v>221115</v>
          </cell>
        </row>
        <row r="145">
          <cell r="C145">
            <v>221115</v>
          </cell>
        </row>
        <row r="146">
          <cell r="C146">
            <v>221115</v>
          </cell>
        </row>
        <row r="147">
          <cell r="C147">
            <v>221116</v>
          </cell>
        </row>
        <row r="148">
          <cell r="C148">
            <v>221116</v>
          </cell>
        </row>
        <row r="149">
          <cell r="C149">
            <v>221116</v>
          </cell>
        </row>
        <row r="150">
          <cell r="C150">
            <v>221117</v>
          </cell>
        </row>
        <row r="151">
          <cell r="C151">
            <v>221117</v>
          </cell>
        </row>
        <row r="152">
          <cell r="C152">
            <v>221117</v>
          </cell>
        </row>
        <row r="153">
          <cell r="C153">
            <v>221118</v>
          </cell>
        </row>
        <row r="154">
          <cell r="C154">
            <v>221118</v>
          </cell>
        </row>
        <row r="155">
          <cell r="C155">
            <v>221118</v>
          </cell>
        </row>
        <row r="156">
          <cell r="C156">
            <v>221121</v>
          </cell>
        </row>
        <row r="157">
          <cell r="C157">
            <v>221121</v>
          </cell>
        </row>
        <row r="158">
          <cell r="C158">
            <v>221121</v>
          </cell>
        </row>
        <row r="159">
          <cell r="C159">
            <v>221122</v>
          </cell>
        </row>
        <row r="160">
          <cell r="C160">
            <v>221122</v>
          </cell>
        </row>
        <row r="161">
          <cell r="C161">
            <v>221122</v>
          </cell>
        </row>
        <row r="162">
          <cell r="C162">
            <v>221210</v>
          </cell>
        </row>
        <row r="163">
          <cell r="C163">
            <v>221210</v>
          </cell>
        </row>
        <row r="164">
          <cell r="C164">
            <v>221210</v>
          </cell>
        </row>
        <row r="165">
          <cell r="C165">
            <v>221210</v>
          </cell>
        </row>
        <row r="166">
          <cell r="C166">
            <v>221210</v>
          </cell>
        </row>
        <row r="167">
          <cell r="C167">
            <v>221210</v>
          </cell>
        </row>
        <row r="168">
          <cell r="C168">
            <v>221310</v>
          </cell>
        </row>
        <row r="169">
          <cell r="C169">
            <v>221310</v>
          </cell>
        </row>
        <row r="170">
          <cell r="C170">
            <v>221320</v>
          </cell>
        </row>
        <row r="171">
          <cell r="C171">
            <v>221330</v>
          </cell>
        </row>
        <row r="172">
          <cell r="C172">
            <v>236115</v>
          </cell>
        </row>
        <row r="173">
          <cell r="C173">
            <v>236115</v>
          </cell>
        </row>
        <row r="174">
          <cell r="C174">
            <v>236116</v>
          </cell>
        </row>
        <row r="175">
          <cell r="C175">
            <v>236116</v>
          </cell>
        </row>
        <row r="176">
          <cell r="C176">
            <v>236117</v>
          </cell>
        </row>
        <row r="177">
          <cell r="C177">
            <v>236118</v>
          </cell>
        </row>
        <row r="178">
          <cell r="C178">
            <v>236118</v>
          </cell>
        </row>
        <row r="179">
          <cell r="C179">
            <v>236118</v>
          </cell>
        </row>
        <row r="180">
          <cell r="C180">
            <v>236118</v>
          </cell>
        </row>
        <row r="181">
          <cell r="C181">
            <v>236210</v>
          </cell>
        </row>
        <row r="182">
          <cell r="C182">
            <v>236210</v>
          </cell>
        </row>
        <row r="183">
          <cell r="C183">
            <v>236210</v>
          </cell>
        </row>
        <row r="184">
          <cell r="C184">
            <v>236210</v>
          </cell>
        </row>
        <row r="185">
          <cell r="C185">
            <v>236220</v>
          </cell>
        </row>
        <row r="186">
          <cell r="C186">
            <v>236220</v>
          </cell>
        </row>
        <row r="187">
          <cell r="C187">
            <v>236220</v>
          </cell>
        </row>
        <row r="188">
          <cell r="C188">
            <v>236220</v>
          </cell>
        </row>
        <row r="189">
          <cell r="C189">
            <v>236220</v>
          </cell>
        </row>
        <row r="190">
          <cell r="C190">
            <v>236220</v>
          </cell>
        </row>
        <row r="191">
          <cell r="C191">
            <v>237110</v>
          </cell>
        </row>
        <row r="192">
          <cell r="C192">
            <v>237110</v>
          </cell>
        </row>
        <row r="193">
          <cell r="C193">
            <v>237110</v>
          </cell>
        </row>
        <row r="194">
          <cell r="C194">
            <v>237110</v>
          </cell>
        </row>
        <row r="195">
          <cell r="C195">
            <v>237120</v>
          </cell>
        </row>
        <row r="196">
          <cell r="C196">
            <v>237120</v>
          </cell>
        </row>
        <row r="197">
          <cell r="C197">
            <v>237120</v>
          </cell>
        </row>
        <row r="198">
          <cell r="C198">
            <v>237120</v>
          </cell>
        </row>
        <row r="199">
          <cell r="C199">
            <v>237130</v>
          </cell>
        </row>
        <row r="200">
          <cell r="C200">
            <v>237130</v>
          </cell>
        </row>
        <row r="201">
          <cell r="C201">
            <v>237130</v>
          </cell>
        </row>
        <row r="202">
          <cell r="C202">
            <v>237210</v>
          </cell>
        </row>
        <row r="203">
          <cell r="C203">
            <v>237310</v>
          </cell>
        </row>
        <row r="204">
          <cell r="C204">
            <v>237310</v>
          </cell>
        </row>
        <row r="205">
          <cell r="C205">
            <v>237310</v>
          </cell>
        </row>
        <row r="206">
          <cell r="C206">
            <v>237310</v>
          </cell>
        </row>
        <row r="207">
          <cell r="C207">
            <v>237990</v>
          </cell>
        </row>
        <row r="208">
          <cell r="C208">
            <v>237990</v>
          </cell>
        </row>
        <row r="209">
          <cell r="C209">
            <v>237990</v>
          </cell>
        </row>
        <row r="210">
          <cell r="C210">
            <v>237990</v>
          </cell>
        </row>
        <row r="211">
          <cell r="C211">
            <v>238110</v>
          </cell>
        </row>
        <row r="212">
          <cell r="C212">
            <v>238120</v>
          </cell>
        </row>
        <row r="213">
          <cell r="C213">
            <v>238130</v>
          </cell>
        </row>
        <row r="214">
          <cell r="C214">
            <v>238140</v>
          </cell>
        </row>
        <row r="215">
          <cell r="C215">
            <v>238140</v>
          </cell>
        </row>
        <row r="216">
          <cell r="C216">
            <v>238150</v>
          </cell>
        </row>
        <row r="217">
          <cell r="C217">
            <v>238150</v>
          </cell>
        </row>
        <row r="218">
          <cell r="C218">
            <v>238160</v>
          </cell>
        </row>
        <row r="219">
          <cell r="C219">
            <v>238170</v>
          </cell>
        </row>
        <row r="220">
          <cell r="C220">
            <v>238190</v>
          </cell>
        </row>
        <row r="221">
          <cell r="C221">
            <v>238190</v>
          </cell>
        </row>
        <row r="222">
          <cell r="C222">
            <v>238210</v>
          </cell>
        </row>
        <row r="223">
          <cell r="C223">
            <v>238210</v>
          </cell>
        </row>
        <row r="224">
          <cell r="C224">
            <v>238220</v>
          </cell>
        </row>
        <row r="225">
          <cell r="C225">
            <v>238220</v>
          </cell>
        </row>
        <row r="226">
          <cell r="C226">
            <v>238220</v>
          </cell>
        </row>
        <row r="227">
          <cell r="C227">
            <v>238220</v>
          </cell>
        </row>
        <row r="228">
          <cell r="C228">
            <v>238290</v>
          </cell>
        </row>
        <row r="229">
          <cell r="C229">
            <v>238290</v>
          </cell>
        </row>
        <row r="230">
          <cell r="C230">
            <v>238290</v>
          </cell>
        </row>
        <row r="231">
          <cell r="C231">
            <v>238310</v>
          </cell>
        </row>
        <row r="232">
          <cell r="C232">
            <v>238310</v>
          </cell>
        </row>
        <row r="233">
          <cell r="C233">
            <v>238310</v>
          </cell>
        </row>
        <row r="234">
          <cell r="C234">
            <v>238310</v>
          </cell>
        </row>
        <row r="235">
          <cell r="C235">
            <v>238310</v>
          </cell>
        </row>
        <row r="236">
          <cell r="C236">
            <v>238320</v>
          </cell>
        </row>
        <row r="237">
          <cell r="C237">
            <v>238320</v>
          </cell>
        </row>
        <row r="238">
          <cell r="C238">
            <v>238330</v>
          </cell>
        </row>
        <row r="239">
          <cell r="C239">
            <v>238340</v>
          </cell>
        </row>
        <row r="240">
          <cell r="C240">
            <v>238350</v>
          </cell>
        </row>
        <row r="241">
          <cell r="C241">
            <v>238350</v>
          </cell>
        </row>
        <row r="242">
          <cell r="C242">
            <v>238390</v>
          </cell>
        </row>
        <row r="243">
          <cell r="C243">
            <v>238390</v>
          </cell>
        </row>
        <row r="244">
          <cell r="C244">
            <v>238910</v>
          </cell>
        </row>
        <row r="245">
          <cell r="C245">
            <v>238910</v>
          </cell>
        </row>
        <row r="246">
          <cell r="C246">
            <v>238910</v>
          </cell>
        </row>
        <row r="247">
          <cell r="C247">
            <v>238910</v>
          </cell>
        </row>
        <row r="248">
          <cell r="C248">
            <v>238910</v>
          </cell>
        </row>
        <row r="249">
          <cell r="C249">
            <v>238910</v>
          </cell>
        </row>
        <row r="250">
          <cell r="C250">
            <v>238910</v>
          </cell>
        </row>
        <row r="251">
          <cell r="C251">
            <v>238910</v>
          </cell>
        </row>
        <row r="252">
          <cell r="C252">
            <v>238910</v>
          </cell>
        </row>
        <row r="253">
          <cell r="C253">
            <v>238910</v>
          </cell>
        </row>
        <row r="254">
          <cell r="C254">
            <v>238990</v>
          </cell>
        </row>
        <row r="255">
          <cell r="C255">
            <v>238990</v>
          </cell>
        </row>
        <row r="256">
          <cell r="C256">
            <v>238990</v>
          </cell>
        </row>
        <row r="257">
          <cell r="C257">
            <v>311111</v>
          </cell>
        </row>
        <row r="258">
          <cell r="C258">
            <v>311119</v>
          </cell>
        </row>
        <row r="259">
          <cell r="C259">
            <v>311119</v>
          </cell>
        </row>
        <row r="260">
          <cell r="C260">
            <v>311211</v>
          </cell>
        </row>
        <row r="261">
          <cell r="C261">
            <v>311211</v>
          </cell>
        </row>
        <row r="262">
          <cell r="C262">
            <v>311212</v>
          </cell>
        </row>
        <row r="263">
          <cell r="C263">
            <v>311212</v>
          </cell>
        </row>
        <row r="264">
          <cell r="C264">
            <v>311213</v>
          </cell>
        </row>
        <row r="265">
          <cell r="C265">
            <v>311221</v>
          </cell>
        </row>
        <row r="266">
          <cell r="C266">
            <v>311224</v>
          </cell>
        </row>
        <row r="267">
          <cell r="C267">
            <v>311224</v>
          </cell>
        </row>
        <row r="268">
          <cell r="C268">
            <v>311224</v>
          </cell>
        </row>
        <row r="269">
          <cell r="C269">
            <v>311224</v>
          </cell>
        </row>
        <row r="270">
          <cell r="C270">
            <v>311225</v>
          </cell>
        </row>
        <row r="271">
          <cell r="C271">
            <v>311225</v>
          </cell>
        </row>
        <row r="272">
          <cell r="C272">
            <v>311225</v>
          </cell>
        </row>
        <row r="273">
          <cell r="C273">
            <v>311225</v>
          </cell>
        </row>
        <row r="274">
          <cell r="C274">
            <v>311225</v>
          </cell>
        </row>
        <row r="275">
          <cell r="C275">
            <v>311230</v>
          </cell>
        </row>
        <row r="276">
          <cell r="C276">
            <v>311313</v>
          </cell>
        </row>
        <row r="277">
          <cell r="C277">
            <v>311314</v>
          </cell>
        </row>
        <row r="278">
          <cell r="C278">
            <v>311314</v>
          </cell>
        </row>
        <row r="279">
          <cell r="C279">
            <v>311340</v>
          </cell>
        </row>
        <row r="280">
          <cell r="C280">
            <v>311340</v>
          </cell>
        </row>
        <row r="281">
          <cell r="C281">
            <v>311340</v>
          </cell>
        </row>
        <row r="282">
          <cell r="C282">
            <v>311340</v>
          </cell>
        </row>
        <row r="283">
          <cell r="C283">
            <v>311351</v>
          </cell>
        </row>
        <row r="284">
          <cell r="C284">
            <v>311352</v>
          </cell>
        </row>
        <row r="285">
          <cell r="C285">
            <v>311352</v>
          </cell>
        </row>
        <row r="286">
          <cell r="C286">
            <v>311352</v>
          </cell>
        </row>
        <row r="287">
          <cell r="C287">
            <v>311411</v>
          </cell>
        </row>
        <row r="288">
          <cell r="C288">
            <v>311412</v>
          </cell>
        </row>
        <row r="289">
          <cell r="C289">
            <v>311421</v>
          </cell>
        </row>
        <row r="290">
          <cell r="C290">
            <v>311421</v>
          </cell>
        </row>
        <row r="291">
          <cell r="C291">
            <v>311422</v>
          </cell>
        </row>
        <row r="292">
          <cell r="C292">
            <v>311423</v>
          </cell>
        </row>
        <row r="293">
          <cell r="C293">
            <v>311423</v>
          </cell>
        </row>
        <row r="294">
          <cell r="C294">
            <v>311511</v>
          </cell>
        </row>
        <row r="295">
          <cell r="C295">
            <v>311511</v>
          </cell>
        </row>
        <row r="296">
          <cell r="C296">
            <v>311512</v>
          </cell>
        </row>
        <row r="297">
          <cell r="C297">
            <v>311513</v>
          </cell>
        </row>
        <row r="298">
          <cell r="C298">
            <v>311514</v>
          </cell>
        </row>
        <row r="299">
          <cell r="C299">
            <v>311514</v>
          </cell>
        </row>
        <row r="300">
          <cell r="C300">
            <v>311520</v>
          </cell>
        </row>
        <row r="301">
          <cell r="C301">
            <v>311611</v>
          </cell>
        </row>
        <row r="302">
          <cell r="C302">
            <v>311611</v>
          </cell>
        </row>
        <row r="303">
          <cell r="C303">
            <v>311611</v>
          </cell>
        </row>
        <row r="304">
          <cell r="C304">
            <v>311612</v>
          </cell>
        </row>
        <row r="305">
          <cell r="C305">
            <v>311612</v>
          </cell>
        </row>
        <row r="306">
          <cell r="C306">
            <v>311613</v>
          </cell>
        </row>
        <row r="307">
          <cell r="C307">
            <v>311613</v>
          </cell>
        </row>
        <row r="308">
          <cell r="C308">
            <v>311615</v>
          </cell>
        </row>
        <row r="309">
          <cell r="C309">
            <v>311710</v>
          </cell>
        </row>
        <row r="310">
          <cell r="C310">
            <v>311710</v>
          </cell>
        </row>
        <row r="311">
          <cell r="C311">
            <v>311710</v>
          </cell>
        </row>
        <row r="312">
          <cell r="C312">
            <v>311811</v>
          </cell>
        </row>
        <row r="313">
          <cell r="C313">
            <v>311812</v>
          </cell>
        </row>
        <row r="314">
          <cell r="C314">
            <v>311812</v>
          </cell>
        </row>
        <row r="315">
          <cell r="C315">
            <v>311813</v>
          </cell>
        </row>
        <row r="316">
          <cell r="C316">
            <v>311821</v>
          </cell>
        </row>
        <row r="317">
          <cell r="C317">
            <v>311824</v>
          </cell>
        </row>
        <row r="318">
          <cell r="C318">
            <v>311824</v>
          </cell>
        </row>
        <row r="319">
          <cell r="C319">
            <v>311824</v>
          </cell>
        </row>
        <row r="320">
          <cell r="C320">
            <v>311830</v>
          </cell>
        </row>
        <row r="321">
          <cell r="C321">
            <v>311911</v>
          </cell>
        </row>
        <row r="322">
          <cell r="C322">
            <v>311911</v>
          </cell>
        </row>
        <row r="323">
          <cell r="C323">
            <v>311919</v>
          </cell>
        </row>
        <row r="324">
          <cell r="C324">
            <v>311919</v>
          </cell>
        </row>
        <row r="325">
          <cell r="C325">
            <v>311920</v>
          </cell>
        </row>
        <row r="326">
          <cell r="C326">
            <v>311920</v>
          </cell>
        </row>
        <row r="327">
          <cell r="C327">
            <v>311920</v>
          </cell>
        </row>
        <row r="328">
          <cell r="C328">
            <v>311920</v>
          </cell>
        </row>
        <row r="329">
          <cell r="C329">
            <v>311930</v>
          </cell>
        </row>
        <row r="330">
          <cell r="C330">
            <v>311941</v>
          </cell>
        </row>
        <row r="331">
          <cell r="C331">
            <v>311941</v>
          </cell>
        </row>
        <row r="332">
          <cell r="C332">
            <v>311942</v>
          </cell>
        </row>
        <row r="333">
          <cell r="C333">
            <v>311942</v>
          </cell>
        </row>
        <row r="334">
          <cell r="C334">
            <v>311942</v>
          </cell>
        </row>
        <row r="335">
          <cell r="C335">
            <v>311942</v>
          </cell>
        </row>
        <row r="336">
          <cell r="C336">
            <v>311991</v>
          </cell>
        </row>
        <row r="337">
          <cell r="C337">
            <v>311999</v>
          </cell>
        </row>
        <row r="338">
          <cell r="C338">
            <v>311999</v>
          </cell>
        </row>
        <row r="339">
          <cell r="C339">
            <v>311999</v>
          </cell>
        </row>
        <row r="340">
          <cell r="C340">
            <v>311999</v>
          </cell>
        </row>
        <row r="341">
          <cell r="C341">
            <v>311999</v>
          </cell>
        </row>
        <row r="342">
          <cell r="C342">
            <v>312111</v>
          </cell>
        </row>
        <row r="343">
          <cell r="C343">
            <v>312112</v>
          </cell>
        </row>
        <row r="344">
          <cell r="C344">
            <v>312112</v>
          </cell>
        </row>
        <row r="345">
          <cell r="C345">
            <v>312113</v>
          </cell>
        </row>
        <row r="346">
          <cell r="C346">
            <v>312120</v>
          </cell>
        </row>
        <row r="347">
          <cell r="C347">
            <v>312130</v>
          </cell>
        </row>
        <row r="348">
          <cell r="C348">
            <v>312130</v>
          </cell>
        </row>
        <row r="349">
          <cell r="C349">
            <v>312140</v>
          </cell>
        </row>
        <row r="350">
          <cell r="C350">
            <v>312230</v>
          </cell>
        </row>
        <row r="351">
          <cell r="C351">
            <v>312230</v>
          </cell>
        </row>
        <row r="352">
          <cell r="C352">
            <v>312230</v>
          </cell>
        </row>
        <row r="353">
          <cell r="C353">
            <v>312230</v>
          </cell>
        </row>
        <row r="354">
          <cell r="C354">
            <v>312230</v>
          </cell>
        </row>
        <row r="355">
          <cell r="C355">
            <v>313110</v>
          </cell>
        </row>
        <row r="356">
          <cell r="C356">
            <v>313110</v>
          </cell>
        </row>
        <row r="357">
          <cell r="C357">
            <v>313110</v>
          </cell>
        </row>
        <row r="358">
          <cell r="C358">
            <v>313110</v>
          </cell>
        </row>
        <row r="359">
          <cell r="C359">
            <v>313110</v>
          </cell>
        </row>
        <row r="360">
          <cell r="C360">
            <v>313210</v>
          </cell>
        </row>
        <row r="361">
          <cell r="C361">
            <v>313210</v>
          </cell>
        </row>
        <row r="362">
          <cell r="C362">
            <v>313210</v>
          </cell>
        </row>
        <row r="363">
          <cell r="C363">
            <v>313210</v>
          </cell>
        </row>
        <row r="364">
          <cell r="C364">
            <v>313220</v>
          </cell>
        </row>
        <row r="365">
          <cell r="C365">
            <v>313220</v>
          </cell>
        </row>
        <row r="366">
          <cell r="C366">
            <v>313220</v>
          </cell>
        </row>
        <row r="367">
          <cell r="C367">
            <v>313230</v>
          </cell>
        </row>
        <row r="368">
          <cell r="C368">
            <v>313230</v>
          </cell>
        </row>
        <row r="369">
          <cell r="C369">
            <v>313240</v>
          </cell>
        </row>
        <row r="370">
          <cell r="C370">
            <v>313240</v>
          </cell>
        </row>
        <row r="371">
          <cell r="C371">
            <v>313240</v>
          </cell>
        </row>
        <row r="372">
          <cell r="C372">
            <v>313310</v>
          </cell>
        </row>
        <row r="373">
          <cell r="C373">
            <v>313310</v>
          </cell>
        </row>
        <row r="374">
          <cell r="C374">
            <v>313310</v>
          </cell>
        </row>
        <row r="375">
          <cell r="C375">
            <v>313310</v>
          </cell>
        </row>
        <row r="376">
          <cell r="C376">
            <v>313310</v>
          </cell>
        </row>
        <row r="377">
          <cell r="C377">
            <v>313310</v>
          </cell>
        </row>
        <row r="378">
          <cell r="C378">
            <v>313310</v>
          </cell>
        </row>
        <row r="379">
          <cell r="C379">
            <v>313310</v>
          </cell>
        </row>
        <row r="380">
          <cell r="C380">
            <v>313310</v>
          </cell>
        </row>
        <row r="381">
          <cell r="C381">
            <v>313310</v>
          </cell>
        </row>
        <row r="382">
          <cell r="C382">
            <v>313310</v>
          </cell>
        </row>
        <row r="383">
          <cell r="C383">
            <v>313310</v>
          </cell>
        </row>
        <row r="384">
          <cell r="C384">
            <v>313310</v>
          </cell>
        </row>
        <row r="385">
          <cell r="C385">
            <v>313310</v>
          </cell>
        </row>
        <row r="386">
          <cell r="C386">
            <v>313310</v>
          </cell>
        </row>
        <row r="387">
          <cell r="C387">
            <v>313320</v>
          </cell>
        </row>
        <row r="388">
          <cell r="C388">
            <v>313320</v>
          </cell>
        </row>
        <row r="389">
          <cell r="C389">
            <v>314110</v>
          </cell>
        </row>
        <row r="390">
          <cell r="C390">
            <v>314120</v>
          </cell>
        </row>
        <row r="391">
          <cell r="C391">
            <v>314120</v>
          </cell>
        </row>
        <row r="392">
          <cell r="C392">
            <v>314120</v>
          </cell>
        </row>
        <row r="393">
          <cell r="C393">
            <v>314910</v>
          </cell>
        </row>
        <row r="394">
          <cell r="C394">
            <v>314910</v>
          </cell>
        </row>
        <row r="395">
          <cell r="C395">
            <v>314910</v>
          </cell>
        </row>
        <row r="396">
          <cell r="C396">
            <v>314910</v>
          </cell>
        </row>
        <row r="397">
          <cell r="C397">
            <v>314994</v>
          </cell>
        </row>
        <row r="398">
          <cell r="C398">
            <v>314994</v>
          </cell>
        </row>
        <row r="399">
          <cell r="C399">
            <v>314999</v>
          </cell>
        </row>
        <row r="400">
          <cell r="C400">
            <v>314999</v>
          </cell>
        </row>
        <row r="401">
          <cell r="C401">
            <v>314999</v>
          </cell>
        </row>
        <row r="402">
          <cell r="C402">
            <v>314999</v>
          </cell>
        </row>
        <row r="403">
          <cell r="C403">
            <v>314999</v>
          </cell>
        </row>
        <row r="404">
          <cell r="C404">
            <v>314999</v>
          </cell>
        </row>
        <row r="405">
          <cell r="C405">
            <v>314999</v>
          </cell>
        </row>
        <row r="406">
          <cell r="C406">
            <v>314999</v>
          </cell>
        </row>
        <row r="407">
          <cell r="C407">
            <v>314999</v>
          </cell>
        </row>
        <row r="408">
          <cell r="C408">
            <v>314999</v>
          </cell>
        </row>
        <row r="409">
          <cell r="C409">
            <v>314999</v>
          </cell>
        </row>
        <row r="410">
          <cell r="C410">
            <v>314999</v>
          </cell>
        </row>
        <row r="411">
          <cell r="C411">
            <v>314999</v>
          </cell>
        </row>
        <row r="412">
          <cell r="C412">
            <v>314999</v>
          </cell>
        </row>
        <row r="413">
          <cell r="C413">
            <v>314999</v>
          </cell>
        </row>
        <row r="414">
          <cell r="C414">
            <v>314999</v>
          </cell>
        </row>
        <row r="415">
          <cell r="C415">
            <v>314999</v>
          </cell>
        </row>
        <row r="416">
          <cell r="C416">
            <v>314999</v>
          </cell>
        </row>
        <row r="417">
          <cell r="C417">
            <v>314999</v>
          </cell>
        </row>
        <row r="418">
          <cell r="C418">
            <v>314999</v>
          </cell>
        </row>
        <row r="419">
          <cell r="C419">
            <v>314999</v>
          </cell>
        </row>
        <row r="420">
          <cell r="C420">
            <v>314999</v>
          </cell>
        </row>
        <row r="421">
          <cell r="C421">
            <v>314999</v>
          </cell>
        </row>
        <row r="422">
          <cell r="C422">
            <v>314999</v>
          </cell>
        </row>
        <row r="423">
          <cell r="C423">
            <v>314999</v>
          </cell>
        </row>
        <row r="424">
          <cell r="C424">
            <v>314999</v>
          </cell>
        </row>
        <row r="425">
          <cell r="C425">
            <v>314999</v>
          </cell>
        </row>
        <row r="426">
          <cell r="C426">
            <v>314999</v>
          </cell>
        </row>
        <row r="427">
          <cell r="C427">
            <v>314999</v>
          </cell>
        </row>
        <row r="428">
          <cell r="C428">
            <v>314999</v>
          </cell>
        </row>
        <row r="429">
          <cell r="C429">
            <v>314999</v>
          </cell>
        </row>
        <row r="430">
          <cell r="C430">
            <v>315110</v>
          </cell>
        </row>
        <row r="431">
          <cell r="C431">
            <v>315110</v>
          </cell>
        </row>
        <row r="432">
          <cell r="C432">
            <v>315190</v>
          </cell>
        </row>
        <row r="433">
          <cell r="C433">
            <v>315190</v>
          </cell>
        </row>
        <row r="434">
          <cell r="C434">
            <v>315190</v>
          </cell>
        </row>
        <row r="435">
          <cell r="C435">
            <v>315210</v>
          </cell>
        </row>
        <row r="436">
          <cell r="C436">
            <v>315210</v>
          </cell>
        </row>
        <row r="437">
          <cell r="C437">
            <v>315210</v>
          </cell>
        </row>
        <row r="438">
          <cell r="C438">
            <v>315210</v>
          </cell>
        </row>
        <row r="439">
          <cell r="C439">
            <v>315210</v>
          </cell>
        </row>
        <row r="440">
          <cell r="C440">
            <v>315210</v>
          </cell>
        </row>
        <row r="441">
          <cell r="C441">
            <v>315210</v>
          </cell>
        </row>
        <row r="442">
          <cell r="C442">
            <v>315210</v>
          </cell>
        </row>
        <row r="443">
          <cell r="C443">
            <v>315210</v>
          </cell>
        </row>
        <row r="444">
          <cell r="C444">
            <v>315210</v>
          </cell>
        </row>
        <row r="445">
          <cell r="C445">
            <v>315210</v>
          </cell>
        </row>
        <row r="446">
          <cell r="C446">
            <v>315210</v>
          </cell>
        </row>
        <row r="447">
          <cell r="C447">
            <v>315210</v>
          </cell>
        </row>
        <row r="448">
          <cell r="C448">
            <v>315210</v>
          </cell>
        </row>
        <row r="449">
          <cell r="C449">
            <v>315210</v>
          </cell>
        </row>
        <row r="450">
          <cell r="C450">
            <v>315210</v>
          </cell>
        </row>
        <row r="451">
          <cell r="C451">
            <v>315210</v>
          </cell>
        </row>
        <row r="452">
          <cell r="C452">
            <v>315210</v>
          </cell>
        </row>
        <row r="453">
          <cell r="C453">
            <v>315210</v>
          </cell>
        </row>
        <row r="454">
          <cell r="C454">
            <v>315210</v>
          </cell>
        </row>
        <row r="455">
          <cell r="C455">
            <v>315210</v>
          </cell>
        </row>
        <row r="456">
          <cell r="C456">
            <v>315210</v>
          </cell>
        </row>
        <row r="457">
          <cell r="C457">
            <v>315210</v>
          </cell>
        </row>
        <row r="458">
          <cell r="C458">
            <v>315210</v>
          </cell>
        </row>
        <row r="459">
          <cell r="C459">
            <v>315210</v>
          </cell>
        </row>
        <row r="460">
          <cell r="C460">
            <v>315210</v>
          </cell>
        </row>
        <row r="461">
          <cell r="C461">
            <v>315210</v>
          </cell>
        </row>
        <row r="462">
          <cell r="C462">
            <v>315220</v>
          </cell>
        </row>
        <row r="463">
          <cell r="C463">
            <v>315220</v>
          </cell>
        </row>
        <row r="464">
          <cell r="C464">
            <v>315220</v>
          </cell>
        </row>
        <row r="465">
          <cell r="C465">
            <v>315220</v>
          </cell>
        </row>
        <row r="466">
          <cell r="C466">
            <v>315220</v>
          </cell>
        </row>
        <row r="467">
          <cell r="C467">
            <v>315220</v>
          </cell>
        </row>
        <row r="468">
          <cell r="C468">
            <v>315220</v>
          </cell>
        </row>
        <row r="469">
          <cell r="C469">
            <v>315220</v>
          </cell>
        </row>
        <row r="470">
          <cell r="C470">
            <v>315220</v>
          </cell>
        </row>
        <row r="471">
          <cell r="C471">
            <v>315220</v>
          </cell>
        </row>
        <row r="472">
          <cell r="C472">
            <v>315220</v>
          </cell>
        </row>
        <row r="473">
          <cell r="C473">
            <v>315220</v>
          </cell>
        </row>
        <row r="474">
          <cell r="C474">
            <v>315240</v>
          </cell>
        </row>
        <row r="475">
          <cell r="C475">
            <v>315240</v>
          </cell>
        </row>
        <row r="476">
          <cell r="C476">
            <v>315240</v>
          </cell>
        </row>
        <row r="477">
          <cell r="C477">
            <v>315240</v>
          </cell>
        </row>
        <row r="478">
          <cell r="C478">
            <v>315240</v>
          </cell>
        </row>
        <row r="479">
          <cell r="C479">
            <v>315240</v>
          </cell>
        </row>
        <row r="480">
          <cell r="C480">
            <v>315240</v>
          </cell>
        </row>
        <row r="481">
          <cell r="C481">
            <v>315240</v>
          </cell>
        </row>
        <row r="482">
          <cell r="C482">
            <v>315240</v>
          </cell>
        </row>
        <row r="483">
          <cell r="C483">
            <v>315240</v>
          </cell>
        </row>
        <row r="484">
          <cell r="C484">
            <v>315240</v>
          </cell>
        </row>
        <row r="485">
          <cell r="C485">
            <v>315240</v>
          </cell>
        </row>
        <row r="486">
          <cell r="C486">
            <v>315280</v>
          </cell>
        </row>
        <row r="487">
          <cell r="C487">
            <v>315280</v>
          </cell>
        </row>
        <row r="488">
          <cell r="C488">
            <v>315280</v>
          </cell>
        </row>
        <row r="489">
          <cell r="C489">
            <v>315280</v>
          </cell>
        </row>
        <row r="490">
          <cell r="C490">
            <v>315280</v>
          </cell>
        </row>
        <row r="491">
          <cell r="C491">
            <v>315280</v>
          </cell>
        </row>
        <row r="492">
          <cell r="C492">
            <v>315280</v>
          </cell>
        </row>
        <row r="493">
          <cell r="C493">
            <v>315990</v>
          </cell>
        </row>
        <row r="494">
          <cell r="C494">
            <v>315990</v>
          </cell>
        </row>
        <row r="495">
          <cell r="C495">
            <v>315990</v>
          </cell>
        </row>
        <row r="496">
          <cell r="C496">
            <v>315990</v>
          </cell>
        </row>
        <row r="497">
          <cell r="C497">
            <v>315990</v>
          </cell>
        </row>
        <row r="498">
          <cell r="C498">
            <v>315990</v>
          </cell>
        </row>
        <row r="499">
          <cell r="C499">
            <v>315990</v>
          </cell>
        </row>
        <row r="500">
          <cell r="C500">
            <v>315990</v>
          </cell>
        </row>
        <row r="501">
          <cell r="C501">
            <v>315990</v>
          </cell>
        </row>
        <row r="502">
          <cell r="C502">
            <v>315990</v>
          </cell>
        </row>
        <row r="503">
          <cell r="C503">
            <v>315990</v>
          </cell>
        </row>
        <row r="504">
          <cell r="C504">
            <v>316110</v>
          </cell>
        </row>
        <row r="505">
          <cell r="C505">
            <v>316110</v>
          </cell>
        </row>
        <row r="506">
          <cell r="C506">
            <v>316210</v>
          </cell>
        </row>
        <row r="507">
          <cell r="C507">
            <v>316210</v>
          </cell>
        </row>
        <row r="508">
          <cell r="C508">
            <v>316210</v>
          </cell>
        </row>
        <row r="509">
          <cell r="C509">
            <v>316210</v>
          </cell>
        </row>
        <row r="510">
          <cell r="C510">
            <v>316210</v>
          </cell>
        </row>
        <row r="511">
          <cell r="C511">
            <v>316992</v>
          </cell>
        </row>
        <row r="512">
          <cell r="C512">
            <v>316998</v>
          </cell>
        </row>
        <row r="513">
          <cell r="C513">
            <v>316998</v>
          </cell>
        </row>
        <row r="514">
          <cell r="C514">
            <v>316998</v>
          </cell>
        </row>
        <row r="515">
          <cell r="C515">
            <v>316998</v>
          </cell>
        </row>
        <row r="516">
          <cell r="C516">
            <v>321113</v>
          </cell>
        </row>
        <row r="517">
          <cell r="C517">
            <v>321113</v>
          </cell>
        </row>
        <row r="518">
          <cell r="C518">
            <v>321113</v>
          </cell>
        </row>
        <row r="519">
          <cell r="C519">
            <v>321114</v>
          </cell>
        </row>
        <row r="520">
          <cell r="C520">
            <v>321211</v>
          </cell>
        </row>
        <row r="521">
          <cell r="C521">
            <v>321212</v>
          </cell>
        </row>
        <row r="522">
          <cell r="C522">
            <v>321213</v>
          </cell>
        </row>
        <row r="523">
          <cell r="C523">
            <v>321214</v>
          </cell>
        </row>
        <row r="524">
          <cell r="C524">
            <v>321219</v>
          </cell>
        </row>
        <row r="525">
          <cell r="C525">
            <v>321911</v>
          </cell>
        </row>
        <row r="526">
          <cell r="C526">
            <v>321912</v>
          </cell>
        </row>
        <row r="527">
          <cell r="C527">
            <v>321912</v>
          </cell>
        </row>
        <row r="528">
          <cell r="C528">
            <v>321918</v>
          </cell>
        </row>
        <row r="529">
          <cell r="C529">
            <v>321918</v>
          </cell>
        </row>
        <row r="530">
          <cell r="C530">
            <v>321918</v>
          </cell>
        </row>
        <row r="531">
          <cell r="C531">
            <v>321920</v>
          </cell>
        </row>
        <row r="532">
          <cell r="C532">
            <v>321920</v>
          </cell>
        </row>
        <row r="533">
          <cell r="C533">
            <v>321920</v>
          </cell>
        </row>
        <row r="534">
          <cell r="C534">
            <v>321920</v>
          </cell>
        </row>
        <row r="535">
          <cell r="C535">
            <v>321920</v>
          </cell>
        </row>
        <row r="536">
          <cell r="C536">
            <v>321920</v>
          </cell>
        </row>
        <row r="537">
          <cell r="C537">
            <v>321991</v>
          </cell>
        </row>
        <row r="538">
          <cell r="C538">
            <v>321992</v>
          </cell>
        </row>
        <row r="539">
          <cell r="C539">
            <v>321999</v>
          </cell>
        </row>
        <row r="540">
          <cell r="C540">
            <v>321999</v>
          </cell>
        </row>
        <row r="541">
          <cell r="C541">
            <v>321999</v>
          </cell>
        </row>
        <row r="542">
          <cell r="C542">
            <v>321999</v>
          </cell>
        </row>
        <row r="543">
          <cell r="C543">
            <v>321999</v>
          </cell>
        </row>
        <row r="544">
          <cell r="C544">
            <v>321999</v>
          </cell>
        </row>
        <row r="545">
          <cell r="C545">
            <v>322110</v>
          </cell>
        </row>
        <row r="546">
          <cell r="C546">
            <v>322121</v>
          </cell>
        </row>
        <row r="547">
          <cell r="C547">
            <v>322121</v>
          </cell>
        </row>
        <row r="548">
          <cell r="C548">
            <v>322122</v>
          </cell>
        </row>
        <row r="549">
          <cell r="C549">
            <v>322122</v>
          </cell>
        </row>
        <row r="550">
          <cell r="C550">
            <v>322130</v>
          </cell>
        </row>
        <row r="551">
          <cell r="C551">
            <v>322130</v>
          </cell>
        </row>
        <row r="552">
          <cell r="C552">
            <v>322211</v>
          </cell>
        </row>
        <row r="553">
          <cell r="C553">
            <v>322211</v>
          </cell>
        </row>
        <row r="554">
          <cell r="C554">
            <v>322212</v>
          </cell>
        </row>
        <row r="555">
          <cell r="C555">
            <v>322219</v>
          </cell>
        </row>
        <row r="556">
          <cell r="C556">
            <v>322219</v>
          </cell>
        </row>
        <row r="557">
          <cell r="C557">
            <v>322219</v>
          </cell>
        </row>
        <row r="558">
          <cell r="C558">
            <v>322220</v>
          </cell>
        </row>
        <row r="559">
          <cell r="C559">
            <v>322220</v>
          </cell>
        </row>
        <row r="560">
          <cell r="C560">
            <v>322220</v>
          </cell>
        </row>
        <row r="561">
          <cell r="C561">
            <v>322220</v>
          </cell>
        </row>
        <row r="562">
          <cell r="C562">
            <v>322220</v>
          </cell>
        </row>
        <row r="563">
          <cell r="C563">
            <v>322220</v>
          </cell>
        </row>
        <row r="564">
          <cell r="C564">
            <v>322220</v>
          </cell>
        </row>
        <row r="565">
          <cell r="C565">
            <v>322230</v>
          </cell>
        </row>
        <row r="566">
          <cell r="C566">
            <v>322230</v>
          </cell>
        </row>
        <row r="567">
          <cell r="C567">
            <v>322230</v>
          </cell>
        </row>
        <row r="568">
          <cell r="C568">
            <v>322230</v>
          </cell>
        </row>
        <row r="569">
          <cell r="C569">
            <v>322291</v>
          </cell>
        </row>
        <row r="570">
          <cell r="C570">
            <v>322291</v>
          </cell>
        </row>
        <row r="571">
          <cell r="C571">
            <v>322299</v>
          </cell>
        </row>
        <row r="572">
          <cell r="C572">
            <v>322299</v>
          </cell>
        </row>
        <row r="573">
          <cell r="C573">
            <v>323111</v>
          </cell>
        </row>
        <row r="574">
          <cell r="C574">
            <v>323111</v>
          </cell>
        </row>
        <row r="575">
          <cell r="C575">
            <v>323111</v>
          </cell>
        </row>
        <row r="576">
          <cell r="C576">
            <v>323111</v>
          </cell>
        </row>
        <row r="577">
          <cell r="C577">
            <v>323111</v>
          </cell>
        </row>
        <row r="578">
          <cell r="C578">
            <v>323111</v>
          </cell>
        </row>
        <row r="579">
          <cell r="C579">
            <v>323111</v>
          </cell>
        </row>
        <row r="580">
          <cell r="C580">
            <v>323113</v>
          </cell>
        </row>
        <row r="581">
          <cell r="C581">
            <v>323113</v>
          </cell>
        </row>
        <row r="582">
          <cell r="C582">
            <v>323113</v>
          </cell>
        </row>
        <row r="583">
          <cell r="C583">
            <v>323113</v>
          </cell>
        </row>
        <row r="584">
          <cell r="C584">
            <v>323117</v>
          </cell>
        </row>
        <row r="585">
          <cell r="C585">
            <v>323120</v>
          </cell>
        </row>
        <row r="586">
          <cell r="C586">
            <v>323120</v>
          </cell>
        </row>
        <row r="587">
          <cell r="C587">
            <v>323120</v>
          </cell>
        </row>
        <row r="588">
          <cell r="C588">
            <v>324110</v>
          </cell>
        </row>
        <row r="589">
          <cell r="C589">
            <v>324121</v>
          </cell>
        </row>
        <row r="590">
          <cell r="C590">
            <v>324122</v>
          </cell>
        </row>
        <row r="591">
          <cell r="C591">
            <v>324191</v>
          </cell>
        </row>
        <row r="592">
          <cell r="C592">
            <v>324199</v>
          </cell>
        </row>
        <row r="593">
          <cell r="C593">
            <v>324199</v>
          </cell>
        </row>
        <row r="594">
          <cell r="C594">
            <v>325110</v>
          </cell>
        </row>
        <row r="595">
          <cell r="C595">
            <v>325110</v>
          </cell>
        </row>
        <row r="596">
          <cell r="C596">
            <v>325120</v>
          </cell>
        </row>
        <row r="597">
          <cell r="C597">
            <v>325120</v>
          </cell>
        </row>
        <row r="598">
          <cell r="C598">
            <v>325130</v>
          </cell>
        </row>
        <row r="599">
          <cell r="C599">
            <v>325130</v>
          </cell>
        </row>
        <row r="600">
          <cell r="C600">
            <v>325130</v>
          </cell>
        </row>
        <row r="601">
          <cell r="C601">
            <v>325180</v>
          </cell>
        </row>
        <row r="602">
          <cell r="C602">
            <v>325180</v>
          </cell>
        </row>
        <row r="603">
          <cell r="C603">
            <v>325180</v>
          </cell>
        </row>
        <row r="604">
          <cell r="C604">
            <v>325180</v>
          </cell>
        </row>
        <row r="605">
          <cell r="C605">
            <v>325180</v>
          </cell>
        </row>
        <row r="606">
          <cell r="C606">
            <v>325193</v>
          </cell>
        </row>
        <row r="607">
          <cell r="C607">
            <v>325194</v>
          </cell>
        </row>
        <row r="608">
          <cell r="C608">
            <v>325194</v>
          </cell>
        </row>
        <row r="609">
          <cell r="C609">
            <v>325194</v>
          </cell>
        </row>
        <row r="610">
          <cell r="C610">
            <v>325199</v>
          </cell>
        </row>
        <row r="611">
          <cell r="C611">
            <v>325199</v>
          </cell>
        </row>
        <row r="612">
          <cell r="C612">
            <v>325211</v>
          </cell>
        </row>
        <row r="613">
          <cell r="C613">
            <v>325212</v>
          </cell>
        </row>
        <row r="614">
          <cell r="C614">
            <v>325220</v>
          </cell>
        </row>
        <row r="615">
          <cell r="C615">
            <v>325220</v>
          </cell>
        </row>
        <row r="616">
          <cell r="C616">
            <v>325311</v>
          </cell>
        </row>
        <row r="617">
          <cell r="C617">
            <v>325312</v>
          </cell>
        </row>
        <row r="618">
          <cell r="C618">
            <v>325314</v>
          </cell>
        </row>
        <row r="619">
          <cell r="C619">
            <v>325320</v>
          </cell>
        </row>
        <row r="620">
          <cell r="C620">
            <v>325411</v>
          </cell>
        </row>
        <row r="621">
          <cell r="C621">
            <v>325412</v>
          </cell>
        </row>
        <row r="622">
          <cell r="C622">
            <v>325412</v>
          </cell>
        </row>
        <row r="623">
          <cell r="C623">
            <v>325413</v>
          </cell>
        </row>
        <row r="624">
          <cell r="C624">
            <v>325414</v>
          </cell>
        </row>
        <row r="625">
          <cell r="C625">
            <v>325510</v>
          </cell>
        </row>
        <row r="626">
          <cell r="C626">
            <v>325510</v>
          </cell>
        </row>
        <row r="627">
          <cell r="C627">
            <v>325520</v>
          </cell>
        </row>
        <row r="628">
          <cell r="C628">
            <v>325611</v>
          </cell>
        </row>
        <row r="629">
          <cell r="C629">
            <v>325611</v>
          </cell>
        </row>
        <row r="630">
          <cell r="C630">
            <v>325612</v>
          </cell>
        </row>
        <row r="631">
          <cell r="C631">
            <v>325613</v>
          </cell>
        </row>
        <row r="632">
          <cell r="C632">
            <v>325620</v>
          </cell>
        </row>
        <row r="633">
          <cell r="C633">
            <v>325910</v>
          </cell>
        </row>
        <row r="634">
          <cell r="C634">
            <v>325920</v>
          </cell>
        </row>
        <row r="635">
          <cell r="C635">
            <v>325991</v>
          </cell>
        </row>
        <row r="636">
          <cell r="C636">
            <v>325992</v>
          </cell>
        </row>
        <row r="637">
          <cell r="C637">
            <v>325998</v>
          </cell>
        </row>
        <row r="638">
          <cell r="C638">
            <v>325998</v>
          </cell>
        </row>
        <row r="639">
          <cell r="C639">
            <v>325998</v>
          </cell>
        </row>
        <row r="640">
          <cell r="C640">
            <v>325998</v>
          </cell>
        </row>
        <row r="641">
          <cell r="C641">
            <v>325998</v>
          </cell>
        </row>
        <row r="642">
          <cell r="C642">
            <v>325998</v>
          </cell>
        </row>
        <row r="643">
          <cell r="C643">
            <v>326111</v>
          </cell>
        </row>
        <row r="644">
          <cell r="C644">
            <v>326112</v>
          </cell>
        </row>
        <row r="645">
          <cell r="C645">
            <v>326113</v>
          </cell>
        </row>
        <row r="646">
          <cell r="C646">
            <v>326121</v>
          </cell>
        </row>
        <row r="647">
          <cell r="C647">
            <v>326121</v>
          </cell>
        </row>
        <row r="648">
          <cell r="C648">
            <v>326122</v>
          </cell>
        </row>
        <row r="649">
          <cell r="C649">
            <v>326122</v>
          </cell>
        </row>
        <row r="650">
          <cell r="C650">
            <v>326130</v>
          </cell>
        </row>
        <row r="651">
          <cell r="C651">
            <v>326140</v>
          </cell>
        </row>
        <row r="652">
          <cell r="C652">
            <v>326150</v>
          </cell>
        </row>
        <row r="653">
          <cell r="C653">
            <v>326160</v>
          </cell>
        </row>
        <row r="654">
          <cell r="C654">
            <v>326191</v>
          </cell>
        </row>
        <row r="655">
          <cell r="C655">
            <v>326199</v>
          </cell>
        </row>
        <row r="656">
          <cell r="C656">
            <v>326199</v>
          </cell>
        </row>
        <row r="657">
          <cell r="C657">
            <v>326199</v>
          </cell>
        </row>
        <row r="658">
          <cell r="C658">
            <v>326199</v>
          </cell>
        </row>
        <row r="659">
          <cell r="C659">
            <v>326211</v>
          </cell>
        </row>
        <row r="660">
          <cell r="C660">
            <v>326212</v>
          </cell>
        </row>
        <row r="661">
          <cell r="C661">
            <v>326220</v>
          </cell>
        </row>
        <row r="662">
          <cell r="C662">
            <v>326291</v>
          </cell>
        </row>
        <row r="663">
          <cell r="C663">
            <v>326299</v>
          </cell>
        </row>
        <row r="664">
          <cell r="C664">
            <v>326299</v>
          </cell>
        </row>
        <row r="665">
          <cell r="C665">
            <v>327110</v>
          </cell>
        </row>
        <row r="666">
          <cell r="C666">
            <v>327110</v>
          </cell>
        </row>
        <row r="667">
          <cell r="C667">
            <v>327110</v>
          </cell>
        </row>
        <row r="668">
          <cell r="C668">
            <v>327110</v>
          </cell>
        </row>
        <row r="669">
          <cell r="C669">
            <v>327110</v>
          </cell>
        </row>
        <row r="670">
          <cell r="C670">
            <v>327110</v>
          </cell>
        </row>
        <row r="671">
          <cell r="C671">
            <v>327110</v>
          </cell>
        </row>
        <row r="672">
          <cell r="C672">
            <v>327120</v>
          </cell>
        </row>
        <row r="673">
          <cell r="C673">
            <v>327120</v>
          </cell>
        </row>
        <row r="674">
          <cell r="C674">
            <v>327120</v>
          </cell>
        </row>
        <row r="675">
          <cell r="C675">
            <v>327120</v>
          </cell>
        </row>
        <row r="676">
          <cell r="C676">
            <v>327120</v>
          </cell>
        </row>
        <row r="677">
          <cell r="C677">
            <v>327211</v>
          </cell>
        </row>
        <row r="678">
          <cell r="C678">
            <v>327212</v>
          </cell>
        </row>
        <row r="679">
          <cell r="C679">
            <v>327213</v>
          </cell>
        </row>
        <row r="680">
          <cell r="C680">
            <v>327215</v>
          </cell>
        </row>
        <row r="681">
          <cell r="C681">
            <v>327310</v>
          </cell>
        </row>
        <row r="682">
          <cell r="C682">
            <v>327320</v>
          </cell>
        </row>
        <row r="683">
          <cell r="C683">
            <v>327331</v>
          </cell>
        </row>
        <row r="684">
          <cell r="C684">
            <v>327331</v>
          </cell>
        </row>
        <row r="685">
          <cell r="C685">
            <v>327332</v>
          </cell>
        </row>
        <row r="686">
          <cell r="C686">
            <v>327390</v>
          </cell>
        </row>
        <row r="687">
          <cell r="C687">
            <v>327410</v>
          </cell>
        </row>
        <row r="688">
          <cell r="C688">
            <v>327420</v>
          </cell>
        </row>
        <row r="689">
          <cell r="C689">
            <v>327420</v>
          </cell>
        </row>
        <row r="690">
          <cell r="C690">
            <v>327910</v>
          </cell>
        </row>
        <row r="691">
          <cell r="C691">
            <v>327991</v>
          </cell>
        </row>
        <row r="692">
          <cell r="C692">
            <v>327992</v>
          </cell>
        </row>
        <row r="693">
          <cell r="C693">
            <v>327993</v>
          </cell>
        </row>
        <row r="694">
          <cell r="C694">
            <v>327999</v>
          </cell>
        </row>
        <row r="695">
          <cell r="C695">
            <v>327999</v>
          </cell>
        </row>
        <row r="696">
          <cell r="C696">
            <v>327999</v>
          </cell>
        </row>
        <row r="697">
          <cell r="C697">
            <v>331110</v>
          </cell>
        </row>
        <row r="698">
          <cell r="C698">
            <v>331110</v>
          </cell>
        </row>
        <row r="699">
          <cell r="C699">
            <v>331110</v>
          </cell>
        </row>
        <row r="700">
          <cell r="C700">
            <v>331210</v>
          </cell>
        </row>
        <row r="701">
          <cell r="C701">
            <v>331221</v>
          </cell>
        </row>
        <row r="702">
          <cell r="C702">
            <v>331221</v>
          </cell>
        </row>
        <row r="703">
          <cell r="C703">
            <v>331221</v>
          </cell>
        </row>
        <row r="704">
          <cell r="C704">
            <v>331222</v>
          </cell>
        </row>
        <row r="705">
          <cell r="C705">
            <v>331313</v>
          </cell>
        </row>
        <row r="706">
          <cell r="C706">
            <v>331313</v>
          </cell>
        </row>
        <row r="707">
          <cell r="C707">
            <v>331314</v>
          </cell>
        </row>
        <row r="708">
          <cell r="C708">
            <v>331314</v>
          </cell>
        </row>
        <row r="709">
          <cell r="C709">
            <v>331315</v>
          </cell>
        </row>
        <row r="710">
          <cell r="C710">
            <v>331318</v>
          </cell>
        </row>
        <row r="711">
          <cell r="C711">
            <v>331318</v>
          </cell>
        </row>
        <row r="712">
          <cell r="C712">
            <v>331318</v>
          </cell>
        </row>
        <row r="713">
          <cell r="C713">
            <v>331410</v>
          </cell>
        </row>
        <row r="714">
          <cell r="C714">
            <v>331410</v>
          </cell>
        </row>
        <row r="715">
          <cell r="C715">
            <v>331420</v>
          </cell>
        </row>
        <row r="716">
          <cell r="C716">
            <v>331420</v>
          </cell>
        </row>
        <row r="717">
          <cell r="C717">
            <v>331420</v>
          </cell>
        </row>
        <row r="718">
          <cell r="C718">
            <v>331420</v>
          </cell>
        </row>
        <row r="719">
          <cell r="C719">
            <v>331491</v>
          </cell>
        </row>
        <row r="720">
          <cell r="C720">
            <v>331491</v>
          </cell>
        </row>
        <row r="721">
          <cell r="C721">
            <v>331492</v>
          </cell>
        </row>
        <row r="722">
          <cell r="C722">
            <v>331492</v>
          </cell>
        </row>
        <row r="723">
          <cell r="C723">
            <v>331511</v>
          </cell>
        </row>
        <row r="724">
          <cell r="C724">
            <v>331511</v>
          </cell>
        </row>
        <row r="725">
          <cell r="C725">
            <v>331512</v>
          </cell>
        </row>
        <row r="726">
          <cell r="C726">
            <v>331513</v>
          </cell>
        </row>
        <row r="727">
          <cell r="C727">
            <v>331523</v>
          </cell>
        </row>
        <row r="728">
          <cell r="C728">
            <v>331523</v>
          </cell>
        </row>
        <row r="729">
          <cell r="C729">
            <v>331524</v>
          </cell>
        </row>
        <row r="730">
          <cell r="C730">
            <v>331529</v>
          </cell>
        </row>
        <row r="731">
          <cell r="C731">
            <v>331529</v>
          </cell>
        </row>
        <row r="732">
          <cell r="C732">
            <v>332111</v>
          </cell>
        </row>
        <row r="733">
          <cell r="C733">
            <v>332112</v>
          </cell>
        </row>
        <row r="734">
          <cell r="C734">
            <v>332114</v>
          </cell>
        </row>
        <row r="735">
          <cell r="C735">
            <v>332117</v>
          </cell>
        </row>
        <row r="736">
          <cell r="C736">
            <v>332119</v>
          </cell>
        </row>
        <row r="737">
          <cell r="C737">
            <v>332119</v>
          </cell>
        </row>
        <row r="738">
          <cell r="C738">
            <v>332215</v>
          </cell>
        </row>
        <row r="739">
          <cell r="C739">
            <v>332215</v>
          </cell>
        </row>
        <row r="740">
          <cell r="C740">
            <v>332215</v>
          </cell>
        </row>
        <row r="741">
          <cell r="C741">
            <v>332215</v>
          </cell>
        </row>
        <row r="742">
          <cell r="C742">
            <v>332215</v>
          </cell>
        </row>
        <row r="743">
          <cell r="C743">
            <v>332216</v>
          </cell>
        </row>
        <row r="744">
          <cell r="C744">
            <v>332216</v>
          </cell>
        </row>
        <row r="745">
          <cell r="C745">
            <v>332216</v>
          </cell>
        </row>
        <row r="746">
          <cell r="C746">
            <v>332216</v>
          </cell>
        </row>
        <row r="747">
          <cell r="C747">
            <v>332216</v>
          </cell>
        </row>
        <row r="748">
          <cell r="C748">
            <v>332216</v>
          </cell>
        </row>
        <row r="749">
          <cell r="C749">
            <v>332216</v>
          </cell>
        </row>
        <row r="750">
          <cell r="C750">
            <v>332216</v>
          </cell>
        </row>
        <row r="751">
          <cell r="C751">
            <v>332311</v>
          </cell>
        </row>
        <row r="752">
          <cell r="C752">
            <v>332312</v>
          </cell>
        </row>
        <row r="753">
          <cell r="C753">
            <v>332312</v>
          </cell>
        </row>
        <row r="754">
          <cell r="C754">
            <v>332313</v>
          </cell>
        </row>
        <row r="755">
          <cell r="C755">
            <v>332321</v>
          </cell>
        </row>
        <row r="756">
          <cell r="C756">
            <v>332321</v>
          </cell>
        </row>
        <row r="757">
          <cell r="C757">
            <v>332322</v>
          </cell>
        </row>
        <row r="758">
          <cell r="C758">
            <v>332323</v>
          </cell>
        </row>
        <row r="759">
          <cell r="C759">
            <v>332323</v>
          </cell>
        </row>
        <row r="760">
          <cell r="C760">
            <v>332323</v>
          </cell>
        </row>
        <row r="761">
          <cell r="C761">
            <v>332410</v>
          </cell>
        </row>
        <row r="762">
          <cell r="C762">
            <v>332410</v>
          </cell>
        </row>
        <row r="763">
          <cell r="C763">
            <v>332420</v>
          </cell>
        </row>
        <row r="764">
          <cell r="C764">
            <v>332431</v>
          </cell>
        </row>
        <row r="765">
          <cell r="C765">
            <v>332439</v>
          </cell>
        </row>
        <row r="766">
          <cell r="C766">
            <v>332439</v>
          </cell>
        </row>
        <row r="767">
          <cell r="C767">
            <v>332439</v>
          </cell>
        </row>
        <row r="768">
          <cell r="C768">
            <v>332439</v>
          </cell>
        </row>
        <row r="769">
          <cell r="C769">
            <v>332439</v>
          </cell>
        </row>
        <row r="770">
          <cell r="C770">
            <v>332439</v>
          </cell>
        </row>
        <row r="771">
          <cell r="C771">
            <v>332510</v>
          </cell>
        </row>
        <row r="772">
          <cell r="C772">
            <v>332510</v>
          </cell>
        </row>
        <row r="773">
          <cell r="C773">
            <v>332613</v>
          </cell>
        </row>
        <row r="774">
          <cell r="C774">
            <v>332613</v>
          </cell>
        </row>
        <row r="775">
          <cell r="C775">
            <v>332618</v>
          </cell>
        </row>
        <row r="776">
          <cell r="C776">
            <v>332618</v>
          </cell>
        </row>
        <row r="777">
          <cell r="C777">
            <v>332618</v>
          </cell>
        </row>
        <row r="778">
          <cell r="C778">
            <v>332710</v>
          </cell>
        </row>
        <row r="779">
          <cell r="C779">
            <v>332721</v>
          </cell>
        </row>
        <row r="780">
          <cell r="C780">
            <v>332722</v>
          </cell>
        </row>
        <row r="781">
          <cell r="C781">
            <v>332722</v>
          </cell>
        </row>
        <row r="782">
          <cell r="C782">
            <v>332811</v>
          </cell>
        </row>
        <row r="783">
          <cell r="C783">
            <v>332812</v>
          </cell>
        </row>
        <row r="784">
          <cell r="C784">
            <v>332812</v>
          </cell>
        </row>
        <row r="785">
          <cell r="C785">
            <v>332813</v>
          </cell>
        </row>
        <row r="786">
          <cell r="C786">
            <v>332813</v>
          </cell>
        </row>
        <row r="787">
          <cell r="C787">
            <v>332813</v>
          </cell>
        </row>
        <row r="788">
          <cell r="C788">
            <v>332911</v>
          </cell>
        </row>
        <row r="789">
          <cell r="C789">
            <v>332912</v>
          </cell>
        </row>
        <row r="790">
          <cell r="C790">
            <v>332912</v>
          </cell>
        </row>
        <row r="791">
          <cell r="C791">
            <v>332913</v>
          </cell>
        </row>
        <row r="792">
          <cell r="C792">
            <v>332919</v>
          </cell>
        </row>
        <row r="793">
          <cell r="C793">
            <v>332919</v>
          </cell>
        </row>
        <row r="794">
          <cell r="C794">
            <v>332919</v>
          </cell>
        </row>
        <row r="795">
          <cell r="C795">
            <v>332919</v>
          </cell>
        </row>
        <row r="796">
          <cell r="C796">
            <v>332991</v>
          </cell>
        </row>
        <row r="797">
          <cell r="C797">
            <v>332992</v>
          </cell>
        </row>
        <row r="798">
          <cell r="C798">
            <v>332993</v>
          </cell>
        </row>
        <row r="799">
          <cell r="C799">
            <v>332994</v>
          </cell>
        </row>
        <row r="800">
          <cell r="C800">
            <v>332994</v>
          </cell>
        </row>
        <row r="801">
          <cell r="C801">
            <v>332994</v>
          </cell>
        </row>
        <row r="802">
          <cell r="C802">
            <v>332996</v>
          </cell>
        </row>
        <row r="803">
          <cell r="C803">
            <v>332999</v>
          </cell>
        </row>
        <row r="804">
          <cell r="C804">
            <v>332999</v>
          </cell>
        </row>
        <row r="805">
          <cell r="C805">
            <v>332999</v>
          </cell>
        </row>
        <row r="806">
          <cell r="C806">
            <v>332999</v>
          </cell>
        </row>
        <row r="807">
          <cell r="C807">
            <v>332999</v>
          </cell>
        </row>
        <row r="808">
          <cell r="C808">
            <v>332999</v>
          </cell>
        </row>
        <row r="809">
          <cell r="C809">
            <v>332999</v>
          </cell>
        </row>
        <row r="810">
          <cell r="C810">
            <v>332999</v>
          </cell>
        </row>
        <row r="811">
          <cell r="C811">
            <v>332999</v>
          </cell>
        </row>
        <row r="812">
          <cell r="C812">
            <v>332999</v>
          </cell>
        </row>
        <row r="813">
          <cell r="C813">
            <v>332999</v>
          </cell>
        </row>
        <row r="814">
          <cell r="C814">
            <v>332999</v>
          </cell>
        </row>
        <row r="815">
          <cell r="C815">
            <v>333111</v>
          </cell>
        </row>
        <row r="816">
          <cell r="C816">
            <v>333111</v>
          </cell>
        </row>
        <row r="817">
          <cell r="C817">
            <v>333112</v>
          </cell>
        </row>
        <row r="818">
          <cell r="C818">
            <v>333120</v>
          </cell>
        </row>
        <row r="819">
          <cell r="C819">
            <v>333131</v>
          </cell>
        </row>
        <row r="820">
          <cell r="C820">
            <v>333132</v>
          </cell>
        </row>
        <row r="821">
          <cell r="C821">
            <v>333241</v>
          </cell>
        </row>
        <row r="822">
          <cell r="C822">
            <v>333242</v>
          </cell>
        </row>
        <row r="823">
          <cell r="C823">
            <v>333243</v>
          </cell>
        </row>
        <row r="824">
          <cell r="C824">
            <v>333243</v>
          </cell>
        </row>
        <row r="825">
          <cell r="C825">
            <v>333244</v>
          </cell>
        </row>
        <row r="826">
          <cell r="C826">
            <v>333249</v>
          </cell>
        </row>
        <row r="827">
          <cell r="C827">
            <v>333249</v>
          </cell>
        </row>
        <row r="828">
          <cell r="C828">
            <v>333249</v>
          </cell>
        </row>
        <row r="829">
          <cell r="C829">
            <v>333249</v>
          </cell>
        </row>
        <row r="830">
          <cell r="C830">
            <v>333249</v>
          </cell>
        </row>
        <row r="831">
          <cell r="C831">
            <v>333249</v>
          </cell>
        </row>
        <row r="832">
          <cell r="C832">
            <v>333314</v>
          </cell>
        </row>
        <row r="833">
          <cell r="C833">
            <v>333316</v>
          </cell>
        </row>
        <row r="834">
          <cell r="C834">
            <v>333316</v>
          </cell>
        </row>
        <row r="835">
          <cell r="C835">
            <v>333316</v>
          </cell>
        </row>
        <row r="836">
          <cell r="C836">
            <v>333318</v>
          </cell>
        </row>
        <row r="837">
          <cell r="C837">
            <v>333318</v>
          </cell>
        </row>
        <row r="838">
          <cell r="C838">
            <v>333318</v>
          </cell>
        </row>
        <row r="839">
          <cell r="C839">
            <v>333318</v>
          </cell>
        </row>
        <row r="840">
          <cell r="C840">
            <v>333318</v>
          </cell>
        </row>
        <row r="841">
          <cell r="C841">
            <v>333318</v>
          </cell>
        </row>
        <row r="842">
          <cell r="C842">
            <v>333318</v>
          </cell>
        </row>
        <row r="843">
          <cell r="C843">
            <v>333318</v>
          </cell>
        </row>
        <row r="844">
          <cell r="C844">
            <v>333318</v>
          </cell>
        </row>
        <row r="845">
          <cell r="C845">
            <v>333413</v>
          </cell>
        </row>
        <row r="846">
          <cell r="C846">
            <v>333414</v>
          </cell>
        </row>
        <row r="847">
          <cell r="C847">
            <v>333414</v>
          </cell>
        </row>
        <row r="848">
          <cell r="C848">
            <v>333414</v>
          </cell>
        </row>
        <row r="849">
          <cell r="C849">
            <v>333415</v>
          </cell>
        </row>
        <row r="850">
          <cell r="C850">
            <v>333415</v>
          </cell>
        </row>
        <row r="851">
          <cell r="C851">
            <v>333415</v>
          </cell>
        </row>
        <row r="852">
          <cell r="C852">
            <v>333415</v>
          </cell>
        </row>
        <row r="853">
          <cell r="C853">
            <v>333415</v>
          </cell>
        </row>
        <row r="854">
          <cell r="C854">
            <v>333415</v>
          </cell>
        </row>
        <row r="855">
          <cell r="C855">
            <v>333415</v>
          </cell>
        </row>
        <row r="856">
          <cell r="C856">
            <v>333511</v>
          </cell>
        </row>
        <row r="857">
          <cell r="C857">
            <v>333514</v>
          </cell>
        </row>
        <row r="858">
          <cell r="C858">
            <v>333515</v>
          </cell>
        </row>
        <row r="859">
          <cell r="C859">
            <v>333517</v>
          </cell>
        </row>
        <row r="860">
          <cell r="C860">
            <v>333517</v>
          </cell>
        </row>
        <row r="861">
          <cell r="C861">
            <v>333519</v>
          </cell>
        </row>
        <row r="862">
          <cell r="C862">
            <v>333519</v>
          </cell>
        </row>
        <row r="863">
          <cell r="C863">
            <v>333611</v>
          </cell>
        </row>
        <row r="864">
          <cell r="C864">
            <v>333612</v>
          </cell>
        </row>
        <row r="865">
          <cell r="C865">
            <v>333613</v>
          </cell>
        </row>
        <row r="866">
          <cell r="C866">
            <v>333618</v>
          </cell>
        </row>
        <row r="867">
          <cell r="C867">
            <v>333618</v>
          </cell>
        </row>
        <row r="868">
          <cell r="C868">
            <v>333912</v>
          </cell>
        </row>
        <row r="869">
          <cell r="C869">
            <v>333914</v>
          </cell>
        </row>
        <row r="870">
          <cell r="C870">
            <v>333914</v>
          </cell>
        </row>
        <row r="871">
          <cell r="C871">
            <v>333914</v>
          </cell>
        </row>
        <row r="872">
          <cell r="C872">
            <v>333921</v>
          </cell>
        </row>
        <row r="873">
          <cell r="C873">
            <v>333922</v>
          </cell>
        </row>
        <row r="874">
          <cell r="C874">
            <v>333922</v>
          </cell>
        </row>
        <row r="875">
          <cell r="C875">
            <v>333923</v>
          </cell>
        </row>
        <row r="876">
          <cell r="C876">
            <v>333923</v>
          </cell>
        </row>
        <row r="877">
          <cell r="C877">
            <v>333923</v>
          </cell>
        </row>
        <row r="878">
          <cell r="C878">
            <v>333924</v>
          </cell>
        </row>
        <row r="879">
          <cell r="C879">
            <v>333924</v>
          </cell>
        </row>
        <row r="880">
          <cell r="C880">
            <v>333924</v>
          </cell>
        </row>
        <row r="881">
          <cell r="C881">
            <v>333991</v>
          </cell>
        </row>
        <row r="882">
          <cell r="C882">
            <v>333992</v>
          </cell>
        </row>
        <row r="883">
          <cell r="C883">
            <v>333992</v>
          </cell>
        </row>
        <row r="884">
          <cell r="C884">
            <v>333993</v>
          </cell>
        </row>
        <row r="885">
          <cell r="C885">
            <v>333994</v>
          </cell>
        </row>
        <row r="886">
          <cell r="C886">
            <v>333994</v>
          </cell>
        </row>
        <row r="887">
          <cell r="C887">
            <v>333994</v>
          </cell>
        </row>
        <row r="888">
          <cell r="C888">
            <v>333994</v>
          </cell>
        </row>
        <row r="889">
          <cell r="C889">
            <v>333995</v>
          </cell>
        </row>
        <row r="890">
          <cell r="C890">
            <v>333996</v>
          </cell>
        </row>
        <row r="891">
          <cell r="C891">
            <v>333997</v>
          </cell>
        </row>
        <row r="892">
          <cell r="C892">
            <v>333997</v>
          </cell>
        </row>
        <row r="893">
          <cell r="C893">
            <v>333997</v>
          </cell>
        </row>
        <row r="894">
          <cell r="C894">
            <v>333997</v>
          </cell>
        </row>
        <row r="895">
          <cell r="C895">
            <v>333999</v>
          </cell>
        </row>
        <row r="896">
          <cell r="C896">
            <v>333999</v>
          </cell>
        </row>
        <row r="897">
          <cell r="C897">
            <v>333999</v>
          </cell>
        </row>
        <row r="898">
          <cell r="C898">
            <v>333999</v>
          </cell>
        </row>
        <row r="899">
          <cell r="C899">
            <v>333999</v>
          </cell>
        </row>
        <row r="900">
          <cell r="C900">
            <v>334111</v>
          </cell>
        </row>
        <row r="901">
          <cell r="C901">
            <v>334112</v>
          </cell>
        </row>
        <row r="902">
          <cell r="C902">
            <v>334118</v>
          </cell>
        </row>
        <row r="903">
          <cell r="C903">
            <v>334118</v>
          </cell>
        </row>
        <row r="904">
          <cell r="C904">
            <v>334118</v>
          </cell>
        </row>
        <row r="905">
          <cell r="C905">
            <v>334210</v>
          </cell>
        </row>
        <row r="906">
          <cell r="C906">
            <v>334220</v>
          </cell>
        </row>
        <row r="907">
          <cell r="C907">
            <v>334220</v>
          </cell>
        </row>
        <row r="908">
          <cell r="C908">
            <v>334290</v>
          </cell>
        </row>
        <row r="909">
          <cell r="C909">
            <v>334310</v>
          </cell>
        </row>
        <row r="910">
          <cell r="C910">
            <v>334310</v>
          </cell>
        </row>
        <row r="911">
          <cell r="C911">
            <v>334412</v>
          </cell>
        </row>
        <row r="912">
          <cell r="C912">
            <v>334413</v>
          </cell>
        </row>
        <row r="913">
          <cell r="C913">
            <v>334416</v>
          </cell>
        </row>
        <row r="914">
          <cell r="C914">
            <v>334416</v>
          </cell>
        </row>
        <row r="915">
          <cell r="C915">
            <v>334416</v>
          </cell>
        </row>
        <row r="916">
          <cell r="C916">
            <v>334417</v>
          </cell>
        </row>
        <row r="917">
          <cell r="C917">
            <v>334418</v>
          </cell>
        </row>
        <row r="918">
          <cell r="C918">
            <v>334418</v>
          </cell>
        </row>
        <row r="919">
          <cell r="C919">
            <v>334418</v>
          </cell>
        </row>
        <row r="920">
          <cell r="C920">
            <v>334419</v>
          </cell>
        </row>
        <row r="921">
          <cell r="C921">
            <v>334419</v>
          </cell>
        </row>
        <row r="922">
          <cell r="C922">
            <v>334510</v>
          </cell>
        </row>
        <row r="923">
          <cell r="C923">
            <v>334510</v>
          </cell>
        </row>
        <row r="924">
          <cell r="C924">
            <v>334511</v>
          </cell>
        </row>
        <row r="925">
          <cell r="C925">
            <v>334512</v>
          </cell>
        </row>
        <row r="926">
          <cell r="C926">
            <v>334513</v>
          </cell>
        </row>
        <row r="927">
          <cell r="C927">
            <v>334514</v>
          </cell>
        </row>
        <row r="928">
          <cell r="C928">
            <v>334514</v>
          </cell>
        </row>
        <row r="929">
          <cell r="C929">
            <v>334514</v>
          </cell>
        </row>
        <row r="930">
          <cell r="C930">
            <v>334515</v>
          </cell>
        </row>
        <row r="931">
          <cell r="C931">
            <v>334515</v>
          </cell>
        </row>
        <row r="932">
          <cell r="C932">
            <v>334515</v>
          </cell>
        </row>
        <row r="933">
          <cell r="C933">
            <v>334516</v>
          </cell>
        </row>
        <row r="934">
          <cell r="C934">
            <v>334517</v>
          </cell>
        </row>
        <row r="935">
          <cell r="C935">
            <v>334517</v>
          </cell>
        </row>
        <row r="936">
          <cell r="C936">
            <v>334519</v>
          </cell>
        </row>
        <row r="937">
          <cell r="C937">
            <v>334519</v>
          </cell>
        </row>
        <row r="938">
          <cell r="C938">
            <v>334519</v>
          </cell>
        </row>
        <row r="939">
          <cell r="C939">
            <v>334519</v>
          </cell>
        </row>
        <row r="940">
          <cell r="C940">
            <v>334519</v>
          </cell>
        </row>
        <row r="941">
          <cell r="C941">
            <v>334519</v>
          </cell>
        </row>
        <row r="942">
          <cell r="C942">
            <v>334519</v>
          </cell>
        </row>
        <row r="943">
          <cell r="C943">
            <v>334613</v>
          </cell>
        </row>
        <row r="944">
          <cell r="C944">
            <v>334613</v>
          </cell>
        </row>
        <row r="945">
          <cell r="C945">
            <v>334614</v>
          </cell>
        </row>
        <row r="946">
          <cell r="C946">
            <v>334614</v>
          </cell>
        </row>
        <row r="947">
          <cell r="C947">
            <v>334614</v>
          </cell>
        </row>
        <row r="948">
          <cell r="C948">
            <v>335110</v>
          </cell>
        </row>
        <row r="949">
          <cell r="C949">
            <v>335121</v>
          </cell>
        </row>
        <row r="950">
          <cell r="C950">
            <v>335121</v>
          </cell>
        </row>
        <row r="951">
          <cell r="C951">
            <v>335122</v>
          </cell>
        </row>
        <row r="952">
          <cell r="C952">
            <v>335129</v>
          </cell>
        </row>
        <row r="953">
          <cell r="C953">
            <v>335129</v>
          </cell>
        </row>
        <row r="954">
          <cell r="C954">
            <v>335210</v>
          </cell>
        </row>
        <row r="955">
          <cell r="C955">
            <v>335210</v>
          </cell>
        </row>
        <row r="956">
          <cell r="C956">
            <v>335210</v>
          </cell>
        </row>
        <row r="957">
          <cell r="C957">
            <v>335210</v>
          </cell>
        </row>
        <row r="958">
          <cell r="C958">
            <v>335220</v>
          </cell>
        </row>
        <row r="959">
          <cell r="C959">
            <v>335220</v>
          </cell>
        </row>
        <row r="960">
          <cell r="C960">
            <v>335220</v>
          </cell>
        </row>
        <row r="961">
          <cell r="C961">
            <v>335220</v>
          </cell>
        </row>
        <row r="962">
          <cell r="C962">
            <v>335311</v>
          </cell>
        </row>
        <row r="963">
          <cell r="C963">
            <v>335311</v>
          </cell>
        </row>
        <row r="964">
          <cell r="C964">
            <v>335312</v>
          </cell>
        </row>
        <row r="965">
          <cell r="C965">
            <v>335312</v>
          </cell>
        </row>
        <row r="966">
          <cell r="C966">
            <v>335313</v>
          </cell>
        </row>
        <row r="967">
          <cell r="C967">
            <v>335314</v>
          </cell>
        </row>
        <row r="968">
          <cell r="C968">
            <v>335911</v>
          </cell>
        </row>
        <row r="969">
          <cell r="C969">
            <v>335912</v>
          </cell>
        </row>
        <row r="970">
          <cell r="C970">
            <v>335921</v>
          </cell>
        </row>
        <row r="971">
          <cell r="C971">
            <v>335929</v>
          </cell>
        </row>
        <row r="972">
          <cell r="C972">
            <v>335931</v>
          </cell>
        </row>
        <row r="973">
          <cell r="C973">
            <v>335932</v>
          </cell>
        </row>
        <row r="974">
          <cell r="C974">
            <v>335991</v>
          </cell>
        </row>
        <row r="975">
          <cell r="C975">
            <v>335999</v>
          </cell>
        </row>
        <row r="976">
          <cell r="C976">
            <v>335999</v>
          </cell>
        </row>
        <row r="977">
          <cell r="C977">
            <v>336111</v>
          </cell>
        </row>
        <row r="978">
          <cell r="C978">
            <v>336112</v>
          </cell>
        </row>
        <row r="979">
          <cell r="C979">
            <v>336120</v>
          </cell>
        </row>
        <row r="980">
          <cell r="C980">
            <v>336211</v>
          </cell>
        </row>
        <row r="981">
          <cell r="C981">
            <v>336211</v>
          </cell>
        </row>
        <row r="982">
          <cell r="C982">
            <v>336211</v>
          </cell>
        </row>
        <row r="983">
          <cell r="C983">
            <v>336212</v>
          </cell>
        </row>
        <row r="984">
          <cell r="C984">
            <v>336213</v>
          </cell>
        </row>
        <row r="985">
          <cell r="C985">
            <v>336214</v>
          </cell>
        </row>
        <row r="986">
          <cell r="C986">
            <v>336214</v>
          </cell>
        </row>
        <row r="987">
          <cell r="C987">
            <v>336310</v>
          </cell>
        </row>
        <row r="988">
          <cell r="C988">
            <v>336310</v>
          </cell>
        </row>
        <row r="989">
          <cell r="C989">
            <v>336320</v>
          </cell>
        </row>
        <row r="990">
          <cell r="C990">
            <v>336320</v>
          </cell>
        </row>
        <row r="991">
          <cell r="C991">
            <v>336320</v>
          </cell>
        </row>
        <row r="992">
          <cell r="C992">
            <v>336330</v>
          </cell>
        </row>
        <row r="993">
          <cell r="C993">
            <v>336340</v>
          </cell>
        </row>
        <row r="994">
          <cell r="C994">
            <v>336340</v>
          </cell>
        </row>
        <row r="995">
          <cell r="C995">
            <v>336350</v>
          </cell>
        </row>
        <row r="996">
          <cell r="C996">
            <v>336350</v>
          </cell>
        </row>
        <row r="997">
          <cell r="C997">
            <v>336360</v>
          </cell>
        </row>
        <row r="998">
          <cell r="C998">
            <v>336360</v>
          </cell>
        </row>
        <row r="999">
          <cell r="C999">
            <v>336360</v>
          </cell>
        </row>
        <row r="1000">
          <cell r="C1000">
            <v>336360</v>
          </cell>
        </row>
        <row r="1001">
          <cell r="C1001">
            <v>336370</v>
          </cell>
        </row>
        <row r="1002">
          <cell r="C1002">
            <v>336390</v>
          </cell>
        </row>
        <row r="1003">
          <cell r="C1003">
            <v>336390</v>
          </cell>
        </row>
        <row r="1004">
          <cell r="C1004">
            <v>336390</v>
          </cell>
        </row>
        <row r="1005">
          <cell r="C1005">
            <v>336390</v>
          </cell>
        </row>
        <row r="1006">
          <cell r="C1006">
            <v>336390</v>
          </cell>
        </row>
        <row r="1007">
          <cell r="C1007">
            <v>336390</v>
          </cell>
        </row>
        <row r="1008">
          <cell r="C1008">
            <v>336411</v>
          </cell>
        </row>
        <row r="1009">
          <cell r="C1009">
            <v>336411</v>
          </cell>
        </row>
        <row r="1010">
          <cell r="C1010">
            <v>336412</v>
          </cell>
        </row>
        <row r="1011">
          <cell r="C1011">
            <v>336413</v>
          </cell>
        </row>
        <row r="1012">
          <cell r="C1012">
            <v>336414</v>
          </cell>
        </row>
        <row r="1013">
          <cell r="C1013">
            <v>336415</v>
          </cell>
        </row>
        <row r="1014">
          <cell r="C1014">
            <v>336419</v>
          </cell>
        </row>
        <row r="1015">
          <cell r="C1015">
            <v>336510</v>
          </cell>
        </row>
        <row r="1016">
          <cell r="C1016">
            <v>336510</v>
          </cell>
        </row>
        <row r="1017">
          <cell r="C1017">
            <v>336611</v>
          </cell>
        </row>
        <row r="1018">
          <cell r="C1018">
            <v>336612</v>
          </cell>
        </row>
        <row r="1019">
          <cell r="C1019">
            <v>336612</v>
          </cell>
        </row>
        <row r="1020">
          <cell r="C1020">
            <v>336612</v>
          </cell>
        </row>
        <row r="1021">
          <cell r="C1021">
            <v>336612</v>
          </cell>
        </row>
        <row r="1022">
          <cell r="C1022">
            <v>336991</v>
          </cell>
        </row>
        <row r="1023">
          <cell r="C1023">
            <v>336991</v>
          </cell>
        </row>
        <row r="1024">
          <cell r="C1024">
            <v>336992</v>
          </cell>
        </row>
        <row r="1025">
          <cell r="C1025">
            <v>336992</v>
          </cell>
        </row>
        <row r="1026">
          <cell r="C1026">
            <v>336999</v>
          </cell>
        </row>
        <row r="1027">
          <cell r="C1027">
            <v>337110</v>
          </cell>
        </row>
        <row r="1028">
          <cell r="C1028">
            <v>337110</v>
          </cell>
        </row>
        <row r="1029">
          <cell r="C1029">
            <v>337110</v>
          </cell>
        </row>
        <row r="1030">
          <cell r="C1030">
            <v>337121</v>
          </cell>
        </row>
        <row r="1031">
          <cell r="C1031">
            <v>337121</v>
          </cell>
        </row>
        <row r="1032">
          <cell r="C1032">
            <v>337121</v>
          </cell>
        </row>
        <row r="1033">
          <cell r="C1033">
            <v>337121</v>
          </cell>
        </row>
        <row r="1034">
          <cell r="C1034">
            <v>337122</v>
          </cell>
        </row>
        <row r="1035">
          <cell r="C1035">
            <v>337122</v>
          </cell>
        </row>
        <row r="1036">
          <cell r="C1036">
            <v>337124</v>
          </cell>
        </row>
        <row r="1037">
          <cell r="C1037">
            <v>337125</v>
          </cell>
        </row>
        <row r="1038">
          <cell r="C1038">
            <v>337125</v>
          </cell>
        </row>
        <row r="1039">
          <cell r="C1039">
            <v>337127</v>
          </cell>
        </row>
        <row r="1040">
          <cell r="C1040">
            <v>337127</v>
          </cell>
        </row>
        <row r="1041">
          <cell r="C1041">
            <v>337127</v>
          </cell>
        </row>
        <row r="1042">
          <cell r="C1042">
            <v>337127</v>
          </cell>
        </row>
        <row r="1043">
          <cell r="C1043">
            <v>337127</v>
          </cell>
        </row>
        <row r="1044">
          <cell r="C1044">
            <v>337127</v>
          </cell>
        </row>
        <row r="1045">
          <cell r="C1045">
            <v>337127</v>
          </cell>
        </row>
        <row r="1046">
          <cell r="C1046">
            <v>337127</v>
          </cell>
        </row>
        <row r="1047">
          <cell r="C1047">
            <v>337211</v>
          </cell>
        </row>
        <row r="1048">
          <cell r="C1048">
            <v>337212</v>
          </cell>
        </row>
        <row r="1049">
          <cell r="C1049">
            <v>337214</v>
          </cell>
        </row>
        <row r="1050">
          <cell r="C1050">
            <v>337215</v>
          </cell>
        </row>
        <row r="1051">
          <cell r="C1051">
            <v>337215</v>
          </cell>
        </row>
        <row r="1052">
          <cell r="C1052">
            <v>337215</v>
          </cell>
        </row>
        <row r="1053">
          <cell r="C1053">
            <v>337215</v>
          </cell>
        </row>
        <row r="1054">
          <cell r="C1054">
            <v>337215</v>
          </cell>
        </row>
        <row r="1055">
          <cell r="C1055">
            <v>337215</v>
          </cell>
        </row>
        <row r="1056">
          <cell r="C1056">
            <v>337215</v>
          </cell>
        </row>
        <row r="1057">
          <cell r="C1057">
            <v>337215</v>
          </cell>
        </row>
        <row r="1058">
          <cell r="C1058">
            <v>337910</v>
          </cell>
        </row>
        <row r="1059">
          <cell r="C1059">
            <v>337920</v>
          </cell>
        </row>
        <row r="1060">
          <cell r="C1060">
            <v>339112</v>
          </cell>
        </row>
        <row r="1061">
          <cell r="C1061">
            <v>339112</v>
          </cell>
        </row>
        <row r="1062">
          <cell r="C1062">
            <v>339113</v>
          </cell>
        </row>
        <row r="1063">
          <cell r="C1063">
            <v>339113</v>
          </cell>
        </row>
        <row r="1064">
          <cell r="C1064">
            <v>339113</v>
          </cell>
        </row>
        <row r="1065">
          <cell r="C1065">
            <v>339113</v>
          </cell>
        </row>
        <row r="1066">
          <cell r="C1066">
            <v>339113</v>
          </cell>
        </row>
        <row r="1067">
          <cell r="C1067">
            <v>339113</v>
          </cell>
        </row>
        <row r="1068">
          <cell r="C1068">
            <v>339113</v>
          </cell>
        </row>
        <row r="1069">
          <cell r="C1069">
            <v>339113</v>
          </cell>
        </row>
        <row r="1070">
          <cell r="C1070">
            <v>339113</v>
          </cell>
        </row>
        <row r="1071">
          <cell r="C1071">
            <v>339114</v>
          </cell>
        </row>
        <row r="1072">
          <cell r="C1072">
            <v>339115</v>
          </cell>
        </row>
        <row r="1073">
          <cell r="C1073">
            <v>339115</v>
          </cell>
        </row>
        <row r="1074">
          <cell r="C1074">
            <v>339116</v>
          </cell>
        </row>
        <row r="1075">
          <cell r="C1075">
            <v>339910</v>
          </cell>
        </row>
        <row r="1076">
          <cell r="C1076">
            <v>339910</v>
          </cell>
        </row>
        <row r="1077">
          <cell r="C1077">
            <v>339910</v>
          </cell>
        </row>
        <row r="1078">
          <cell r="C1078">
            <v>339910</v>
          </cell>
        </row>
        <row r="1079">
          <cell r="C1079">
            <v>339910</v>
          </cell>
        </row>
        <row r="1080">
          <cell r="C1080">
            <v>339910</v>
          </cell>
        </row>
        <row r="1081">
          <cell r="C1081">
            <v>339920</v>
          </cell>
        </row>
        <row r="1082">
          <cell r="C1082">
            <v>339920</v>
          </cell>
        </row>
        <row r="1083">
          <cell r="C1083">
            <v>339930</v>
          </cell>
        </row>
        <row r="1084">
          <cell r="C1084">
            <v>339930</v>
          </cell>
        </row>
        <row r="1085">
          <cell r="C1085">
            <v>339930</v>
          </cell>
        </row>
        <row r="1086">
          <cell r="C1086">
            <v>339930</v>
          </cell>
        </row>
        <row r="1087">
          <cell r="C1087">
            <v>339940</v>
          </cell>
        </row>
        <row r="1088">
          <cell r="C1088">
            <v>339940</v>
          </cell>
        </row>
        <row r="1089">
          <cell r="C1089">
            <v>339940</v>
          </cell>
        </row>
        <row r="1090">
          <cell r="C1090">
            <v>339940</v>
          </cell>
        </row>
        <row r="1091">
          <cell r="C1091">
            <v>339940</v>
          </cell>
        </row>
        <row r="1092">
          <cell r="C1092">
            <v>339940</v>
          </cell>
        </row>
        <row r="1093">
          <cell r="C1093">
            <v>339950</v>
          </cell>
        </row>
        <row r="1094">
          <cell r="C1094">
            <v>339991</v>
          </cell>
        </row>
        <row r="1095">
          <cell r="C1095">
            <v>339992</v>
          </cell>
        </row>
        <row r="1096">
          <cell r="C1096">
            <v>339993</v>
          </cell>
        </row>
        <row r="1097">
          <cell r="C1097">
            <v>339993</v>
          </cell>
        </row>
        <row r="1098">
          <cell r="C1098">
            <v>339993</v>
          </cell>
        </row>
        <row r="1099">
          <cell r="C1099">
            <v>339994</v>
          </cell>
        </row>
        <row r="1100">
          <cell r="C1100">
            <v>339994</v>
          </cell>
        </row>
        <row r="1101">
          <cell r="C1101">
            <v>339995</v>
          </cell>
        </row>
        <row r="1102">
          <cell r="C1102">
            <v>339999</v>
          </cell>
        </row>
        <row r="1103">
          <cell r="C1103">
            <v>339999</v>
          </cell>
        </row>
        <row r="1104">
          <cell r="C1104">
            <v>339999</v>
          </cell>
        </row>
        <row r="1105">
          <cell r="C1105">
            <v>339999</v>
          </cell>
        </row>
        <row r="1106">
          <cell r="C1106">
            <v>423110</v>
          </cell>
        </row>
        <row r="1107">
          <cell r="C1107">
            <v>423120</v>
          </cell>
        </row>
        <row r="1108">
          <cell r="C1108">
            <v>423130</v>
          </cell>
        </row>
        <row r="1109">
          <cell r="C1109">
            <v>423140</v>
          </cell>
        </row>
        <row r="1110">
          <cell r="C1110">
            <v>423210</v>
          </cell>
        </row>
        <row r="1111">
          <cell r="C1111">
            <v>423220</v>
          </cell>
        </row>
        <row r="1112">
          <cell r="C1112">
            <v>423310</v>
          </cell>
        </row>
        <row r="1113">
          <cell r="C1113">
            <v>423310</v>
          </cell>
        </row>
        <row r="1114">
          <cell r="C1114">
            <v>423320</v>
          </cell>
        </row>
        <row r="1115">
          <cell r="C1115">
            <v>423330</v>
          </cell>
        </row>
        <row r="1116">
          <cell r="C1116">
            <v>423390</v>
          </cell>
        </row>
        <row r="1117">
          <cell r="C1117">
            <v>423410</v>
          </cell>
        </row>
        <row r="1118">
          <cell r="C1118">
            <v>423420</v>
          </cell>
        </row>
        <row r="1119">
          <cell r="C1119">
            <v>423430</v>
          </cell>
        </row>
        <row r="1120">
          <cell r="C1120">
            <v>423440</v>
          </cell>
        </row>
        <row r="1121">
          <cell r="C1121">
            <v>423450</v>
          </cell>
        </row>
        <row r="1122">
          <cell r="C1122">
            <v>423460</v>
          </cell>
        </row>
        <row r="1123">
          <cell r="C1123">
            <v>423490</v>
          </cell>
        </row>
        <row r="1124">
          <cell r="C1124">
            <v>423510</v>
          </cell>
        </row>
        <row r="1125">
          <cell r="C1125">
            <v>423520</v>
          </cell>
        </row>
        <row r="1126">
          <cell r="C1126">
            <v>423610</v>
          </cell>
        </row>
        <row r="1127">
          <cell r="C1127">
            <v>423620</v>
          </cell>
        </row>
        <row r="1128">
          <cell r="C1128">
            <v>423620</v>
          </cell>
        </row>
        <row r="1129">
          <cell r="C1129">
            <v>423690</v>
          </cell>
        </row>
        <row r="1130">
          <cell r="C1130">
            <v>423710</v>
          </cell>
        </row>
        <row r="1131">
          <cell r="C1131">
            <v>423720</v>
          </cell>
        </row>
        <row r="1132">
          <cell r="C1132">
            <v>423720</v>
          </cell>
        </row>
        <row r="1133">
          <cell r="C1133">
            <v>423730</v>
          </cell>
        </row>
        <row r="1134">
          <cell r="C1134">
            <v>423740</v>
          </cell>
        </row>
        <row r="1135">
          <cell r="C1135">
            <v>423810</v>
          </cell>
        </row>
        <row r="1136">
          <cell r="C1136">
            <v>423820</v>
          </cell>
        </row>
        <row r="1137">
          <cell r="C1137">
            <v>423830</v>
          </cell>
        </row>
        <row r="1138">
          <cell r="C1138">
            <v>423830</v>
          </cell>
        </row>
        <row r="1139">
          <cell r="C1139">
            <v>423840</v>
          </cell>
        </row>
        <row r="1140">
          <cell r="C1140">
            <v>423850</v>
          </cell>
        </row>
        <row r="1141">
          <cell r="C1141">
            <v>423860</v>
          </cell>
        </row>
        <row r="1142">
          <cell r="C1142">
            <v>423910</v>
          </cell>
        </row>
        <row r="1143">
          <cell r="C1143">
            <v>423910</v>
          </cell>
        </row>
        <row r="1144">
          <cell r="C1144">
            <v>423910</v>
          </cell>
        </row>
        <row r="1145">
          <cell r="C1145">
            <v>423920</v>
          </cell>
        </row>
        <row r="1146">
          <cell r="C1146">
            <v>423930</v>
          </cell>
        </row>
        <row r="1147">
          <cell r="C1147">
            <v>423940</v>
          </cell>
        </row>
        <row r="1148">
          <cell r="C1148">
            <v>423990</v>
          </cell>
        </row>
        <row r="1149">
          <cell r="C1149">
            <v>423990</v>
          </cell>
        </row>
        <row r="1150">
          <cell r="C1150">
            <v>424110</v>
          </cell>
        </row>
        <row r="1151">
          <cell r="C1151">
            <v>424120</v>
          </cell>
        </row>
        <row r="1152">
          <cell r="C1152">
            <v>424130</v>
          </cell>
        </row>
        <row r="1153">
          <cell r="C1153">
            <v>424210</v>
          </cell>
        </row>
        <row r="1154">
          <cell r="C1154">
            <v>424310</v>
          </cell>
        </row>
        <row r="1155">
          <cell r="C1155">
            <v>424310</v>
          </cell>
        </row>
        <row r="1156">
          <cell r="C1156">
            <v>424320</v>
          </cell>
        </row>
        <row r="1157">
          <cell r="C1157">
            <v>424330</v>
          </cell>
        </row>
        <row r="1158">
          <cell r="C1158">
            <v>424340</v>
          </cell>
        </row>
        <row r="1159">
          <cell r="C1159">
            <v>424340</v>
          </cell>
        </row>
        <row r="1160">
          <cell r="C1160">
            <v>424410</v>
          </cell>
        </row>
        <row r="1161">
          <cell r="C1161">
            <v>424420</v>
          </cell>
        </row>
        <row r="1162">
          <cell r="C1162">
            <v>424430</v>
          </cell>
        </row>
        <row r="1163">
          <cell r="C1163">
            <v>424440</v>
          </cell>
        </row>
        <row r="1164">
          <cell r="C1164">
            <v>424450</v>
          </cell>
        </row>
        <row r="1165">
          <cell r="C1165">
            <v>424460</v>
          </cell>
        </row>
        <row r="1166">
          <cell r="C1166">
            <v>424470</v>
          </cell>
        </row>
        <row r="1167">
          <cell r="C1167">
            <v>424480</v>
          </cell>
        </row>
        <row r="1168">
          <cell r="C1168">
            <v>424490</v>
          </cell>
        </row>
        <row r="1169">
          <cell r="C1169">
            <v>424510</v>
          </cell>
        </row>
        <row r="1170">
          <cell r="C1170">
            <v>424520</v>
          </cell>
        </row>
        <row r="1171">
          <cell r="C1171">
            <v>424590</v>
          </cell>
        </row>
        <row r="1172">
          <cell r="C1172">
            <v>424610</v>
          </cell>
        </row>
        <row r="1173">
          <cell r="C1173">
            <v>424610</v>
          </cell>
        </row>
        <row r="1174">
          <cell r="C1174">
            <v>424690</v>
          </cell>
        </row>
        <row r="1175">
          <cell r="C1175">
            <v>424710</v>
          </cell>
        </row>
        <row r="1176">
          <cell r="C1176">
            <v>424720</v>
          </cell>
        </row>
        <row r="1177">
          <cell r="C1177">
            <v>424810</v>
          </cell>
        </row>
        <row r="1178">
          <cell r="C1178">
            <v>424820</v>
          </cell>
        </row>
        <row r="1179">
          <cell r="C1179">
            <v>424910</v>
          </cell>
        </row>
        <row r="1180">
          <cell r="C1180">
            <v>424920</v>
          </cell>
        </row>
        <row r="1181">
          <cell r="C1181">
            <v>424930</v>
          </cell>
        </row>
        <row r="1182">
          <cell r="C1182">
            <v>424940</v>
          </cell>
        </row>
        <row r="1183">
          <cell r="C1183">
            <v>424950</v>
          </cell>
        </row>
        <row r="1184">
          <cell r="C1184">
            <v>424990</v>
          </cell>
        </row>
        <row r="1185">
          <cell r="C1185">
            <v>425110</v>
          </cell>
        </row>
        <row r="1186">
          <cell r="C1186">
            <v>425110</v>
          </cell>
        </row>
        <row r="1187">
          <cell r="C1187">
            <v>425110</v>
          </cell>
        </row>
        <row r="1188">
          <cell r="C1188">
            <v>425110</v>
          </cell>
        </row>
        <row r="1189">
          <cell r="C1189">
            <v>425110</v>
          </cell>
        </row>
        <row r="1190">
          <cell r="C1190">
            <v>425110</v>
          </cell>
        </row>
        <row r="1191">
          <cell r="C1191">
            <v>425110</v>
          </cell>
        </row>
        <row r="1192">
          <cell r="C1192">
            <v>425110</v>
          </cell>
        </row>
        <row r="1193">
          <cell r="C1193">
            <v>425110</v>
          </cell>
        </row>
        <row r="1194">
          <cell r="C1194">
            <v>425110</v>
          </cell>
        </row>
        <row r="1195">
          <cell r="C1195">
            <v>425110</v>
          </cell>
        </row>
        <row r="1196">
          <cell r="C1196">
            <v>425110</v>
          </cell>
        </row>
        <row r="1197">
          <cell r="C1197">
            <v>425110</v>
          </cell>
        </row>
        <row r="1198">
          <cell r="C1198">
            <v>425110</v>
          </cell>
        </row>
        <row r="1199">
          <cell r="C1199">
            <v>425110</v>
          </cell>
        </row>
        <row r="1200">
          <cell r="C1200">
            <v>425110</v>
          </cell>
        </row>
        <row r="1201">
          <cell r="C1201">
            <v>425110</v>
          </cell>
        </row>
        <row r="1202">
          <cell r="C1202">
            <v>425110</v>
          </cell>
        </row>
        <row r="1203">
          <cell r="C1203">
            <v>425110</v>
          </cell>
        </row>
        <row r="1204">
          <cell r="C1204">
            <v>425110</v>
          </cell>
        </row>
        <row r="1205">
          <cell r="C1205">
            <v>425110</v>
          </cell>
        </row>
        <row r="1206">
          <cell r="C1206">
            <v>425110</v>
          </cell>
        </row>
        <row r="1207">
          <cell r="C1207">
            <v>425110</v>
          </cell>
        </row>
        <row r="1208">
          <cell r="C1208">
            <v>425110</v>
          </cell>
        </row>
        <row r="1209">
          <cell r="C1209">
            <v>425110</v>
          </cell>
        </row>
        <row r="1210">
          <cell r="C1210">
            <v>425110</v>
          </cell>
        </row>
        <row r="1211">
          <cell r="C1211">
            <v>425110</v>
          </cell>
        </row>
        <row r="1212">
          <cell r="C1212">
            <v>425110</v>
          </cell>
        </row>
        <row r="1213">
          <cell r="C1213">
            <v>425110</v>
          </cell>
        </row>
        <row r="1214">
          <cell r="C1214">
            <v>425110</v>
          </cell>
        </row>
        <row r="1215">
          <cell r="C1215">
            <v>425110</v>
          </cell>
        </row>
        <row r="1216">
          <cell r="C1216">
            <v>425110</v>
          </cell>
        </row>
        <row r="1217">
          <cell r="C1217">
            <v>425110</v>
          </cell>
        </row>
        <row r="1218">
          <cell r="C1218">
            <v>425110</v>
          </cell>
        </row>
        <row r="1219">
          <cell r="C1219">
            <v>425110</v>
          </cell>
        </row>
        <row r="1220">
          <cell r="C1220">
            <v>425110</v>
          </cell>
        </row>
        <row r="1221">
          <cell r="C1221">
            <v>425110</v>
          </cell>
        </row>
        <row r="1222">
          <cell r="C1222">
            <v>425110</v>
          </cell>
        </row>
        <row r="1223">
          <cell r="C1223">
            <v>425110</v>
          </cell>
        </row>
        <row r="1224">
          <cell r="C1224">
            <v>425110</v>
          </cell>
        </row>
        <row r="1225">
          <cell r="C1225">
            <v>425110</v>
          </cell>
        </row>
        <row r="1226">
          <cell r="C1226">
            <v>425110</v>
          </cell>
        </row>
        <row r="1227">
          <cell r="C1227">
            <v>425110</v>
          </cell>
        </row>
        <row r="1228">
          <cell r="C1228">
            <v>425110</v>
          </cell>
        </row>
        <row r="1229">
          <cell r="C1229">
            <v>425110</v>
          </cell>
        </row>
        <row r="1230">
          <cell r="C1230">
            <v>425110</v>
          </cell>
        </row>
        <row r="1231">
          <cell r="C1231">
            <v>425110</v>
          </cell>
        </row>
        <row r="1232">
          <cell r="C1232">
            <v>425110</v>
          </cell>
        </row>
        <row r="1233">
          <cell r="C1233">
            <v>425110</v>
          </cell>
        </row>
        <row r="1234">
          <cell r="C1234">
            <v>425110</v>
          </cell>
        </row>
        <row r="1235">
          <cell r="C1235">
            <v>425110</v>
          </cell>
        </row>
        <row r="1236">
          <cell r="C1236">
            <v>425110</v>
          </cell>
        </row>
        <row r="1237">
          <cell r="C1237">
            <v>425110</v>
          </cell>
        </row>
        <row r="1238">
          <cell r="C1238">
            <v>425110</v>
          </cell>
        </row>
        <row r="1239">
          <cell r="C1239">
            <v>425110</v>
          </cell>
        </row>
        <row r="1240">
          <cell r="C1240">
            <v>425110</v>
          </cell>
        </row>
        <row r="1241">
          <cell r="C1241">
            <v>425110</v>
          </cell>
        </row>
        <row r="1242">
          <cell r="C1242">
            <v>425110</v>
          </cell>
        </row>
        <row r="1243">
          <cell r="C1243">
            <v>425110</v>
          </cell>
        </row>
        <row r="1244">
          <cell r="C1244">
            <v>425110</v>
          </cell>
        </row>
        <row r="1245">
          <cell r="C1245">
            <v>425110</v>
          </cell>
        </row>
        <row r="1246">
          <cell r="C1246">
            <v>425110</v>
          </cell>
        </row>
        <row r="1247">
          <cell r="C1247">
            <v>425110</v>
          </cell>
        </row>
        <row r="1248">
          <cell r="C1248">
            <v>425110</v>
          </cell>
        </row>
        <row r="1249">
          <cell r="C1249">
            <v>425110</v>
          </cell>
        </row>
        <row r="1250">
          <cell r="C1250">
            <v>425110</v>
          </cell>
        </row>
        <row r="1251">
          <cell r="C1251">
            <v>425110</v>
          </cell>
        </row>
        <row r="1252">
          <cell r="C1252">
            <v>425110</v>
          </cell>
        </row>
        <row r="1253">
          <cell r="C1253">
            <v>425120</v>
          </cell>
        </row>
        <row r="1254">
          <cell r="C1254">
            <v>425120</v>
          </cell>
        </row>
        <row r="1255">
          <cell r="C1255">
            <v>425120</v>
          </cell>
        </row>
        <row r="1256">
          <cell r="C1256">
            <v>425120</v>
          </cell>
        </row>
        <row r="1257">
          <cell r="C1257">
            <v>425120</v>
          </cell>
        </row>
        <row r="1258">
          <cell r="C1258">
            <v>425120</v>
          </cell>
        </row>
        <row r="1259">
          <cell r="C1259">
            <v>425120</v>
          </cell>
        </row>
        <row r="1260">
          <cell r="C1260">
            <v>425120</v>
          </cell>
        </row>
        <row r="1261">
          <cell r="C1261">
            <v>425120</v>
          </cell>
        </row>
        <row r="1262">
          <cell r="C1262">
            <v>425120</v>
          </cell>
        </row>
        <row r="1263">
          <cell r="C1263">
            <v>425120</v>
          </cell>
        </row>
        <row r="1264">
          <cell r="C1264">
            <v>425120</v>
          </cell>
        </row>
        <row r="1265">
          <cell r="C1265">
            <v>425120</v>
          </cell>
        </row>
        <row r="1266">
          <cell r="C1266">
            <v>425120</v>
          </cell>
        </row>
        <row r="1267">
          <cell r="C1267">
            <v>425120</v>
          </cell>
        </row>
        <row r="1268">
          <cell r="C1268">
            <v>425120</v>
          </cell>
        </row>
        <row r="1269">
          <cell r="C1269">
            <v>425120</v>
          </cell>
        </row>
        <row r="1270">
          <cell r="C1270">
            <v>425120</v>
          </cell>
        </row>
        <row r="1271">
          <cell r="C1271">
            <v>425120</v>
          </cell>
        </row>
        <row r="1272">
          <cell r="C1272">
            <v>425120</v>
          </cell>
        </row>
        <row r="1273">
          <cell r="C1273">
            <v>425120</v>
          </cell>
        </row>
        <row r="1274">
          <cell r="C1274">
            <v>425120</v>
          </cell>
        </row>
        <row r="1275">
          <cell r="C1275">
            <v>425120</v>
          </cell>
        </row>
        <row r="1276">
          <cell r="C1276">
            <v>425120</v>
          </cell>
        </row>
        <row r="1277">
          <cell r="C1277">
            <v>425120</v>
          </cell>
        </row>
        <row r="1278">
          <cell r="C1278">
            <v>425120</v>
          </cell>
        </row>
        <row r="1279">
          <cell r="C1279">
            <v>425120</v>
          </cell>
        </row>
        <row r="1280">
          <cell r="C1280">
            <v>425120</v>
          </cell>
        </row>
        <row r="1281">
          <cell r="C1281">
            <v>425120</v>
          </cell>
        </row>
        <row r="1282">
          <cell r="C1282">
            <v>425120</v>
          </cell>
        </row>
        <row r="1283">
          <cell r="C1283">
            <v>425120</v>
          </cell>
        </row>
        <row r="1284">
          <cell r="C1284">
            <v>425120</v>
          </cell>
        </row>
        <row r="1285">
          <cell r="C1285">
            <v>425120</v>
          </cell>
        </row>
        <row r="1286">
          <cell r="C1286">
            <v>425120</v>
          </cell>
        </row>
        <row r="1287">
          <cell r="C1287">
            <v>425120</v>
          </cell>
        </row>
        <row r="1288">
          <cell r="C1288">
            <v>425120</v>
          </cell>
        </row>
        <row r="1289">
          <cell r="C1289">
            <v>425120</v>
          </cell>
        </row>
        <row r="1290">
          <cell r="C1290">
            <v>425120</v>
          </cell>
        </row>
        <row r="1291">
          <cell r="C1291">
            <v>425120</v>
          </cell>
        </row>
        <row r="1292">
          <cell r="C1292">
            <v>425120</v>
          </cell>
        </row>
        <row r="1293">
          <cell r="C1293">
            <v>425120</v>
          </cell>
        </row>
        <row r="1294">
          <cell r="C1294">
            <v>425120</v>
          </cell>
        </row>
        <row r="1295">
          <cell r="C1295">
            <v>425120</v>
          </cell>
        </row>
        <row r="1296">
          <cell r="C1296">
            <v>425120</v>
          </cell>
        </row>
        <row r="1297">
          <cell r="C1297">
            <v>425120</v>
          </cell>
        </row>
        <row r="1298">
          <cell r="C1298">
            <v>425120</v>
          </cell>
        </row>
        <row r="1299">
          <cell r="C1299">
            <v>425120</v>
          </cell>
        </row>
        <row r="1300">
          <cell r="C1300">
            <v>425120</v>
          </cell>
        </row>
        <row r="1301">
          <cell r="C1301">
            <v>425120</v>
          </cell>
        </row>
        <row r="1302">
          <cell r="C1302">
            <v>425120</v>
          </cell>
        </row>
        <row r="1303">
          <cell r="C1303">
            <v>425120</v>
          </cell>
        </row>
        <row r="1304">
          <cell r="C1304">
            <v>425120</v>
          </cell>
        </row>
        <row r="1305">
          <cell r="C1305">
            <v>425120</v>
          </cell>
        </row>
        <row r="1306">
          <cell r="C1306">
            <v>425120</v>
          </cell>
        </row>
        <row r="1307">
          <cell r="C1307">
            <v>425120</v>
          </cell>
        </row>
        <row r="1308">
          <cell r="C1308">
            <v>425120</v>
          </cell>
        </row>
        <row r="1309">
          <cell r="C1309">
            <v>425120</v>
          </cell>
        </row>
        <row r="1310">
          <cell r="C1310">
            <v>425120</v>
          </cell>
        </row>
        <row r="1311">
          <cell r="C1311">
            <v>425120</v>
          </cell>
        </row>
        <row r="1312">
          <cell r="C1312">
            <v>425120</v>
          </cell>
        </row>
        <row r="1313">
          <cell r="C1313">
            <v>425120</v>
          </cell>
        </row>
        <row r="1314">
          <cell r="C1314">
            <v>425120</v>
          </cell>
        </row>
        <row r="1315">
          <cell r="C1315">
            <v>425120</v>
          </cell>
        </row>
        <row r="1316">
          <cell r="C1316">
            <v>425120</v>
          </cell>
        </row>
        <row r="1317">
          <cell r="C1317">
            <v>425120</v>
          </cell>
        </row>
        <row r="1318">
          <cell r="C1318">
            <v>425120</v>
          </cell>
        </row>
        <row r="1319">
          <cell r="C1319">
            <v>425120</v>
          </cell>
        </row>
        <row r="1320">
          <cell r="C1320">
            <v>425120</v>
          </cell>
        </row>
        <row r="1321">
          <cell r="C1321">
            <v>425120</v>
          </cell>
        </row>
        <row r="1322">
          <cell r="C1322">
            <v>441110</v>
          </cell>
        </row>
        <row r="1323">
          <cell r="C1323">
            <v>441120</v>
          </cell>
        </row>
        <row r="1324">
          <cell r="C1324">
            <v>441210</v>
          </cell>
        </row>
        <row r="1325">
          <cell r="C1325">
            <v>441222</v>
          </cell>
        </row>
        <row r="1326">
          <cell r="C1326">
            <v>441228</v>
          </cell>
        </row>
        <row r="1327">
          <cell r="C1327">
            <v>441228</v>
          </cell>
        </row>
        <row r="1328">
          <cell r="C1328">
            <v>441310</v>
          </cell>
        </row>
        <row r="1329">
          <cell r="C1329">
            <v>441310</v>
          </cell>
        </row>
        <row r="1330">
          <cell r="C1330">
            <v>441310</v>
          </cell>
        </row>
        <row r="1331">
          <cell r="C1331">
            <v>441310</v>
          </cell>
        </row>
        <row r="1332">
          <cell r="C1332">
            <v>441320</v>
          </cell>
        </row>
        <row r="1333">
          <cell r="C1333">
            <v>441320</v>
          </cell>
        </row>
        <row r="1334">
          <cell r="C1334">
            <v>442110</v>
          </cell>
        </row>
        <row r="1335">
          <cell r="C1335">
            <v>442110</v>
          </cell>
        </row>
        <row r="1336">
          <cell r="C1336">
            <v>442210</v>
          </cell>
        </row>
        <row r="1337">
          <cell r="C1337">
            <v>442210</v>
          </cell>
        </row>
        <row r="1338">
          <cell r="C1338">
            <v>442291</v>
          </cell>
        </row>
        <row r="1339">
          <cell r="C1339">
            <v>442291</v>
          </cell>
        </row>
        <row r="1340">
          <cell r="C1340">
            <v>442299</v>
          </cell>
        </row>
        <row r="1341">
          <cell r="C1341">
            <v>442299</v>
          </cell>
        </row>
        <row r="1342">
          <cell r="C1342">
            <v>443141</v>
          </cell>
        </row>
        <row r="1343">
          <cell r="C1343">
            <v>443141</v>
          </cell>
        </row>
        <row r="1344">
          <cell r="C1344">
            <v>443141</v>
          </cell>
        </row>
        <row r="1345">
          <cell r="C1345">
            <v>443141</v>
          </cell>
        </row>
        <row r="1346">
          <cell r="C1346">
            <v>443142</v>
          </cell>
        </row>
        <row r="1347">
          <cell r="C1347">
            <v>443142</v>
          </cell>
        </row>
        <row r="1348">
          <cell r="C1348">
            <v>443142</v>
          </cell>
        </row>
        <row r="1349">
          <cell r="C1349">
            <v>443142</v>
          </cell>
        </row>
        <row r="1350">
          <cell r="C1350">
            <v>443142</v>
          </cell>
        </row>
        <row r="1351">
          <cell r="C1351">
            <v>443142</v>
          </cell>
        </row>
        <row r="1352">
          <cell r="C1352">
            <v>443142</v>
          </cell>
        </row>
        <row r="1353">
          <cell r="C1353">
            <v>443142</v>
          </cell>
        </row>
        <row r="1354">
          <cell r="C1354">
            <v>443142</v>
          </cell>
        </row>
        <row r="1355">
          <cell r="C1355">
            <v>443142</v>
          </cell>
        </row>
        <row r="1356">
          <cell r="C1356">
            <v>443142</v>
          </cell>
        </row>
        <row r="1357">
          <cell r="C1357">
            <v>444110</v>
          </cell>
        </row>
        <row r="1358">
          <cell r="C1358">
            <v>444110</v>
          </cell>
        </row>
        <row r="1359">
          <cell r="C1359">
            <v>444120</v>
          </cell>
        </row>
        <row r="1360">
          <cell r="C1360">
            <v>444130</v>
          </cell>
        </row>
        <row r="1361">
          <cell r="C1361">
            <v>444130</v>
          </cell>
        </row>
        <row r="1362">
          <cell r="C1362">
            <v>444130</v>
          </cell>
        </row>
        <row r="1363">
          <cell r="C1363">
            <v>444190</v>
          </cell>
        </row>
        <row r="1364">
          <cell r="C1364">
            <v>444190</v>
          </cell>
        </row>
        <row r="1365">
          <cell r="C1365">
            <v>444190</v>
          </cell>
        </row>
        <row r="1366">
          <cell r="C1366">
            <v>444190</v>
          </cell>
        </row>
        <row r="1367">
          <cell r="C1367">
            <v>444190</v>
          </cell>
        </row>
        <row r="1368">
          <cell r="C1368">
            <v>444190</v>
          </cell>
        </row>
        <row r="1369">
          <cell r="C1369">
            <v>444190</v>
          </cell>
        </row>
        <row r="1370">
          <cell r="C1370">
            <v>444190</v>
          </cell>
        </row>
        <row r="1371">
          <cell r="C1371">
            <v>444190</v>
          </cell>
        </row>
        <row r="1372">
          <cell r="C1372">
            <v>444210</v>
          </cell>
        </row>
        <row r="1373">
          <cell r="C1373">
            <v>444210</v>
          </cell>
        </row>
        <row r="1374">
          <cell r="C1374">
            <v>444210</v>
          </cell>
        </row>
        <row r="1375">
          <cell r="C1375">
            <v>444220</v>
          </cell>
        </row>
        <row r="1376">
          <cell r="C1376">
            <v>444220</v>
          </cell>
        </row>
        <row r="1377">
          <cell r="C1377">
            <v>444220</v>
          </cell>
        </row>
        <row r="1378">
          <cell r="C1378">
            <v>444220</v>
          </cell>
        </row>
        <row r="1379">
          <cell r="C1379">
            <v>444220</v>
          </cell>
        </row>
        <row r="1380">
          <cell r="C1380">
            <v>445110</v>
          </cell>
        </row>
        <row r="1381">
          <cell r="C1381">
            <v>445110</v>
          </cell>
        </row>
        <row r="1382">
          <cell r="C1382">
            <v>445120</v>
          </cell>
        </row>
        <row r="1383">
          <cell r="C1383">
            <v>445210</v>
          </cell>
        </row>
        <row r="1384">
          <cell r="C1384">
            <v>445210</v>
          </cell>
        </row>
        <row r="1385">
          <cell r="C1385">
            <v>445210</v>
          </cell>
        </row>
        <row r="1386">
          <cell r="C1386">
            <v>445210</v>
          </cell>
        </row>
        <row r="1387">
          <cell r="C1387">
            <v>445220</v>
          </cell>
        </row>
        <row r="1388">
          <cell r="C1388">
            <v>445220</v>
          </cell>
        </row>
        <row r="1389">
          <cell r="C1389">
            <v>445230</v>
          </cell>
        </row>
        <row r="1390">
          <cell r="C1390">
            <v>445230</v>
          </cell>
        </row>
        <row r="1391">
          <cell r="C1391">
            <v>445291</v>
          </cell>
        </row>
        <row r="1392">
          <cell r="C1392">
            <v>445292</v>
          </cell>
        </row>
        <row r="1393">
          <cell r="C1393">
            <v>445292</v>
          </cell>
        </row>
        <row r="1394">
          <cell r="C1394">
            <v>445299</v>
          </cell>
        </row>
        <row r="1395">
          <cell r="C1395">
            <v>445299</v>
          </cell>
        </row>
        <row r="1396">
          <cell r="C1396">
            <v>445299</v>
          </cell>
        </row>
        <row r="1397">
          <cell r="C1397">
            <v>445299</v>
          </cell>
        </row>
        <row r="1398">
          <cell r="C1398">
            <v>445310</v>
          </cell>
        </row>
        <row r="1399">
          <cell r="C1399">
            <v>445310</v>
          </cell>
        </row>
        <row r="1400">
          <cell r="C1400">
            <v>445310</v>
          </cell>
        </row>
        <row r="1401">
          <cell r="C1401">
            <v>446110</v>
          </cell>
        </row>
        <row r="1402">
          <cell r="C1402">
            <v>446110</v>
          </cell>
        </row>
        <row r="1403">
          <cell r="C1403">
            <v>446120</v>
          </cell>
        </row>
        <row r="1404">
          <cell r="C1404">
            <v>446120</v>
          </cell>
        </row>
        <row r="1405">
          <cell r="C1405">
            <v>446120</v>
          </cell>
        </row>
        <row r="1406">
          <cell r="C1406">
            <v>446130</v>
          </cell>
        </row>
        <row r="1407">
          <cell r="C1407">
            <v>446191</v>
          </cell>
        </row>
        <row r="1408">
          <cell r="C1408">
            <v>446191</v>
          </cell>
        </row>
        <row r="1409">
          <cell r="C1409">
            <v>446199</v>
          </cell>
        </row>
        <row r="1410">
          <cell r="C1410">
            <v>446199</v>
          </cell>
        </row>
        <row r="1411">
          <cell r="C1411">
            <v>447110</v>
          </cell>
        </row>
        <row r="1412">
          <cell r="C1412">
            <v>447110</v>
          </cell>
        </row>
        <row r="1413">
          <cell r="C1413">
            <v>447190</v>
          </cell>
        </row>
        <row r="1414">
          <cell r="C1414">
            <v>448110</v>
          </cell>
        </row>
        <row r="1415">
          <cell r="C1415">
            <v>448110</v>
          </cell>
        </row>
        <row r="1416">
          <cell r="C1416">
            <v>448120</v>
          </cell>
        </row>
        <row r="1417">
          <cell r="C1417">
            <v>448120</v>
          </cell>
        </row>
        <row r="1418">
          <cell r="C1418">
            <v>448130</v>
          </cell>
        </row>
        <row r="1419">
          <cell r="C1419">
            <v>448130</v>
          </cell>
        </row>
        <row r="1420">
          <cell r="C1420">
            <v>448140</v>
          </cell>
        </row>
        <row r="1421">
          <cell r="C1421">
            <v>448150</v>
          </cell>
        </row>
        <row r="1422">
          <cell r="C1422">
            <v>448150</v>
          </cell>
        </row>
        <row r="1423">
          <cell r="C1423">
            <v>448150</v>
          </cell>
        </row>
        <row r="1424">
          <cell r="C1424">
            <v>448190</v>
          </cell>
        </row>
        <row r="1425">
          <cell r="C1425">
            <v>448190</v>
          </cell>
        </row>
        <row r="1426">
          <cell r="C1426">
            <v>448190</v>
          </cell>
        </row>
        <row r="1427">
          <cell r="C1427">
            <v>448190</v>
          </cell>
        </row>
        <row r="1428">
          <cell r="C1428">
            <v>448190</v>
          </cell>
        </row>
        <row r="1429">
          <cell r="C1429">
            <v>448210</v>
          </cell>
        </row>
        <row r="1430">
          <cell r="C1430">
            <v>448210</v>
          </cell>
        </row>
        <row r="1431">
          <cell r="C1431">
            <v>448310</v>
          </cell>
        </row>
        <row r="1432">
          <cell r="C1432">
            <v>448310</v>
          </cell>
        </row>
        <row r="1433">
          <cell r="C1433">
            <v>448310</v>
          </cell>
        </row>
        <row r="1434">
          <cell r="C1434">
            <v>448320</v>
          </cell>
        </row>
        <row r="1435">
          <cell r="C1435">
            <v>451110</v>
          </cell>
        </row>
        <row r="1436">
          <cell r="C1436">
            <v>451110</v>
          </cell>
        </row>
        <row r="1437">
          <cell r="C1437">
            <v>451110</v>
          </cell>
        </row>
        <row r="1438">
          <cell r="C1438">
            <v>451110</v>
          </cell>
        </row>
        <row r="1439">
          <cell r="C1439">
            <v>451120</v>
          </cell>
        </row>
        <row r="1440">
          <cell r="C1440">
            <v>451120</v>
          </cell>
        </row>
        <row r="1441">
          <cell r="C1441">
            <v>451120</v>
          </cell>
        </row>
        <row r="1442">
          <cell r="C1442">
            <v>451130</v>
          </cell>
        </row>
        <row r="1443">
          <cell r="C1443">
            <v>451130</v>
          </cell>
        </row>
        <row r="1444">
          <cell r="C1444">
            <v>451130</v>
          </cell>
        </row>
        <row r="1445">
          <cell r="C1445">
            <v>451140</v>
          </cell>
        </row>
        <row r="1446">
          <cell r="C1446">
            <v>451211</v>
          </cell>
        </row>
        <row r="1447">
          <cell r="C1447">
            <v>451211</v>
          </cell>
        </row>
        <row r="1448">
          <cell r="C1448">
            <v>451212</v>
          </cell>
        </row>
        <row r="1449">
          <cell r="C1449">
            <v>452210</v>
          </cell>
        </row>
        <row r="1450">
          <cell r="C1450">
            <v>452311</v>
          </cell>
        </row>
        <row r="1451">
          <cell r="C1451">
            <v>452311</v>
          </cell>
        </row>
        <row r="1452">
          <cell r="C1452">
            <v>452311</v>
          </cell>
        </row>
        <row r="1453">
          <cell r="C1453">
            <v>452319</v>
          </cell>
        </row>
        <row r="1454">
          <cell r="C1454">
            <v>452319</v>
          </cell>
        </row>
        <row r="1455">
          <cell r="C1455">
            <v>452319</v>
          </cell>
        </row>
        <row r="1456">
          <cell r="C1456">
            <v>453110</v>
          </cell>
        </row>
        <row r="1457">
          <cell r="C1457">
            <v>453210</v>
          </cell>
        </row>
        <row r="1458">
          <cell r="C1458">
            <v>453210</v>
          </cell>
        </row>
        <row r="1459">
          <cell r="C1459">
            <v>453210</v>
          </cell>
        </row>
        <row r="1460">
          <cell r="C1460">
            <v>453210</v>
          </cell>
        </row>
        <row r="1461">
          <cell r="C1461">
            <v>453210</v>
          </cell>
        </row>
        <row r="1462">
          <cell r="C1462">
            <v>453220</v>
          </cell>
        </row>
        <row r="1463">
          <cell r="C1463">
            <v>453220</v>
          </cell>
        </row>
        <row r="1464">
          <cell r="C1464">
            <v>453310</v>
          </cell>
        </row>
        <row r="1465">
          <cell r="C1465">
            <v>453910</v>
          </cell>
        </row>
        <row r="1466">
          <cell r="C1466">
            <v>453910</v>
          </cell>
        </row>
        <row r="1467">
          <cell r="C1467">
            <v>453910</v>
          </cell>
        </row>
        <row r="1468">
          <cell r="C1468">
            <v>453920</v>
          </cell>
        </row>
        <row r="1469">
          <cell r="C1469">
            <v>453930</v>
          </cell>
        </row>
        <row r="1470">
          <cell r="C1470">
            <v>453991</v>
          </cell>
        </row>
        <row r="1471">
          <cell r="C1471">
            <v>453991</v>
          </cell>
        </row>
        <row r="1472">
          <cell r="C1472">
            <v>453991</v>
          </cell>
        </row>
        <row r="1473">
          <cell r="C1473">
            <v>453998</v>
          </cell>
        </row>
        <row r="1474">
          <cell r="C1474">
            <v>453998</v>
          </cell>
        </row>
        <row r="1475">
          <cell r="C1475">
            <v>453998</v>
          </cell>
        </row>
        <row r="1476">
          <cell r="C1476">
            <v>453998</v>
          </cell>
        </row>
        <row r="1477">
          <cell r="C1477">
            <v>454110</v>
          </cell>
        </row>
        <row r="1478">
          <cell r="C1478">
            <v>454210</v>
          </cell>
        </row>
        <row r="1479">
          <cell r="C1479">
            <v>454310</v>
          </cell>
        </row>
        <row r="1480">
          <cell r="C1480">
            <v>454310</v>
          </cell>
        </row>
        <row r="1481">
          <cell r="C1481">
            <v>454310</v>
          </cell>
        </row>
        <row r="1482">
          <cell r="C1482">
            <v>454310</v>
          </cell>
        </row>
        <row r="1483">
          <cell r="C1483">
            <v>454390</v>
          </cell>
        </row>
        <row r="1484">
          <cell r="C1484">
            <v>454390</v>
          </cell>
        </row>
        <row r="1485">
          <cell r="C1485">
            <v>454390</v>
          </cell>
        </row>
        <row r="1486">
          <cell r="C1486">
            <v>454390</v>
          </cell>
        </row>
        <row r="1487">
          <cell r="C1487">
            <v>454390</v>
          </cell>
        </row>
        <row r="1488">
          <cell r="C1488">
            <v>481111</v>
          </cell>
        </row>
        <row r="1489">
          <cell r="C1489">
            <v>481112</v>
          </cell>
        </row>
        <row r="1490">
          <cell r="C1490">
            <v>481211</v>
          </cell>
        </row>
        <row r="1491">
          <cell r="C1491">
            <v>481212</v>
          </cell>
        </row>
        <row r="1492">
          <cell r="C1492">
            <v>481219</v>
          </cell>
        </row>
        <row r="1493">
          <cell r="C1493">
            <v>481219</v>
          </cell>
        </row>
        <row r="1494">
          <cell r="C1494">
            <v>481219</v>
          </cell>
        </row>
        <row r="1495">
          <cell r="C1495">
            <v>481219</v>
          </cell>
        </row>
        <row r="1496">
          <cell r="C1496">
            <v>482111</v>
          </cell>
        </row>
        <row r="1497">
          <cell r="C1497">
            <v>482112</v>
          </cell>
        </row>
        <row r="1498">
          <cell r="C1498">
            <v>483111</v>
          </cell>
        </row>
        <row r="1499">
          <cell r="C1499">
            <v>483112</v>
          </cell>
        </row>
        <row r="1500">
          <cell r="C1500">
            <v>483113</v>
          </cell>
        </row>
        <row r="1501">
          <cell r="C1501">
            <v>483113</v>
          </cell>
        </row>
        <row r="1502">
          <cell r="C1502">
            <v>483114</v>
          </cell>
        </row>
        <row r="1503">
          <cell r="C1503">
            <v>483114</v>
          </cell>
        </row>
        <row r="1504">
          <cell r="C1504">
            <v>483211</v>
          </cell>
        </row>
        <row r="1505">
          <cell r="C1505">
            <v>483211</v>
          </cell>
        </row>
        <row r="1506">
          <cell r="C1506">
            <v>483212</v>
          </cell>
        </row>
        <row r="1507">
          <cell r="C1507">
            <v>483212</v>
          </cell>
        </row>
        <row r="1508">
          <cell r="C1508">
            <v>484110</v>
          </cell>
        </row>
        <row r="1509">
          <cell r="C1509">
            <v>484110</v>
          </cell>
        </row>
        <row r="1510">
          <cell r="C1510">
            <v>484121</v>
          </cell>
        </row>
        <row r="1511">
          <cell r="C1511">
            <v>484122</v>
          </cell>
        </row>
        <row r="1512">
          <cell r="C1512">
            <v>484210</v>
          </cell>
        </row>
        <row r="1513">
          <cell r="C1513">
            <v>484210</v>
          </cell>
        </row>
        <row r="1514">
          <cell r="C1514">
            <v>484210</v>
          </cell>
        </row>
        <row r="1515">
          <cell r="C1515">
            <v>484220</v>
          </cell>
        </row>
        <row r="1516">
          <cell r="C1516">
            <v>484220</v>
          </cell>
        </row>
        <row r="1517">
          <cell r="C1517">
            <v>484230</v>
          </cell>
        </row>
        <row r="1518">
          <cell r="C1518">
            <v>485111</v>
          </cell>
        </row>
        <row r="1519">
          <cell r="C1519">
            <v>485112</v>
          </cell>
        </row>
        <row r="1520">
          <cell r="C1520">
            <v>485113</v>
          </cell>
        </row>
        <row r="1521">
          <cell r="C1521">
            <v>485119</v>
          </cell>
        </row>
        <row r="1522">
          <cell r="C1522">
            <v>485210</v>
          </cell>
        </row>
        <row r="1523">
          <cell r="C1523">
            <v>485310</v>
          </cell>
        </row>
        <row r="1524">
          <cell r="C1524">
            <v>485310</v>
          </cell>
        </row>
        <row r="1525">
          <cell r="C1525">
            <v>485320</v>
          </cell>
        </row>
        <row r="1526">
          <cell r="C1526">
            <v>485410</v>
          </cell>
        </row>
        <row r="1527">
          <cell r="C1527">
            <v>485410</v>
          </cell>
        </row>
        <row r="1528">
          <cell r="C1528">
            <v>485510</v>
          </cell>
        </row>
        <row r="1529">
          <cell r="C1529">
            <v>485510</v>
          </cell>
        </row>
        <row r="1530">
          <cell r="C1530">
            <v>485991</v>
          </cell>
        </row>
        <row r="1531">
          <cell r="C1531">
            <v>485999</v>
          </cell>
        </row>
        <row r="1532">
          <cell r="C1532">
            <v>485999</v>
          </cell>
        </row>
        <row r="1533">
          <cell r="C1533">
            <v>486110</v>
          </cell>
        </row>
        <row r="1534">
          <cell r="C1534">
            <v>486210</v>
          </cell>
        </row>
        <row r="1535">
          <cell r="C1535">
            <v>486210</v>
          </cell>
        </row>
        <row r="1536">
          <cell r="C1536">
            <v>486910</v>
          </cell>
        </row>
        <row r="1537">
          <cell r="C1537">
            <v>486990</v>
          </cell>
        </row>
        <row r="1538">
          <cell r="C1538">
            <v>487110</v>
          </cell>
        </row>
        <row r="1539">
          <cell r="C1539">
            <v>487110</v>
          </cell>
        </row>
        <row r="1540">
          <cell r="C1540">
            <v>487110</v>
          </cell>
        </row>
        <row r="1541">
          <cell r="C1541">
            <v>487210</v>
          </cell>
        </row>
        <row r="1542">
          <cell r="C1542">
            <v>487210</v>
          </cell>
        </row>
        <row r="1543">
          <cell r="C1543">
            <v>487990</v>
          </cell>
        </row>
        <row r="1544">
          <cell r="C1544">
            <v>487990</v>
          </cell>
        </row>
        <row r="1545">
          <cell r="C1545">
            <v>488111</v>
          </cell>
        </row>
        <row r="1546">
          <cell r="C1546">
            <v>488111</v>
          </cell>
        </row>
        <row r="1547">
          <cell r="C1547">
            <v>488119</v>
          </cell>
        </row>
        <row r="1548">
          <cell r="C1548">
            <v>488119</v>
          </cell>
        </row>
        <row r="1549">
          <cell r="C1549">
            <v>488119</v>
          </cell>
        </row>
        <row r="1550">
          <cell r="C1550">
            <v>488190</v>
          </cell>
        </row>
        <row r="1551">
          <cell r="C1551">
            <v>488210</v>
          </cell>
        </row>
        <row r="1552">
          <cell r="C1552">
            <v>488210</v>
          </cell>
        </row>
        <row r="1553">
          <cell r="C1553">
            <v>488210</v>
          </cell>
        </row>
        <row r="1554">
          <cell r="C1554">
            <v>488310</v>
          </cell>
        </row>
        <row r="1555">
          <cell r="C1555">
            <v>488310</v>
          </cell>
        </row>
        <row r="1556">
          <cell r="C1556">
            <v>488320</v>
          </cell>
        </row>
        <row r="1557">
          <cell r="C1557">
            <v>488330</v>
          </cell>
        </row>
        <row r="1558">
          <cell r="C1558">
            <v>488330</v>
          </cell>
        </row>
        <row r="1559">
          <cell r="C1559">
            <v>488390</v>
          </cell>
        </row>
        <row r="1560">
          <cell r="C1560">
            <v>488390</v>
          </cell>
        </row>
        <row r="1561">
          <cell r="C1561">
            <v>488390</v>
          </cell>
        </row>
        <row r="1562">
          <cell r="C1562">
            <v>488390</v>
          </cell>
        </row>
        <row r="1563">
          <cell r="C1563">
            <v>488410</v>
          </cell>
        </row>
        <row r="1564">
          <cell r="C1564">
            <v>488490</v>
          </cell>
        </row>
        <row r="1565">
          <cell r="C1565">
            <v>488490</v>
          </cell>
        </row>
        <row r="1566">
          <cell r="C1566">
            <v>488490</v>
          </cell>
        </row>
        <row r="1567">
          <cell r="C1567">
            <v>488490</v>
          </cell>
        </row>
        <row r="1568">
          <cell r="C1568">
            <v>488490</v>
          </cell>
        </row>
        <row r="1569">
          <cell r="C1569">
            <v>488510</v>
          </cell>
        </row>
        <row r="1570">
          <cell r="C1570">
            <v>488991</v>
          </cell>
        </row>
        <row r="1571">
          <cell r="C1571">
            <v>488999</v>
          </cell>
        </row>
        <row r="1572">
          <cell r="C1572">
            <v>488999</v>
          </cell>
        </row>
        <row r="1573">
          <cell r="C1573">
            <v>491110</v>
          </cell>
        </row>
        <row r="1574">
          <cell r="C1574">
            <v>491110</v>
          </cell>
        </row>
        <row r="1575">
          <cell r="C1575">
            <v>492110</v>
          </cell>
        </row>
        <row r="1576">
          <cell r="C1576">
            <v>492110</v>
          </cell>
        </row>
        <row r="1577">
          <cell r="C1577">
            <v>492210</v>
          </cell>
        </row>
        <row r="1578">
          <cell r="C1578">
            <v>493110</v>
          </cell>
        </row>
        <row r="1579">
          <cell r="C1579">
            <v>493110</v>
          </cell>
        </row>
        <row r="1580">
          <cell r="C1580">
            <v>493120</v>
          </cell>
        </row>
        <row r="1581">
          <cell r="C1581">
            <v>493120</v>
          </cell>
        </row>
        <row r="1582">
          <cell r="C1582">
            <v>493130</v>
          </cell>
        </row>
        <row r="1583">
          <cell r="C1583">
            <v>493190</v>
          </cell>
        </row>
        <row r="1584">
          <cell r="C1584">
            <v>511110</v>
          </cell>
        </row>
        <row r="1585">
          <cell r="C1585">
            <v>511120</v>
          </cell>
        </row>
        <row r="1586">
          <cell r="C1586">
            <v>511120</v>
          </cell>
        </row>
        <row r="1587">
          <cell r="C1587">
            <v>511130</v>
          </cell>
        </row>
        <row r="1588">
          <cell r="C1588">
            <v>511130</v>
          </cell>
        </row>
        <row r="1589">
          <cell r="C1589">
            <v>511140</v>
          </cell>
        </row>
        <row r="1590">
          <cell r="C1590">
            <v>511140</v>
          </cell>
        </row>
        <row r="1591">
          <cell r="C1591">
            <v>511191</v>
          </cell>
        </row>
        <row r="1592">
          <cell r="C1592">
            <v>511199</v>
          </cell>
        </row>
        <row r="1593">
          <cell r="C1593">
            <v>511210</v>
          </cell>
        </row>
        <row r="1594">
          <cell r="C1594">
            <v>512110</v>
          </cell>
        </row>
        <row r="1595">
          <cell r="C1595">
            <v>512120</v>
          </cell>
        </row>
        <row r="1596">
          <cell r="C1596">
            <v>512120</v>
          </cell>
        </row>
        <row r="1597">
          <cell r="C1597">
            <v>512131</v>
          </cell>
        </row>
        <row r="1598">
          <cell r="C1598">
            <v>512132</v>
          </cell>
        </row>
        <row r="1599">
          <cell r="C1599">
            <v>512191</v>
          </cell>
        </row>
        <row r="1600">
          <cell r="C1600">
            <v>512199</v>
          </cell>
        </row>
        <row r="1601">
          <cell r="C1601">
            <v>512199</v>
          </cell>
        </row>
        <row r="1602">
          <cell r="C1602">
            <v>512230</v>
          </cell>
        </row>
        <row r="1603">
          <cell r="C1603">
            <v>512230</v>
          </cell>
        </row>
        <row r="1604">
          <cell r="C1604">
            <v>512230</v>
          </cell>
        </row>
        <row r="1605">
          <cell r="C1605">
            <v>512240</v>
          </cell>
        </row>
        <row r="1606">
          <cell r="C1606">
            <v>512250</v>
          </cell>
        </row>
        <row r="1607">
          <cell r="C1607">
            <v>512250</v>
          </cell>
        </row>
        <row r="1608">
          <cell r="C1608">
            <v>512290</v>
          </cell>
        </row>
        <row r="1609">
          <cell r="C1609">
            <v>512290</v>
          </cell>
        </row>
        <row r="1610">
          <cell r="C1610">
            <v>515111</v>
          </cell>
        </row>
        <row r="1611">
          <cell r="C1611">
            <v>515112</v>
          </cell>
        </row>
        <row r="1612">
          <cell r="C1612">
            <v>515120</v>
          </cell>
        </row>
        <row r="1613">
          <cell r="C1613">
            <v>515210</v>
          </cell>
        </row>
        <row r="1614">
          <cell r="C1614">
            <v>517311</v>
          </cell>
        </row>
        <row r="1615">
          <cell r="C1615">
            <v>517311</v>
          </cell>
        </row>
        <row r="1616">
          <cell r="C1616">
            <v>517311</v>
          </cell>
        </row>
        <row r="1617">
          <cell r="C1617">
            <v>517311</v>
          </cell>
        </row>
        <row r="1618">
          <cell r="C1618">
            <v>517312</v>
          </cell>
        </row>
        <row r="1619">
          <cell r="C1619">
            <v>517312</v>
          </cell>
        </row>
        <row r="1620">
          <cell r="C1620">
            <v>517410</v>
          </cell>
        </row>
        <row r="1621">
          <cell r="C1621">
            <v>517911</v>
          </cell>
        </row>
        <row r="1622">
          <cell r="C1622">
            <v>517911</v>
          </cell>
        </row>
        <row r="1623">
          <cell r="C1623">
            <v>517919</v>
          </cell>
        </row>
        <row r="1624">
          <cell r="C1624">
            <v>517919</v>
          </cell>
        </row>
        <row r="1625">
          <cell r="C1625">
            <v>518210</v>
          </cell>
        </row>
        <row r="1626">
          <cell r="C1626">
            <v>518210</v>
          </cell>
        </row>
        <row r="1627">
          <cell r="C1627">
            <v>518210</v>
          </cell>
        </row>
        <row r="1628">
          <cell r="C1628">
            <v>519110</v>
          </cell>
        </row>
        <row r="1629">
          <cell r="C1629">
            <v>519120</v>
          </cell>
        </row>
        <row r="1630">
          <cell r="C1630">
            <v>519120</v>
          </cell>
        </row>
        <row r="1631">
          <cell r="C1631">
            <v>519130</v>
          </cell>
        </row>
        <row r="1632">
          <cell r="C1632">
            <v>519130</v>
          </cell>
        </row>
        <row r="1633">
          <cell r="C1633">
            <v>519130</v>
          </cell>
        </row>
        <row r="1634">
          <cell r="C1634">
            <v>519130</v>
          </cell>
        </row>
        <row r="1635">
          <cell r="C1635">
            <v>519130</v>
          </cell>
        </row>
        <row r="1636">
          <cell r="C1636">
            <v>519130</v>
          </cell>
        </row>
        <row r="1637">
          <cell r="C1637">
            <v>519190</v>
          </cell>
        </row>
        <row r="1638">
          <cell r="C1638">
            <v>521110</v>
          </cell>
        </row>
        <row r="1639">
          <cell r="C1639">
            <v>522110</v>
          </cell>
        </row>
        <row r="1640">
          <cell r="C1640">
            <v>522110</v>
          </cell>
        </row>
        <row r="1641">
          <cell r="C1641">
            <v>522110</v>
          </cell>
        </row>
        <row r="1642">
          <cell r="C1642">
            <v>522110</v>
          </cell>
        </row>
        <row r="1643">
          <cell r="C1643">
            <v>522120</v>
          </cell>
        </row>
        <row r="1644">
          <cell r="C1644">
            <v>522120</v>
          </cell>
        </row>
        <row r="1645">
          <cell r="C1645">
            <v>522130</v>
          </cell>
        </row>
        <row r="1646">
          <cell r="C1646">
            <v>522130</v>
          </cell>
        </row>
        <row r="1647">
          <cell r="C1647">
            <v>522190</v>
          </cell>
        </row>
        <row r="1648">
          <cell r="C1648">
            <v>522210</v>
          </cell>
        </row>
        <row r="1649">
          <cell r="C1649">
            <v>522210</v>
          </cell>
        </row>
        <row r="1650">
          <cell r="C1650">
            <v>522210</v>
          </cell>
        </row>
        <row r="1651">
          <cell r="C1651">
            <v>522210</v>
          </cell>
        </row>
        <row r="1652">
          <cell r="C1652">
            <v>522220</v>
          </cell>
        </row>
        <row r="1653">
          <cell r="C1653">
            <v>522220</v>
          </cell>
        </row>
        <row r="1654">
          <cell r="C1654">
            <v>522220</v>
          </cell>
        </row>
        <row r="1655">
          <cell r="C1655">
            <v>522291</v>
          </cell>
        </row>
        <row r="1656">
          <cell r="C1656">
            <v>522292</v>
          </cell>
        </row>
        <row r="1657">
          <cell r="C1657">
            <v>522292</v>
          </cell>
        </row>
        <row r="1658">
          <cell r="C1658">
            <v>522292</v>
          </cell>
        </row>
        <row r="1659">
          <cell r="C1659">
            <v>522293</v>
          </cell>
        </row>
        <row r="1660">
          <cell r="C1660">
            <v>522293</v>
          </cell>
        </row>
        <row r="1661">
          <cell r="C1661">
            <v>522293</v>
          </cell>
        </row>
        <row r="1662">
          <cell r="C1662">
            <v>522293</v>
          </cell>
        </row>
        <row r="1663">
          <cell r="C1663">
            <v>522294</v>
          </cell>
        </row>
        <row r="1664">
          <cell r="C1664">
            <v>522294</v>
          </cell>
        </row>
        <row r="1665">
          <cell r="C1665">
            <v>522298</v>
          </cell>
        </row>
        <row r="1666">
          <cell r="C1666">
            <v>522298</v>
          </cell>
        </row>
        <row r="1667">
          <cell r="C1667">
            <v>522298</v>
          </cell>
        </row>
        <row r="1668">
          <cell r="C1668">
            <v>522298</v>
          </cell>
        </row>
        <row r="1669">
          <cell r="C1669">
            <v>522298</v>
          </cell>
        </row>
        <row r="1670">
          <cell r="C1670">
            <v>522298</v>
          </cell>
        </row>
        <row r="1671">
          <cell r="C1671">
            <v>522298</v>
          </cell>
        </row>
        <row r="1672">
          <cell r="C1672">
            <v>522298</v>
          </cell>
        </row>
        <row r="1673">
          <cell r="C1673">
            <v>522310</v>
          </cell>
        </row>
        <row r="1674">
          <cell r="C1674">
            <v>522320</v>
          </cell>
        </row>
        <row r="1675">
          <cell r="C1675">
            <v>522320</v>
          </cell>
        </row>
        <row r="1676">
          <cell r="C1676">
            <v>522320</v>
          </cell>
        </row>
        <row r="1677">
          <cell r="C1677">
            <v>522390</v>
          </cell>
        </row>
        <row r="1678">
          <cell r="C1678">
            <v>522390</v>
          </cell>
        </row>
        <row r="1679">
          <cell r="C1679">
            <v>523110</v>
          </cell>
        </row>
        <row r="1680">
          <cell r="C1680">
            <v>523120</v>
          </cell>
        </row>
        <row r="1681">
          <cell r="C1681">
            <v>523130</v>
          </cell>
        </row>
        <row r="1682">
          <cell r="C1682">
            <v>523130</v>
          </cell>
        </row>
        <row r="1683">
          <cell r="C1683">
            <v>523130</v>
          </cell>
        </row>
        <row r="1684">
          <cell r="C1684">
            <v>523140</v>
          </cell>
        </row>
        <row r="1685">
          <cell r="C1685">
            <v>523210</v>
          </cell>
        </row>
        <row r="1686">
          <cell r="C1686">
            <v>523910</v>
          </cell>
        </row>
        <row r="1687">
          <cell r="C1687">
            <v>523910</v>
          </cell>
        </row>
        <row r="1688">
          <cell r="C1688">
            <v>523910</v>
          </cell>
        </row>
        <row r="1689">
          <cell r="C1689">
            <v>523910</v>
          </cell>
        </row>
        <row r="1690">
          <cell r="C1690">
            <v>523920</v>
          </cell>
        </row>
        <row r="1691">
          <cell r="C1691">
            <v>523920</v>
          </cell>
        </row>
        <row r="1692">
          <cell r="C1692">
            <v>523920</v>
          </cell>
        </row>
        <row r="1693">
          <cell r="C1693">
            <v>523920</v>
          </cell>
        </row>
        <row r="1694">
          <cell r="C1694">
            <v>523930</v>
          </cell>
        </row>
        <row r="1695">
          <cell r="C1695">
            <v>523991</v>
          </cell>
        </row>
        <row r="1696">
          <cell r="C1696">
            <v>523991</v>
          </cell>
        </row>
        <row r="1697">
          <cell r="C1697">
            <v>523991</v>
          </cell>
        </row>
        <row r="1698">
          <cell r="C1698">
            <v>523991</v>
          </cell>
        </row>
        <row r="1699">
          <cell r="C1699">
            <v>523999</v>
          </cell>
        </row>
        <row r="1700">
          <cell r="C1700">
            <v>523999</v>
          </cell>
        </row>
        <row r="1701">
          <cell r="C1701">
            <v>524113</v>
          </cell>
        </row>
        <row r="1702">
          <cell r="C1702">
            <v>524113</v>
          </cell>
        </row>
        <row r="1703">
          <cell r="C1703">
            <v>524114</v>
          </cell>
        </row>
        <row r="1704">
          <cell r="C1704">
            <v>524114</v>
          </cell>
        </row>
        <row r="1705">
          <cell r="C1705">
            <v>524126</v>
          </cell>
        </row>
        <row r="1706">
          <cell r="C1706">
            <v>524126</v>
          </cell>
        </row>
        <row r="1707">
          <cell r="C1707">
            <v>524127</v>
          </cell>
        </row>
        <row r="1708">
          <cell r="C1708">
            <v>524128</v>
          </cell>
        </row>
        <row r="1709">
          <cell r="C1709">
            <v>524128</v>
          </cell>
        </row>
        <row r="1710">
          <cell r="C1710">
            <v>524128</v>
          </cell>
        </row>
        <row r="1711">
          <cell r="C1711">
            <v>524128</v>
          </cell>
        </row>
        <row r="1712">
          <cell r="C1712">
            <v>524130</v>
          </cell>
        </row>
        <row r="1713">
          <cell r="C1713">
            <v>524130</v>
          </cell>
        </row>
        <row r="1714">
          <cell r="C1714">
            <v>524130</v>
          </cell>
        </row>
        <row r="1715">
          <cell r="C1715">
            <v>524130</v>
          </cell>
        </row>
        <row r="1716">
          <cell r="C1716">
            <v>524130</v>
          </cell>
        </row>
        <row r="1717">
          <cell r="C1717">
            <v>524130</v>
          </cell>
        </row>
        <row r="1718">
          <cell r="C1718">
            <v>524210</v>
          </cell>
        </row>
        <row r="1719">
          <cell r="C1719">
            <v>524291</v>
          </cell>
        </row>
        <row r="1720">
          <cell r="C1720">
            <v>524292</v>
          </cell>
        </row>
        <row r="1721">
          <cell r="C1721">
            <v>524292</v>
          </cell>
        </row>
        <row r="1722">
          <cell r="C1722">
            <v>524298</v>
          </cell>
        </row>
        <row r="1723">
          <cell r="C1723">
            <v>525110</v>
          </cell>
        </row>
        <row r="1724">
          <cell r="C1724">
            <v>525120</v>
          </cell>
        </row>
        <row r="1725">
          <cell r="C1725">
            <v>525190</v>
          </cell>
        </row>
        <row r="1726">
          <cell r="C1726">
            <v>525190</v>
          </cell>
        </row>
        <row r="1727">
          <cell r="C1727">
            <v>525190</v>
          </cell>
        </row>
        <row r="1728">
          <cell r="C1728">
            <v>525190</v>
          </cell>
        </row>
        <row r="1729">
          <cell r="C1729">
            <v>525910</v>
          </cell>
        </row>
        <row r="1730">
          <cell r="C1730">
            <v>525920</v>
          </cell>
        </row>
        <row r="1731">
          <cell r="C1731">
            <v>525990</v>
          </cell>
        </row>
        <row r="1732">
          <cell r="C1732">
            <v>525990</v>
          </cell>
        </row>
        <row r="1733">
          <cell r="C1733">
            <v>525990</v>
          </cell>
        </row>
        <row r="1734">
          <cell r="C1734">
            <v>531110</v>
          </cell>
        </row>
        <row r="1735">
          <cell r="C1735">
            <v>531110</v>
          </cell>
        </row>
        <row r="1736">
          <cell r="C1736">
            <v>531110</v>
          </cell>
        </row>
        <row r="1737">
          <cell r="C1737">
            <v>531110</v>
          </cell>
        </row>
        <row r="1738">
          <cell r="C1738">
            <v>531120</v>
          </cell>
        </row>
        <row r="1739">
          <cell r="C1739">
            <v>531120</v>
          </cell>
        </row>
        <row r="1740">
          <cell r="C1740">
            <v>531130</v>
          </cell>
        </row>
        <row r="1741">
          <cell r="C1741">
            <v>531130</v>
          </cell>
        </row>
        <row r="1742">
          <cell r="C1742">
            <v>531190</v>
          </cell>
        </row>
        <row r="1743">
          <cell r="C1743">
            <v>531190</v>
          </cell>
        </row>
        <row r="1744">
          <cell r="C1744">
            <v>531190</v>
          </cell>
        </row>
        <row r="1745">
          <cell r="C1745">
            <v>531190</v>
          </cell>
        </row>
        <row r="1746">
          <cell r="C1746">
            <v>531210</v>
          </cell>
        </row>
        <row r="1747">
          <cell r="C1747">
            <v>531311</v>
          </cell>
        </row>
        <row r="1748">
          <cell r="C1748">
            <v>531312</v>
          </cell>
        </row>
        <row r="1749">
          <cell r="C1749">
            <v>531320</v>
          </cell>
        </row>
        <row r="1750">
          <cell r="C1750">
            <v>531390</v>
          </cell>
        </row>
        <row r="1751">
          <cell r="C1751">
            <v>532111</v>
          </cell>
        </row>
        <row r="1752">
          <cell r="C1752">
            <v>532112</v>
          </cell>
        </row>
        <row r="1753">
          <cell r="C1753">
            <v>532120</v>
          </cell>
        </row>
        <row r="1754">
          <cell r="C1754">
            <v>532120</v>
          </cell>
        </row>
        <row r="1755">
          <cell r="C1755">
            <v>532210</v>
          </cell>
        </row>
        <row r="1756">
          <cell r="C1756">
            <v>532281</v>
          </cell>
        </row>
        <row r="1757">
          <cell r="C1757">
            <v>532281</v>
          </cell>
        </row>
        <row r="1758">
          <cell r="C1758">
            <v>532282</v>
          </cell>
        </row>
        <row r="1759">
          <cell r="C1759">
            <v>532283</v>
          </cell>
        </row>
        <row r="1760">
          <cell r="C1760">
            <v>532284</v>
          </cell>
        </row>
        <row r="1761">
          <cell r="C1761">
            <v>532289</v>
          </cell>
        </row>
        <row r="1762">
          <cell r="C1762">
            <v>532310</v>
          </cell>
        </row>
        <row r="1763">
          <cell r="C1763">
            <v>532411</v>
          </cell>
        </row>
        <row r="1764">
          <cell r="C1764">
            <v>532411</v>
          </cell>
        </row>
        <row r="1765">
          <cell r="C1765">
            <v>532411</v>
          </cell>
        </row>
        <row r="1766">
          <cell r="C1766">
            <v>532412</v>
          </cell>
        </row>
        <row r="1767">
          <cell r="C1767">
            <v>532412</v>
          </cell>
        </row>
        <row r="1768">
          <cell r="C1768">
            <v>532420</v>
          </cell>
        </row>
        <row r="1769">
          <cell r="C1769">
            <v>532420</v>
          </cell>
        </row>
        <row r="1770">
          <cell r="C1770">
            <v>532490</v>
          </cell>
        </row>
        <row r="1771">
          <cell r="C1771">
            <v>532490</v>
          </cell>
        </row>
        <row r="1772">
          <cell r="C1772">
            <v>532490</v>
          </cell>
        </row>
        <row r="1773">
          <cell r="C1773">
            <v>532490</v>
          </cell>
        </row>
        <row r="1774">
          <cell r="C1774">
            <v>533110</v>
          </cell>
        </row>
        <row r="1775">
          <cell r="C1775">
            <v>533110</v>
          </cell>
        </row>
        <row r="1776">
          <cell r="C1776">
            <v>541110</v>
          </cell>
        </row>
        <row r="1777">
          <cell r="C1777">
            <v>541120</v>
          </cell>
        </row>
        <row r="1778">
          <cell r="C1778">
            <v>541191</v>
          </cell>
        </row>
        <row r="1779">
          <cell r="C1779">
            <v>541199</v>
          </cell>
        </row>
        <row r="1780">
          <cell r="C1780">
            <v>541211</v>
          </cell>
        </row>
        <row r="1781">
          <cell r="C1781">
            <v>541213</v>
          </cell>
        </row>
        <row r="1782">
          <cell r="C1782">
            <v>541214</v>
          </cell>
        </row>
        <row r="1783">
          <cell r="C1783">
            <v>541214</v>
          </cell>
        </row>
        <row r="1784">
          <cell r="C1784">
            <v>541219</v>
          </cell>
        </row>
        <row r="1785">
          <cell r="C1785">
            <v>541310</v>
          </cell>
        </row>
        <row r="1786">
          <cell r="C1786">
            <v>541320</v>
          </cell>
        </row>
        <row r="1787">
          <cell r="C1787">
            <v>541320</v>
          </cell>
        </row>
        <row r="1788">
          <cell r="C1788">
            <v>541330</v>
          </cell>
        </row>
        <row r="1789">
          <cell r="C1789">
            <v>541330</v>
          </cell>
        </row>
        <row r="1790">
          <cell r="C1790">
            <v>541340</v>
          </cell>
        </row>
        <row r="1791">
          <cell r="C1791">
            <v>541350</v>
          </cell>
        </row>
        <row r="1792">
          <cell r="C1792">
            <v>541360</v>
          </cell>
        </row>
        <row r="1793">
          <cell r="C1793">
            <v>541360</v>
          </cell>
        </row>
        <row r="1794">
          <cell r="C1794">
            <v>541360</v>
          </cell>
        </row>
        <row r="1795">
          <cell r="C1795">
            <v>541360</v>
          </cell>
        </row>
        <row r="1796">
          <cell r="C1796">
            <v>541370</v>
          </cell>
        </row>
        <row r="1797">
          <cell r="C1797">
            <v>541370</v>
          </cell>
        </row>
        <row r="1798">
          <cell r="C1798">
            <v>541380</v>
          </cell>
        </row>
        <row r="1799">
          <cell r="C1799">
            <v>541410</v>
          </cell>
        </row>
        <row r="1800">
          <cell r="C1800">
            <v>541420</v>
          </cell>
        </row>
        <row r="1801">
          <cell r="C1801">
            <v>541430</v>
          </cell>
        </row>
        <row r="1802">
          <cell r="C1802">
            <v>541430</v>
          </cell>
        </row>
        <row r="1803">
          <cell r="C1803">
            <v>541490</v>
          </cell>
        </row>
        <row r="1804">
          <cell r="C1804">
            <v>541511</v>
          </cell>
        </row>
        <row r="1805">
          <cell r="C1805">
            <v>541512</v>
          </cell>
        </row>
        <row r="1806">
          <cell r="C1806">
            <v>541512</v>
          </cell>
        </row>
        <row r="1807">
          <cell r="C1807">
            <v>541513</v>
          </cell>
        </row>
        <row r="1808">
          <cell r="C1808">
            <v>541519</v>
          </cell>
        </row>
        <row r="1809">
          <cell r="C1809">
            <v>541611</v>
          </cell>
        </row>
        <row r="1810">
          <cell r="C1810">
            <v>541612</v>
          </cell>
        </row>
        <row r="1811">
          <cell r="C1811">
            <v>541612</v>
          </cell>
        </row>
        <row r="1812">
          <cell r="C1812">
            <v>541612</v>
          </cell>
        </row>
        <row r="1813">
          <cell r="C1813">
            <v>541613</v>
          </cell>
        </row>
        <row r="1814">
          <cell r="C1814">
            <v>541614</v>
          </cell>
        </row>
        <row r="1815">
          <cell r="C1815">
            <v>541614</v>
          </cell>
        </row>
        <row r="1816">
          <cell r="C1816">
            <v>541618</v>
          </cell>
        </row>
        <row r="1817">
          <cell r="C1817">
            <v>541620</v>
          </cell>
        </row>
        <row r="1818">
          <cell r="C1818">
            <v>541690</v>
          </cell>
        </row>
        <row r="1819">
          <cell r="C1819">
            <v>541690</v>
          </cell>
        </row>
        <row r="1820">
          <cell r="C1820">
            <v>541690</v>
          </cell>
        </row>
        <row r="1821">
          <cell r="C1821">
            <v>541690</v>
          </cell>
        </row>
        <row r="1822">
          <cell r="C1822">
            <v>541713</v>
          </cell>
        </row>
        <row r="1823">
          <cell r="C1823">
            <v>541713</v>
          </cell>
        </row>
        <row r="1824">
          <cell r="C1824">
            <v>541713</v>
          </cell>
        </row>
        <row r="1825">
          <cell r="C1825">
            <v>541713</v>
          </cell>
        </row>
        <row r="1826">
          <cell r="C1826">
            <v>541713</v>
          </cell>
        </row>
        <row r="1827">
          <cell r="C1827">
            <v>541713</v>
          </cell>
        </row>
        <row r="1828">
          <cell r="C1828">
            <v>541713</v>
          </cell>
        </row>
        <row r="1829">
          <cell r="C1829">
            <v>541713</v>
          </cell>
        </row>
        <row r="1830">
          <cell r="C1830">
            <v>541714</v>
          </cell>
        </row>
        <row r="1831">
          <cell r="C1831">
            <v>541714</v>
          </cell>
        </row>
        <row r="1832">
          <cell r="C1832">
            <v>541714</v>
          </cell>
        </row>
        <row r="1833">
          <cell r="C1833">
            <v>541714</v>
          </cell>
        </row>
        <row r="1834">
          <cell r="C1834">
            <v>541714</v>
          </cell>
        </row>
        <row r="1835">
          <cell r="C1835">
            <v>541714</v>
          </cell>
        </row>
        <row r="1836">
          <cell r="C1836">
            <v>541714</v>
          </cell>
        </row>
        <row r="1837">
          <cell r="C1837">
            <v>541714</v>
          </cell>
        </row>
        <row r="1838">
          <cell r="C1838">
            <v>541715</v>
          </cell>
        </row>
        <row r="1839">
          <cell r="C1839">
            <v>541715</v>
          </cell>
        </row>
        <row r="1840">
          <cell r="C1840">
            <v>541715</v>
          </cell>
        </row>
        <row r="1841">
          <cell r="C1841">
            <v>541715</v>
          </cell>
        </row>
        <row r="1842">
          <cell r="C1842">
            <v>541715</v>
          </cell>
        </row>
        <row r="1843">
          <cell r="C1843">
            <v>541715</v>
          </cell>
        </row>
        <row r="1844">
          <cell r="C1844">
            <v>541715</v>
          </cell>
        </row>
        <row r="1845">
          <cell r="C1845">
            <v>541715</v>
          </cell>
        </row>
        <row r="1846">
          <cell r="C1846">
            <v>541720</v>
          </cell>
        </row>
        <row r="1847">
          <cell r="C1847">
            <v>541720</v>
          </cell>
        </row>
        <row r="1848">
          <cell r="C1848">
            <v>541810</v>
          </cell>
        </row>
        <row r="1849">
          <cell r="C1849">
            <v>541820</v>
          </cell>
        </row>
        <row r="1850">
          <cell r="C1850">
            <v>541830</v>
          </cell>
        </row>
        <row r="1851">
          <cell r="C1851">
            <v>541840</v>
          </cell>
        </row>
        <row r="1852">
          <cell r="C1852">
            <v>541850</v>
          </cell>
        </row>
        <row r="1853">
          <cell r="C1853">
            <v>541850</v>
          </cell>
        </row>
        <row r="1854">
          <cell r="C1854">
            <v>541860</v>
          </cell>
        </row>
        <row r="1855">
          <cell r="C1855">
            <v>541870</v>
          </cell>
        </row>
        <row r="1856">
          <cell r="C1856">
            <v>541870</v>
          </cell>
        </row>
        <row r="1857">
          <cell r="C1857">
            <v>541890</v>
          </cell>
        </row>
        <row r="1858">
          <cell r="C1858">
            <v>541890</v>
          </cell>
        </row>
        <row r="1859">
          <cell r="C1859">
            <v>541890</v>
          </cell>
        </row>
        <row r="1860">
          <cell r="C1860">
            <v>541910</v>
          </cell>
        </row>
        <row r="1861">
          <cell r="C1861">
            <v>541921</v>
          </cell>
        </row>
        <row r="1862">
          <cell r="C1862">
            <v>541922</v>
          </cell>
        </row>
        <row r="1863">
          <cell r="C1863">
            <v>541922</v>
          </cell>
        </row>
        <row r="1864">
          <cell r="C1864">
            <v>541930</v>
          </cell>
        </row>
        <row r="1865">
          <cell r="C1865">
            <v>541940</v>
          </cell>
        </row>
        <row r="1866">
          <cell r="C1866">
            <v>541940</v>
          </cell>
        </row>
        <row r="1867">
          <cell r="C1867">
            <v>541940</v>
          </cell>
        </row>
        <row r="1868">
          <cell r="C1868">
            <v>541990</v>
          </cell>
        </row>
        <row r="1869">
          <cell r="C1869">
            <v>541990</v>
          </cell>
        </row>
        <row r="1870">
          <cell r="C1870">
            <v>541990</v>
          </cell>
        </row>
        <row r="1871">
          <cell r="C1871">
            <v>541990</v>
          </cell>
        </row>
        <row r="1872">
          <cell r="C1872">
            <v>551111</v>
          </cell>
        </row>
        <row r="1873">
          <cell r="C1873">
            <v>551112</v>
          </cell>
        </row>
        <row r="1874">
          <cell r="C1874">
            <v>551114</v>
          </cell>
        </row>
        <row r="1875">
          <cell r="C1875">
            <v>561110</v>
          </cell>
        </row>
        <row r="1876">
          <cell r="C1876">
            <v>561210</v>
          </cell>
        </row>
        <row r="1877">
          <cell r="C1877">
            <v>561311</v>
          </cell>
        </row>
        <row r="1878">
          <cell r="C1878">
            <v>561311</v>
          </cell>
        </row>
        <row r="1879">
          <cell r="C1879">
            <v>561311</v>
          </cell>
        </row>
        <row r="1880">
          <cell r="C1880">
            <v>561311</v>
          </cell>
        </row>
        <row r="1881">
          <cell r="C1881">
            <v>561312</v>
          </cell>
        </row>
        <row r="1882">
          <cell r="C1882">
            <v>561312</v>
          </cell>
        </row>
        <row r="1883">
          <cell r="C1883">
            <v>561312</v>
          </cell>
        </row>
        <row r="1884">
          <cell r="C1884">
            <v>561320</v>
          </cell>
        </row>
        <row r="1885">
          <cell r="C1885">
            <v>561330</v>
          </cell>
        </row>
        <row r="1886">
          <cell r="C1886">
            <v>561410</v>
          </cell>
        </row>
        <row r="1887">
          <cell r="C1887">
            <v>561410</v>
          </cell>
        </row>
        <row r="1888">
          <cell r="C1888">
            <v>561421</v>
          </cell>
        </row>
        <row r="1889">
          <cell r="C1889">
            <v>561422</v>
          </cell>
        </row>
        <row r="1890">
          <cell r="C1890">
            <v>561431</v>
          </cell>
        </row>
        <row r="1891">
          <cell r="C1891">
            <v>561439</v>
          </cell>
        </row>
        <row r="1892">
          <cell r="C1892">
            <v>561439</v>
          </cell>
        </row>
        <row r="1893">
          <cell r="C1893">
            <v>561440</v>
          </cell>
        </row>
        <row r="1894">
          <cell r="C1894">
            <v>561440</v>
          </cell>
        </row>
        <row r="1895">
          <cell r="C1895">
            <v>561450</v>
          </cell>
        </row>
        <row r="1896">
          <cell r="C1896">
            <v>561491</v>
          </cell>
        </row>
        <row r="1897">
          <cell r="C1897">
            <v>561492</v>
          </cell>
        </row>
        <row r="1898">
          <cell r="C1898">
            <v>561499</v>
          </cell>
        </row>
        <row r="1899">
          <cell r="C1899">
            <v>561510</v>
          </cell>
        </row>
        <row r="1900">
          <cell r="C1900">
            <v>561520</v>
          </cell>
        </row>
        <row r="1901">
          <cell r="C1901">
            <v>561591</v>
          </cell>
        </row>
        <row r="1902">
          <cell r="C1902">
            <v>561599</v>
          </cell>
        </row>
        <row r="1903">
          <cell r="C1903">
            <v>561599</v>
          </cell>
        </row>
        <row r="1904">
          <cell r="C1904">
            <v>561599</v>
          </cell>
        </row>
        <row r="1905">
          <cell r="C1905">
            <v>561599</v>
          </cell>
        </row>
        <row r="1906">
          <cell r="C1906">
            <v>561599</v>
          </cell>
        </row>
        <row r="1907">
          <cell r="C1907">
            <v>561611</v>
          </cell>
        </row>
        <row r="1908">
          <cell r="C1908">
            <v>561612</v>
          </cell>
        </row>
        <row r="1909">
          <cell r="C1909">
            <v>561613</v>
          </cell>
        </row>
        <row r="1910">
          <cell r="C1910">
            <v>561621</v>
          </cell>
        </row>
        <row r="1911">
          <cell r="C1911">
            <v>561622</v>
          </cell>
        </row>
        <row r="1912">
          <cell r="C1912">
            <v>561710</v>
          </cell>
        </row>
        <row r="1913">
          <cell r="C1913">
            <v>561710</v>
          </cell>
        </row>
        <row r="1914">
          <cell r="C1914">
            <v>561720</v>
          </cell>
        </row>
        <row r="1915">
          <cell r="C1915">
            <v>561720</v>
          </cell>
        </row>
        <row r="1916">
          <cell r="C1916">
            <v>561720</v>
          </cell>
        </row>
        <row r="1917">
          <cell r="C1917">
            <v>561730</v>
          </cell>
        </row>
        <row r="1918">
          <cell r="C1918">
            <v>561730</v>
          </cell>
        </row>
        <row r="1919">
          <cell r="C1919">
            <v>561740</v>
          </cell>
        </row>
        <row r="1920">
          <cell r="C1920">
            <v>561790</v>
          </cell>
        </row>
        <row r="1921">
          <cell r="C1921">
            <v>561790</v>
          </cell>
        </row>
        <row r="1922">
          <cell r="C1922">
            <v>561790</v>
          </cell>
        </row>
        <row r="1923">
          <cell r="C1923">
            <v>561790</v>
          </cell>
        </row>
        <row r="1924">
          <cell r="C1924">
            <v>561790</v>
          </cell>
        </row>
        <row r="1925">
          <cell r="C1925">
            <v>561910</v>
          </cell>
        </row>
        <row r="1926">
          <cell r="C1926">
            <v>561920</v>
          </cell>
        </row>
        <row r="1927">
          <cell r="C1927">
            <v>561990</v>
          </cell>
        </row>
        <row r="1928">
          <cell r="C1928">
            <v>561990</v>
          </cell>
        </row>
        <row r="1929">
          <cell r="C1929">
            <v>562111</v>
          </cell>
        </row>
        <row r="1930">
          <cell r="C1930">
            <v>562112</v>
          </cell>
        </row>
        <row r="1931">
          <cell r="C1931">
            <v>562119</v>
          </cell>
        </row>
        <row r="1932">
          <cell r="C1932">
            <v>562211</v>
          </cell>
        </row>
        <row r="1933">
          <cell r="C1933">
            <v>562212</v>
          </cell>
        </row>
        <row r="1934">
          <cell r="C1934">
            <v>562213</v>
          </cell>
        </row>
        <row r="1935">
          <cell r="C1935">
            <v>562219</v>
          </cell>
        </row>
        <row r="1936">
          <cell r="C1936">
            <v>562910</v>
          </cell>
        </row>
        <row r="1937">
          <cell r="C1937">
            <v>562910</v>
          </cell>
        </row>
        <row r="1938">
          <cell r="C1938">
            <v>562920</v>
          </cell>
        </row>
        <row r="1939">
          <cell r="C1939">
            <v>562991</v>
          </cell>
        </row>
        <row r="1940">
          <cell r="C1940">
            <v>562991</v>
          </cell>
        </row>
        <row r="1941">
          <cell r="C1941">
            <v>562998</v>
          </cell>
        </row>
        <row r="1942">
          <cell r="C1942">
            <v>562998</v>
          </cell>
        </row>
        <row r="1943">
          <cell r="C1943">
            <v>611110</v>
          </cell>
        </row>
        <row r="1944">
          <cell r="C1944">
            <v>611210</v>
          </cell>
        </row>
        <row r="1945">
          <cell r="C1945">
            <v>611310</v>
          </cell>
        </row>
        <row r="1946">
          <cell r="C1946">
            <v>611410</v>
          </cell>
        </row>
        <row r="1947">
          <cell r="C1947">
            <v>611420</v>
          </cell>
        </row>
        <row r="1948">
          <cell r="C1948">
            <v>611430</v>
          </cell>
        </row>
        <row r="1949">
          <cell r="C1949">
            <v>611511</v>
          </cell>
        </row>
        <row r="1950">
          <cell r="C1950">
            <v>611511</v>
          </cell>
        </row>
        <row r="1951">
          <cell r="C1951">
            <v>611512</v>
          </cell>
        </row>
        <row r="1952">
          <cell r="C1952">
            <v>611512</v>
          </cell>
        </row>
        <row r="1953">
          <cell r="C1953">
            <v>611513</v>
          </cell>
        </row>
        <row r="1954">
          <cell r="C1954">
            <v>611519</v>
          </cell>
        </row>
        <row r="1955">
          <cell r="C1955">
            <v>611519</v>
          </cell>
        </row>
        <row r="1956">
          <cell r="C1956">
            <v>611519</v>
          </cell>
        </row>
        <row r="1957">
          <cell r="C1957">
            <v>611610</v>
          </cell>
        </row>
        <row r="1958">
          <cell r="C1958">
            <v>611610</v>
          </cell>
        </row>
        <row r="1959">
          <cell r="C1959">
            <v>611620</v>
          </cell>
        </row>
        <row r="1960">
          <cell r="C1960">
            <v>611620</v>
          </cell>
        </row>
        <row r="1961">
          <cell r="C1961">
            <v>611630</v>
          </cell>
        </row>
        <row r="1962">
          <cell r="C1962">
            <v>611691</v>
          </cell>
        </row>
        <row r="1963">
          <cell r="C1963">
            <v>611692</v>
          </cell>
        </row>
        <row r="1964">
          <cell r="C1964">
            <v>611699</v>
          </cell>
        </row>
        <row r="1965">
          <cell r="C1965">
            <v>611699</v>
          </cell>
        </row>
        <row r="1966">
          <cell r="C1966">
            <v>611710</v>
          </cell>
        </row>
        <row r="1967">
          <cell r="C1967">
            <v>611710</v>
          </cell>
        </row>
        <row r="1968">
          <cell r="C1968">
            <v>621111</v>
          </cell>
        </row>
        <row r="1969">
          <cell r="C1969">
            <v>621111</v>
          </cell>
        </row>
        <row r="1970">
          <cell r="C1970">
            <v>621112</v>
          </cell>
        </row>
        <row r="1971">
          <cell r="C1971">
            <v>621112</v>
          </cell>
        </row>
        <row r="1972">
          <cell r="C1972">
            <v>621210</v>
          </cell>
        </row>
        <row r="1973">
          <cell r="C1973">
            <v>621310</v>
          </cell>
        </row>
        <row r="1974">
          <cell r="C1974">
            <v>621320</v>
          </cell>
        </row>
        <row r="1975">
          <cell r="C1975">
            <v>621330</v>
          </cell>
        </row>
        <row r="1976">
          <cell r="C1976">
            <v>621340</v>
          </cell>
        </row>
        <row r="1977">
          <cell r="C1977">
            <v>621391</v>
          </cell>
        </row>
        <row r="1978">
          <cell r="C1978">
            <v>621399</v>
          </cell>
        </row>
        <row r="1979">
          <cell r="C1979">
            <v>621399</v>
          </cell>
        </row>
        <row r="1980">
          <cell r="C1980">
            <v>621410</v>
          </cell>
        </row>
        <row r="1981">
          <cell r="C1981">
            <v>621410</v>
          </cell>
        </row>
        <row r="1982">
          <cell r="C1982">
            <v>621420</v>
          </cell>
        </row>
        <row r="1983">
          <cell r="C1983">
            <v>621491</v>
          </cell>
        </row>
        <row r="1984">
          <cell r="C1984">
            <v>621492</v>
          </cell>
        </row>
        <row r="1985">
          <cell r="C1985">
            <v>621493</v>
          </cell>
        </row>
        <row r="1986">
          <cell r="C1986">
            <v>621498</v>
          </cell>
        </row>
        <row r="1987">
          <cell r="C1987">
            <v>621511</v>
          </cell>
        </row>
        <row r="1988">
          <cell r="C1988">
            <v>621512</v>
          </cell>
        </row>
        <row r="1989">
          <cell r="C1989">
            <v>621610</v>
          </cell>
        </row>
        <row r="1990">
          <cell r="C1990">
            <v>621910</v>
          </cell>
        </row>
        <row r="1991">
          <cell r="C1991">
            <v>621910</v>
          </cell>
        </row>
        <row r="1992">
          <cell r="C1992">
            <v>621991</v>
          </cell>
        </row>
        <row r="1993">
          <cell r="C1993">
            <v>621999</v>
          </cell>
        </row>
        <row r="1994">
          <cell r="C1994">
            <v>622110</v>
          </cell>
        </row>
        <row r="1995">
          <cell r="C1995">
            <v>622110</v>
          </cell>
        </row>
        <row r="1996">
          <cell r="C1996">
            <v>622210</v>
          </cell>
        </row>
        <row r="1997">
          <cell r="C1997">
            <v>622210</v>
          </cell>
        </row>
        <row r="1998">
          <cell r="C1998">
            <v>622310</v>
          </cell>
        </row>
        <row r="1999">
          <cell r="C1999">
            <v>623110</v>
          </cell>
        </row>
        <row r="2000">
          <cell r="C2000">
            <v>623110</v>
          </cell>
        </row>
        <row r="2001">
          <cell r="C2001">
            <v>623110</v>
          </cell>
        </row>
        <row r="2002">
          <cell r="C2002">
            <v>623210</v>
          </cell>
        </row>
        <row r="2003">
          <cell r="C2003">
            <v>623210</v>
          </cell>
        </row>
        <row r="2004">
          <cell r="C2004">
            <v>623210</v>
          </cell>
        </row>
        <row r="2005">
          <cell r="C2005">
            <v>623210</v>
          </cell>
        </row>
        <row r="2006">
          <cell r="C2006">
            <v>623220</v>
          </cell>
        </row>
        <row r="2007">
          <cell r="C2007">
            <v>623311</v>
          </cell>
        </row>
        <row r="2008">
          <cell r="C2008">
            <v>623311</v>
          </cell>
        </row>
        <row r="2009">
          <cell r="C2009">
            <v>623311</v>
          </cell>
        </row>
        <row r="2010">
          <cell r="C2010">
            <v>623312</v>
          </cell>
        </row>
        <row r="2011">
          <cell r="C2011">
            <v>623990</v>
          </cell>
        </row>
        <row r="2012">
          <cell r="C2012">
            <v>624110</v>
          </cell>
        </row>
        <row r="2013">
          <cell r="C2013">
            <v>624120</v>
          </cell>
        </row>
        <row r="2014">
          <cell r="C2014">
            <v>624190</v>
          </cell>
        </row>
        <row r="2015">
          <cell r="C2015">
            <v>624210</v>
          </cell>
        </row>
        <row r="2016">
          <cell r="C2016">
            <v>624221</v>
          </cell>
        </row>
        <row r="2017">
          <cell r="C2017">
            <v>624229</v>
          </cell>
        </row>
        <row r="2018">
          <cell r="C2018">
            <v>624230</v>
          </cell>
        </row>
        <row r="2019">
          <cell r="C2019">
            <v>624310</v>
          </cell>
        </row>
        <row r="2020">
          <cell r="C2020">
            <v>624410</v>
          </cell>
        </row>
        <row r="2021">
          <cell r="C2021">
            <v>711110</v>
          </cell>
        </row>
        <row r="2022">
          <cell r="C2022">
            <v>711110</v>
          </cell>
        </row>
        <row r="2023">
          <cell r="C2023">
            <v>711120</v>
          </cell>
        </row>
        <row r="2024">
          <cell r="C2024">
            <v>711130</v>
          </cell>
        </row>
        <row r="2025">
          <cell r="C2025">
            <v>711190</v>
          </cell>
        </row>
        <row r="2026">
          <cell r="C2026">
            <v>711190</v>
          </cell>
        </row>
        <row r="2027">
          <cell r="C2027">
            <v>711211</v>
          </cell>
        </row>
        <row r="2028">
          <cell r="C2028">
            <v>711212</v>
          </cell>
        </row>
        <row r="2029">
          <cell r="C2029">
            <v>711219</v>
          </cell>
        </row>
        <row r="2030">
          <cell r="C2030">
            <v>711219</v>
          </cell>
        </row>
        <row r="2031">
          <cell r="C2031">
            <v>711310</v>
          </cell>
        </row>
        <row r="2032">
          <cell r="C2032">
            <v>711310</v>
          </cell>
        </row>
        <row r="2033">
          <cell r="C2033">
            <v>711310</v>
          </cell>
        </row>
        <row r="2034">
          <cell r="C2034">
            <v>711310</v>
          </cell>
        </row>
        <row r="2035">
          <cell r="C2035">
            <v>711310</v>
          </cell>
        </row>
        <row r="2036">
          <cell r="C2036">
            <v>711320</v>
          </cell>
        </row>
        <row r="2037">
          <cell r="C2037">
            <v>711320</v>
          </cell>
        </row>
        <row r="2038">
          <cell r="C2038">
            <v>711320</v>
          </cell>
        </row>
        <row r="2039">
          <cell r="C2039">
            <v>711320</v>
          </cell>
        </row>
        <row r="2040">
          <cell r="C2040">
            <v>711410</v>
          </cell>
        </row>
        <row r="2041">
          <cell r="C2041">
            <v>711410</v>
          </cell>
        </row>
        <row r="2042">
          <cell r="C2042">
            <v>711410</v>
          </cell>
        </row>
        <row r="2043">
          <cell r="C2043">
            <v>711510</v>
          </cell>
        </row>
        <row r="2044">
          <cell r="C2044">
            <v>711510</v>
          </cell>
        </row>
        <row r="2045">
          <cell r="C2045">
            <v>711510</v>
          </cell>
        </row>
        <row r="2046">
          <cell r="C2046">
            <v>711510</v>
          </cell>
        </row>
        <row r="2047">
          <cell r="C2047">
            <v>711510</v>
          </cell>
        </row>
        <row r="2048">
          <cell r="C2048">
            <v>711510</v>
          </cell>
        </row>
        <row r="2049">
          <cell r="C2049">
            <v>712110</v>
          </cell>
        </row>
        <row r="2050">
          <cell r="C2050">
            <v>712120</v>
          </cell>
        </row>
        <row r="2051">
          <cell r="C2051">
            <v>712130</v>
          </cell>
        </row>
        <row r="2052">
          <cell r="C2052">
            <v>712190</v>
          </cell>
        </row>
        <row r="2053">
          <cell r="C2053">
            <v>712190</v>
          </cell>
        </row>
        <row r="2054">
          <cell r="C2054">
            <v>713110</v>
          </cell>
        </row>
        <row r="2055">
          <cell r="C2055">
            <v>713120</v>
          </cell>
        </row>
        <row r="2056">
          <cell r="C2056">
            <v>713210</v>
          </cell>
        </row>
        <row r="2057">
          <cell r="C2057">
            <v>713290</v>
          </cell>
        </row>
        <row r="2058">
          <cell r="C2058">
            <v>713290</v>
          </cell>
        </row>
        <row r="2059">
          <cell r="C2059">
            <v>713910</v>
          </cell>
        </row>
        <row r="2060">
          <cell r="C2060">
            <v>713910</v>
          </cell>
        </row>
        <row r="2061">
          <cell r="C2061">
            <v>713920</v>
          </cell>
        </row>
        <row r="2062">
          <cell r="C2062">
            <v>713930</v>
          </cell>
        </row>
        <row r="2063">
          <cell r="C2063">
            <v>713940</v>
          </cell>
        </row>
        <row r="2064">
          <cell r="C2064">
            <v>713940</v>
          </cell>
        </row>
        <row r="2065">
          <cell r="C2065">
            <v>713940</v>
          </cell>
        </row>
        <row r="2066">
          <cell r="C2066">
            <v>713950</v>
          </cell>
        </row>
        <row r="2067">
          <cell r="C2067">
            <v>713990</v>
          </cell>
        </row>
        <row r="2068">
          <cell r="C2068">
            <v>713990</v>
          </cell>
        </row>
        <row r="2069">
          <cell r="C2069">
            <v>713990</v>
          </cell>
        </row>
        <row r="2070">
          <cell r="C2070">
            <v>713990</v>
          </cell>
        </row>
        <row r="2071">
          <cell r="C2071">
            <v>721110</v>
          </cell>
        </row>
        <row r="2072">
          <cell r="C2072">
            <v>721110</v>
          </cell>
        </row>
        <row r="2073">
          <cell r="C2073">
            <v>721120</v>
          </cell>
        </row>
        <row r="2074">
          <cell r="C2074">
            <v>721191</v>
          </cell>
        </row>
        <row r="2075">
          <cell r="C2075">
            <v>721199</v>
          </cell>
        </row>
        <row r="2076">
          <cell r="C2076">
            <v>721211</v>
          </cell>
        </row>
        <row r="2077">
          <cell r="C2077">
            <v>721214</v>
          </cell>
        </row>
        <row r="2078">
          <cell r="C2078">
            <v>721310</v>
          </cell>
        </row>
        <row r="2079">
          <cell r="C2079">
            <v>721310</v>
          </cell>
        </row>
        <row r="2080">
          <cell r="C2080">
            <v>722310</v>
          </cell>
        </row>
        <row r="2081">
          <cell r="C2081">
            <v>722310</v>
          </cell>
        </row>
        <row r="2082">
          <cell r="C2082">
            <v>722320</v>
          </cell>
        </row>
        <row r="2083">
          <cell r="C2083">
            <v>722330</v>
          </cell>
        </row>
        <row r="2084">
          <cell r="C2084">
            <v>722410</v>
          </cell>
        </row>
        <row r="2085">
          <cell r="C2085">
            <v>722511</v>
          </cell>
        </row>
        <row r="2086">
          <cell r="C2086">
            <v>722513</v>
          </cell>
        </row>
        <row r="2087">
          <cell r="C2087">
            <v>722514</v>
          </cell>
        </row>
        <row r="2088">
          <cell r="C2088">
            <v>722515</v>
          </cell>
        </row>
        <row r="2089">
          <cell r="C2089">
            <v>722515</v>
          </cell>
        </row>
        <row r="2090">
          <cell r="C2090">
            <v>811111</v>
          </cell>
        </row>
        <row r="2091">
          <cell r="C2091">
            <v>811112</v>
          </cell>
        </row>
        <row r="2092">
          <cell r="C2092">
            <v>811113</v>
          </cell>
        </row>
        <row r="2093">
          <cell r="C2093">
            <v>811118</v>
          </cell>
        </row>
        <row r="2094">
          <cell r="C2094">
            <v>811121</v>
          </cell>
        </row>
        <row r="2095">
          <cell r="C2095">
            <v>811122</v>
          </cell>
        </row>
        <row r="2096">
          <cell r="C2096">
            <v>811122</v>
          </cell>
        </row>
        <row r="2097">
          <cell r="C2097">
            <v>811191</v>
          </cell>
        </row>
        <row r="2098">
          <cell r="C2098">
            <v>811192</v>
          </cell>
        </row>
        <row r="2099">
          <cell r="C2099">
            <v>811198</v>
          </cell>
        </row>
        <row r="2100">
          <cell r="C2100">
            <v>811198</v>
          </cell>
        </row>
        <row r="2101">
          <cell r="C2101">
            <v>811198</v>
          </cell>
        </row>
        <row r="2102">
          <cell r="C2102">
            <v>811211</v>
          </cell>
        </row>
        <row r="2103">
          <cell r="C2103">
            <v>811211</v>
          </cell>
        </row>
        <row r="2104">
          <cell r="C2104">
            <v>811211</v>
          </cell>
        </row>
        <row r="2105">
          <cell r="C2105">
            <v>811212</v>
          </cell>
        </row>
        <row r="2106">
          <cell r="C2106">
            <v>811212</v>
          </cell>
        </row>
        <row r="2107">
          <cell r="C2107">
            <v>811212</v>
          </cell>
        </row>
        <row r="2108">
          <cell r="C2108">
            <v>811213</v>
          </cell>
        </row>
        <row r="2109">
          <cell r="C2109">
            <v>811213</v>
          </cell>
        </row>
        <row r="2110">
          <cell r="C2110">
            <v>811219</v>
          </cell>
        </row>
        <row r="2111">
          <cell r="C2111">
            <v>811219</v>
          </cell>
        </row>
        <row r="2112">
          <cell r="C2112">
            <v>811310</v>
          </cell>
        </row>
        <row r="2113">
          <cell r="C2113">
            <v>811310</v>
          </cell>
        </row>
        <row r="2114">
          <cell r="C2114">
            <v>811310</v>
          </cell>
        </row>
        <row r="2115">
          <cell r="C2115">
            <v>811310</v>
          </cell>
        </row>
        <row r="2116">
          <cell r="C2116">
            <v>811411</v>
          </cell>
        </row>
        <row r="2117">
          <cell r="C2117">
            <v>811412</v>
          </cell>
        </row>
        <row r="2118">
          <cell r="C2118">
            <v>811412</v>
          </cell>
        </row>
        <row r="2119">
          <cell r="C2119">
            <v>811412</v>
          </cell>
        </row>
        <row r="2120">
          <cell r="C2120">
            <v>811420</v>
          </cell>
        </row>
        <row r="2121">
          <cell r="C2121">
            <v>811420</v>
          </cell>
        </row>
        <row r="2122">
          <cell r="C2122">
            <v>811430</v>
          </cell>
        </row>
        <row r="2123">
          <cell r="C2123">
            <v>811430</v>
          </cell>
        </row>
        <row r="2124">
          <cell r="C2124">
            <v>811490</v>
          </cell>
        </row>
        <row r="2125">
          <cell r="C2125">
            <v>811490</v>
          </cell>
        </row>
        <row r="2126">
          <cell r="C2126">
            <v>811490</v>
          </cell>
        </row>
        <row r="2127">
          <cell r="C2127">
            <v>811490</v>
          </cell>
        </row>
        <row r="2128">
          <cell r="C2128">
            <v>812111</v>
          </cell>
        </row>
        <row r="2129">
          <cell r="C2129">
            <v>812112</v>
          </cell>
        </row>
        <row r="2130">
          <cell r="C2130">
            <v>812113</v>
          </cell>
        </row>
        <row r="2131">
          <cell r="C2131">
            <v>812191</v>
          </cell>
        </row>
        <row r="2132">
          <cell r="C2132">
            <v>812199</v>
          </cell>
        </row>
        <row r="2133">
          <cell r="C2133">
            <v>812210</v>
          </cell>
        </row>
        <row r="2134">
          <cell r="C2134">
            <v>812220</v>
          </cell>
        </row>
        <row r="2135">
          <cell r="C2135">
            <v>812220</v>
          </cell>
        </row>
        <row r="2136">
          <cell r="C2136">
            <v>812220</v>
          </cell>
        </row>
        <row r="2137">
          <cell r="C2137">
            <v>812310</v>
          </cell>
        </row>
        <row r="2138">
          <cell r="C2138">
            <v>812320</v>
          </cell>
        </row>
        <row r="2139">
          <cell r="C2139">
            <v>812320</v>
          </cell>
        </row>
        <row r="2140">
          <cell r="C2140">
            <v>812320</v>
          </cell>
        </row>
        <row r="2141">
          <cell r="C2141">
            <v>812320</v>
          </cell>
        </row>
        <row r="2142">
          <cell r="C2142">
            <v>812320</v>
          </cell>
        </row>
        <row r="2143">
          <cell r="C2143">
            <v>812320</v>
          </cell>
        </row>
        <row r="2144">
          <cell r="C2144">
            <v>812331</v>
          </cell>
        </row>
        <row r="2145">
          <cell r="C2145">
            <v>812331</v>
          </cell>
        </row>
        <row r="2146">
          <cell r="C2146">
            <v>812332</v>
          </cell>
        </row>
        <row r="2147">
          <cell r="C2147">
            <v>812910</v>
          </cell>
        </row>
        <row r="2148">
          <cell r="C2148">
            <v>812921</v>
          </cell>
        </row>
        <row r="2149">
          <cell r="C2149">
            <v>812922</v>
          </cell>
        </row>
        <row r="2150">
          <cell r="C2150">
            <v>812930</v>
          </cell>
        </row>
        <row r="2151">
          <cell r="C2151">
            <v>812930</v>
          </cell>
        </row>
        <row r="2152">
          <cell r="C2152">
            <v>812990</v>
          </cell>
        </row>
        <row r="2153">
          <cell r="C2153">
            <v>812990</v>
          </cell>
        </row>
        <row r="2154">
          <cell r="C2154">
            <v>812990</v>
          </cell>
        </row>
        <row r="2155">
          <cell r="C2155">
            <v>812990</v>
          </cell>
        </row>
        <row r="2156">
          <cell r="C2156">
            <v>812990</v>
          </cell>
        </row>
        <row r="2157">
          <cell r="C2157">
            <v>813110</v>
          </cell>
        </row>
        <row r="2158">
          <cell r="C2158">
            <v>813211</v>
          </cell>
        </row>
        <row r="2159">
          <cell r="C2159">
            <v>813212</v>
          </cell>
        </row>
        <row r="2160">
          <cell r="C2160">
            <v>813219</v>
          </cell>
        </row>
        <row r="2161">
          <cell r="C2161">
            <v>813311</v>
          </cell>
        </row>
        <row r="2162">
          <cell r="C2162">
            <v>813312</v>
          </cell>
        </row>
        <row r="2163">
          <cell r="C2163">
            <v>813312</v>
          </cell>
        </row>
        <row r="2164">
          <cell r="C2164">
            <v>813319</v>
          </cell>
        </row>
        <row r="2165">
          <cell r="C2165">
            <v>813319</v>
          </cell>
        </row>
        <row r="2166">
          <cell r="C2166">
            <v>813410</v>
          </cell>
        </row>
        <row r="2167">
          <cell r="C2167">
            <v>813410</v>
          </cell>
        </row>
        <row r="2168">
          <cell r="C2168">
            <v>813910</v>
          </cell>
        </row>
        <row r="2169">
          <cell r="C2169">
            <v>813910</v>
          </cell>
        </row>
        <row r="2170">
          <cell r="C2170">
            <v>813920</v>
          </cell>
        </row>
        <row r="2171">
          <cell r="C2171">
            <v>813930</v>
          </cell>
        </row>
        <row r="2172">
          <cell r="C2172">
            <v>813940</v>
          </cell>
        </row>
        <row r="2173">
          <cell r="C2173">
            <v>813990</v>
          </cell>
        </row>
        <row r="2174">
          <cell r="C2174">
            <v>813990</v>
          </cell>
        </row>
        <row r="2175">
          <cell r="C2175">
            <v>813990</v>
          </cell>
        </row>
        <row r="2176">
          <cell r="C2176">
            <v>814110</v>
          </cell>
        </row>
        <row r="2177">
          <cell r="C2177">
            <v>921110</v>
          </cell>
        </row>
        <row r="2178">
          <cell r="C2178">
            <v>921120</v>
          </cell>
        </row>
        <row r="2179">
          <cell r="C2179">
            <v>921130</v>
          </cell>
        </row>
        <row r="2180">
          <cell r="C2180">
            <v>921140</v>
          </cell>
        </row>
        <row r="2181">
          <cell r="C2181">
            <v>921150</v>
          </cell>
        </row>
        <row r="2182">
          <cell r="C2182">
            <v>921190</v>
          </cell>
        </row>
        <row r="2183">
          <cell r="C2183">
            <v>922110</v>
          </cell>
        </row>
        <row r="2184">
          <cell r="C2184">
            <v>922120</v>
          </cell>
        </row>
        <row r="2185">
          <cell r="C2185">
            <v>922130</v>
          </cell>
        </row>
        <row r="2186">
          <cell r="C2186">
            <v>922140</v>
          </cell>
        </row>
        <row r="2187">
          <cell r="C2187">
            <v>922150</v>
          </cell>
        </row>
        <row r="2188">
          <cell r="C2188">
            <v>922160</v>
          </cell>
        </row>
        <row r="2189">
          <cell r="C2189">
            <v>922190</v>
          </cell>
        </row>
        <row r="2190">
          <cell r="C2190">
            <v>923110</v>
          </cell>
        </row>
        <row r="2191">
          <cell r="C2191">
            <v>923120</v>
          </cell>
        </row>
        <row r="2192">
          <cell r="C2192">
            <v>923130</v>
          </cell>
        </row>
        <row r="2193">
          <cell r="C2193">
            <v>923140</v>
          </cell>
        </row>
        <row r="2194">
          <cell r="C2194">
            <v>924110</v>
          </cell>
        </row>
        <row r="2195">
          <cell r="C2195">
            <v>924120</v>
          </cell>
        </row>
        <row r="2196">
          <cell r="C2196">
            <v>925110</v>
          </cell>
        </row>
        <row r="2197">
          <cell r="C2197">
            <v>925120</v>
          </cell>
        </row>
        <row r="2198">
          <cell r="C2198">
            <v>926110</v>
          </cell>
        </row>
        <row r="2199">
          <cell r="C2199">
            <v>926120</v>
          </cell>
        </row>
        <row r="2200">
          <cell r="C2200">
            <v>926130</v>
          </cell>
        </row>
        <row r="2201">
          <cell r="C2201">
            <v>926140</v>
          </cell>
        </row>
        <row r="2202">
          <cell r="C2202">
            <v>926150</v>
          </cell>
        </row>
        <row r="2203">
          <cell r="C2203">
            <v>927110</v>
          </cell>
        </row>
        <row r="2204">
          <cell r="C2204">
            <v>928110</v>
          </cell>
        </row>
        <row r="2205">
          <cell r="C2205">
            <v>928120</v>
          </cell>
        </row>
      </sheetData>
      <sheetData sheetId="7">
        <row r="30">
          <cell r="D30" t="str">
            <v>01</v>
          </cell>
        </row>
      </sheetData>
      <sheetData sheetId="8"/>
      <sheetData sheetId="9"/>
      <sheetData sheetId="10"/>
      <sheetData sheetId="11"/>
      <sheetData sheetId="12"/>
      <sheetData sheetId="13">
        <row r="6">
          <cell r="AE6">
            <v>2.75</v>
          </cell>
        </row>
      </sheetData>
      <sheetData sheetId="14">
        <row r="6">
          <cell r="AE6">
            <v>2.75</v>
          </cell>
        </row>
      </sheetData>
      <sheetData sheetId="15">
        <row r="6">
          <cell r="AE6">
            <v>0</v>
          </cell>
        </row>
      </sheetData>
      <sheetData sheetId="16">
        <row r="6">
          <cell r="AE6">
            <v>1.4569999999999999</v>
          </cell>
        </row>
      </sheetData>
      <sheetData sheetId="17">
        <row r="5">
          <cell r="K5">
            <v>2.0540000000000003</v>
          </cell>
        </row>
      </sheetData>
      <sheetData sheetId="18">
        <row r="5">
          <cell r="K5">
            <v>1.9355</v>
          </cell>
        </row>
      </sheetData>
      <sheetData sheetId="19">
        <row r="6">
          <cell r="AG6">
            <v>1.2050000000000001</v>
          </cell>
        </row>
      </sheetData>
      <sheetData sheetId="20">
        <row r="6">
          <cell r="AG6">
            <v>1.6950000000000001</v>
          </cell>
        </row>
      </sheetData>
      <sheetData sheetId="21">
        <row r="6">
          <cell r="X6">
            <v>0.93333333333333335</v>
          </cell>
        </row>
      </sheetData>
      <sheetData sheetId="22">
        <row r="6">
          <cell r="X6">
            <v>0.93333333333333335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hyperlink" Target="http://insurance.ky.gov/Home.aspx?Div_ID=13"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insurance.ky.gov/PPC/docs.aspx?Div_id=13"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27"/>
  <sheetViews>
    <sheetView showGridLines="0" zoomScale="85" zoomScaleNormal="85" workbookViewId="0">
      <selection activeCell="J16" sqref="J16"/>
    </sheetView>
  </sheetViews>
  <sheetFormatPr defaultColWidth="0" defaultRowHeight="15" zeroHeight="1"/>
  <cols>
    <col min="1" max="1" width="0.7109375" customWidth="1"/>
    <col min="2" max="2" width="6.140625" customWidth="1"/>
    <col min="3" max="3" width="18" bestFit="1" customWidth="1"/>
    <col min="4" max="4" width="22.85546875" customWidth="1"/>
    <col min="5" max="5" width="16.28515625" bestFit="1" customWidth="1"/>
    <col min="6" max="6" width="22.85546875" customWidth="1"/>
    <col min="7" max="7" width="16.28515625" bestFit="1" customWidth="1"/>
    <col min="8" max="8" width="18.42578125" customWidth="1"/>
    <col min="9" max="9" width="10.85546875" customWidth="1"/>
    <col min="10" max="10" width="32.140625" customWidth="1"/>
    <col min="11" max="11" width="1.42578125" customWidth="1"/>
    <col min="12" max="12" width="0.7109375" style="4" customWidth="1"/>
    <col min="13" max="16384" width="9.140625" hidden="1"/>
  </cols>
  <sheetData>
    <row r="1" spans="2:11" s="4" customFormat="1" ht="1.5" customHeight="1" thickBot="1"/>
    <row r="2" spans="2:11">
      <c r="B2" s="20"/>
      <c r="C2" s="21"/>
      <c r="D2" s="21"/>
      <c r="E2" s="21"/>
      <c r="F2" s="21"/>
      <c r="G2" s="24"/>
      <c r="H2" s="24"/>
      <c r="I2" s="24"/>
      <c r="J2" s="24"/>
      <c r="K2" s="38"/>
    </row>
    <row r="3" spans="2:11" s="41" customFormat="1" ht="21">
      <c r="B3" s="575" t="s">
        <v>0</v>
      </c>
      <c r="C3" s="576"/>
      <c r="D3" s="576"/>
      <c r="E3" s="576"/>
      <c r="F3" s="39"/>
      <c r="G3" s="574" t="s">
        <v>1</v>
      </c>
      <c r="H3" s="574"/>
      <c r="I3" s="574"/>
      <c r="J3" s="574"/>
      <c r="K3" s="40"/>
    </row>
    <row r="4" spans="2:11" ht="15.75" thickBot="1">
      <c r="B4" s="22"/>
      <c r="C4" s="23"/>
      <c r="D4" s="23"/>
      <c r="E4" s="23"/>
      <c r="F4" s="23"/>
      <c r="G4" s="25"/>
      <c r="H4" s="25"/>
      <c r="I4" s="25"/>
      <c r="J4" s="25"/>
      <c r="K4" s="37"/>
    </row>
    <row r="5" spans="2:11">
      <c r="B5" s="15"/>
      <c r="C5" s="16"/>
      <c r="D5" s="16"/>
      <c r="E5" s="16"/>
      <c r="F5" s="16"/>
      <c r="G5" s="16"/>
      <c r="H5" s="16"/>
      <c r="I5" s="16"/>
      <c r="J5" s="16"/>
      <c r="K5" s="17"/>
    </row>
    <row r="6" spans="2:11" ht="17.25">
      <c r="B6" s="18" t="s">
        <v>2</v>
      </c>
      <c r="C6" s="16"/>
      <c r="D6" s="16"/>
      <c r="E6" s="16"/>
      <c r="F6" s="16"/>
      <c r="G6" s="16"/>
      <c r="H6" s="16"/>
      <c r="I6" s="16"/>
      <c r="J6" s="16"/>
      <c r="K6" s="17"/>
    </row>
    <row r="7" spans="2:11">
      <c r="B7" s="15"/>
      <c r="C7" s="16"/>
      <c r="D7" s="16"/>
      <c r="E7" s="16"/>
      <c r="F7" s="16"/>
      <c r="G7" s="16"/>
      <c r="H7" s="16"/>
      <c r="I7" s="16"/>
      <c r="J7" s="16"/>
      <c r="K7" s="17"/>
    </row>
    <row r="8" spans="2:11">
      <c r="B8" s="15"/>
      <c r="C8" s="19" t="s">
        <v>3</v>
      </c>
      <c r="D8" s="161"/>
      <c r="E8" s="19" t="s">
        <v>10</v>
      </c>
      <c r="F8" s="348" t="s">
        <v>30</v>
      </c>
      <c r="G8" s="19" t="s">
        <v>7</v>
      </c>
      <c r="H8" s="31"/>
      <c r="I8" s="91" t="s">
        <v>433</v>
      </c>
      <c r="J8" s="1" t="s">
        <v>1365</v>
      </c>
      <c r="K8" s="17"/>
    </row>
    <row r="9" spans="2:11">
      <c r="B9" s="15"/>
      <c r="C9" s="19"/>
      <c r="D9" s="16"/>
      <c r="E9" s="16"/>
      <c r="F9" s="16"/>
      <c r="G9" s="16"/>
      <c r="H9" s="349" t="s">
        <v>1329</v>
      </c>
      <c r="I9" s="350" t="str">
        <f>VLOOKUP(info_co,Ranges!$T:$V,3,FALSE)</f>
        <v>0001</v>
      </c>
      <c r="J9" s="308" t="str">
        <f>IFERROR(VLOOKUP(info_co,Ranges!$T:$U,2,FALSE),Ranges!U6)</f>
        <v>Admitted</v>
      </c>
      <c r="K9" s="17"/>
    </row>
    <row r="10" spans="2:11">
      <c r="B10" s="15"/>
      <c r="C10" s="19" t="s">
        <v>4</v>
      </c>
      <c r="D10" s="577" t="s">
        <v>3021</v>
      </c>
      <c r="E10" s="578"/>
      <c r="F10" s="578"/>
      <c r="G10" s="579"/>
      <c r="H10" s="16"/>
      <c r="I10" s="19" t="s">
        <v>469</v>
      </c>
      <c r="J10" s="262"/>
      <c r="K10" s="17"/>
    </row>
    <row r="11" spans="2:11">
      <c r="B11" s="15"/>
      <c r="C11" s="19"/>
      <c r="D11" s="16"/>
      <c r="E11" s="16"/>
      <c r="F11" s="16"/>
      <c r="G11" s="16"/>
      <c r="H11" s="16"/>
      <c r="I11" s="16"/>
      <c r="J11" s="32"/>
      <c r="K11" s="17"/>
    </row>
    <row r="12" spans="2:11">
      <c r="B12" s="15"/>
      <c r="C12" s="19" t="s">
        <v>5</v>
      </c>
      <c r="D12" s="29">
        <v>44125</v>
      </c>
      <c r="E12" s="19" t="s">
        <v>8</v>
      </c>
      <c r="F12" s="29">
        <v>44490</v>
      </c>
      <c r="G12" s="19" t="s">
        <v>11</v>
      </c>
      <c r="H12" s="347">
        <f ca="1">IF(YEARFRAC(info_effdt,info_expdt,1)&lt;1,(info_expdt-info_effdt)/365,(info_expdt-info_effdt-SUMPRODUCT((MONTH(ROW(INDIRECT(info_effdt&amp;":"&amp;info_expdt)))=2)*
(DAY(ROW(INDIRECT(info_effdt&amp;":"&amp;info_expdt)))=29)))/365)</f>
        <v>1</v>
      </c>
      <c r="I12" s="19" t="s">
        <v>12</v>
      </c>
      <c r="J12" s="29"/>
      <c r="K12" s="17"/>
    </row>
    <row r="13" spans="2:11">
      <c r="B13" s="15"/>
      <c r="C13" s="19"/>
      <c r="D13" s="16"/>
      <c r="E13" s="16"/>
      <c r="I13" s="16"/>
      <c r="J13" s="16"/>
      <c r="K13" s="17"/>
    </row>
    <row r="14" spans="2:11">
      <c r="B14" s="15"/>
      <c r="C14" s="19" t="s">
        <v>6</v>
      </c>
      <c r="D14" s="30"/>
      <c r="E14" s="19" t="s">
        <v>9</v>
      </c>
      <c r="F14" s="31"/>
      <c r="G14" s="16"/>
      <c r="H14" s="16"/>
      <c r="I14" s="16"/>
      <c r="J14" s="16"/>
      <c r="K14" s="17"/>
    </row>
    <row r="15" spans="2:11">
      <c r="B15" s="15"/>
      <c r="C15" s="19"/>
      <c r="D15" s="16"/>
      <c r="E15" s="16"/>
      <c r="F15" s="16"/>
      <c r="G15" s="16"/>
      <c r="H15" s="16"/>
      <c r="I15" s="16"/>
      <c r="J15" s="16"/>
      <c r="K15" s="17"/>
    </row>
    <row r="16" spans="2:11">
      <c r="B16" s="15"/>
      <c r="C16" s="19" t="s">
        <v>13</v>
      </c>
      <c r="D16" s="577"/>
      <c r="E16" s="578"/>
      <c r="F16" s="578"/>
      <c r="G16" s="579"/>
      <c r="H16" s="16"/>
      <c r="I16" s="19" t="s">
        <v>1338</v>
      </c>
      <c r="J16" s="306" t="s">
        <v>1286</v>
      </c>
      <c r="K16" s="17"/>
    </row>
    <row r="17" spans="2:11">
      <c r="B17" s="15"/>
      <c r="C17" s="19" t="s">
        <v>14</v>
      </c>
      <c r="D17" s="577"/>
      <c r="E17" s="578"/>
      <c r="F17" s="578"/>
      <c r="G17" s="579"/>
      <c r="H17" s="349" t="s">
        <v>579</v>
      </c>
      <c r="I17" s="350" t="str">
        <f>VLOOKUP(info_country,Ranges!$P:$R,2)</f>
        <v>USA</v>
      </c>
      <c r="J17" s="351" t="str">
        <f>VLOOKUP(info_country,Ranges!$P:$R,3)</f>
        <v>840</v>
      </c>
      <c r="K17" s="17"/>
    </row>
    <row r="18" spans="2:11">
      <c r="B18" s="15"/>
      <c r="C18" s="19" t="s">
        <v>15</v>
      </c>
      <c r="D18" s="577"/>
      <c r="E18" s="579"/>
      <c r="F18" s="19" t="s">
        <v>16</v>
      </c>
      <c r="G18" s="1" t="s">
        <v>172</v>
      </c>
      <c r="H18" s="269" t="str">
        <f>INDEX(Ranges!$L:$N,MATCH(info_st,Ranges!$M:$M,0),1)</f>
        <v>Wyoming</v>
      </c>
      <c r="I18" s="19" t="s">
        <v>43</v>
      </c>
      <c r="J18" s="561" t="s">
        <v>3022</v>
      </c>
      <c r="K18" s="17"/>
    </row>
    <row r="19" spans="2:11" s="4" customFormat="1">
      <c r="B19" s="15"/>
      <c r="C19" s="19"/>
      <c r="D19" s="19"/>
      <c r="E19" s="19"/>
      <c r="F19" s="19"/>
      <c r="G19" s="524" t="s">
        <v>453</v>
      </c>
      <c r="H19" s="525" t="str">
        <f>VLOOKUP(info_st,'Base Rates'!$A:$J,5,FALSE)</f>
        <v>Approved</v>
      </c>
      <c r="I19" s="19"/>
      <c r="J19" s="19"/>
      <c r="K19" s="17"/>
    </row>
    <row r="20" spans="2:11" s="4" customFormat="1" ht="75" customHeight="1">
      <c r="B20" s="15"/>
      <c r="C20" s="250" t="s">
        <v>21</v>
      </c>
      <c r="D20" s="577"/>
      <c r="E20" s="578"/>
      <c r="F20" s="578"/>
      <c r="G20" s="578"/>
      <c r="H20" s="578"/>
      <c r="I20" s="578"/>
      <c r="J20" s="579"/>
      <c r="K20" s="17"/>
    </row>
    <row r="21" spans="2:11" ht="15.75" thickBot="1">
      <c r="B21" s="12"/>
      <c r="C21" s="13"/>
      <c r="D21" s="13"/>
      <c r="E21" s="13"/>
      <c r="F21" s="13"/>
      <c r="G21" s="13"/>
      <c r="H21" s="13"/>
      <c r="I21" s="13"/>
      <c r="J21" s="13"/>
      <c r="K21" s="14"/>
    </row>
    <row r="22" spans="2:11" s="26" customFormat="1" ht="11.25">
      <c r="B22" s="28" t="s">
        <v>44</v>
      </c>
      <c r="C22" s="26">
        <f>version</f>
        <v>1.23</v>
      </c>
      <c r="D22" s="26" t="str">
        <f>IF(info_internal,"INTERNAL USE ONLY","")</f>
        <v>INTERNAL USE ONLY</v>
      </c>
      <c r="G22" s="28" t="s">
        <v>45</v>
      </c>
      <c r="H22" s="27">
        <f>Ranges!B6</f>
        <v>0</v>
      </c>
      <c r="I22" s="28" t="s">
        <v>390</v>
      </c>
      <c r="J22" s="27">
        <f ca="1">TODAY()</f>
        <v>44124</v>
      </c>
    </row>
    <row r="23" spans="2:11">
      <c r="D23" s="26"/>
      <c r="E23" s="26"/>
      <c r="F23" s="26"/>
      <c r="G23" s="26"/>
      <c r="H23" s="26"/>
      <c r="I23" s="26"/>
      <c r="J23" s="26"/>
      <c r="K23" s="26"/>
    </row>
    <row r="24" spans="2:11" hidden="1"/>
    <row r="25" spans="2:11" hidden="1"/>
    <row r="26" spans="2:11" hidden="1"/>
    <row r="27" spans="2:11" hidden="1">
      <c r="F27" s="4"/>
      <c r="G27" s="4"/>
      <c r="H27" s="4"/>
    </row>
  </sheetData>
  <mergeCells count="7">
    <mergeCell ref="G3:J3"/>
    <mergeCell ref="B3:E3"/>
    <mergeCell ref="D20:J20"/>
    <mergeCell ref="D10:G10"/>
    <mergeCell ref="D16:G16"/>
    <mergeCell ref="D17:G17"/>
    <mergeCell ref="D18:E18"/>
  </mergeCells>
  <conditionalFormatting sqref="H8">
    <cfRule type="expression" dxfId="31" priority="11">
      <formula>$F$8="new"</formula>
    </cfRule>
  </conditionalFormatting>
  <conditionalFormatting sqref="G19:H19">
    <cfRule type="expression" dxfId="30" priority="2">
      <formula>$J$9="surplus"</formula>
    </cfRule>
  </conditionalFormatting>
  <conditionalFormatting sqref="G8">
    <cfRule type="expression" dxfId="29" priority="1">
      <formula>$F$8="new"</formula>
    </cfRule>
  </conditionalFormatting>
  <pageMargins left="0.7" right="0.7" top="0.75" bottom="0.75" header="0.3" footer="0.3"/>
  <pageSetup scale="73" orientation="landscape"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Ranges!$H$6:$H$7</xm:f>
          </x14:formula1>
          <xm:sqref>F8</xm:sqref>
        </x14:dataValidation>
        <x14:dataValidation type="list" allowBlank="1" showInputMessage="1" showErrorMessage="1" xr:uid="{00000000-0002-0000-0000-000001000000}">
          <x14:formula1>
            <xm:f>Ranges!$I$6:$I$10</xm:f>
          </x14:formula1>
          <xm:sqref>F14</xm:sqref>
        </x14:dataValidation>
        <x14:dataValidation type="list" allowBlank="1" showInputMessage="1" showErrorMessage="1" xr:uid="{00000000-0002-0000-0000-000002000000}">
          <x14:formula1>
            <xm:f>Ranges!$M$6:$M$60</xm:f>
          </x14:formula1>
          <xm:sqref>G18</xm:sqref>
        </x14:dataValidation>
        <x14:dataValidation type="list" allowBlank="1" showInputMessage="1" showErrorMessage="1" xr:uid="{00000000-0002-0000-0000-000003000000}">
          <x14:formula1>
            <xm:f>Ranges!$P$6:$P$254</xm:f>
          </x14:formula1>
          <xm:sqref>J16</xm:sqref>
        </x14:dataValidation>
        <x14:dataValidation type="list" allowBlank="1" showInputMessage="1" showErrorMessage="1" xr:uid="{00000000-0002-0000-0000-000004000000}">
          <x14:formula1>
            <xm:f>Ranges!$T$6:$T$8</xm:f>
          </x14:formula1>
          <xm:sqref>J8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U302"/>
  <sheetViews>
    <sheetView showGridLines="0" tabSelected="1" zoomScaleNormal="100" zoomScaleSheetLayoutView="85" workbookViewId="0">
      <pane ySplit="3" topLeftCell="A238" activePane="bottomLeft" state="frozen"/>
      <selection pane="bottomLeft" activeCell="L241" sqref="L241"/>
    </sheetView>
  </sheetViews>
  <sheetFormatPr defaultColWidth="9.140625" defaultRowHeight="15"/>
  <cols>
    <col min="1" max="1" width="0.7109375" style="4" customWidth="1"/>
    <col min="2" max="2" width="9.140625" customWidth="1"/>
    <col min="3" max="3" width="13.7109375" customWidth="1"/>
    <col min="4" max="4" width="11.42578125" style="4" customWidth="1"/>
    <col min="5" max="5" width="11.140625" customWidth="1"/>
    <col min="6" max="6" width="16.7109375" customWidth="1"/>
    <col min="7" max="7" width="10.5703125" bestFit="1" customWidth="1"/>
    <col min="8" max="8" width="11.5703125" bestFit="1" customWidth="1"/>
    <col min="9" max="9" width="10.7109375" customWidth="1"/>
    <col min="10" max="10" width="11.42578125" customWidth="1"/>
    <col min="11" max="11" width="26.28515625" customWidth="1"/>
    <col min="12" max="12" width="16.7109375" customWidth="1"/>
    <col min="13" max="15" width="10.7109375" customWidth="1"/>
    <col min="16" max="16" width="5" style="4" customWidth="1"/>
    <col min="17" max="17" width="35.28515625" customWidth="1"/>
    <col min="18" max="18" width="27.42578125" hidden="1" customWidth="1"/>
    <col min="19" max="19" width="12.28515625" hidden="1" customWidth="1"/>
    <col min="20" max="20" width="15.85546875" hidden="1" customWidth="1"/>
    <col min="21" max="21" width="11.140625" style="4" hidden="1" customWidth="1"/>
    <col min="22" max="22" width="15.42578125" style="4" hidden="1" customWidth="1"/>
    <col min="23" max="23" width="7.7109375" style="4" hidden="1" customWidth="1"/>
    <col min="24" max="24" width="9.140625" hidden="1" customWidth="1"/>
    <col min="25" max="25" width="14.85546875" hidden="1" customWidth="1"/>
    <col min="26" max="26" width="9.140625" hidden="1" customWidth="1"/>
    <col min="27" max="27" width="8.5703125" hidden="1" customWidth="1"/>
    <col min="28" max="28" width="27.42578125" customWidth="1"/>
    <col min="29" max="29" width="12.28515625" customWidth="1"/>
    <col min="30" max="30" width="15.85546875" customWidth="1"/>
    <col min="31" max="31" width="11.140625" customWidth="1"/>
    <col min="32" max="32" width="15.42578125" customWidth="1"/>
    <col min="33" max="33" width="7.7109375" customWidth="1"/>
    <col min="34" max="34" width="9.140625" customWidth="1"/>
    <col min="35" max="35" width="12.7109375" customWidth="1"/>
    <col min="36" max="36" width="9.140625" customWidth="1"/>
    <col min="37" max="37" width="12.140625" customWidth="1"/>
    <col min="38" max="38" width="27.42578125" customWidth="1"/>
    <col min="39" max="39" width="12.28515625" customWidth="1"/>
    <col min="40" max="40" width="15.85546875" customWidth="1"/>
    <col min="41" max="41" width="11.140625" customWidth="1"/>
    <col min="42" max="42" width="15.42578125" customWidth="1"/>
    <col min="43" max="43" width="11.140625" customWidth="1"/>
    <col min="44" max="44" width="9.140625" customWidth="1"/>
    <col min="45" max="45" width="12.42578125" customWidth="1"/>
    <col min="46" max="46" width="9.140625" customWidth="1"/>
    <col min="47" max="47" width="11.5703125" customWidth="1"/>
  </cols>
  <sheetData>
    <row r="1" spans="2:47" s="4" customFormat="1" ht="1.5" customHeight="1"/>
    <row r="2" spans="2:47" ht="96" customHeight="1">
      <c r="Q2" s="248" t="s">
        <v>439</v>
      </c>
      <c r="R2" s="592" t="s">
        <v>402</v>
      </c>
      <c r="S2" s="593"/>
      <c r="T2" s="593"/>
      <c r="U2" s="593"/>
      <c r="V2" s="593"/>
      <c r="W2" s="593"/>
      <c r="X2" s="593"/>
      <c r="Y2" s="593"/>
      <c r="Z2" s="593"/>
      <c r="AA2" s="593"/>
      <c r="AB2" s="593"/>
      <c r="AC2" s="593"/>
      <c r="AD2" s="593"/>
      <c r="AE2" s="593"/>
      <c r="AF2" s="593"/>
      <c r="AG2" s="593"/>
      <c r="AH2" s="593"/>
      <c r="AI2" s="593"/>
      <c r="AJ2" s="593"/>
      <c r="AK2" s="593"/>
      <c r="AL2" s="593"/>
      <c r="AM2" s="593"/>
      <c r="AN2" s="593"/>
      <c r="AO2" s="593"/>
      <c r="AP2" s="593"/>
      <c r="AQ2" s="593"/>
      <c r="AR2" s="593"/>
      <c r="AS2" s="593"/>
      <c r="AT2" s="593"/>
      <c r="AU2" s="593"/>
    </row>
    <row r="3" spans="2:47" s="165" customFormat="1" ht="9" thickBot="1">
      <c r="B3" s="165" t="str">
        <f>IF(ISBLANK('Account Info'!B22),"",'Account Info'!B22)</f>
        <v>Version</v>
      </c>
      <c r="C3" s="165">
        <f>IF(ISBLANK('Account Info'!C22),"",'Account Info'!C22)</f>
        <v>1.23</v>
      </c>
      <c r="D3" s="165" t="str">
        <f>IF(ISBLANK('Account Info'!D22),"",'Account Info'!D22)</f>
        <v>INTERNAL USE ONLY</v>
      </c>
      <c r="F3" s="165" t="str">
        <f>IF(ISBLANK('Account Info'!E22),"",'Account Info'!E22)</f>
        <v/>
      </c>
      <c r="G3" s="165" t="str">
        <f>IF(ISBLANK('Account Info'!F22),"",'Account Info'!F22)</f>
        <v/>
      </c>
      <c r="I3" s="165" t="str">
        <f>IF(ISBLANK('Account Info'!I22),"",'Account Info'!I22)</f>
        <v>Today's Date</v>
      </c>
      <c r="J3" s="166">
        <f ca="1">IF(ISBLANK('Account Info'!J22),"",'Account Info'!J22)</f>
        <v>44124</v>
      </c>
      <c r="R3" s="167"/>
      <c r="S3" s="167"/>
      <c r="T3" s="167"/>
      <c r="U3" s="167"/>
      <c r="V3" s="167"/>
      <c r="W3" s="167"/>
    </row>
    <row r="5" spans="2:47" ht="17.25">
      <c r="B5" s="11" t="s">
        <v>198</v>
      </c>
      <c r="R5" s="67"/>
      <c r="S5" s="16"/>
    </row>
    <row r="6" spans="2:47" s="4" customFormat="1" ht="17.25">
      <c r="B6" s="11"/>
    </row>
    <row r="7" spans="2:47">
      <c r="C7" s="2" t="s">
        <v>16</v>
      </c>
      <c r="D7" t="str">
        <f>VLOOKUP(info_state,Ranges!$L:$M,2,FALSE)</f>
        <v>WY</v>
      </c>
      <c r="E7" s="2" t="s">
        <v>46</v>
      </c>
      <c r="F7" s="577" t="s">
        <v>177</v>
      </c>
      <c r="G7" s="579"/>
      <c r="J7" s="171" t="s">
        <v>174</v>
      </c>
      <c r="K7" s="172">
        <f>IFERROR(VLOOKUP(info_st&amp;"-"&amp;County,'Base Rates'!$C:$K,MATCH(info_admit,'Base Rates'!$C$3:$K$3,0),FALSE),IF(info_admit='Base Rates'!I3,'Base Rates'!I1,'Base Rates'!D1))</f>
        <v>500</v>
      </c>
      <c r="L7" t="s">
        <v>460</v>
      </c>
      <c r="M7" s="32" t="str">
        <f>VLOOKUP(info_st,'Base Rates'!$A:$J,6,FALSE)</f>
        <v>OK</v>
      </c>
      <c r="AB7" s="278"/>
      <c r="AC7" s="278"/>
      <c r="AD7" s="278"/>
      <c r="AE7" s="278"/>
      <c r="AF7" s="278"/>
      <c r="AG7" s="278"/>
      <c r="AH7" s="278"/>
      <c r="AI7" s="278"/>
      <c r="AJ7" s="278"/>
      <c r="AK7" s="278"/>
    </row>
    <row r="8" spans="2:47" ht="15" customHeight="1">
      <c r="D8" s="36" t="str">
        <f>info_state</f>
        <v>Wyoming</v>
      </c>
      <c r="F8" s="93"/>
      <c r="U8" s="205"/>
      <c r="V8" s="203" t="s">
        <v>387</v>
      </c>
      <c r="W8" s="65"/>
      <c r="X8" s="65"/>
      <c r="Y8" s="65"/>
      <c r="Z8" s="65"/>
      <c r="AA8" s="181"/>
      <c r="AB8" s="278" t="s">
        <v>70</v>
      </c>
      <c r="AC8" s="278"/>
      <c r="AD8" s="278"/>
      <c r="AE8" s="279"/>
      <c r="AF8" s="280" t="s">
        <v>387</v>
      </c>
      <c r="AG8" s="281"/>
      <c r="AH8" s="281"/>
      <c r="AI8" s="281"/>
      <c r="AJ8" s="281"/>
      <c r="AK8" s="282"/>
      <c r="AL8" s="309" t="s">
        <v>133</v>
      </c>
      <c r="AM8" s="309"/>
      <c r="AN8" s="309"/>
      <c r="AO8" s="310"/>
      <c r="AP8" s="311" t="s">
        <v>387</v>
      </c>
      <c r="AQ8" s="312"/>
      <c r="AR8" s="312"/>
      <c r="AS8" s="312"/>
      <c r="AT8" s="312"/>
      <c r="AU8" s="313"/>
    </row>
    <row r="9" spans="2:47">
      <c r="E9" s="2" t="s">
        <v>186</v>
      </c>
      <c r="F9" s="59">
        <v>1000000</v>
      </c>
      <c r="I9" s="2" t="s">
        <v>193</v>
      </c>
      <c r="J9" s="577" t="s">
        <v>184</v>
      </c>
      <c r="K9" s="578"/>
      <c r="L9" s="578"/>
      <c r="M9" s="579"/>
      <c r="R9" s="63" t="s">
        <v>386</v>
      </c>
      <c r="S9" s="64">
        <f t="array" ref="S9">INDEX(Ranges!$AY$6:$AY$21,MATCH(MIN(ABS(Ranges!$AY$6:$AY$21-Y11)),ABS(Ranges!$AY$6:$AY$21-Y11),0))</f>
        <v>1000000</v>
      </c>
      <c r="T9" s="204" t="str">
        <f>IF(Y11&gt;=S9,"Lower Bound","Upper Bound")</f>
        <v>Lower Bound</v>
      </c>
      <c r="U9" s="205"/>
      <c r="V9" s="66" t="s">
        <v>194</v>
      </c>
      <c r="W9" s="67">
        <f>MATCH(S10,Ranges!$AZ$5:$AZ$21,1)</f>
        <v>7</v>
      </c>
      <c r="X9" s="16" t="s">
        <v>199</v>
      </c>
      <c r="Y9" s="67">
        <f>INDEX(Ranges!$AY$5:$BS$21,W9,1)</f>
        <v>1000000</v>
      </c>
      <c r="Z9" s="16" t="s">
        <v>196</v>
      </c>
      <c r="AA9" s="68">
        <f>INDEX(Ranges!$AZ$5:$BS$21,W9,S$11)</f>
        <v>2.19</v>
      </c>
      <c r="AB9" s="283" t="s">
        <v>386</v>
      </c>
      <c r="AC9" s="284">
        <f t="array" ref="AC9">INDEX(Ranges!$AY$48:$AY$63,MATCH(MIN(ABS(Ranges!$AY$48:$AY$63-AI11)),ABS(Ranges!$AY$48:$AY$63-AI11),0))</f>
        <v>1000000</v>
      </c>
      <c r="AD9" s="285" t="str">
        <f>IF(AI11&gt;=AC9,"Lower Bound","Upper Bound")</f>
        <v>Lower Bound</v>
      </c>
      <c r="AE9" s="279"/>
      <c r="AF9" s="286" t="s">
        <v>194</v>
      </c>
      <c r="AG9" s="287">
        <f>MATCH(AC10,Ranges!$AZ$47:$AZ$63,1)</f>
        <v>7</v>
      </c>
      <c r="AH9" s="288" t="s">
        <v>199</v>
      </c>
      <c r="AI9" s="287">
        <f>INDEX(Ranges!$AY$47:$BS$63,AG9,1)</f>
        <v>1000000</v>
      </c>
      <c r="AJ9" s="288" t="s">
        <v>196</v>
      </c>
      <c r="AK9" s="289">
        <f>INDEX(Ranges!$AZ$47:$BS$63,AG9,AC$11)</f>
        <v>1.94</v>
      </c>
      <c r="AL9" s="314" t="s">
        <v>386</v>
      </c>
      <c r="AM9" s="315">
        <f t="array" ref="AM9">INDEX(Ranges!$AY$88:$AY$103,MATCH(MIN(ABS(Ranges!$AY$88:$AY$103-AS11)),ABS(Ranges!$AY$88:$AY$103-AS11),0))</f>
        <v>1000000</v>
      </c>
      <c r="AN9" s="316" t="str">
        <f>IF(AS11&gt;=AM9,"Lower Bound","Upper Bound")</f>
        <v>Lower Bound</v>
      </c>
      <c r="AO9" s="310"/>
      <c r="AP9" s="317" t="s">
        <v>194</v>
      </c>
      <c r="AQ9" s="318">
        <f>MATCH(AM10,Ranges!$AZ$87:$AZ$103,1)</f>
        <v>7</v>
      </c>
      <c r="AR9" s="319" t="s">
        <v>199</v>
      </c>
      <c r="AS9" s="318">
        <f>INDEX(Ranges!$AY$87:$BS$103,AQ9,1)</f>
        <v>1000000</v>
      </c>
      <c r="AT9" s="319" t="s">
        <v>196</v>
      </c>
      <c r="AU9" s="320" t="str">
        <f>INDEX(Ranges!$AZ$87:$BS$103,AQ9,AM$11)</f>
        <v>N/A</v>
      </c>
    </row>
    <row r="10" spans="2:47" ht="15.75" thickBot="1">
      <c r="E10" s="2" t="s">
        <v>187</v>
      </c>
      <c r="F10" s="59">
        <f>Limit_Claim</f>
        <v>1000000</v>
      </c>
      <c r="J10" s="2" t="s">
        <v>190</v>
      </c>
      <c r="K10" s="92">
        <v>50000</v>
      </c>
      <c r="L10" s="4"/>
      <c r="R10" s="69" t="s">
        <v>396</v>
      </c>
      <c r="S10" s="70">
        <f>INDEX(Ranges!$AZ$5:$BS$21,MATCH(Y11,Ranges!$AZ$5:$AZ$21,1),1)</f>
        <v>1000000</v>
      </c>
      <c r="T10" s="163"/>
      <c r="U10" s="205"/>
      <c r="V10" s="66" t="s">
        <v>195</v>
      </c>
      <c r="W10" s="67">
        <f>IF(W9=17,16,W9+1)</f>
        <v>8</v>
      </c>
      <c r="X10" s="16" t="s">
        <v>200</v>
      </c>
      <c r="Y10" s="67">
        <f>INDEX(Ranges!$AY$5:$BS$21,W10,1)</f>
        <v>2000000</v>
      </c>
      <c r="Z10" s="16" t="s">
        <v>197</v>
      </c>
      <c r="AA10" s="68">
        <f>INDEX(Ranges!$AZ$5:$BS$21,W10,S$11)</f>
        <v>2.7509999999999999</v>
      </c>
      <c r="AB10" s="290" t="s">
        <v>396</v>
      </c>
      <c r="AC10" s="291">
        <f>INDEX(Ranges!$AZ$47:$BS$63,MATCH(AI11,Ranges!$AZ$47:$AZ$63,1),1)</f>
        <v>1000000</v>
      </c>
      <c r="AD10" s="292"/>
      <c r="AE10" s="279"/>
      <c r="AF10" s="286" t="s">
        <v>195</v>
      </c>
      <c r="AG10" s="287">
        <f>IF(AG9=17,16,AG9+1)</f>
        <v>8</v>
      </c>
      <c r="AH10" s="288" t="s">
        <v>200</v>
      </c>
      <c r="AI10" s="287">
        <f>INDEX(Ranges!$AY$47:$BS$63,AG10,1)</f>
        <v>2000000</v>
      </c>
      <c r="AJ10" s="288" t="s">
        <v>197</v>
      </c>
      <c r="AK10" s="289">
        <f>INDEX(Ranges!$AZ$47:$BS$63,AG10,AC$11)</f>
        <v>2.2799999999999998</v>
      </c>
      <c r="AL10" s="321" t="s">
        <v>396</v>
      </c>
      <c r="AM10" s="322">
        <f>INDEX(Ranges!$AZ$88:$BS$103,MATCH(AS11,Ranges!$AZ$88:$AZ$103,1),1)</f>
        <v>1000000</v>
      </c>
      <c r="AN10" s="323"/>
      <c r="AO10" s="310"/>
      <c r="AP10" s="317" t="s">
        <v>195</v>
      </c>
      <c r="AQ10" s="318">
        <f>IF(AQ9=17,16,AQ9+1)</f>
        <v>8</v>
      </c>
      <c r="AR10" s="319" t="s">
        <v>200</v>
      </c>
      <c r="AS10" s="318">
        <f>INDEX(Ranges!$AY$87:$BS$103,AQ10,1)</f>
        <v>2000000</v>
      </c>
      <c r="AT10" s="319" t="s">
        <v>197</v>
      </c>
      <c r="AU10" s="320">
        <f>INDEX(Ranges!$AZ$87:$BS$103,AQ10,AM$11)</f>
        <v>2.33</v>
      </c>
    </row>
    <row r="11" spans="2:47" ht="15.75" thickBot="1">
      <c r="J11" s="93" t="str">
        <f>IF(info_st="ny",AB19,IF(info_st="nj",AL19,""))</f>
        <v/>
      </c>
      <c r="R11" s="164" t="s">
        <v>191</v>
      </c>
      <c r="S11" s="206">
        <f>IF(Limit_ExpTreat=Ranges!$AH$4,MATCH(Limit_Exp,Ranges!$AZ$5:$BS$5,0),MATCH(Limit_ExpTreat,Ranges!$AZ$4:$BS$4,0))</f>
        <v>3</v>
      </c>
      <c r="T11" s="182"/>
      <c r="U11" s="163"/>
      <c r="V11" s="69"/>
      <c r="W11" s="71"/>
      <c r="X11" s="71" t="s">
        <v>192</v>
      </c>
      <c r="Y11" s="70">
        <f>Limit_Claim</f>
        <v>1000000</v>
      </c>
      <c r="Z11" s="200" t="s">
        <v>389</v>
      </c>
      <c r="AA11" s="201">
        <f>AA9+(Y11-Y9)*(AA10-AA9)/(Y10-Y9)</f>
        <v>2.19</v>
      </c>
      <c r="AB11" s="293" t="s">
        <v>191</v>
      </c>
      <c r="AC11" s="294">
        <f>S11</f>
        <v>3</v>
      </c>
      <c r="AD11" s="295"/>
      <c r="AE11" s="292"/>
      <c r="AF11" s="290"/>
      <c r="AG11" s="296"/>
      <c r="AH11" s="296" t="s">
        <v>192</v>
      </c>
      <c r="AI11" s="291">
        <f>Limit_Claim</f>
        <v>1000000</v>
      </c>
      <c r="AJ11" s="297" t="s">
        <v>389</v>
      </c>
      <c r="AK11" s="298">
        <f>AK9+(AI11-AI9)*(AK10-AK9)/(AI10-AI9)</f>
        <v>1.94</v>
      </c>
      <c r="AL11" s="324" t="s">
        <v>191</v>
      </c>
      <c r="AM11" s="325">
        <f>S11</f>
        <v>3</v>
      </c>
      <c r="AN11" s="326"/>
      <c r="AO11" s="323"/>
      <c r="AP11" s="321"/>
      <c r="AQ11" s="327"/>
      <c r="AR11" s="327" t="s">
        <v>192</v>
      </c>
      <c r="AS11" s="322">
        <f>Limit_Claim</f>
        <v>1000000</v>
      </c>
      <c r="AT11" s="328" t="s">
        <v>389</v>
      </c>
      <c r="AU11" s="329" t="e">
        <f>AU9+(AS11-AS9)*(AU10-AU9)/(AS10-AS9)</f>
        <v>#VALUE!</v>
      </c>
    </row>
    <row r="12" spans="2:47">
      <c r="E12" s="2" t="s">
        <v>201</v>
      </c>
      <c r="F12" s="59">
        <v>1000</v>
      </c>
      <c r="I12" s="2" t="s">
        <v>205</v>
      </c>
      <c r="J12" s="577" t="s">
        <v>203</v>
      </c>
      <c r="K12" s="579"/>
      <c r="R12" s="202" t="s">
        <v>398</v>
      </c>
      <c r="S12" s="181" t="s">
        <v>399</v>
      </c>
      <c r="T12" s="203" t="s">
        <v>397</v>
      </c>
      <c r="U12" s="65"/>
      <c r="V12" s="65"/>
      <c r="W12" s="181"/>
      <c r="Y12" s="307"/>
      <c r="AB12" s="299" t="s">
        <v>398</v>
      </c>
      <c r="AC12" s="282" t="s">
        <v>399</v>
      </c>
      <c r="AD12" s="280" t="s">
        <v>397</v>
      </c>
      <c r="AE12" s="281"/>
      <c r="AF12" s="281"/>
      <c r="AG12" s="282"/>
      <c r="AH12" s="278"/>
      <c r="AI12" s="278"/>
      <c r="AJ12" s="278"/>
      <c r="AK12" s="278"/>
      <c r="AL12" s="330" t="s">
        <v>398</v>
      </c>
      <c r="AM12" s="313" t="s">
        <v>399</v>
      </c>
      <c r="AN12" s="311" t="s">
        <v>397</v>
      </c>
      <c r="AO12" s="312"/>
      <c r="AP12" s="312"/>
      <c r="AQ12" s="313"/>
      <c r="AR12" s="309"/>
      <c r="AS12" s="309"/>
      <c r="AT12" s="309"/>
      <c r="AU12" s="309"/>
    </row>
    <row r="13" spans="2:47" ht="15.75" thickBot="1">
      <c r="J13" s="93" t="str">
        <f>IF(info_st="nj",AL20,"")</f>
        <v/>
      </c>
      <c r="R13" s="184">
        <v>1</v>
      </c>
      <c r="S13" s="186">
        <v>1</v>
      </c>
      <c r="T13" s="66" t="s">
        <v>199</v>
      </c>
      <c r="U13" s="67">
        <f>IF(U15&lt;2,1,2)</f>
        <v>1</v>
      </c>
      <c r="V13" s="16" t="s">
        <v>196</v>
      </c>
      <c r="W13" s="68">
        <f>VLOOKUP(U13,R$13:S$15,2,FALSE)</f>
        <v>1</v>
      </c>
      <c r="Y13" s="307"/>
      <c r="AB13" s="300">
        <v>1</v>
      </c>
      <c r="AC13" s="301">
        <v>1</v>
      </c>
      <c r="AD13" s="286" t="s">
        <v>199</v>
      </c>
      <c r="AE13" s="287">
        <f>IF(AE15&lt;2,1,2)</f>
        <v>1</v>
      </c>
      <c r="AF13" s="288" t="s">
        <v>196</v>
      </c>
      <c r="AG13" s="289">
        <f>VLOOKUP(AE13,AB$13:AC$15,2,FALSE)</f>
        <v>1</v>
      </c>
      <c r="AH13" s="278"/>
      <c r="AI13" s="342"/>
      <c r="AJ13" s="278"/>
      <c r="AK13" s="278"/>
      <c r="AL13" s="331">
        <v>1</v>
      </c>
      <c r="AM13" s="332">
        <v>1</v>
      </c>
      <c r="AN13" s="317" t="s">
        <v>199</v>
      </c>
      <c r="AO13" s="318">
        <f>IF(AO15&lt;2,1,2)</f>
        <v>1</v>
      </c>
      <c r="AP13" s="319" t="s">
        <v>196</v>
      </c>
      <c r="AQ13" s="320">
        <f>VLOOKUP(AO13,AL$13:AM$15,2,FALSE)</f>
        <v>1</v>
      </c>
      <c r="AR13" s="309"/>
      <c r="AS13" s="339"/>
      <c r="AT13" s="309"/>
      <c r="AU13" s="309"/>
    </row>
    <row r="14" spans="2:47" ht="15.75" thickBot="1">
      <c r="E14" s="91" t="s">
        <v>319</v>
      </c>
      <c r="F14" s="1" t="s">
        <v>27</v>
      </c>
      <c r="I14" s="2" t="s">
        <v>313</v>
      </c>
      <c r="J14" s="577" t="s">
        <v>317</v>
      </c>
      <c r="K14" s="578"/>
      <c r="L14" s="578"/>
      <c r="M14" s="579"/>
      <c r="N14" s="195">
        <f>IF(F14="yes",VLOOKUP(J14,Ranges!$BY:$BZ,2,FALSE),1)</f>
        <v>1.02</v>
      </c>
      <c r="R14" s="184">
        <v>2</v>
      </c>
      <c r="S14" s="68">
        <f>VLOOKUP(Limit_Agg/R14,Ranges!$AZ$27:$BS$31,$S$11,TRUE)</f>
        <v>1.0796486021061653</v>
      </c>
      <c r="T14" s="66" t="s">
        <v>200</v>
      </c>
      <c r="U14" s="67">
        <f>U13+1</f>
        <v>2</v>
      </c>
      <c r="V14" s="16" t="s">
        <v>197</v>
      </c>
      <c r="W14" s="68">
        <f>VLOOKUP(U14,R$13:S$15,2,FALSE)</f>
        <v>1.0796486021061653</v>
      </c>
      <c r="Y14" s="345" t="s">
        <v>570</v>
      </c>
      <c r="AB14" s="300">
        <v>2</v>
      </c>
      <c r="AC14" s="289">
        <f>VLOOKUP(Limit_Agg/AB14,Ranges!$AZ$69:$BS$73,AC$11,TRUE)</f>
        <v>1.0618055935501034</v>
      </c>
      <c r="AD14" s="286" t="s">
        <v>200</v>
      </c>
      <c r="AE14" s="287">
        <f>AE13+1</f>
        <v>2</v>
      </c>
      <c r="AF14" s="288" t="s">
        <v>197</v>
      </c>
      <c r="AG14" s="289">
        <f>VLOOKUP(AE14,AB$13:AC$15,2,FALSE)</f>
        <v>1.0618055935501034</v>
      </c>
      <c r="AH14" s="278"/>
      <c r="AI14" s="343" t="s">
        <v>570</v>
      </c>
      <c r="AJ14" s="278"/>
      <c r="AK14" s="278"/>
      <c r="AL14" s="331">
        <v>2</v>
      </c>
      <c r="AM14" s="320" t="str">
        <f>VLOOKUP(Limit_Agg/AL14,Ranges!$AZ$109:$BS$113,AM$11,TRUE)</f>
        <v>N/A</v>
      </c>
      <c r="AN14" s="317" t="s">
        <v>200</v>
      </c>
      <c r="AO14" s="318">
        <f>AO13+1</f>
        <v>2</v>
      </c>
      <c r="AP14" s="319" t="s">
        <v>197</v>
      </c>
      <c r="AQ14" s="320" t="str">
        <f>VLOOKUP(AO14,AL$13:AM$15,2,FALSE)</f>
        <v>N/A</v>
      </c>
      <c r="AR14" s="309"/>
      <c r="AS14" s="340" t="s">
        <v>570</v>
      </c>
      <c r="AT14" s="309"/>
      <c r="AU14" s="309"/>
    </row>
    <row r="15" spans="2:47" s="4" customFormat="1" ht="15.75" thickBot="1">
      <c r="E15" s="72"/>
      <c r="F15" s="73"/>
      <c r="R15" s="210">
        <v>3</v>
      </c>
      <c r="S15" s="185">
        <f>VLOOKUP(Limit_Agg/R15,Ranges!$AZ$36:$BS$39,$S$11,TRUE)</f>
        <v>1.0794010414424289</v>
      </c>
      <c r="T15" s="69" t="s">
        <v>192</v>
      </c>
      <c r="U15" s="183">
        <f>Limit_Agg/Limit_Claim</f>
        <v>1</v>
      </c>
      <c r="V15" s="200" t="s">
        <v>398</v>
      </c>
      <c r="W15" s="201">
        <f>W13+(U15-U13)*(W14-W13)/(U14-U13)</f>
        <v>1</v>
      </c>
      <c r="Y15" s="346">
        <f>AA11*W15</f>
        <v>2.19</v>
      </c>
      <c r="AB15" s="302">
        <v>3</v>
      </c>
      <c r="AC15" s="303">
        <f>VLOOKUP(Limit_Agg/AB15,Ranges!$AZ$79:$BS$82,AC$11,TRUE)</f>
        <v>1.0794010414424289</v>
      </c>
      <c r="AD15" s="290" t="s">
        <v>192</v>
      </c>
      <c r="AE15" s="304">
        <f>Limit_Agg/Limit_Claim</f>
        <v>1</v>
      </c>
      <c r="AF15" s="297" t="s">
        <v>398</v>
      </c>
      <c r="AG15" s="298">
        <f>AG13+(AE15-AE13)*(AG14-AG13)/(AE14-AE13)</f>
        <v>1</v>
      </c>
      <c r="AH15" s="278"/>
      <c r="AI15" s="344">
        <f>AK11*AG15</f>
        <v>1.94</v>
      </c>
      <c r="AJ15" s="278"/>
      <c r="AK15" s="278"/>
      <c r="AL15" s="333">
        <v>3</v>
      </c>
      <c r="AM15" s="334">
        <f>VLOOKUP(Limit_Agg/AL15,Ranges!$AZ$118:$BS$121,AM$11,TRUE)</f>
        <v>1.0794010414424289</v>
      </c>
      <c r="AN15" s="321" t="s">
        <v>192</v>
      </c>
      <c r="AO15" s="335">
        <f>Limit_Agg/Limit_Claim</f>
        <v>1</v>
      </c>
      <c r="AP15" s="328" t="s">
        <v>398</v>
      </c>
      <c r="AQ15" s="329" t="e">
        <f>AQ13+(AO15-AO13)*(AQ14-AQ13)/(AO14-AO13)</f>
        <v>#VALUE!</v>
      </c>
      <c r="AR15" s="309"/>
      <c r="AS15" s="341" t="e">
        <f>AU11*AQ15</f>
        <v>#VALUE!</v>
      </c>
      <c r="AT15" s="309"/>
      <c r="AU15" s="309"/>
    </row>
    <row r="16" spans="2:47" s="4" customFormat="1" ht="15.75" thickBot="1">
      <c r="E16" s="171" t="s">
        <v>417</v>
      </c>
      <c r="F16" s="173">
        <f>ROUND(IF(info_st="ny",AI18,IF(info_st="nj",AS18,Y18)),3)</f>
        <v>2.1859999999999999</v>
      </c>
      <c r="R16" s="66" t="s">
        <v>2716</v>
      </c>
      <c r="S16" s="67">
        <f>MATCH(U18,Ranges!$BU$5:$BU$22,1)</f>
        <v>3</v>
      </c>
      <c r="T16" s="16" t="s">
        <v>2718</v>
      </c>
      <c r="U16" s="67">
        <f>INDEX(Ranges!$BU$5:$BW$22,S16,1)</f>
        <v>1000</v>
      </c>
      <c r="V16" s="16" t="s">
        <v>196</v>
      </c>
      <c r="W16" s="68">
        <f>INDEX(Ranges!$BU$5:$BW$22,S16,S$18)</f>
        <v>4.0000000000000001E-3</v>
      </c>
      <c r="Y16" s="307"/>
      <c r="AB16" s="286" t="s">
        <v>2716</v>
      </c>
      <c r="AC16" s="287">
        <f>MATCH(AE18,Ranges!$BU$47:$BU$61,1)</f>
        <v>2</v>
      </c>
      <c r="AD16" s="288" t="s">
        <v>2718</v>
      </c>
      <c r="AE16" s="287">
        <f>INDEX(Ranges!$BU$47:$BW$61,AC16,1)</f>
        <v>1000</v>
      </c>
      <c r="AF16" s="288" t="s">
        <v>196</v>
      </c>
      <c r="AG16" s="289">
        <f>INDEX(Ranges!$BU$47:$BW$61,AC16,AC$18)</f>
        <v>0.08</v>
      </c>
      <c r="AH16" s="278"/>
      <c r="AI16" s="342"/>
      <c r="AJ16" s="278"/>
      <c r="AK16" s="278"/>
      <c r="AL16" s="317" t="s">
        <v>2716</v>
      </c>
      <c r="AM16" s="318">
        <f>MATCH(AO18,Ranges!$BU$89:$BU$100,1)</f>
        <v>2</v>
      </c>
      <c r="AN16" s="319" t="s">
        <v>2718</v>
      </c>
      <c r="AO16" s="318">
        <f>INDEX(Ranges!$BU$89:$BW$100,AM16,1)</f>
        <v>1000</v>
      </c>
      <c r="AP16" s="319" t="s">
        <v>196</v>
      </c>
      <c r="AQ16" s="320" t="str">
        <f>INDEX(Ranges!$BU$89:$BW$100,AM16,AM$18)</f>
        <v>N/A</v>
      </c>
      <c r="AR16" s="309"/>
      <c r="AS16" s="339"/>
      <c r="AT16" s="309"/>
      <c r="AU16" s="309"/>
    </row>
    <row r="17" spans="2:47" s="4" customFormat="1" ht="15.75" thickBot="1">
      <c r="R17" s="66" t="s">
        <v>2717</v>
      </c>
      <c r="S17" s="67">
        <f>IF(S16=ROWS(Ranges!$BU$5:$BU$22),ROWS(Ranges!$BU$5:$BU$22)-1,S16+1)</f>
        <v>4</v>
      </c>
      <c r="T17" s="16" t="s">
        <v>2719</v>
      </c>
      <c r="U17" s="67">
        <f>INDEX(Ranges!$BU$5:$BW$22,S17,1)</f>
        <v>2000</v>
      </c>
      <c r="V17" s="16" t="s">
        <v>197</v>
      </c>
      <c r="W17" s="68">
        <f>INDEX(Ranges!$BU$5:$BW$22,S17,S$18)</f>
        <v>1.6E-2</v>
      </c>
      <c r="Y17" s="337" t="s">
        <v>571</v>
      </c>
      <c r="AB17" s="286" t="s">
        <v>2717</v>
      </c>
      <c r="AC17" s="287">
        <f>IF(AC16=ROWS(Ranges!$BU$47:$BU$61),ROWS(Ranges!$BU$47:$BU$61)-1,AC16+1)</f>
        <v>3</v>
      </c>
      <c r="AD17" s="288" t="s">
        <v>2719</v>
      </c>
      <c r="AE17" s="287">
        <f>INDEX(Ranges!$BU$47:$BW$61,AC17,1)</f>
        <v>2000</v>
      </c>
      <c r="AF17" s="288" t="s">
        <v>197</v>
      </c>
      <c r="AG17" s="289">
        <f>INDEX(Ranges!$BU$47:$BW$61,AC17,AC$18)</f>
        <v>0.12</v>
      </c>
      <c r="AH17" s="278"/>
      <c r="AI17" s="343" t="s">
        <v>571</v>
      </c>
      <c r="AJ17" s="278"/>
      <c r="AK17" s="278"/>
      <c r="AL17" s="317" t="s">
        <v>2717</v>
      </c>
      <c r="AM17" s="318">
        <f>IF(AM16=ROWS(Ranges!$BU$89:$BU$100),ROWS(Ranges!$BU$89:$BU$100)-1,AM16+1)</f>
        <v>3</v>
      </c>
      <c r="AN17" s="319" t="s">
        <v>2719</v>
      </c>
      <c r="AO17" s="318">
        <f>INDEX(Ranges!$BU$89:$BW$100,AM17,1)</f>
        <v>2500</v>
      </c>
      <c r="AP17" s="319" t="s">
        <v>197</v>
      </c>
      <c r="AQ17" s="320" t="str">
        <f>INDEX(Ranges!$BU$89:$BW$100,AM17,AM$18)</f>
        <v>N/A</v>
      </c>
      <c r="AR17" s="309"/>
      <c r="AS17" s="340" t="s">
        <v>571</v>
      </c>
      <c r="AT17" s="309"/>
      <c r="AU17" s="309"/>
    </row>
    <row r="18" spans="2:47" s="4" customFormat="1" ht="15.75" thickBot="1">
      <c r="D18" s="168"/>
      <c r="E18" s="169" t="s">
        <v>206</v>
      </c>
      <c r="F18" s="170">
        <f>ROUND(Rate_Base*Rate_ILF,0)</f>
        <v>1093</v>
      </c>
      <c r="R18" s="69" t="s">
        <v>191</v>
      </c>
      <c r="S18" s="70">
        <f>IF($J12=Ranges!$BV$5,2,3)</f>
        <v>2</v>
      </c>
      <c r="T18" s="71" t="s">
        <v>192</v>
      </c>
      <c r="U18" s="70">
        <f>Limit_Ded</f>
        <v>1000</v>
      </c>
      <c r="V18" s="200" t="s">
        <v>388</v>
      </c>
      <c r="W18" s="201">
        <f>W16+(U18-U16)*(W17-W16)/(U17-U16)</f>
        <v>4.0000000000000001E-3</v>
      </c>
      <c r="Y18" s="338">
        <f>Y15-W18</f>
        <v>2.1859999999999999</v>
      </c>
      <c r="AB18" s="290" t="s">
        <v>191</v>
      </c>
      <c r="AC18" s="291">
        <f>S18</f>
        <v>2</v>
      </c>
      <c r="AD18" s="296" t="s">
        <v>192</v>
      </c>
      <c r="AE18" s="291">
        <f>Limit_Ded</f>
        <v>1000</v>
      </c>
      <c r="AF18" s="297" t="s">
        <v>388</v>
      </c>
      <c r="AG18" s="298">
        <f>AG16+(AE18-AE16)*(AG17-AG16)/(AE17-AE16)</f>
        <v>0.08</v>
      </c>
      <c r="AH18" s="278"/>
      <c r="AI18" s="344">
        <f>AI15-AG18</f>
        <v>1.8599999999999999</v>
      </c>
      <c r="AJ18" s="278"/>
      <c r="AK18" s="278"/>
      <c r="AL18" s="321" t="s">
        <v>191</v>
      </c>
      <c r="AM18" s="322">
        <f>IF($J12=Ranges!$BV$5,2,3)</f>
        <v>2</v>
      </c>
      <c r="AN18" s="327" t="s">
        <v>192</v>
      </c>
      <c r="AO18" s="322">
        <f>Limit_Ded</f>
        <v>1000</v>
      </c>
      <c r="AP18" s="328" t="s">
        <v>388</v>
      </c>
      <c r="AQ18" s="329" t="e">
        <f>AQ16+(AO18-AO16)*(AQ17-AQ16)/(AO17-AO16)</f>
        <v>#VALUE!</v>
      </c>
      <c r="AR18" s="309"/>
      <c r="AS18" s="341" t="e">
        <f>AS15-AQ18</f>
        <v>#VALUE!</v>
      </c>
      <c r="AT18" s="309"/>
      <c r="AU18" s="309"/>
    </row>
    <row r="19" spans="2:47">
      <c r="AB19" s="336" t="str">
        <f>Ranges!BB64</f>
        <v>For NY, cannot select Claims Expense Inside of Claims for Limits below $500k or Separate Claims Expense Covg Endorsement</v>
      </c>
      <c r="AC19" s="278"/>
      <c r="AD19" s="278"/>
      <c r="AE19" s="278"/>
      <c r="AF19" s="278"/>
      <c r="AG19" s="278"/>
      <c r="AH19" s="278"/>
      <c r="AI19" s="342"/>
      <c r="AJ19" s="278"/>
      <c r="AK19" s="278"/>
      <c r="AL19" s="309" t="str">
        <f>Ranges!BB104</f>
        <v>For NJ, Claims Expense Inside of Limits only permitted for Limits of $2M or greater.  Claims Expense in Addition to Limits only permitted for limits less than $2M.</v>
      </c>
      <c r="AM19" s="309"/>
      <c r="AN19" s="309"/>
      <c r="AO19" s="309"/>
      <c r="AP19" s="309"/>
      <c r="AQ19" s="309"/>
      <c r="AR19" s="309"/>
      <c r="AS19" s="339"/>
      <c r="AT19" s="309"/>
      <c r="AU19" s="309"/>
    </row>
    <row r="20" spans="2:47" ht="17.25">
      <c r="B20" s="11" t="s">
        <v>207</v>
      </c>
      <c r="F20" s="93"/>
      <c r="R20" s="196" t="s">
        <v>275</v>
      </c>
      <c r="S20" s="197" t="str">
        <f>VLOOKUP(info_st,Ranges!$CL:$CM,2,FALSE)</f>
        <v>Table A</v>
      </c>
      <c r="AB20" s="278">
        <f>Ranges!BU62</f>
        <v>0</v>
      </c>
      <c r="AI20" s="307"/>
      <c r="AL20" s="309" t="str">
        <f>Ranges!BU101</f>
        <v>For NJ, Deductible cannot apply to Loss &amp; Claims Expense (Must select Loss Only Deductible)</v>
      </c>
      <c r="AS20" s="307"/>
    </row>
    <row r="21" spans="2:47" s="153" customFormat="1" ht="30">
      <c r="F21" s="125" t="s">
        <v>276</v>
      </c>
      <c r="G21" s="125" t="s">
        <v>385</v>
      </c>
      <c r="H21" s="125" t="s">
        <v>538</v>
      </c>
      <c r="I21" s="125" t="s">
        <v>539</v>
      </c>
      <c r="L21" s="237" t="str">
        <f>F21</f>
        <v>% of Billings</v>
      </c>
      <c r="M21" s="237" t="str">
        <f>G21</f>
        <v>Debit/
Credit</v>
      </c>
      <c r="N21" s="125" t="str">
        <f>H21</f>
        <v>Min Factor</v>
      </c>
      <c r="O21" s="237" t="str">
        <f>I21</f>
        <v>Max Factor</v>
      </c>
    </row>
    <row r="22" spans="2:47">
      <c r="D22" s="36"/>
      <c r="E22" s="2" t="str">
        <f>Ranges!CD6</f>
        <v>Acquisitions/Mergers</v>
      </c>
      <c r="F22" s="81">
        <v>1</v>
      </c>
      <c r="G22" s="381">
        <f>IFERROR(IF(AND(H22&lt;=1,I22&lt;=1),H22,IF(AND(H22&gt;=1,I22&gt;=1),I22,AVERAGE(H22,I22))),1)</f>
        <v>1.5</v>
      </c>
      <c r="H22" s="62">
        <f>INDEX(Ranges!$CO$5:$DF$13,MATCH(VLOOKUP(E22,Ranges!$CD$5:$CJ$53,MATCH($S$20,Ranges!$CD$5:$CJ$5,0),FALSE),Ranges!$CO$5:$CO$13,0),MATCH($S$20,Ranges!$CO$5:$DF$5,0)+1)</f>
        <v>1</v>
      </c>
      <c r="I22" s="62">
        <f>INDEX(Ranges!$CO$5:$DF$13,MATCH(VLOOKUP(E22,Ranges!$CD$5:$CJ$53,MATCH($S$20,Ranges!$CD$5:$CJ$5,0),FALSE),Ranges!$CO$5:$CO$13,0),MATCH($S$20,Ranges!$CO$5:$DF$5,0)+2)</f>
        <v>1.5</v>
      </c>
      <c r="K22" s="2" t="str">
        <f>Ranges!CD30</f>
        <v>Government</v>
      </c>
      <c r="L22" s="81"/>
      <c r="M22" s="381">
        <f t="shared" ref="M22:M45" si="0">IFERROR(IF(AND(N22&lt;=1,O22&lt;=1),N22,IF(AND(N22&gt;=1,O22&gt;=1),O22,AVERAGE(N22,O22))),1)</f>
        <v>1</v>
      </c>
      <c r="N22" s="62">
        <f>INDEX(Ranges!$CO$5:$DF$13,MATCH(VLOOKUP(K22,Ranges!$CD$5:$CJ$53,MATCH($S$20,Ranges!$CD$5:$CJ$5,0),FALSE),Ranges!$CO$5:$CO$13,0),MATCH($S$20,Ranges!$CO$5:$DF$5,0)+1)</f>
        <v>0.75</v>
      </c>
      <c r="O22" s="62">
        <f>INDEX(Ranges!$CO$5:$DF$13,MATCH(VLOOKUP(K22,Ranges!$CD$5:$CJ$53,MATCH($S$20,Ranges!$CD$5:$CJ$5,0),FALSE),Ranges!$CO$5:$CO$13,0),MATCH($S$20,Ranges!$CO$5:$DF$5,0)+2)</f>
        <v>1.25</v>
      </c>
    </row>
    <row r="23" spans="2:47">
      <c r="D23" s="36"/>
      <c r="E23" s="2" t="str">
        <f>Ranges!CD7</f>
        <v>Administrative Law</v>
      </c>
      <c r="F23" s="81"/>
      <c r="G23" s="381">
        <f t="shared" ref="G23:G45" si="1">IFERROR(IF(AND(H23&lt;=1,I23&lt;=1),H23,IF(AND(H23&gt;=1,I23&gt;=1),I23,AVERAGE(H23,I23))),1)</f>
        <v>0.5</v>
      </c>
      <c r="H23" s="62">
        <f>INDEX(Ranges!$CO$5:$DF$13,MATCH(VLOOKUP(E23,Ranges!$CD$5:$CJ$53,MATCH($S$20,Ranges!$CD$5:$CJ$5,0),FALSE),Ranges!$CO$5:$CO$13,0),MATCH($S$20,Ranges!$CO$5:$DF$5,0)+1)</f>
        <v>0.5</v>
      </c>
      <c r="I23" s="62">
        <f>INDEX(Ranges!$CO$5:$DF$13,MATCH(VLOOKUP(E23,Ranges!$CD$5:$CJ$53,MATCH($S$20,Ranges!$CD$5:$CJ$5,0),FALSE),Ranges!$CO$5:$CO$13,0),MATCH($S$20,Ranges!$CO$5:$DF$5,0)+2)</f>
        <v>1</v>
      </c>
      <c r="K23" s="2" t="str">
        <f>Ranges!CD31</f>
        <v>Immigration</v>
      </c>
      <c r="L23" s="81"/>
      <c r="M23" s="381">
        <f t="shared" si="0"/>
        <v>1</v>
      </c>
      <c r="N23" s="62">
        <f>INDEX(Ranges!$CO$5:$DF$13,MATCH(VLOOKUP(K23,Ranges!$CD$5:$CJ$53,MATCH($S$20,Ranges!$CD$5:$CJ$5,0),FALSE),Ranges!$CO$5:$CO$13,0),MATCH($S$20,Ranges!$CO$5:$DF$5,0)+1)</f>
        <v>0.75</v>
      </c>
      <c r="O23" s="62">
        <f>INDEX(Ranges!$CO$5:$DF$13,MATCH(VLOOKUP(K23,Ranges!$CD$5:$CJ$53,MATCH($S$20,Ranges!$CD$5:$CJ$5,0),FALSE),Ranges!$CO$5:$CO$13,0),MATCH($S$20,Ranges!$CO$5:$DF$5,0)+2)</f>
        <v>1.25</v>
      </c>
    </row>
    <row r="24" spans="2:47">
      <c r="D24" s="36"/>
      <c r="E24" s="2" t="str">
        <f>Ranges!CD8</f>
        <v>Admiralty/Maritime</v>
      </c>
      <c r="F24" s="81"/>
      <c r="G24" s="381">
        <f t="shared" si="1"/>
        <v>1</v>
      </c>
      <c r="H24" s="62">
        <f>INDEX(Ranges!$CO$5:$DF$13,MATCH(VLOOKUP(E24,Ranges!$CD$5:$CJ$53,MATCH($S$20,Ranges!$CD$5:$CJ$5,0),FALSE),Ranges!$CO$5:$CO$13,0),MATCH($S$20,Ranges!$CO$5:$DF$5,0)+1)</f>
        <v>0.75</v>
      </c>
      <c r="I24" s="62">
        <f>INDEX(Ranges!$CO$5:$DF$13,MATCH(VLOOKUP(E24,Ranges!$CD$5:$CJ$53,MATCH($S$20,Ranges!$CD$5:$CJ$5,0),FALSE),Ranges!$CO$5:$CO$13,0),MATCH($S$20,Ranges!$CO$5:$DF$5,0)+2)</f>
        <v>1.25</v>
      </c>
      <c r="K24" s="2" t="str">
        <f>Ranges!CD32</f>
        <v>Insurance Defense</v>
      </c>
      <c r="L24" s="81"/>
      <c r="M24" s="381">
        <f t="shared" si="0"/>
        <v>0.5</v>
      </c>
      <c r="N24" s="62">
        <f>INDEX(Ranges!$CO$5:$DF$13,MATCH(VLOOKUP(K24,Ranges!$CD$5:$CJ$53,MATCH($S$20,Ranges!$CD$5:$CJ$5,0),FALSE),Ranges!$CO$5:$CO$13,0),MATCH($S$20,Ranges!$CO$5:$DF$5,0)+1)</f>
        <v>0.5</v>
      </c>
      <c r="O24" s="62">
        <f>INDEX(Ranges!$CO$5:$DF$13,MATCH(VLOOKUP(K24,Ranges!$CD$5:$CJ$53,MATCH($S$20,Ranges!$CD$5:$CJ$5,0),FALSE),Ranges!$CO$5:$CO$13,0),MATCH($S$20,Ranges!$CO$5:$DF$5,0)+2)</f>
        <v>1</v>
      </c>
    </row>
    <row r="25" spans="2:47">
      <c r="D25" s="36"/>
      <c r="E25" s="2" t="str">
        <f>Ranges!CD9</f>
        <v>Arbitration/Mediation</v>
      </c>
      <c r="F25" s="81"/>
      <c r="G25" s="381">
        <f t="shared" si="1"/>
        <v>0.5</v>
      </c>
      <c r="H25" s="62">
        <f>INDEX(Ranges!$CO$5:$DF$13,MATCH(VLOOKUP(E25,Ranges!$CD$5:$CJ$53,MATCH($S$20,Ranges!$CD$5:$CJ$5,0),FALSE),Ranges!$CO$5:$CO$13,0),MATCH($S$20,Ranges!$CO$5:$DF$5,0)+1)</f>
        <v>0.5</v>
      </c>
      <c r="I25" s="62">
        <f>INDEX(Ranges!$CO$5:$DF$13,MATCH(VLOOKUP(E25,Ranges!$CD$5:$CJ$53,MATCH($S$20,Ranges!$CD$5:$CJ$5,0),FALSE),Ranges!$CO$5:$CO$13,0),MATCH($S$20,Ranges!$CO$5:$DF$5,0)+2)</f>
        <v>1</v>
      </c>
      <c r="K25" s="2" t="str">
        <f>Ranges!CD33</f>
        <v>Intellectual Property Litigation</v>
      </c>
      <c r="L25" s="81"/>
      <c r="M25" s="381">
        <f t="shared" si="0"/>
        <v>1</v>
      </c>
      <c r="N25" s="62">
        <f>INDEX(Ranges!$CO$5:$DF$13,MATCH(VLOOKUP(K25,Ranges!$CD$5:$CJ$53,MATCH($S$20,Ranges!$CD$5:$CJ$5,0),FALSE),Ranges!$CO$5:$CO$13,0),MATCH($S$20,Ranges!$CO$5:$DF$5,0)+1)</f>
        <v>0.75</v>
      </c>
      <c r="O25" s="62">
        <f>INDEX(Ranges!$CO$5:$DF$13,MATCH(VLOOKUP(K25,Ranges!$CD$5:$CJ$53,MATCH($S$20,Ranges!$CD$5:$CJ$5,0),FALSE),Ranges!$CO$5:$CO$13,0),MATCH($S$20,Ranges!$CO$5:$DF$5,0)+2)</f>
        <v>1.25</v>
      </c>
    </row>
    <row r="26" spans="2:47">
      <c r="D26" s="36"/>
      <c r="E26" s="2" t="str">
        <f>Ranges!CD10</f>
        <v>Bankruptcy</v>
      </c>
      <c r="F26" s="81"/>
      <c r="G26" s="381">
        <f t="shared" si="1"/>
        <v>1</v>
      </c>
      <c r="H26" s="62">
        <f>INDEX(Ranges!$CO$5:$DF$13,MATCH(VLOOKUP(E26,Ranges!$CD$5:$CJ$53,MATCH($S$20,Ranges!$CD$5:$CJ$5,0),FALSE),Ranges!$CO$5:$CO$13,0),MATCH($S$20,Ranges!$CO$5:$DF$5,0)+1)</f>
        <v>0.75</v>
      </c>
      <c r="I26" s="62">
        <f>INDEX(Ranges!$CO$5:$DF$13,MATCH(VLOOKUP(E26,Ranges!$CD$5:$CJ$53,MATCH($S$20,Ranges!$CD$5:$CJ$5,0),FALSE),Ranges!$CO$5:$CO$13,0),MATCH($S$20,Ranges!$CO$5:$DF$5,0)+2)</f>
        <v>1.25</v>
      </c>
      <c r="K26" s="2" t="str">
        <f>Ranges!CD34</f>
        <v>International Law</v>
      </c>
      <c r="L26" s="81"/>
      <c r="M26" s="381">
        <f t="shared" si="0"/>
        <v>1</v>
      </c>
      <c r="N26" s="62">
        <f>INDEX(Ranges!$CO$5:$DF$13,MATCH(VLOOKUP(K26,Ranges!$CD$5:$CJ$53,MATCH($S$20,Ranges!$CD$5:$CJ$5,0),FALSE),Ranges!$CO$5:$CO$13,0),MATCH($S$20,Ranges!$CO$5:$DF$5,0)+1)</f>
        <v>0.75</v>
      </c>
      <c r="O26" s="62">
        <f>INDEX(Ranges!$CO$5:$DF$13,MATCH(VLOOKUP(K26,Ranges!$CD$5:$CJ$53,MATCH($S$20,Ranges!$CD$5:$CJ$5,0),FALSE),Ranges!$CO$5:$CO$13,0),MATCH($S$20,Ranges!$CO$5:$DF$5,0)+2)</f>
        <v>1.25</v>
      </c>
      <c r="R26" s="4"/>
    </row>
    <row r="27" spans="2:47">
      <c r="D27" s="36"/>
      <c r="E27" s="2" t="str">
        <f>Ranges!CD11</f>
        <v>BI/PD Defense</v>
      </c>
      <c r="F27" s="81"/>
      <c r="G27" s="381">
        <f t="shared" si="1"/>
        <v>0.5</v>
      </c>
      <c r="H27" s="62">
        <f>INDEX(Ranges!$CO$5:$DF$13,MATCH(VLOOKUP(E27,Ranges!$CD$5:$CJ$53,MATCH($S$20,Ranges!$CD$5:$CJ$5,0),FALSE),Ranges!$CO$5:$CO$13,0),MATCH($S$20,Ranges!$CO$5:$DF$5,0)+1)</f>
        <v>0.5</v>
      </c>
      <c r="I27" s="62">
        <f>INDEX(Ranges!$CO$5:$DF$13,MATCH(VLOOKUP(E27,Ranges!$CD$5:$CJ$53,MATCH($S$20,Ranges!$CD$5:$CJ$5,0),FALSE),Ranges!$CO$5:$CO$13,0),MATCH($S$20,Ranges!$CO$5:$DF$5,0)+2)</f>
        <v>1</v>
      </c>
      <c r="K27" s="2" t="str">
        <f>Ranges!CD35</f>
        <v>Investment Counsel/Money Management</v>
      </c>
      <c r="L27" s="81"/>
      <c r="M27" s="381">
        <f t="shared" si="0"/>
        <v>1.5</v>
      </c>
      <c r="N27" s="62">
        <f>INDEX(Ranges!$CO$5:$DF$13,MATCH(VLOOKUP(K27,Ranges!$CD$5:$CJ$53,MATCH($S$20,Ranges!$CD$5:$CJ$5,0),FALSE),Ranges!$CO$5:$CO$13,0),MATCH($S$20,Ranges!$CO$5:$DF$5,0)+1)</f>
        <v>1</v>
      </c>
      <c r="O27" s="62">
        <f>INDEX(Ranges!$CO$5:$DF$13,MATCH(VLOOKUP(K27,Ranges!$CD$5:$CJ$53,MATCH($S$20,Ranges!$CD$5:$CJ$5,0),FALSE),Ranges!$CO$5:$CO$13,0),MATCH($S$20,Ranges!$CO$5:$DF$5,0)+2)</f>
        <v>1.5</v>
      </c>
      <c r="R27" s="202" t="s">
        <v>398</v>
      </c>
      <c r="S27" s="181" t="s">
        <v>399</v>
      </c>
    </row>
    <row r="28" spans="2:47">
      <c r="D28" s="36"/>
      <c r="E28" s="2" t="str">
        <f>Ranges!CD12</f>
        <v>BI/PD Plaintiff</v>
      </c>
      <c r="F28" s="81"/>
      <c r="G28" s="381">
        <f t="shared" si="1"/>
        <v>1.5</v>
      </c>
      <c r="H28" s="62">
        <f>INDEX(Ranges!$CO$5:$DF$13,MATCH(VLOOKUP(E28,Ranges!$CD$5:$CJ$53,MATCH($S$20,Ranges!$CD$5:$CJ$5,0),FALSE),Ranges!$CO$5:$CO$13,0),MATCH($S$20,Ranges!$CO$5:$DF$5,0)+1)</f>
        <v>1</v>
      </c>
      <c r="I28" s="62">
        <f>INDEX(Ranges!$CO$5:$DF$13,MATCH(VLOOKUP(E28,Ranges!$CD$5:$CJ$53,MATCH($S$20,Ranges!$CD$5:$CJ$5,0),FALSE),Ranges!$CO$5:$CO$13,0),MATCH($S$20,Ranges!$CO$5:$DF$5,0)+2)</f>
        <v>1.5</v>
      </c>
      <c r="K28" s="2" t="str">
        <f>Ranges!CD36</f>
        <v>Juvenile/Guardian</v>
      </c>
      <c r="L28" s="81"/>
      <c r="M28" s="381">
        <f t="shared" si="0"/>
        <v>1</v>
      </c>
      <c r="N28" s="62">
        <f>INDEX(Ranges!$CO$5:$DF$13,MATCH(VLOOKUP(K28,Ranges!$CD$5:$CJ$53,MATCH($S$20,Ranges!$CD$5:$CJ$5,0),FALSE),Ranges!$CO$5:$CO$13,0),MATCH($S$20,Ranges!$CO$5:$DF$5,0)+1)</f>
        <v>0.75</v>
      </c>
      <c r="O28" s="62">
        <f>INDEX(Ranges!$CO$5:$DF$13,MATCH(VLOOKUP(K28,Ranges!$CD$5:$CJ$53,MATCH($S$20,Ranges!$CD$5:$CJ$5,0),FALSE),Ranges!$CO$5:$CO$13,0),MATCH($S$20,Ranges!$CO$5:$DF$5,0)+2)</f>
        <v>1.25</v>
      </c>
      <c r="R28" s="184">
        <v>1</v>
      </c>
      <c r="S28" s="186">
        <v>1</v>
      </c>
    </row>
    <row r="29" spans="2:47">
      <c r="D29" s="36"/>
      <c r="E29" s="2" t="str">
        <f>Ranges!CD13</f>
        <v>Bonds</v>
      </c>
      <c r="F29" s="81"/>
      <c r="G29" s="381">
        <f t="shared" si="1"/>
        <v>1.5</v>
      </c>
      <c r="H29" s="62">
        <f>INDEX(Ranges!$CO$5:$DF$13,MATCH(VLOOKUP(E29,Ranges!$CD$5:$CJ$53,MATCH($S$20,Ranges!$CD$5:$CJ$5,0),FALSE),Ranges!$CO$5:$CO$13,0),MATCH($S$20,Ranges!$CO$5:$DF$5,0)+1)</f>
        <v>1</v>
      </c>
      <c r="I29" s="62">
        <f>INDEX(Ranges!$CO$5:$DF$13,MATCH(VLOOKUP(E29,Ranges!$CD$5:$CJ$53,MATCH($S$20,Ranges!$CD$5:$CJ$5,0),FALSE),Ranges!$CO$5:$CO$13,0),MATCH($S$20,Ranges!$CO$5:$DF$5,0)+2)</f>
        <v>1.5</v>
      </c>
      <c r="K29" s="2" t="str">
        <f>Ranges!CD37</f>
        <v>Labor Relation</v>
      </c>
      <c r="L29" s="81"/>
      <c r="M29" s="381">
        <f t="shared" si="0"/>
        <v>1</v>
      </c>
      <c r="N29" s="62">
        <f>INDEX(Ranges!$CO$5:$DF$13,MATCH(VLOOKUP(K29,Ranges!$CD$5:$CJ$53,MATCH($S$20,Ranges!$CD$5:$CJ$5,0),FALSE),Ranges!$CO$5:$CO$13,0),MATCH($S$20,Ranges!$CO$5:$DF$5,0)+1)</f>
        <v>0.75</v>
      </c>
      <c r="O29" s="62">
        <f>INDEX(Ranges!$CO$5:$DF$13,MATCH(VLOOKUP(K29,Ranges!$CD$5:$CJ$53,MATCH($S$20,Ranges!$CD$5:$CJ$5,0),FALSE),Ranges!$CO$5:$CO$13,0),MATCH($S$20,Ranges!$CO$5:$DF$5,0)+2)</f>
        <v>1.25</v>
      </c>
      <c r="R29" s="184">
        <v>2</v>
      </c>
      <c r="S29" s="68">
        <v>1.0687022900763359</v>
      </c>
    </row>
    <row r="30" spans="2:47">
      <c r="D30" s="36"/>
      <c r="E30" s="2" t="str">
        <f>Ranges!CD14</f>
        <v>Business/Corporation</v>
      </c>
      <c r="F30" s="81"/>
      <c r="G30" s="381">
        <f t="shared" si="1"/>
        <v>1</v>
      </c>
      <c r="H30" s="62">
        <f>INDEX(Ranges!$CO$5:$DF$13,MATCH(VLOOKUP(E30,Ranges!$CD$5:$CJ$53,MATCH($S$20,Ranges!$CD$5:$CJ$5,0),FALSE),Ranges!$CO$5:$CO$13,0),MATCH($S$20,Ranges!$CO$5:$DF$5,0)+1)</f>
        <v>0.75</v>
      </c>
      <c r="I30" s="62">
        <f>INDEX(Ranges!$CO$5:$DF$13,MATCH(VLOOKUP(E30,Ranges!$CD$5:$CJ$53,MATCH($S$20,Ranges!$CD$5:$CJ$5,0),FALSE),Ranges!$CO$5:$CO$13,0),MATCH($S$20,Ranges!$CO$5:$DF$5,0)+2)</f>
        <v>1.25</v>
      </c>
      <c r="K30" s="2" t="str">
        <f>Ranges!CD38</f>
        <v>Landlord/Tenant</v>
      </c>
      <c r="L30" s="81"/>
      <c r="M30" s="381">
        <f t="shared" si="0"/>
        <v>1.5</v>
      </c>
      <c r="N30" s="62">
        <f>INDEX(Ranges!$CO$5:$DF$13,MATCH(VLOOKUP(K30,Ranges!$CD$5:$CJ$53,MATCH($S$20,Ranges!$CD$5:$CJ$5,0),FALSE),Ranges!$CO$5:$CO$13,0),MATCH($S$20,Ranges!$CO$5:$DF$5,0)+1)</f>
        <v>1</v>
      </c>
      <c r="O30" s="62">
        <f>INDEX(Ranges!$CO$5:$DF$13,MATCH(VLOOKUP(K30,Ranges!$CD$5:$CJ$53,MATCH($S$20,Ranges!$CD$5:$CJ$5,0),FALSE),Ranges!$CO$5:$CO$13,0),MATCH($S$20,Ranges!$CO$5:$DF$5,0)+2)</f>
        <v>1.5</v>
      </c>
      <c r="R30" s="210">
        <v>3</v>
      </c>
      <c r="S30" s="185">
        <v>1.1331296474117338</v>
      </c>
    </row>
    <row r="31" spans="2:47">
      <c r="D31" s="36"/>
      <c r="E31" s="2" t="str">
        <f>Ranges!CD15</f>
        <v>Collection/Repossession</v>
      </c>
      <c r="F31" s="81"/>
      <c r="G31" s="381">
        <f t="shared" si="1"/>
        <v>1</v>
      </c>
      <c r="H31" s="62">
        <f>INDEX(Ranges!$CO$5:$DF$13,MATCH(VLOOKUP(E31,Ranges!$CD$5:$CJ$53,MATCH($S$20,Ranges!$CD$5:$CJ$5,0),FALSE),Ranges!$CO$5:$CO$13,0),MATCH($S$20,Ranges!$CO$5:$DF$5,0)+1)</f>
        <v>0.75</v>
      </c>
      <c r="I31" s="62">
        <f>INDEX(Ranges!$CO$5:$DF$13,MATCH(VLOOKUP(E31,Ranges!$CD$5:$CJ$53,MATCH($S$20,Ranges!$CD$5:$CJ$5,0),FALSE),Ranges!$CO$5:$CO$13,0),MATCH($S$20,Ranges!$CO$5:$DF$5,0)+2)</f>
        <v>1.25</v>
      </c>
      <c r="K31" s="2" t="str">
        <f>Ranges!CD39</f>
        <v>Litigation Defense</v>
      </c>
      <c r="L31" s="81"/>
      <c r="M31" s="381">
        <f t="shared" si="0"/>
        <v>0.5</v>
      </c>
      <c r="N31" s="62">
        <f>INDEX(Ranges!$CO$5:$DF$13,MATCH(VLOOKUP(K31,Ranges!$CD$5:$CJ$53,MATCH($S$20,Ranges!$CD$5:$CJ$5,0),FALSE),Ranges!$CO$5:$CO$13,0),MATCH($S$20,Ranges!$CO$5:$DF$5,0)+1)</f>
        <v>0.5</v>
      </c>
      <c r="O31" s="62">
        <f>INDEX(Ranges!$CO$5:$DF$13,MATCH(VLOOKUP(K31,Ranges!$CD$5:$CJ$53,MATCH($S$20,Ranges!$CD$5:$CJ$5,0),FALSE),Ranges!$CO$5:$CO$13,0),MATCH($S$20,Ranges!$CO$5:$DF$5,0)+2)</f>
        <v>1</v>
      </c>
    </row>
    <row r="32" spans="2:47">
      <c r="D32" s="36"/>
      <c r="E32" s="2" t="str">
        <f>Ranges!CD16</f>
        <v>Construction/Building Contracts</v>
      </c>
      <c r="F32" s="81"/>
      <c r="G32" s="381">
        <f t="shared" si="1"/>
        <v>1</v>
      </c>
      <c r="H32" s="62">
        <f>INDEX(Ranges!$CO$5:$DF$13,MATCH(VLOOKUP(E32,Ranges!$CD$5:$CJ$53,MATCH($S$20,Ranges!$CD$5:$CJ$5,0),FALSE),Ranges!$CO$5:$CO$13,0),MATCH($S$20,Ranges!$CO$5:$DF$5,0)+1)</f>
        <v>0.75</v>
      </c>
      <c r="I32" s="62">
        <f>INDEX(Ranges!$CO$5:$DF$13,MATCH(VLOOKUP(E32,Ranges!$CD$5:$CJ$53,MATCH($S$20,Ranges!$CD$5:$CJ$5,0),FALSE),Ranges!$CO$5:$CO$13,0),MATCH($S$20,Ranges!$CO$5:$DF$5,0)+2)</f>
        <v>1.25</v>
      </c>
      <c r="K32" s="2" t="str">
        <f>Ranges!CD40</f>
        <v>Litigation Plaintiff</v>
      </c>
      <c r="L32" s="81"/>
      <c r="M32" s="381">
        <f t="shared" si="0"/>
        <v>1.5</v>
      </c>
      <c r="N32" s="62">
        <f>INDEX(Ranges!$CO$5:$DF$13,MATCH(VLOOKUP(K32,Ranges!$CD$5:$CJ$53,MATCH($S$20,Ranges!$CD$5:$CJ$5,0),FALSE),Ranges!$CO$5:$CO$13,0),MATCH($S$20,Ranges!$CO$5:$DF$5,0)+1)</f>
        <v>1</v>
      </c>
      <c r="O32" s="62">
        <f>INDEX(Ranges!$CO$5:$DF$13,MATCH(VLOOKUP(K32,Ranges!$CD$5:$CJ$53,MATCH($S$20,Ranges!$CD$5:$CJ$5,0),FALSE),Ranges!$CO$5:$CO$13,0),MATCH($S$20,Ranges!$CO$5:$DF$5,0)+2)</f>
        <v>1.5</v>
      </c>
    </row>
    <row r="33" spans="3:17">
      <c r="D33" s="36"/>
      <c r="E33" s="2" t="str">
        <f>Ranges!CD17</f>
        <v>Consumer Claims</v>
      </c>
      <c r="F33" s="81"/>
      <c r="G33" s="381">
        <f t="shared" si="1"/>
        <v>1</v>
      </c>
      <c r="H33" s="62">
        <f>INDEX(Ranges!$CO$5:$DF$13,MATCH(VLOOKUP(E33,Ranges!$CD$5:$CJ$53,MATCH($S$20,Ranges!$CD$5:$CJ$5,0),FALSE),Ranges!$CO$5:$CO$13,0),MATCH($S$20,Ranges!$CO$5:$DF$5,0)+1)</f>
        <v>0.75</v>
      </c>
      <c r="I33" s="62">
        <f>INDEX(Ranges!$CO$5:$DF$13,MATCH(VLOOKUP(E33,Ranges!$CD$5:$CJ$53,MATCH($S$20,Ranges!$CD$5:$CJ$5,0),FALSE),Ranges!$CO$5:$CO$13,0),MATCH($S$20,Ranges!$CO$5:$DF$5,0)+2)</f>
        <v>1.25</v>
      </c>
      <c r="K33" s="2" t="str">
        <f>Ranges!CD41</f>
        <v>Medical Malpractice</v>
      </c>
      <c r="L33" s="81"/>
      <c r="M33" s="381">
        <f t="shared" si="0"/>
        <v>1.5</v>
      </c>
      <c r="N33" s="62">
        <f>INDEX(Ranges!$CO$5:$DF$13,MATCH(VLOOKUP(K33,Ranges!$CD$5:$CJ$53,MATCH($S$20,Ranges!$CD$5:$CJ$5,0),FALSE),Ranges!$CO$5:$CO$13,0),MATCH($S$20,Ranges!$CO$5:$DF$5,0)+1)</f>
        <v>1</v>
      </c>
      <c r="O33" s="62">
        <f>INDEX(Ranges!$CO$5:$DF$13,MATCH(VLOOKUP(K33,Ranges!$CD$5:$CJ$53,MATCH($S$20,Ranges!$CD$5:$CJ$5,0),FALSE),Ranges!$CO$5:$CO$13,0),MATCH($S$20,Ranges!$CO$5:$DF$5,0)+2)</f>
        <v>1.5</v>
      </c>
    </row>
    <row r="34" spans="3:17">
      <c r="D34" s="36"/>
      <c r="E34" s="2" t="str">
        <f>Ranges!CD18</f>
        <v>Copyright/Patent/Trademark</v>
      </c>
      <c r="F34" s="81"/>
      <c r="G34" s="381">
        <f t="shared" si="1"/>
        <v>1.5</v>
      </c>
      <c r="H34" s="62">
        <f>INDEX(Ranges!$CO$5:$DF$13,MATCH(VLOOKUP(E34,Ranges!$CD$5:$CJ$53,MATCH($S$20,Ranges!$CD$5:$CJ$5,0),FALSE),Ranges!$CO$5:$CO$13,0),MATCH($S$20,Ranges!$CO$5:$DF$5,0)+1)</f>
        <v>1</v>
      </c>
      <c r="I34" s="62">
        <f>INDEX(Ranges!$CO$5:$DF$13,MATCH(VLOOKUP(E34,Ranges!$CD$5:$CJ$53,MATCH($S$20,Ranges!$CD$5:$CJ$5,0),FALSE),Ranges!$CO$5:$CO$13,0),MATCH($S$20,Ranges!$CO$5:$DF$5,0)+2)</f>
        <v>1.5</v>
      </c>
      <c r="K34" s="2" t="str">
        <f>Ranges!CD42</f>
        <v>Municipal Law</v>
      </c>
      <c r="L34" s="81"/>
      <c r="M34" s="381">
        <f t="shared" si="0"/>
        <v>1</v>
      </c>
      <c r="N34" s="62">
        <f>INDEX(Ranges!$CO$5:$DF$13,MATCH(VLOOKUP(K34,Ranges!$CD$5:$CJ$53,MATCH($S$20,Ranges!$CD$5:$CJ$5,0),FALSE),Ranges!$CO$5:$CO$13,0),MATCH($S$20,Ranges!$CO$5:$DF$5,0)+1)</f>
        <v>0.75</v>
      </c>
      <c r="O34" s="62">
        <f>INDEX(Ranges!$CO$5:$DF$13,MATCH(VLOOKUP(K34,Ranges!$CD$5:$CJ$53,MATCH($S$20,Ranges!$CD$5:$CJ$5,0),FALSE),Ranges!$CO$5:$CO$13,0),MATCH($S$20,Ranges!$CO$5:$DF$5,0)+2)</f>
        <v>1.25</v>
      </c>
    </row>
    <row r="35" spans="3:17">
      <c r="D35" s="36"/>
      <c r="E35" s="2" t="str">
        <f>Ranges!CD19</f>
        <v>Corporate Formation</v>
      </c>
      <c r="F35" s="81"/>
      <c r="G35" s="381">
        <f t="shared" si="1"/>
        <v>1.5</v>
      </c>
      <c r="H35" s="62">
        <f>INDEX(Ranges!$CO$5:$DF$13,MATCH(VLOOKUP(E35,Ranges!$CD$5:$CJ$53,MATCH($S$20,Ranges!$CD$5:$CJ$5,0),FALSE),Ranges!$CO$5:$CO$13,0),MATCH($S$20,Ranges!$CO$5:$DF$5,0)+1)</f>
        <v>1</v>
      </c>
      <c r="I35" s="62">
        <f>INDEX(Ranges!$CO$5:$DF$13,MATCH(VLOOKUP(E35,Ranges!$CD$5:$CJ$53,MATCH($S$20,Ranges!$CD$5:$CJ$5,0),FALSE),Ranges!$CO$5:$CO$13,0),MATCH($S$20,Ranges!$CO$5:$DF$5,0)+2)</f>
        <v>1.5</v>
      </c>
      <c r="K35" s="2" t="str">
        <f>Ranges!CD43</f>
        <v>Oil/Gas</v>
      </c>
      <c r="L35" s="81"/>
      <c r="M35" s="381">
        <f t="shared" si="0"/>
        <v>1.5</v>
      </c>
      <c r="N35" s="62">
        <f>INDEX(Ranges!$CO$5:$DF$13,MATCH(VLOOKUP(K35,Ranges!$CD$5:$CJ$53,MATCH($S$20,Ranges!$CD$5:$CJ$5,0),FALSE),Ranges!$CO$5:$CO$13,0),MATCH($S$20,Ranges!$CO$5:$DF$5,0)+1)</f>
        <v>1</v>
      </c>
      <c r="O35" s="62">
        <f>INDEX(Ranges!$CO$5:$DF$13,MATCH(VLOOKUP(K35,Ranges!$CD$5:$CJ$53,MATCH($S$20,Ranges!$CD$5:$CJ$5,0),FALSE),Ranges!$CO$5:$CO$13,0),MATCH($S$20,Ranges!$CO$5:$DF$5,0)+2)</f>
        <v>1.5</v>
      </c>
    </row>
    <row r="36" spans="3:17">
      <c r="D36" s="36"/>
      <c r="E36" s="2" t="str">
        <f>Ranges!CD20</f>
        <v>Criminal</v>
      </c>
      <c r="F36" s="81"/>
      <c r="G36" s="381">
        <f t="shared" si="1"/>
        <v>0.5</v>
      </c>
      <c r="H36" s="62">
        <f>INDEX(Ranges!$CO$5:$DF$13,MATCH(VLOOKUP(E36,Ranges!$CD$5:$CJ$53,MATCH($S$20,Ranges!$CD$5:$CJ$5,0),FALSE),Ranges!$CO$5:$CO$13,0),MATCH($S$20,Ranges!$CO$5:$DF$5,0)+1)</f>
        <v>0.5</v>
      </c>
      <c r="I36" s="62">
        <f>INDEX(Ranges!$CO$5:$DF$13,MATCH(VLOOKUP(E36,Ranges!$CD$5:$CJ$53,MATCH($S$20,Ranges!$CD$5:$CJ$5,0),FALSE),Ranges!$CO$5:$CO$13,0),MATCH($S$20,Ranges!$CO$5:$DF$5,0)+2)</f>
        <v>1</v>
      </c>
      <c r="K36" s="2" t="str">
        <f>Ranges!CD44</f>
        <v>Other</v>
      </c>
      <c r="L36" s="81"/>
      <c r="M36" s="381">
        <f t="shared" si="0"/>
        <v>1</v>
      </c>
      <c r="N36" s="62">
        <f>INDEX(Ranges!$CO$5:$DF$13,MATCH(VLOOKUP(K36,Ranges!$CD$5:$CJ$53,MATCH($S$20,Ranges!$CD$5:$CJ$5,0),FALSE),Ranges!$CO$5:$CO$13,0),MATCH($S$20,Ranges!$CO$5:$DF$5,0)+1)</f>
        <v>0.75</v>
      </c>
      <c r="O36" s="62">
        <f>INDEX(Ranges!$CO$5:$DF$13,MATCH(VLOOKUP(K36,Ranges!$CD$5:$CJ$53,MATCH($S$20,Ranges!$CD$5:$CJ$5,0),FALSE),Ranges!$CO$5:$CO$13,0),MATCH($S$20,Ranges!$CO$5:$DF$5,0)+2)</f>
        <v>1.25</v>
      </c>
      <c r="Q36" s="4"/>
    </row>
    <row r="37" spans="3:17">
      <c r="D37" s="36"/>
      <c r="E37" s="2" t="str">
        <f>Ranges!CD21</f>
        <v>Defense</v>
      </c>
      <c r="F37" s="81"/>
      <c r="G37" s="381">
        <f t="shared" si="1"/>
        <v>0.5</v>
      </c>
      <c r="H37" s="62">
        <f>INDEX(Ranges!$CO$5:$DF$13,MATCH(VLOOKUP(E37,Ranges!$CD$5:$CJ$53,MATCH($S$20,Ranges!$CD$5:$CJ$5,0),FALSE),Ranges!$CO$5:$CO$13,0),MATCH($S$20,Ranges!$CO$5:$DF$5,0)+1)</f>
        <v>0.5</v>
      </c>
      <c r="I37" s="62">
        <f>INDEX(Ranges!$CO$5:$DF$13,MATCH(VLOOKUP(E37,Ranges!$CD$5:$CJ$53,MATCH($S$20,Ranges!$CD$5:$CJ$5,0),FALSE),Ranges!$CO$5:$CO$13,0),MATCH($S$20,Ranges!$CO$5:$DF$5,0)+2)</f>
        <v>1</v>
      </c>
      <c r="K37" s="2" t="str">
        <f>Ranges!CD45</f>
        <v>Products Liability</v>
      </c>
      <c r="L37" s="81"/>
      <c r="M37" s="381">
        <f t="shared" si="0"/>
        <v>1.5</v>
      </c>
      <c r="N37" s="62">
        <f>INDEX(Ranges!$CO$5:$DF$13,MATCH(VLOOKUP(K37,Ranges!$CD$5:$CJ$53,MATCH($S$20,Ranges!$CD$5:$CJ$5,0),FALSE),Ranges!$CO$5:$CO$13,0),MATCH($S$20,Ranges!$CO$5:$DF$5,0)+1)</f>
        <v>1</v>
      </c>
      <c r="O37" s="62">
        <f>INDEX(Ranges!$CO$5:$DF$13,MATCH(VLOOKUP(K37,Ranges!$CD$5:$CJ$53,MATCH($S$20,Ranges!$CD$5:$CJ$5,0),FALSE),Ranges!$CO$5:$CO$13,0),MATCH($S$20,Ranges!$CO$5:$DF$5,0)+2)</f>
        <v>1.5</v>
      </c>
      <c r="Q37" s="4"/>
    </row>
    <row r="38" spans="3:17">
      <c r="D38" s="36"/>
      <c r="E38" s="2" t="str">
        <f>Ranges!CD22</f>
        <v>Discrimination/Harassment Defense</v>
      </c>
      <c r="F38" s="81"/>
      <c r="G38" s="381">
        <f t="shared" si="1"/>
        <v>0.5</v>
      </c>
      <c r="H38" s="62">
        <f>INDEX(Ranges!$CO$5:$DF$13,MATCH(VLOOKUP(E38,Ranges!$CD$5:$CJ$53,MATCH($S$20,Ranges!$CD$5:$CJ$5,0),FALSE),Ranges!$CO$5:$CO$13,0),MATCH($S$20,Ranges!$CO$5:$DF$5,0)+1)</f>
        <v>0.5</v>
      </c>
      <c r="I38" s="62">
        <f>INDEX(Ranges!$CO$5:$DF$13,MATCH(VLOOKUP(E38,Ranges!$CD$5:$CJ$53,MATCH($S$20,Ranges!$CD$5:$CJ$5,0),FALSE),Ranges!$CO$5:$CO$13,0),MATCH($S$20,Ranges!$CO$5:$DF$5,0)+2)</f>
        <v>1</v>
      </c>
      <c r="K38" s="2" t="str">
        <f>Ranges!CD46</f>
        <v>Public Utilities</v>
      </c>
      <c r="L38" s="81"/>
      <c r="M38" s="381">
        <f t="shared" si="0"/>
        <v>1</v>
      </c>
      <c r="N38" s="62">
        <f>INDEX(Ranges!$CO$5:$DF$13,MATCH(VLOOKUP(K38,Ranges!$CD$5:$CJ$53,MATCH($S$20,Ranges!$CD$5:$CJ$5,0),FALSE),Ranges!$CO$5:$CO$13,0),MATCH($S$20,Ranges!$CO$5:$DF$5,0)+1)</f>
        <v>0.75</v>
      </c>
      <c r="O38" s="62">
        <f>INDEX(Ranges!$CO$5:$DF$13,MATCH(VLOOKUP(K38,Ranges!$CD$5:$CJ$53,MATCH($S$20,Ranges!$CD$5:$CJ$5,0),FALSE),Ranges!$CO$5:$CO$13,0),MATCH($S$20,Ranges!$CO$5:$DF$5,0)+2)</f>
        <v>1.25</v>
      </c>
    </row>
    <row r="39" spans="3:17">
      <c r="D39" s="36"/>
      <c r="E39" s="2" t="str">
        <f>Ranges!CD23</f>
        <v>Discrimination/Harassment Plaintiff</v>
      </c>
      <c r="F39" s="81"/>
      <c r="G39" s="381">
        <f t="shared" si="1"/>
        <v>1.5</v>
      </c>
      <c r="H39" s="62">
        <f>INDEX(Ranges!$CO$5:$DF$13,MATCH(VLOOKUP(E39,Ranges!$CD$5:$CJ$53,MATCH($S$20,Ranges!$CD$5:$CJ$5,0),FALSE),Ranges!$CO$5:$CO$13,0),MATCH($S$20,Ranges!$CO$5:$DF$5,0)+1)</f>
        <v>1</v>
      </c>
      <c r="I39" s="62">
        <f>INDEX(Ranges!$CO$5:$DF$13,MATCH(VLOOKUP(E39,Ranges!$CD$5:$CJ$53,MATCH($S$20,Ranges!$CD$5:$CJ$5,0),FALSE),Ranges!$CO$5:$CO$13,0),MATCH($S$20,Ranges!$CO$5:$DF$5,0)+2)</f>
        <v>1.5</v>
      </c>
      <c r="K39" s="2" t="str">
        <f>Ranges!CD47</f>
        <v>Real Estate</v>
      </c>
      <c r="L39" s="81"/>
      <c r="M39" s="381">
        <f t="shared" si="0"/>
        <v>1.5</v>
      </c>
      <c r="N39" s="62">
        <f>INDEX(Ranges!$CO$5:$DF$13,MATCH(VLOOKUP(K39,Ranges!$CD$5:$CJ$53,MATCH($S$20,Ranges!$CD$5:$CJ$5,0),FALSE),Ranges!$CO$5:$CO$13,0),MATCH($S$20,Ranges!$CO$5:$DF$5,0)+1)</f>
        <v>1</v>
      </c>
      <c r="O39" s="62">
        <f>INDEX(Ranges!$CO$5:$DF$13,MATCH(VLOOKUP(K39,Ranges!$CD$5:$CJ$53,MATCH($S$20,Ranges!$CD$5:$CJ$5,0),FALSE),Ranges!$CO$5:$CO$13,0),MATCH($S$20,Ranges!$CO$5:$DF$5,0)+2)</f>
        <v>1.5</v>
      </c>
    </row>
    <row r="40" spans="3:17">
      <c r="D40" s="36"/>
      <c r="E40" s="2" t="str">
        <f>Ranges!CD24</f>
        <v>Domestic/Family</v>
      </c>
      <c r="F40" s="81"/>
      <c r="G40" s="381">
        <f t="shared" si="1"/>
        <v>1</v>
      </c>
      <c r="H40" s="62">
        <f>INDEX(Ranges!$CO$5:$DF$13,MATCH(VLOOKUP(E40,Ranges!$CD$5:$CJ$53,MATCH($S$20,Ranges!$CD$5:$CJ$5,0),FALSE),Ranges!$CO$5:$CO$13,0),MATCH($S$20,Ranges!$CO$5:$DF$5,0)+1)</f>
        <v>0.75</v>
      </c>
      <c r="I40" s="62">
        <f>INDEX(Ranges!$CO$5:$DF$13,MATCH(VLOOKUP(E40,Ranges!$CD$5:$CJ$53,MATCH($S$20,Ranges!$CD$5:$CJ$5,0),FALSE),Ranges!$CO$5:$CO$13,0),MATCH($S$20,Ranges!$CO$5:$DF$5,0)+2)</f>
        <v>1.25</v>
      </c>
      <c r="K40" s="2" t="str">
        <f>Ranges!CD48</f>
        <v>Securities</v>
      </c>
      <c r="L40" s="81"/>
      <c r="M40" s="381">
        <f t="shared" si="0"/>
        <v>1.5</v>
      </c>
      <c r="N40" s="62">
        <f>INDEX(Ranges!$CO$5:$DF$13,MATCH(VLOOKUP(K40,Ranges!$CD$5:$CJ$53,MATCH($S$20,Ranges!$CD$5:$CJ$5,0),FALSE),Ranges!$CO$5:$CO$13,0),MATCH($S$20,Ranges!$CO$5:$DF$5,0)+1)</f>
        <v>1</v>
      </c>
      <c r="O40" s="62">
        <f>INDEX(Ranges!$CO$5:$DF$13,MATCH(VLOOKUP(K40,Ranges!$CD$5:$CJ$53,MATCH($S$20,Ranges!$CD$5:$CJ$5,0),FALSE),Ranges!$CO$5:$CO$13,0),MATCH($S$20,Ranges!$CO$5:$DF$5,0)+2)</f>
        <v>1.5</v>
      </c>
    </row>
    <row r="41" spans="3:17">
      <c r="D41" s="36"/>
      <c r="E41" s="2" t="str">
        <f>Ranges!CD25</f>
        <v>Entertainment</v>
      </c>
      <c r="F41" s="81"/>
      <c r="G41" s="381">
        <f t="shared" si="1"/>
        <v>1.5</v>
      </c>
      <c r="H41" s="62">
        <f>INDEX(Ranges!$CO$5:$DF$13,MATCH(VLOOKUP(E41,Ranges!$CD$5:$CJ$53,MATCH($S$20,Ranges!$CD$5:$CJ$5,0),FALSE),Ranges!$CO$5:$CO$13,0),MATCH($S$20,Ranges!$CO$5:$DF$5,0)+1)</f>
        <v>1</v>
      </c>
      <c r="I41" s="62">
        <f>INDEX(Ranges!$CO$5:$DF$13,MATCH(VLOOKUP(E41,Ranges!$CD$5:$CJ$53,MATCH($S$20,Ranges!$CD$5:$CJ$5,0),FALSE),Ranges!$CO$5:$CO$13,0),MATCH($S$20,Ranges!$CO$5:$DF$5,0)+2)</f>
        <v>1.5</v>
      </c>
      <c r="K41" s="2" t="str">
        <f>Ranges!CD49</f>
        <v>Social Security</v>
      </c>
      <c r="L41" s="81"/>
      <c r="M41" s="381">
        <f t="shared" si="0"/>
        <v>1</v>
      </c>
      <c r="N41" s="62">
        <f>INDEX(Ranges!$CO$5:$DF$13,MATCH(VLOOKUP(K41,Ranges!$CD$5:$CJ$53,MATCH($S$20,Ranges!$CD$5:$CJ$5,0),FALSE),Ranges!$CO$5:$CO$13,0),MATCH($S$20,Ranges!$CO$5:$DF$5,0)+1)</f>
        <v>0.75</v>
      </c>
      <c r="O41" s="62">
        <f>INDEX(Ranges!$CO$5:$DF$13,MATCH(VLOOKUP(K41,Ranges!$CD$5:$CJ$53,MATCH($S$20,Ranges!$CD$5:$CJ$5,0),FALSE),Ranges!$CO$5:$CO$13,0),MATCH($S$20,Ranges!$CO$5:$DF$5,0)+2)</f>
        <v>1.25</v>
      </c>
    </row>
    <row r="42" spans="3:17">
      <c r="D42" s="36"/>
      <c r="E42" s="2" t="str">
        <f>Ranges!CD26</f>
        <v>Environmental</v>
      </c>
      <c r="F42" s="81"/>
      <c r="G42" s="381">
        <f t="shared" si="1"/>
        <v>1.5</v>
      </c>
      <c r="H42" s="62">
        <f>INDEX(Ranges!$CO$5:$DF$13,MATCH(VLOOKUP(E42,Ranges!$CD$5:$CJ$53,MATCH($S$20,Ranges!$CD$5:$CJ$5,0),FALSE),Ranges!$CO$5:$CO$13,0),MATCH($S$20,Ranges!$CO$5:$DF$5,0)+1)</f>
        <v>1</v>
      </c>
      <c r="I42" s="62">
        <f>INDEX(Ranges!$CO$5:$DF$13,MATCH(VLOOKUP(E42,Ranges!$CD$5:$CJ$53,MATCH($S$20,Ranges!$CD$5:$CJ$5,0),FALSE),Ranges!$CO$5:$CO$13,0),MATCH($S$20,Ranges!$CO$5:$DF$5,0)+2)</f>
        <v>1.5</v>
      </c>
      <c r="K42" s="2" t="str">
        <f>Ranges!CD50</f>
        <v>Tax Opinion</v>
      </c>
      <c r="L42" s="81"/>
      <c r="M42" s="381">
        <f t="shared" si="0"/>
        <v>1.5</v>
      </c>
      <c r="N42" s="62">
        <f>INDEX(Ranges!$CO$5:$DF$13,MATCH(VLOOKUP(K42,Ranges!$CD$5:$CJ$53,MATCH($S$20,Ranges!$CD$5:$CJ$5,0),FALSE),Ranges!$CO$5:$CO$13,0),MATCH($S$20,Ranges!$CO$5:$DF$5,0)+1)</f>
        <v>1</v>
      </c>
      <c r="O42" s="62">
        <f>INDEX(Ranges!$CO$5:$DF$13,MATCH(VLOOKUP(K42,Ranges!$CD$5:$CJ$53,MATCH($S$20,Ranges!$CD$5:$CJ$5,0),FALSE),Ranges!$CO$5:$CO$13,0),MATCH($S$20,Ranges!$CO$5:$DF$5,0)+2)</f>
        <v>1.5</v>
      </c>
    </row>
    <row r="43" spans="3:17">
      <c r="D43" s="36"/>
      <c r="E43" s="2" t="str">
        <f>Ranges!CD27</f>
        <v>ERISA/EE Benefit</v>
      </c>
      <c r="F43" s="81"/>
      <c r="G43" s="381">
        <f t="shared" si="1"/>
        <v>1.5</v>
      </c>
      <c r="H43" s="62">
        <f>INDEX(Ranges!$CO$5:$DF$13,MATCH(VLOOKUP(E43,Ranges!$CD$5:$CJ$53,MATCH($S$20,Ranges!$CD$5:$CJ$5,0),FALSE),Ranges!$CO$5:$CO$13,0),MATCH($S$20,Ranges!$CO$5:$DF$5,0)+1)</f>
        <v>1</v>
      </c>
      <c r="I43" s="62">
        <f>INDEX(Ranges!$CO$5:$DF$13,MATCH(VLOOKUP(E43,Ranges!$CD$5:$CJ$53,MATCH($S$20,Ranges!$CD$5:$CJ$5,0),FALSE),Ranges!$CO$5:$CO$13,0),MATCH($S$20,Ranges!$CO$5:$DF$5,0)+2)</f>
        <v>1.5</v>
      </c>
      <c r="K43" s="2" t="str">
        <f>Ranges!CD51</f>
        <v>Taxation</v>
      </c>
      <c r="L43" s="81"/>
      <c r="M43" s="381">
        <f t="shared" si="0"/>
        <v>1</v>
      </c>
      <c r="N43" s="62">
        <f>INDEX(Ranges!$CO$5:$DF$13,MATCH(VLOOKUP(K43,Ranges!$CD$5:$CJ$53,MATCH($S$20,Ranges!$CD$5:$CJ$5,0),FALSE),Ranges!$CO$5:$CO$13,0),MATCH($S$20,Ranges!$CO$5:$DF$5,0)+1)</f>
        <v>0.75</v>
      </c>
      <c r="O43" s="62">
        <f>INDEX(Ranges!$CO$5:$DF$13,MATCH(VLOOKUP(K43,Ranges!$CD$5:$CJ$53,MATCH($S$20,Ranges!$CD$5:$CJ$5,0),FALSE),Ranges!$CO$5:$CO$13,0),MATCH($S$20,Ranges!$CO$5:$DF$5,0)+2)</f>
        <v>1.25</v>
      </c>
    </row>
    <row r="44" spans="3:17">
      <c r="D44" s="36"/>
      <c r="E44" s="2" t="str">
        <f>Ranges!CD28</f>
        <v>Estate/Trust/Probate</v>
      </c>
      <c r="F44" s="81"/>
      <c r="G44" s="381">
        <f t="shared" si="1"/>
        <v>1.5</v>
      </c>
      <c r="H44" s="62">
        <f>INDEX(Ranges!$CO$5:$DF$13,MATCH(VLOOKUP(E44,Ranges!$CD$5:$CJ$53,MATCH($S$20,Ranges!$CD$5:$CJ$5,0),FALSE),Ranges!$CO$5:$CO$13,0),MATCH($S$20,Ranges!$CO$5:$DF$5,0)+1)</f>
        <v>1</v>
      </c>
      <c r="I44" s="62">
        <f>INDEX(Ranges!$CO$5:$DF$13,MATCH(VLOOKUP(E44,Ranges!$CD$5:$CJ$53,MATCH($S$20,Ranges!$CD$5:$CJ$5,0),FALSE),Ranges!$CO$5:$CO$13,0),MATCH($S$20,Ranges!$CO$5:$DF$5,0)+2)</f>
        <v>1.5</v>
      </c>
      <c r="K44" s="2" t="str">
        <f>Ranges!CD52</f>
        <v>Worker’s Compensation Defense</v>
      </c>
      <c r="L44" s="81"/>
      <c r="M44" s="381">
        <f t="shared" si="0"/>
        <v>0.5</v>
      </c>
      <c r="N44" s="62">
        <f>INDEX(Ranges!$CO$5:$DF$13,MATCH(VLOOKUP(K44,Ranges!$CD$5:$CJ$53,MATCH($S$20,Ranges!$CD$5:$CJ$5,0),FALSE),Ranges!$CO$5:$CO$13,0),MATCH($S$20,Ranges!$CO$5:$DF$5,0)+1)</f>
        <v>0.5</v>
      </c>
      <c r="O44" s="62">
        <f>INDEX(Ranges!$CO$5:$DF$13,MATCH(VLOOKUP(K44,Ranges!$CD$5:$CJ$53,MATCH($S$20,Ranges!$CD$5:$CJ$5,0),FALSE),Ranges!$CO$5:$CO$13,0),MATCH($S$20,Ranges!$CO$5:$DF$5,0)+2)</f>
        <v>1</v>
      </c>
    </row>
    <row r="45" spans="3:17">
      <c r="D45" s="36"/>
      <c r="E45" s="2" t="str">
        <f>Ranges!CD29</f>
        <v>Financial Institution</v>
      </c>
      <c r="F45" s="81"/>
      <c r="G45" s="381">
        <f t="shared" si="1"/>
        <v>1</v>
      </c>
      <c r="H45" s="62">
        <f>INDEX(Ranges!$CO$5:$DF$13,MATCH(VLOOKUP(E45,Ranges!$CD$5:$CJ$53,MATCH($S$20,Ranges!$CD$5:$CJ$5,0),FALSE),Ranges!$CO$5:$CO$13,0),MATCH($S$20,Ranges!$CO$5:$DF$5,0)+1)</f>
        <v>0.75</v>
      </c>
      <c r="I45" s="62">
        <f>INDEX(Ranges!$CO$5:$DF$13,MATCH(VLOOKUP(E45,Ranges!$CD$5:$CJ$53,MATCH($S$20,Ranges!$CD$5:$CJ$5,0),FALSE),Ranges!$CO$5:$CO$13,0),MATCH($S$20,Ranges!$CO$5:$DF$5,0)+2)</f>
        <v>1.25</v>
      </c>
      <c r="K45" s="2" t="str">
        <f>Ranges!CD53</f>
        <v>Worker’s Compensation Plaintiff</v>
      </c>
      <c r="L45" s="81"/>
      <c r="M45" s="381">
        <f t="shared" si="0"/>
        <v>1.5</v>
      </c>
      <c r="N45" s="62">
        <f>INDEX(Ranges!$CO$5:$DF$13,MATCH(VLOOKUP(K45,Ranges!$CD$5:$CJ$53,MATCH($S$20,Ranges!$CD$5:$CJ$5,0),FALSE),Ranges!$CO$5:$CO$13,0),MATCH($S$20,Ranges!$CO$5:$DF$5,0)+1)</f>
        <v>1</v>
      </c>
      <c r="O45" s="62">
        <f>INDEX(Ranges!$CO$5:$DF$13,MATCH(VLOOKUP(K45,Ranges!$CD$5:$CJ$53,MATCH($S$20,Ranges!$CD$5:$CJ$5,0),FALSE),Ranges!$CO$5:$CO$13,0),MATCH($S$20,Ranges!$CO$5:$DF$5,0)+2)</f>
        <v>1.5</v>
      </c>
    </row>
    <row r="46" spans="3:17">
      <c r="H46" s="234"/>
      <c r="I46" s="234"/>
      <c r="M46" s="234"/>
      <c r="N46" s="234"/>
      <c r="O46" s="234"/>
    </row>
    <row r="47" spans="3:17" ht="17.25">
      <c r="C47" s="82" t="str">
        <f>IF(AND(SUMPRODUCT(--(F22:F45&lt;&gt;""))=0,SUMPRODUCT(--(L22:L45&lt;&gt;""))=0),"",IF(L47&lt;&gt;100%,"ERROR: % of Billings must total 100%",""))</f>
        <v/>
      </c>
      <c r="K47" s="187" t="s">
        <v>274</v>
      </c>
      <c r="L47" s="188">
        <f>SUM(F22:F45,L22:L45)</f>
        <v>1</v>
      </c>
      <c r="M47" s="235">
        <f>ROUND(IF(AND(SUMPRODUCT(--(F22:F45&lt;&gt;""))=0,SUMPRODUCT(--(L22:L45&lt;&gt;""))=0),1,SUMPRODUCT(F22:F45,G22:G45)+SUMPRODUCT(L22:L45,M22:M45)),3)</f>
        <v>1.5</v>
      </c>
      <c r="N47" s="234"/>
      <c r="O47" s="234"/>
    </row>
    <row r="49" spans="2:28" s="4" customFormat="1">
      <c r="C49" s="4" t="s">
        <v>448</v>
      </c>
    </row>
    <row r="50" spans="2:28" s="4" customFormat="1" ht="75" customHeight="1">
      <c r="C50" s="580"/>
      <c r="D50" s="581"/>
      <c r="E50" s="581"/>
      <c r="F50" s="581"/>
      <c r="G50" s="581"/>
      <c r="H50" s="581"/>
      <c r="I50" s="581"/>
      <c r="J50" s="581"/>
      <c r="K50" s="581"/>
      <c r="L50" s="581"/>
      <c r="M50" s="581"/>
      <c r="N50" s="582"/>
    </row>
    <row r="51" spans="2:28" s="4" customFormat="1"/>
    <row r="52" spans="2:28" ht="17.25">
      <c r="B52" s="11" t="s">
        <v>277</v>
      </c>
    </row>
    <row r="53" spans="2:28">
      <c r="B53" t="s">
        <v>278</v>
      </c>
    </row>
    <row r="54" spans="2:28">
      <c r="C54" t="s">
        <v>279</v>
      </c>
      <c r="G54" s="1" t="s">
        <v>27</v>
      </c>
      <c r="K54" s="171" t="s">
        <v>280</v>
      </c>
      <c r="L54" s="189">
        <f>IF(G54="yes",Ranges!DI6,1)</f>
        <v>0.95</v>
      </c>
    </row>
    <row r="57" spans="2:28" ht="17.25">
      <c r="B57" s="11" t="s">
        <v>282</v>
      </c>
    </row>
    <row r="58" spans="2:28">
      <c r="C58" t="s">
        <v>441</v>
      </c>
      <c r="E58" s="61">
        <v>25</v>
      </c>
      <c r="Q58" t="b">
        <f>IF(info_admit=Ranges!$U$7,FALSE,TRUE)</f>
        <v>1</v>
      </c>
    </row>
    <row r="59" spans="2:28" ht="45.75" customHeight="1" thickBot="1">
      <c r="C59" s="157" t="s">
        <v>283</v>
      </c>
      <c r="D59" s="208"/>
      <c r="E59" s="598" t="s">
        <v>285</v>
      </c>
      <c r="F59" s="598"/>
      <c r="G59" s="598"/>
      <c r="H59" s="158" t="s">
        <v>286</v>
      </c>
      <c r="I59" s="207" t="s">
        <v>451</v>
      </c>
      <c r="J59" s="156" t="s">
        <v>452</v>
      </c>
      <c r="K59" s="207" t="s">
        <v>404</v>
      </c>
      <c r="L59" s="208" t="s">
        <v>302</v>
      </c>
      <c r="M59" s="600" t="s">
        <v>310</v>
      </c>
      <c r="N59" s="600"/>
      <c r="O59" s="230" t="s">
        <v>301</v>
      </c>
      <c r="P59"/>
      <c r="Q59" s="4" t="b">
        <f>IF(info_admit=Ranges!$U$7,FALSE,TRUE)</f>
        <v>1</v>
      </c>
      <c r="R59" s="214" t="s">
        <v>361</v>
      </c>
      <c r="S59" s="529" t="s">
        <v>362</v>
      </c>
      <c r="T59" s="215" t="s">
        <v>2677</v>
      </c>
      <c r="U59" s="240" t="s">
        <v>310</v>
      </c>
      <c r="W59"/>
      <c r="Z59" s="4"/>
      <c r="AA59" s="4"/>
      <c r="AB59" s="4"/>
    </row>
    <row r="60" spans="2:28">
      <c r="C60" s="155">
        <f>IF(E60="",0,1)</f>
        <v>1</v>
      </c>
      <c r="D60" s="209">
        <v>1</v>
      </c>
      <c r="E60" s="599" t="s">
        <v>416</v>
      </c>
      <c r="F60" s="599"/>
      <c r="G60" s="599"/>
      <c r="H60" s="61" t="s">
        <v>28</v>
      </c>
      <c r="I60" s="382">
        <f>IF($H60="no",1,IFERROR(VLOOKUP(info_st,Ranges!$DZ:$ED,IF($H60=Ranges!$EC$5,4,2),FALSE),Ranges!EA$6))</f>
        <v>1</v>
      </c>
      <c r="J60" s="382">
        <f>IF($H60="no",1,IFERROR(VLOOKUP(info_st,Ranges!$DZ:$ED,IF($H60=Ranges!$EC$5,5,3),FALSE),Ranges!EB$6))</f>
        <v>1</v>
      </c>
      <c r="K60" s="383">
        <f t="shared" ref="K60:K91" si="2">IF(H60="no",1,IF(Rate_CountTotal=1,1,I60))</f>
        <v>1</v>
      </c>
      <c r="L60" s="90">
        <v>43740</v>
      </c>
      <c r="M60" s="601" t="str">
        <f>IF(info_st="nj",INDEX(Ranges!$DU$25:$DW$32,MATCH(U60,Ranges!$DV$25:$DV$32,1),1),INDEX(Ranges!$DU$5:$DW$14,MATCH(U60,Ranges!$DV$5:$DV$14,1),1))</f>
        <v>less than two</v>
      </c>
      <c r="N60" s="602"/>
      <c r="O60" s="228">
        <f>IF(info_st="nj",VLOOKUP(M60,Ranges!$DU$25:$DW$32,3,FALSE),VLOOKUP(M60,Ranges!$DU$5:$DW$14,3,FALSE))</f>
        <v>1.4</v>
      </c>
      <c r="P60"/>
      <c r="Q60" t="b">
        <f>IF(info_admit=Ranges!$U$7,FALSE,D60&lt;=$E$58)</f>
        <v>1</v>
      </c>
      <c r="R60" s="121">
        <f>IF($C60=1,IF($H60="no",1,0),0)</f>
        <v>1</v>
      </c>
      <c r="S60" s="115">
        <f>IF($C60=1,IF($H60="yes",1,0),0)</f>
        <v>0</v>
      </c>
      <c r="T60" s="122">
        <f>IF($C60=1,IF($H60=Ranges!$EC$5,1,0),0)</f>
        <v>0</v>
      </c>
      <c r="U60" s="241">
        <f t="shared" ref="U60:U91" si="3">IF(L60&gt;info_effdt,0,DATEDIF(L60,info_effdt,"y"))</f>
        <v>1</v>
      </c>
      <c r="W60" s="151"/>
      <c r="X60" s="4"/>
      <c r="Y60" s="4"/>
      <c r="Z60" s="4"/>
    </row>
    <row r="61" spans="2:28">
      <c r="C61" s="155">
        <f t="shared" ref="C61:C159" si="4">IF(E61="",0,1)</f>
        <v>1</v>
      </c>
      <c r="D61" s="209">
        <v>2</v>
      </c>
      <c r="E61" s="586" t="s">
        <v>444</v>
      </c>
      <c r="F61" s="586"/>
      <c r="G61" s="586"/>
      <c r="H61" s="61" t="s">
        <v>28</v>
      </c>
      <c r="I61" s="382">
        <f>IF($H61="no",1,IFERROR(VLOOKUP(info_st,Ranges!$DZ:$ED,IF($H61=Ranges!$EC$5,4,2),FALSE),Ranges!EA$6))</f>
        <v>1</v>
      </c>
      <c r="J61" s="382">
        <f>IF($H61="no",1,IFERROR(VLOOKUP(info_st,Ranges!$DZ:$ED,IF($H61=Ranges!$EC$5,5,3),FALSE),Ranges!EB$6))</f>
        <v>1</v>
      </c>
      <c r="K61" s="383">
        <f t="shared" si="2"/>
        <v>1</v>
      </c>
      <c r="L61" s="90">
        <v>43740</v>
      </c>
      <c r="M61" s="595" t="str">
        <f>IF(info_st="nj",INDEX(Ranges!$DU$25:$DW$32,MATCH(U61,Ranges!$DV$25:$DV$32,1),1),INDEX(Ranges!$DU$5:$DW$14,MATCH(U61,Ranges!$DV$5:$DV$14,1),1))</f>
        <v>less than two</v>
      </c>
      <c r="N61" s="587"/>
      <c r="O61" s="228">
        <f>IF(info_st="nj",VLOOKUP(M61,Ranges!$DU$25:$DW$32,3,FALSE),VLOOKUP(M61,Ranges!$DU$5:$DW$14,3,FALSE))</f>
        <v>1.4</v>
      </c>
      <c r="P61"/>
      <c r="Q61" s="4" t="b">
        <f>IF(info_admit=Ranges!$U$7,FALSE,D61&lt;=$E$58)</f>
        <v>1</v>
      </c>
      <c r="R61" s="121">
        <f t="shared" ref="R61:R159" si="5">IF($C61=1,IF($H61="no",1,0),0)</f>
        <v>1</v>
      </c>
      <c r="S61" s="115">
        <f t="shared" ref="S61:S124" si="6">IF($C61=1,IF($H61="yes",1,0),0)</f>
        <v>0</v>
      </c>
      <c r="T61" s="122">
        <f>IF($C61=1,IF($H61=Ranges!$EC$5,1,0),0)</f>
        <v>0</v>
      </c>
      <c r="U61" s="242">
        <f t="shared" si="3"/>
        <v>1</v>
      </c>
      <c r="W61"/>
      <c r="X61" s="4"/>
      <c r="Y61" s="4"/>
      <c r="Z61" s="4"/>
    </row>
    <row r="62" spans="2:28">
      <c r="C62" s="155">
        <f t="shared" si="4"/>
        <v>1</v>
      </c>
      <c r="D62" s="209">
        <f>D61+1</f>
        <v>3</v>
      </c>
      <c r="E62" s="586" t="s">
        <v>1440</v>
      </c>
      <c r="F62" s="586"/>
      <c r="G62" s="586"/>
      <c r="H62" s="61" t="s">
        <v>28</v>
      </c>
      <c r="I62" s="382">
        <f>IF($H62="no",1,IFERROR(VLOOKUP(info_st,Ranges!$DZ:$ED,IF($H62=Ranges!$EC$5,4,2),FALSE),Ranges!EA$6))</f>
        <v>1</v>
      </c>
      <c r="J62" s="382">
        <f>IF($H62="no",1,IFERROR(VLOOKUP(info_st,Ranges!$DZ:$ED,IF($H62=Ranges!$EC$5,5,3),FALSE),Ranges!EB$6))</f>
        <v>1</v>
      </c>
      <c r="K62" s="383">
        <f t="shared" si="2"/>
        <v>1</v>
      </c>
      <c r="L62" s="90">
        <v>43740</v>
      </c>
      <c r="M62" s="595" t="str">
        <f>IF(info_st="nj",INDEX(Ranges!$DU$25:$DW$32,MATCH(U62,Ranges!$DV$25:$DV$32,1),1),INDEX(Ranges!$DU$5:$DW$14,MATCH(U62,Ranges!$DV$5:$DV$14,1),1))</f>
        <v>less than two</v>
      </c>
      <c r="N62" s="587"/>
      <c r="O62" s="228">
        <f>IF(info_st="nj",VLOOKUP(M62,Ranges!$DU$25:$DW$32,3,FALSE),VLOOKUP(M62,Ranges!$DU$5:$DW$14,3,FALSE))</f>
        <v>1.4</v>
      </c>
      <c r="P62"/>
      <c r="Q62" s="4" t="b">
        <f>IF(info_admit=Ranges!$U$7,FALSE,D62&lt;=$E$58)</f>
        <v>1</v>
      </c>
      <c r="R62" s="121">
        <f t="shared" si="5"/>
        <v>1</v>
      </c>
      <c r="S62" s="115">
        <f t="shared" si="6"/>
        <v>0</v>
      </c>
      <c r="T62" s="122">
        <f>IF($C62=1,IF($H62=Ranges!$EC$5,1,0),0)</f>
        <v>0</v>
      </c>
      <c r="U62" s="242">
        <f t="shared" si="3"/>
        <v>1</v>
      </c>
      <c r="W62"/>
      <c r="X62" s="4"/>
      <c r="Y62" s="4"/>
      <c r="Z62" s="4"/>
    </row>
    <row r="63" spans="2:28">
      <c r="C63" s="155">
        <f t="shared" si="4"/>
        <v>1</v>
      </c>
      <c r="D63" s="209">
        <f t="shared" ref="D63:D159" si="7">D62+1</f>
        <v>4</v>
      </c>
      <c r="E63" s="586" t="s">
        <v>1441</v>
      </c>
      <c r="F63" s="586"/>
      <c r="G63" s="586"/>
      <c r="H63" s="61" t="s">
        <v>28</v>
      </c>
      <c r="I63" s="382">
        <f>IF($H63="no",1,IFERROR(VLOOKUP(info_st,Ranges!$DZ:$ED,IF($H63=Ranges!$EC$5,4,2),FALSE),Ranges!EA$6))</f>
        <v>1</v>
      </c>
      <c r="J63" s="382">
        <f>IF($H63="no",1,IFERROR(VLOOKUP(info_st,Ranges!$DZ:$ED,IF($H63=Ranges!$EC$5,5,3),FALSE),Ranges!EB$6))</f>
        <v>1</v>
      </c>
      <c r="K63" s="383">
        <f t="shared" si="2"/>
        <v>1</v>
      </c>
      <c r="L63" s="90">
        <v>43740</v>
      </c>
      <c r="M63" s="587" t="str">
        <f>IF(info_st="nj",INDEX(Ranges!$DU$25:$DW$32,MATCH(U63,Ranges!$DV$25:$DV$32,1),1),INDEX(Ranges!$DU$5:$DW$14,MATCH(U63,Ranges!$DV$5:$DV$14,1),1))</f>
        <v>less than two</v>
      </c>
      <c r="N63" s="587"/>
      <c r="O63" s="228">
        <f>IF(info_st="nj",VLOOKUP(M63,Ranges!$DU$25:$DW$32,3,FALSE),VLOOKUP(M63,Ranges!$DU$5:$DW$14,3,FALSE))</f>
        <v>1.4</v>
      </c>
      <c r="P63"/>
      <c r="Q63" s="4" t="b">
        <f>IF(info_admit=Ranges!$U$7,FALSE,D63&lt;=$E$58)</f>
        <v>1</v>
      </c>
      <c r="R63" s="121">
        <f t="shared" si="5"/>
        <v>1</v>
      </c>
      <c r="S63" s="115">
        <f t="shared" si="6"/>
        <v>0</v>
      </c>
      <c r="T63" s="122">
        <f>IF($C63=1,IF($H63=Ranges!$EC$5,1,0),0)</f>
        <v>0</v>
      </c>
      <c r="U63" s="242">
        <f t="shared" si="3"/>
        <v>1</v>
      </c>
      <c r="W63"/>
      <c r="X63" s="4"/>
      <c r="Y63" s="4"/>
      <c r="Z63" s="4"/>
    </row>
    <row r="64" spans="2:28">
      <c r="C64" s="155">
        <f t="shared" si="4"/>
        <v>1</v>
      </c>
      <c r="D64" s="209">
        <f t="shared" si="7"/>
        <v>5</v>
      </c>
      <c r="E64" s="586" t="s">
        <v>1478</v>
      </c>
      <c r="F64" s="586"/>
      <c r="G64" s="586"/>
      <c r="H64" s="61" t="s">
        <v>28</v>
      </c>
      <c r="I64" s="382">
        <f>IF($H64="no",1,IFERROR(VLOOKUP(info_st,Ranges!$DZ:$ED,IF($H64=Ranges!$EC$5,4,2),FALSE),Ranges!EA$6))</f>
        <v>1</v>
      </c>
      <c r="J64" s="382">
        <f>IF($H64="no",1,IFERROR(VLOOKUP(info_st,Ranges!$DZ:$ED,IF($H64=Ranges!$EC$5,5,3),FALSE),Ranges!EB$6))</f>
        <v>1</v>
      </c>
      <c r="K64" s="383">
        <f t="shared" si="2"/>
        <v>1</v>
      </c>
      <c r="L64" s="90">
        <v>43740</v>
      </c>
      <c r="M64" s="587" t="str">
        <f>IF(info_st="nj",INDEX(Ranges!$DU$25:$DW$32,MATCH(U64,Ranges!$DV$25:$DV$32,1),1),INDEX(Ranges!$DU$5:$DW$14,MATCH(U64,Ranges!$DV$5:$DV$14,1),1))</f>
        <v>less than two</v>
      </c>
      <c r="N64" s="587"/>
      <c r="O64" s="228">
        <f>IF(info_st="nj",VLOOKUP(M64,Ranges!$DU$25:$DW$32,3,FALSE),VLOOKUP(M64,Ranges!$DU$5:$DW$14,3,FALSE))</f>
        <v>1.4</v>
      </c>
      <c r="P64"/>
      <c r="Q64" s="4" t="b">
        <f>IF(info_admit=Ranges!$U$7,FALSE,D64&lt;=$E$58)</f>
        <v>1</v>
      </c>
      <c r="R64" s="121">
        <f t="shared" si="5"/>
        <v>1</v>
      </c>
      <c r="S64" s="115">
        <f t="shared" si="6"/>
        <v>0</v>
      </c>
      <c r="T64" s="122">
        <f>IF($C64=1,IF($H64=Ranges!$EC$5,1,0),0)</f>
        <v>0</v>
      </c>
      <c r="U64" s="242">
        <f t="shared" si="3"/>
        <v>1</v>
      </c>
      <c r="W64"/>
      <c r="X64" s="4"/>
      <c r="Y64" s="4"/>
      <c r="Z64" s="4"/>
    </row>
    <row r="65" spans="3:26">
      <c r="C65" s="155">
        <f t="shared" si="4"/>
        <v>1</v>
      </c>
      <c r="D65" s="209">
        <f t="shared" si="7"/>
        <v>6</v>
      </c>
      <c r="E65" s="586" t="s">
        <v>1479</v>
      </c>
      <c r="F65" s="586"/>
      <c r="G65" s="586"/>
      <c r="H65" s="61" t="s">
        <v>28</v>
      </c>
      <c r="I65" s="382">
        <f>IF($H65="no",1,IFERROR(VLOOKUP(info_st,Ranges!$DZ:$ED,IF($H65=Ranges!$EC$5,4,2),FALSE),Ranges!EA$6))</f>
        <v>1</v>
      </c>
      <c r="J65" s="382">
        <f>IF($H65="no",1,IFERROR(VLOOKUP(info_st,Ranges!$DZ:$ED,IF($H65=Ranges!$EC$5,5,3),FALSE),Ranges!EB$6))</f>
        <v>1</v>
      </c>
      <c r="K65" s="383">
        <f t="shared" si="2"/>
        <v>1</v>
      </c>
      <c r="L65" s="90">
        <v>43740</v>
      </c>
      <c r="M65" s="587" t="str">
        <f>IF(info_st="nj",INDEX(Ranges!$DU$25:$DW$32,MATCH(U65,Ranges!$DV$25:$DV$32,1),1),INDEX(Ranges!$DU$5:$DW$14,MATCH(U65,Ranges!$DV$5:$DV$14,1),1))</f>
        <v>less than two</v>
      </c>
      <c r="N65" s="587"/>
      <c r="O65" s="228">
        <f>IF(info_st="nj",VLOOKUP(M65,Ranges!$DU$25:$DW$32,3,FALSE),VLOOKUP(M65,Ranges!$DU$5:$DW$14,3,FALSE))</f>
        <v>1.4</v>
      </c>
      <c r="P65"/>
      <c r="Q65" s="4" t="b">
        <f>IF(info_admit=Ranges!$U$7,FALSE,D65&lt;=$E$58)</f>
        <v>1</v>
      </c>
      <c r="R65" s="121">
        <f t="shared" si="5"/>
        <v>1</v>
      </c>
      <c r="S65" s="115">
        <f t="shared" si="6"/>
        <v>0</v>
      </c>
      <c r="T65" s="122">
        <f>IF($C65=1,IF($H65=Ranges!$EC$5,1,0),0)</f>
        <v>0</v>
      </c>
      <c r="U65" s="242">
        <f t="shared" si="3"/>
        <v>1</v>
      </c>
      <c r="W65"/>
      <c r="X65" s="4"/>
      <c r="Y65" s="4"/>
      <c r="Z65" s="4"/>
    </row>
    <row r="66" spans="3:26">
      <c r="C66" s="155">
        <f t="shared" si="4"/>
        <v>1</v>
      </c>
      <c r="D66" s="209">
        <f t="shared" si="7"/>
        <v>7</v>
      </c>
      <c r="E66" s="586" t="s">
        <v>1480</v>
      </c>
      <c r="F66" s="586"/>
      <c r="G66" s="586"/>
      <c r="H66" s="61" t="s">
        <v>28</v>
      </c>
      <c r="I66" s="382">
        <f>IF($H66="no",1,IFERROR(VLOOKUP(info_st,Ranges!$DZ:$ED,IF($H66=Ranges!$EC$5,4,2),FALSE),Ranges!EA$6))</f>
        <v>1</v>
      </c>
      <c r="J66" s="382">
        <f>IF($H66="no",1,IFERROR(VLOOKUP(info_st,Ranges!$DZ:$ED,IF($H66=Ranges!$EC$5,5,3),FALSE),Ranges!EB$6))</f>
        <v>1</v>
      </c>
      <c r="K66" s="383">
        <f t="shared" si="2"/>
        <v>1</v>
      </c>
      <c r="L66" s="90">
        <v>43740</v>
      </c>
      <c r="M66" s="587" t="str">
        <f>IF(info_st="nj",INDEX(Ranges!$DU$25:$DW$32,MATCH(U66,Ranges!$DV$25:$DV$32,1),1),INDEX(Ranges!$DU$5:$DW$14,MATCH(U66,Ranges!$DV$5:$DV$14,1),1))</f>
        <v>less than two</v>
      </c>
      <c r="N66" s="587"/>
      <c r="O66" s="228">
        <f>IF(info_st="nj",VLOOKUP(M66,Ranges!$DU$25:$DW$32,3,FALSE),VLOOKUP(M66,Ranges!$DU$5:$DW$14,3,FALSE))</f>
        <v>1.4</v>
      </c>
      <c r="P66"/>
      <c r="Q66" s="4" t="b">
        <f>IF(info_admit=Ranges!$U$7,FALSE,D66&lt;=$E$58)</f>
        <v>1</v>
      </c>
      <c r="R66" s="121">
        <f t="shared" si="5"/>
        <v>1</v>
      </c>
      <c r="S66" s="115">
        <f t="shared" si="6"/>
        <v>0</v>
      </c>
      <c r="T66" s="122">
        <f>IF($C66=1,IF($H66=Ranges!$EC$5,1,0),0)</f>
        <v>0</v>
      </c>
      <c r="U66" s="242">
        <f t="shared" si="3"/>
        <v>1</v>
      </c>
      <c r="W66"/>
      <c r="X66" s="4"/>
      <c r="Y66" s="4"/>
      <c r="Z66" s="4"/>
    </row>
    <row r="67" spans="3:26">
      <c r="C67" s="155">
        <f t="shared" si="4"/>
        <v>1</v>
      </c>
      <c r="D67" s="209">
        <f t="shared" si="7"/>
        <v>8</v>
      </c>
      <c r="E67" s="586" t="s">
        <v>1481</v>
      </c>
      <c r="F67" s="586"/>
      <c r="G67" s="586"/>
      <c r="H67" s="61" t="s">
        <v>28</v>
      </c>
      <c r="I67" s="382">
        <f>IF($H67="no",1,IFERROR(VLOOKUP(info_st,Ranges!$DZ:$ED,IF($H67=Ranges!$EC$5,4,2),FALSE),Ranges!EA$6))</f>
        <v>1</v>
      </c>
      <c r="J67" s="382">
        <f>IF($H67="no",1,IFERROR(VLOOKUP(info_st,Ranges!$DZ:$ED,IF($H67=Ranges!$EC$5,5,3),FALSE),Ranges!EB$6))</f>
        <v>1</v>
      </c>
      <c r="K67" s="383">
        <f t="shared" si="2"/>
        <v>1</v>
      </c>
      <c r="L67" s="90">
        <v>43740</v>
      </c>
      <c r="M67" s="587" t="str">
        <f>IF(info_st="nj",INDEX(Ranges!$DU$25:$DW$32,MATCH(U67,Ranges!$DV$25:$DV$32,1),1),INDEX(Ranges!$DU$5:$DW$14,MATCH(U67,Ranges!$DV$5:$DV$14,1),1))</f>
        <v>less than two</v>
      </c>
      <c r="N67" s="587"/>
      <c r="O67" s="228">
        <f>IF(info_st="nj",VLOOKUP(M67,Ranges!$DU$25:$DW$32,3,FALSE),VLOOKUP(M67,Ranges!$DU$5:$DW$14,3,FALSE))</f>
        <v>1.4</v>
      </c>
      <c r="P67"/>
      <c r="Q67" s="4" t="b">
        <f>IF(info_admit=Ranges!$U$7,FALSE,D67&lt;=$E$58)</f>
        <v>1</v>
      </c>
      <c r="R67" s="121">
        <f t="shared" si="5"/>
        <v>1</v>
      </c>
      <c r="S67" s="115">
        <f t="shared" si="6"/>
        <v>0</v>
      </c>
      <c r="T67" s="122">
        <f>IF($C67=1,IF($H67=Ranges!$EC$5,1,0),0)</f>
        <v>0</v>
      </c>
      <c r="U67" s="242">
        <f t="shared" si="3"/>
        <v>1</v>
      </c>
      <c r="W67"/>
      <c r="X67" s="4"/>
      <c r="Y67" s="4"/>
      <c r="Z67" s="4"/>
    </row>
    <row r="68" spans="3:26">
      <c r="C68" s="155">
        <f t="shared" si="4"/>
        <v>1</v>
      </c>
      <c r="D68" s="209">
        <f t="shared" si="7"/>
        <v>9</v>
      </c>
      <c r="E68" s="586" t="s">
        <v>1482</v>
      </c>
      <c r="F68" s="586"/>
      <c r="G68" s="586"/>
      <c r="H68" s="61" t="s">
        <v>28</v>
      </c>
      <c r="I68" s="382">
        <f>IF($H68="no",1,IFERROR(VLOOKUP(info_st,Ranges!$DZ:$ED,IF($H68=Ranges!$EC$5,4,2),FALSE),Ranges!EA$6))</f>
        <v>1</v>
      </c>
      <c r="J68" s="382">
        <f>IF($H68="no",1,IFERROR(VLOOKUP(info_st,Ranges!$DZ:$ED,IF($H68=Ranges!$EC$5,5,3),FALSE),Ranges!EB$6))</f>
        <v>1</v>
      </c>
      <c r="K68" s="383">
        <f t="shared" si="2"/>
        <v>1</v>
      </c>
      <c r="L68" s="90">
        <v>43740</v>
      </c>
      <c r="M68" s="587" t="str">
        <f>IF(info_st="nj",INDEX(Ranges!$DU$25:$DW$32,MATCH(U68,Ranges!$DV$25:$DV$32,1),1),INDEX(Ranges!$DU$5:$DW$14,MATCH(U68,Ranges!$DV$5:$DV$14,1),1))</f>
        <v>less than two</v>
      </c>
      <c r="N68" s="587"/>
      <c r="O68" s="228">
        <f>IF(info_st="nj",VLOOKUP(M68,Ranges!$DU$25:$DW$32,3,FALSE),VLOOKUP(M68,Ranges!$DU$5:$DW$14,3,FALSE))</f>
        <v>1.4</v>
      </c>
      <c r="P68"/>
      <c r="Q68" s="4" t="b">
        <f>IF(info_admit=Ranges!$U$7,FALSE,D68&lt;=$E$58)</f>
        <v>1</v>
      </c>
      <c r="R68" s="121">
        <f t="shared" si="5"/>
        <v>1</v>
      </c>
      <c r="S68" s="115">
        <f t="shared" si="6"/>
        <v>0</v>
      </c>
      <c r="T68" s="122">
        <f>IF($C68=1,IF($H68=Ranges!$EC$5,1,0),0)</f>
        <v>0</v>
      </c>
      <c r="U68" s="242">
        <f t="shared" si="3"/>
        <v>1</v>
      </c>
      <c r="W68"/>
      <c r="X68" s="4"/>
      <c r="Y68" s="4"/>
      <c r="Z68" s="4"/>
    </row>
    <row r="69" spans="3:26">
      <c r="C69" s="155">
        <f t="shared" si="4"/>
        <v>1</v>
      </c>
      <c r="D69" s="209">
        <f t="shared" si="7"/>
        <v>10</v>
      </c>
      <c r="E69" s="586" t="s">
        <v>1483</v>
      </c>
      <c r="F69" s="586"/>
      <c r="G69" s="586"/>
      <c r="H69" s="61" t="s">
        <v>28</v>
      </c>
      <c r="I69" s="382">
        <f>IF($H69="no",1,IFERROR(VLOOKUP(info_st,Ranges!$DZ:$ED,IF($H69=Ranges!$EC$5,4,2),FALSE),Ranges!EA$6))</f>
        <v>1</v>
      </c>
      <c r="J69" s="382">
        <f>IF($H69="no",1,IFERROR(VLOOKUP(info_st,Ranges!$DZ:$ED,IF($H69=Ranges!$EC$5,5,3),FALSE),Ranges!EB$6))</f>
        <v>1</v>
      </c>
      <c r="K69" s="383">
        <f t="shared" si="2"/>
        <v>1</v>
      </c>
      <c r="L69" s="90">
        <v>43740</v>
      </c>
      <c r="M69" s="587" t="str">
        <f>IF(info_st="nj",INDEX(Ranges!$DU$25:$DW$32,MATCH(U69,Ranges!$DV$25:$DV$32,1),1),INDEX(Ranges!$DU$5:$DW$14,MATCH(U69,Ranges!$DV$5:$DV$14,1),1))</f>
        <v>less than two</v>
      </c>
      <c r="N69" s="587"/>
      <c r="O69" s="228">
        <f>IF(info_st="nj",VLOOKUP(M69,Ranges!$DU$25:$DW$32,3,FALSE),VLOOKUP(M69,Ranges!$DU$5:$DW$14,3,FALSE))</f>
        <v>1.4</v>
      </c>
      <c r="P69"/>
      <c r="Q69" s="4" t="b">
        <f>IF(info_admit=Ranges!$U$7,FALSE,D69&lt;=$E$58)</f>
        <v>1</v>
      </c>
      <c r="R69" s="121">
        <f t="shared" si="5"/>
        <v>1</v>
      </c>
      <c r="S69" s="115">
        <f t="shared" si="6"/>
        <v>0</v>
      </c>
      <c r="T69" s="122">
        <f>IF($C69=1,IF($H69=Ranges!$EC$5,1,0),0)</f>
        <v>0</v>
      </c>
      <c r="U69" s="242">
        <f t="shared" si="3"/>
        <v>1</v>
      </c>
      <c r="W69"/>
      <c r="X69" s="4"/>
      <c r="Y69" s="4"/>
      <c r="Z69" s="4"/>
    </row>
    <row r="70" spans="3:26">
      <c r="C70" s="155">
        <f t="shared" si="4"/>
        <v>1</v>
      </c>
      <c r="D70" s="209">
        <f t="shared" si="7"/>
        <v>11</v>
      </c>
      <c r="E70" s="586" t="s">
        <v>2615</v>
      </c>
      <c r="F70" s="586"/>
      <c r="G70" s="586"/>
      <c r="H70" s="61" t="s">
        <v>28</v>
      </c>
      <c r="I70" s="382">
        <f>IF($H70="no",1,IFERROR(VLOOKUP(info_st,Ranges!$DZ:$ED,IF($H70=Ranges!$EC$5,4,2),FALSE),Ranges!EA$6))</f>
        <v>1</v>
      </c>
      <c r="J70" s="382">
        <f>IF($H70="no",1,IFERROR(VLOOKUP(info_st,Ranges!$DZ:$ED,IF($H70=Ranges!$EC$5,5,3),FALSE),Ranges!EB$6))</f>
        <v>1</v>
      </c>
      <c r="K70" s="383">
        <f t="shared" si="2"/>
        <v>1</v>
      </c>
      <c r="L70" s="90">
        <v>43740</v>
      </c>
      <c r="M70" s="587" t="str">
        <f>IF(info_st="nj",INDEX(Ranges!$DU$25:$DW$32,MATCH(U70,Ranges!$DV$25:$DV$32,1),1),INDEX(Ranges!$DU$5:$DW$14,MATCH(U70,Ranges!$DV$5:$DV$14,1),1))</f>
        <v>less than two</v>
      </c>
      <c r="N70" s="587"/>
      <c r="O70" s="228">
        <f>IF(info_st="nj",VLOOKUP(M70,Ranges!$DU$25:$DW$32,3,FALSE),VLOOKUP(M70,Ranges!$DU$5:$DW$14,3,FALSE))</f>
        <v>1.4</v>
      </c>
      <c r="P70"/>
      <c r="Q70" s="4" t="b">
        <f>IF(info_admit=Ranges!$U$7,FALSE,D70&lt;=$E$58)</f>
        <v>1</v>
      </c>
      <c r="R70" s="121">
        <f t="shared" si="5"/>
        <v>1</v>
      </c>
      <c r="S70" s="115">
        <f t="shared" si="6"/>
        <v>0</v>
      </c>
      <c r="T70" s="122">
        <f>IF($C70=1,IF($H70=Ranges!$EC$5,1,0),0)</f>
        <v>0</v>
      </c>
      <c r="U70" s="242">
        <f t="shared" si="3"/>
        <v>1</v>
      </c>
      <c r="W70"/>
      <c r="X70" s="4"/>
      <c r="Y70" s="4"/>
      <c r="Z70" s="4"/>
    </row>
    <row r="71" spans="3:26">
      <c r="C71" s="155">
        <f t="shared" si="4"/>
        <v>0</v>
      </c>
      <c r="D71" s="209">
        <f t="shared" si="7"/>
        <v>12</v>
      </c>
      <c r="E71" s="586"/>
      <c r="F71" s="586"/>
      <c r="G71" s="586"/>
      <c r="H71" s="61" t="s">
        <v>28</v>
      </c>
      <c r="I71" s="382">
        <f>IF($H71="no",1,IFERROR(VLOOKUP(info_st,Ranges!$DZ:$ED,IF($H71=Ranges!$EC$5,4,2),FALSE),Ranges!EA$6))</f>
        <v>1</v>
      </c>
      <c r="J71" s="382">
        <f>IF($H71="no",1,IFERROR(VLOOKUP(info_st,Ranges!$DZ:$ED,IF($H71=Ranges!$EC$5,5,3),FALSE),Ranges!EB$6))</f>
        <v>1</v>
      </c>
      <c r="K71" s="383">
        <f t="shared" si="2"/>
        <v>1</v>
      </c>
      <c r="L71" s="90">
        <f t="shared" ref="L71:L76" si="8">info_retrodt</f>
        <v>0</v>
      </c>
      <c r="M71" s="587" t="str">
        <f>IF(info_st="nj",INDEX(Ranges!$DU$25:$DW$32,MATCH(U71,Ranges!$DV$25:$DV$32,1),1),INDEX(Ranges!$DU$5:$DW$14,MATCH(U71,Ranges!$DV$5:$DV$14,1),1))</f>
        <v>eight or more</v>
      </c>
      <c r="N71" s="587"/>
      <c r="O71" s="228">
        <f>IF(info_st="nj",VLOOKUP(M71,Ranges!$DU$25:$DW$32,3,FALSE),VLOOKUP(M71,Ranges!$DU$5:$DW$14,3,FALSE))</f>
        <v>2.8</v>
      </c>
      <c r="P71"/>
      <c r="Q71" s="4" t="b">
        <f>IF(info_admit=Ranges!$U$7,FALSE,D71&lt;=$E$58)</f>
        <v>1</v>
      </c>
      <c r="R71" s="121">
        <f t="shared" si="5"/>
        <v>0</v>
      </c>
      <c r="S71" s="115">
        <f t="shared" si="6"/>
        <v>0</v>
      </c>
      <c r="T71" s="122">
        <f>IF($C71=1,IF($H71=Ranges!$EC$5,1,0),0)</f>
        <v>0</v>
      </c>
      <c r="U71" s="242">
        <f t="shared" si="3"/>
        <v>120</v>
      </c>
      <c r="W71"/>
      <c r="X71" s="4"/>
      <c r="Y71" s="4"/>
      <c r="Z71" s="4"/>
    </row>
    <row r="72" spans="3:26">
      <c r="C72" s="155">
        <f t="shared" si="4"/>
        <v>0</v>
      </c>
      <c r="D72" s="209">
        <f t="shared" si="7"/>
        <v>13</v>
      </c>
      <c r="E72" s="586"/>
      <c r="F72" s="586"/>
      <c r="G72" s="586"/>
      <c r="H72" s="61" t="s">
        <v>28</v>
      </c>
      <c r="I72" s="382">
        <f>IF($H72="no",1,IFERROR(VLOOKUP(info_st,Ranges!$DZ:$ED,IF($H72=Ranges!$EC$5,4,2),FALSE),Ranges!EA$6))</f>
        <v>1</v>
      </c>
      <c r="J72" s="382">
        <f>IF($H72="no",1,IFERROR(VLOOKUP(info_st,Ranges!$DZ:$ED,IF($H72=Ranges!$EC$5,5,3),FALSE),Ranges!EB$6))</f>
        <v>1</v>
      </c>
      <c r="K72" s="383">
        <f t="shared" si="2"/>
        <v>1</v>
      </c>
      <c r="L72" s="90">
        <f t="shared" si="8"/>
        <v>0</v>
      </c>
      <c r="M72" s="587" t="str">
        <f>IF(info_st="nj",INDEX(Ranges!$DU$25:$DW$32,MATCH(U72,Ranges!$DV$25:$DV$32,1),1),INDEX(Ranges!$DU$5:$DW$14,MATCH(U72,Ranges!$DV$5:$DV$14,1),1))</f>
        <v>eight or more</v>
      </c>
      <c r="N72" s="587"/>
      <c r="O72" s="228">
        <f>IF(info_st="nj",VLOOKUP(M72,Ranges!$DU$25:$DW$32,3,FALSE),VLOOKUP(M72,Ranges!$DU$5:$DW$14,3,FALSE))</f>
        <v>2.8</v>
      </c>
      <c r="P72"/>
      <c r="Q72" s="4" t="b">
        <f>IF(info_admit=Ranges!$U$7,FALSE,D72&lt;=$E$58)</f>
        <v>1</v>
      </c>
      <c r="R72" s="121">
        <f t="shared" si="5"/>
        <v>0</v>
      </c>
      <c r="S72" s="115">
        <f t="shared" si="6"/>
        <v>0</v>
      </c>
      <c r="T72" s="122">
        <f>IF($C72=1,IF($H72=Ranges!$EC$5,1,0),0)</f>
        <v>0</v>
      </c>
      <c r="U72" s="242">
        <f t="shared" si="3"/>
        <v>120</v>
      </c>
      <c r="W72"/>
      <c r="X72" s="4"/>
      <c r="Y72" s="4"/>
      <c r="Z72" s="4"/>
    </row>
    <row r="73" spans="3:26">
      <c r="C73" s="155">
        <f t="shared" si="4"/>
        <v>0</v>
      </c>
      <c r="D73" s="209">
        <f t="shared" si="7"/>
        <v>14</v>
      </c>
      <c r="E73" s="586"/>
      <c r="F73" s="586"/>
      <c r="G73" s="586"/>
      <c r="H73" s="61" t="s">
        <v>28</v>
      </c>
      <c r="I73" s="382">
        <f>IF($H73="no",1,IFERROR(VLOOKUP(info_st,Ranges!$DZ:$ED,IF($H73=Ranges!$EC$5,4,2),FALSE),Ranges!EA$6))</f>
        <v>1</v>
      </c>
      <c r="J73" s="382">
        <f>IF($H73="no",1,IFERROR(VLOOKUP(info_st,Ranges!$DZ:$ED,IF($H73=Ranges!$EC$5,5,3),FALSE),Ranges!EB$6))</f>
        <v>1</v>
      </c>
      <c r="K73" s="383">
        <f t="shared" si="2"/>
        <v>1</v>
      </c>
      <c r="L73" s="90">
        <f t="shared" si="8"/>
        <v>0</v>
      </c>
      <c r="M73" s="587" t="str">
        <f>IF(info_st="nj",INDEX(Ranges!$DU$25:$DW$32,MATCH(U73,Ranges!$DV$25:$DV$32,1),1),INDEX(Ranges!$DU$5:$DW$14,MATCH(U73,Ranges!$DV$5:$DV$14,1),1))</f>
        <v>eight or more</v>
      </c>
      <c r="N73" s="587"/>
      <c r="O73" s="228">
        <f>IF(info_st="nj",VLOOKUP(M73,Ranges!$DU$25:$DW$32,3,FALSE),VLOOKUP(M73,Ranges!$DU$5:$DW$14,3,FALSE))</f>
        <v>2.8</v>
      </c>
      <c r="P73"/>
      <c r="Q73" s="4" t="b">
        <f>IF(info_admit=Ranges!$U$7,FALSE,D73&lt;=$E$58)</f>
        <v>1</v>
      </c>
      <c r="R73" s="121">
        <f t="shared" si="5"/>
        <v>0</v>
      </c>
      <c r="S73" s="115">
        <f t="shared" si="6"/>
        <v>0</v>
      </c>
      <c r="T73" s="122">
        <f>IF($C73=1,IF($H73=Ranges!$EC$5,1,0),0)</f>
        <v>0</v>
      </c>
      <c r="U73" s="242">
        <f t="shared" si="3"/>
        <v>120</v>
      </c>
      <c r="W73"/>
      <c r="X73" s="4"/>
      <c r="Y73" s="4"/>
      <c r="Z73" s="4"/>
    </row>
    <row r="74" spans="3:26">
      <c r="C74" s="155">
        <f t="shared" si="4"/>
        <v>0</v>
      </c>
      <c r="D74" s="209">
        <f t="shared" si="7"/>
        <v>15</v>
      </c>
      <c r="E74" s="586"/>
      <c r="F74" s="586"/>
      <c r="G74" s="586"/>
      <c r="H74" s="61" t="s">
        <v>28</v>
      </c>
      <c r="I74" s="382">
        <f>IF($H74="no",1,IFERROR(VLOOKUP(info_st,Ranges!$DZ:$ED,IF($H74=Ranges!$EC$5,4,2),FALSE),Ranges!EA$6))</f>
        <v>1</v>
      </c>
      <c r="J74" s="382">
        <f>IF($H74="no",1,IFERROR(VLOOKUP(info_st,Ranges!$DZ:$ED,IF($H74=Ranges!$EC$5,5,3),FALSE),Ranges!EB$6))</f>
        <v>1</v>
      </c>
      <c r="K74" s="383">
        <f t="shared" si="2"/>
        <v>1</v>
      </c>
      <c r="L74" s="90">
        <f t="shared" si="8"/>
        <v>0</v>
      </c>
      <c r="M74" s="587" t="str">
        <f>IF(info_st="nj",INDEX(Ranges!$DU$25:$DW$32,MATCH(U74,Ranges!$DV$25:$DV$32,1),1),INDEX(Ranges!$DU$5:$DW$14,MATCH(U74,Ranges!$DV$5:$DV$14,1),1))</f>
        <v>eight or more</v>
      </c>
      <c r="N74" s="587"/>
      <c r="O74" s="228">
        <f>IF(info_st="nj",VLOOKUP(M74,Ranges!$DU$25:$DW$32,3,FALSE),VLOOKUP(M74,Ranges!$DU$5:$DW$14,3,FALSE))</f>
        <v>2.8</v>
      </c>
      <c r="P74"/>
      <c r="Q74" s="4" t="b">
        <f>IF(info_admit=Ranges!$U$7,FALSE,D74&lt;=$E$58)</f>
        <v>1</v>
      </c>
      <c r="R74" s="121">
        <f t="shared" si="5"/>
        <v>0</v>
      </c>
      <c r="S74" s="115">
        <f t="shared" si="6"/>
        <v>0</v>
      </c>
      <c r="T74" s="122">
        <f>IF($C74=1,IF($H74=Ranges!$EC$5,1,0),0)</f>
        <v>0</v>
      </c>
      <c r="U74" s="242">
        <f t="shared" si="3"/>
        <v>120</v>
      </c>
      <c r="W74"/>
      <c r="X74" s="4"/>
      <c r="Y74" s="4"/>
      <c r="Z74" s="4"/>
    </row>
    <row r="75" spans="3:26">
      <c r="C75" s="155">
        <f t="shared" si="4"/>
        <v>0</v>
      </c>
      <c r="D75" s="209">
        <f t="shared" si="7"/>
        <v>16</v>
      </c>
      <c r="E75" s="586"/>
      <c r="F75" s="586"/>
      <c r="G75" s="586"/>
      <c r="H75" s="61" t="s">
        <v>28</v>
      </c>
      <c r="I75" s="382">
        <f>IF($H75="no",1,IFERROR(VLOOKUP(info_st,Ranges!$DZ:$ED,IF($H75=Ranges!$EC$5,4,2),FALSE),Ranges!EA$6))</f>
        <v>1</v>
      </c>
      <c r="J75" s="382">
        <f>IF($H75="no",1,IFERROR(VLOOKUP(info_st,Ranges!$DZ:$ED,IF($H75=Ranges!$EC$5,5,3),FALSE),Ranges!EB$6))</f>
        <v>1</v>
      </c>
      <c r="K75" s="383">
        <f t="shared" si="2"/>
        <v>1</v>
      </c>
      <c r="L75" s="90">
        <f t="shared" si="8"/>
        <v>0</v>
      </c>
      <c r="M75" s="587" t="str">
        <f>IF(info_st="nj",INDEX(Ranges!$DU$25:$DW$32,MATCH(U75,Ranges!$DV$25:$DV$32,1),1),INDEX(Ranges!$DU$5:$DW$14,MATCH(U75,Ranges!$DV$5:$DV$14,1),1))</f>
        <v>eight or more</v>
      </c>
      <c r="N75" s="587"/>
      <c r="O75" s="228">
        <f>IF(info_st="nj",VLOOKUP(M75,Ranges!$DU$25:$DW$32,3,FALSE),VLOOKUP(M75,Ranges!$DU$5:$DW$14,3,FALSE))</f>
        <v>2.8</v>
      </c>
      <c r="P75"/>
      <c r="Q75" s="4" t="b">
        <f>IF(info_admit=Ranges!$U$7,FALSE,D75&lt;=$E$58)</f>
        <v>1</v>
      </c>
      <c r="R75" s="121">
        <f t="shared" si="5"/>
        <v>0</v>
      </c>
      <c r="S75" s="115">
        <f t="shared" si="6"/>
        <v>0</v>
      </c>
      <c r="T75" s="122">
        <f>IF($C75=1,IF($H75=Ranges!$EC$5,1,0),0)</f>
        <v>0</v>
      </c>
      <c r="U75" s="242">
        <f t="shared" si="3"/>
        <v>120</v>
      </c>
      <c r="W75"/>
      <c r="X75" s="4"/>
      <c r="Y75" s="4"/>
      <c r="Z75" s="4"/>
    </row>
    <row r="76" spans="3:26">
      <c r="C76" s="155">
        <f t="shared" si="4"/>
        <v>0</v>
      </c>
      <c r="D76" s="209">
        <f t="shared" si="7"/>
        <v>17</v>
      </c>
      <c r="E76" s="586"/>
      <c r="F76" s="586"/>
      <c r="G76" s="586"/>
      <c r="H76" s="61" t="s">
        <v>28</v>
      </c>
      <c r="I76" s="382">
        <f>IF($H76="no",1,IFERROR(VLOOKUP(info_st,Ranges!$DZ:$ED,IF($H76=Ranges!$EC$5,4,2),FALSE),Ranges!EA$6))</f>
        <v>1</v>
      </c>
      <c r="J76" s="382">
        <f>IF($H76="no",1,IFERROR(VLOOKUP(info_st,Ranges!$DZ:$ED,IF($H76=Ranges!$EC$5,5,3),FALSE),Ranges!EB$6))</f>
        <v>1</v>
      </c>
      <c r="K76" s="383">
        <f t="shared" si="2"/>
        <v>1</v>
      </c>
      <c r="L76" s="90">
        <f t="shared" si="8"/>
        <v>0</v>
      </c>
      <c r="M76" s="587" t="str">
        <f>IF(info_st="nj",INDEX(Ranges!$DU$25:$DW$32,MATCH(U76,Ranges!$DV$25:$DV$32,1),1),INDEX(Ranges!$DU$5:$DW$14,MATCH(U76,Ranges!$DV$5:$DV$14,1),1))</f>
        <v>eight or more</v>
      </c>
      <c r="N76" s="587"/>
      <c r="O76" s="228">
        <f>IF(info_st="nj",VLOOKUP(M76,Ranges!$DU$25:$DW$32,3,FALSE),VLOOKUP(M76,Ranges!$DU$5:$DW$14,3,FALSE))</f>
        <v>2.8</v>
      </c>
      <c r="P76"/>
      <c r="Q76" s="4" t="b">
        <f>IF(info_admit=Ranges!$U$7,FALSE,D76&lt;=$E$58)</f>
        <v>1</v>
      </c>
      <c r="R76" s="121">
        <f t="shared" si="5"/>
        <v>0</v>
      </c>
      <c r="S76" s="115">
        <f t="shared" si="6"/>
        <v>0</v>
      </c>
      <c r="T76" s="122">
        <f>IF($C76=1,IF($H76=Ranges!$EC$5,1,0),0)</f>
        <v>0</v>
      </c>
      <c r="U76" s="242">
        <f t="shared" si="3"/>
        <v>120</v>
      </c>
      <c r="W76"/>
      <c r="X76" s="4"/>
      <c r="Y76" s="4"/>
      <c r="Z76" s="4"/>
    </row>
    <row r="77" spans="3:26">
      <c r="C77" s="155">
        <f t="shared" si="4"/>
        <v>0</v>
      </c>
      <c r="D77" s="209">
        <f t="shared" si="7"/>
        <v>18</v>
      </c>
      <c r="E77" s="586"/>
      <c r="F77" s="586"/>
      <c r="G77" s="586"/>
      <c r="H77" s="61" t="s">
        <v>28</v>
      </c>
      <c r="I77" s="382">
        <f>IF($H77="no",1,IFERROR(VLOOKUP(info_st,Ranges!$DZ:$ED,IF($H77=Ranges!$EC$5,4,2),FALSE),Ranges!EA$6))</f>
        <v>1</v>
      </c>
      <c r="J77" s="382">
        <f>IF($H77="no",1,IFERROR(VLOOKUP(info_st,Ranges!$DZ:$ED,IF($H77=Ranges!$EC$5,5,3),FALSE),Ranges!EB$6))</f>
        <v>1</v>
      </c>
      <c r="K77" s="383">
        <v>0.6</v>
      </c>
      <c r="L77" s="90">
        <f t="shared" ref="L77:L91" si="9">info_retrodt</f>
        <v>0</v>
      </c>
      <c r="M77" s="587" t="str">
        <f>IF(info_st="nj",INDEX(Ranges!$DU$25:$DW$32,MATCH(U77,Ranges!$DV$25:$DV$32,1),1),INDEX(Ranges!$DU$5:$DW$14,MATCH(U77,Ranges!$DV$5:$DV$14,1),1))</f>
        <v>eight or more</v>
      </c>
      <c r="N77" s="587"/>
      <c r="O77" s="228">
        <f>IF(info_st="nj",VLOOKUP(M77,Ranges!$DU$25:$DW$32,3,FALSE),VLOOKUP(M77,Ranges!$DU$5:$DW$14,3,FALSE))</f>
        <v>2.8</v>
      </c>
      <c r="P77"/>
      <c r="Q77" s="4" t="b">
        <f>IF(info_admit=Ranges!$U$7,FALSE,D77&lt;=$E$58)</f>
        <v>1</v>
      </c>
      <c r="R77" s="121">
        <f t="shared" si="5"/>
        <v>0</v>
      </c>
      <c r="S77" s="115">
        <f t="shared" si="6"/>
        <v>0</v>
      </c>
      <c r="T77" s="122">
        <f>IF($C77=1,IF($H77=Ranges!$EC$5,1,0),0)</f>
        <v>0</v>
      </c>
      <c r="U77" s="242">
        <f t="shared" si="3"/>
        <v>120</v>
      </c>
      <c r="W77"/>
      <c r="X77" s="4"/>
      <c r="Y77" s="4"/>
      <c r="Z77" s="4"/>
    </row>
    <row r="78" spans="3:26">
      <c r="C78" s="155">
        <f t="shared" si="4"/>
        <v>0</v>
      </c>
      <c r="D78" s="209">
        <f t="shared" si="7"/>
        <v>19</v>
      </c>
      <c r="E78" s="586"/>
      <c r="F78" s="586"/>
      <c r="G78" s="586"/>
      <c r="H78" s="61" t="s">
        <v>28</v>
      </c>
      <c r="I78" s="382">
        <f>IF($H78="no",1,IFERROR(VLOOKUP(info_st,Ranges!$DZ:$ED,IF($H78=Ranges!$EC$5,4,2),FALSE),Ranges!EA$6))</f>
        <v>1</v>
      </c>
      <c r="J78" s="382">
        <f>IF($H78="no",1,IFERROR(VLOOKUP(info_st,Ranges!$DZ:$ED,IF($H78=Ranges!$EC$5,5,3),FALSE),Ranges!EB$6))</f>
        <v>1</v>
      </c>
      <c r="K78" s="383">
        <v>0.6</v>
      </c>
      <c r="L78" s="90">
        <f t="shared" si="9"/>
        <v>0</v>
      </c>
      <c r="M78" s="587" t="str">
        <f>IF(info_st="nj",INDEX(Ranges!$DU$25:$DW$32,MATCH(U78,Ranges!$DV$25:$DV$32,1),1),INDEX(Ranges!$DU$5:$DW$14,MATCH(U78,Ranges!$DV$5:$DV$14,1),1))</f>
        <v>eight or more</v>
      </c>
      <c r="N78" s="587"/>
      <c r="O78" s="228">
        <f>IF(info_st="nj",VLOOKUP(M78,Ranges!$DU$25:$DW$32,3,FALSE),VLOOKUP(M78,Ranges!$DU$5:$DW$14,3,FALSE))</f>
        <v>2.8</v>
      </c>
      <c r="P78"/>
      <c r="Q78" s="4" t="b">
        <f>IF(info_admit=Ranges!$U$7,FALSE,D78&lt;=$E$58)</f>
        <v>1</v>
      </c>
      <c r="R78" s="121">
        <f t="shared" si="5"/>
        <v>0</v>
      </c>
      <c r="S78" s="115">
        <f t="shared" si="6"/>
        <v>0</v>
      </c>
      <c r="T78" s="122">
        <f>IF($C78=1,IF($H78=Ranges!$EC$5,1,0),0)</f>
        <v>0</v>
      </c>
      <c r="U78" s="242">
        <f t="shared" si="3"/>
        <v>120</v>
      </c>
      <c r="W78"/>
      <c r="X78" s="4"/>
      <c r="Y78" s="4"/>
      <c r="Z78" s="4"/>
    </row>
    <row r="79" spans="3:26">
      <c r="C79" s="155">
        <f t="shared" si="4"/>
        <v>0</v>
      </c>
      <c r="D79" s="209">
        <f t="shared" si="7"/>
        <v>20</v>
      </c>
      <c r="E79" s="586"/>
      <c r="F79" s="586"/>
      <c r="G79" s="586"/>
      <c r="H79" s="61" t="s">
        <v>28</v>
      </c>
      <c r="I79" s="382">
        <f>IF($H79="no",1,IFERROR(VLOOKUP(info_st,Ranges!$DZ:$ED,IF($H79=Ranges!$EC$5,4,2),FALSE),Ranges!EA$6))</f>
        <v>1</v>
      </c>
      <c r="J79" s="382">
        <f>IF($H79="no",1,IFERROR(VLOOKUP(info_st,Ranges!$DZ:$ED,IF($H79=Ranges!$EC$5,5,3),FALSE),Ranges!EB$6))</f>
        <v>1</v>
      </c>
      <c r="K79" s="383">
        <f t="shared" si="2"/>
        <v>1</v>
      </c>
      <c r="L79" s="90">
        <f t="shared" si="9"/>
        <v>0</v>
      </c>
      <c r="M79" s="587" t="str">
        <f>IF(info_st="nj",INDEX(Ranges!$DU$25:$DW$32,MATCH(U79,Ranges!$DV$25:$DV$32,1),1),INDEX(Ranges!$DU$5:$DW$14,MATCH(U79,Ranges!$DV$5:$DV$14,1),1))</f>
        <v>eight or more</v>
      </c>
      <c r="N79" s="587"/>
      <c r="O79" s="228">
        <f>IF(info_st="nj",VLOOKUP(M79,Ranges!$DU$25:$DW$32,3,FALSE),VLOOKUP(M79,Ranges!$DU$5:$DW$14,3,FALSE))</f>
        <v>2.8</v>
      </c>
      <c r="P79"/>
      <c r="Q79" s="4" t="b">
        <f>IF(info_admit=Ranges!$U$7,FALSE,D79&lt;=$E$58)</f>
        <v>1</v>
      </c>
      <c r="R79" s="121">
        <f t="shared" si="5"/>
        <v>0</v>
      </c>
      <c r="S79" s="115">
        <f t="shared" si="6"/>
        <v>0</v>
      </c>
      <c r="T79" s="122">
        <f>IF($C79=1,IF($H79=Ranges!$EC$5,1,0),0)</f>
        <v>0</v>
      </c>
      <c r="U79" s="242">
        <f t="shared" si="3"/>
        <v>120</v>
      </c>
      <c r="W79"/>
      <c r="X79" s="4"/>
      <c r="Y79" s="4"/>
      <c r="Z79" s="4"/>
    </row>
    <row r="80" spans="3:26">
      <c r="C80" s="155">
        <f t="shared" si="4"/>
        <v>0</v>
      </c>
      <c r="D80" s="209">
        <f t="shared" si="7"/>
        <v>21</v>
      </c>
      <c r="E80" s="586"/>
      <c r="F80" s="586"/>
      <c r="G80" s="586"/>
      <c r="H80" s="61" t="s">
        <v>28</v>
      </c>
      <c r="I80" s="382">
        <f>IF($H80="no",1,IFERROR(VLOOKUP(info_st,Ranges!$DZ:$ED,IF($H80=Ranges!$EC$5,4,2),FALSE),Ranges!EA$6))</f>
        <v>1</v>
      </c>
      <c r="J80" s="382">
        <f>IF($H80="no",1,IFERROR(VLOOKUP(info_st,Ranges!$DZ:$ED,IF($H80=Ranges!$EC$5,5,3),FALSE),Ranges!EB$6))</f>
        <v>1</v>
      </c>
      <c r="K80" s="383">
        <f t="shared" si="2"/>
        <v>1</v>
      </c>
      <c r="L80" s="90">
        <f t="shared" si="9"/>
        <v>0</v>
      </c>
      <c r="M80" s="587" t="str">
        <f>IF(info_st="nj",INDEX(Ranges!$DU$25:$DW$32,MATCH(U80,Ranges!$DV$25:$DV$32,1),1),INDEX(Ranges!$DU$5:$DW$14,MATCH(U80,Ranges!$DV$5:$DV$14,1),1))</f>
        <v>eight or more</v>
      </c>
      <c r="N80" s="587"/>
      <c r="O80" s="228">
        <f>IF(info_st="nj",VLOOKUP(M80,Ranges!$DU$25:$DW$32,3,FALSE),VLOOKUP(M80,Ranges!$DU$5:$DW$14,3,FALSE))</f>
        <v>2.8</v>
      </c>
      <c r="P80"/>
      <c r="Q80" s="4" t="b">
        <f>IF(info_admit=Ranges!$U$7,FALSE,D80&lt;=$E$58)</f>
        <v>1</v>
      </c>
      <c r="R80" s="121">
        <f t="shared" si="5"/>
        <v>0</v>
      </c>
      <c r="S80" s="115">
        <f t="shared" si="6"/>
        <v>0</v>
      </c>
      <c r="T80" s="122">
        <f>IF($C80=1,IF($H80=Ranges!$EC$5,1,0),0)</f>
        <v>0</v>
      </c>
      <c r="U80" s="242">
        <f t="shared" si="3"/>
        <v>120</v>
      </c>
      <c r="W80"/>
      <c r="X80" s="4"/>
      <c r="Y80" s="4"/>
      <c r="Z80" s="4"/>
    </row>
    <row r="81" spans="3:26">
      <c r="C81" s="155">
        <f t="shared" si="4"/>
        <v>0</v>
      </c>
      <c r="D81" s="209">
        <f t="shared" si="7"/>
        <v>22</v>
      </c>
      <c r="E81" s="586"/>
      <c r="F81" s="586"/>
      <c r="G81" s="586"/>
      <c r="H81" s="61" t="s">
        <v>28</v>
      </c>
      <c r="I81" s="382">
        <f>IF($H81="no",1,IFERROR(VLOOKUP(info_st,Ranges!$DZ:$ED,IF($H81=Ranges!$EC$5,4,2),FALSE),Ranges!EA$6))</f>
        <v>1</v>
      </c>
      <c r="J81" s="382">
        <f>IF($H81="no",1,IFERROR(VLOOKUP(info_st,Ranges!$DZ:$ED,IF($H81=Ranges!$EC$5,5,3),FALSE),Ranges!EB$6))</f>
        <v>1</v>
      </c>
      <c r="K81" s="383">
        <f t="shared" si="2"/>
        <v>1</v>
      </c>
      <c r="L81" s="90">
        <f t="shared" si="9"/>
        <v>0</v>
      </c>
      <c r="M81" s="587" t="str">
        <f>IF(info_st="nj",INDEX(Ranges!$DU$25:$DW$32,MATCH(U81,Ranges!$DV$25:$DV$32,1),1),INDEX(Ranges!$DU$5:$DW$14,MATCH(U81,Ranges!$DV$5:$DV$14,1),1))</f>
        <v>eight or more</v>
      </c>
      <c r="N81" s="587"/>
      <c r="O81" s="228">
        <f>IF(info_st="nj",VLOOKUP(M81,Ranges!$DU$25:$DW$32,3,FALSE),VLOOKUP(M81,Ranges!$DU$5:$DW$14,3,FALSE))</f>
        <v>2.8</v>
      </c>
      <c r="P81"/>
      <c r="Q81" s="4" t="b">
        <f>IF(info_admit=Ranges!$U$7,FALSE,D81&lt;=$E$58)</f>
        <v>1</v>
      </c>
      <c r="R81" s="121">
        <f t="shared" si="5"/>
        <v>0</v>
      </c>
      <c r="S81" s="115">
        <f t="shared" si="6"/>
        <v>0</v>
      </c>
      <c r="T81" s="122">
        <f>IF($C81=1,IF($H81=Ranges!$EC$5,1,0),0)</f>
        <v>0</v>
      </c>
      <c r="U81" s="242">
        <f t="shared" si="3"/>
        <v>120</v>
      </c>
      <c r="W81"/>
      <c r="X81" s="4"/>
      <c r="Y81" s="4"/>
      <c r="Z81" s="4"/>
    </row>
    <row r="82" spans="3:26">
      <c r="C82" s="155">
        <f t="shared" si="4"/>
        <v>0</v>
      </c>
      <c r="D82" s="209">
        <f t="shared" si="7"/>
        <v>23</v>
      </c>
      <c r="E82" s="586"/>
      <c r="F82" s="586"/>
      <c r="G82" s="586"/>
      <c r="H82" s="61" t="s">
        <v>28</v>
      </c>
      <c r="I82" s="382">
        <f>IF($H82="no",1,IFERROR(VLOOKUP(info_st,Ranges!$DZ:$ED,IF($H82=Ranges!$EC$5,4,2),FALSE),Ranges!EA$6))</f>
        <v>1</v>
      </c>
      <c r="J82" s="382">
        <f>IF($H82="no",1,IFERROR(VLOOKUP(info_st,Ranges!$DZ:$ED,IF($H82=Ranges!$EC$5,5,3),FALSE),Ranges!EB$6))</f>
        <v>1</v>
      </c>
      <c r="K82" s="383">
        <f t="shared" si="2"/>
        <v>1</v>
      </c>
      <c r="L82" s="90">
        <f t="shared" si="9"/>
        <v>0</v>
      </c>
      <c r="M82" s="587" t="str">
        <f>IF(info_st="nj",INDEX(Ranges!$DU$25:$DW$32,MATCH(U82,Ranges!$DV$25:$DV$32,1),1),INDEX(Ranges!$DU$5:$DW$14,MATCH(U82,Ranges!$DV$5:$DV$14,1),1))</f>
        <v>eight or more</v>
      </c>
      <c r="N82" s="587"/>
      <c r="O82" s="228">
        <f>IF(info_st="nj",VLOOKUP(M82,Ranges!$DU$25:$DW$32,3,FALSE),VLOOKUP(M82,Ranges!$DU$5:$DW$14,3,FALSE))</f>
        <v>2.8</v>
      </c>
      <c r="P82"/>
      <c r="Q82" s="4" t="b">
        <f>IF(info_admit=Ranges!$U$7,FALSE,D82&lt;=$E$58)</f>
        <v>1</v>
      </c>
      <c r="R82" s="121">
        <f t="shared" si="5"/>
        <v>0</v>
      </c>
      <c r="S82" s="115">
        <f t="shared" si="6"/>
        <v>0</v>
      </c>
      <c r="T82" s="122">
        <f>IF($C82=1,IF($H82=Ranges!$EC$5,1,0),0)</f>
        <v>0</v>
      </c>
      <c r="U82" s="242">
        <f t="shared" si="3"/>
        <v>120</v>
      </c>
      <c r="W82"/>
      <c r="X82" s="4"/>
      <c r="Y82" s="4"/>
      <c r="Z82" s="4"/>
    </row>
    <row r="83" spans="3:26">
      <c r="C83" s="155">
        <f t="shared" si="4"/>
        <v>0</v>
      </c>
      <c r="D83" s="209">
        <f t="shared" si="7"/>
        <v>24</v>
      </c>
      <c r="E83" s="586"/>
      <c r="F83" s="586"/>
      <c r="G83" s="586"/>
      <c r="H83" s="61" t="s">
        <v>28</v>
      </c>
      <c r="I83" s="382">
        <f>IF($H83="no",1,IFERROR(VLOOKUP(info_st,Ranges!$DZ:$ED,IF($H83=Ranges!$EC$5,4,2),FALSE),Ranges!EA$6))</f>
        <v>1</v>
      </c>
      <c r="J83" s="382">
        <f>IF($H83="no",1,IFERROR(VLOOKUP(info_st,Ranges!$DZ:$ED,IF($H83=Ranges!$EC$5,5,3),FALSE),Ranges!EB$6))</f>
        <v>1</v>
      </c>
      <c r="K83" s="383">
        <f t="shared" si="2"/>
        <v>1</v>
      </c>
      <c r="L83" s="90">
        <f t="shared" si="9"/>
        <v>0</v>
      </c>
      <c r="M83" s="587" t="str">
        <f>IF(info_st="nj",INDEX(Ranges!$DU$25:$DW$32,MATCH(U83,Ranges!$DV$25:$DV$32,1),1),INDEX(Ranges!$DU$5:$DW$14,MATCH(U83,Ranges!$DV$5:$DV$14,1),1))</f>
        <v>eight or more</v>
      </c>
      <c r="N83" s="587"/>
      <c r="O83" s="228">
        <f>IF(info_st="nj",VLOOKUP(M83,Ranges!$DU$25:$DW$32,3,FALSE),VLOOKUP(M83,Ranges!$DU$5:$DW$14,3,FALSE))</f>
        <v>2.8</v>
      </c>
      <c r="P83"/>
      <c r="Q83" s="4" t="b">
        <f>IF(info_admit=Ranges!$U$7,FALSE,D83&lt;=$E$58)</f>
        <v>1</v>
      </c>
      <c r="R83" s="121">
        <f t="shared" si="5"/>
        <v>0</v>
      </c>
      <c r="S83" s="115">
        <f t="shared" si="6"/>
        <v>0</v>
      </c>
      <c r="T83" s="122">
        <f>IF($C83=1,IF($H83=Ranges!$EC$5,1,0),0)</f>
        <v>0</v>
      </c>
      <c r="U83" s="242">
        <f t="shared" si="3"/>
        <v>120</v>
      </c>
      <c r="W83"/>
      <c r="X83" s="4"/>
      <c r="Y83" s="4"/>
      <c r="Z83" s="4"/>
    </row>
    <row r="84" spans="3:26" s="4" customFormat="1">
      <c r="C84" s="155">
        <f t="shared" ref="C84:C158" si="10">IF(E84="",0,1)</f>
        <v>0</v>
      </c>
      <c r="D84" s="229">
        <f t="shared" si="7"/>
        <v>25</v>
      </c>
      <c r="E84" s="586"/>
      <c r="F84" s="586"/>
      <c r="G84" s="586"/>
      <c r="H84" s="61" t="s">
        <v>28</v>
      </c>
      <c r="I84" s="382">
        <f>IF($H84="no",1,IFERROR(VLOOKUP(info_st,Ranges!$DZ:$ED,IF($H84=Ranges!$EC$5,4,2),FALSE),Ranges!EA$6))</f>
        <v>1</v>
      </c>
      <c r="J84" s="382">
        <f>IF($H84="no",1,IFERROR(VLOOKUP(info_st,Ranges!$DZ:$ED,IF($H84=Ranges!$EC$5,5,3),FALSE),Ranges!EB$6))</f>
        <v>1</v>
      </c>
      <c r="K84" s="383">
        <f t="shared" si="2"/>
        <v>1</v>
      </c>
      <c r="L84" s="90">
        <f t="shared" si="9"/>
        <v>0</v>
      </c>
      <c r="M84" s="587" t="str">
        <f>IF(info_st="nj",INDEX(Ranges!$DU$25:$DW$32,MATCH(U84,Ranges!$DV$25:$DV$32,1),1),INDEX(Ranges!$DU$5:$DW$14,MATCH(U84,Ranges!$DV$5:$DV$14,1),1))</f>
        <v>eight or more</v>
      </c>
      <c r="N84" s="587"/>
      <c r="O84" s="228">
        <f>IF(info_st="nj",VLOOKUP(M84,Ranges!$DU$25:$DW$32,3,FALSE),VLOOKUP(M84,Ranges!$DU$5:$DW$14,3,FALSE))</f>
        <v>2.8</v>
      </c>
      <c r="Q84" s="4" t="b">
        <f>IF(info_admit=Ranges!$U$7,FALSE,D84&lt;=$E$58)</f>
        <v>1</v>
      </c>
      <c r="R84" s="121">
        <f t="shared" si="5"/>
        <v>0</v>
      </c>
      <c r="S84" s="115">
        <f t="shared" si="6"/>
        <v>0</v>
      </c>
      <c r="T84" s="122">
        <f>IF($C84=1,IF($H84=Ranges!$EC$5,1,0),0)</f>
        <v>0</v>
      </c>
      <c r="U84" s="242">
        <f t="shared" si="3"/>
        <v>120</v>
      </c>
    </row>
    <row r="85" spans="3:26" s="4" customFormat="1" hidden="1">
      <c r="C85" s="155">
        <f t="shared" si="10"/>
        <v>0</v>
      </c>
      <c r="D85" s="229">
        <f t="shared" si="7"/>
        <v>26</v>
      </c>
      <c r="E85" s="586"/>
      <c r="F85" s="586"/>
      <c r="G85" s="586"/>
      <c r="H85" s="61" t="s">
        <v>28</v>
      </c>
      <c r="I85" s="382">
        <f>IF($H85="no",1,IFERROR(VLOOKUP(info_st,Ranges!$DZ:$ED,IF($H85=Ranges!$EC$5,4,2),FALSE),Ranges!EA$6))</f>
        <v>1</v>
      </c>
      <c r="J85" s="382">
        <f>IF($H85="no",1,IFERROR(VLOOKUP(info_st,Ranges!$DZ:$ED,IF($H85=Ranges!$EC$5,5,3),FALSE),Ranges!EB$6))</f>
        <v>1</v>
      </c>
      <c r="K85" s="383">
        <f t="shared" si="2"/>
        <v>1</v>
      </c>
      <c r="L85" s="90">
        <f t="shared" si="9"/>
        <v>0</v>
      </c>
      <c r="M85" s="587" t="str">
        <f>IF(info_st="nj",INDEX(Ranges!$DU$25:$DW$32,MATCH(U85,Ranges!$DV$25:$DV$32,1),1),INDEX(Ranges!$DU$5:$DW$14,MATCH(U85,Ranges!$DV$5:$DV$14,1),1))</f>
        <v>eight or more</v>
      </c>
      <c r="N85" s="587"/>
      <c r="O85" s="228">
        <f>IF(info_st="nj",VLOOKUP(M85,Ranges!$DU$25:$DW$32,3,FALSE),VLOOKUP(M85,Ranges!$DU$5:$DW$14,3,FALSE))</f>
        <v>2.8</v>
      </c>
      <c r="Q85" s="4" t="b">
        <f>IF(info_admit=Ranges!$U$7,FALSE,D85&lt;=$E$58)</f>
        <v>0</v>
      </c>
      <c r="R85" s="121">
        <f t="shared" si="5"/>
        <v>0</v>
      </c>
      <c r="S85" s="115">
        <f t="shared" si="6"/>
        <v>0</v>
      </c>
      <c r="T85" s="122">
        <f>IF($C85=1,IF($H85=Ranges!$EC$5,1,0),0)</f>
        <v>0</v>
      </c>
      <c r="U85" s="242">
        <f t="shared" si="3"/>
        <v>120</v>
      </c>
    </row>
    <row r="86" spans="3:26" s="4" customFormat="1" hidden="1">
      <c r="C86" s="155">
        <f t="shared" si="10"/>
        <v>0</v>
      </c>
      <c r="D86" s="229">
        <f t="shared" si="7"/>
        <v>27</v>
      </c>
      <c r="E86" s="586"/>
      <c r="F86" s="586"/>
      <c r="G86" s="586"/>
      <c r="H86" s="61" t="s">
        <v>28</v>
      </c>
      <c r="I86" s="382">
        <f>IF($H86="no",1,IFERROR(VLOOKUP(info_st,Ranges!$DZ:$ED,IF($H86=Ranges!$EC$5,4,2),FALSE),Ranges!EA$6))</f>
        <v>1</v>
      </c>
      <c r="J86" s="382">
        <f>IF($H86="no",1,IFERROR(VLOOKUP(info_st,Ranges!$DZ:$ED,IF($H86=Ranges!$EC$5,5,3),FALSE),Ranges!EB$6))</f>
        <v>1</v>
      </c>
      <c r="K86" s="383">
        <f t="shared" si="2"/>
        <v>1</v>
      </c>
      <c r="L86" s="90">
        <f t="shared" si="9"/>
        <v>0</v>
      </c>
      <c r="M86" s="587" t="str">
        <f>IF(info_st="nj",INDEX(Ranges!$DU$25:$DW$32,MATCH(U86,Ranges!$DV$25:$DV$32,1),1),INDEX(Ranges!$DU$5:$DW$14,MATCH(U86,Ranges!$DV$5:$DV$14,1),1))</f>
        <v>eight or more</v>
      </c>
      <c r="N86" s="587"/>
      <c r="O86" s="228">
        <f>IF(info_st="nj",VLOOKUP(M86,Ranges!$DU$25:$DW$32,3,FALSE),VLOOKUP(M86,Ranges!$DU$5:$DW$14,3,FALSE))</f>
        <v>2.8</v>
      </c>
      <c r="Q86" s="4" t="b">
        <f>IF(info_admit=Ranges!$U$7,FALSE,D86&lt;=$E$58)</f>
        <v>0</v>
      </c>
      <c r="R86" s="121">
        <f t="shared" si="5"/>
        <v>0</v>
      </c>
      <c r="S86" s="115">
        <f t="shared" si="6"/>
        <v>0</v>
      </c>
      <c r="T86" s="122">
        <f>IF($C86=1,IF($H86=Ranges!$EC$5,1,0),0)</f>
        <v>0</v>
      </c>
      <c r="U86" s="242">
        <f t="shared" si="3"/>
        <v>120</v>
      </c>
    </row>
    <row r="87" spans="3:26" s="4" customFormat="1" hidden="1">
      <c r="C87" s="155">
        <f t="shared" si="10"/>
        <v>0</v>
      </c>
      <c r="D87" s="229">
        <f t="shared" si="7"/>
        <v>28</v>
      </c>
      <c r="E87" s="586"/>
      <c r="F87" s="586"/>
      <c r="G87" s="586"/>
      <c r="H87" s="61" t="s">
        <v>28</v>
      </c>
      <c r="I87" s="382">
        <f>IF($H87="no",1,IFERROR(VLOOKUP(info_st,Ranges!$DZ:$ED,IF($H87=Ranges!$EC$5,4,2),FALSE),Ranges!EA$6))</f>
        <v>1</v>
      </c>
      <c r="J87" s="382">
        <f>IF($H87="no",1,IFERROR(VLOOKUP(info_st,Ranges!$DZ:$ED,IF($H87=Ranges!$EC$5,5,3),FALSE),Ranges!EB$6))</f>
        <v>1</v>
      </c>
      <c r="K87" s="383">
        <f t="shared" si="2"/>
        <v>1</v>
      </c>
      <c r="L87" s="90">
        <f t="shared" si="9"/>
        <v>0</v>
      </c>
      <c r="M87" s="587" t="str">
        <f>IF(info_st="nj",INDEX(Ranges!$DU$25:$DW$32,MATCH(U87,Ranges!$DV$25:$DV$32,1),1),INDEX(Ranges!$DU$5:$DW$14,MATCH(U87,Ranges!$DV$5:$DV$14,1),1))</f>
        <v>eight or more</v>
      </c>
      <c r="N87" s="587"/>
      <c r="O87" s="228">
        <f>IF(info_st="nj",VLOOKUP(M87,Ranges!$DU$25:$DW$32,3,FALSE),VLOOKUP(M87,Ranges!$DU$5:$DW$14,3,FALSE))</f>
        <v>2.8</v>
      </c>
      <c r="Q87" s="4" t="b">
        <f>IF(info_admit=Ranges!$U$7,FALSE,D87&lt;=$E$58)</f>
        <v>0</v>
      </c>
      <c r="R87" s="121">
        <f t="shared" si="5"/>
        <v>0</v>
      </c>
      <c r="S87" s="115">
        <f t="shared" si="6"/>
        <v>0</v>
      </c>
      <c r="T87" s="122">
        <f>IF($C87=1,IF($H87=Ranges!$EC$5,1,0),0)</f>
        <v>0</v>
      </c>
      <c r="U87" s="242">
        <f t="shared" si="3"/>
        <v>120</v>
      </c>
    </row>
    <row r="88" spans="3:26" s="4" customFormat="1" hidden="1">
      <c r="C88" s="155">
        <f t="shared" si="10"/>
        <v>0</v>
      </c>
      <c r="D88" s="229">
        <f t="shared" si="7"/>
        <v>29</v>
      </c>
      <c r="E88" s="586"/>
      <c r="F88" s="586"/>
      <c r="G88" s="586"/>
      <c r="H88" s="61" t="s">
        <v>28</v>
      </c>
      <c r="I88" s="382">
        <f>IF($H88="no",1,IFERROR(VLOOKUP(info_st,Ranges!$DZ:$ED,IF($H88=Ranges!$EC$5,4,2),FALSE),Ranges!EA$6))</f>
        <v>1</v>
      </c>
      <c r="J88" s="382">
        <f>IF($H88="no",1,IFERROR(VLOOKUP(info_st,Ranges!$DZ:$ED,IF($H88=Ranges!$EC$5,5,3),FALSE),Ranges!EB$6))</f>
        <v>1</v>
      </c>
      <c r="K88" s="383">
        <f t="shared" si="2"/>
        <v>1</v>
      </c>
      <c r="L88" s="90">
        <f t="shared" si="9"/>
        <v>0</v>
      </c>
      <c r="M88" s="587" t="str">
        <f>IF(info_st="nj",INDEX(Ranges!$DU$25:$DW$32,MATCH(U88,Ranges!$DV$25:$DV$32,1),1),INDEX(Ranges!$DU$5:$DW$14,MATCH(U88,Ranges!$DV$5:$DV$14,1),1))</f>
        <v>eight or more</v>
      </c>
      <c r="N88" s="587"/>
      <c r="O88" s="228">
        <f>IF(info_st="nj",VLOOKUP(M88,Ranges!$DU$25:$DW$32,3,FALSE),VLOOKUP(M88,Ranges!$DU$5:$DW$14,3,FALSE))</f>
        <v>2.8</v>
      </c>
      <c r="Q88" s="4" t="b">
        <f>IF(info_admit=Ranges!$U$7,FALSE,D88&lt;=$E$58)</f>
        <v>0</v>
      </c>
      <c r="R88" s="121">
        <f t="shared" si="5"/>
        <v>0</v>
      </c>
      <c r="S88" s="115">
        <f t="shared" si="6"/>
        <v>0</v>
      </c>
      <c r="T88" s="122">
        <f>IF($C88=1,IF($H88=Ranges!$EC$5,1,0),0)</f>
        <v>0</v>
      </c>
      <c r="U88" s="242">
        <f t="shared" si="3"/>
        <v>120</v>
      </c>
    </row>
    <row r="89" spans="3:26" s="4" customFormat="1" hidden="1">
      <c r="C89" s="155">
        <f t="shared" si="10"/>
        <v>0</v>
      </c>
      <c r="D89" s="229">
        <f t="shared" si="7"/>
        <v>30</v>
      </c>
      <c r="E89" s="586"/>
      <c r="F89" s="586"/>
      <c r="G89" s="586"/>
      <c r="H89" s="61" t="s">
        <v>28</v>
      </c>
      <c r="I89" s="382">
        <f>IF($H89="no",1,IFERROR(VLOOKUP(info_st,Ranges!$DZ:$ED,IF($H89=Ranges!$EC$5,4,2),FALSE),Ranges!EA$6))</f>
        <v>1</v>
      </c>
      <c r="J89" s="382">
        <f>IF($H89="no",1,IFERROR(VLOOKUP(info_st,Ranges!$DZ:$ED,IF($H89=Ranges!$EC$5,5,3),FALSE),Ranges!EB$6))</f>
        <v>1</v>
      </c>
      <c r="K89" s="383">
        <f t="shared" si="2"/>
        <v>1</v>
      </c>
      <c r="L89" s="90">
        <f t="shared" si="9"/>
        <v>0</v>
      </c>
      <c r="M89" s="587" t="str">
        <f>IF(info_st="nj",INDEX(Ranges!$DU$25:$DW$32,MATCH(U89,Ranges!$DV$25:$DV$32,1),1),INDEX(Ranges!$DU$5:$DW$14,MATCH(U89,Ranges!$DV$5:$DV$14,1),1))</f>
        <v>eight or more</v>
      </c>
      <c r="N89" s="587"/>
      <c r="O89" s="228">
        <f>IF(info_st="nj",VLOOKUP(M89,Ranges!$DU$25:$DW$32,3,FALSE),VLOOKUP(M89,Ranges!$DU$5:$DW$14,3,FALSE))</f>
        <v>2.8</v>
      </c>
      <c r="Q89" s="4" t="b">
        <f>IF(info_admit=Ranges!$U$7,FALSE,D89&lt;=$E$58)</f>
        <v>0</v>
      </c>
      <c r="R89" s="121">
        <f t="shared" si="5"/>
        <v>0</v>
      </c>
      <c r="S89" s="115">
        <f t="shared" si="6"/>
        <v>0</v>
      </c>
      <c r="T89" s="122">
        <f>IF($C89=1,IF($H89=Ranges!$EC$5,1,0),0)</f>
        <v>0</v>
      </c>
      <c r="U89" s="242">
        <f t="shared" si="3"/>
        <v>120</v>
      </c>
    </row>
    <row r="90" spans="3:26" s="4" customFormat="1" hidden="1">
      <c r="C90" s="155">
        <f t="shared" si="10"/>
        <v>0</v>
      </c>
      <c r="D90" s="229">
        <f t="shared" si="7"/>
        <v>31</v>
      </c>
      <c r="E90" s="586"/>
      <c r="F90" s="586"/>
      <c r="G90" s="586"/>
      <c r="H90" s="61" t="s">
        <v>28</v>
      </c>
      <c r="I90" s="382">
        <f>IF($H90="no",1,IFERROR(VLOOKUP(info_st,Ranges!$DZ:$ED,IF($H90=Ranges!$EC$5,4,2),FALSE),Ranges!EA$6))</f>
        <v>1</v>
      </c>
      <c r="J90" s="382">
        <f>IF($H90="no",1,IFERROR(VLOOKUP(info_st,Ranges!$DZ:$ED,IF($H90=Ranges!$EC$5,5,3),FALSE),Ranges!EB$6))</f>
        <v>1</v>
      </c>
      <c r="K90" s="383">
        <f t="shared" si="2"/>
        <v>1</v>
      </c>
      <c r="L90" s="90">
        <f t="shared" si="9"/>
        <v>0</v>
      </c>
      <c r="M90" s="587" t="str">
        <f>IF(info_st="nj",INDEX(Ranges!$DU$25:$DW$32,MATCH(U90,Ranges!$DV$25:$DV$32,1),1),INDEX(Ranges!$DU$5:$DW$14,MATCH(U90,Ranges!$DV$5:$DV$14,1),1))</f>
        <v>eight or more</v>
      </c>
      <c r="N90" s="587"/>
      <c r="O90" s="228">
        <f>IF(info_st="nj",VLOOKUP(M90,Ranges!$DU$25:$DW$32,3,FALSE),VLOOKUP(M90,Ranges!$DU$5:$DW$14,3,FALSE))</f>
        <v>2.8</v>
      </c>
      <c r="Q90" s="4" t="b">
        <f>IF(info_admit=Ranges!$U$7,FALSE,D90&lt;=$E$58)</f>
        <v>0</v>
      </c>
      <c r="R90" s="121">
        <f t="shared" si="5"/>
        <v>0</v>
      </c>
      <c r="S90" s="115">
        <f t="shared" si="6"/>
        <v>0</v>
      </c>
      <c r="T90" s="122">
        <f>IF($C90=1,IF($H90=Ranges!$EC$5,1,0),0)</f>
        <v>0</v>
      </c>
      <c r="U90" s="242">
        <f t="shared" si="3"/>
        <v>120</v>
      </c>
    </row>
    <row r="91" spans="3:26" s="4" customFormat="1" hidden="1">
      <c r="C91" s="155">
        <f t="shared" si="10"/>
        <v>0</v>
      </c>
      <c r="D91" s="229">
        <f t="shared" si="7"/>
        <v>32</v>
      </c>
      <c r="E91" s="586"/>
      <c r="F91" s="586"/>
      <c r="G91" s="586"/>
      <c r="H91" s="61" t="s">
        <v>28</v>
      </c>
      <c r="I91" s="382">
        <f>IF($H91="no",1,IFERROR(VLOOKUP(info_st,Ranges!$DZ:$ED,IF($H91=Ranges!$EC$5,4,2),FALSE),Ranges!EA$6))</f>
        <v>1</v>
      </c>
      <c r="J91" s="382">
        <f>IF($H91="no",1,IFERROR(VLOOKUP(info_st,Ranges!$DZ:$ED,IF($H91=Ranges!$EC$5,5,3),FALSE),Ranges!EB$6))</f>
        <v>1</v>
      </c>
      <c r="K91" s="383">
        <f t="shared" si="2"/>
        <v>1</v>
      </c>
      <c r="L91" s="90">
        <f t="shared" si="9"/>
        <v>0</v>
      </c>
      <c r="M91" s="587" t="str">
        <f>IF(info_st="nj",INDEX(Ranges!$DU$25:$DW$32,MATCH(U91,Ranges!$DV$25:$DV$32,1),1),INDEX(Ranges!$DU$5:$DW$14,MATCH(U91,Ranges!$DV$5:$DV$14,1),1))</f>
        <v>eight or more</v>
      </c>
      <c r="N91" s="587"/>
      <c r="O91" s="228">
        <f>IF(info_st="nj",VLOOKUP(M91,Ranges!$DU$25:$DW$32,3,FALSE),VLOOKUP(M91,Ranges!$DU$5:$DW$14,3,FALSE))</f>
        <v>2.8</v>
      </c>
      <c r="Q91" s="4" t="b">
        <f>IF(info_admit=Ranges!$U$7,FALSE,D91&lt;=$E$58)</f>
        <v>0</v>
      </c>
      <c r="R91" s="121">
        <f t="shared" si="5"/>
        <v>0</v>
      </c>
      <c r="S91" s="115">
        <f t="shared" si="6"/>
        <v>0</v>
      </c>
      <c r="T91" s="122">
        <f>IF($C91=1,IF($H91=Ranges!$EC$5,1,0),0)</f>
        <v>0</v>
      </c>
      <c r="U91" s="242">
        <f t="shared" si="3"/>
        <v>120</v>
      </c>
    </row>
    <row r="92" spans="3:26" s="4" customFormat="1" hidden="1">
      <c r="C92" s="155">
        <f t="shared" si="10"/>
        <v>0</v>
      </c>
      <c r="D92" s="229">
        <f t="shared" si="7"/>
        <v>33</v>
      </c>
      <c r="E92" s="586"/>
      <c r="F92" s="586"/>
      <c r="G92" s="586"/>
      <c r="H92" s="61" t="s">
        <v>28</v>
      </c>
      <c r="I92" s="382">
        <f>IF($H92="no",1,IFERROR(VLOOKUP(info_st,Ranges!$DZ:$ED,IF($H92=Ranges!$EC$5,4,2),FALSE),Ranges!EA$6))</f>
        <v>1</v>
      </c>
      <c r="J92" s="382">
        <f>IF($H92="no",1,IFERROR(VLOOKUP(info_st,Ranges!$DZ:$ED,IF($H92=Ranges!$EC$5,5,3),FALSE),Ranges!EB$6))</f>
        <v>1</v>
      </c>
      <c r="K92" s="383">
        <f t="shared" ref="K92:K123" si="11">IF(H92="no",1,IF(Rate_CountTotal=1,1,I92))</f>
        <v>1</v>
      </c>
      <c r="L92" s="90">
        <f t="shared" ref="L92:L123" si="12">info_retrodt</f>
        <v>0</v>
      </c>
      <c r="M92" s="587" t="str">
        <f>IF(info_st="nj",INDEX(Ranges!$DU$25:$DW$32,MATCH(U92,Ranges!$DV$25:$DV$32,1),1),INDEX(Ranges!$DU$5:$DW$14,MATCH(U92,Ranges!$DV$5:$DV$14,1),1))</f>
        <v>eight or more</v>
      </c>
      <c r="N92" s="587"/>
      <c r="O92" s="228">
        <f>IF(info_st="nj",VLOOKUP(M92,Ranges!$DU$25:$DW$32,3,FALSE),VLOOKUP(M92,Ranges!$DU$5:$DW$14,3,FALSE))</f>
        <v>2.8</v>
      </c>
      <c r="Q92" s="4" t="b">
        <f>IF(info_admit=Ranges!$U$7,FALSE,D92&lt;=$E$58)</f>
        <v>0</v>
      </c>
      <c r="R92" s="121">
        <f t="shared" si="5"/>
        <v>0</v>
      </c>
      <c r="S92" s="115">
        <f t="shared" si="6"/>
        <v>0</v>
      </c>
      <c r="T92" s="122">
        <f>IF($C92=1,IF($H92=Ranges!$EC$5,1,0),0)</f>
        <v>0</v>
      </c>
      <c r="U92" s="242">
        <f t="shared" ref="U92:U123" si="13">IF(L92&gt;info_effdt,0,DATEDIF(L92,info_effdt,"y"))</f>
        <v>120</v>
      </c>
    </row>
    <row r="93" spans="3:26" s="4" customFormat="1" hidden="1">
      <c r="C93" s="155">
        <f t="shared" si="10"/>
        <v>0</v>
      </c>
      <c r="D93" s="229">
        <f t="shared" si="7"/>
        <v>34</v>
      </c>
      <c r="E93" s="586"/>
      <c r="F93" s="586"/>
      <c r="G93" s="586"/>
      <c r="H93" s="61" t="s">
        <v>28</v>
      </c>
      <c r="I93" s="382">
        <f>IF($H93="no",1,IFERROR(VLOOKUP(info_st,Ranges!$DZ:$ED,IF($H93=Ranges!$EC$5,4,2),FALSE),Ranges!EA$6))</f>
        <v>1</v>
      </c>
      <c r="J93" s="382">
        <f>IF($H93="no",1,IFERROR(VLOOKUP(info_st,Ranges!$DZ:$ED,IF($H93=Ranges!$EC$5,5,3),FALSE),Ranges!EB$6))</f>
        <v>1</v>
      </c>
      <c r="K93" s="383">
        <f t="shared" si="11"/>
        <v>1</v>
      </c>
      <c r="L93" s="90">
        <f t="shared" si="12"/>
        <v>0</v>
      </c>
      <c r="M93" s="587" t="str">
        <f>IF(info_st="nj",INDEX(Ranges!$DU$25:$DW$32,MATCH(U93,Ranges!$DV$25:$DV$32,1),1),INDEX(Ranges!$DU$5:$DW$14,MATCH(U93,Ranges!$DV$5:$DV$14,1),1))</f>
        <v>eight or more</v>
      </c>
      <c r="N93" s="587"/>
      <c r="O93" s="228">
        <f>IF(info_st="nj",VLOOKUP(M93,Ranges!$DU$25:$DW$32,3,FALSE),VLOOKUP(M93,Ranges!$DU$5:$DW$14,3,FALSE))</f>
        <v>2.8</v>
      </c>
      <c r="Q93" s="4" t="b">
        <f>IF(info_admit=Ranges!$U$7,FALSE,D93&lt;=$E$58)</f>
        <v>0</v>
      </c>
      <c r="R93" s="121">
        <f t="shared" si="5"/>
        <v>0</v>
      </c>
      <c r="S93" s="115">
        <f t="shared" si="6"/>
        <v>0</v>
      </c>
      <c r="T93" s="122">
        <f>IF($C93=1,IF($H93=Ranges!$EC$5,1,0),0)</f>
        <v>0</v>
      </c>
      <c r="U93" s="242">
        <f t="shared" si="13"/>
        <v>120</v>
      </c>
    </row>
    <row r="94" spans="3:26" s="4" customFormat="1" hidden="1">
      <c r="C94" s="155">
        <f t="shared" si="10"/>
        <v>0</v>
      </c>
      <c r="D94" s="229">
        <f t="shared" si="7"/>
        <v>35</v>
      </c>
      <c r="E94" s="586"/>
      <c r="F94" s="586"/>
      <c r="G94" s="586"/>
      <c r="H94" s="61" t="s">
        <v>28</v>
      </c>
      <c r="I94" s="382">
        <f>IF($H94="no",1,IFERROR(VLOOKUP(info_st,Ranges!$DZ:$ED,IF($H94=Ranges!$EC$5,4,2),FALSE),Ranges!EA$6))</f>
        <v>1</v>
      </c>
      <c r="J94" s="382">
        <f>IF($H94="no",1,IFERROR(VLOOKUP(info_st,Ranges!$DZ:$ED,IF($H94=Ranges!$EC$5,5,3),FALSE),Ranges!EB$6))</f>
        <v>1</v>
      </c>
      <c r="K94" s="383">
        <f t="shared" si="11"/>
        <v>1</v>
      </c>
      <c r="L94" s="90">
        <f t="shared" si="12"/>
        <v>0</v>
      </c>
      <c r="M94" s="587" t="str">
        <f>IF(info_st="nj",INDEX(Ranges!$DU$25:$DW$32,MATCH(U94,Ranges!$DV$25:$DV$32,1),1),INDEX(Ranges!$DU$5:$DW$14,MATCH(U94,Ranges!$DV$5:$DV$14,1),1))</f>
        <v>eight or more</v>
      </c>
      <c r="N94" s="587"/>
      <c r="O94" s="228">
        <f>IF(info_st="nj",VLOOKUP(M94,Ranges!$DU$25:$DW$32,3,FALSE),VLOOKUP(M94,Ranges!$DU$5:$DW$14,3,FALSE))</f>
        <v>2.8</v>
      </c>
      <c r="Q94" s="4" t="b">
        <f>IF(info_admit=Ranges!$U$7,FALSE,D94&lt;=$E$58)</f>
        <v>0</v>
      </c>
      <c r="R94" s="121">
        <f t="shared" si="5"/>
        <v>0</v>
      </c>
      <c r="S94" s="115">
        <f t="shared" si="6"/>
        <v>0</v>
      </c>
      <c r="T94" s="122">
        <f>IF($C94=1,IF($H94=Ranges!$EC$5,1,0),0)</f>
        <v>0</v>
      </c>
      <c r="U94" s="242">
        <f t="shared" si="13"/>
        <v>120</v>
      </c>
    </row>
    <row r="95" spans="3:26" s="4" customFormat="1" hidden="1">
      <c r="C95" s="155">
        <f t="shared" si="10"/>
        <v>0</v>
      </c>
      <c r="D95" s="229">
        <f t="shared" si="7"/>
        <v>36</v>
      </c>
      <c r="E95" s="586"/>
      <c r="F95" s="586"/>
      <c r="G95" s="586"/>
      <c r="H95" s="61" t="s">
        <v>28</v>
      </c>
      <c r="I95" s="382">
        <f>IF($H95="no",1,IFERROR(VLOOKUP(info_st,Ranges!$DZ:$ED,IF($H95=Ranges!$EC$5,4,2),FALSE),Ranges!EA$6))</f>
        <v>1</v>
      </c>
      <c r="J95" s="382">
        <f>IF($H95="no",1,IFERROR(VLOOKUP(info_st,Ranges!$DZ:$ED,IF($H95=Ranges!$EC$5,5,3),FALSE),Ranges!EB$6))</f>
        <v>1</v>
      </c>
      <c r="K95" s="383">
        <f t="shared" si="11"/>
        <v>1</v>
      </c>
      <c r="L95" s="90">
        <f t="shared" si="12"/>
        <v>0</v>
      </c>
      <c r="M95" s="587" t="str">
        <f>IF(info_st="nj",INDEX(Ranges!$DU$25:$DW$32,MATCH(U95,Ranges!$DV$25:$DV$32,1),1),INDEX(Ranges!$DU$5:$DW$14,MATCH(U95,Ranges!$DV$5:$DV$14,1),1))</f>
        <v>eight or more</v>
      </c>
      <c r="N95" s="587"/>
      <c r="O95" s="228">
        <f>IF(info_st="nj",VLOOKUP(M95,Ranges!$DU$25:$DW$32,3,FALSE),VLOOKUP(M95,Ranges!$DU$5:$DW$14,3,FALSE))</f>
        <v>2.8</v>
      </c>
      <c r="Q95" s="4" t="b">
        <f>IF(info_admit=Ranges!$U$7,FALSE,D95&lt;=$E$58)</f>
        <v>0</v>
      </c>
      <c r="R95" s="121">
        <f t="shared" si="5"/>
        <v>0</v>
      </c>
      <c r="S95" s="115">
        <f t="shared" si="6"/>
        <v>0</v>
      </c>
      <c r="T95" s="122">
        <f>IF($C95=1,IF($H95=Ranges!$EC$5,1,0),0)</f>
        <v>0</v>
      </c>
      <c r="U95" s="242">
        <f t="shared" si="13"/>
        <v>120</v>
      </c>
    </row>
    <row r="96" spans="3:26" s="4" customFormat="1" hidden="1">
      <c r="C96" s="155">
        <f t="shared" si="10"/>
        <v>0</v>
      </c>
      <c r="D96" s="229">
        <f t="shared" si="7"/>
        <v>37</v>
      </c>
      <c r="E96" s="586"/>
      <c r="F96" s="586"/>
      <c r="G96" s="586"/>
      <c r="H96" s="61" t="s">
        <v>28</v>
      </c>
      <c r="I96" s="382">
        <f>IF($H96="no",1,IFERROR(VLOOKUP(info_st,Ranges!$DZ:$ED,IF($H96=Ranges!$EC$5,4,2),FALSE),Ranges!EA$6))</f>
        <v>1</v>
      </c>
      <c r="J96" s="382">
        <f>IF($H96="no",1,IFERROR(VLOOKUP(info_st,Ranges!$DZ:$ED,IF($H96=Ranges!$EC$5,5,3),FALSE),Ranges!EB$6))</f>
        <v>1</v>
      </c>
      <c r="K96" s="383">
        <f t="shared" si="11"/>
        <v>1</v>
      </c>
      <c r="L96" s="90">
        <f t="shared" si="12"/>
        <v>0</v>
      </c>
      <c r="M96" s="587" t="str">
        <f>IF(info_st="nj",INDEX(Ranges!$DU$25:$DW$32,MATCH(U96,Ranges!$DV$25:$DV$32,1),1),INDEX(Ranges!$DU$5:$DW$14,MATCH(U96,Ranges!$DV$5:$DV$14,1),1))</f>
        <v>eight or more</v>
      </c>
      <c r="N96" s="587"/>
      <c r="O96" s="228">
        <f>IF(info_st="nj",VLOOKUP(M96,Ranges!$DU$25:$DW$32,3,FALSE),VLOOKUP(M96,Ranges!$DU$5:$DW$14,3,FALSE))</f>
        <v>2.8</v>
      </c>
      <c r="Q96" s="4" t="b">
        <f>IF(info_admit=Ranges!$U$7,FALSE,D96&lt;=$E$58)</f>
        <v>0</v>
      </c>
      <c r="R96" s="121">
        <f t="shared" si="5"/>
        <v>0</v>
      </c>
      <c r="S96" s="115">
        <f t="shared" si="6"/>
        <v>0</v>
      </c>
      <c r="T96" s="122">
        <f>IF($C96=1,IF($H96=Ranges!$EC$5,1,0),0)</f>
        <v>0</v>
      </c>
      <c r="U96" s="242">
        <f t="shared" si="13"/>
        <v>120</v>
      </c>
    </row>
    <row r="97" spans="3:21" s="4" customFormat="1" hidden="1">
      <c r="C97" s="155">
        <f t="shared" si="10"/>
        <v>0</v>
      </c>
      <c r="D97" s="229">
        <f t="shared" si="7"/>
        <v>38</v>
      </c>
      <c r="E97" s="586"/>
      <c r="F97" s="586"/>
      <c r="G97" s="586"/>
      <c r="H97" s="61" t="s">
        <v>28</v>
      </c>
      <c r="I97" s="382">
        <f>IF($H97="no",1,IFERROR(VLOOKUP(info_st,Ranges!$DZ:$ED,IF($H97=Ranges!$EC$5,4,2),FALSE),Ranges!EA$6))</f>
        <v>1</v>
      </c>
      <c r="J97" s="382">
        <f>IF($H97="no",1,IFERROR(VLOOKUP(info_st,Ranges!$DZ:$ED,IF($H97=Ranges!$EC$5,5,3),FALSE),Ranges!EB$6))</f>
        <v>1</v>
      </c>
      <c r="K97" s="383">
        <f t="shared" si="11"/>
        <v>1</v>
      </c>
      <c r="L97" s="90">
        <f t="shared" si="12"/>
        <v>0</v>
      </c>
      <c r="M97" s="587" t="str">
        <f>IF(info_st="nj",INDEX(Ranges!$DU$25:$DW$32,MATCH(U97,Ranges!$DV$25:$DV$32,1),1),INDEX(Ranges!$DU$5:$DW$14,MATCH(U97,Ranges!$DV$5:$DV$14,1),1))</f>
        <v>eight or more</v>
      </c>
      <c r="N97" s="587"/>
      <c r="O97" s="228">
        <f>IF(info_st="nj",VLOOKUP(M97,Ranges!$DU$25:$DW$32,3,FALSE),VLOOKUP(M97,Ranges!$DU$5:$DW$14,3,FALSE))</f>
        <v>2.8</v>
      </c>
      <c r="Q97" s="4" t="b">
        <f>IF(info_admit=Ranges!$U$7,FALSE,D97&lt;=$E$58)</f>
        <v>0</v>
      </c>
      <c r="R97" s="121">
        <f t="shared" si="5"/>
        <v>0</v>
      </c>
      <c r="S97" s="115">
        <f t="shared" si="6"/>
        <v>0</v>
      </c>
      <c r="T97" s="122">
        <f>IF($C97=1,IF($H97=Ranges!$EC$5,1,0),0)</f>
        <v>0</v>
      </c>
      <c r="U97" s="242">
        <f t="shared" si="13"/>
        <v>120</v>
      </c>
    </row>
    <row r="98" spans="3:21" s="4" customFormat="1" hidden="1">
      <c r="C98" s="155">
        <f t="shared" si="10"/>
        <v>0</v>
      </c>
      <c r="D98" s="229">
        <f t="shared" si="7"/>
        <v>39</v>
      </c>
      <c r="E98" s="586"/>
      <c r="F98" s="586"/>
      <c r="G98" s="586"/>
      <c r="H98" s="61" t="s">
        <v>28</v>
      </c>
      <c r="I98" s="382">
        <f>IF($H98="no",1,IFERROR(VLOOKUP(info_st,Ranges!$DZ:$ED,IF($H98=Ranges!$EC$5,4,2),FALSE),Ranges!EA$6))</f>
        <v>1</v>
      </c>
      <c r="J98" s="382">
        <f>IF($H98="no",1,IFERROR(VLOOKUP(info_st,Ranges!$DZ:$ED,IF($H98=Ranges!$EC$5,5,3),FALSE),Ranges!EB$6))</f>
        <v>1</v>
      </c>
      <c r="K98" s="383">
        <f t="shared" si="11"/>
        <v>1</v>
      </c>
      <c r="L98" s="90">
        <f t="shared" si="12"/>
        <v>0</v>
      </c>
      <c r="M98" s="587" t="str">
        <f>IF(info_st="nj",INDEX(Ranges!$DU$25:$DW$32,MATCH(U98,Ranges!$DV$25:$DV$32,1),1),INDEX(Ranges!$DU$5:$DW$14,MATCH(U98,Ranges!$DV$5:$DV$14,1),1))</f>
        <v>eight or more</v>
      </c>
      <c r="N98" s="587"/>
      <c r="O98" s="228">
        <f>IF(info_st="nj",VLOOKUP(M98,Ranges!$DU$25:$DW$32,3,FALSE),VLOOKUP(M98,Ranges!$DU$5:$DW$14,3,FALSE))</f>
        <v>2.8</v>
      </c>
      <c r="Q98" s="4" t="b">
        <f>IF(info_admit=Ranges!$U$7,FALSE,D98&lt;=$E$58)</f>
        <v>0</v>
      </c>
      <c r="R98" s="121">
        <f t="shared" si="5"/>
        <v>0</v>
      </c>
      <c r="S98" s="115">
        <f t="shared" si="6"/>
        <v>0</v>
      </c>
      <c r="T98" s="122">
        <f>IF($C98=1,IF($H98=Ranges!$EC$5,1,0),0)</f>
        <v>0</v>
      </c>
      <c r="U98" s="242">
        <f t="shared" si="13"/>
        <v>120</v>
      </c>
    </row>
    <row r="99" spans="3:21" s="4" customFormat="1" hidden="1">
      <c r="C99" s="155">
        <f t="shared" si="10"/>
        <v>0</v>
      </c>
      <c r="D99" s="229">
        <f t="shared" si="7"/>
        <v>40</v>
      </c>
      <c r="E99" s="586"/>
      <c r="F99" s="586"/>
      <c r="G99" s="586"/>
      <c r="H99" s="61" t="s">
        <v>28</v>
      </c>
      <c r="I99" s="382">
        <f>IF($H99="no",1,IFERROR(VLOOKUP(info_st,Ranges!$DZ:$ED,IF($H99=Ranges!$EC$5,4,2),FALSE),Ranges!EA$6))</f>
        <v>1</v>
      </c>
      <c r="J99" s="382">
        <f>IF($H99="no",1,IFERROR(VLOOKUP(info_st,Ranges!$DZ:$ED,IF($H99=Ranges!$EC$5,5,3),FALSE),Ranges!EB$6))</f>
        <v>1</v>
      </c>
      <c r="K99" s="383">
        <f t="shared" si="11"/>
        <v>1</v>
      </c>
      <c r="L99" s="90">
        <f t="shared" si="12"/>
        <v>0</v>
      </c>
      <c r="M99" s="587" t="str">
        <f>IF(info_st="nj",INDEX(Ranges!$DU$25:$DW$32,MATCH(U99,Ranges!$DV$25:$DV$32,1),1),INDEX(Ranges!$DU$5:$DW$14,MATCH(U99,Ranges!$DV$5:$DV$14,1),1))</f>
        <v>eight or more</v>
      </c>
      <c r="N99" s="587"/>
      <c r="O99" s="228">
        <f>IF(info_st="nj",VLOOKUP(M99,Ranges!$DU$25:$DW$32,3,FALSE),VLOOKUP(M99,Ranges!$DU$5:$DW$14,3,FALSE))</f>
        <v>2.8</v>
      </c>
      <c r="Q99" s="4" t="b">
        <f>IF(info_admit=Ranges!$U$7,FALSE,D99&lt;=$E$58)</f>
        <v>0</v>
      </c>
      <c r="R99" s="121">
        <f t="shared" si="5"/>
        <v>0</v>
      </c>
      <c r="S99" s="115">
        <f t="shared" si="6"/>
        <v>0</v>
      </c>
      <c r="T99" s="122">
        <f>IF($C99=1,IF($H99=Ranges!$EC$5,1,0),0)</f>
        <v>0</v>
      </c>
      <c r="U99" s="242">
        <f t="shared" si="13"/>
        <v>120</v>
      </c>
    </row>
    <row r="100" spans="3:21" s="4" customFormat="1" hidden="1">
      <c r="C100" s="155">
        <f t="shared" ref="C100:C149" si="14">IF(E100="",0,1)</f>
        <v>0</v>
      </c>
      <c r="D100" s="238">
        <f t="shared" si="7"/>
        <v>41</v>
      </c>
      <c r="E100" s="586"/>
      <c r="F100" s="586"/>
      <c r="G100" s="586"/>
      <c r="H100" s="61" t="s">
        <v>28</v>
      </c>
      <c r="I100" s="382">
        <f>IF($H100="no",1,IFERROR(VLOOKUP(info_st,Ranges!$DZ:$ED,IF($H100=Ranges!$EC$5,4,2),FALSE),Ranges!EA$6))</f>
        <v>1</v>
      </c>
      <c r="J100" s="382">
        <f>IF($H100="no",1,IFERROR(VLOOKUP(info_st,Ranges!$DZ:$ED,IF($H100=Ranges!$EC$5,5,3),FALSE),Ranges!EB$6))</f>
        <v>1</v>
      </c>
      <c r="K100" s="383">
        <f t="shared" si="11"/>
        <v>1</v>
      </c>
      <c r="L100" s="90">
        <f t="shared" si="12"/>
        <v>0</v>
      </c>
      <c r="M100" s="587" t="str">
        <f>IF(info_st="nj",INDEX(Ranges!$DU$25:$DW$32,MATCH(U100,Ranges!$DV$25:$DV$32,1),1),INDEX(Ranges!$DU$5:$DW$14,MATCH(U100,Ranges!$DV$5:$DV$14,1),1))</f>
        <v>eight or more</v>
      </c>
      <c r="N100" s="587"/>
      <c r="O100" s="228">
        <f>IF(info_st="nj",VLOOKUP(M100,Ranges!$DU$25:$DW$32,3,FALSE),VLOOKUP(M100,Ranges!$DU$5:$DW$14,3,FALSE))</f>
        <v>2.8</v>
      </c>
      <c r="Q100" s="4" t="b">
        <f>IF(info_admit=Ranges!$U$7,FALSE,D100&lt;=$E$58)</f>
        <v>0</v>
      </c>
      <c r="R100" s="121">
        <f t="shared" si="5"/>
        <v>0</v>
      </c>
      <c r="S100" s="115">
        <f t="shared" si="6"/>
        <v>0</v>
      </c>
      <c r="T100" s="122">
        <f>IF($C100=1,IF($H100=Ranges!$EC$5,1,0),0)</f>
        <v>0</v>
      </c>
      <c r="U100" s="242">
        <f t="shared" si="13"/>
        <v>120</v>
      </c>
    </row>
    <row r="101" spans="3:21" s="4" customFormat="1" hidden="1">
      <c r="C101" s="155">
        <f t="shared" si="14"/>
        <v>0</v>
      </c>
      <c r="D101" s="238">
        <f t="shared" si="7"/>
        <v>42</v>
      </c>
      <c r="E101" s="586"/>
      <c r="F101" s="586"/>
      <c r="G101" s="586"/>
      <c r="H101" s="61" t="s">
        <v>28</v>
      </c>
      <c r="I101" s="382">
        <f>IF($H101="no",1,IFERROR(VLOOKUP(info_st,Ranges!$DZ:$ED,IF($H101=Ranges!$EC$5,4,2),FALSE),Ranges!EA$6))</f>
        <v>1</v>
      </c>
      <c r="J101" s="382">
        <f>IF($H101="no",1,IFERROR(VLOOKUP(info_st,Ranges!$DZ:$ED,IF($H101=Ranges!$EC$5,5,3),FALSE),Ranges!EB$6))</f>
        <v>1</v>
      </c>
      <c r="K101" s="383">
        <f t="shared" si="11"/>
        <v>1</v>
      </c>
      <c r="L101" s="90">
        <f t="shared" si="12"/>
        <v>0</v>
      </c>
      <c r="M101" s="587" t="str">
        <f>IF(info_st="nj",INDEX(Ranges!$DU$25:$DW$32,MATCH(U101,Ranges!$DV$25:$DV$32,1),1),INDEX(Ranges!$DU$5:$DW$14,MATCH(U101,Ranges!$DV$5:$DV$14,1),1))</f>
        <v>eight or more</v>
      </c>
      <c r="N101" s="587"/>
      <c r="O101" s="228">
        <f>IF(info_st="nj",VLOOKUP(M101,Ranges!$DU$25:$DW$32,3,FALSE),VLOOKUP(M101,Ranges!$DU$5:$DW$14,3,FALSE))</f>
        <v>2.8</v>
      </c>
      <c r="Q101" s="4" t="b">
        <f>IF(info_admit=Ranges!$U$7,FALSE,D101&lt;=$E$58)</f>
        <v>0</v>
      </c>
      <c r="R101" s="121">
        <f t="shared" si="5"/>
        <v>0</v>
      </c>
      <c r="S101" s="115">
        <f t="shared" si="6"/>
        <v>0</v>
      </c>
      <c r="T101" s="122">
        <f>IF($C101=1,IF($H101=Ranges!$EC$5,1,0),0)</f>
        <v>0</v>
      </c>
      <c r="U101" s="242">
        <f t="shared" si="13"/>
        <v>120</v>
      </c>
    </row>
    <row r="102" spans="3:21" s="4" customFormat="1" hidden="1">
      <c r="C102" s="155">
        <f t="shared" si="14"/>
        <v>0</v>
      </c>
      <c r="D102" s="238">
        <f t="shared" si="7"/>
        <v>43</v>
      </c>
      <c r="E102" s="586"/>
      <c r="F102" s="586"/>
      <c r="G102" s="586"/>
      <c r="H102" s="61" t="s">
        <v>28</v>
      </c>
      <c r="I102" s="382">
        <f>IF($H102="no",1,IFERROR(VLOOKUP(info_st,Ranges!$DZ:$ED,IF($H102=Ranges!$EC$5,4,2),FALSE),Ranges!EA$6))</f>
        <v>1</v>
      </c>
      <c r="J102" s="382">
        <f>IF($H102="no",1,IFERROR(VLOOKUP(info_st,Ranges!$DZ:$ED,IF($H102=Ranges!$EC$5,5,3),FALSE),Ranges!EB$6))</f>
        <v>1</v>
      </c>
      <c r="K102" s="383">
        <f t="shared" si="11"/>
        <v>1</v>
      </c>
      <c r="L102" s="90">
        <f t="shared" si="12"/>
        <v>0</v>
      </c>
      <c r="M102" s="587" t="str">
        <f>IF(info_st="nj",INDEX(Ranges!$DU$25:$DW$32,MATCH(U102,Ranges!$DV$25:$DV$32,1),1),INDEX(Ranges!$DU$5:$DW$14,MATCH(U102,Ranges!$DV$5:$DV$14,1),1))</f>
        <v>eight or more</v>
      </c>
      <c r="N102" s="587"/>
      <c r="O102" s="228">
        <f>IF(info_st="nj",VLOOKUP(M102,Ranges!$DU$25:$DW$32,3,FALSE),VLOOKUP(M102,Ranges!$DU$5:$DW$14,3,FALSE))</f>
        <v>2.8</v>
      </c>
      <c r="Q102" s="4" t="b">
        <f>IF(info_admit=Ranges!$U$7,FALSE,D102&lt;=$E$58)</f>
        <v>0</v>
      </c>
      <c r="R102" s="121">
        <f t="shared" si="5"/>
        <v>0</v>
      </c>
      <c r="S102" s="115">
        <f t="shared" si="6"/>
        <v>0</v>
      </c>
      <c r="T102" s="122">
        <f>IF($C102=1,IF($H102=Ranges!$EC$5,1,0),0)</f>
        <v>0</v>
      </c>
      <c r="U102" s="242">
        <f t="shared" si="13"/>
        <v>120</v>
      </c>
    </row>
    <row r="103" spans="3:21" s="4" customFormat="1" hidden="1">
      <c r="C103" s="155">
        <f t="shared" si="14"/>
        <v>0</v>
      </c>
      <c r="D103" s="238">
        <f t="shared" si="7"/>
        <v>44</v>
      </c>
      <c r="E103" s="586"/>
      <c r="F103" s="586"/>
      <c r="G103" s="586"/>
      <c r="H103" s="61" t="s">
        <v>28</v>
      </c>
      <c r="I103" s="382">
        <f>IF($H103="no",1,IFERROR(VLOOKUP(info_st,Ranges!$DZ:$ED,IF($H103=Ranges!$EC$5,4,2),FALSE),Ranges!EA$6))</f>
        <v>1</v>
      </c>
      <c r="J103" s="382">
        <f>IF($H103="no",1,IFERROR(VLOOKUP(info_st,Ranges!$DZ:$ED,IF($H103=Ranges!$EC$5,5,3),FALSE),Ranges!EB$6))</f>
        <v>1</v>
      </c>
      <c r="K103" s="383">
        <f t="shared" si="11"/>
        <v>1</v>
      </c>
      <c r="L103" s="90">
        <f t="shared" si="12"/>
        <v>0</v>
      </c>
      <c r="M103" s="587" t="str">
        <f>IF(info_st="nj",INDEX(Ranges!$DU$25:$DW$32,MATCH(U103,Ranges!$DV$25:$DV$32,1),1),INDEX(Ranges!$DU$5:$DW$14,MATCH(U103,Ranges!$DV$5:$DV$14,1),1))</f>
        <v>eight or more</v>
      </c>
      <c r="N103" s="587"/>
      <c r="O103" s="228">
        <f>IF(info_st="nj",VLOOKUP(M103,Ranges!$DU$25:$DW$32,3,FALSE),VLOOKUP(M103,Ranges!$DU$5:$DW$14,3,FALSE))</f>
        <v>2.8</v>
      </c>
      <c r="Q103" s="4" t="b">
        <f>IF(info_admit=Ranges!$U$7,FALSE,D103&lt;=$E$58)</f>
        <v>0</v>
      </c>
      <c r="R103" s="121">
        <f t="shared" si="5"/>
        <v>0</v>
      </c>
      <c r="S103" s="115">
        <f t="shared" si="6"/>
        <v>0</v>
      </c>
      <c r="T103" s="122">
        <f>IF($C103=1,IF($H103=Ranges!$EC$5,1,0),0)</f>
        <v>0</v>
      </c>
      <c r="U103" s="242">
        <f t="shared" si="13"/>
        <v>120</v>
      </c>
    </row>
    <row r="104" spans="3:21" s="4" customFormat="1" hidden="1">
      <c r="C104" s="155">
        <f t="shared" si="14"/>
        <v>0</v>
      </c>
      <c r="D104" s="238">
        <f t="shared" si="7"/>
        <v>45</v>
      </c>
      <c r="E104" s="586"/>
      <c r="F104" s="586"/>
      <c r="G104" s="586"/>
      <c r="H104" s="61" t="s">
        <v>28</v>
      </c>
      <c r="I104" s="382">
        <f>IF($H104="no",1,IFERROR(VLOOKUP(info_st,Ranges!$DZ:$ED,IF($H104=Ranges!$EC$5,4,2),FALSE),Ranges!EA$6))</f>
        <v>1</v>
      </c>
      <c r="J104" s="382">
        <f>IF($H104="no",1,IFERROR(VLOOKUP(info_st,Ranges!$DZ:$ED,IF($H104=Ranges!$EC$5,5,3),FALSE),Ranges!EB$6))</f>
        <v>1</v>
      </c>
      <c r="K104" s="383">
        <f t="shared" si="11"/>
        <v>1</v>
      </c>
      <c r="L104" s="90">
        <f t="shared" si="12"/>
        <v>0</v>
      </c>
      <c r="M104" s="587" t="str">
        <f>IF(info_st="nj",INDEX(Ranges!$DU$25:$DW$32,MATCH(U104,Ranges!$DV$25:$DV$32,1),1),INDEX(Ranges!$DU$5:$DW$14,MATCH(U104,Ranges!$DV$5:$DV$14,1),1))</f>
        <v>eight or more</v>
      </c>
      <c r="N104" s="587"/>
      <c r="O104" s="228">
        <f>IF(info_st="nj",VLOOKUP(M104,Ranges!$DU$25:$DW$32,3,FALSE),VLOOKUP(M104,Ranges!$DU$5:$DW$14,3,FALSE))</f>
        <v>2.8</v>
      </c>
      <c r="Q104" s="4" t="b">
        <f>IF(info_admit=Ranges!$U$7,FALSE,D104&lt;=$E$58)</f>
        <v>0</v>
      </c>
      <c r="R104" s="121">
        <f t="shared" si="5"/>
        <v>0</v>
      </c>
      <c r="S104" s="115">
        <f t="shared" si="6"/>
        <v>0</v>
      </c>
      <c r="T104" s="122">
        <f>IF($C104=1,IF($H104=Ranges!$EC$5,1,0),0)</f>
        <v>0</v>
      </c>
      <c r="U104" s="242">
        <f t="shared" si="13"/>
        <v>120</v>
      </c>
    </row>
    <row r="105" spans="3:21" s="4" customFormat="1" hidden="1">
      <c r="C105" s="155">
        <f t="shared" si="14"/>
        <v>0</v>
      </c>
      <c r="D105" s="238">
        <f t="shared" si="7"/>
        <v>46</v>
      </c>
      <c r="E105" s="586"/>
      <c r="F105" s="586"/>
      <c r="G105" s="586"/>
      <c r="H105" s="61" t="s">
        <v>28</v>
      </c>
      <c r="I105" s="382">
        <f>IF($H105="no",1,IFERROR(VLOOKUP(info_st,Ranges!$DZ:$ED,IF($H105=Ranges!$EC$5,4,2),FALSE),Ranges!EA$6))</f>
        <v>1</v>
      </c>
      <c r="J105" s="382">
        <f>IF($H105="no",1,IFERROR(VLOOKUP(info_st,Ranges!$DZ:$ED,IF($H105=Ranges!$EC$5,5,3),FALSE),Ranges!EB$6))</f>
        <v>1</v>
      </c>
      <c r="K105" s="383">
        <f t="shared" si="11"/>
        <v>1</v>
      </c>
      <c r="L105" s="90">
        <f t="shared" si="12"/>
        <v>0</v>
      </c>
      <c r="M105" s="587" t="str">
        <f>IF(info_st="nj",INDEX(Ranges!$DU$25:$DW$32,MATCH(U105,Ranges!$DV$25:$DV$32,1),1),INDEX(Ranges!$DU$5:$DW$14,MATCH(U105,Ranges!$DV$5:$DV$14,1),1))</f>
        <v>eight or more</v>
      </c>
      <c r="N105" s="587"/>
      <c r="O105" s="228">
        <f>IF(info_st="nj",VLOOKUP(M105,Ranges!$DU$25:$DW$32,3,FALSE),VLOOKUP(M105,Ranges!$DU$5:$DW$14,3,FALSE))</f>
        <v>2.8</v>
      </c>
      <c r="Q105" s="4" t="b">
        <f>IF(info_admit=Ranges!$U$7,FALSE,D105&lt;=$E$58)</f>
        <v>0</v>
      </c>
      <c r="R105" s="121">
        <f t="shared" si="5"/>
        <v>0</v>
      </c>
      <c r="S105" s="115">
        <f t="shared" si="6"/>
        <v>0</v>
      </c>
      <c r="T105" s="122">
        <f>IF($C105=1,IF($H105=Ranges!$EC$5,1,0),0)</f>
        <v>0</v>
      </c>
      <c r="U105" s="242">
        <f t="shared" si="13"/>
        <v>120</v>
      </c>
    </row>
    <row r="106" spans="3:21" s="4" customFormat="1" hidden="1">
      <c r="C106" s="155">
        <f t="shared" si="14"/>
        <v>0</v>
      </c>
      <c r="D106" s="238">
        <f t="shared" si="7"/>
        <v>47</v>
      </c>
      <c r="E106" s="586"/>
      <c r="F106" s="586"/>
      <c r="G106" s="586"/>
      <c r="H106" s="61" t="s">
        <v>28</v>
      </c>
      <c r="I106" s="382">
        <f>IF($H106="no",1,IFERROR(VLOOKUP(info_st,Ranges!$DZ:$ED,IF($H106=Ranges!$EC$5,4,2),FALSE),Ranges!EA$6))</f>
        <v>1</v>
      </c>
      <c r="J106" s="382">
        <f>IF($H106="no",1,IFERROR(VLOOKUP(info_st,Ranges!$DZ:$ED,IF($H106=Ranges!$EC$5,5,3),FALSE),Ranges!EB$6))</f>
        <v>1</v>
      </c>
      <c r="K106" s="383">
        <f t="shared" si="11"/>
        <v>1</v>
      </c>
      <c r="L106" s="90">
        <f t="shared" si="12"/>
        <v>0</v>
      </c>
      <c r="M106" s="587" t="str">
        <f>IF(info_st="nj",INDEX(Ranges!$DU$25:$DW$32,MATCH(U106,Ranges!$DV$25:$DV$32,1),1),INDEX(Ranges!$DU$5:$DW$14,MATCH(U106,Ranges!$DV$5:$DV$14,1),1))</f>
        <v>eight or more</v>
      </c>
      <c r="N106" s="587"/>
      <c r="O106" s="228">
        <f>IF(info_st="nj",VLOOKUP(M106,Ranges!$DU$25:$DW$32,3,FALSE),VLOOKUP(M106,Ranges!$DU$5:$DW$14,3,FALSE))</f>
        <v>2.8</v>
      </c>
      <c r="Q106" s="4" t="b">
        <f>IF(info_admit=Ranges!$U$7,FALSE,D106&lt;=$E$58)</f>
        <v>0</v>
      </c>
      <c r="R106" s="121">
        <f t="shared" si="5"/>
        <v>0</v>
      </c>
      <c r="S106" s="115">
        <f t="shared" si="6"/>
        <v>0</v>
      </c>
      <c r="T106" s="122">
        <f>IF($C106=1,IF($H106=Ranges!$EC$5,1,0),0)</f>
        <v>0</v>
      </c>
      <c r="U106" s="242">
        <f t="shared" si="13"/>
        <v>120</v>
      </c>
    </row>
    <row r="107" spans="3:21" s="4" customFormat="1" hidden="1">
      <c r="C107" s="155">
        <f t="shared" si="14"/>
        <v>0</v>
      </c>
      <c r="D107" s="238">
        <f t="shared" si="7"/>
        <v>48</v>
      </c>
      <c r="E107" s="586"/>
      <c r="F107" s="586"/>
      <c r="G107" s="586"/>
      <c r="H107" s="61" t="s">
        <v>28</v>
      </c>
      <c r="I107" s="382">
        <f>IF($H107="no",1,IFERROR(VLOOKUP(info_st,Ranges!$DZ:$ED,IF($H107=Ranges!$EC$5,4,2),FALSE),Ranges!EA$6))</f>
        <v>1</v>
      </c>
      <c r="J107" s="382">
        <f>IF($H107="no",1,IFERROR(VLOOKUP(info_st,Ranges!$DZ:$ED,IF($H107=Ranges!$EC$5,5,3),FALSE),Ranges!EB$6))</f>
        <v>1</v>
      </c>
      <c r="K107" s="383">
        <f t="shared" si="11"/>
        <v>1</v>
      </c>
      <c r="L107" s="90">
        <f t="shared" si="12"/>
        <v>0</v>
      </c>
      <c r="M107" s="587" t="str">
        <f>IF(info_st="nj",INDEX(Ranges!$DU$25:$DW$32,MATCH(U107,Ranges!$DV$25:$DV$32,1),1),INDEX(Ranges!$DU$5:$DW$14,MATCH(U107,Ranges!$DV$5:$DV$14,1),1))</f>
        <v>eight or more</v>
      </c>
      <c r="N107" s="587"/>
      <c r="O107" s="228">
        <f>IF(info_st="nj",VLOOKUP(M107,Ranges!$DU$25:$DW$32,3,FALSE),VLOOKUP(M107,Ranges!$DU$5:$DW$14,3,FALSE))</f>
        <v>2.8</v>
      </c>
      <c r="Q107" s="4" t="b">
        <f>IF(info_admit=Ranges!$U$7,FALSE,D107&lt;=$E$58)</f>
        <v>0</v>
      </c>
      <c r="R107" s="121">
        <f t="shared" si="5"/>
        <v>0</v>
      </c>
      <c r="S107" s="115">
        <f t="shared" si="6"/>
        <v>0</v>
      </c>
      <c r="T107" s="122">
        <f>IF($C107=1,IF($H107=Ranges!$EC$5,1,0),0)</f>
        <v>0</v>
      </c>
      <c r="U107" s="242">
        <f t="shared" si="13"/>
        <v>120</v>
      </c>
    </row>
    <row r="108" spans="3:21" s="4" customFormat="1" hidden="1">
      <c r="C108" s="155">
        <f t="shared" si="14"/>
        <v>0</v>
      </c>
      <c r="D108" s="238">
        <f t="shared" si="7"/>
        <v>49</v>
      </c>
      <c r="E108" s="586"/>
      <c r="F108" s="586"/>
      <c r="G108" s="586"/>
      <c r="H108" s="61" t="s">
        <v>28</v>
      </c>
      <c r="I108" s="382">
        <f>IF($H108="no",1,IFERROR(VLOOKUP(info_st,Ranges!$DZ:$ED,IF($H108=Ranges!$EC$5,4,2),FALSE),Ranges!EA$6))</f>
        <v>1</v>
      </c>
      <c r="J108" s="382">
        <f>IF($H108="no",1,IFERROR(VLOOKUP(info_st,Ranges!$DZ:$ED,IF($H108=Ranges!$EC$5,5,3),FALSE),Ranges!EB$6))</f>
        <v>1</v>
      </c>
      <c r="K108" s="383">
        <f t="shared" si="11"/>
        <v>1</v>
      </c>
      <c r="L108" s="90">
        <f t="shared" si="12"/>
        <v>0</v>
      </c>
      <c r="M108" s="587" t="str">
        <f>IF(info_st="nj",INDEX(Ranges!$DU$25:$DW$32,MATCH(U108,Ranges!$DV$25:$DV$32,1),1),INDEX(Ranges!$DU$5:$DW$14,MATCH(U108,Ranges!$DV$5:$DV$14,1),1))</f>
        <v>eight or more</v>
      </c>
      <c r="N108" s="587"/>
      <c r="O108" s="228">
        <f>IF(info_st="nj",VLOOKUP(M108,Ranges!$DU$25:$DW$32,3,FALSE),VLOOKUP(M108,Ranges!$DU$5:$DW$14,3,FALSE))</f>
        <v>2.8</v>
      </c>
      <c r="Q108" s="4" t="b">
        <f>IF(info_admit=Ranges!$U$7,FALSE,D108&lt;=$E$58)</f>
        <v>0</v>
      </c>
      <c r="R108" s="121">
        <f t="shared" si="5"/>
        <v>0</v>
      </c>
      <c r="S108" s="115">
        <f t="shared" si="6"/>
        <v>0</v>
      </c>
      <c r="T108" s="122">
        <f>IF($C108=1,IF($H108=Ranges!$EC$5,1,0),0)</f>
        <v>0</v>
      </c>
      <c r="U108" s="242">
        <f t="shared" si="13"/>
        <v>120</v>
      </c>
    </row>
    <row r="109" spans="3:21" s="4" customFormat="1" hidden="1">
      <c r="C109" s="155">
        <f t="shared" si="14"/>
        <v>0</v>
      </c>
      <c r="D109" s="238">
        <f t="shared" si="7"/>
        <v>50</v>
      </c>
      <c r="E109" s="586"/>
      <c r="F109" s="586"/>
      <c r="G109" s="586"/>
      <c r="H109" s="61" t="s">
        <v>28</v>
      </c>
      <c r="I109" s="382">
        <f>IF($H109="no",1,IFERROR(VLOOKUP(info_st,Ranges!$DZ:$ED,IF($H109=Ranges!$EC$5,4,2),FALSE),Ranges!EA$6))</f>
        <v>1</v>
      </c>
      <c r="J109" s="382">
        <f>IF($H109="no",1,IFERROR(VLOOKUP(info_st,Ranges!$DZ:$ED,IF($H109=Ranges!$EC$5,5,3),FALSE),Ranges!EB$6))</f>
        <v>1</v>
      </c>
      <c r="K109" s="383">
        <f t="shared" si="11"/>
        <v>1</v>
      </c>
      <c r="L109" s="90">
        <f t="shared" si="12"/>
        <v>0</v>
      </c>
      <c r="M109" s="587" t="str">
        <f>IF(info_st="nj",INDEX(Ranges!$DU$25:$DW$32,MATCH(U109,Ranges!$DV$25:$DV$32,1),1),INDEX(Ranges!$DU$5:$DW$14,MATCH(U109,Ranges!$DV$5:$DV$14,1),1))</f>
        <v>eight or more</v>
      </c>
      <c r="N109" s="587"/>
      <c r="O109" s="228">
        <f>IF(info_st="nj",VLOOKUP(M109,Ranges!$DU$25:$DW$32,3,FALSE),VLOOKUP(M109,Ranges!$DU$5:$DW$14,3,FALSE))</f>
        <v>2.8</v>
      </c>
      <c r="Q109" s="4" t="b">
        <f>IF(info_admit=Ranges!$U$7,FALSE,D109&lt;=$E$58)</f>
        <v>0</v>
      </c>
      <c r="R109" s="121">
        <f t="shared" si="5"/>
        <v>0</v>
      </c>
      <c r="S109" s="115">
        <f t="shared" si="6"/>
        <v>0</v>
      </c>
      <c r="T109" s="122">
        <f>IF($C109=1,IF($H109=Ranges!$EC$5,1,0),0)</f>
        <v>0</v>
      </c>
      <c r="U109" s="242">
        <f t="shared" si="13"/>
        <v>120</v>
      </c>
    </row>
    <row r="110" spans="3:21" s="4" customFormat="1" hidden="1">
      <c r="C110" s="155">
        <f t="shared" si="14"/>
        <v>0</v>
      </c>
      <c r="D110" s="238">
        <f t="shared" si="7"/>
        <v>51</v>
      </c>
      <c r="E110" s="586"/>
      <c r="F110" s="586"/>
      <c r="G110" s="586"/>
      <c r="H110" s="61" t="s">
        <v>28</v>
      </c>
      <c r="I110" s="382">
        <f>IF($H110="no",1,IFERROR(VLOOKUP(info_st,Ranges!$DZ:$ED,IF($H110=Ranges!$EC$5,4,2),FALSE),Ranges!EA$6))</f>
        <v>1</v>
      </c>
      <c r="J110" s="382">
        <f>IF($H110="no",1,IFERROR(VLOOKUP(info_st,Ranges!$DZ:$ED,IF($H110=Ranges!$EC$5,5,3),FALSE),Ranges!EB$6))</f>
        <v>1</v>
      </c>
      <c r="K110" s="383">
        <f t="shared" si="11"/>
        <v>1</v>
      </c>
      <c r="L110" s="90">
        <f t="shared" si="12"/>
        <v>0</v>
      </c>
      <c r="M110" s="587" t="str">
        <f>IF(info_st="nj",INDEX(Ranges!$DU$25:$DW$32,MATCH(U110,Ranges!$DV$25:$DV$32,1),1),INDEX(Ranges!$DU$5:$DW$14,MATCH(U110,Ranges!$DV$5:$DV$14,1),1))</f>
        <v>eight or more</v>
      </c>
      <c r="N110" s="587"/>
      <c r="O110" s="228">
        <f>IF(info_st="nj",VLOOKUP(M110,Ranges!$DU$25:$DW$32,3,FALSE),VLOOKUP(M110,Ranges!$DU$5:$DW$14,3,FALSE))</f>
        <v>2.8</v>
      </c>
      <c r="Q110" s="4" t="b">
        <f>IF(info_admit=Ranges!$U$7,FALSE,D110&lt;=$E$58)</f>
        <v>0</v>
      </c>
      <c r="R110" s="121">
        <f t="shared" si="5"/>
        <v>0</v>
      </c>
      <c r="S110" s="115">
        <f t="shared" si="6"/>
        <v>0</v>
      </c>
      <c r="T110" s="122">
        <f>IF($C110=1,IF($H110=Ranges!$EC$5,1,0),0)</f>
        <v>0</v>
      </c>
      <c r="U110" s="242">
        <f t="shared" si="13"/>
        <v>120</v>
      </c>
    </row>
    <row r="111" spans="3:21" s="4" customFormat="1" hidden="1">
      <c r="C111" s="155">
        <f t="shared" si="14"/>
        <v>0</v>
      </c>
      <c r="D111" s="238">
        <f t="shared" si="7"/>
        <v>52</v>
      </c>
      <c r="E111" s="586"/>
      <c r="F111" s="586"/>
      <c r="G111" s="586"/>
      <c r="H111" s="61" t="s">
        <v>28</v>
      </c>
      <c r="I111" s="382">
        <f>IF($H111="no",1,IFERROR(VLOOKUP(info_st,Ranges!$DZ:$ED,IF($H111=Ranges!$EC$5,4,2),FALSE),Ranges!EA$6))</f>
        <v>1</v>
      </c>
      <c r="J111" s="382">
        <f>IF($H111="no",1,IFERROR(VLOOKUP(info_st,Ranges!$DZ:$ED,IF($H111=Ranges!$EC$5,5,3),FALSE),Ranges!EB$6))</f>
        <v>1</v>
      </c>
      <c r="K111" s="383">
        <f t="shared" si="11"/>
        <v>1</v>
      </c>
      <c r="L111" s="90">
        <f t="shared" si="12"/>
        <v>0</v>
      </c>
      <c r="M111" s="587" t="str">
        <f>IF(info_st="nj",INDEX(Ranges!$DU$25:$DW$32,MATCH(U111,Ranges!$DV$25:$DV$32,1),1),INDEX(Ranges!$DU$5:$DW$14,MATCH(U111,Ranges!$DV$5:$DV$14,1),1))</f>
        <v>eight or more</v>
      </c>
      <c r="N111" s="587"/>
      <c r="O111" s="228">
        <f>IF(info_st="nj",VLOOKUP(M111,Ranges!$DU$25:$DW$32,3,FALSE),VLOOKUP(M111,Ranges!$DU$5:$DW$14,3,FALSE))</f>
        <v>2.8</v>
      </c>
      <c r="Q111" s="4" t="b">
        <f>IF(info_admit=Ranges!$U$7,FALSE,D111&lt;=$E$58)</f>
        <v>0</v>
      </c>
      <c r="R111" s="121">
        <f t="shared" si="5"/>
        <v>0</v>
      </c>
      <c r="S111" s="115">
        <f t="shared" si="6"/>
        <v>0</v>
      </c>
      <c r="T111" s="122">
        <f>IF($C111=1,IF($H111=Ranges!$EC$5,1,0),0)</f>
        <v>0</v>
      </c>
      <c r="U111" s="242">
        <f t="shared" si="13"/>
        <v>120</v>
      </c>
    </row>
    <row r="112" spans="3:21" s="4" customFormat="1" hidden="1">
      <c r="C112" s="155">
        <f t="shared" si="14"/>
        <v>0</v>
      </c>
      <c r="D112" s="238">
        <f t="shared" si="7"/>
        <v>53</v>
      </c>
      <c r="E112" s="586"/>
      <c r="F112" s="586"/>
      <c r="G112" s="586"/>
      <c r="H112" s="61" t="s">
        <v>28</v>
      </c>
      <c r="I112" s="382">
        <f>IF($H112="no",1,IFERROR(VLOOKUP(info_st,Ranges!$DZ:$ED,IF($H112=Ranges!$EC$5,4,2),FALSE),Ranges!EA$6))</f>
        <v>1</v>
      </c>
      <c r="J112" s="382">
        <f>IF($H112="no",1,IFERROR(VLOOKUP(info_st,Ranges!$DZ:$ED,IF($H112=Ranges!$EC$5,5,3),FALSE),Ranges!EB$6))</f>
        <v>1</v>
      </c>
      <c r="K112" s="383">
        <f t="shared" si="11"/>
        <v>1</v>
      </c>
      <c r="L112" s="90">
        <f t="shared" si="12"/>
        <v>0</v>
      </c>
      <c r="M112" s="587" t="str">
        <f>IF(info_st="nj",INDEX(Ranges!$DU$25:$DW$32,MATCH(U112,Ranges!$DV$25:$DV$32,1),1),INDEX(Ranges!$DU$5:$DW$14,MATCH(U112,Ranges!$DV$5:$DV$14,1),1))</f>
        <v>eight or more</v>
      </c>
      <c r="N112" s="587"/>
      <c r="O112" s="228">
        <f>IF(info_st="nj",VLOOKUP(M112,Ranges!$DU$25:$DW$32,3,FALSE),VLOOKUP(M112,Ranges!$DU$5:$DW$14,3,FALSE))</f>
        <v>2.8</v>
      </c>
      <c r="Q112" s="4" t="b">
        <f>IF(info_admit=Ranges!$U$7,FALSE,D112&lt;=$E$58)</f>
        <v>0</v>
      </c>
      <c r="R112" s="121">
        <f t="shared" si="5"/>
        <v>0</v>
      </c>
      <c r="S112" s="115">
        <f t="shared" si="6"/>
        <v>0</v>
      </c>
      <c r="T112" s="122">
        <f>IF($C112=1,IF($H112=Ranges!$EC$5,1,0),0)</f>
        <v>0</v>
      </c>
      <c r="U112" s="242">
        <f t="shared" si="13"/>
        <v>120</v>
      </c>
    </row>
    <row r="113" spans="3:21" s="4" customFormat="1" hidden="1">
      <c r="C113" s="155">
        <f t="shared" si="14"/>
        <v>0</v>
      </c>
      <c r="D113" s="238">
        <f t="shared" si="7"/>
        <v>54</v>
      </c>
      <c r="E113" s="586"/>
      <c r="F113" s="586"/>
      <c r="G113" s="586"/>
      <c r="H113" s="61" t="s">
        <v>28</v>
      </c>
      <c r="I113" s="382">
        <f>IF($H113="no",1,IFERROR(VLOOKUP(info_st,Ranges!$DZ:$ED,IF($H113=Ranges!$EC$5,4,2),FALSE),Ranges!EA$6))</f>
        <v>1</v>
      </c>
      <c r="J113" s="382">
        <f>IF($H113="no",1,IFERROR(VLOOKUP(info_st,Ranges!$DZ:$ED,IF($H113=Ranges!$EC$5,5,3),FALSE),Ranges!EB$6))</f>
        <v>1</v>
      </c>
      <c r="K113" s="383">
        <f t="shared" si="11"/>
        <v>1</v>
      </c>
      <c r="L113" s="90">
        <f t="shared" si="12"/>
        <v>0</v>
      </c>
      <c r="M113" s="587" t="str">
        <f>IF(info_st="nj",INDEX(Ranges!$DU$25:$DW$32,MATCH(U113,Ranges!$DV$25:$DV$32,1),1),INDEX(Ranges!$DU$5:$DW$14,MATCH(U113,Ranges!$DV$5:$DV$14,1),1))</f>
        <v>eight or more</v>
      </c>
      <c r="N113" s="587"/>
      <c r="O113" s="228">
        <f>IF(info_st="nj",VLOOKUP(M113,Ranges!$DU$25:$DW$32,3,FALSE),VLOOKUP(M113,Ranges!$DU$5:$DW$14,3,FALSE))</f>
        <v>2.8</v>
      </c>
      <c r="Q113" s="4" t="b">
        <f>IF(info_admit=Ranges!$U$7,FALSE,D113&lt;=$E$58)</f>
        <v>0</v>
      </c>
      <c r="R113" s="121">
        <f t="shared" si="5"/>
        <v>0</v>
      </c>
      <c r="S113" s="115">
        <f t="shared" si="6"/>
        <v>0</v>
      </c>
      <c r="T113" s="122">
        <f>IF($C113=1,IF($H113=Ranges!$EC$5,1,0),0)</f>
        <v>0</v>
      </c>
      <c r="U113" s="242">
        <f t="shared" si="13"/>
        <v>120</v>
      </c>
    </row>
    <row r="114" spans="3:21" s="4" customFormat="1" hidden="1">
      <c r="C114" s="155">
        <f t="shared" si="14"/>
        <v>0</v>
      </c>
      <c r="D114" s="238">
        <f t="shared" si="7"/>
        <v>55</v>
      </c>
      <c r="E114" s="586"/>
      <c r="F114" s="586"/>
      <c r="G114" s="586"/>
      <c r="H114" s="61" t="s">
        <v>28</v>
      </c>
      <c r="I114" s="382">
        <f>IF($H114="no",1,IFERROR(VLOOKUP(info_st,Ranges!$DZ:$ED,IF($H114=Ranges!$EC$5,4,2),FALSE),Ranges!EA$6))</f>
        <v>1</v>
      </c>
      <c r="J114" s="382">
        <f>IF($H114="no",1,IFERROR(VLOOKUP(info_st,Ranges!$DZ:$ED,IF($H114=Ranges!$EC$5,5,3),FALSE),Ranges!EB$6))</f>
        <v>1</v>
      </c>
      <c r="K114" s="383">
        <f t="shared" si="11"/>
        <v>1</v>
      </c>
      <c r="L114" s="90">
        <f t="shared" si="12"/>
        <v>0</v>
      </c>
      <c r="M114" s="587" t="str">
        <f>IF(info_st="nj",INDEX(Ranges!$DU$25:$DW$32,MATCH(U114,Ranges!$DV$25:$DV$32,1),1),INDEX(Ranges!$DU$5:$DW$14,MATCH(U114,Ranges!$DV$5:$DV$14,1),1))</f>
        <v>eight or more</v>
      </c>
      <c r="N114" s="587"/>
      <c r="O114" s="228">
        <f>IF(info_st="nj",VLOOKUP(M114,Ranges!$DU$25:$DW$32,3,FALSE),VLOOKUP(M114,Ranges!$DU$5:$DW$14,3,FALSE))</f>
        <v>2.8</v>
      </c>
      <c r="Q114" s="4" t="b">
        <f>IF(info_admit=Ranges!$U$7,FALSE,D114&lt;=$E$58)</f>
        <v>0</v>
      </c>
      <c r="R114" s="121">
        <f t="shared" si="5"/>
        <v>0</v>
      </c>
      <c r="S114" s="115">
        <f t="shared" si="6"/>
        <v>0</v>
      </c>
      <c r="T114" s="122">
        <f>IF($C114=1,IF($H114=Ranges!$EC$5,1,0),0)</f>
        <v>0</v>
      </c>
      <c r="U114" s="242">
        <f t="shared" si="13"/>
        <v>120</v>
      </c>
    </row>
    <row r="115" spans="3:21" s="4" customFormat="1" hidden="1">
      <c r="C115" s="155">
        <f t="shared" si="14"/>
        <v>0</v>
      </c>
      <c r="D115" s="238">
        <f t="shared" si="7"/>
        <v>56</v>
      </c>
      <c r="E115" s="586"/>
      <c r="F115" s="586"/>
      <c r="G115" s="586"/>
      <c r="H115" s="61" t="s">
        <v>28</v>
      </c>
      <c r="I115" s="382">
        <f>IF($H115="no",1,IFERROR(VLOOKUP(info_st,Ranges!$DZ:$ED,IF($H115=Ranges!$EC$5,4,2),FALSE),Ranges!EA$6))</f>
        <v>1</v>
      </c>
      <c r="J115" s="382">
        <f>IF($H115="no",1,IFERROR(VLOOKUP(info_st,Ranges!$DZ:$ED,IF($H115=Ranges!$EC$5,5,3),FALSE),Ranges!EB$6))</f>
        <v>1</v>
      </c>
      <c r="K115" s="383">
        <f t="shared" si="11"/>
        <v>1</v>
      </c>
      <c r="L115" s="90">
        <f t="shared" si="12"/>
        <v>0</v>
      </c>
      <c r="M115" s="587" t="str">
        <f>IF(info_st="nj",INDEX(Ranges!$DU$25:$DW$32,MATCH(U115,Ranges!$DV$25:$DV$32,1),1),INDEX(Ranges!$DU$5:$DW$14,MATCH(U115,Ranges!$DV$5:$DV$14,1),1))</f>
        <v>eight or more</v>
      </c>
      <c r="N115" s="587"/>
      <c r="O115" s="228">
        <f>IF(info_st="nj",VLOOKUP(M115,Ranges!$DU$25:$DW$32,3,FALSE),VLOOKUP(M115,Ranges!$DU$5:$DW$14,3,FALSE))</f>
        <v>2.8</v>
      </c>
      <c r="Q115" s="4" t="b">
        <f>IF(info_admit=Ranges!$U$7,FALSE,D115&lt;=$E$58)</f>
        <v>0</v>
      </c>
      <c r="R115" s="121">
        <f t="shared" si="5"/>
        <v>0</v>
      </c>
      <c r="S115" s="115">
        <f t="shared" si="6"/>
        <v>0</v>
      </c>
      <c r="T115" s="122">
        <f>IF($C115=1,IF($H115=Ranges!$EC$5,1,0),0)</f>
        <v>0</v>
      </c>
      <c r="U115" s="242">
        <f t="shared" si="13"/>
        <v>120</v>
      </c>
    </row>
    <row r="116" spans="3:21" s="4" customFormat="1" hidden="1">
      <c r="C116" s="155">
        <f t="shared" si="14"/>
        <v>0</v>
      </c>
      <c r="D116" s="238">
        <f t="shared" si="7"/>
        <v>57</v>
      </c>
      <c r="E116" s="586"/>
      <c r="F116" s="586"/>
      <c r="G116" s="586"/>
      <c r="H116" s="61" t="s">
        <v>28</v>
      </c>
      <c r="I116" s="382">
        <f>IF($H116="no",1,IFERROR(VLOOKUP(info_st,Ranges!$DZ:$ED,IF($H116=Ranges!$EC$5,4,2),FALSE),Ranges!EA$6))</f>
        <v>1</v>
      </c>
      <c r="J116" s="382">
        <f>IF($H116="no",1,IFERROR(VLOOKUP(info_st,Ranges!$DZ:$ED,IF($H116=Ranges!$EC$5,5,3),FALSE),Ranges!EB$6))</f>
        <v>1</v>
      </c>
      <c r="K116" s="383">
        <f t="shared" si="11"/>
        <v>1</v>
      </c>
      <c r="L116" s="90">
        <f t="shared" si="12"/>
        <v>0</v>
      </c>
      <c r="M116" s="587" t="str">
        <f>IF(info_st="nj",INDEX(Ranges!$DU$25:$DW$32,MATCH(U116,Ranges!$DV$25:$DV$32,1),1),INDEX(Ranges!$DU$5:$DW$14,MATCH(U116,Ranges!$DV$5:$DV$14,1),1))</f>
        <v>eight or more</v>
      </c>
      <c r="N116" s="587"/>
      <c r="O116" s="228">
        <f>IF(info_st="nj",VLOOKUP(M116,Ranges!$DU$25:$DW$32,3,FALSE),VLOOKUP(M116,Ranges!$DU$5:$DW$14,3,FALSE))</f>
        <v>2.8</v>
      </c>
      <c r="Q116" s="4" t="b">
        <f>IF(info_admit=Ranges!$U$7,FALSE,D116&lt;=$E$58)</f>
        <v>0</v>
      </c>
      <c r="R116" s="121">
        <f t="shared" si="5"/>
        <v>0</v>
      </c>
      <c r="S116" s="115">
        <f t="shared" si="6"/>
        <v>0</v>
      </c>
      <c r="T116" s="122">
        <f>IF($C116=1,IF($H116=Ranges!$EC$5,1,0),0)</f>
        <v>0</v>
      </c>
      <c r="U116" s="242">
        <f t="shared" si="13"/>
        <v>120</v>
      </c>
    </row>
    <row r="117" spans="3:21" s="4" customFormat="1" hidden="1">
      <c r="C117" s="155">
        <f t="shared" si="14"/>
        <v>0</v>
      </c>
      <c r="D117" s="238">
        <f t="shared" si="7"/>
        <v>58</v>
      </c>
      <c r="E117" s="586"/>
      <c r="F117" s="586"/>
      <c r="G117" s="586"/>
      <c r="H117" s="61" t="s">
        <v>28</v>
      </c>
      <c r="I117" s="382">
        <f>IF($H117="no",1,IFERROR(VLOOKUP(info_st,Ranges!$DZ:$ED,IF($H117=Ranges!$EC$5,4,2),FALSE),Ranges!EA$6))</f>
        <v>1</v>
      </c>
      <c r="J117" s="382">
        <f>IF($H117="no",1,IFERROR(VLOOKUP(info_st,Ranges!$DZ:$ED,IF($H117=Ranges!$EC$5,5,3),FALSE),Ranges!EB$6))</f>
        <v>1</v>
      </c>
      <c r="K117" s="383">
        <f t="shared" si="11"/>
        <v>1</v>
      </c>
      <c r="L117" s="90">
        <f t="shared" si="12"/>
        <v>0</v>
      </c>
      <c r="M117" s="587" t="str">
        <f>IF(info_st="nj",INDEX(Ranges!$DU$25:$DW$32,MATCH(U117,Ranges!$DV$25:$DV$32,1),1),INDEX(Ranges!$DU$5:$DW$14,MATCH(U117,Ranges!$DV$5:$DV$14,1),1))</f>
        <v>eight or more</v>
      </c>
      <c r="N117" s="587"/>
      <c r="O117" s="228">
        <f>IF(info_st="nj",VLOOKUP(M117,Ranges!$DU$25:$DW$32,3,FALSE),VLOOKUP(M117,Ranges!$DU$5:$DW$14,3,FALSE))</f>
        <v>2.8</v>
      </c>
      <c r="Q117" s="4" t="b">
        <f>IF(info_admit=Ranges!$U$7,FALSE,D117&lt;=$E$58)</f>
        <v>0</v>
      </c>
      <c r="R117" s="121">
        <f t="shared" si="5"/>
        <v>0</v>
      </c>
      <c r="S117" s="115">
        <f t="shared" si="6"/>
        <v>0</v>
      </c>
      <c r="T117" s="122">
        <f>IF($C117=1,IF($H117=Ranges!$EC$5,1,0),0)</f>
        <v>0</v>
      </c>
      <c r="U117" s="242">
        <f t="shared" si="13"/>
        <v>120</v>
      </c>
    </row>
    <row r="118" spans="3:21" s="4" customFormat="1" hidden="1">
      <c r="C118" s="155">
        <f t="shared" si="14"/>
        <v>0</v>
      </c>
      <c r="D118" s="238">
        <f t="shared" si="7"/>
        <v>59</v>
      </c>
      <c r="E118" s="586"/>
      <c r="F118" s="586"/>
      <c r="G118" s="586"/>
      <c r="H118" s="61" t="s">
        <v>28</v>
      </c>
      <c r="I118" s="382">
        <f>IF($H118="no",1,IFERROR(VLOOKUP(info_st,Ranges!$DZ:$ED,IF($H118=Ranges!$EC$5,4,2),FALSE),Ranges!EA$6))</f>
        <v>1</v>
      </c>
      <c r="J118" s="382">
        <f>IF($H118="no",1,IFERROR(VLOOKUP(info_st,Ranges!$DZ:$ED,IF($H118=Ranges!$EC$5,5,3),FALSE),Ranges!EB$6))</f>
        <v>1</v>
      </c>
      <c r="K118" s="383">
        <f t="shared" si="11"/>
        <v>1</v>
      </c>
      <c r="L118" s="90">
        <f t="shared" si="12"/>
        <v>0</v>
      </c>
      <c r="M118" s="587" t="str">
        <f>IF(info_st="nj",INDEX(Ranges!$DU$25:$DW$32,MATCH(U118,Ranges!$DV$25:$DV$32,1),1),INDEX(Ranges!$DU$5:$DW$14,MATCH(U118,Ranges!$DV$5:$DV$14,1),1))</f>
        <v>eight or more</v>
      </c>
      <c r="N118" s="587"/>
      <c r="O118" s="228">
        <f>IF(info_st="nj",VLOOKUP(M118,Ranges!$DU$25:$DW$32,3,FALSE),VLOOKUP(M118,Ranges!$DU$5:$DW$14,3,FALSE))</f>
        <v>2.8</v>
      </c>
      <c r="Q118" s="4" t="b">
        <f>IF(info_admit=Ranges!$U$7,FALSE,D118&lt;=$E$58)</f>
        <v>0</v>
      </c>
      <c r="R118" s="121">
        <f t="shared" si="5"/>
        <v>0</v>
      </c>
      <c r="S118" s="115">
        <f t="shared" si="6"/>
        <v>0</v>
      </c>
      <c r="T118" s="122">
        <f>IF($C118=1,IF($H118=Ranges!$EC$5,1,0),0)</f>
        <v>0</v>
      </c>
      <c r="U118" s="242">
        <f t="shared" si="13"/>
        <v>120</v>
      </c>
    </row>
    <row r="119" spans="3:21" s="4" customFormat="1" hidden="1">
      <c r="C119" s="155">
        <f t="shared" si="14"/>
        <v>0</v>
      </c>
      <c r="D119" s="238">
        <f t="shared" si="7"/>
        <v>60</v>
      </c>
      <c r="E119" s="586"/>
      <c r="F119" s="586"/>
      <c r="G119" s="586"/>
      <c r="H119" s="61" t="s">
        <v>28</v>
      </c>
      <c r="I119" s="382">
        <f>IF($H119="no",1,IFERROR(VLOOKUP(info_st,Ranges!$DZ:$ED,IF($H119=Ranges!$EC$5,4,2),FALSE),Ranges!EA$6))</f>
        <v>1</v>
      </c>
      <c r="J119" s="382">
        <f>IF($H119="no",1,IFERROR(VLOOKUP(info_st,Ranges!$DZ:$ED,IF($H119=Ranges!$EC$5,5,3),FALSE),Ranges!EB$6))</f>
        <v>1</v>
      </c>
      <c r="K119" s="383">
        <f t="shared" si="11"/>
        <v>1</v>
      </c>
      <c r="L119" s="90">
        <f t="shared" si="12"/>
        <v>0</v>
      </c>
      <c r="M119" s="587" t="str">
        <f>IF(info_st="nj",INDEX(Ranges!$DU$25:$DW$32,MATCH(U119,Ranges!$DV$25:$DV$32,1),1),INDEX(Ranges!$DU$5:$DW$14,MATCH(U119,Ranges!$DV$5:$DV$14,1),1))</f>
        <v>eight or more</v>
      </c>
      <c r="N119" s="587"/>
      <c r="O119" s="228">
        <f>IF(info_st="nj",VLOOKUP(M119,Ranges!$DU$25:$DW$32,3,FALSE),VLOOKUP(M119,Ranges!$DU$5:$DW$14,3,FALSE))</f>
        <v>2.8</v>
      </c>
      <c r="Q119" s="4" t="b">
        <f>IF(info_admit=Ranges!$U$7,FALSE,D119&lt;=$E$58)</f>
        <v>0</v>
      </c>
      <c r="R119" s="121">
        <f t="shared" si="5"/>
        <v>0</v>
      </c>
      <c r="S119" s="115">
        <f t="shared" si="6"/>
        <v>0</v>
      </c>
      <c r="T119" s="122">
        <f>IF($C119=1,IF($H119=Ranges!$EC$5,1,0),0)</f>
        <v>0</v>
      </c>
      <c r="U119" s="242">
        <f t="shared" si="13"/>
        <v>120</v>
      </c>
    </row>
    <row r="120" spans="3:21" s="4" customFormat="1" hidden="1">
      <c r="C120" s="155">
        <f t="shared" si="14"/>
        <v>0</v>
      </c>
      <c r="D120" s="238">
        <f t="shared" si="7"/>
        <v>61</v>
      </c>
      <c r="E120" s="586"/>
      <c r="F120" s="586"/>
      <c r="G120" s="586"/>
      <c r="H120" s="61" t="s">
        <v>28</v>
      </c>
      <c r="I120" s="382">
        <f>IF($H120="no",1,IFERROR(VLOOKUP(info_st,Ranges!$DZ:$ED,IF($H120=Ranges!$EC$5,4,2),FALSE),Ranges!EA$6))</f>
        <v>1</v>
      </c>
      <c r="J120" s="382">
        <f>IF($H120="no",1,IFERROR(VLOOKUP(info_st,Ranges!$DZ:$ED,IF($H120=Ranges!$EC$5,5,3),FALSE),Ranges!EB$6))</f>
        <v>1</v>
      </c>
      <c r="K120" s="383">
        <f t="shared" si="11"/>
        <v>1</v>
      </c>
      <c r="L120" s="90">
        <f t="shared" si="12"/>
        <v>0</v>
      </c>
      <c r="M120" s="587" t="str">
        <f>IF(info_st="nj",INDEX(Ranges!$DU$25:$DW$32,MATCH(U120,Ranges!$DV$25:$DV$32,1),1),INDEX(Ranges!$DU$5:$DW$14,MATCH(U120,Ranges!$DV$5:$DV$14,1),1))</f>
        <v>eight or more</v>
      </c>
      <c r="N120" s="587"/>
      <c r="O120" s="228">
        <f>IF(info_st="nj",VLOOKUP(M120,Ranges!$DU$25:$DW$32,3,FALSE),VLOOKUP(M120,Ranges!$DU$5:$DW$14,3,FALSE))</f>
        <v>2.8</v>
      </c>
      <c r="Q120" s="4" t="b">
        <f>IF(info_admit=Ranges!$U$7,FALSE,D120&lt;=$E$58)</f>
        <v>0</v>
      </c>
      <c r="R120" s="121">
        <f t="shared" si="5"/>
        <v>0</v>
      </c>
      <c r="S120" s="115">
        <f t="shared" si="6"/>
        <v>0</v>
      </c>
      <c r="T120" s="122">
        <f>IF($C120=1,IF($H120=Ranges!$EC$5,1,0),0)</f>
        <v>0</v>
      </c>
      <c r="U120" s="242">
        <f t="shared" si="13"/>
        <v>120</v>
      </c>
    </row>
    <row r="121" spans="3:21" s="4" customFormat="1" hidden="1">
      <c r="C121" s="155">
        <f t="shared" si="14"/>
        <v>0</v>
      </c>
      <c r="D121" s="238">
        <f t="shared" si="7"/>
        <v>62</v>
      </c>
      <c r="E121" s="586"/>
      <c r="F121" s="586"/>
      <c r="G121" s="586"/>
      <c r="H121" s="61" t="s">
        <v>28</v>
      </c>
      <c r="I121" s="382">
        <f>IF($H121="no",1,IFERROR(VLOOKUP(info_st,Ranges!$DZ:$ED,IF($H121=Ranges!$EC$5,4,2),FALSE),Ranges!EA$6))</f>
        <v>1</v>
      </c>
      <c r="J121" s="382">
        <f>IF($H121="no",1,IFERROR(VLOOKUP(info_st,Ranges!$DZ:$ED,IF($H121=Ranges!$EC$5,5,3),FALSE),Ranges!EB$6))</f>
        <v>1</v>
      </c>
      <c r="K121" s="383">
        <f t="shared" si="11"/>
        <v>1</v>
      </c>
      <c r="L121" s="90">
        <f t="shared" si="12"/>
        <v>0</v>
      </c>
      <c r="M121" s="587" t="str">
        <f>IF(info_st="nj",INDEX(Ranges!$DU$25:$DW$32,MATCH(U121,Ranges!$DV$25:$DV$32,1),1),INDEX(Ranges!$DU$5:$DW$14,MATCH(U121,Ranges!$DV$5:$DV$14,1),1))</f>
        <v>eight or more</v>
      </c>
      <c r="N121" s="587"/>
      <c r="O121" s="228">
        <f>IF(info_st="nj",VLOOKUP(M121,Ranges!$DU$25:$DW$32,3,FALSE),VLOOKUP(M121,Ranges!$DU$5:$DW$14,3,FALSE))</f>
        <v>2.8</v>
      </c>
      <c r="Q121" s="4" t="b">
        <f>IF(info_admit=Ranges!$U$7,FALSE,D121&lt;=$E$58)</f>
        <v>0</v>
      </c>
      <c r="R121" s="121">
        <f t="shared" si="5"/>
        <v>0</v>
      </c>
      <c r="S121" s="115">
        <f t="shared" si="6"/>
        <v>0</v>
      </c>
      <c r="T121" s="122">
        <f>IF($C121=1,IF($H121=Ranges!$EC$5,1,0),0)</f>
        <v>0</v>
      </c>
      <c r="U121" s="242">
        <f t="shared" si="13"/>
        <v>120</v>
      </c>
    </row>
    <row r="122" spans="3:21" s="4" customFormat="1" hidden="1">
      <c r="C122" s="155">
        <f t="shared" si="14"/>
        <v>0</v>
      </c>
      <c r="D122" s="238">
        <f t="shared" si="7"/>
        <v>63</v>
      </c>
      <c r="E122" s="586"/>
      <c r="F122" s="586"/>
      <c r="G122" s="586"/>
      <c r="H122" s="61" t="s">
        <v>28</v>
      </c>
      <c r="I122" s="382">
        <f>IF($H122="no",1,IFERROR(VLOOKUP(info_st,Ranges!$DZ:$ED,IF($H122=Ranges!$EC$5,4,2),FALSE),Ranges!EA$6))</f>
        <v>1</v>
      </c>
      <c r="J122" s="382">
        <f>IF($H122="no",1,IFERROR(VLOOKUP(info_st,Ranges!$DZ:$ED,IF($H122=Ranges!$EC$5,5,3),FALSE),Ranges!EB$6))</f>
        <v>1</v>
      </c>
      <c r="K122" s="383">
        <f t="shared" si="11"/>
        <v>1</v>
      </c>
      <c r="L122" s="90">
        <f t="shared" si="12"/>
        <v>0</v>
      </c>
      <c r="M122" s="587" t="str">
        <f>IF(info_st="nj",INDEX(Ranges!$DU$25:$DW$32,MATCH(U122,Ranges!$DV$25:$DV$32,1),1),INDEX(Ranges!$DU$5:$DW$14,MATCH(U122,Ranges!$DV$5:$DV$14,1),1))</f>
        <v>eight or more</v>
      </c>
      <c r="N122" s="587"/>
      <c r="O122" s="228">
        <f>IF(info_st="nj",VLOOKUP(M122,Ranges!$DU$25:$DW$32,3,FALSE),VLOOKUP(M122,Ranges!$DU$5:$DW$14,3,FALSE))</f>
        <v>2.8</v>
      </c>
      <c r="Q122" s="4" t="b">
        <f>IF(info_admit=Ranges!$U$7,FALSE,D122&lt;=$E$58)</f>
        <v>0</v>
      </c>
      <c r="R122" s="121">
        <f t="shared" si="5"/>
        <v>0</v>
      </c>
      <c r="S122" s="115">
        <f t="shared" si="6"/>
        <v>0</v>
      </c>
      <c r="T122" s="122">
        <f>IF($C122=1,IF($H122=Ranges!$EC$5,1,0),0)</f>
        <v>0</v>
      </c>
      <c r="U122" s="242">
        <f t="shared" si="13"/>
        <v>120</v>
      </c>
    </row>
    <row r="123" spans="3:21" s="4" customFormat="1" hidden="1">
      <c r="C123" s="155">
        <f t="shared" si="14"/>
        <v>0</v>
      </c>
      <c r="D123" s="238">
        <f t="shared" si="7"/>
        <v>64</v>
      </c>
      <c r="E123" s="586"/>
      <c r="F123" s="586"/>
      <c r="G123" s="586"/>
      <c r="H123" s="61" t="s">
        <v>28</v>
      </c>
      <c r="I123" s="382">
        <f>IF($H123="no",1,IFERROR(VLOOKUP(info_st,Ranges!$DZ:$ED,IF($H123=Ranges!$EC$5,4,2),FALSE),Ranges!EA$6))</f>
        <v>1</v>
      </c>
      <c r="J123" s="382">
        <f>IF($H123="no",1,IFERROR(VLOOKUP(info_st,Ranges!$DZ:$ED,IF($H123=Ranges!$EC$5,5,3),FALSE),Ranges!EB$6))</f>
        <v>1</v>
      </c>
      <c r="K123" s="383">
        <f t="shared" si="11"/>
        <v>1</v>
      </c>
      <c r="L123" s="90">
        <f t="shared" si="12"/>
        <v>0</v>
      </c>
      <c r="M123" s="587" t="str">
        <f>IF(info_st="nj",INDEX(Ranges!$DU$25:$DW$32,MATCH(U123,Ranges!$DV$25:$DV$32,1),1),INDEX(Ranges!$DU$5:$DW$14,MATCH(U123,Ranges!$DV$5:$DV$14,1),1))</f>
        <v>eight or more</v>
      </c>
      <c r="N123" s="587"/>
      <c r="O123" s="228">
        <f>IF(info_st="nj",VLOOKUP(M123,Ranges!$DU$25:$DW$32,3,FALSE),VLOOKUP(M123,Ranges!$DU$5:$DW$14,3,FALSE))</f>
        <v>2.8</v>
      </c>
      <c r="Q123" s="4" t="b">
        <f>IF(info_admit=Ranges!$U$7,FALSE,D123&lt;=$E$58)</f>
        <v>0</v>
      </c>
      <c r="R123" s="121">
        <f t="shared" si="5"/>
        <v>0</v>
      </c>
      <c r="S123" s="115">
        <f t="shared" si="6"/>
        <v>0</v>
      </c>
      <c r="T123" s="122">
        <f>IF($C123=1,IF($H123=Ranges!$EC$5,1,0),0)</f>
        <v>0</v>
      </c>
      <c r="U123" s="242">
        <f t="shared" si="13"/>
        <v>120</v>
      </c>
    </row>
    <row r="124" spans="3:21" s="4" customFormat="1" hidden="1">
      <c r="C124" s="155">
        <f t="shared" si="14"/>
        <v>0</v>
      </c>
      <c r="D124" s="238">
        <f t="shared" si="7"/>
        <v>65</v>
      </c>
      <c r="E124" s="586"/>
      <c r="F124" s="586"/>
      <c r="G124" s="586"/>
      <c r="H124" s="61" t="s">
        <v>28</v>
      </c>
      <c r="I124" s="382">
        <f>IF($H124="no",1,IFERROR(VLOOKUP(info_st,Ranges!$DZ:$ED,IF($H124=Ranges!$EC$5,4,2),FALSE),Ranges!EA$6))</f>
        <v>1</v>
      </c>
      <c r="J124" s="382">
        <f>IF($H124="no",1,IFERROR(VLOOKUP(info_st,Ranges!$DZ:$ED,IF($H124=Ranges!$EC$5,5,3),FALSE),Ranges!EB$6))</f>
        <v>1</v>
      </c>
      <c r="K124" s="383">
        <f t="shared" ref="K124:K159" si="15">IF(H124="no",1,IF(Rate_CountTotal=1,1,I124))</f>
        <v>1</v>
      </c>
      <c r="L124" s="90">
        <f t="shared" ref="L124:L159" si="16">info_retrodt</f>
        <v>0</v>
      </c>
      <c r="M124" s="587" t="str">
        <f>IF(info_st="nj",INDEX(Ranges!$DU$25:$DW$32,MATCH(U124,Ranges!$DV$25:$DV$32,1),1),INDEX(Ranges!$DU$5:$DW$14,MATCH(U124,Ranges!$DV$5:$DV$14,1),1))</f>
        <v>eight or more</v>
      </c>
      <c r="N124" s="587"/>
      <c r="O124" s="228">
        <f>IF(info_st="nj",VLOOKUP(M124,Ranges!$DU$25:$DW$32,3,FALSE),VLOOKUP(M124,Ranges!$DU$5:$DW$14,3,FALSE))</f>
        <v>2.8</v>
      </c>
      <c r="Q124" s="4" t="b">
        <f>IF(info_admit=Ranges!$U$7,FALSE,D124&lt;=$E$58)</f>
        <v>0</v>
      </c>
      <c r="R124" s="121">
        <f t="shared" si="5"/>
        <v>0</v>
      </c>
      <c r="S124" s="115">
        <f t="shared" si="6"/>
        <v>0</v>
      </c>
      <c r="T124" s="122">
        <f>IF($C124=1,IF($H124=Ranges!$EC$5,1,0),0)</f>
        <v>0</v>
      </c>
      <c r="U124" s="242">
        <f t="shared" ref="U124:U159" si="17">IF(L124&gt;info_effdt,0,DATEDIF(L124,info_effdt,"y"))</f>
        <v>120</v>
      </c>
    </row>
    <row r="125" spans="3:21" s="4" customFormat="1" hidden="1">
      <c r="C125" s="155">
        <f t="shared" si="14"/>
        <v>0</v>
      </c>
      <c r="D125" s="238">
        <f t="shared" si="7"/>
        <v>66</v>
      </c>
      <c r="E125" s="586"/>
      <c r="F125" s="586"/>
      <c r="G125" s="586"/>
      <c r="H125" s="61" t="s">
        <v>28</v>
      </c>
      <c r="I125" s="382">
        <f>IF($H125="no",1,IFERROR(VLOOKUP(info_st,Ranges!$DZ:$ED,IF($H125=Ranges!$EC$5,4,2),FALSE),Ranges!EA$6))</f>
        <v>1</v>
      </c>
      <c r="J125" s="382">
        <f>IF($H125="no",1,IFERROR(VLOOKUP(info_st,Ranges!$DZ:$ED,IF($H125=Ranges!$EC$5,5,3),FALSE),Ranges!EB$6))</f>
        <v>1</v>
      </c>
      <c r="K125" s="383">
        <f t="shared" si="15"/>
        <v>1</v>
      </c>
      <c r="L125" s="90">
        <f t="shared" si="16"/>
        <v>0</v>
      </c>
      <c r="M125" s="587" t="str">
        <f>IF(info_st="nj",INDEX(Ranges!$DU$25:$DW$32,MATCH(U125,Ranges!$DV$25:$DV$32,1),1),INDEX(Ranges!$DU$5:$DW$14,MATCH(U125,Ranges!$DV$5:$DV$14,1),1))</f>
        <v>eight or more</v>
      </c>
      <c r="N125" s="587"/>
      <c r="O125" s="228">
        <f>IF(info_st="nj",VLOOKUP(M125,Ranges!$DU$25:$DW$32,3,FALSE),VLOOKUP(M125,Ranges!$DU$5:$DW$14,3,FALSE))</f>
        <v>2.8</v>
      </c>
      <c r="Q125" s="4" t="b">
        <f>IF(info_admit=Ranges!$U$7,FALSE,D125&lt;=$E$58)</f>
        <v>0</v>
      </c>
      <c r="R125" s="121">
        <f t="shared" si="5"/>
        <v>0</v>
      </c>
      <c r="S125" s="115">
        <f t="shared" ref="S125:S159" si="18">IF($C125=1,IF($H125="yes",1,0),0)</f>
        <v>0</v>
      </c>
      <c r="T125" s="122">
        <f>IF($C125=1,IF($H125=Ranges!$EC$5,1,0),0)</f>
        <v>0</v>
      </c>
      <c r="U125" s="242">
        <f t="shared" si="17"/>
        <v>120</v>
      </c>
    </row>
    <row r="126" spans="3:21" s="4" customFormat="1" hidden="1">
      <c r="C126" s="155">
        <f t="shared" si="14"/>
        <v>0</v>
      </c>
      <c r="D126" s="238">
        <f t="shared" si="7"/>
        <v>67</v>
      </c>
      <c r="E126" s="586"/>
      <c r="F126" s="586"/>
      <c r="G126" s="586"/>
      <c r="H126" s="61" t="s">
        <v>28</v>
      </c>
      <c r="I126" s="382">
        <f>IF($H126="no",1,IFERROR(VLOOKUP(info_st,Ranges!$DZ:$ED,IF($H126=Ranges!$EC$5,4,2),FALSE),Ranges!EA$6))</f>
        <v>1</v>
      </c>
      <c r="J126" s="382">
        <f>IF($H126="no",1,IFERROR(VLOOKUP(info_st,Ranges!$DZ:$ED,IF($H126=Ranges!$EC$5,5,3),FALSE),Ranges!EB$6))</f>
        <v>1</v>
      </c>
      <c r="K126" s="383">
        <f t="shared" si="15"/>
        <v>1</v>
      </c>
      <c r="L126" s="90">
        <f t="shared" si="16"/>
        <v>0</v>
      </c>
      <c r="M126" s="587" t="str">
        <f>IF(info_st="nj",INDEX(Ranges!$DU$25:$DW$32,MATCH(U126,Ranges!$DV$25:$DV$32,1),1),INDEX(Ranges!$DU$5:$DW$14,MATCH(U126,Ranges!$DV$5:$DV$14,1),1))</f>
        <v>eight or more</v>
      </c>
      <c r="N126" s="587"/>
      <c r="O126" s="228">
        <f>IF(info_st="nj",VLOOKUP(M126,Ranges!$DU$25:$DW$32,3,FALSE),VLOOKUP(M126,Ranges!$DU$5:$DW$14,3,FALSE))</f>
        <v>2.8</v>
      </c>
      <c r="Q126" s="4" t="b">
        <f>IF(info_admit=Ranges!$U$7,FALSE,D126&lt;=$E$58)</f>
        <v>0</v>
      </c>
      <c r="R126" s="121">
        <f t="shared" si="5"/>
        <v>0</v>
      </c>
      <c r="S126" s="115">
        <f t="shared" si="18"/>
        <v>0</v>
      </c>
      <c r="T126" s="122">
        <f>IF($C126=1,IF($H126=Ranges!$EC$5,1,0),0)</f>
        <v>0</v>
      </c>
      <c r="U126" s="242">
        <f t="shared" si="17"/>
        <v>120</v>
      </c>
    </row>
    <row r="127" spans="3:21" s="4" customFormat="1" hidden="1">
      <c r="C127" s="155">
        <f t="shared" si="14"/>
        <v>0</v>
      </c>
      <c r="D127" s="238">
        <f t="shared" si="7"/>
        <v>68</v>
      </c>
      <c r="E127" s="586"/>
      <c r="F127" s="586"/>
      <c r="G127" s="586"/>
      <c r="H127" s="61" t="s">
        <v>28</v>
      </c>
      <c r="I127" s="382">
        <f>IF($H127="no",1,IFERROR(VLOOKUP(info_st,Ranges!$DZ:$ED,IF($H127=Ranges!$EC$5,4,2),FALSE),Ranges!EA$6))</f>
        <v>1</v>
      </c>
      <c r="J127" s="382">
        <f>IF($H127="no",1,IFERROR(VLOOKUP(info_st,Ranges!$DZ:$ED,IF($H127=Ranges!$EC$5,5,3),FALSE),Ranges!EB$6))</f>
        <v>1</v>
      </c>
      <c r="K127" s="383">
        <f t="shared" si="15"/>
        <v>1</v>
      </c>
      <c r="L127" s="90">
        <f t="shared" si="16"/>
        <v>0</v>
      </c>
      <c r="M127" s="587" t="str">
        <f>IF(info_st="nj",INDEX(Ranges!$DU$25:$DW$32,MATCH(U127,Ranges!$DV$25:$DV$32,1),1),INDEX(Ranges!$DU$5:$DW$14,MATCH(U127,Ranges!$DV$5:$DV$14,1),1))</f>
        <v>eight or more</v>
      </c>
      <c r="N127" s="587"/>
      <c r="O127" s="228">
        <f>IF(info_st="nj",VLOOKUP(M127,Ranges!$DU$25:$DW$32,3,FALSE),VLOOKUP(M127,Ranges!$DU$5:$DW$14,3,FALSE))</f>
        <v>2.8</v>
      </c>
      <c r="Q127" s="4" t="b">
        <f>IF(info_admit=Ranges!$U$7,FALSE,D127&lt;=$E$58)</f>
        <v>0</v>
      </c>
      <c r="R127" s="121">
        <f t="shared" si="5"/>
        <v>0</v>
      </c>
      <c r="S127" s="115">
        <f t="shared" si="18"/>
        <v>0</v>
      </c>
      <c r="T127" s="122">
        <f>IF($C127=1,IF($H127=Ranges!$EC$5,1,0),0)</f>
        <v>0</v>
      </c>
      <c r="U127" s="242">
        <f t="shared" si="17"/>
        <v>120</v>
      </c>
    </row>
    <row r="128" spans="3:21" s="4" customFormat="1" hidden="1">
      <c r="C128" s="155">
        <f t="shared" si="14"/>
        <v>0</v>
      </c>
      <c r="D128" s="238">
        <f t="shared" si="7"/>
        <v>69</v>
      </c>
      <c r="E128" s="586"/>
      <c r="F128" s="586"/>
      <c r="G128" s="586"/>
      <c r="H128" s="61" t="s">
        <v>28</v>
      </c>
      <c r="I128" s="382">
        <f>IF($H128="no",1,IFERROR(VLOOKUP(info_st,Ranges!$DZ:$ED,IF($H128=Ranges!$EC$5,4,2),FALSE),Ranges!EA$6))</f>
        <v>1</v>
      </c>
      <c r="J128" s="382">
        <f>IF($H128="no",1,IFERROR(VLOOKUP(info_st,Ranges!$DZ:$ED,IF($H128=Ranges!$EC$5,5,3),FALSE),Ranges!EB$6))</f>
        <v>1</v>
      </c>
      <c r="K128" s="383">
        <f t="shared" si="15"/>
        <v>1</v>
      </c>
      <c r="L128" s="90">
        <f t="shared" si="16"/>
        <v>0</v>
      </c>
      <c r="M128" s="587" t="str">
        <f>IF(info_st="nj",INDEX(Ranges!$DU$25:$DW$32,MATCH(U128,Ranges!$DV$25:$DV$32,1),1),INDEX(Ranges!$DU$5:$DW$14,MATCH(U128,Ranges!$DV$5:$DV$14,1),1))</f>
        <v>eight or more</v>
      </c>
      <c r="N128" s="587"/>
      <c r="O128" s="228">
        <f>IF(info_st="nj",VLOOKUP(M128,Ranges!$DU$25:$DW$32,3,FALSE),VLOOKUP(M128,Ranges!$DU$5:$DW$14,3,FALSE))</f>
        <v>2.8</v>
      </c>
      <c r="Q128" s="4" t="b">
        <f>IF(info_admit=Ranges!$U$7,FALSE,D128&lt;=$E$58)</f>
        <v>0</v>
      </c>
      <c r="R128" s="121">
        <f t="shared" si="5"/>
        <v>0</v>
      </c>
      <c r="S128" s="115">
        <f t="shared" si="18"/>
        <v>0</v>
      </c>
      <c r="T128" s="122">
        <f>IF($C128=1,IF($H128=Ranges!$EC$5,1,0),0)</f>
        <v>0</v>
      </c>
      <c r="U128" s="242">
        <f t="shared" si="17"/>
        <v>120</v>
      </c>
    </row>
    <row r="129" spans="3:21" s="4" customFormat="1" hidden="1">
      <c r="C129" s="155">
        <f t="shared" si="14"/>
        <v>0</v>
      </c>
      <c r="D129" s="238">
        <f t="shared" si="7"/>
        <v>70</v>
      </c>
      <c r="E129" s="586"/>
      <c r="F129" s="586"/>
      <c r="G129" s="586"/>
      <c r="H129" s="61" t="s">
        <v>28</v>
      </c>
      <c r="I129" s="382">
        <f>IF($H129="no",1,IFERROR(VLOOKUP(info_st,Ranges!$DZ:$ED,IF($H129=Ranges!$EC$5,4,2),FALSE),Ranges!EA$6))</f>
        <v>1</v>
      </c>
      <c r="J129" s="382">
        <f>IF($H129="no",1,IFERROR(VLOOKUP(info_st,Ranges!$DZ:$ED,IF($H129=Ranges!$EC$5,5,3),FALSE),Ranges!EB$6))</f>
        <v>1</v>
      </c>
      <c r="K129" s="383">
        <f t="shared" si="15"/>
        <v>1</v>
      </c>
      <c r="L129" s="90">
        <f t="shared" si="16"/>
        <v>0</v>
      </c>
      <c r="M129" s="587" t="str">
        <f>IF(info_st="nj",INDEX(Ranges!$DU$25:$DW$32,MATCH(U129,Ranges!$DV$25:$DV$32,1),1),INDEX(Ranges!$DU$5:$DW$14,MATCH(U129,Ranges!$DV$5:$DV$14,1),1))</f>
        <v>eight or more</v>
      </c>
      <c r="N129" s="587"/>
      <c r="O129" s="228">
        <f>IF(info_st="nj",VLOOKUP(M129,Ranges!$DU$25:$DW$32,3,FALSE),VLOOKUP(M129,Ranges!$DU$5:$DW$14,3,FALSE))</f>
        <v>2.8</v>
      </c>
      <c r="Q129" s="4" t="b">
        <f>IF(info_admit=Ranges!$U$7,FALSE,D129&lt;=$E$58)</f>
        <v>0</v>
      </c>
      <c r="R129" s="121">
        <f t="shared" si="5"/>
        <v>0</v>
      </c>
      <c r="S129" s="115">
        <f t="shared" si="18"/>
        <v>0</v>
      </c>
      <c r="T129" s="122">
        <f>IF($C129=1,IF($H129=Ranges!$EC$5,1,0),0)</f>
        <v>0</v>
      </c>
      <c r="U129" s="242">
        <f t="shared" si="17"/>
        <v>120</v>
      </c>
    </row>
    <row r="130" spans="3:21" s="4" customFormat="1" hidden="1">
      <c r="C130" s="155">
        <f t="shared" si="14"/>
        <v>0</v>
      </c>
      <c r="D130" s="238">
        <f t="shared" si="7"/>
        <v>71</v>
      </c>
      <c r="E130" s="586"/>
      <c r="F130" s="586"/>
      <c r="G130" s="586"/>
      <c r="H130" s="61" t="s">
        <v>28</v>
      </c>
      <c r="I130" s="382">
        <f>IF($H130="no",1,IFERROR(VLOOKUP(info_st,Ranges!$DZ:$ED,IF($H130=Ranges!$EC$5,4,2),FALSE),Ranges!EA$6))</f>
        <v>1</v>
      </c>
      <c r="J130" s="382">
        <f>IF($H130="no",1,IFERROR(VLOOKUP(info_st,Ranges!$DZ:$ED,IF($H130=Ranges!$EC$5,5,3),FALSE),Ranges!EB$6))</f>
        <v>1</v>
      </c>
      <c r="K130" s="383">
        <f t="shared" si="15"/>
        <v>1</v>
      </c>
      <c r="L130" s="90">
        <f t="shared" si="16"/>
        <v>0</v>
      </c>
      <c r="M130" s="587" t="str">
        <f>IF(info_st="nj",INDEX(Ranges!$DU$25:$DW$32,MATCH(U130,Ranges!$DV$25:$DV$32,1),1),INDEX(Ranges!$DU$5:$DW$14,MATCH(U130,Ranges!$DV$5:$DV$14,1),1))</f>
        <v>eight or more</v>
      </c>
      <c r="N130" s="587"/>
      <c r="O130" s="228">
        <f>IF(info_st="nj",VLOOKUP(M130,Ranges!$DU$25:$DW$32,3,FALSE),VLOOKUP(M130,Ranges!$DU$5:$DW$14,3,FALSE))</f>
        <v>2.8</v>
      </c>
      <c r="Q130" s="4" t="b">
        <f>IF(info_admit=Ranges!$U$7,FALSE,D130&lt;=$E$58)</f>
        <v>0</v>
      </c>
      <c r="R130" s="121">
        <f t="shared" si="5"/>
        <v>0</v>
      </c>
      <c r="S130" s="115">
        <f t="shared" si="18"/>
        <v>0</v>
      </c>
      <c r="T130" s="122">
        <f>IF($C130=1,IF($H130=Ranges!$EC$5,1,0),0)</f>
        <v>0</v>
      </c>
      <c r="U130" s="242">
        <f t="shared" si="17"/>
        <v>120</v>
      </c>
    </row>
    <row r="131" spans="3:21" s="4" customFormat="1" hidden="1">
      <c r="C131" s="155">
        <f t="shared" si="14"/>
        <v>0</v>
      </c>
      <c r="D131" s="238">
        <f t="shared" si="7"/>
        <v>72</v>
      </c>
      <c r="E131" s="586"/>
      <c r="F131" s="586"/>
      <c r="G131" s="586"/>
      <c r="H131" s="61" t="s">
        <v>28</v>
      </c>
      <c r="I131" s="382">
        <f>IF($H131="no",1,IFERROR(VLOOKUP(info_st,Ranges!$DZ:$ED,IF($H131=Ranges!$EC$5,4,2),FALSE),Ranges!EA$6))</f>
        <v>1</v>
      </c>
      <c r="J131" s="382">
        <f>IF($H131="no",1,IFERROR(VLOOKUP(info_st,Ranges!$DZ:$ED,IF($H131=Ranges!$EC$5,5,3),FALSE),Ranges!EB$6))</f>
        <v>1</v>
      </c>
      <c r="K131" s="383">
        <f t="shared" si="15"/>
        <v>1</v>
      </c>
      <c r="L131" s="90">
        <f t="shared" si="16"/>
        <v>0</v>
      </c>
      <c r="M131" s="587" t="str">
        <f>IF(info_st="nj",INDEX(Ranges!$DU$25:$DW$32,MATCH(U131,Ranges!$DV$25:$DV$32,1),1),INDEX(Ranges!$DU$5:$DW$14,MATCH(U131,Ranges!$DV$5:$DV$14,1),1))</f>
        <v>eight or more</v>
      </c>
      <c r="N131" s="587"/>
      <c r="O131" s="228">
        <f>IF(info_st="nj",VLOOKUP(M131,Ranges!$DU$25:$DW$32,3,FALSE),VLOOKUP(M131,Ranges!$DU$5:$DW$14,3,FALSE))</f>
        <v>2.8</v>
      </c>
      <c r="Q131" s="4" t="b">
        <f>IF(info_admit=Ranges!$U$7,FALSE,D131&lt;=$E$58)</f>
        <v>0</v>
      </c>
      <c r="R131" s="121">
        <f t="shared" si="5"/>
        <v>0</v>
      </c>
      <c r="S131" s="115">
        <f t="shared" si="18"/>
        <v>0</v>
      </c>
      <c r="T131" s="122">
        <f>IF($C131=1,IF($H131=Ranges!$EC$5,1,0),0)</f>
        <v>0</v>
      </c>
      <c r="U131" s="242">
        <f t="shared" si="17"/>
        <v>120</v>
      </c>
    </row>
    <row r="132" spans="3:21" s="4" customFormat="1" hidden="1">
      <c r="C132" s="155">
        <f t="shared" si="14"/>
        <v>0</v>
      </c>
      <c r="D132" s="238">
        <f t="shared" si="7"/>
        <v>73</v>
      </c>
      <c r="E132" s="586"/>
      <c r="F132" s="586"/>
      <c r="G132" s="586"/>
      <c r="H132" s="61" t="s">
        <v>28</v>
      </c>
      <c r="I132" s="382">
        <f>IF($H132="no",1,IFERROR(VLOOKUP(info_st,Ranges!$DZ:$ED,IF($H132=Ranges!$EC$5,4,2),FALSE),Ranges!EA$6))</f>
        <v>1</v>
      </c>
      <c r="J132" s="382">
        <f>IF($H132="no",1,IFERROR(VLOOKUP(info_st,Ranges!$DZ:$ED,IF($H132=Ranges!$EC$5,5,3),FALSE),Ranges!EB$6))</f>
        <v>1</v>
      </c>
      <c r="K132" s="383">
        <f t="shared" si="15"/>
        <v>1</v>
      </c>
      <c r="L132" s="90">
        <f t="shared" si="16"/>
        <v>0</v>
      </c>
      <c r="M132" s="587" t="str">
        <f>IF(info_st="nj",INDEX(Ranges!$DU$25:$DW$32,MATCH(U132,Ranges!$DV$25:$DV$32,1),1),INDEX(Ranges!$DU$5:$DW$14,MATCH(U132,Ranges!$DV$5:$DV$14,1),1))</f>
        <v>eight or more</v>
      </c>
      <c r="N132" s="587"/>
      <c r="O132" s="228">
        <f>IF(info_st="nj",VLOOKUP(M132,Ranges!$DU$25:$DW$32,3,FALSE),VLOOKUP(M132,Ranges!$DU$5:$DW$14,3,FALSE))</f>
        <v>2.8</v>
      </c>
      <c r="Q132" s="4" t="b">
        <f>IF(info_admit=Ranges!$U$7,FALSE,D132&lt;=$E$58)</f>
        <v>0</v>
      </c>
      <c r="R132" s="121">
        <f t="shared" si="5"/>
        <v>0</v>
      </c>
      <c r="S132" s="115">
        <f t="shared" si="18"/>
        <v>0</v>
      </c>
      <c r="T132" s="122">
        <f>IF($C132=1,IF($H132=Ranges!$EC$5,1,0),0)</f>
        <v>0</v>
      </c>
      <c r="U132" s="242">
        <f t="shared" si="17"/>
        <v>120</v>
      </c>
    </row>
    <row r="133" spans="3:21" s="4" customFormat="1" hidden="1">
      <c r="C133" s="155">
        <f t="shared" si="14"/>
        <v>0</v>
      </c>
      <c r="D133" s="238">
        <f t="shared" si="7"/>
        <v>74</v>
      </c>
      <c r="E133" s="586"/>
      <c r="F133" s="586"/>
      <c r="G133" s="586"/>
      <c r="H133" s="61" t="s">
        <v>28</v>
      </c>
      <c r="I133" s="382">
        <f>IF($H133="no",1,IFERROR(VLOOKUP(info_st,Ranges!$DZ:$ED,IF($H133=Ranges!$EC$5,4,2),FALSE),Ranges!EA$6))</f>
        <v>1</v>
      </c>
      <c r="J133" s="382">
        <f>IF($H133="no",1,IFERROR(VLOOKUP(info_st,Ranges!$DZ:$ED,IF($H133=Ranges!$EC$5,5,3),FALSE),Ranges!EB$6))</f>
        <v>1</v>
      </c>
      <c r="K133" s="383">
        <f t="shared" si="15"/>
        <v>1</v>
      </c>
      <c r="L133" s="90">
        <f t="shared" si="16"/>
        <v>0</v>
      </c>
      <c r="M133" s="587" t="str">
        <f>IF(info_st="nj",INDEX(Ranges!$DU$25:$DW$32,MATCH(U133,Ranges!$DV$25:$DV$32,1),1),INDEX(Ranges!$DU$5:$DW$14,MATCH(U133,Ranges!$DV$5:$DV$14,1),1))</f>
        <v>eight or more</v>
      </c>
      <c r="N133" s="587"/>
      <c r="O133" s="228">
        <f>IF(info_st="nj",VLOOKUP(M133,Ranges!$DU$25:$DW$32,3,FALSE),VLOOKUP(M133,Ranges!$DU$5:$DW$14,3,FALSE))</f>
        <v>2.8</v>
      </c>
      <c r="Q133" s="4" t="b">
        <f>IF(info_admit=Ranges!$U$7,FALSE,D133&lt;=$E$58)</f>
        <v>0</v>
      </c>
      <c r="R133" s="121">
        <f t="shared" si="5"/>
        <v>0</v>
      </c>
      <c r="S133" s="115">
        <f t="shared" si="18"/>
        <v>0</v>
      </c>
      <c r="T133" s="122">
        <f>IF($C133=1,IF($H133=Ranges!$EC$5,1,0),0)</f>
        <v>0</v>
      </c>
      <c r="U133" s="242">
        <f t="shared" si="17"/>
        <v>120</v>
      </c>
    </row>
    <row r="134" spans="3:21" s="4" customFormat="1" hidden="1">
      <c r="C134" s="155">
        <f t="shared" si="14"/>
        <v>0</v>
      </c>
      <c r="D134" s="238">
        <f t="shared" si="7"/>
        <v>75</v>
      </c>
      <c r="E134" s="586"/>
      <c r="F134" s="586"/>
      <c r="G134" s="586"/>
      <c r="H134" s="61" t="s">
        <v>28</v>
      </c>
      <c r="I134" s="382">
        <f>IF($H134="no",1,IFERROR(VLOOKUP(info_st,Ranges!$DZ:$ED,IF($H134=Ranges!$EC$5,4,2),FALSE),Ranges!EA$6))</f>
        <v>1</v>
      </c>
      <c r="J134" s="382">
        <f>IF($H134="no",1,IFERROR(VLOOKUP(info_st,Ranges!$DZ:$ED,IF($H134=Ranges!$EC$5,5,3),FALSE),Ranges!EB$6))</f>
        <v>1</v>
      </c>
      <c r="K134" s="383">
        <f t="shared" si="15"/>
        <v>1</v>
      </c>
      <c r="L134" s="90">
        <f t="shared" si="16"/>
        <v>0</v>
      </c>
      <c r="M134" s="587" t="str">
        <f>IF(info_st="nj",INDEX(Ranges!$DU$25:$DW$32,MATCH(U134,Ranges!$DV$25:$DV$32,1),1),INDEX(Ranges!$DU$5:$DW$14,MATCH(U134,Ranges!$DV$5:$DV$14,1),1))</f>
        <v>eight or more</v>
      </c>
      <c r="N134" s="587"/>
      <c r="O134" s="228">
        <f>IF(info_st="nj",VLOOKUP(M134,Ranges!$DU$25:$DW$32,3,FALSE),VLOOKUP(M134,Ranges!$DU$5:$DW$14,3,FALSE))</f>
        <v>2.8</v>
      </c>
      <c r="Q134" s="4" t="b">
        <f>IF(info_admit=Ranges!$U$7,FALSE,D134&lt;=$E$58)</f>
        <v>0</v>
      </c>
      <c r="R134" s="121">
        <f t="shared" si="5"/>
        <v>0</v>
      </c>
      <c r="S134" s="115">
        <f t="shared" si="18"/>
        <v>0</v>
      </c>
      <c r="T134" s="122">
        <f>IF($C134=1,IF($H134=Ranges!$EC$5,1,0),0)</f>
        <v>0</v>
      </c>
      <c r="U134" s="242">
        <f t="shared" si="17"/>
        <v>120</v>
      </c>
    </row>
    <row r="135" spans="3:21" s="4" customFormat="1" hidden="1">
      <c r="C135" s="155">
        <f t="shared" si="14"/>
        <v>0</v>
      </c>
      <c r="D135" s="238">
        <f t="shared" si="7"/>
        <v>76</v>
      </c>
      <c r="E135" s="586"/>
      <c r="F135" s="586"/>
      <c r="G135" s="586"/>
      <c r="H135" s="61" t="s">
        <v>28</v>
      </c>
      <c r="I135" s="382">
        <f>IF($H135="no",1,IFERROR(VLOOKUP(info_st,Ranges!$DZ:$ED,IF($H135=Ranges!$EC$5,4,2),FALSE),Ranges!EA$6))</f>
        <v>1</v>
      </c>
      <c r="J135" s="382">
        <f>IF($H135="no",1,IFERROR(VLOOKUP(info_st,Ranges!$DZ:$ED,IF($H135=Ranges!$EC$5,5,3),FALSE),Ranges!EB$6))</f>
        <v>1</v>
      </c>
      <c r="K135" s="383">
        <f t="shared" si="15"/>
        <v>1</v>
      </c>
      <c r="L135" s="90">
        <f t="shared" si="16"/>
        <v>0</v>
      </c>
      <c r="M135" s="587" t="str">
        <f>IF(info_st="nj",INDEX(Ranges!$DU$25:$DW$32,MATCH(U135,Ranges!$DV$25:$DV$32,1),1),INDEX(Ranges!$DU$5:$DW$14,MATCH(U135,Ranges!$DV$5:$DV$14,1),1))</f>
        <v>eight or more</v>
      </c>
      <c r="N135" s="587"/>
      <c r="O135" s="228">
        <f>IF(info_st="nj",VLOOKUP(M135,Ranges!$DU$25:$DW$32,3,FALSE),VLOOKUP(M135,Ranges!$DU$5:$DW$14,3,FALSE))</f>
        <v>2.8</v>
      </c>
      <c r="Q135" s="4" t="b">
        <f>IF(info_admit=Ranges!$U$7,FALSE,D135&lt;=$E$58)</f>
        <v>0</v>
      </c>
      <c r="R135" s="121">
        <f t="shared" si="5"/>
        <v>0</v>
      </c>
      <c r="S135" s="115">
        <f t="shared" si="18"/>
        <v>0</v>
      </c>
      <c r="T135" s="122">
        <f>IF($C135=1,IF($H135=Ranges!$EC$5,1,0),0)</f>
        <v>0</v>
      </c>
      <c r="U135" s="242">
        <f t="shared" si="17"/>
        <v>120</v>
      </c>
    </row>
    <row r="136" spans="3:21" s="4" customFormat="1" hidden="1">
      <c r="C136" s="155">
        <f t="shared" si="14"/>
        <v>0</v>
      </c>
      <c r="D136" s="238">
        <f t="shared" si="7"/>
        <v>77</v>
      </c>
      <c r="E136" s="586"/>
      <c r="F136" s="586"/>
      <c r="G136" s="586"/>
      <c r="H136" s="61" t="s">
        <v>28</v>
      </c>
      <c r="I136" s="382">
        <f>IF($H136="no",1,IFERROR(VLOOKUP(info_st,Ranges!$DZ:$ED,IF($H136=Ranges!$EC$5,4,2),FALSE),Ranges!EA$6))</f>
        <v>1</v>
      </c>
      <c r="J136" s="382">
        <f>IF($H136="no",1,IFERROR(VLOOKUP(info_st,Ranges!$DZ:$ED,IF($H136=Ranges!$EC$5,5,3),FALSE),Ranges!EB$6))</f>
        <v>1</v>
      </c>
      <c r="K136" s="383">
        <f t="shared" si="15"/>
        <v>1</v>
      </c>
      <c r="L136" s="90">
        <f t="shared" si="16"/>
        <v>0</v>
      </c>
      <c r="M136" s="587" t="str">
        <f>IF(info_st="nj",INDEX(Ranges!$DU$25:$DW$32,MATCH(U136,Ranges!$DV$25:$DV$32,1),1),INDEX(Ranges!$DU$5:$DW$14,MATCH(U136,Ranges!$DV$5:$DV$14,1),1))</f>
        <v>eight or more</v>
      </c>
      <c r="N136" s="587"/>
      <c r="O136" s="228">
        <f>IF(info_st="nj",VLOOKUP(M136,Ranges!$DU$25:$DW$32,3,FALSE),VLOOKUP(M136,Ranges!$DU$5:$DW$14,3,FALSE))</f>
        <v>2.8</v>
      </c>
      <c r="Q136" s="4" t="b">
        <f>IF(info_admit=Ranges!$U$7,FALSE,D136&lt;=$E$58)</f>
        <v>0</v>
      </c>
      <c r="R136" s="121">
        <f t="shared" si="5"/>
        <v>0</v>
      </c>
      <c r="S136" s="115">
        <f t="shared" si="18"/>
        <v>0</v>
      </c>
      <c r="T136" s="122">
        <f>IF($C136=1,IF($H136=Ranges!$EC$5,1,0),0)</f>
        <v>0</v>
      </c>
      <c r="U136" s="242">
        <f t="shared" si="17"/>
        <v>120</v>
      </c>
    </row>
    <row r="137" spans="3:21" s="4" customFormat="1" hidden="1">
      <c r="C137" s="155">
        <f t="shared" si="14"/>
        <v>0</v>
      </c>
      <c r="D137" s="238">
        <f t="shared" si="7"/>
        <v>78</v>
      </c>
      <c r="E137" s="586"/>
      <c r="F137" s="586"/>
      <c r="G137" s="586"/>
      <c r="H137" s="61" t="s">
        <v>28</v>
      </c>
      <c r="I137" s="382">
        <f>IF($H137="no",1,IFERROR(VLOOKUP(info_st,Ranges!$DZ:$ED,IF($H137=Ranges!$EC$5,4,2),FALSE),Ranges!EA$6))</f>
        <v>1</v>
      </c>
      <c r="J137" s="382">
        <f>IF($H137="no",1,IFERROR(VLOOKUP(info_st,Ranges!$DZ:$ED,IF($H137=Ranges!$EC$5,5,3),FALSE),Ranges!EB$6))</f>
        <v>1</v>
      </c>
      <c r="K137" s="383">
        <f t="shared" si="15"/>
        <v>1</v>
      </c>
      <c r="L137" s="90">
        <f t="shared" si="16"/>
        <v>0</v>
      </c>
      <c r="M137" s="587" t="str">
        <f>IF(info_st="nj",INDEX(Ranges!$DU$25:$DW$32,MATCH(U137,Ranges!$DV$25:$DV$32,1),1),INDEX(Ranges!$DU$5:$DW$14,MATCH(U137,Ranges!$DV$5:$DV$14,1),1))</f>
        <v>eight or more</v>
      </c>
      <c r="N137" s="587"/>
      <c r="O137" s="228">
        <f>IF(info_st="nj",VLOOKUP(M137,Ranges!$DU$25:$DW$32,3,FALSE),VLOOKUP(M137,Ranges!$DU$5:$DW$14,3,FALSE))</f>
        <v>2.8</v>
      </c>
      <c r="Q137" s="4" t="b">
        <f>IF(info_admit=Ranges!$U$7,FALSE,D137&lt;=$E$58)</f>
        <v>0</v>
      </c>
      <c r="R137" s="121">
        <f t="shared" si="5"/>
        <v>0</v>
      </c>
      <c r="S137" s="115">
        <f t="shared" si="18"/>
        <v>0</v>
      </c>
      <c r="T137" s="122">
        <f>IF($C137=1,IF($H137=Ranges!$EC$5,1,0),0)</f>
        <v>0</v>
      </c>
      <c r="U137" s="242">
        <f t="shared" si="17"/>
        <v>120</v>
      </c>
    </row>
    <row r="138" spans="3:21" s="4" customFormat="1" hidden="1">
      <c r="C138" s="155">
        <f t="shared" si="14"/>
        <v>0</v>
      </c>
      <c r="D138" s="238">
        <f t="shared" si="7"/>
        <v>79</v>
      </c>
      <c r="E138" s="586"/>
      <c r="F138" s="586"/>
      <c r="G138" s="586"/>
      <c r="H138" s="61" t="s">
        <v>28</v>
      </c>
      <c r="I138" s="382">
        <f>IF($H138="no",1,IFERROR(VLOOKUP(info_st,Ranges!$DZ:$ED,IF($H138=Ranges!$EC$5,4,2),FALSE),Ranges!EA$6))</f>
        <v>1</v>
      </c>
      <c r="J138" s="382">
        <f>IF($H138="no",1,IFERROR(VLOOKUP(info_st,Ranges!$DZ:$ED,IF($H138=Ranges!$EC$5,5,3),FALSE),Ranges!EB$6))</f>
        <v>1</v>
      </c>
      <c r="K138" s="383">
        <f t="shared" si="15"/>
        <v>1</v>
      </c>
      <c r="L138" s="90">
        <f t="shared" si="16"/>
        <v>0</v>
      </c>
      <c r="M138" s="587" t="str">
        <f>IF(info_st="nj",INDEX(Ranges!$DU$25:$DW$32,MATCH(U138,Ranges!$DV$25:$DV$32,1),1),INDEX(Ranges!$DU$5:$DW$14,MATCH(U138,Ranges!$DV$5:$DV$14,1),1))</f>
        <v>eight or more</v>
      </c>
      <c r="N138" s="587"/>
      <c r="O138" s="228">
        <f>IF(info_st="nj",VLOOKUP(M138,Ranges!$DU$25:$DW$32,3,FALSE),VLOOKUP(M138,Ranges!$DU$5:$DW$14,3,FALSE))</f>
        <v>2.8</v>
      </c>
      <c r="Q138" s="4" t="b">
        <f>IF(info_admit=Ranges!$U$7,FALSE,D138&lt;=$E$58)</f>
        <v>0</v>
      </c>
      <c r="R138" s="121">
        <f t="shared" si="5"/>
        <v>0</v>
      </c>
      <c r="S138" s="115">
        <f t="shared" si="18"/>
        <v>0</v>
      </c>
      <c r="T138" s="122">
        <f>IF($C138=1,IF($H138=Ranges!$EC$5,1,0),0)</f>
        <v>0</v>
      </c>
      <c r="U138" s="242">
        <f t="shared" si="17"/>
        <v>120</v>
      </c>
    </row>
    <row r="139" spans="3:21" s="4" customFormat="1" hidden="1">
      <c r="C139" s="155">
        <f t="shared" si="14"/>
        <v>0</v>
      </c>
      <c r="D139" s="238">
        <f t="shared" si="7"/>
        <v>80</v>
      </c>
      <c r="E139" s="586"/>
      <c r="F139" s="586"/>
      <c r="G139" s="586"/>
      <c r="H139" s="61" t="s">
        <v>28</v>
      </c>
      <c r="I139" s="382">
        <f>IF($H139="no",1,IFERROR(VLOOKUP(info_st,Ranges!$DZ:$ED,IF($H139=Ranges!$EC$5,4,2),FALSE),Ranges!EA$6))</f>
        <v>1</v>
      </c>
      <c r="J139" s="382">
        <f>IF($H139="no",1,IFERROR(VLOOKUP(info_st,Ranges!$DZ:$ED,IF($H139=Ranges!$EC$5,5,3),FALSE),Ranges!EB$6))</f>
        <v>1</v>
      </c>
      <c r="K139" s="383">
        <f t="shared" si="15"/>
        <v>1</v>
      </c>
      <c r="L139" s="90">
        <f t="shared" si="16"/>
        <v>0</v>
      </c>
      <c r="M139" s="587" t="str">
        <f>IF(info_st="nj",INDEX(Ranges!$DU$25:$DW$32,MATCH(U139,Ranges!$DV$25:$DV$32,1),1),INDEX(Ranges!$DU$5:$DW$14,MATCH(U139,Ranges!$DV$5:$DV$14,1),1))</f>
        <v>eight or more</v>
      </c>
      <c r="N139" s="587"/>
      <c r="O139" s="228">
        <f>IF(info_st="nj",VLOOKUP(M139,Ranges!$DU$25:$DW$32,3,FALSE),VLOOKUP(M139,Ranges!$DU$5:$DW$14,3,FALSE))</f>
        <v>2.8</v>
      </c>
      <c r="Q139" s="4" t="b">
        <f>IF(info_admit=Ranges!$U$7,FALSE,D139&lt;=$E$58)</f>
        <v>0</v>
      </c>
      <c r="R139" s="121">
        <f t="shared" si="5"/>
        <v>0</v>
      </c>
      <c r="S139" s="115">
        <f t="shared" si="18"/>
        <v>0</v>
      </c>
      <c r="T139" s="122">
        <f>IF($C139=1,IF($H139=Ranges!$EC$5,1,0),0)</f>
        <v>0</v>
      </c>
      <c r="U139" s="242">
        <f t="shared" si="17"/>
        <v>120</v>
      </c>
    </row>
    <row r="140" spans="3:21" s="4" customFormat="1" hidden="1">
      <c r="C140" s="155">
        <f t="shared" si="14"/>
        <v>0</v>
      </c>
      <c r="D140" s="238">
        <f t="shared" si="7"/>
        <v>81</v>
      </c>
      <c r="E140" s="586"/>
      <c r="F140" s="586"/>
      <c r="G140" s="586"/>
      <c r="H140" s="61" t="s">
        <v>28</v>
      </c>
      <c r="I140" s="382">
        <f>IF($H140="no",1,IFERROR(VLOOKUP(info_st,Ranges!$DZ:$ED,IF($H140=Ranges!$EC$5,4,2),FALSE),Ranges!EA$6))</f>
        <v>1</v>
      </c>
      <c r="J140" s="382">
        <f>IF($H140="no",1,IFERROR(VLOOKUP(info_st,Ranges!$DZ:$ED,IF($H140=Ranges!$EC$5,5,3),FALSE),Ranges!EB$6))</f>
        <v>1</v>
      </c>
      <c r="K140" s="383">
        <f t="shared" si="15"/>
        <v>1</v>
      </c>
      <c r="L140" s="90">
        <f t="shared" si="16"/>
        <v>0</v>
      </c>
      <c r="M140" s="587" t="str">
        <f>IF(info_st="nj",INDEX(Ranges!$DU$25:$DW$32,MATCH(U140,Ranges!$DV$25:$DV$32,1),1),INDEX(Ranges!$DU$5:$DW$14,MATCH(U140,Ranges!$DV$5:$DV$14,1),1))</f>
        <v>eight or more</v>
      </c>
      <c r="N140" s="587"/>
      <c r="O140" s="228">
        <f>IF(info_st="nj",VLOOKUP(M140,Ranges!$DU$25:$DW$32,3,FALSE),VLOOKUP(M140,Ranges!$DU$5:$DW$14,3,FALSE))</f>
        <v>2.8</v>
      </c>
      <c r="Q140" s="4" t="b">
        <f>IF(info_admit=Ranges!$U$7,FALSE,D140&lt;=$E$58)</f>
        <v>0</v>
      </c>
      <c r="R140" s="121">
        <f t="shared" si="5"/>
        <v>0</v>
      </c>
      <c r="S140" s="115">
        <f t="shared" si="18"/>
        <v>0</v>
      </c>
      <c r="T140" s="122">
        <f>IF($C140=1,IF($H140=Ranges!$EC$5,1,0),0)</f>
        <v>0</v>
      </c>
      <c r="U140" s="242">
        <f t="shared" si="17"/>
        <v>120</v>
      </c>
    </row>
    <row r="141" spans="3:21" s="4" customFormat="1" hidden="1">
      <c r="C141" s="155">
        <f t="shared" si="14"/>
        <v>0</v>
      </c>
      <c r="D141" s="238">
        <f t="shared" si="7"/>
        <v>82</v>
      </c>
      <c r="E141" s="586"/>
      <c r="F141" s="586"/>
      <c r="G141" s="586"/>
      <c r="H141" s="61" t="s">
        <v>28</v>
      </c>
      <c r="I141" s="382">
        <f>IF($H141="no",1,IFERROR(VLOOKUP(info_st,Ranges!$DZ:$ED,IF($H141=Ranges!$EC$5,4,2),FALSE),Ranges!EA$6))</f>
        <v>1</v>
      </c>
      <c r="J141" s="382">
        <f>IF($H141="no",1,IFERROR(VLOOKUP(info_st,Ranges!$DZ:$ED,IF($H141=Ranges!$EC$5,5,3),FALSE),Ranges!EB$6))</f>
        <v>1</v>
      </c>
      <c r="K141" s="383">
        <f t="shared" si="15"/>
        <v>1</v>
      </c>
      <c r="L141" s="90">
        <f t="shared" si="16"/>
        <v>0</v>
      </c>
      <c r="M141" s="587" t="str">
        <f>IF(info_st="nj",INDEX(Ranges!$DU$25:$DW$32,MATCH(U141,Ranges!$DV$25:$DV$32,1),1),INDEX(Ranges!$DU$5:$DW$14,MATCH(U141,Ranges!$DV$5:$DV$14,1),1))</f>
        <v>eight or more</v>
      </c>
      <c r="N141" s="587"/>
      <c r="O141" s="228">
        <f>IF(info_st="nj",VLOOKUP(M141,Ranges!$DU$25:$DW$32,3,FALSE),VLOOKUP(M141,Ranges!$DU$5:$DW$14,3,FALSE))</f>
        <v>2.8</v>
      </c>
      <c r="Q141" s="4" t="b">
        <f>IF(info_admit=Ranges!$U$7,FALSE,D141&lt;=$E$58)</f>
        <v>0</v>
      </c>
      <c r="R141" s="121">
        <f t="shared" si="5"/>
        <v>0</v>
      </c>
      <c r="S141" s="115">
        <f t="shared" si="18"/>
        <v>0</v>
      </c>
      <c r="T141" s="122">
        <f>IF($C141=1,IF($H141=Ranges!$EC$5,1,0),0)</f>
        <v>0</v>
      </c>
      <c r="U141" s="242">
        <f t="shared" si="17"/>
        <v>120</v>
      </c>
    </row>
    <row r="142" spans="3:21" s="4" customFormat="1" hidden="1">
      <c r="C142" s="155">
        <f t="shared" si="14"/>
        <v>0</v>
      </c>
      <c r="D142" s="238">
        <f t="shared" si="7"/>
        <v>83</v>
      </c>
      <c r="E142" s="586"/>
      <c r="F142" s="586"/>
      <c r="G142" s="586"/>
      <c r="H142" s="61" t="s">
        <v>28</v>
      </c>
      <c r="I142" s="382">
        <f>IF($H142="no",1,IFERROR(VLOOKUP(info_st,Ranges!$DZ:$ED,IF($H142=Ranges!$EC$5,4,2),FALSE),Ranges!EA$6))</f>
        <v>1</v>
      </c>
      <c r="J142" s="382">
        <f>IF($H142="no",1,IFERROR(VLOOKUP(info_st,Ranges!$DZ:$ED,IF($H142=Ranges!$EC$5,5,3),FALSE),Ranges!EB$6))</f>
        <v>1</v>
      </c>
      <c r="K142" s="383">
        <f t="shared" si="15"/>
        <v>1</v>
      </c>
      <c r="L142" s="90">
        <f t="shared" si="16"/>
        <v>0</v>
      </c>
      <c r="M142" s="587" t="str">
        <f>IF(info_st="nj",INDEX(Ranges!$DU$25:$DW$32,MATCH(U142,Ranges!$DV$25:$DV$32,1),1),INDEX(Ranges!$DU$5:$DW$14,MATCH(U142,Ranges!$DV$5:$DV$14,1),1))</f>
        <v>eight or more</v>
      </c>
      <c r="N142" s="587"/>
      <c r="O142" s="228">
        <f>IF(info_st="nj",VLOOKUP(M142,Ranges!$DU$25:$DW$32,3,FALSE),VLOOKUP(M142,Ranges!$DU$5:$DW$14,3,FALSE))</f>
        <v>2.8</v>
      </c>
      <c r="Q142" s="4" t="b">
        <f>IF(info_admit=Ranges!$U$7,FALSE,D142&lt;=$E$58)</f>
        <v>0</v>
      </c>
      <c r="R142" s="121">
        <f t="shared" si="5"/>
        <v>0</v>
      </c>
      <c r="S142" s="115">
        <f t="shared" si="18"/>
        <v>0</v>
      </c>
      <c r="T142" s="122">
        <f>IF($C142=1,IF($H142=Ranges!$EC$5,1,0),0)</f>
        <v>0</v>
      </c>
      <c r="U142" s="242">
        <f t="shared" si="17"/>
        <v>120</v>
      </c>
    </row>
    <row r="143" spans="3:21" s="4" customFormat="1" hidden="1">
      <c r="C143" s="155">
        <f t="shared" si="14"/>
        <v>0</v>
      </c>
      <c r="D143" s="238">
        <f t="shared" si="7"/>
        <v>84</v>
      </c>
      <c r="E143" s="586"/>
      <c r="F143" s="586"/>
      <c r="G143" s="586"/>
      <c r="H143" s="61" t="s">
        <v>28</v>
      </c>
      <c r="I143" s="382">
        <f>IF($H143="no",1,IFERROR(VLOOKUP(info_st,Ranges!$DZ:$ED,IF($H143=Ranges!$EC$5,4,2),FALSE),Ranges!EA$6))</f>
        <v>1</v>
      </c>
      <c r="J143" s="382">
        <f>IF($H143="no",1,IFERROR(VLOOKUP(info_st,Ranges!$DZ:$ED,IF($H143=Ranges!$EC$5,5,3),FALSE),Ranges!EB$6))</f>
        <v>1</v>
      </c>
      <c r="K143" s="383">
        <f t="shared" si="15"/>
        <v>1</v>
      </c>
      <c r="L143" s="90">
        <f t="shared" si="16"/>
        <v>0</v>
      </c>
      <c r="M143" s="587" t="str">
        <f>IF(info_st="nj",INDEX(Ranges!$DU$25:$DW$32,MATCH(U143,Ranges!$DV$25:$DV$32,1),1),INDEX(Ranges!$DU$5:$DW$14,MATCH(U143,Ranges!$DV$5:$DV$14,1),1))</f>
        <v>eight or more</v>
      </c>
      <c r="N143" s="587"/>
      <c r="O143" s="228">
        <f>IF(info_st="nj",VLOOKUP(M143,Ranges!$DU$25:$DW$32,3,FALSE),VLOOKUP(M143,Ranges!$DU$5:$DW$14,3,FALSE))</f>
        <v>2.8</v>
      </c>
      <c r="Q143" s="4" t="b">
        <f>IF(info_admit=Ranges!$U$7,FALSE,D143&lt;=$E$58)</f>
        <v>0</v>
      </c>
      <c r="R143" s="121">
        <f t="shared" si="5"/>
        <v>0</v>
      </c>
      <c r="S143" s="115">
        <f t="shared" si="18"/>
        <v>0</v>
      </c>
      <c r="T143" s="122">
        <f>IF($C143=1,IF($H143=Ranges!$EC$5,1,0),0)</f>
        <v>0</v>
      </c>
      <c r="U143" s="242">
        <f t="shared" si="17"/>
        <v>120</v>
      </c>
    </row>
    <row r="144" spans="3:21" s="4" customFormat="1" hidden="1">
      <c r="C144" s="155">
        <f t="shared" si="14"/>
        <v>0</v>
      </c>
      <c r="D144" s="238">
        <f t="shared" si="7"/>
        <v>85</v>
      </c>
      <c r="E144" s="586"/>
      <c r="F144" s="586"/>
      <c r="G144" s="586"/>
      <c r="H144" s="61" t="s">
        <v>28</v>
      </c>
      <c r="I144" s="382">
        <f>IF($H144="no",1,IFERROR(VLOOKUP(info_st,Ranges!$DZ:$ED,IF($H144=Ranges!$EC$5,4,2),FALSE),Ranges!EA$6))</f>
        <v>1</v>
      </c>
      <c r="J144" s="382">
        <f>IF($H144="no",1,IFERROR(VLOOKUP(info_st,Ranges!$DZ:$ED,IF($H144=Ranges!$EC$5,5,3),FALSE),Ranges!EB$6))</f>
        <v>1</v>
      </c>
      <c r="K144" s="383">
        <f t="shared" si="15"/>
        <v>1</v>
      </c>
      <c r="L144" s="90">
        <f t="shared" si="16"/>
        <v>0</v>
      </c>
      <c r="M144" s="587" t="str">
        <f>IF(info_st="nj",INDEX(Ranges!$DU$25:$DW$32,MATCH(U144,Ranges!$DV$25:$DV$32,1),1),INDEX(Ranges!$DU$5:$DW$14,MATCH(U144,Ranges!$DV$5:$DV$14,1),1))</f>
        <v>eight or more</v>
      </c>
      <c r="N144" s="587"/>
      <c r="O144" s="228">
        <f>IF(info_st="nj",VLOOKUP(M144,Ranges!$DU$25:$DW$32,3,FALSE),VLOOKUP(M144,Ranges!$DU$5:$DW$14,3,FALSE))</f>
        <v>2.8</v>
      </c>
      <c r="Q144" s="4" t="b">
        <f>IF(info_admit=Ranges!$U$7,FALSE,D144&lt;=$E$58)</f>
        <v>0</v>
      </c>
      <c r="R144" s="121">
        <f t="shared" si="5"/>
        <v>0</v>
      </c>
      <c r="S144" s="115">
        <f t="shared" si="18"/>
        <v>0</v>
      </c>
      <c r="T144" s="122">
        <f>IF($C144=1,IF($H144=Ranges!$EC$5,1,0),0)</f>
        <v>0</v>
      </c>
      <c r="U144" s="242">
        <f t="shared" si="17"/>
        <v>120</v>
      </c>
    </row>
    <row r="145" spans="3:26" s="4" customFormat="1" hidden="1">
      <c r="C145" s="155">
        <f t="shared" si="14"/>
        <v>0</v>
      </c>
      <c r="D145" s="238">
        <f t="shared" si="7"/>
        <v>86</v>
      </c>
      <c r="E145" s="586"/>
      <c r="F145" s="586"/>
      <c r="G145" s="586"/>
      <c r="H145" s="61" t="s">
        <v>28</v>
      </c>
      <c r="I145" s="382">
        <f>IF($H145="no",1,IFERROR(VLOOKUP(info_st,Ranges!$DZ:$ED,IF($H145=Ranges!$EC$5,4,2),FALSE),Ranges!EA$6))</f>
        <v>1</v>
      </c>
      <c r="J145" s="382">
        <f>IF($H145="no",1,IFERROR(VLOOKUP(info_st,Ranges!$DZ:$ED,IF($H145=Ranges!$EC$5,5,3),FALSE),Ranges!EB$6))</f>
        <v>1</v>
      </c>
      <c r="K145" s="383">
        <f t="shared" si="15"/>
        <v>1</v>
      </c>
      <c r="L145" s="90">
        <f t="shared" si="16"/>
        <v>0</v>
      </c>
      <c r="M145" s="587" t="str">
        <f>IF(info_st="nj",INDEX(Ranges!$DU$25:$DW$32,MATCH(U145,Ranges!$DV$25:$DV$32,1),1),INDEX(Ranges!$DU$5:$DW$14,MATCH(U145,Ranges!$DV$5:$DV$14,1),1))</f>
        <v>eight or more</v>
      </c>
      <c r="N145" s="587"/>
      <c r="O145" s="228">
        <f>IF(info_st="nj",VLOOKUP(M145,Ranges!$DU$25:$DW$32,3,FALSE),VLOOKUP(M145,Ranges!$DU$5:$DW$14,3,FALSE))</f>
        <v>2.8</v>
      </c>
      <c r="Q145" s="4" t="b">
        <f>IF(info_admit=Ranges!$U$7,FALSE,D145&lt;=$E$58)</f>
        <v>0</v>
      </c>
      <c r="R145" s="121">
        <f t="shared" si="5"/>
        <v>0</v>
      </c>
      <c r="S145" s="115">
        <f t="shared" si="18"/>
        <v>0</v>
      </c>
      <c r="T145" s="122">
        <f>IF($C145=1,IF($H145=Ranges!$EC$5,1,0),0)</f>
        <v>0</v>
      </c>
      <c r="U145" s="242">
        <f t="shared" si="17"/>
        <v>120</v>
      </c>
    </row>
    <row r="146" spans="3:26" s="4" customFormat="1" hidden="1">
      <c r="C146" s="155">
        <f t="shared" si="14"/>
        <v>0</v>
      </c>
      <c r="D146" s="238">
        <f t="shared" si="7"/>
        <v>87</v>
      </c>
      <c r="E146" s="586"/>
      <c r="F146" s="586"/>
      <c r="G146" s="586"/>
      <c r="H146" s="61" t="s">
        <v>28</v>
      </c>
      <c r="I146" s="382">
        <f>IF($H146="no",1,IFERROR(VLOOKUP(info_st,Ranges!$DZ:$ED,IF($H146=Ranges!$EC$5,4,2),FALSE),Ranges!EA$6))</f>
        <v>1</v>
      </c>
      <c r="J146" s="382">
        <f>IF($H146="no",1,IFERROR(VLOOKUP(info_st,Ranges!$DZ:$ED,IF($H146=Ranges!$EC$5,5,3),FALSE),Ranges!EB$6))</f>
        <v>1</v>
      </c>
      <c r="K146" s="383">
        <f t="shared" si="15"/>
        <v>1</v>
      </c>
      <c r="L146" s="90">
        <f t="shared" si="16"/>
        <v>0</v>
      </c>
      <c r="M146" s="587" t="str">
        <f>IF(info_st="nj",INDEX(Ranges!$DU$25:$DW$32,MATCH(U146,Ranges!$DV$25:$DV$32,1),1),INDEX(Ranges!$DU$5:$DW$14,MATCH(U146,Ranges!$DV$5:$DV$14,1),1))</f>
        <v>eight or more</v>
      </c>
      <c r="N146" s="587"/>
      <c r="O146" s="228">
        <f>IF(info_st="nj",VLOOKUP(M146,Ranges!$DU$25:$DW$32,3,FALSE),VLOOKUP(M146,Ranges!$DU$5:$DW$14,3,FALSE))</f>
        <v>2.8</v>
      </c>
      <c r="Q146" s="4" t="b">
        <f>IF(info_admit=Ranges!$U$7,FALSE,D146&lt;=$E$58)</f>
        <v>0</v>
      </c>
      <c r="R146" s="121">
        <f t="shared" si="5"/>
        <v>0</v>
      </c>
      <c r="S146" s="115">
        <f t="shared" si="18"/>
        <v>0</v>
      </c>
      <c r="T146" s="122">
        <f>IF($C146=1,IF($H146=Ranges!$EC$5,1,0),0)</f>
        <v>0</v>
      </c>
      <c r="U146" s="242">
        <f t="shared" si="17"/>
        <v>120</v>
      </c>
    </row>
    <row r="147" spans="3:26" s="4" customFormat="1" hidden="1">
      <c r="C147" s="155">
        <f t="shared" si="14"/>
        <v>0</v>
      </c>
      <c r="D147" s="238">
        <f t="shared" si="7"/>
        <v>88</v>
      </c>
      <c r="E147" s="586"/>
      <c r="F147" s="586"/>
      <c r="G147" s="586"/>
      <c r="H147" s="61" t="s">
        <v>28</v>
      </c>
      <c r="I147" s="382">
        <f>IF($H147="no",1,IFERROR(VLOOKUP(info_st,Ranges!$DZ:$ED,IF($H147=Ranges!$EC$5,4,2),FALSE),Ranges!EA$6))</f>
        <v>1</v>
      </c>
      <c r="J147" s="382">
        <f>IF($H147="no",1,IFERROR(VLOOKUP(info_st,Ranges!$DZ:$ED,IF($H147=Ranges!$EC$5,5,3),FALSE),Ranges!EB$6))</f>
        <v>1</v>
      </c>
      <c r="K147" s="383">
        <f t="shared" si="15"/>
        <v>1</v>
      </c>
      <c r="L147" s="90">
        <f t="shared" si="16"/>
        <v>0</v>
      </c>
      <c r="M147" s="587" t="str">
        <f>IF(info_st="nj",INDEX(Ranges!$DU$25:$DW$32,MATCH(U147,Ranges!$DV$25:$DV$32,1),1),INDEX(Ranges!$DU$5:$DW$14,MATCH(U147,Ranges!$DV$5:$DV$14,1),1))</f>
        <v>eight or more</v>
      </c>
      <c r="N147" s="587"/>
      <c r="O147" s="228">
        <f>IF(info_st="nj",VLOOKUP(M147,Ranges!$DU$25:$DW$32,3,FALSE),VLOOKUP(M147,Ranges!$DU$5:$DW$14,3,FALSE))</f>
        <v>2.8</v>
      </c>
      <c r="Q147" s="4" t="b">
        <f>IF(info_admit=Ranges!$U$7,FALSE,D147&lt;=$E$58)</f>
        <v>0</v>
      </c>
      <c r="R147" s="121">
        <f t="shared" si="5"/>
        <v>0</v>
      </c>
      <c r="S147" s="115">
        <f t="shared" si="18"/>
        <v>0</v>
      </c>
      <c r="T147" s="122">
        <f>IF($C147=1,IF($H147=Ranges!$EC$5,1,0),0)</f>
        <v>0</v>
      </c>
      <c r="U147" s="242">
        <f t="shared" si="17"/>
        <v>120</v>
      </c>
    </row>
    <row r="148" spans="3:26" s="4" customFormat="1" hidden="1">
      <c r="C148" s="155">
        <f t="shared" si="14"/>
        <v>0</v>
      </c>
      <c r="D148" s="238">
        <f t="shared" si="7"/>
        <v>89</v>
      </c>
      <c r="E148" s="586"/>
      <c r="F148" s="586"/>
      <c r="G148" s="586"/>
      <c r="H148" s="61" t="s">
        <v>28</v>
      </c>
      <c r="I148" s="382">
        <f>IF($H148="no",1,IFERROR(VLOOKUP(info_st,Ranges!$DZ:$ED,IF($H148=Ranges!$EC$5,4,2),FALSE),Ranges!EA$6))</f>
        <v>1</v>
      </c>
      <c r="J148" s="382">
        <f>IF($H148="no",1,IFERROR(VLOOKUP(info_st,Ranges!$DZ:$ED,IF($H148=Ranges!$EC$5,5,3),FALSE),Ranges!EB$6))</f>
        <v>1</v>
      </c>
      <c r="K148" s="383">
        <f t="shared" si="15"/>
        <v>1</v>
      </c>
      <c r="L148" s="90">
        <f t="shared" si="16"/>
        <v>0</v>
      </c>
      <c r="M148" s="587" t="str">
        <f>IF(info_st="nj",INDEX(Ranges!$DU$25:$DW$32,MATCH(U148,Ranges!$DV$25:$DV$32,1),1),INDEX(Ranges!$DU$5:$DW$14,MATCH(U148,Ranges!$DV$5:$DV$14,1),1))</f>
        <v>eight or more</v>
      </c>
      <c r="N148" s="587"/>
      <c r="O148" s="228">
        <f>IF(info_st="nj",VLOOKUP(M148,Ranges!$DU$25:$DW$32,3,FALSE),VLOOKUP(M148,Ranges!$DU$5:$DW$14,3,FALSE))</f>
        <v>2.8</v>
      </c>
      <c r="Q148" s="4" t="b">
        <f>IF(info_admit=Ranges!$U$7,FALSE,D148&lt;=$E$58)</f>
        <v>0</v>
      </c>
      <c r="R148" s="121">
        <f t="shared" si="5"/>
        <v>0</v>
      </c>
      <c r="S148" s="115">
        <f t="shared" si="18"/>
        <v>0</v>
      </c>
      <c r="T148" s="122">
        <f>IF($C148=1,IF($H148=Ranges!$EC$5,1,0),0)</f>
        <v>0</v>
      </c>
      <c r="U148" s="242">
        <f t="shared" si="17"/>
        <v>120</v>
      </c>
    </row>
    <row r="149" spans="3:26" s="4" customFormat="1" hidden="1">
      <c r="C149" s="155">
        <f t="shared" si="14"/>
        <v>0</v>
      </c>
      <c r="D149" s="238">
        <f t="shared" si="7"/>
        <v>90</v>
      </c>
      <c r="E149" s="586"/>
      <c r="F149" s="586"/>
      <c r="G149" s="586"/>
      <c r="H149" s="61" t="s">
        <v>28</v>
      </c>
      <c r="I149" s="382">
        <f>IF($H149="no",1,IFERROR(VLOOKUP(info_st,Ranges!$DZ:$ED,IF($H149=Ranges!$EC$5,4,2),FALSE),Ranges!EA$6))</f>
        <v>1</v>
      </c>
      <c r="J149" s="382">
        <f>IF($H149="no",1,IFERROR(VLOOKUP(info_st,Ranges!$DZ:$ED,IF($H149=Ranges!$EC$5,5,3),FALSE),Ranges!EB$6))</f>
        <v>1</v>
      </c>
      <c r="K149" s="383">
        <f t="shared" si="15"/>
        <v>1</v>
      </c>
      <c r="L149" s="90">
        <f t="shared" si="16"/>
        <v>0</v>
      </c>
      <c r="M149" s="587" t="str">
        <f>IF(info_st="nj",INDEX(Ranges!$DU$25:$DW$32,MATCH(U149,Ranges!$DV$25:$DV$32,1),1),INDEX(Ranges!$DU$5:$DW$14,MATCH(U149,Ranges!$DV$5:$DV$14,1),1))</f>
        <v>eight or more</v>
      </c>
      <c r="N149" s="587"/>
      <c r="O149" s="228">
        <f>IF(info_st="nj",VLOOKUP(M149,Ranges!$DU$25:$DW$32,3,FALSE),VLOOKUP(M149,Ranges!$DU$5:$DW$14,3,FALSE))</f>
        <v>2.8</v>
      </c>
      <c r="Q149" s="4" t="b">
        <f>IF(info_admit=Ranges!$U$7,FALSE,D149&lt;=$E$58)</f>
        <v>0</v>
      </c>
      <c r="R149" s="121">
        <f t="shared" si="5"/>
        <v>0</v>
      </c>
      <c r="S149" s="115">
        <f t="shared" si="18"/>
        <v>0</v>
      </c>
      <c r="T149" s="122">
        <f>IF($C149=1,IF($H149=Ranges!$EC$5,1,0),0)</f>
        <v>0</v>
      </c>
      <c r="U149" s="242">
        <f t="shared" si="17"/>
        <v>120</v>
      </c>
    </row>
    <row r="150" spans="3:26" s="4" customFormat="1" hidden="1">
      <c r="C150" s="155">
        <f t="shared" si="10"/>
        <v>0</v>
      </c>
      <c r="D150" s="238">
        <f t="shared" si="7"/>
        <v>91</v>
      </c>
      <c r="E150" s="586"/>
      <c r="F150" s="586"/>
      <c r="G150" s="586"/>
      <c r="H150" s="61" t="s">
        <v>28</v>
      </c>
      <c r="I150" s="382">
        <f>IF($H150="no",1,IFERROR(VLOOKUP(info_st,Ranges!$DZ:$ED,IF($H150=Ranges!$EC$5,4,2),FALSE),Ranges!EA$6))</f>
        <v>1</v>
      </c>
      <c r="J150" s="382">
        <f>IF($H150="no",1,IFERROR(VLOOKUP(info_st,Ranges!$DZ:$ED,IF($H150=Ranges!$EC$5,5,3),FALSE),Ranges!EB$6))</f>
        <v>1</v>
      </c>
      <c r="K150" s="383">
        <f t="shared" si="15"/>
        <v>1</v>
      </c>
      <c r="L150" s="90">
        <f t="shared" si="16"/>
        <v>0</v>
      </c>
      <c r="M150" s="587" t="str">
        <f>IF(info_st="nj",INDEX(Ranges!$DU$25:$DW$32,MATCH(U150,Ranges!$DV$25:$DV$32,1),1),INDEX(Ranges!$DU$5:$DW$14,MATCH(U150,Ranges!$DV$5:$DV$14,1),1))</f>
        <v>eight or more</v>
      </c>
      <c r="N150" s="587"/>
      <c r="O150" s="228">
        <f>IF(info_st="nj",VLOOKUP(M150,Ranges!$DU$25:$DW$32,3,FALSE),VLOOKUP(M150,Ranges!$DU$5:$DW$14,3,FALSE))</f>
        <v>2.8</v>
      </c>
      <c r="Q150" s="4" t="b">
        <f>IF(info_admit=Ranges!$U$7,FALSE,D150&lt;=$E$58)</f>
        <v>0</v>
      </c>
      <c r="R150" s="121">
        <f t="shared" si="5"/>
        <v>0</v>
      </c>
      <c r="S150" s="115">
        <f t="shared" si="18"/>
        <v>0</v>
      </c>
      <c r="T150" s="122">
        <f>IF($C150=1,IF($H150=Ranges!$EC$5,1,0),0)</f>
        <v>0</v>
      </c>
      <c r="U150" s="242">
        <f t="shared" si="17"/>
        <v>120</v>
      </c>
    </row>
    <row r="151" spans="3:26" s="4" customFormat="1" hidden="1">
      <c r="C151" s="155">
        <f t="shared" si="10"/>
        <v>0</v>
      </c>
      <c r="D151" s="238">
        <f t="shared" si="7"/>
        <v>92</v>
      </c>
      <c r="E151" s="586"/>
      <c r="F151" s="586"/>
      <c r="G151" s="586"/>
      <c r="H151" s="61" t="s">
        <v>28</v>
      </c>
      <c r="I151" s="382">
        <f>IF($H151="no",1,IFERROR(VLOOKUP(info_st,Ranges!$DZ:$ED,IF($H151=Ranges!$EC$5,4,2),FALSE),Ranges!EA$6))</f>
        <v>1</v>
      </c>
      <c r="J151" s="382">
        <f>IF($H151="no",1,IFERROR(VLOOKUP(info_st,Ranges!$DZ:$ED,IF($H151=Ranges!$EC$5,5,3),FALSE),Ranges!EB$6))</f>
        <v>1</v>
      </c>
      <c r="K151" s="383">
        <f t="shared" si="15"/>
        <v>1</v>
      </c>
      <c r="L151" s="90">
        <f t="shared" si="16"/>
        <v>0</v>
      </c>
      <c r="M151" s="587" t="str">
        <f>IF(info_st="nj",INDEX(Ranges!$DU$25:$DW$32,MATCH(U151,Ranges!$DV$25:$DV$32,1),1),INDEX(Ranges!$DU$5:$DW$14,MATCH(U151,Ranges!$DV$5:$DV$14,1),1))</f>
        <v>eight or more</v>
      </c>
      <c r="N151" s="587"/>
      <c r="O151" s="228">
        <f>IF(info_st="nj",VLOOKUP(M151,Ranges!$DU$25:$DW$32,3,FALSE),VLOOKUP(M151,Ranges!$DU$5:$DW$14,3,FALSE))</f>
        <v>2.8</v>
      </c>
      <c r="Q151" s="4" t="b">
        <f>IF(info_admit=Ranges!$U$7,FALSE,D151&lt;=$E$58)</f>
        <v>0</v>
      </c>
      <c r="R151" s="121">
        <f t="shared" si="5"/>
        <v>0</v>
      </c>
      <c r="S151" s="115">
        <f t="shared" si="18"/>
        <v>0</v>
      </c>
      <c r="T151" s="122">
        <f>IF($C151=1,IF($H151=Ranges!$EC$5,1,0),0)</f>
        <v>0</v>
      </c>
      <c r="U151" s="242">
        <f t="shared" si="17"/>
        <v>120</v>
      </c>
    </row>
    <row r="152" spans="3:26" s="4" customFormat="1" hidden="1">
      <c r="C152" s="155">
        <f t="shared" si="10"/>
        <v>0</v>
      </c>
      <c r="D152" s="238">
        <f t="shared" si="7"/>
        <v>93</v>
      </c>
      <c r="E152" s="586"/>
      <c r="F152" s="586"/>
      <c r="G152" s="586"/>
      <c r="H152" s="61" t="s">
        <v>28</v>
      </c>
      <c r="I152" s="382">
        <f>IF($H152="no",1,IFERROR(VLOOKUP(info_st,Ranges!$DZ:$ED,IF($H152=Ranges!$EC$5,4,2),FALSE),Ranges!EA$6))</f>
        <v>1</v>
      </c>
      <c r="J152" s="382">
        <f>IF($H152="no",1,IFERROR(VLOOKUP(info_st,Ranges!$DZ:$ED,IF($H152=Ranges!$EC$5,5,3),FALSE),Ranges!EB$6))</f>
        <v>1</v>
      </c>
      <c r="K152" s="383">
        <f t="shared" si="15"/>
        <v>1</v>
      </c>
      <c r="L152" s="90">
        <f t="shared" si="16"/>
        <v>0</v>
      </c>
      <c r="M152" s="587" t="str">
        <f>IF(info_st="nj",INDEX(Ranges!$DU$25:$DW$32,MATCH(U152,Ranges!$DV$25:$DV$32,1),1),INDEX(Ranges!$DU$5:$DW$14,MATCH(U152,Ranges!$DV$5:$DV$14,1),1))</f>
        <v>eight or more</v>
      </c>
      <c r="N152" s="587"/>
      <c r="O152" s="228">
        <f>IF(info_st="nj",VLOOKUP(M152,Ranges!$DU$25:$DW$32,3,FALSE),VLOOKUP(M152,Ranges!$DU$5:$DW$14,3,FALSE))</f>
        <v>2.8</v>
      </c>
      <c r="Q152" s="4" t="b">
        <f>IF(info_admit=Ranges!$U$7,FALSE,D152&lt;=$E$58)</f>
        <v>0</v>
      </c>
      <c r="R152" s="121">
        <f t="shared" si="5"/>
        <v>0</v>
      </c>
      <c r="S152" s="115">
        <f t="shared" si="18"/>
        <v>0</v>
      </c>
      <c r="T152" s="122">
        <f>IF($C152=1,IF($H152=Ranges!$EC$5,1,0),0)</f>
        <v>0</v>
      </c>
      <c r="U152" s="242">
        <f t="shared" si="17"/>
        <v>120</v>
      </c>
    </row>
    <row r="153" spans="3:26" s="4" customFormat="1" hidden="1">
      <c r="C153" s="155">
        <f t="shared" si="10"/>
        <v>0</v>
      </c>
      <c r="D153" s="238">
        <f t="shared" si="7"/>
        <v>94</v>
      </c>
      <c r="E153" s="586"/>
      <c r="F153" s="586"/>
      <c r="G153" s="586"/>
      <c r="H153" s="61" t="s">
        <v>28</v>
      </c>
      <c r="I153" s="382">
        <f>IF($H153="no",1,IFERROR(VLOOKUP(info_st,Ranges!$DZ:$ED,IF($H153=Ranges!$EC$5,4,2),FALSE),Ranges!EA$6))</f>
        <v>1</v>
      </c>
      <c r="J153" s="382">
        <f>IF($H153="no",1,IFERROR(VLOOKUP(info_st,Ranges!$DZ:$ED,IF($H153=Ranges!$EC$5,5,3),FALSE),Ranges!EB$6))</f>
        <v>1</v>
      </c>
      <c r="K153" s="383">
        <f t="shared" si="15"/>
        <v>1</v>
      </c>
      <c r="L153" s="90">
        <f t="shared" si="16"/>
        <v>0</v>
      </c>
      <c r="M153" s="587" t="str">
        <f>IF(info_st="nj",INDEX(Ranges!$DU$25:$DW$32,MATCH(U153,Ranges!$DV$25:$DV$32,1),1),INDEX(Ranges!$DU$5:$DW$14,MATCH(U153,Ranges!$DV$5:$DV$14,1),1))</f>
        <v>eight or more</v>
      </c>
      <c r="N153" s="587"/>
      <c r="O153" s="228">
        <f>IF(info_st="nj",VLOOKUP(M153,Ranges!$DU$25:$DW$32,3,FALSE),VLOOKUP(M153,Ranges!$DU$5:$DW$14,3,FALSE))</f>
        <v>2.8</v>
      </c>
      <c r="Q153" s="4" t="b">
        <f>IF(info_admit=Ranges!$U$7,FALSE,D153&lt;=$E$58)</f>
        <v>0</v>
      </c>
      <c r="R153" s="121">
        <f t="shared" si="5"/>
        <v>0</v>
      </c>
      <c r="S153" s="115">
        <f t="shared" si="18"/>
        <v>0</v>
      </c>
      <c r="T153" s="122">
        <f>IF($C153=1,IF($H153=Ranges!$EC$5,1,0),0)</f>
        <v>0</v>
      </c>
      <c r="U153" s="242">
        <f t="shared" si="17"/>
        <v>120</v>
      </c>
    </row>
    <row r="154" spans="3:26" s="4" customFormat="1" hidden="1">
      <c r="C154" s="155">
        <f t="shared" si="10"/>
        <v>0</v>
      </c>
      <c r="D154" s="238">
        <f t="shared" si="7"/>
        <v>95</v>
      </c>
      <c r="E154" s="586"/>
      <c r="F154" s="586"/>
      <c r="G154" s="586"/>
      <c r="H154" s="61" t="s">
        <v>28</v>
      </c>
      <c r="I154" s="382">
        <f>IF($H154="no",1,IFERROR(VLOOKUP(info_st,Ranges!$DZ:$ED,IF($H154=Ranges!$EC$5,4,2),FALSE),Ranges!EA$6))</f>
        <v>1</v>
      </c>
      <c r="J154" s="382">
        <f>IF($H154="no",1,IFERROR(VLOOKUP(info_st,Ranges!$DZ:$ED,IF($H154=Ranges!$EC$5,5,3),FALSE),Ranges!EB$6))</f>
        <v>1</v>
      </c>
      <c r="K154" s="383">
        <f t="shared" si="15"/>
        <v>1</v>
      </c>
      <c r="L154" s="90">
        <f t="shared" si="16"/>
        <v>0</v>
      </c>
      <c r="M154" s="587" t="str">
        <f>IF(info_st="nj",INDEX(Ranges!$DU$25:$DW$32,MATCH(U154,Ranges!$DV$25:$DV$32,1),1),INDEX(Ranges!$DU$5:$DW$14,MATCH(U154,Ranges!$DV$5:$DV$14,1),1))</f>
        <v>eight or more</v>
      </c>
      <c r="N154" s="587"/>
      <c r="O154" s="228">
        <f>IF(info_st="nj",VLOOKUP(M154,Ranges!$DU$25:$DW$32,3,FALSE),VLOOKUP(M154,Ranges!$DU$5:$DW$14,3,FALSE))</f>
        <v>2.8</v>
      </c>
      <c r="Q154" s="4" t="b">
        <f>IF(info_admit=Ranges!$U$7,FALSE,D154&lt;=$E$58)</f>
        <v>0</v>
      </c>
      <c r="R154" s="121">
        <f t="shared" si="5"/>
        <v>0</v>
      </c>
      <c r="S154" s="115">
        <f t="shared" si="18"/>
        <v>0</v>
      </c>
      <c r="T154" s="122">
        <f>IF($C154=1,IF($H154=Ranges!$EC$5,1,0),0)</f>
        <v>0</v>
      </c>
      <c r="U154" s="242">
        <f t="shared" si="17"/>
        <v>120</v>
      </c>
    </row>
    <row r="155" spans="3:26" s="4" customFormat="1" hidden="1">
      <c r="C155" s="155">
        <f t="shared" si="10"/>
        <v>0</v>
      </c>
      <c r="D155" s="238">
        <f t="shared" si="7"/>
        <v>96</v>
      </c>
      <c r="E155" s="586"/>
      <c r="F155" s="586"/>
      <c r="G155" s="586"/>
      <c r="H155" s="61" t="s">
        <v>28</v>
      </c>
      <c r="I155" s="382">
        <f>IF($H155="no",1,IFERROR(VLOOKUP(info_st,Ranges!$DZ:$ED,IF($H155=Ranges!$EC$5,4,2),FALSE),Ranges!EA$6))</f>
        <v>1</v>
      </c>
      <c r="J155" s="382">
        <f>IF($H155="no",1,IFERROR(VLOOKUP(info_st,Ranges!$DZ:$ED,IF($H155=Ranges!$EC$5,5,3),FALSE),Ranges!EB$6))</f>
        <v>1</v>
      </c>
      <c r="K155" s="383">
        <f t="shared" si="15"/>
        <v>1</v>
      </c>
      <c r="L155" s="90">
        <f t="shared" si="16"/>
        <v>0</v>
      </c>
      <c r="M155" s="587" t="str">
        <f>IF(info_st="nj",INDEX(Ranges!$DU$25:$DW$32,MATCH(U155,Ranges!$DV$25:$DV$32,1),1),INDEX(Ranges!$DU$5:$DW$14,MATCH(U155,Ranges!$DV$5:$DV$14,1),1))</f>
        <v>eight or more</v>
      </c>
      <c r="N155" s="587"/>
      <c r="O155" s="228">
        <f>IF(info_st="nj",VLOOKUP(M155,Ranges!$DU$25:$DW$32,3,FALSE),VLOOKUP(M155,Ranges!$DU$5:$DW$14,3,FALSE))</f>
        <v>2.8</v>
      </c>
      <c r="Q155" s="4" t="b">
        <f>IF(info_admit=Ranges!$U$7,FALSE,D155&lt;=$E$58)</f>
        <v>0</v>
      </c>
      <c r="R155" s="121">
        <f t="shared" si="5"/>
        <v>0</v>
      </c>
      <c r="S155" s="115">
        <f t="shared" si="18"/>
        <v>0</v>
      </c>
      <c r="T155" s="122">
        <f>IF($C155=1,IF($H155=Ranges!$EC$5,1,0),0)</f>
        <v>0</v>
      </c>
      <c r="U155" s="242">
        <f t="shared" si="17"/>
        <v>120</v>
      </c>
    </row>
    <row r="156" spans="3:26" s="4" customFormat="1" hidden="1">
      <c r="C156" s="155">
        <f t="shared" si="10"/>
        <v>0</v>
      </c>
      <c r="D156" s="238">
        <f t="shared" si="7"/>
        <v>97</v>
      </c>
      <c r="E156" s="586"/>
      <c r="F156" s="586"/>
      <c r="G156" s="586"/>
      <c r="H156" s="61" t="s">
        <v>28</v>
      </c>
      <c r="I156" s="382">
        <f>IF($H156="no",1,IFERROR(VLOOKUP(info_st,Ranges!$DZ:$ED,IF($H156=Ranges!$EC$5,4,2),FALSE),Ranges!EA$6))</f>
        <v>1</v>
      </c>
      <c r="J156" s="382">
        <f>IF($H156="no",1,IFERROR(VLOOKUP(info_st,Ranges!$DZ:$ED,IF($H156=Ranges!$EC$5,5,3),FALSE),Ranges!EB$6))</f>
        <v>1</v>
      </c>
      <c r="K156" s="383">
        <f t="shared" si="15"/>
        <v>1</v>
      </c>
      <c r="L156" s="90">
        <f t="shared" si="16"/>
        <v>0</v>
      </c>
      <c r="M156" s="587" t="str">
        <f>IF(info_st="nj",INDEX(Ranges!$DU$25:$DW$32,MATCH(U156,Ranges!$DV$25:$DV$32,1),1),INDEX(Ranges!$DU$5:$DW$14,MATCH(U156,Ranges!$DV$5:$DV$14,1),1))</f>
        <v>eight or more</v>
      </c>
      <c r="N156" s="587"/>
      <c r="O156" s="228">
        <f>IF(info_st="nj",VLOOKUP(M156,Ranges!$DU$25:$DW$32,3,FALSE),VLOOKUP(M156,Ranges!$DU$5:$DW$14,3,FALSE))</f>
        <v>2.8</v>
      </c>
      <c r="Q156" s="4" t="b">
        <f>IF(info_admit=Ranges!$U$7,FALSE,D156&lt;=$E$58)</f>
        <v>0</v>
      </c>
      <c r="R156" s="121">
        <f t="shared" si="5"/>
        <v>0</v>
      </c>
      <c r="S156" s="115">
        <f t="shared" si="18"/>
        <v>0</v>
      </c>
      <c r="T156" s="122">
        <f>IF($C156=1,IF($H156=Ranges!$EC$5,1,0),0)</f>
        <v>0</v>
      </c>
      <c r="U156" s="242">
        <f t="shared" si="17"/>
        <v>120</v>
      </c>
    </row>
    <row r="157" spans="3:26" s="4" customFormat="1" hidden="1">
      <c r="C157" s="155">
        <f t="shared" si="10"/>
        <v>0</v>
      </c>
      <c r="D157" s="238">
        <f t="shared" si="7"/>
        <v>98</v>
      </c>
      <c r="E157" s="586"/>
      <c r="F157" s="586"/>
      <c r="G157" s="586"/>
      <c r="H157" s="61" t="s">
        <v>28</v>
      </c>
      <c r="I157" s="382">
        <f>IF($H157="no",1,IFERROR(VLOOKUP(info_st,Ranges!$DZ:$ED,IF($H157=Ranges!$EC$5,4,2),FALSE),Ranges!EA$6))</f>
        <v>1</v>
      </c>
      <c r="J157" s="382">
        <f>IF($H157="no",1,IFERROR(VLOOKUP(info_st,Ranges!$DZ:$ED,IF($H157=Ranges!$EC$5,5,3),FALSE),Ranges!EB$6))</f>
        <v>1</v>
      </c>
      <c r="K157" s="383">
        <f t="shared" si="15"/>
        <v>1</v>
      </c>
      <c r="L157" s="90">
        <f t="shared" si="16"/>
        <v>0</v>
      </c>
      <c r="M157" s="587" t="str">
        <f>IF(info_st="nj",INDEX(Ranges!$DU$25:$DW$32,MATCH(U157,Ranges!$DV$25:$DV$32,1),1),INDEX(Ranges!$DU$5:$DW$14,MATCH(U157,Ranges!$DV$5:$DV$14,1),1))</f>
        <v>eight or more</v>
      </c>
      <c r="N157" s="587"/>
      <c r="O157" s="228">
        <f>IF(info_st="nj",VLOOKUP(M157,Ranges!$DU$25:$DW$32,3,FALSE),VLOOKUP(M157,Ranges!$DU$5:$DW$14,3,FALSE))</f>
        <v>2.8</v>
      </c>
      <c r="Q157" s="4" t="b">
        <f>IF(info_admit=Ranges!$U$7,FALSE,D157&lt;=$E$58)</f>
        <v>0</v>
      </c>
      <c r="R157" s="121">
        <f t="shared" si="5"/>
        <v>0</v>
      </c>
      <c r="S157" s="115">
        <f t="shared" si="18"/>
        <v>0</v>
      </c>
      <c r="T157" s="122">
        <f>IF($C157=1,IF($H157=Ranges!$EC$5,1,0),0)</f>
        <v>0</v>
      </c>
      <c r="U157" s="242">
        <f t="shared" si="17"/>
        <v>120</v>
      </c>
    </row>
    <row r="158" spans="3:26" s="4" customFormat="1" hidden="1">
      <c r="C158" s="155">
        <f t="shared" si="10"/>
        <v>0</v>
      </c>
      <c r="D158" s="238">
        <f t="shared" si="7"/>
        <v>99</v>
      </c>
      <c r="E158" s="586"/>
      <c r="F158" s="586"/>
      <c r="G158" s="586"/>
      <c r="H158" s="61" t="s">
        <v>28</v>
      </c>
      <c r="I158" s="382">
        <f>IF($H158="no",1,IFERROR(VLOOKUP(info_st,Ranges!$DZ:$ED,IF($H158=Ranges!$EC$5,4,2),FALSE),Ranges!EA$6))</f>
        <v>1</v>
      </c>
      <c r="J158" s="382">
        <f>IF($H158="no",1,IFERROR(VLOOKUP(info_st,Ranges!$DZ:$ED,IF($H158=Ranges!$EC$5,5,3),FALSE),Ranges!EB$6))</f>
        <v>1</v>
      </c>
      <c r="K158" s="383">
        <f t="shared" si="15"/>
        <v>1</v>
      </c>
      <c r="L158" s="90">
        <f t="shared" si="16"/>
        <v>0</v>
      </c>
      <c r="M158" s="587" t="str">
        <f>IF(info_st="nj",INDEX(Ranges!$DU$25:$DW$32,MATCH(U158,Ranges!$DV$25:$DV$32,1),1),INDEX(Ranges!$DU$5:$DW$14,MATCH(U158,Ranges!$DV$5:$DV$14,1),1))</f>
        <v>eight or more</v>
      </c>
      <c r="N158" s="587"/>
      <c r="O158" s="228">
        <f>IF(info_st="nj",VLOOKUP(M158,Ranges!$DU$25:$DW$32,3,FALSE),VLOOKUP(M158,Ranges!$DU$5:$DW$14,3,FALSE))</f>
        <v>2.8</v>
      </c>
      <c r="Q158" s="4" t="b">
        <f>IF(info_admit=Ranges!$U$7,FALSE,D158&lt;=$E$58)</f>
        <v>0</v>
      </c>
      <c r="R158" s="121">
        <f t="shared" si="5"/>
        <v>0</v>
      </c>
      <c r="S158" s="115">
        <f t="shared" si="18"/>
        <v>0</v>
      </c>
      <c r="T158" s="122">
        <f>IF($C158=1,IF($H158=Ranges!$EC$5,1,0),0)</f>
        <v>0</v>
      </c>
      <c r="U158" s="242">
        <f t="shared" si="17"/>
        <v>120</v>
      </c>
    </row>
    <row r="159" spans="3:26" hidden="1">
      <c r="C159" s="155">
        <f t="shared" si="4"/>
        <v>0</v>
      </c>
      <c r="D159" s="238">
        <f t="shared" si="7"/>
        <v>100</v>
      </c>
      <c r="E159" s="586"/>
      <c r="F159" s="586"/>
      <c r="G159" s="586"/>
      <c r="H159" s="61" t="s">
        <v>28</v>
      </c>
      <c r="I159" s="382">
        <f>IF($H159="no",1,IFERROR(VLOOKUP(info_st,Ranges!$DZ:$ED,IF($H159=Ranges!$EC$5,4,2),FALSE),Ranges!EA$6))</f>
        <v>1</v>
      </c>
      <c r="J159" s="382">
        <f>IF($H159="no",1,IFERROR(VLOOKUP(info_st,Ranges!$DZ:$ED,IF($H159=Ranges!$EC$5,5,3),FALSE),Ranges!EB$6))</f>
        <v>1</v>
      </c>
      <c r="K159" s="383">
        <f t="shared" si="15"/>
        <v>1</v>
      </c>
      <c r="L159" s="90">
        <f t="shared" si="16"/>
        <v>0</v>
      </c>
      <c r="M159" s="587" t="str">
        <f>IF(info_st="nj",INDEX(Ranges!$DU$25:$DW$32,MATCH(U159,Ranges!$DV$25:$DV$32,1),1),INDEX(Ranges!$DU$5:$DW$14,MATCH(U159,Ranges!$DV$5:$DV$14,1),1))</f>
        <v>eight or more</v>
      </c>
      <c r="N159" s="587"/>
      <c r="O159" s="228">
        <f>IF(info_st="nj",VLOOKUP(M159,Ranges!$DU$25:$DW$32,3,FALSE),VLOOKUP(M159,Ranges!$DU$5:$DW$14,3,FALSE))</f>
        <v>2.8</v>
      </c>
      <c r="P159"/>
      <c r="Q159" s="4" t="b">
        <f>IF(info_admit=Ranges!$U$7,FALSE,D159&lt;=$E$58)</f>
        <v>0</v>
      </c>
      <c r="R159" s="123">
        <f t="shared" si="5"/>
        <v>0</v>
      </c>
      <c r="S159" s="530">
        <f t="shared" si="18"/>
        <v>0</v>
      </c>
      <c r="T159" s="124">
        <f>IF($C159=1,IF($H159=Ranges!$EC$5,1,0),0)</f>
        <v>0</v>
      </c>
      <c r="U159" s="243">
        <f t="shared" si="17"/>
        <v>120</v>
      </c>
      <c r="W159"/>
      <c r="X159" s="4"/>
      <c r="Y159" s="4"/>
      <c r="Z159" s="4"/>
    </row>
    <row r="160" spans="3:26">
      <c r="J160" s="4"/>
      <c r="M160" s="4"/>
      <c r="P160"/>
      <c r="R160" s="65"/>
      <c r="S160" s="65"/>
      <c r="T160" s="65"/>
      <c r="V160"/>
      <c r="X160" s="4"/>
      <c r="Y160" s="4"/>
    </row>
    <row r="161" spans="2:25">
      <c r="C161" s="457">
        <f>IF(info_admit=Ranges!$U$7,Rate_CountFT+Rate_CountPT+Rate_CountNW,SUM($C$60:$C$159))</f>
        <v>11</v>
      </c>
      <c r="D161" s="4" t="s">
        <v>307</v>
      </c>
      <c r="G161" s="87">
        <f>IF(info_admit=Ranges!$U$7,Rate_CountFT+Rate_CountPT*VLOOKUP(info_st,Ranges!$DZ:$EC,2,FALSE)+Rate_CountNW*VLOOKUP(info_st,Ranges!$DZ:$EC,4,FALSE),SUM($R$60:$R$159)+SUMPRODUCT($S$60:$S$159,$K$60:$K$159)+SUMPRODUCT($T$60:T$159,$K$60:$K$159))</f>
        <v>11</v>
      </c>
      <c r="H161" s="4" t="s">
        <v>2528</v>
      </c>
      <c r="J161" s="4"/>
      <c r="M161" s="190"/>
      <c r="N161" s="191" t="s">
        <v>311</v>
      </c>
      <c r="O161" s="239">
        <f>IF(info_admit=Ranges!$U$7,Ranges!$DW$42,ROUND(SUMPRODUCT($C$60:$C$159,$O$60:$O$159)/Rate_CountTotal,3))</f>
        <v>1.4</v>
      </c>
      <c r="P161"/>
      <c r="S161" s="4"/>
      <c r="U161"/>
      <c r="V161"/>
      <c r="X161" s="4"/>
      <c r="Y161" s="4"/>
    </row>
    <row r="162" spans="2:25" s="4" customFormat="1">
      <c r="C162" s="544">
        <f>SUMIFS($C$60:$C$159,$H$60:$H$159,"no")</f>
        <v>11</v>
      </c>
      <c r="D162" s="4" t="s">
        <v>308</v>
      </c>
      <c r="M162" s="190"/>
      <c r="N162" s="191" t="s">
        <v>424</v>
      </c>
      <c r="O162" s="239">
        <f>T162</f>
        <v>0.9</v>
      </c>
      <c r="R162" s="196" t="s">
        <v>303</v>
      </c>
      <c r="S162" s="198" t="str">
        <f>IFERROR(VLOOKUP(info_st,Ranges!$DL:$DM,2,FALSE),Ranges!$DM$7)</f>
        <v>Table A</v>
      </c>
      <c r="T162" s="199">
        <f>INDEX(Ranges!$DO$4:$DR$17,MATCH(Rate_CountTotal,Ranges!$DO$4:$DO$17,1),MATCH($S$162,Ranges!$DO$4:$DR$4,0))</f>
        <v>0.9</v>
      </c>
    </row>
    <row r="163" spans="2:25" s="4" customFormat="1">
      <c r="C163" s="544">
        <f>SUMIFS($C$60:$C$159,$S$60:$S$159,1)</f>
        <v>0</v>
      </c>
      <c r="D163" s="4" t="s">
        <v>309</v>
      </c>
    </row>
    <row r="164" spans="2:25" ht="15.75" thickBot="1">
      <c r="C164" s="528">
        <f>SUMIFS($C$60:$C$159,$T$60:$T$159,1)</f>
        <v>0</v>
      </c>
      <c r="D164" s="4" t="str">
        <f>"Number of Attorneys working "&amp;Ranges!EC5</f>
        <v>Number of Attorneys working &lt;9 hours/week</v>
      </c>
      <c r="L164" s="4"/>
      <c r="P164"/>
      <c r="S164" s="4"/>
      <c r="U164"/>
      <c r="V164"/>
      <c r="X164" s="4"/>
      <c r="Y164" s="4"/>
    </row>
    <row r="165" spans="2:25">
      <c r="C165" s="174" t="s">
        <v>470</v>
      </c>
      <c r="D165" s="175"/>
      <c r="E165" s="176">
        <f>ROUND(PRODUCT(F18,Rate_PriorActs,Rate_AOP,Rate_Size,Rate_Ed),0)</f>
        <v>1962</v>
      </c>
      <c r="L165" s="4"/>
      <c r="P165"/>
      <c r="S165" s="4"/>
      <c r="U165"/>
      <c r="V165"/>
      <c r="X165" s="4"/>
      <c r="Y165" s="4"/>
    </row>
    <row r="166" spans="2:25" ht="15.75" thickBot="1">
      <c r="C166" s="177" t="s">
        <v>471</v>
      </c>
      <c r="D166" s="178"/>
      <c r="E166" s="179">
        <f>ROUND(Rate_Count*Rate_PPA,0)</f>
        <v>21582</v>
      </c>
    </row>
    <row r="167" spans="2:25">
      <c r="R167" s="4"/>
    </row>
    <row r="168" spans="2:25" s="4" customFormat="1">
      <c r="C168" s="4" t="s">
        <v>447</v>
      </c>
      <c r="R168" s="151"/>
    </row>
    <row r="169" spans="2:25" s="4" customFormat="1" ht="75" customHeight="1">
      <c r="C169" s="580"/>
      <c r="D169" s="581"/>
      <c r="E169" s="581"/>
      <c r="F169" s="581"/>
      <c r="G169" s="581"/>
      <c r="H169" s="581"/>
      <c r="I169" s="581"/>
      <c r="J169" s="581"/>
      <c r="K169" s="581"/>
      <c r="L169" s="581"/>
      <c r="M169" s="581"/>
      <c r="N169" s="582"/>
    </row>
    <row r="170" spans="2:25">
      <c r="F170" s="164" t="s">
        <v>2770</v>
      </c>
      <c r="G170" s="182"/>
      <c r="H170" s="206">
        <f>X173</f>
        <v>14315.599268069534</v>
      </c>
    </row>
    <row r="171" spans="2:25" ht="17.25">
      <c r="B171" s="11" t="s">
        <v>321</v>
      </c>
      <c r="F171" s="407" t="str">
        <f>IF(info_st="ny",IF($X$174,"",$R$175),"")</f>
        <v/>
      </c>
    </row>
    <row r="172" spans="2:25">
      <c r="R172" s="196" t="s">
        <v>350</v>
      </c>
      <c r="S172" s="198" t="str">
        <f>VLOOKUP(info_st,Ranges!$EF:$EG,2,FALSE)</f>
        <v>IRM Table B</v>
      </c>
      <c r="T172" s="63" t="s">
        <v>2725</v>
      </c>
      <c r="U172" s="413"/>
      <c r="V172" s="413"/>
      <c r="W172" s="413"/>
      <c r="X172" s="181">
        <f>Ranges!AG51-Ranges!BV48</f>
        <v>1.45</v>
      </c>
    </row>
    <row r="173" spans="2:25" ht="15.75">
      <c r="K173" s="108" t="s">
        <v>320</v>
      </c>
      <c r="L173" s="45" t="s">
        <v>270</v>
      </c>
      <c r="M173" s="45" t="s">
        <v>356</v>
      </c>
      <c r="N173" s="45" t="s">
        <v>357</v>
      </c>
      <c r="Q173" s="94" t="s">
        <v>403</v>
      </c>
      <c r="R173" s="196" t="s">
        <v>2945</v>
      </c>
      <c r="S173" s="198" t="str">
        <f>IF(info_admit=Ranges!$EF$6,Ranges!$EG$6,S172)</f>
        <v>IRM Table B</v>
      </c>
      <c r="T173" s="66" t="s">
        <v>2724</v>
      </c>
      <c r="U173" s="16"/>
      <c r="V173" s="16"/>
      <c r="W173" s="16"/>
      <c r="X173" s="186">
        <f>Rate_Subtot/Rate_ILF*X172</f>
        <v>14315.599268069534</v>
      </c>
    </row>
    <row r="174" spans="2:25" s="4" customFormat="1" ht="15.75">
      <c r="K174" s="108"/>
      <c r="L174" s="94"/>
      <c r="M174" s="94"/>
      <c r="N174" s="94"/>
      <c r="Q174" s="94"/>
      <c r="T174" s="69" t="s">
        <v>1503</v>
      </c>
      <c r="U174" s="71"/>
      <c r="V174" s="71"/>
      <c r="W174" s="71"/>
      <c r="X174" s="163" t="b">
        <f>IF(info_st="ny",X173&gt;2500,TRUE)</f>
        <v>1</v>
      </c>
    </row>
    <row r="175" spans="2:25">
      <c r="C175" s="596" t="str">
        <f>Ranges!EK6</f>
        <v>Quality of Management</v>
      </c>
      <c r="D175" s="596"/>
      <c r="E175" s="596"/>
      <c r="F175" s="596"/>
      <c r="G175" s="596"/>
      <c r="H175" s="596"/>
      <c r="I175" s="596"/>
      <c r="J175" s="596"/>
      <c r="K175" s="597"/>
      <c r="L175" s="543">
        <v>0</v>
      </c>
      <c r="M175" s="385">
        <f>IF(Q175,INDEX(Ranges!$EK:$FE,MATCH($C175,Ranges!$EK:$EK,0),MATCH($S$172,Ranges!$EK$4:$FE$4,0)),-1)</f>
        <v>-0.25</v>
      </c>
      <c r="N175" s="385">
        <f>IF(Q175,INDEX(Ranges!$EK:$FE,MATCH($C175,Ranges!$EK:$EK,0),MATCH($S$173,Ranges!$EK$4:$FE$4,0)+1),1)</f>
        <v>0.25</v>
      </c>
      <c r="Q175" t="b">
        <f>NOT(ISBLANK(INDEX(Ranges!$EK:$FE,MATCH($C175,Ranges!$EK:$EK,0),MATCH($S$172,Ranges!$EK$4:$FE$4,0))))</f>
        <v>1</v>
      </c>
      <c r="R175" t="s">
        <v>2732</v>
      </c>
    </row>
    <row r="176" spans="2:25" ht="15" customHeight="1">
      <c r="C176" s="604" t="str">
        <f>Ranges!EK7</f>
        <v>Use or non-use of both engagements and disengagement letters</v>
      </c>
      <c r="D176" s="604"/>
      <c r="E176" s="604"/>
      <c r="F176" s="604"/>
      <c r="G176" s="604"/>
      <c r="H176" s="604"/>
      <c r="I176" s="604"/>
      <c r="J176" s="604"/>
      <c r="K176" s="605"/>
      <c r="L176" s="386"/>
      <c r="M176" s="275">
        <f>IF(Q176,INDEX(Ranges!$EK:$FE,MATCH($C176,Ranges!$EK:$EK,0),MATCH($S$172,Ranges!$EK$4:$FE$4,0)),-1)</f>
        <v>-1</v>
      </c>
      <c r="N176" s="275">
        <f>IF(Q176,INDEX(Ranges!$EK:$FE,MATCH($C176,Ranges!$EK:$EK,0),MATCH($S$173,Ranges!$EK$4:$FE$4,0)+1),1)</f>
        <v>1</v>
      </c>
      <c r="Q176" s="4" t="b">
        <f>NOT(ISBLANK(INDEX(Ranges!$EK:$FE,MATCH($C176,Ranges!$EK:$EK,0),MATCH($S$172,Ranges!$EK$4:$FE$4,0))))</f>
        <v>0</v>
      </c>
    </row>
    <row r="177" spans="3:17" ht="15" customHeight="1">
      <c r="C177" s="604" t="str">
        <f>Ranges!EK8</f>
        <v>Use or non-use of a. above and declination letter</v>
      </c>
      <c r="D177" s="604"/>
      <c r="E177" s="604"/>
      <c r="F177" s="604"/>
      <c r="G177" s="604"/>
      <c r="H177" s="604"/>
      <c r="I177" s="604"/>
      <c r="J177" s="604"/>
      <c r="K177" s="605"/>
      <c r="L177" s="386"/>
      <c r="M177" s="275">
        <f>IF(Q177,INDEX(Ranges!$EK:$FE,MATCH($C177,Ranges!$EK:$EK,0),MATCH($S$172,Ranges!$EK$4:$FE$4,0)),-1)</f>
        <v>-1</v>
      </c>
      <c r="N177" s="275">
        <f>IF(Q177,INDEX(Ranges!$EK:$FE,MATCH($C177,Ranges!$EK:$EK,0),MATCH($S$173,Ranges!$EK$4:$FE$4,0)+1),1)</f>
        <v>1</v>
      </c>
      <c r="Q177" s="4" t="b">
        <f>NOT(ISBLANK(INDEX(Ranges!$EK:$FE,MATCH($C177,Ranges!$EK:$EK,0),MATCH($S$172,Ranges!$EK$4:$FE$4,0))))</f>
        <v>0</v>
      </c>
    </row>
    <row r="178" spans="3:17" ht="30" customHeight="1">
      <c r="C178" s="604" t="str">
        <f>Ranges!EK9</f>
        <v>Use or non-use of at least 2 forms of conflict of interest avoidance system such as computerized, manual index file, conflict committee or others</v>
      </c>
      <c r="D178" s="604"/>
      <c r="E178" s="604"/>
      <c r="F178" s="604"/>
      <c r="G178" s="604"/>
      <c r="H178" s="604"/>
      <c r="I178" s="604"/>
      <c r="J178" s="604"/>
      <c r="K178" s="605"/>
      <c r="L178" s="386"/>
      <c r="M178" s="275">
        <f>IF(Q178,INDEX(Ranges!$EK:$FE,MATCH($C178,Ranges!$EK:$EK,0),MATCH($S$172,Ranges!$EK$4:$FE$4,0)),-1)</f>
        <v>-1</v>
      </c>
      <c r="N178" s="275">
        <f>IF(Q178,INDEX(Ranges!$EK:$FE,MATCH($C178,Ranges!$EK:$EK,0),MATCH($S$173,Ranges!$EK$4:$FE$4,0)+1),1)</f>
        <v>1</v>
      </c>
      <c r="Q178" s="4" t="b">
        <f>NOT(ISBLANK(INDEX(Ranges!$EK:$FE,MATCH($C178,Ranges!$EK:$EK,0),MATCH($S$172,Ranges!$EK$4:$FE$4,0))))</f>
        <v>0</v>
      </c>
    </row>
    <row r="179" spans="3:17" ht="15" customHeight="1">
      <c r="C179" s="604" t="str">
        <f>Ranges!EK10</f>
        <v>Use of non-use of more than 2 forms of conflict of interest avoidance system</v>
      </c>
      <c r="D179" s="604"/>
      <c r="E179" s="604"/>
      <c r="F179" s="604"/>
      <c r="G179" s="604"/>
      <c r="H179" s="604"/>
      <c r="I179" s="604"/>
      <c r="J179" s="604"/>
      <c r="K179" s="605"/>
      <c r="L179" s="386">
        <v>0.1</v>
      </c>
      <c r="M179" s="275">
        <f>IF(Q179,INDEX(Ranges!$EK:$FE,MATCH($C179,Ranges!$EK:$EK,0),MATCH($S$172,Ranges!$EK$4:$FE$4,0)),-1)</f>
        <v>-1</v>
      </c>
      <c r="N179" s="275">
        <f>IF(Q179,INDEX(Ranges!$EK:$FE,MATCH($C179,Ranges!$EK:$EK,0),MATCH($S$173,Ranges!$EK$4:$FE$4,0)+1),1)</f>
        <v>1</v>
      </c>
      <c r="Q179" s="4" t="b">
        <f>NOT(ISBLANK(INDEX(Ranges!$EK:$FE,MATCH($C179,Ranges!$EK:$EK,0),MATCH($S$172,Ranges!$EK$4:$FE$4,0))))</f>
        <v>0</v>
      </c>
    </row>
    <row r="180" spans="3:17" ht="15" customHeight="1">
      <c r="C180" s="604" t="str">
        <f>Ranges!EK11</f>
        <v>Lack or presence of business or financial involvement in client’s business</v>
      </c>
      <c r="D180" s="604"/>
      <c r="E180" s="604"/>
      <c r="F180" s="604"/>
      <c r="G180" s="604"/>
      <c r="H180" s="604"/>
      <c r="I180" s="604"/>
      <c r="J180" s="604"/>
      <c r="K180" s="605"/>
      <c r="L180" s="386"/>
      <c r="M180" s="275">
        <f>IF(Q180,INDEX(Ranges!$EK:$FE,MATCH($C180,Ranges!$EK:$EK,0),MATCH($S$172,Ranges!$EK$4:$FE$4,0)),-1)</f>
        <v>-1</v>
      </c>
      <c r="N180" s="275">
        <f>IF(Q180,INDEX(Ranges!$EK:$FE,MATCH($C180,Ranges!$EK:$EK,0),MATCH($S$173,Ranges!$EK$4:$FE$4,0)+1),1)</f>
        <v>1</v>
      </c>
      <c r="Q180" s="4" t="b">
        <f>NOT(ISBLANK(INDEX(Ranges!$EK:$FE,MATCH($C180,Ranges!$EK:$EK,0),MATCH($S$172,Ranges!$EK$4:$FE$4,0))))</f>
        <v>0</v>
      </c>
    </row>
    <row r="181" spans="3:17" ht="15" customHeight="1">
      <c r="C181" s="604" t="str">
        <f>Ranges!EK12</f>
        <v>Lack or presence of split fee arrangement with another lawyer</v>
      </c>
      <c r="D181" s="604"/>
      <c r="E181" s="604"/>
      <c r="F181" s="604"/>
      <c r="G181" s="604"/>
      <c r="H181" s="604"/>
      <c r="I181" s="604"/>
      <c r="J181" s="604"/>
      <c r="K181" s="605"/>
      <c r="L181" s="387"/>
      <c r="M181" s="275">
        <f>IF(Q181,INDEX(Ranges!$EK:$FE,MATCH($C181,Ranges!$EK:$EK,0),MATCH($S$172,Ranges!$EK$4:$FE$4,0)),-1)</f>
        <v>-1</v>
      </c>
      <c r="N181" s="275">
        <f>IF(Q181,INDEX(Ranges!$EK:$FE,MATCH($C181,Ranges!$EK:$EK,0),MATCH($S$173,Ranges!$EK$4:$FE$4,0)+1),1)</f>
        <v>1</v>
      </c>
      <c r="Q181" s="4" t="b">
        <f>NOT(ISBLANK(INDEX(Ranges!$EK:$FE,MATCH($C181,Ranges!$EK:$EK,0),MATCH($S$172,Ranges!$EK$4:$FE$4,0))))</f>
        <v>0</v>
      </c>
    </row>
    <row r="182" spans="3:17" s="4" customFormat="1" ht="5.0999999999999996" hidden="1" customHeight="1">
      <c r="C182" s="109"/>
      <c r="D182" s="109"/>
      <c r="E182" s="109"/>
      <c r="F182" s="109"/>
      <c r="G182" s="109"/>
      <c r="H182" s="109"/>
      <c r="I182" s="109"/>
      <c r="J182" s="109"/>
      <c r="K182" s="110"/>
      <c r="L182" s="388"/>
      <c r="M182" s="275"/>
      <c r="N182" s="275"/>
    </row>
    <row r="183" spans="3:17" ht="15" customHeight="1">
      <c r="C183" s="611" t="str">
        <f>Ranges!EK14</f>
        <v>Years of Experience</v>
      </c>
      <c r="D183" s="611"/>
      <c r="E183" s="611"/>
      <c r="F183" s="611"/>
      <c r="G183" s="611"/>
      <c r="H183" s="611"/>
      <c r="I183" s="611"/>
      <c r="J183" s="611"/>
      <c r="K183" s="612"/>
      <c r="L183" s="384">
        <v>0</v>
      </c>
      <c r="M183" s="389">
        <f>IF(Q183,INDEX(Ranges!$EK:$FE,MATCH($C183,Ranges!$EK:$EK,0),MATCH($S$172,Ranges!$EK$4:$FE$4,0)),-1)</f>
        <v>-0.1</v>
      </c>
      <c r="N183" s="389">
        <f>IF(Q183,INDEX(Ranges!$EK:$FE,MATCH($C183,Ranges!$EK:$EK,0),MATCH($S$173,Ranges!$EK$4:$FE$4,0)+1),1)</f>
        <v>0.1</v>
      </c>
      <c r="Q183" s="4" t="b">
        <f>NOT(ISBLANK(INDEX(Ranges!$EK:$FE,MATCH($C183,Ranges!$EK:$EK,0),MATCH($S$172,Ranges!$EK$4:$FE$4,0))))</f>
        <v>1</v>
      </c>
    </row>
    <row r="184" spans="3:17" hidden="1">
      <c r="C184" s="604" t="str">
        <f>Ranges!EK15</f>
        <v>15+ years</v>
      </c>
      <c r="D184" s="604"/>
      <c r="E184" s="604"/>
      <c r="F184" s="604"/>
      <c r="G184" s="604"/>
      <c r="H184" s="604"/>
      <c r="I184" s="604"/>
      <c r="J184" s="604"/>
      <c r="K184" s="605"/>
      <c r="L184" s="386"/>
      <c r="M184" s="275">
        <f>IF(Q184,INDEX(Ranges!$EK:$FE,MATCH($C184,Ranges!$EK:$EK,0),MATCH($S$172,Ranges!$EK$4:$FE$4,0)),-1)</f>
        <v>-1</v>
      </c>
      <c r="N184" s="275">
        <f>IF(Q184,INDEX(Ranges!$EK:$FE,MATCH($C184,Ranges!$EK:$EK,0),MATCH($S$173,Ranges!$EK$4:$FE$4,0)+1),1)</f>
        <v>1</v>
      </c>
      <c r="Q184" s="4" t="b">
        <f>NOT(ISBLANK(INDEX(Ranges!$EK:$FE,MATCH($C184,Ranges!$EK:$EK,0),MATCH($S$172,Ranges!$EK$4:$FE$4,0))))</f>
        <v>0</v>
      </c>
    </row>
    <row r="185" spans="3:17" hidden="1">
      <c r="C185" s="604" t="str">
        <f>Ranges!EK16</f>
        <v>10-14 years</v>
      </c>
      <c r="D185" s="604"/>
      <c r="E185" s="604"/>
      <c r="F185" s="604"/>
      <c r="G185" s="604"/>
      <c r="H185" s="604"/>
      <c r="I185" s="604"/>
      <c r="J185" s="604"/>
      <c r="K185" s="605"/>
      <c r="L185" s="386"/>
      <c r="M185" s="275">
        <f>IF(Q185,INDEX(Ranges!$EK:$FE,MATCH($C185,Ranges!$EK:$EK,0),MATCH($S$172,Ranges!$EK$4:$FE$4,0)),-1)</f>
        <v>-1</v>
      </c>
      <c r="N185" s="275">
        <f>IF(Q185,INDEX(Ranges!$EK:$FE,MATCH($C185,Ranges!$EK:$EK,0),MATCH($S$173,Ranges!$EK$4:$FE$4,0)+1),1)</f>
        <v>1</v>
      </c>
      <c r="Q185" s="4" t="b">
        <f>NOT(ISBLANK(INDEX(Ranges!$EK:$FE,MATCH($C185,Ranges!$EK:$EK,0),MATCH($S$172,Ranges!$EK$4:$FE$4,0))))</f>
        <v>0</v>
      </c>
    </row>
    <row r="186" spans="3:17" hidden="1">
      <c r="C186" s="604" t="str">
        <f>Ranges!EK17</f>
        <v>5-9 years</v>
      </c>
      <c r="D186" s="604"/>
      <c r="E186" s="604"/>
      <c r="F186" s="604"/>
      <c r="G186" s="604"/>
      <c r="H186" s="604"/>
      <c r="I186" s="604"/>
      <c r="J186" s="604"/>
      <c r="K186" s="605"/>
      <c r="L186" s="386"/>
      <c r="M186" s="275">
        <f>IF(Q186,INDEX(Ranges!$EK:$FE,MATCH($C186,Ranges!$EK:$EK,0),MATCH($S$172,Ranges!$EK$4:$FE$4,0)),-1)</f>
        <v>-1</v>
      </c>
      <c r="N186" s="275">
        <f>IF(Q186,INDEX(Ranges!$EK:$FE,MATCH($C186,Ranges!$EK:$EK,0),MATCH($S$173,Ranges!$EK$4:$FE$4,0)+1),1)</f>
        <v>1</v>
      </c>
      <c r="Q186" s="4" t="b">
        <f>NOT(ISBLANK(INDEX(Ranges!$EK:$FE,MATCH($C186,Ranges!$EK:$EK,0),MATCH($S$172,Ranges!$EK$4:$FE$4,0))))</f>
        <v>0</v>
      </c>
    </row>
    <row r="187" spans="3:17" hidden="1">
      <c r="C187" s="604" t="str">
        <f>Ranges!EK18</f>
        <v>1-5 years</v>
      </c>
      <c r="D187" s="604"/>
      <c r="E187" s="604"/>
      <c r="F187" s="604"/>
      <c r="G187" s="604"/>
      <c r="H187" s="604"/>
      <c r="I187" s="604"/>
      <c r="J187" s="604"/>
      <c r="K187" s="605"/>
      <c r="L187" s="386"/>
      <c r="M187" s="275">
        <f>IF(Q187,INDEX(Ranges!$EK:$FE,MATCH($C187,Ranges!$EK:$EK,0),MATCH($S$172,Ranges!$EK$4:$FE$4,0)),-1)</f>
        <v>-1</v>
      </c>
      <c r="N187" s="275">
        <f>IF(Q187,INDEX(Ranges!$EK:$FE,MATCH($C187,Ranges!$EK:$EK,0),MATCH($S$173,Ranges!$EK$4:$FE$4,0)+1),1)</f>
        <v>1</v>
      </c>
      <c r="Q187" s="4" t="b">
        <f>NOT(ISBLANK(INDEX(Ranges!$EK:$FE,MATCH($C187,Ranges!$EK:$EK,0),MATCH($S$172,Ranges!$EK$4:$FE$4,0))))</f>
        <v>0</v>
      </c>
    </row>
    <row r="188" spans="3:17" ht="15" hidden="1" customHeight="1">
      <c r="C188" s="604" t="str">
        <f>Ranges!EK19</f>
        <v>New firm (&lt;1 year)</v>
      </c>
      <c r="D188" s="604"/>
      <c r="E188" s="604"/>
      <c r="F188" s="604"/>
      <c r="G188" s="604"/>
      <c r="H188" s="604"/>
      <c r="I188" s="604"/>
      <c r="J188" s="604"/>
      <c r="K188" s="605"/>
      <c r="L188" s="387"/>
      <c r="M188" s="275">
        <f>IF(Q188,INDEX(Ranges!$EK:$FE,MATCH($C188,Ranges!$EK:$EK,0),MATCH($S$172,Ranges!$EK$4:$FE$4,0)),-1)</f>
        <v>-1</v>
      </c>
      <c r="N188" s="275">
        <f>IF(Q188,INDEX(Ranges!$EK:$FE,MATCH($C188,Ranges!$EK:$EK,0),MATCH($S$173,Ranges!$EK$4:$FE$4,0)+1),1)</f>
        <v>1</v>
      </c>
      <c r="Q188" s="4" t="b">
        <f>NOT(ISBLANK(INDEX(Ranges!$EK:$FE,MATCH($C188,Ranges!$EK:$EK,0),MATCH($S$172,Ranges!$EK$4:$FE$4,0))))</f>
        <v>0</v>
      </c>
    </row>
    <row r="189" spans="3:17" s="4" customFormat="1" ht="5.0999999999999996" hidden="1" customHeight="1">
      <c r="C189" s="109"/>
      <c r="D189" s="109"/>
      <c r="E189" s="109"/>
      <c r="F189" s="109"/>
      <c r="G189" s="109"/>
      <c r="H189" s="109"/>
      <c r="I189" s="109"/>
      <c r="J189" s="109"/>
      <c r="K189" s="110"/>
      <c r="L189" s="388"/>
      <c r="M189" s="275"/>
      <c r="N189" s="275"/>
    </row>
    <row r="190" spans="3:17">
      <c r="C190" s="611" t="str">
        <f>Ranges!EK21</f>
        <v>Loss Control</v>
      </c>
      <c r="D190" s="611"/>
      <c r="E190" s="611"/>
      <c r="F190" s="611"/>
      <c r="G190" s="611"/>
      <c r="H190" s="611"/>
      <c r="I190" s="611"/>
      <c r="J190" s="611"/>
      <c r="K190" s="612"/>
      <c r="L190" s="384">
        <f>MIN(MAX(SUM(L191:L194),M190),N190)</f>
        <v>0</v>
      </c>
      <c r="M190" s="389">
        <f>IF(Q190,INDEX(Ranges!$EK:$FE,MATCH($C190,Ranges!$EK:$EK,0),MATCH($S$172,Ranges!$EK$4:$FE$4,0)),-1)</f>
        <v>-0.1</v>
      </c>
      <c r="N190" s="389">
        <f>IF(Q190,INDEX(Ranges!$EK:$FE,MATCH($C190,Ranges!$EK:$EK,0),MATCH($S$173,Ranges!$EK$4:$FE$4,0)+1),1)</f>
        <v>0.1</v>
      </c>
      <c r="Q190" s="4" t="b">
        <f>NOT(ISBLANK(INDEX(Ranges!$EK:$FE,MATCH($C190,Ranges!$EK:$EK,0),MATCH($S$172,Ranges!$EK$4:$FE$4,0))))</f>
        <v>1</v>
      </c>
    </row>
    <row r="191" spans="3:17" ht="15" hidden="1" customHeight="1">
      <c r="C191" s="604" t="str">
        <f>Ranges!EK22</f>
        <v>Participation in loss control program</v>
      </c>
      <c r="D191" s="604"/>
      <c r="E191" s="604"/>
      <c r="F191" s="604"/>
      <c r="G191" s="604"/>
      <c r="H191" s="604"/>
      <c r="I191" s="604"/>
      <c r="J191" s="604"/>
      <c r="K191" s="605"/>
      <c r="L191" s="386"/>
      <c r="M191" s="275">
        <f>IF(Q191,INDEX(Ranges!$EK:$FE,MATCH($C191,Ranges!$EK:$EK,0),MATCH($S$172,Ranges!$EK$4:$FE$4,0)),-1)</f>
        <v>-1</v>
      </c>
      <c r="N191" s="275">
        <f>IF(Q191,INDEX(Ranges!$EK:$FE,MATCH($C191,Ranges!$EK:$EK,0),MATCH($S$173,Ranges!$EK$4:$FE$4,0)+1),1)</f>
        <v>1</v>
      </c>
      <c r="Q191" s="4" t="b">
        <f>NOT(ISBLANK(INDEX(Ranges!$EK:$FE,MATCH($C191,Ranges!$EK:$EK,0),MATCH($S$172,Ranges!$EK$4:$FE$4,0))))</f>
        <v>0</v>
      </c>
    </row>
    <row r="192" spans="3:17" ht="15" hidden="1" customHeight="1">
      <c r="C192" s="604" t="str">
        <f>Ranges!EK23</f>
        <v>Absence of general acceptable loss control techniques</v>
      </c>
      <c r="D192" s="604"/>
      <c r="E192" s="604"/>
      <c r="F192" s="604"/>
      <c r="G192" s="604"/>
      <c r="H192" s="604"/>
      <c r="I192" s="604"/>
      <c r="J192" s="604"/>
      <c r="K192" s="605"/>
      <c r="L192" s="387"/>
      <c r="M192" s="275">
        <f>IF(Q192,INDEX(Ranges!$EK:$FE,MATCH($C192,Ranges!$EK:$EK,0),MATCH($S$172,Ranges!$EK$4:$FE$4,0)),-1)</f>
        <v>-1</v>
      </c>
      <c r="N192" s="275">
        <f>IF(Q192,INDEX(Ranges!$EK:$FE,MATCH($C192,Ranges!$EK:$EK,0),MATCH($S$173,Ranges!$EK$4:$FE$4,0)+1),1)</f>
        <v>1</v>
      </c>
      <c r="Q192" s="4" t="b">
        <f>NOT(ISBLANK(INDEX(Ranges!$EK:$FE,MATCH($C192,Ranges!$EK:$EK,0),MATCH($S$172,Ranges!$EK$4:$FE$4,0))))</f>
        <v>0</v>
      </c>
    </row>
    <row r="193" spans="3:19" s="4" customFormat="1" ht="15" customHeight="1">
      <c r="C193" s="604" t="str">
        <f>Ranges!EK24</f>
        <v>Use or non-use of three or more calendar/docket docket control systems</v>
      </c>
      <c r="D193" s="604"/>
      <c r="E193" s="604"/>
      <c r="F193" s="604"/>
      <c r="G193" s="604"/>
      <c r="H193" s="604"/>
      <c r="I193" s="604"/>
      <c r="J193" s="604"/>
      <c r="K193" s="605"/>
      <c r="L193" s="387"/>
      <c r="M193" s="275">
        <f>IF(Q193,INDEX(Ranges!$EK:$FE,MATCH($C193,Ranges!$EK:$EK,0),MATCH($S$172,Ranges!$EK$4:$FE$4,0)),-1)</f>
        <v>-1</v>
      </c>
      <c r="N193" s="275">
        <f>IF(Q193,INDEX(Ranges!$EK:$FE,MATCH($C193,Ranges!$EK:$EK,0),MATCH($S$173,Ranges!$EK$4:$FE$4,0)+1),1)</f>
        <v>1</v>
      </c>
      <c r="Q193" s="4" t="b">
        <f>NOT(ISBLANK(INDEX(Ranges!$EK:$FE,MATCH($C193,Ranges!$EK:$EK,0),MATCH($S$172,Ranges!$EK$4:$FE$4,0))))</f>
        <v>0</v>
      </c>
    </row>
    <row r="194" spans="3:19" s="4" customFormat="1" ht="15" customHeight="1">
      <c r="C194" s="604" t="str">
        <f>Ranges!EK25</f>
        <v>Presence or lack of in-house loss control procedures</v>
      </c>
      <c r="D194" s="604"/>
      <c r="E194" s="604"/>
      <c r="F194" s="604"/>
      <c r="G194" s="604"/>
      <c r="H194" s="604"/>
      <c r="I194" s="604"/>
      <c r="J194" s="604"/>
      <c r="K194" s="605"/>
      <c r="L194" s="387"/>
      <c r="M194" s="275">
        <f>IF(Q194,INDEX(Ranges!$EK:$FE,MATCH($C194,Ranges!$EK:$EK,0),MATCH($S$172,Ranges!$EK$4:$FE$4,0)),-1)</f>
        <v>-1</v>
      </c>
      <c r="N194" s="275">
        <f>IF(Q194,INDEX(Ranges!$EK:$FE,MATCH($C194,Ranges!$EK:$EK,0),MATCH($S$173,Ranges!$EK$4:$FE$4,0)+1),1)</f>
        <v>1</v>
      </c>
      <c r="Q194" s="4" t="b">
        <f>NOT(ISBLANK(INDEX(Ranges!$EK:$FE,MATCH($C194,Ranges!$EK:$EK,0),MATCH($S$172,Ranges!$EK$4:$FE$4,0))))</f>
        <v>0</v>
      </c>
    </row>
    <row r="195" spans="3:19" s="4" customFormat="1" ht="5.0999999999999996" hidden="1" customHeight="1">
      <c r="C195" s="109"/>
      <c r="D195" s="109"/>
      <c r="E195" s="109"/>
      <c r="F195" s="109"/>
      <c r="G195" s="109"/>
      <c r="H195" s="109"/>
      <c r="I195" s="109"/>
      <c r="J195" s="109"/>
      <c r="K195" s="110"/>
      <c r="L195" s="388"/>
      <c r="M195" s="275"/>
      <c r="N195" s="275"/>
    </row>
    <row r="196" spans="3:19" ht="15" customHeight="1">
      <c r="C196" s="611" t="str">
        <f>Ranges!EK27</f>
        <v>Date/Calendar Control System</v>
      </c>
      <c r="D196" s="611"/>
      <c r="E196" s="611"/>
      <c r="F196" s="611"/>
      <c r="G196" s="611"/>
      <c r="H196" s="611"/>
      <c r="I196" s="611"/>
      <c r="J196" s="611"/>
      <c r="K196" s="612"/>
      <c r="L196" s="384">
        <v>0.2</v>
      </c>
      <c r="M196" s="389">
        <f>IF(Q196,INDEX(Ranges!$EK:$FE,MATCH($C196,Ranges!$EK:$EK,0),MATCH($S$172,Ranges!$EK$4:$FE$4,0)),-1)</f>
        <v>-0.2</v>
      </c>
      <c r="N196" s="389">
        <f>IF(Q196,INDEX(Ranges!$EK:$FE,MATCH($C196,Ranges!$EK:$EK,0),MATCH($S$173,Ranges!$EK$4:$FE$4,0)+1),1)</f>
        <v>0.2</v>
      </c>
      <c r="Q196" s="4" t="b">
        <f>NOT(ISBLANK(INDEX(Ranges!$EK:$FE,MATCH($C196,Ranges!$EK:$EK,0),MATCH($S$172,Ranges!$EK$4:$FE$4,0))))</f>
        <v>1</v>
      </c>
    </row>
    <row r="197" spans="3:19" ht="15" hidden="1" customHeight="1">
      <c r="C197" s="604" t="str">
        <f>Ranges!EK28</f>
        <v>Use or Non use of multiple Docket/Calendar systems</v>
      </c>
      <c r="D197" s="604"/>
      <c r="E197" s="604"/>
      <c r="F197" s="604"/>
      <c r="G197" s="604"/>
      <c r="H197" s="604"/>
      <c r="I197" s="604"/>
      <c r="J197" s="604"/>
      <c r="K197" s="605"/>
      <c r="L197" s="387"/>
      <c r="M197" s="275">
        <f>IF(Q197,INDEX(Ranges!$EK:$FE,MATCH($C197,Ranges!$EK:$EK,0),MATCH($S$172,Ranges!$EK$4:$FE$4,0)),-1)</f>
        <v>-1</v>
      </c>
      <c r="N197" s="275">
        <f>IF(Q197,INDEX(Ranges!$EK:$FE,MATCH($C197,Ranges!$EK:$EK,0),MATCH($S$173,Ranges!$EK$4:$FE$4,0)+1),1)</f>
        <v>1</v>
      </c>
      <c r="Q197" s="4" t="b">
        <f>NOT(ISBLANK(INDEX(Ranges!$EK:$FE,MATCH($C197,Ranges!$EK:$EK,0),MATCH($S$172,Ranges!$EK$4:$FE$4,0))))</f>
        <v>0</v>
      </c>
    </row>
    <row r="198" spans="3:19" s="4" customFormat="1" ht="5.0999999999999996" hidden="1" customHeight="1">
      <c r="C198" s="109"/>
      <c r="D198" s="109"/>
      <c r="E198" s="109"/>
      <c r="F198" s="109"/>
      <c r="G198" s="109"/>
      <c r="H198" s="109"/>
      <c r="I198" s="109"/>
      <c r="J198" s="109"/>
      <c r="K198" s="111"/>
      <c r="L198" s="388"/>
      <c r="M198" s="275"/>
      <c r="N198" s="275"/>
    </row>
    <row r="199" spans="3:19" ht="15" customHeight="1">
      <c r="C199" s="611" t="str">
        <f>Ranges!EK30</f>
        <v>Unique conditions of exposure</v>
      </c>
      <c r="D199" s="611"/>
      <c r="E199" s="611"/>
      <c r="F199" s="611"/>
      <c r="G199" s="611"/>
      <c r="H199" s="611"/>
      <c r="I199" s="611"/>
      <c r="J199" s="611"/>
      <c r="K199" s="612"/>
      <c r="L199" s="384">
        <f>MIN(MAX(SUM(L200:L202),M199),N199)</f>
        <v>0</v>
      </c>
      <c r="M199" s="389">
        <f>IF(Q199,INDEX(Ranges!$EK:$FE,MATCH($C199,Ranges!$EK:$EK,0),MATCH($S$172,Ranges!$EK$4:$FE$4,0)),-1)</f>
        <v>-0.25</v>
      </c>
      <c r="N199" s="389">
        <f>IF(Q199,INDEX(Ranges!$EK:$FE,MATCH($C199,Ranges!$EK:$EK,0),MATCH($S$173,Ranges!$EK$4:$FE$4,0)+1),1)</f>
        <v>0.25</v>
      </c>
      <c r="Q199" s="4" t="b">
        <f>NOT(ISBLANK(INDEX(Ranges!$EK:$FE,MATCH($C199,Ranges!$EK:$EK,0),MATCH($S$172,Ranges!$EK$4:$FE$4,0))))</f>
        <v>1</v>
      </c>
    </row>
    <row r="200" spans="3:19" ht="15" hidden="1" customHeight="1">
      <c r="C200" s="604" t="str">
        <f>Ranges!EK31</f>
        <v>Firm's Areas of Practice focused on certain specialized fields</v>
      </c>
      <c r="D200" s="604"/>
      <c r="E200" s="604"/>
      <c r="F200" s="604"/>
      <c r="G200" s="604"/>
      <c r="H200" s="604"/>
      <c r="I200" s="604"/>
      <c r="J200" s="604"/>
      <c r="K200" s="605"/>
      <c r="L200" s="386"/>
      <c r="M200" s="275">
        <f>IF(Q200,INDEX(Ranges!$EK:$FE,MATCH($C200,Ranges!$EK:$EK,0),MATCH($S$172,Ranges!$EK$4:$FE$4,0)),-1)</f>
        <v>-1</v>
      </c>
      <c r="N200" s="275">
        <f>IF(Q200,INDEX(Ranges!$EK:$FE,MATCH($C200,Ranges!$EK:$EK,0),MATCH($S$173,Ranges!$EK$4:$FE$4,0)+1),1)</f>
        <v>1</v>
      </c>
      <c r="Q200" s="4" t="b">
        <f>NOT(ISBLANK(INDEX(Ranges!$EK:$FE,MATCH($C200,Ranges!$EK:$EK,0),MATCH($S$172,Ranges!$EK$4:$FE$4,0))))</f>
        <v>0</v>
      </c>
    </row>
    <row r="201" spans="3:19" ht="15" hidden="1" customHeight="1">
      <c r="C201" s="604" t="str">
        <f>Ranges!EK32</f>
        <v>Firm's Ares of Practice spread amongst many different fields</v>
      </c>
      <c r="D201" s="604"/>
      <c r="E201" s="604"/>
      <c r="F201" s="604"/>
      <c r="G201" s="604"/>
      <c r="H201" s="604"/>
      <c r="I201" s="604"/>
      <c r="J201" s="604"/>
      <c r="K201" s="605"/>
      <c r="L201" s="386"/>
      <c r="M201" s="275">
        <f>IF(Q201,INDEX(Ranges!$EK:$FE,MATCH($C201,Ranges!$EK:$EK,0),MATCH($S$172,Ranges!$EK$4:$FE$4,0)),-1)</f>
        <v>-1</v>
      </c>
      <c r="N201" s="275">
        <f>IF(Q201,INDEX(Ranges!$EK:$FE,MATCH($C201,Ranges!$EK:$EK,0),MATCH($S$173,Ranges!$EK$4:$FE$4,0)+1),1)</f>
        <v>1</v>
      </c>
      <c r="Q201" s="4" t="b">
        <f>NOT(ISBLANK(INDEX(Ranges!$EK:$FE,MATCH($C201,Ranges!$EK:$EK,0),MATCH($S$172,Ranges!$EK$4:$FE$4,0))))</f>
        <v>0</v>
      </c>
    </row>
    <row r="202" spans="3:19" ht="15" customHeight="1">
      <c r="C202" s="604" t="str">
        <f>Ranges!EK33</f>
        <v>Firm managed by a Management/Executive Committee</v>
      </c>
      <c r="D202" s="604"/>
      <c r="E202" s="604"/>
      <c r="F202" s="604"/>
      <c r="G202" s="604"/>
      <c r="H202" s="604"/>
      <c r="I202" s="604"/>
      <c r="J202" s="604"/>
      <c r="K202" s="605"/>
      <c r="L202" s="386">
        <v>0</v>
      </c>
      <c r="M202" s="275">
        <f>IF(Q202,INDEX(Ranges!$EK:$FE,MATCH($C202,Ranges!$EK:$EK,0),MATCH($S$172,Ranges!$EK$4:$FE$4,0)),-1)</f>
        <v>-1</v>
      </c>
      <c r="N202" s="275">
        <f>IF(Q202,INDEX(Ranges!$EK:$FE,MATCH($C202,Ranges!$EK:$EK,0),MATCH($S$173,Ranges!$EK$4:$FE$4,0)+1),1)</f>
        <v>1</v>
      </c>
      <c r="Q202" s="4" t="b">
        <f>NOT(ISBLANK(INDEX(Ranges!$EK:$FE,MATCH($C202,Ranges!$EK:$EK,0),MATCH($S$172,Ranges!$EK$4:$FE$4,0))))</f>
        <v>0</v>
      </c>
    </row>
    <row r="203" spans="3:19">
      <c r="L203" s="377"/>
      <c r="M203" s="377"/>
      <c r="N203" s="377"/>
    </row>
    <row r="204" spans="3:19">
      <c r="C204" s="4"/>
      <c r="K204" s="2" t="s">
        <v>401</v>
      </c>
      <c r="L204" s="385">
        <f>SUM(L175,L183,L190,L196,L199)</f>
        <v>0.2</v>
      </c>
      <c r="M204" s="534">
        <f>VLOOKUP(info_st,Ranges!$EF:$EI,3,FALSE)</f>
        <v>-0.5</v>
      </c>
      <c r="N204" s="534">
        <f>IF(info_admit=Ranges!$EF$6,Ranges!EI6,VLOOKUP(info_st,Ranges!$EF:$EI,4,FALSE))</f>
        <v>0.5</v>
      </c>
    </row>
    <row r="205" spans="3:19" s="4" customFormat="1">
      <c r="K205" s="187" t="s">
        <v>400</v>
      </c>
      <c r="L205" s="390">
        <f>IF(X174,MIN(MAX(L204,M205),N205)+1,1)</f>
        <v>1.2</v>
      </c>
      <c r="M205" s="275">
        <f>IF(info_st="ny",IF($X$174,IF(ABS(Rate_Exper-1)&gt;0.25,0,IF(Rate_Exper&lt;1,MAX(0.75/Rate_Exper-1,M204),M204)),1),M204)</f>
        <v>-0.5</v>
      </c>
      <c r="N205" s="275">
        <f>IF(info_st="ny",IF($X$174,IF(ABS(Rate_Exper-1)&gt;0.25,0,IF(Rate_Exper&gt;1,MIN(1.25/Rate_Exper-1,N204),N204)),1),N204)</f>
        <v>0.5</v>
      </c>
      <c r="Q205" s="390">
        <f>L204+1</f>
        <v>1.2</v>
      </c>
    </row>
    <row r="206" spans="3:19">
      <c r="C206" s="4"/>
      <c r="K206" s="2"/>
      <c r="L206" s="89"/>
      <c r="Q206" s="573">
        <f>Q205*Rate_Exper</f>
        <v>1.1195999999999999</v>
      </c>
      <c r="S206" s="4"/>
    </row>
    <row r="207" spans="3:19" s="4" customFormat="1">
      <c r="C207" s="4" t="s">
        <v>446</v>
      </c>
      <c r="J207" s="406" t="str">
        <f>V246</f>
        <v/>
      </c>
    </row>
    <row r="208" spans="3:19" s="4" customFormat="1" ht="75" customHeight="1">
      <c r="C208" s="580"/>
      <c r="D208" s="581"/>
      <c r="E208" s="581"/>
      <c r="F208" s="581"/>
      <c r="G208" s="581"/>
      <c r="H208" s="581"/>
      <c r="I208" s="581"/>
      <c r="J208" s="581"/>
      <c r="K208" s="581"/>
      <c r="L208" s="581"/>
      <c r="M208" s="581"/>
      <c r="N208" s="582"/>
    </row>
    <row r="209" spans="2:27" s="4" customFormat="1"/>
    <row r="210" spans="2:27" ht="17.25">
      <c r="B210" s="11" t="s">
        <v>360</v>
      </c>
      <c r="C210" s="4"/>
      <c r="D210" s="407" t="str">
        <f>IF(info_st="ny",IF($X$174,"",$R$175),"")</f>
        <v/>
      </c>
    </row>
    <row r="211" spans="2:27" ht="30" customHeight="1">
      <c r="C211" s="613" t="s">
        <v>391</v>
      </c>
      <c r="D211" s="613"/>
      <c r="E211" s="613"/>
      <c r="F211" s="613"/>
      <c r="G211" s="613"/>
      <c r="H211" s="613"/>
      <c r="I211" s="613"/>
      <c r="J211" s="613"/>
      <c r="K211" s="613"/>
      <c r="L211" s="613"/>
      <c r="M211" s="613"/>
      <c r="N211" s="613"/>
    </row>
    <row r="212" spans="2:27" s="4" customFormat="1" ht="30" customHeight="1">
      <c r="C212" s="606" t="str">
        <f>IF(info_st="ny",Ranges!$FH$28,"")</f>
        <v/>
      </c>
      <c r="D212" s="606"/>
      <c r="E212" s="606"/>
      <c r="F212" s="606"/>
      <c r="G212" s="606"/>
      <c r="H212" s="606"/>
      <c r="I212" s="606"/>
      <c r="J212" s="606"/>
      <c r="K212" s="606"/>
      <c r="L212" s="606"/>
      <c r="M212" s="606"/>
      <c r="N212" s="606"/>
    </row>
    <row r="213" spans="2:27" ht="30.75" thickBot="1">
      <c r="B213" s="4"/>
      <c r="D213" s="156" t="s">
        <v>364</v>
      </c>
      <c r="E213" s="156" t="s">
        <v>363</v>
      </c>
      <c r="F213" s="207" t="s">
        <v>379</v>
      </c>
      <c r="G213" s="607" t="s">
        <v>375</v>
      </c>
      <c r="H213" s="607"/>
      <c r="I213" s="607" t="s">
        <v>376</v>
      </c>
      <c r="J213" s="607"/>
      <c r="K213" s="213" t="s">
        <v>377</v>
      </c>
      <c r="L213" s="226" t="s">
        <v>415</v>
      </c>
      <c r="M213" s="226" t="s">
        <v>410</v>
      </c>
      <c r="N213" s="226" t="s">
        <v>405</v>
      </c>
      <c r="O213" s="226" t="s">
        <v>406</v>
      </c>
      <c r="P213" s="148"/>
      <c r="T213" s="4"/>
      <c r="X213" s="4"/>
      <c r="Y213" s="4"/>
      <c r="Z213" s="4"/>
      <c r="AA213" s="4"/>
    </row>
    <row r="214" spans="2:27">
      <c r="B214" s="4"/>
      <c r="D214" s="155">
        <f t="shared" ref="D214:D238" si="19">IF(K214&gt;0,1,0)</f>
        <v>1</v>
      </c>
      <c r="E214" s="126">
        <v>1</v>
      </c>
      <c r="F214" s="216">
        <v>43222</v>
      </c>
      <c r="G214" s="608">
        <v>7000</v>
      </c>
      <c r="H214" s="609"/>
      <c r="I214" s="610">
        <v>0</v>
      </c>
      <c r="J214" s="610"/>
      <c r="K214" s="212">
        <f t="shared" ref="K214:K221" si="20">SUM(G214:I214)</f>
        <v>7000</v>
      </c>
      <c r="L214" s="227">
        <f t="shared" ref="L214:L238" si="21">K214*M214</f>
        <v>7000</v>
      </c>
      <c r="M214" s="218">
        <f t="shared" ref="M214:M238" si="22">IF(N214=1,0,IF(DATE(YEAR(F214)+5,MONTH(F214),DAY(F214))&lt;info_effdt,0,D214))</f>
        <v>1</v>
      </c>
      <c r="N214" s="218">
        <f>IF(AND($K214&lt;Ranges!$GA$6,$D214=1),1,0)</f>
        <v>0</v>
      </c>
      <c r="O214" s="218">
        <f>IF(AND($K214&gt;Ranges!$GA$7,$D214=1),1,0)</f>
        <v>0</v>
      </c>
      <c r="T214" s="58"/>
      <c r="X214" s="4"/>
      <c r="Y214" s="4"/>
      <c r="Z214" s="4"/>
      <c r="AA214" s="4"/>
    </row>
    <row r="215" spans="2:27">
      <c r="B215" s="4"/>
      <c r="D215" s="155">
        <f t="shared" si="19"/>
        <v>0</v>
      </c>
      <c r="E215" s="126">
        <f>E214+1</f>
        <v>2</v>
      </c>
      <c r="F215" s="217"/>
      <c r="G215" s="589"/>
      <c r="H215" s="590"/>
      <c r="I215" s="591"/>
      <c r="J215" s="591"/>
      <c r="K215" s="211">
        <f t="shared" si="20"/>
        <v>0</v>
      </c>
      <c r="L215" s="227">
        <f t="shared" si="21"/>
        <v>0</v>
      </c>
      <c r="M215" s="218">
        <f t="shared" si="22"/>
        <v>0</v>
      </c>
      <c r="N215" s="218">
        <f>IF(AND($K215&lt;Ranges!$GA$6,$D215=1),1,0)</f>
        <v>0</v>
      </c>
      <c r="O215" s="218">
        <f>IF(AND($K215&gt;Ranges!$GA$7,$D215=1),1,0)</f>
        <v>0</v>
      </c>
      <c r="Q215" s="4"/>
      <c r="T215" s="56"/>
      <c r="X215" s="4"/>
      <c r="Y215" s="4"/>
      <c r="Z215" s="4"/>
      <c r="AA215" s="4"/>
    </row>
    <row r="216" spans="2:27">
      <c r="D216" s="155">
        <f t="shared" si="19"/>
        <v>0</v>
      </c>
      <c r="E216" s="209">
        <f t="shared" ref="E216:E221" si="23">E215+1</f>
        <v>3</v>
      </c>
      <c r="F216" s="217"/>
      <c r="G216" s="589"/>
      <c r="H216" s="590"/>
      <c r="I216" s="591"/>
      <c r="J216" s="591"/>
      <c r="K216" s="211">
        <f t="shared" si="20"/>
        <v>0</v>
      </c>
      <c r="L216" s="227">
        <f>K216*M216</f>
        <v>0</v>
      </c>
      <c r="M216" s="218">
        <f t="shared" si="22"/>
        <v>0</v>
      </c>
      <c r="N216" s="218">
        <f>IF(AND($K216&lt;Ranges!$GA$6,$D216=1),1,0)</f>
        <v>0</v>
      </c>
      <c r="O216" s="218">
        <f>IF(AND($K216&gt;Ranges!$GA$7,$D216=1),1,0)</f>
        <v>0</v>
      </c>
      <c r="T216" s="89"/>
      <c r="X216" s="4"/>
      <c r="Y216" s="4"/>
      <c r="Z216" s="4"/>
      <c r="AA216" s="4"/>
    </row>
    <row r="217" spans="2:27">
      <c r="D217" s="155">
        <f t="shared" si="19"/>
        <v>0</v>
      </c>
      <c r="E217" s="209">
        <f t="shared" si="23"/>
        <v>4</v>
      </c>
      <c r="F217" s="217"/>
      <c r="G217" s="589"/>
      <c r="H217" s="590"/>
      <c r="I217" s="591"/>
      <c r="J217" s="591"/>
      <c r="K217" s="211">
        <f t="shared" si="20"/>
        <v>0</v>
      </c>
      <c r="L217" s="227">
        <f t="shared" si="21"/>
        <v>0</v>
      </c>
      <c r="M217" s="218">
        <f t="shared" si="22"/>
        <v>0</v>
      </c>
      <c r="N217" s="218">
        <f>IF(AND($K217&lt;Ranges!$GA$6,$D217=1),1,0)</f>
        <v>0</v>
      </c>
      <c r="O217" s="218">
        <f>IF(AND($K217&gt;Ranges!$GA$7,$D217=1),1,0)</f>
        <v>0</v>
      </c>
      <c r="T217" s="151"/>
      <c r="X217" s="4"/>
      <c r="Y217" s="4"/>
      <c r="Z217" s="4"/>
      <c r="AA217" s="4"/>
    </row>
    <row r="218" spans="2:27">
      <c r="D218" s="155">
        <f t="shared" si="19"/>
        <v>0</v>
      </c>
      <c r="E218" s="209">
        <f t="shared" si="23"/>
        <v>5</v>
      </c>
      <c r="F218" s="217"/>
      <c r="G218" s="589"/>
      <c r="H218" s="590"/>
      <c r="I218" s="591"/>
      <c r="J218" s="591"/>
      <c r="K218" s="211">
        <f t="shared" si="20"/>
        <v>0</v>
      </c>
      <c r="L218" s="227">
        <f t="shared" si="21"/>
        <v>0</v>
      </c>
      <c r="M218" s="218">
        <f t="shared" si="22"/>
        <v>0</v>
      </c>
      <c r="N218" s="218">
        <f>IF(AND($K218&lt;Ranges!$GA$6,$D218=1),1,0)</f>
        <v>0</v>
      </c>
      <c r="O218" s="218">
        <f>IF(AND($K218&gt;Ranges!$GA$7,$D218=1),1,0)</f>
        <v>0</v>
      </c>
      <c r="T218" s="152"/>
      <c r="X218" s="4"/>
      <c r="Y218" s="4"/>
      <c r="Z218" s="4"/>
      <c r="AA218" s="4"/>
    </row>
    <row r="219" spans="2:27">
      <c r="D219" s="155">
        <f t="shared" si="19"/>
        <v>0</v>
      </c>
      <c r="E219" s="209">
        <f t="shared" si="23"/>
        <v>6</v>
      </c>
      <c r="F219" s="217"/>
      <c r="G219" s="589"/>
      <c r="H219" s="590"/>
      <c r="I219" s="591"/>
      <c r="J219" s="591"/>
      <c r="K219" s="211">
        <f t="shared" si="20"/>
        <v>0</v>
      </c>
      <c r="L219" s="227">
        <f t="shared" si="21"/>
        <v>0</v>
      </c>
      <c r="M219" s="218">
        <f t="shared" si="22"/>
        <v>0</v>
      </c>
      <c r="N219" s="218">
        <f>IF(AND($K219&lt;Ranges!$GA$6,$D219=1),1,0)</f>
        <v>0</v>
      </c>
      <c r="O219" s="218">
        <f>IF(AND($K219&gt;Ranges!$GA$7,$D219=1),1,0)</f>
        <v>0</v>
      </c>
      <c r="T219" s="152"/>
      <c r="X219" s="4"/>
      <c r="Y219" s="4"/>
      <c r="Z219" s="4"/>
      <c r="AA219" s="4"/>
    </row>
    <row r="220" spans="2:27">
      <c r="D220" s="155">
        <f t="shared" si="19"/>
        <v>0</v>
      </c>
      <c r="E220" s="209">
        <f t="shared" si="23"/>
        <v>7</v>
      </c>
      <c r="F220" s="217"/>
      <c r="G220" s="589"/>
      <c r="H220" s="590"/>
      <c r="I220" s="591"/>
      <c r="J220" s="591"/>
      <c r="K220" s="211">
        <f t="shared" si="20"/>
        <v>0</v>
      </c>
      <c r="L220" s="227">
        <f t="shared" si="21"/>
        <v>0</v>
      </c>
      <c r="M220" s="218">
        <f t="shared" si="22"/>
        <v>0</v>
      </c>
      <c r="N220" s="218">
        <f>IF(AND($K220&lt;Ranges!$GA$6,$D220=1),1,0)</f>
        <v>0</v>
      </c>
      <c r="O220" s="218">
        <f>IF(AND($K220&gt;Ranges!$GA$7,$D220=1),1,0)</f>
        <v>0</v>
      </c>
      <c r="T220" s="151"/>
      <c r="X220" s="4"/>
      <c r="Y220" s="4"/>
      <c r="Z220" s="4"/>
      <c r="AA220" s="4"/>
    </row>
    <row r="221" spans="2:27">
      <c r="D221" s="155">
        <f t="shared" si="19"/>
        <v>0</v>
      </c>
      <c r="E221" s="209">
        <f t="shared" si="23"/>
        <v>8</v>
      </c>
      <c r="F221" s="217"/>
      <c r="G221" s="589"/>
      <c r="H221" s="590"/>
      <c r="I221" s="591"/>
      <c r="J221" s="591"/>
      <c r="K221" s="211">
        <f t="shared" si="20"/>
        <v>0</v>
      </c>
      <c r="L221" s="227">
        <f t="shared" si="21"/>
        <v>0</v>
      </c>
      <c r="M221" s="218">
        <f t="shared" si="22"/>
        <v>0</v>
      </c>
      <c r="N221" s="218">
        <f>IF(AND($K221&lt;Ranges!$GA$6,$D221=1),1,0)</f>
        <v>0</v>
      </c>
      <c r="O221" s="218">
        <f>IF(AND($K221&gt;Ranges!$GA$7,$D221=1),1,0)</f>
        <v>0</v>
      </c>
      <c r="T221" s="56"/>
      <c r="X221" s="4"/>
      <c r="Y221" s="4"/>
      <c r="Z221" s="4"/>
      <c r="AA221" s="4"/>
    </row>
    <row r="222" spans="2:27" s="4" customFormat="1">
      <c r="D222" s="155">
        <f t="shared" si="19"/>
        <v>0</v>
      </c>
      <c r="E222" s="209">
        <f t="shared" ref="E222:E238" si="24">E221+1</f>
        <v>9</v>
      </c>
      <c r="F222" s="217"/>
      <c r="G222" s="589"/>
      <c r="H222" s="590"/>
      <c r="I222" s="591"/>
      <c r="J222" s="591"/>
      <c r="K222" s="211">
        <f t="shared" ref="K222:K226" si="25">SUM(G222:I222)</f>
        <v>0</v>
      </c>
      <c r="L222" s="227">
        <f t="shared" si="21"/>
        <v>0</v>
      </c>
      <c r="M222" s="218">
        <f t="shared" si="22"/>
        <v>0</v>
      </c>
      <c r="N222" s="218">
        <f>IF(AND($K222&lt;Ranges!$GA$6,$D222=1),1,0)</f>
        <v>0</v>
      </c>
      <c r="O222" s="218">
        <f>IF(AND($K222&gt;Ranges!$GA$7,$D222=1),1,0)</f>
        <v>0</v>
      </c>
      <c r="T222" s="151"/>
    </row>
    <row r="223" spans="2:27" s="4" customFormat="1">
      <c r="D223" s="155">
        <f t="shared" si="19"/>
        <v>0</v>
      </c>
      <c r="E223" s="209">
        <f t="shared" si="24"/>
        <v>10</v>
      </c>
      <c r="F223" s="217"/>
      <c r="G223" s="591"/>
      <c r="H223" s="591"/>
      <c r="I223" s="591"/>
      <c r="J223" s="591"/>
      <c r="K223" s="211">
        <f t="shared" si="25"/>
        <v>0</v>
      </c>
      <c r="L223" s="227">
        <f t="shared" si="21"/>
        <v>0</v>
      </c>
      <c r="M223" s="218">
        <f t="shared" si="22"/>
        <v>0</v>
      </c>
      <c r="N223" s="218">
        <f>IF(AND($K223&lt;Ranges!$GA$6,$D223=1),1,0)</f>
        <v>0</v>
      </c>
      <c r="O223" s="218">
        <f>IF(AND($K223&gt;Ranges!$GA$7,$D223=1),1,0)</f>
        <v>0</v>
      </c>
      <c r="T223" s="57"/>
    </row>
    <row r="224" spans="2:27" s="4" customFormat="1">
      <c r="D224" s="155">
        <f t="shared" si="19"/>
        <v>0</v>
      </c>
      <c r="E224" s="209">
        <f t="shared" si="24"/>
        <v>11</v>
      </c>
      <c r="F224" s="90"/>
      <c r="G224" s="591"/>
      <c r="H224" s="591"/>
      <c r="I224" s="591"/>
      <c r="J224" s="591"/>
      <c r="K224" s="211">
        <f t="shared" si="25"/>
        <v>0</v>
      </c>
      <c r="L224" s="227">
        <f t="shared" si="21"/>
        <v>0</v>
      </c>
      <c r="M224" s="218">
        <f t="shared" si="22"/>
        <v>0</v>
      </c>
      <c r="N224" s="218">
        <f>IF(AND($K224&lt;Ranges!$GA$6,$D224=1),1,0)</f>
        <v>0</v>
      </c>
      <c r="O224" s="218">
        <f>IF(AND($K224&gt;Ranges!$GA$7,$D224=1),1,0)</f>
        <v>0</v>
      </c>
      <c r="T224" s="151"/>
    </row>
    <row r="225" spans="4:27" s="4" customFormat="1">
      <c r="D225" s="155">
        <f t="shared" si="19"/>
        <v>0</v>
      </c>
      <c r="E225" s="209">
        <f t="shared" si="24"/>
        <v>12</v>
      </c>
      <c r="F225" s="90"/>
      <c r="G225" s="591"/>
      <c r="H225" s="591"/>
      <c r="I225" s="591"/>
      <c r="J225" s="591"/>
      <c r="K225" s="211">
        <f t="shared" si="25"/>
        <v>0</v>
      </c>
      <c r="L225" s="227">
        <f t="shared" si="21"/>
        <v>0</v>
      </c>
      <c r="M225" s="218">
        <f t="shared" si="22"/>
        <v>0</v>
      </c>
      <c r="N225" s="218">
        <f>IF(AND($K225&lt;Ranges!$GA$6,$D225=1),1,0)</f>
        <v>0</v>
      </c>
      <c r="O225" s="218">
        <f>IF(AND($K225&gt;Ranges!$GA$7,$D225=1),1,0)</f>
        <v>0</v>
      </c>
      <c r="T225" s="151"/>
    </row>
    <row r="226" spans="4:27" s="4" customFormat="1">
      <c r="D226" s="155">
        <f t="shared" si="19"/>
        <v>0</v>
      </c>
      <c r="E226" s="209">
        <f t="shared" si="24"/>
        <v>13</v>
      </c>
      <c r="F226" s="90"/>
      <c r="G226" s="591"/>
      <c r="H226" s="591"/>
      <c r="I226" s="591"/>
      <c r="J226" s="591"/>
      <c r="K226" s="211">
        <f t="shared" si="25"/>
        <v>0</v>
      </c>
      <c r="L226" s="227">
        <f t="shared" si="21"/>
        <v>0</v>
      </c>
      <c r="M226" s="218">
        <f t="shared" si="22"/>
        <v>0</v>
      </c>
      <c r="N226" s="218">
        <f>IF(AND($K226&lt;Ranges!$GA$6,$D226=1),1,0)</f>
        <v>0</v>
      </c>
      <c r="O226" s="218">
        <f>IF(AND($K226&gt;Ranges!$GA$7,$D226=1),1,0)</f>
        <v>0</v>
      </c>
      <c r="T226" s="151"/>
    </row>
    <row r="227" spans="4:27">
      <c r="D227" s="155">
        <f t="shared" si="19"/>
        <v>0</v>
      </c>
      <c r="E227" s="209">
        <f t="shared" si="24"/>
        <v>14</v>
      </c>
      <c r="F227" s="90"/>
      <c r="G227" s="591"/>
      <c r="H227" s="591"/>
      <c r="I227" s="591"/>
      <c r="J227" s="591"/>
      <c r="K227" s="211">
        <f>SUM(G227:I227)</f>
        <v>0</v>
      </c>
      <c r="L227" s="227">
        <f t="shared" si="21"/>
        <v>0</v>
      </c>
      <c r="M227" s="218">
        <f t="shared" si="22"/>
        <v>0</v>
      </c>
      <c r="N227" s="218">
        <f>IF(AND($K227&lt;Ranges!$GA$6,$D227=1),1,0)</f>
        <v>0</v>
      </c>
      <c r="O227" s="218">
        <f>IF(AND($K227&gt;Ranges!$GA$7,$D227=1),1,0)</f>
        <v>0</v>
      </c>
      <c r="T227" s="4"/>
      <c r="X227" s="4"/>
      <c r="Y227" s="4"/>
      <c r="Z227" s="4"/>
      <c r="AA227" s="4"/>
    </row>
    <row r="228" spans="4:27" s="4" customFormat="1">
      <c r="D228" s="155">
        <f t="shared" ref="D228:D237" si="26">IF(K228&gt;0,1,0)</f>
        <v>0</v>
      </c>
      <c r="E228" s="229">
        <f t="shared" si="24"/>
        <v>15</v>
      </c>
      <c r="F228" s="90"/>
      <c r="G228" s="591"/>
      <c r="H228" s="591"/>
      <c r="I228" s="591"/>
      <c r="J228" s="591"/>
      <c r="K228" s="211">
        <f t="shared" ref="K228:K237" si="27">SUM(G228:I228)</f>
        <v>0</v>
      </c>
      <c r="L228" s="227">
        <f t="shared" ref="L228:L237" si="28">K228*M228</f>
        <v>0</v>
      </c>
      <c r="M228" s="218">
        <f t="shared" si="22"/>
        <v>0</v>
      </c>
      <c r="N228" s="218">
        <f>IF(AND($K228&lt;Ranges!$GA$6,$D228=1),1,0)</f>
        <v>0</v>
      </c>
      <c r="O228" s="218">
        <f>IF(AND($K228&gt;Ranges!$GA$7,$D228=1),1,0)</f>
        <v>0</v>
      </c>
    </row>
    <row r="229" spans="4:27" s="4" customFormat="1">
      <c r="D229" s="155">
        <f t="shared" si="26"/>
        <v>0</v>
      </c>
      <c r="E229" s="229">
        <f t="shared" si="24"/>
        <v>16</v>
      </c>
      <c r="F229" s="90"/>
      <c r="G229" s="591"/>
      <c r="H229" s="591"/>
      <c r="I229" s="591"/>
      <c r="J229" s="591"/>
      <c r="K229" s="211">
        <f t="shared" si="27"/>
        <v>0</v>
      </c>
      <c r="L229" s="227">
        <f t="shared" si="28"/>
        <v>0</v>
      </c>
      <c r="M229" s="218">
        <f t="shared" si="22"/>
        <v>0</v>
      </c>
      <c r="N229" s="218">
        <f>IF(AND($K229&lt;Ranges!$GA$6,$D229=1),1,0)</f>
        <v>0</v>
      </c>
      <c r="O229" s="218">
        <f>IF(AND($K229&gt;Ranges!$GA$7,$D229=1),1,0)</f>
        <v>0</v>
      </c>
    </row>
    <row r="230" spans="4:27" s="4" customFormat="1">
      <c r="D230" s="155">
        <f t="shared" si="26"/>
        <v>0</v>
      </c>
      <c r="E230" s="229">
        <f t="shared" si="24"/>
        <v>17</v>
      </c>
      <c r="F230" s="90"/>
      <c r="G230" s="591"/>
      <c r="H230" s="591"/>
      <c r="I230" s="591"/>
      <c r="J230" s="591"/>
      <c r="K230" s="211">
        <f t="shared" si="27"/>
        <v>0</v>
      </c>
      <c r="L230" s="227">
        <f t="shared" si="28"/>
        <v>0</v>
      </c>
      <c r="M230" s="218">
        <f t="shared" si="22"/>
        <v>0</v>
      </c>
      <c r="N230" s="218">
        <f>IF(AND($K230&lt;Ranges!$GA$6,$D230=1),1,0)</f>
        <v>0</v>
      </c>
      <c r="O230" s="218">
        <f>IF(AND($K230&gt;Ranges!$GA$7,$D230=1),1,0)</f>
        <v>0</v>
      </c>
    </row>
    <row r="231" spans="4:27" s="4" customFormat="1">
      <c r="D231" s="155">
        <f t="shared" si="26"/>
        <v>0</v>
      </c>
      <c r="E231" s="229">
        <f t="shared" si="24"/>
        <v>18</v>
      </c>
      <c r="F231" s="90"/>
      <c r="G231" s="591"/>
      <c r="H231" s="591"/>
      <c r="I231" s="591"/>
      <c r="J231" s="591"/>
      <c r="K231" s="211">
        <f t="shared" si="27"/>
        <v>0</v>
      </c>
      <c r="L231" s="227">
        <f t="shared" si="28"/>
        <v>0</v>
      </c>
      <c r="M231" s="218">
        <f t="shared" si="22"/>
        <v>0</v>
      </c>
      <c r="N231" s="218">
        <f>IF(AND($K231&lt;Ranges!$GA$6,$D231=1),1,0)</f>
        <v>0</v>
      </c>
      <c r="O231" s="218">
        <f>IF(AND($K231&gt;Ranges!$GA$7,$D231=1),1,0)</f>
        <v>0</v>
      </c>
    </row>
    <row r="232" spans="4:27" s="4" customFormat="1">
      <c r="D232" s="155">
        <f t="shared" si="26"/>
        <v>0</v>
      </c>
      <c r="E232" s="229">
        <f t="shared" si="24"/>
        <v>19</v>
      </c>
      <c r="F232" s="90"/>
      <c r="G232" s="591"/>
      <c r="H232" s="591"/>
      <c r="I232" s="591"/>
      <c r="J232" s="591"/>
      <c r="K232" s="211">
        <f t="shared" si="27"/>
        <v>0</v>
      </c>
      <c r="L232" s="227">
        <f t="shared" si="28"/>
        <v>0</v>
      </c>
      <c r="M232" s="218">
        <f t="shared" si="22"/>
        <v>0</v>
      </c>
      <c r="N232" s="218">
        <f>IF(AND($K232&lt;Ranges!$GA$6,$D232=1),1,0)</f>
        <v>0</v>
      </c>
      <c r="O232" s="218">
        <f>IF(AND($K232&gt;Ranges!$GA$7,$D232=1),1,0)</f>
        <v>0</v>
      </c>
    </row>
    <row r="233" spans="4:27" s="4" customFormat="1">
      <c r="D233" s="155">
        <f t="shared" si="26"/>
        <v>0</v>
      </c>
      <c r="E233" s="229">
        <f t="shared" si="24"/>
        <v>20</v>
      </c>
      <c r="F233" s="90"/>
      <c r="G233" s="591"/>
      <c r="H233" s="591"/>
      <c r="I233" s="591"/>
      <c r="J233" s="591"/>
      <c r="K233" s="211">
        <f t="shared" si="27"/>
        <v>0</v>
      </c>
      <c r="L233" s="227">
        <f t="shared" si="28"/>
        <v>0</v>
      </c>
      <c r="M233" s="218">
        <f t="shared" si="22"/>
        <v>0</v>
      </c>
      <c r="N233" s="218">
        <f>IF(AND($K233&lt;Ranges!$GA$6,$D233=1),1,0)</f>
        <v>0</v>
      </c>
      <c r="O233" s="218">
        <f>IF(AND($K233&gt;Ranges!$GA$7,$D233=1),1,0)</f>
        <v>0</v>
      </c>
    </row>
    <row r="234" spans="4:27" s="4" customFormat="1">
      <c r="D234" s="155">
        <f t="shared" si="26"/>
        <v>0</v>
      </c>
      <c r="E234" s="229">
        <f t="shared" si="24"/>
        <v>21</v>
      </c>
      <c r="F234" s="90"/>
      <c r="G234" s="591"/>
      <c r="H234" s="591"/>
      <c r="I234" s="591"/>
      <c r="J234" s="591"/>
      <c r="K234" s="211">
        <f t="shared" si="27"/>
        <v>0</v>
      </c>
      <c r="L234" s="227">
        <f t="shared" si="28"/>
        <v>0</v>
      </c>
      <c r="M234" s="218">
        <f t="shared" si="22"/>
        <v>0</v>
      </c>
      <c r="N234" s="218">
        <f>IF(AND($K234&lt;Ranges!$GA$6,$D234=1),1,0)</f>
        <v>0</v>
      </c>
      <c r="O234" s="218">
        <f>IF(AND($K234&gt;Ranges!$GA$7,$D234=1),1,0)</f>
        <v>0</v>
      </c>
    </row>
    <row r="235" spans="4:27" s="4" customFormat="1">
      <c r="D235" s="155">
        <f t="shared" si="26"/>
        <v>0</v>
      </c>
      <c r="E235" s="229">
        <f t="shared" si="24"/>
        <v>22</v>
      </c>
      <c r="F235" s="90"/>
      <c r="G235" s="591"/>
      <c r="H235" s="591"/>
      <c r="I235" s="591"/>
      <c r="J235" s="591"/>
      <c r="K235" s="211">
        <f t="shared" si="27"/>
        <v>0</v>
      </c>
      <c r="L235" s="227">
        <f t="shared" si="28"/>
        <v>0</v>
      </c>
      <c r="M235" s="218">
        <f t="shared" si="22"/>
        <v>0</v>
      </c>
      <c r="N235" s="218">
        <f>IF(AND($K235&lt;Ranges!$GA$6,$D235=1),1,0)</f>
        <v>0</v>
      </c>
      <c r="O235" s="218">
        <f>IF(AND($K235&gt;Ranges!$GA$7,$D235=1),1,0)</f>
        <v>0</v>
      </c>
    </row>
    <row r="236" spans="4:27" s="4" customFormat="1">
      <c r="D236" s="155">
        <f t="shared" si="26"/>
        <v>0</v>
      </c>
      <c r="E236" s="229">
        <f t="shared" si="24"/>
        <v>23</v>
      </c>
      <c r="F236" s="90"/>
      <c r="G236" s="591"/>
      <c r="H236" s="591"/>
      <c r="I236" s="591"/>
      <c r="J236" s="591"/>
      <c r="K236" s="211">
        <f t="shared" si="27"/>
        <v>0</v>
      </c>
      <c r="L236" s="227">
        <f t="shared" si="28"/>
        <v>0</v>
      </c>
      <c r="M236" s="218">
        <f t="shared" si="22"/>
        <v>0</v>
      </c>
      <c r="N236" s="218">
        <f>IF(AND($K236&lt;Ranges!$GA$6,$D236=1),1,0)</f>
        <v>0</v>
      </c>
      <c r="O236" s="218">
        <f>IF(AND($K236&gt;Ranges!$GA$7,$D236=1),1,0)</f>
        <v>0</v>
      </c>
    </row>
    <row r="237" spans="4:27" s="4" customFormat="1">
      <c r="D237" s="155">
        <f t="shared" si="26"/>
        <v>0</v>
      </c>
      <c r="E237" s="229">
        <f t="shared" si="24"/>
        <v>24</v>
      </c>
      <c r="F237" s="90"/>
      <c r="G237" s="591"/>
      <c r="H237" s="591"/>
      <c r="I237" s="591"/>
      <c r="J237" s="591"/>
      <c r="K237" s="211">
        <f t="shared" si="27"/>
        <v>0</v>
      </c>
      <c r="L237" s="227">
        <f t="shared" si="28"/>
        <v>0</v>
      </c>
      <c r="M237" s="218">
        <f t="shared" si="22"/>
        <v>0</v>
      </c>
      <c r="N237" s="218">
        <f>IF(AND($K237&lt;Ranges!$GA$6,$D237=1),1,0)</f>
        <v>0</v>
      </c>
      <c r="O237" s="218">
        <f>IF(AND($K237&gt;Ranges!$GA$7,$D237=1),1,0)</f>
        <v>0</v>
      </c>
    </row>
    <row r="238" spans="4:27" ht="15.75" thickBot="1">
      <c r="D238" s="263">
        <f t="shared" si="19"/>
        <v>0</v>
      </c>
      <c r="E238" s="229">
        <f t="shared" si="24"/>
        <v>25</v>
      </c>
      <c r="F238" s="265"/>
      <c r="G238" s="603"/>
      <c r="H238" s="603"/>
      <c r="I238" s="603"/>
      <c r="J238" s="603"/>
      <c r="K238" s="266">
        <f>SUM(G238:I238)</f>
        <v>0</v>
      </c>
      <c r="L238" s="267">
        <f t="shared" si="21"/>
        <v>0</v>
      </c>
      <c r="M238" s="268">
        <f t="shared" si="22"/>
        <v>0</v>
      </c>
      <c r="N238" s="268">
        <f>IF(AND($K238&lt;Ranges!$GA$6,$D238=1),1,0)</f>
        <v>0</v>
      </c>
      <c r="O238" s="268">
        <f>IF(AND($K238&gt;Ranges!$GA$7,$D238=1),1,0)</f>
        <v>0</v>
      </c>
      <c r="T238" s="4"/>
      <c r="X238" s="4"/>
      <c r="Y238" s="4"/>
      <c r="Z238" s="4"/>
      <c r="AA238" s="4"/>
    </row>
    <row r="239" spans="4:27" s="4" customFormat="1">
      <c r="D239" s="126">
        <f>SUM(D214:D238)</f>
        <v>1</v>
      </c>
      <c r="G239" s="588">
        <f>SUMPRODUCT($D214:$D238,G214:G238)</f>
        <v>7000</v>
      </c>
      <c r="H239" s="588"/>
      <c r="I239" s="588">
        <f t="shared" ref="I239" si="29">SUMPRODUCT($D214:$D238,I214:I238)</f>
        <v>0</v>
      </c>
      <c r="J239" s="588"/>
      <c r="K239" s="264">
        <f>SUMPRODUCT($D214:$D238,K214:K238)</f>
        <v>7000</v>
      </c>
      <c r="L239" s="227">
        <f>SUM(L214:L238)</f>
        <v>7000</v>
      </c>
      <c r="M239" s="227">
        <f>SUM(M214:M238)</f>
        <v>1</v>
      </c>
      <c r="N239" s="227">
        <f>SUM(N214:N238)</f>
        <v>0</v>
      </c>
      <c r="O239" s="227">
        <f>SUM(O214:O238)</f>
        <v>0</v>
      </c>
      <c r="R239"/>
      <c r="S239"/>
    </row>
    <row r="240" spans="4:27">
      <c r="F240" s="4"/>
      <c r="G240" s="4"/>
      <c r="O240" s="4"/>
      <c r="R240" s="33" t="s">
        <v>2738</v>
      </c>
      <c r="S240" s="4"/>
      <c r="T240" s="4"/>
      <c r="U240" s="33" t="s">
        <v>2739</v>
      </c>
      <c r="V240"/>
      <c r="X240" s="4"/>
      <c r="Y240" s="4"/>
    </row>
    <row r="241" spans="2:23" s="4" customFormat="1">
      <c r="D241" s="218"/>
      <c r="E241" s="219" t="s">
        <v>307</v>
      </c>
      <c r="F241" s="220">
        <f>Rate_CountTotal</f>
        <v>11</v>
      </c>
      <c r="G241" s="218"/>
      <c r="H241" s="218"/>
      <c r="I241" s="218"/>
      <c r="J241" s="219" t="s">
        <v>382</v>
      </c>
      <c r="K241" s="221">
        <f>IF(F244="debit",2,4)</f>
        <v>4</v>
      </c>
      <c r="L241" s="218"/>
      <c r="M241" s="218"/>
      <c r="N241" s="219" t="s">
        <v>413</v>
      </c>
      <c r="O241" s="222">
        <f>L239</f>
        <v>7000</v>
      </c>
      <c r="R241" s="397" t="s">
        <v>1454</v>
      </c>
      <c r="S241" s="398" t="b">
        <f>IF(IFERROR(INDEX(Ranges!$FH$71:$FN$77,MATCH($F$242,Ranges!$FH$71:$FH$77,1),MATCH($F$241,Ranges!$FH$71:$FN$71,1)),Ranges!$FI$13)=Ranges!$FI$13,TRUE,FALSE)</f>
        <v>0</v>
      </c>
      <c r="U241" s="63" t="s">
        <v>1495</v>
      </c>
      <c r="V241" s="181" t="b">
        <f>info_st="ny"</f>
        <v>0</v>
      </c>
      <c r="W241" s="450" t="s">
        <v>2985</v>
      </c>
    </row>
    <row r="242" spans="2:23" s="4" customFormat="1">
      <c r="D242" s="218"/>
      <c r="E242" s="219" t="s">
        <v>412</v>
      </c>
      <c r="F242" s="220">
        <f>M239</f>
        <v>1</v>
      </c>
      <c r="G242" s="218"/>
      <c r="H242" s="218"/>
      <c r="I242" s="218"/>
      <c r="J242" s="219" t="str">
        <f>"Average "&amp;F213</f>
        <v>Average Report Date</v>
      </c>
      <c r="K242" s="223">
        <f>AVERAGEIF(M214:M238,1,F214:F238)</f>
        <v>43222</v>
      </c>
      <c r="L242" s="218"/>
      <c r="M242" s="218"/>
      <c r="N242" s="219" t="s">
        <v>272</v>
      </c>
      <c r="O242" s="221">
        <f>IF(F244="debit",INDEX(Ranges!$FU$6:$FV$14,MATCH(O241,Ranges!FU6:FU14,1),2),INDEX(Ranges!$FW$6:$FX$10,MATCH(O241,Ranges!FW6:FW10,1),2))</f>
        <v>15</v>
      </c>
      <c r="R242" s="399" t="s">
        <v>1462</v>
      </c>
      <c r="S242" s="400" t="b">
        <f>IF(ISERROR(VLOOKUP(info_st,Ranges!$FH$78:$FH$87,1,FALSE)),S241,FALSE)</f>
        <v>0</v>
      </c>
      <c r="U242" s="66" t="s">
        <v>400</v>
      </c>
      <c r="V242" s="408">
        <f>Rate_IRM</f>
        <v>1.2</v>
      </c>
      <c r="W242" s="451"/>
    </row>
    <row r="243" spans="2:23" s="4" customFormat="1">
      <c r="D243" s="218"/>
      <c r="E243" s="219" t="s">
        <v>266</v>
      </c>
      <c r="F243" s="224">
        <f>IFERROR(INDEX(IF(info_st="ny",Ranges!$FH$20:$FN$26,IF(info_st="nj",Ranges!$FH$39:$FN$45,IF(OR(info_st="pa",info_st="ca"),Ranges!$FH$58:$FN$64,Ranges!$FH$5:$FN$11))),MATCH(F242,Ranges!$FH$5:$FH$11,1),MATCH(F241,Ranges!$FH$5:$FN$5,1)),Ranges!FI13)</f>
        <v>-0.5</v>
      </c>
      <c r="G243" s="218"/>
      <c r="H243" s="218"/>
      <c r="I243" s="218"/>
      <c r="J243" s="219" t="s">
        <v>380</v>
      </c>
      <c r="K243" s="223">
        <f>info_effdt</f>
        <v>44125</v>
      </c>
      <c r="L243" s="218"/>
      <c r="M243" s="218"/>
      <c r="N243" s="219" t="s">
        <v>411</v>
      </c>
      <c r="O243" s="222">
        <f>O239+IF(AND(O241&gt;100000,F242&gt;5),1,0)</f>
        <v>0</v>
      </c>
      <c r="R243" s="399" t="s">
        <v>411</v>
      </c>
      <c r="S243" s="400" t="b">
        <f>O243&gt;0</f>
        <v>0</v>
      </c>
      <c r="U243" s="66" t="s">
        <v>2735</v>
      </c>
      <c r="V243" s="408">
        <f>Rate_Exper</f>
        <v>0.93300000000000005</v>
      </c>
      <c r="W243" s="451" t="b">
        <f>OR(V243&gt;1.25,V243&lt;0.75)</f>
        <v>0</v>
      </c>
    </row>
    <row r="244" spans="2:23" s="4" customFormat="1">
      <c r="D244" s="218"/>
      <c r="E244" s="219" t="s">
        <v>414</v>
      </c>
      <c r="F244" s="224" t="str">
        <f>IF(F243&gt;0,"Debit","Credit")</f>
        <v>Credit</v>
      </c>
      <c r="G244" s="218"/>
      <c r="H244" s="218"/>
      <c r="I244" s="218"/>
      <c r="J244" s="219" t="s">
        <v>381</v>
      </c>
      <c r="K244" s="221">
        <v>3</v>
      </c>
      <c r="L244" s="218"/>
      <c r="M244" s="218"/>
      <c r="N244" s="219"/>
      <c r="O244" s="220"/>
      <c r="R244" s="399" t="s">
        <v>1470</v>
      </c>
      <c r="S244" s="400" t="b">
        <f>IF(ISERROR(VLOOKUP(info_st,Ranges!$FZ$16:$FZ$22,1,FALSE)),S243,FALSE)</f>
        <v>0</v>
      </c>
      <c r="U244" s="66" t="s">
        <v>1494</v>
      </c>
      <c r="V244" s="205">
        <f>V242*V243</f>
        <v>1.1195999999999999</v>
      </c>
      <c r="W244" s="451" t="b">
        <f>OR(V244&gt;1.25,V244&lt;0.75)</f>
        <v>0</v>
      </c>
    </row>
    <row r="245" spans="2:23" s="4" customFormat="1">
      <c r="D245" s="218"/>
      <c r="E245" s="218"/>
      <c r="F245" s="218"/>
      <c r="G245" s="218"/>
      <c r="H245" s="218"/>
      <c r="I245" s="218"/>
      <c r="J245" s="219" t="s">
        <v>267</v>
      </c>
      <c r="K245" s="224">
        <f>INDEX(IF(info_st="ny",Ranges!$FP$20:$FS$25,IF(info_st="nj",Ranges!$FP$39:$FS$44,Ranges!$FP$5:$FS$10)),MATCH(K244,Ranges!$FP$5:$FP$10,0),K241)</f>
        <v>0.9</v>
      </c>
      <c r="L245" s="218"/>
      <c r="M245" s="218"/>
      <c r="N245" s="219" t="s">
        <v>383</v>
      </c>
      <c r="O245" s="225">
        <f>IF(X174,IF(F243=Ranges!FI13,Ranges!FI13,ROUND((PRODUCT(F243,K245,O242)+100)/100,3)),1)</f>
        <v>0.93300000000000005</v>
      </c>
      <c r="R245" s="403" t="s">
        <v>1471</v>
      </c>
      <c r="S245" s="404" t="b">
        <f>OR(S242,S244)</f>
        <v>0</v>
      </c>
      <c r="U245" s="409" t="s">
        <v>1496</v>
      </c>
      <c r="V245" s="410" t="b">
        <f>IF(OR(V243&lt;=0.75,V243&gt;=1.25),TRUE,AND(V244&gt;=0.75,V244&lt;=1.25))</f>
        <v>1</v>
      </c>
      <c r="W245" s="451"/>
    </row>
    <row r="246" spans="2:23" s="4" customFormat="1">
      <c r="R246" s="401" t="s">
        <v>1442</v>
      </c>
      <c r="S246" s="402" t="b">
        <f>info_internal</f>
        <v>1</v>
      </c>
      <c r="U246" s="411" t="s">
        <v>1497</v>
      </c>
      <c r="V246" s="412" t="str">
        <f>IF(V241,IF(V245,"","ERROR! IRM and Experience Rating Plan cannot combine to a modification greater than +-25% in NY"),"")</f>
        <v/>
      </c>
      <c r="W246" s="452"/>
    </row>
    <row r="247" spans="2:23">
      <c r="C247" s="192" t="s">
        <v>383</v>
      </c>
      <c r="D247" s="193"/>
      <c r="E247" s="193"/>
      <c r="F247" s="194">
        <f>O245</f>
        <v>0.93300000000000005</v>
      </c>
      <c r="G247" s="405" t="str">
        <f>IF(S245,IF(S246,Ranges!FZ31,Ranges!FZ30),"")</f>
        <v/>
      </c>
      <c r="R247" s="4"/>
      <c r="S247" s="4"/>
    </row>
    <row r="248" spans="2:23">
      <c r="F248" t="s">
        <v>2781</v>
      </c>
      <c r="G248" s="407" t="str">
        <f>V246</f>
        <v/>
      </c>
      <c r="R248" s="4"/>
      <c r="S248" s="4"/>
    </row>
    <row r="249" spans="2:23" s="4" customFormat="1">
      <c r="C249" s="4" t="s">
        <v>445</v>
      </c>
    </row>
    <row r="250" spans="2:23" s="4" customFormat="1" ht="75" customHeight="1">
      <c r="C250" s="580"/>
      <c r="D250" s="581"/>
      <c r="E250" s="581"/>
      <c r="F250" s="581"/>
      <c r="G250" s="581"/>
      <c r="H250" s="581"/>
      <c r="I250" s="581"/>
      <c r="J250" s="581"/>
      <c r="K250" s="581"/>
      <c r="L250" s="581"/>
      <c r="M250" s="581"/>
      <c r="N250" s="582"/>
      <c r="R250"/>
      <c r="S250"/>
    </row>
    <row r="251" spans="2:23" s="4" customFormat="1">
      <c r="S251"/>
    </row>
    <row r="252" spans="2:23" s="4" customFormat="1" ht="17.25">
      <c r="B252" s="11" t="s">
        <v>418</v>
      </c>
    </row>
    <row r="253" spans="2:23" s="4" customFormat="1">
      <c r="C253" s="594" t="s">
        <v>425</v>
      </c>
      <c r="D253" s="594"/>
      <c r="E253" s="594"/>
      <c r="F253" s="594"/>
      <c r="G253" s="594"/>
      <c r="H253" s="594"/>
      <c r="I253" s="594"/>
      <c r="J253" s="594"/>
      <c r="K253" s="594"/>
      <c r="L253" s="594"/>
      <c r="M253" s="594"/>
      <c r="N253" s="594"/>
      <c r="O253" s="594"/>
    </row>
    <row r="254" spans="2:23" s="4" customFormat="1" ht="30" customHeight="1">
      <c r="C254" s="594" t="s">
        <v>426</v>
      </c>
      <c r="D254" s="594"/>
      <c r="E254" s="594"/>
      <c r="F254" s="594"/>
      <c r="G254" s="594"/>
      <c r="H254" s="594"/>
      <c r="I254" s="594"/>
      <c r="J254" s="594"/>
      <c r="K254" s="594"/>
      <c r="L254" s="594"/>
      <c r="M254" s="594"/>
      <c r="N254" s="594"/>
      <c r="O254" s="594"/>
    </row>
    <row r="255" spans="2:23" s="4" customFormat="1" ht="30" customHeight="1">
      <c r="C255" s="594" t="s">
        <v>427</v>
      </c>
      <c r="D255" s="594"/>
      <c r="E255" s="594"/>
      <c r="F255" s="594"/>
      <c r="G255" s="594"/>
      <c r="H255" s="594"/>
      <c r="I255" s="594"/>
      <c r="J255" s="594"/>
      <c r="K255" s="594"/>
      <c r="L255" s="594"/>
      <c r="M255" s="594"/>
      <c r="N255" s="594"/>
      <c r="O255" s="594"/>
    </row>
    <row r="256" spans="2:23" s="4" customFormat="1">
      <c r="C256" s="594" t="s">
        <v>428</v>
      </c>
      <c r="D256" s="594"/>
      <c r="E256" s="594"/>
      <c r="F256" s="594"/>
      <c r="G256" s="594"/>
      <c r="H256" s="594"/>
      <c r="I256" s="594"/>
      <c r="J256" s="594"/>
      <c r="K256" s="594"/>
      <c r="L256" s="594"/>
      <c r="M256" s="594"/>
      <c r="N256" s="594"/>
      <c r="O256" s="594"/>
    </row>
    <row r="257" spans="2:17" s="4" customFormat="1"/>
    <row r="258" spans="2:17" s="4" customFormat="1">
      <c r="F258" s="2" t="s">
        <v>422</v>
      </c>
      <c r="G258" s="1" t="s">
        <v>28</v>
      </c>
    </row>
    <row r="259" spans="2:17" s="4" customFormat="1">
      <c r="F259" s="2" t="s">
        <v>423</v>
      </c>
      <c r="G259" s="232">
        <v>1</v>
      </c>
    </row>
    <row r="260" spans="2:17" s="4" customFormat="1">
      <c r="E260" s="190"/>
      <c r="F260" s="191" t="s">
        <v>421</v>
      </c>
      <c r="G260" s="233">
        <f>IF(G258="yes",VLOOKUP(G259,Ranges!$GE$5:$GG$10,IF(info_st="ny",3,IF(info_st="ct",4,2)),FALSE),0)</f>
        <v>0</v>
      </c>
    </row>
    <row r="261" spans="2:17" s="4" customFormat="1"/>
    <row r="262" spans="2:17" s="4" customFormat="1" ht="17.25">
      <c r="B262" s="11" t="s">
        <v>2812</v>
      </c>
    </row>
    <row r="263" spans="2:17" s="4" customFormat="1" hidden="1">
      <c r="C263" s="537"/>
      <c r="D263" s="537"/>
      <c r="E263" s="537"/>
      <c r="F263" s="537"/>
      <c r="G263" s="537"/>
      <c r="H263" s="537"/>
      <c r="I263" s="537"/>
      <c r="J263" s="537"/>
      <c r="K263" s="537"/>
      <c r="L263" s="537"/>
      <c r="M263" s="537"/>
      <c r="N263" s="537"/>
      <c r="O263" s="537"/>
    </row>
    <row r="264" spans="2:17" s="4" customFormat="1">
      <c r="C264" s="4" t="s">
        <v>2652</v>
      </c>
      <c r="F264" s="4" t="str">
        <f>IF(ISERROR(VLOOKUP(info_st,Ranges!$GO:$GO,1,FALSE)),"Pending update to rate filing","Yes")</f>
        <v>Pending update to rate filing</v>
      </c>
    </row>
    <row r="265" spans="2:17" s="4" customFormat="1">
      <c r="C265" s="4" t="str">
        <f>Ranges!GL5</f>
        <v>Overall Coverage Modification</v>
      </c>
      <c r="F265" s="583" t="s">
        <v>2805</v>
      </c>
      <c r="G265" s="584"/>
      <c r="H265" s="584"/>
      <c r="I265" s="584"/>
      <c r="J265" s="585"/>
    </row>
    <row r="266" spans="2:17" s="4" customFormat="1">
      <c r="F266" s="535" t="s">
        <v>356</v>
      </c>
      <c r="G266" s="535" t="s">
        <v>357</v>
      </c>
      <c r="Q266" s="4" t="s">
        <v>2919</v>
      </c>
    </row>
    <row r="267" spans="2:17" s="4" customFormat="1">
      <c r="C267" s="4" t="s">
        <v>315</v>
      </c>
      <c r="E267" s="538">
        <f>AVERAGE(F267,G267)</f>
        <v>1</v>
      </c>
      <c r="F267" s="89">
        <f>VLOOKUP($F$265,IF($Q$267,Ranges!$GL$23:$GN$28,Ranges!$GL:$GN),2,FALSE)</f>
        <v>1</v>
      </c>
      <c r="G267" s="89">
        <f>VLOOKUP($F$265,IF($Q$267,Ranges!$GL$23:$GN$28,Ranges!$GL:$GN),3,FALSE)</f>
        <v>1</v>
      </c>
      <c r="Q267" s="36" t="b">
        <f>IF(ISERROR(VLOOKUP(info_st,Ranges!$GO$23:$GO$28,1,FALSE)),FALSE,TRUE)</f>
        <v>0</v>
      </c>
    </row>
    <row r="268" spans="2:17" s="4" customFormat="1"/>
    <row r="269" spans="2:17" s="4" customFormat="1">
      <c r="C269" s="192" t="s">
        <v>2802</v>
      </c>
      <c r="D269" s="193"/>
      <c r="E269" s="193"/>
      <c r="F269" s="539">
        <f>IF(F264="yes",E267,1)</f>
        <v>1</v>
      </c>
    </row>
    <row r="270" spans="2:17" s="4" customFormat="1"/>
    <row r="271" spans="2:17" s="4" customFormat="1">
      <c r="C271" s="4" t="s">
        <v>2813</v>
      </c>
    </row>
    <row r="272" spans="2:17" s="4" customFormat="1" ht="75" customHeight="1">
      <c r="C272" s="580"/>
      <c r="D272" s="581"/>
      <c r="E272" s="581"/>
      <c r="F272" s="581"/>
      <c r="G272" s="581"/>
      <c r="H272" s="581"/>
      <c r="I272" s="581"/>
      <c r="J272" s="581"/>
      <c r="K272" s="581"/>
      <c r="L272" s="581"/>
      <c r="M272" s="581"/>
      <c r="N272" s="582"/>
    </row>
    <row r="273" spans="2:19" s="4" customFormat="1"/>
    <row r="274" spans="2:19" s="4" customFormat="1" ht="17.25">
      <c r="B274" s="11" t="s">
        <v>2645</v>
      </c>
    </row>
    <row r="275" spans="2:19" s="4" customFormat="1" ht="30" customHeight="1">
      <c r="C275" s="594" t="s">
        <v>2646</v>
      </c>
      <c r="D275" s="594"/>
      <c r="E275" s="594"/>
      <c r="F275" s="594"/>
      <c r="G275" s="594"/>
      <c r="H275" s="594"/>
      <c r="I275" s="594"/>
      <c r="J275" s="594"/>
      <c r="K275" s="594"/>
      <c r="L275" s="594"/>
      <c r="M275" s="594"/>
      <c r="N275" s="594"/>
      <c r="O275" s="594"/>
    </row>
    <row r="276" spans="2:19" s="4" customFormat="1">
      <c r="C276" s="4" t="s">
        <v>2652</v>
      </c>
      <c r="F276" s="4" t="str">
        <f>IF(ISERROR(VLOOKUP(info_st,Ranges!$GT:$GT,1,FALSE)),"Pending update to rate filing","Yes")</f>
        <v>Pending update to rate filing</v>
      </c>
    </row>
    <row r="277" spans="2:19" s="4" customFormat="1">
      <c r="C277" s="4" t="s">
        <v>2665</v>
      </c>
      <c r="F277" s="490">
        <v>0</v>
      </c>
    </row>
    <row r="278" spans="2:19" s="4" customFormat="1"/>
    <row r="279" spans="2:19" s="4" customFormat="1">
      <c r="C279" s="192" t="s">
        <v>2653</v>
      </c>
      <c r="D279" s="193"/>
      <c r="E279" s="193"/>
      <c r="F279" s="491">
        <f>Ranges!$GS$6*Rater!F277</f>
        <v>0</v>
      </c>
    </row>
    <row r="280" spans="2:19" s="4" customFormat="1"/>
    <row r="281" spans="2:19" s="4" customFormat="1">
      <c r="C281" s="4" t="s">
        <v>2675</v>
      </c>
    </row>
    <row r="282" spans="2:19" s="4" customFormat="1" ht="75" customHeight="1">
      <c r="C282" s="580"/>
      <c r="D282" s="581"/>
      <c r="E282" s="581"/>
      <c r="F282" s="581"/>
      <c r="G282" s="581"/>
      <c r="H282" s="581"/>
      <c r="I282" s="581"/>
      <c r="J282" s="581"/>
      <c r="K282" s="581"/>
      <c r="L282" s="581"/>
      <c r="M282" s="581"/>
      <c r="N282" s="582"/>
    </row>
    <row r="283" spans="2:19" s="4" customFormat="1" ht="15.75" thickBot="1"/>
    <row r="284" spans="2:19" s="4" customFormat="1"/>
    <row r="285" spans="2:19" ht="15.75" thickBot="1">
      <c r="R285" s="4"/>
      <c r="S285" s="4"/>
    </row>
    <row r="286" spans="2:19" ht="18" thickBot="1">
      <c r="B286" s="159" t="s">
        <v>1463</v>
      </c>
      <c r="C286" s="160"/>
      <c r="D286" s="619">
        <f>ROUND(ROUND(ROUND(Rate_Subtot*Rate_IRM*Rate_Exper,0)*Rate_DedAgg*Rate_Endorse,0)*(1+Rate_ERP)+Rate_TitleAgency,0)</f>
        <v>24646</v>
      </c>
      <c r="E286" s="620"/>
      <c r="R286" s="164" t="s">
        <v>2510</v>
      </c>
      <c r="S286" s="453">
        <f>ROUND(ROUND(Rate_Subtot*Rate_IRM*Rate_Exper,0)*Rate_DedAgg,0)*(1+Rate_ERP)</f>
        <v>24646</v>
      </c>
    </row>
    <row r="287" spans="2:19" ht="18" thickBot="1">
      <c r="B287" s="159" t="s">
        <v>2504</v>
      </c>
      <c r="C287" s="160"/>
      <c r="D287" s="619">
        <f ca="1">ROUND(Prem_Annual*info_term,0)</f>
        <v>24646</v>
      </c>
      <c r="E287" s="620"/>
      <c r="R287" s="4"/>
      <c r="S287" s="4"/>
    </row>
    <row r="288" spans="2:19" s="4" customFormat="1"/>
    <row r="289" spans="2:20" s="148" customFormat="1" ht="30">
      <c r="B289" s="153" t="s">
        <v>16</v>
      </c>
      <c r="C289" s="153" t="s">
        <v>1521</v>
      </c>
      <c r="D289" s="153"/>
      <c r="E289" s="153"/>
      <c r="F289" s="455" t="s">
        <v>2505</v>
      </c>
      <c r="G289" s="455" t="s">
        <v>1512</v>
      </c>
      <c r="H289" s="455" t="s">
        <v>1513</v>
      </c>
      <c r="I289" s="623" t="s">
        <v>2500</v>
      </c>
      <c r="J289" s="623"/>
      <c r="K289" s="153" t="s">
        <v>2501</v>
      </c>
      <c r="Q289" s="455" t="s">
        <v>2509</v>
      </c>
    </row>
    <row r="290" spans="2:20" s="4" customFormat="1">
      <c r="B290" s="63"/>
      <c r="C290" s="413"/>
      <c r="D290" s="413"/>
      <c r="E290" s="413"/>
      <c r="F290" s="413"/>
      <c r="G290" s="413"/>
      <c r="H290" s="204"/>
      <c r="Q290" s="450" t="b">
        <f>AND(info_st=$B290,info_admit=Ranges!$U$6)</f>
        <v>0</v>
      </c>
    </row>
    <row r="291" spans="2:20" s="4" customFormat="1">
      <c r="B291" s="66" t="str">
        <f>Ranges!HF7</f>
        <v>CA</v>
      </c>
      <c r="C291" s="16" t="str">
        <f>Ranges!HG7</f>
        <v>Insurance Guaranty Association Surcharge</v>
      </c>
      <c r="D291" s="427"/>
      <c r="E291" s="427"/>
      <c r="F291" s="16"/>
      <c r="G291" s="428">
        <f>Ranges!HK7</f>
        <v>0</v>
      </c>
      <c r="H291" s="461">
        <f t="shared" ref="H291:H297" si="30">IF(Q291,IFERROR(ROUND(MAX(G291*Prem_FullTerm,F291),2),0),0)</f>
        <v>0</v>
      </c>
      <c r="Q291" s="451" t="b">
        <f>AND(info_st=$B291,info_admit=Ranges!$U$6)</f>
        <v>0</v>
      </c>
    </row>
    <row r="292" spans="2:20" s="4" customFormat="1">
      <c r="B292" s="66" t="str">
        <f>Ranges!HF8</f>
        <v>FL</v>
      </c>
      <c r="C292" s="16" t="str">
        <f>Ranges!HG8</f>
        <v>Hurricane CAT Fund</v>
      </c>
      <c r="D292" s="427"/>
      <c r="E292" s="427"/>
      <c r="F292" s="16"/>
      <c r="G292" s="428">
        <f>Ranges!HK8</f>
        <v>0</v>
      </c>
      <c r="H292" s="461">
        <f t="shared" si="30"/>
        <v>0</v>
      </c>
      <c r="Q292" s="451" t="b">
        <f>AND(info_st=$B292,info_admit=Ranges!$U$6)</f>
        <v>0</v>
      </c>
    </row>
    <row r="293" spans="2:20" s="4" customFormat="1">
      <c r="B293" s="66" t="str">
        <f>Ranges!HF9</f>
        <v>KY</v>
      </c>
      <c r="C293" s="16" t="str">
        <f>Ranges!HG9</f>
        <v>Municipal Tax</v>
      </c>
      <c r="D293" s="427"/>
      <c r="E293" s="427"/>
      <c r="F293" s="446" t="e">
        <f>IF(ISBLANK(INDEX('KY Local Govt Tax Sched'!$A$9:$W$424,MATCH($I293,'KY Local Govt Tax Sched'!$D$9:$D$424,0),MATCH(F$289,'KY Local Govt Tax Sched'!$A$9:$W$9,0))),"",INDEX('KY Local Govt Tax Sched'!$A$9:$W$424,MATCH($I293,'KY Local Govt Tax Sched'!$D$9:$D$424,0),MATCH(F$289,'KY Local Govt Tax Sched'!$A$9:$W$9,0)))</f>
        <v>#N/A</v>
      </c>
      <c r="G293" s="445" t="e">
        <f>IF(ISBLANK(INDEX('KY Local Govt Tax Sched'!$A$9:$W$424,MATCH($I293,'KY Local Govt Tax Sched'!$D$9:$D$424,0),MATCH(G$289,'KY Local Govt Tax Sched'!$A$9:$W$9,0))),"",INDEX('KY Local Govt Tax Sched'!$A$9:$W$424,MATCH($I293,'KY Local Govt Tax Sched'!$D$9:$D$424,0),MATCH(G$289,'KY Local Govt Tax Sched'!$A$9:$W$9,0)))</f>
        <v>#N/A</v>
      </c>
      <c r="H293" s="461">
        <f t="shared" si="30"/>
        <v>0</v>
      </c>
      <c r="I293" s="614"/>
      <c r="J293" s="615"/>
      <c r="K293" s="616" t="e">
        <f>IF(ISBLANK(INDEX('KY Local Govt Tax Sched'!$A$9:$W$424,MATCH($I293,'KY Local Govt Tax Sched'!$D$9:$D$424,0),MATCH(K$289,'KY Local Govt Tax Sched'!$A$9:$W$9,0))),"",INDEX('KY Local Govt Tax Sched'!$A$9:$W$424,MATCH($I293,'KY Local Govt Tax Sched'!$D$9:$D$424,0),MATCH(K$289,'KY Local Govt Tax Sched'!$A$9:$W$9,0)))</f>
        <v>#N/A</v>
      </c>
      <c r="L293" s="613"/>
      <c r="M293" s="613"/>
      <c r="N293" s="613"/>
      <c r="O293" s="613"/>
      <c r="Q293" s="451" t="b">
        <f>AND(info_st=$B293,info_admit=Ranges!$U$6)</f>
        <v>0</v>
      </c>
    </row>
    <row r="294" spans="2:20" s="4" customFormat="1" ht="15" customHeight="1">
      <c r="B294" s="66" t="str">
        <f>Ranges!HF10</f>
        <v>KY</v>
      </c>
      <c r="C294" s="16" t="str">
        <f>Ranges!HG10</f>
        <v>County Tax</v>
      </c>
      <c r="D294" s="427"/>
      <c r="E294" s="427"/>
      <c r="F294" s="446" t="e">
        <f>IF(ISBLANK(INDEX('KY Local Govt Tax Sched'!$A$9:$W$424,MATCH($I294,'KY Local Govt Tax Sched'!$D$9:$D$424,0),MATCH(F$289,'KY Local Govt Tax Sched'!$A$9:$W$9,0))),"",INDEX('KY Local Govt Tax Sched'!$A$9:$W$424,MATCH($I294,'KY Local Govt Tax Sched'!$D$9:$D$424,0),MATCH(F$289,'KY Local Govt Tax Sched'!$A$9:$W$9,0)))</f>
        <v>#N/A</v>
      </c>
      <c r="G294" s="445" t="e">
        <f>IF(ISBLANK(INDEX('KY Local Govt Tax Sched'!$A$9:$W$424,MATCH($I294,'KY Local Govt Tax Sched'!$D$9:$D$424,0),MATCH(G$289,'KY Local Govt Tax Sched'!$A$9:$W$9,0))),"",INDEX('KY Local Govt Tax Sched'!$A$9:$W$424,MATCH($I294,'KY Local Govt Tax Sched'!$D$9:$D$424,0),MATCH(G$289,'KY Local Govt Tax Sched'!$A$9:$W$9,0)))</f>
        <v>#N/A</v>
      </c>
      <c r="H294" s="461">
        <f t="shared" si="30"/>
        <v>0</v>
      </c>
      <c r="I294" s="614"/>
      <c r="J294" s="615"/>
      <c r="K294" s="616" t="e">
        <f>IF(ISBLANK(INDEX('KY Local Govt Tax Sched'!$A$9:$W$424,MATCH($I294,'KY Local Govt Tax Sched'!$D$9:$D$424,0),MATCH(K$289,'KY Local Govt Tax Sched'!$A$9:$W$9,0))),"",INDEX('KY Local Govt Tax Sched'!$A$9:$W$424,MATCH($I294,'KY Local Govt Tax Sched'!$D$9:$D$424,0),MATCH(K$289,'KY Local Govt Tax Sched'!$A$9:$W$9,0)))</f>
        <v>#N/A</v>
      </c>
      <c r="L294" s="613"/>
      <c r="M294" s="613"/>
      <c r="N294" s="613"/>
      <c r="O294" s="613"/>
      <c r="Q294" s="451" t="b">
        <f>AND(info_st=$B294,info_admit=Ranges!$U$6)</f>
        <v>0</v>
      </c>
    </row>
    <row r="295" spans="2:20" s="4" customFormat="1">
      <c r="B295" s="66" t="str">
        <f>Ranges!HF11</f>
        <v>KY</v>
      </c>
      <c r="C295" s="16" t="str">
        <f>Ranges!HG11</f>
        <v>Public Service Surcharge</v>
      </c>
      <c r="D295" s="427"/>
      <c r="E295" s="427"/>
      <c r="F295" s="16"/>
      <c r="G295" s="428">
        <f>Ranges!HK11</f>
        <v>1.7999999999999999E-2</v>
      </c>
      <c r="H295" s="461">
        <f t="shared" si="30"/>
        <v>0</v>
      </c>
      <c r="Q295" s="451" t="b">
        <f>AND(info_st=$B295,info_admit=Ranges!$U$6)</f>
        <v>0</v>
      </c>
    </row>
    <row r="296" spans="2:20" s="4" customFormat="1">
      <c r="B296" s="66" t="str">
        <f>Ranges!HF12</f>
        <v>NJ</v>
      </c>
      <c r="C296" s="16" t="str">
        <f>Ranges!HG12</f>
        <v>PLIG Fund</v>
      </c>
      <c r="D296" s="427"/>
      <c r="E296" s="427"/>
      <c r="F296" s="16"/>
      <c r="G296" s="428">
        <f>Ranges!HK12</f>
        <v>6.0000000000000001E-3</v>
      </c>
      <c r="H296" s="461">
        <f t="shared" si="30"/>
        <v>0</v>
      </c>
      <c r="Q296" s="451" t="b">
        <f>AND(info_st=$B296,info_admit=Ranges!$U$6)</f>
        <v>0</v>
      </c>
    </row>
    <row r="297" spans="2:20" s="4" customFormat="1">
      <c r="B297" s="66" t="str">
        <f>Ranges!HF13</f>
        <v>WV</v>
      </c>
      <c r="C297" s="16" t="str">
        <f>Ranges!HG13</f>
        <v>Fire &amp; Casualty Surcharge</v>
      </c>
      <c r="D297" s="427"/>
      <c r="E297" s="427"/>
      <c r="F297" s="16"/>
      <c r="G297" s="428">
        <f>Ranges!HK13</f>
        <v>5.4999999999999997E-3</v>
      </c>
      <c r="H297" s="461">
        <f t="shared" si="30"/>
        <v>0</v>
      </c>
      <c r="Q297" s="451" t="b">
        <f>AND(info_st=$B297,info_admit=Ranges!$U$6)</f>
        <v>0</v>
      </c>
    </row>
    <row r="298" spans="2:20" s="4" customFormat="1">
      <c r="B298" s="69"/>
      <c r="C298" s="71"/>
      <c r="D298" s="71"/>
      <c r="E298" s="71"/>
      <c r="F298" s="71"/>
      <c r="G298" s="71"/>
      <c r="H298" s="462"/>
      <c r="Q298" s="452" t="b">
        <f>AND(info_st=$B298,info_admit=Ranges!$U$6)</f>
        <v>0</v>
      </c>
    </row>
    <row r="299" spans="2:20" s="4" customFormat="1" ht="15.75" thickBot="1"/>
    <row r="300" spans="2:20" ht="18" thickBot="1">
      <c r="B300" s="159" t="s">
        <v>1511</v>
      </c>
      <c r="C300" s="160"/>
      <c r="D300" s="621">
        <f>ROUND(SUM(H290:H298),2)</f>
        <v>0</v>
      </c>
      <c r="E300" s="622"/>
      <c r="R300" s="4"/>
      <c r="S300" s="4"/>
      <c r="T300" s="392"/>
    </row>
    <row r="301" spans="2:20" ht="36" customHeight="1" thickBot="1">
      <c r="B301" s="617" t="s">
        <v>1468</v>
      </c>
      <c r="C301" s="618"/>
      <c r="D301" s="621">
        <f ca="1">D287+D300</f>
        <v>24646</v>
      </c>
      <c r="E301" s="622"/>
      <c r="T301" s="392"/>
    </row>
    <row r="302" spans="2:20">
      <c r="S302" s="4"/>
    </row>
  </sheetData>
  <mergeCells count="309">
    <mergeCell ref="I294:J294"/>
    <mergeCell ref="K293:O293"/>
    <mergeCell ref="K294:O294"/>
    <mergeCell ref="B301:C301"/>
    <mergeCell ref="D287:E287"/>
    <mergeCell ref="D300:E300"/>
    <mergeCell ref="D301:E301"/>
    <mergeCell ref="C197:K197"/>
    <mergeCell ref="C199:K199"/>
    <mergeCell ref="C200:K200"/>
    <mergeCell ref="I289:J289"/>
    <mergeCell ref="I293:J293"/>
    <mergeCell ref="C253:O253"/>
    <mergeCell ref="C254:O254"/>
    <mergeCell ref="G237:H237"/>
    <mergeCell ref="I237:J237"/>
    <mergeCell ref="C255:O255"/>
    <mergeCell ref="C256:O256"/>
    <mergeCell ref="D286:E286"/>
    <mergeCell ref="C250:N250"/>
    <mergeCell ref="I219:J219"/>
    <mergeCell ref="I234:J234"/>
    <mergeCell ref="G235:H235"/>
    <mergeCell ref="I235:J235"/>
    <mergeCell ref="C179:K179"/>
    <mergeCell ref="C180:K180"/>
    <mergeCell ref="C183:K183"/>
    <mergeCell ref="C184:K184"/>
    <mergeCell ref="C185:K185"/>
    <mergeCell ref="C186:K186"/>
    <mergeCell ref="C188:K188"/>
    <mergeCell ref="C190:K190"/>
    <mergeCell ref="C191:K191"/>
    <mergeCell ref="G232:H232"/>
    <mergeCell ref="I232:J232"/>
    <mergeCell ref="G233:H233"/>
    <mergeCell ref="I233:J233"/>
    <mergeCell ref="I229:J229"/>
    <mergeCell ref="C196:K196"/>
    <mergeCell ref="C187:K187"/>
    <mergeCell ref="C181:K181"/>
    <mergeCell ref="G221:H221"/>
    <mergeCell ref="C192:K192"/>
    <mergeCell ref="C193:K193"/>
    <mergeCell ref="C194:K194"/>
    <mergeCell ref="G231:H231"/>
    <mergeCell ref="I231:J231"/>
    <mergeCell ref="G225:H225"/>
    <mergeCell ref="I225:J225"/>
    <mergeCell ref="G226:H226"/>
    <mergeCell ref="I221:J221"/>
    <mergeCell ref="I227:J227"/>
    <mergeCell ref="C211:N211"/>
    <mergeCell ref="G219:H219"/>
    <mergeCell ref="G220:H220"/>
    <mergeCell ref="C201:K201"/>
    <mergeCell ref="C202:K202"/>
    <mergeCell ref="G213:H213"/>
    <mergeCell ref="G214:H214"/>
    <mergeCell ref="G215:H215"/>
    <mergeCell ref="I213:J213"/>
    <mergeCell ref="I214:J214"/>
    <mergeCell ref="I215:J215"/>
    <mergeCell ref="I216:J216"/>
    <mergeCell ref="I217:J217"/>
    <mergeCell ref="I218:J218"/>
    <mergeCell ref="C212:N212"/>
    <mergeCell ref="M114:N114"/>
    <mergeCell ref="E115:G115"/>
    <mergeCell ref="M115:N115"/>
    <mergeCell ref="E110:G110"/>
    <mergeCell ref="E159:G159"/>
    <mergeCell ref="G230:H230"/>
    <mergeCell ref="I230:J230"/>
    <mergeCell ref="E117:G117"/>
    <mergeCell ref="M117:N117"/>
    <mergeCell ref="E118:G118"/>
    <mergeCell ref="M126:N126"/>
    <mergeCell ref="E130:G130"/>
    <mergeCell ref="M130:N130"/>
    <mergeCell ref="E136:G136"/>
    <mergeCell ref="M136:N136"/>
    <mergeCell ref="E127:G127"/>
    <mergeCell ref="M127:N127"/>
    <mergeCell ref="E128:G128"/>
    <mergeCell ref="M128:N128"/>
    <mergeCell ref="E129:G129"/>
    <mergeCell ref="M118:N118"/>
    <mergeCell ref="M157:N157"/>
    <mergeCell ref="E158:G158"/>
    <mergeCell ref="M158:N158"/>
    <mergeCell ref="C176:K176"/>
    <mergeCell ref="C177:K177"/>
    <mergeCell ref="C178:K178"/>
    <mergeCell ref="M159:N159"/>
    <mergeCell ref="E152:G152"/>
    <mergeCell ref="M152:N152"/>
    <mergeCell ref="E153:G153"/>
    <mergeCell ref="M153:N153"/>
    <mergeCell ref="E154:G154"/>
    <mergeCell ref="M154:N154"/>
    <mergeCell ref="E155:G155"/>
    <mergeCell ref="M155:N155"/>
    <mergeCell ref="E156:G156"/>
    <mergeCell ref="M156:N156"/>
    <mergeCell ref="E157:G157"/>
    <mergeCell ref="M109:N109"/>
    <mergeCell ref="E100:G100"/>
    <mergeCell ref="M100:N100"/>
    <mergeCell ref="E101:G101"/>
    <mergeCell ref="M101:N101"/>
    <mergeCell ref="E102:G102"/>
    <mergeCell ref="M102:N102"/>
    <mergeCell ref="E103:G103"/>
    <mergeCell ref="M103:N103"/>
    <mergeCell ref="E104:G104"/>
    <mergeCell ref="M104:N104"/>
    <mergeCell ref="E105:G105"/>
    <mergeCell ref="M105:N105"/>
    <mergeCell ref="E106:G106"/>
    <mergeCell ref="M106:N106"/>
    <mergeCell ref="M94:N94"/>
    <mergeCell ref="E95:G95"/>
    <mergeCell ref="M95:N95"/>
    <mergeCell ref="E96:G96"/>
    <mergeCell ref="M96:N96"/>
    <mergeCell ref="E97:G97"/>
    <mergeCell ref="M97:N97"/>
    <mergeCell ref="E98:G98"/>
    <mergeCell ref="M98:N98"/>
    <mergeCell ref="I238:J238"/>
    <mergeCell ref="G236:H236"/>
    <mergeCell ref="I236:J236"/>
    <mergeCell ref="G234:H234"/>
    <mergeCell ref="G227:H227"/>
    <mergeCell ref="I220:J220"/>
    <mergeCell ref="G229:H229"/>
    <mergeCell ref="E99:G99"/>
    <mergeCell ref="M99:N99"/>
    <mergeCell ref="E116:G116"/>
    <mergeCell ref="M116:N116"/>
    <mergeCell ref="M110:N110"/>
    <mergeCell ref="E111:G111"/>
    <mergeCell ref="M111:N111"/>
    <mergeCell ref="E112:G112"/>
    <mergeCell ref="M112:N112"/>
    <mergeCell ref="E113:G113"/>
    <mergeCell ref="M113:N113"/>
    <mergeCell ref="E114:G114"/>
    <mergeCell ref="E107:G107"/>
    <mergeCell ref="M107:N107"/>
    <mergeCell ref="E108:G108"/>
    <mergeCell ref="M108:N108"/>
    <mergeCell ref="E109:G109"/>
    <mergeCell ref="E85:G85"/>
    <mergeCell ref="M85:N85"/>
    <mergeCell ref="E86:G86"/>
    <mergeCell ref="M86:N86"/>
    <mergeCell ref="E80:G80"/>
    <mergeCell ref="G238:H238"/>
    <mergeCell ref="E87:G87"/>
    <mergeCell ref="M87:N87"/>
    <mergeCell ref="E88:G88"/>
    <mergeCell ref="M88:N88"/>
    <mergeCell ref="E89:G89"/>
    <mergeCell ref="M89:N89"/>
    <mergeCell ref="E90:G90"/>
    <mergeCell ref="M90:N90"/>
    <mergeCell ref="E91:G91"/>
    <mergeCell ref="M91:N91"/>
    <mergeCell ref="E92:G92"/>
    <mergeCell ref="M92:N92"/>
    <mergeCell ref="E93:G93"/>
    <mergeCell ref="M93:N93"/>
    <mergeCell ref="E94:G94"/>
    <mergeCell ref="G216:H216"/>
    <mergeCell ref="G217:H217"/>
    <mergeCell ref="G218:H218"/>
    <mergeCell ref="J12:K12"/>
    <mergeCell ref="F7:G7"/>
    <mergeCell ref="J9:M9"/>
    <mergeCell ref="C175:K175"/>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M66:N66"/>
    <mergeCell ref="M59:N59"/>
    <mergeCell ref="M60:N60"/>
    <mergeCell ref="E84:G84"/>
    <mergeCell ref="M84:N84"/>
    <mergeCell ref="E75:G75"/>
    <mergeCell ref="E76:G76"/>
    <mergeCell ref="E77:G77"/>
    <mergeCell ref="E78:G78"/>
    <mergeCell ref="E79:G79"/>
    <mergeCell ref="E74:G74"/>
    <mergeCell ref="E81:G81"/>
    <mergeCell ref="E82:G82"/>
    <mergeCell ref="E83:G83"/>
    <mergeCell ref="J14:M14"/>
    <mergeCell ref="M79:N79"/>
    <mergeCell ref="M80:N80"/>
    <mergeCell ref="M81:N81"/>
    <mergeCell ref="M82:N82"/>
    <mergeCell ref="M83:N83"/>
    <mergeCell ref="M74:N74"/>
    <mergeCell ref="M75:N75"/>
    <mergeCell ref="M76:N76"/>
    <mergeCell ref="M77:N77"/>
    <mergeCell ref="M78:N78"/>
    <mergeCell ref="M69:N69"/>
    <mergeCell ref="M70:N70"/>
    <mergeCell ref="M71:N71"/>
    <mergeCell ref="M72:N72"/>
    <mergeCell ref="M62:N62"/>
    <mergeCell ref="M63:N63"/>
    <mergeCell ref="M73:N73"/>
    <mergeCell ref="M64:N64"/>
    <mergeCell ref="M65:N65"/>
    <mergeCell ref="C50:N50"/>
    <mergeCell ref="M67:N67"/>
    <mergeCell ref="M68:N68"/>
    <mergeCell ref="M61:N61"/>
    <mergeCell ref="E119:G119"/>
    <mergeCell ref="M119:N119"/>
    <mergeCell ref="E120:G120"/>
    <mergeCell ref="M120:N120"/>
    <mergeCell ref="E121:G121"/>
    <mergeCell ref="M121:N121"/>
    <mergeCell ref="M129:N129"/>
    <mergeCell ref="E122:G122"/>
    <mergeCell ref="M122:N122"/>
    <mergeCell ref="E123:G123"/>
    <mergeCell ref="M123:N123"/>
    <mergeCell ref="E124:G124"/>
    <mergeCell ref="M124:N124"/>
    <mergeCell ref="E125:G125"/>
    <mergeCell ref="M125:N125"/>
    <mergeCell ref="E126:G126"/>
    <mergeCell ref="E131:G131"/>
    <mergeCell ref="M131:N131"/>
    <mergeCell ref="E132:G132"/>
    <mergeCell ref="M132:N132"/>
    <mergeCell ref="E133:G133"/>
    <mergeCell ref="M133:N133"/>
    <mergeCell ref="E134:G134"/>
    <mergeCell ref="M134:N134"/>
    <mergeCell ref="E135:G135"/>
    <mergeCell ref="M135:N135"/>
    <mergeCell ref="E150:G150"/>
    <mergeCell ref="G239:H239"/>
    <mergeCell ref="R2:AU2"/>
    <mergeCell ref="C275:O275"/>
    <mergeCell ref="E146:G146"/>
    <mergeCell ref="M146:N146"/>
    <mergeCell ref="E137:G137"/>
    <mergeCell ref="M137:N137"/>
    <mergeCell ref="E138:G138"/>
    <mergeCell ref="M138:N138"/>
    <mergeCell ref="E139:G139"/>
    <mergeCell ref="M139:N139"/>
    <mergeCell ref="E140:G140"/>
    <mergeCell ref="M140:N140"/>
    <mergeCell ref="E141:G141"/>
    <mergeCell ref="M141:N141"/>
    <mergeCell ref="E142:G142"/>
    <mergeCell ref="M142:N142"/>
    <mergeCell ref="E143:G143"/>
    <mergeCell ref="M143:N143"/>
    <mergeCell ref="E144:G144"/>
    <mergeCell ref="M144:N144"/>
    <mergeCell ref="E145:G145"/>
    <mergeCell ref="M145:N145"/>
    <mergeCell ref="C272:N272"/>
    <mergeCell ref="F265:J265"/>
    <mergeCell ref="C282:N282"/>
    <mergeCell ref="E147:G147"/>
    <mergeCell ref="M147:N147"/>
    <mergeCell ref="E148:G148"/>
    <mergeCell ref="M148:N148"/>
    <mergeCell ref="E149:G149"/>
    <mergeCell ref="M149:N149"/>
    <mergeCell ref="C208:N208"/>
    <mergeCell ref="C169:N169"/>
    <mergeCell ref="I239:J239"/>
    <mergeCell ref="G222:H222"/>
    <mergeCell ref="I222:J222"/>
    <mergeCell ref="G223:H223"/>
    <mergeCell ref="I223:J223"/>
    <mergeCell ref="G224:H224"/>
    <mergeCell ref="I224:J224"/>
    <mergeCell ref="M150:N150"/>
    <mergeCell ref="I226:J226"/>
    <mergeCell ref="G228:H228"/>
    <mergeCell ref="I228:J228"/>
    <mergeCell ref="E151:G151"/>
    <mergeCell ref="M151:N151"/>
  </mergeCells>
  <conditionalFormatting sqref="K60:K159">
    <cfRule type="expression" dxfId="28" priority="37">
      <formula>$H60="no"</formula>
    </cfRule>
  </conditionalFormatting>
  <conditionalFormatting sqref="G259 E260:G260">
    <cfRule type="expression" dxfId="27" priority="35">
      <formula>$G$258&lt;&gt;"yes"</formula>
    </cfRule>
  </conditionalFormatting>
  <conditionalFormatting sqref="K100:K149">
    <cfRule type="expression" dxfId="26" priority="34">
      <formula>NOT($H100="yes")</formula>
    </cfRule>
  </conditionalFormatting>
  <conditionalFormatting sqref="C164">
    <cfRule type="expression" dxfId="25" priority="32">
      <formula>info_admit="surplus"</formula>
    </cfRule>
  </conditionalFormatting>
  <conditionalFormatting sqref="C161:I161">
    <cfRule type="expression" dxfId="24" priority="33">
      <formula>info_admit="surplus"</formula>
    </cfRule>
  </conditionalFormatting>
  <conditionalFormatting sqref="M7">
    <cfRule type="expression" dxfId="23" priority="22">
      <formula>nfo_admit="surplus"</formula>
    </cfRule>
  </conditionalFormatting>
  <conditionalFormatting sqref="L7:M7">
    <cfRule type="expression" dxfId="22" priority="21">
      <formula>info_admit="surplus"</formula>
    </cfRule>
  </conditionalFormatting>
  <conditionalFormatting sqref="L176:L192 L195:L202">
    <cfRule type="expression" dxfId="21" priority="48">
      <formula>NOT($Q176)</formula>
    </cfRule>
  </conditionalFormatting>
  <conditionalFormatting sqref="C176:N192 C195:N202 C175:K175 M175:N175">
    <cfRule type="expression" dxfId="20" priority="49">
      <formula>NOT($Q175)</formula>
    </cfRule>
  </conditionalFormatting>
  <conditionalFormatting sqref="C247:F247">
    <cfRule type="expression" dxfId="19" priority="20">
      <formula>AND($S$245,$S$246)</formula>
    </cfRule>
  </conditionalFormatting>
  <conditionalFormatting sqref="I14:N14">
    <cfRule type="expression" dxfId="18" priority="19">
      <formula>$F$14&lt;&gt;"yes"</formula>
    </cfRule>
  </conditionalFormatting>
  <conditionalFormatting sqref="I293:J293">
    <cfRule type="expression" dxfId="17" priority="18">
      <formula>NOT($Q293)</formula>
    </cfRule>
  </conditionalFormatting>
  <conditionalFormatting sqref="K293:O293">
    <cfRule type="expression" dxfId="16" priority="17">
      <formula>NOT($Q293)</formula>
    </cfRule>
  </conditionalFormatting>
  <conditionalFormatting sqref="I294:J294">
    <cfRule type="expression" dxfId="15" priority="16">
      <formula>NOT($Q294)</formula>
    </cfRule>
  </conditionalFormatting>
  <conditionalFormatting sqref="K294:O294">
    <cfRule type="expression" dxfId="14" priority="15">
      <formula>NOT($Q294)</formula>
    </cfRule>
  </conditionalFormatting>
  <conditionalFormatting sqref="L193:L194">
    <cfRule type="expression" dxfId="13" priority="12">
      <formula>NOT($Q193)</formula>
    </cfRule>
  </conditionalFormatting>
  <conditionalFormatting sqref="C193:N194">
    <cfRule type="expression" dxfId="12" priority="13">
      <formula>NOT($Q193)</formula>
    </cfRule>
  </conditionalFormatting>
  <conditionalFormatting sqref="F277">
    <cfRule type="expression" dxfId="11" priority="10">
      <formula>$F$276="Pending update to rate filing"</formula>
    </cfRule>
  </conditionalFormatting>
  <conditionalFormatting sqref="C279:F279">
    <cfRule type="expression" dxfId="10" priority="9">
      <formula>$F$276="Pending update to rate filing"</formula>
    </cfRule>
  </conditionalFormatting>
  <conditionalFormatting sqref="F170:H170">
    <cfRule type="expression" dxfId="9" priority="7">
      <formula>NOT(info_st="NY")</formula>
    </cfRule>
  </conditionalFormatting>
  <conditionalFormatting sqref="F265">
    <cfRule type="expression" dxfId="8" priority="6">
      <formula>$F$276="Pending update to rate filing"</formula>
    </cfRule>
  </conditionalFormatting>
  <conditionalFormatting sqref="C269:F269">
    <cfRule type="expression" dxfId="7" priority="5">
      <formula>$F$276="Pending update to rate filing"</formula>
    </cfRule>
  </conditionalFormatting>
  <conditionalFormatting sqref="E267">
    <cfRule type="expression" dxfId="6" priority="4">
      <formula>$F$264&lt;&gt;"yes"</formula>
    </cfRule>
  </conditionalFormatting>
  <conditionalFormatting sqref="L175">
    <cfRule type="expression" dxfId="5" priority="2">
      <formula>NOT($Q175)</formula>
    </cfRule>
  </conditionalFormatting>
  <conditionalFormatting sqref="L175">
    <cfRule type="expression" dxfId="4" priority="3">
      <formula>NOT($Q175)</formula>
    </cfRule>
  </conditionalFormatting>
  <conditionalFormatting sqref="C162:C163">
    <cfRule type="expression" dxfId="3" priority="1">
      <formula>info_admit="surplus"</formula>
    </cfRule>
  </conditionalFormatting>
  <dataValidations count="7">
    <dataValidation type="decimal" allowBlank="1" showInputMessage="1" showErrorMessage="1" sqref="G22:G45 E267 M22:M45 L175:L202" xr:uid="{00000000-0002-0000-0100-000000000000}">
      <formula1>F22</formula1>
      <formula2>G22</formula2>
    </dataValidation>
    <dataValidation type="list" allowBlank="1" showInputMessage="1" showErrorMessage="1" sqref="D214:D238 C60:C159" xr:uid="{00000000-0002-0000-0100-000001000000}">
      <formula1>"1,0"</formula1>
    </dataValidation>
    <dataValidation type="list" allowBlank="1" showInputMessage="1" showErrorMessage="1" sqref="E58" xr:uid="{00000000-0002-0000-0100-000002000000}">
      <formula1>$D$60:$D$159</formula1>
    </dataValidation>
    <dataValidation type="decimal" allowBlank="1" showInputMessage="1" showErrorMessage="1" sqref="K60:K159" xr:uid="{00000000-0002-0000-0100-000003000000}">
      <formula1>I60</formula1>
      <formula2>J60</formula2>
    </dataValidation>
    <dataValidation type="list" allowBlank="1" showInputMessage="1" showErrorMessage="1" sqref="F7:G7" xr:uid="{00000000-0002-0000-0100-000004000000}">
      <formula1>INDIRECT("County_"&amp;$D$7)</formula1>
    </dataValidation>
    <dataValidation type="date" operator="lessThanOrEqual" allowBlank="1" showInputMessage="1" showErrorMessage="1" error="Prior Acts Date cannot be later than the Policy Expiration Date" sqref="L60:L159" xr:uid="{00000000-0002-0000-0100-000005000000}">
      <formula1>info_expdt</formula1>
    </dataValidation>
    <dataValidation allowBlank="1" showInputMessage="1" showErrorMessage="1" error="Experience Rating Factor must be between the range of 0.4 and 2.5" sqref="F269" xr:uid="{00000000-0002-0000-0100-000006000000}"/>
  </dataValidations>
  <pageMargins left="0.7" right="0.7" top="0.75" bottom="0.75" header="0.3" footer="0.3"/>
  <pageSetup scale="48" fitToHeight="0"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 id="{E351AAC6-269B-4ED8-9596-B8C8EE44080E}">
            <xm:f>$J$9&lt;&gt;Ranges!$AH$4</xm:f>
            <x14:dxf>
              <font>
                <color theme="0"/>
              </font>
              <fill>
                <patternFill patternType="none">
                  <bgColor auto="1"/>
                </patternFill>
              </fill>
              <border>
                <left/>
                <right/>
                <top style="thin">
                  <color auto="1"/>
                </top>
                <bottom/>
                <vertical/>
                <horizontal/>
              </border>
            </x14:dxf>
          </x14:cfRule>
          <xm:sqref>J10:K10</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7000000}">
          <x14:formula1>
            <xm:f>Ranges!$BD$5:$BS$5</xm:f>
          </x14:formula1>
          <xm:sqref>K10</xm:sqref>
        </x14:dataValidation>
        <x14:dataValidation type="list" allowBlank="1" showInputMessage="1" showErrorMessage="1" xr:uid="{00000000-0002-0000-0100-000008000000}">
          <x14:formula1>
            <xm:f>Ranges!$BV$5:$BW$5</xm:f>
          </x14:formula1>
          <xm:sqref>J12:K12</xm:sqref>
        </x14:dataValidation>
        <x14:dataValidation type="list" allowBlank="1" showInputMessage="1" showErrorMessage="1" xr:uid="{00000000-0002-0000-0100-000009000000}">
          <x14:formula1>
            <xm:f>Ranges!$F$6:$F$7</xm:f>
          </x14:formula1>
          <xm:sqref>G54 F14 G258</xm:sqref>
        </x14:dataValidation>
        <x14:dataValidation type="list" allowBlank="1" showInputMessage="1" showErrorMessage="1" xr:uid="{00000000-0002-0000-0100-00000A000000}">
          <x14:formula1>
            <xm:f>Ranges!$AA$6:$AA$8</xm:f>
          </x14:formula1>
          <xm:sqref>J9:M9</xm:sqref>
        </x14:dataValidation>
        <x14:dataValidation type="list" allowBlank="1" showInputMessage="1" showErrorMessage="1" xr:uid="{00000000-0002-0000-0100-00000B000000}">
          <x14:formula1>
            <xm:f>Ranges!$BY$6:$BY$8</xm:f>
          </x14:formula1>
          <xm:sqref>J14:M14</xm:sqref>
        </x14:dataValidation>
        <x14:dataValidation type="list" allowBlank="1" showInputMessage="1" showErrorMessage="1" xr:uid="{00000000-0002-0000-0100-00000C000000}">
          <x14:formula1>
            <xm:f>IF(info_st="ct",Ranges!$GE$6:$GE$10,Ranges!$GE$6:$GE$9)</xm:f>
          </x14:formula1>
          <xm:sqref>G259</xm:sqref>
        </x14:dataValidation>
        <x14:dataValidation type="list" allowBlank="1" showInputMessage="1" showErrorMessage="1" xr:uid="{00000000-0002-0000-0100-00000D000000}">
          <x14:formula1>
            <xm:f>'KY Local Govt Tax Sched'!$D$12:$D$415</xm:f>
          </x14:formula1>
          <xm:sqref>I293:J294</xm:sqref>
        </x14:dataValidation>
        <x14:dataValidation type="list" allowBlank="1" showInputMessage="1" showErrorMessage="1" xr:uid="{00000000-0002-0000-0100-00000E000000}">
          <x14:formula1>
            <xm:f>Ranges!$DY$6:$DY$8</xm:f>
          </x14:formula1>
          <xm:sqref>H60:H159</xm:sqref>
        </x14:dataValidation>
        <x14:dataValidation type="list" allowBlank="1" showInputMessage="1" showErrorMessage="1" xr:uid="{00000000-0002-0000-0100-00000F000000}">
          <x14:formula1>
            <xm:f>Ranges!$GL$6:$GL$10</xm:f>
          </x14:formula1>
          <xm:sqref>F265:J265</xm:sqref>
        </x14:dataValidation>
        <x14:dataValidation type="decimal" allowBlank="1" showInputMessage="1" showErrorMessage="1" error="Experience Rating Factor must be between the range of 0.4 and 2.5" xr:uid="{00000000-0002-0000-0100-000010000000}">
          <x14:formula1>
            <xm:f>Ranges!GA46</xm:f>
          </x14:formula1>
          <x14:formula2>
            <xm:f>Ranges!GA47</xm:f>
          </x14:formula2>
          <xm:sqref>F279</xm:sqref>
        </x14:dataValidation>
        <x14:dataValidation type="decimal" allowBlank="1" showInputMessage="1" showErrorMessage="1" error="Experience Rating Factor must be between the range of 0.4 and 2.5._x000a_In NY, Premium for Insured at Basic Limits must exceed $2,500 for IRMs and Experience Rating to apply." xr:uid="{00000000-0002-0000-0100-000011000000}">
          <x14:formula1>
            <xm:f>Ranges!GA36</xm:f>
          </x14:formula1>
          <x14:formula2>
            <xm:f>Ranges!GA37</xm:f>
          </x14:formula2>
          <xm:sqref>F247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tint="0.499984740745262"/>
  </sheetPr>
  <dimension ref="A1:HK254"/>
  <sheetViews>
    <sheetView topLeftCell="BP1" zoomScale="70" zoomScaleNormal="70" workbookViewId="0">
      <pane ySplit="5" topLeftCell="A18" activePane="bottomLeft" state="frozen"/>
      <selection pane="bottomLeft" activeCell="L13" sqref="L13"/>
    </sheetView>
  </sheetViews>
  <sheetFormatPr defaultRowHeight="15"/>
  <cols>
    <col min="1" max="1" width="15.28515625" customWidth="1"/>
    <col min="2" max="2" width="13.7109375" customWidth="1"/>
    <col min="3" max="3" width="16.28515625" customWidth="1"/>
    <col min="4" max="4" width="71.28515625" customWidth="1"/>
    <col min="5" max="5" width="9.140625" style="4" customWidth="1"/>
    <col min="6" max="6" width="9.140625" customWidth="1"/>
    <col min="7" max="7" width="9.140625" style="4" customWidth="1"/>
    <col min="8" max="8" width="13.85546875" customWidth="1"/>
    <col min="9" max="9" width="14.7109375" customWidth="1"/>
    <col min="10" max="10" width="18.42578125" customWidth="1"/>
    <col min="11" max="11" width="9.140625" style="4" customWidth="1"/>
    <col min="12" max="12" width="17.5703125" customWidth="1"/>
    <col min="13" max="13" width="9.140625" customWidth="1"/>
    <col min="14" max="14" width="15.85546875" style="4" bestFit="1" customWidth="1"/>
    <col min="15" max="15" width="9.140625" customWidth="1"/>
    <col min="16" max="16" width="42.28515625" style="4" customWidth="1"/>
    <col min="17" max="17" width="19" style="4" bestFit="1" customWidth="1"/>
    <col min="18" max="18" width="25.42578125" style="4" bestFit="1" customWidth="1"/>
    <col min="19" max="19" width="9.140625" style="4" customWidth="1"/>
    <col min="20" max="20" width="39.42578125" style="4" bestFit="1" customWidth="1"/>
    <col min="21" max="21" width="23.42578125" style="4" bestFit="1" customWidth="1"/>
    <col min="22" max="22" width="20.5703125" style="4" bestFit="1" customWidth="1"/>
    <col min="23" max="23" width="9.140625" customWidth="1"/>
    <col min="24" max="25" width="16.7109375" style="4" customWidth="1"/>
    <col min="26" max="26" width="9.140625" style="4" customWidth="1"/>
    <col min="27" max="27" width="32" customWidth="1"/>
    <col min="28" max="28" width="10.28515625" customWidth="1"/>
    <col min="29" max="29" width="9.140625" customWidth="1"/>
    <col min="30" max="30" width="12.42578125" customWidth="1"/>
    <col min="31" max="31" width="13.5703125" customWidth="1"/>
    <col min="32" max="33" width="10.5703125" style="234" customWidth="1"/>
    <col min="34" max="48" width="15.28515625" style="234" customWidth="1"/>
    <col min="49" max="49" width="10.85546875" style="4" customWidth="1"/>
    <col min="50" max="50" width="9.140625" customWidth="1"/>
    <col min="51" max="51" width="20.140625" bestFit="1" customWidth="1"/>
    <col min="52" max="52" width="13.85546875" style="4" hidden="1" customWidth="1"/>
    <col min="53" max="53" width="10.28515625" style="4" hidden="1" customWidth="1"/>
    <col min="54" max="54" width="24.5703125" style="234" customWidth="1"/>
    <col min="55" max="55" width="24.85546875" style="234" customWidth="1"/>
    <col min="56" max="57" width="16.5703125" style="234" customWidth="1"/>
    <col min="58" max="60" width="12" style="234" customWidth="1"/>
    <col min="61" max="61" width="13.85546875" style="234" customWidth="1"/>
    <col min="62" max="69" width="14.28515625" style="234" customWidth="1"/>
    <col min="70" max="71" width="15.28515625" style="234" customWidth="1"/>
    <col min="72" max="72" width="10.5703125" style="4" customWidth="1"/>
    <col min="73" max="73" width="20.85546875" customWidth="1"/>
    <col min="74" max="74" width="33.28515625" bestFit="1" customWidth="1"/>
    <col min="75" max="75" width="19.85546875" bestFit="1" customWidth="1"/>
    <col min="76" max="76" width="9.140625" customWidth="1"/>
    <col min="77" max="77" width="29" style="4" customWidth="1"/>
    <col min="78" max="80" width="9.140625" style="4" customWidth="1"/>
    <col min="82" max="82" width="40" bestFit="1" customWidth="1"/>
    <col min="83" max="85" width="15.140625" bestFit="1" customWidth="1"/>
    <col min="86" max="86" width="15.140625" style="4" bestFit="1" customWidth="1"/>
    <col min="87" max="87" width="14.85546875" style="4" bestFit="1" customWidth="1"/>
    <col min="88" max="88" width="15.140625" style="4" bestFit="1" customWidth="1"/>
    <col min="89" max="89" width="9.140625" style="4"/>
    <col min="93" max="93" width="12.7109375" customWidth="1"/>
    <col min="94" max="94" width="10.7109375" bestFit="1" customWidth="1"/>
    <col min="95" max="95" width="10.140625" bestFit="1" customWidth="1"/>
    <col min="96" max="96" width="11.28515625" bestFit="1" customWidth="1"/>
    <col min="97" max="97" width="10.7109375" bestFit="1" customWidth="1"/>
    <col min="98" max="98" width="10.140625" style="4" bestFit="1" customWidth="1"/>
    <col min="99" max="99" width="11.28515625" bestFit="1" customWidth="1"/>
    <col min="100" max="100" width="12.140625" bestFit="1" customWidth="1"/>
    <col min="102" max="102" width="11.28515625" style="4" bestFit="1" customWidth="1"/>
    <col min="103" max="104" width="10.140625" style="4" customWidth="1"/>
    <col min="105" max="105" width="12.7109375" style="4" customWidth="1"/>
    <col min="106" max="106" width="10.7109375" style="4" bestFit="1" customWidth="1"/>
    <col min="107" max="107" width="10.140625" style="4" bestFit="1" customWidth="1"/>
    <col min="108" max="108" width="11.28515625" style="4" bestFit="1" customWidth="1"/>
    <col min="109" max="110" width="10.140625" style="4" customWidth="1"/>
    <col min="113" max="113" width="6.42578125" bestFit="1" customWidth="1"/>
    <col min="118" max="118" width="9.140625" style="4"/>
    <col min="122" max="122" width="9.140625" style="4"/>
    <col min="125" max="125" width="28" bestFit="1" customWidth="1"/>
    <col min="126" max="126" width="15.5703125" bestFit="1" customWidth="1"/>
    <col min="127" max="127" width="12.5703125" bestFit="1" customWidth="1"/>
    <col min="131" max="131" width="9.140625" style="4"/>
    <col min="134" max="134" width="9.140625" style="4"/>
    <col min="136" max="136" width="13.5703125" style="34" customWidth="1"/>
    <col min="137" max="137" width="17.28515625" customWidth="1"/>
    <col min="138" max="138" width="7.85546875" style="4" customWidth="1"/>
    <col min="139" max="139" width="6.85546875" style="4" bestFit="1" customWidth="1"/>
    <col min="141" max="141" width="49.5703125" customWidth="1"/>
    <col min="144" max="144" width="43.7109375" style="34" customWidth="1"/>
    <col min="147" max="147" width="74.28515625" style="34" customWidth="1"/>
    <col min="150" max="150" width="42.28515625" style="34" customWidth="1"/>
    <col min="153" max="153" width="42.28515625" style="34" customWidth="1"/>
    <col min="154" max="155" width="9.140625" style="4"/>
    <col min="156" max="156" width="43.7109375" style="34" customWidth="1"/>
    <col min="157" max="158" width="9.140625" style="4"/>
    <col min="159" max="159" width="42.28515625" style="34" customWidth="1"/>
    <col min="160" max="161" width="9.140625" style="4"/>
    <col min="164" max="164" width="23.140625" bestFit="1" customWidth="1"/>
    <col min="176" max="176" width="15.42578125" customWidth="1"/>
    <col min="177" max="177" width="16" customWidth="1"/>
    <col min="179" max="179" width="15.5703125" customWidth="1"/>
    <col min="190" max="190" width="9.140625" style="4"/>
    <col min="192" max="193" width="9.140625" style="4"/>
    <col min="194" max="194" width="29.7109375" style="4" customWidth="1"/>
    <col min="195" max="200" width="9.140625" style="4"/>
    <col min="218" max="218" width="9.140625" style="4"/>
    <col min="219" max="219" width="9.140625" style="421"/>
  </cols>
  <sheetData>
    <row r="1" spans="1:219" s="7" customFormat="1" ht="19.5">
      <c r="A1" s="7" t="s">
        <v>17</v>
      </c>
      <c r="F1" s="7" t="s">
        <v>25</v>
      </c>
      <c r="P1" s="7" t="s">
        <v>1325</v>
      </c>
      <c r="T1" s="7" t="s">
        <v>1335</v>
      </c>
      <c r="AA1" s="7" t="s">
        <v>181</v>
      </c>
      <c r="AF1" s="356"/>
      <c r="AG1" s="356"/>
      <c r="AH1" s="356"/>
      <c r="AI1" s="356"/>
      <c r="AJ1" s="356"/>
      <c r="AK1" s="356"/>
      <c r="AL1" s="356"/>
      <c r="AM1" s="356"/>
      <c r="AN1" s="356"/>
      <c r="AO1" s="356"/>
      <c r="AP1" s="356"/>
      <c r="AQ1" s="356"/>
      <c r="AR1" s="356"/>
      <c r="AS1" s="356"/>
      <c r="AT1" s="356"/>
      <c r="AU1" s="356"/>
      <c r="AV1" s="356"/>
      <c r="BB1" s="356"/>
      <c r="BC1" s="356"/>
      <c r="BD1" s="356"/>
      <c r="BE1" s="356"/>
      <c r="BF1" s="356"/>
      <c r="BG1" s="356"/>
      <c r="BH1" s="356"/>
      <c r="BI1" s="356"/>
      <c r="BJ1" s="356"/>
      <c r="BK1" s="356"/>
      <c r="BL1" s="356"/>
      <c r="BM1" s="356"/>
      <c r="BN1" s="356"/>
      <c r="BO1" s="356"/>
      <c r="BP1" s="356"/>
      <c r="BQ1" s="356"/>
      <c r="BR1" s="356"/>
      <c r="BS1" s="356"/>
      <c r="BU1" s="7" t="s">
        <v>312</v>
      </c>
      <c r="BY1" s="7" t="s">
        <v>313</v>
      </c>
      <c r="CD1" s="7" t="s">
        <v>208</v>
      </c>
      <c r="DH1" s="7" t="s">
        <v>280</v>
      </c>
      <c r="DL1" s="7" t="s">
        <v>287</v>
      </c>
      <c r="DU1" s="7" t="s">
        <v>289</v>
      </c>
      <c r="DY1" s="7" t="s">
        <v>305</v>
      </c>
      <c r="EF1" s="96" t="s">
        <v>321</v>
      </c>
      <c r="EN1" s="96"/>
      <c r="EQ1" s="96"/>
      <c r="ET1" s="96"/>
      <c r="EW1" s="96"/>
      <c r="EZ1" s="96"/>
      <c r="FC1" s="96"/>
      <c r="FH1" s="7" t="s">
        <v>360</v>
      </c>
      <c r="GE1" s="7" t="s">
        <v>442</v>
      </c>
      <c r="GL1" s="7" t="s">
        <v>2802</v>
      </c>
      <c r="GS1" s="7" t="s">
        <v>2647</v>
      </c>
      <c r="HF1" s="7" t="s">
        <v>1511</v>
      </c>
      <c r="HK1" s="418"/>
    </row>
    <row r="2" spans="1:219" s="10" customFormat="1">
      <c r="AF2" s="357"/>
      <c r="AG2" s="357"/>
      <c r="AH2" s="357"/>
      <c r="AI2" s="357"/>
      <c r="AJ2" s="357"/>
      <c r="AK2" s="357"/>
      <c r="AL2" s="357"/>
      <c r="AM2" s="357"/>
      <c r="AN2" s="357"/>
      <c r="AO2" s="357"/>
      <c r="AP2" s="357"/>
      <c r="AQ2" s="357"/>
      <c r="AR2" s="357"/>
      <c r="AS2" s="357"/>
      <c r="AT2" s="357"/>
      <c r="AU2" s="357"/>
      <c r="AV2" s="357"/>
      <c r="BB2" s="357"/>
      <c r="BC2" s="357"/>
      <c r="BD2" s="357"/>
      <c r="BE2" s="357"/>
      <c r="BF2" s="357"/>
      <c r="BG2" s="357"/>
      <c r="BH2" s="357"/>
      <c r="BI2" s="357"/>
      <c r="BJ2" s="357"/>
      <c r="BK2" s="357"/>
      <c r="BL2" s="357"/>
      <c r="BM2" s="357"/>
      <c r="BN2" s="357"/>
      <c r="BO2" s="357"/>
      <c r="BP2" s="357"/>
      <c r="BQ2" s="357"/>
      <c r="BR2" s="357"/>
      <c r="BS2" s="357"/>
      <c r="EF2" s="97"/>
      <c r="EN2" s="97"/>
      <c r="EQ2" s="97"/>
      <c r="ET2" s="97"/>
      <c r="EW2" s="97"/>
      <c r="EZ2" s="97"/>
      <c r="FC2" s="97"/>
      <c r="FH2" s="10" t="s">
        <v>384</v>
      </c>
      <c r="HK2" s="419"/>
    </row>
    <row r="3" spans="1:219" s="10" customFormat="1">
      <c r="N3" s="252" t="s">
        <v>461</v>
      </c>
      <c r="AF3" s="357"/>
      <c r="AG3" s="357"/>
      <c r="AH3" s="357"/>
      <c r="AI3" s="357"/>
      <c r="AJ3" s="357"/>
      <c r="AK3" s="357"/>
      <c r="AL3" s="357"/>
      <c r="AM3" s="357"/>
      <c r="AN3" s="357"/>
      <c r="AO3" s="357"/>
      <c r="AP3" s="357"/>
      <c r="AQ3" s="357"/>
      <c r="AR3" s="357"/>
      <c r="AS3" s="357"/>
      <c r="AT3" s="357"/>
      <c r="AU3" s="357"/>
      <c r="AV3" s="357"/>
      <c r="AY3" s="106"/>
      <c r="AZ3" s="106"/>
      <c r="BA3" s="106"/>
      <c r="BB3" s="362"/>
      <c r="BC3" s="362"/>
      <c r="BD3" s="362"/>
      <c r="BE3" s="362"/>
      <c r="BF3" s="362"/>
      <c r="BG3" s="362"/>
      <c r="BH3" s="362"/>
      <c r="BI3" s="362"/>
      <c r="BJ3" s="362"/>
      <c r="BK3" s="362"/>
      <c r="BL3" s="362"/>
      <c r="BM3" s="362"/>
      <c r="BN3" s="362"/>
      <c r="BO3" s="362"/>
      <c r="BP3" s="362"/>
      <c r="BQ3" s="362"/>
      <c r="BR3" s="362"/>
      <c r="BS3" s="362"/>
      <c r="EK3" s="626" t="str">
        <f>EL4</f>
        <v>IRM Table A</v>
      </c>
      <c r="EL3" s="626"/>
      <c r="EM3" s="626"/>
      <c r="EN3" s="626" t="str">
        <f>EO4</f>
        <v>IRM Table B</v>
      </c>
      <c r="EO3" s="626"/>
      <c r="EP3" s="626"/>
      <c r="EQ3" s="626" t="str">
        <f>ER4</f>
        <v>IRM Table C</v>
      </c>
      <c r="ER3" s="626"/>
      <c r="ES3" s="626"/>
      <c r="ET3" s="626" t="str">
        <f>EU4</f>
        <v>IRM Table D</v>
      </c>
      <c r="EU3" s="626"/>
      <c r="EV3" s="626"/>
      <c r="EW3" s="626" t="str">
        <f>EX4</f>
        <v>IRM Table E</v>
      </c>
      <c r="EX3" s="626"/>
      <c r="EY3" s="626"/>
      <c r="EZ3" s="626" t="str">
        <f>FA4</f>
        <v>IRM Table F</v>
      </c>
      <c r="FA3" s="626"/>
      <c r="FB3" s="626"/>
      <c r="FC3" s="626" t="str">
        <f>FD4</f>
        <v>IRM Table G</v>
      </c>
      <c r="FD3" s="626"/>
      <c r="FE3" s="626"/>
      <c r="HK3" s="419"/>
    </row>
    <row r="4" spans="1:219" s="10" customFormat="1">
      <c r="N4" s="253">
        <v>43959</v>
      </c>
      <c r="AF4" s="358" t="s">
        <v>184</v>
      </c>
      <c r="AG4" s="358" t="s">
        <v>185</v>
      </c>
      <c r="AH4" s="358" t="s">
        <v>188</v>
      </c>
      <c r="AI4" s="357"/>
      <c r="AJ4" s="357"/>
      <c r="AK4" s="357"/>
      <c r="AL4" s="357"/>
      <c r="AM4" s="357"/>
      <c r="AN4" s="357"/>
      <c r="AO4" s="357"/>
      <c r="AP4" s="357"/>
      <c r="AQ4" s="357"/>
      <c r="AR4" s="357"/>
      <c r="AS4" s="357"/>
      <c r="AT4" s="357"/>
      <c r="AU4" s="357"/>
      <c r="AV4" s="357"/>
      <c r="BB4" s="358" t="s">
        <v>184</v>
      </c>
      <c r="BC4" s="358" t="s">
        <v>185</v>
      </c>
      <c r="BD4" s="358"/>
      <c r="BE4" s="358" t="s">
        <v>188</v>
      </c>
      <c r="BF4" s="357"/>
      <c r="BG4" s="357"/>
      <c r="BH4" s="357"/>
      <c r="BI4" s="357"/>
      <c r="BJ4" s="357"/>
      <c r="BK4" s="357"/>
      <c r="BL4" s="357"/>
      <c r="BM4" s="357"/>
      <c r="BN4" s="357"/>
      <c r="BO4" s="357"/>
      <c r="BP4" s="357"/>
      <c r="BQ4" s="357"/>
      <c r="BR4" s="357"/>
      <c r="BS4" s="357"/>
      <c r="DP4" s="10" t="s">
        <v>266</v>
      </c>
      <c r="DQ4" s="10" t="s">
        <v>267</v>
      </c>
      <c r="DR4" s="10" t="s">
        <v>272</v>
      </c>
      <c r="EC4" s="10" t="s">
        <v>356</v>
      </c>
      <c r="ED4" s="10" t="s">
        <v>357</v>
      </c>
      <c r="EK4" s="86"/>
      <c r="EL4" s="107" t="s">
        <v>354</v>
      </c>
      <c r="EN4" s="106"/>
      <c r="EO4" s="107" t="s">
        <v>353</v>
      </c>
      <c r="EP4" s="42"/>
      <c r="EQ4" s="106"/>
      <c r="ER4" s="107" t="s">
        <v>352</v>
      </c>
      <c r="ES4" s="42"/>
      <c r="ET4" s="106"/>
      <c r="EU4" s="107" t="s">
        <v>351</v>
      </c>
      <c r="EV4" s="42"/>
      <c r="EW4" s="106"/>
      <c r="EX4" s="107" t="s">
        <v>440</v>
      </c>
      <c r="EY4" s="42"/>
      <c r="EZ4" s="106"/>
      <c r="FA4" s="107" t="s">
        <v>1357</v>
      </c>
      <c r="FB4" s="42"/>
      <c r="FC4" s="106"/>
      <c r="FD4" s="107" t="s">
        <v>2613</v>
      </c>
      <c r="FE4" s="42"/>
      <c r="FF4" s="42"/>
      <c r="FG4" s="42"/>
      <c r="FH4" s="141" t="s">
        <v>365</v>
      </c>
      <c r="FI4" s="624" t="s">
        <v>366</v>
      </c>
      <c r="FJ4" s="624"/>
      <c r="FK4" s="624"/>
      <c r="FL4" s="624"/>
      <c r="FM4" s="624"/>
      <c r="FN4" s="624"/>
      <c r="FP4" s="141" t="s">
        <v>369</v>
      </c>
      <c r="FQ4" s="142"/>
      <c r="FR4" s="142"/>
      <c r="FS4" s="142"/>
      <c r="FU4" s="141" t="s">
        <v>372</v>
      </c>
      <c r="FV4" s="142"/>
      <c r="FW4" s="142"/>
      <c r="FX4" s="142"/>
      <c r="HK4" s="419"/>
    </row>
    <row r="5" spans="1:219" s="8" customFormat="1">
      <c r="A5" s="8" t="s">
        <v>18</v>
      </c>
      <c r="B5" s="8" t="s">
        <v>19</v>
      </c>
      <c r="C5" s="8" t="s">
        <v>20</v>
      </c>
      <c r="D5" s="8" t="s">
        <v>21</v>
      </c>
      <c r="F5" s="8" t="s">
        <v>26</v>
      </c>
      <c r="G5" s="83" t="s">
        <v>284</v>
      </c>
      <c r="H5" s="8" t="s">
        <v>29</v>
      </c>
      <c r="I5" s="8" t="s">
        <v>9</v>
      </c>
      <c r="J5" s="8" t="s">
        <v>32</v>
      </c>
      <c r="L5" s="8" t="s">
        <v>16</v>
      </c>
      <c r="M5" s="8" t="s">
        <v>173</v>
      </c>
      <c r="N5" s="8" t="s">
        <v>453</v>
      </c>
      <c r="P5" s="8" t="s">
        <v>578</v>
      </c>
      <c r="Q5" s="8" t="s">
        <v>579</v>
      </c>
      <c r="R5" s="8" t="s">
        <v>580</v>
      </c>
      <c r="T5" s="8" t="s">
        <v>433</v>
      </c>
      <c r="U5" s="8" t="s">
        <v>438</v>
      </c>
      <c r="V5" s="8" t="s">
        <v>1329</v>
      </c>
      <c r="X5" s="8" t="s">
        <v>453</v>
      </c>
      <c r="Y5" s="8" t="s">
        <v>460</v>
      </c>
      <c r="AA5" s="8" t="s">
        <v>193</v>
      </c>
      <c r="AC5" s="8" t="s">
        <v>429</v>
      </c>
      <c r="AD5" s="8" t="s">
        <v>182</v>
      </c>
      <c r="AE5" s="8" t="s">
        <v>183</v>
      </c>
      <c r="AF5" s="359"/>
      <c r="AG5" s="359"/>
      <c r="AH5" s="366">
        <v>100000</v>
      </c>
      <c r="AI5" s="366">
        <v>200000</v>
      </c>
      <c r="AJ5" s="366">
        <v>250000</v>
      </c>
      <c r="AK5" s="366">
        <v>500000</v>
      </c>
      <c r="AL5" s="366">
        <v>1000000</v>
      </c>
      <c r="AM5" s="366">
        <v>2000000</v>
      </c>
      <c r="AN5" s="366">
        <v>3000000</v>
      </c>
      <c r="AO5" s="366">
        <v>4000000</v>
      </c>
      <c r="AP5" s="366">
        <v>5000000</v>
      </c>
      <c r="AQ5" s="366">
        <v>6000000</v>
      </c>
      <c r="AR5" s="366">
        <v>7000000</v>
      </c>
      <c r="AS5" s="366">
        <v>8000000</v>
      </c>
      <c r="AT5" s="366">
        <v>9000000</v>
      </c>
      <c r="AU5" s="366">
        <v>10000000</v>
      </c>
      <c r="AV5" s="366">
        <v>15000000</v>
      </c>
      <c r="AW5" s="60"/>
      <c r="AY5" s="8" t="s">
        <v>392</v>
      </c>
      <c r="AZ5" s="8" t="s">
        <v>395</v>
      </c>
      <c r="BB5" s="367"/>
      <c r="BC5" s="367"/>
      <c r="BD5" s="366">
        <v>50000</v>
      </c>
      <c r="BE5" s="366">
        <v>100000</v>
      </c>
      <c r="BF5" s="366">
        <v>200000</v>
      </c>
      <c r="BG5" s="366">
        <v>250000</v>
      </c>
      <c r="BH5" s="366">
        <v>500000</v>
      </c>
      <c r="BI5" s="366">
        <v>1000000</v>
      </c>
      <c r="BJ5" s="366">
        <v>2000000</v>
      </c>
      <c r="BK5" s="366">
        <v>3000000</v>
      </c>
      <c r="BL5" s="366">
        <v>4000000</v>
      </c>
      <c r="BM5" s="366">
        <v>5000000</v>
      </c>
      <c r="BN5" s="366">
        <v>6000000</v>
      </c>
      <c r="BO5" s="366">
        <v>7000000</v>
      </c>
      <c r="BP5" s="366">
        <v>8000000</v>
      </c>
      <c r="BQ5" s="366">
        <v>9000000</v>
      </c>
      <c r="BR5" s="366">
        <v>10000000</v>
      </c>
      <c r="BS5" s="366">
        <v>15000000</v>
      </c>
      <c r="BU5" s="8" t="s">
        <v>202</v>
      </c>
      <c r="BV5" s="8" t="s">
        <v>203</v>
      </c>
      <c r="BW5" s="8" t="s">
        <v>204</v>
      </c>
      <c r="BY5" s="8" t="s">
        <v>314</v>
      </c>
      <c r="BZ5" s="8" t="s">
        <v>315</v>
      </c>
      <c r="CD5" s="8" t="s">
        <v>209</v>
      </c>
      <c r="CE5" s="8" t="s">
        <v>266</v>
      </c>
      <c r="CF5" s="8" t="s">
        <v>267</v>
      </c>
      <c r="CG5" s="8" t="s">
        <v>272</v>
      </c>
      <c r="CH5" s="8" t="s">
        <v>430</v>
      </c>
      <c r="CI5" s="8" t="s">
        <v>1353</v>
      </c>
      <c r="CJ5" s="8" t="s">
        <v>2627</v>
      </c>
      <c r="CL5" s="42" t="s">
        <v>271</v>
      </c>
      <c r="CM5" s="42" t="s">
        <v>273</v>
      </c>
      <c r="CO5" s="8" t="s">
        <v>266</v>
      </c>
      <c r="CP5" s="8" t="s">
        <v>268</v>
      </c>
      <c r="CQ5" s="8" t="s">
        <v>269</v>
      </c>
      <c r="CR5" s="8" t="s">
        <v>267</v>
      </c>
      <c r="CS5" s="8" t="s">
        <v>268</v>
      </c>
      <c r="CT5" s="8" t="s">
        <v>269</v>
      </c>
      <c r="CU5" s="8" t="s">
        <v>272</v>
      </c>
      <c r="CV5" s="8" t="s">
        <v>268</v>
      </c>
      <c r="CW5" s="8" t="s">
        <v>269</v>
      </c>
      <c r="CX5" s="8" t="s">
        <v>430</v>
      </c>
      <c r="CY5" s="8" t="s">
        <v>268</v>
      </c>
      <c r="CZ5" s="8" t="s">
        <v>269</v>
      </c>
      <c r="DA5" s="8" t="s">
        <v>1353</v>
      </c>
      <c r="DB5" s="8" t="s">
        <v>268</v>
      </c>
      <c r="DC5" s="8" t="s">
        <v>269</v>
      </c>
      <c r="DD5" s="8" t="s">
        <v>2627</v>
      </c>
      <c r="DE5" s="8" t="s">
        <v>268</v>
      </c>
      <c r="DF5" s="8" t="s">
        <v>269</v>
      </c>
      <c r="DH5" s="8" t="s">
        <v>16</v>
      </c>
      <c r="DI5" s="8" t="s">
        <v>281</v>
      </c>
      <c r="DL5" s="468" t="s">
        <v>16</v>
      </c>
      <c r="DM5" s="8" t="s">
        <v>273</v>
      </c>
      <c r="DO5" s="8" t="s">
        <v>288</v>
      </c>
      <c r="DP5" s="8" t="s">
        <v>270</v>
      </c>
      <c r="DQ5" s="8" t="s">
        <v>270</v>
      </c>
      <c r="DR5" s="8" t="s">
        <v>270</v>
      </c>
      <c r="DU5" s="8" t="s">
        <v>291</v>
      </c>
      <c r="DV5" s="8" t="s">
        <v>290</v>
      </c>
      <c r="DW5" s="8" t="s">
        <v>301</v>
      </c>
      <c r="DY5" s="8" t="s">
        <v>2676</v>
      </c>
      <c r="DZ5" s="468" t="s">
        <v>16</v>
      </c>
      <c r="EA5" s="8" t="s">
        <v>449</v>
      </c>
      <c r="EB5" s="8" t="s">
        <v>450</v>
      </c>
      <c r="EC5" s="8" t="str">
        <f>DY8</f>
        <v>&lt;9 hours/week</v>
      </c>
      <c r="EF5" s="468" t="s">
        <v>16</v>
      </c>
      <c r="EG5" s="8" t="s">
        <v>350</v>
      </c>
      <c r="EH5" s="8" t="s">
        <v>356</v>
      </c>
      <c r="EI5" s="8" t="s">
        <v>357</v>
      </c>
      <c r="EK5" s="98" t="s">
        <v>322</v>
      </c>
      <c r="EL5" s="98" t="s">
        <v>268</v>
      </c>
      <c r="EM5" s="98" t="s">
        <v>269</v>
      </c>
      <c r="EN5" s="98" t="s">
        <v>322</v>
      </c>
      <c r="EO5" s="98" t="s">
        <v>268</v>
      </c>
      <c r="EP5" s="98" t="s">
        <v>269</v>
      </c>
      <c r="EQ5" s="98" t="s">
        <v>322</v>
      </c>
      <c r="ER5" s="98" t="s">
        <v>268</v>
      </c>
      <c r="ES5" s="98" t="s">
        <v>269</v>
      </c>
      <c r="ET5" s="98" t="s">
        <v>322</v>
      </c>
      <c r="EU5" s="98" t="s">
        <v>268</v>
      </c>
      <c r="EV5" s="98" t="s">
        <v>269</v>
      </c>
      <c r="EW5" s="98" t="s">
        <v>322</v>
      </c>
      <c r="EX5" s="98" t="s">
        <v>268</v>
      </c>
      <c r="EY5" s="98" t="s">
        <v>269</v>
      </c>
      <c r="EZ5" s="98" t="s">
        <v>322</v>
      </c>
      <c r="FA5" s="98" t="s">
        <v>268</v>
      </c>
      <c r="FB5" s="98" t="s">
        <v>269</v>
      </c>
      <c r="FC5" s="98" t="s">
        <v>322</v>
      </c>
      <c r="FD5" s="98" t="s">
        <v>268</v>
      </c>
      <c r="FE5" s="98" t="s">
        <v>269</v>
      </c>
      <c r="FH5" s="143" t="s">
        <v>367</v>
      </c>
      <c r="FI5" s="145">
        <v>1</v>
      </c>
      <c r="FJ5" s="146">
        <v>2</v>
      </c>
      <c r="FK5" s="146">
        <v>6</v>
      </c>
      <c r="FL5" s="146">
        <v>11</v>
      </c>
      <c r="FM5" s="146">
        <v>21</v>
      </c>
      <c r="FN5" s="147">
        <v>41</v>
      </c>
      <c r="FP5" s="628" t="s">
        <v>370</v>
      </c>
      <c r="FQ5" s="628"/>
      <c r="FR5" s="628" t="s">
        <v>371</v>
      </c>
      <c r="FS5" s="628"/>
      <c r="FU5" s="142" t="s">
        <v>373</v>
      </c>
      <c r="FV5" s="144"/>
      <c r="FW5" s="142"/>
      <c r="FX5" s="142"/>
      <c r="FZ5" s="8" t="s">
        <v>407</v>
      </c>
      <c r="GE5" s="8" t="s">
        <v>419</v>
      </c>
      <c r="GF5" s="468" t="s">
        <v>420</v>
      </c>
      <c r="GG5" s="468" t="s">
        <v>70</v>
      </c>
      <c r="GH5" s="468" t="s">
        <v>88</v>
      </c>
      <c r="GI5" s="468" t="s">
        <v>80</v>
      </c>
      <c r="GJ5" s="468"/>
      <c r="GL5" s="8" t="s">
        <v>2810</v>
      </c>
      <c r="GM5" s="8" t="s">
        <v>538</v>
      </c>
      <c r="GN5" s="8" t="s">
        <v>539</v>
      </c>
      <c r="GO5" s="8" t="s">
        <v>2811</v>
      </c>
      <c r="GS5" s="8" t="s">
        <v>2648</v>
      </c>
      <c r="GT5" s="8" t="s">
        <v>2649</v>
      </c>
      <c r="HF5" s="8" t="s">
        <v>16</v>
      </c>
      <c r="HG5" s="8" t="s">
        <v>1521</v>
      </c>
      <c r="HJ5" s="8" t="s">
        <v>2505</v>
      </c>
      <c r="HK5" s="420" t="s">
        <v>1512</v>
      </c>
    </row>
    <row r="6" spans="1:219">
      <c r="A6" s="391">
        <v>1.23</v>
      </c>
      <c r="B6" s="3"/>
      <c r="C6" s="4" t="s">
        <v>23</v>
      </c>
      <c r="D6" s="4"/>
      <c r="F6" t="s">
        <v>27</v>
      </c>
      <c r="G6" s="36">
        <v>1</v>
      </c>
      <c r="H6" t="s">
        <v>30</v>
      </c>
      <c r="I6" s="4" t="s">
        <v>33</v>
      </c>
      <c r="J6" s="9" t="s">
        <v>34</v>
      </c>
      <c r="L6" s="4" t="s">
        <v>77</v>
      </c>
      <c r="M6" s="4" t="s">
        <v>78</v>
      </c>
      <c r="N6" s="277" t="s">
        <v>455</v>
      </c>
      <c r="P6" s="4" t="s">
        <v>581</v>
      </c>
      <c r="Q6" s="4" t="s">
        <v>582</v>
      </c>
      <c r="R6" s="4" t="s">
        <v>583</v>
      </c>
      <c r="T6" s="4" t="s">
        <v>1365</v>
      </c>
      <c r="U6" s="4" t="s">
        <v>435</v>
      </c>
      <c r="V6" s="4" t="s">
        <v>1326</v>
      </c>
      <c r="X6" s="4" t="s">
        <v>455</v>
      </c>
      <c r="Y6" s="4" t="s">
        <v>143</v>
      </c>
      <c r="AA6" s="4" t="s">
        <v>184</v>
      </c>
      <c r="AC6" s="4"/>
      <c r="AD6" s="162">
        <v>100000</v>
      </c>
      <c r="AE6" s="58">
        <v>100000</v>
      </c>
      <c r="AF6" s="360">
        <f t="shared" ref="AF6:AG7" si="0">(AF7-1)*((AF15-1)/(AF16-1))+1</f>
        <v>1.003075545415971</v>
      </c>
      <c r="AG6" s="360">
        <f t="shared" si="0"/>
        <v>1.4795965114560239</v>
      </c>
      <c r="AH6" s="361">
        <f t="shared" ref="AH6:AH7" si="1">IF(AH$5&gt;AD6,AG6,(1-(AF6-AF$8)/AF6)*(AG6-AF6)+AF6)</f>
        <v>1.4800356827561865</v>
      </c>
      <c r="AI6" s="361">
        <f t="shared" ref="AI6:AI7" si="2">IF(AI$5&gt;AD6,AG6,(1-(AF6-AF$11)/AF6)*(AG6-AF6)+AF6)</f>
        <v>1.4795965114560239</v>
      </c>
      <c r="AJ6" s="361">
        <f t="shared" ref="AJ6:AJ7" si="3">IF(AJ$5&gt;AD6,AG6,(1-(AF6-AF$13)/AF6)*(AG6-AF6)+AF6)</f>
        <v>1.4795965114560239</v>
      </c>
      <c r="AK6" s="361">
        <f t="shared" ref="AK6:AK7" si="4">IF(AK$5&gt;AD6,AG6,(1-(AF6-AF$16)/AF6)*(AG6-AF6)+AF6)</f>
        <v>1.4795965114560239</v>
      </c>
      <c r="AL6" s="361">
        <f t="shared" ref="AL6:AL7" si="5">IF(AL$5&gt;AD6,AG6,(1-(AF6-AF$18)/AF6)*(AG6-AF6)+AF6)</f>
        <v>1.4795965114560239</v>
      </c>
      <c r="AM6" s="361">
        <f t="shared" ref="AM6:AM7" si="6">IF(AM$5&gt;AD6,AG6,(1-(AF6-AF$20)/AF6)*(AG6-AF6)+AF6)</f>
        <v>1.4795965114560239</v>
      </c>
      <c r="AN6" s="361">
        <f t="shared" ref="AN6:AN7" si="7">IF(AN$5&gt;AD6,AG6,(1-(AF6-AF$22)/AF6)*(AG6-AF6)+AF6)</f>
        <v>1.4795965114560239</v>
      </c>
      <c r="AO6" s="361">
        <f t="shared" ref="AO6:AO7" si="8">IF(AO$5&gt;AD6,AG6,(1-(AF6-AF$23)/AF6)*(AG6-AF6)+AF6)</f>
        <v>1.4795965114560239</v>
      </c>
      <c r="AP6" s="361">
        <f t="shared" ref="AP6:AP7" si="9">IF(AP$5&gt;AD6,AG6,(1-(AF6-AF$24)/AF6)*(AG6-AF6)+AF6)</f>
        <v>1.4795965114560239</v>
      </c>
      <c r="AQ6" s="361">
        <f t="shared" ref="AQ6:AQ7" si="10">IF(AQ$5&gt;AD6,AG6,(1-(AF6-AF$25)/AF6)*(AG6-AF6)+AF6)</f>
        <v>1.4795965114560239</v>
      </c>
      <c r="AR6" s="361">
        <f t="shared" ref="AR6:AR7" si="11">IF(AR$5&gt;AD6,AG6,(1-(AF6-AF$26)/AF6)*(AG6-AF6)+AF6)</f>
        <v>1.4795965114560239</v>
      </c>
      <c r="AS6" s="361">
        <f t="shared" ref="AS6:AS7" si="12">IF(AS$5&gt;AD6,AG6,(1-(AF6-AF$27)/AF6)*(AG6-AF6)+AF6)</f>
        <v>1.4795965114560239</v>
      </c>
      <c r="AT6" s="361">
        <f t="shared" ref="AT6:AT7" si="13">IF(AT$5&gt;AD6,AG6,(1-(AF6-AF$28)/AF6)*(AG6-AF6)+AF6)</f>
        <v>1.4795965114560239</v>
      </c>
      <c r="AU6" s="361">
        <f t="shared" ref="AU6:AU7" si="14">IF(AU$5&gt;AD6,AG6,(1-(AF6-AF$29)/AF6)*(AG6-AF6)+AF6)</f>
        <v>1.4795965114560239</v>
      </c>
      <c r="AV6" s="361">
        <f t="shared" ref="AV6:AV7" si="15">IF(AV$5&gt;AD6,AG6,(1-(AF6-AF$30)/AF6)*(AG6-AF6)+AF6)</f>
        <v>1.4795965114560239</v>
      </c>
      <c r="AW6" s="57"/>
      <c r="AY6" s="58">
        <v>100000</v>
      </c>
      <c r="AZ6" s="58">
        <v>0</v>
      </c>
      <c r="BA6" s="58"/>
      <c r="BB6" s="360">
        <f t="shared" ref="BB6:BC6" si="16">AF6</f>
        <v>1.003075545415971</v>
      </c>
      <c r="BC6" s="360">
        <f t="shared" si="16"/>
        <v>1.4795965114560239</v>
      </c>
      <c r="BD6" s="360">
        <f>AVERAGE(BB6,BE6)</f>
        <v>1.2415556140860788</v>
      </c>
      <c r="BE6" s="360">
        <f>AH6</f>
        <v>1.4800356827561865</v>
      </c>
      <c r="BF6" s="360">
        <f t="shared" ref="BF6" si="17">AI6</f>
        <v>1.4795965114560239</v>
      </c>
      <c r="BG6" s="360">
        <f t="shared" ref="BG6" si="18">AJ6</f>
        <v>1.4795965114560239</v>
      </c>
      <c r="BH6" s="360">
        <f t="shared" ref="BH6" si="19">AK6</f>
        <v>1.4795965114560239</v>
      </c>
      <c r="BI6" s="360">
        <f t="shared" ref="BI6" si="20">AL6</f>
        <v>1.4795965114560239</v>
      </c>
      <c r="BJ6" s="360">
        <f t="shared" ref="BJ6" si="21">AM6</f>
        <v>1.4795965114560239</v>
      </c>
      <c r="BK6" s="360">
        <f t="shared" ref="BK6" si="22">AN6</f>
        <v>1.4795965114560239</v>
      </c>
      <c r="BL6" s="360">
        <f t="shared" ref="BL6" si="23">AO6</f>
        <v>1.4795965114560239</v>
      </c>
      <c r="BM6" s="360">
        <f t="shared" ref="BM6" si="24">AP6</f>
        <v>1.4795965114560239</v>
      </c>
      <c r="BN6" s="360">
        <f t="shared" ref="BN6" si="25">AQ6</f>
        <v>1.4795965114560239</v>
      </c>
      <c r="BO6" s="360">
        <f t="shared" ref="BO6" si="26">AR6</f>
        <v>1.4795965114560239</v>
      </c>
      <c r="BP6" s="360">
        <f t="shared" ref="BP6" si="27">AS6</f>
        <v>1.4795965114560239</v>
      </c>
      <c r="BQ6" s="360">
        <f t="shared" ref="BQ6" si="28">AT6</f>
        <v>1.4795965114560239</v>
      </c>
      <c r="BR6" s="360">
        <f t="shared" ref="BR6" si="29">AU6</f>
        <v>1.4795965114560239</v>
      </c>
      <c r="BS6" s="360">
        <f t="shared" ref="BS6" si="30">AV6</f>
        <v>1.4795965114560239</v>
      </c>
      <c r="BT6" s="58"/>
      <c r="BU6" s="58">
        <v>0</v>
      </c>
      <c r="BV6" s="57">
        <v>0</v>
      </c>
      <c r="BW6" s="57">
        <v>0</v>
      </c>
      <c r="BY6" s="4" t="s">
        <v>318</v>
      </c>
      <c r="BZ6" s="4">
        <v>1.01</v>
      </c>
      <c r="CD6" t="s">
        <v>253</v>
      </c>
      <c r="CE6" t="s">
        <v>222</v>
      </c>
      <c r="CF6" t="s">
        <v>254</v>
      </c>
      <c r="CG6" t="str">
        <f t="shared" ref="CG6:CG53" si="31">CF6</f>
        <v>Group 8</v>
      </c>
      <c r="CH6" s="4" t="s">
        <v>251</v>
      </c>
      <c r="CI6" s="4" t="s">
        <v>222</v>
      </c>
      <c r="CJ6" s="4" t="s">
        <v>222</v>
      </c>
      <c r="CL6" s="305" t="s">
        <v>239</v>
      </c>
      <c r="CM6" s="305" t="s">
        <v>266</v>
      </c>
      <c r="CO6" s="74" t="s">
        <v>211</v>
      </c>
      <c r="CP6" s="79">
        <v>0.5</v>
      </c>
      <c r="CQ6" s="79">
        <v>1</v>
      </c>
      <c r="CR6" s="74" t="s">
        <v>211</v>
      </c>
      <c r="CS6" s="79">
        <v>0.6</v>
      </c>
      <c r="CT6" s="79">
        <f>CS6</f>
        <v>0.6</v>
      </c>
      <c r="CU6" s="74" t="s">
        <v>211</v>
      </c>
      <c r="CV6" s="79">
        <v>0.55000000000000004</v>
      </c>
      <c r="CW6" s="80">
        <f>CV6</f>
        <v>0.55000000000000004</v>
      </c>
      <c r="CX6" s="74" t="s">
        <v>211</v>
      </c>
      <c r="CY6" s="79">
        <v>0.75</v>
      </c>
      <c r="CZ6" s="79">
        <f t="shared" ref="CZ6:CZ12" si="32">CY6</f>
        <v>0.75</v>
      </c>
      <c r="DA6" s="74" t="s">
        <v>211</v>
      </c>
      <c r="DB6" s="79">
        <v>0.6</v>
      </c>
      <c r="DC6" s="79">
        <v>1</v>
      </c>
      <c r="DD6" s="74" t="s">
        <v>211</v>
      </c>
      <c r="DE6" s="79">
        <v>0.75</v>
      </c>
      <c r="DF6" s="79">
        <v>1</v>
      </c>
      <c r="DH6" s="4" t="s">
        <v>306</v>
      </c>
      <c r="DI6" s="56">
        <v>0.95</v>
      </c>
      <c r="DL6" s="469"/>
      <c r="DM6" s="249"/>
      <c r="DO6" s="85">
        <v>1</v>
      </c>
      <c r="DP6" s="84">
        <v>1.2</v>
      </c>
      <c r="DQ6" s="84">
        <v>1.0549999999999999</v>
      </c>
      <c r="DR6" s="84">
        <v>1</v>
      </c>
      <c r="DU6" t="s">
        <v>292</v>
      </c>
      <c r="DV6" s="231">
        <v>0</v>
      </c>
      <c r="DW6">
        <v>1</v>
      </c>
      <c r="DY6" t="s">
        <v>28</v>
      </c>
      <c r="DZ6" s="466" t="s">
        <v>306</v>
      </c>
      <c r="EA6" s="251">
        <v>0.5</v>
      </c>
      <c r="EB6" s="251">
        <v>1</v>
      </c>
      <c r="EC6" s="526">
        <f>EA6</f>
        <v>0.5</v>
      </c>
      <c r="ED6" s="526">
        <f>IF(EB6=EA6,EC6,EB6)</f>
        <v>1</v>
      </c>
      <c r="EF6" s="469" t="str">
        <f>U7</f>
        <v>Surplus</v>
      </c>
      <c r="EG6" s="249" t="s">
        <v>440</v>
      </c>
      <c r="EH6" s="380"/>
      <c r="EI6" s="380">
        <v>4</v>
      </c>
      <c r="EJ6" s="4"/>
      <c r="EK6" s="99" t="s">
        <v>323</v>
      </c>
      <c r="EL6" s="374">
        <v>-0.25</v>
      </c>
      <c r="EM6" s="374">
        <v>0.25</v>
      </c>
      <c r="EN6" s="102" t="s">
        <v>323</v>
      </c>
      <c r="EO6" s="374">
        <v>-0.25</v>
      </c>
      <c r="EP6" s="374">
        <v>0.25</v>
      </c>
      <c r="EQ6" s="102" t="s">
        <v>323</v>
      </c>
      <c r="ER6" s="376">
        <v>-0.1</v>
      </c>
      <c r="ES6" s="376">
        <v>0.1</v>
      </c>
      <c r="ET6" s="102" t="s">
        <v>323</v>
      </c>
      <c r="EU6" s="379">
        <v>-0.25</v>
      </c>
      <c r="EV6" s="379">
        <v>0.25</v>
      </c>
      <c r="EW6" s="102" t="s">
        <v>323</v>
      </c>
      <c r="EX6" s="379"/>
      <c r="EY6" s="379">
        <v>1</v>
      </c>
      <c r="EZ6" s="102" t="s">
        <v>323</v>
      </c>
      <c r="FA6" s="374">
        <v>-0.25</v>
      </c>
      <c r="FB6" s="374">
        <v>0.25</v>
      </c>
      <c r="FC6" s="102"/>
      <c r="FD6" s="379"/>
      <c r="FE6" s="379"/>
      <c r="FH6" s="127">
        <v>0</v>
      </c>
      <c r="FI6" s="128">
        <v>-0.35</v>
      </c>
      <c r="FJ6" s="129">
        <v>-0.5</v>
      </c>
      <c r="FK6" s="129">
        <v>-0.65</v>
      </c>
      <c r="FL6" s="129">
        <v>-0.75</v>
      </c>
      <c r="FM6" s="129">
        <v>-0.85</v>
      </c>
      <c r="FN6" s="130">
        <v>-1.25</v>
      </c>
      <c r="FP6" s="127">
        <v>1</v>
      </c>
      <c r="FQ6" s="43">
        <v>1</v>
      </c>
      <c r="FR6" s="127">
        <v>1</v>
      </c>
      <c r="FS6" s="43">
        <v>0.8</v>
      </c>
      <c r="FU6" s="627" t="s">
        <v>370</v>
      </c>
      <c r="FV6" s="627"/>
      <c r="FW6" s="627" t="s">
        <v>371</v>
      </c>
      <c r="FX6" s="627"/>
      <c r="FZ6" s="4" t="s">
        <v>408</v>
      </c>
      <c r="GA6" s="58">
        <v>5001</v>
      </c>
      <c r="GE6">
        <v>1</v>
      </c>
      <c r="GF6" s="558">
        <v>1</v>
      </c>
      <c r="GG6" s="558">
        <v>0.75</v>
      </c>
      <c r="GH6" s="558">
        <v>1</v>
      </c>
      <c r="GI6" s="558"/>
      <c r="GJ6" s="557"/>
      <c r="GL6" s="4" t="s">
        <v>2808</v>
      </c>
      <c r="GM6" s="56">
        <v>0.65</v>
      </c>
      <c r="GN6" s="56">
        <v>0.79</v>
      </c>
      <c r="GO6" s="555" t="s">
        <v>150</v>
      </c>
      <c r="GS6" s="489">
        <v>500</v>
      </c>
      <c r="GT6" s="555" t="s">
        <v>90</v>
      </c>
    </row>
    <row r="7" spans="1:219">
      <c r="A7" s="391">
        <v>1.22</v>
      </c>
      <c r="B7" s="3">
        <v>43958</v>
      </c>
      <c r="C7" s="4" t="s">
        <v>23</v>
      </c>
      <c r="D7" s="4" t="s">
        <v>2988</v>
      </c>
      <c r="F7" t="s">
        <v>28</v>
      </c>
      <c r="G7" s="36">
        <v>0</v>
      </c>
      <c r="H7" t="s">
        <v>31</v>
      </c>
      <c r="I7" s="5" t="s">
        <v>35</v>
      </c>
      <c r="J7" s="6" t="s">
        <v>36</v>
      </c>
      <c r="L7" s="4" t="s">
        <v>79</v>
      </c>
      <c r="M7" s="4" t="s">
        <v>80</v>
      </c>
      <c r="N7" s="4" t="s">
        <v>454</v>
      </c>
      <c r="P7" s="4" t="s">
        <v>584</v>
      </c>
      <c r="Q7" s="4" t="s">
        <v>585</v>
      </c>
      <c r="R7" s="4" t="s">
        <v>586</v>
      </c>
      <c r="T7" s="4" t="s">
        <v>1366</v>
      </c>
      <c r="U7" s="4" t="s">
        <v>437</v>
      </c>
      <c r="V7" s="4" t="s">
        <v>1327</v>
      </c>
      <c r="X7" s="4" t="s">
        <v>458</v>
      </c>
      <c r="Y7" s="4" t="s">
        <v>28</v>
      </c>
      <c r="AA7" s="4" t="s">
        <v>185</v>
      </c>
      <c r="AB7" s="4"/>
      <c r="AC7" s="4"/>
      <c r="AD7" s="58">
        <v>100000</v>
      </c>
      <c r="AE7" s="58">
        <v>200000</v>
      </c>
      <c r="AF7" s="360">
        <f t="shared" si="0"/>
        <v>1.0036286266924566</v>
      </c>
      <c r="AG7" s="360">
        <f t="shared" si="0"/>
        <v>1.5269539295392955</v>
      </c>
      <c r="AH7" s="361">
        <f t="shared" si="1"/>
        <v>1.5271475759175179</v>
      </c>
      <c r="AI7" s="361">
        <f t="shared" si="2"/>
        <v>1.5269539295392955</v>
      </c>
      <c r="AJ7" s="361">
        <f t="shared" si="3"/>
        <v>1.5269539295392955</v>
      </c>
      <c r="AK7" s="361">
        <f t="shared" si="4"/>
        <v>1.5269539295392955</v>
      </c>
      <c r="AL7" s="361">
        <f t="shared" si="5"/>
        <v>1.5269539295392955</v>
      </c>
      <c r="AM7" s="361">
        <f t="shared" si="6"/>
        <v>1.5269539295392955</v>
      </c>
      <c r="AN7" s="361">
        <f t="shared" si="7"/>
        <v>1.5269539295392955</v>
      </c>
      <c r="AO7" s="361">
        <f t="shared" si="8"/>
        <v>1.5269539295392955</v>
      </c>
      <c r="AP7" s="361">
        <f t="shared" si="9"/>
        <v>1.5269539295392955</v>
      </c>
      <c r="AQ7" s="361">
        <f t="shared" si="10"/>
        <v>1.5269539295392955</v>
      </c>
      <c r="AR7" s="361">
        <f t="shared" si="11"/>
        <v>1.5269539295392955</v>
      </c>
      <c r="AS7" s="361">
        <f t="shared" si="12"/>
        <v>1.5269539295392955</v>
      </c>
      <c r="AT7" s="361">
        <f t="shared" si="13"/>
        <v>1.5269539295392955</v>
      </c>
      <c r="AU7" s="361">
        <f t="shared" si="14"/>
        <v>1.5269539295392955</v>
      </c>
      <c r="AV7" s="361">
        <f t="shared" si="15"/>
        <v>1.5269539295392955</v>
      </c>
      <c r="AW7" s="57"/>
      <c r="AY7" s="58">
        <v>200000</v>
      </c>
      <c r="AZ7" s="58">
        <f>AY7</f>
        <v>200000</v>
      </c>
      <c r="BA7" s="58"/>
      <c r="BB7" s="360">
        <f t="shared" ref="BB7:BC7" si="33">AF9</f>
        <v>1.2960212462872038</v>
      </c>
      <c r="BC7" s="360">
        <f t="shared" si="33"/>
        <v>1.7090380318868124</v>
      </c>
      <c r="BD7" s="360">
        <f t="shared" ref="BD7:BD21" si="34">AVERAGE(BB7,BE7)</f>
        <v>1.4559988909168484</v>
      </c>
      <c r="BE7" s="360">
        <f>AH9</f>
        <v>1.6159765355464932</v>
      </c>
      <c r="BF7" s="360">
        <f>AI9</f>
        <v>1.7373938315701876</v>
      </c>
      <c r="BG7" s="360">
        <f t="shared" ref="BG7" si="35">AJ9</f>
        <v>1.7090380318868124</v>
      </c>
      <c r="BH7" s="360">
        <f t="shared" ref="BH7" si="36">AK9</f>
        <v>1.7090380318868124</v>
      </c>
      <c r="BI7" s="360">
        <f t="shared" ref="BI7" si="37">AL9</f>
        <v>1.7090380318868124</v>
      </c>
      <c r="BJ7" s="360">
        <f t="shared" ref="BJ7" si="38">AM9</f>
        <v>1.7090380318868124</v>
      </c>
      <c r="BK7" s="360">
        <f t="shared" ref="BK7" si="39">AN9</f>
        <v>1.7090380318868124</v>
      </c>
      <c r="BL7" s="360">
        <f t="shared" ref="BL7" si="40">AO9</f>
        <v>1.7090380318868124</v>
      </c>
      <c r="BM7" s="360">
        <f t="shared" ref="BM7" si="41">AP9</f>
        <v>1.7090380318868124</v>
      </c>
      <c r="BN7" s="360">
        <f t="shared" ref="BN7" si="42">AQ9</f>
        <v>1.7090380318868124</v>
      </c>
      <c r="BO7" s="360">
        <f t="shared" ref="BO7" si="43">AR9</f>
        <v>1.7090380318868124</v>
      </c>
      <c r="BP7" s="360">
        <f t="shared" ref="BP7" si="44">AS9</f>
        <v>1.7090380318868124</v>
      </c>
      <c r="BQ7" s="360">
        <f t="shared" ref="BQ7" si="45">AT9</f>
        <v>1.7090380318868124</v>
      </c>
      <c r="BR7" s="360">
        <f t="shared" ref="BR7" si="46">AU9</f>
        <v>1.7090380318868124</v>
      </c>
      <c r="BS7" s="360">
        <f t="shared" ref="BS7" si="47">AV9</f>
        <v>1.7090380318868124</v>
      </c>
      <c r="BT7" s="58"/>
      <c r="BU7" s="58">
        <v>1000</v>
      </c>
      <c r="BV7" s="57">
        <v>4.0000000000000001E-3</v>
      </c>
      <c r="BW7" s="57">
        <v>2E-3</v>
      </c>
      <c r="BY7" s="4" t="s">
        <v>317</v>
      </c>
      <c r="BZ7" s="4">
        <v>1.02</v>
      </c>
      <c r="CD7" t="s">
        <v>218</v>
      </c>
      <c r="CE7" t="s">
        <v>211</v>
      </c>
      <c r="CF7" t="s">
        <v>219</v>
      </c>
      <c r="CG7" s="4" t="str">
        <f t="shared" si="31"/>
        <v>Group 2</v>
      </c>
      <c r="CH7" s="4" t="str">
        <f>CE7</f>
        <v>Group 1</v>
      </c>
      <c r="CI7" s="4" t="s">
        <v>211</v>
      </c>
      <c r="CJ7" s="4" t="s">
        <v>211</v>
      </c>
      <c r="CL7" s="78" t="s">
        <v>84</v>
      </c>
      <c r="CM7" s="78" t="s">
        <v>266</v>
      </c>
      <c r="CO7" s="74" t="s">
        <v>219</v>
      </c>
      <c r="CP7" s="79">
        <v>0.75</v>
      </c>
      <c r="CQ7" s="79">
        <v>1.25</v>
      </c>
      <c r="CR7" s="74" t="s">
        <v>219</v>
      </c>
      <c r="CS7" s="79">
        <v>0.75</v>
      </c>
      <c r="CT7" s="79">
        <f t="shared" ref="CT7:CT13" si="48">CS7</f>
        <v>0.75</v>
      </c>
      <c r="CU7" s="74" t="s">
        <v>219</v>
      </c>
      <c r="CV7" s="79">
        <v>0.75</v>
      </c>
      <c r="CW7" s="80">
        <f t="shared" ref="CW7:CW13" si="49">CV7</f>
        <v>0.75</v>
      </c>
      <c r="CX7" s="74" t="s">
        <v>219</v>
      </c>
      <c r="CY7" s="79">
        <v>0.9</v>
      </c>
      <c r="CZ7" s="79">
        <f t="shared" si="32"/>
        <v>0.9</v>
      </c>
      <c r="DA7" s="74" t="s">
        <v>219</v>
      </c>
      <c r="DB7" s="79">
        <v>0.75</v>
      </c>
      <c r="DC7" s="79">
        <v>1.25</v>
      </c>
      <c r="DD7" s="74" t="s">
        <v>219</v>
      </c>
      <c r="DE7" s="79">
        <v>0.75</v>
      </c>
      <c r="DF7" s="79">
        <v>1.25</v>
      </c>
      <c r="DH7" s="4" t="s">
        <v>47</v>
      </c>
      <c r="DI7" s="56">
        <v>0.95</v>
      </c>
      <c r="DL7" s="466" t="s">
        <v>304</v>
      </c>
      <c r="DM7" t="s">
        <v>266</v>
      </c>
      <c r="DO7" s="85">
        <v>2</v>
      </c>
      <c r="DP7" s="84">
        <v>1.05</v>
      </c>
      <c r="DQ7" s="84">
        <f>DQ6</f>
        <v>1.0549999999999999</v>
      </c>
      <c r="DR7" s="84">
        <v>1</v>
      </c>
      <c r="DU7" t="s">
        <v>293</v>
      </c>
      <c r="DV7" s="231">
        <v>1</v>
      </c>
      <c r="DW7">
        <v>1.4</v>
      </c>
      <c r="DY7" t="s">
        <v>27</v>
      </c>
      <c r="DZ7" s="466" t="s">
        <v>47</v>
      </c>
      <c r="EA7" s="251">
        <v>0.5</v>
      </c>
      <c r="EB7" s="251">
        <v>1</v>
      </c>
      <c r="EC7" s="526">
        <f t="shared" ref="EC7:EC39" si="50">EA7</f>
        <v>0.5</v>
      </c>
      <c r="ED7" s="526">
        <f t="shared" ref="ED7:ED56" si="51">IF(EB7=EA7,EC7,EB7)</f>
        <v>1</v>
      </c>
      <c r="EF7" s="466"/>
      <c r="EG7" s="4"/>
      <c r="EH7" s="375"/>
      <c r="EI7" s="375"/>
      <c r="EJ7" s="4"/>
      <c r="EK7" s="112" t="s">
        <v>324</v>
      </c>
      <c r="EL7" s="375">
        <v>-0.05</v>
      </c>
      <c r="EM7" s="375">
        <v>0.05</v>
      </c>
      <c r="EN7" s="112"/>
      <c r="EO7" s="375"/>
      <c r="EP7" s="375"/>
      <c r="EQ7" s="95" t="s">
        <v>324</v>
      </c>
      <c r="ER7" s="375">
        <v>-0.05</v>
      </c>
      <c r="ES7" s="375">
        <v>0.05</v>
      </c>
      <c r="ET7" s="112"/>
      <c r="EU7" s="375"/>
      <c r="EV7" s="375"/>
      <c r="EW7" s="112"/>
      <c r="EX7" s="375"/>
      <c r="EY7" s="375">
        <f t="shared" ref="EY7:EY13" si="52">EY6</f>
        <v>1</v>
      </c>
      <c r="EZ7" s="112"/>
      <c r="FA7" s="375"/>
      <c r="FB7" s="375"/>
      <c r="FC7" s="112"/>
      <c r="FD7" s="375"/>
      <c r="FE7" s="375"/>
      <c r="FF7" s="16"/>
      <c r="FG7" s="16"/>
      <c r="FH7" s="127">
        <v>1</v>
      </c>
      <c r="FI7" s="131">
        <v>1</v>
      </c>
      <c r="FJ7" s="132">
        <v>0.5</v>
      </c>
      <c r="FK7" s="132">
        <v>0</v>
      </c>
      <c r="FL7" s="132">
        <v>-0.5</v>
      </c>
      <c r="FM7" s="132">
        <v>-0.75</v>
      </c>
      <c r="FN7" s="133">
        <v>-1</v>
      </c>
      <c r="FP7" s="127">
        <v>2</v>
      </c>
      <c r="FQ7" s="43">
        <v>0.95</v>
      </c>
      <c r="FR7" s="127">
        <v>2</v>
      </c>
      <c r="FS7" s="43">
        <v>0.85</v>
      </c>
      <c r="FU7" s="180">
        <v>0</v>
      </c>
      <c r="FV7" s="180">
        <v>0</v>
      </c>
      <c r="FW7" s="154">
        <v>0</v>
      </c>
      <c r="FX7" s="140">
        <v>15</v>
      </c>
      <c r="FZ7" s="4" t="s">
        <v>409</v>
      </c>
      <c r="GA7" s="58">
        <v>100000</v>
      </c>
      <c r="GE7">
        <v>2</v>
      </c>
      <c r="GF7" s="558">
        <v>1.5</v>
      </c>
      <c r="GG7" s="558">
        <v>1.5</v>
      </c>
      <c r="GH7" s="558">
        <v>1.5</v>
      </c>
      <c r="GI7" s="558"/>
      <c r="GJ7" s="557"/>
      <c r="GL7" s="4" t="s">
        <v>2806</v>
      </c>
      <c r="GM7" s="56">
        <v>0.8</v>
      </c>
      <c r="GN7" s="56">
        <v>0.99</v>
      </c>
      <c r="GO7" s="555" t="s">
        <v>113</v>
      </c>
      <c r="GT7" s="555" t="s">
        <v>117</v>
      </c>
      <c r="HF7" t="s">
        <v>47</v>
      </c>
      <c r="HG7" t="s">
        <v>1514</v>
      </c>
      <c r="HK7" s="421">
        <v>0</v>
      </c>
    </row>
    <row r="8" spans="1:219">
      <c r="A8" s="391">
        <v>1.21</v>
      </c>
      <c r="B8" s="3">
        <v>43945</v>
      </c>
      <c r="C8" s="4" t="s">
        <v>23</v>
      </c>
      <c r="D8" s="4" t="s">
        <v>2957</v>
      </c>
      <c r="I8" s="5" t="s">
        <v>37</v>
      </c>
      <c r="J8" s="6" t="s">
        <v>38</v>
      </c>
      <c r="L8" s="4" t="s">
        <v>81</v>
      </c>
      <c r="M8" s="4" t="s">
        <v>82</v>
      </c>
      <c r="N8" s="277" t="s">
        <v>459</v>
      </c>
      <c r="P8" s="4" t="s">
        <v>587</v>
      </c>
      <c r="Q8" s="4" t="s">
        <v>588</v>
      </c>
      <c r="R8" s="4" t="s">
        <v>589</v>
      </c>
      <c r="T8" s="4" t="s">
        <v>1370</v>
      </c>
      <c r="U8" s="4" t="s">
        <v>437</v>
      </c>
      <c r="V8" s="4" t="s">
        <v>1328</v>
      </c>
      <c r="X8" s="4" t="s">
        <v>531</v>
      </c>
      <c r="Y8" s="4" t="s">
        <v>28</v>
      </c>
      <c r="AA8" s="4" t="s">
        <v>188</v>
      </c>
      <c r="AB8" s="4"/>
      <c r="AC8" s="4"/>
      <c r="AD8" s="58">
        <v>100000</v>
      </c>
      <c r="AE8" s="58">
        <v>300000</v>
      </c>
      <c r="AF8" s="234">
        <v>1.004</v>
      </c>
      <c r="AG8" s="234">
        <v>1.6020000000000001</v>
      </c>
      <c r="AH8" s="361">
        <f>IF(AH$5&gt;AD8,AG8,(1-(AF8-AF$8)/AF8)*(AG8-AF8)+AF8)</f>
        <v>1.6020000000000001</v>
      </c>
      <c r="AI8" s="361">
        <f>IF(AI$5&gt;AD8,AG8,(1-(AF8-AF$11)/AF8)*(AG8-AF8)+AF8)</f>
        <v>1.6020000000000001</v>
      </c>
      <c r="AJ8" s="361">
        <f>IF(AJ$5&gt;AD8,AG8,(1-(AF8-AF$13)/AF8)*(AG8-AF8)+AF8)</f>
        <v>1.6020000000000001</v>
      </c>
      <c r="AK8" s="361">
        <f>IF(AK$5&gt;AD8,AG8,(1-(AF8-AF$16)/AF8)*(AG8-AF8)+AF8)</f>
        <v>1.6020000000000001</v>
      </c>
      <c r="AL8" s="361">
        <f>IF(AL$5&gt;AD8,AG8,(1-(AF8-AF$18)/AF8)*(AG8-AF8)+AF8)</f>
        <v>1.6020000000000001</v>
      </c>
      <c r="AM8" s="361">
        <f>IF(AM$5&gt;AD8,AG8,(1-(AF8-AF$20)/AF8)*(AG8-AF8)+AF8)</f>
        <v>1.6020000000000001</v>
      </c>
      <c r="AN8" s="361">
        <f>IF(AN$5&gt;AD8,AG8,(1-(AF8-AF$22)/AF8)*(AG8-AF8)+AF8)</f>
        <v>1.6020000000000001</v>
      </c>
      <c r="AO8" s="361">
        <f>IF(AO$5&gt;AD8,AG8,(1-(AF8-AF$23)/AF8)*(AG8-AF8)+AF8)</f>
        <v>1.6020000000000001</v>
      </c>
      <c r="AP8" s="361">
        <f>IF(AP$5&gt;AD8,AG8,(1-(AF8-AF$24)/AF8)*(AG8-AF8)+AF8)</f>
        <v>1.6020000000000001</v>
      </c>
      <c r="AQ8" s="361">
        <f>IF(AQ$5&gt;AD8,AG8,(1-(AF8-AF$25)/AF8)*(AG8-AF8)+AF8)</f>
        <v>1.6020000000000001</v>
      </c>
      <c r="AR8" s="361">
        <f>IF(AR$5&gt;AD8,AG8,(1-(AF8-AF$26)/AF8)*(AG8-AF8)+AF8)</f>
        <v>1.6020000000000001</v>
      </c>
      <c r="AS8" s="361">
        <f>IF(AS$5&gt;AD8,AG8,(1-(AF8-AF$27)/AF8)*(AG8-AF8)+AF8)</f>
        <v>1.6020000000000001</v>
      </c>
      <c r="AT8" s="361">
        <f>IF(AT$5&gt;AD8,AG8,(1-(AF8-AF$28)/AF8)*(AG8-AF8)+AF8)</f>
        <v>1.6020000000000001</v>
      </c>
      <c r="AU8" s="361">
        <f>IF(AU$5&gt;AD8,AG8,(1-(AF8-AF$29)/AF8)*(AG8-AF8)+AF8)</f>
        <v>1.6020000000000001</v>
      </c>
      <c r="AV8" s="361">
        <f>IF(AV$5&gt;AD8,AG8,(1-(AF8-AF$30)/AF8)*(AG8-AF8)+AF8)</f>
        <v>1.6020000000000001</v>
      </c>
      <c r="AW8" s="57"/>
      <c r="AY8" s="58">
        <v>250000</v>
      </c>
      <c r="AZ8" s="58">
        <f t="shared" ref="AZ8:AZ21" si="53">AY8</f>
        <v>250000</v>
      </c>
      <c r="BA8" s="58"/>
      <c r="BB8" s="360">
        <f t="shared" ref="BB8:BC8" si="54">AF12</f>
        <v>1.4348076923076922</v>
      </c>
      <c r="BC8" s="360">
        <f t="shared" si="54"/>
        <v>1.9146805194805196</v>
      </c>
      <c r="BD8" s="360">
        <f t="shared" si="34"/>
        <v>1.6027020801983167</v>
      </c>
      <c r="BE8" s="360">
        <f>AH12</f>
        <v>1.770596468088941</v>
      </c>
      <c r="BF8" s="360">
        <f>AI12</f>
        <v>1.898022288380431</v>
      </c>
      <c r="BG8" s="360">
        <f>AJ12</f>
        <v>1.9408320127828211</v>
      </c>
      <c r="BH8" s="360">
        <f t="shared" ref="BH8" si="55">AK12</f>
        <v>1.9146805194805196</v>
      </c>
      <c r="BI8" s="360">
        <f t="shared" ref="BI8" si="56">AL12</f>
        <v>1.9146805194805196</v>
      </c>
      <c r="BJ8" s="360">
        <f t="shared" ref="BJ8" si="57">AM12</f>
        <v>1.9146805194805196</v>
      </c>
      <c r="BK8" s="360">
        <f t="shared" ref="BK8" si="58">AN12</f>
        <v>1.9146805194805196</v>
      </c>
      <c r="BL8" s="360">
        <f t="shared" ref="BL8" si="59">AO12</f>
        <v>1.9146805194805196</v>
      </c>
      <c r="BM8" s="360">
        <f t="shared" ref="BM8" si="60">AP12</f>
        <v>1.9146805194805196</v>
      </c>
      <c r="BN8" s="360">
        <f t="shared" ref="BN8" si="61">AQ12</f>
        <v>1.9146805194805196</v>
      </c>
      <c r="BO8" s="360">
        <f t="shared" ref="BO8" si="62">AR12</f>
        <v>1.9146805194805196</v>
      </c>
      <c r="BP8" s="360">
        <f t="shared" ref="BP8" si="63">AS12</f>
        <v>1.9146805194805196</v>
      </c>
      <c r="BQ8" s="360">
        <f t="shared" ref="BQ8" si="64">AT12</f>
        <v>1.9146805194805196</v>
      </c>
      <c r="BR8" s="360">
        <f t="shared" ref="BR8" si="65">AU12</f>
        <v>1.9146805194805196</v>
      </c>
      <c r="BS8" s="360">
        <f t="shared" ref="BS8" si="66">AV12</f>
        <v>1.9146805194805196</v>
      </c>
      <c r="BT8" s="58"/>
      <c r="BU8" s="58">
        <v>2000</v>
      </c>
      <c r="BV8" s="57">
        <v>1.6E-2</v>
      </c>
      <c r="BW8" s="57">
        <v>8.9999999999999993E-3</v>
      </c>
      <c r="BY8" s="4" t="s">
        <v>316</v>
      </c>
      <c r="BZ8" s="4">
        <v>1.04</v>
      </c>
      <c r="CD8" t="s">
        <v>228</v>
      </c>
      <c r="CE8" t="s">
        <v>219</v>
      </c>
      <c r="CF8" t="s">
        <v>229</v>
      </c>
      <c r="CG8" s="4" t="str">
        <f t="shared" si="31"/>
        <v>Group 4</v>
      </c>
      <c r="CH8" s="4" t="s">
        <v>222</v>
      </c>
      <c r="CI8" s="4" t="s">
        <v>219</v>
      </c>
      <c r="CJ8" s="4" t="s">
        <v>219</v>
      </c>
      <c r="CL8" s="77" t="s">
        <v>47</v>
      </c>
      <c r="CM8" s="77" t="s">
        <v>266</v>
      </c>
      <c r="CO8" s="74" t="s">
        <v>222</v>
      </c>
      <c r="CP8" s="79">
        <v>1</v>
      </c>
      <c r="CQ8" s="79">
        <v>1.5</v>
      </c>
      <c r="CR8" s="74" t="s">
        <v>222</v>
      </c>
      <c r="CS8" s="79">
        <v>0.9</v>
      </c>
      <c r="CT8" s="79">
        <f t="shared" si="48"/>
        <v>0.9</v>
      </c>
      <c r="CU8" s="74" t="s">
        <v>222</v>
      </c>
      <c r="CV8" s="79">
        <v>0.9</v>
      </c>
      <c r="CW8" s="80">
        <f t="shared" si="49"/>
        <v>0.9</v>
      </c>
      <c r="CX8" s="74" t="s">
        <v>222</v>
      </c>
      <c r="CY8" s="79">
        <v>1</v>
      </c>
      <c r="CZ8" s="79">
        <f t="shared" si="32"/>
        <v>1</v>
      </c>
      <c r="DA8" s="74" t="s">
        <v>222</v>
      </c>
      <c r="DB8" s="79">
        <v>1</v>
      </c>
      <c r="DC8" s="79">
        <v>1.4</v>
      </c>
      <c r="DD8" s="74" t="s">
        <v>222</v>
      </c>
      <c r="DE8" s="79">
        <v>1</v>
      </c>
      <c r="DF8" s="79">
        <v>1.25</v>
      </c>
      <c r="DL8" s="466" t="s">
        <v>47</v>
      </c>
      <c r="DM8" s="4" t="s">
        <v>266</v>
      </c>
      <c r="DO8" s="85">
        <v>3</v>
      </c>
      <c r="DP8" s="84">
        <v>1</v>
      </c>
      <c r="DQ8" s="84">
        <f>DQ7</f>
        <v>1.0549999999999999</v>
      </c>
      <c r="DR8" s="84">
        <f>1-0.1</f>
        <v>0.9</v>
      </c>
      <c r="DU8" t="s">
        <v>294</v>
      </c>
      <c r="DV8" s="231">
        <v>2</v>
      </c>
      <c r="DW8">
        <v>1.6</v>
      </c>
      <c r="DY8" t="s">
        <v>2677</v>
      </c>
      <c r="DZ8" s="466" t="s">
        <v>50</v>
      </c>
      <c r="EA8" s="251">
        <v>0.5</v>
      </c>
      <c r="EB8" s="251">
        <v>1</v>
      </c>
      <c r="EC8" s="526">
        <f t="shared" si="50"/>
        <v>0.5</v>
      </c>
      <c r="ED8" s="526">
        <f t="shared" si="51"/>
        <v>1</v>
      </c>
      <c r="EF8" s="466" t="s">
        <v>84</v>
      </c>
      <c r="EG8" s="4" t="s">
        <v>353</v>
      </c>
      <c r="EH8" s="375">
        <v>-0.25</v>
      </c>
      <c r="EI8" s="375">
        <v>0.25</v>
      </c>
      <c r="EJ8" s="4"/>
      <c r="EK8" s="112" t="s">
        <v>325</v>
      </c>
      <c r="EL8" s="375">
        <v>-0.1</v>
      </c>
      <c r="EM8" s="375">
        <v>0.1</v>
      </c>
      <c r="EN8" s="112"/>
      <c r="EO8" s="375"/>
      <c r="EP8" s="375"/>
      <c r="EQ8" s="95" t="s">
        <v>325</v>
      </c>
      <c r="ER8" s="375">
        <v>-0.1</v>
      </c>
      <c r="ES8" s="375">
        <v>0.1</v>
      </c>
      <c r="ET8" s="112"/>
      <c r="EU8" s="375"/>
      <c r="EV8" s="375"/>
      <c r="EW8" s="112"/>
      <c r="EX8" s="375"/>
      <c r="EY8" s="375">
        <f t="shared" si="52"/>
        <v>1</v>
      </c>
      <c r="EZ8" s="112"/>
      <c r="FA8" s="375"/>
      <c r="FB8" s="375"/>
      <c r="FC8" s="112"/>
      <c r="FD8" s="375"/>
      <c r="FE8" s="375"/>
      <c r="FF8" s="16"/>
      <c r="FG8" s="16"/>
      <c r="FH8" s="127">
        <v>2</v>
      </c>
      <c r="FI8" s="131">
        <v>2</v>
      </c>
      <c r="FJ8" s="132">
        <v>1</v>
      </c>
      <c r="FK8" s="132">
        <v>0.5</v>
      </c>
      <c r="FL8" s="132">
        <v>0</v>
      </c>
      <c r="FM8" s="132">
        <v>-0.25</v>
      </c>
      <c r="FN8" s="133">
        <v>-0.75</v>
      </c>
      <c r="FP8" s="127">
        <v>3</v>
      </c>
      <c r="FQ8" s="43">
        <v>0.9</v>
      </c>
      <c r="FR8" s="127">
        <v>3</v>
      </c>
      <c r="FS8" s="43">
        <v>0.9</v>
      </c>
      <c r="FU8" s="154">
        <v>5000</v>
      </c>
      <c r="FV8" s="140">
        <v>6</v>
      </c>
      <c r="FW8" s="154">
        <v>10001</v>
      </c>
      <c r="FX8" s="140">
        <v>12</v>
      </c>
      <c r="GE8">
        <v>3</v>
      </c>
      <c r="GF8" s="558">
        <v>2</v>
      </c>
      <c r="GG8" s="558">
        <v>2</v>
      </c>
      <c r="GH8" s="558">
        <v>2</v>
      </c>
      <c r="GI8" s="558"/>
      <c r="GJ8" s="557"/>
      <c r="GL8" s="4" t="s">
        <v>2805</v>
      </c>
      <c r="GM8" s="56">
        <v>1</v>
      </c>
      <c r="GN8" s="56">
        <v>1</v>
      </c>
      <c r="GO8" s="555" t="s">
        <v>138</v>
      </c>
      <c r="GT8" s="555" t="s">
        <v>127</v>
      </c>
      <c r="HF8" t="s">
        <v>51</v>
      </c>
      <c r="HG8" t="s">
        <v>1515</v>
      </c>
      <c r="HK8" s="421">
        <v>0</v>
      </c>
    </row>
    <row r="9" spans="1:219">
      <c r="A9" s="391">
        <v>1.2</v>
      </c>
      <c r="B9" s="3">
        <v>43888</v>
      </c>
      <c r="C9" s="4" t="s">
        <v>23</v>
      </c>
      <c r="D9" s="4" t="s">
        <v>2828</v>
      </c>
      <c r="I9" s="5" t="s">
        <v>39</v>
      </c>
      <c r="J9" s="6" t="s">
        <v>40</v>
      </c>
      <c r="L9" s="4" t="s">
        <v>83</v>
      </c>
      <c r="M9" s="4" t="s">
        <v>84</v>
      </c>
      <c r="N9" s="277" t="s">
        <v>455</v>
      </c>
      <c r="P9" s="4" t="s">
        <v>590</v>
      </c>
      <c r="Q9" s="4" t="s">
        <v>591</v>
      </c>
      <c r="R9" s="4" t="s">
        <v>592</v>
      </c>
      <c r="T9" s="4" t="s">
        <v>1367</v>
      </c>
      <c r="X9" s="4" t="s">
        <v>459</v>
      </c>
      <c r="Y9" s="4" t="s">
        <v>143</v>
      </c>
      <c r="AA9" s="4"/>
      <c r="AB9" s="4"/>
      <c r="AC9" s="4">
        <f>(AF9-AF6)/(AD9-AD6)*1000000</f>
        <v>2.9294570087123284</v>
      </c>
      <c r="AD9" s="162">
        <v>200000</v>
      </c>
      <c r="AE9" s="58">
        <v>200000</v>
      </c>
      <c r="AF9" s="360">
        <f>(AF10-1)*((AF18-1)/(AF19-1))+1</f>
        <v>1.2960212462872038</v>
      </c>
      <c r="AG9" s="360">
        <f>(AG10-1)*((AG18-1)/(AG19-1))+1</f>
        <v>1.7090380318868124</v>
      </c>
      <c r="AH9" s="361">
        <f t="shared" ref="AH9:AH10" si="67">IF(AH$5&gt;AD9,AG9,(1-(AF9-AF$8)/AF9)*(AG9-AF9)+AF9)</f>
        <v>1.6159765355464932</v>
      </c>
      <c r="AI9" s="361">
        <f t="shared" ref="AI9:AI10" si="68">IF(AI$5&gt;AD9,AG9,(1-(AF9-AF$11)/AF9)*(AG9-AF9)+AF9)</f>
        <v>1.7373938315701876</v>
      </c>
      <c r="AJ9" s="361">
        <f t="shared" ref="AJ9:AJ10" si="69">IF(AJ$5&gt;AD9,AG9,(1-(AF9-AF$13)/AF9)*(AG9-AF9)+AF9)</f>
        <v>1.7090380318868124</v>
      </c>
      <c r="AK9" s="361">
        <f t="shared" ref="AK9:AK10" si="70">IF(AK$5&gt;AD9,AG9,(1-(AF9-AF$16)/AF9)*(AG9-AF9)+AF9)</f>
        <v>1.7090380318868124</v>
      </c>
      <c r="AL9" s="361">
        <f t="shared" ref="AL9:AL10" si="71">IF(AL$5&gt;AD9,AG9,(1-(AF9-AF$18)/AF9)*(AG9-AF9)+AF9)</f>
        <v>1.7090380318868124</v>
      </c>
      <c r="AM9" s="361">
        <f t="shared" ref="AM9:AM10" si="72">IF(AM$5&gt;AD9,AG9,(1-(AF9-AF$20)/AF9)*(AG9-AF9)+AF9)</f>
        <v>1.7090380318868124</v>
      </c>
      <c r="AN9" s="361">
        <f t="shared" ref="AN9:AN10" si="73">IF(AN$5&gt;AD9,AG9,(1-(AF9-AF$22)/AF9)*(AG9-AF9)+AF9)</f>
        <v>1.7090380318868124</v>
      </c>
      <c r="AO9" s="361">
        <f t="shared" ref="AO9:AO10" si="74">IF(AO$5&gt;AD9,AG9,(1-(AF9-AF$23)/AF9)*(AG9-AF9)+AF9)</f>
        <v>1.7090380318868124</v>
      </c>
      <c r="AP9" s="361">
        <f t="shared" ref="AP9:AP10" si="75">IF(AP$5&gt;AD9,AG9,(1-(AF9-AF$24)/AF9)*(AG9-AF9)+AF9)</f>
        <v>1.7090380318868124</v>
      </c>
      <c r="AQ9" s="361">
        <f t="shared" ref="AQ9:AQ10" si="76">IF(AQ$5&gt;AD9,AG9,(1-(AF9-AF$25)/AF9)*(AG9-AF9)+AF9)</f>
        <v>1.7090380318868124</v>
      </c>
      <c r="AR9" s="361">
        <f t="shared" ref="AR9:AR10" si="77">IF(AR$5&gt;AD9,AG9,(1-(AF9-AF$26)/AF9)*(AG9-AF9)+AF9)</f>
        <v>1.7090380318868124</v>
      </c>
      <c r="AS9" s="361">
        <f t="shared" ref="AS9:AS10" si="78">IF(AS$5&gt;AD9,AG9,(1-(AF9-AF$27)/AF9)*(AG9-AF9)+AF9)</f>
        <v>1.7090380318868124</v>
      </c>
      <c r="AT9" s="361">
        <f t="shared" ref="AT9:AT10" si="79">IF(AT$5&gt;AD9,AG9,(1-(AF9-AF$28)/AF9)*(AG9-AF9)+AF9)</f>
        <v>1.7090380318868124</v>
      </c>
      <c r="AU9" s="361">
        <f t="shared" ref="AU9:AU10" si="80">IF(AU$5&gt;AD9,AG9,(1-(AF9-AF$29)/AF9)*(AG9-AF9)+AF9)</f>
        <v>1.7090380318868124</v>
      </c>
      <c r="AV9" s="361">
        <f t="shared" ref="AV9:AV10" si="81">IF(AV$5&gt;AD9,AG9,(1-(AF9-AF$30)/AF9)*(AG9-AF9)+AF9)</f>
        <v>1.7090380318868124</v>
      </c>
      <c r="AW9" s="57"/>
      <c r="AY9" s="58">
        <v>500000</v>
      </c>
      <c r="AZ9" s="58">
        <f t="shared" si="53"/>
        <v>500000</v>
      </c>
      <c r="BA9" s="58"/>
      <c r="BB9" s="360">
        <f t="shared" ref="BB9:BC9" si="82">AF15</f>
        <v>1.7950284900284901</v>
      </c>
      <c r="BC9" s="360">
        <f t="shared" si="82"/>
        <v>2.1758877922077922</v>
      </c>
      <c r="BD9" s="360">
        <f t="shared" si="34"/>
        <v>1.90154009736848</v>
      </c>
      <c r="BE9" s="360">
        <f>AH15</f>
        <v>2.0080517047084698</v>
      </c>
      <c r="BF9" s="360">
        <f>AI15</f>
        <v>2.0888901955382235</v>
      </c>
      <c r="BG9" s="360">
        <f>AJ15</f>
        <v>2.1160485336647548</v>
      </c>
      <c r="BH9" s="360">
        <f>AK15</f>
        <v>2.2062227032255031</v>
      </c>
      <c r="BI9" s="360">
        <f t="shared" ref="BI9" si="83">AL15</f>
        <v>2.1758877922077922</v>
      </c>
      <c r="BJ9" s="360">
        <f t="shared" ref="BJ9" si="84">AM15</f>
        <v>2.1758877922077922</v>
      </c>
      <c r="BK9" s="360">
        <f t="shared" ref="BK9" si="85">AN15</f>
        <v>2.1758877922077922</v>
      </c>
      <c r="BL9" s="360">
        <f t="shared" ref="BL9" si="86">AO15</f>
        <v>2.1758877922077922</v>
      </c>
      <c r="BM9" s="360">
        <f t="shared" ref="BM9" si="87">AP15</f>
        <v>2.1758877922077922</v>
      </c>
      <c r="BN9" s="360">
        <f t="shared" ref="BN9" si="88">AQ15</f>
        <v>2.1758877922077922</v>
      </c>
      <c r="BO9" s="360">
        <f t="shared" ref="BO9" si="89">AR15</f>
        <v>2.1758877922077922</v>
      </c>
      <c r="BP9" s="360">
        <f t="shared" ref="BP9" si="90">AS15</f>
        <v>2.1758877922077922</v>
      </c>
      <c r="BQ9" s="360">
        <f t="shared" ref="BQ9" si="91">AT15</f>
        <v>2.1758877922077922</v>
      </c>
      <c r="BR9" s="360">
        <f t="shared" ref="BR9" si="92">AU15</f>
        <v>2.1758877922077922</v>
      </c>
      <c r="BS9" s="360">
        <f t="shared" ref="BS9" si="93">AV15</f>
        <v>2.1758877922077922</v>
      </c>
      <c r="BT9" s="58"/>
      <c r="BU9" s="58">
        <v>2500</v>
      </c>
      <c r="BV9" s="57">
        <v>2.1000000000000001E-2</v>
      </c>
      <c r="BW9" s="57">
        <v>1.4999999999999999E-2</v>
      </c>
      <c r="CD9" t="s">
        <v>220</v>
      </c>
      <c r="CE9" t="s">
        <v>211</v>
      </c>
      <c r="CF9" t="s">
        <v>219</v>
      </c>
      <c r="CG9" s="4" t="str">
        <f t="shared" si="31"/>
        <v>Group 2</v>
      </c>
      <c r="CH9" s="4" t="str">
        <f>CE9</f>
        <v>Group 1</v>
      </c>
      <c r="CI9" s="4" t="s">
        <v>211</v>
      </c>
      <c r="CJ9" s="4" t="s">
        <v>211</v>
      </c>
      <c r="CL9" s="77" t="s">
        <v>50</v>
      </c>
      <c r="CM9" s="77" t="s">
        <v>266</v>
      </c>
      <c r="CO9" s="74" t="s">
        <v>229</v>
      </c>
      <c r="CP9" s="75" t="s">
        <v>189</v>
      </c>
      <c r="CQ9" s="75" t="s">
        <v>189</v>
      </c>
      <c r="CR9" s="74" t="s">
        <v>229</v>
      </c>
      <c r="CS9" s="79">
        <v>1</v>
      </c>
      <c r="CT9" s="79">
        <f t="shared" si="48"/>
        <v>1</v>
      </c>
      <c r="CU9" s="74" t="s">
        <v>229</v>
      </c>
      <c r="CV9" s="79">
        <v>1</v>
      </c>
      <c r="CW9" s="80">
        <f t="shared" si="49"/>
        <v>1</v>
      </c>
      <c r="CX9" s="74" t="s">
        <v>229</v>
      </c>
      <c r="CY9" s="79">
        <v>1.05</v>
      </c>
      <c r="CZ9" s="79">
        <f t="shared" si="32"/>
        <v>1.05</v>
      </c>
      <c r="DA9" s="74" t="s">
        <v>229</v>
      </c>
      <c r="DB9" s="75" t="s">
        <v>189</v>
      </c>
      <c r="DC9" s="75" t="s">
        <v>189</v>
      </c>
      <c r="DD9" s="74" t="s">
        <v>229</v>
      </c>
      <c r="DE9" s="75" t="s">
        <v>189</v>
      </c>
      <c r="DF9" s="75" t="s">
        <v>189</v>
      </c>
      <c r="DL9" s="466" t="s">
        <v>50</v>
      </c>
      <c r="DM9" s="4" t="s">
        <v>266</v>
      </c>
      <c r="DO9" s="85">
        <v>6</v>
      </c>
      <c r="DP9" s="84">
        <v>0.95</v>
      </c>
      <c r="DQ9" s="84">
        <v>0.92999999999999994</v>
      </c>
      <c r="DR9" s="84">
        <f>1-0.15</f>
        <v>0.85</v>
      </c>
      <c r="DU9" t="s">
        <v>295</v>
      </c>
      <c r="DV9" s="231">
        <v>3</v>
      </c>
      <c r="DW9">
        <v>1.8</v>
      </c>
      <c r="DZ9" s="466" t="s">
        <v>51</v>
      </c>
      <c r="EA9" s="251">
        <v>0.5</v>
      </c>
      <c r="EB9" s="251">
        <v>0.5</v>
      </c>
      <c r="EC9" s="526">
        <f t="shared" si="50"/>
        <v>0.5</v>
      </c>
      <c r="ED9" s="526">
        <f t="shared" si="51"/>
        <v>0.5</v>
      </c>
      <c r="EF9" s="466" t="s">
        <v>47</v>
      </c>
      <c r="EG9" s="4" t="s">
        <v>354</v>
      </c>
      <c r="EH9" s="375">
        <v>-0.25</v>
      </c>
      <c r="EI9" s="375">
        <v>0.25</v>
      </c>
      <c r="EJ9" s="4"/>
      <c r="EK9" s="112" t="s">
        <v>326</v>
      </c>
      <c r="EL9" s="375">
        <v>-0.05</v>
      </c>
      <c r="EM9" s="375">
        <v>0.05</v>
      </c>
      <c r="EN9" s="112"/>
      <c r="EO9" s="375"/>
      <c r="EP9" s="375"/>
      <c r="EQ9" s="103" t="s">
        <v>326</v>
      </c>
      <c r="ER9" s="375">
        <v>-0.05</v>
      </c>
      <c r="ES9" s="375">
        <v>0.05</v>
      </c>
      <c r="ET9" s="112"/>
      <c r="EU9" s="375"/>
      <c r="EV9" s="375"/>
      <c r="EW9" s="112"/>
      <c r="EX9" s="375"/>
      <c r="EY9" s="375">
        <f t="shared" si="52"/>
        <v>1</v>
      </c>
      <c r="EZ9" s="112"/>
      <c r="FA9" s="375"/>
      <c r="FB9" s="375"/>
      <c r="FC9" s="112"/>
      <c r="FD9" s="375"/>
      <c r="FE9" s="375"/>
      <c r="FF9" s="16"/>
      <c r="FG9" s="16"/>
      <c r="FH9" s="127">
        <v>3</v>
      </c>
      <c r="FI9" s="372">
        <f>IF(info_internal,FI24,"Refer to Co.")</f>
        <v>3</v>
      </c>
      <c r="FJ9" s="132">
        <v>2</v>
      </c>
      <c r="FK9" s="132">
        <v>1.05</v>
      </c>
      <c r="FL9" s="132">
        <v>0.5</v>
      </c>
      <c r="FM9" s="132">
        <v>0</v>
      </c>
      <c r="FN9" s="133">
        <v>-0.25</v>
      </c>
      <c r="FP9" s="127">
        <v>4</v>
      </c>
      <c r="FQ9" s="43">
        <v>0.85</v>
      </c>
      <c r="FR9" s="127">
        <v>4</v>
      </c>
      <c r="FS9" s="43">
        <v>0.95</v>
      </c>
      <c r="FU9" s="154">
        <v>15001</v>
      </c>
      <c r="FV9" s="140">
        <v>10</v>
      </c>
      <c r="FW9" s="154">
        <v>30001</v>
      </c>
      <c r="FX9" s="140">
        <v>8</v>
      </c>
      <c r="GE9">
        <v>5</v>
      </c>
      <c r="GF9" s="558">
        <v>2.5</v>
      </c>
      <c r="GG9" s="558">
        <v>2.5</v>
      </c>
      <c r="GH9" s="558">
        <v>2.5</v>
      </c>
      <c r="GI9" s="558"/>
      <c r="GJ9" s="557"/>
      <c r="GL9" s="4" t="s">
        <v>2807</v>
      </c>
      <c r="GM9" s="56">
        <v>1.01</v>
      </c>
      <c r="GN9" s="56">
        <v>1.2</v>
      </c>
      <c r="GO9" s="555" t="s">
        <v>70</v>
      </c>
      <c r="GT9" s="555" t="s">
        <v>70</v>
      </c>
      <c r="HF9" t="s">
        <v>109</v>
      </c>
      <c r="HG9" t="s">
        <v>1516</v>
      </c>
    </row>
    <row r="10" spans="1:219">
      <c r="A10" s="391">
        <v>1.19</v>
      </c>
      <c r="B10" s="3">
        <v>43837</v>
      </c>
      <c r="C10" s="4" t="s">
        <v>23</v>
      </c>
      <c r="D10" s="4" t="s">
        <v>2782</v>
      </c>
      <c r="I10" s="5" t="s">
        <v>41</v>
      </c>
      <c r="J10" s="6" t="s">
        <v>42</v>
      </c>
      <c r="L10" s="4" t="s">
        <v>85</v>
      </c>
      <c r="M10" s="4" t="s">
        <v>47</v>
      </c>
      <c r="N10" s="277" t="s">
        <v>455</v>
      </c>
      <c r="P10" s="4" t="s">
        <v>593</v>
      </c>
      <c r="Q10" s="4" t="s">
        <v>594</v>
      </c>
      <c r="R10" s="4" t="s">
        <v>595</v>
      </c>
      <c r="T10" s="4" t="s">
        <v>1368</v>
      </c>
      <c r="X10" s="4" t="s">
        <v>2581</v>
      </c>
      <c r="Y10" s="4" t="s">
        <v>28</v>
      </c>
      <c r="AA10" s="4"/>
      <c r="AB10" s="4"/>
      <c r="AC10" s="4"/>
      <c r="AD10" s="58">
        <v>200000</v>
      </c>
      <c r="AE10" s="58">
        <v>400000</v>
      </c>
      <c r="AF10" s="360">
        <f>(AF11-1)*((AF16-1)/(AF17-1))+1</f>
        <v>1.3492553191489363</v>
      </c>
      <c r="AG10" s="360">
        <f>(AG11-1)*((AG16-1)/(AG17-1))+1</f>
        <v>1.7790514905149051</v>
      </c>
      <c r="AH10" s="361">
        <f t="shared" si="67"/>
        <v>1.6690727398603977</v>
      </c>
      <c r="AI10" s="361">
        <f t="shared" si="68"/>
        <v>1.7904377172419386</v>
      </c>
      <c r="AJ10" s="361">
        <f t="shared" si="69"/>
        <v>1.7790514905149051</v>
      </c>
      <c r="AK10" s="361">
        <f t="shared" si="70"/>
        <v>1.7790514905149051</v>
      </c>
      <c r="AL10" s="361">
        <f t="shared" si="71"/>
        <v>1.7790514905149051</v>
      </c>
      <c r="AM10" s="361">
        <f t="shared" si="72"/>
        <v>1.7790514905149051</v>
      </c>
      <c r="AN10" s="361">
        <f t="shared" si="73"/>
        <v>1.7790514905149051</v>
      </c>
      <c r="AO10" s="361">
        <f t="shared" si="74"/>
        <v>1.7790514905149051</v>
      </c>
      <c r="AP10" s="361">
        <f t="shared" si="75"/>
        <v>1.7790514905149051</v>
      </c>
      <c r="AQ10" s="361">
        <f t="shared" si="76"/>
        <v>1.7790514905149051</v>
      </c>
      <c r="AR10" s="361">
        <f t="shared" si="77"/>
        <v>1.7790514905149051</v>
      </c>
      <c r="AS10" s="361">
        <f t="shared" si="78"/>
        <v>1.7790514905149051</v>
      </c>
      <c r="AT10" s="361">
        <f t="shared" si="79"/>
        <v>1.7790514905149051</v>
      </c>
      <c r="AU10" s="361">
        <f t="shared" si="80"/>
        <v>1.7790514905149051</v>
      </c>
      <c r="AV10" s="361">
        <f t="shared" si="81"/>
        <v>1.7790514905149051</v>
      </c>
      <c r="AW10" s="57"/>
      <c r="AY10" s="58">
        <v>750000</v>
      </c>
      <c r="AZ10" s="58">
        <v>750000</v>
      </c>
      <c r="BA10" s="58"/>
      <c r="BB10" s="363">
        <f>IFERROR(AVERAGE(BB9,BB11),"N'A")</f>
        <v>1.992514245014245</v>
      </c>
      <c r="BC10" s="363">
        <f t="shared" ref="BC10:BS10" si="94">IFERROR(AVERAGE(BC9,BC11),"N'A")</f>
        <v>2.463943896103896</v>
      </c>
      <c r="BD10" s="363">
        <f t="shared" si="34"/>
        <v>2.1101819208303589</v>
      </c>
      <c r="BE10" s="363">
        <f t="shared" si="94"/>
        <v>2.2278495966464726</v>
      </c>
      <c r="BF10" s="363">
        <f t="shared" si="94"/>
        <v>2.3171551434312123</v>
      </c>
      <c r="BG10" s="363">
        <f t="shared" si="94"/>
        <v>2.3471580567867152</v>
      </c>
      <c r="BH10" s="363">
        <f t="shared" si="94"/>
        <v>2.446777105037409</v>
      </c>
      <c r="BI10" s="363">
        <f t="shared" si="94"/>
        <v>2.463943896103896</v>
      </c>
      <c r="BJ10" s="363">
        <f t="shared" si="94"/>
        <v>2.463943896103896</v>
      </c>
      <c r="BK10" s="363">
        <f t="shared" si="94"/>
        <v>2.463943896103896</v>
      </c>
      <c r="BL10" s="363">
        <f t="shared" si="94"/>
        <v>2.463943896103896</v>
      </c>
      <c r="BM10" s="363">
        <f t="shared" si="94"/>
        <v>2.463943896103896</v>
      </c>
      <c r="BN10" s="363">
        <f t="shared" si="94"/>
        <v>2.463943896103896</v>
      </c>
      <c r="BO10" s="363">
        <f t="shared" si="94"/>
        <v>2.463943896103896</v>
      </c>
      <c r="BP10" s="363">
        <f t="shared" si="94"/>
        <v>2.463943896103896</v>
      </c>
      <c r="BQ10" s="363">
        <f t="shared" si="94"/>
        <v>2.463943896103896</v>
      </c>
      <c r="BR10" s="363">
        <f t="shared" si="94"/>
        <v>2.463943896103896</v>
      </c>
      <c r="BS10" s="363">
        <f t="shared" si="94"/>
        <v>2.463943896103896</v>
      </c>
      <c r="BT10" s="58"/>
      <c r="BU10" s="58">
        <v>3000</v>
      </c>
      <c r="BV10" s="57">
        <v>2.7E-2</v>
      </c>
      <c r="BW10" s="57">
        <v>1.9E-2</v>
      </c>
      <c r="CD10" t="s">
        <v>230</v>
      </c>
      <c r="CE10" t="s">
        <v>219</v>
      </c>
      <c r="CF10" t="s">
        <v>229</v>
      </c>
      <c r="CG10" s="4" t="str">
        <f t="shared" si="31"/>
        <v>Group 4</v>
      </c>
      <c r="CH10" s="4" t="s">
        <v>222</v>
      </c>
      <c r="CI10" s="4" t="s">
        <v>219</v>
      </c>
      <c r="CJ10" s="4" t="s">
        <v>219</v>
      </c>
      <c r="CL10" s="77" t="s">
        <v>51</v>
      </c>
      <c r="CM10" s="77" t="s">
        <v>272</v>
      </c>
      <c r="CO10" s="74" t="s">
        <v>241</v>
      </c>
      <c r="CP10" s="75" t="s">
        <v>189</v>
      </c>
      <c r="CQ10" s="75" t="s">
        <v>189</v>
      </c>
      <c r="CR10" s="74" t="s">
        <v>241</v>
      </c>
      <c r="CS10" s="79">
        <v>1.05</v>
      </c>
      <c r="CT10" s="79">
        <f t="shared" si="48"/>
        <v>1.05</v>
      </c>
      <c r="CU10" s="74" t="s">
        <v>241</v>
      </c>
      <c r="CV10" s="79">
        <v>1.05</v>
      </c>
      <c r="CW10" s="80">
        <f t="shared" si="49"/>
        <v>1.05</v>
      </c>
      <c r="CX10" s="74" t="s">
        <v>241</v>
      </c>
      <c r="CY10" s="79">
        <v>1.2</v>
      </c>
      <c r="CZ10" s="79">
        <f t="shared" si="32"/>
        <v>1.2</v>
      </c>
      <c r="DA10" s="74" t="s">
        <v>241</v>
      </c>
      <c r="DB10" s="75" t="s">
        <v>189</v>
      </c>
      <c r="DC10" s="75" t="s">
        <v>189</v>
      </c>
      <c r="DD10" s="74" t="s">
        <v>241</v>
      </c>
      <c r="DE10" s="75" t="s">
        <v>189</v>
      </c>
      <c r="DF10" s="75" t="s">
        <v>189</v>
      </c>
      <c r="DI10" s="56"/>
      <c r="DL10" s="466" t="s">
        <v>51</v>
      </c>
      <c r="DM10" s="4" t="s">
        <v>266</v>
      </c>
      <c r="DO10" s="85">
        <v>10</v>
      </c>
      <c r="DP10" s="84">
        <v>0.9</v>
      </c>
      <c r="DQ10" s="84">
        <f>DQ9</f>
        <v>0.92999999999999994</v>
      </c>
      <c r="DR10" s="84">
        <f>+DR9</f>
        <v>0.85</v>
      </c>
      <c r="DU10" t="s">
        <v>296</v>
      </c>
      <c r="DV10" s="231">
        <v>4</v>
      </c>
      <c r="DW10">
        <v>2</v>
      </c>
      <c r="DZ10" s="466" t="s">
        <v>64</v>
      </c>
      <c r="EA10" s="251">
        <v>0.5</v>
      </c>
      <c r="EB10" s="251">
        <v>0.5</v>
      </c>
      <c r="EC10" s="526">
        <f t="shared" si="50"/>
        <v>0.5</v>
      </c>
      <c r="ED10" s="526">
        <f t="shared" si="51"/>
        <v>0.5</v>
      </c>
      <c r="EF10" s="466" t="s">
        <v>50</v>
      </c>
      <c r="EG10" s="4" t="s">
        <v>353</v>
      </c>
      <c r="EH10" s="375">
        <v>-0.25</v>
      </c>
      <c r="EI10" s="375">
        <v>0.25</v>
      </c>
      <c r="EJ10" s="4"/>
      <c r="EK10" s="112" t="s">
        <v>327</v>
      </c>
      <c r="EL10" s="375">
        <v>-0.1</v>
      </c>
      <c r="EM10" s="375">
        <v>0.1</v>
      </c>
      <c r="EN10" s="112"/>
      <c r="EO10" s="375"/>
      <c r="EP10" s="375"/>
      <c r="EQ10" s="95" t="s">
        <v>327</v>
      </c>
      <c r="ER10" s="375">
        <v>-0.1</v>
      </c>
      <c r="ES10" s="375">
        <v>0.1</v>
      </c>
      <c r="ET10" s="112"/>
      <c r="EU10" s="375"/>
      <c r="EV10" s="375"/>
      <c r="EW10" s="112"/>
      <c r="EX10" s="375"/>
      <c r="EY10" s="375">
        <f t="shared" si="52"/>
        <v>1</v>
      </c>
      <c r="EZ10" s="112"/>
      <c r="FA10" s="375"/>
      <c r="FB10" s="375"/>
      <c r="FC10" s="112"/>
      <c r="FD10" s="375"/>
      <c r="FE10" s="375"/>
      <c r="FF10" s="16"/>
      <c r="FG10" s="16"/>
      <c r="FH10" s="127">
        <v>4</v>
      </c>
      <c r="FI10" s="372">
        <f>IF(info_internal,FI25,"Refer to Co.")</f>
        <v>4</v>
      </c>
      <c r="FJ10" s="373">
        <f>IF(info_internal,FJ25,"Refer to Co.")</f>
        <v>3</v>
      </c>
      <c r="FK10" s="132">
        <v>1.5</v>
      </c>
      <c r="FL10" s="132">
        <v>1</v>
      </c>
      <c r="FM10" s="132">
        <v>0.5</v>
      </c>
      <c r="FN10" s="133">
        <v>0</v>
      </c>
      <c r="FP10" s="127">
        <v>5</v>
      </c>
      <c r="FQ10" s="43">
        <v>0.8</v>
      </c>
      <c r="FR10" s="127">
        <v>5</v>
      </c>
      <c r="FS10" s="43">
        <v>1</v>
      </c>
      <c r="FU10" s="154">
        <v>25001</v>
      </c>
      <c r="FV10" s="140">
        <v>14</v>
      </c>
      <c r="FW10" s="154">
        <v>60001</v>
      </c>
      <c r="FX10" s="140">
        <v>4</v>
      </c>
      <c r="GE10" s="4" t="s">
        <v>2845</v>
      </c>
      <c r="GF10" s="557" t="s">
        <v>189</v>
      </c>
      <c r="GG10" s="557" t="s">
        <v>189</v>
      </c>
      <c r="GH10" s="558">
        <v>3</v>
      </c>
      <c r="GI10" s="558">
        <v>2</v>
      </c>
      <c r="GJ10" s="557"/>
      <c r="GL10" s="4" t="s">
        <v>2809</v>
      </c>
      <c r="GM10" s="56">
        <v>1.21</v>
      </c>
      <c r="GN10" s="56">
        <v>1.35</v>
      </c>
      <c r="GO10" s="555" t="s">
        <v>113</v>
      </c>
      <c r="GT10" s="555" t="s">
        <v>113</v>
      </c>
      <c r="HF10" t="s">
        <v>109</v>
      </c>
      <c r="HG10" t="s">
        <v>1517</v>
      </c>
    </row>
    <row r="11" spans="1:219">
      <c r="A11" s="391">
        <v>1.18</v>
      </c>
      <c r="B11" s="3">
        <v>43826</v>
      </c>
      <c r="C11" s="4" t="s">
        <v>23</v>
      </c>
      <c r="D11" s="4" t="s">
        <v>2760</v>
      </c>
      <c r="H11" s="4"/>
      <c r="L11" s="4" t="s">
        <v>86</v>
      </c>
      <c r="M11" s="4" t="s">
        <v>50</v>
      </c>
      <c r="N11" s="277" t="s">
        <v>455</v>
      </c>
      <c r="P11" s="4" t="s">
        <v>596</v>
      </c>
      <c r="Q11" s="4" t="s">
        <v>597</v>
      </c>
      <c r="R11" s="4" t="s">
        <v>598</v>
      </c>
      <c r="T11" s="4" t="s">
        <v>1369</v>
      </c>
      <c r="X11" s="4" t="s">
        <v>454</v>
      </c>
      <c r="Y11" s="4" t="s">
        <v>28</v>
      </c>
      <c r="AA11" s="4"/>
      <c r="AB11" s="4"/>
      <c r="AC11" s="4"/>
      <c r="AD11" s="58">
        <v>200000</v>
      </c>
      <c r="AE11" s="58">
        <v>600000</v>
      </c>
      <c r="AF11" s="234">
        <v>1.385</v>
      </c>
      <c r="AG11" s="234">
        <v>1.89</v>
      </c>
      <c r="AH11" s="361">
        <f t="shared" ref="AH11:AH30" si="95">IF(AH$5&gt;AD11,AG11,(1-(AF11-AF$8)/AF11)*(AG11-AF11)+AF11)</f>
        <v>1.7510794223826713</v>
      </c>
      <c r="AI11" s="361">
        <f t="shared" ref="AI11:AI30" si="96">IF(AI$5&gt;AD11,AG11,(1-(AF11-AF$11)/AF11)*(AG11-AF11)+AF11)</f>
        <v>1.89</v>
      </c>
      <c r="AJ11" s="361">
        <f>IF(AJ$5&gt;AD11,AG11,(1-(AF11-AF$13)/AF11)*(AG11-AF11)+AF11)</f>
        <v>1.89</v>
      </c>
      <c r="AK11" s="361">
        <f t="shared" ref="AK11:AK30" si="97">IF(AK$5&gt;AD11,AG11,(1-(AF11-AF$16)/AF11)*(AG11-AF11)+AF11)</f>
        <v>1.89</v>
      </c>
      <c r="AL11" s="361">
        <f t="shared" ref="AL11:AL30" si="98">IF(AL$5&gt;AD11,AG11,(1-(AF11-AF$18)/AF11)*(AG11-AF11)+AF11)</f>
        <v>1.89</v>
      </c>
      <c r="AM11" s="361">
        <f t="shared" ref="AM11:AM30" si="99">IF(AM$5&gt;AD11,AG11,(1-(AF11-AF$20)/AF11)*(AG11-AF11)+AF11)</f>
        <v>1.89</v>
      </c>
      <c r="AN11" s="361">
        <f t="shared" ref="AN11:AN30" si="100">IF(AN$5&gt;AD11,AG11,(1-(AF11-AF$22)/AF11)*(AG11-AF11)+AF11)</f>
        <v>1.89</v>
      </c>
      <c r="AO11" s="361">
        <f t="shared" ref="AO11:AO30" si="101">IF(AO$5&gt;AD11,AG11,(1-(AF11-AF$23)/AF11)*(AG11-AF11)+AF11)</f>
        <v>1.89</v>
      </c>
      <c r="AP11" s="361">
        <f t="shared" ref="AP11:AP30" si="102">IF(AP$5&gt;AD11,AG11,(1-(AF11-AF$24)/AF11)*(AG11-AF11)+AF11)</f>
        <v>1.89</v>
      </c>
      <c r="AQ11" s="361">
        <f t="shared" ref="AQ11:AQ30" si="103">IF(AQ$5&gt;AD11,AG11,(1-(AF11-AF$25)/AF11)*(AG11-AF11)+AF11)</f>
        <v>1.89</v>
      </c>
      <c r="AR11" s="361">
        <f t="shared" ref="AR11:AR30" si="104">IF(AR$5&gt;AD11,AG11,(1-(AF11-AF$26)/AF11)*(AG11-AF11)+AF11)</f>
        <v>1.89</v>
      </c>
      <c r="AS11" s="361">
        <f t="shared" ref="AS11:AS30" si="105">IF(AS$5&gt;AD11,AG11,(1-(AF11-AF$27)/AF11)*(AG11-AF11)+AF11)</f>
        <v>1.89</v>
      </c>
      <c r="AT11" s="361">
        <f t="shared" ref="AT11:AT30" si="106">IF(AT$5&gt;AD11,AG11,(1-(AF11-AF$28)/AF11)*(AG11-AF11)+AF11)</f>
        <v>1.89</v>
      </c>
      <c r="AU11" s="361">
        <f t="shared" ref="AU11:AU30" si="107">IF(AU$5&gt;AD11,AG11,(1-(AF11-AF$29)/AF11)*(AG11-AF11)+AF11)</f>
        <v>1.89</v>
      </c>
      <c r="AV11" s="361">
        <f t="shared" ref="AV11:AV30" si="108">IF(AV$5&gt;AD11,AG11,(1-(AF11-AF$30)/AF11)*(AG11-AF11)+AF11)</f>
        <v>1.89</v>
      </c>
      <c r="AW11" s="57"/>
      <c r="AY11" s="58">
        <v>1000000</v>
      </c>
      <c r="AZ11" s="58">
        <f t="shared" si="53"/>
        <v>1000000</v>
      </c>
      <c r="BA11" s="58"/>
      <c r="BB11" s="234">
        <f t="shared" ref="BB11:BC11" si="109">AF18</f>
        <v>2.19</v>
      </c>
      <c r="BC11" s="234">
        <f t="shared" si="109"/>
        <v>2.7519999999999998</v>
      </c>
      <c r="BD11" s="234">
        <f t="shared" si="34"/>
        <v>2.3188237442922377</v>
      </c>
      <c r="BE11" s="234">
        <f t="shared" ref="BE11:BS11" si="110">AH18</f>
        <v>2.447647488584475</v>
      </c>
      <c r="BF11" s="234">
        <f t="shared" si="110"/>
        <v>2.5454200913242007</v>
      </c>
      <c r="BG11" s="234">
        <f t="shared" si="110"/>
        <v>2.5782675799086756</v>
      </c>
      <c r="BH11" s="234">
        <f t="shared" si="110"/>
        <v>2.6873315068493149</v>
      </c>
      <c r="BI11" s="234">
        <f t="shared" si="110"/>
        <v>2.7519999999999998</v>
      </c>
      <c r="BJ11" s="234">
        <f t="shared" si="110"/>
        <v>2.7519999999999998</v>
      </c>
      <c r="BK11" s="234">
        <f t="shared" si="110"/>
        <v>2.7519999999999998</v>
      </c>
      <c r="BL11" s="234">
        <f t="shared" si="110"/>
        <v>2.7519999999999998</v>
      </c>
      <c r="BM11" s="234">
        <f t="shared" si="110"/>
        <v>2.7519999999999998</v>
      </c>
      <c r="BN11" s="234">
        <f t="shared" si="110"/>
        <v>2.7519999999999998</v>
      </c>
      <c r="BO11" s="234">
        <f t="shared" si="110"/>
        <v>2.7519999999999998</v>
      </c>
      <c r="BP11" s="234">
        <f t="shared" si="110"/>
        <v>2.7519999999999998</v>
      </c>
      <c r="BQ11" s="234">
        <f t="shared" si="110"/>
        <v>2.7519999999999998</v>
      </c>
      <c r="BR11" s="234">
        <f t="shared" si="110"/>
        <v>2.7519999999999998</v>
      </c>
      <c r="BS11" s="234">
        <f t="shared" si="110"/>
        <v>2.7519999999999998</v>
      </c>
      <c r="BT11" s="58"/>
      <c r="BU11" s="58">
        <v>4000</v>
      </c>
      <c r="BV11" s="57">
        <v>3.9E-2</v>
      </c>
      <c r="BW11" s="57">
        <v>2.8000000000000001E-2</v>
      </c>
      <c r="CD11" t="s">
        <v>210</v>
      </c>
      <c r="CE11" t="s">
        <v>211</v>
      </c>
      <c r="CF11" t="s">
        <v>211</v>
      </c>
      <c r="CG11" s="4" t="str">
        <f t="shared" si="31"/>
        <v>Group 1</v>
      </c>
      <c r="CH11" s="4" t="str">
        <f>CE11</f>
        <v>Group 1</v>
      </c>
      <c r="CI11" s="4" t="s">
        <v>211</v>
      </c>
      <c r="CJ11" s="4" t="s">
        <v>211</v>
      </c>
      <c r="CL11" s="77" t="s">
        <v>64</v>
      </c>
      <c r="CM11" s="77" t="s">
        <v>267</v>
      </c>
      <c r="CO11" s="74" t="s">
        <v>244</v>
      </c>
      <c r="CP11" s="75" t="s">
        <v>189</v>
      </c>
      <c r="CQ11" s="75" t="s">
        <v>189</v>
      </c>
      <c r="CR11" s="74" t="s">
        <v>244</v>
      </c>
      <c r="CS11" s="79">
        <v>1.2</v>
      </c>
      <c r="CT11" s="79">
        <f t="shared" si="48"/>
        <v>1.2</v>
      </c>
      <c r="CU11" s="74" t="s">
        <v>244</v>
      </c>
      <c r="CV11" s="79">
        <v>1.2</v>
      </c>
      <c r="CW11" s="80">
        <f t="shared" si="49"/>
        <v>1.2</v>
      </c>
      <c r="CX11" s="74" t="s">
        <v>244</v>
      </c>
      <c r="CY11" s="79">
        <v>1.25</v>
      </c>
      <c r="CZ11" s="79">
        <f t="shared" si="32"/>
        <v>1.25</v>
      </c>
      <c r="DA11" s="74" t="s">
        <v>244</v>
      </c>
      <c r="DB11" s="75" t="s">
        <v>189</v>
      </c>
      <c r="DC11" s="75" t="s">
        <v>189</v>
      </c>
      <c r="DD11" s="74" t="s">
        <v>244</v>
      </c>
      <c r="DE11" s="75" t="s">
        <v>189</v>
      </c>
      <c r="DF11" s="75" t="s">
        <v>189</v>
      </c>
      <c r="DL11" s="466" t="s">
        <v>64</v>
      </c>
      <c r="DM11" s="4" t="s">
        <v>266</v>
      </c>
      <c r="DO11" s="85">
        <v>11</v>
      </c>
      <c r="DP11" s="84">
        <f>DP10</f>
        <v>0.9</v>
      </c>
      <c r="DQ11" s="84">
        <f>1-0.125</f>
        <v>0.875</v>
      </c>
      <c r="DR11" s="84">
        <v>0.8</v>
      </c>
      <c r="DU11" t="s">
        <v>297</v>
      </c>
      <c r="DV11" s="231">
        <v>5</v>
      </c>
      <c r="DW11">
        <v>2.2000000000000002</v>
      </c>
      <c r="DZ11" s="466" t="s">
        <v>65</v>
      </c>
      <c r="EA11" s="251">
        <v>0.5</v>
      </c>
      <c r="EB11" s="251">
        <v>1</v>
      </c>
      <c r="EC11" s="526">
        <f t="shared" si="50"/>
        <v>0.5</v>
      </c>
      <c r="ED11" s="526">
        <f t="shared" si="51"/>
        <v>1</v>
      </c>
      <c r="EF11" s="466" t="s">
        <v>51</v>
      </c>
      <c r="EG11" s="4" t="s">
        <v>353</v>
      </c>
      <c r="EH11" s="375">
        <v>-0.25</v>
      </c>
      <c r="EI11" s="375">
        <v>0.25</v>
      </c>
      <c r="EJ11" s="4"/>
      <c r="EK11" s="112" t="s">
        <v>328</v>
      </c>
      <c r="EL11" s="375">
        <v>-0.1</v>
      </c>
      <c r="EM11" s="375">
        <v>0.1</v>
      </c>
      <c r="EN11" s="112"/>
      <c r="EO11" s="375"/>
      <c r="EP11" s="375"/>
      <c r="EQ11" s="95" t="s">
        <v>328</v>
      </c>
      <c r="ER11" s="375">
        <v>-0.1</v>
      </c>
      <c r="ES11" s="375">
        <v>0.1</v>
      </c>
      <c r="ET11" s="112"/>
      <c r="EU11" s="375"/>
      <c r="EV11" s="375"/>
      <c r="EW11" s="112"/>
      <c r="EX11" s="375"/>
      <c r="EY11" s="375">
        <f t="shared" si="52"/>
        <v>1</v>
      </c>
      <c r="EZ11" s="112"/>
      <c r="FA11" s="375"/>
      <c r="FB11" s="375"/>
      <c r="FC11" s="112"/>
      <c r="FD11" s="375"/>
      <c r="FE11" s="375"/>
      <c r="FF11" s="16"/>
      <c r="FG11" s="16"/>
      <c r="FH11" s="127">
        <v>5</v>
      </c>
      <c r="FI11" s="370">
        <f>IF(info_internal,FI26,"Refer to Co.")</f>
        <v>5</v>
      </c>
      <c r="FJ11" s="371">
        <f>IF(info_internal,FJ26,"Refer to Co.")</f>
        <v>4</v>
      </c>
      <c r="FK11" s="371">
        <f>IF(info_internal,FK26,"Refer to Co.")</f>
        <v>2</v>
      </c>
      <c r="FL11" s="137">
        <v>1.5</v>
      </c>
      <c r="FM11" s="137">
        <v>0.75</v>
      </c>
      <c r="FN11" s="138">
        <v>0.5</v>
      </c>
      <c r="FU11" s="154">
        <v>35001</v>
      </c>
      <c r="FV11" s="140">
        <v>18</v>
      </c>
      <c r="FW11" s="154"/>
      <c r="FX11" s="43"/>
      <c r="GF11" s="557"/>
      <c r="GG11" s="557"/>
      <c r="GH11" s="557"/>
      <c r="GI11" s="557"/>
      <c r="GJ11" s="557"/>
      <c r="GO11" s="555" t="s">
        <v>88</v>
      </c>
      <c r="GT11" s="555" t="s">
        <v>150</v>
      </c>
      <c r="HF11" t="s">
        <v>109</v>
      </c>
      <c r="HG11" t="s">
        <v>1518</v>
      </c>
      <c r="HK11" s="421">
        <v>1.7999999999999999E-2</v>
      </c>
    </row>
    <row r="12" spans="1:219">
      <c r="A12" s="391">
        <v>1.17</v>
      </c>
      <c r="B12" s="3">
        <v>43815</v>
      </c>
      <c r="C12" s="4" t="s">
        <v>23</v>
      </c>
      <c r="D12" s="4" t="s">
        <v>2700</v>
      </c>
      <c r="H12" s="4"/>
      <c r="I12" s="4"/>
      <c r="J12" s="4"/>
      <c r="L12" s="4" t="s">
        <v>87</v>
      </c>
      <c r="M12" s="4" t="s">
        <v>88</v>
      </c>
      <c r="N12" s="4" t="s">
        <v>454</v>
      </c>
      <c r="P12" s="4" t="s">
        <v>599</v>
      </c>
      <c r="Q12" s="4" t="s">
        <v>600</v>
      </c>
      <c r="R12" s="4" t="s">
        <v>601</v>
      </c>
      <c r="X12" s="4" t="s">
        <v>456</v>
      </c>
      <c r="Y12" s="4" t="s">
        <v>28</v>
      </c>
      <c r="AA12" s="4"/>
      <c r="AB12" s="4"/>
      <c r="AC12" s="4">
        <f>(AF12-AF9)/(AD12-AD9)*1000000</f>
        <v>2.7757289204097679</v>
      </c>
      <c r="AD12" s="162">
        <v>250000</v>
      </c>
      <c r="AE12" s="58">
        <v>250000</v>
      </c>
      <c r="AF12" s="360">
        <f>(AF13-1)*((AF15-1)/(AF16-1))+1</f>
        <v>1.4348076923076922</v>
      </c>
      <c r="AG12" s="360">
        <f>(AG13-1)*((AG15-1)/(AG16-1))+1</f>
        <v>1.9146805194805196</v>
      </c>
      <c r="AH12" s="361">
        <f t="shared" si="95"/>
        <v>1.770596468088941</v>
      </c>
      <c r="AI12" s="361">
        <f t="shared" si="96"/>
        <v>1.898022288380431</v>
      </c>
      <c r="AJ12" s="361">
        <f t="shared" ref="AJ12:AJ30" si="111">IF(AJ$5&gt;AD12,AG12,(1-(AF12-AF$13)/AF12)*(AG12-AF12)+AF12)</f>
        <v>1.9408320127828211</v>
      </c>
      <c r="AK12" s="361">
        <f t="shared" si="97"/>
        <v>1.9146805194805196</v>
      </c>
      <c r="AL12" s="361">
        <f t="shared" si="98"/>
        <v>1.9146805194805196</v>
      </c>
      <c r="AM12" s="361">
        <f t="shared" si="99"/>
        <v>1.9146805194805196</v>
      </c>
      <c r="AN12" s="361">
        <f t="shared" si="100"/>
        <v>1.9146805194805196</v>
      </c>
      <c r="AO12" s="361">
        <f t="shared" si="101"/>
        <v>1.9146805194805196</v>
      </c>
      <c r="AP12" s="361">
        <f t="shared" si="102"/>
        <v>1.9146805194805196</v>
      </c>
      <c r="AQ12" s="361">
        <f t="shared" si="103"/>
        <v>1.9146805194805196</v>
      </c>
      <c r="AR12" s="361">
        <f t="shared" si="104"/>
        <v>1.9146805194805196</v>
      </c>
      <c r="AS12" s="361">
        <f t="shared" si="105"/>
        <v>1.9146805194805196</v>
      </c>
      <c r="AT12" s="361">
        <f t="shared" si="106"/>
        <v>1.9146805194805196</v>
      </c>
      <c r="AU12" s="361">
        <f t="shared" si="107"/>
        <v>1.9146805194805196</v>
      </c>
      <c r="AV12" s="361">
        <f t="shared" si="108"/>
        <v>1.9146805194805196</v>
      </c>
      <c r="AW12" s="57"/>
      <c r="AY12" s="58">
        <v>2000000</v>
      </c>
      <c r="AZ12" s="58">
        <f t="shared" si="53"/>
        <v>2000000</v>
      </c>
      <c r="BA12" s="58"/>
      <c r="BB12" s="234">
        <f t="shared" ref="BB12:BC12" si="112">AF20</f>
        <v>2.7509999999999999</v>
      </c>
      <c r="BC12" s="234">
        <f t="shared" si="112"/>
        <v>3.4420000000000002</v>
      </c>
      <c r="BD12" s="234">
        <f t="shared" si="34"/>
        <v>2.8770930570701561</v>
      </c>
      <c r="BE12" s="234">
        <f t="shared" ref="BE12:BS12" si="113">AH20</f>
        <v>3.0031861141403127</v>
      </c>
      <c r="BF12" s="234">
        <f t="shared" si="113"/>
        <v>3.0988862231915668</v>
      </c>
      <c r="BG12" s="234">
        <f t="shared" si="113"/>
        <v>3.1310374409305708</v>
      </c>
      <c r="BH12" s="234">
        <f t="shared" si="113"/>
        <v>3.2377895310796077</v>
      </c>
      <c r="BI12" s="234">
        <f t="shared" si="113"/>
        <v>3.3010872410032714</v>
      </c>
      <c r="BJ12" s="234">
        <f t="shared" si="113"/>
        <v>3.4420000000000002</v>
      </c>
      <c r="BK12" s="234">
        <f t="shared" si="113"/>
        <v>3.4420000000000002</v>
      </c>
      <c r="BL12" s="234">
        <f t="shared" si="113"/>
        <v>3.4420000000000002</v>
      </c>
      <c r="BM12" s="234">
        <f t="shared" si="113"/>
        <v>3.4420000000000002</v>
      </c>
      <c r="BN12" s="234">
        <f t="shared" si="113"/>
        <v>3.4420000000000002</v>
      </c>
      <c r="BO12" s="234">
        <f t="shared" si="113"/>
        <v>3.4420000000000002</v>
      </c>
      <c r="BP12" s="234">
        <f t="shared" si="113"/>
        <v>3.4420000000000002</v>
      </c>
      <c r="BQ12" s="234">
        <f t="shared" si="113"/>
        <v>3.4420000000000002</v>
      </c>
      <c r="BR12" s="234">
        <f t="shared" si="113"/>
        <v>3.4420000000000002</v>
      </c>
      <c r="BS12" s="234">
        <f t="shared" si="113"/>
        <v>3.4420000000000002</v>
      </c>
      <c r="BT12" s="58"/>
      <c r="BU12" s="58">
        <v>5000</v>
      </c>
      <c r="BV12" s="57">
        <v>0.05</v>
      </c>
      <c r="BW12" s="57">
        <v>3.5000000000000003E-2</v>
      </c>
      <c r="CD12" t="s">
        <v>255</v>
      </c>
      <c r="CE12" t="s">
        <v>222</v>
      </c>
      <c r="CF12" t="s">
        <v>254</v>
      </c>
      <c r="CG12" s="4" t="str">
        <f t="shared" si="31"/>
        <v>Group 8</v>
      </c>
      <c r="CH12" s="4" t="s">
        <v>251</v>
      </c>
      <c r="CI12" s="4" t="s">
        <v>222</v>
      </c>
      <c r="CJ12" s="4" t="s">
        <v>222</v>
      </c>
      <c r="CL12" s="78" t="s">
        <v>105</v>
      </c>
      <c r="CM12" s="78" t="s">
        <v>266</v>
      </c>
      <c r="CO12" s="74" t="s">
        <v>251</v>
      </c>
      <c r="CP12" s="75" t="s">
        <v>189</v>
      </c>
      <c r="CQ12" s="75" t="s">
        <v>189</v>
      </c>
      <c r="CR12" s="74" t="s">
        <v>251</v>
      </c>
      <c r="CS12" s="79">
        <v>1.25</v>
      </c>
      <c r="CT12" s="79">
        <f t="shared" si="48"/>
        <v>1.25</v>
      </c>
      <c r="CU12" s="74" t="s">
        <v>251</v>
      </c>
      <c r="CV12" s="79">
        <v>1.25</v>
      </c>
      <c r="CW12" s="80">
        <f t="shared" si="49"/>
        <v>1.25</v>
      </c>
      <c r="CX12" s="74" t="s">
        <v>251</v>
      </c>
      <c r="CY12" s="79">
        <v>1.4</v>
      </c>
      <c r="CZ12" s="79">
        <f t="shared" si="32"/>
        <v>1.4</v>
      </c>
      <c r="DA12" s="74" t="s">
        <v>251</v>
      </c>
      <c r="DB12" s="75" t="s">
        <v>189</v>
      </c>
      <c r="DC12" s="75" t="s">
        <v>189</v>
      </c>
      <c r="DD12" s="74" t="s">
        <v>251</v>
      </c>
      <c r="DE12" s="75" t="s">
        <v>189</v>
      </c>
      <c r="DF12" s="75" t="s">
        <v>189</v>
      </c>
      <c r="DL12" s="466" t="s">
        <v>65</v>
      </c>
      <c r="DM12" s="4" t="s">
        <v>266</v>
      </c>
      <c r="DO12" s="85">
        <v>16</v>
      </c>
      <c r="DP12" s="84">
        <v>0.85</v>
      </c>
      <c r="DQ12" s="84">
        <f>1-0.175</f>
        <v>0.82499999999999996</v>
      </c>
      <c r="DR12" s="84">
        <v>0.75</v>
      </c>
      <c r="DU12" t="s">
        <v>298</v>
      </c>
      <c r="DV12" s="231">
        <v>6</v>
      </c>
      <c r="DW12">
        <v>2.4</v>
      </c>
      <c r="DZ12" s="466" t="s">
        <v>68</v>
      </c>
      <c r="EA12" s="251">
        <v>0.5</v>
      </c>
      <c r="EB12" s="251">
        <v>1</v>
      </c>
      <c r="EC12" s="526">
        <f t="shared" si="50"/>
        <v>0.5</v>
      </c>
      <c r="ED12" s="526">
        <f t="shared" si="51"/>
        <v>1</v>
      </c>
      <c r="EF12" s="466" t="s">
        <v>64</v>
      </c>
      <c r="EG12" s="4" t="s">
        <v>353</v>
      </c>
      <c r="EH12" s="375">
        <v>-0.5</v>
      </c>
      <c r="EI12" s="375">
        <v>0.4</v>
      </c>
      <c r="EJ12" s="4"/>
      <c r="EK12" s="112" t="s">
        <v>329</v>
      </c>
      <c r="EL12" s="375">
        <v>-0.05</v>
      </c>
      <c r="EM12" s="375">
        <v>0.05</v>
      </c>
      <c r="EN12" s="112"/>
      <c r="EO12" s="375"/>
      <c r="EP12" s="375"/>
      <c r="EQ12" s="95" t="s">
        <v>329</v>
      </c>
      <c r="ER12" s="375">
        <v>-0.05</v>
      </c>
      <c r="ES12" s="375">
        <v>0.05</v>
      </c>
      <c r="ET12" s="112"/>
      <c r="EU12" s="375"/>
      <c r="EV12" s="375"/>
      <c r="EW12" s="112"/>
      <c r="EX12" s="375"/>
      <c r="EY12" s="375">
        <f t="shared" si="52"/>
        <v>1</v>
      </c>
      <c r="EZ12" s="112"/>
      <c r="FA12" s="375"/>
      <c r="FB12" s="375"/>
      <c r="FC12" s="112"/>
      <c r="FD12" s="375"/>
      <c r="FE12" s="375"/>
      <c r="FF12" s="16"/>
      <c r="FG12" s="16"/>
      <c r="FH12" s="34"/>
      <c r="FI12" s="34"/>
      <c r="FJ12" s="34"/>
      <c r="FK12" s="34"/>
      <c r="FL12" s="34"/>
      <c r="FM12" s="34"/>
      <c r="FN12" s="34"/>
      <c r="FU12" s="154">
        <v>45001</v>
      </c>
      <c r="FV12" s="140">
        <v>21</v>
      </c>
      <c r="FW12" s="154"/>
      <c r="FX12" s="34"/>
      <c r="GE12" s="4"/>
      <c r="GF12" s="4"/>
      <c r="GG12" s="4"/>
      <c r="GO12" s="555" t="s">
        <v>131</v>
      </c>
      <c r="GT12" s="555" t="s">
        <v>138</v>
      </c>
      <c r="HF12" t="s">
        <v>133</v>
      </c>
      <c r="HG12" t="s">
        <v>1519</v>
      </c>
      <c r="HK12" s="421">
        <v>6.0000000000000001E-3</v>
      </c>
    </row>
    <row r="13" spans="1:219">
      <c r="A13" s="391">
        <v>1.1599999999999999</v>
      </c>
      <c r="B13" s="3">
        <v>43768</v>
      </c>
      <c r="C13" s="4" t="s">
        <v>23</v>
      </c>
      <c r="D13" s="4" t="s">
        <v>2625</v>
      </c>
      <c r="H13" s="4"/>
      <c r="I13" s="4"/>
      <c r="J13" s="4"/>
      <c r="L13" s="4" t="s">
        <v>89</v>
      </c>
      <c r="M13" s="4" t="s">
        <v>90</v>
      </c>
      <c r="N13" s="277" t="s">
        <v>455</v>
      </c>
      <c r="P13" s="4" t="s">
        <v>602</v>
      </c>
      <c r="Q13" s="4" t="s">
        <v>603</v>
      </c>
      <c r="R13" s="4" t="s">
        <v>604</v>
      </c>
      <c r="X13" s="4" t="s">
        <v>457</v>
      </c>
      <c r="Y13" s="4" t="s">
        <v>28</v>
      </c>
      <c r="AA13" s="4"/>
      <c r="AB13" s="4"/>
      <c r="AC13" s="4"/>
      <c r="AD13" s="58">
        <v>250000</v>
      </c>
      <c r="AE13" s="58">
        <v>500000</v>
      </c>
      <c r="AF13" s="234">
        <v>1.5129999999999999</v>
      </c>
      <c r="AG13" s="234">
        <v>2.0049999999999999</v>
      </c>
      <c r="AH13" s="361">
        <f t="shared" si="95"/>
        <v>1.8394824851288829</v>
      </c>
      <c r="AI13" s="361">
        <f t="shared" si="96"/>
        <v>1.9633767349636484</v>
      </c>
      <c r="AJ13" s="361">
        <f t="shared" si="111"/>
        <v>2.0049999999999999</v>
      </c>
      <c r="AK13" s="361">
        <f t="shared" si="97"/>
        <v>2.0049999999999999</v>
      </c>
      <c r="AL13" s="361">
        <f t="shared" si="98"/>
        <v>2.0049999999999999</v>
      </c>
      <c r="AM13" s="361">
        <f t="shared" si="99"/>
        <v>2.0049999999999999</v>
      </c>
      <c r="AN13" s="361">
        <f t="shared" si="100"/>
        <v>2.0049999999999999</v>
      </c>
      <c r="AO13" s="361">
        <f t="shared" si="101"/>
        <v>2.0049999999999999</v>
      </c>
      <c r="AP13" s="361">
        <f t="shared" si="102"/>
        <v>2.0049999999999999</v>
      </c>
      <c r="AQ13" s="361">
        <f t="shared" si="103"/>
        <v>2.0049999999999999</v>
      </c>
      <c r="AR13" s="361">
        <f t="shared" si="104"/>
        <v>2.0049999999999999</v>
      </c>
      <c r="AS13" s="361">
        <f t="shared" si="105"/>
        <v>2.0049999999999999</v>
      </c>
      <c r="AT13" s="361">
        <f t="shared" si="106"/>
        <v>2.0049999999999999</v>
      </c>
      <c r="AU13" s="361">
        <f t="shared" si="107"/>
        <v>2.0049999999999999</v>
      </c>
      <c r="AV13" s="361">
        <f t="shared" si="108"/>
        <v>2.0049999999999999</v>
      </c>
      <c r="AW13" s="57"/>
      <c r="AY13" s="58">
        <v>3000000</v>
      </c>
      <c r="AZ13" s="58">
        <f t="shared" si="53"/>
        <v>3000000</v>
      </c>
      <c r="BA13" s="58"/>
      <c r="BB13" s="234">
        <f t="shared" ref="BB13:BB21" si="114">AF22</f>
        <v>3.2679999999999998</v>
      </c>
      <c r="BC13" s="234">
        <f t="shared" ref="BC13:BC21" si="115">AG22</f>
        <v>3.96</v>
      </c>
      <c r="BD13" s="234">
        <f t="shared" si="34"/>
        <v>3.3742986536107709</v>
      </c>
      <c r="BE13" s="234">
        <f t="shared" ref="BE13:BE21" si="116">AH22</f>
        <v>3.4805973072215419</v>
      </c>
      <c r="BF13" s="234">
        <f t="shared" ref="BF13:BF21" si="117">AI22</f>
        <v>3.5612741738066096</v>
      </c>
      <c r="BG13" s="234">
        <f t="shared" ref="BG13:BG21" si="118">AJ22</f>
        <v>3.588378212974296</v>
      </c>
      <c r="BH13" s="234">
        <f t="shared" ref="BH13:BH21" si="119">AK22</f>
        <v>3.6783720930232557</v>
      </c>
      <c r="BI13" s="234">
        <f t="shared" ref="BI13:BI21" si="120">AL22</f>
        <v>3.731733170134639</v>
      </c>
      <c r="BJ13" s="234">
        <f t="shared" ref="BJ13:BJ21" si="121">AM22</f>
        <v>3.8505250917992653</v>
      </c>
      <c r="BK13" s="234">
        <f t="shared" ref="BK13:BK21" si="122">AN22</f>
        <v>3.96</v>
      </c>
      <c r="BL13" s="234">
        <f t="shared" ref="BL13:BL21" si="123">AO22</f>
        <v>3.96</v>
      </c>
      <c r="BM13" s="234">
        <f t="shared" ref="BM13:BM21" si="124">AP22</f>
        <v>3.96</v>
      </c>
      <c r="BN13" s="234">
        <f t="shared" ref="BN13:BN21" si="125">AQ22</f>
        <v>3.96</v>
      </c>
      <c r="BO13" s="234">
        <f t="shared" ref="BO13:BO21" si="126">AR22</f>
        <v>3.96</v>
      </c>
      <c r="BP13" s="234">
        <f t="shared" ref="BP13:BP21" si="127">AS22</f>
        <v>3.96</v>
      </c>
      <c r="BQ13" s="234">
        <f t="shared" ref="BQ13:BQ21" si="128">AT22</f>
        <v>3.96</v>
      </c>
      <c r="BR13" s="234">
        <f t="shared" ref="BR13:BR21" si="129">AU22</f>
        <v>3.96</v>
      </c>
      <c r="BS13" s="234">
        <f t="shared" ref="BS13:BS21" si="130">AV22</f>
        <v>3.96</v>
      </c>
      <c r="BT13" s="58"/>
      <c r="BU13" s="58">
        <v>10000</v>
      </c>
      <c r="BV13" s="57">
        <v>0.104</v>
      </c>
      <c r="BW13" s="57">
        <v>7.8E-2</v>
      </c>
      <c r="CD13" t="s">
        <v>256</v>
      </c>
      <c r="CE13" t="s">
        <v>222</v>
      </c>
      <c r="CF13" t="s">
        <v>254</v>
      </c>
      <c r="CG13" s="4" t="str">
        <f t="shared" si="31"/>
        <v>Group 8</v>
      </c>
      <c r="CH13" s="4" t="s">
        <v>251</v>
      </c>
      <c r="CI13" s="4" t="s">
        <v>222</v>
      </c>
      <c r="CJ13" s="4" t="s">
        <v>222</v>
      </c>
      <c r="CL13" s="78" t="s">
        <v>100</v>
      </c>
      <c r="CM13" s="78" t="s">
        <v>266</v>
      </c>
      <c r="CO13" s="74" t="s">
        <v>254</v>
      </c>
      <c r="CP13" s="75" t="s">
        <v>189</v>
      </c>
      <c r="CQ13" s="75" t="s">
        <v>189</v>
      </c>
      <c r="CR13" s="74" t="s">
        <v>254</v>
      </c>
      <c r="CS13" s="79">
        <v>1.4</v>
      </c>
      <c r="CT13" s="79">
        <f t="shared" si="48"/>
        <v>1.4</v>
      </c>
      <c r="CU13" s="74" t="s">
        <v>254</v>
      </c>
      <c r="CV13" s="79">
        <v>1.4</v>
      </c>
      <c r="CW13" s="80">
        <f t="shared" si="49"/>
        <v>1.4</v>
      </c>
      <c r="CX13" s="74" t="s">
        <v>254</v>
      </c>
      <c r="CY13" s="75" t="s">
        <v>189</v>
      </c>
      <c r="CZ13" s="75" t="s">
        <v>189</v>
      </c>
      <c r="DA13" s="74" t="s">
        <v>254</v>
      </c>
      <c r="DB13" s="75" t="s">
        <v>189</v>
      </c>
      <c r="DC13" s="75" t="s">
        <v>189</v>
      </c>
      <c r="DD13" s="74" t="s">
        <v>254</v>
      </c>
      <c r="DE13" s="75" t="s">
        <v>189</v>
      </c>
      <c r="DF13" s="75" t="s">
        <v>189</v>
      </c>
      <c r="DL13" s="466" t="s">
        <v>68</v>
      </c>
      <c r="DM13" s="4" t="s">
        <v>266</v>
      </c>
      <c r="DO13" s="85">
        <v>21</v>
      </c>
      <c r="DP13" s="84">
        <f>DP12</f>
        <v>0.85</v>
      </c>
      <c r="DQ13" s="84">
        <f>1-0.225</f>
        <v>0.77500000000000002</v>
      </c>
      <c r="DR13" s="84">
        <v>0.7</v>
      </c>
      <c r="DU13" t="s">
        <v>299</v>
      </c>
      <c r="DV13" s="231">
        <v>7</v>
      </c>
      <c r="DW13" s="4">
        <v>2.6</v>
      </c>
      <c r="DZ13" s="466" t="s">
        <v>69</v>
      </c>
      <c r="EA13" s="251">
        <v>0.5</v>
      </c>
      <c r="EB13" s="251">
        <v>1</v>
      </c>
      <c r="EC13" s="526">
        <f t="shared" si="50"/>
        <v>0.5</v>
      </c>
      <c r="ED13" s="526">
        <f t="shared" si="51"/>
        <v>1</v>
      </c>
      <c r="EF13" s="466" t="s">
        <v>105</v>
      </c>
      <c r="EG13" s="4" t="s">
        <v>353</v>
      </c>
      <c r="EH13" s="375">
        <v>-0.25</v>
      </c>
      <c r="EI13" s="375">
        <v>0.25</v>
      </c>
      <c r="EJ13" s="4"/>
      <c r="EK13" s="120" t="s">
        <v>359</v>
      </c>
      <c r="EL13" s="375"/>
      <c r="EM13" s="375"/>
      <c r="EN13" s="112"/>
      <c r="EO13" s="375"/>
      <c r="EP13" s="375"/>
      <c r="EQ13" s="95"/>
      <c r="ER13" s="375"/>
      <c r="ES13" s="375"/>
      <c r="ET13" s="112"/>
      <c r="EU13" s="375"/>
      <c r="EV13" s="375"/>
      <c r="EW13" s="112"/>
      <c r="EX13" s="375"/>
      <c r="EY13" s="375">
        <f t="shared" si="52"/>
        <v>1</v>
      </c>
      <c r="EZ13" s="112"/>
      <c r="FA13" s="375"/>
      <c r="FB13" s="375"/>
      <c r="FC13" s="112"/>
      <c r="FD13" s="375"/>
      <c r="FE13" s="375"/>
      <c r="FF13" s="16"/>
      <c r="FG13" s="16"/>
      <c r="FH13" t="s">
        <v>378</v>
      </c>
      <c r="FI13" s="134" t="s">
        <v>368</v>
      </c>
      <c r="FL13" s="34"/>
      <c r="FM13" s="34"/>
      <c r="FN13" s="34"/>
      <c r="FU13" s="154">
        <v>60001</v>
      </c>
      <c r="FV13" s="140">
        <v>24</v>
      </c>
      <c r="FW13" s="154"/>
      <c r="FX13" s="34"/>
      <c r="GE13" s="4"/>
      <c r="GF13" s="4"/>
      <c r="GG13" s="4"/>
      <c r="GO13" s="555" t="s">
        <v>161</v>
      </c>
      <c r="GT13" s="555" t="s">
        <v>88</v>
      </c>
      <c r="HF13" t="s">
        <v>168</v>
      </c>
      <c r="HG13" t="s">
        <v>1520</v>
      </c>
      <c r="HK13" s="421">
        <v>5.4999999999999997E-3</v>
      </c>
    </row>
    <row r="14" spans="1:219">
      <c r="A14" s="391">
        <v>1.1499999999999999</v>
      </c>
      <c r="B14" s="3">
        <v>43766</v>
      </c>
      <c r="C14" s="4" t="s">
        <v>23</v>
      </c>
      <c r="D14" s="4" t="s">
        <v>2601</v>
      </c>
      <c r="H14" s="4"/>
      <c r="I14" s="4"/>
      <c r="J14" s="4"/>
      <c r="L14" s="4" t="s">
        <v>91</v>
      </c>
      <c r="M14" s="4" t="s">
        <v>92</v>
      </c>
      <c r="N14" s="277" t="s">
        <v>455</v>
      </c>
      <c r="P14" s="4" t="s">
        <v>605</v>
      </c>
      <c r="Q14" s="4" t="s">
        <v>606</v>
      </c>
      <c r="R14" s="4" t="s">
        <v>607</v>
      </c>
      <c r="AA14" s="4"/>
      <c r="AB14" s="4"/>
      <c r="AC14" s="4"/>
      <c r="AD14" s="58">
        <v>250000</v>
      </c>
      <c r="AE14" s="58">
        <v>750000</v>
      </c>
      <c r="AF14" s="360">
        <f>(AF13-1)*((AF17-1)/(AF16-1))+1</f>
        <v>1.5655031982942429</v>
      </c>
      <c r="AG14" s="360">
        <f>(AG13-1)*((AG17-1)/(AG16-1))+1</f>
        <v>2.14812693498452</v>
      </c>
      <c r="AH14" s="361">
        <f t="shared" si="95"/>
        <v>1.9391557288508068</v>
      </c>
      <c r="AI14" s="361">
        <f t="shared" si="96"/>
        <v>2.0809501652472719</v>
      </c>
      <c r="AJ14" s="361">
        <f t="shared" si="111"/>
        <v>2.1285871412544832</v>
      </c>
      <c r="AK14" s="361">
        <f t="shared" si="97"/>
        <v>2.14812693498452</v>
      </c>
      <c r="AL14" s="361">
        <f t="shared" si="98"/>
        <v>2.14812693498452</v>
      </c>
      <c r="AM14" s="361">
        <f t="shared" si="99"/>
        <v>2.14812693498452</v>
      </c>
      <c r="AN14" s="361">
        <f t="shared" si="100"/>
        <v>2.14812693498452</v>
      </c>
      <c r="AO14" s="361">
        <f t="shared" si="101"/>
        <v>2.14812693498452</v>
      </c>
      <c r="AP14" s="361">
        <f t="shared" si="102"/>
        <v>2.14812693498452</v>
      </c>
      <c r="AQ14" s="361">
        <f t="shared" si="103"/>
        <v>2.14812693498452</v>
      </c>
      <c r="AR14" s="361">
        <f t="shared" si="104"/>
        <v>2.14812693498452</v>
      </c>
      <c r="AS14" s="361">
        <f t="shared" si="105"/>
        <v>2.14812693498452</v>
      </c>
      <c r="AT14" s="361">
        <f t="shared" si="106"/>
        <v>2.14812693498452</v>
      </c>
      <c r="AU14" s="361">
        <f t="shared" si="107"/>
        <v>2.14812693498452</v>
      </c>
      <c r="AV14" s="361">
        <f t="shared" si="108"/>
        <v>2.14812693498452</v>
      </c>
      <c r="AW14" s="57"/>
      <c r="AY14" s="58">
        <v>4000000</v>
      </c>
      <c r="AZ14" s="58">
        <f t="shared" si="53"/>
        <v>4000000</v>
      </c>
      <c r="BA14" s="58"/>
      <c r="BB14" s="234">
        <f t="shared" si="114"/>
        <v>3.6619999999999999</v>
      </c>
      <c r="BC14" s="234">
        <f t="shared" si="115"/>
        <v>4.42</v>
      </c>
      <c r="BD14" s="234">
        <f t="shared" si="34"/>
        <v>3.7659093391589296</v>
      </c>
      <c r="BE14" s="234">
        <f t="shared" si="116"/>
        <v>3.8698186783178592</v>
      </c>
      <c r="BF14" s="234">
        <f t="shared" si="117"/>
        <v>3.9486821409066084</v>
      </c>
      <c r="BG14" s="234">
        <f t="shared" si="118"/>
        <v>3.9751769524849809</v>
      </c>
      <c r="BH14" s="234">
        <f t="shared" si="119"/>
        <v>4.0631480065537957</v>
      </c>
      <c r="BI14" s="234">
        <f t="shared" si="120"/>
        <v>4.1153096668487166</v>
      </c>
      <c r="BJ14" s="234">
        <f t="shared" si="121"/>
        <v>4.2314314582195518</v>
      </c>
      <c r="BK14" s="234">
        <f t="shared" si="122"/>
        <v>4.3384456581103219</v>
      </c>
      <c r="BL14" s="234">
        <f t="shared" si="123"/>
        <v>4.42</v>
      </c>
      <c r="BM14" s="234">
        <f t="shared" si="124"/>
        <v>4.42</v>
      </c>
      <c r="BN14" s="234">
        <f t="shared" si="125"/>
        <v>4.42</v>
      </c>
      <c r="BO14" s="234">
        <f t="shared" si="126"/>
        <v>4.42</v>
      </c>
      <c r="BP14" s="234">
        <f t="shared" si="127"/>
        <v>4.42</v>
      </c>
      <c r="BQ14" s="234">
        <f t="shared" si="128"/>
        <v>4.42</v>
      </c>
      <c r="BR14" s="234">
        <f t="shared" si="129"/>
        <v>4.42</v>
      </c>
      <c r="BS14" s="234">
        <f t="shared" si="130"/>
        <v>4.42</v>
      </c>
      <c r="BT14" s="58"/>
      <c r="BU14" s="58">
        <v>15000</v>
      </c>
      <c r="BV14" s="57">
        <v>0.156</v>
      </c>
      <c r="BW14" s="57">
        <v>0.124</v>
      </c>
      <c r="CD14" t="s">
        <v>240</v>
      </c>
      <c r="CE14" t="s">
        <v>219</v>
      </c>
      <c r="CF14" t="s">
        <v>241</v>
      </c>
      <c r="CG14" s="4" t="str">
        <f t="shared" si="31"/>
        <v>Group 5</v>
      </c>
      <c r="CH14" s="4" t="s">
        <v>229</v>
      </c>
      <c r="CI14" s="4" t="s">
        <v>219</v>
      </c>
      <c r="CJ14" s="4" t="s">
        <v>219</v>
      </c>
      <c r="CL14" s="77" t="s">
        <v>65</v>
      </c>
      <c r="CM14" s="77" t="s">
        <v>266</v>
      </c>
      <c r="CO14" s="74"/>
      <c r="CP14" s="75"/>
      <c r="CQ14" s="4"/>
      <c r="DA14" s="74"/>
      <c r="DB14" s="75"/>
      <c r="DL14" s="466" t="s">
        <v>69</v>
      </c>
      <c r="DM14" s="4" t="s">
        <v>266</v>
      </c>
      <c r="DO14" s="255">
        <v>26</v>
      </c>
      <c r="DP14" s="256">
        <v>0.8</v>
      </c>
      <c r="DQ14" s="256">
        <f>1-0.3</f>
        <v>0.7</v>
      </c>
      <c r="DR14" s="256">
        <f>1-0.35</f>
        <v>0.65</v>
      </c>
      <c r="DS14" s="254"/>
      <c r="DT14" s="4"/>
      <c r="DU14" t="s">
        <v>300</v>
      </c>
      <c r="DV14" s="231">
        <v>8</v>
      </c>
      <c r="DW14" s="4">
        <v>2.8</v>
      </c>
      <c r="DZ14" s="466" t="s">
        <v>133</v>
      </c>
      <c r="EA14" s="251">
        <v>0.5</v>
      </c>
      <c r="EB14" s="251">
        <v>1</v>
      </c>
      <c r="EC14" s="526">
        <f t="shared" si="50"/>
        <v>0.5</v>
      </c>
      <c r="ED14" s="526">
        <f t="shared" si="51"/>
        <v>1</v>
      </c>
      <c r="EF14" s="466" t="s">
        <v>100</v>
      </c>
      <c r="EG14" s="4" t="s">
        <v>353</v>
      </c>
      <c r="EH14" s="375">
        <v>-0.25</v>
      </c>
      <c r="EI14" s="375">
        <v>0.25</v>
      </c>
      <c r="EJ14" s="4"/>
      <c r="EK14" s="100" t="s">
        <v>330</v>
      </c>
      <c r="EL14" s="376">
        <v>-0.1</v>
      </c>
      <c r="EM14" s="376">
        <v>0.1</v>
      </c>
      <c r="EN14" s="100" t="s">
        <v>330</v>
      </c>
      <c r="EO14" s="376">
        <v>-0.1</v>
      </c>
      <c r="EP14" s="376">
        <v>0.1</v>
      </c>
      <c r="EQ14" s="100" t="s">
        <v>330</v>
      </c>
      <c r="ER14" s="376">
        <v>-0.1</v>
      </c>
      <c r="ES14" s="376">
        <v>0.1</v>
      </c>
      <c r="ET14" s="100" t="s">
        <v>330</v>
      </c>
      <c r="EU14" s="376">
        <v>-0.1</v>
      </c>
      <c r="EV14" s="376">
        <v>0.1</v>
      </c>
      <c r="EW14" s="100" t="s">
        <v>330</v>
      </c>
      <c r="EX14" s="376"/>
      <c r="EY14" s="376">
        <v>1</v>
      </c>
      <c r="EZ14" s="116"/>
      <c r="FA14" s="378"/>
      <c r="FB14" s="378"/>
      <c r="FC14" s="100"/>
      <c r="FD14" s="376"/>
      <c r="FE14" s="376"/>
      <c r="FF14" s="16"/>
      <c r="FG14" s="16"/>
      <c r="FL14" s="34"/>
      <c r="FM14" s="34"/>
      <c r="FN14" s="34"/>
      <c r="FU14" s="154">
        <v>80001</v>
      </c>
      <c r="FV14" s="140">
        <v>27</v>
      </c>
      <c r="GE14" s="4"/>
      <c r="GF14" s="4"/>
      <c r="GG14" s="4"/>
      <c r="GO14" s="555" t="s">
        <v>125</v>
      </c>
      <c r="GT14" s="555" t="s">
        <v>131</v>
      </c>
    </row>
    <row r="15" spans="1:219">
      <c r="A15" s="391" t="s">
        <v>2567</v>
      </c>
      <c r="B15" s="3">
        <v>43756</v>
      </c>
      <c r="C15" s="4" t="s">
        <v>23</v>
      </c>
      <c r="D15" s="4" t="s">
        <v>2575</v>
      </c>
      <c r="H15" s="4"/>
      <c r="I15" s="4"/>
      <c r="J15" s="4"/>
      <c r="L15" s="4" t="s">
        <v>93</v>
      </c>
      <c r="M15" s="4" t="s">
        <v>51</v>
      </c>
      <c r="N15" s="277" t="s">
        <v>455</v>
      </c>
      <c r="P15" s="4" t="s">
        <v>608</v>
      </c>
      <c r="Q15" s="4" t="s">
        <v>609</v>
      </c>
      <c r="R15" s="4" t="s">
        <v>610</v>
      </c>
      <c r="AA15" s="4"/>
      <c r="AB15" s="4"/>
      <c r="AC15" s="4">
        <f>(AF15-AF12)/(AD15-AD12)*1000000</f>
        <v>1.4408831908831914</v>
      </c>
      <c r="AD15" s="162">
        <v>500000</v>
      </c>
      <c r="AE15" s="58">
        <v>500000</v>
      </c>
      <c r="AF15" s="360">
        <f>(AF16-1)*((AF18-1)/(AF19-1))+1</f>
        <v>1.7950284900284901</v>
      </c>
      <c r="AG15" s="360">
        <f>(AG16-1)*((AG18-1)/(AG19-1))+1</f>
        <v>2.1758877922077922</v>
      </c>
      <c r="AH15" s="361">
        <f t="shared" si="95"/>
        <v>2.0080517047084698</v>
      </c>
      <c r="AI15" s="361">
        <f t="shared" si="96"/>
        <v>2.0888901955382235</v>
      </c>
      <c r="AJ15" s="361">
        <f t="shared" si="111"/>
        <v>2.1160485336647548</v>
      </c>
      <c r="AK15" s="361">
        <f t="shared" si="97"/>
        <v>2.2062227032255031</v>
      </c>
      <c r="AL15" s="361">
        <f t="shared" si="98"/>
        <v>2.1758877922077922</v>
      </c>
      <c r="AM15" s="361">
        <f t="shared" si="99"/>
        <v>2.1758877922077922</v>
      </c>
      <c r="AN15" s="361">
        <f t="shared" si="100"/>
        <v>2.1758877922077922</v>
      </c>
      <c r="AO15" s="361">
        <f t="shared" si="101"/>
        <v>2.1758877922077922</v>
      </c>
      <c r="AP15" s="361">
        <f t="shared" si="102"/>
        <v>2.1758877922077922</v>
      </c>
      <c r="AQ15" s="361">
        <f t="shared" si="103"/>
        <v>2.1758877922077922</v>
      </c>
      <c r="AR15" s="361">
        <f t="shared" si="104"/>
        <v>2.1758877922077922</v>
      </c>
      <c r="AS15" s="361">
        <f t="shared" si="105"/>
        <v>2.1758877922077922</v>
      </c>
      <c r="AT15" s="361">
        <f t="shared" si="106"/>
        <v>2.1758877922077922</v>
      </c>
      <c r="AU15" s="361">
        <f t="shared" si="107"/>
        <v>2.1758877922077922</v>
      </c>
      <c r="AV15" s="361">
        <f t="shared" si="108"/>
        <v>2.1758877922077922</v>
      </c>
      <c r="AW15" s="57"/>
      <c r="AY15" s="58">
        <v>5000000</v>
      </c>
      <c r="AZ15" s="58">
        <f t="shared" si="53"/>
        <v>5000000</v>
      </c>
      <c r="BA15" s="58"/>
      <c r="BB15" s="234">
        <f t="shared" si="114"/>
        <v>4.0519999999999996</v>
      </c>
      <c r="BC15" s="234">
        <f t="shared" si="115"/>
        <v>4.88</v>
      </c>
      <c r="BD15" s="234">
        <f t="shared" si="34"/>
        <v>4.1545804540967417</v>
      </c>
      <c r="BE15" s="234">
        <f t="shared" si="116"/>
        <v>4.2571609081934847</v>
      </c>
      <c r="BF15" s="234">
        <f t="shared" si="117"/>
        <v>4.3350157946692986</v>
      </c>
      <c r="BG15" s="234">
        <f t="shared" si="118"/>
        <v>4.3611717670286279</v>
      </c>
      <c r="BH15" s="234">
        <f t="shared" si="119"/>
        <v>4.448017769002961</v>
      </c>
      <c r="BI15" s="234">
        <f t="shared" si="120"/>
        <v>4.4995123395853893</v>
      </c>
      <c r="BJ15" s="234">
        <f t="shared" si="121"/>
        <v>4.61414906219151</v>
      </c>
      <c r="BK15" s="234">
        <f t="shared" si="122"/>
        <v>4.7197946692991115</v>
      </c>
      <c r="BL15" s="234">
        <f t="shared" si="123"/>
        <v>4.8003060217176703</v>
      </c>
      <c r="BM15" s="234">
        <f t="shared" si="124"/>
        <v>4.88</v>
      </c>
      <c r="BN15" s="234">
        <f t="shared" si="125"/>
        <v>4.88</v>
      </c>
      <c r="BO15" s="234">
        <f t="shared" si="126"/>
        <v>4.88</v>
      </c>
      <c r="BP15" s="234">
        <f t="shared" si="127"/>
        <v>4.88</v>
      </c>
      <c r="BQ15" s="234">
        <f t="shared" si="128"/>
        <v>4.88</v>
      </c>
      <c r="BR15" s="234">
        <f t="shared" si="129"/>
        <v>4.88</v>
      </c>
      <c r="BS15" s="234">
        <f t="shared" si="130"/>
        <v>4.88</v>
      </c>
      <c r="BT15" s="58"/>
      <c r="BU15" s="58">
        <v>20000</v>
      </c>
      <c r="BV15" s="57">
        <v>0.20799999999999999</v>
      </c>
      <c r="BW15" s="57">
        <v>0.16800000000000001</v>
      </c>
      <c r="CD15" t="s">
        <v>231</v>
      </c>
      <c r="CE15" t="s">
        <v>219</v>
      </c>
      <c r="CF15" t="s">
        <v>229</v>
      </c>
      <c r="CG15" s="4" t="str">
        <f t="shared" si="31"/>
        <v>Group 4</v>
      </c>
      <c r="CH15" s="4" t="s">
        <v>222</v>
      </c>
      <c r="CI15" s="4" t="s">
        <v>219</v>
      </c>
      <c r="CJ15" s="4" t="s">
        <v>219</v>
      </c>
      <c r="CL15" s="78" t="s">
        <v>103</v>
      </c>
      <c r="CM15" s="78" t="s">
        <v>266</v>
      </c>
      <c r="CO15" s="74"/>
      <c r="CP15" s="75"/>
      <c r="CQ15" s="4"/>
      <c r="DA15" s="74"/>
      <c r="DB15" s="75"/>
      <c r="DL15" s="466" t="s">
        <v>133</v>
      </c>
      <c r="DM15" s="4" t="s">
        <v>272</v>
      </c>
      <c r="DO15" s="255">
        <v>40</v>
      </c>
      <c r="DP15" s="256">
        <f>DP14</f>
        <v>0.8</v>
      </c>
      <c r="DQ15" s="256">
        <f>1-0.35</f>
        <v>0.65</v>
      </c>
      <c r="DR15" s="256">
        <f>DR14</f>
        <v>0.65</v>
      </c>
      <c r="DS15" s="254"/>
      <c r="DZ15" s="466" t="s">
        <v>70</v>
      </c>
      <c r="EA15" s="251">
        <v>0.5</v>
      </c>
      <c r="EB15" s="251">
        <v>1</v>
      </c>
      <c r="EC15" s="526">
        <v>0</v>
      </c>
      <c r="ED15" s="526">
        <f t="shared" si="51"/>
        <v>1</v>
      </c>
      <c r="EF15" s="466" t="s">
        <v>65</v>
      </c>
      <c r="EG15" s="4" t="s">
        <v>353</v>
      </c>
      <c r="EH15" s="375">
        <v>-0.4</v>
      </c>
      <c r="EI15" s="375">
        <v>0.4</v>
      </c>
      <c r="EJ15" s="4"/>
      <c r="EK15" s="101" t="s">
        <v>331</v>
      </c>
      <c r="EL15" s="375">
        <v>-0.1</v>
      </c>
      <c r="EM15" s="375">
        <f t="shared" ref="EM15" si="131">EL15</f>
        <v>-0.1</v>
      </c>
      <c r="EN15" s="101"/>
      <c r="EO15" s="375"/>
      <c r="EP15" s="375"/>
      <c r="EQ15" s="102"/>
      <c r="ER15" s="379"/>
      <c r="ES15" s="379"/>
      <c r="ET15" s="101" t="s">
        <v>331</v>
      </c>
      <c r="EU15" s="375">
        <v>-0.1</v>
      </c>
      <c r="EV15" s="375">
        <f>EU15</f>
        <v>-0.1</v>
      </c>
      <c r="EW15" s="101"/>
      <c r="EX15" s="375"/>
      <c r="EY15" s="375">
        <f t="shared" ref="EY15:EY20" si="132">EY14</f>
        <v>1</v>
      </c>
      <c r="EZ15" s="101"/>
      <c r="FA15" s="375"/>
      <c r="FB15" s="375"/>
      <c r="FC15" s="101"/>
      <c r="FD15" s="375"/>
      <c r="FE15" s="375"/>
      <c r="FF15" s="16"/>
      <c r="FG15" s="16"/>
      <c r="FL15" s="34"/>
      <c r="FM15" s="34"/>
      <c r="FN15" s="34"/>
      <c r="FU15" s="16"/>
      <c r="FZ15" t="s">
        <v>1451</v>
      </c>
      <c r="GE15" s="4"/>
      <c r="GF15" s="4"/>
      <c r="GG15" s="4"/>
      <c r="GO15" s="555" t="s">
        <v>143</v>
      </c>
      <c r="GT15" s="555" t="s">
        <v>161</v>
      </c>
    </row>
    <row r="16" spans="1:219">
      <c r="A16" s="391" t="s">
        <v>2535</v>
      </c>
      <c r="B16" s="3">
        <v>43749</v>
      </c>
      <c r="C16" s="4" t="s">
        <v>23</v>
      </c>
      <c r="D16" s="4" t="s">
        <v>2565</v>
      </c>
      <c r="H16" s="4"/>
      <c r="I16" s="4"/>
      <c r="J16" s="4"/>
      <c r="L16" s="4" t="s">
        <v>94</v>
      </c>
      <c r="M16" s="4" t="s">
        <v>64</v>
      </c>
      <c r="N16" s="277" t="s">
        <v>455</v>
      </c>
      <c r="P16" s="4" t="s">
        <v>611</v>
      </c>
      <c r="Q16" s="4" t="s">
        <v>612</v>
      </c>
      <c r="R16" s="4" t="s">
        <v>613</v>
      </c>
      <c r="AA16" s="4"/>
      <c r="AB16" s="4"/>
      <c r="AC16" s="4"/>
      <c r="AD16" s="58">
        <v>500000</v>
      </c>
      <c r="AE16" s="58">
        <v>1000000</v>
      </c>
      <c r="AF16" s="234">
        <v>1.9379999999999999</v>
      </c>
      <c r="AG16" s="234">
        <v>2.2919999999999998</v>
      </c>
      <c r="AH16" s="361">
        <f t="shared" si="95"/>
        <v>2.1213931888544892</v>
      </c>
      <c r="AI16" s="361">
        <f t="shared" si="96"/>
        <v>2.1909876160990711</v>
      </c>
      <c r="AJ16" s="361">
        <f t="shared" si="111"/>
        <v>2.2143684210526313</v>
      </c>
      <c r="AK16" s="361">
        <f t="shared" si="97"/>
        <v>2.2919999999999998</v>
      </c>
      <c r="AL16" s="361">
        <f t="shared" si="98"/>
        <v>2.2919999999999998</v>
      </c>
      <c r="AM16" s="361">
        <f t="shared" si="99"/>
        <v>2.2919999999999998</v>
      </c>
      <c r="AN16" s="361">
        <f t="shared" si="100"/>
        <v>2.2919999999999998</v>
      </c>
      <c r="AO16" s="361">
        <f t="shared" si="101"/>
        <v>2.2919999999999998</v>
      </c>
      <c r="AP16" s="361">
        <f t="shared" si="102"/>
        <v>2.2919999999999998</v>
      </c>
      <c r="AQ16" s="361">
        <f t="shared" si="103"/>
        <v>2.2919999999999998</v>
      </c>
      <c r="AR16" s="361">
        <f t="shared" si="104"/>
        <v>2.2919999999999998</v>
      </c>
      <c r="AS16" s="361">
        <f t="shared" si="105"/>
        <v>2.2919999999999998</v>
      </c>
      <c r="AT16" s="361">
        <f t="shared" si="106"/>
        <v>2.2919999999999998</v>
      </c>
      <c r="AU16" s="361">
        <f t="shared" si="107"/>
        <v>2.2919999999999998</v>
      </c>
      <c r="AV16" s="361">
        <f t="shared" si="108"/>
        <v>2.2919999999999998</v>
      </c>
      <c r="AW16" s="57"/>
      <c r="AY16" s="58">
        <v>6000000</v>
      </c>
      <c r="AZ16" s="58">
        <f t="shared" si="53"/>
        <v>6000000</v>
      </c>
      <c r="BA16" s="58"/>
      <c r="BB16" s="234">
        <f t="shared" si="114"/>
        <v>4.4329999999999998</v>
      </c>
      <c r="BC16" s="234">
        <f t="shared" si="115"/>
        <v>5.1230000000000002</v>
      </c>
      <c r="BD16" s="234">
        <f t="shared" si="34"/>
        <v>4.5111367020076703</v>
      </c>
      <c r="BE16" s="234">
        <f t="shared" si="116"/>
        <v>4.5892734040153398</v>
      </c>
      <c r="BF16" s="234">
        <f t="shared" si="117"/>
        <v>4.6485763591247462</v>
      </c>
      <c r="BG16" s="234">
        <f t="shared" si="118"/>
        <v>4.6684996616286938</v>
      </c>
      <c r="BH16" s="234">
        <f t="shared" si="119"/>
        <v>4.7346512519738324</v>
      </c>
      <c r="BI16" s="234">
        <f t="shared" si="120"/>
        <v>4.7738752537784794</v>
      </c>
      <c r="BJ16" s="234">
        <f t="shared" si="121"/>
        <v>4.8611953530340628</v>
      </c>
      <c r="BK16" s="234">
        <f t="shared" si="122"/>
        <v>4.941666817053914</v>
      </c>
      <c r="BL16" s="234">
        <f t="shared" si="123"/>
        <v>5.0029932325738775</v>
      </c>
      <c r="BM16" s="234">
        <f t="shared" si="124"/>
        <v>5.0636970448905938</v>
      </c>
      <c r="BN16" s="234">
        <f t="shared" si="125"/>
        <v>5.1230000000000002</v>
      </c>
      <c r="BO16" s="234">
        <f t="shared" si="126"/>
        <v>5.1230000000000002</v>
      </c>
      <c r="BP16" s="234">
        <f t="shared" si="127"/>
        <v>5.1230000000000002</v>
      </c>
      <c r="BQ16" s="234">
        <f t="shared" si="128"/>
        <v>5.1230000000000002</v>
      </c>
      <c r="BR16" s="234">
        <f t="shared" si="129"/>
        <v>5.1230000000000002</v>
      </c>
      <c r="BS16" s="234">
        <f t="shared" si="130"/>
        <v>5.1230000000000002</v>
      </c>
      <c r="BT16" s="58"/>
      <c r="BU16" s="58">
        <v>25000</v>
      </c>
      <c r="BV16" s="57">
        <v>0.26400000000000001</v>
      </c>
      <c r="BW16" s="57">
        <v>0.21199999999999999</v>
      </c>
      <c r="CD16" t="s">
        <v>232</v>
      </c>
      <c r="CE16" t="s">
        <v>219</v>
      </c>
      <c r="CF16" t="s">
        <v>229</v>
      </c>
      <c r="CG16" s="4" t="str">
        <f t="shared" si="31"/>
        <v>Group 4</v>
      </c>
      <c r="CH16" s="4" t="s">
        <v>222</v>
      </c>
      <c r="CI16" s="4" t="s">
        <v>219</v>
      </c>
      <c r="CJ16" s="4" t="s">
        <v>219</v>
      </c>
      <c r="CL16" s="78" t="s">
        <v>107</v>
      </c>
      <c r="CM16" s="78" t="s">
        <v>1353</v>
      </c>
      <c r="CO16" s="74"/>
      <c r="CP16" s="75"/>
      <c r="CQ16" s="4"/>
      <c r="DA16" s="74"/>
      <c r="DB16" s="75"/>
      <c r="DL16" s="466" t="s">
        <v>70</v>
      </c>
      <c r="DM16" s="4" t="s">
        <v>267</v>
      </c>
      <c r="DO16" s="255">
        <v>41</v>
      </c>
      <c r="DP16" s="256">
        <f>DP15</f>
        <v>0.8</v>
      </c>
      <c r="DQ16" s="256">
        <f>DQ15</f>
        <v>0.65</v>
      </c>
      <c r="DR16" s="256">
        <f>1-0.4</f>
        <v>0.6</v>
      </c>
      <c r="DS16" s="254"/>
      <c r="DZ16" s="466" t="s">
        <v>73</v>
      </c>
      <c r="EA16" s="251">
        <v>0.5</v>
      </c>
      <c r="EB16" s="251">
        <v>1</v>
      </c>
      <c r="EC16" s="526">
        <f t="shared" si="50"/>
        <v>0.5</v>
      </c>
      <c r="ED16" s="526">
        <f t="shared" si="51"/>
        <v>1</v>
      </c>
      <c r="EF16" s="466" t="s">
        <v>103</v>
      </c>
      <c r="EG16" s="4" t="s">
        <v>353</v>
      </c>
      <c r="EH16" s="375">
        <v>-0.5</v>
      </c>
      <c r="EI16" s="375">
        <v>0.5</v>
      </c>
      <c r="EJ16" s="4"/>
      <c r="EK16" s="101" t="s">
        <v>332</v>
      </c>
      <c r="EL16" s="375">
        <v>-0.05</v>
      </c>
      <c r="EM16" s="375">
        <f>EL16</f>
        <v>-0.05</v>
      </c>
      <c r="EN16" s="101"/>
      <c r="EO16" s="375"/>
      <c r="EP16" s="375"/>
      <c r="EQ16" s="102"/>
      <c r="ER16" s="379"/>
      <c r="ES16" s="379"/>
      <c r="ET16" s="101" t="s">
        <v>332</v>
      </c>
      <c r="EU16" s="375">
        <v>-0.05</v>
      </c>
      <c r="EV16" s="375">
        <f t="shared" ref="EV16:EV19" si="133">EU16</f>
        <v>-0.05</v>
      </c>
      <c r="EW16" s="101"/>
      <c r="EX16" s="375"/>
      <c r="EY16" s="375">
        <f t="shared" si="132"/>
        <v>1</v>
      </c>
      <c r="EZ16" s="101"/>
      <c r="FA16" s="375"/>
      <c r="FB16" s="375"/>
      <c r="FC16" s="101"/>
      <c r="FD16" s="375"/>
      <c r="FE16" s="375"/>
      <c r="FF16" s="16"/>
      <c r="FG16" s="16"/>
      <c r="FL16" s="34"/>
      <c r="FM16" s="34"/>
      <c r="FN16" s="34"/>
      <c r="FZ16" t="s">
        <v>74</v>
      </c>
      <c r="GE16" s="4"/>
      <c r="GF16" s="4"/>
      <c r="GG16" s="4"/>
      <c r="GO16" s="522" t="s">
        <v>80</v>
      </c>
      <c r="GT16" s="555" t="s">
        <v>125</v>
      </c>
    </row>
    <row r="17" spans="1:202">
      <c r="A17" s="391" t="s">
        <v>2523</v>
      </c>
      <c r="B17" s="3">
        <v>43741</v>
      </c>
      <c r="C17" s="4" t="s">
        <v>23</v>
      </c>
      <c r="D17" s="4" t="s">
        <v>2524</v>
      </c>
      <c r="H17" s="4"/>
      <c r="I17" s="4"/>
      <c r="J17" s="4"/>
      <c r="L17" s="4" t="s">
        <v>95</v>
      </c>
      <c r="M17" s="4" t="s">
        <v>96</v>
      </c>
      <c r="N17" s="467" t="s">
        <v>456</v>
      </c>
      <c r="P17" s="4" t="s">
        <v>614</v>
      </c>
      <c r="Q17" s="4" t="s">
        <v>615</v>
      </c>
      <c r="R17" s="4" t="s">
        <v>616</v>
      </c>
      <c r="AA17" s="4"/>
      <c r="AB17" s="4"/>
      <c r="AC17" s="4"/>
      <c r="AD17" s="58">
        <v>500000</v>
      </c>
      <c r="AE17" s="58">
        <v>1500000</v>
      </c>
      <c r="AF17" s="234">
        <v>2.0339999999999998</v>
      </c>
      <c r="AG17" s="234">
        <v>2.476</v>
      </c>
      <c r="AH17" s="361">
        <f t="shared" si="95"/>
        <v>2.2521750245821042</v>
      </c>
      <c r="AI17" s="361">
        <f t="shared" si="96"/>
        <v>2.3349685349065878</v>
      </c>
      <c r="AJ17" s="361">
        <f t="shared" si="111"/>
        <v>2.3627836774827924</v>
      </c>
      <c r="AK17" s="361">
        <f t="shared" si="97"/>
        <v>2.4551386430678468</v>
      </c>
      <c r="AL17" s="361">
        <f t="shared" si="98"/>
        <v>2.476</v>
      </c>
      <c r="AM17" s="361">
        <f t="shared" si="99"/>
        <v>2.476</v>
      </c>
      <c r="AN17" s="361">
        <f t="shared" si="100"/>
        <v>2.476</v>
      </c>
      <c r="AO17" s="361">
        <f t="shared" si="101"/>
        <v>2.476</v>
      </c>
      <c r="AP17" s="361">
        <f t="shared" si="102"/>
        <v>2.476</v>
      </c>
      <c r="AQ17" s="361">
        <f t="shared" si="103"/>
        <v>2.476</v>
      </c>
      <c r="AR17" s="361">
        <f t="shared" si="104"/>
        <v>2.476</v>
      </c>
      <c r="AS17" s="361">
        <f t="shared" si="105"/>
        <v>2.476</v>
      </c>
      <c r="AT17" s="361">
        <f t="shared" si="106"/>
        <v>2.476</v>
      </c>
      <c r="AU17" s="361">
        <f t="shared" si="107"/>
        <v>2.476</v>
      </c>
      <c r="AV17" s="361">
        <f t="shared" si="108"/>
        <v>2.476</v>
      </c>
      <c r="AW17" s="57"/>
      <c r="AY17" s="58">
        <v>7000000</v>
      </c>
      <c r="AZ17" s="58">
        <f t="shared" si="53"/>
        <v>7000000</v>
      </c>
      <c r="BA17" s="58"/>
      <c r="BB17" s="234">
        <f t="shared" si="114"/>
        <v>4.7220000000000004</v>
      </c>
      <c r="BC17" s="234">
        <f t="shared" si="115"/>
        <v>5.3019999999999996</v>
      </c>
      <c r="BD17" s="234">
        <f t="shared" si="34"/>
        <v>4.7836603134265143</v>
      </c>
      <c r="BE17" s="234">
        <f t="shared" si="116"/>
        <v>4.8453206268530282</v>
      </c>
      <c r="BF17" s="234">
        <f t="shared" si="117"/>
        <v>4.8921185938161793</v>
      </c>
      <c r="BG17" s="234">
        <f t="shared" si="118"/>
        <v>4.9078407454468449</v>
      </c>
      <c r="BH17" s="234">
        <f t="shared" si="119"/>
        <v>4.9600432020330372</v>
      </c>
      <c r="BI17" s="234">
        <f t="shared" si="120"/>
        <v>4.9909961880559086</v>
      </c>
      <c r="BJ17" s="234">
        <f t="shared" si="121"/>
        <v>5.0599034307496824</v>
      </c>
      <c r="BK17" s="234">
        <f t="shared" si="122"/>
        <v>5.123406183820415</v>
      </c>
      <c r="BL17" s="234">
        <f t="shared" si="123"/>
        <v>5.1718009318085558</v>
      </c>
      <c r="BM17" s="234">
        <f t="shared" si="124"/>
        <v>5.2197043625582378</v>
      </c>
      <c r="BN17" s="234">
        <f t="shared" si="125"/>
        <v>5.2665023295213889</v>
      </c>
      <c r="BO17" s="234">
        <f t="shared" si="126"/>
        <v>5.3019999999999996</v>
      </c>
      <c r="BP17" s="234">
        <f t="shared" si="127"/>
        <v>5.3019999999999996</v>
      </c>
      <c r="BQ17" s="234">
        <f t="shared" si="128"/>
        <v>5.3019999999999996</v>
      </c>
      <c r="BR17" s="234">
        <f t="shared" si="129"/>
        <v>5.3019999999999996</v>
      </c>
      <c r="BS17" s="234">
        <f t="shared" si="130"/>
        <v>5.3019999999999996</v>
      </c>
      <c r="BT17" s="58"/>
      <c r="BU17" s="58">
        <v>35000</v>
      </c>
      <c r="BV17" s="57">
        <v>0.32800000000000001</v>
      </c>
      <c r="BW17" s="57">
        <v>0.28399999999999997</v>
      </c>
      <c r="CD17" t="s">
        <v>233</v>
      </c>
      <c r="CE17" t="s">
        <v>219</v>
      </c>
      <c r="CF17" t="s">
        <v>229</v>
      </c>
      <c r="CG17" s="4" t="str">
        <f t="shared" si="31"/>
        <v>Group 4</v>
      </c>
      <c r="CH17" s="4" t="s">
        <v>222</v>
      </c>
      <c r="CI17" s="4" t="s">
        <v>219</v>
      </c>
      <c r="CJ17" s="4" t="s">
        <v>219</v>
      </c>
      <c r="CL17" s="78" t="s">
        <v>109</v>
      </c>
      <c r="CM17" s="78" t="s">
        <v>266</v>
      </c>
      <c r="CO17" s="74"/>
      <c r="CP17" s="75"/>
      <c r="CQ17" s="4"/>
      <c r="DA17" s="74"/>
      <c r="DB17" s="75"/>
      <c r="DL17" s="466" t="s">
        <v>73</v>
      </c>
      <c r="DM17" s="4" t="s">
        <v>266</v>
      </c>
      <c r="DO17" s="255">
        <v>51</v>
      </c>
      <c r="DP17" s="256">
        <v>0.75</v>
      </c>
      <c r="DQ17" s="256">
        <f>DQ16</f>
        <v>0.65</v>
      </c>
      <c r="DR17" s="256">
        <f>DR16</f>
        <v>0.6</v>
      </c>
      <c r="DS17" s="254"/>
      <c r="DZ17" s="466" t="s">
        <v>74</v>
      </c>
      <c r="EA17" s="251">
        <v>0.5</v>
      </c>
      <c r="EB17" s="251">
        <v>1</v>
      </c>
      <c r="EC17" s="526">
        <f t="shared" si="50"/>
        <v>0.5</v>
      </c>
      <c r="ED17" s="526">
        <f t="shared" si="51"/>
        <v>1</v>
      </c>
      <c r="EF17" s="466" t="s">
        <v>107</v>
      </c>
      <c r="EG17" s="4" t="s">
        <v>1357</v>
      </c>
      <c r="EH17" s="375">
        <v>-0.4</v>
      </c>
      <c r="EI17" s="375">
        <v>0.4</v>
      </c>
      <c r="EJ17" s="4"/>
      <c r="EK17" s="101" t="s">
        <v>333</v>
      </c>
      <c r="EL17" s="375">
        <v>0</v>
      </c>
      <c r="EM17" s="375">
        <f t="shared" ref="EM17:EM19" si="134">EL17</f>
        <v>0</v>
      </c>
      <c r="EN17" s="101"/>
      <c r="EO17" s="375"/>
      <c r="EP17" s="375"/>
      <c r="EQ17" s="102"/>
      <c r="ER17" s="379"/>
      <c r="ES17" s="379"/>
      <c r="ET17" s="101" t="s">
        <v>333</v>
      </c>
      <c r="EU17" s="375">
        <v>0</v>
      </c>
      <c r="EV17" s="375">
        <f t="shared" si="133"/>
        <v>0</v>
      </c>
      <c r="EW17" s="101"/>
      <c r="EX17" s="375"/>
      <c r="EY17" s="375">
        <f t="shared" si="132"/>
        <v>1</v>
      </c>
      <c r="EZ17" s="101"/>
      <c r="FA17" s="375"/>
      <c r="FB17" s="375"/>
      <c r="FC17" s="101"/>
      <c r="FD17" s="375"/>
      <c r="FE17" s="375"/>
      <c r="FF17" s="16"/>
      <c r="FG17" s="16"/>
      <c r="FH17" s="33" t="s">
        <v>374</v>
      </c>
      <c r="FL17" s="34"/>
      <c r="FM17" s="34"/>
      <c r="FN17" s="34"/>
      <c r="FZ17" t="s">
        <v>138</v>
      </c>
      <c r="GE17" s="4"/>
      <c r="GF17" s="4"/>
      <c r="GG17" s="4"/>
      <c r="GO17" s="522" t="s">
        <v>111</v>
      </c>
      <c r="GT17" s="555" t="s">
        <v>143</v>
      </c>
    </row>
    <row r="18" spans="1:202">
      <c r="A18" s="391" t="s">
        <v>1438</v>
      </c>
      <c r="B18" s="3">
        <v>43721</v>
      </c>
      <c r="C18" s="4" t="s">
        <v>23</v>
      </c>
      <c r="D18" s="4" t="s">
        <v>2514</v>
      </c>
      <c r="H18" s="4"/>
      <c r="I18" s="4"/>
      <c r="J18" s="4"/>
      <c r="L18" s="4" t="s">
        <v>97</v>
      </c>
      <c r="M18" s="4" t="s">
        <v>98</v>
      </c>
      <c r="N18" s="4" t="s">
        <v>454</v>
      </c>
      <c r="P18" s="4" t="s">
        <v>617</v>
      </c>
      <c r="Q18" s="4" t="s">
        <v>618</v>
      </c>
      <c r="R18" s="4" t="s">
        <v>619</v>
      </c>
      <c r="AA18" s="4"/>
      <c r="AB18" s="4"/>
      <c r="AC18" s="4">
        <f>(AF18-AF15)/(AD18-AD15)*1000000</f>
        <v>0.78994301994301974</v>
      </c>
      <c r="AD18" s="162">
        <v>1000000</v>
      </c>
      <c r="AE18" s="58">
        <v>1000000</v>
      </c>
      <c r="AF18" s="234">
        <v>2.19</v>
      </c>
      <c r="AG18" s="234">
        <v>2.7519999999999998</v>
      </c>
      <c r="AH18" s="361">
        <f t="shared" si="95"/>
        <v>2.447647488584475</v>
      </c>
      <c r="AI18" s="361">
        <f t="shared" si="96"/>
        <v>2.5454200913242007</v>
      </c>
      <c r="AJ18" s="361">
        <f t="shared" si="111"/>
        <v>2.5782675799086756</v>
      </c>
      <c r="AK18" s="361">
        <f t="shared" si="97"/>
        <v>2.6873315068493149</v>
      </c>
      <c r="AL18" s="361">
        <f t="shared" si="98"/>
        <v>2.7519999999999998</v>
      </c>
      <c r="AM18" s="361">
        <f t="shared" si="99"/>
        <v>2.7519999999999998</v>
      </c>
      <c r="AN18" s="361">
        <f t="shared" si="100"/>
        <v>2.7519999999999998</v>
      </c>
      <c r="AO18" s="361">
        <f t="shared" si="101"/>
        <v>2.7519999999999998</v>
      </c>
      <c r="AP18" s="361">
        <f t="shared" si="102"/>
        <v>2.7519999999999998</v>
      </c>
      <c r="AQ18" s="361">
        <f t="shared" si="103"/>
        <v>2.7519999999999998</v>
      </c>
      <c r="AR18" s="361">
        <f t="shared" si="104"/>
        <v>2.7519999999999998</v>
      </c>
      <c r="AS18" s="361">
        <f t="shared" si="105"/>
        <v>2.7519999999999998</v>
      </c>
      <c r="AT18" s="361">
        <f t="shared" si="106"/>
        <v>2.7519999999999998</v>
      </c>
      <c r="AU18" s="361">
        <f t="shared" si="107"/>
        <v>2.7519999999999998</v>
      </c>
      <c r="AV18" s="361">
        <f t="shared" si="108"/>
        <v>2.7519999999999998</v>
      </c>
      <c r="AW18" s="57"/>
      <c r="AY18" s="58">
        <v>8000000</v>
      </c>
      <c r="AZ18" s="58">
        <f t="shared" si="53"/>
        <v>8000000</v>
      </c>
      <c r="BA18" s="58"/>
      <c r="BB18" s="234">
        <f t="shared" si="114"/>
        <v>5.0199999999999996</v>
      </c>
      <c r="BC18" s="234">
        <f t="shared" si="115"/>
        <v>5.4850000000000003</v>
      </c>
      <c r="BD18" s="234">
        <f t="shared" si="34"/>
        <v>5.0664999999999996</v>
      </c>
      <c r="BE18" s="234">
        <f t="shared" si="116"/>
        <v>5.1129999999999995</v>
      </c>
      <c r="BF18" s="234">
        <f t="shared" si="117"/>
        <v>5.1482918326693223</v>
      </c>
      <c r="BG18" s="234">
        <f t="shared" si="118"/>
        <v>5.1601484063745016</v>
      </c>
      <c r="BH18" s="234">
        <f t="shared" si="119"/>
        <v>5.1995159362549801</v>
      </c>
      <c r="BI18" s="234">
        <f t="shared" si="120"/>
        <v>5.2228585657370514</v>
      </c>
      <c r="BJ18" s="234">
        <f t="shared" si="121"/>
        <v>5.2748237051792826</v>
      </c>
      <c r="BK18" s="234">
        <f t="shared" si="122"/>
        <v>5.3227131474103588</v>
      </c>
      <c r="BL18" s="234">
        <f t="shared" si="123"/>
        <v>5.3592091633466135</v>
      </c>
      <c r="BM18" s="234">
        <f t="shared" si="124"/>
        <v>5.3953346613545818</v>
      </c>
      <c r="BN18" s="234">
        <f t="shared" si="125"/>
        <v>5.4306264940239046</v>
      </c>
      <c r="BO18" s="234">
        <f t="shared" si="126"/>
        <v>5.4573964143426297</v>
      </c>
      <c r="BP18" s="234">
        <f t="shared" si="127"/>
        <v>5.4850000000000003</v>
      </c>
      <c r="BQ18" s="234">
        <f t="shared" si="128"/>
        <v>5.4850000000000003</v>
      </c>
      <c r="BR18" s="234">
        <f t="shared" si="129"/>
        <v>5.4850000000000003</v>
      </c>
      <c r="BS18" s="234">
        <f t="shared" si="130"/>
        <v>5.4850000000000003</v>
      </c>
      <c r="BT18" s="58"/>
      <c r="BU18" s="58">
        <v>50000</v>
      </c>
      <c r="BV18" s="57">
        <v>0.41499999999999998</v>
      </c>
      <c r="BW18" s="57">
        <v>0.379</v>
      </c>
      <c r="CD18" t="s">
        <v>257</v>
      </c>
      <c r="CE18" t="s">
        <v>222</v>
      </c>
      <c r="CF18" t="s">
        <v>254</v>
      </c>
      <c r="CG18" s="4" t="str">
        <f t="shared" si="31"/>
        <v>Group 8</v>
      </c>
      <c r="CH18" s="4" t="s">
        <v>251</v>
      </c>
      <c r="CI18" s="4" t="s">
        <v>222</v>
      </c>
      <c r="CJ18" s="4" t="s">
        <v>222</v>
      </c>
      <c r="CL18" s="78" t="s">
        <v>115</v>
      </c>
      <c r="CM18" s="77" t="s">
        <v>272</v>
      </c>
      <c r="CO18" s="74"/>
      <c r="CP18" s="75"/>
      <c r="CQ18" s="4"/>
      <c r="DA18" s="74"/>
      <c r="DB18" s="75"/>
      <c r="DL18" s="466" t="s">
        <v>74</v>
      </c>
      <c r="DM18" s="4" t="s">
        <v>266</v>
      </c>
      <c r="DO18" s="255"/>
      <c r="DP18" s="256"/>
      <c r="DQ18" s="256"/>
      <c r="DR18" s="256"/>
      <c r="DS18" s="254"/>
      <c r="DZ18" s="466" t="s">
        <v>75</v>
      </c>
      <c r="EA18" s="251">
        <v>0.5</v>
      </c>
      <c r="EB18" s="251">
        <v>1</v>
      </c>
      <c r="EC18" s="526">
        <f t="shared" si="50"/>
        <v>0.5</v>
      </c>
      <c r="ED18" s="526">
        <f t="shared" si="51"/>
        <v>1</v>
      </c>
      <c r="EF18" s="466" t="s">
        <v>109</v>
      </c>
      <c r="EG18" s="4" t="s">
        <v>353</v>
      </c>
      <c r="EH18" s="375">
        <v>-0.25</v>
      </c>
      <c r="EI18" s="375">
        <v>0.25</v>
      </c>
      <c r="EJ18" s="4"/>
      <c r="EK18" s="101" t="s">
        <v>334</v>
      </c>
      <c r="EL18" s="375">
        <v>0.05</v>
      </c>
      <c r="EM18" s="375">
        <f t="shared" si="134"/>
        <v>0.05</v>
      </c>
      <c r="EN18" s="101"/>
      <c r="EO18" s="375"/>
      <c r="EP18" s="375"/>
      <c r="EQ18" s="102"/>
      <c r="ER18" s="379"/>
      <c r="ES18" s="379"/>
      <c r="ET18" s="101" t="s">
        <v>334</v>
      </c>
      <c r="EU18" s="375">
        <v>0.05</v>
      </c>
      <c r="EV18" s="375">
        <f t="shared" si="133"/>
        <v>0.05</v>
      </c>
      <c r="EW18" s="101"/>
      <c r="EX18" s="375"/>
      <c r="EY18" s="375">
        <f t="shared" si="132"/>
        <v>1</v>
      </c>
      <c r="EZ18" s="101"/>
      <c r="FA18" s="375"/>
      <c r="FB18" s="375"/>
      <c r="FC18" s="101"/>
      <c r="FD18" s="375"/>
      <c r="FE18" s="375"/>
      <c r="FF18" s="16"/>
      <c r="FG18" s="16"/>
      <c r="FL18" s="34"/>
      <c r="FM18" s="34"/>
      <c r="FN18" s="34"/>
      <c r="FZ18" t="s">
        <v>125</v>
      </c>
      <c r="GE18" s="4"/>
      <c r="GF18" s="4"/>
      <c r="GG18" s="4"/>
      <c r="GO18" s="522" t="s">
        <v>121</v>
      </c>
      <c r="GT18" s="522" t="s">
        <v>80</v>
      </c>
    </row>
    <row r="19" spans="1:202">
      <c r="A19" s="391" t="s">
        <v>1433</v>
      </c>
      <c r="B19" s="3">
        <v>43700</v>
      </c>
      <c r="C19" s="4" t="s">
        <v>23</v>
      </c>
      <c r="D19" s="4" t="s">
        <v>1418</v>
      </c>
      <c r="H19" s="4"/>
      <c r="I19" s="4"/>
      <c r="J19" s="4"/>
      <c r="L19" s="4" t="s">
        <v>99</v>
      </c>
      <c r="M19" s="4" t="s">
        <v>100</v>
      </c>
      <c r="N19" s="277" t="s">
        <v>455</v>
      </c>
      <c r="P19" s="4" t="s">
        <v>620</v>
      </c>
      <c r="Q19" s="4" t="s">
        <v>621</v>
      </c>
      <c r="R19" s="4" t="s">
        <v>622</v>
      </c>
      <c r="V19"/>
      <c r="AA19" s="4"/>
      <c r="AB19" s="4"/>
      <c r="AC19" s="4"/>
      <c r="AD19" s="58">
        <v>1000000</v>
      </c>
      <c r="AE19" s="58">
        <v>2000000</v>
      </c>
      <c r="AF19" s="234">
        <v>2.4039999999999999</v>
      </c>
      <c r="AG19" s="234">
        <v>2.9249999999999998</v>
      </c>
      <c r="AH19" s="361">
        <f t="shared" si="95"/>
        <v>2.6215890183028283</v>
      </c>
      <c r="AI19" s="361">
        <f t="shared" si="96"/>
        <v>2.704160149750416</v>
      </c>
      <c r="AJ19" s="361">
        <f t="shared" si="111"/>
        <v>2.7319005823627287</v>
      </c>
      <c r="AK19" s="361">
        <f t="shared" si="97"/>
        <v>2.8240074875207983</v>
      </c>
      <c r="AL19" s="361">
        <f t="shared" si="98"/>
        <v>2.8786214642262893</v>
      </c>
      <c r="AM19" s="361">
        <f t="shared" si="99"/>
        <v>2.9249999999999998</v>
      </c>
      <c r="AN19" s="361">
        <f t="shared" si="100"/>
        <v>2.9249999999999998</v>
      </c>
      <c r="AO19" s="361">
        <f t="shared" si="101"/>
        <v>2.9249999999999998</v>
      </c>
      <c r="AP19" s="361">
        <f t="shared" si="102"/>
        <v>2.9249999999999998</v>
      </c>
      <c r="AQ19" s="361">
        <f t="shared" si="103"/>
        <v>2.9249999999999998</v>
      </c>
      <c r="AR19" s="361">
        <f t="shared" si="104"/>
        <v>2.9249999999999998</v>
      </c>
      <c r="AS19" s="361">
        <f t="shared" si="105"/>
        <v>2.9249999999999998</v>
      </c>
      <c r="AT19" s="361">
        <f t="shared" si="106"/>
        <v>2.9249999999999998</v>
      </c>
      <c r="AU19" s="361">
        <f t="shared" si="107"/>
        <v>2.9249999999999998</v>
      </c>
      <c r="AV19" s="361">
        <f t="shared" si="108"/>
        <v>2.9249999999999998</v>
      </c>
      <c r="AW19" s="57"/>
      <c r="AY19" s="58">
        <v>9000000</v>
      </c>
      <c r="AZ19" s="58">
        <f t="shared" si="53"/>
        <v>9000000</v>
      </c>
      <c r="BA19" s="58"/>
      <c r="BB19" s="234">
        <f t="shared" si="114"/>
        <v>5.274</v>
      </c>
      <c r="BC19" s="234">
        <f t="shared" si="115"/>
        <v>5.6390000000000002</v>
      </c>
      <c r="BD19" s="234">
        <f t="shared" si="34"/>
        <v>5.3087421312097085</v>
      </c>
      <c r="BE19" s="234">
        <f t="shared" si="116"/>
        <v>5.3434842624194161</v>
      </c>
      <c r="BF19" s="234">
        <f t="shared" si="117"/>
        <v>5.3698522942737963</v>
      </c>
      <c r="BG19" s="234">
        <f t="shared" si="118"/>
        <v>5.3787108456579444</v>
      </c>
      <c r="BH19" s="234">
        <f t="shared" si="119"/>
        <v>5.4081240045506256</v>
      </c>
      <c r="BI19" s="234">
        <f t="shared" si="120"/>
        <v>5.4255642775881689</v>
      </c>
      <c r="BJ19" s="234">
        <f t="shared" si="121"/>
        <v>5.4643896473265077</v>
      </c>
      <c r="BK19" s="234">
        <f t="shared" si="122"/>
        <v>5.5001698900265454</v>
      </c>
      <c r="BL19" s="234">
        <f t="shared" si="123"/>
        <v>5.5274376185058784</v>
      </c>
      <c r="BM19" s="234">
        <f t="shared" si="124"/>
        <v>5.5544285172544559</v>
      </c>
      <c r="BN19" s="234">
        <f t="shared" si="125"/>
        <v>5.580796549108836</v>
      </c>
      <c r="BO19" s="234">
        <f t="shared" si="126"/>
        <v>5.6007974971558596</v>
      </c>
      <c r="BP19" s="234">
        <f t="shared" si="127"/>
        <v>5.6214213120970804</v>
      </c>
      <c r="BQ19" s="234">
        <f t="shared" si="128"/>
        <v>5.6390000000000002</v>
      </c>
      <c r="BR19" s="234">
        <f t="shared" si="129"/>
        <v>5.6390000000000002</v>
      </c>
      <c r="BS19" s="234">
        <f t="shared" si="130"/>
        <v>5.6390000000000002</v>
      </c>
      <c r="BT19" s="58"/>
      <c r="BU19" s="58">
        <v>100000</v>
      </c>
      <c r="BV19" s="57">
        <v>0.56599999999999995</v>
      </c>
      <c r="BW19" s="57">
        <v>0.53200000000000003</v>
      </c>
      <c r="BX19" s="377"/>
      <c r="BY19" s="377"/>
      <c r="CD19" t="s">
        <v>258</v>
      </c>
      <c r="CE19" t="s">
        <v>222</v>
      </c>
      <c r="CF19" t="s">
        <v>254</v>
      </c>
      <c r="CG19" s="4" t="str">
        <f t="shared" si="31"/>
        <v>Group 8</v>
      </c>
      <c r="CH19" s="4" t="s">
        <v>251</v>
      </c>
      <c r="CI19" s="4" t="s">
        <v>222</v>
      </c>
      <c r="CJ19" s="4" t="s">
        <v>222</v>
      </c>
      <c r="CL19" s="77" t="s">
        <v>68</v>
      </c>
      <c r="CM19" s="77" t="s">
        <v>266</v>
      </c>
      <c r="CO19" s="74"/>
      <c r="CP19" s="75"/>
      <c r="CQ19" s="4"/>
      <c r="DA19" s="74"/>
      <c r="DB19" s="75"/>
      <c r="DL19" s="466" t="s">
        <v>75</v>
      </c>
      <c r="DM19" s="4" t="s">
        <v>266</v>
      </c>
      <c r="DO19" s="254"/>
      <c r="DP19" s="254"/>
      <c r="DQ19" s="254"/>
      <c r="DR19" s="254"/>
      <c r="DS19" s="254"/>
      <c r="DV19" s="4"/>
      <c r="DW19" s="4"/>
      <c r="DZ19" s="466" t="s">
        <v>76</v>
      </c>
      <c r="EA19" s="251">
        <v>0.5</v>
      </c>
      <c r="EB19" s="251">
        <v>0.5</v>
      </c>
      <c r="EC19" s="526">
        <f t="shared" si="50"/>
        <v>0.5</v>
      </c>
      <c r="ED19" s="526">
        <f t="shared" si="51"/>
        <v>0.5</v>
      </c>
      <c r="EF19" s="466" t="s">
        <v>115</v>
      </c>
      <c r="EG19" s="4" t="s">
        <v>353</v>
      </c>
      <c r="EH19" s="375">
        <v>-0.4</v>
      </c>
      <c r="EI19" s="375">
        <v>0.4</v>
      </c>
      <c r="EJ19" s="4"/>
      <c r="EK19" s="101" t="s">
        <v>335</v>
      </c>
      <c r="EL19" s="375">
        <v>0.1</v>
      </c>
      <c r="EM19" s="375">
        <f t="shared" si="134"/>
        <v>0.1</v>
      </c>
      <c r="EN19" s="101"/>
      <c r="EO19" s="375"/>
      <c r="EP19" s="375"/>
      <c r="EQ19" s="102"/>
      <c r="ER19" s="379"/>
      <c r="ES19" s="379"/>
      <c r="ET19" s="101" t="s">
        <v>335</v>
      </c>
      <c r="EU19" s="375">
        <v>0.1</v>
      </c>
      <c r="EV19" s="375">
        <f t="shared" si="133"/>
        <v>0.1</v>
      </c>
      <c r="EW19" s="101"/>
      <c r="EX19" s="375"/>
      <c r="EY19" s="375">
        <f t="shared" si="132"/>
        <v>1</v>
      </c>
      <c r="EZ19" s="101"/>
      <c r="FA19" s="375"/>
      <c r="FB19" s="375"/>
      <c r="FC19" s="101"/>
      <c r="FD19" s="375"/>
      <c r="FE19" s="375"/>
      <c r="FF19" s="16"/>
      <c r="FG19" s="16"/>
      <c r="FH19" s="105" t="s">
        <v>365</v>
      </c>
      <c r="FI19" s="625" t="s">
        <v>366</v>
      </c>
      <c r="FJ19" s="625"/>
      <c r="FK19" s="625"/>
      <c r="FL19" s="625"/>
      <c r="FM19" s="625"/>
      <c r="FN19" s="625"/>
      <c r="FP19" s="105" t="s">
        <v>369</v>
      </c>
      <c r="FQ19" s="34"/>
      <c r="FR19" s="34"/>
      <c r="FS19" s="34"/>
      <c r="FW19" s="34"/>
      <c r="FX19" s="34"/>
      <c r="FZ19" t="s">
        <v>121</v>
      </c>
      <c r="GE19" s="4"/>
      <c r="GF19" s="4"/>
      <c r="GG19" s="4"/>
      <c r="GO19" s="521" t="s">
        <v>140</v>
      </c>
      <c r="GT19" s="522" t="s">
        <v>111</v>
      </c>
    </row>
    <row r="20" spans="1:202">
      <c r="A20" s="4">
        <v>1.0900000000000001</v>
      </c>
      <c r="B20" s="3">
        <v>43700</v>
      </c>
      <c r="C20" s="4" t="s">
        <v>23</v>
      </c>
      <c r="D20" s="4" t="s">
        <v>1418</v>
      </c>
      <c r="H20" s="4"/>
      <c r="I20" s="4"/>
      <c r="J20" s="4"/>
      <c r="L20" s="4" t="s">
        <v>101</v>
      </c>
      <c r="M20" s="4" t="s">
        <v>65</v>
      </c>
      <c r="N20" s="277" t="s">
        <v>455</v>
      </c>
      <c r="P20" s="4" t="s">
        <v>623</v>
      </c>
      <c r="Q20" s="4" t="s">
        <v>624</v>
      </c>
      <c r="R20" s="4" t="s">
        <v>625</v>
      </c>
      <c r="AA20" s="4"/>
      <c r="AB20" s="4"/>
      <c r="AC20" s="4">
        <f>(AF20-AF18)/(AD20-AD18)*1000000</f>
        <v>0.56099999999999994</v>
      </c>
      <c r="AD20" s="162">
        <v>2000000</v>
      </c>
      <c r="AE20" s="58">
        <v>2000000</v>
      </c>
      <c r="AF20" s="234">
        <v>2.7509999999999999</v>
      </c>
      <c r="AG20" s="234">
        <v>3.4420000000000002</v>
      </c>
      <c r="AH20" s="361">
        <f t="shared" si="95"/>
        <v>3.0031861141403127</v>
      </c>
      <c r="AI20" s="361">
        <f t="shared" si="96"/>
        <v>3.0988862231915668</v>
      </c>
      <c r="AJ20" s="361">
        <f t="shared" si="111"/>
        <v>3.1310374409305708</v>
      </c>
      <c r="AK20" s="361">
        <f t="shared" si="97"/>
        <v>3.2377895310796077</v>
      </c>
      <c r="AL20" s="361">
        <f t="shared" si="98"/>
        <v>3.3010872410032714</v>
      </c>
      <c r="AM20" s="361">
        <f t="shared" si="99"/>
        <v>3.4420000000000002</v>
      </c>
      <c r="AN20" s="361">
        <f t="shared" si="100"/>
        <v>3.4420000000000002</v>
      </c>
      <c r="AO20" s="361">
        <f t="shared" si="101"/>
        <v>3.4420000000000002</v>
      </c>
      <c r="AP20" s="361">
        <f t="shared" si="102"/>
        <v>3.4420000000000002</v>
      </c>
      <c r="AQ20" s="361">
        <f t="shared" si="103"/>
        <v>3.4420000000000002</v>
      </c>
      <c r="AR20" s="361">
        <f t="shared" si="104"/>
        <v>3.4420000000000002</v>
      </c>
      <c r="AS20" s="361">
        <f t="shared" si="105"/>
        <v>3.4420000000000002</v>
      </c>
      <c r="AT20" s="361">
        <f t="shared" si="106"/>
        <v>3.4420000000000002</v>
      </c>
      <c r="AU20" s="361">
        <f t="shared" si="107"/>
        <v>3.4420000000000002</v>
      </c>
      <c r="AV20" s="361">
        <f t="shared" si="108"/>
        <v>3.4420000000000002</v>
      </c>
      <c r="AW20" s="57"/>
      <c r="AY20" s="58">
        <v>10000000</v>
      </c>
      <c r="AZ20" s="58">
        <f t="shared" si="53"/>
        <v>10000000</v>
      </c>
      <c r="BA20" s="58"/>
      <c r="BB20" s="234">
        <f t="shared" si="114"/>
        <v>5.4969999999999999</v>
      </c>
      <c r="BC20" s="234">
        <f t="shared" si="115"/>
        <v>5.7690000000000001</v>
      </c>
      <c r="BD20" s="234">
        <f t="shared" si="34"/>
        <v>5.5218397307622338</v>
      </c>
      <c r="BE20" s="234">
        <f t="shared" si="116"/>
        <v>5.5466794615244677</v>
      </c>
      <c r="BF20" s="234">
        <f t="shared" si="117"/>
        <v>5.5655319265053667</v>
      </c>
      <c r="BG20" s="234">
        <f t="shared" si="118"/>
        <v>5.5718655630343825</v>
      </c>
      <c r="BH20" s="234">
        <f t="shared" si="119"/>
        <v>5.5928952155721303</v>
      </c>
      <c r="BI20" s="234">
        <f t="shared" si="120"/>
        <v>5.6053645624886306</v>
      </c>
      <c r="BJ20" s="234">
        <f t="shared" si="121"/>
        <v>5.6331237038384572</v>
      </c>
      <c r="BK20" s="234">
        <f t="shared" si="122"/>
        <v>5.658705657631435</v>
      </c>
      <c r="BL20" s="234">
        <f t="shared" si="123"/>
        <v>5.6782013825723121</v>
      </c>
      <c r="BM20" s="234">
        <f t="shared" si="124"/>
        <v>5.6974991813716569</v>
      </c>
      <c r="BN20" s="234">
        <f t="shared" si="125"/>
        <v>5.7163516463525559</v>
      </c>
      <c r="BO20" s="234">
        <f t="shared" si="126"/>
        <v>5.7306518100782249</v>
      </c>
      <c r="BP20" s="234">
        <f t="shared" si="127"/>
        <v>5.7453973076223397</v>
      </c>
      <c r="BQ20" s="234">
        <f t="shared" si="128"/>
        <v>5.7579656176096057</v>
      </c>
      <c r="BR20" s="234">
        <f t="shared" si="129"/>
        <v>5.7690000000000001</v>
      </c>
      <c r="BS20" s="234">
        <f t="shared" si="130"/>
        <v>5.7690000000000001</v>
      </c>
      <c r="BT20" s="58"/>
      <c r="BU20" s="58">
        <v>150000</v>
      </c>
      <c r="BV20" s="57">
        <v>0.63</v>
      </c>
      <c r="BW20" s="57">
        <v>0.6</v>
      </c>
      <c r="BX20" s="377"/>
      <c r="BY20" s="377"/>
      <c r="CD20" t="s">
        <v>212</v>
      </c>
      <c r="CE20" t="s">
        <v>211</v>
      </c>
      <c r="CF20" t="s">
        <v>211</v>
      </c>
      <c r="CG20" s="4" t="str">
        <f t="shared" si="31"/>
        <v>Group 1</v>
      </c>
      <c r="CH20" s="4" t="str">
        <f>CE20</f>
        <v>Group 1</v>
      </c>
      <c r="CI20" s="4" t="s">
        <v>211</v>
      </c>
      <c r="CJ20" s="4" t="s">
        <v>211</v>
      </c>
      <c r="CL20" s="77" t="s">
        <v>69</v>
      </c>
      <c r="CM20" s="77" t="s">
        <v>266</v>
      </c>
      <c r="CO20" s="74"/>
      <c r="CP20" s="75"/>
      <c r="CQ20" s="4"/>
      <c r="DA20" s="74"/>
      <c r="DB20" s="75"/>
      <c r="DL20" s="466" t="s">
        <v>76</v>
      </c>
      <c r="DM20" s="4" t="s">
        <v>266</v>
      </c>
      <c r="DO20" s="254"/>
      <c r="DP20" s="254"/>
      <c r="DQ20" s="254"/>
      <c r="DR20" s="254"/>
      <c r="DS20" s="254"/>
      <c r="DU20" s="4"/>
      <c r="DV20" s="4"/>
      <c r="DW20" s="4"/>
      <c r="DZ20" s="466" t="s">
        <v>84</v>
      </c>
      <c r="EA20" s="251">
        <v>0.5</v>
      </c>
      <c r="EB20" s="251">
        <v>1</v>
      </c>
      <c r="EC20" s="526">
        <f t="shared" si="50"/>
        <v>0.5</v>
      </c>
      <c r="ED20" s="526">
        <f t="shared" si="51"/>
        <v>1</v>
      </c>
      <c r="EF20" s="466" t="s">
        <v>68</v>
      </c>
      <c r="EG20" s="4" t="s">
        <v>353</v>
      </c>
      <c r="EH20" s="375">
        <v>-0.4</v>
      </c>
      <c r="EI20" s="375">
        <v>0.4</v>
      </c>
      <c r="EJ20" s="4"/>
      <c r="EK20" s="120" t="s">
        <v>359</v>
      </c>
      <c r="EL20" s="375"/>
      <c r="EM20" s="375"/>
      <c r="EN20" s="101"/>
      <c r="EO20" s="375"/>
      <c r="EP20" s="375"/>
      <c r="EQ20" s="102"/>
      <c r="ER20" s="379"/>
      <c r="ES20" s="379"/>
      <c r="ET20" s="101"/>
      <c r="EU20" s="375"/>
      <c r="EV20" s="375"/>
      <c r="EW20" s="101"/>
      <c r="EX20" s="375"/>
      <c r="EY20" s="375">
        <f t="shared" si="132"/>
        <v>1</v>
      </c>
      <c r="EZ20" s="101"/>
      <c r="FA20" s="375"/>
      <c r="FB20" s="375"/>
      <c r="FC20" s="101"/>
      <c r="FD20" s="375"/>
      <c r="FE20" s="375"/>
      <c r="FF20" s="16"/>
      <c r="FG20" s="16"/>
      <c r="FH20" s="89" t="s">
        <v>367</v>
      </c>
      <c r="FI20" s="149">
        <v>1</v>
      </c>
      <c r="FJ20" s="150">
        <v>2</v>
      </c>
      <c r="FK20" s="150">
        <v>6</v>
      </c>
      <c r="FL20" s="150">
        <v>11</v>
      </c>
      <c r="FM20" s="150">
        <v>21</v>
      </c>
      <c r="FN20" s="127">
        <v>41</v>
      </c>
      <c r="FP20" s="627" t="s">
        <v>370</v>
      </c>
      <c r="FQ20" s="627"/>
      <c r="FR20" s="627" t="s">
        <v>371</v>
      </c>
      <c r="FS20" s="627"/>
      <c r="FU20" s="105" t="s">
        <v>372</v>
      </c>
      <c r="FV20" s="34"/>
      <c r="FW20" s="34"/>
      <c r="FX20" s="34"/>
      <c r="FZ20" t="s">
        <v>150</v>
      </c>
      <c r="GE20" s="4"/>
      <c r="GF20" s="4"/>
      <c r="GG20" s="4"/>
      <c r="GO20" s="521" t="s">
        <v>166</v>
      </c>
      <c r="GT20" s="522" t="s">
        <v>121</v>
      </c>
    </row>
    <row r="21" spans="1:202">
      <c r="A21" s="4">
        <v>1.08</v>
      </c>
      <c r="B21" s="3">
        <v>43697</v>
      </c>
      <c r="C21" s="4" t="s">
        <v>23</v>
      </c>
      <c r="D21" s="4" t="s">
        <v>1411</v>
      </c>
      <c r="H21" s="4"/>
      <c r="I21" s="4"/>
      <c r="J21" s="4"/>
      <c r="L21" s="4" t="s">
        <v>102</v>
      </c>
      <c r="M21" s="4" t="s">
        <v>103</v>
      </c>
      <c r="N21" s="277" t="s">
        <v>455</v>
      </c>
      <c r="P21" s="4" t="s">
        <v>626</v>
      </c>
      <c r="Q21" s="4" t="s">
        <v>627</v>
      </c>
      <c r="R21" s="4" t="s">
        <v>628</v>
      </c>
      <c r="V21"/>
      <c r="AA21" s="4"/>
      <c r="AB21" s="4"/>
      <c r="AC21" s="4"/>
      <c r="AD21" s="58">
        <v>2000000</v>
      </c>
      <c r="AE21" s="58">
        <v>4000000</v>
      </c>
      <c r="AF21" s="234">
        <v>2.94</v>
      </c>
      <c r="AG21" s="234">
        <v>3.6720000000000002</v>
      </c>
      <c r="AH21" s="361">
        <f t="shared" si="95"/>
        <v>3.1899755102040817</v>
      </c>
      <c r="AI21" s="361">
        <f t="shared" si="96"/>
        <v>3.2848367346938776</v>
      </c>
      <c r="AJ21" s="361">
        <f t="shared" si="111"/>
        <v>3.3167061224489798</v>
      </c>
      <c r="AK21" s="361">
        <f t="shared" si="97"/>
        <v>3.422522448979592</v>
      </c>
      <c r="AL21" s="361">
        <f t="shared" si="98"/>
        <v>3.4852653061224492</v>
      </c>
      <c r="AM21" s="361">
        <f t="shared" si="99"/>
        <v>3.624942857142857</v>
      </c>
      <c r="AN21" s="361">
        <f t="shared" si="100"/>
        <v>3.6720000000000002</v>
      </c>
      <c r="AO21" s="361">
        <f t="shared" si="101"/>
        <v>3.6720000000000002</v>
      </c>
      <c r="AP21" s="361">
        <f t="shared" si="102"/>
        <v>3.6720000000000002</v>
      </c>
      <c r="AQ21" s="361">
        <f t="shared" si="103"/>
        <v>3.6720000000000002</v>
      </c>
      <c r="AR21" s="361">
        <f t="shared" si="104"/>
        <v>3.6720000000000002</v>
      </c>
      <c r="AS21" s="361">
        <f t="shared" si="105"/>
        <v>3.6720000000000002</v>
      </c>
      <c r="AT21" s="361">
        <f t="shared" si="106"/>
        <v>3.6720000000000002</v>
      </c>
      <c r="AU21" s="361">
        <f t="shared" si="107"/>
        <v>3.6720000000000002</v>
      </c>
      <c r="AV21" s="361">
        <f t="shared" si="108"/>
        <v>3.6720000000000002</v>
      </c>
      <c r="AW21" s="57"/>
      <c r="AY21" s="58">
        <v>15000000</v>
      </c>
      <c r="AZ21" s="58">
        <f t="shared" si="53"/>
        <v>15000000</v>
      </c>
      <c r="BA21" s="58"/>
      <c r="BB21" s="234">
        <f t="shared" si="114"/>
        <v>6.2</v>
      </c>
      <c r="BC21" s="234">
        <f t="shared" si="115"/>
        <v>6.2619999999999996</v>
      </c>
      <c r="BD21" s="234">
        <f t="shared" si="34"/>
        <v>6.2050200000000002</v>
      </c>
      <c r="BE21" s="234">
        <f t="shared" si="116"/>
        <v>6.2100400000000002</v>
      </c>
      <c r="BF21" s="234">
        <f t="shared" si="117"/>
        <v>6.2138499999999999</v>
      </c>
      <c r="BG21" s="234">
        <f t="shared" si="118"/>
        <v>6.2151300000000003</v>
      </c>
      <c r="BH21" s="234">
        <f t="shared" si="119"/>
        <v>6.2193800000000001</v>
      </c>
      <c r="BI21" s="234">
        <f t="shared" si="120"/>
        <v>6.2218999999999998</v>
      </c>
      <c r="BJ21" s="234">
        <f t="shared" si="121"/>
        <v>6.2275099999999997</v>
      </c>
      <c r="BK21" s="234">
        <f t="shared" si="122"/>
        <v>6.2326800000000002</v>
      </c>
      <c r="BL21" s="234">
        <f t="shared" si="123"/>
        <v>6.2366199999999994</v>
      </c>
      <c r="BM21" s="234">
        <f t="shared" si="124"/>
        <v>6.2405200000000001</v>
      </c>
      <c r="BN21" s="234">
        <f t="shared" si="125"/>
        <v>6.2443299999999997</v>
      </c>
      <c r="BO21" s="234">
        <f t="shared" si="126"/>
        <v>6.2472199999999996</v>
      </c>
      <c r="BP21" s="234">
        <f t="shared" si="127"/>
        <v>6.2501999999999995</v>
      </c>
      <c r="BQ21" s="234">
        <f t="shared" si="128"/>
        <v>6.2527399999999993</v>
      </c>
      <c r="BR21" s="234">
        <f t="shared" si="129"/>
        <v>6.2549699999999993</v>
      </c>
      <c r="BS21" s="234">
        <f t="shared" si="130"/>
        <v>6.2619999999999996</v>
      </c>
      <c r="BU21" s="58">
        <v>250000</v>
      </c>
      <c r="BV21" s="57">
        <v>0.67900000000000005</v>
      </c>
      <c r="BW21" s="57">
        <v>0.65</v>
      </c>
      <c r="BX21" s="377"/>
      <c r="BY21" s="377"/>
      <c r="CD21" t="s">
        <v>213</v>
      </c>
      <c r="CE21" t="s">
        <v>211</v>
      </c>
      <c r="CF21" t="s">
        <v>211</v>
      </c>
      <c r="CG21" s="4" t="str">
        <f t="shared" si="31"/>
        <v>Group 1</v>
      </c>
      <c r="CH21" s="4" t="str">
        <f>CE21</f>
        <v>Group 1</v>
      </c>
      <c r="CI21" s="4" t="s">
        <v>211</v>
      </c>
      <c r="CJ21" s="4" t="s">
        <v>211</v>
      </c>
      <c r="CL21" s="78" t="s">
        <v>123</v>
      </c>
      <c r="CM21" s="78" t="s">
        <v>430</v>
      </c>
      <c r="CO21" s="74"/>
      <c r="CP21" s="75"/>
      <c r="CQ21" s="4"/>
      <c r="DA21" s="74"/>
      <c r="DB21" s="75"/>
      <c r="DL21" s="466" t="s">
        <v>84</v>
      </c>
      <c r="DM21" s="4" t="s">
        <v>266</v>
      </c>
      <c r="DO21" s="254"/>
      <c r="DP21" s="254"/>
      <c r="DQ21" s="254"/>
      <c r="DR21" s="254"/>
      <c r="DS21" s="254"/>
      <c r="DU21" s="4"/>
      <c r="DV21" s="4"/>
      <c r="DW21" s="4"/>
      <c r="DZ21" s="466" t="s">
        <v>105</v>
      </c>
      <c r="EA21" s="251">
        <v>0.5</v>
      </c>
      <c r="EB21" s="251">
        <v>1</v>
      </c>
      <c r="EC21" s="526">
        <f t="shared" si="50"/>
        <v>0.5</v>
      </c>
      <c r="ED21" s="526">
        <f t="shared" si="51"/>
        <v>1</v>
      </c>
      <c r="EF21" s="466" t="s">
        <v>69</v>
      </c>
      <c r="EG21" s="4" t="s">
        <v>353</v>
      </c>
      <c r="EH21" s="375">
        <v>-0.4</v>
      </c>
      <c r="EI21" s="375">
        <v>0.4</v>
      </c>
      <c r="EJ21" s="4"/>
      <c r="EK21" s="117" t="s">
        <v>336</v>
      </c>
      <c r="EL21" s="376">
        <v>-0.1</v>
      </c>
      <c r="EM21" s="376">
        <v>0.1</v>
      </c>
      <c r="EN21" s="118" t="s">
        <v>355</v>
      </c>
      <c r="EO21" s="376">
        <v>-0.1</v>
      </c>
      <c r="EP21" s="376">
        <v>0.1</v>
      </c>
      <c r="EQ21" s="100" t="s">
        <v>345</v>
      </c>
      <c r="ER21" s="376">
        <v>-0.1</v>
      </c>
      <c r="ES21" s="376">
        <v>0.1</v>
      </c>
      <c r="ET21" s="118" t="s">
        <v>355</v>
      </c>
      <c r="EU21" s="376">
        <v>-0.1</v>
      </c>
      <c r="EV21" s="376">
        <v>0.1</v>
      </c>
      <c r="EW21" s="118" t="s">
        <v>355</v>
      </c>
      <c r="EX21" s="376"/>
      <c r="EY21" s="376">
        <v>1</v>
      </c>
      <c r="EZ21" s="118" t="s">
        <v>355</v>
      </c>
      <c r="FA21" s="376">
        <v>-0.1</v>
      </c>
      <c r="FB21" s="376">
        <v>0.1</v>
      </c>
      <c r="FC21" s="118"/>
      <c r="FD21" s="376"/>
      <c r="FE21" s="376"/>
      <c r="FF21" s="16"/>
      <c r="FG21" s="16"/>
      <c r="FH21" s="127">
        <v>0</v>
      </c>
      <c r="FI21" s="128">
        <v>-0.35</v>
      </c>
      <c r="FJ21" s="129">
        <v>-0.5</v>
      </c>
      <c r="FK21" s="129">
        <v>-0.65</v>
      </c>
      <c r="FL21" s="129">
        <v>-0.75</v>
      </c>
      <c r="FM21" s="129">
        <v>-0.85</v>
      </c>
      <c r="FN21" s="130">
        <v>-1.25</v>
      </c>
      <c r="FP21" s="127">
        <v>1</v>
      </c>
      <c r="FQ21" s="43">
        <v>1</v>
      </c>
      <c r="FR21" s="127">
        <v>1</v>
      </c>
      <c r="FS21" s="43">
        <v>0.5</v>
      </c>
      <c r="FU21" s="34" t="s">
        <v>373</v>
      </c>
      <c r="FV21" s="139"/>
      <c r="FW21" s="627" t="s">
        <v>371</v>
      </c>
      <c r="FX21" s="627"/>
      <c r="GE21" s="4"/>
      <c r="GF21" s="4"/>
      <c r="GG21" s="4"/>
      <c r="GT21" s="521" t="s">
        <v>140</v>
      </c>
    </row>
    <row r="22" spans="1:202">
      <c r="A22" s="4">
        <v>1.07</v>
      </c>
      <c r="B22" s="3">
        <v>43697</v>
      </c>
      <c r="C22" s="4" t="s">
        <v>23</v>
      </c>
      <c r="D22" s="4" t="s">
        <v>1407</v>
      </c>
      <c r="H22" s="4"/>
      <c r="I22" s="4"/>
      <c r="J22" s="4"/>
      <c r="L22" s="4" t="s">
        <v>104</v>
      </c>
      <c r="M22" s="4" t="s">
        <v>105</v>
      </c>
      <c r="N22" s="277" t="s">
        <v>455</v>
      </c>
      <c r="P22" s="4" t="s">
        <v>629</v>
      </c>
      <c r="Q22" s="4" t="s">
        <v>630</v>
      </c>
      <c r="R22" s="4" t="s">
        <v>631</v>
      </c>
      <c r="V22"/>
      <c r="AA22" s="4"/>
      <c r="AB22" s="4"/>
      <c r="AC22" s="4">
        <f>(AF22-AF20)/(AD22-AD20)*1000000</f>
        <v>0.5169999999999999</v>
      </c>
      <c r="AD22" s="58">
        <v>3000000</v>
      </c>
      <c r="AE22" s="58">
        <v>3000000</v>
      </c>
      <c r="AF22" s="234">
        <v>3.2679999999999998</v>
      </c>
      <c r="AG22" s="234">
        <v>3.96</v>
      </c>
      <c r="AH22" s="361">
        <f t="shared" si="95"/>
        <v>3.4805973072215419</v>
      </c>
      <c r="AI22" s="361">
        <f t="shared" si="96"/>
        <v>3.5612741738066096</v>
      </c>
      <c r="AJ22" s="361">
        <f t="shared" si="111"/>
        <v>3.588378212974296</v>
      </c>
      <c r="AK22" s="361">
        <f t="shared" si="97"/>
        <v>3.6783720930232557</v>
      </c>
      <c r="AL22" s="361">
        <f t="shared" si="98"/>
        <v>3.731733170134639</v>
      </c>
      <c r="AM22" s="361">
        <f t="shared" si="99"/>
        <v>3.8505250917992653</v>
      </c>
      <c r="AN22" s="361">
        <f t="shared" si="100"/>
        <v>3.96</v>
      </c>
      <c r="AO22" s="361">
        <f t="shared" si="101"/>
        <v>3.96</v>
      </c>
      <c r="AP22" s="361">
        <f t="shared" si="102"/>
        <v>3.96</v>
      </c>
      <c r="AQ22" s="361">
        <f t="shared" si="103"/>
        <v>3.96</v>
      </c>
      <c r="AR22" s="361">
        <f t="shared" si="104"/>
        <v>3.96</v>
      </c>
      <c r="AS22" s="361">
        <f t="shared" si="105"/>
        <v>3.96</v>
      </c>
      <c r="AT22" s="361">
        <f t="shared" si="106"/>
        <v>3.96</v>
      </c>
      <c r="AU22" s="361">
        <f t="shared" si="107"/>
        <v>3.96</v>
      </c>
      <c r="AV22" s="361">
        <f t="shared" si="108"/>
        <v>3.96</v>
      </c>
      <c r="AW22" s="57"/>
      <c r="BU22" s="58">
        <v>500000</v>
      </c>
      <c r="BV22" s="57">
        <v>0.72799999999999998</v>
      </c>
      <c r="BW22" s="57">
        <v>0.7</v>
      </c>
      <c r="BX22" s="377"/>
      <c r="BY22" s="377"/>
      <c r="CD22" t="s">
        <v>214</v>
      </c>
      <c r="CE22" t="s">
        <v>211</v>
      </c>
      <c r="CF22" t="s">
        <v>211</v>
      </c>
      <c r="CG22" s="4" t="str">
        <f t="shared" si="31"/>
        <v>Group 1</v>
      </c>
      <c r="CH22" s="4" t="str">
        <f>CE22</f>
        <v>Group 1</v>
      </c>
      <c r="CI22" s="4" t="s">
        <v>211</v>
      </c>
      <c r="CJ22" s="4" t="s">
        <v>211</v>
      </c>
      <c r="CL22" s="78" t="s">
        <v>133</v>
      </c>
      <c r="CM22" s="77" t="s">
        <v>267</v>
      </c>
      <c r="CO22" s="4"/>
      <c r="CP22" s="4"/>
      <c r="CQ22" s="4"/>
      <c r="DL22" s="466" t="s">
        <v>105</v>
      </c>
      <c r="DM22" s="4" t="s">
        <v>266</v>
      </c>
      <c r="DO22" s="254"/>
      <c r="DP22" s="254"/>
      <c r="DQ22" s="254"/>
      <c r="DR22" s="254"/>
      <c r="DS22" s="254"/>
      <c r="DU22" s="4"/>
      <c r="DV22" s="4"/>
      <c r="DW22" s="4"/>
      <c r="DZ22" s="466" t="s">
        <v>100</v>
      </c>
      <c r="EA22" s="251">
        <v>0.5</v>
      </c>
      <c r="EB22" s="251">
        <v>1</v>
      </c>
      <c r="EC22" s="526">
        <f t="shared" si="50"/>
        <v>0.5</v>
      </c>
      <c r="ED22" s="526">
        <f t="shared" si="51"/>
        <v>1</v>
      </c>
      <c r="EF22" s="466" t="s">
        <v>123</v>
      </c>
      <c r="EG22" s="4" t="s">
        <v>353</v>
      </c>
      <c r="EH22" s="375">
        <v>-0.25</v>
      </c>
      <c r="EI22" s="375">
        <v>0.25</v>
      </c>
      <c r="EJ22" s="4"/>
      <c r="EK22" s="112" t="s">
        <v>337</v>
      </c>
      <c r="EL22" s="375">
        <v>-0.1</v>
      </c>
      <c r="EM22" s="375">
        <f>EL22</f>
        <v>-0.1</v>
      </c>
      <c r="EN22" s="112"/>
      <c r="EO22" s="375"/>
      <c r="EP22" s="375"/>
      <c r="EQ22" s="32"/>
      <c r="ER22" s="375"/>
      <c r="ES22" s="375"/>
      <c r="ET22" s="112"/>
      <c r="EU22" s="375"/>
      <c r="EV22" s="375"/>
      <c r="EW22" s="112"/>
      <c r="EX22" s="375"/>
      <c r="EY22" s="375">
        <f t="shared" ref="EY22:EY26" si="135">EY21</f>
        <v>1</v>
      </c>
      <c r="EZ22" s="112"/>
      <c r="FA22" s="375"/>
      <c r="FB22" s="375"/>
      <c r="FC22" s="112"/>
      <c r="FD22" s="375"/>
      <c r="FE22" s="375"/>
      <c r="FF22" s="16"/>
      <c r="FG22" s="16"/>
      <c r="FH22" s="127">
        <v>1</v>
      </c>
      <c r="FI22" s="131">
        <v>1</v>
      </c>
      <c r="FJ22" s="132">
        <v>0.5</v>
      </c>
      <c r="FK22" s="132">
        <v>0</v>
      </c>
      <c r="FL22" s="132">
        <v>-0.5</v>
      </c>
      <c r="FM22" s="132">
        <v>-0.75</v>
      </c>
      <c r="FN22" s="133">
        <v>-1</v>
      </c>
      <c r="FP22" s="127">
        <v>2</v>
      </c>
      <c r="FQ22" s="43">
        <v>0.95</v>
      </c>
      <c r="FR22" s="127">
        <v>2</v>
      </c>
      <c r="FS22" s="43">
        <v>0.75</v>
      </c>
      <c r="FU22" s="627" t="s">
        <v>370</v>
      </c>
      <c r="FV22" s="627"/>
      <c r="FW22" s="154">
        <v>0</v>
      </c>
      <c r="FX22" s="140">
        <v>15</v>
      </c>
      <c r="GE22" s="4"/>
      <c r="GF22" s="4"/>
      <c r="GG22" s="4"/>
      <c r="GL22" s="33" t="s">
        <v>2916</v>
      </c>
      <c r="GT22" s="521" t="s">
        <v>166</v>
      </c>
    </row>
    <row r="23" spans="1:202">
      <c r="A23" s="4">
        <v>1.06</v>
      </c>
      <c r="B23" s="3">
        <v>43690</v>
      </c>
      <c r="C23" s="4" t="s">
        <v>23</v>
      </c>
      <c r="D23" s="4" t="s">
        <v>1400</v>
      </c>
      <c r="H23" s="4"/>
      <c r="I23" s="4"/>
      <c r="J23" s="4"/>
      <c r="L23" s="4" t="s">
        <v>106</v>
      </c>
      <c r="M23" s="4" t="s">
        <v>107</v>
      </c>
      <c r="N23" s="277" t="s">
        <v>455</v>
      </c>
      <c r="P23" s="4" t="s">
        <v>632</v>
      </c>
      <c r="Q23" s="4" t="s">
        <v>633</v>
      </c>
      <c r="R23" s="4" t="s">
        <v>634</v>
      </c>
      <c r="AA23" s="4"/>
      <c r="AB23" s="4"/>
      <c r="AC23" s="4">
        <f t="shared" ref="AC23:AC29" si="136">(AF23-AF22)/(AD23-AD22)*1000000</f>
        <v>0.39400000000000013</v>
      </c>
      <c r="AD23" s="58">
        <v>4000000</v>
      </c>
      <c r="AE23" s="58">
        <v>4000000</v>
      </c>
      <c r="AF23" s="234">
        <v>3.6619999999999999</v>
      </c>
      <c r="AG23" s="234">
        <v>4.42</v>
      </c>
      <c r="AH23" s="361">
        <f t="shared" si="95"/>
        <v>3.8698186783178592</v>
      </c>
      <c r="AI23" s="361">
        <f t="shared" si="96"/>
        <v>3.9486821409066084</v>
      </c>
      <c r="AJ23" s="361">
        <f t="shared" si="111"/>
        <v>3.9751769524849809</v>
      </c>
      <c r="AK23" s="361">
        <f t="shared" si="97"/>
        <v>4.0631480065537957</v>
      </c>
      <c r="AL23" s="361">
        <f t="shared" si="98"/>
        <v>4.1153096668487166</v>
      </c>
      <c r="AM23" s="361">
        <f t="shared" si="99"/>
        <v>4.2314314582195518</v>
      </c>
      <c r="AN23" s="361">
        <f t="shared" si="100"/>
        <v>4.3384456581103219</v>
      </c>
      <c r="AO23" s="361">
        <f t="shared" si="101"/>
        <v>4.42</v>
      </c>
      <c r="AP23" s="361">
        <f t="shared" si="102"/>
        <v>4.42</v>
      </c>
      <c r="AQ23" s="361">
        <f t="shared" si="103"/>
        <v>4.42</v>
      </c>
      <c r="AR23" s="361">
        <f t="shared" si="104"/>
        <v>4.42</v>
      </c>
      <c r="AS23" s="361">
        <f t="shared" si="105"/>
        <v>4.42</v>
      </c>
      <c r="AT23" s="361">
        <f t="shared" si="106"/>
        <v>4.42</v>
      </c>
      <c r="AU23" s="361">
        <f t="shared" si="107"/>
        <v>4.42</v>
      </c>
      <c r="AV23" s="361">
        <f t="shared" si="108"/>
        <v>4.42</v>
      </c>
      <c r="AW23" s="57"/>
      <c r="BU23" s="58"/>
      <c r="BV23" s="57"/>
      <c r="BW23" s="57"/>
      <c r="CD23" t="s">
        <v>259</v>
      </c>
      <c r="CE23" t="s">
        <v>222</v>
      </c>
      <c r="CF23" t="s">
        <v>254</v>
      </c>
      <c r="CG23" s="4" t="str">
        <f t="shared" si="31"/>
        <v>Group 8</v>
      </c>
      <c r="CH23" s="4" t="s">
        <v>251</v>
      </c>
      <c r="CI23" s="4" t="s">
        <v>222</v>
      </c>
      <c r="CJ23" s="4" t="s">
        <v>222</v>
      </c>
      <c r="CL23" s="78" t="s">
        <v>70</v>
      </c>
      <c r="CM23" s="77" t="s">
        <v>267</v>
      </c>
      <c r="CO23" s="33"/>
      <c r="CP23" s="76"/>
      <c r="CQ23" s="4"/>
      <c r="DA23" s="33"/>
      <c r="DB23" s="353"/>
      <c r="DL23" s="466" t="s">
        <v>100</v>
      </c>
      <c r="DM23" s="4" t="s">
        <v>266</v>
      </c>
      <c r="DO23" s="254"/>
      <c r="DP23" s="254"/>
      <c r="DQ23" s="254"/>
      <c r="DR23" s="254"/>
      <c r="DS23" s="254"/>
      <c r="DU23" s="4"/>
      <c r="DV23" s="4"/>
      <c r="DW23" s="4"/>
      <c r="DZ23" s="466" t="s">
        <v>103</v>
      </c>
      <c r="EA23" s="251">
        <v>0.5</v>
      </c>
      <c r="EB23" s="251">
        <v>1</v>
      </c>
      <c r="EC23" s="526">
        <f t="shared" si="50"/>
        <v>0.5</v>
      </c>
      <c r="ED23" s="526">
        <f t="shared" si="51"/>
        <v>1</v>
      </c>
      <c r="EF23" s="466" t="s">
        <v>133</v>
      </c>
      <c r="EG23" s="4" t="s">
        <v>353</v>
      </c>
      <c r="EH23" s="375">
        <v>-0.25</v>
      </c>
      <c r="EI23" s="375">
        <v>0.25</v>
      </c>
      <c r="EJ23" s="4"/>
      <c r="EK23" s="101" t="s">
        <v>338</v>
      </c>
      <c r="EL23" s="375">
        <v>0.1</v>
      </c>
      <c r="EM23" s="375">
        <f>EL23</f>
        <v>0.1</v>
      </c>
      <c r="EN23" s="112"/>
      <c r="EO23" s="375"/>
      <c r="EP23" s="375"/>
      <c r="EQ23" s="32"/>
      <c r="ER23" s="375"/>
      <c r="ES23" s="375"/>
      <c r="ET23" s="112"/>
      <c r="EU23" s="375"/>
      <c r="EV23" s="375"/>
      <c r="EW23" s="112"/>
      <c r="EX23" s="375"/>
      <c r="EY23" s="375">
        <f t="shared" si="135"/>
        <v>1</v>
      </c>
      <c r="EZ23" s="112"/>
      <c r="FA23" s="375"/>
      <c r="FB23" s="375"/>
      <c r="FC23" s="112"/>
      <c r="FD23" s="375"/>
      <c r="FE23" s="375"/>
      <c r="FF23" s="16"/>
      <c r="FG23" s="16"/>
      <c r="FH23" s="127">
        <v>2</v>
      </c>
      <c r="FI23" s="131">
        <v>2</v>
      </c>
      <c r="FJ23" s="132">
        <v>1</v>
      </c>
      <c r="FK23" s="132">
        <v>0.5</v>
      </c>
      <c r="FL23" s="132">
        <v>0</v>
      </c>
      <c r="FM23" s="132">
        <v>-0.25</v>
      </c>
      <c r="FN23" s="133">
        <v>-0.75</v>
      </c>
      <c r="FP23" s="127">
        <v>3</v>
      </c>
      <c r="FQ23" s="43">
        <v>0.9</v>
      </c>
      <c r="FR23" s="127">
        <v>3</v>
      </c>
      <c r="FS23" s="43">
        <v>0.8</v>
      </c>
      <c r="FU23" s="180">
        <v>0</v>
      </c>
      <c r="FV23" s="180">
        <v>0</v>
      </c>
      <c r="FW23" s="154">
        <v>10001</v>
      </c>
      <c r="FX23" s="140">
        <v>12</v>
      </c>
      <c r="GL23" s="8" t="s">
        <v>2810</v>
      </c>
      <c r="GM23" s="8" t="s">
        <v>538</v>
      </c>
      <c r="GN23" s="8" t="s">
        <v>539</v>
      </c>
      <c r="GO23" s="8" t="s">
        <v>2915</v>
      </c>
    </row>
    <row r="24" spans="1:202">
      <c r="A24" s="4" t="s">
        <v>1375</v>
      </c>
      <c r="B24" s="3">
        <v>43676</v>
      </c>
      <c r="C24" s="4" t="s">
        <v>23</v>
      </c>
      <c r="D24" s="4" t="s">
        <v>1376</v>
      </c>
      <c r="H24" s="4"/>
      <c r="I24" s="4"/>
      <c r="J24" s="4"/>
      <c r="L24" s="4" t="s">
        <v>108</v>
      </c>
      <c r="M24" s="4" t="s">
        <v>109</v>
      </c>
      <c r="N24" s="277" t="s">
        <v>455</v>
      </c>
      <c r="P24" s="4" t="s">
        <v>635</v>
      </c>
      <c r="Q24" s="4" t="s">
        <v>636</v>
      </c>
      <c r="R24" s="4" t="s">
        <v>637</v>
      </c>
      <c r="AA24" s="4"/>
      <c r="AB24" s="4"/>
      <c r="AC24" s="4">
        <f t="shared" si="136"/>
        <v>0.38999999999999968</v>
      </c>
      <c r="AD24" s="58">
        <v>5000000</v>
      </c>
      <c r="AE24" s="58">
        <v>5000000</v>
      </c>
      <c r="AF24" s="234">
        <v>4.0519999999999996</v>
      </c>
      <c r="AG24" s="234">
        <v>4.88</v>
      </c>
      <c r="AH24" s="361">
        <f t="shared" si="95"/>
        <v>4.2571609081934847</v>
      </c>
      <c r="AI24" s="361">
        <f t="shared" si="96"/>
        <v>4.3350157946692986</v>
      </c>
      <c r="AJ24" s="361">
        <f t="shared" si="111"/>
        <v>4.3611717670286279</v>
      </c>
      <c r="AK24" s="361">
        <f t="shared" si="97"/>
        <v>4.448017769002961</v>
      </c>
      <c r="AL24" s="361">
        <f t="shared" si="98"/>
        <v>4.4995123395853893</v>
      </c>
      <c r="AM24" s="361">
        <f t="shared" si="99"/>
        <v>4.61414906219151</v>
      </c>
      <c r="AN24" s="361">
        <f t="shared" si="100"/>
        <v>4.7197946692991115</v>
      </c>
      <c r="AO24" s="361">
        <f t="shared" si="101"/>
        <v>4.8003060217176703</v>
      </c>
      <c r="AP24" s="361">
        <f t="shared" si="102"/>
        <v>4.88</v>
      </c>
      <c r="AQ24" s="361">
        <f t="shared" si="103"/>
        <v>4.88</v>
      </c>
      <c r="AR24" s="361">
        <f t="shared" si="104"/>
        <v>4.88</v>
      </c>
      <c r="AS24" s="361">
        <f t="shared" si="105"/>
        <v>4.88</v>
      </c>
      <c r="AT24" s="361">
        <f t="shared" si="106"/>
        <v>4.88</v>
      </c>
      <c r="AU24" s="361">
        <f t="shared" si="107"/>
        <v>4.88</v>
      </c>
      <c r="AV24" s="361">
        <f t="shared" si="108"/>
        <v>4.88</v>
      </c>
      <c r="AW24" s="57"/>
      <c r="CD24" t="s">
        <v>234</v>
      </c>
      <c r="CE24" t="s">
        <v>219</v>
      </c>
      <c r="CF24" t="s">
        <v>229</v>
      </c>
      <c r="CG24" s="4" t="str">
        <f t="shared" si="31"/>
        <v>Group 4</v>
      </c>
      <c r="CH24" s="4" t="s">
        <v>222</v>
      </c>
      <c r="CI24" s="4" t="s">
        <v>219</v>
      </c>
      <c r="CJ24" s="4" t="s">
        <v>219</v>
      </c>
      <c r="CL24" s="77" t="s">
        <v>73</v>
      </c>
      <c r="CM24" s="77" t="s">
        <v>266</v>
      </c>
      <c r="CO24" s="74"/>
      <c r="CP24" s="75"/>
      <c r="CQ24" s="4"/>
      <c r="DA24" s="74"/>
      <c r="DB24" s="75"/>
      <c r="DL24" s="466" t="s">
        <v>103</v>
      </c>
      <c r="DM24" s="4" t="s">
        <v>266</v>
      </c>
      <c r="DU24" s="4" t="s">
        <v>432</v>
      </c>
      <c r="DV24" s="4"/>
      <c r="DW24" s="4"/>
      <c r="DZ24" s="466" t="s">
        <v>107</v>
      </c>
      <c r="EA24" s="251">
        <v>0.6</v>
      </c>
      <c r="EB24" s="251">
        <v>1</v>
      </c>
      <c r="EC24" s="526">
        <f t="shared" si="50"/>
        <v>0.6</v>
      </c>
      <c r="ED24" s="526">
        <f t="shared" si="51"/>
        <v>1</v>
      </c>
      <c r="EF24" s="466" t="s">
        <v>70</v>
      </c>
      <c r="EG24" s="4" t="s">
        <v>352</v>
      </c>
      <c r="EH24" s="375">
        <v>-0.15</v>
      </c>
      <c r="EI24" s="375">
        <v>0.15</v>
      </c>
      <c r="EJ24" s="4"/>
      <c r="EK24" s="101" t="str">
        <f>EQ24</f>
        <v>Use or non-use of three or more calendar/docket docket control systems</v>
      </c>
      <c r="EL24" s="375"/>
      <c r="EM24" s="375"/>
      <c r="EN24" s="112"/>
      <c r="EO24" s="375"/>
      <c r="EP24" s="375"/>
      <c r="EQ24" s="32" t="s">
        <v>346</v>
      </c>
      <c r="ER24" s="375">
        <v>-0.05</v>
      </c>
      <c r="ES24" s="375">
        <v>0.05</v>
      </c>
      <c r="ET24" s="112"/>
      <c r="EU24" s="375"/>
      <c r="EV24" s="375"/>
      <c r="EW24" s="112"/>
      <c r="EX24" s="375"/>
      <c r="EY24" s="375">
        <f t="shared" si="135"/>
        <v>1</v>
      </c>
      <c r="EZ24" s="112"/>
      <c r="FA24" s="375"/>
      <c r="FB24" s="375"/>
      <c r="FC24" s="112"/>
      <c r="FD24" s="375"/>
      <c r="FE24" s="375"/>
      <c r="FF24" s="16"/>
      <c r="FG24" s="16"/>
      <c r="FH24" s="127">
        <v>3</v>
      </c>
      <c r="FI24" s="131">
        <v>3</v>
      </c>
      <c r="FJ24" s="132">
        <v>2</v>
      </c>
      <c r="FK24" s="132">
        <v>1.05</v>
      </c>
      <c r="FL24" s="132">
        <v>0.5</v>
      </c>
      <c r="FM24" s="132">
        <v>0</v>
      </c>
      <c r="FN24" s="133">
        <v>-0.25</v>
      </c>
      <c r="FP24" s="127">
        <v>4</v>
      </c>
      <c r="FQ24" s="43">
        <v>0.85</v>
      </c>
      <c r="FR24" s="127">
        <v>4</v>
      </c>
      <c r="FS24" s="43">
        <v>0.95</v>
      </c>
      <c r="FU24" s="154">
        <v>5000</v>
      </c>
      <c r="FV24" s="140">
        <v>6</v>
      </c>
      <c r="FW24" s="154">
        <v>30001</v>
      </c>
      <c r="FX24" s="140">
        <v>8</v>
      </c>
      <c r="GL24" s="4" t="s">
        <v>2808</v>
      </c>
      <c r="GM24" s="56">
        <f>ROUND(AVERAGE(GM6,GN6),2)</f>
        <v>0.72</v>
      </c>
      <c r="GN24" s="56">
        <f>GM24</f>
        <v>0.72</v>
      </c>
      <c r="GO24" s="4" t="s">
        <v>113</v>
      </c>
    </row>
    <row r="25" spans="1:202">
      <c r="A25" s="4" t="s">
        <v>1346</v>
      </c>
      <c r="B25" s="3">
        <v>43664</v>
      </c>
      <c r="C25" s="4" t="s">
        <v>23</v>
      </c>
      <c r="D25" s="4" t="s">
        <v>1373</v>
      </c>
      <c r="H25" s="4"/>
      <c r="I25" s="4"/>
      <c r="J25" s="4"/>
      <c r="L25" s="4" t="s">
        <v>110</v>
      </c>
      <c r="M25" s="4" t="s">
        <v>111</v>
      </c>
      <c r="N25" s="277" t="s">
        <v>455</v>
      </c>
      <c r="P25" s="4" t="s">
        <v>638</v>
      </c>
      <c r="Q25" s="4" t="s">
        <v>639</v>
      </c>
      <c r="R25" s="4" t="s">
        <v>640</v>
      </c>
      <c r="AA25" s="4"/>
      <c r="AB25" s="4"/>
      <c r="AC25" s="4">
        <f t="shared" si="136"/>
        <v>0.38100000000000023</v>
      </c>
      <c r="AD25" s="58">
        <v>6000000</v>
      </c>
      <c r="AE25" s="58">
        <v>6000000</v>
      </c>
      <c r="AF25" s="234">
        <v>4.4329999999999998</v>
      </c>
      <c r="AG25" s="234">
        <v>5.1230000000000002</v>
      </c>
      <c r="AH25" s="361">
        <f t="shared" si="95"/>
        <v>4.5892734040153398</v>
      </c>
      <c r="AI25" s="361">
        <f t="shared" si="96"/>
        <v>4.6485763591247462</v>
      </c>
      <c r="AJ25" s="361">
        <f t="shared" si="111"/>
        <v>4.6684996616286938</v>
      </c>
      <c r="AK25" s="361">
        <f t="shared" si="97"/>
        <v>4.7346512519738324</v>
      </c>
      <c r="AL25" s="361">
        <f t="shared" si="98"/>
        <v>4.7738752537784794</v>
      </c>
      <c r="AM25" s="361">
        <f t="shared" si="99"/>
        <v>4.8611953530340628</v>
      </c>
      <c r="AN25" s="361">
        <f t="shared" si="100"/>
        <v>4.941666817053914</v>
      </c>
      <c r="AO25" s="361">
        <f t="shared" si="101"/>
        <v>5.0029932325738775</v>
      </c>
      <c r="AP25" s="361">
        <f t="shared" si="102"/>
        <v>5.0636970448905938</v>
      </c>
      <c r="AQ25" s="361">
        <f t="shared" si="103"/>
        <v>5.1230000000000002</v>
      </c>
      <c r="AR25" s="361">
        <f t="shared" si="104"/>
        <v>5.1230000000000002</v>
      </c>
      <c r="AS25" s="361">
        <f t="shared" si="105"/>
        <v>5.1230000000000002</v>
      </c>
      <c r="AT25" s="361">
        <f t="shared" si="106"/>
        <v>5.1230000000000002</v>
      </c>
      <c r="AU25" s="361">
        <f t="shared" si="107"/>
        <v>5.1230000000000002</v>
      </c>
      <c r="AV25" s="361">
        <f t="shared" si="108"/>
        <v>5.1230000000000002</v>
      </c>
      <c r="AW25" s="57"/>
      <c r="AY25" s="4"/>
      <c r="CD25" t="s">
        <v>260</v>
      </c>
      <c r="CE25" t="s">
        <v>222</v>
      </c>
      <c r="CF25" t="s">
        <v>254</v>
      </c>
      <c r="CG25" s="4" t="str">
        <f t="shared" si="31"/>
        <v>Group 8</v>
      </c>
      <c r="CH25" s="4" t="s">
        <v>251</v>
      </c>
      <c r="CI25" s="4" t="s">
        <v>222</v>
      </c>
      <c r="CJ25" s="4" t="s">
        <v>222</v>
      </c>
      <c r="CL25" s="77" t="s">
        <v>74</v>
      </c>
      <c r="CM25" s="77" t="s">
        <v>266</v>
      </c>
      <c r="CO25" s="74"/>
      <c r="CP25" s="75"/>
      <c r="CQ25" s="4"/>
      <c r="DA25" s="74"/>
      <c r="DB25" s="75"/>
      <c r="DL25" s="466" t="s">
        <v>107</v>
      </c>
      <c r="DM25" s="4" t="s">
        <v>266</v>
      </c>
      <c r="DU25" s="8" t="s">
        <v>291</v>
      </c>
      <c r="DV25" s="8" t="s">
        <v>290</v>
      </c>
      <c r="DW25" s="8" t="s">
        <v>301</v>
      </c>
      <c r="DZ25" s="466" t="s">
        <v>109</v>
      </c>
      <c r="EA25" s="251">
        <v>0.5</v>
      </c>
      <c r="EB25" s="251">
        <v>1</v>
      </c>
      <c r="EC25" s="526">
        <f t="shared" si="50"/>
        <v>0.5</v>
      </c>
      <c r="ED25" s="526">
        <f t="shared" si="51"/>
        <v>1</v>
      </c>
      <c r="EF25" s="466" t="s">
        <v>73</v>
      </c>
      <c r="EG25" s="4" t="s">
        <v>353</v>
      </c>
      <c r="EH25" s="375">
        <v>-0.25</v>
      </c>
      <c r="EI25" s="375">
        <v>0.25</v>
      </c>
      <c r="EJ25" s="4"/>
      <c r="EK25" s="101" t="str">
        <f>EQ25</f>
        <v>Presence or lack of in-house loss control procedures</v>
      </c>
      <c r="EL25" s="375"/>
      <c r="EM25" s="375"/>
      <c r="EN25" s="112"/>
      <c r="EO25" s="375"/>
      <c r="EP25" s="375"/>
      <c r="EQ25" s="32" t="s">
        <v>347</v>
      </c>
      <c r="ER25" s="375">
        <v>-0.05</v>
      </c>
      <c r="ES25" s="375">
        <v>0.05</v>
      </c>
      <c r="ET25" s="112"/>
      <c r="EU25" s="375"/>
      <c r="EV25" s="375"/>
      <c r="EW25" s="112"/>
      <c r="EX25" s="375"/>
      <c r="EY25" s="375">
        <f t="shared" si="135"/>
        <v>1</v>
      </c>
      <c r="EZ25" s="112"/>
      <c r="FA25" s="375"/>
      <c r="FB25" s="375"/>
      <c r="FC25" s="112"/>
      <c r="FD25" s="375"/>
      <c r="FE25" s="375"/>
      <c r="FF25" s="16"/>
      <c r="FG25" s="16"/>
      <c r="FH25" s="127">
        <v>4</v>
      </c>
      <c r="FI25" s="131">
        <v>4</v>
      </c>
      <c r="FJ25" s="134">
        <v>3</v>
      </c>
      <c r="FK25" s="132">
        <v>1.5</v>
      </c>
      <c r="FL25" s="132">
        <v>1</v>
      </c>
      <c r="FM25" s="132">
        <v>0.5</v>
      </c>
      <c r="FN25" s="133">
        <v>0</v>
      </c>
      <c r="FP25" s="127">
        <v>5</v>
      </c>
      <c r="FQ25" s="43">
        <v>0.8</v>
      </c>
      <c r="FR25" s="127">
        <v>5</v>
      </c>
      <c r="FS25" s="43">
        <v>1</v>
      </c>
      <c r="FU25" s="154">
        <v>15001</v>
      </c>
      <c r="FV25" s="140">
        <v>10</v>
      </c>
      <c r="FW25" s="154">
        <v>60001</v>
      </c>
      <c r="FX25" s="140">
        <v>4</v>
      </c>
      <c r="GL25" s="4" t="s">
        <v>2806</v>
      </c>
      <c r="GM25" s="56">
        <f t="shared" ref="GM25:GM28" si="137">ROUND(AVERAGE(GM7,GN7),2)</f>
        <v>0.9</v>
      </c>
      <c r="GN25" s="56">
        <f t="shared" ref="GN25:GN28" si="138">GM25</f>
        <v>0.9</v>
      </c>
      <c r="GO25" s="4" t="s">
        <v>121</v>
      </c>
    </row>
    <row r="26" spans="1:202">
      <c r="A26" s="4" t="s">
        <v>564</v>
      </c>
      <c r="B26" s="3">
        <v>43648</v>
      </c>
      <c r="C26" s="4" t="s">
        <v>23</v>
      </c>
      <c r="D26" s="4" t="s">
        <v>1336</v>
      </c>
      <c r="H26" s="4"/>
      <c r="I26" s="4"/>
      <c r="J26" s="4"/>
      <c r="L26" s="4" t="s">
        <v>112</v>
      </c>
      <c r="M26" s="4" t="s">
        <v>113</v>
      </c>
      <c r="N26" s="277" t="s">
        <v>455</v>
      </c>
      <c r="P26" s="4" t="s">
        <v>641</v>
      </c>
      <c r="Q26" s="4" t="s">
        <v>642</v>
      </c>
      <c r="R26" s="4" t="s">
        <v>643</v>
      </c>
      <c r="AC26" s="4">
        <f t="shared" si="136"/>
        <v>0.28900000000000059</v>
      </c>
      <c r="AD26" s="58">
        <v>7000000</v>
      </c>
      <c r="AE26" s="58">
        <v>7000000</v>
      </c>
      <c r="AF26" s="234">
        <v>4.7220000000000004</v>
      </c>
      <c r="AG26" s="234">
        <v>5.3019999999999996</v>
      </c>
      <c r="AH26" s="361">
        <f t="shared" si="95"/>
        <v>4.8453206268530282</v>
      </c>
      <c r="AI26" s="361">
        <f t="shared" si="96"/>
        <v>4.8921185938161793</v>
      </c>
      <c r="AJ26" s="361">
        <f t="shared" si="111"/>
        <v>4.9078407454468449</v>
      </c>
      <c r="AK26" s="361">
        <f t="shared" si="97"/>
        <v>4.9600432020330372</v>
      </c>
      <c r="AL26" s="361">
        <f t="shared" si="98"/>
        <v>4.9909961880559086</v>
      </c>
      <c r="AM26" s="361">
        <f t="shared" si="99"/>
        <v>5.0599034307496824</v>
      </c>
      <c r="AN26" s="361">
        <f t="shared" si="100"/>
        <v>5.123406183820415</v>
      </c>
      <c r="AO26" s="361">
        <f t="shared" si="101"/>
        <v>5.1718009318085558</v>
      </c>
      <c r="AP26" s="361">
        <f t="shared" si="102"/>
        <v>5.2197043625582378</v>
      </c>
      <c r="AQ26" s="361">
        <f t="shared" si="103"/>
        <v>5.2665023295213889</v>
      </c>
      <c r="AR26" s="361">
        <f t="shared" si="104"/>
        <v>5.3019999999999996</v>
      </c>
      <c r="AS26" s="361">
        <f t="shared" si="105"/>
        <v>5.3019999999999996</v>
      </c>
      <c r="AT26" s="361">
        <f t="shared" si="106"/>
        <v>5.3019999999999996</v>
      </c>
      <c r="AU26" s="361">
        <f t="shared" si="107"/>
        <v>5.3019999999999996</v>
      </c>
      <c r="AV26" s="361">
        <f t="shared" si="108"/>
        <v>5.3019999999999996</v>
      </c>
      <c r="AW26" s="57"/>
      <c r="AY26" s="4" t="s">
        <v>393</v>
      </c>
      <c r="BB26" s="234" t="str">
        <f>BB4</f>
        <v>Claims Expense Inside of Limits</v>
      </c>
      <c r="CD26" t="s">
        <v>243</v>
      </c>
      <c r="CE26" t="s">
        <v>222</v>
      </c>
      <c r="CF26" t="s">
        <v>244</v>
      </c>
      <c r="CG26" s="4" t="str">
        <f t="shared" si="31"/>
        <v>Group 6</v>
      </c>
      <c r="CH26" s="4" t="s">
        <v>241</v>
      </c>
      <c r="CI26" s="4" t="s">
        <v>222</v>
      </c>
      <c r="CJ26" s="4" t="s">
        <v>222</v>
      </c>
      <c r="CL26" s="78" t="s">
        <v>156</v>
      </c>
      <c r="CM26" s="78" t="s">
        <v>266</v>
      </c>
      <c r="CO26" s="74"/>
      <c r="CP26" s="75"/>
      <c r="CQ26" s="4"/>
      <c r="DA26" s="74"/>
      <c r="DB26" s="75"/>
      <c r="DL26" s="466" t="s">
        <v>109</v>
      </c>
      <c r="DM26" s="4" t="s">
        <v>266</v>
      </c>
      <c r="DU26" s="4" t="s">
        <v>292</v>
      </c>
      <c r="DV26" s="231">
        <v>0</v>
      </c>
      <c r="DW26" s="4">
        <v>1</v>
      </c>
      <c r="DZ26" s="466" t="s">
        <v>115</v>
      </c>
      <c r="EA26" s="251">
        <v>0.5</v>
      </c>
      <c r="EB26" s="251">
        <v>0.5</v>
      </c>
      <c r="EC26" s="526">
        <f t="shared" si="50"/>
        <v>0.5</v>
      </c>
      <c r="ED26" s="526">
        <f t="shared" si="51"/>
        <v>0.5</v>
      </c>
      <c r="EF26" s="466" t="s">
        <v>74</v>
      </c>
      <c r="EG26" s="4" t="s">
        <v>353</v>
      </c>
      <c r="EH26" s="375">
        <v>-0.4</v>
      </c>
      <c r="EI26" s="375">
        <v>0.4</v>
      </c>
      <c r="EJ26" s="4"/>
      <c r="EK26" s="120" t="s">
        <v>359</v>
      </c>
      <c r="EL26" s="375"/>
      <c r="EM26" s="375"/>
      <c r="EN26" s="112"/>
      <c r="EO26" s="375"/>
      <c r="EP26" s="375"/>
      <c r="EQ26" s="32"/>
      <c r="ER26" s="375"/>
      <c r="ES26" s="375"/>
      <c r="ET26" s="112"/>
      <c r="EU26" s="375"/>
      <c r="EV26" s="375"/>
      <c r="EW26" s="112"/>
      <c r="EX26" s="375"/>
      <c r="EY26" s="375">
        <f t="shared" si="135"/>
        <v>1</v>
      </c>
      <c r="EZ26" s="112"/>
      <c r="FA26" s="375"/>
      <c r="FB26" s="375"/>
      <c r="FC26" s="112"/>
      <c r="FD26" s="375"/>
      <c r="FE26" s="375"/>
      <c r="FF26" s="16"/>
      <c r="FG26" s="16"/>
      <c r="FH26" s="127">
        <v>5</v>
      </c>
      <c r="FI26" s="135">
        <v>5</v>
      </c>
      <c r="FJ26" s="136">
        <v>4</v>
      </c>
      <c r="FK26" s="136">
        <v>2</v>
      </c>
      <c r="FL26" s="137">
        <v>1.5</v>
      </c>
      <c r="FM26" s="137">
        <v>0.75</v>
      </c>
      <c r="FN26" s="138">
        <v>0.5</v>
      </c>
      <c r="FU26" s="154">
        <v>25001</v>
      </c>
      <c r="FV26" s="140">
        <v>14</v>
      </c>
      <c r="FW26" s="154"/>
      <c r="FX26" s="43"/>
      <c r="GL26" s="4" t="s">
        <v>2805</v>
      </c>
      <c r="GM26" s="56">
        <f t="shared" si="137"/>
        <v>1</v>
      </c>
      <c r="GN26" s="56">
        <f t="shared" si="138"/>
        <v>1</v>
      </c>
      <c r="GO26" s="4" t="s">
        <v>111</v>
      </c>
    </row>
    <row r="27" spans="1:202">
      <c r="A27" s="4" t="s">
        <v>478</v>
      </c>
      <c r="B27" s="3">
        <v>43646</v>
      </c>
      <c r="C27" s="4" t="s">
        <v>23</v>
      </c>
      <c r="D27" s="4" t="s">
        <v>479</v>
      </c>
      <c r="H27" s="4"/>
      <c r="I27" s="4"/>
      <c r="J27" s="4"/>
      <c r="L27" s="4" t="s">
        <v>114</v>
      </c>
      <c r="M27" s="4" t="s">
        <v>115</v>
      </c>
      <c r="N27" s="277" t="s">
        <v>455</v>
      </c>
      <c r="P27" s="4" t="s">
        <v>644</v>
      </c>
      <c r="Q27" s="4" t="s">
        <v>645</v>
      </c>
      <c r="R27" s="4" t="s">
        <v>646</v>
      </c>
      <c r="AC27" s="236">
        <f t="shared" si="136"/>
        <v>0.29799999999999915</v>
      </c>
      <c r="AD27" s="58">
        <v>8000000</v>
      </c>
      <c r="AE27" s="58">
        <v>8000000</v>
      </c>
      <c r="AF27" s="234">
        <v>5.0199999999999996</v>
      </c>
      <c r="AG27" s="234">
        <v>5.4850000000000003</v>
      </c>
      <c r="AH27" s="361">
        <f t="shared" si="95"/>
        <v>5.1129999999999995</v>
      </c>
      <c r="AI27" s="361">
        <f t="shared" si="96"/>
        <v>5.1482918326693223</v>
      </c>
      <c r="AJ27" s="361">
        <f t="shared" si="111"/>
        <v>5.1601484063745016</v>
      </c>
      <c r="AK27" s="361">
        <f t="shared" si="97"/>
        <v>5.1995159362549801</v>
      </c>
      <c r="AL27" s="361">
        <f t="shared" si="98"/>
        <v>5.2228585657370514</v>
      </c>
      <c r="AM27" s="361">
        <f t="shared" si="99"/>
        <v>5.2748237051792826</v>
      </c>
      <c r="AN27" s="361">
        <f t="shared" si="100"/>
        <v>5.3227131474103588</v>
      </c>
      <c r="AO27" s="361">
        <f t="shared" si="101"/>
        <v>5.3592091633466135</v>
      </c>
      <c r="AP27" s="361">
        <f t="shared" si="102"/>
        <v>5.3953346613545818</v>
      </c>
      <c r="AQ27" s="361">
        <f t="shared" si="103"/>
        <v>5.4306264940239046</v>
      </c>
      <c r="AR27" s="361">
        <f t="shared" si="104"/>
        <v>5.4573964143426297</v>
      </c>
      <c r="AS27" s="361">
        <f t="shared" si="105"/>
        <v>5.4850000000000003</v>
      </c>
      <c r="AT27" s="361">
        <f t="shared" si="106"/>
        <v>5.4850000000000003</v>
      </c>
      <c r="AU27" s="361">
        <f t="shared" si="107"/>
        <v>5.4850000000000003</v>
      </c>
      <c r="AV27" s="361">
        <f t="shared" si="108"/>
        <v>5.4850000000000003</v>
      </c>
      <c r="AW27" s="57"/>
      <c r="AY27" s="58">
        <v>250000</v>
      </c>
      <c r="AZ27" s="58">
        <v>0</v>
      </c>
      <c r="BA27" s="58"/>
      <c r="BB27" s="360">
        <f>IFERROR(AF13/AF12,"N/A")</f>
        <v>1.0544967162578742</v>
      </c>
      <c r="BC27" s="360">
        <f>IFERROR(AG13/AG12,"N/A")</f>
        <v>1.0471720893384266</v>
      </c>
      <c r="BD27" s="360">
        <f t="shared" ref="BD27:BD31" si="139">AVERAGE(BB27,BE27)</f>
        <v>1.0467011296331896</v>
      </c>
      <c r="BE27" s="360">
        <f t="shared" ref="BE27:BS27" si="140">IFERROR(AH13/AH12,"N/A")</f>
        <v>1.0389055430085052</v>
      </c>
      <c r="BF27" s="360">
        <f t="shared" si="140"/>
        <v>1.0344329184031784</v>
      </c>
      <c r="BG27" s="360">
        <f t="shared" si="140"/>
        <v>1.0330621026418318</v>
      </c>
      <c r="BH27" s="360">
        <f t="shared" si="140"/>
        <v>1.0471720893384266</v>
      </c>
      <c r="BI27" s="360">
        <f t="shared" si="140"/>
        <v>1.0471720893384266</v>
      </c>
      <c r="BJ27" s="360">
        <f t="shared" si="140"/>
        <v>1.0471720893384266</v>
      </c>
      <c r="BK27" s="360">
        <f t="shared" si="140"/>
        <v>1.0471720893384266</v>
      </c>
      <c r="BL27" s="360">
        <f t="shared" si="140"/>
        <v>1.0471720893384266</v>
      </c>
      <c r="BM27" s="360">
        <f t="shared" si="140"/>
        <v>1.0471720893384266</v>
      </c>
      <c r="BN27" s="360">
        <f t="shared" si="140"/>
        <v>1.0471720893384266</v>
      </c>
      <c r="BO27" s="360">
        <f t="shared" si="140"/>
        <v>1.0471720893384266</v>
      </c>
      <c r="BP27" s="360">
        <f t="shared" si="140"/>
        <v>1.0471720893384266</v>
      </c>
      <c r="BQ27" s="360">
        <f t="shared" si="140"/>
        <v>1.0471720893384266</v>
      </c>
      <c r="BR27" s="360">
        <f t="shared" si="140"/>
        <v>1.0471720893384266</v>
      </c>
      <c r="BS27" s="360">
        <f t="shared" si="140"/>
        <v>1.0471720893384266</v>
      </c>
      <c r="CD27" t="s">
        <v>245</v>
      </c>
      <c r="CE27" t="s">
        <v>222</v>
      </c>
      <c r="CF27" t="s">
        <v>244</v>
      </c>
      <c r="CG27" s="4" t="str">
        <f t="shared" si="31"/>
        <v>Group 6</v>
      </c>
      <c r="CH27" s="4" t="s">
        <v>241</v>
      </c>
      <c r="CI27" s="4" t="s">
        <v>222</v>
      </c>
      <c r="CJ27" s="4" t="s">
        <v>222</v>
      </c>
      <c r="CL27" s="77" t="s">
        <v>75</v>
      </c>
      <c r="CM27" s="77" t="s">
        <v>266</v>
      </c>
      <c r="CO27" s="74"/>
      <c r="CP27" s="75"/>
      <c r="CQ27" s="4"/>
      <c r="DA27" s="74"/>
      <c r="DB27" s="75"/>
      <c r="DL27" s="466" t="s">
        <v>115</v>
      </c>
      <c r="DM27" s="4" t="s">
        <v>266</v>
      </c>
      <c r="DU27" s="4" t="s">
        <v>293</v>
      </c>
      <c r="DV27" s="231">
        <v>0.999</v>
      </c>
      <c r="DW27" s="4">
        <v>1.25</v>
      </c>
      <c r="DZ27" s="466" t="s">
        <v>123</v>
      </c>
      <c r="EA27" s="251">
        <v>0.5</v>
      </c>
      <c r="EB27" s="251">
        <v>0.5</v>
      </c>
      <c r="EC27" s="526">
        <f t="shared" si="50"/>
        <v>0.5</v>
      </c>
      <c r="ED27" s="526">
        <f t="shared" si="51"/>
        <v>0.5</v>
      </c>
      <c r="EF27" s="466" t="s">
        <v>156</v>
      </c>
      <c r="EG27" s="4" t="s">
        <v>353</v>
      </c>
      <c r="EH27" s="375">
        <v>-0.5</v>
      </c>
      <c r="EI27" s="375">
        <v>0.5</v>
      </c>
      <c r="EJ27" s="4"/>
      <c r="EK27" s="117" t="s">
        <v>339</v>
      </c>
      <c r="EL27" s="376">
        <v>-0.25</v>
      </c>
      <c r="EM27" s="376">
        <v>0.25</v>
      </c>
      <c r="EN27" s="100" t="s">
        <v>339</v>
      </c>
      <c r="EO27" s="376">
        <v>-0.2</v>
      </c>
      <c r="EP27" s="376">
        <v>0.2</v>
      </c>
      <c r="EQ27" s="100" t="s">
        <v>339</v>
      </c>
      <c r="ER27" s="376">
        <v>-0.1</v>
      </c>
      <c r="ES27" s="376">
        <v>0.1</v>
      </c>
      <c r="ET27" s="119" t="s">
        <v>349</v>
      </c>
      <c r="EU27" s="376">
        <v>-0.2</v>
      </c>
      <c r="EV27" s="376">
        <v>0.2</v>
      </c>
      <c r="EW27" s="119" t="s">
        <v>349</v>
      </c>
      <c r="EX27" s="376"/>
      <c r="EY27" s="376">
        <v>1</v>
      </c>
      <c r="EZ27" s="100" t="s">
        <v>339</v>
      </c>
      <c r="FA27" s="376">
        <v>-0.2</v>
      </c>
      <c r="FB27" s="376">
        <v>0.2</v>
      </c>
      <c r="FC27" s="119"/>
      <c r="FD27" s="376"/>
      <c r="FE27" s="376"/>
      <c r="FF27" s="16"/>
      <c r="FG27" s="16"/>
      <c r="FL27" s="34"/>
      <c r="FM27" s="34"/>
      <c r="FN27" s="34"/>
      <c r="FU27" s="154">
        <v>35001</v>
      </c>
      <c r="FV27" s="140">
        <v>18</v>
      </c>
      <c r="FW27" s="154"/>
      <c r="FX27" s="34"/>
      <c r="GL27" s="4" t="s">
        <v>2807</v>
      </c>
      <c r="GM27" s="56">
        <f t="shared" si="137"/>
        <v>1.1100000000000001</v>
      </c>
      <c r="GN27" s="56">
        <f t="shared" si="138"/>
        <v>1.1100000000000001</v>
      </c>
      <c r="GO27" s="4" t="s">
        <v>150</v>
      </c>
    </row>
    <row r="28" spans="1:202">
      <c r="A28" t="s">
        <v>22</v>
      </c>
      <c r="B28" s="3">
        <v>43636</v>
      </c>
      <c r="C28" t="s">
        <v>23</v>
      </c>
      <c r="D28" t="s">
        <v>472</v>
      </c>
      <c r="H28" s="4"/>
      <c r="I28" s="4"/>
      <c r="J28" s="4"/>
      <c r="L28" s="4" t="s">
        <v>116</v>
      </c>
      <c r="M28" s="4" t="s">
        <v>117</v>
      </c>
      <c r="N28" s="4" t="s">
        <v>454</v>
      </c>
      <c r="P28" s="4" t="s">
        <v>647</v>
      </c>
      <c r="Q28" s="4" t="s">
        <v>648</v>
      </c>
      <c r="R28" s="4" t="s">
        <v>649</v>
      </c>
      <c r="AC28" s="4">
        <f t="shared" si="136"/>
        <v>0.25400000000000045</v>
      </c>
      <c r="AD28" s="58">
        <v>9000000</v>
      </c>
      <c r="AE28" s="58">
        <v>9000000</v>
      </c>
      <c r="AF28" s="234">
        <v>5.274</v>
      </c>
      <c r="AG28" s="234">
        <v>5.6390000000000002</v>
      </c>
      <c r="AH28" s="361">
        <f t="shared" si="95"/>
        <v>5.3434842624194161</v>
      </c>
      <c r="AI28" s="361">
        <f t="shared" si="96"/>
        <v>5.3698522942737963</v>
      </c>
      <c r="AJ28" s="361">
        <f t="shared" si="111"/>
        <v>5.3787108456579444</v>
      </c>
      <c r="AK28" s="361">
        <f t="shared" si="97"/>
        <v>5.4081240045506256</v>
      </c>
      <c r="AL28" s="361">
        <f t="shared" si="98"/>
        <v>5.4255642775881689</v>
      </c>
      <c r="AM28" s="361">
        <f t="shared" si="99"/>
        <v>5.4643896473265077</v>
      </c>
      <c r="AN28" s="361">
        <f t="shared" si="100"/>
        <v>5.5001698900265454</v>
      </c>
      <c r="AO28" s="361">
        <f t="shared" si="101"/>
        <v>5.5274376185058784</v>
      </c>
      <c r="AP28" s="361">
        <f t="shared" si="102"/>
        <v>5.5544285172544559</v>
      </c>
      <c r="AQ28" s="361">
        <f t="shared" si="103"/>
        <v>5.580796549108836</v>
      </c>
      <c r="AR28" s="361">
        <f t="shared" si="104"/>
        <v>5.6007974971558596</v>
      </c>
      <c r="AS28" s="361">
        <f t="shared" si="105"/>
        <v>5.6214213120970804</v>
      </c>
      <c r="AT28" s="361">
        <f t="shared" si="106"/>
        <v>5.6390000000000002</v>
      </c>
      <c r="AU28" s="361">
        <f t="shared" si="107"/>
        <v>5.6390000000000002</v>
      </c>
      <c r="AV28" s="361">
        <f t="shared" si="108"/>
        <v>5.6390000000000002</v>
      </c>
      <c r="AW28" s="57"/>
      <c r="AY28" s="58">
        <v>500000</v>
      </c>
      <c r="AZ28" s="58">
        <f t="shared" ref="AZ28:AZ31" si="141">AY28</f>
        <v>500000</v>
      </c>
      <c r="BA28" s="58"/>
      <c r="BB28" s="360">
        <f t="shared" ref="BB28:BC28" si="142">IFERROR(AF16/AF15,"N/A")</f>
        <v>1.0796486021061653</v>
      </c>
      <c r="BC28" s="360">
        <f t="shared" si="142"/>
        <v>1.053363141338457</v>
      </c>
      <c r="BD28" s="360">
        <f t="shared" si="139"/>
        <v>1.0680460554731148</v>
      </c>
      <c r="BE28" s="360">
        <f>IFERROR(AH16/AH15,"N/A")</f>
        <v>1.0564435088400645</v>
      </c>
      <c r="BF28" s="360">
        <f>IFERROR(AI16/AI15,"N/A")</f>
        <v>1.0488763941632371</v>
      </c>
      <c r="BG28" s="360">
        <f>IFERROR(AJ16/AJ15,"N/A")</f>
        <v>1.0464639094159138</v>
      </c>
      <c r="BH28" s="360">
        <f t="shared" ref="BH28" si="143">IFERROR(AK16/AK15,"N/A")</f>
        <v>1.0388797090380268</v>
      </c>
      <c r="BI28" s="360">
        <f t="shared" ref="BI28" si="144">IFERROR(AL16/AL15,"N/A")</f>
        <v>1.053363141338457</v>
      </c>
      <c r="BJ28" s="360">
        <f t="shared" ref="BJ28" si="145">IFERROR(AM16/AM15,"N/A")</f>
        <v>1.053363141338457</v>
      </c>
      <c r="BK28" s="360">
        <f t="shared" ref="BK28" si="146">IFERROR(AN16/AN15,"N/A")</f>
        <v>1.053363141338457</v>
      </c>
      <c r="BL28" s="360">
        <f t="shared" ref="BL28" si="147">IFERROR(AO16/AO15,"N/A")</f>
        <v>1.053363141338457</v>
      </c>
      <c r="BM28" s="360">
        <f t="shared" ref="BM28" si="148">IFERROR(AP16/AP15,"N/A")</f>
        <v>1.053363141338457</v>
      </c>
      <c r="BN28" s="360">
        <f t="shared" ref="BN28" si="149">IFERROR(AQ16/AQ15,"N/A")</f>
        <v>1.053363141338457</v>
      </c>
      <c r="BO28" s="360">
        <f t="shared" ref="BO28" si="150">IFERROR(AR16/AR15,"N/A")</f>
        <v>1.053363141338457</v>
      </c>
      <c r="BP28" s="360">
        <f t="shared" ref="BP28" si="151">IFERROR(AS16/AS15,"N/A")</f>
        <v>1.053363141338457</v>
      </c>
      <c r="BQ28" s="360">
        <f t="shared" ref="BQ28" si="152">IFERROR(AT16/AT15,"N/A")</f>
        <v>1.053363141338457</v>
      </c>
      <c r="BR28" s="360">
        <f t="shared" ref="BR28" si="153">IFERROR(AU16/AU15,"N/A")</f>
        <v>1.053363141338457</v>
      </c>
      <c r="BS28" s="360">
        <f t="shared" ref="BS28" si="154">IFERROR(AV16/AV15,"N/A")</f>
        <v>1.053363141338457</v>
      </c>
      <c r="CD28" t="s">
        <v>250</v>
      </c>
      <c r="CE28" t="s">
        <v>222</v>
      </c>
      <c r="CF28" t="s">
        <v>251</v>
      </c>
      <c r="CG28" s="4" t="str">
        <f t="shared" si="31"/>
        <v>Group 7</v>
      </c>
      <c r="CH28" s="4" t="s">
        <v>244</v>
      </c>
      <c r="CI28" s="4" t="s">
        <v>222</v>
      </c>
      <c r="CJ28" s="4" t="s">
        <v>222</v>
      </c>
      <c r="CL28" s="78" t="s">
        <v>159</v>
      </c>
      <c r="CM28" s="78" t="s">
        <v>266</v>
      </c>
      <c r="CO28" s="74"/>
      <c r="CP28" s="75"/>
      <c r="CQ28" s="4"/>
      <c r="DA28" s="74"/>
      <c r="DB28" s="75"/>
      <c r="DL28" s="466" t="s">
        <v>123</v>
      </c>
      <c r="DM28" s="4" t="s">
        <v>266</v>
      </c>
      <c r="DU28" s="4" t="s">
        <v>294</v>
      </c>
      <c r="DV28" s="231">
        <v>1.9990000000000001</v>
      </c>
      <c r="DW28" s="4">
        <v>1.45</v>
      </c>
      <c r="DZ28" s="466" t="s">
        <v>156</v>
      </c>
      <c r="EA28" s="251">
        <v>0.5</v>
      </c>
      <c r="EB28" s="251">
        <v>1</v>
      </c>
      <c r="EC28" s="526">
        <f t="shared" si="50"/>
        <v>0.5</v>
      </c>
      <c r="ED28" s="526">
        <f t="shared" si="51"/>
        <v>1</v>
      </c>
      <c r="EF28" s="466" t="s">
        <v>75</v>
      </c>
      <c r="EG28" s="4" t="s">
        <v>353</v>
      </c>
      <c r="EH28" s="375">
        <v>-0.4</v>
      </c>
      <c r="EI28" s="375">
        <v>0.4</v>
      </c>
      <c r="EJ28" s="4"/>
      <c r="EK28" s="101" t="s">
        <v>340</v>
      </c>
      <c r="EL28" s="375">
        <f>EL27</f>
        <v>-0.25</v>
      </c>
      <c r="EM28" s="375">
        <f>EM27</f>
        <v>0.25</v>
      </c>
      <c r="EN28" s="112"/>
      <c r="EO28" s="375"/>
      <c r="EP28" s="375"/>
      <c r="EQ28" s="32"/>
      <c r="ER28" s="375"/>
      <c r="ES28" s="375"/>
      <c r="ET28" s="112"/>
      <c r="EU28" s="375"/>
      <c r="EV28" s="375"/>
      <c r="EW28" s="112"/>
      <c r="EX28" s="375"/>
      <c r="EY28" s="375">
        <f t="shared" ref="EY28:EY29" si="155">EY27</f>
        <v>1</v>
      </c>
      <c r="EZ28" s="112"/>
      <c r="FA28" s="375"/>
      <c r="FB28" s="375"/>
      <c r="FC28" s="112"/>
      <c r="FD28" s="375"/>
      <c r="FE28" s="375"/>
      <c r="FF28" s="16"/>
      <c r="FG28" s="16"/>
      <c r="FH28" t="s">
        <v>2981</v>
      </c>
      <c r="FL28" s="34"/>
      <c r="FM28" s="34"/>
      <c r="FN28" s="34"/>
      <c r="FU28" s="154">
        <v>45001</v>
      </c>
      <c r="FV28" s="140">
        <v>21</v>
      </c>
      <c r="FW28" s="154"/>
      <c r="FX28" s="34"/>
      <c r="GL28" s="4" t="s">
        <v>2809</v>
      </c>
      <c r="GM28" s="56">
        <f t="shared" si="137"/>
        <v>1.28</v>
      </c>
      <c r="GN28" s="56">
        <f t="shared" si="138"/>
        <v>1.28</v>
      </c>
    </row>
    <row r="29" spans="1:202">
      <c r="A29" s="4" t="s">
        <v>434</v>
      </c>
      <c r="B29" s="3">
        <v>43600</v>
      </c>
      <c r="C29" s="4" t="s">
        <v>23</v>
      </c>
      <c r="D29" s="4" t="s">
        <v>24</v>
      </c>
      <c r="H29" s="4"/>
      <c r="I29" s="4"/>
      <c r="J29" s="4"/>
      <c r="L29" s="4" t="s">
        <v>118</v>
      </c>
      <c r="M29" s="4" t="s">
        <v>68</v>
      </c>
      <c r="N29" s="277" t="s">
        <v>455</v>
      </c>
      <c r="P29" s="4" t="s">
        <v>650</v>
      </c>
      <c r="Q29" s="4" t="s">
        <v>651</v>
      </c>
      <c r="R29" s="4" t="s">
        <v>652</v>
      </c>
      <c r="AC29" s="4">
        <f t="shared" si="136"/>
        <v>0.22299999999999986</v>
      </c>
      <c r="AD29" s="58">
        <v>10000000</v>
      </c>
      <c r="AE29" s="58">
        <v>10000000</v>
      </c>
      <c r="AF29" s="234">
        <v>5.4969999999999999</v>
      </c>
      <c r="AG29" s="234">
        <v>5.7690000000000001</v>
      </c>
      <c r="AH29" s="361">
        <f t="shared" si="95"/>
        <v>5.5466794615244677</v>
      </c>
      <c r="AI29" s="361">
        <f t="shared" si="96"/>
        <v>5.5655319265053667</v>
      </c>
      <c r="AJ29" s="361">
        <f t="shared" si="111"/>
        <v>5.5718655630343825</v>
      </c>
      <c r="AK29" s="361">
        <f t="shared" si="97"/>
        <v>5.5928952155721303</v>
      </c>
      <c r="AL29" s="361">
        <f t="shared" si="98"/>
        <v>5.6053645624886306</v>
      </c>
      <c r="AM29" s="361">
        <f t="shared" si="99"/>
        <v>5.6331237038384572</v>
      </c>
      <c r="AN29" s="361">
        <f t="shared" si="100"/>
        <v>5.658705657631435</v>
      </c>
      <c r="AO29" s="361">
        <f t="shared" si="101"/>
        <v>5.6782013825723121</v>
      </c>
      <c r="AP29" s="361">
        <f t="shared" si="102"/>
        <v>5.6974991813716569</v>
      </c>
      <c r="AQ29" s="361">
        <f t="shared" si="103"/>
        <v>5.7163516463525559</v>
      </c>
      <c r="AR29" s="361">
        <f t="shared" si="104"/>
        <v>5.7306518100782249</v>
      </c>
      <c r="AS29" s="361">
        <f t="shared" si="105"/>
        <v>5.7453973076223397</v>
      </c>
      <c r="AT29" s="361">
        <f t="shared" si="106"/>
        <v>5.7579656176096057</v>
      </c>
      <c r="AU29" s="361">
        <f t="shared" si="107"/>
        <v>5.7690000000000001</v>
      </c>
      <c r="AV29" s="361">
        <f t="shared" si="108"/>
        <v>5.7690000000000001</v>
      </c>
      <c r="AW29" s="57"/>
      <c r="AY29" s="58">
        <v>750000</v>
      </c>
      <c r="AZ29" s="58">
        <f>AY29</f>
        <v>750000</v>
      </c>
      <c r="BB29" s="364">
        <f>IFERROR((BB30-BB28)*($AY29-$AY28)/($AY30-$AY28)+BB28,"N/A")</f>
        <v>1.0886827485416672</v>
      </c>
      <c r="BC29" s="364">
        <f t="shared" ref="BC29" si="156">IFERROR((BC30-BC28)*($AY29-$AY28)/($AY30-$AY28)+BC28,"N/A")</f>
        <v>1.0581132567157401</v>
      </c>
      <c r="BD29" s="364">
        <f t="shared" si="139"/>
        <v>1.0762184464220734</v>
      </c>
      <c r="BE29" s="364">
        <f t="shared" ref="BE29" si="157">IFERROR((BE30-BE28)*($AY29-$AY28)/($AY30-$AY28)+BE28,"N/A")</f>
        <v>1.0637541443024796</v>
      </c>
      <c r="BF29" s="364">
        <f t="shared" ref="BF29" si="158">IFERROR((BF30-BF28)*($AY29-$AY28)/($AY30-$AY28)+BF28,"N/A")</f>
        <v>1.0556197020456253</v>
      </c>
      <c r="BG29" s="364">
        <f t="shared" ref="BG29" si="159">IFERROR((BG30-BG28)*($AY29-$AY28)/($AY30-$AY28)+BG28,"N/A")</f>
        <v>1.0530257983825329</v>
      </c>
      <c r="BH29" s="364">
        <f t="shared" ref="BH29" si="160">IFERROR((BH30-BH28)*($AY29-$AY28)/($AY30-$AY28)+BH28,"N/A")</f>
        <v>1.0448695382634885</v>
      </c>
      <c r="BI29" s="364">
        <f t="shared" ref="BI29" si="161">IFERROR((BI30-BI28)*($AY29-$AY28)/($AY30-$AY28)+BI28,"N/A")</f>
        <v>1.0496869239080167</v>
      </c>
      <c r="BJ29" s="364">
        <f t="shared" ref="BJ29" si="162">IFERROR((BJ30-BJ28)*($AY29-$AY28)/($AY30-$AY28)+BJ28,"N/A")</f>
        <v>1.0581132567157401</v>
      </c>
      <c r="BK29" s="364">
        <f t="shared" ref="BK29" si="163">IFERROR((BK30-BK28)*($AY29-$AY28)/($AY30-$AY28)+BK28,"N/A")</f>
        <v>1.0581132567157401</v>
      </c>
      <c r="BL29" s="364">
        <f t="shared" ref="BL29" si="164">IFERROR((BL30-BL28)*($AY29-$AY28)/($AY30-$AY28)+BL28,"N/A")</f>
        <v>1.0581132567157401</v>
      </c>
      <c r="BM29" s="364">
        <f t="shared" ref="BM29" si="165">IFERROR((BM30-BM28)*($AY29-$AY28)/($AY30-$AY28)+BM28,"N/A")</f>
        <v>1.0581132567157401</v>
      </c>
      <c r="BN29" s="364">
        <f t="shared" ref="BN29" si="166">IFERROR((BN30-BN28)*($AY29-$AY28)/($AY30-$AY28)+BN28,"N/A")</f>
        <v>1.0581132567157401</v>
      </c>
      <c r="BO29" s="364">
        <f t="shared" ref="BO29" si="167">IFERROR((BO30-BO28)*($AY29-$AY28)/($AY30-$AY28)+BO28,"N/A")</f>
        <v>1.0581132567157401</v>
      </c>
      <c r="BP29" s="364">
        <f t="shared" ref="BP29" si="168">IFERROR((BP30-BP28)*($AY29-$AY28)/($AY30-$AY28)+BP28,"N/A")</f>
        <v>1.0581132567157401</v>
      </c>
      <c r="BQ29" s="364">
        <f t="shared" ref="BQ29" si="169">IFERROR((BQ30-BQ28)*($AY29-$AY28)/($AY30-$AY28)+BQ28,"N/A")</f>
        <v>1.0581132567157401</v>
      </c>
      <c r="BR29" s="364">
        <f t="shared" ref="BR29" si="170">IFERROR((BR30-BR28)*($AY29-$AY28)/($AY30-$AY28)+BR28,"N/A")</f>
        <v>1.0581132567157401</v>
      </c>
      <c r="BS29" s="364">
        <f t="shared" ref="BS29" si="171">IFERROR((BS30-BS28)*($AY29-$AY28)/($AY30-$AY28)+BS28,"N/A")</f>
        <v>1.0581132567157401</v>
      </c>
      <c r="CD29" t="s">
        <v>235</v>
      </c>
      <c r="CE29" t="s">
        <v>219</v>
      </c>
      <c r="CF29" t="s">
        <v>229</v>
      </c>
      <c r="CG29" s="4" t="str">
        <f t="shared" si="31"/>
        <v>Group 4</v>
      </c>
      <c r="CH29" s="4" t="s">
        <v>222</v>
      </c>
      <c r="CI29" s="4" t="s">
        <v>219</v>
      </c>
      <c r="CJ29" s="4" t="s">
        <v>219</v>
      </c>
      <c r="CL29" s="77" t="s">
        <v>76</v>
      </c>
      <c r="CM29" s="77" t="s">
        <v>267</v>
      </c>
      <c r="CO29" s="74"/>
      <c r="CP29" s="75"/>
      <c r="CQ29" s="4"/>
      <c r="DA29" s="74"/>
      <c r="DB29" s="75"/>
      <c r="DL29" s="466" t="s">
        <v>156</v>
      </c>
      <c r="DM29" s="4" t="s">
        <v>266</v>
      </c>
      <c r="DU29" s="4" t="s">
        <v>295</v>
      </c>
      <c r="DV29" s="231">
        <v>2.9990000000000001</v>
      </c>
      <c r="DW29" s="4">
        <v>1.6</v>
      </c>
      <c r="DZ29" s="466" t="s">
        <v>159</v>
      </c>
      <c r="EA29" s="251">
        <v>0.5</v>
      </c>
      <c r="EB29" s="251">
        <v>1</v>
      </c>
      <c r="EC29" s="526">
        <f t="shared" si="50"/>
        <v>0.5</v>
      </c>
      <c r="ED29" s="526">
        <f t="shared" si="51"/>
        <v>1</v>
      </c>
      <c r="EF29" s="466" t="s">
        <v>159</v>
      </c>
      <c r="EG29" s="4" t="s">
        <v>353</v>
      </c>
      <c r="EH29" s="375">
        <v>-0.25</v>
      </c>
      <c r="EI29" s="375">
        <v>0.25</v>
      </c>
      <c r="EJ29" s="4"/>
      <c r="EK29" s="120" t="s">
        <v>359</v>
      </c>
      <c r="EL29" s="375"/>
      <c r="EM29" s="375"/>
      <c r="EN29" s="112"/>
      <c r="EO29" s="375"/>
      <c r="EP29" s="375"/>
      <c r="EQ29" s="32"/>
      <c r="ER29" s="375"/>
      <c r="ES29" s="375"/>
      <c r="ET29" s="112"/>
      <c r="EU29" s="375"/>
      <c r="EV29" s="375"/>
      <c r="EW29" s="112"/>
      <c r="EX29" s="375"/>
      <c r="EY29" s="375">
        <f t="shared" si="155"/>
        <v>1</v>
      </c>
      <c r="EZ29" s="112"/>
      <c r="FA29" s="375"/>
      <c r="FB29" s="375"/>
      <c r="FC29" s="112"/>
      <c r="FD29" s="375"/>
      <c r="FE29" s="375"/>
      <c r="FF29" s="16"/>
      <c r="FG29" s="16"/>
      <c r="FL29" s="34"/>
      <c r="FM29" s="34"/>
      <c r="FN29" s="34"/>
      <c r="FU29" s="154">
        <v>60001</v>
      </c>
      <c r="FV29" s="140">
        <v>24</v>
      </c>
      <c r="FW29" s="154"/>
      <c r="FX29" s="4"/>
    </row>
    <row r="30" spans="1:202">
      <c r="H30" s="4"/>
      <c r="I30" s="4"/>
      <c r="J30" s="4"/>
      <c r="L30" s="4" t="s">
        <v>119</v>
      </c>
      <c r="M30" s="4" t="s">
        <v>69</v>
      </c>
      <c r="N30" s="277" t="s">
        <v>455</v>
      </c>
      <c r="P30" s="4" t="s">
        <v>653</v>
      </c>
      <c r="Q30" s="4" t="s">
        <v>654</v>
      </c>
      <c r="R30" s="4" t="s">
        <v>655</v>
      </c>
      <c r="AC30" s="4">
        <f>(AF30-AF29)/(AD30-AD29)*1000000</f>
        <v>0.14060000000000006</v>
      </c>
      <c r="AD30" s="58">
        <v>15000000</v>
      </c>
      <c r="AE30" s="58">
        <v>15000000</v>
      </c>
      <c r="AF30" s="234">
        <v>6.2</v>
      </c>
      <c r="AG30" s="234">
        <v>6.2619999999999996</v>
      </c>
      <c r="AH30" s="361">
        <f t="shared" si="95"/>
        <v>6.2100400000000002</v>
      </c>
      <c r="AI30" s="361">
        <f t="shared" si="96"/>
        <v>6.2138499999999999</v>
      </c>
      <c r="AJ30" s="361">
        <f t="shared" si="111"/>
        <v>6.2151300000000003</v>
      </c>
      <c r="AK30" s="361">
        <f t="shared" si="97"/>
        <v>6.2193800000000001</v>
      </c>
      <c r="AL30" s="361">
        <f t="shared" si="98"/>
        <v>6.2218999999999998</v>
      </c>
      <c r="AM30" s="361">
        <f t="shared" si="99"/>
        <v>6.2275099999999997</v>
      </c>
      <c r="AN30" s="361">
        <f t="shared" si="100"/>
        <v>6.2326800000000002</v>
      </c>
      <c r="AO30" s="361">
        <f t="shared" si="101"/>
        <v>6.2366199999999994</v>
      </c>
      <c r="AP30" s="361">
        <f t="shared" si="102"/>
        <v>6.2405200000000001</v>
      </c>
      <c r="AQ30" s="361">
        <f t="shared" si="103"/>
        <v>6.2443299999999997</v>
      </c>
      <c r="AR30" s="361">
        <f t="shared" si="104"/>
        <v>6.2472199999999996</v>
      </c>
      <c r="AS30" s="361">
        <f t="shared" si="105"/>
        <v>6.2501999999999995</v>
      </c>
      <c r="AT30" s="361">
        <f t="shared" si="106"/>
        <v>6.2527399999999993</v>
      </c>
      <c r="AU30" s="361">
        <f t="shared" si="107"/>
        <v>6.2549699999999993</v>
      </c>
      <c r="AV30" s="361">
        <f t="shared" si="108"/>
        <v>6.2619999999999996</v>
      </c>
      <c r="AW30" s="57"/>
      <c r="AY30" s="58">
        <v>1000000</v>
      </c>
      <c r="AZ30" s="58">
        <f t="shared" si="141"/>
        <v>1000000</v>
      </c>
      <c r="BA30" s="58"/>
      <c r="BB30" s="234">
        <f t="shared" ref="BB30:BC30" si="172">IFERROR(AF19/AF18,"N/A")</f>
        <v>1.097716894977169</v>
      </c>
      <c r="BC30" s="234">
        <f t="shared" si="172"/>
        <v>1.0628633720930232</v>
      </c>
      <c r="BD30" s="234">
        <f t="shared" si="139"/>
        <v>1.0843908373710318</v>
      </c>
      <c r="BE30" s="234">
        <f>IFERROR(AH19/AH18,"N/A")</f>
        <v>1.0710647797648947</v>
      </c>
      <c r="BF30" s="234">
        <f>IFERROR(AI19/AI18,"N/A")</f>
        <v>1.0623630099280132</v>
      </c>
      <c r="BG30" s="234">
        <f>IFERROR(AJ19/AJ18,"N/A")</f>
        <v>1.0595876873491521</v>
      </c>
      <c r="BH30" s="234">
        <f>IFERROR(AK19/AK18,"N/A")</f>
        <v>1.0508593674889501</v>
      </c>
      <c r="BI30" s="234">
        <f>IFERROR(AL19/AL18,"N/A")</f>
        <v>1.0460107064775761</v>
      </c>
      <c r="BJ30" s="234">
        <f t="shared" ref="BJ30" si="173">IFERROR(AM19/AM18,"N/A")</f>
        <v>1.0628633720930232</v>
      </c>
      <c r="BK30" s="234">
        <f t="shared" ref="BK30" si="174">IFERROR(AN19/AN18,"N/A")</f>
        <v>1.0628633720930232</v>
      </c>
      <c r="BL30" s="234">
        <f t="shared" ref="BL30" si="175">IFERROR(AO19/AO18,"N/A")</f>
        <v>1.0628633720930232</v>
      </c>
      <c r="BM30" s="234">
        <f t="shared" ref="BM30" si="176">IFERROR(AP19/AP18,"N/A")</f>
        <v>1.0628633720930232</v>
      </c>
      <c r="BN30" s="234">
        <f t="shared" ref="BN30" si="177">IFERROR(AQ19/AQ18,"N/A")</f>
        <v>1.0628633720930232</v>
      </c>
      <c r="BO30" s="234">
        <f t="shared" ref="BO30" si="178">IFERROR(AR19/AR18,"N/A")</f>
        <v>1.0628633720930232</v>
      </c>
      <c r="BP30" s="234">
        <f t="shared" ref="BP30" si="179">IFERROR(AS19/AS18,"N/A")</f>
        <v>1.0628633720930232</v>
      </c>
      <c r="BQ30" s="234">
        <f t="shared" ref="BQ30" si="180">IFERROR(AT19/AT18,"N/A")</f>
        <v>1.0628633720930232</v>
      </c>
      <c r="BR30" s="234">
        <f t="shared" ref="BR30" si="181">IFERROR(AU19/AU18,"N/A")</f>
        <v>1.0628633720930232</v>
      </c>
      <c r="BS30" s="234">
        <f t="shared" ref="BS30" si="182">IFERROR(AV19/AV18,"N/A")</f>
        <v>1.0628633720930232</v>
      </c>
      <c r="CD30" t="s">
        <v>236</v>
      </c>
      <c r="CE30" t="s">
        <v>219</v>
      </c>
      <c r="CF30" t="s">
        <v>229</v>
      </c>
      <c r="CG30" s="4" t="str">
        <f t="shared" si="31"/>
        <v>Group 4</v>
      </c>
      <c r="CH30" s="4" t="s">
        <v>222</v>
      </c>
      <c r="CI30" s="4" t="s">
        <v>219</v>
      </c>
      <c r="CJ30" s="4" t="s">
        <v>219</v>
      </c>
      <c r="CL30" s="78" t="s">
        <v>170</v>
      </c>
      <c r="CM30" s="78" t="s">
        <v>266</v>
      </c>
      <c r="CO30" s="74"/>
      <c r="CP30" s="75"/>
      <c r="CQ30" s="4"/>
      <c r="DA30" s="74"/>
      <c r="DB30" s="75"/>
      <c r="DL30" s="466" t="s">
        <v>159</v>
      </c>
      <c r="DM30" s="4" t="s">
        <v>266</v>
      </c>
      <c r="DU30" s="4" t="s">
        <v>296</v>
      </c>
      <c r="DV30" s="231">
        <v>3.9990000000000001</v>
      </c>
      <c r="DW30" s="4">
        <v>1.75</v>
      </c>
      <c r="DZ30" s="466" t="s">
        <v>78</v>
      </c>
      <c r="EA30" s="251">
        <v>0.5</v>
      </c>
      <c r="EB30" s="251">
        <v>1</v>
      </c>
      <c r="EC30" s="526">
        <f t="shared" si="50"/>
        <v>0.5</v>
      </c>
      <c r="ED30" s="526">
        <f t="shared" si="51"/>
        <v>1</v>
      </c>
      <c r="EF30" s="466" t="s">
        <v>76</v>
      </c>
      <c r="EG30" s="4" t="s">
        <v>351</v>
      </c>
      <c r="EH30" s="375">
        <v>-0.5</v>
      </c>
      <c r="EI30" s="375">
        <v>0.5</v>
      </c>
      <c r="EJ30" s="4"/>
      <c r="EK30" s="117" t="s">
        <v>341</v>
      </c>
      <c r="EL30" s="376">
        <v>-0.25</v>
      </c>
      <c r="EM30" s="376">
        <v>0.25</v>
      </c>
      <c r="EN30" s="100" t="s">
        <v>344</v>
      </c>
      <c r="EO30" s="376">
        <v>-0.25</v>
      </c>
      <c r="EP30" s="376">
        <v>0.25</v>
      </c>
      <c r="EQ30" s="117" t="s">
        <v>341</v>
      </c>
      <c r="ER30" s="376">
        <v>-0.1</v>
      </c>
      <c r="ES30" s="376">
        <v>0.1</v>
      </c>
      <c r="ET30" s="119" t="s">
        <v>344</v>
      </c>
      <c r="EU30" s="376">
        <v>-0.25</v>
      </c>
      <c r="EV30" s="376">
        <v>0.25</v>
      </c>
      <c r="EW30" s="119" t="s">
        <v>344</v>
      </c>
      <c r="EX30" s="376"/>
      <c r="EY30" s="376">
        <v>1</v>
      </c>
      <c r="EZ30" s="100" t="s">
        <v>344</v>
      </c>
      <c r="FA30" s="376">
        <v>-0.25</v>
      </c>
      <c r="FB30" s="376">
        <v>0.25</v>
      </c>
      <c r="FC30" s="119"/>
      <c r="FD30" s="376"/>
      <c r="FE30" s="376"/>
      <c r="FF30" s="16"/>
      <c r="FG30" s="16"/>
      <c r="FL30" s="34"/>
      <c r="FM30" s="34"/>
      <c r="FN30" s="34"/>
      <c r="FU30" s="154">
        <v>80001</v>
      </c>
      <c r="FV30" s="140">
        <v>27</v>
      </c>
      <c r="FZ30" s="4" t="s">
        <v>1443</v>
      </c>
    </row>
    <row r="31" spans="1:202">
      <c r="H31" s="4"/>
      <c r="I31" s="4"/>
      <c r="J31" s="4"/>
      <c r="L31" s="4" t="s">
        <v>120</v>
      </c>
      <c r="M31" s="4" t="s">
        <v>121</v>
      </c>
      <c r="N31" s="277" t="s">
        <v>455</v>
      </c>
      <c r="P31" s="4" t="s">
        <v>656</v>
      </c>
      <c r="Q31" s="4" t="s">
        <v>657</v>
      </c>
      <c r="R31" s="4" t="s">
        <v>658</v>
      </c>
      <c r="AY31" s="58">
        <v>2000000</v>
      </c>
      <c r="AZ31" s="58">
        <f t="shared" si="141"/>
        <v>2000000</v>
      </c>
      <c r="BA31" s="58"/>
      <c r="BB31" s="234">
        <f t="shared" ref="BB31:BC31" si="183">IFERROR(AF21/AF20,"N/A")</f>
        <v>1.0687022900763359</v>
      </c>
      <c r="BC31" s="234">
        <f t="shared" si="183"/>
        <v>1.0668216153399186</v>
      </c>
      <c r="BD31" s="234">
        <f t="shared" si="139"/>
        <v>1.0654496832180502</v>
      </c>
      <c r="BE31" s="234">
        <f>IFERROR(AH21/AH20,"N/A")</f>
        <v>1.0621970763597643</v>
      </c>
      <c r="BF31" s="234">
        <f>IFERROR(AI21/AI20,"N/A")</f>
        <v>1.0600055949491425</v>
      </c>
      <c r="BG31" s="234">
        <f>IFERROR(AJ21/AJ20,"N/A")</f>
        <v>1.0592994127413649</v>
      </c>
      <c r="BH31" s="234">
        <f>IFERROR(AK21/AK20,"N/A")</f>
        <v>1.0570552582639265</v>
      </c>
      <c r="BI31" s="234">
        <f>IFERROR(AL21/AL20,"N/A")</f>
        <v>1.0557931528835336</v>
      </c>
      <c r="BJ31" s="234">
        <f t="shared" ref="BJ31" si="184">IFERROR(AM21/AM20,"N/A")</f>
        <v>1.0531501618660246</v>
      </c>
      <c r="BK31" s="234">
        <f t="shared" ref="BK31" si="185">IFERROR(AN21/AN20,"N/A")</f>
        <v>1.0668216153399186</v>
      </c>
      <c r="BL31" s="234">
        <f t="shared" ref="BL31" si="186">IFERROR(AO21/AO20,"N/A")</f>
        <v>1.0668216153399186</v>
      </c>
      <c r="BM31" s="234">
        <f t="shared" ref="BM31" si="187">IFERROR(AP21/AP20,"N/A")</f>
        <v>1.0668216153399186</v>
      </c>
      <c r="BN31" s="234">
        <f t="shared" ref="BN31" si="188">IFERROR(AQ21/AQ20,"N/A")</f>
        <v>1.0668216153399186</v>
      </c>
      <c r="BO31" s="234">
        <f t="shared" ref="BO31" si="189">IFERROR(AR21/AR20,"N/A")</f>
        <v>1.0668216153399186</v>
      </c>
      <c r="BP31" s="234">
        <f t="shared" ref="BP31" si="190">IFERROR(AS21/AS20,"N/A")</f>
        <v>1.0668216153399186</v>
      </c>
      <c r="BQ31" s="234">
        <f t="shared" ref="BQ31" si="191">IFERROR(AT21/AT20,"N/A")</f>
        <v>1.0668216153399186</v>
      </c>
      <c r="BR31" s="234">
        <f t="shared" ref="BR31" si="192">IFERROR(AU21/AU20,"N/A")</f>
        <v>1.0668216153399186</v>
      </c>
      <c r="BS31" s="234">
        <f t="shared" ref="BS31" si="193">IFERROR(AV21/AV20,"N/A")</f>
        <v>1.0668216153399186</v>
      </c>
      <c r="CD31" t="s">
        <v>221</v>
      </c>
      <c r="CE31" t="s">
        <v>219</v>
      </c>
      <c r="CF31" t="s">
        <v>222</v>
      </c>
      <c r="CG31" s="4" t="str">
        <f t="shared" si="31"/>
        <v>Group 3</v>
      </c>
      <c r="CH31" s="4" t="str">
        <f>CE31</f>
        <v>Group 2</v>
      </c>
      <c r="CI31" s="4" t="s">
        <v>219</v>
      </c>
      <c r="CJ31" s="4" t="s">
        <v>219</v>
      </c>
      <c r="CL31" s="466" t="s">
        <v>78</v>
      </c>
      <c r="CM31" s="78" t="s">
        <v>2627</v>
      </c>
      <c r="CO31" s="74"/>
      <c r="CP31" s="75"/>
      <c r="CQ31" s="4"/>
      <c r="DA31" s="74"/>
      <c r="DB31" s="75"/>
      <c r="DL31" s="466" t="s">
        <v>78</v>
      </c>
      <c r="DM31" s="4" t="s">
        <v>266</v>
      </c>
      <c r="DU31" s="4" t="s">
        <v>297</v>
      </c>
      <c r="DV31" s="231">
        <v>4.9989999999999997</v>
      </c>
      <c r="DW31" s="4">
        <v>1.9</v>
      </c>
      <c r="DZ31" s="466" t="s">
        <v>82</v>
      </c>
      <c r="EA31" s="251">
        <v>0.5</v>
      </c>
      <c r="EB31" s="251">
        <v>1</v>
      </c>
      <c r="EC31" s="526">
        <f t="shared" si="50"/>
        <v>0.5</v>
      </c>
      <c r="ED31" s="526">
        <f t="shared" si="51"/>
        <v>1</v>
      </c>
      <c r="EF31" s="466" t="s">
        <v>170</v>
      </c>
      <c r="EG31" s="4" t="s">
        <v>353</v>
      </c>
      <c r="EH31" s="375">
        <v>-0.5</v>
      </c>
      <c r="EI31" s="375">
        <v>0.5</v>
      </c>
      <c r="EJ31" s="4"/>
      <c r="EK31" s="112" t="s">
        <v>342</v>
      </c>
      <c r="EL31" s="375">
        <v>-0.25</v>
      </c>
      <c r="EM31" s="375">
        <v>0</v>
      </c>
      <c r="EN31" s="112"/>
      <c r="EO31" s="375"/>
      <c r="EP31" s="375"/>
      <c r="EQ31" s="113"/>
      <c r="ER31" s="379"/>
      <c r="ES31" s="379"/>
      <c r="ET31" s="112"/>
      <c r="EU31" s="375"/>
      <c r="EV31" s="375"/>
      <c r="EW31" s="112"/>
      <c r="EX31" s="375"/>
      <c r="EY31" s="375">
        <f t="shared" ref="EY31:EY33" si="194">EY30</f>
        <v>1</v>
      </c>
      <c r="EZ31" s="112"/>
      <c r="FA31" s="375"/>
      <c r="FB31" s="375"/>
      <c r="FC31" s="112"/>
      <c r="FD31" s="375"/>
      <c r="FE31" s="375"/>
      <c r="FF31" s="16"/>
      <c r="FG31" s="16"/>
      <c r="FU31" s="4"/>
      <c r="FV31" s="4"/>
      <c r="FZ31" t="s">
        <v>1444</v>
      </c>
    </row>
    <row r="32" spans="1:202">
      <c r="H32" s="4"/>
      <c r="I32" s="4"/>
      <c r="J32" s="4"/>
      <c r="L32" s="4" t="s">
        <v>122</v>
      </c>
      <c r="M32" s="4" t="s">
        <v>123</v>
      </c>
      <c r="N32" s="277" t="s">
        <v>455</v>
      </c>
      <c r="P32" s="4" t="s">
        <v>659</v>
      </c>
      <c r="Q32" s="4" t="s">
        <v>660</v>
      </c>
      <c r="R32" s="4" t="s">
        <v>661</v>
      </c>
      <c r="CD32" t="s">
        <v>215</v>
      </c>
      <c r="CE32" t="s">
        <v>211</v>
      </c>
      <c r="CF32" t="s">
        <v>211</v>
      </c>
      <c r="CG32" s="4" t="str">
        <f t="shared" si="31"/>
        <v>Group 1</v>
      </c>
      <c r="CH32" s="4" t="str">
        <f>CE32</f>
        <v>Group 1</v>
      </c>
      <c r="CI32" s="4" t="s">
        <v>211</v>
      </c>
      <c r="CJ32" s="4" t="s">
        <v>211</v>
      </c>
      <c r="CL32" s="466" t="s">
        <v>82</v>
      </c>
      <c r="CM32" s="78" t="s">
        <v>2627</v>
      </c>
      <c r="DL32" s="466" t="s">
        <v>82</v>
      </c>
      <c r="DM32" s="4" t="s">
        <v>266</v>
      </c>
      <c r="DU32" s="4" t="s">
        <v>431</v>
      </c>
      <c r="DV32" s="231">
        <v>5.9989999999999997</v>
      </c>
      <c r="DW32" s="4">
        <v>2</v>
      </c>
      <c r="DZ32" s="466" t="s">
        <v>92</v>
      </c>
      <c r="EA32" s="251">
        <v>0.5</v>
      </c>
      <c r="EB32" s="251">
        <v>1</v>
      </c>
      <c r="EC32" s="526">
        <f t="shared" si="50"/>
        <v>0.5</v>
      </c>
      <c r="ED32" s="526">
        <f t="shared" si="51"/>
        <v>1</v>
      </c>
      <c r="EF32" s="466" t="s">
        <v>78</v>
      </c>
      <c r="EG32" s="4" t="s">
        <v>353</v>
      </c>
      <c r="EH32" s="375">
        <v>-0.25</v>
      </c>
      <c r="EI32" s="375">
        <v>0.25</v>
      </c>
      <c r="EJ32" s="62"/>
      <c r="EK32" s="112" t="s">
        <v>343</v>
      </c>
      <c r="EL32" s="375">
        <v>0</v>
      </c>
      <c r="EM32" s="375">
        <v>0.25</v>
      </c>
      <c r="EN32" s="112"/>
      <c r="EO32" s="375"/>
      <c r="EP32" s="375"/>
      <c r="EQ32" s="113"/>
      <c r="ER32" s="379"/>
      <c r="ES32" s="379"/>
      <c r="ET32" s="112"/>
      <c r="EU32" s="375"/>
      <c r="EV32" s="375"/>
      <c r="EW32" s="112"/>
      <c r="EX32" s="375"/>
      <c r="EY32" s="375">
        <f t="shared" si="194"/>
        <v>1</v>
      </c>
      <c r="EZ32" s="112"/>
      <c r="FA32" s="375"/>
      <c r="FB32" s="375"/>
      <c r="FC32" s="112"/>
      <c r="FD32" s="375"/>
      <c r="FE32" s="375"/>
      <c r="FF32" s="16"/>
      <c r="FG32" s="16"/>
      <c r="FH32" s="16"/>
    </row>
    <row r="33" spans="8:187">
      <c r="H33" s="4"/>
      <c r="I33" s="4"/>
      <c r="J33" s="4"/>
      <c r="L33" s="4" t="s">
        <v>124</v>
      </c>
      <c r="M33" s="4" t="s">
        <v>125</v>
      </c>
      <c r="N33" s="277" t="s">
        <v>455</v>
      </c>
      <c r="P33" s="4" t="s">
        <v>662</v>
      </c>
      <c r="Q33" s="4" t="s">
        <v>663</v>
      </c>
      <c r="R33" s="4" t="s">
        <v>664</v>
      </c>
      <c r="CD33" t="s">
        <v>237</v>
      </c>
      <c r="CE33" t="s">
        <v>219</v>
      </c>
      <c r="CF33" t="s">
        <v>229</v>
      </c>
      <c r="CG33" s="4" t="str">
        <f t="shared" si="31"/>
        <v>Group 4</v>
      </c>
      <c r="CH33" s="4" t="s">
        <v>222</v>
      </c>
      <c r="CI33" s="4" t="s">
        <v>219</v>
      </c>
      <c r="CJ33" s="4" t="s">
        <v>219</v>
      </c>
      <c r="CL33" s="466" t="s">
        <v>92</v>
      </c>
      <c r="CM33" s="78" t="s">
        <v>2627</v>
      </c>
      <c r="DL33" s="466" t="s">
        <v>92</v>
      </c>
      <c r="DM33" s="4" t="s">
        <v>266</v>
      </c>
      <c r="DZ33" s="466" t="s">
        <v>129</v>
      </c>
      <c r="EA33" s="251">
        <v>0.5</v>
      </c>
      <c r="EB33" s="251">
        <v>1</v>
      </c>
      <c r="EC33" s="526">
        <f t="shared" si="50"/>
        <v>0.5</v>
      </c>
      <c r="ED33" s="526">
        <f t="shared" si="51"/>
        <v>1</v>
      </c>
      <c r="EF33" s="466" t="s">
        <v>82</v>
      </c>
      <c r="EG33" s="4" t="s">
        <v>353</v>
      </c>
      <c r="EH33" s="375">
        <v>-0.25</v>
      </c>
      <c r="EI33" s="375">
        <v>0.25</v>
      </c>
      <c r="EJ33" s="62"/>
      <c r="EK33" s="32" t="s">
        <v>348</v>
      </c>
      <c r="EL33" s="375"/>
      <c r="EM33" s="375"/>
      <c r="EN33" s="112"/>
      <c r="EO33" s="375"/>
      <c r="EP33" s="375"/>
      <c r="EQ33" s="32" t="s">
        <v>348</v>
      </c>
      <c r="ER33" s="375">
        <v>-0.1</v>
      </c>
      <c r="ES33" s="375">
        <v>0.1</v>
      </c>
      <c r="ET33" s="112"/>
      <c r="EU33" s="375"/>
      <c r="EV33" s="375"/>
      <c r="EW33" s="112"/>
      <c r="EX33" s="375"/>
      <c r="EY33" s="375">
        <f t="shared" si="194"/>
        <v>1</v>
      </c>
      <c r="EZ33" s="112"/>
      <c r="FA33" s="375"/>
      <c r="FB33" s="375"/>
      <c r="FC33" s="112"/>
      <c r="FD33" s="375"/>
      <c r="FE33" s="375"/>
      <c r="FF33" s="16"/>
      <c r="FG33" s="16"/>
      <c r="FH33" s="16"/>
    </row>
    <row r="34" spans="8:187">
      <c r="H34" s="4"/>
      <c r="I34" s="4"/>
      <c r="J34" s="4"/>
      <c r="L34" s="4" t="s">
        <v>126</v>
      </c>
      <c r="M34" s="4" t="s">
        <v>127</v>
      </c>
      <c r="N34" s="277" t="s">
        <v>455</v>
      </c>
      <c r="P34" s="4" t="s">
        <v>665</v>
      </c>
      <c r="Q34" s="4" t="s">
        <v>666</v>
      </c>
      <c r="R34" s="4" t="s">
        <v>667</v>
      </c>
      <c r="AD34" s="4"/>
      <c r="AE34" s="4"/>
      <c r="CD34" t="s">
        <v>223</v>
      </c>
      <c r="CE34" t="s">
        <v>219</v>
      </c>
      <c r="CF34" t="s">
        <v>222</v>
      </c>
      <c r="CG34" s="4" t="str">
        <f t="shared" si="31"/>
        <v>Group 3</v>
      </c>
      <c r="CH34" s="4" t="str">
        <f>CE34</f>
        <v>Group 2</v>
      </c>
      <c r="CI34" s="4" t="s">
        <v>219</v>
      </c>
      <c r="CJ34" s="4" t="s">
        <v>219</v>
      </c>
      <c r="CL34" s="466" t="s">
        <v>129</v>
      </c>
      <c r="CM34" s="78" t="s">
        <v>2627</v>
      </c>
      <c r="DL34" s="466" t="s">
        <v>129</v>
      </c>
      <c r="DM34" s="4" t="s">
        <v>266</v>
      </c>
      <c r="DZ34" s="466" t="s">
        <v>135</v>
      </c>
      <c r="EA34" s="251">
        <v>0.5</v>
      </c>
      <c r="EB34" s="251">
        <v>1</v>
      </c>
      <c r="EC34" s="526">
        <f t="shared" si="50"/>
        <v>0.5</v>
      </c>
      <c r="ED34" s="526">
        <f t="shared" si="51"/>
        <v>1</v>
      </c>
      <c r="EF34" s="466" t="s">
        <v>92</v>
      </c>
      <c r="EG34" s="4" t="s">
        <v>353</v>
      </c>
      <c r="EH34" s="375">
        <v>-0.25</v>
      </c>
      <c r="EI34" s="375">
        <v>0.25</v>
      </c>
      <c r="EJ34" s="62"/>
      <c r="EK34" s="114"/>
      <c r="EL34" s="375"/>
      <c r="EM34" s="375"/>
      <c r="EN34" s="112"/>
      <c r="EO34" s="375"/>
      <c r="EP34" s="375"/>
      <c r="EQ34" s="112"/>
      <c r="ER34" s="375"/>
      <c r="ES34" s="375"/>
      <c r="ET34" s="112"/>
      <c r="EU34" s="375"/>
      <c r="EV34" s="375"/>
      <c r="EW34" s="112"/>
      <c r="EX34" s="375"/>
      <c r="EY34" s="375"/>
      <c r="EZ34" s="112"/>
      <c r="FA34" s="16"/>
      <c r="FB34" s="16"/>
      <c r="FC34" s="112"/>
      <c r="FD34" s="375"/>
      <c r="FE34" s="375"/>
      <c r="FZ34" s="33" t="s">
        <v>1493</v>
      </c>
    </row>
    <row r="35" spans="8:187">
      <c r="H35" s="4"/>
      <c r="I35" s="4"/>
      <c r="J35" s="4"/>
      <c r="L35" s="4" t="s">
        <v>128</v>
      </c>
      <c r="M35" s="4" t="s">
        <v>129</v>
      </c>
      <c r="N35" s="277" t="s">
        <v>455</v>
      </c>
      <c r="P35" s="4" t="s">
        <v>668</v>
      </c>
      <c r="Q35" s="4" t="s">
        <v>669</v>
      </c>
      <c r="R35" s="4" t="s">
        <v>670</v>
      </c>
      <c r="AD35" s="4"/>
      <c r="AE35" s="4"/>
      <c r="AY35" t="s">
        <v>394</v>
      </c>
      <c r="CD35" t="s">
        <v>261</v>
      </c>
      <c r="CE35" t="s">
        <v>222</v>
      </c>
      <c r="CF35" t="s">
        <v>254</v>
      </c>
      <c r="CG35" s="4" t="str">
        <f t="shared" si="31"/>
        <v>Group 8</v>
      </c>
      <c r="CH35" s="4" t="s">
        <v>251</v>
      </c>
      <c r="CI35" s="4" t="s">
        <v>222</v>
      </c>
      <c r="CJ35" s="4" t="s">
        <v>222</v>
      </c>
      <c r="CL35" s="466" t="s">
        <v>135</v>
      </c>
      <c r="CM35" s="78" t="s">
        <v>266</v>
      </c>
      <c r="DL35" s="466" t="s">
        <v>135</v>
      </c>
      <c r="DM35" s="4" t="s">
        <v>266</v>
      </c>
      <c r="DZ35" s="466" t="s">
        <v>152</v>
      </c>
      <c r="EA35" s="251">
        <v>0.5</v>
      </c>
      <c r="EB35" s="251">
        <v>1</v>
      </c>
      <c r="EC35" s="526">
        <f t="shared" si="50"/>
        <v>0.5</v>
      </c>
      <c r="ED35" s="526">
        <f t="shared" si="51"/>
        <v>1</v>
      </c>
      <c r="EF35" s="466" t="s">
        <v>129</v>
      </c>
      <c r="EG35" s="4" t="s">
        <v>353</v>
      </c>
      <c r="EH35" s="375">
        <v>-0.25</v>
      </c>
      <c r="EI35" s="375">
        <v>0.25</v>
      </c>
      <c r="EJ35" s="62"/>
      <c r="EK35" s="115"/>
      <c r="EL35" s="115"/>
      <c r="EM35" s="115"/>
      <c r="EN35" s="112"/>
      <c r="EO35" s="375"/>
      <c r="EP35" s="375"/>
      <c r="EQ35" s="112"/>
      <c r="ER35" s="375"/>
      <c r="ES35" s="375"/>
      <c r="ET35" s="112"/>
      <c r="EU35" s="375"/>
      <c r="EV35" s="375"/>
      <c r="EW35" s="112"/>
      <c r="EX35" s="375"/>
      <c r="EY35" s="375"/>
      <c r="EZ35" s="112"/>
      <c r="FA35" s="16"/>
      <c r="FB35" s="16"/>
      <c r="FC35" s="112"/>
      <c r="FD35" s="375"/>
      <c r="FE35" s="375"/>
      <c r="GA35" t="s">
        <v>2765</v>
      </c>
      <c r="GB35" t="s">
        <v>2763</v>
      </c>
      <c r="GC35" t="s">
        <v>2764</v>
      </c>
    </row>
    <row r="36" spans="8:187">
      <c r="H36" s="4"/>
      <c r="I36" s="4"/>
      <c r="J36" s="4"/>
      <c r="L36" s="4" t="s">
        <v>130</v>
      </c>
      <c r="M36" s="4" t="s">
        <v>131</v>
      </c>
      <c r="N36" s="277" t="s">
        <v>455</v>
      </c>
      <c r="P36" s="4" t="s">
        <v>671</v>
      </c>
      <c r="Q36" s="4" t="s">
        <v>672</v>
      </c>
      <c r="R36" s="4" t="s">
        <v>673</v>
      </c>
      <c r="AD36" s="4"/>
      <c r="AE36" s="4"/>
      <c r="AY36" s="58">
        <v>100000</v>
      </c>
      <c r="AZ36" s="58">
        <v>0</v>
      </c>
      <c r="BA36" s="58"/>
      <c r="BB36" s="234">
        <f>IFERROR(AF8/AF6,"N/A")</f>
        <v>1.0009216200995565</v>
      </c>
      <c r="BC36" s="234">
        <f>IFERROR(AG8/AG6,"N/A")</f>
        <v>1.0827276136407775</v>
      </c>
      <c r="BD36" s="234">
        <f t="shared" ref="BD36:BD39" si="195">AVERAGE(BB36,BE36)</f>
        <v>1.0416639778736401</v>
      </c>
      <c r="BE36" s="234">
        <f t="shared" ref="BE36:BS36" si="196">IFERROR(AH8/AH6,"N/A")</f>
        <v>1.0824063356477234</v>
      </c>
      <c r="BF36" s="234">
        <f t="shared" si="196"/>
        <v>1.0827276136407775</v>
      </c>
      <c r="BG36" s="234">
        <f t="shared" si="196"/>
        <v>1.0827276136407775</v>
      </c>
      <c r="BH36" s="234">
        <f t="shared" si="196"/>
        <v>1.0827276136407775</v>
      </c>
      <c r="BI36" s="234">
        <f t="shared" si="196"/>
        <v>1.0827276136407775</v>
      </c>
      <c r="BJ36" s="234">
        <f t="shared" si="196"/>
        <v>1.0827276136407775</v>
      </c>
      <c r="BK36" s="234">
        <f t="shared" si="196"/>
        <v>1.0827276136407775</v>
      </c>
      <c r="BL36" s="234">
        <f t="shared" si="196"/>
        <v>1.0827276136407775</v>
      </c>
      <c r="BM36" s="234">
        <f t="shared" si="196"/>
        <v>1.0827276136407775</v>
      </c>
      <c r="BN36" s="234">
        <f t="shared" si="196"/>
        <v>1.0827276136407775</v>
      </c>
      <c r="BO36" s="234">
        <f t="shared" si="196"/>
        <v>1.0827276136407775</v>
      </c>
      <c r="BP36" s="234">
        <f t="shared" si="196"/>
        <v>1.0827276136407775</v>
      </c>
      <c r="BQ36" s="234">
        <f t="shared" si="196"/>
        <v>1.0827276136407775</v>
      </c>
      <c r="BR36" s="234">
        <f t="shared" si="196"/>
        <v>1.0827276136407775</v>
      </c>
      <c r="BS36" s="234">
        <f t="shared" si="196"/>
        <v>1.0827276136407775</v>
      </c>
      <c r="CD36" t="s">
        <v>224</v>
      </c>
      <c r="CE36" t="s">
        <v>219</v>
      </c>
      <c r="CF36" t="s">
        <v>222</v>
      </c>
      <c r="CG36" s="4" t="str">
        <f t="shared" si="31"/>
        <v>Group 3</v>
      </c>
      <c r="CH36" s="4" t="str">
        <f>CE36</f>
        <v>Group 2</v>
      </c>
      <c r="CI36" s="4" t="s">
        <v>219</v>
      </c>
      <c r="CJ36" s="4" t="s">
        <v>219</v>
      </c>
      <c r="CL36" s="466" t="s">
        <v>152</v>
      </c>
      <c r="CM36" s="78" t="s">
        <v>2627</v>
      </c>
      <c r="DL36" s="466" t="s">
        <v>152</v>
      </c>
      <c r="DM36" s="4" t="s">
        <v>266</v>
      </c>
      <c r="DZ36" s="466" t="s">
        <v>154</v>
      </c>
      <c r="EA36" s="251">
        <v>0.5</v>
      </c>
      <c r="EB36" s="251">
        <v>1</v>
      </c>
      <c r="EC36" s="526">
        <f t="shared" si="50"/>
        <v>0.5</v>
      </c>
      <c r="ED36" s="526">
        <f t="shared" si="51"/>
        <v>1</v>
      </c>
      <c r="EF36" s="466" t="s">
        <v>135</v>
      </c>
      <c r="EG36" s="4" t="s">
        <v>353</v>
      </c>
      <c r="EH36" s="375">
        <v>-0.5</v>
      </c>
      <c r="EI36" s="375">
        <v>0.5</v>
      </c>
      <c r="EJ36" s="62"/>
      <c r="EK36" s="34"/>
      <c r="EL36" s="62"/>
      <c r="EM36" s="62"/>
      <c r="EU36" s="377"/>
      <c r="EV36" s="377"/>
      <c r="FH36" s="33" t="s">
        <v>462</v>
      </c>
      <c r="FI36" s="4"/>
      <c r="FJ36" s="4"/>
      <c r="FK36" s="4"/>
      <c r="FL36" s="34"/>
      <c r="FM36" s="34"/>
      <c r="FN36" s="34"/>
      <c r="FO36" s="4"/>
      <c r="FP36" s="4"/>
      <c r="FQ36" s="4"/>
      <c r="FR36" s="4"/>
      <c r="FS36" s="4"/>
      <c r="FT36" s="4"/>
      <c r="FU36" s="4"/>
      <c r="FV36" s="4"/>
      <c r="FW36" s="4"/>
      <c r="FX36" s="4"/>
      <c r="FZ36" t="s">
        <v>356</v>
      </c>
      <c r="GA36">
        <f>IF(Rater!$X$174,GB36,GC36)</f>
        <v>0.4</v>
      </c>
      <c r="GB36" s="4">
        <f>1/GB37</f>
        <v>0.4</v>
      </c>
      <c r="GC36">
        <v>1</v>
      </c>
      <c r="GE36" s="4"/>
    </row>
    <row r="37" spans="8:187">
      <c r="H37" s="4"/>
      <c r="I37" s="4"/>
      <c r="J37" s="4"/>
      <c r="L37" s="4" t="s">
        <v>132</v>
      </c>
      <c r="M37" s="4" t="s">
        <v>133</v>
      </c>
      <c r="N37" s="277" t="s">
        <v>455</v>
      </c>
      <c r="P37" s="4" t="s">
        <v>674</v>
      </c>
      <c r="Q37" s="4" t="s">
        <v>675</v>
      </c>
      <c r="R37" s="4" t="s">
        <v>676</v>
      </c>
      <c r="AD37" s="4"/>
      <c r="AE37" s="4"/>
      <c r="AY37" s="58">
        <v>200000</v>
      </c>
      <c r="AZ37" s="58">
        <f t="shared" ref="AZ37:AZ39" si="197">AY37</f>
        <v>200000</v>
      </c>
      <c r="BA37" s="58"/>
      <c r="BB37" s="234">
        <f>IFERROR(AF11/AF9,"N/A")</f>
        <v>1.068655320248568</v>
      </c>
      <c r="BC37" s="234">
        <f>IFERROR(AG11/AG9,"N/A")</f>
        <v>1.1058852785817772</v>
      </c>
      <c r="BD37" s="234">
        <f t="shared" si="195"/>
        <v>1.0761299028748228</v>
      </c>
      <c r="BE37" s="234">
        <f t="shared" ref="BE37:BS37" si="198">IFERROR(AH11/AH9,"N/A")</f>
        <v>1.0836044855010774</v>
      </c>
      <c r="BF37" s="234">
        <f t="shared" si="198"/>
        <v>1.0878362554630996</v>
      </c>
      <c r="BG37" s="234">
        <f t="shared" si="198"/>
        <v>1.1058852785817772</v>
      </c>
      <c r="BH37" s="234">
        <f t="shared" si="198"/>
        <v>1.1058852785817772</v>
      </c>
      <c r="BI37" s="234">
        <f t="shared" si="198"/>
        <v>1.1058852785817772</v>
      </c>
      <c r="BJ37" s="234">
        <f t="shared" si="198"/>
        <v>1.1058852785817772</v>
      </c>
      <c r="BK37" s="234">
        <f t="shared" si="198"/>
        <v>1.1058852785817772</v>
      </c>
      <c r="BL37" s="234">
        <f t="shared" si="198"/>
        <v>1.1058852785817772</v>
      </c>
      <c r="BM37" s="234">
        <f t="shared" si="198"/>
        <v>1.1058852785817772</v>
      </c>
      <c r="BN37" s="234">
        <f t="shared" si="198"/>
        <v>1.1058852785817772</v>
      </c>
      <c r="BO37" s="234">
        <f t="shared" si="198"/>
        <v>1.1058852785817772</v>
      </c>
      <c r="BP37" s="234">
        <f t="shared" si="198"/>
        <v>1.1058852785817772</v>
      </c>
      <c r="BQ37" s="234">
        <f t="shared" si="198"/>
        <v>1.1058852785817772</v>
      </c>
      <c r="BR37" s="234">
        <f t="shared" si="198"/>
        <v>1.1058852785817772</v>
      </c>
      <c r="BS37" s="234">
        <f t="shared" si="198"/>
        <v>1.1058852785817772</v>
      </c>
      <c r="CD37" t="s">
        <v>238</v>
      </c>
      <c r="CE37" t="s">
        <v>219</v>
      </c>
      <c r="CF37" t="s">
        <v>229</v>
      </c>
      <c r="CG37" s="4" t="str">
        <f t="shared" si="31"/>
        <v>Group 4</v>
      </c>
      <c r="CH37" s="4" t="s">
        <v>222</v>
      </c>
      <c r="CI37" s="4" t="s">
        <v>219</v>
      </c>
      <c r="CJ37" s="4" t="s">
        <v>219</v>
      </c>
      <c r="CL37" s="466" t="s">
        <v>154</v>
      </c>
      <c r="CM37" s="78" t="s">
        <v>2627</v>
      </c>
      <c r="DL37" s="466" t="s">
        <v>154</v>
      </c>
      <c r="DM37" s="4" t="s">
        <v>266</v>
      </c>
      <c r="DZ37" s="466" t="s">
        <v>172</v>
      </c>
      <c r="EA37" s="251">
        <v>0.5</v>
      </c>
      <c r="EB37" s="251">
        <v>1</v>
      </c>
      <c r="EC37" s="526">
        <f t="shared" si="50"/>
        <v>0.5</v>
      </c>
      <c r="ED37" s="526">
        <f t="shared" si="51"/>
        <v>1</v>
      </c>
      <c r="EF37" s="466" t="s">
        <v>152</v>
      </c>
      <c r="EG37" s="4" t="s">
        <v>353</v>
      </c>
      <c r="EH37" s="375">
        <v>-0.25</v>
      </c>
      <c r="EI37" s="375">
        <v>0.25</v>
      </c>
      <c r="EJ37" s="88"/>
      <c r="EK37" s="101"/>
      <c r="EL37" s="62"/>
      <c r="EM37" s="62"/>
      <c r="FH37" s="4"/>
      <c r="FI37" s="4"/>
      <c r="FJ37" s="4"/>
      <c r="FK37" s="4"/>
      <c r="FL37" s="34"/>
      <c r="FM37" s="34"/>
      <c r="FN37" s="34"/>
      <c r="FO37" s="4"/>
      <c r="FP37" s="4"/>
      <c r="FQ37" s="4"/>
      <c r="FR37" s="4"/>
      <c r="FS37" s="4"/>
      <c r="FT37" s="4"/>
      <c r="FU37" s="4"/>
      <c r="FV37" s="4"/>
      <c r="FW37" s="4"/>
      <c r="FX37" s="4"/>
      <c r="FZ37" t="s">
        <v>357</v>
      </c>
      <c r="GA37" s="4">
        <f>IF(Rater!$X$174,GB37,GC37)</f>
        <v>2.5</v>
      </c>
      <c r="GB37" s="4">
        <v>2.5</v>
      </c>
      <c r="GC37">
        <v>1</v>
      </c>
    </row>
    <row r="38" spans="8:187">
      <c r="H38" s="4"/>
      <c r="I38" s="4"/>
      <c r="J38" s="4"/>
      <c r="L38" s="4" t="s">
        <v>134</v>
      </c>
      <c r="M38" s="4" t="s">
        <v>135</v>
      </c>
      <c r="N38" s="277" t="s">
        <v>455</v>
      </c>
      <c r="P38" s="4" t="s">
        <v>677</v>
      </c>
      <c r="Q38" s="4" t="s">
        <v>678</v>
      </c>
      <c r="R38" s="4" t="s">
        <v>679</v>
      </c>
      <c r="AD38" s="4"/>
      <c r="AE38" s="4"/>
      <c r="AY38" s="58">
        <v>250000</v>
      </c>
      <c r="AZ38" s="58">
        <v>250000</v>
      </c>
      <c r="BB38" s="364">
        <f>IFERROR((BB39-BB37)*($AY38-$AY37)/($AY39-$AY37)+BB37,"N/A")</f>
        <v>1.0794010414424289</v>
      </c>
      <c r="BC38" s="364">
        <f t="shared" ref="BC38" si="199">IFERROR((BC39-BC37)*($AY38-$AY37)/($AY39-$AY37)+BC37,"N/A")</f>
        <v>1.1112254530614591</v>
      </c>
      <c r="BD38" s="364">
        <f t="shared" si="195"/>
        <v>1.0846667420213407</v>
      </c>
      <c r="BE38" s="364">
        <f t="shared" ref="BE38" si="200">IFERROR((BE39-BE37)*($AY38-$AY37)/($AY39-$AY37)+BE37,"N/A")</f>
        <v>1.0899324426002523</v>
      </c>
      <c r="BF38" s="364">
        <f t="shared" ref="BF38" si="201">IFERROR((BF39-BF37)*($AY38-$AY37)/($AY39-$AY37)+BF37,"N/A")</f>
        <v>1.0928307773271027</v>
      </c>
      <c r="BG38" s="364">
        <f t="shared" ref="BG38" si="202">IFERROR((BG39-BG37)*($AY38-$AY37)/($AY39-$AY37)+BG37,"N/A")</f>
        <v>1.1076713714633608</v>
      </c>
      <c r="BH38" s="364">
        <f t="shared" ref="BH38" si="203">IFERROR((BH39-BH37)*($AY38-$AY37)/($AY39-$AY37)+BH37,"N/A")</f>
        <v>1.107041812951244</v>
      </c>
      <c r="BI38" s="364">
        <f t="shared" ref="BI38" si="204">IFERROR((BI39-BI37)*($AY38-$AY37)/($AY39-$AY37)+BI37,"N/A")</f>
        <v>1.1112254530614591</v>
      </c>
      <c r="BJ38" s="364">
        <f t="shared" ref="BJ38" si="205">IFERROR((BJ39-BJ37)*($AY38-$AY37)/($AY39-$AY37)+BJ37,"N/A")</f>
        <v>1.1112254530614591</v>
      </c>
      <c r="BK38" s="364">
        <f t="shared" ref="BK38" si="206">IFERROR((BK39-BK37)*($AY38-$AY37)/($AY39-$AY37)+BK37,"N/A")</f>
        <v>1.1112254530614591</v>
      </c>
      <c r="BL38" s="364">
        <f t="shared" ref="BL38" si="207">IFERROR((BL39-BL37)*($AY38-$AY37)/($AY39-$AY37)+BL37,"N/A")</f>
        <v>1.1112254530614591</v>
      </c>
      <c r="BM38" s="364">
        <f t="shared" ref="BM38" si="208">IFERROR((BM39-BM37)*($AY38-$AY37)/($AY39-$AY37)+BM37,"N/A")</f>
        <v>1.1112254530614591</v>
      </c>
      <c r="BN38" s="364">
        <f t="shared" ref="BN38" si="209">IFERROR((BN39-BN37)*($AY38-$AY37)/($AY39-$AY37)+BN37,"N/A")</f>
        <v>1.1112254530614591</v>
      </c>
      <c r="BO38" s="364">
        <f t="shared" ref="BO38" si="210">IFERROR((BO39-BO37)*($AY38-$AY37)/($AY39-$AY37)+BO37,"N/A")</f>
        <v>1.1112254530614591</v>
      </c>
      <c r="BP38" s="364">
        <f t="shared" ref="BP38" si="211">IFERROR((BP39-BP37)*($AY38-$AY37)/($AY39-$AY37)+BP37,"N/A")</f>
        <v>1.1112254530614591</v>
      </c>
      <c r="BQ38" s="364">
        <f t="shared" ref="BQ38" si="212">IFERROR((BQ39-BQ37)*($AY38-$AY37)/($AY39-$AY37)+BQ37,"N/A")</f>
        <v>1.1112254530614591</v>
      </c>
      <c r="BR38" s="364">
        <f t="shared" ref="BR38" si="213">IFERROR((BR39-BR37)*($AY38-$AY37)/($AY39-$AY37)+BR37,"N/A")</f>
        <v>1.1112254530614591</v>
      </c>
      <c r="BS38" s="364">
        <f t="shared" ref="BS38" si="214">IFERROR((BS39-BS37)*($AY38-$AY37)/($AY39-$AY37)+BS37,"N/A")</f>
        <v>1.1112254530614591</v>
      </c>
      <c r="CD38" t="s">
        <v>246</v>
      </c>
      <c r="CE38" t="s">
        <v>222</v>
      </c>
      <c r="CF38" t="s">
        <v>244</v>
      </c>
      <c r="CG38" s="4" t="str">
        <f t="shared" si="31"/>
        <v>Group 6</v>
      </c>
      <c r="CH38" s="4" t="s">
        <v>241</v>
      </c>
      <c r="CI38" s="4" t="s">
        <v>222</v>
      </c>
      <c r="CJ38" s="4" t="s">
        <v>222</v>
      </c>
      <c r="CL38" s="466" t="s">
        <v>172</v>
      </c>
      <c r="CM38" s="78" t="s">
        <v>266</v>
      </c>
      <c r="DL38" s="466" t="s">
        <v>172</v>
      </c>
      <c r="DM38" s="4" t="s">
        <v>266</v>
      </c>
      <c r="DZ38" s="473" t="s">
        <v>98</v>
      </c>
      <c r="EA38" s="251">
        <v>0.5</v>
      </c>
      <c r="EB38" s="251">
        <v>1</v>
      </c>
      <c r="EC38" s="526">
        <f t="shared" si="50"/>
        <v>0.5</v>
      </c>
      <c r="ED38" s="526">
        <f t="shared" si="51"/>
        <v>1</v>
      </c>
      <c r="EF38" s="466" t="s">
        <v>154</v>
      </c>
      <c r="EG38" s="4" t="s">
        <v>353</v>
      </c>
      <c r="EH38" s="375">
        <v>-0.25</v>
      </c>
      <c r="EI38" s="375">
        <v>0.25</v>
      </c>
      <c r="EJ38" s="104"/>
      <c r="FH38" s="105" t="s">
        <v>365</v>
      </c>
      <c r="FI38" s="625" t="s">
        <v>366</v>
      </c>
      <c r="FJ38" s="625"/>
      <c r="FK38" s="625"/>
      <c r="FL38" s="625"/>
      <c r="FM38" s="625"/>
      <c r="FN38" s="625"/>
      <c r="FO38" s="4"/>
      <c r="FP38" s="105" t="s">
        <v>369</v>
      </c>
      <c r="FQ38" s="34"/>
      <c r="FR38" s="34"/>
      <c r="FS38" s="34"/>
      <c r="FT38" s="4"/>
      <c r="FU38" s="4"/>
      <c r="FV38" s="4"/>
      <c r="FW38" s="34"/>
      <c r="FX38" s="34"/>
    </row>
    <row r="39" spans="8:187">
      <c r="H39" s="4"/>
      <c r="I39" s="4"/>
      <c r="J39" s="4"/>
      <c r="L39" s="4" t="s">
        <v>136</v>
      </c>
      <c r="M39" s="4" t="s">
        <v>70</v>
      </c>
      <c r="N39" s="4" t="s">
        <v>454</v>
      </c>
      <c r="P39" s="4" t="s">
        <v>680</v>
      </c>
      <c r="Q39" s="4" t="s">
        <v>681</v>
      </c>
      <c r="R39" s="4" t="s">
        <v>682</v>
      </c>
      <c r="AD39" s="4"/>
      <c r="AE39" s="4"/>
      <c r="AY39" s="58">
        <v>500000</v>
      </c>
      <c r="AZ39" s="58">
        <f t="shared" si="197"/>
        <v>500000</v>
      </c>
      <c r="BA39" s="58"/>
      <c r="BB39" s="234">
        <f t="shared" ref="BB39:BC39" si="215">IFERROR(AF17/AF15,"N/A")</f>
        <v>1.1331296474117338</v>
      </c>
      <c r="BC39" s="234">
        <f t="shared" si="215"/>
        <v>1.137926325459869</v>
      </c>
      <c r="BD39" s="234">
        <f t="shared" si="195"/>
        <v>1.1273509377539304</v>
      </c>
      <c r="BE39" s="234">
        <f>IFERROR(AH17/AH15,"N/A")</f>
        <v>1.1215722280961269</v>
      </c>
      <c r="BF39" s="234">
        <f t="shared" ref="BF39" si="216">IFERROR(AI17/AI15,"N/A")</f>
        <v>1.1178033866471184</v>
      </c>
      <c r="BG39" s="234">
        <f t="shared" ref="BG39" si="217">IFERROR(AJ17/AJ15,"N/A")</f>
        <v>1.1166018358712786</v>
      </c>
      <c r="BH39" s="234">
        <f t="shared" ref="BH39" si="218">IFERROR(AK17/AK15,"N/A")</f>
        <v>1.1128244847985782</v>
      </c>
      <c r="BI39" s="234">
        <f t="shared" ref="BI39" si="219">IFERROR(AL17/AL15,"N/A")</f>
        <v>1.137926325459869</v>
      </c>
      <c r="BJ39" s="234">
        <f t="shared" ref="BJ39" si="220">IFERROR(AM17/AM15,"N/A")</f>
        <v>1.137926325459869</v>
      </c>
      <c r="BK39" s="234">
        <f t="shared" ref="BK39" si="221">IFERROR(AN17/AN15,"N/A")</f>
        <v>1.137926325459869</v>
      </c>
      <c r="BL39" s="234">
        <f t="shared" ref="BL39" si="222">IFERROR(AO17/AO15,"N/A")</f>
        <v>1.137926325459869</v>
      </c>
      <c r="BM39" s="234">
        <f t="shared" ref="BM39" si="223">IFERROR(AP17/AP15,"N/A")</f>
        <v>1.137926325459869</v>
      </c>
      <c r="BN39" s="234">
        <f t="shared" ref="BN39" si="224">IFERROR(AQ17/AQ15,"N/A")</f>
        <v>1.137926325459869</v>
      </c>
      <c r="BO39" s="234">
        <f t="shared" ref="BO39" si="225">IFERROR(AR17/AR15,"N/A")</f>
        <v>1.137926325459869</v>
      </c>
      <c r="BP39" s="234">
        <f t="shared" ref="BP39" si="226">IFERROR(AS17/AS15,"N/A")</f>
        <v>1.137926325459869</v>
      </c>
      <c r="BQ39" s="234">
        <f t="shared" ref="BQ39" si="227">IFERROR(AT17/AT15,"N/A")</f>
        <v>1.137926325459869</v>
      </c>
      <c r="BR39" s="234">
        <f t="shared" ref="BR39" si="228">IFERROR(AU17/AU15,"N/A")</f>
        <v>1.137926325459869</v>
      </c>
      <c r="BS39" s="234">
        <f t="shared" ref="BS39" si="229">IFERROR(AV17/AV15,"N/A")</f>
        <v>1.137926325459869</v>
      </c>
      <c r="CD39" t="s">
        <v>216</v>
      </c>
      <c r="CE39" t="s">
        <v>211</v>
      </c>
      <c r="CF39" t="s">
        <v>211</v>
      </c>
      <c r="CG39" s="4" t="str">
        <f t="shared" si="31"/>
        <v>Group 1</v>
      </c>
      <c r="CH39" s="4" t="str">
        <f>CE39</f>
        <v>Group 1</v>
      </c>
      <c r="CI39" s="4" t="s">
        <v>211</v>
      </c>
      <c r="CJ39" s="4" t="s">
        <v>211</v>
      </c>
      <c r="CL39" s="473" t="s">
        <v>98</v>
      </c>
      <c r="CM39" s="78" t="s">
        <v>266</v>
      </c>
      <c r="DL39" s="473" t="s">
        <v>98</v>
      </c>
      <c r="DM39" s="78" t="s">
        <v>266</v>
      </c>
      <c r="DZ39" s="473" t="s">
        <v>127</v>
      </c>
      <c r="EA39" s="251">
        <v>0.5</v>
      </c>
      <c r="EB39" s="251">
        <v>1</v>
      </c>
      <c r="EC39" s="526">
        <f t="shared" si="50"/>
        <v>0.5</v>
      </c>
      <c r="ED39" s="526">
        <f t="shared" si="51"/>
        <v>1</v>
      </c>
      <c r="EF39" s="466" t="s">
        <v>172</v>
      </c>
      <c r="EG39" s="4" t="s">
        <v>353</v>
      </c>
      <c r="EH39" s="375">
        <v>-0.5</v>
      </c>
      <c r="EI39" s="375">
        <v>0.5</v>
      </c>
      <c r="EJ39" s="62"/>
      <c r="FH39" s="89" t="s">
        <v>367</v>
      </c>
      <c r="FI39" s="149">
        <v>1</v>
      </c>
      <c r="FJ39" s="150">
        <v>2</v>
      </c>
      <c r="FK39" s="150">
        <v>6</v>
      </c>
      <c r="FL39" s="150">
        <v>11</v>
      </c>
      <c r="FM39" s="150">
        <v>21</v>
      </c>
      <c r="FN39" s="127">
        <v>41</v>
      </c>
      <c r="FO39" s="4"/>
      <c r="FP39" s="627" t="s">
        <v>370</v>
      </c>
      <c r="FQ39" s="627"/>
      <c r="FR39" s="627" t="s">
        <v>371</v>
      </c>
      <c r="FS39" s="627"/>
      <c r="FT39" s="4"/>
      <c r="FU39" s="105" t="s">
        <v>372</v>
      </c>
      <c r="FV39" s="34"/>
      <c r="FW39" s="34"/>
      <c r="FX39" s="34"/>
    </row>
    <row r="40" spans="8:187">
      <c r="H40" s="4"/>
      <c r="I40" s="4"/>
      <c r="J40" s="4"/>
      <c r="L40" s="4" t="s">
        <v>137</v>
      </c>
      <c r="M40" s="4" t="s">
        <v>138</v>
      </c>
      <c r="N40" s="277" t="s">
        <v>455</v>
      </c>
      <c r="P40" s="4" t="s">
        <v>683</v>
      </c>
      <c r="Q40" s="4" t="s">
        <v>684</v>
      </c>
      <c r="R40" s="4" t="s">
        <v>685</v>
      </c>
      <c r="AD40" s="4"/>
      <c r="AE40" s="4"/>
      <c r="CD40" t="s">
        <v>262</v>
      </c>
      <c r="CE40" t="s">
        <v>222</v>
      </c>
      <c r="CF40" t="s">
        <v>254</v>
      </c>
      <c r="CG40" s="4" t="str">
        <f t="shared" si="31"/>
        <v>Group 8</v>
      </c>
      <c r="CH40" s="4" t="s">
        <v>251</v>
      </c>
      <c r="CI40" s="4" t="s">
        <v>222</v>
      </c>
      <c r="CJ40" s="4" t="s">
        <v>222</v>
      </c>
      <c r="CL40" s="473" t="s">
        <v>127</v>
      </c>
      <c r="CM40" s="78" t="s">
        <v>266</v>
      </c>
      <c r="DL40" s="473" t="s">
        <v>127</v>
      </c>
      <c r="DM40" s="78" t="s">
        <v>266</v>
      </c>
      <c r="DZ40" s="523" t="s">
        <v>90</v>
      </c>
      <c r="EA40" s="251">
        <v>0.5</v>
      </c>
      <c r="EB40" s="251">
        <v>1</v>
      </c>
      <c r="EC40" s="526">
        <v>0</v>
      </c>
      <c r="ED40" s="526">
        <f t="shared" si="51"/>
        <v>1</v>
      </c>
      <c r="EF40" s="473" t="s">
        <v>98</v>
      </c>
      <c r="EG40" s="62" t="s">
        <v>2613</v>
      </c>
      <c r="EH40" s="375">
        <v>0</v>
      </c>
      <c r="EI40" s="375">
        <v>0</v>
      </c>
      <c r="EJ40" s="62"/>
      <c r="FH40" s="127">
        <v>0</v>
      </c>
      <c r="FI40" s="128">
        <v>-0.35</v>
      </c>
      <c r="FJ40" s="129">
        <v>-0.5</v>
      </c>
      <c r="FK40" s="129">
        <v>-0.65</v>
      </c>
      <c r="FL40" s="129">
        <v>-0.75</v>
      </c>
      <c r="FM40" s="129">
        <v>-0.85</v>
      </c>
      <c r="FN40" s="130">
        <v>-1.25</v>
      </c>
      <c r="FO40" s="4"/>
      <c r="FP40" s="127">
        <v>1</v>
      </c>
      <c r="FQ40" s="43">
        <v>1</v>
      </c>
      <c r="FR40" s="127">
        <v>1</v>
      </c>
      <c r="FS40" s="43">
        <v>0.5</v>
      </c>
      <c r="FT40" s="4"/>
      <c r="FU40" s="34" t="s">
        <v>373</v>
      </c>
      <c r="FV40" s="139"/>
      <c r="FW40" s="627" t="s">
        <v>371</v>
      </c>
      <c r="FX40" s="627"/>
    </row>
    <row r="41" spans="8:187">
      <c r="H41" s="4"/>
      <c r="I41" s="4"/>
      <c r="J41" s="4"/>
      <c r="L41" s="4" t="s">
        <v>139</v>
      </c>
      <c r="M41" s="4" t="s">
        <v>140</v>
      </c>
      <c r="N41" s="277" t="s">
        <v>455</v>
      </c>
      <c r="P41" s="4" t="s">
        <v>686</v>
      </c>
      <c r="Q41" s="4" t="s">
        <v>687</v>
      </c>
      <c r="R41" s="4" t="s">
        <v>688</v>
      </c>
      <c r="AD41" s="4"/>
      <c r="AE41" s="4"/>
      <c r="BU41" s="4"/>
      <c r="BV41" s="4"/>
      <c r="BW41" s="4"/>
      <c r="BX41" s="4"/>
      <c r="CD41" t="s">
        <v>252</v>
      </c>
      <c r="CE41" t="s">
        <v>222</v>
      </c>
      <c r="CF41" t="s">
        <v>251</v>
      </c>
      <c r="CG41" s="4" t="str">
        <f t="shared" si="31"/>
        <v>Group 7</v>
      </c>
      <c r="CH41" s="4" t="s">
        <v>244</v>
      </c>
      <c r="CI41" s="4" t="s">
        <v>222</v>
      </c>
      <c r="CJ41" s="4" t="s">
        <v>222</v>
      </c>
      <c r="CL41" s="523" t="s">
        <v>90</v>
      </c>
      <c r="CM41" s="78" t="s">
        <v>266</v>
      </c>
      <c r="DL41" s="523" t="s">
        <v>90</v>
      </c>
      <c r="DM41" s="4" t="s">
        <v>266</v>
      </c>
      <c r="DZ41" s="523" t="s">
        <v>117</v>
      </c>
      <c r="EA41" s="251">
        <v>0.5</v>
      </c>
      <c r="EB41" s="251">
        <v>1</v>
      </c>
      <c r="EC41" s="526">
        <v>0</v>
      </c>
      <c r="ED41" s="526">
        <f t="shared" si="51"/>
        <v>1</v>
      </c>
      <c r="EF41" s="473" t="s">
        <v>127</v>
      </c>
      <c r="EG41" s="62" t="s">
        <v>2613</v>
      </c>
      <c r="EH41" s="375">
        <v>0</v>
      </c>
      <c r="EI41" s="375">
        <v>0</v>
      </c>
      <c r="EJ41" s="62"/>
      <c r="FH41" s="127">
        <v>1</v>
      </c>
      <c r="FI41" s="131">
        <v>1</v>
      </c>
      <c r="FJ41" s="132">
        <v>0.5</v>
      </c>
      <c r="FK41" s="132">
        <v>0</v>
      </c>
      <c r="FL41" s="132">
        <v>-0.5</v>
      </c>
      <c r="FM41" s="132">
        <v>-0.75</v>
      </c>
      <c r="FN41" s="133">
        <v>-1</v>
      </c>
      <c r="FO41" s="4"/>
      <c r="FP41" s="127">
        <v>2</v>
      </c>
      <c r="FQ41" s="43">
        <v>0.95</v>
      </c>
      <c r="FR41" s="127">
        <v>2</v>
      </c>
      <c r="FS41" s="43">
        <v>0.75</v>
      </c>
      <c r="FT41" s="4"/>
      <c r="FU41" s="627" t="s">
        <v>370</v>
      </c>
      <c r="FV41" s="627"/>
      <c r="FW41" s="154">
        <v>0</v>
      </c>
      <c r="FX41" s="140">
        <v>15</v>
      </c>
    </row>
    <row r="42" spans="8:187" ht="25.5" customHeight="1">
      <c r="H42" s="4"/>
      <c r="I42" s="4"/>
      <c r="J42" s="4"/>
      <c r="L42" s="4" t="s">
        <v>141</v>
      </c>
      <c r="M42" s="4" t="s">
        <v>73</v>
      </c>
      <c r="N42" s="277" t="s">
        <v>455</v>
      </c>
      <c r="P42" s="4" t="s">
        <v>689</v>
      </c>
      <c r="Q42" s="4" t="s">
        <v>690</v>
      </c>
      <c r="R42" s="4" t="s">
        <v>691</v>
      </c>
      <c r="AD42" s="4"/>
      <c r="AE42" s="4"/>
      <c r="BU42" s="4"/>
      <c r="BV42" s="4"/>
      <c r="BW42" s="4"/>
      <c r="BX42" s="4"/>
      <c r="CD42" t="s">
        <v>225</v>
      </c>
      <c r="CE42" t="s">
        <v>219</v>
      </c>
      <c r="CF42" t="s">
        <v>222</v>
      </c>
      <c r="CG42" s="4" t="str">
        <f t="shared" si="31"/>
        <v>Group 3</v>
      </c>
      <c r="CH42" s="4" t="str">
        <f>CE42</f>
        <v>Group 2</v>
      </c>
      <c r="CI42" s="4" t="s">
        <v>219</v>
      </c>
      <c r="CJ42" s="4" t="s">
        <v>219</v>
      </c>
      <c r="CL42" s="523" t="s">
        <v>117</v>
      </c>
      <c r="CM42" s="78" t="s">
        <v>266</v>
      </c>
      <c r="DL42" s="523" t="s">
        <v>117</v>
      </c>
      <c r="DM42" s="4" t="s">
        <v>266</v>
      </c>
      <c r="DU42" s="249" t="s">
        <v>443</v>
      </c>
      <c r="DV42" s="249"/>
      <c r="DW42" s="249">
        <f>DW14</f>
        <v>2.8</v>
      </c>
      <c r="DZ42" s="523" t="s">
        <v>127</v>
      </c>
      <c r="EA42" s="251">
        <v>0.5</v>
      </c>
      <c r="EB42" s="251">
        <v>1</v>
      </c>
      <c r="EC42" s="526">
        <v>0</v>
      </c>
      <c r="ED42" s="526">
        <f t="shared" si="51"/>
        <v>1</v>
      </c>
      <c r="EF42" s="523" t="s">
        <v>90</v>
      </c>
      <c r="EG42" s="4" t="s">
        <v>353</v>
      </c>
      <c r="EH42" s="375">
        <v>-0.5</v>
      </c>
      <c r="EI42" s="375">
        <v>0.5</v>
      </c>
      <c r="EJ42" s="62"/>
      <c r="FH42" s="127">
        <v>2</v>
      </c>
      <c r="FI42" s="131">
        <v>2</v>
      </c>
      <c r="FJ42" s="132">
        <v>1</v>
      </c>
      <c r="FK42" s="132">
        <v>0.5</v>
      </c>
      <c r="FL42" s="132">
        <v>0</v>
      </c>
      <c r="FM42" s="132">
        <v>-0.25</v>
      </c>
      <c r="FN42" s="133">
        <v>-0.75</v>
      </c>
      <c r="FO42" s="4"/>
      <c r="FP42" s="127">
        <v>3</v>
      </c>
      <c r="FQ42" s="43">
        <v>0.9</v>
      </c>
      <c r="FR42" s="127">
        <v>3</v>
      </c>
      <c r="FS42" s="43">
        <v>0.9</v>
      </c>
      <c r="FT42" s="4"/>
      <c r="FU42" s="394">
        <v>0</v>
      </c>
      <c r="FV42" s="394">
        <v>0</v>
      </c>
      <c r="FW42" s="154">
        <v>10001</v>
      </c>
      <c r="FX42" s="140">
        <v>12</v>
      </c>
    </row>
    <row r="43" spans="8:187">
      <c r="H43" s="4"/>
      <c r="I43" s="4"/>
      <c r="J43" s="4"/>
      <c r="L43" s="4" t="s">
        <v>142</v>
      </c>
      <c r="M43" s="4" t="s">
        <v>143</v>
      </c>
      <c r="N43" s="277" t="s">
        <v>455</v>
      </c>
      <c r="P43" s="4" t="s">
        <v>692</v>
      </c>
      <c r="Q43" s="4" t="s">
        <v>693</v>
      </c>
      <c r="R43" s="4" t="s">
        <v>694</v>
      </c>
      <c r="AD43" s="4"/>
      <c r="AE43" s="4"/>
      <c r="BU43" s="4"/>
      <c r="BV43" s="4"/>
      <c r="BW43" s="4"/>
      <c r="BX43" s="4"/>
      <c r="CD43" t="s">
        <v>247</v>
      </c>
      <c r="CE43" t="s">
        <v>222</v>
      </c>
      <c r="CF43" t="s">
        <v>244</v>
      </c>
      <c r="CG43" s="4" t="str">
        <f t="shared" si="31"/>
        <v>Group 6</v>
      </c>
      <c r="CH43" s="4" t="s">
        <v>241</v>
      </c>
      <c r="CI43" s="4" t="s">
        <v>222</v>
      </c>
      <c r="CJ43" s="4" t="s">
        <v>222</v>
      </c>
      <c r="CL43" s="523" t="s">
        <v>113</v>
      </c>
      <c r="CM43" s="77" t="s">
        <v>267</v>
      </c>
      <c r="DL43" s="535" t="s">
        <v>113</v>
      </c>
      <c r="DM43" s="4" t="s">
        <v>266</v>
      </c>
      <c r="DZ43" s="535" t="s">
        <v>113</v>
      </c>
      <c r="EA43" s="251">
        <v>0.5</v>
      </c>
      <c r="EB43" s="251">
        <v>1</v>
      </c>
      <c r="EC43" s="526">
        <v>0</v>
      </c>
      <c r="ED43" s="526">
        <f t="shared" si="51"/>
        <v>1</v>
      </c>
      <c r="EF43" s="523" t="s">
        <v>117</v>
      </c>
      <c r="EG43" s="4" t="s">
        <v>353</v>
      </c>
      <c r="EH43" s="375">
        <v>-0.5</v>
      </c>
      <c r="EI43" s="375">
        <v>0.5</v>
      </c>
      <c r="EJ43" s="62"/>
      <c r="FH43" s="127">
        <v>3</v>
      </c>
      <c r="FI43" s="131" t="s">
        <v>189</v>
      </c>
      <c r="FJ43" s="132">
        <v>2</v>
      </c>
      <c r="FK43" s="132">
        <v>1.05</v>
      </c>
      <c r="FL43" s="132">
        <v>0.5</v>
      </c>
      <c r="FM43" s="132">
        <v>0</v>
      </c>
      <c r="FN43" s="133">
        <v>-0.25</v>
      </c>
      <c r="FO43" s="4"/>
      <c r="FP43" s="127">
        <v>4</v>
      </c>
      <c r="FQ43" s="43">
        <v>0.85</v>
      </c>
      <c r="FR43" s="127">
        <v>4</v>
      </c>
      <c r="FS43" s="43">
        <v>0.95</v>
      </c>
      <c r="FT43" s="4"/>
      <c r="FU43" s="154">
        <v>5000</v>
      </c>
      <c r="FV43" s="140">
        <v>6</v>
      </c>
      <c r="FW43" s="154">
        <v>30001</v>
      </c>
      <c r="FX43" s="140">
        <v>8</v>
      </c>
    </row>
    <row r="44" spans="8:187">
      <c r="H44" s="4"/>
      <c r="I44" s="4"/>
      <c r="J44" s="4"/>
      <c r="L44" s="4" t="s">
        <v>144</v>
      </c>
      <c r="M44" s="4" t="s">
        <v>145</v>
      </c>
      <c r="N44" s="467" t="s">
        <v>2581</v>
      </c>
      <c r="P44" s="4" t="s">
        <v>695</v>
      </c>
      <c r="Q44" s="4" t="s">
        <v>696</v>
      </c>
      <c r="R44" s="4" t="s">
        <v>697</v>
      </c>
      <c r="AD44" s="4"/>
      <c r="AE44" s="4"/>
      <c r="AY44" s="42" t="s">
        <v>463</v>
      </c>
      <c r="BU44" s="4"/>
      <c r="BV44" s="4"/>
      <c r="BW44" s="4"/>
      <c r="BX44" s="4"/>
      <c r="CD44" t="s">
        <v>239</v>
      </c>
      <c r="CE44" t="s">
        <v>219</v>
      </c>
      <c r="CF44" t="s">
        <v>229</v>
      </c>
      <c r="CG44" s="4" t="str">
        <f t="shared" si="31"/>
        <v>Group 4</v>
      </c>
      <c r="CH44" s="4" t="s">
        <v>222</v>
      </c>
      <c r="CI44" s="4" t="s">
        <v>219</v>
      </c>
      <c r="CJ44" s="4" t="s">
        <v>219</v>
      </c>
      <c r="CL44" s="535" t="s">
        <v>138</v>
      </c>
      <c r="CM44" s="78" t="s">
        <v>266</v>
      </c>
      <c r="DL44" s="535" t="s">
        <v>138</v>
      </c>
      <c r="DM44" s="4" t="s">
        <v>266</v>
      </c>
      <c r="DZ44" s="535" t="s">
        <v>138</v>
      </c>
      <c r="EA44" s="251">
        <v>0.5</v>
      </c>
      <c r="EB44" s="251">
        <v>1</v>
      </c>
      <c r="EC44" s="526">
        <v>0</v>
      </c>
      <c r="ED44" s="526">
        <f t="shared" si="51"/>
        <v>1</v>
      </c>
      <c r="EF44" s="535" t="s">
        <v>113</v>
      </c>
      <c r="EG44" s="4" t="s">
        <v>353</v>
      </c>
      <c r="EH44" s="375">
        <v>-0.4</v>
      </c>
      <c r="EI44" s="375">
        <v>0.4</v>
      </c>
      <c r="EJ44" s="62"/>
      <c r="FH44" s="127">
        <v>4</v>
      </c>
      <c r="FI44" s="131" t="s">
        <v>189</v>
      </c>
      <c r="FJ44" s="134" t="s">
        <v>189</v>
      </c>
      <c r="FK44" s="132">
        <v>1.5</v>
      </c>
      <c r="FL44" s="132">
        <v>1</v>
      </c>
      <c r="FM44" s="132">
        <v>0.5</v>
      </c>
      <c r="FN44" s="133">
        <v>0</v>
      </c>
      <c r="FO44" s="4"/>
      <c r="FP44" s="127">
        <v>5</v>
      </c>
      <c r="FQ44" s="43">
        <v>0.8</v>
      </c>
      <c r="FR44" s="127">
        <v>5</v>
      </c>
      <c r="FS44" s="43">
        <v>1</v>
      </c>
      <c r="FT44" s="4"/>
      <c r="FU44" s="154">
        <v>15001</v>
      </c>
      <c r="FV44" s="140">
        <v>10</v>
      </c>
      <c r="FW44" s="154">
        <v>60001</v>
      </c>
      <c r="FX44" s="140">
        <v>4</v>
      </c>
    </row>
    <row r="45" spans="8:187">
      <c r="H45" s="4"/>
      <c r="I45" s="4"/>
      <c r="J45" s="4"/>
      <c r="L45" s="4" t="s">
        <v>146</v>
      </c>
      <c r="M45" s="4" t="s">
        <v>74</v>
      </c>
      <c r="N45" s="277" t="s">
        <v>455</v>
      </c>
      <c r="P45" s="4" t="s">
        <v>698</v>
      </c>
      <c r="Q45" s="4" t="s">
        <v>699</v>
      </c>
      <c r="R45" s="4" t="s">
        <v>700</v>
      </c>
      <c r="AD45" s="42" t="s">
        <v>463</v>
      </c>
      <c r="AE45" s="10"/>
      <c r="BU45" s="42" t="s">
        <v>463</v>
      </c>
      <c r="BV45" s="10"/>
      <c r="CD45" t="s">
        <v>248</v>
      </c>
      <c r="CE45" t="s">
        <v>222</v>
      </c>
      <c r="CF45" t="s">
        <v>244</v>
      </c>
      <c r="CG45" s="4" t="str">
        <f t="shared" si="31"/>
        <v>Group 6</v>
      </c>
      <c r="CH45" s="4" t="s">
        <v>241</v>
      </c>
      <c r="CI45" s="4" t="s">
        <v>222</v>
      </c>
      <c r="CJ45" s="4" t="s">
        <v>222</v>
      </c>
      <c r="CL45" s="535" t="s">
        <v>150</v>
      </c>
      <c r="CM45" s="77" t="s">
        <v>267</v>
      </c>
      <c r="DL45" s="535" t="s">
        <v>150</v>
      </c>
      <c r="DM45" s="4" t="s">
        <v>266</v>
      </c>
      <c r="DZ45" s="535" t="s">
        <v>150</v>
      </c>
      <c r="EA45" s="251">
        <v>0.5</v>
      </c>
      <c r="EB45" s="251">
        <v>1</v>
      </c>
      <c r="EC45" s="526">
        <v>0</v>
      </c>
      <c r="ED45" s="526">
        <f t="shared" si="51"/>
        <v>1</v>
      </c>
      <c r="EF45" s="535" t="s">
        <v>138</v>
      </c>
      <c r="EG45" s="4" t="s">
        <v>353</v>
      </c>
      <c r="EH45" s="375">
        <v>-0.5</v>
      </c>
      <c r="EI45" s="375">
        <v>0.5</v>
      </c>
      <c r="EJ45" s="104"/>
      <c r="FH45" s="127">
        <v>5</v>
      </c>
      <c r="FI45" s="135" t="s">
        <v>189</v>
      </c>
      <c r="FJ45" s="136" t="s">
        <v>189</v>
      </c>
      <c r="FK45" s="136" t="s">
        <v>189</v>
      </c>
      <c r="FL45" s="137">
        <v>1.5</v>
      </c>
      <c r="FM45" s="137">
        <v>0.75</v>
      </c>
      <c r="FN45" s="138">
        <v>0.5</v>
      </c>
      <c r="FO45" s="4"/>
      <c r="FP45" s="4"/>
      <c r="FQ45" s="4"/>
      <c r="FR45" s="4"/>
      <c r="FS45" s="4"/>
      <c r="FT45" s="4"/>
      <c r="FU45" s="154">
        <v>25001</v>
      </c>
      <c r="FV45" s="140">
        <v>14</v>
      </c>
      <c r="FW45" s="154"/>
      <c r="FX45" s="43"/>
    </row>
    <row r="46" spans="8:187">
      <c r="H46" s="4"/>
      <c r="I46" s="4"/>
      <c r="J46" s="4"/>
      <c r="L46" s="4" t="s">
        <v>147</v>
      </c>
      <c r="M46" s="4" t="s">
        <v>148</v>
      </c>
      <c r="N46" s="467" t="s">
        <v>456</v>
      </c>
      <c r="P46" s="4" t="s">
        <v>701</v>
      </c>
      <c r="Q46" s="4" t="s">
        <v>702</v>
      </c>
      <c r="R46" s="4" t="s">
        <v>703</v>
      </c>
      <c r="AD46" s="4"/>
      <c r="AE46" s="4"/>
      <c r="AX46" s="4"/>
      <c r="BU46" s="4"/>
      <c r="BV46" s="4"/>
      <c r="BW46" s="4"/>
      <c r="CD46" t="s">
        <v>226</v>
      </c>
      <c r="CE46" t="s">
        <v>219</v>
      </c>
      <c r="CF46" t="s">
        <v>222</v>
      </c>
      <c r="CG46" s="4" t="str">
        <f t="shared" si="31"/>
        <v>Group 3</v>
      </c>
      <c r="CH46" s="4" t="str">
        <f>CE46</f>
        <v>Group 2</v>
      </c>
      <c r="CI46" s="4" t="s">
        <v>219</v>
      </c>
      <c r="CJ46" s="4" t="s">
        <v>219</v>
      </c>
      <c r="CL46" s="545" t="s">
        <v>88</v>
      </c>
      <c r="CM46" s="78" t="s">
        <v>266</v>
      </c>
      <c r="DL46" s="545" t="s">
        <v>88</v>
      </c>
      <c r="DM46" s="4" t="s">
        <v>266</v>
      </c>
      <c r="DZ46" s="545" t="s">
        <v>88</v>
      </c>
      <c r="EA46" s="251">
        <v>0.5</v>
      </c>
      <c r="EB46" s="251">
        <v>1</v>
      </c>
      <c r="EC46" s="526">
        <v>0</v>
      </c>
      <c r="ED46" s="526">
        <f t="shared" si="51"/>
        <v>1</v>
      </c>
      <c r="EF46" s="535" t="s">
        <v>150</v>
      </c>
      <c r="EG46" s="4" t="s">
        <v>354</v>
      </c>
      <c r="EH46" s="375">
        <v>-0.4</v>
      </c>
      <c r="EI46" s="375">
        <v>0.4</v>
      </c>
      <c r="EJ46" s="62"/>
      <c r="EK46" t="s">
        <v>358</v>
      </c>
      <c r="EL46" s="393">
        <v>0</v>
      </c>
      <c r="EM46" s="393">
        <v>0</v>
      </c>
      <c r="FH46" s="4"/>
      <c r="FI46" s="4"/>
      <c r="FJ46" s="4"/>
      <c r="FK46" s="4"/>
      <c r="FL46" s="34"/>
      <c r="FM46" s="34"/>
      <c r="FN46" s="34"/>
      <c r="FO46" s="4"/>
      <c r="FP46" s="4"/>
      <c r="FQ46" s="4"/>
      <c r="FR46" s="4"/>
      <c r="FS46" s="4"/>
      <c r="FT46" s="4"/>
      <c r="FU46" s="154">
        <v>35001</v>
      </c>
      <c r="FV46" s="140">
        <v>18</v>
      </c>
      <c r="FW46" s="154"/>
      <c r="FX46" s="34"/>
    </row>
    <row r="47" spans="8:187">
      <c r="H47" s="4"/>
      <c r="I47" s="4"/>
      <c r="J47" s="4"/>
      <c r="L47" s="4" t="s">
        <v>149</v>
      </c>
      <c r="M47" s="4" t="s">
        <v>150</v>
      </c>
      <c r="N47" s="277" t="s">
        <v>455</v>
      </c>
      <c r="P47" s="4" t="s">
        <v>704</v>
      </c>
      <c r="Q47" s="4" t="s">
        <v>705</v>
      </c>
      <c r="R47" s="4" t="s">
        <v>706</v>
      </c>
      <c r="AC47" s="33" t="s">
        <v>1377</v>
      </c>
      <c r="AD47" s="10"/>
      <c r="AE47" s="10"/>
      <c r="AF47" s="358" t="s">
        <v>464</v>
      </c>
      <c r="AG47" s="358" t="s">
        <v>185</v>
      </c>
      <c r="AH47" s="358" t="s">
        <v>188</v>
      </c>
      <c r="AI47" s="358"/>
      <c r="AJ47" s="358"/>
      <c r="AK47" s="358"/>
      <c r="AL47" s="358"/>
      <c r="AM47" s="358"/>
      <c r="AN47" s="358"/>
      <c r="AO47" s="358"/>
      <c r="AP47" s="358"/>
      <c r="AQ47" s="358"/>
      <c r="AR47" s="358"/>
      <c r="AS47" s="358"/>
      <c r="AT47" s="358"/>
      <c r="AU47" s="358"/>
      <c r="AV47" s="358"/>
      <c r="AX47" s="4"/>
      <c r="AY47" s="8" t="s">
        <v>392</v>
      </c>
      <c r="AZ47" s="8" t="s">
        <v>395</v>
      </c>
      <c r="BU47" s="4" t="s">
        <v>202</v>
      </c>
      <c r="BV47" s="4" t="s">
        <v>465</v>
      </c>
      <c r="BW47" s="4" t="s">
        <v>466</v>
      </c>
      <c r="CD47" t="s">
        <v>263</v>
      </c>
      <c r="CE47" t="s">
        <v>222</v>
      </c>
      <c r="CF47" t="s">
        <v>254</v>
      </c>
      <c r="CG47" s="4" t="str">
        <f t="shared" si="31"/>
        <v>Group 8</v>
      </c>
      <c r="CH47" s="4" t="s">
        <v>251</v>
      </c>
      <c r="CI47" s="4" t="s">
        <v>222</v>
      </c>
      <c r="CJ47" s="4" t="s">
        <v>222</v>
      </c>
      <c r="CL47" s="545" t="s">
        <v>131</v>
      </c>
      <c r="CM47" s="78" t="s">
        <v>266</v>
      </c>
      <c r="DL47" s="545" t="s">
        <v>131</v>
      </c>
      <c r="DM47" s="4" t="s">
        <v>266</v>
      </c>
      <c r="DZ47" s="545" t="s">
        <v>131</v>
      </c>
      <c r="EA47" s="251">
        <v>0.5</v>
      </c>
      <c r="EB47" s="251">
        <v>1</v>
      </c>
      <c r="EC47" s="526">
        <v>0</v>
      </c>
      <c r="ED47" s="526">
        <f t="shared" si="51"/>
        <v>1</v>
      </c>
      <c r="EF47" s="545" t="s">
        <v>88</v>
      </c>
      <c r="EG47" s="4" t="s">
        <v>353</v>
      </c>
      <c r="EH47" s="375">
        <v>-0.25</v>
      </c>
      <c r="EI47" s="375">
        <v>0.25</v>
      </c>
      <c r="EJ47" s="62"/>
      <c r="FH47" s="4"/>
      <c r="FI47" s="4"/>
      <c r="FJ47" s="4"/>
      <c r="FK47" s="4"/>
      <c r="FL47" s="34"/>
      <c r="FM47" s="34"/>
      <c r="FN47" s="34"/>
      <c r="FO47" s="4"/>
      <c r="FP47" s="4"/>
      <c r="FQ47" s="4"/>
      <c r="FR47" s="4"/>
      <c r="FS47" s="4"/>
      <c r="FT47" s="4"/>
      <c r="FU47" s="154">
        <v>45001</v>
      </c>
      <c r="FV47" s="140">
        <v>21</v>
      </c>
      <c r="FW47" s="154"/>
      <c r="FX47" s="34"/>
    </row>
    <row r="48" spans="8:187" ht="21.75" customHeight="1">
      <c r="H48" s="4"/>
      <c r="I48" s="4"/>
      <c r="J48" s="4"/>
      <c r="L48" s="4" t="s">
        <v>151</v>
      </c>
      <c r="M48" s="4" t="s">
        <v>152</v>
      </c>
      <c r="N48" s="277" t="s">
        <v>455</v>
      </c>
      <c r="O48" s="4"/>
      <c r="P48" s="4" t="s">
        <v>707</v>
      </c>
      <c r="Q48" s="4" t="s">
        <v>708</v>
      </c>
      <c r="R48" s="4" t="s">
        <v>709</v>
      </c>
      <c r="AD48" s="8" t="s">
        <v>182</v>
      </c>
      <c r="AE48" s="8" t="s">
        <v>183</v>
      </c>
      <c r="AF48" s="359"/>
      <c r="AG48" s="359"/>
      <c r="AH48" s="366">
        <v>100000</v>
      </c>
      <c r="AI48" s="366">
        <v>200000</v>
      </c>
      <c r="AJ48" s="366">
        <v>250000</v>
      </c>
      <c r="AK48" s="366">
        <v>500000</v>
      </c>
      <c r="AL48" s="366">
        <v>1000000</v>
      </c>
      <c r="AM48" s="366">
        <v>2000000</v>
      </c>
      <c r="AN48" s="366">
        <v>3000000</v>
      </c>
      <c r="AO48" s="366">
        <v>4000000</v>
      </c>
      <c r="AP48" s="366">
        <v>5000000</v>
      </c>
      <c r="AQ48" s="366">
        <v>6000000</v>
      </c>
      <c r="AR48" s="366">
        <v>7000000</v>
      </c>
      <c r="AS48" s="366">
        <v>8000000</v>
      </c>
      <c r="AT48" s="366">
        <v>9000000</v>
      </c>
      <c r="AU48" s="366">
        <v>10000000</v>
      </c>
      <c r="AV48" s="366">
        <v>15000000</v>
      </c>
      <c r="AX48" s="4"/>
      <c r="AY48" s="58">
        <v>100000</v>
      </c>
      <c r="AZ48" s="58">
        <v>0</v>
      </c>
      <c r="BB48" s="234" t="str">
        <f>AF51</f>
        <v>N/A</v>
      </c>
      <c r="BC48" s="365">
        <f>AG51/BC79</f>
        <v>1.4130977918400227</v>
      </c>
      <c r="BD48" s="365">
        <f t="shared" ref="BD48:BD63" si="230">AVERAGE(BB48,BE48)</f>
        <v>1.413517225104223</v>
      </c>
      <c r="BE48" s="365">
        <f t="shared" ref="BE48:BS48" si="231">AH51/BE79</f>
        <v>1.413517225104223</v>
      </c>
      <c r="BF48" s="365">
        <f t="shared" si="231"/>
        <v>1.4130977918400227</v>
      </c>
      <c r="BG48" s="365">
        <f t="shared" si="231"/>
        <v>1.4130977918400227</v>
      </c>
      <c r="BH48" s="365">
        <f t="shared" si="231"/>
        <v>1.4130977918400227</v>
      </c>
      <c r="BI48" s="365">
        <f t="shared" si="231"/>
        <v>1.4130977918400227</v>
      </c>
      <c r="BJ48" s="365">
        <f t="shared" si="231"/>
        <v>1.4130977918400227</v>
      </c>
      <c r="BK48" s="365">
        <f t="shared" si="231"/>
        <v>1.4130977918400227</v>
      </c>
      <c r="BL48" s="365">
        <f t="shared" si="231"/>
        <v>1.4130977918400227</v>
      </c>
      <c r="BM48" s="365">
        <f t="shared" si="231"/>
        <v>1.4130977918400227</v>
      </c>
      <c r="BN48" s="365">
        <f t="shared" si="231"/>
        <v>1.4130977918400227</v>
      </c>
      <c r="BO48" s="365">
        <f t="shared" si="231"/>
        <v>1.4130977918400227</v>
      </c>
      <c r="BP48" s="365">
        <f t="shared" si="231"/>
        <v>1.4130977918400227</v>
      </c>
      <c r="BQ48" s="365">
        <f t="shared" si="231"/>
        <v>1.4130977918400227</v>
      </c>
      <c r="BR48" s="365">
        <f t="shared" si="231"/>
        <v>1.4130977918400227</v>
      </c>
      <c r="BS48" s="365">
        <f t="shared" si="231"/>
        <v>1.4130977918400227</v>
      </c>
      <c r="BU48" s="58">
        <v>1000</v>
      </c>
      <c r="BV48" s="4">
        <v>0.08</v>
      </c>
      <c r="BW48" s="4">
        <v>0.02</v>
      </c>
      <c r="CD48" t="s">
        <v>264</v>
      </c>
      <c r="CE48" t="s">
        <v>222</v>
      </c>
      <c r="CF48" t="s">
        <v>254</v>
      </c>
      <c r="CG48" s="4" t="str">
        <f t="shared" si="31"/>
        <v>Group 8</v>
      </c>
      <c r="CH48" s="4" t="s">
        <v>251</v>
      </c>
      <c r="CI48" s="4" t="s">
        <v>222</v>
      </c>
      <c r="CJ48" s="4" t="s">
        <v>222</v>
      </c>
      <c r="CL48" s="545" t="s">
        <v>161</v>
      </c>
      <c r="CM48" s="78" t="s">
        <v>266</v>
      </c>
      <c r="DL48" s="545" t="s">
        <v>161</v>
      </c>
      <c r="DM48" s="4" t="s">
        <v>266</v>
      </c>
      <c r="DZ48" s="545" t="s">
        <v>161</v>
      </c>
      <c r="EA48" s="251">
        <v>0.5</v>
      </c>
      <c r="EB48" s="251">
        <v>1</v>
      </c>
      <c r="EC48" s="526">
        <v>0</v>
      </c>
      <c r="ED48" s="526">
        <f t="shared" si="51"/>
        <v>1</v>
      </c>
      <c r="EF48" s="545" t="s">
        <v>131</v>
      </c>
      <c r="EG48" s="4" t="s">
        <v>353</v>
      </c>
      <c r="EH48" s="375">
        <v>-0.5</v>
      </c>
      <c r="EI48" s="375">
        <v>0.5</v>
      </c>
      <c r="EJ48" s="62"/>
      <c r="FH48" s="4"/>
      <c r="FI48" s="4"/>
      <c r="FJ48" s="4"/>
      <c r="FK48" s="4"/>
      <c r="FL48" s="34"/>
      <c r="FM48" s="34"/>
      <c r="FN48" s="34"/>
      <c r="FO48" s="4"/>
      <c r="FP48" s="4"/>
      <c r="FQ48" s="4"/>
      <c r="FR48" s="4"/>
      <c r="FS48" s="4"/>
      <c r="FT48" s="4"/>
      <c r="FU48" s="154">
        <v>60001</v>
      </c>
      <c r="FV48" s="140">
        <v>24</v>
      </c>
      <c r="FW48" s="154"/>
      <c r="FX48" s="4"/>
    </row>
    <row r="49" spans="8:181">
      <c r="H49" s="4"/>
      <c r="I49" s="4"/>
      <c r="J49" s="4"/>
      <c r="L49" s="4" t="s">
        <v>153</v>
      </c>
      <c r="M49" s="4" t="s">
        <v>154</v>
      </c>
      <c r="N49" s="277" t="s">
        <v>455</v>
      </c>
      <c r="O49" s="4"/>
      <c r="P49" s="4" t="s">
        <v>710</v>
      </c>
      <c r="Q49" s="4" t="s">
        <v>711</v>
      </c>
      <c r="R49" s="4" t="s">
        <v>712</v>
      </c>
      <c r="AC49" s="355">
        <f>AF$60*(AF6/AF$16)</f>
        <v>0.82295671682734461</v>
      </c>
      <c r="AD49" s="162">
        <v>100000</v>
      </c>
      <c r="AE49" s="58">
        <v>100000</v>
      </c>
      <c r="AF49" s="234" t="s">
        <v>189</v>
      </c>
      <c r="AG49" s="234" t="s">
        <v>189</v>
      </c>
      <c r="AH49" s="234" t="s">
        <v>189</v>
      </c>
      <c r="AI49" s="234" t="s">
        <v>189</v>
      </c>
      <c r="AJ49" s="234" t="s">
        <v>189</v>
      </c>
      <c r="AK49" s="234" t="s">
        <v>189</v>
      </c>
      <c r="AL49" s="234" t="s">
        <v>189</v>
      </c>
      <c r="AM49" s="234" t="s">
        <v>189</v>
      </c>
      <c r="AN49" s="234" t="s">
        <v>189</v>
      </c>
      <c r="AO49" s="234" t="s">
        <v>189</v>
      </c>
      <c r="AP49" s="234" t="s">
        <v>189</v>
      </c>
      <c r="AQ49" s="234" t="s">
        <v>189</v>
      </c>
      <c r="AR49" s="234" t="s">
        <v>189</v>
      </c>
      <c r="AS49" s="234" t="s">
        <v>189</v>
      </c>
      <c r="AT49" s="234" t="s">
        <v>189</v>
      </c>
      <c r="AU49" s="234" t="s">
        <v>189</v>
      </c>
      <c r="AV49" s="234" t="s">
        <v>189</v>
      </c>
      <c r="AX49" s="4"/>
      <c r="AY49" s="58">
        <v>200000</v>
      </c>
      <c r="AZ49" s="58">
        <f>AY49</f>
        <v>200000</v>
      </c>
      <c r="BB49" s="234" t="str">
        <f>AF54</f>
        <v>N/A</v>
      </c>
      <c r="BC49" s="365">
        <f>AG54/BC80</f>
        <v>1.5010598586942374</v>
      </c>
      <c r="BD49" s="365">
        <f t="shared" si="230"/>
        <v>1.4739526666013749</v>
      </c>
      <c r="BE49" s="365">
        <f t="shared" ref="BE49:BS49" si="232">AH54/BE80</f>
        <v>1.4739526666013749</v>
      </c>
      <c r="BF49" s="365">
        <f t="shared" si="232"/>
        <v>1.5259649525960377</v>
      </c>
      <c r="BG49" s="365">
        <f t="shared" si="232"/>
        <v>1.5010598586942374</v>
      </c>
      <c r="BH49" s="365">
        <f t="shared" si="232"/>
        <v>1.5010598586942374</v>
      </c>
      <c r="BI49" s="365">
        <f t="shared" si="232"/>
        <v>1.5010598586942374</v>
      </c>
      <c r="BJ49" s="365">
        <f t="shared" si="232"/>
        <v>1.5010598586942374</v>
      </c>
      <c r="BK49" s="365">
        <f t="shared" si="232"/>
        <v>1.5010598586942374</v>
      </c>
      <c r="BL49" s="365">
        <f t="shared" si="232"/>
        <v>1.5010598586942374</v>
      </c>
      <c r="BM49" s="365">
        <f t="shared" si="232"/>
        <v>1.5010598586942374</v>
      </c>
      <c r="BN49" s="365">
        <f t="shared" si="232"/>
        <v>1.5010598586942374</v>
      </c>
      <c r="BO49" s="365">
        <f t="shared" si="232"/>
        <v>1.5010598586942374</v>
      </c>
      <c r="BP49" s="365">
        <f t="shared" si="232"/>
        <v>1.5010598586942374</v>
      </c>
      <c r="BQ49" s="365">
        <f t="shared" si="232"/>
        <v>1.5010598586942374</v>
      </c>
      <c r="BR49" s="365">
        <f t="shared" si="232"/>
        <v>1.5010598586942374</v>
      </c>
      <c r="BS49" s="365">
        <f t="shared" si="232"/>
        <v>1.5010598586942374</v>
      </c>
      <c r="BU49" s="58">
        <v>2000</v>
      </c>
      <c r="BV49" s="4">
        <v>0.12</v>
      </c>
      <c r="BW49" s="4">
        <v>0.05</v>
      </c>
      <c r="CD49" t="s">
        <v>227</v>
      </c>
      <c r="CE49" t="s">
        <v>219</v>
      </c>
      <c r="CF49" t="s">
        <v>222</v>
      </c>
      <c r="CG49" s="4" t="str">
        <f t="shared" si="31"/>
        <v>Group 3</v>
      </c>
      <c r="CH49" s="4" t="str">
        <f>CE49</f>
        <v>Group 2</v>
      </c>
      <c r="CI49" s="4" t="s">
        <v>219</v>
      </c>
      <c r="CJ49" s="4" t="s">
        <v>219</v>
      </c>
      <c r="CL49" s="545" t="s">
        <v>168</v>
      </c>
      <c r="CM49" s="78" t="s">
        <v>266</v>
      </c>
      <c r="DL49" s="545" t="s">
        <v>168</v>
      </c>
      <c r="DM49" s="4" t="s">
        <v>266</v>
      </c>
      <c r="DZ49" s="545" t="s">
        <v>168</v>
      </c>
      <c r="EA49" s="251">
        <v>0.5</v>
      </c>
      <c r="EB49" s="251">
        <v>1</v>
      </c>
      <c r="EC49" s="526">
        <v>0</v>
      </c>
      <c r="ED49" s="526">
        <f t="shared" si="51"/>
        <v>1</v>
      </c>
      <c r="EF49" s="545" t="s">
        <v>161</v>
      </c>
      <c r="EG49" s="4" t="s">
        <v>353</v>
      </c>
      <c r="EH49" s="375">
        <v>-0.5</v>
      </c>
      <c r="EI49" s="375">
        <v>0.5</v>
      </c>
      <c r="EJ49" s="62"/>
      <c r="FH49" s="4"/>
      <c r="FI49" s="4"/>
      <c r="FJ49" s="4"/>
      <c r="FK49" s="4"/>
      <c r="FL49" s="34"/>
      <c r="FM49" s="34"/>
      <c r="FN49" s="34"/>
      <c r="FO49" s="4"/>
      <c r="FP49" s="4"/>
      <c r="FQ49" s="4"/>
      <c r="FR49" s="4"/>
      <c r="FS49" s="4"/>
      <c r="FT49" s="4"/>
      <c r="FU49" s="154">
        <v>80001</v>
      </c>
      <c r="FV49" s="140">
        <v>27</v>
      </c>
      <c r="FW49" s="4"/>
      <c r="FX49" s="4"/>
    </row>
    <row r="50" spans="8:181">
      <c r="H50" s="4"/>
      <c r="I50" s="4"/>
      <c r="J50" s="4"/>
      <c r="L50" s="4" t="s">
        <v>155</v>
      </c>
      <c r="M50" s="4" t="s">
        <v>156</v>
      </c>
      <c r="N50" s="277" t="s">
        <v>455</v>
      </c>
      <c r="O50" s="4"/>
      <c r="P50" s="4" t="s">
        <v>713</v>
      </c>
      <c r="Q50" s="4" t="s">
        <v>714</v>
      </c>
      <c r="R50" s="4" t="s">
        <v>715</v>
      </c>
      <c r="AC50" s="355">
        <f t="shared" ref="AC50:AC56" si="233">AF$60*(AF7/AF$16)</f>
        <v>0.82341048319969345</v>
      </c>
      <c r="AD50" s="58">
        <v>100000</v>
      </c>
      <c r="AE50" s="58">
        <v>200000</v>
      </c>
      <c r="AF50" s="234" t="s">
        <v>189</v>
      </c>
      <c r="AG50" s="234" t="s">
        <v>189</v>
      </c>
      <c r="AH50" s="234" t="s">
        <v>189</v>
      </c>
      <c r="AI50" s="234" t="s">
        <v>189</v>
      </c>
      <c r="AJ50" s="234" t="s">
        <v>189</v>
      </c>
      <c r="AK50" s="234" t="s">
        <v>189</v>
      </c>
      <c r="AL50" s="234" t="s">
        <v>189</v>
      </c>
      <c r="AM50" s="234" t="s">
        <v>189</v>
      </c>
      <c r="AN50" s="234" t="s">
        <v>189</v>
      </c>
      <c r="AO50" s="234" t="s">
        <v>189</v>
      </c>
      <c r="AP50" s="234" t="s">
        <v>189</v>
      </c>
      <c r="AQ50" s="234" t="s">
        <v>189</v>
      </c>
      <c r="AR50" s="234" t="s">
        <v>189</v>
      </c>
      <c r="AS50" s="234" t="s">
        <v>189</v>
      </c>
      <c r="AT50" s="234" t="s">
        <v>189</v>
      </c>
      <c r="AU50" s="234" t="s">
        <v>189</v>
      </c>
      <c r="AV50" s="234" t="s">
        <v>189</v>
      </c>
      <c r="AX50" s="4"/>
      <c r="AY50" s="58">
        <v>250000</v>
      </c>
      <c r="AZ50" s="58">
        <f t="shared" ref="AZ50:AZ63" si="234">AY50</f>
        <v>250000</v>
      </c>
      <c r="BB50" s="234" t="str">
        <f>AF57</f>
        <v>N/A</v>
      </c>
      <c r="BC50" s="365">
        <f>AG57/BC81</f>
        <v>1.5478407151864177</v>
      </c>
      <c r="BD50" s="365">
        <f t="shared" si="230"/>
        <v>1.4927000824807612</v>
      </c>
      <c r="BE50" s="365">
        <f t="shared" ref="BE50:BS50" si="235">AH57/BE81</f>
        <v>1.4927000824807612</v>
      </c>
      <c r="BF50" s="365">
        <f t="shared" si="235"/>
        <v>1.5368374384743395</v>
      </c>
      <c r="BG50" s="365">
        <f t="shared" si="235"/>
        <v>1.5528071270160959</v>
      </c>
      <c r="BH50" s="365">
        <f t="shared" si="235"/>
        <v>1.5536901857524976</v>
      </c>
      <c r="BI50" s="365">
        <f t="shared" si="235"/>
        <v>1.5478407151864177</v>
      </c>
      <c r="BJ50" s="365">
        <f t="shared" si="235"/>
        <v>1.5478407151864177</v>
      </c>
      <c r="BK50" s="365">
        <f t="shared" si="235"/>
        <v>1.5478407151864177</v>
      </c>
      <c r="BL50" s="365">
        <f t="shared" si="235"/>
        <v>1.5478407151864177</v>
      </c>
      <c r="BM50" s="365">
        <f t="shared" si="235"/>
        <v>1.5478407151864177</v>
      </c>
      <c r="BN50" s="365">
        <f t="shared" si="235"/>
        <v>1.5478407151864177</v>
      </c>
      <c r="BO50" s="365">
        <f t="shared" si="235"/>
        <v>1.5478407151864177</v>
      </c>
      <c r="BP50" s="365">
        <f t="shared" si="235"/>
        <v>1.5478407151864177</v>
      </c>
      <c r="BQ50" s="365">
        <f t="shared" si="235"/>
        <v>1.5478407151864177</v>
      </c>
      <c r="BR50" s="365">
        <f t="shared" si="235"/>
        <v>1.5478407151864177</v>
      </c>
      <c r="BS50" s="365">
        <f t="shared" si="235"/>
        <v>1.5478407151864177</v>
      </c>
      <c r="BU50" s="58">
        <v>2500</v>
      </c>
      <c r="BV50" s="4">
        <v>0.14000000000000001</v>
      </c>
      <c r="BW50" s="4">
        <v>7.0000000000000007E-2</v>
      </c>
      <c r="CD50" t="s">
        <v>249</v>
      </c>
      <c r="CE50" t="s">
        <v>222</v>
      </c>
      <c r="CF50" t="s">
        <v>244</v>
      </c>
      <c r="CG50" s="4" t="str">
        <f t="shared" si="31"/>
        <v>Group 6</v>
      </c>
      <c r="CH50" s="4" t="s">
        <v>241</v>
      </c>
      <c r="CI50" s="4" t="s">
        <v>222</v>
      </c>
      <c r="CJ50" s="4" t="s">
        <v>222</v>
      </c>
      <c r="CL50" s="545" t="s">
        <v>125</v>
      </c>
      <c r="CM50" s="78" t="s">
        <v>266</v>
      </c>
      <c r="DL50" s="545" t="s">
        <v>125</v>
      </c>
      <c r="DM50" s="4" t="s">
        <v>266</v>
      </c>
      <c r="DZ50" s="545" t="s">
        <v>125</v>
      </c>
      <c r="EA50" s="251">
        <v>0.5</v>
      </c>
      <c r="EB50" s="251">
        <v>1</v>
      </c>
      <c r="EC50" s="526">
        <v>0</v>
      </c>
      <c r="ED50" s="526">
        <f t="shared" si="51"/>
        <v>1</v>
      </c>
      <c r="EF50" s="545" t="s">
        <v>168</v>
      </c>
      <c r="EG50" s="4" t="s">
        <v>353</v>
      </c>
      <c r="EH50" s="375">
        <v>-0.5</v>
      </c>
      <c r="EI50" s="375">
        <v>0.5</v>
      </c>
      <c r="EJ50" s="104"/>
      <c r="FH50" s="4"/>
      <c r="FI50" s="4"/>
      <c r="FJ50" s="4"/>
      <c r="FK50" s="4"/>
      <c r="FL50" s="4"/>
      <c r="FM50" s="4"/>
      <c r="FN50" s="4"/>
      <c r="FO50" s="4"/>
      <c r="FP50" s="4"/>
      <c r="FQ50" s="4"/>
      <c r="FR50" s="4"/>
      <c r="FS50" s="4"/>
      <c r="FT50" s="4"/>
      <c r="FU50" s="4"/>
      <c r="FV50" s="4"/>
      <c r="FW50" s="4"/>
      <c r="FX50" s="4"/>
    </row>
    <row r="51" spans="8:181">
      <c r="H51" s="4"/>
      <c r="I51" s="4"/>
      <c r="J51" s="4"/>
      <c r="L51" s="4" t="s">
        <v>157</v>
      </c>
      <c r="M51" s="4" t="s">
        <v>75</v>
      </c>
      <c r="N51" s="277" t="s">
        <v>459</v>
      </c>
      <c r="O51" s="4"/>
      <c r="P51" s="4" t="s">
        <v>716</v>
      </c>
      <c r="Q51" s="4" t="s">
        <v>717</v>
      </c>
      <c r="R51" s="4" t="s">
        <v>718</v>
      </c>
      <c r="AC51" s="355">
        <v>1</v>
      </c>
      <c r="AD51" s="58">
        <v>100000</v>
      </c>
      <c r="AE51" s="58">
        <v>300000</v>
      </c>
      <c r="AF51" s="234" t="s">
        <v>189</v>
      </c>
      <c r="AG51" s="234">
        <v>1.53</v>
      </c>
      <c r="AH51" s="361">
        <f>IF(AH$5&gt;AD51,AG51,(1-(AC51-AC$51)/AC51)*(AG51-AC51)+AC51)</f>
        <v>1.53</v>
      </c>
      <c r="AI51" s="361">
        <f>IF(AI$5&gt;AD51,AG51,(1-(AC51-AC$54)/AC51)*(AG51-AC51)+AC51)</f>
        <v>1.53</v>
      </c>
      <c r="AJ51" s="361">
        <f>IF(AJ$5&gt;AD51,AG51,(1-(AC51-AC$57)/AC51)*(AG51-AC51)+AC51)</f>
        <v>1.53</v>
      </c>
      <c r="AK51" s="361">
        <f>IF(AK$5&gt;AD51,AG51,(1-(AC51-AF$60)/AC51)*(AG51-AC51)+AC51)</f>
        <v>1.53</v>
      </c>
      <c r="AL51" s="361">
        <f>IF(AL$5&gt;AD51,AG51,(1-(AC51-AF$63)/AC51)*(AG51-AC51)+AC51)</f>
        <v>1.53</v>
      </c>
      <c r="AM51" s="361">
        <f>IF(AM$5&gt;AD51,AG51,(1-(AC51-AF$65)/AC51)*(AG51-AC51)+AC51)</f>
        <v>1.53</v>
      </c>
      <c r="AN51" s="361">
        <f>IF(AN$5&gt;AD51,AG51,(1-(AC51-AF$68)/AC51)*(AG51-AC51)+AC51)</f>
        <v>1.53</v>
      </c>
      <c r="AO51" s="361">
        <f>IF(AO$5&gt;AD51,AG51,(1-(AC51-AF$69)/AC51)*(AG51-AC51)+AC51)</f>
        <v>1.53</v>
      </c>
      <c r="AP51" s="361">
        <f>IF(AP$5&gt;AD51,AG51,(1-(AC51-AF$70)/AC51)*(AG51-AC51)+AC51)</f>
        <v>1.53</v>
      </c>
      <c r="AQ51" s="361">
        <f>IF(AQ$5&gt;AD51,AG51,(1-(AC51-AF$71)/AC51)*(AG51-AC51)+AC51)</f>
        <v>1.53</v>
      </c>
      <c r="AR51" s="361">
        <f>IF(AR$5&gt;AD51,AG51,(1-(AC51-AF$72)/AC51)*(AG51-AC51)+AC51)</f>
        <v>1.53</v>
      </c>
      <c r="AS51" s="361">
        <f>IF(AS$5&gt;AD51,AG51,(1-(AC51-AF$73)/AC51)*(AG51-AC51)+AC51)</f>
        <v>1.53</v>
      </c>
      <c r="AT51" s="361">
        <f>IF(AT$5&gt;AD51,AG51,(1-(AC51-AF$74)/AC51)*(AG51-AC51)+AC51)</f>
        <v>1.53</v>
      </c>
      <c r="AU51" s="361">
        <f>IF(AU$5&gt;AD51,AG51,(1-(AC51-AF$75)/AC51)*(AG51-AC51)+AC51)</f>
        <v>1.53</v>
      </c>
      <c r="AV51" s="361">
        <f>IF(AV$5&gt;AD51,AG51,(1-(AC51-AF$76)/AC51)*(AG51-AC51)+AC51)</f>
        <v>1.53</v>
      </c>
      <c r="AX51" s="4"/>
      <c r="AY51" s="58">
        <v>500000</v>
      </c>
      <c r="AZ51" s="58">
        <f t="shared" si="234"/>
        <v>500000</v>
      </c>
      <c r="BB51" s="234">
        <f>AF60</f>
        <v>1.59</v>
      </c>
      <c r="BC51" s="365">
        <f>AG60/BC82</f>
        <v>1.6521280490107628</v>
      </c>
      <c r="BD51" s="365">
        <f t="shared" si="230"/>
        <v>1.5851363339370292</v>
      </c>
      <c r="BE51" s="365">
        <f t="shared" ref="BE51:BS51" si="236">AH60/BE82</f>
        <v>1.5802726678740584</v>
      </c>
      <c r="BF51" s="365">
        <f t="shared" si="236"/>
        <v>1.6078406663205442</v>
      </c>
      <c r="BG51" s="365">
        <f t="shared" si="236"/>
        <v>1.6267244512943144</v>
      </c>
      <c r="BH51" s="365">
        <f t="shared" si="236"/>
        <v>1.6893948917203065</v>
      </c>
      <c r="BI51" s="365">
        <f t="shared" si="236"/>
        <v>1.6521280490107628</v>
      </c>
      <c r="BJ51" s="365">
        <f t="shared" si="236"/>
        <v>1.6521280490107628</v>
      </c>
      <c r="BK51" s="365">
        <f t="shared" si="236"/>
        <v>1.6521280490107628</v>
      </c>
      <c r="BL51" s="365">
        <f t="shared" si="236"/>
        <v>1.6521280490107628</v>
      </c>
      <c r="BM51" s="365">
        <f t="shared" si="236"/>
        <v>1.6521280490107628</v>
      </c>
      <c r="BN51" s="365">
        <f t="shared" si="236"/>
        <v>1.6521280490107628</v>
      </c>
      <c r="BO51" s="365">
        <f t="shared" si="236"/>
        <v>1.6521280490107628</v>
      </c>
      <c r="BP51" s="365">
        <f t="shared" si="236"/>
        <v>1.6521280490107628</v>
      </c>
      <c r="BQ51" s="365">
        <f t="shared" si="236"/>
        <v>1.6521280490107628</v>
      </c>
      <c r="BR51" s="365">
        <f t="shared" si="236"/>
        <v>1.6521280490107628</v>
      </c>
      <c r="BS51" s="365">
        <f t="shared" si="236"/>
        <v>1.6521280490107628</v>
      </c>
      <c r="BU51" s="58">
        <v>3000</v>
      </c>
      <c r="BV51" s="4">
        <v>0.16500000000000001</v>
      </c>
      <c r="BW51" s="4">
        <v>9.5000000000000001E-2</v>
      </c>
      <c r="CD51" t="s">
        <v>242</v>
      </c>
      <c r="CE51" t="s">
        <v>219</v>
      </c>
      <c r="CF51" t="s">
        <v>241</v>
      </c>
      <c r="CG51" s="4" t="str">
        <f t="shared" si="31"/>
        <v>Group 5</v>
      </c>
      <c r="CH51" s="4" t="s">
        <v>229</v>
      </c>
      <c r="CI51" s="4" t="s">
        <v>219</v>
      </c>
      <c r="CJ51" s="4" t="s">
        <v>219</v>
      </c>
      <c r="CL51" s="555" t="s">
        <v>143</v>
      </c>
      <c r="CM51" s="78" t="s">
        <v>266</v>
      </c>
      <c r="DL51" s="545" t="s">
        <v>143</v>
      </c>
      <c r="DM51" s="4" t="s">
        <v>266</v>
      </c>
      <c r="DZ51" s="545" t="s">
        <v>143</v>
      </c>
      <c r="EA51" s="251">
        <v>0.5</v>
      </c>
      <c r="EB51" s="251">
        <v>1</v>
      </c>
      <c r="EC51" s="526">
        <v>0</v>
      </c>
      <c r="ED51" s="526">
        <f t="shared" si="51"/>
        <v>1</v>
      </c>
      <c r="EF51" s="545" t="s">
        <v>125</v>
      </c>
      <c r="EG51" s="4" t="s">
        <v>353</v>
      </c>
      <c r="EH51" s="375">
        <v>-0.4</v>
      </c>
      <c r="EI51" s="375">
        <v>0.4</v>
      </c>
      <c r="EJ51" s="4"/>
    </row>
    <row r="52" spans="8:181">
      <c r="H52" s="4"/>
      <c r="I52" s="4"/>
      <c r="J52" s="4"/>
      <c r="L52" s="4" t="s">
        <v>158</v>
      </c>
      <c r="M52" s="4" t="s">
        <v>159</v>
      </c>
      <c r="N52" s="277" t="s">
        <v>455</v>
      </c>
      <c r="O52" s="4"/>
      <c r="P52" s="4" t="s">
        <v>719</v>
      </c>
      <c r="Q52" s="4" t="s">
        <v>720</v>
      </c>
      <c r="R52" s="4" t="s">
        <v>721</v>
      </c>
      <c r="AC52" s="355">
        <f t="shared" si="233"/>
        <v>1.0632991649105543</v>
      </c>
      <c r="AD52" s="162">
        <v>200000</v>
      </c>
      <c r="AE52" s="58">
        <v>200000</v>
      </c>
      <c r="AF52" s="234" t="s">
        <v>189</v>
      </c>
      <c r="AG52" s="234" t="s">
        <v>189</v>
      </c>
      <c r="AH52" s="234" t="s">
        <v>189</v>
      </c>
      <c r="AI52" s="234" t="s">
        <v>189</v>
      </c>
      <c r="AJ52" s="234" t="s">
        <v>189</v>
      </c>
      <c r="AK52" s="234" t="s">
        <v>189</v>
      </c>
      <c r="AL52" s="234" t="s">
        <v>189</v>
      </c>
      <c r="AM52" s="234" t="s">
        <v>189</v>
      </c>
      <c r="AN52" s="234" t="s">
        <v>189</v>
      </c>
      <c r="AO52" s="234" t="s">
        <v>189</v>
      </c>
      <c r="AP52" s="234" t="s">
        <v>189</v>
      </c>
      <c r="AQ52" s="234" t="s">
        <v>189</v>
      </c>
      <c r="AR52" s="234" t="s">
        <v>189</v>
      </c>
      <c r="AS52" s="234" t="s">
        <v>189</v>
      </c>
      <c r="AT52" s="234" t="s">
        <v>189</v>
      </c>
      <c r="AU52" s="234" t="s">
        <v>189</v>
      </c>
      <c r="AV52" s="234" t="s">
        <v>189</v>
      </c>
      <c r="AX52" s="4"/>
      <c r="AY52" s="58">
        <v>750000</v>
      </c>
      <c r="AZ52" s="58">
        <v>750000</v>
      </c>
      <c r="BB52" s="360">
        <f>AF61</f>
        <v>1.6836363636363636</v>
      </c>
      <c r="BC52" s="360">
        <f>AG61</f>
        <v>2.0174647887323944</v>
      </c>
      <c r="BD52" s="360">
        <f t="shared" si="230"/>
        <v>1.7827754747609947</v>
      </c>
      <c r="BE52" s="360">
        <f t="shared" ref="BE52:BS52" si="237">AH61</f>
        <v>1.8819145858856259</v>
      </c>
      <c r="BF52" s="360">
        <f t="shared" si="237"/>
        <v>1.9089399689646469</v>
      </c>
      <c r="BG52" s="360">
        <f t="shared" si="237"/>
        <v>1.9297622516231454</v>
      </c>
      <c r="BH52" s="360">
        <f t="shared" si="237"/>
        <v>1.9988987370126907</v>
      </c>
      <c r="BI52" s="360">
        <f t="shared" si="237"/>
        <v>2.0174647887323944</v>
      </c>
      <c r="BJ52" s="360">
        <f t="shared" si="237"/>
        <v>2.0174647887323944</v>
      </c>
      <c r="BK52" s="360">
        <f t="shared" si="237"/>
        <v>2.0174647887323944</v>
      </c>
      <c r="BL52" s="360">
        <f t="shared" si="237"/>
        <v>2.0174647887323944</v>
      </c>
      <c r="BM52" s="360">
        <f t="shared" si="237"/>
        <v>2.0174647887323944</v>
      </c>
      <c r="BN52" s="360">
        <f t="shared" si="237"/>
        <v>2.0174647887323944</v>
      </c>
      <c r="BO52" s="360">
        <f t="shared" si="237"/>
        <v>2.0174647887323944</v>
      </c>
      <c r="BP52" s="360">
        <f t="shared" si="237"/>
        <v>2.0174647887323944</v>
      </c>
      <c r="BQ52" s="360">
        <f t="shared" si="237"/>
        <v>2.0174647887323944</v>
      </c>
      <c r="BR52" s="360">
        <f t="shared" si="237"/>
        <v>2.0174647887323944</v>
      </c>
      <c r="BS52" s="360">
        <f t="shared" si="237"/>
        <v>2.0174647887323944</v>
      </c>
      <c r="BU52" s="58">
        <v>4000</v>
      </c>
      <c r="BV52" s="4">
        <v>0.2</v>
      </c>
      <c r="BW52" s="4">
        <v>0.12</v>
      </c>
      <c r="CD52" t="s">
        <v>217</v>
      </c>
      <c r="CE52" t="s">
        <v>211</v>
      </c>
      <c r="CF52" t="s">
        <v>211</v>
      </c>
      <c r="CG52" s="4" t="str">
        <f t="shared" si="31"/>
        <v>Group 1</v>
      </c>
      <c r="CH52" s="4" t="str">
        <f>CE52</f>
        <v>Group 1</v>
      </c>
      <c r="CI52" s="4" t="s">
        <v>211</v>
      </c>
      <c r="CJ52" s="4" t="s">
        <v>211</v>
      </c>
      <c r="CL52" s="555" t="s">
        <v>80</v>
      </c>
      <c r="CM52" s="78" t="s">
        <v>266</v>
      </c>
      <c r="DL52" s="550" t="s">
        <v>170</v>
      </c>
      <c r="DM52" t="s">
        <v>266</v>
      </c>
      <c r="DZ52" s="555" t="s">
        <v>80</v>
      </c>
      <c r="EA52" s="251">
        <v>0.5</v>
      </c>
      <c r="EB52" s="251">
        <v>1</v>
      </c>
      <c r="EC52" s="526">
        <v>0</v>
      </c>
      <c r="ED52" s="526">
        <f t="shared" si="51"/>
        <v>1</v>
      </c>
      <c r="EF52" s="545" t="s">
        <v>143</v>
      </c>
      <c r="EG52" s="4" t="s">
        <v>353</v>
      </c>
      <c r="EH52" s="375">
        <v>-0.5</v>
      </c>
      <c r="EI52" s="375">
        <v>0.5</v>
      </c>
      <c r="EJ52" s="4"/>
    </row>
    <row r="53" spans="8:181">
      <c r="H53" s="4"/>
      <c r="I53" s="4"/>
      <c r="J53" s="4"/>
      <c r="L53" s="4" t="s">
        <v>160</v>
      </c>
      <c r="M53" s="4" t="s">
        <v>161</v>
      </c>
      <c r="N53" s="277" t="s">
        <v>455</v>
      </c>
      <c r="O53" s="4"/>
      <c r="P53" s="4" t="s">
        <v>722</v>
      </c>
      <c r="Q53" s="4" t="s">
        <v>723</v>
      </c>
      <c r="R53" s="4" t="s">
        <v>724</v>
      </c>
      <c r="AC53" s="355">
        <f t="shared" si="233"/>
        <v>1.1069741782491274</v>
      </c>
      <c r="AD53" s="58">
        <v>200000</v>
      </c>
      <c r="AE53" s="58">
        <v>400000</v>
      </c>
      <c r="AF53" s="234" t="s">
        <v>189</v>
      </c>
      <c r="AG53" s="234" t="s">
        <v>189</v>
      </c>
      <c r="AH53" s="234" t="s">
        <v>189</v>
      </c>
      <c r="AI53" s="234" t="s">
        <v>189</v>
      </c>
      <c r="AJ53" s="234" t="s">
        <v>189</v>
      </c>
      <c r="AK53" s="234" t="s">
        <v>189</v>
      </c>
      <c r="AL53" s="234" t="s">
        <v>189</v>
      </c>
      <c r="AM53" s="234" t="s">
        <v>189</v>
      </c>
      <c r="AN53" s="234" t="s">
        <v>189</v>
      </c>
      <c r="AO53" s="234" t="s">
        <v>189</v>
      </c>
      <c r="AP53" s="234" t="s">
        <v>189</v>
      </c>
      <c r="AQ53" s="234" t="s">
        <v>189</v>
      </c>
      <c r="AR53" s="234" t="s">
        <v>189</v>
      </c>
      <c r="AS53" s="234" t="s">
        <v>189</v>
      </c>
      <c r="AT53" s="234" t="s">
        <v>189</v>
      </c>
      <c r="AU53" s="234" t="s">
        <v>189</v>
      </c>
      <c r="AV53" s="234" t="s">
        <v>189</v>
      </c>
      <c r="AX53" s="4"/>
      <c r="AY53" s="58">
        <v>1000000</v>
      </c>
      <c r="AZ53" s="58">
        <f t="shared" si="234"/>
        <v>1000000</v>
      </c>
      <c r="BB53" s="234">
        <f t="shared" ref="BB53:BC53" si="238">AF63</f>
        <v>1.94</v>
      </c>
      <c r="BC53" s="234">
        <f t="shared" si="238"/>
        <v>2.29</v>
      </c>
      <c r="BD53" s="234">
        <f t="shared" si="230"/>
        <v>2.0302061855670104</v>
      </c>
      <c r="BE53" s="234">
        <f t="shared" ref="BE53:BS53" si="239">AH63</f>
        <v>2.1204123711340204</v>
      </c>
      <c r="BF53" s="234">
        <f t="shared" si="239"/>
        <v>2.1450026331748111</v>
      </c>
      <c r="BG53" s="234">
        <f t="shared" si="239"/>
        <v>2.1639487249050462</v>
      </c>
      <c r="BH53" s="234">
        <f t="shared" si="239"/>
        <v>2.2268556701030926</v>
      </c>
      <c r="BI53" s="234">
        <f t="shared" si="239"/>
        <v>2.29</v>
      </c>
      <c r="BJ53" s="234">
        <f t="shared" si="239"/>
        <v>2.29</v>
      </c>
      <c r="BK53" s="234">
        <f t="shared" si="239"/>
        <v>2.29</v>
      </c>
      <c r="BL53" s="234">
        <f t="shared" si="239"/>
        <v>2.29</v>
      </c>
      <c r="BM53" s="234">
        <f t="shared" si="239"/>
        <v>2.29</v>
      </c>
      <c r="BN53" s="234">
        <f t="shared" si="239"/>
        <v>2.29</v>
      </c>
      <c r="BO53" s="234">
        <f t="shared" si="239"/>
        <v>2.29</v>
      </c>
      <c r="BP53" s="234">
        <f t="shared" si="239"/>
        <v>2.29</v>
      </c>
      <c r="BQ53" s="234">
        <f t="shared" si="239"/>
        <v>2.29</v>
      </c>
      <c r="BR53" s="234">
        <f t="shared" si="239"/>
        <v>2.29</v>
      </c>
      <c r="BS53" s="234">
        <f t="shared" si="239"/>
        <v>2.29</v>
      </c>
      <c r="BU53" s="58">
        <v>5000</v>
      </c>
      <c r="BV53" s="4">
        <v>0.23</v>
      </c>
      <c r="BW53" s="4">
        <v>0.15</v>
      </c>
      <c r="CD53" t="s">
        <v>265</v>
      </c>
      <c r="CE53" t="s">
        <v>222</v>
      </c>
      <c r="CF53" t="s">
        <v>254</v>
      </c>
      <c r="CG53" s="4" t="str">
        <f t="shared" si="31"/>
        <v>Group 8</v>
      </c>
      <c r="CH53" s="4" t="s">
        <v>251</v>
      </c>
      <c r="CI53" s="4" t="s">
        <v>222</v>
      </c>
      <c r="CJ53" s="4" t="s">
        <v>222</v>
      </c>
      <c r="CL53" s="555" t="s">
        <v>111</v>
      </c>
      <c r="CM53" s="77" t="s">
        <v>267</v>
      </c>
      <c r="DL53" s="555" t="s">
        <v>80</v>
      </c>
      <c r="DM53" s="4" t="s">
        <v>266</v>
      </c>
      <c r="DZ53" s="555" t="s">
        <v>111</v>
      </c>
      <c r="EA53" s="251">
        <v>0.5</v>
      </c>
      <c r="EB53" s="251">
        <v>0.5</v>
      </c>
      <c r="EC53" s="526">
        <v>0</v>
      </c>
      <c r="ED53" s="526">
        <f t="shared" si="51"/>
        <v>0</v>
      </c>
      <c r="EF53" s="555" t="s">
        <v>80</v>
      </c>
      <c r="EG53" s="4" t="s">
        <v>353</v>
      </c>
      <c r="EH53" s="375">
        <v>-0.25</v>
      </c>
      <c r="EI53" s="375">
        <v>0.25</v>
      </c>
      <c r="EJ53" s="4"/>
      <c r="EK53" s="4"/>
    </row>
    <row r="54" spans="8:181">
      <c r="H54" s="4"/>
      <c r="I54" s="4"/>
      <c r="J54" s="4"/>
      <c r="L54" s="4" t="s">
        <v>162</v>
      </c>
      <c r="M54" s="4" t="s">
        <v>163</v>
      </c>
      <c r="N54" s="467" t="s">
        <v>456</v>
      </c>
      <c r="O54" s="4"/>
      <c r="P54" s="4" t="s">
        <v>725</v>
      </c>
      <c r="Q54" s="4" t="s">
        <v>726</v>
      </c>
      <c r="R54" s="4" t="s">
        <v>727</v>
      </c>
      <c r="AC54" s="355">
        <f t="shared" si="233"/>
        <v>1.1363003095975235</v>
      </c>
      <c r="AD54" s="58">
        <v>200000</v>
      </c>
      <c r="AE54" s="58">
        <v>600000</v>
      </c>
      <c r="AF54" s="234" t="s">
        <v>189</v>
      </c>
      <c r="AG54" s="234">
        <v>1.66</v>
      </c>
      <c r="AH54" s="361">
        <f>IF(AH$5&gt;AD54,AG54,(1-(AC54-AC$51)/AC54)*(AG54-AC54)+AC54)</f>
        <v>1.5971817209455239</v>
      </c>
      <c r="AI54" s="361">
        <f>IF(AI$5&gt;AD54,AG54,(1-(AC54-AC$54)/AC54)*(AG54-AC54)+AC54)</f>
        <v>1.66</v>
      </c>
      <c r="AJ54" s="361">
        <f>IF(AJ$5&gt;AD54,AG54,(1-(AC54-AC$57)/AC54)*(AG54-AC54)+AC54)</f>
        <v>1.66</v>
      </c>
      <c r="AK54" s="361">
        <f>IF(AK$5&gt;AD54,AG54,(1-(AC54-AF$60)/AC54)*(AG54-AC54)+AC54)</f>
        <v>1.66</v>
      </c>
      <c r="AL54" s="361">
        <f>IF(AL$5&gt;AD54,AG54,(1-(AC54-AF$63)/AC54)*(AG54-AC54)+AC54)</f>
        <v>1.66</v>
      </c>
      <c r="AM54" s="361">
        <f>IF(AM$5&gt;AD54,AG54,(1-(AC54-AF$65)/AC54)*(AG54-AC54)+AC54)</f>
        <v>1.66</v>
      </c>
      <c r="AN54" s="361">
        <f>IF(AN$5&gt;AD54,AG54,(1-(AC54-AF$68)/AC54)*(AG54-AC54)+AC54)</f>
        <v>1.66</v>
      </c>
      <c r="AO54" s="361">
        <f>IF(AO$5&gt;AD54,AG54,(1-(AC54-AF$69)/AC54)*(AG54-AC54)+AC54)</f>
        <v>1.66</v>
      </c>
      <c r="AP54" s="361">
        <f>IF(AP$5&gt;AD54,AG54,(1-(AC54-AF$70)/AC54)*(AG54-AC54)+AC54)</f>
        <v>1.66</v>
      </c>
      <c r="AQ54" s="361">
        <f>IF(AQ$5&gt;AD54,AG54,(1-(AC54-AF$71)/AC54)*(AG54-AC54)+AC54)</f>
        <v>1.66</v>
      </c>
      <c r="AR54" s="361">
        <f>IF(AR$5&gt;AD54,AG54,(1-(AC54-AF$72)/AC54)*(AG54-AC54)+AC54)</f>
        <v>1.66</v>
      </c>
      <c r="AS54" s="361">
        <f>IF(AS$5&gt;AD54,AG54,(1-(AC54-AF$73)/AC54)*(AG54-AC54)+AC54)</f>
        <v>1.66</v>
      </c>
      <c r="AT54" s="361">
        <f>IF(AT$5&gt;AD54,AG54,(1-(AC54-AF$74)/AC54)*(AG54-AC54)+AC54)</f>
        <v>1.66</v>
      </c>
      <c r="AU54" s="361">
        <f>IF(AU$5&gt;AD54,AG54,(1-(AC54-AF$75)/AC54)*(AG54-AC54)+AC54)</f>
        <v>1.66</v>
      </c>
      <c r="AV54" s="361">
        <f>IF(AV$5&gt;AD54,AG54,(1-(AC54-AF$76)/AC54)*(AG54-AC54)+AC54)</f>
        <v>1.66</v>
      </c>
      <c r="AX54" s="4"/>
      <c r="AY54" s="58">
        <v>2000000</v>
      </c>
      <c r="AZ54" s="58">
        <f t="shared" si="234"/>
        <v>2000000</v>
      </c>
      <c r="BB54" s="234">
        <f t="shared" ref="BB54:BC54" si="240">AF65</f>
        <v>2.2799999999999998</v>
      </c>
      <c r="BC54" s="234">
        <f t="shared" si="240"/>
        <v>2.6</v>
      </c>
      <c r="BD54" s="234">
        <f t="shared" si="230"/>
        <v>2.3501754385964908</v>
      </c>
      <c r="BE54" s="234">
        <f t="shared" ref="BE54:BS54" si="241">AH65</f>
        <v>2.4203508771929823</v>
      </c>
      <c r="BF54" s="234">
        <f t="shared" si="241"/>
        <v>2.4394807452066698</v>
      </c>
      <c r="BG54" s="234">
        <f t="shared" si="241"/>
        <v>2.4542197599261311</v>
      </c>
      <c r="BH54" s="234">
        <f t="shared" si="241"/>
        <v>2.5031578947368422</v>
      </c>
      <c r="BI54" s="234">
        <f t="shared" si="241"/>
        <v>2.5522807017543858</v>
      </c>
      <c r="BJ54" s="234">
        <f t="shared" si="241"/>
        <v>2.6</v>
      </c>
      <c r="BK54" s="234">
        <f t="shared" si="241"/>
        <v>2.6</v>
      </c>
      <c r="BL54" s="234">
        <f t="shared" si="241"/>
        <v>2.6</v>
      </c>
      <c r="BM54" s="234">
        <f t="shared" si="241"/>
        <v>2.6</v>
      </c>
      <c r="BN54" s="234">
        <f t="shared" si="241"/>
        <v>2.6</v>
      </c>
      <c r="BO54" s="234">
        <f t="shared" si="241"/>
        <v>2.6</v>
      </c>
      <c r="BP54" s="234">
        <f t="shared" si="241"/>
        <v>2.6</v>
      </c>
      <c r="BQ54" s="234">
        <f t="shared" si="241"/>
        <v>2.6</v>
      </c>
      <c r="BR54" s="234">
        <f t="shared" si="241"/>
        <v>2.6</v>
      </c>
      <c r="BS54" s="234">
        <f t="shared" si="241"/>
        <v>2.6</v>
      </c>
      <c r="BU54" s="58">
        <v>10000</v>
      </c>
      <c r="BV54" s="4">
        <v>0.35</v>
      </c>
      <c r="BW54" s="4">
        <v>0.26</v>
      </c>
      <c r="CL54" s="555" t="s">
        <v>121</v>
      </c>
      <c r="CM54" s="77" t="s">
        <v>267</v>
      </c>
      <c r="DL54" s="555" t="s">
        <v>111</v>
      </c>
      <c r="DM54" s="4" t="s">
        <v>266</v>
      </c>
      <c r="DZ54" s="555" t="s">
        <v>121</v>
      </c>
      <c r="EA54" s="251">
        <v>0.5</v>
      </c>
      <c r="EB54" s="251">
        <v>1</v>
      </c>
      <c r="EC54" s="526">
        <v>0</v>
      </c>
      <c r="ED54" s="526">
        <f t="shared" si="51"/>
        <v>1</v>
      </c>
      <c r="EF54" s="555" t="s">
        <v>111</v>
      </c>
      <c r="EG54" s="4" t="s">
        <v>353</v>
      </c>
      <c r="EH54" s="375">
        <v>-0.25</v>
      </c>
      <c r="EI54" s="375">
        <v>0.25</v>
      </c>
      <c r="EJ54" s="4"/>
      <c r="EK54" s="4"/>
    </row>
    <row r="55" spans="8:181">
      <c r="H55" s="4"/>
      <c r="I55" s="4"/>
      <c r="J55" s="4"/>
      <c r="L55" s="4" t="s">
        <v>164</v>
      </c>
      <c r="M55" s="4" t="s">
        <v>76</v>
      </c>
      <c r="N55" s="277" t="s">
        <v>455</v>
      </c>
      <c r="O55" s="4"/>
      <c r="P55" s="4" t="s">
        <v>728</v>
      </c>
      <c r="Q55" s="4" t="s">
        <v>729</v>
      </c>
      <c r="R55" s="4" t="s">
        <v>730</v>
      </c>
      <c r="AC55" s="355">
        <f t="shared" si="233"/>
        <v>1.177164205763277</v>
      </c>
      <c r="AD55" s="162">
        <v>250000</v>
      </c>
      <c r="AE55" s="58">
        <v>250000</v>
      </c>
      <c r="AF55" s="234" t="s">
        <v>189</v>
      </c>
      <c r="AG55" s="234" t="s">
        <v>189</v>
      </c>
      <c r="AH55" s="234" t="s">
        <v>189</v>
      </c>
      <c r="AI55" s="234" t="s">
        <v>189</v>
      </c>
      <c r="AJ55" s="234" t="s">
        <v>189</v>
      </c>
      <c r="AK55" s="234" t="s">
        <v>189</v>
      </c>
      <c r="AL55" s="234" t="s">
        <v>189</v>
      </c>
      <c r="AM55" s="234" t="s">
        <v>189</v>
      </c>
      <c r="AN55" s="234" t="s">
        <v>189</v>
      </c>
      <c r="AO55" s="234" t="s">
        <v>189</v>
      </c>
      <c r="AP55" s="234" t="s">
        <v>189</v>
      </c>
      <c r="AQ55" s="234" t="s">
        <v>189</v>
      </c>
      <c r="AR55" s="234" t="s">
        <v>189</v>
      </c>
      <c r="AS55" s="234" t="s">
        <v>189</v>
      </c>
      <c r="AT55" s="234" t="s">
        <v>189</v>
      </c>
      <c r="AU55" s="234" t="s">
        <v>189</v>
      </c>
      <c r="AV55" s="234" t="s">
        <v>189</v>
      </c>
      <c r="AX55" s="4"/>
      <c r="AY55" s="58">
        <v>3000000</v>
      </c>
      <c r="AZ55" s="58">
        <f t="shared" si="234"/>
        <v>3000000</v>
      </c>
      <c r="BB55" s="234">
        <f t="shared" ref="BB55:BB63" si="242">AF68</f>
        <v>2.65</v>
      </c>
      <c r="BC55" s="234">
        <f t="shared" ref="BC55:BC63" si="243">AG68</f>
        <v>2.94</v>
      </c>
      <c r="BD55" s="234">
        <f t="shared" si="230"/>
        <v>2.7047169811320755</v>
      </c>
      <c r="BE55" s="234">
        <f t="shared" ref="BE55:BE63" si="244">AH68</f>
        <v>2.7594339622641511</v>
      </c>
      <c r="BF55" s="234">
        <f t="shared" ref="BF55:BF63" si="245">AI68</f>
        <v>2.7743498452012383</v>
      </c>
      <c r="BG55" s="234">
        <f t="shared" ref="BG55:BG63" si="246">AJ68</f>
        <v>2.7858421052631579</v>
      </c>
      <c r="BH55" s="234">
        <f t="shared" ref="BH55:BH63" si="247">AK68</f>
        <v>2.8239999999999998</v>
      </c>
      <c r="BI55" s="234">
        <f t="shared" ref="BI55:BI63" si="248">AL68</f>
        <v>2.8623018867924528</v>
      </c>
      <c r="BJ55" s="234">
        <f t="shared" ref="BJ55:BJ63" si="249">AM68</f>
        <v>2.899509433962264</v>
      </c>
      <c r="BK55" s="234">
        <f t="shared" ref="BK55:BK63" si="250">AN68</f>
        <v>2.94</v>
      </c>
      <c r="BL55" s="234">
        <f t="shared" ref="BL55:BL63" si="251">AO68</f>
        <v>2.94</v>
      </c>
      <c r="BM55" s="234">
        <f t="shared" ref="BM55:BM63" si="252">AP68</f>
        <v>2.94</v>
      </c>
      <c r="BN55" s="234">
        <f t="shared" ref="BN55:BN63" si="253">AQ68</f>
        <v>2.94</v>
      </c>
      <c r="BO55" s="234">
        <f t="shared" ref="BO55:BO63" si="254">AR68</f>
        <v>2.94</v>
      </c>
      <c r="BP55" s="234">
        <f t="shared" ref="BP55:BP63" si="255">AS68</f>
        <v>2.94</v>
      </c>
      <c r="BQ55" s="234">
        <f t="shared" ref="BQ55:BQ63" si="256">AT68</f>
        <v>2.94</v>
      </c>
      <c r="BR55" s="234">
        <f t="shared" ref="BR55:BR63" si="257">AU68</f>
        <v>2.94</v>
      </c>
      <c r="BS55" s="234">
        <f t="shared" ref="BS55:BS63" si="258">AV68</f>
        <v>2.94</v>
      </c>
      <c r="BU55" s="58">
        <v>15000</v>
      </c>
      <c r="BV55" s="4">
        <v>0.4</v>
      </c>
      <c r="BW55" s="4">
        <v>0.31</v>
      </c>
      <c r="CL55" s="555" t="s">
        <v>140</v>
      </c>
      <c r="CM55" s="77" t="s">
        <v>267</v>
      </c>
      <c r="DL55" s="555" t="s">
        <v>121</v>
      </c>
      <c r="DM55" s="4" t="s">
        <v>266</v>
      </c>
      <c r="DZ55" s="555" t="s">
        <v>140</v>
      </c>
      <c r="EA55" s="251">
        <v>0.5</v>
      </c>
      <c r="EB55" s="251">
        <v>1</v>
      </c>
      <c r="EC55" s="526">
        <v>0</v>
      </c>
      <c r="ED55" s="526">
        <f t="shared" si="51"/>
        <v>1</v>
      </c>
      <c r="EF55" s="555" t="s">
        <v>121</v>
      </c>
      <c r="EG55" s="4" t="s">
        <v>354</v>
      </c>
      <c r="EH55" s="375">
        <v>-0.5</v>
      </c>
      <c r="EI55" s="375">
        <v>0.5</v>
      </c>
      <c r="EJ55" s="4"/>
      <c r="EK55" s="4"/>
      <c r="FH55" s="33" t="s">
        <v>2910</v>
      </c>
      <c r="FI55" s="4"/>
      <c r="FJ55" s="4"/>
      <c r="FK55" s="4"/>
      <c r="FL55" s="34"/>
      <c r="FM55" s="34"/>
      <c r="FN55" s="34"/>
      <c r="FO55" s="4"/>
      <c r="FP55" s="4"/>
      <c r="FQ55" s="4"/>
      <c r="FR55" s="4"/>
      <c r="FS55" s="4"/>
      <c r="FT55" s="4"/>
      <c r="FU55" s="4"/>
      <c r="FV55" s="4"/>
      <c r="FW55" s="4"/>
      <c r="FX55" s="4"/>
    </row>
    <row r="56" spans="8:181">
      <c r="H56" s="4"/>
      <c r="I56" s="4"/>
      <c r="J56" s="4"/>
      <c r="L56" s="4" t="s">
        <v>165</v>
      </c>
      <c r="M56" s="4" t="s">
        <v>166</v>
      </c>
      <c r="N56" s="4" t="s">
        <v>454</v>
      </c>
      <c r="O56" s="4"/>
      <c r="P56" s="4" t="s">
        <v>731</v>
      </c>
      <c r="Q56" s="4" t="s">
        <v>732</v>
      </c>
      <c r="R56" s="4" t="s">
        <v>733</v>
      </c>
      <c r="AC56" s="355">
        <f t="shared" si="233"/>
        <v>1.2413157894736842</v>
      </c>
      <c r="AD56" s="58">
        <v>250000</v>
      </c>
      <c r="AE56" s="58">
        <v>500000</v>
      </c>
      <c r="AF56" s="234" t="s">
        <v>189</v>
      </c>
      <c r="AG56" s="234" t="s">
        <v>189</v>
      </c>
      <c r="AH56" s="234" t="s">
        <v>189</v>
      </c>
      <c r="AI56" s="234" t="s">
        <v>189</v>
      </c>
      <c r="AJ56" s="234" t="s">
        <v>189</v>
      </c>
      <c r="AK56" s="234" t="s">
        <v>189</v>
      </c>
      <c r="AL56" s="234" t="s">
        <v>189</v>
      </c>
      <c r="AM56" s="234" t="s">
        <v>189</v>
      </c>
      <c r="AN56" s="234" t="s">
        <v>189</v>
      </c>
      <c r="AO56" s="234" t="s">
        <v>189</v>
      </c>
      <c r="AP56" s="234" t="s">
        <v>189</v>
      </c>
      <c r="AQ56" s="234" t="s">
        <v>189</v>
      </c>
      <c r="AR56" s="234" t="s">
        <v>189</v>
      </c>
      <c r="AS56" s="234" t="s">
        <v>189</v>
      </c>
      <c r="AT56" s="234" t="s">
        <v>189</v>
      </c>
      <c r="AU56" s="234" t="s">
        <v>189</v>
      </c>
      <c r="AV56" s="234" t="s">
        <v>189</v>
      </c>
      <c r="AX56" s="4"/>
      <c r="AY56" s="58">
        <v>4000000</v>
      </c>
      <c r="AZ56" s="58">
        <f t="shared" si="234"/>
        <v>4000000</v>
      </c>
      <c r="BB56" s="234">
        <f t="shared" si="242"/>
        <v>3</v>
      </c>
      <c r="BC56" s="234">
        <f t="shared" si="243"/>
        <v>3.3</v>
      </c>
      <c r="BD56" s="234">
        <f t="shared" si="230"/>
        <v>3.05</v>
      </c>
      <c r="BE56" s="234">
        <f t="shared" si="244"/>
        <v>3.1</v>
      </c>
      <c r="BF56" s="234">
        <f t="shared" si="245"/>
        <v>3.1136300309597522</v>
      </c>
      <c r="BG56" s="234">
        <f t="shared" si="246"/>
        <v>3.1241315789473685</v>
      </c>
      <c r="BH56" s="234">
        <f t="shared" si="247"/>
        <v>3.1589999999999998</v>
      </c>
      <c r="BI56" s="234">
        <f t="shared" si="248"/>
        <v>3.194</v>
      </c>
      <c r="BJ56" s="234">
        <f t="shared" si="249"/>
        <v>3.2279999999999998</v>
      </c>
      <c r="BK56" s="234">
        <f t="shared" si="250"/>
        <v>3.2649999999999997</v>
      </c>
      <c r="BL56" s="234">
        <f t="shared" si="251"/>
        <v>3.3</v>
      </c>
      <c r="BM56" s="234">
        <f t="shared" si="252"/>
        <v>3.3</v>
      </c>
      <c r="BN56" s="234">
        <f t="shared" si="253"/>
        <v>3.3</v>
      </c>
      <c r="BO56" s="234">
        <f t="shared" si="254"/>
        <v>3.3</v>
      </c>
      <c r="BP56" s="234">
        <f t="shared" si="255"/>
        <v>3.3</v>
      </c>
      <c r="BQ56" s="234">
        <f t="shared" si="256"/>
        <v>3.3</v>
      </c>
      <c r="BR56" s="234">
        <f t="shared" si="257"/>
        <v>3.3</v>
      </c>
      <c r="BS56" s="234">
        <f t="shared" si="258"/>
        <v>3.3</v>
      </c>
      <c r="BU56" s="58">
        <v>25000</v>
      </c>
      <c r="BV56" s="4">
        <v>0.5</v>
      </c>
      <c r="BW56" s="4">
        <v>0.41</v>
      </c>
      <c r="CL56" s="555" t="s">
        <v>166</v>
      </c>
      <c r="CM56" s="77" t="s">
        <v>267</v>
      </c>
      <c r="DL56" s="555" t="s">
        <v>140</v>
      </c>
      <c r="DM56" s="4" t="s">
        <v>266</v>
      </c>
      <c r="DZ56" s="555" t="s">
        <v>166</v>
      </c>
      <c r="EA56" s="251">
        <v>0.5</v>
      </c>
      <c r="EB56" s="251">
        <v>1</v>
      </c>
      <c r="EC56" s="526">
        <v>0</v>
      </c>
      <c r="ED56" s="526">
        <f t="shared" si="51"/>
        <v>1</v>
      </c>
      <c r="EF56" s="555" t="s">
        <v>140</v>
      </c>
      <c r="EG56" s="4" t="s">
        <v>353</v>
      </c>
      <c r="EH56" s="375">
        <v>-0.5</v>
      </c>
      <c r="EI56" s="375">
        <v>0.5</v>
      </c>
      <c r="EJ56" s="4"/>
      <c r="EK56" s="4"/>
      <c r="FH56" s="4"/>
      <c r="FI56" s="4"/>
      <c r="FJ56" s="4"/>
      <c r="FK56" s="4"/>
      <c r="FL56" s="34"/>
      <c r="FM56" s="34"/>
      <c r="FN56" s="34"/>
      <c r="FO56" s="4"/>
      <c r="FP56" s="4"/>
      <c r="FQ56" s="4"/>
      <c r="FR56" s="4"/>
      <c r="FS56" s="4"/>
      <c r="FT56" s="4"/>
      <c r="FU56" s="4"/>
      <c r="FV56" s="4"/>
      <c r="FW56" s="4"/>
      <c r="FX56" s="4"/>
    </row>
    <row r="57" spans="8:181">
      <c r="H57" s="4"/>
      <c r="I57" s="4"/>
      <c r="J57" s="4"/>
      <c r="L57" s="4" t="s">
        <v>167</v>
      </c>
      <c r="M57" s="4" t="s">
        <v>168</v>
      </c>
      <c r="N57" s="277" t="s">
        <v>455</v>
      </c>
      <c r="O57" s="4"/>
      <c r="P57" s="4" t="s">
        <v>734</v>
      </c>
      <c r="Q57" s="4" t="s">
        <v>735</v>
      </c>
      <c r="R57" s="4" t="s">
        <v>736</v>
      </c>
      <c r="AC57" s="355">
        <f>AF$60*(AF13/AF$16)</f>
        <v>1.2413157894736842</v>
      </c>
      <c r="AD57" s="58">
        <v>250000</v>
      </c>
      <c r="AE57" s="58">
        <v>750000</v>
      </c>
      <c r="AF57" s="234" t="s">
        <v>189</v>
      </c>
      <c r="AG57" s="234">
        <v>1.72</v>
      </c>
      <c r="AH57" s="361">
        <f>IF(AH$5&gt;AD57,AG57,(1-(AC57-AC$51)/AC57)*(AG57-AC57)+AC57)</f>
        <v>1.6269422469678543</v>
      </c>
      <c r="AI57" s="361">
        <f>IF(AI$5&gt;AD57,AG57,(1-(AC57-AC$54)/AC57)*(AG57-AC57)+AC57)</f>
        <v>1.6795032525133058</v>
      </c>
      <c r="AJ57" s="361">
        <f>IF(AJ$5&gt;AD57,AG57,(1-(AC57-AC$57)/AC57)*(AG57-AC57)+AC57)</f>
        <v>1.72</v>
      </c>
      <c r="AK57" s="361">
        <f>IF(AK$5&gt;AD57,AG57,(1-(AC57-AF$60)/AC57)*(AG57-AC57)+AC57)</f>
        <v>1.72</v>
      </c>
      <c r="AL57" s="361">
        <f>IF(AL$5&gt;AD57,AG57,(1-(AC57-AF$63)/AC57)*(AG57-AC57)+AC57)</f>
        <v>1.72</v>
      </c>
      <c r="AM57" s="361">
        <f>IF(AM$5&gt;AD57,AG57,(1-(AC57-AF$65)/AC57)*(AG57-AC57)+AC57)</f>
        <v>1.72</v>
      </c>
      <c r="AN57" s="361">
        <f>IF(AN$5&gt;AD57,AG57,(1-(AC57-AF$68)/AC57)*(AG57-AC57)+AC57)</f>
        <v>1.72</v>
      </c>
      <c r="AO57" s="361">
        <f>IF(AO$5&gt;AD57,AG57,(1-(AC57-AF$69)/AC57)*(AG57-AC57)+AC57)</f>
        <v>1.72</v>
      </c>
      <c r="AP57" s="361">
        <f>IF(AP$5&gt;AD57,AG57,(1-(AC57-AF$70)/AC57)*(AG57-AC57)+AC57)</f>
        <v>1.72</v>
      </c>
      <c r="AQ57" s="361">
        <f>IF(AQ$5&gt;AD57,AG57,(1-(AC57-AF$71)/AC57)*(AG57-AC57)+AC57)</f>
        <v>1.72</v>
      </c>
      <c r="AR57" s="361">
        <f>IF(AR$5&gt;AD57,AG57,(1-(AC57-AF$72)/AC57)*(AG57-AC57)+AC57)</f>
        <v>1.72</v>
      </c>
      <c r="AS57" s="361">
        <f>IF(AS$5&gt;AD57,AG57,(1-(AC57-AF$73)/AC57)*(AG57-AC57)+AC57)</f>
        <v>1.72</v>
      </c>
      <c r="AT57" s="361">
        <f>IF(AT$5&gt;AD57,AG57,(1-(AC57-AF$74)/AC57)*(AG57-AC57)+AC57)</f>
        <v>1.72</v>
      </c>
      <c r="AU57" s="361">
        <f>IF(AU$5&gt;AD57,AG57,(1-(AC57-AF$75)/AC57)*(AG57-AC57)+AC57)</f>
        <v>1.72</v>
      </c>
      <c r="AV57" s="361">
        <f>IF(AV$5&gt;AD57,AG57,(1-(AC57-AF$76)/AC57)*(AG57-AC57)+AC57)</f>
        <v>1.72</v>
      </c>
      <c r="AX57" s="4"/>
      <c r="AY57" s="58">
        <v>5000000</v>
      </c>
      <c r="AZ57" s="58">
        <f t="shared" si="234"/>
        <v>5000000</v>
      </c>
      <c r="BB57" s="234">
        <f t="shared" si="242"/>
        <v>3.3</v>
      </c>
      <c r="BC57" s="234">
        <f t="shared" si="243"/>
        <v>3.63</v>
      </c>
      <c r="BD57" s="234">
        <f t="shared" si="230"/>
        <v>3.3499999999999996</v>
      </c>
      <c r="BE57" s="234">
        <f t="shared" si="244"/>
        <v>3.4</v>
      </c>
      <c r="BF57" s="234">
        <f t="shared" si="245"/>
        <v>3.413630030959752</v>
      </c>
      <c r="BG57" s="234">
        <f t="shared" si="246"/>
        <v>3.4241315789473683</v>
      </c>
      <c r="BH57" s="234">
        <f t="shared" si="247"/>
        <v>3.4590000000000001</v>
      </c>
      <c r="BI57" s="234">
        <f t="shared" si="248"/>
        <v>3.4939999999999998</v>
      </c>
      <c r="BJ57" s="234">
        <f t="shared" si="249"/>
        <v>3.528</v>
      </c>
      <c r="BK57" s="234">
        <f t="shared" si="250"/>
        <v>3.5649999999999999</v>
      </c>
      <c r="BL57" s="234">
        <f t="shared" si="251"/>
        <v>3.6</v>
      </c>
      <c r="BM57" s="234">
        <f t="shared" si="252"/>
        <v>3.63</v>
      </c>
      <c r="BN57" s="234">
        <f t="shared" si="253"/>
        <v>3.63</v>
      </c>
      <c r="BO57" s="234">
        <f t="shared" si="254"/>
        <v>3.63</v>
      </c>
      <c r="BP57" s="234">
        <f t="shared" si="255"/>
        <v>3.63</v>
      </c>
      <c r="BQ57" s="234">
        <f t="shared" si="256"/>
        <v>3.63</v>
      </c>
      <c r="BR57" s="234">
        <f t="shared" si="257"/>
        <v>3.63</v>
      </c>
      <c r="BS57" s="234">
        <f t="shared" si="258"/>
        <v>3.63</v>
      </c>
      <c r="BU57" s="58">
        <v>50000</v>
      </c>
      <c r="BV57" s="4">
        <v>0.65</v>
      </c>
      <c r="BW57" s="4">
        <v>0.55000000000000004</v>
      </c>
      <c r="CL57" s="555"/>
      <c r="DL57" s="555" t="s">
        <v>166</v>
      </c>
      <c r="DM57" s="4" t="s">
        <v>266</v>
      </c>
      <c r="EF57" s="555" t="s">
        <v>166</v>
      </c>
      <c r="EG57" s="4" t="s">
        <v>353</v>
      </c>
      <c r="EH57" s="375">
        <v>-0.25</v>
      </c>
      <c r="EI57" s="375">
        <v>0.25</v>
      </c>
      <c r="EJ57" s="4"/>
      <c r="EK57" s="4"/>
      <c r="FH57" s="105" t="s">
        <v>365</v>
      </c>
      <c r="FI57" s="625" t="s">
        <v>366</v>
      </c>
      <c r="FJ57" s="625"/>
      <c r="FK57" s="625"/>
      <c r="FL57" s="625"/>
      <c r="FM57" s="625"/>
      <c r="FN57" s="625"/>
      <c r="FO57" s="4"/>
      <c r="FP57" s="395" t="s">
        <v>369</v>
      </c>
      <c r="FQ57" s="396"/>
      <c r="FR57" s="396"/>
      <c r="FS57" s="396"/>
      <c r="FT57" s="273"/>
      <c r="FU57" s="395" t="s">
        <v>372</v>
      </c>
      <c r="FV57" s="396"/>
      <c r="FW57" s="396"/>
      <c r="FX57" s="396"/>
      <c r="FY57" s="254"/>
    </row>
    <row r="58" spans="8:181">
      <c r="H58" s="4"/>
      <c r="I58" s="4"/>
      <c r="J58" s="4"/>
      <c r="L58" s="4" t="s">
        <v>169</v>
      </c>
      <c r="M58" s="4" t="s">
        <v>170</v>
      </c>
      <c r="N58" s="277" t="s">
        <v>455</v>
      </c>
      <c r="O58" s="4"/>
      <c r="P58" s="4" t="s">
        <v>737</v>
      </c>
      <c r="Q58" s="4" t="s">
        <v>738</v>
      </c>
      <c r="R58" s="4" t="s">
        <v>739</v>
      </c>
      <c r="AC58" s="355">
        <f>AF$60*(AF15/AF$17)</f>
        <v>1.4031933624116517</v>
      </c>
      <c r="AD58" s="162">
        <v>500000</v>
      </c>
      <c r="AE58" s="58">
        <v>500000</v>
      </c>
      <c r="AF58" s="234" t="s">
        <v>189</v>
      </c>
      <c r="AG58" s="234" t="s">
        <v>189</v>
      </c>
      <c r="AH58" s="234" t="s">
        <v>189</v>
      </c>
      <c r="AI58" s="234" t="s">
        <v>189</v>
      </c>
      <c r="AJ58" s="234" t="s">
        <v>189</v>
      </c>
      <c r="AK58" s="234" t="s">
        <v>189</v>
      </c>
      <c r="AL58" s="234" t="s">
        <v>189</v>
      </c>
      <c r="AM58" s="234" t="s">
        <v>189</v>
      </c>
      <c r="AN58" s="234" t="s">
        <v>189</v>
      </c>
      <c r="AO58" s="234" t="s">
        <v>189</v>
      </c>
      <c r="AP58" s="234" t="s">
        <v>189</v>
      </c>
      <c r="AQ58" s="234" t="s">
        <v>189</v>
      </c>
      <c r="AR58" s="234" t="s">
        <v>189</v>
      </c>
      <c r="AS58" s="234" t="s">
        <v>189</v>
      </c>
      <c r="AT58" s="234" t="s">
        <v>189</v>
      </c>
      <c r="AU58" s="234" t="s">
        <v>189</v>
      </c>
      <c r="AV58" s="234" t="s">
        <v>189</v>
      </c>
      <c r="AX58" s="4"/>
      <c r="AY58" s="58">
        <v>6000000</v>
      </c>
      <c r="AZ58" s="58">
        <f t="shared" si="234"/>
        <v>6000000</v>
      </c>
      <c r="BB58" s="234">
        <f t="shared" si="242"/>
        <v>3.81</v>
      </c>
      <c r="BC58" s="234">
        <f t="shared" si="243"/>
        <v>4.1100000000000003</v>
      </c>
      <c r="BD58" s="234">
        <f t="shared" si="230"/>
        <v>3.8493700787401575</v>
      </c>
      <c r="BE58" s="234">
        <f t="shared" si="244"/>
        <v>3.8887401574803149</v>
      </c>
      <c r="BF58" s="234">
        <f t="shared" si="245"/>
        <v>3.8994724653226398</v>
      </c>
      <c r="BG58" s="234">
        <f t="shared" si="246"/>
        <v>3.9077414007459597</v>
      </c>
      <c r="BH58" s="234">
        <f t="shared" si="247"/>
        <v>3.9351968503937012</v>
      </c>
      <c r="BI58" s="234">
        <f t="shared" si="248"/>
        <v>3.9627559055118113</v>
      </c>
      <c r="BJ58" s="234">
        <f t="shared" si="249"/>
        <v>3.9895275590551185</v>
      </c>
      <c r="BK58" s="234">
        <f t="shared" si="250"/>
        <v>4.0186614173228348</v>
      </c>
      <c r="BL58" s="234">
        <f t="shared" si="251"/>
        <v>4.046220472440945</v>
      </c>
      <c r="BM58" s="234">
        <f t="shared" si="252"/>
        <v>4.0698425196850394</v>
      </c>
      <c r="BN58" s="234">
        <f t="shared" si="253"/>
        <v>4.1100000000000003</v>
      </c>
      <c r="BO58" s="234">
        <f t="shared" si="254"/>
        <v>4.1100000000000003</v>
      </c>
      <c r="BP58" s="234">
        <f t="shared" si="255"/>
        <v>4.1100000000000003</v>
      </c>
      <c r="BQ58" s="234">
        <f t="shared" si="256"/>
        <v>4.1100000000000003</v>
      </c>
      <c r="BR58" s="234">
        <f t="shared" si="257"/>
        <v>4.1100000000000003</v>
      </c>
      <c r="BS58" s="234">
        <f t="shared" si="258"/>
        <v>4.1100000000000003</v>
      </c>
      <c r="BU58" s="564">
        <f>BU19</f>
        <v>100000</v>
      </c>
      <c r="BV58" s="254">
        <f t="shared" ref="BV58:BW61" si="259">ROUND(BV19/BV18*BV57,3)</f>
        <v>0.88700000000000001</v>
      </c>
      <c r="BW58" s="254">
        <f t="shared" si="259"/>
        <v>0.77200000000000002</v>
      </c>
      <c r="EF58" s="4"/>
      <c r="EG58" s="4"/>
      <c r="EJ58" s="4"/>
      <c r="EK58" s="4"/>
      <c r="FH58" s="89" t="s">
        <v>367</v>
      </c>
      <c r="FI58" s="149">
        <v>1</v>
      </c>
      <c r="FJ58" s="150">
        <v>2</v>
      </c>
      <c r="FK58" s="150">
        <v>6</v>
      </c>
      <c r="FL58" s="150">
        <v>11</v>
      </c>
      <c r="FM58" s="150">
        <v>21</v>
      </c>
      <c r="FN58" s="127">
        <v>41</v>
      </c>
      <c r="FO58" s="4"/>
      <c r="FP58" s="4" t="s">
        <v>1448</v>
      </c>
      <c r="FQ58" s="4"/>
      <c r="FR58" s="4"/>
      <c r="FS58" s="4"/>
      <c r="FT58" s="4"/>
      <c r="FU58" s="4" t="s">
        <v>1448</v>
      </c>
      <c r="FV58" s="4"/>
      <c r="FW58" s="4"/>
      <c r="FX58" s="4"/>
      <c r="FY58" s="254"/>
    </row>
    <row r="59" spans="8:181">
      <c r="H59" s="4"/>
      <c r="I59" s="4"/>
      <c r="J59" s="4"/>
      <c r="L59" s="4" t="s">
        <v>171</v>
      </c>
      <c r="M59" s="4" t="s">
        <v>172</v>
      </c>
      <c r="N59" s="277" t="s">
        <v>455</v>
      </c>
      <c r="P59" s="4" t="s">
        <v>740</v>
      </c>
      <c r="Q59" s="4" t="s">
        <v>741</v>
      </c>
      <c r="R59" s="4" t="s">
        <v>742</v>
      </c>
      <c r="AC59" s="355">
        <f>AF$60*(AF16/AF$17)</f>
        <v>1.5149557522123895</v>
      </c>
      <c r="AD59" s="58">
        <v>500000</v>
      </c>
      <c r="AE59" s="58">
        <v>1000000</v>
      </c>
      <c r="AF59" s="234" t="s">
        <v>189</v>
      </c>
      <c r="AG59" s="234" t="s">
        <v>189</v>
      </c>
      <c r="AH59" s="234" t="s">
        <v>189</v>
      </c>
      <c r="AI59" s="234" t="s">
        <v>189</v>
      </c>
      <c r="AJ59" s="234" t="s">
        <v>189</v>
      </c>
      <c r="AK59" s="234" t="s">
        <v>189</v>
      </c>
      <c r="AL59" s="234" t="s">
        <v>189</v>
      </c>
      <c r="AM59" s="234" t="s">
        <v>189</v>
      </c>
      <c r="AN59" s="234" t="s">
        <v>189</v>
      </c>
      <c r="AO59" s="234" t="s">
        <v>189</v>
      </c>
      <c r="AP59" s="234" t="s">
        <v>189</v>
      </c>
      <c r="AQ59" s="234" t="s">
        <v>189</v>
      </c>
      <c r="AR59" s="234" t="s">
        <v>189</v>
      </c>
      <c r="AS59" s="234" t="s">
        <v>189</v>
      </c>
      <c r="AT59" s="234" t="s">
        <v>189</v>
      </c>
      <c r="AU59" s="234" t="s">
        <v>189</v>
      </c>
      <c r="AV59" s="234" t="s">
        <v>189</v>
      </c>
      <c r="AX59" s="4"/>
      <c r="AY59" s="58">
        <v>7000000</v>
      </c>
      <c r="AZ59" s="58">
        <f t="shared" si="234"/>
        <v>7000000</v>
      </c>
      <c r="BB59" s="234">
        <f t="shared" si="242"/>
        <v>4.0199999999999996</v>
      </c>
      <c r="BC59" s="234">
        <f t="shared" si="243"/>
        <v>4.26</v>
      </c>
      <c r="BD59" s="234">
        <f t="shared" si="230"/>
        <v>4.0498507462686568</v>
      </c>
      <c r="BE59" s="234">
        <f t="shared" si="244"/>
        <v>4.0797014925373132</v>
      </c>
      <c r="BF59" s="234">
        <f t="shared" si="245"/>
        <v>4.0878388244535833</v>
      </c>
      <c r="BG59" s="234">
        <f t="shared" si="246"/>
        <v>4.0941084053417125</v>
      </c>
      <c r="BH59" s="234">
        <f t="shared" si="247"/>
        <v>4.1149253731343283</v>
      </c>
      <c r="BI59" s="234">
        <f t="shared" si="248"/>
        <v>4.1358208955223876</v>
      </c>
      <c r="BJ59" s="234">
        <f t="shared" si="249"/>
        <v>4.1561194029850741</v>
      </c>
      <c r="BK59" s="234">
        <f t="shared" si="250"/>
        <v>4.1782089552238801</v>
      </c>
      <c r="BL59" s="234">
        <f t="shared" si="251"/>
        <v>4.1991044776119404</v>
      </c>
      <c r="BM59" s="234">
        <f t="shared" si="252"/>
        <v>4.2170149253731344</v>
      </c>
      <c r="BN59" s="234">
        <f t="shared" si="253"/>
        <v>4.2474626865671636</v>
      </c>
      <c r="BO59" s="234">
        <f t="shared" si="254"/>
        <v>4.26</v>
      </c>
      <c r="BP59" s="234">
        <f t="shared" si="255"/>
        <v>4.26</v>
      </c>
      <c r="BQ59" s="234">
        <f t="shared" si="256"/>
        <v>4.26</v>
      </c>
      <c r="BR59" s="234">
        <f t="shared" si="257"/>
        <v>4.26</v>
      </c>
      <c r="BS59" s="234">
        <f t="shared" si="258"/>
        <v>4.26</v>
      </c>
      <c r="BU59" s="564">
        <f t="shared" ref="BU59:BU61" si="260">BU20</f>
        <v>150000</v>
      </c>
      <c r="BV59" s="254">
        <f t="shared" si="259"/>
        <v>0.98699999999999999</v>
      </c>
      <c r="BW59" s="254">
        <f t="shared" si="259"/>
        <v>0.871</v>
      </c>
      <c r="EF59" s="4"/>
      <c r="EG59" s="4"/>
      <c r="EJ59" s="4"/>
      <c r="EK59" s="4"/>
      <c r="FH59" s="127">
        <v>0</v>
      </c>
      <c r="FI59" s="128">
        <v>-0.35</v>
      </c>
      <c r="FJ59" s="129">
        <v>-0.5</v>
      </c>
      <c r="FK59" s="129">
        <v>-0.65</v>
      </c>
      <c r="FL59" s="129">
        <v>-0.75</v>
      </c>
      <c r="FM59" s="129">
        <v>-0.85</v>
      </c>
      <c r="FN59" s="130">
        <v>-1.25</v>
      </c>
      <c r="FO59" s="4"/>
      <c r="FP59" s="4"/>
      <c r="FQ59" s="4"/>
      <c r="FR59" s="4"/>
      <c r="FS59" s="4"/>
      <c r="FT59" s="4"/>
      <c r="FU59" s="4"/>
      <c r="FV59" s="4"/>
      <c r="FW59" s="4"/>
      <c r="FX59" s="4"/>
    </row>
    <row r="60" spans="8:181">
      <c r="H60" s="4"/>
      <c r="I60" s="4"/>
      <c r="J60" s="4"/>
      <c r="L60" s="4" t="s">
        <v>239</v>
      </c>
      <c r="M60" s="4" t="s">
        <v>239</v>
      </c>
      <c r="N60" s="277" t="s">
        <v>459</v>
      </c>
      <c r="P60" s="4" t="s">
        <v>743</v>
      </c>
      <c r="Q60" s="4" t="s">
        <v>744</v>
      </c>
      <c r="R60" s="4" t="s">
        <v>745</v>
      </c>
      <c r="AC60" s="4"/>
      <c r="AD60" s="58">
        <v>500000</v>
      </c>
      <c r="AE60" s="58">
        <v>1500000</v>
      </c>
      <c r="AF60" s="234">
        <v>1.59</v>
      </c>
      <c r="AG60" s="234">
        <v>1.88</v>
      </c>
      <c r="AH60" s="361">
        <f t="shared" ref="AH60:AH76" si="261">IF(AH$5&gt;AD60,AG60,(1-(AF60-AC$51)/AF60)*(AG60-AF60)+AF60)</f>
        <v>1.7723899371069183</v>
      </c>
      <c r="AI60" s="361">
        <f t="shared" ref="AI60:AI76" si="262">IF(AI$5&gt;AD60,AG60,(1-(AF60-AC$54)/AF60)*(AG60-AF60)+AF60)</f>
        <v>1.7972497420020639</v>
      </c>
      <c r="AJ60" s="361">
        <f t="shared" ref="AJ60:AJ76" si="263">IF(AJ$5&gt;AD60,AG60,(1-(AF60-AC$57)/AF60)*(AG60-AF60)+AF60)</f>
        <v>1.8164035087719297</v>
      </c>
      <c r="AK60" s="361">
        <f t="shared" ref="AK60:AK76" si="264">IF(AK$5&gt;AD60,AG60,(1-(AF60-AF$60)/AF60)*(AG60-AF60)+AF60)</f>
        <v>1.88</v>
      </c>
      <c r="AL60" s="361">
        <f t="shared" ref="AL60:AL76" si="265">IF(AL$5&gt;AD60,AG60,(1-(AF60-AF$63)/AF60)*(AG60-AF60)+AF60)</f>
        <v>1.88</v>
      </c>
      <c r="AM60" s="361">
        <f t="shared" ref="AM60:AM76" si="266">IF(AM$5&gt;AD60,AG60,(1-(AF60-AF$65)/AF60)*(AG60-AF60)+AF60)</f>
        <v>1.88</v>
      </c>
      <c r="AN60" s="361">
        <f t="shared" ref="AN60:AN76" si="267">IF(AN$5&gt;AD60,AG60,(1-(AF60-AF$68)/AF60)*(AG60-AF60)+AF60)</f>
        <v>1.88</v>
      </c>
      <c r="AO60" s="361">
        <f t="shared" ref="AO60:AO76" si="268">IF(AO$5&gt;AD60,AG60,(1-(AF60-AF$69)/AF60)*(AG60-AF60)+AF60)</f>
        <v>1.88</v>
      </c>
      <c r="AP60" s="361">
        <f t="shared" ref="AP60:AP76" si="269">IF(AP$5&gt;AD60,AG60,(1-(AF60-AF$70)/AF60)*(AG60-AF60)+AF60)</f>
        <v>1.88</v>
      </c>
      <c r="AQ60" s="361">
        <f t="shared" ref="AQ60:AQ76" si="270">IF(AQ$5&gt;AD60,AG60,(1-(AF60-AF$71)/AF60)*(AG60-AF60)+AF60)</f>
        <v>1.88</v>
      </c>
      <c r="AR60" s="361">
        <f t="shared" ref="AR60:AR76" si="271">IF(AR$5&gt;AD60,AG60,(1-(AF60-AF$72)/AF60)*(AG60-AF60)+AF60)</f>
        <v>1.88</v>
      </c>
      <c r="AS60" s="361">
        <f t="shared" ref="AS60:AS76" si="272">IF(AS$5&gt;AD60,AG60,(1-(AF60-AF$73)/AF60)*(AG60-AF60)+AF60)</f>
        <v>1.88</v>
      </c>
      <c r="AT60" s="361">
        <f t="shared" ref="AT60:AT76" si="273">IF(AT$5&gt;AD60,AG60,(1-(AF60-AF$74)/AF60)*(AG60-AF60)+AF60)</f>
        <v>1.88</v>
      </c>
      <c r="AU60" s="361">
        <f t="shared" ref="AU60:AU76" si="274">IF(AU$5&gt;AD60,AG60,(1-(AF60-AF$75)/AF60)*(AG60-AF60)+AF60)</f>
        <v>1.88</v>
      </c>
      <c r="AV60" s="361">
        <f t="shared" ref="AV60:AV76" si="275">IF(AV$5&gt;AD60,AG60,(1-(AF60-AF$76)/AF60)*(AG60-AF60)+AF60)</f>
        <v>1.88</v>
      </c>
      <c r="AX60" s="4"/>
      <c r="AY60" s="58">
        <v>8000000</v>
      </c>
      <c r="AZ60" s="58">
        <f t="shared" si="234"/>
        <v>8000000</v>
      </c>
      <c r="BB60" s="234">
        <f t="shared" si="242"/>
        <v>4.24</v>
      </c>
      <c r="BC60" s="234">
        <f t="shared" si="243"/>
        <v>4.45</v>
      </c>
      <c r="BD60" s="234">
        <f t="shared" si="230"/>
        <v>4.264764150943396</v>
      </c>
      <c r="BE60" s="234">
        <f t="shared" si="244"/>
        <v>4.2895283018867927</v>
      </c>
      <c r="BF60" s="234">
        <f t="shared" si="245"/>
        <v>4.2962790247678022</v>
      </c>
      <c r="BG60" s="234">
        <f t="shared" si="246"/>
        <v>4.3014802631578952</v>
      </c>
      <c r="BH60" s="234">
        <f t="shared" si="247"/>
        <v>4.3187500000000005</v>
      </c>
      <c r="BI60" s="234">
        <f t="shared" si="248"/>
        <v>4.3360849056603774</v>
      </c>
      <c r="BJ60" s="234">
        <f t="shared" si="249"/>
        <v>4.3529245283018874</v>
      </c>
      <c r="BK60" s="234">
        <f t="shared" si="250"/>
        <v>4.3712499999999999</v>
      </c>
      <c r="BL60" s="234">
        <f t="shared" si="251"/>
        <v>4.3885849056603776</v>
      </c>
      <c r="BM60" s="234">
        <f t="shared" si="252"/>
        <v>4.4034433962264155</v>
      </c>
      <c r="BN60" s="234">
        <f t="shared" si="253"/>
        <v>4.4287028301886791</v>
      </c>
      <c r="BO60" s="234">
        <f t="shared" si="254"/>
        <v>4.4391037735849057</v>
      </c>
      <c r="BP60" s="234">
        <f t="shared" si="255"/>
        <v>4.45</v>
      </c>
      <c r="BQ60" s="234">
        <f t="shared" si="256"/>
        <v>4.45</v>
      </c>
      <c r="BR60" s="234">
        <f t="shared" si="257"/>
        <v>4.45</v>
      </c>
      <c r="BS60" s="234">
        <f t="shared" si="258"/>
        <v>4.45</v>
      </c>
      <c r="BU60" s="564">
        <f t="shared" si="260"/>
        <v>250000</v>
      </c>
      <c r="BV60" s="254">
        <f t="shared" si="259"/>
        <v>1.0640000000000001</v>
      </c>
      <c r="BW60" s="254">
        <f t="shared" si="259"/>
        <v>0.94399999999999995</v>
      </c>
      <c r="EF60" s="4"/>
      <c r="EG60" s="4"/>
      <c r="EJ60" s="4"/>
      <c r="EK60" s="4"/>
      <c r="FH60" s="127">
        <v>1</v>
      </c>
      <c r="FI60" s="131">
        <v>1</v>
      </c>
      <c r="FJ60" s="132">
        <v>0.5</v>
      </c>
      <c r="FK60" s="132">
        <v>0</v>
      </c>
      <c r="FL60" s="132">
        <v>-0.5</v>
      </c>
      <c r="FM60" s="132">
        <v>-0.75</v>
      </c>
      <c r="FN60" s="133">
        <v>-1</v>
      </c>
      <c r="FO60" s="4"/>
      <c r="FP60" s="4"/>
      <c r="FQ60" s="4"/>
      <c r="FR60" s="4"/>
      <c r="FS60" s="4"/>
      <c r="FT60" s="4"/>
      <c r="FU60" s="4"/>
      <c r="FV60" s="4"/>
      <c r="FW60" s="4"/>
      <c r="FX60" s="4"/>
    </row>
    <row r="61" spans="8:181">
      <c r="H61" s="4"/>
      <c r="I61" s="4"/>
      <c r="J61" s="4"/>
      <c r="P61" s="4" t="s">
        <v>746</v>
      </c>
      <c r="Q61" s="4" t="s">
        <v>747</v>
      </c>
      <c r="R61" s="4" t="s">
        <v>748</v>
      </c>
      <c r="AC61" s="4"/>
      <c r="AD61" s="162">
        <v>750000</v>
      </c>
      <c r="AE61" s="58">
        <v>750000</v>
      </c>
      <c r="AF61" s="360">
        <f>(AF62-1)*((AF63-1)/(AF64-1))+1</f>
        <v>1.6836363636363636</v>
      </c>
      <c r="AG61" s="360">
        <f t="shared" ref="AG61" si="276">(AG62-1)*((AG63-1)/(AG64-1))+1</f>
        <v>2.0174647887323944</v>
      </c>
      <c r="AH61" s="361">
        <f t="shared" si="261"/>
        <v>1.8819145858856259</v>
      </c>
      <c r="AI61" s="361">
        <f t="shared" si="262"/>
        <v>1.9089399689646469</v>
      </c>
      <c r="AJ61" s="361">
        <f t="shared" si="263"/>
        <v>1.9297622516231454</v>
      </c>
      <c r="AK61" s="361">
        <f t="shared" si="264"/>
        <v>1.9988987370126907</v>
      </c>
      <c r="AL61" s="361">
        <f t="shared" si="265"/>
        <v>2.0174647887323944</v>
      </c>
      <c r="AM61" s="361">
        <f t="shared" si="266"/>
        <v>2.0174647887323944</v>
      </c>
      <c r="AN61" s="361">
        <f t="shared" si="267"/>
        <v>2.0174647887323944</v>
      </c>
      <c r="AO61" s="361">
        <f t="shared" si="268"/>
        <v>2.0174647887323944</v>
      </c>
      <c r="AP61" s="361">
        <f t="shared" si="269"/>
        <v>2.0174647887323944</v>
      </c>
      <c r="AQ61" s="361">
        <f t="shared" si="270"/>
        <v>2.0174647887323944</v>
      </c>
      <c r="AR61" s="361">
        <f t="shared" si="271"/>
        <v>2.0174647887323944</v>
      </c>
      <c r="AS61" s="361">
        <f t="shared" si="272"/>
        <v>2.0174647887323944</v>
      </c>
      <c r="AT61" s="361">
        <f t="shared" si="273"/>
        <v>2.0174647887323944</v>
      </c>
      <c r="AU61" s="361">
        <f t="shared" si="274"/>
        <v>2.0174647887323944</v>
      </c>
      <c r="AV61" s="361">
        <f t="shared" si="275"/>
        <v>2.0174647887323944</v>
      </c>
      <c r="AY61" s="58">
        <v>9000000</v>
      </c>
      <c r="AZ61" s="58">
        <f t="shared" si="234"/>
        <v>9000000</v>
      </c>
      <c r="BB61" s="234">
        <f t="shared" si="242"/>
        <v>4.45</v>
      </c>
      <c r="BC61" s="234">
        <f t="shared" si="243"/>
        <v>4.63</v>
      </c>
      <c r="BD61" s="234">
        <f t="shared" si="230"/>
        <v>4.4702247191011235</v>
      </c>
      <c r="BE61" s="234">
        <f t="shared" si="244"/>
        <v>4.4904494382022477</v>
      </c>
      <c r="BF61" s="234">
        <f t="shared" si="245"/>
        <v>4.4959627091522592</v>
      </c>
      <c r="BG61" s="234">
        <f t="shared" si="246"/>
        <v>4.5002105263157892</v>
      </c>
      <c r="BH61" s="234">
        <f t="shared" si="247"/>
        <v>4.5143146067415731</v>
      </c>
      <c r="BI61" s="234">
        <f t="shared" si="248"/>
        <v>4.5284719101123594</v>
      </c>
      <c r="BJ61" s="234">
        <f t="shared" si="249"/>
        <v>4.5422247191011236</v>
      </c>
      <c r="BK61" s="234">
        <f t="shared" si="250"/>
        <v>4.5571910112359548</v>
      </c>
      <c r="BL61" s="234">
        <f t="shared" si="251"/>
        <v>4.571348314606742</v>
      </c>
      <c r="BM61" s="234">
        <f t="shared" si="252"/>
        <v>4.5834831460674152</v>
      </c>
      <c r="BN61" s="234">
        <f t="shared" si="253"/>
        <v>4.6041123595505615</v>
      </c>
      <c r="BO61" s="234">
        <f t="shared" si="254"/>
        <v>4.6126067415730336</v>
      </c>
      <c r="BP61" s="234">
        <f t="shared" si="255"/>
        <v>4.6215056179775278</v>
      </c>
      <c r="BQ61" s="234">
        <f t="shared" si="256"/>
        <v>4.63</v>
      </c>
      <c r="BR61" s="234">
        <f t="shared" si="257"/>
        <v>4.63</v>
      </c>
      <c r="BS61" s="234">
        <f t="shared" si="258"/>
        <v>4.63</v>
      </c>
      <c r="BU61" s="564">
        <f t="shared" si="260"/>
        <v>500000</v>
      </c>
      <c r="BV61" s="254">
        <f t="shared" si="259"/>
        <v>1.141</v>
      </c>
      <c r="BW61" s="254">
        <f t="shared" si="259"/>
        <v>1.0169999999999999</v>
      </c>
      <c r="EF61" s="4"/>
      <c r="EG61" s="4"/>
      <c r="EJ61" s="4"/>
      <c r="EK61" s="4"/>
      <c r="FH61" s="127">
        <v>2</v>
      </c>
      <c r="FI61" s="131">
        <v>2</v>
      </c>
      <c r="FJ61" s="132">
        <v>1</v>
      </c>
      <c r="FK61" s="132">
        <v>0.5</v>
      </c>
      <c r="FL61" s="132">
        <v>0</v>
      </c>
      <c r="FM61" s="132">
        <v>-0.25</v>
      </c>
      <c r="FN61" s="133">
        <v>-0.75</v>
      </c>
      <c r="FO61" s="4"/>
      <c r="FP61" s="4"/>
      <c r="FQ61" s="4"/>
      <c r="FR61" s="4"/>
      <c r="FS61" s="4"/>
      <c r="FT61" s="4"/>
      <c r="FU61" s="4"/>
      <c r="FV61" s="4"/>
      <c r="FW61" s="4"/>
      <c r="FX61" s="4"/>
    </row>
    <row r="62" spans="8:181">
      <c r="H62" s="4"/>
      <c r="I62" s="4"/>
      <c r="J62" s="4"/>
      <c r="P62" s="4" t="s">
        <v>749</v>
      </c>
      <c r="Q62" s="4" t="s">
        <v>750</v>
      </c>
      <c r="R62" s="4" t="s">
        <v>751</v>
      </c>
      <c r="AC62" s="4"/>
      <c r="AD62" s="58">
        <v>750000</v>
      </c>
      <c r="AE62" s="58">
        <v>1500000</v>
      </c>
      <c r="AF62" s="234">
        <v>1.8</v>
      </c>
      <c r="AG62" s="234">
        <v>2.12</v>
      </c>
      <c r="AH62" s="361">
        <f t="shared" si="261"/>
        <v>1.9777777777777779</v>
      </c>
      <c r="AI62" s="361">
        <f t="shared" si="262"/>
        <v>2.0020089439284487</v>
      </c>
      <c r="AJ62" s="361">
        <f t="shared" si="263"/>
        <v>2.0206783625730997</v>
      </c>
      <c r="AK62" s="361">
        <f t="shared" si="264"/>
        <v>2.0826666666666669</v>
      </c>
      <c r="AL62" s="361">
        <f t="shared" si="265"/>
        <v>2.12</v>
      </c>
      <c r="AM62" s="361">
        <f t="shared" si="266"/>
        <v>2.12</v>
      </c>
      <c r="AN62" s="361">
        <f t="shared" si="267"/>
        <v>2.12</v>
      </c>
      <c r="AO62" s="361">
        <f t="shared" si="268"/>
        <v>2.12</v>
      </c>
      <c r="AP62" s="361">
        <f t="shared" si="269"/>
        <v>2.12</v>
      </c>
      <c r="AQ62" s="361">
        <f t="shared" si="270"/>
        <v>2.12</v>
      </c>
      <c r="AR62" s="361">
        <f t="shared" si="271"/>
        <v>2.12</v>
      </c>
      <c r="AS62" s="361">
        <f t="shared" si="272"/>
        <v>2.12</v>
      </c>
      <c r="AT62" s="361">
        <f t="shared" si="273"/>
        <v>2.12</v>
      </c>
      <c r="AU62" s="361">
        <f t="shared" si="274"/>
        <v>2.12</v>
      </c>
      <c r="AV62" s="361">
        <f t="shared" si="275"/>
        <v>2.12</v>
      </c>
      <c r="AY62" s="58">
        <v>10000000</v>
      </c>
      <c r="AZ62" s="58">
        <f t="shared" si="234"/>
        <v>10000000</v>
      </c>
      <c r="BB62" s="234">
        <f t="shared" si="242"/>
        <v>4.63</v>
      </c>
      <c r="BC62" s="234">
        <f t="shared" si="243"/>
        <v>4.7699999999999996</v>
      </c>
      <c r="BD62" s="234">
        <f t="shared" si="230"/>
        <v>4.6451187904967597</v>
      </c>
      <c r="BE62" s="234">
        <f t="shared" si="244"/>
        <v>4.6602375809935204</v>
      </c>
      <c r="BF62" s="234">
        <f t="shared" si="245"/>
        <v>4.6643589726444175</v>
      </c>
      <c r="BG62" s="234">
        <f t="shared" si="246"/>
        <v>4.6675343867227461</v>
      </c>
      <c r="BH62" s="234">
        <f t="shared" si="247"/>
        <v>4.6780777537796974</v>
      </c>
      <c r="BI62" s="234">
        <f t="shared" si="248"/>
        <v>4.6886609071274297</v>
      </c>
      <c r="BJ62" s="234">
        <f t="shared" si="249"/>
        <v>4.6989416846652263</v>
      </c>
      <c r="BK62" s="234">
        <f t="shared" si="250"/>
        <v>4.710129589632829</v>
      </c>
      <c r="BL62" s="234">
        <f t="shared" si="251"/>
        <v>4.7207127429805613</v>
      </c>
      <c r="BM62" s="234">
        <f t="shared" si="252"/>
        <v>4.7297840172786172</v>
      </c>
      <c r="BN62" s="234">
        <f t="shared" si="253"/>
        <v>4.7452051835853126</v>
      </c>
      <c r="BO62" s="234">
        <f t="shared" si="254"/>
        <v>4.7515550755939522</v>
      </c>
      <c r="BP62" s="234">
        <f t="shared" si="255"/>
        <v>4.7582073434125265</v>
      </c>
      <c r="BQ62" s="234">
        <f t="shared" si="256"/>
        <v>4.764557235421166</v>
      </c>
      <c r="BR62" s="234">
        <f t="shared" si="257"/>
        <v>4.7699999999999996</v>
      </c>
      <c r="BS62" s="234">
        <f t="shared" si="258"/>
        <v>4.7699999999999996</v>
      </c>
      <c r="EF62" s="4"/>
      <c r="EG62" s="4"/>
      <c r="EJ62" s="4"/>
      <c r="EK62" s="4"/>
      <c r="FH62" s="127">
        <v>3</v>
      </c>
      <c r="FI62" s="131">
        <v>3</v>
      </c>
      <c r="FJ62" s="132">
        <v>2</v>
      </c>
      <c r="FK62" s="132">
        <v>1.05</v>
      </c>
      <c r="FL62" s="132">
        <v>0.5</v>
      </c>
      <c r="FM62" s="132">
        <v>0</v>
      </c>
      <c r="FN62" s="133">
        <v>-0.25</v>
      </c>
      <c r="FO62" s="4"/>
      <c r="FP62" s="4"/>
      <c r="FQ62" s="4"/>
      <c r="FR62" s="4"/>
      <c r="FS62" s="4"/>
      <c r="FT62" s="4"/>
      <c r="FU62" s="4"/>
      <c r="FV62" s="4"/>
      <c r="FW62" s="4"/>
      <c r="FX62" s="4"/>
    </row>
    <row r="63" spans="8:181">
      <c r="H63" s="4"/>
      <c r="I63" s="4"/>
      <c r="J63" s="4"/>
      <c r="P63" s="4" t="s">
        <v>752</v>
      </c>
      <c r="Q63" s="4" t="s">
        <v>753</v>
      </c>
      <c r="R63" s="4" t="s">
        <v>754</v>
      </c>
      <c r="AC63" s="4"/>
      <c r="AD63" s="58">
        <v>1000000</v>
      </c>
      <c r="AE63" s="58">
        <v>1000000</v>
      </c>
      <c r="AF63" s="234">
        <v>1.94</v>
      </c>
      <c r="AG63" s="234">
        <v>2.29</v>
      </c>
      <c r="AH63" s="361">
        <f t="shared" si="261"/>
        <v>2.1204123711340204</v>
      </c>
      <c r="AI63" s="361">
        <f t="shared" si="262"/>
        <v>2.1450026331748111</v>
      </c>
      <c r="AJ63" s="361">
        <f t="shared" si="263"/>
        <v>2.1639487249050462</v>
      </c>
      <c r="AK63" s="361">
        <f t="shared" si="264"/>
        <v>2.2268556701030926</v>
      </c>
      <c r="AL63" s="361">
        <f t="shared" si="265"/>
        <v>2.29</v>
      </c>
      <c r="AM63" s="361">
        <f t="shared" si="266"/>
        <v>2.29</v>
      </c>
      <c r="AN63" s="361">
        <f t="shared" si="267"/>
        <v>2.29</v>
      </c>
      <c r="AO63" s="361">
        <f t="shared" si="268"/>
        <v>2.29</v>
      </c>
      <c r="AP63" s="361">
        <f t="shared" si="269"/>
        <v>2.29</v>
      </c>
      <c r="AQ63" s="361">
        <f t="shared" si="270"/>
        <v>2.29</v>
      </c>
      <c r="AR63" s="361">
        <f t="shared" si="271"/>
        <v>2.29</v>
      </c>
      <c r="AS63" s="361">
        <f t="shared" si="272"/>
        <v>2.29</v>
      </c>
      <c r="AT63" s="361">
        <f t="shared" si="273"/>
        <v>2.29</v>
      </c>
      <c r="AU63" s="361">
        <f t="shared" si="274"/>
        <v>2.29</v>
      </c>
      <c r="AV63" s="361">
        <f t="shared" si="275"/>
        <v>2.29</v>
      </c>
      <c r="AY63" s="58">
        <v>15000000</v>
      </c>
      <c r="AZ63" s="58">
        <f t="shared" si="234"/>
        <v>15000000</v>
      </c>
      <c r="BB63" s="234">
        <f t="shared" si="242"/>
        <v>5.22</v>
      </c>
      <c r="BC63" s="234">
        <f t="shared" si="243"/>
        <v>5.28</v>
      </c>
      <c r="BD63" s="234">
        <f t="shared" si="230"/>
        <v>5.2257471264367812</v>
      </c>
      <c r="BE63" s="234">
        <f t="shared" si="244"/>
        <v>5.2314942528735635</v>
      </c>
      <c r="BF63" s="234">
        <f t="shared" si="245"/>
        <v>5.2330609230988223</v>
      </c>
      <c r="BG63" s="234">
        <f t="shared" si="246"/>
        <v>5.2342679975801572</v>
      </c>
      <c r="BH63" s="234">
        <f t="shared" si="247"/>
        <v>5.2382758620689653</v>
      </c>
      <c r="BI63" s="234">
        <f t="shared" si="248"/>
        <v>5.2422988505747128</v>
      </c>
      <c r="BJ63" s="234">
        <f t="shared" si="249"/>
        <v>5.2462068965517243</v>
      </c>
      <c r="BK63" s="234">
        <f t="shared" si="250"/>
        <v>5.2504597701149427</v>
      </c>
      <c r="BL63" s="234">
        <f t="shared" si="251"/>
        <v>5.2544827586206893</v>
      </c>
      <c r="BM63" s="234">
        <f t="shared" si="252"/>
        <v>5.257931034482759</v>
      </c>
      <c r="BN63" s="234">
        <f t="shared" si="253"/>
        <v>5.2637931034482763</v>
      </c>
      <c r="BO63" s="234">
        <f t="shared" si="254"/>
        <v>5.2662068965517239</v>
      </c>
      <c r="BP63" s="234">
        <f t="shared" si="255"/>
        <v>5.2687356321839083</v>
      </c>
      <c r="BQ63" s="234">
        <f t="shared" si="256"/>
        <v>5.2711494252873567</v>
      </c>
      <c r="BR63" s="234">
        <f t="shared" si="257"/>
        <v>5.2732183908045975</v>
      </c>
      <c r="BS63" s="234">
        <f t="shared" si="258"/>
        <v>5.28</v>
      </c>
      <c r="EF63" s="4"/>
      <c r="EG63" s="4"/>
      <c r="EJ63" s="4"/>
      <c r="EK63" s="4"/>
      <c r="FH63" s="127">
        <v>4</v>
      </c>
      <c r="FI63" s="131">
        <v>4</v>
      </c>
      <c r="FJ63" s="134">
        <v>3</v>
      </c>
      <c r="FK63" s="132">
        <v>1.5</v>
      </c>
      <c r="FL63" s="132">
        <v>1</v>
      </c>
      <c r="FM63" s="132">
        <v>0.5</v>
      </c>
      <c r="FN63" s="133">
        <v>0</v>
      </c>
      <c r="FO63" s="4"/>
      <c r="FP63" s="4"/>
      <c r="FQ63" s="4"/>
      <c r="FR63" s="4"/>
      <c r="FS63" s="4"/>
      <c r="FT63" s="4"/>
      <c r="FU63" s="4"/>
      <c r="FV63" s="4"/>
      <c r="FW63" s="4"/>
      <c r="FX63" s="4"/>
    </row>
    <row r="64" spans="8:181">
      <c r="H64" s="4"/>
      <c r="I64" s="4"/>
      <c r="J64" s="4"/>
      <c r="P64" s="4" t="s">
        <v>755</v>
      </c>
      <c r="Q64" s="4" t="s">
        <v>756</v>
      </c>
      <c r="R64" s="4" t="s">
        <v>757</v>
      </c>
      <c r="AC64" s="4"/>
      <c r="AD64" s="58">
        <v>1000000</v>
      </c>
      <c r="AE64" s="58">
        <v>2000000</v>
      </c>
      <c r="AF64" s="234">
        <v>2.1</v>
      </c>
      <c r="AG64" s="234">
        <v>2.42</v>
      </c>
      <c r="AH64" s="361">
        <f t="shared" si="261"/>
        <v>2.2523809523809524</v>
      </c>
      <c r="AI64" s="361">
        <f t="shared" si="262"/>
        <v>2.2731505233672418</v>
      </c>
      <c r="AJ64" s="361">
        <f t="shared" si="263"/>
        <v>2.2891528822055136</v>
      </c>
      <c r="AK64" s="361">
        <f t="shared" si="264"/>
        <v>2.3422857142857141</v>
      </c>
      <c r="AL64" s="361">
        <f t="shared" si="265"/>
        <v>2.3956190476190473</v>
      </c>
      <c r="AM64" s="361">
        <f t="shared" si="266"/>
        <v>2.42</v>
      </c>
      <c r="AN64" s="361">
        <f t="shared" si="267"/>
        <v>2.42</v>
      </c>
      <c r="AO64" s="361">
        <f t="shared" si="268"/>
        <v>2.42</v>
      </c>
      <c r="AP64" s="361">
        <f t="shared" si="269"/>
        <v>2.42</v>
      </c>
      <c r="AQ64" s="361">
        <f t="shared" si="270"/>
        <v>2.42</v>
      </c>
      <c r="AR64" s="361">
        <f t="shared" si="271"/>
        <v>2.42</v>
      </c>
      <c r="AS64" s="361">
        <f t="shared" si="272"/>
        <v>2.42</v>
      </c>
      <c r="AT64" s="361">
        <f t="shared" si="273"/>
        <v>2.42</v>
      </c>
      <c r="AU64" s="361">
        <f t="shared" si="274"/>
        <v>2.42</v>
      </c>
      <c r="AV64" s="361">
        <f t="shared" si="275"/>
        <v>2.42</v>
      </c>
      <c r="AY64" s="4"/>
      <c r="BB64" s="234" t="s">
        <v>2971</v>
      </c>
      <c r="EF64" s="4"/>
      <c r="EG64" s="4"/>
      <c r="EJ64" s="4"/>
      <c r="EK64" s="4"/>
      <c r="FH64" s="127">
        <v>5</v>
      </c>
      <c r="FI64" s="135">
        <v>5</v>
      </c>
      <c r="FJ64" s="136">
        <v>4</v>
      </c>
      <c r="FK64" s="136">
        <v>2</v>
      </c>
      <c r="FL64" s="137">
        <v>1.5</v>
      </c>
      <c r="FM64" s="137">
        <v>0.75</v>
      </c>
      <c r="FN64" s="138">
        <v>0.5</v>
      </c>
      <c r="FO64" s="4"/>
      <c r="FP64" s="4"/>
      <c r="FQ64" s="4"/>
      <c r="FR64" s="4"/>
      <c r="FS64" s="4"/>
      <c r="FT64" s="4"/>
      <c r="FU64" s="4"/>
      <c r="FV64" s="4"/>
      <c r="FW64" s="4"/>
      <c r="FX64" s="4"/>
    </row>
    <row r="65" spans="8:180">
      <c r="H65" s="4"/>
      <c r="I65" s="4"/>
      <c r="J65" s="4"/>
      <c r="P65" s="4" t="s">
        <v>758</v>
      </c>
      <c r="Q65" s="4" t="s">
        <v>759</v>
      </c>
      <c r="R65" s="4" t="s">
        <v>760</v>
      </c>
      <c r="AD65" s="58">
        <v>2000000</v>
      </c>
      <c r="AE65" s="58">
        <v>2000000</v>
      </c>
      <c r="AF65" s="234">
        <v>2.2799999999999998</v>
      </c>
      <c r="AG65" s="234">
        <v>2.6</v>
      </c>
      <c r="AH65" s="361">
        <f t="shared" si="261"/>
        <v>2.4203508771929823</v>
      </c>
      <c r="AI65" s="361">
        <f t="shared" si="262"/>
        <v>2.4394807452066698</v>
      </c>
      <c r="AJ65" s="361">
        <f t="shared" si="263"/>
        <v>2.4542197599261311</v>
      </c>
      <c r="AK65" s="361">
        <f t="shared" si="264"/>
        <v>2.5031578947368422</v>
      </c>
      <c r="AL65" s="361">
        <f t="shared" si="265"/>
        <v>2.5522807017543858</v>
      </c>
      <c r="AM65" s="361">
        <f t="shared" si="266"/>
        <v>2.6</v>
      </c>
      <c r="AN65" s="361">
        <f t="shared" si="267"/>
        <v>2.6</v>
      </c>
      <c r="AO65" s="361">
        <f t="shared" si="268"/>
        <v>2.6</v>
      </c>
      <c r="AP65" s="361">
        <f t="shared" si="269"/>
        <v>2.6</v>
      </c>
      <c r="AQ65" s="361">
        <f t="shared" si="270"/>
        <v>2.6</v>
      </c>
      <c r="AR65" s="361">
        <f t="shared" si="271"/>
        <v>2.6</v>
      </c>
      <c r="AS65" s="361">
        <f t="shared" si="272"/>
        <v>2.6</v>
      </c>
      <c r="AT65" s="361">
        <f t="shared" si="273"/>
        <v>2.6</v>
      </c>
      <c r="AU65" s="361">
        <f t="shared" si="274"/>
        <v>2.6</v>
      </c>
      <c r="AV65" s="361">
        <f t="shared" si="275"/>
        <v>2.6</v>
      </c>
      <c r="AY65" s="4"/>
      <c r="BU65" s="58"/>
      <c r="BV65" s="4"/>
      <c r="BW65" s="4"/>
      <c r="EF65" s="4"/>
      <c r="EG65" s="4"/>
      <c r="EJ65" s="4"/>
      <c r="EK65" s="4"/>
      <c r="FH65" s="4"/>
      <c r="FI65" s="4"/>
      <c r="FJ65" s="4"/>
      <c r="FK65" s="4"/>
      <c r="FL65" s="34"/>
      <c r="FM65" s="34"/>
      <c r="FN65" s="34"/>
      <c r="FO65" s="4"/>
      <c r="FP65" s="4"/>
      <c r="FQ65" s="4"/>
      <c r="FR65" s="4"/>
      <c r="FS65" s="4"/>
      <c r="FT65" s="4"/>
      <c r="FU65" s="4"/>
      <c r="FV65" s="4"/>
      <c r="FW65" s="4"/>
      <c r="FX65" s="4"/>
    </row>
    <row r="66" spans="8:180">
      <c r="H66" s="4"/>
      <c r="I66" s="4"/>
      <c r="J66" s="4"/>
      <c r="M66" s="63">
        <f>COUNTIF($N$6:$N$60,N66)</f>
        <v>42</v>
      </c>
      <c r="N66" s="181" t="s">
        <v>455</v>
      </c>
      <c r="P66" s="4" t="s">
        <v>761</v>
      </c>
      <c r="Q66" s="4" t="s">
        <v>762</v>
      </c>
      <c r="R66" s="4" t="s">
        <v>763</v>
      </c>
      <c r="AD66" s="58">
        <v>2000000</v>
      </c>
      <c r="AE66" s="58">
        <v>3000000</v>
      </c>
      <c r="AF66" s="234">
        <v>2.37</v>
      </c>
      <c r="AG66" s="234">
        <v>2.68</v>
      </c>
      <c r="AH66" s="361">
        <f t="shared" si="261"/>
        <v>2.5008016877637131</v>
      </c>
      <c r="AI66" s="361">
        <f t="shared" si="262"/>
        <v>2.5186299983017859</v>
      </c>
      <c r="AJ66" s="361">
        <f t="shared" si="263"/>
        <v>2.532366200310904</v>
      </c>
      <c r="AK66" s="361">
        <f t="shared" si="264"/>
        <v>2.577974683544304</v>
      </c>
      <c r="AL66" s="361">
        <f t="shared" si="265"/>
        <v>2.6237552742616037</v>
      </c>
      <c r="AM66" s="361">
        <f t="shared" si="266"/>
        <v>2.668227848101266</v>
      </c>
      <c r="AN66" s="361">
        <f t="shared" si="267"/>
        <v>2.68</v>
      </c>
      <c r="AO66" s="361">
        <f t="shared" si="268"/>
        <v>2.68</v>
      </c>
      <c r="AP66" s="361">
        <f t="shared" si="269"/>
        <v>2.68</v>
      </c>
      <c r="AQ66" s="361">
        <f t="shared" si="270"/>
        <v>2.68</v>
      </c>
      <c r="AR66" s="361">
        <f t="shared" si="271"/>
        <v>2.68</v>
      </c>
      <c r="AS66" s="361">
        <f t="shared" si="272"/>
        <v>2.68</v>
      </c>
      <c r="AT66" s="361">
        <f t="shared" si="273"/>
        <v>2.68</v>
      </c>
      <c r="AU66" s="361">
        <f t="shared" si="274"/>
        <v>2.68</v>
      </c>
      <c r="AV66" s="361">
        <f t="shared" si="275"/>
        <v>2.68</v>
      </c>
      <c r="AY66" s="4"/>
      <c r="BU66" s="4"/>
      <c r="BV66" s="4"/>
      <c r="BW66" s="4"/>
      <c r="EF66" s="4"/>
      <c r="EG66" s="4"/>
      <c r="EJ66" s="4"/>
      <c r="EK66" s="4"/>
      <c r="FH66" s="4"/>
      <c r="FI66" s="4"/>
      <c r="FJ66" s="4"/>
      <c r="FK66" s="4"/>
      <c r="FL66" s="34"/>
      <c r="FM66" s="34"/>
      <c r="FN66" s="34"/>
      <c r="FO66" s="4"/>
      <c r="FP66" s="4"/>
      <c r="FQ66" s="4"/>
      <c r="FR66" s="4"/>
      <c r="FS66" s="4"/>
      <c r="FT66" s="4"/>
      <c r="FU66" s="4"/>
      <c r="FV66" s="4"/>
      <c r="FW66" s="4"/>
      <c r="FX66" s="4"/>
    </row>
    <row r="67" spans="8:180">
      <c r="H67" s="4"/>
      <c r="I67" s="4"/>
      <c r="J67" s="4"/>
      <c r="M67" s="69">
        <f>COUNTIF($N$6:$N$60,N67)</f>
        <v>3</v>
      </c>
      <c r="N67" s="163" t="s">
        <v>459</v>
      </c>
      <c r="P67" s="4" t="s">
        <v>764</v>
      </c>
      <c r="Q67" s="4" t="s">
        <v>765</v>
      </c>
      <c r="R67" s="4" t="s">
        <v>766</v>
      </c>
      <c r="AD67" s="58">
        <v>2000000</v>
      </c>
      <c r="AE67" s="58">
        <v>4000000</v>
      </c>
      <c r="AF67" s="234">
        <v>2.4500000000000002</v>
      </c>
      <c r="AG67" s="234">
        <v>2.74</v>
      </c>
      <c r="AH67" s="361">
        <f t="shared" si="261"/>
        <v>2.5683673469387758</v>
      </c>
      <c r="AI67" s="361">
        <f t="shared" si="262"/>
        <v>2.5845008529727682</v>
      </c>
      <c r="AJ67" s="361">
        <f t="shared" si="263"/>
        <v>2.5969312567132117</v>
      </c>
      <c r="AK67" s="361">
        <f t="shared" si="264"/>
        <v>2.6382040816326531</v>
      </c>
      <c r="AL67" s="361">
        <f t="shared" si="265"/>
        <v>2.6796326530612244</v>
      </c>
      <c r="AM67" s="361">
        <f t="shared" si="266"/>
        <v>2.7198775510204083</v>
      </c>
      <c r="AN67" s="361">
        <f t="shared" si="267"/>
        <v>2.74</v>
      </c>
      <c r="AO67" s="361">
        <f t="shared" si="268"/>
        <v>2.74</v>
      </c>
      <c r="AP67" s="361">
        <f t="shared" si="269"/>
        <v>2.74</v>
      </c>
      <c r="AQ67" s="361">
        <f t="shared" si="270"/>
        <v>2.74</v>
      </c>
      <c r="AR67" s="361">
        <f t="shared" si="271"/>
        <v>2.74</v>
      </c>
      <c r="AS67" s="361">
        <f t="shared" si="272"/>
        <v>2.74</v>
      </c>
      <c r="AT67" s="361">
        <f t="shared" si="273"/>
        <v>2.74</v>
      </c>
      <c r="AU67" s="361">
        <f t="shared" si="274"/>
        <v>2.74</v>
      </c>
      <c r="AV67" s="361">
        <f t="shared" si="275"/>
        <v>2.74</v>
      </c>
      <c r="AY67" s="4"/>
      <c r="BU67" s="4"/>
      <c r="BV67" s="4"/>
      <c r="BW67" s="4"/>
      <c r="EF67" s="4"/>
      <c r="EG67" s="4"/>
      <c r="EJ67" s="4"/>
      <c r="EK67" s="4"/>
      <c r="FH67" s="4"/>
      <c r="FI67" s="4"/>
      <c r="FJ67" s="4"/>
      <c r="FK67" s="4"/>
      <c r="FL67" s="34"/>
      <c r="FM67" s="34"/>
      <c r="FN67" s="34"/>
      <c r="FO67" s="4"/>
      <c r="FP67" s="4"/>
      <c r="FQ67" s="4"/>
      <c r="FR67" s="4"/>
      <c r="FS67" s="4"/>
      <c r="FT67" s="4"/>
      <c r="FU67" s="4"/>
      <c r="FV67" s="4"/>
      <c r="FW67" s="4"/>
      <c r="FX67" s="4"/>
    </row>
    <row r="68" spans="8:180">
      <c r="H68" s="4"/>
      <c r="I68" s="4"/>
      <c r="J68" s="4"/>
      <c r="M68" s="69">
        <f>SUM(M66:M67)</f>
        <v>45</v>
      </c>
      <c r="N68" s="163" t="s">
        <v>143</v>
      </c>
      <c r="P68" s="4" t="s">
        <v>767</v>
      </c>
      <c r="Q68" s="4" t="s">
        <v>768</v>
      </c>
      <c r="R68" s="4" t="s">
        <v>769</v>
      </c>
      <c r="AD68" s="58">
        <v>3000000</v>
      </c>
      <c r="AE68" s="58">
        <v>3000000</v>
      </c>
      <c r="AF68" s="234">
        <v>2.65</v>
      </c>
      <c r="AG68" s="234">
        <v>2.94</v>
      </c>
      <c r="AH68" s="361">
        <f t="shared" si="261"/>
        <v>2.7594339622641511</v>
      </c>
      <c r="AI68" s="361">
        <f t="shared" si="262"/>
        <v>2.7743498452012383</v>
      </c>
      <c r="AJ68" s="361">
        <f t="shared" si="263"/>
        <v>2.7858421052631579</v>
      </c>
      <c r="AK68" s="361">
        <f t="shared" si="264"/>
        <v>2.8239999999999998</v>
      </c>
      <c r="AL68" s="361">
        <f t="shared" si="265"/>
        <v>2.8623018867924528</v>
      </c>
      <c r="AM68" s="361">
        <f t="shared" si="266"/>
        <v>2.899509433962264</v>
      </c>
      <c r="AN68" s="361">
        <f t="shared" si="267"/>
        <v>2.94</v>
      </c>
      <c r="AO68" s="361">
        <f t="shared" si="268"/>
        <v>2.94</v>
      </c>
      <c r="AP68" s="361">
        <f t="shared" si="269"/>
        <v>2.94</v>
      </c>
      <c r="AQ68" s="361">
        <f t="shared" si="270"/>
        <v>2.94</v>
      </c>
      <c r="AR68" s="361">
        <f t="shared" si="271"/>
        <v>2.94</v>
      </c>
      <c r="AS68" s="361">
        <f t="shared" si="272"/>
        <v>2.94</v>
      </c>
      <c r="AT68" s="361">
        <f t="shared" si="273"/>
        <v>2.94</v>
      </c>
      <c r="AU68" s="361">
        <f t="shared" si="274"/>
        <v>2.94</v>
      </c>
      <c r="AV68" s="361">
        <f t="shared" si="275"/>
        <v>2.94</v>
      </c>
      <c r="AX68" s="4"/>
      <c r="AY68" s="4" t="s">
        <v>393</v>
      </c>
      <c r="BB68" s="234" t="str">
        <f>BB4</f>
        <v>Claims Expense Inside of Limits</v>
      </c>
      <c r="BU68" s="4"/>
      <c r="BV68" s="4"/>
      <c r="BW68" s="4"/>
      <c r="EF68" s="4"/>
      <c r="EG68" s="4"/>
      <c r="EJ68" s="4"/>
      <c r="EK68" s="4"/>
      <c r="FH68" s="4"/>
      <c r="FI68" s="4"/>
      <c r="FJ68" s="4"/>
      <c r="FK68" s="4"/>
      <c r="FL68" s="34"/>
      <c r="FM68" s="34"/>
      <c r="FN68" s="34"/>
      <c r="FO68" s="4"/>
      <c r="FP68" s="4"/>
      <c r="FQ68" s="4"/>
      <c r="FR68" s="4"/>
      <c r="FS68" s="4"/>
      <c r="FT68" s="4"/>
      <c r="FU68" s="4"/>
      <c r="FV68" s="4"/>
      <c r="FW68" s="4"/>
      <c r="FX68" s="4"/>
    </row>
    <row r="69" spans="8:180">
      <c r="H69" s="4"/>
      <c r="I69" s="4"/>
      <c r="J69" s="4"/>
      <c r="M69" s="164">
        <f>COUNTIF($N$6:$N$60,N69)</f>
        <v>6</v>
      </c>
      <c r="N69" s="541" t="str">
        <f>X11</f>
        <v>Submitted</v>
      </c>
      <c r="P69" s="4" t="s">
        <v>770</v>
      </c>
      <c r="Q69" s="4" t="s">
        <v>771</v>
      </c>
      <c r="R69" s="4" t="s">
        <v>772</v>
      </c>
      <c r="AD69" s="58">
        <v>4000000</v>
      </c>
      <c r="AE69" s="58">
        <v>4000000</v>
      </c>
      <c r="AF69" s="234">
        <v>3</v>
      </c>
      <c r="AG69" s="234">
        <v>3.3</v>
      </c>
      <c r="AH69" s="361">
        <f t="shared" si="261"/>
        <v>3.1</v>
      </c>
      <c r="AI69" s="361">
        <f t="shared" si="262"/>
        <v>3.1136300309597522</v>
      </c>
      <c r="AJ69" s="361">
        <f t="shared" si="263"/>
        <v>3.1241315789473685</v>
      </c>
      <c r="AK69" s="361">
        <f t="shared" si="264"/>
        <v>3.1589999999999998</v>
      </c>
      <c r="AL69" s="361">
        <f t="shared" si="265"/>
        <v>3.194</v>
      </c>
      <c r="AM69" s="361">
        <f t="shared" si="266"/>
        <v>3.2279999999999998</v>
      </c>
      <c r="AN69" s="361">
        <f t="shared" si="267"/>
        <v>3.2649999999999997</v>
      </c>
      <c r="AO69" s="361">
        <f t="shared" si="268"/>
        <v>3.3</v>
      </c>
      <c r="AP69" s="361">
        <f t="shared" si="269"/>
        <v>3.3</v>
      </c>
      <c r="AQ69" s="361">
        <f t="shared" si="270"/>
        <v>3.3</v>
      </c>
      <c r="AR69" s="361">
        <f t="shared" si="271"/>
        <v>3.3</v>
      </c>
      <c r="AS69" s="361">
        <f t="shared" si="272"/>
        <v>3.3</v>
      </c>
      <c r="AT69" s="361">
        <f t="shared" si="273"/>
        <v>3.3</v>
      </c>
      <c r="AU69" s="361">
        <f t="shared" si="274"/>
        <v>3.3</v>
      </c>
      <c r="AV69" s="361">
        <f t="shared" si="275"/>
        <v>3.3</v>
      </c>
      <c r="AX69" s="4"/>
      <c r="AY69" s="58">
        <v>250000</v>
      </c>
      <c r="AZ69" s="58">
        <v>0</v>
      </c>
      <c r="BB69" s="365">
        <f>BB27</f>
        <v>1.0544967162578742</v>
      </c>
      <c r="BC69" s="365">
        <f>BC27</f>
        <v>1.0471720893384266</v>
      </c>
      <c r="BD69" s="365">
        <f t="shared" ref="BD69:BD73" si="277">AVERAGE(BB69,BE69)</f>
        <v>1.0467011296331896</v>
      </c>
      <c r="BE69" s="365">
        <f>BE27</f>
        <v>1.0389055430085052</v>
      </c>
      <c r="BF69" s="365">
        <f>BF27</f>
        <v>1.0344329184031784</v>
      </c>
      <c r="BG69" s="365">
        <f>BG27</f>
        <v>1.0330621026418318</v>
      </c>
      <c r="BH69" s="365">
        <f t="shared" ref="BH69:BS69" si="278">BH27</f>
        <v>1.0471720893384266</v>
      </c>
      <c r="BI69" s="365">
        <f t="shared" si="278"/>
        <v>1.0471720893384266</v>
      </c>
      <c r="BJ69" s="365">
        <f t="shared" si="278"/>
        <v>1.0471720893384266</v>
      </c>
      <c r="BK69" s="365">
        <f t="shared" si="278"/>
        <v>1.0471720893384266</v>
      </c>
      <c r="BL69" s="365">
        <f t="shared" si="278"/>
        <v>1.0471720893384266</v>
      </c>
      <c r="BM69" s="365">
        <f t="shared" si="278"/>
        <v>1.0471720893384266</v>
      </c>
      <c r="BN69" s="365">
        <f t="shared" si="278"/>
        <v>1.0471720893384266</v>
      </c>
      <c r="BO69" s="365">
        <f t="shared" si="278"/>
        <v>1.0471720893384266</v>
      </c>
      <c r="BP69" s="365">
        <f t="shared" si="278"/>
        <v>1.0471720893384266</v>
      </c>
      <c r="BQ69" s="365">
        <f t="shared" si="278"/>
        <v>1.0471720893384266</v>
      </c>
      <c r="BR69" s="365">
        <f t="shared" si="278"/>
        <v>1.0471720893384266</v>
      </c>
      <c r="BS69" s="365">
        <f t="shared" si="278"/>
        <v>1.0471720893384266</v>
      </c>
      <c r="BU69" s="4"/>
      <c r="BV69" s="4"/>
      <c r="BW69" s="4"/>
      <c r="EF69" s="4"/>
      <c r="EK69" s="4"/>
      <c r="FH69" s="4" t="s">
        <v>1455</v>
      </c>
      <c r="FI69" s="4"/>
      <c r="FJ69" s="4"/>
      <c r="FK69" s="4"/>
      <c r="FL69" s="4"/>
      <c r="FM69" s="4"/>
      <c r="FN69" s="4"/>
      <c r="FO69" s="4"/>
      <c r="FP69" s="4"/>
      <c r="FQ69" s="4"/>
      <c r="FR69" s="4"/>
      <c r="FS69" s="4"/>
      <c r="FT69" s="4"/>
      <c r="FU69" s="4"/>
      <c r="FV69" s="4"/>
      <c r="FW69" s="4"/>
      <c r="FX69" s="4"/>
    </row>
    <row r="70" spans="8:180">
      <c r="H70" s="4"/>
      <c r="I70" s="4"/>
      <c r="J70" s="4"/>
      <c r="P70" s="4" t="s">
        <v>773</v>
      </c>
      <c r="Q70" s="4" t="s">
        <v>774</v>
      </c>
      <c r="R70" s="4" t="s">
        <v>775</v>
      </c>
      <c r="AD70" s="58">
        <v>5000000</v>
      </c>
      <c r="AE70" s="58">
        <v>5000000</v>
      </c>
      <c r="AF70" s="234">
        <v>3.3</v>
      </c>
      <c r="AG70" s="234">
        <v>3.63</v>
      </c>
      <c r="AH70" s="361">
        <f t="shared" si="261"/>
        <v>3.4</v>
      </c>
      <c r="AI70" s="361">
        <f t="shared" si="262"/>
        <v>3.413630030959752</v>
      </c>
      <c r="AJ70" s="361">
        <f t="shared" si="263"/>
        <v>3.4241315789473683</v>
      </c>
      <c r="AK70" s="361">
        <f t="shared" si="264"/>
        <v>3.4590000000000001</v>
      </c>
      <c r="AL70" s="361">
        <f t="shared" si="265"/>
        <v>3.4939999999999998</v>
      </c>
      <c r="AM70" s="361">
        <f t="shared" si="266"/>
        <v>3.528</v>
      </c>
      <c r="AN70" s="361">
        <f t="shared" si="267"/>
        <v>3.5649999999999999</v>
      </c>
      <c r="AO70" s="361">
        <f t="shared" si="268"/>
        <v>3.6</v>
      </c>
      <c r="AP70" s="361">
        <f t="shared" si="269"/>
        <v>3.63</v>
      </c>
      <c r="AQ70" s="361">
        <f t="shared" si="270"/>
        <v>3.63</v>
      </c>
      <c r="AR70" s="361">
        <f t="shared" si="271"/>
        <v>3.63</v>
      </c>
      <c r="AS70" s="361">
        <f t="shared" si="272"/>
        <v>3.63</v>
      </c>
      <c r="AT70" s="361">
        <f t="shared" si="273"/>
        <v>3.63</v>
      </c>
      <c r="AU70" s="361">
        <f t="shared" si="274"/>
        <v>3.63</v>
      </c>
      <c r="AV70" s="361">
        <f t="shared" si="275"/>
        <v>3.63</v>
      </c>
      <c r="AX70" s="4"/>
      <c r="AY70" s="58">
        <v>500000</v>
      </c>
      <c r="AZ70" s="58">
        <f>AY70</f>
        <v>500000</v>
      </c>
      <c r="BB70" s="364">
        <f>IFERROR((BB71-BB69)*($AY70-$AY69)/($AY71-$AY69)+BB69,"N/A")</f>
        <v>1.0618055935501034</v>
      </c>
      <c r="BC70" s="364">
        <f t="shared" ref="BC70" si="279">IFERROR((BC71-BC69)*($AY70-$AY69)/($AY71-$AY69)+BC69,"N/A")</f>
        <v>1.048997940787616</v>
      </c>
      <c r="BD70" s="364">
        <f t="shared" si="277"/>
        <v>1.0533639783318238</v>
      </c>
      <c r="BE70" s="364">
        <f t="shared" ref="BE70" si="280">IFERROR((BE71-BE69)*($AY70-$AY69)/($AY71-$AY69)+BE69,"N/A")</f>
        <v>1.0449223631135443</v>
      </c>
      <c r="BF70" s="364">
        <f t="shared" ref="BF70" si="281">IFERROR((BF71-BF69)*($AY70-$AY69)/($AY71-$AY69)+BF69,"N/A")</f>
        <v>1.0415935942809809</v>
      </c>
      <c r="BG70" s="364">
        <f t="shared" ref="BG70" si="282">IFERROR((BG71-BG69)*($AY70-$AY69)/($AY71-$AY69)+BG69,"N/A")</f>
        <v>1.0400873497388905</v>
      </c>
      <c r="BH70" s="364">
        <f t="shared" ref="BH70" si="283">IFERROR((BH71-BH69)*($AY70-$AY69)/($AY71-$AY69)+BH69,"N/A")</f>
        <v>1.0445395647507671</v>
      </c>
      <c r="BI70" s="364">
        <f t="shared" ref="BI70" si="284">IFERROR((BI71-BI69)*($AY70-$AY69)/($AY71-$AY69)+BI69,"N/A")</f>
        <v>1.048997940787616</v>
      </c>
      <c r="BJ70" s="364">
        <f t="shared" ref="BJ70" si="285">IFERROR((BJ71-BJ69)*($AY70-$AY69)/($AY71-$AY69)+BJ69,"N/A")</f>
        <v>1.048997940787616</v>
      </c>
      <c r="BK70" s="364">
        <f t="shared" ref="BK70" si="286">IFERROR((BK71-BK69)*($AY70-$AY69)/($AY71-$AY69)+BK69,"N/A")</f>
        <v>1.048997940787616</v>
      </c>
      <c r="BL70" s="364">
        <f t="shared" ref="BL70" si="287">IFERROR((BL71-BL69)*($AY70-$AY69)/($AY71-$AY69)+BL69,"N/A")</f>
        <v>1.048997940787616</v>
      </c>
      <c r="BM70" s="364">
        <f t="shared" ref="BM70" si="288">IFERROR((BM71-BM69)*($AY70-$AY69)/($AY71-$AY69)+BM69,"N/A")</f>
        <v>1.048997940787616</v>
      </c>
      <c r="BN70" s="364">
        <f t="shared" ref="BN70" si="289">IFERROR((BN71-BN69)*($AY70-$AY69)/($AY71-$AY69)+BN69,"N/A")</f>
        <v>1.048997940787616</v>
      </c>
      <c r="BO70" s="364">
        <f t="shared" ref="BO70" si="290">IFERROR((BO71-BO69)*($AY70-$AY69)/($AY71-$AY69)+BO69,"N/A")</f>
        <v>1.048997940787616</v>
      </c>
      <c r="BP70" s="364">
        <f t="shared" ref="BP70" si="291">IFERROR((BP71-BP69)*($AY70-$AY69)/($AY71-$AY69)+BP69,"N/A")</f>
        <v>1.048997940787616</v>
      </c>
      <c r="BQ70" s="364">
        <f t="shared" ref="BQ70" si="292">IFERROR((BQ71-BQ69)*($AY70-$AY69)/($AY71-$AY69)+BQ69,"N/A")</f>
        <v>1.048997940787616</v>
      </c>
      <c r="BR70" s="364">
        <f t="shared" ref="BR70" si="293">IFERROR((BR71-BR69)*($AY70-$AY69)/($AY71-$AY69)+BR69,"N/A")</f>
        <v>1.048997940787616</v>
      </c>
      <c r="BS70" s="364">
        <f t="shared" ref="BS70" si="294">IFERROR((BS71-BS69)*($AY70-$AY69)/($AY71-$AY69)+BS69,"N/A")</f>
        <v>1.048997940787616</v>
      </c>
      <c r="BU70" s="4"/>
      <c r="BV70" s="4"/>
      <c r="BW70" s="4"/>
      <c r="EK70" s="4"/>
      <c r="FH70" s="141" t="s">
        <v>365</v>
      </c>
      <c r="FI70" s="624" t="s">
        <v>366</v>
      </c>
      <c r="FJ70" s="624"/>
      <c r="FK70" s="624"/>
      <c r="FL70" s="624"/>
      <c r="FM70" s="624"/>
      <c r="FN70" s="624"/>
      <c r="FO70" s="4"/>
      <c r="FP70" s="4"/>
      <c r="FQ70" s="4"/>
      <c r="FR70" s="4"/>
      <c r="FS70" s="4"/>
      <c r="FT70" s="4"/>
      <c r="FU70" s="4"/>
      <c r="FV70" s="4"/>
      <c r="FW70" s="4"/>
      <c r="FX70" s="4"/>
    </row>
    <row r="71" spans="8:180">
      <c r="H71" s="4"/>
      <c r="I71" s="4"/>
      <c r="J71" s="4"/>
      <c r="P71" s="4" t="s">
        <v>776</v>
      </c>
      <c r="Q71" s="4" t="s">
        <v>777</v>
      </c>
      <c r="R71" s="4" t="s">
        <v>778</v>
      </c>
      <c r="AD71" s="58">
        <v>6000000</v>
      </c>
      <c r="AE71" s="58">
        <v>6000000</v>
      </c>
      <c r="AF71" s="234">
        <v>3.81</v>
      </c>
      <c r="AG71" s="234">
        <v>4.1100000000000003</v>
      </c>
      <c r="AH71" s="361">
        <f t="shared" si="261"/>
        <v>3.8887401574803149</v>
      </c>
      <c r="AI71" s="361">
        <f t="shared" si="262"/>
        <v>3.8994724653226398</v>
      </c>
      <c r="AJ71" s="361">
        <f t="shared" si="263"/>
        <v>3.9077414007459597</v>
      </c>
      <c r="AK71" s="361">
        <f t="shared" si="264"/>
        <v>3.9351968503937012</v>
      </c>
      <c r="AL71" s="361">
        <f t="shared" si="265"/>
        <v>3.9627559055118113</v>
      </c>
      <c r="AM71" s="361">
        <f t="shared" si="266"/>
        <v>3.9895275590551185</v>
      </c>
      <c r="AN71" s="361">
        <f t="shared" si="267"/>
        <v>4.0186614173228348</v>
      </c>
      <c r="AO71" s="361">
        <f t="shared" si="268"/>
        <v>4.046220472440945</v>
      </c>
      <c r="AP71" s="361">
        <f t="shared" si="269"/>
        <v>4.0698425196850394</v>
      </c>
      <c r="AQ71" s="361">
        <f t="shared" si="270"/>
        <v>4.1100000000000003</v>
      </c>
      <c r="AR71" s="361">
        <f t="shared" si="271"/>
        <v>4.1100000000000003</v>
      </c>
      <c r="AS71" s="361">
        <f t="shared" si="272"/>
        <v>4.1100000000000003</v>
      </c>
      <c r="AT71" s="361">
        <f t="shared" si="273"/>
        <v>4.1100000000000003</v>
      </c>
      <c r="AU71" s="361">
        <f t="shared" si="274"/>
        <v>4.1100000000000003</v>
      </c>
      <c r="AV71" s="361">
        <f t="shared" si="275"/>
        <v>4.1100000000000003</v>
      </c>
      <c r="AY71" s="58">
        <v>750000</v>
      </c>
      <c r="AZ71" s="58">
        <v>750000</v>
      </c>
      <c r="BB71" s="234">
        <f t="shared" ref="BB71:BC71" si="295">IFERROR(AF62/AF61,"N/A")</f>
        <v>1.0691144708423326</v>
      </c>
      <c r="BC71" s="234">
        <f t="shared" si="295"/>
        <v>1.0508237922368053</v>
      </c>
      <c r="BD71" s="234">
        <f t="shared" si="277"/>
        <v>1.060026827030458</v>
      </c>
      <c r="BE71" s="234">
        <f t="shared" ref="BE71:BS71" si="296">IFERROR(AH62/AH61,"N/A")</f>
        <v>1.0509391832185833</v>
      </c>
      <c r="BF71" s="234">
        <f t="shared" si="296"/>
        <v>1.0487542701587833</v>
      </c>
      <c r="BG71" s="234">
        <f t="shared" si="296"/>
        <v>1.0471125968359489</v>
      </c>
      <c r="BH71" s="234">
        <f t="shared" si="296"/>
        <v>1.0419070401631076</v>
      </c>
      <c r="BI71" s="234">
        <f t="shared" si="296"/>
        <v>1.0508237922368053</v>
      </c>
      <c r="BJ71" s="234">
        <f t="shared" si="296"/>
        <v>1.0508237922368053</v>
      </c>
      <c r="BK71" s="234">
        <f t="shared" si="296"/>
        <v>1.0508237922368053</v>
      </c>
      <c r="BL71" s="234">
        <f t="shared" si="296"/>
        <v>1.0508237922368053</v>
      </c>
      <c r="BM71" s="234">
        <f t="shared" si="296"/>
        <v>1.0508237922368053</v>
      </c>
      <c r="BN71" s="234">
        <f t="shared" si="296"/>
        <v>1.0508237922368053</v>
      </c>
      <c r="BO71" s="234">
        <f t="shared" si="296"/>
        <v>1.0508237922368053</v>
      </c>
      <c r="BP71" s="234">
        <f t="shared" si="296"/>
        <v>1.0508237922368053</v>
      </c>
      <c r="BQ71" s="234">
        <f t="shared" si="296"/>
        <v>1.0508237922368053</v>
      </c>
      <c r="BR71" s="234">
        <f t="shared" si="296"/>
        <v>1.0508237922368053</v>
      </c>
      <c r="BS71" s="234">
        <f t="shared" si="296"/>
        <v>1.0508237922368053</v>
      </c>
      <c r="BU71" s="4"/>
      <c r="BV71" s="4"/>
      <c r="BW71" s="4"/>
      <c r="FH71" s="143" t="s">
        <v>367</v>
      </c>
      <c r="FI71" s="145">
        <v>1</v>
      </c>
      <c r="FJ71" s="146">
        <v>2</v>
      </c>
      <c r="FK71" s="146">
        <v>6</v>
      </c>
      <c r="FL71" s="146">
        <v>11</v>
      </c>
      <c r="FM71" s="146">
        <v>21</v>
      </c>
      <c r="FN71" s="147">
        <v>41</v>
      </c>
      <c r="FO71" s="4"/>
      <c r="FP71" s="4"/>
      <c r="FQ71" s="4"/>
      <c r="FR71" s="4"/>
      <c r="FS71" s="4"/>
      <c r="FT71" s="4"/>
      <c r="FU71" s="4"/>
      <c r="FV71" s="4"/>
      <c r="FW71" s="4"/>
      <c r="FX71" s="4"/>
    </row>
    <row r="72" spans="8:180">
      <c r="P72" s="4" t="s">
        <v>779</v>
      </c>
      <c r="Q72" s="4" t="s">
        <v>780</v>
      </c>
      <c r="R72" s="4" t="s">
        <v>781</v>
      </c>
      <c r="AD72" s="58">
        <v>7000000</v>
      </c>
      <c r="AE72" s="58">
        <v>7000000</v>
      </c>
      <c r="AF72" s="234">
        <v>4.0199999999999996</v>
      </c>
      <c r="AG72" s="234">
        <v>4.26</v>
      </c>
      <c r="AH72" s="361">
        <f t="shared" si="261"/>
        <v>4.0797014925373132</v>
      </c>
      <c r="AI72" s="361">
        <f t="shared" si="262"/>
        <v>4.0878388244535833</v>
      </c>
      <c r="AJ72" s="361">
        <f t="shared" si="263"/>
        <v>4.0941084053417125</v>
      </c>
      <c r="AK72" s="361">
        <f t="shared" si="264"/>
        <v>4.1149253731343283</v>
      </c>
      <c r="AL72" s="361">
        <f t="shared" si="265"/>
        <v>4.1358208955223876</v>
      </c>
      <c r="AM72" s="361">
        <f t="shared" si="266"/>
        <v>4.1561194029850741</v>
      </c>
      <c r="AN72" s="361">
        <f t="shared" si="267"/>
        <v>4.1782089552238801</v>
      </c>
      <c r="AO72" s="361">
        <f t="shared" si="268"/>
        <v>4.1991044776119404</v>
      </c>
      <c r="AP72" s="361">
        <f t="shared" si="269"/>
        <v>4.2170149253731344</v>
      </c>
      <c r="AQ72" s="361">
        <f t="shared" si="270"/>
        <v>4.2474626865671636</v>
      </c>
      <c r="AR72" s="361">
        <f t="shared" si="271"/>
        <v>4.26</v>
      </c>
      <c r="AS72" s="361">
        <f t="shared" si="272"/>
        <v>4.26</v>
      </c>
      <c r="AT72" s="361">
        <f t="shared" si="273"/>
        <v>4.26</v>
      </c>
      <c r="AU72" s="361">
        <f t="shared" si="274"/>
        <v>4.26</v>
      </c>
      <c r="AV72" s="361">
        <f t="shared" si="275"/>
        <v>4.26</v>
      </c>
      <c r="AY72" s="58">
        <v>1000000</v>
      </c>
      <c r="AZ72" s="58">
        <f>AY72</f>
        <v>1000000</v>
      </c>
      <c r="BB72" s="234">
        <f t="shared" ref="BB72:BC72" si="297">IFERROR(AF64/AF63,"N/A")</f>
        <v>1.0824742268041239</v>
      </c>
      <c r="BC72" s="234">
        <f t="shared" si="297"/>
        <v>1.0567685589519651</v>
      </c>
      <c r="BD72" s="234">
        <f t="shared" si="277"/>
        <v>1.0723557257633813</v>
      </c>
      <c r="BE72" s="234">
        <f t="shared" ref="BE72:BS72" si="298">IFERROR(AH64/AH63,"N/A")</f>
        <v>1.062237224722639</v>
      </c>
      <c r="BF72" s="234">
        <f t="shared" si="298"/>
        <v>1.0597425328111414</v>
      </c>
      <c r="BG72" s="234">
        <f t="shared" si="298"/>
        <v>1.0578591146174046</v>
      </c>
      <c r="BH72" s="234">
        <f t="shared" si="298"/>
        <v>1.0518354403171883</v>
      </c>
      <c r="BI72" s="234">
        <f t="shared" si="298"/>
        <v>1.0461218548554791</v>
      </c>
      <c r="BJ72" s="234">
        <f t="shared" si="298"/>
        <v>1.0567685589519651</v>
      </c>
      <c r="BK72" s="234">
        <f t="shared" si="298"/>
        <v>1.0567685589519651</v>
      </c>
      <c r="BL72" s="234">
        <f t="shared" si="298"/>
        <v>1.0567685589519651</v>
      </c>
      <c r="BM72" s="234">
        <f t="shared" si="298"/>
        <v>1.0567685589519651</v>
      </c>
      <c r="BN72" s="234">
        <f t="shared" si="298"/>
        <v>1.0567685589519651</v>
      </c>
      <c r="BO72" s="234">
        <f t="shared" si="298"/>
        <v>1.0567685589519651</v>
      </c>
      <c r="BP72" s="234">
        <f t="shared" si="298"/>
        <v>1.0567685589519651</v>
      </c>
      <c r="BQ72" s="234">
        <f t="shared" si="298"/>
        <v>1.0567685589519651</v>
      </c>
      <c r="BR72" s="234">
        <f t="shared" si="298"/>
        <v>1.0567685589519651</v>
      </c>
      <c r="BS72" s="234">
        <f t="shared" si="298"/>
        <v>1.0567685589519651</v>
      </c>
      <c r="BU72" s="4"/>
      <c r="BV72" s="4"/>
      <c r="BW72" s="4"/>
      <c r="BY72"/>
      <c r="CC72" s="4"/>
      <c r="CH72"/>
      <c r="CT72"/>
      <c r="CU72" s="4"/>
      <c r="CX72"/>
      <c r="DG72" s="4"/>
      <c r="DN72"/>
      <c r="DO72" s="4"/>
      <c r="DR72"/>
      <c r="DS72" s="4"/>
      <c r="EA72"/>
      <c r="EB72" s="4"/>
      <c r="EG72" s="34"/>
      <c r="EH72"/>
      <c r="EJ72" s="4"/>
      <c r="FF72" s="4"/>
      <c r="FH72" s="127">
        <v>0</v>
      </c>
      <c r="FI72" s="128">
        <v>-0.35</v>
      </c>
      <c r="FJ72" s="129">
        <v>-0.5</v>
      </c>
      <c r="FK72" s="129">
        <v>-0.65</v>
      </c>
      <c r="FL72" s="129">
        <v>-0.75</v>
      </c>
      <c r="FM72" s="129">
        <v>-0.85</v>
      </c>
      <c r="FN72" s="130">
        <v>-1.25</v>
      </c>
    </row>
    <row r="73" spans="8:180">
      <c r="P73" s="4" t="s">
        <v>782</v>
      </c>
      <c r="Q73" s="4" t="s">
        <v>783</v>
      </c>
      <c r="R73" s="4" t="s">
        <v>784</v>
      </c>
      <c r="AD73" s="58">
        <v>8000000</v>
      </c>
      <c r="AE73" s="58">
        <v>8000000</v>
      </c>
      <c r="AF73" s="234">
        <v>4.24</v>
      </c>
      <c r="AG73" s="234">
        <v>4.45</v>
      </c>
      <c r="AH73" s="361">
        <f t="shared" si="261"/>
        <v>4.2895283018867927</v>
      </c>
      <c r="AI73" s="361">
        <f t="shared" si="262"/>
        <v>4.2962790247678022</v>
      </c>
      <c r="AJ73" s="361">
        <f t="shared" si="263"/>
        <v>4.3014802631578952</v>
      </c>
      <c r="AK73" s="361">
        <f t="shared" si="264"/>
        <v>4.3187500000000005</v>
      </c>
      <c r="AL73" s="361">
        <f t="shared" si="265"/>
        <v>4.3360849056603774</v>
      </c>
      <c r="AM73" s="361">
        <f t="shared" si="266"/>
        <v>4.3529245283018874</v>
      </c>
      <c r="AN73" s="361">
        <f t="shared" si="267"/>
        <v>4.3712499999999999</v>
      </c>
      <c r="AO73" s="361">
        <f t="shared" si="268"/>
        <v>4.3885849056603776</v>
      </c>
      <c r="AP73" s="361">
        <f t="shared" si="269"/>
        <v>4.4034433962264155</v>
      </c>
      <c r="AQ73" s="361">
        <f t="shared" si="270"/>
        <v>4.4287028301886791</v>
      </c>
      <c r="AR73" s="361">
        <f t="shared" si="271"/>
        <v>4.4391037735849057</v>
      </c>
      <c r="AS73" s="361">
        <f t="shared" si="272"/>
        <v>4.45</v>
      </c>
      <c r="AT73" s="361">
        <f t="shared" si="273"/>
        <v>4.45</v>
      </c>
      <c r="AU73" s="361">
        <f t="shared" si="274"/>
        <v>4.45</v>
      </c>
      <c r="AV73" s="361">
        <f t="shared" si="275"/>
        <v>4.45</v>
      </c>
      <c r="AY73" s="58">
        <v>2000000</v>
      </c>
      <c r="AZ73" s="58">
        <f>AY73</f>
        <v>2000000</v>
      </c>
      <c r="BB73" s="234">
        <f t="shared" ref="BB73:BC73" si="299">IFERROR(AF67/AF65,"N/A")</f>
        <v>1.0745614035087721</v>
      </c>
      <c r="BC73" s="234">
        <f t="shared" si="299"/>
        <v>1.0538461538461539</v>
      </c>
      <c r="BD73" s="234">
        <f t="shared" si="277"/>
        <v>1.0678581835444347</v>
      </c>
      <c r="BE73" s="234">
        <f t="shared" ref="BE73:BJ73" si="300">IFERROR(AH67/AH65,"N/A")</f>
        <v>1.0611549635800974</v>
      </c>
      <c r="BF73" s="234">
        <f t="shared" si="300"/>
        <v>1.0594471212986813</v>
      </c>
      <c r="BG73" s="234">
        <f t="shared" si="300"/>
        <v>1.058149436785309</v>
      </c>
      <c r="BH73" s="234">
        <f t="shared" si="300"/>
        <v>1.05395032697688</v>
      </c>
      <c r="BI73" s="234">
        <f t="shared" si="300"/>
        <v>1.0498973138884369</v>
      </c>
      <c r="BJ73" s="234">
        <f t="shared" si="300"/>
        <v>1.0461067503924646</v>
      </c>
      <c r="BK73" s="234">
        <f>BJ73</f>
        <v>1.0461067503924646</v>
      </c>
      <c r="BL73" s="234">
        <f t="shared" ref="BL73:BS73" si="301">BK73</f>
        <v>1.0461067503924646</v>
      </c>
      <c r="BM73" s="234">
        <f t="shared" si="301"/>
        <v>1.0461067503924646</v>
      </c>
      <c r="BN73" s="234">
        <f t="shared" si="301"/>
        <v>1.0461067503924646</v>
      </c>
      <c r="BO73" s="234">
        <f t="shared" si="301"/>
        <v>1.0461067503924646</v>
      </c>
      <c r="BP73" s="234">
        <f t="shared" si="301"/>
        <v>1.0461067503924646</v>
      </c>
      <c r="BQ73" s="234">
        <f t="shared" si="301"/>
        <v>1.0461067503924646</v>
      </c>
      <c r="BR73" s="234">
        <f t="shared" si="301"/>
        <v>1.0461067503924646</v>
      </c>
      <c r="BS73" s="234">
        <f t="shared" si="301"/>
        <v>1.0461067503924646</v>
      </c>
      <c r="BU73" s="4"/>
      <c r="BV73" s="4"/>
      <c r="BW73" s="4"/>
      <c r="BY73"/>
      <c r="CC73" s="4"/>
      <c r="CH73"/>
      <c r="CT73"/>
      <c r="CU73" s="4"/>
      <c r="CX73"/>
      <c r="DG73" s="4"/>
      <c r="DN73"/>
      <c r="DO73" s="4"/>
      <c r="DR73"/>
      <c r="DS73" s="4"/>
      <c r="EA73"/>
      <c r="EB73" s="4"/>
      <c r="EF73"/>
      <c r="EG73" s="34"/>
      <c r="EH73"/>
      <c r="EJ73" s="4"/>
      <c r="FF73" s="4"/>
      <c r="FH73" s="127">
        <v>1</v>
      </c>
      <c r="FI73" s="131">
        <v>1</v>
      </c>
      <c r="FJ73" s="132">
        <v>0.5</v>
      </c>
      <c r="FK73" s="132">
        <v>0</v>
      </c>
      <c r="FL73" s="132">
        <v>-0.5</v>
      </c>
      <c r="FM73" s="132">
        <v>-0.75</v>
      </c>
      <c r="FN73" s="133">
        <v>-1</v>
      </c>
    </row>
    <row r="74" spans="8:180">
      <c r="P74" s="4" t="s">
        <v>785</v>
      </c>
      <c r="Q74" s="4" t="s">
        <v>786</v>
      </c>
      <c r="R74" s="4" t="s">
        <v>787</v>
      </c>
      <c r="AD74" s="58">
        <v>9000000</v>
      </c>
      <c r="AE74" s="58">
        <v>9000000</v>
      </c>
      <c r="AF74" s="234">
        <v>4.45</v>
      </c>
      <c r="AG74" s="234">
        <v>4.63</v>
      </c>
      <c r="AH74" s="361">
        <f t="shared" si="261"/>
        <v>4.4904494382022477</v>
      </c>
      <c r="AI74" s="361">
        <f t="shared" si="262"/>
        <v>4.4959627091522592</v>
      </c>
      <c r="AJ74" s="361">
        <f t="shared" si="263"/>
        <v>4.5002105263157892</v>
      </c>
      <c r="AK74" s="361">
        <f t="shared" si="264"/>
        <v>4.5143146067415731</v>
      </c>
      <c r="AL74" s="361">
        <f t="shared" si="265"/>
        <v>4.5284719101123594</v>
      </c>
      <c r="AM74" s="361">
        <f t="shared" si="266"/>
        <v>4.5422247191011236</v>
      </c>
      <c r="AN74" s="361">
        <f t="shared" si="267"/>
        <v>4.5571910112359548</v>
      </c>
      <c r="AO74" s="361">
        <f t="shared" si="268"/>
        <v>4.571348314606742</v>
      </c>
      <c r="AP74" s="361">
        <f t="shared" si="269"/>
        <v>4.5834831460674152</v>
      </c>
      <c r="AQ74" s="361">
        <f t="shared" si="270"/>
        <v>4.6041123595505615</v>
      </c>
      <c r="AR74" s="361">
        <f t="shared" si="271"/>
        <v>4.6126067415730336</v>
      </c>
      <c r="AS74" s="361">
        <f t="shared" si="272"/>
        <v>4.6215056179775278</v>
      </c>
      <c r="AT74" s="361">
        <f t="shared" si="273"/>
        <v>4.63</v>
      </c>
      <c r="AU74" s="361">
        <f t="shared" si="274"/>
        <v>4.63</v>
      </c>
      <c r="AV74" s="361">
        <f t="shared" si="275"/>
        <v>4.63</v>
      </c>
      <c r="BY74"/>
      <c r="CC74" s="4"/>
      <c r="CH74"/>
      <c r="CT74"/>
      <c r="CU74" s="4"/>
      <c r="CX74"/>
      <c r="DG74" s="4"/>
      <c r="DN74"/>
      <c r="DO74" s="4"/>
      <c r="DR74"/>
      <c r="DS74" s="4"/>
      <c r="EA74"/>
      <c r="EB74" s="4"/>
      <c r="EF74"/>
      <c r="EG74" s="34"/>
      <c r="EH74"/>
      <c r="EJ74" s="4"/>
      <c r="EN74"/>
      <c r="EO74" s="34"/>
      <c r="EQ74"/>
      <c r="ER74" s="34"/>
      <c r="ET74"/>
      <c r="EU74" s="34"/>
      <c r="EW74"/>
      <c r="EX74" s="34"/>
      <c r="EZ74" s="4"/>
      <c r="FA74" s="34"/>
      <c r="FC74" s="4"/>
      <c r="FD74" s="34"/>
      <c r="FF74" s="4"/>
      <c r="FH74" s="127">
        <v>2</v>
      </c>
      <c r="FI74" s="131">
        <v>2</v>
      </c>
      <c r="FJ74" s="132">
        <v>1</v>
      </c>
      <c r="FK74" s="132">
        <v>0.5</v>
      </c>
      <c r="FL74" s="132">
        <v>0</v>
      </c>
      <c r="FM74" s="132">
        <v>-0.25</v>
      </c>
      <c r="FN74" s="133">
        <v>-0.75</v>
      </c>
    </row>
    <row r="75" spans="8:180">
      <c r="P75" s="4" t="s">
        <v>788</v>
      </c>
      <c r="Q75" s="4" t="s">
        <v>789</v>
      </c>
      <c r="R75" s="4" t="s">
        <v>790</v>
      </c>
      <c r="AD75" s="58">
        <v>10000000</v>
      </c>
      <c r="AE75" s="58">
        <v>10000000</v>
      </c>
      <c r="AF75" s="234">
        <v>4.63</v>
      </c>
      <c r="AG75" s="234">
        <v>4.7699999999999996</v>
      </c>
      <c r="AH75" s="361">
        <f t="shared" si="261"/>
        <v>4.6602375809935204</v>
      </c>
      <c r="AI75" s="361">
        <f t="shared" si="262"/>
        <v>4.6643589726444175</v>
      </c>
      <c r="AJ75" s="361">
        <f t="shared" si="263"/>
        <v>4.6675343867227461</v>
      </c>
      <c r="AK75" s="361">
        <f t="shared" si="264"/>
        <v>4.6780777537796974</v>
      </c>
      <c r="AL75" s="361">
        <f t="shared" si="265"/>
        <v>4.6886609071274297</v>
      </c>
      <c r="AM75" s="361">
        <f t="shared" si="266"/>
        <v>4.6989416846652263</v>
      </c>
      <c r="AN75" s="361">
        <f t="shared" si="267"/>
        <v>4.710129589632829</v>
      </c>
      <c r="AO75" s="361">
        <f t="shared" si="268"/>
        <v>4.7207127429805613</v>
      </c>
      <c r="AP75" s="361">
        <f t="shared" si="269"/>
        <v>4.7297840172786172</v>
      </c>
      <c r="AQ75" s="361">
        <f t="shared" si="270"/>
        <v>4.7452051835853126</v>
      </c>
      <c r="AR75" s="361">
        <f t="shared" si="271"/>
        <v>4.7515550755939522</v>
      </c>
      <c r="AS75" s="361">
        <f t="shared" si="272"/>
        <v>4.7582073434125265</v>
      </c>
      <c r="AT75" s="361">
        <f t="shared" si="273"/>
        <v>4.764557235421166</v>
      </c>
      <c r="AU75" s="361">
        <f t="shared" si="274"/>
        <v>4.7699999999999996</v>
      </c>
      <c r="AV75" s="361">
        <f t="shared" si="275"/>
        <v>4.7699999999999996</v>
      </c>
      <c r="AY75" s="4"/>
      <c r="BX75" s="377"/>
      <c r="BY75" s="377"/>
      <c r="CC75" s="4"/>
      <c r="CH75"/>
      <c r="CL75" s="4"/>
      <c r="CT75"/>
      <c r="CU75" s="4"/>
      <c r="CX75"/>
      <c r="DG75" s="4"/>
      <c r="DN75"/>
      <c r="DO75" s="4"/>
      <c r="DR75"/>
      <c r="DS75" s="4"/>
      <c r="EA75"/>
      <c r="EB75" s="4"/>
      <c r="EF75"/>
      <c r="EG75" s="34"/>
      <c r="EH75"/>
      <c r="EJ75" s="4"/>
      <c r="EN75"/>
      <c r="EO75" s="34"/>
      <c r="EQ75"/>
      <c r="ER75" s="34"/>
      <c r="ET75"/>
      <c r="EU75" s="34"/>
      <c r="EW75"/>
      <c r="EX75" s="34"/>
      <c r="EZ75" s="4"/>
      <c r="FA75" s="34"/>
      <c r="FC75" s="4"/>
      <c r="FD75" s="34"/>
      <c r="FF75" s="4"/>
      <c r="FH75" s="127">
        <v>3</v>
      </c>
      <c r="FI75" s="372" t="str">
        <f>$FI$13</f>
        <v>Refer to Co.</v>
      </c>
      <c r="FJ75" s="132">
        <v>2</v>
      </c>
      <c r="FK75" s="132">
        <v>1.05</v>
      </c>
      <c r="FL75" s="132">
        <v>0.5</v>
      </c>
      <c r="FM75" s="132">
        <v>0</v>
      </c>
      <c r="FN75" s="133">
        <v>-0.25</v>
      </c>
    </row>
    <row r="76" spans="8:180">
      <c r="P76" s="4" t="s">
        <v>791</v>
      </c>
      <c r="Q76" s="4" t="s">
        <v>792</v>
      </c>
      <c r="R76" s="4" t="s">
        <v>793</v>
      </c>
      <c r="AD76" s="58">
        <v>15000000</v>
      </c>
      <c r="AE76" s="58">
        <v>15000000</v>
      </c>
      <c r="AF76" s="234">
        <v>5.22</v>
      </c>
      <c r="AG76" s="234">
        <v>5.28</v>
      </c>
      <c r="AH76" s="361">
        <f t="shared" si="261"/>
        <v>5.2314942528735635</v>
      </c>
      <c r="AI76" s="361">
        <f t="shared" si="262"/>
        <v>5.2330609230988223</v>
      </c>
      <c r="AJ76" s="361">
        <f t="shared" si="263"/>
        <v>5.2342679975801572</v>
      </c>
      <c r="AK76" s="361">
        <f t="shared" si="264"/>
        <v>5.2382758620689653</v>
      </c>
      <c r="AL76" s="361">
        <f t="shared" si="265"/>
        <v>5.2422988505747128</v>
      </c>
      <c r="AM76" s="361">
        <f t="shared" si="266"/>
        <v>5.2462068965517243</v>
      </c>
      <c r="AN76" s="361">
        <f t="shared" si="267"/>
        <v>5.2504597701149427</v>
      </c>
      <c r="AO76" s="361">
        <f t="shared" si="268"/>
        <v>5.2544827586206893</v>
      </c>
      <c r="AP76" s="361">
        <f t="shared" si="269"/>
        <v>5.257931034482759</v>
      </c>
      <c r="AQ76" s="361">
        <f t="shared" si="270"/>
        <v>5.2637931034482763</v>
      </c>
      <c r="AR76" s="361">
        <f t="shared" si="271"/>
        <v>5.2662068965517239</v>
      </c>
      <c r="AS76" s="361">
        <f t="shared" si="272"/>
        <v>5.2687356321839083</v>
      </c>
      <c r="AT76" s="361">
        <f t="shared" si="273"/>
        <v>5.2711494252873567</v>
      </c>
      <c r="AU76" s="361">
        <f t="shared" si="274"/>
        <v>5.2732183908045975</v>
      </c>
      <c r="AV76" s="361">
        <f t="shared" si="275"/>
        <v>5.28</v>
      </c>
      <c r="AY76" s="4"/>
      <c r="BX76" s="377"/>
      <c r="BY76" s="377"/>
      <c r="CC76" s="4"/>
      <c r="CH76"/>
      <c r="CL76" s="4"/>
      <c r="CT76"/>
      <c r="CU76" s="4"/>
      <c r="CX76"/>
      <c r="DG76" s="4"/>
      <c r="DN76"/>
      <c r="DO76" s="4"/>
      <c r="DR76"/>
      <c r="DS76" s="4"/>
      <c r="EA76"/>
      <c r="EB76" s="4"/>
      <c r="EF76"/>
      <c r="EG76" s="34"/>
      <c r="EH76"/>
      <c r="EJ76" s="4"/>
      <c r="EN76"/>
      <c r="EO76" s="34"/>
      <c r="EQ76"/>
      <c r="ER76" s="34"/>
      <c r="ET76"/>
      <c r="EU76" s="34"/>
      <c r="EW76"/>
      <c r="EX76" s="34"/>
      <c r="EZ76" s="4"/>
      <c r="FA76" s="34"/>
      <c r="FC76" s="4"/>
      <c r="FD76" s="34"/>
      <c r="FF76" s="4"/>
      <c r="FH76" s="127">
        <v>4</v>
      </c>
      <c r="FI76" s="372" t="str">
        <f t="shared" ref="FI76:FK77" si="302">$FI$13</f>
        <v>Refer to Co.</v>
      </c>
      <c r="FJ76" s="372" t="str">
        <f t="shared" si="302"/>
        <v>Refer to Co.</v>
      </c>
      <c r="FK76" s="132">
        <v>1.5</v>
      </c>
      <c r="FL76" s="132">
        <v>1</v>
      </c>
      <c r="FM76" s="132">
        <v>0.5</v>
      </c>
      <c r="FN76" s="133">
        <v>0</v>
      </c>
    </row>
    <row r="77" spans="8:180">
      <c r="P77" s="4" t="s">
        <v>794</v>
      </c>
      <c r="Q77" s="4" t="s">
        <v>795</v>
      </c>
      <c r="R77" s="4" t="s">
        <v>796</v>
      </c>
      <c r="AY77" s="4"/>
      <c r="BX77" s="377"/>
      <c r="BY77" s="377"/>
      <c r="CC77" s="4"/>
      <c r="CH77"/>
      <c r="CL77" s="4"/>
      <c r="CT77"/>
      <c r="CU77" s="4"/>
      <c r="CX77"/>
      <c r="DG77" s="4"/>
      <c r="DN77"/>
      <c r="DO77" s="4"/>
      <c r="DR77"/>
      <c r="DS77" s="4"/>
      <c r="EA77"/>
      <c r="EB77" s="4"/>
      <c r="EF77"/>
      <c r="EG77" s="34"/>
      <c r="EH77"/>
      <c r="EJ77" s="4"/>
      <c r="EN77"/>
      <c r="EO77" s="34"/>
      <c r="EQ77"/>
      <c r="ER77" s="34"/>
      <c r="ET77"/>
      <c r="EU77" s="34"/>
      <c r="EW77"/>
      <c r="EX77" s="34"/>
      <c r="EZ77" s="4"/>
      <c r="FA77" s="34"/>
      <c r="FC77" s="4"/>
      <c r="FD77" s="34"/>
      <c r="FF77" s="4"/>
      <c r="FH77" s="127">
        <v>5</v>
      </c>
      <c r="FI77" s="370" t="str">
        <f t="shared" si="302"/>
        <v>Refer to Co.</v>
      </c>
      <c r="FJ77" s="371" t="str">
        <f t="shared" si="302"/>
        <v>Refer to Co.</v>
      </c>
      <c r="FK77" s="371" t="str">
        <f t="shared" si="302"/>
        <v>Refer to Co.</v>
      </c>
      <c r="FL77" s="137">
        <v>1.5</v>
      </c>
      <c r="FM77" s="137">
        <v>0.75</v>
      </c>
      <c r="FN77" s="138">
        <v>0.5</v>
      </c>
    </row>
    <row r="78" spans="8:180">
      <c r="P78" s="4" t="s">
        <v>797</v>
      </c>
      <c r="Q78" s="4" t="s">
        <v>798</v>
      </c>
      <c r="R78" s="4" t="s">
        <v>799</v>
      </c>
      <c r="AY78" s="4" t="s">
        <v>394</v>
      </c>
      <c r="BX78" s="377"/>
      <c r="BY78" s="377"/>
      <c r="CC78" s="4"/>
      <c r="CH78"/>
      <c r="CL78" s="4"/>
      <c r="CT78"/>
      <c r="CU78" s="4"/>
      <c r="CX78"/>
      <c r="DG78" s="4"/>
      <c r="DN78"/>
      <c r="DO78" s="4"/>
      <c r="DR78"/>
      <c r="DS78" s="4"/>
      <c r="EA78"/>
      <c r="EB78" s="4"/>
      <c r="EF78"/>
      <c r="EG78" s="34"/>
      <c r="EH78"/>
      <c r="EJ78" s="4"/>
      <c r="EN78"/>
      <c r="EO78" s="34"/>
      <c r="EQ78"/>
      <c r="ER78" s="34"/>
      <c r="ET78"/>
      <c r="EU78" s="34"/>
      <c r="EW78"/>
      <c r="EX78" s="34"/>
      <c r="EZ78" s="4"/>
      <c r="FA78" s="34"/>
      <c r="FC78" s="4"/>
      <c r="FD78" s="34"/>
      <c r="FF78" s="4"/>
      <c r="FH78" t="s">
        <v>1459</v>
      </c>
    </row>
    <row r="79" spans="8:180">
      <c r="P79" s="4" t="s">
        <v>800</v>
      </c>
      <c r="Q79" s="4" t="s">
        <v>801</v>
      </c>
      <c r="R79" s="4" t="s">
        <v>802</v>
      </c>
      <c r="AY79" s="58">
        <v>100000</v>
      </c>
      <c r="AZ79" s="58">
        <v>0</v>
      </c>
      <c r="BB79" s="365">
        <f t="shared" ref="BB79:BS79" si="303">BB36</f>
        <v>1.0009216200995565</v>
      </c>
      <c r="BC79" s="365">
        <f t="shared" si="303"/>
        <v>1.0827276136407775</v>
      </c>
      <c r="BD79" s="365">
        <f t="shared" ref="BD79:BD82" si="304">AVERAGE(BB79,BE79)</f>
        <v>1.0416639778736401</v>
      </c>
      <c r="BE79" s="365">
        <f t="shared" si="303"/>
        <v>1.0824063356477234</v>
      </c>
      <c r="BF79" s="365">
        <f t="shared" si="303"/>
        <v>1.0827276136407775</v>
      </c>
      <c r="BG79" s="365">
        <f t="shared" si="303"/>
        <v>1.0827276136407775</v>
      </c>
      <c r="BH79" s="365">
        <f t="shared" si="303"/>
        <v>1.0827276136407775</v>
      </c>
      <c r="BI79" s="365">
        <f t="shared" si="303"/>
        <v>1.0827276136407775</v>
      </c>
      <c r="BJ79" s="365">
        <f t="shared" si="303"/>
        <v>1.0827276136407775</v>
      </c>
      <c r="BK79" s="365">
        <f t="shared" si="303"/>
        <v>1.0827276136407775</v>
      </c>
      <c r="BL79" s="365">
        <f t="shared" si="303"/>
        <v>1.0827276136407775</v>
      </c>
      <c r="BM79" s="365">
        <f t="shared" si="303"/>
        <v>1.0827276136407775</v>
      </c>
      <c r="BN79" s="365">
        <f t="shared" si="303"/>
        <v>1.0827276136407775</v>
      </c>
      <c r="BO79" s="365">
        <f t="shared" si="303"/>
        <v>1.0827276136407775</v>
      </c>
      <c r="BP79" s="365">
        <f t="shared" si="303"/>
        <v>1.0827276136407775</v>
      </c>
      <c r="BQ79" s="365">
        <f t="shared" si="303"/>
        <v>1.0827276136407775</v>
      </c>
      <c r="BR79" s="365">
        <f t="shared" si="303"/>
        <v>1.0827276136407775</v>
      </c>
      <c r="BS79" s="365">
        <f t="shared" si="303"/>
        <v>1.0827276136407775</v>
      </c>
      <c r="BU79" s="4"/>
      <c r="BV79" s="4"/>
      <c r="BW79" s="4"/>
      <c r="BY79"/>
      <c r="CC79" s="4"/>
      <c r="CH79"/>
      <c r="CL79" s="4"/>
      <c r="CT79"/>
      <c r="CU79" s="4"/>
      <c r="CX79"/>
      <c r="DG79" s="4"/>
      <c r="DN79"/>
      <c r="DO79" s="4"/>
      <c r="DR79"/>
      <c r="DS79" s="4"/>
      <c r="EA79"/>
      <c r="EB79" s="4"/>
      <c r="EF79"/>
      <c r="EG79" s="34"/>
      <c r="EH79"/>
      <c r="EJ79" s="4"/>
      <c r="EN79"/>
      <c r="EO79" s="34"/>
      <c r="EQ79"/>
      <c r="ER79" s="34"/>
      <c r="ET79"/>
      <c r="EU79" s="34"/>
      <c r="EW79"/>
      <c r="EX79" s="34"/>
      <c r="EZ79" s="4"/>
      <c r="FA79" s="34"/>
      <c r="FC79" s="4"/>
      <c r="FD79" s="34"/>
      <c r="FF79" s="4"/>
      <c r="FH79" t="s">
        <v>70</v>
      </c>
    </row>
    <row r="80" spans="8:180">
      <c r="P80" s="4" t="s">
        <v>803</v>
      </c>
      <c r="Q80" s="4" t="s">
        <v>804</v>
      </c>
      <c r="R80" s="4" t="s">
        <v>805</v>
      </c>
      <c r="AY80" s="58">
        <v>200000</v>
      </c>
      <c r="AZ80" s="58">
        <f t="shared" ref="AZ80:AZ82" si="305">AY80</f>
        <v>200000</v>
      </c>
      <c r="BB80" s="365">
        <f t="shared" ref="BB80:BS80" si="306">BB37</f>
        <v>1.068655320248568</v>
      </c>
      <c r="BC80" s="365">
        <f t="shared" si="306"/>
        <v>1.1058852785817772</v>
      </c>
      <c r="BD80" s="365">
        <f t="shared" si="304"/>
        <v>1.0761299028748228</v>
      </c>
      <c r="BE80" s="365">
        <f t="shared" si="306"/>
        <v>1.0836044855010774</v>
      </c>
      <c r="BF80" s="365">
        <f t="shared" si="306"/>
        <v>1.0878362554630996</v>
      </c>
      <c r="BG80" s="365">
        <f t="shared" si="306"/>
        <v>1.1058852785817772</v>
      </c>
      <c r="BH80" s="365">
        <f t="shared" si="306"/>
        <v>1.1058852785817772</v>
      </c>
      <c r="BI80" s="365">
        <f t="shared" si="306"/>
        <v>1.1058852785817772</v>
      </c>
      <c r="BJ80" s="365">
        <f t="shared" si="306"/>
        <v>1.1058852785817772</v>
      </c>
      <c r="BK80" s="365">
        <f t="shared" si="306"/>
        <v>1.1058852785817772</v>
      </c>
      <c r="BL80" s="365">
        <f t="shared" si="306"/>
        <v>1.1058852785817772</v>
      </c>
      <c r="BM80" s="365">
        <f t="shared" si="306"/>
        <v>1.1058852785817772</v>
      </c>
      <c r="BN80" s="365">
        <f t="shared" si="306"/>
        <v>1.1058852785817772</v>
      </c>
      <c r="BO80" s="365">
        <f t="shared" si="306"/>
        <v>1.1058852785817772</v>
      </c>
      <c r="BP80" s="365">
        <f t="shared" si="306"/>
        <v>1.1058852785817772</v>
      </c>
      <c r="BQ80" s="365">
        <f t="shared" si="306"/>
        <v>1.1058852785817772</v>
      </c>
      <c r="BR80" s="365">
        <f t="shared" si="306"/>
        <v>1.1058852785817772</v>
      </c>
      <c r="BS80" s="365">
        <f t="shared" si="306"/>
        <v>1.1058852785817772</v>
      </c>
      <c r="BU80" s="4"/>
      <c r="BV80" s="4"/>
      <c r="BW80" s="4"/>
      <c r="BY80"/>
      <c r="CC80" s="4"/>
      <c r="CH80"/>
      <c r="CL80" s="4"/>
      <c r="CT80"/>
      <c r="CU80" s="4"/>
      <c r="CX80"/>
      <c r="DG80" s="4"/>
      <c r="DN80"/>
      <c r="DO80" s="4"/>
      <c r="DR80"/>
      <c r="DS80" s="4"/>
      <c r="EA80"/>
      <c r="EB80" s="4"/>
      <c r="EF80"/>
      <c r="EG80" s="34"/>
      <c r="EH80"/>
      <c r="EJ80" s="4"/>
      <c r="EN80"/>
      <c r="EO80" s="34"/>
      <c r="EQ80"/>
      <c r="ER80" s="34"/>
      <c r="ET80"/>
      <c r="EU80" s="34"/>
      <c r="EW80"/>
      <c r="EX80" s="34"/>
      <c r="EZ80" s="4"/>
      <c r="FA80" s="34"/>
      <c r="FC80" s="4"/>
      <c r="FD80" s="34"/>
      <c r="FF80" s="4"/>
      <c r="FH80" t="s">
        <v>133</v>
      </c>
    </row>
    <row r="81" spans="16:164">
      <c r="P81" s="4" t="s">
        <v>806</v>
      </c>
      <c r="Q81" s="4" t="s">
        <v>807</v>
      </c>
      <c r="R81" s="4" t="s">
        <v>808</v>
      </c>
      <c r="AY81" s="58">
        <v>250000</v>
      </c>
      <c r="AZ81" s="58">
        <v>250000</v>
      </c>
      <c r="BB81" s="364">
        <f>IFERROR((BB82-BB80)*($AY81-$AY80)/($AY82-$AY80)+BB80,"N/A")</f>
        <v>1.0794010414424289</v>
      </c>
      <c r="BC81" s="364">
        <f t="shared" ref="BC81:BS81" si="307">IFERROR((BC82-BC80)*($AY81-$AY80)/($AY82-$AY80)+BC80,"N/A")</f>
        <v>1.1112254530614591</v>
      </c>
      <c r="BD81" s="364">
        <f t="shared" si="304"/>
        <v>1.0846667420213407</v>
      </c>
      <c r="BE81" s="364">
        <f t="shared" si="307"/>
        <v>1.0899324426002523</v>
      </c>
      <c r="BF81" s="364">
        <f t="shared" si="307"/>
        <v>1.0928307773271027</v>
      </c>
      <c r="BG81" s="364">
        <f t="shared" si="307"/>
        <v>1.1076713714633608</v>
      </c>
      <c r="BH81" s="364">
        <f t="shared" si="307"/>
        <v>1.107041812951244</v>
      </c>
      <c r="BI81" s="364">
        <f t="shared" si="307"/>
        <v>1.1112254530614591</v>
      </c>
      <c r="BJ81" s="364">
        <f t="shared" si="307"/>
        <v>1.1112254530614591</v>
      </c>
      <c r="BK81" s="364">
        <f t="shared" si="307"/>
        <v>1.1112254530614591</v>
      </c>
      <c r="BL81" s="364">
        <f t="shared" si="307"/>
        <v>1.1112254530614591</v>
      </c>
      <c r="BM81" s="364">
        <f t="shared" si="307"/>
        <v>1.1112254530614591</v>
      </c>
      <c r="BN81" s="364">
        <f t="shared" si="307"/>
        <v>1.1112254530614591</v>
      </c>
      <c r="BO81" s="364">
        <f t="shared" si="307"/>
        <v>1.1112254530614591</v>
      </c>
      <c r="BP81" s="364">
        <f t="shared" si="307"/>
        <v>1.1112254530614591</v>
      </c>
      <c r="BQ81" s="364">
        <f t="shared" si="307"/>
        <v>1.1112254530614591</v>
      </c>
      <c r="BR81" s="364">
        <f t="shared" si="307"/>
        <v>1.1112254530614591</v>
      </c>
      <c r="BS81" s="364">
        <f t="shared" si="307"/>
        <v>1.1112254530614591</v>
      </c>
      <c r="BU81" s="4"/>
      <c r="BV81" s="4"/>
      <c r="BW81" s="4"/>
      <c r="BY81"/>
      <c r="CC81" s="4"/>
      <c r="CH81"/>
      <c r="CL81" s="4"/>
      <c r="CT81"/>
      <c r="CU81" s="4"/>
      <c r="CX81"/>
      <c r="DG81" s="4"/>
      <c r="DN81"/>
      <c r="DO81" s="4"/>
      <c r="DR81"/>
      <c r="DS81" s="4"/>
      <c r="EA81"/>
      <c r="EB81" s="4"/>
      <c r="EF81"/>
      <c r="EG81" s="34"/>
      <c r="EH81"/>
      <c r="EJ81" s="4"/>
      <c r="EN81"/>
      <c r="EO81" s="34"/>
      <c r="EQ81"/>
      <c r="ER81" s="34"/>
      <c r="ET81"/>
      <c r="EU81" s="34"/>
      <c r="EW81"/>
      <c r="EX81" s="34"/>
      <c r="EZ81" s="4"/>
      <c r="FA81" s="34"/>
      <c r="FC81" s="4"/>
      <c r="FD81" s="34"/>
      <c r="FF81" s="4"/>
      <c r="FH81" t="s">
        <v>47</v>
      </c>
    </row>
    <row r="82" spans="16:164">
      <c r="P82" s="4" t="s">
        <v>809</v>
      </c>
      <c r="Q82" s="4" t="s">
        <v>810</v>
      </c>
      <c r="R82" s="4" t="s">
        <v>811</v>
      </c>
      <c r="AY82" s="58">
        <v>500000</v>
      </c>
      <c r="AZ82" s="58">
        <f t="shared" si="305"/>
        <v>500000</v>
      </c>
      <c r="BB82" s="365">
        <f t="shared" ref="BB82:BS82" si="308">BB39</f>
        <v>1.1331296474117338</v>
      </c>
      <c r="BC82" s="365">
        <f t="shared" si="308"/>
        <v>1.137926325459869</v>
      </c>
      <c r="BD82" s="365">
        <f t="shared" si="304"/>
        <v>1.1273509377539304</v>
      </c>
      <c r="BE82" s="365">
        <f t="shared" si="308"/>
        <v>1.1215722280961269</v>
      </c>
      <c r="BF82" s="365">
        <f t="shared" si="308"/>
        <v>1.1178033866471184</v>
      </c>
      <c r="BG82" s="365">
        <f t="shared" si="308"/>
        <v>1.1166018358712786</v>
      </c>
      <c r="BH82" s="365">
        <f t="shared" si="308"/>
        <v>1.1128244847985782</v>
      </c>
      <c r="BI82" s="365">
        <f t="shared" si="308"/>
        <v>1.137926325459869</v>
      </c>
      <c r="BJ82" s="365">
        <f t="shared" si="308"/>
        <v>1.137926325459869</v>
      </c>
      <c r="BK82" s="365">
        <f t="shared" si="308"/>
        <v>1.137926325459869</v>
      </c>
      <c r="BL82" s="365">
        <f t="shared" si="308"/>
        <v>1.137926325459869</v>
      </c>
      <c r="BM82" s="365">
        <f t="shared" si="308"/>
        <v>1.137926325459869</v>
      </c>
      <c r="BN82" s="365">
        <f t="shared" si="308"/>
        <v>1.137926325459869</v>
      </c>
      <c r="BO82" s="365">
        <f t="shared" si="308"/>
        <v>1.137926325459869</v>
      </c>
      <c r="BP82" s="365">
        <f t="shared" si="308"/>
        <v>1.137926325459869</v>
      </c>
      <c r="BQ82" s="365">
        <f t="shared" si="308"/>
        <v>1.137926325459869</v>
      </c>
      <c r="BR82" s="365">
        <f t="shared" si="308"/>
        <v>1.137926325459869</v>
      </c>
      <c r="BS82" s="365">
        <f t="shared" si="308"/>
        <v>1.137926325459869</v>
      </c>
      <c r="BU82" s="4"/>
      <c r="BV82" s="4"/>
      <c r="BW82" s="4"/>
      <c r="BY82"/>
      <c r="CC82" s="4"/>
      <c r="CH82"/>
      <c r="CL82" s="4"/>
      <c r="CT82"/>
      <c r="CU82" s="4"/>
      <c r="CX82"/>
      <c r="DG82" s="4"/>
      <c r="DN82"/>
      <c r="DO82" s="4"/>
      <c r="DR82"/>
      <c r="DS82" s="4"/>
      <c r="EA82"/>
      <c r="EB82" s="4"/>
      <c r="EF82"/>
      <c r="EG82" s="34"/>
      <c r="EH82"/>
      <c r="EJ82" s="4"/>
      <c r="EN82"/>
      <c r="EO82" s="34"/>
      <c r="EQ82"/>
      <c r="ER82" s="34"/>
      <c r="ET82"/>
      <c r="EU82" s="34"/>
      <c r="EW82"/>
      <c r="EX82" s="34"/>
      <c r="EZ82" s="4"/>
      <c r="FA82" s="34"/>
      <c r="FC82" s="4"/>
      <c r="FD82" s="34"/>
      <c r="FF82" s="4"/>
      <c r="FH82" t="s">
        <v>74</v>
      </c>
    </row>
    <row r="83" spans="16:164">
      <c r="P83" s="4" t="s">
        <v>812</v>
      </c>
      <c r="Q83" s="4" t="s">
        <v>813</v>
      </c>
      <c r="R83" s="4" t="s">
        <v>814</v>
      </c>
      <c r="BU83" s="4"/>
      <c r="BV83" s="4"/>
      <c r="BW83" s="4"/>
      <c r="BY83"/>
      <c r="CC83" s="4"/>
      <c r="CH83"/>
      <c r="CL83" s="4"/>
      <c r="CT83"/>
      <c r="CU83" s="4"/>
      <c r="CX83"/>
      <c r="DG83" s="4"/>
      <c r="DN83"/>
      <c r="DO83" s="4"/>
      <c r="DR83"/>
      <c r="DS83" s="4"/>
      <c r="EA83"/>
      <c r="EB83" s="4"/>
      <c r="EF83"/>
      <c r="EG83" s="34"/>
      <c r="EH83"/>
      <c r="EJ83" s="4"/>
      <c r="EN83"/>
      <c r="EO83" s="34"/>
      <c r="EQ83"/>
      <c r="ER83" s="34"/>
      <c r="ET83"/>
      <c r="EU83" s="34"/>
      <c r="EW83"/>
      <c r="EX83" s="34"/>
      <c r="EZ83" s="4"/>
      <c r="FA83" s="34"/>
      <c r="FC83" s="4"/>
      <c r="FD83" s="34"/>
      <c r="FF83" s="4"/>
      <c r="FH83" t="s">
        <v>138</v>
      </c>
    </row>
    <row r="84" spans="16:164">
      <c r="P84" s="4" t="s">
        <v>815</v>
      </c>
      <c r="Q84" s="4" t="s">
        <v>816</v>
      </c>
      <c r="R84" s="4" t="s">
        <v>817</v>
      </c>
      <c r="AD84" s="42" t="s">
        <v>467</v>
      </c>
      <c r="AE84" s="10"/>
      <c r="AY84" s="42" t="s">
        <v>467</v>
      </c>
      <c r="BU84" s="4"/>
      <c r="BV84" s="4"/>
      <c r="BW84" s="4"/>
      <c r="BY84"/>
      <c r="CC84" s="4"/>
      <c r="CH84"/>
      <c r="CL84" s="4"/>
      <c r="CT84"/>
      <c r="CU84" s="4"/>
      <c r="CX84"/>
      <c r="DG84" s="4"/>
      <c r="DN84"/>
      <c r="DO84" s="4"/>
      <c r="DR84"/>
      <c r="DS84" s="4"/>
      <c r="EA84"/>
      <c r="EB84" s="4"/>
      <c r="EF84"/>
      <c r="EG84" s="34"/>
      <c r="EH84"/>
      <c r="EJ84" s="4"/>
      <c r="EN84"/>
      <c r="EO84" s="34"/>
      <c r="EQ84"/>
      <c r="ER84" s="34"/>
      <c r="ET84"/>
      <c r="EU84" s="34"/>
      <c r="EW84"/>
      <c r="EX84" s="34"/>
      <c r="EZ84" s="4"/>
      <c r="FA84" s="34"/>
      <c r="FC84" s="4"/>
      <c r="FD84" s="34"/>
      <c r="FF84" s="4"/>
      <c r="FH84" t="s">
        <v>125</v>
      </c>
    </row>
    <row r="85" spans="16:164">
      <c r="P85" s="4" t="s">
        <v>818</v>
      </c>
      <c r="Q85" s="4" t="s">
        <v>819</v>
      </c>
      <c r="R85" s="4" t="s">
        <v>820</v>
      </c>
      <c r="AD85" s="4"/>
      <c r="AE85" s="4"/>
      <c r="CL85" s="4"/>
      <c r="EF85"/>
      <c r="EN85"/>
      <c r="EO85" s="34"/>
      <c r="EQ85"/>
      <c r="ER85" s="34"/>
      <c r="ET85"/>
      <c r="EU85" s="34"/>
      <c r="EW85"/>
      <c r="EX85" s="34"/>
      <c r="EZ85" s="4"/>
      <c r="FA85" s="34"/>
      <c r="FC85" s="4"/>
      <c r="FD85" s="34"/>
      <c r="FH85" t="s">
        <v>143</v>
      </c>
    </row>
    <row r="86" spans="16:164">
      <c r="P86" s="4" t="s">
        <v>821</v>
      </c>
      <c r="Q86" s="4" t="s">
        <v>822</v>
      </c>
      <c r="R86" s="4" t="s">
        <v>823</v>
      </c>
      <c r="AC86" s="33" t="s">
        <v>1390</v>
      </c>
      <c r="AD86" s="10"/>
      <c r="AE86" s="10"/>
      <c r="AF86" s="358" t="s">
        <v>464</v>
      </c>
      <c r="AG86" s="358" t="s">
        <v>185</v>
      </c>
      <c r="AH86" s="358" t="s">
        <v>188</v>
      </c>
      <c r="AI86" s="358"/>
      <c r="AJ86" s="358"/>
      <c r="AK86" s="358"/>
      <c r="AL86" s="358"/>
      <c r="AM86" s="358"/>
      <c r="AN86" s="358"/>
      <c r="AO86" s="358"/>
      <c r="AP86" s="358"/>
      <c r="AQ86" s="358"/>
      <c r="AR86" s="358"/>
      <c r="AS86" s="358"/>
      <c r="AT86" s="358"/>
      <c r="AU86" s="358"/>
      <c r="AV86" s="358"/>
      <c r="AX86" s="4"/>
      <c r="CL86" s="4"/>
      <c r="EN86"/>
      <c r="EO86" s="34"/>
      <c r="EQ86"/>
      <c r="ER86" s="34"/>
      <c r="ET86"/>
      <c r="EU86" s="34"/>
      <c r="EW86"/>
      <c r="EX86" s="34"/>
      <c r="EZ86" s="4"/>
      <c r="FA86" s="34"/>
      <c r="FC86" s="4"/>
      <c r="FD86" s="34"/>
      <c r="FH86" t="s">
        <v>121</v>
      </c>
    </row>
    <row r="87" spans="16:164">
      <c r="P87" s="4" t="s">
        <v>94</v>
      </c>
      <c r="Q87" s="4" t="s">
        <v>824</v>
      </c>
      <c r="R87" s="4" t="s">
        <v>825</v>
      </c>
      <c r="AD87" s="8" t="s">
        <v>182</v>
      </c>
      <c r="AE87" s="8" t="s">
        <v>183</v>
      </c>
      <c r="AF87" s="359"/>
      <c r="AG87" s="359"/>
      <c r="AH87" s="366">
        <v>100000</v>
      </c>
      <c r="AI87" s="366">
        <v>200000</v>
      </c>
      <c r="AJ87" s="366">
        <v>250000</v>
      </c>
      <c r="AK87" s="366">
        <v>500000</v>
      </c>
      <c r="AL87" s="366">
        <v>1000000</v>
      </c>
      <c r="AM87" s="366">
        <v>2000000</v>
      </c>
      <c r="AN87" s="366">
        <v>3000000</v>
      </c>
      <c r="AO87" s="366">
        <v>4000000</v>
      </c>
      <c r="AP87" s="366">
        <v>5000000</v>
      </c>
      <c r="AQ87" s="366">
        <v>6000000</v>
      </c>
      <c r="AR87" s="366">
        <v>7000000</v>
      </c>
      <c r="AS87" s="366">
        <v>8000000</v>
      </c>
      <c r="AT87" s="366">
        <v>9000000</v>
      </c>
      <c r="AU87" s="366">
        <v>10000000</v>
      </c>
      <c r="AV87" s="366">
        <v>15000000</v>
      </c>
      <c r="AX87" s="4"/>
      <c r="AY87" s="8" t="s">
        <v>392</v>
      </c>
      <c r="AZ87" s="8" t="s">
        <v>395</v>
      </c>
      <c r="CL87" s="4"/>
      <c r="FH87" t="s">
        <v>150</v>
      </c>
    </row>
    <row r="88" spans="16:164">
      <c r="P88" s="4" t="s">
        <v>826</v>
      </c>
      <c r="Q88" s="4" t="s">
        <v>827</v>
      </c>
      <c r="R88" s="4" t="s">
        <v>828</v>
      </c>
      <c r="AC88" s="355">
        <f>AF$97*(AF6/AF$20)</f>
        <v>0.84956961861839786</v>
      </c>
      <c r="AD88" s="58">
        <v>100000</v>
      </c>
      <c r="AE88" s="58">
        <v>300000</v>
      </c>
      <c r="AF88" s="234" t="s">
        <v>189</v>
      </c>
      <c r="AG88" s="234">
        <v>1.42</v>
      </c>
      <c r="AH88" s="369">
        <f>AH8</f>
        <v>1.6020000000000001</v>
      </c>
      <c r="AI88" s="369">
        <f t="shared" ref="AI88:AV88" si="309">AI8</f>
        <v>1.6020000000000001</v>
      </c>
      <c r="AJ88" s="369">
        <f t="shared" si="309"/>
        <v>1.6020000000000001</v>
      </c>
      <c r="AK88" s="369">
        <f t="shared" si="309"/>
        <v>1.6020000000000001</v>
      </c>
      <c r="AL88" s="369">
        <f t="shared" si="309"/>
        <v>1.6020000000000001</v>
      </c>
      <c r="AM88" s="369">
        <f t="shared" si="309"/>
        <v>1.6020000000000001</v>
      </c>
      <c r="AN88" s="369">
        <f t="shared" si="309"/>
        <v>1.6020000000000001</v>
      </c>
      <c r="AO88" s="369">
        <f t="shared" si="309"/>
        <v>1.6020000000000001</v>
      </c>
      <c r="AP88" s="369">
        <f t="shared" si="309"/>
        <v>1.6020000000000001</v>
      </c>
      <c r="AQ88" s="369">
        <f t="shared" si="309"/>
        <v>1.6020000000000001</v>
      </c>
      <c r="AR88" s="369">
        <f t="shared" si="309"/>
        <v>1.6020000000000001</v>
      </c>
      <c r="AS88" s="369">
        <f t="shared" si="309"/>
        <v>1.6020000000000001</v>
      </c>
      <c r="AT88" s="369">
        <f t="shared" si="309"/>
        <v>1.6020000000000001</v>
      </c>
      <c r="AU88" s="369">
        <f t="shared" si="309"/>
        <v>1.6020000000000001</v>
      </c>
      <c r="AV88" s="369">
        <f t="shared" si="309"/>
        <v>1.6020000000000001</v>
      </c>
      <c r="AX88" s="4"/>
      <c r="AY88" s="58">
        <v>100000</v>
      </c>
      <c r="AZ88" s="58">
        <v>0</v>
      </c>
      <c r="BB88" s="365" t="str">
        <f t="shared" ref="BB88:BC89" si="310">IFERROR(AF88/BB118,"N/A")</f>
        <v>N/A</v>
      </c>
      <c r="BC88" s="365">
        <f t="shared" si="310"/>
        <v>1.311502525760021</v>
      </c>
      <c r="BD88" s="365">
        <f t="shared" ref="BD88:BD103" si="311">AVERAGE(BB88,BE88)</f>
        <v>1.4800356827561865</v>
      </c>
      <c r="BE88" s="365">
        <f t="shared" ref="BE88:BS89" si="312">IFERROR(AH88/BE118,"N/A")</f>
        <v>1.4800356827561865</v>
      </c>
      <c r="BF88" s="365">
        <f t="shared" si="312"/>
        <v>1.4795965114560239</v>
      </c>
      <c r="BG88" s="365">
        <f t="shared" si="312"/>
        <v>1.4795965114560239</v>
      </c>
      <c r="BH88" s="365">
        <f t="shared" si="312"/>
        <v>1.4795965114560239</v>
      </c>
      <c r="BI88" s="365">
        <f t="shared" si="312"/>
        <v>1.4795965114560239</v>
      </c>
      <c r="BJ88" s="365">
        <f t="shared" si="312"/>
        <v>1.4795965114560239</v>
      </c>
      <c r="BK88" s="365">
        <f t="shared" si="312"/>
        <v>1.4795965114560239</v>
      </c>
      <c r="BL88" s="365">
        <f t="shared" si="312"/>
        <v>1.4795965114560239</v>
      </c>
      <c r="BM88" s="365">
        <f t="shared" si="312"/>
        <v>1.4795965114560239</v>
      </c>
      <c r="BN88" s="365">
        <f t="shared" si="312"/>
        <v>1.4795965114560239</v>
      </c>
      <c r="BO88" s="365">
        <f t="shared" si="312"/>
        <v>1.4795965114560239</v>
      </c>
      <c r="BP88" s="365">
        <f t="shared" si="312"/>
        <v>1.4795965114560239</v>
      </c>
      <c r="BQ88" s="365">
        <f t="shared" si="312"/>
        <v>1.4795965114560239</v>
      </c>
      <c r="BR88" s="365">
        <f t="shared" si="312"/>
        <v>1.4795965114560239</v>
      </c>
      <c r="BS88" s="365">
        <f t="shared" si="312"/>
        <v>1.4795965114560239</v>
      </c>
      <c r="BU88" s="42" t="s">
        <v>467</v>
      </c>
      <c r="BV88" s="10"/>
    </row>
    <row r="89" spans="16:164">
      <c r="P89" s="4" t="s">
        <v>829</v>
      </c>
      <c r="Q89" s="4" t="s">
        <v>830</v>
      </c>
      <c r="R89" s="4" t="s">
        <v>831</v>
      </c>
      <c r="AC89" s="355">
        <f t="shared" ref="AC89:AC96" si="313">AF$97*(AF7/AF$20)</f>
        <v>0.85003805895798756</v>
      </c>
      <c r="AD89" s="58">
        <v>200000</v>
      </c>
      <c r="AE89" s="58">
        <v>600000</v>
      </c>
      <c r="AF89" s="234" t="s">
        <v>189</v>
      </c>
      <c r="AG89" s="234">
        <v>1.75</v>
      </c>
      <c r="AH89" s="369">
        <f>AH11</f>
        <v>1.7510794223826713</v>
      </c>
      <c r="AI89" s="369">
        <f t="shared" ref="AI89:AV89" si="314">AI11</f>
        <v>1.89</v>
      </c>
      <c r="AJ89" s="369">
        <f t="shared" si="314"/>
        <v>1.89</v>
      </c>
      <c r="AK89" s="369">
        <f t="shared" si="314"/>
        <v>1.89</v>
      </c>
      <c r="AL89" s="369">
        <f t="shared" si="314"/>
        <v>1.89</v>
      </c>
      <c r="AM89" s="369">
        <f t="shared" si="314"/>
        <v>1.89</v>
      </c>
      <c r="AN89" s="369">
        <f t="shared" si="314"/>
        <v>1.89</v>
      </c>
      <c r="AO89" s="369">
        <f t="shared" si="314"/>
        <v>1.89</v>
      </c>
      <c r="AP89" s="369">
        <f t="shared" si="314"/>
        <v>1.89</v>
      </c>
      <c r="AQ89" s="369">
        <f t="shared" si="314"/>
        <v>1.89</v>
      </c>
      <c r="AR89" s="369">
        <f t="shared" si="314"/>
        <v>1.89</v>
      </c>
      <c r="AS89" s="369">
        <f t="shared" si="314"/>
        <v>1.89</v>
      </c>
      <c r="AT89" s="369">
        <f t="shared" si="314"/>
        <v>1.89</v>
      </c>
      <c r="AU89" s="369">
        <f t="shared" si="314"/>
        <v>1.89</v>
      </c>
      <c r="AV89" s="369">
        <f t="shared" si="314"/>
        <v>1.89</v>
      </c>
      <c r="AX89" s="4"/>
      <c r="AY89" s="58">
        <v>200000</v>
      </c>
      <c r="AZ89" s="58">
        <f>AY89</f>
        <v>200000</v>
      </c>
      <c r="BB89" s="365" t="str">
        <f t="shared" si="310"/>
        <v>N/A</v>
      </c>
      <c r="BC89" s="365">
        <f t="shared" si="310"/>
        <v>1.582442622117419</v>
      </c>
      <c r="BD89" s="365">
        <f t="shared" si="311"/>
        <v>1.6159765355464932</v>
      </c>
      <c r="BE89" s="365">
        <f t="shared" si="312"/>
        <v>1.6159765355464932</v>
      </c>
      <c r="BF89" s="365">
        <f t="shared" si="312"/>
        <v>1.7373938315701876</v>
      </c>
      <c r="BG89" s="365">
        <f t="shared" si="312"/>
        <v>1.7090380318868126</v>
      </c>
      <c r="BH89" s="365">
        <f t="shared" si="312"/>
        <v>1.7090380318868126</v>
      </c>
      <c r="BI89" s="365">
        <f t="shared" si="312"/>
        <v>1.7090380318868126</v>
      </c>
      <c r="BJ89" s="365">
        <f t="shared" si="312"/>
        <v>1.7090380318868126</v>
      </c>
      <c r="BK89" s="365">
        <f t="shared" si="312"/>
        <v>1.7090380318868126</v>
      </c>
      <c r="BL89" s="365">
        <f t="shared" si="312"/>
        <v>1.7090380318868126</v>
      </c>
      <c r="BM89" s="365">
        <f t="shared" si="312"/>
        <v>1.7090380318868126</v>
      </c>
      <c r="BN89" s="365">
        <f t="shared" si="312"/>
        <v>1.7090380318868126</v>
      </c>
      <c r="BO89" s="365">
        <f t="shared" si="312"/>
        <v>1.7090380318868126</v>
      </c>
      <c r="BP89" s="365">
        <f t="shared" si="312"/>
        <v>1.7090380318868126</v>
      </c>
      <c r="BQ89" s="365">
        <f t="shared" si="312"/>
        <v>1.7090380318868126</v>
      </c>
      <c r="BR89" s="365">
        <f t="shared" si="312"/>
        <v>1.7090380318868126</v>
      </c>
      <c r="BS89" s="365">
        <f t="shared" si="312"/>
        <v>1.7090380318868126</v>
      </c>
      <c r="BU89" s="4" t="s">
        <v>202</v>
      </c>
      <c r="BV89" s="4" t="s">
        <v>465</v>
      </c>
      <c r="BW89" s="4" t="s">
        <v>468</v>
      </c>
    </row>
    <row r="90" spans="16:164">
      <c r="P90" s="4" t="s">
        <v>832</v>
      </c>
      <c r="Q90" s="4" t="s">
        <v>833</v>
      </c>
      <c r="R90" s="4" t="s">
        <v>834</v>
      </c>
      <c r="AC90" s="355">
        <f t="shared" si="313"/>
        <v>0.85035259905488925</v>
      </c>
      <c r="AD90" s="257">
        <v>250000</v>
      </c>
      <c r="AE90" s="257">
        <v>250000</v>
      </c>
      <c r="AF90" s="360" t="s">
        <v>189</v>
      </c>
      <c r="AG90" s="360">
        <f>(AG91-1)*((AG95-1)/(AG96-1))+1</f>
        <v>1.7499199999999999</v>
      </c>
      <c r="AH90" s="369">
        <f>AH12</f>
        <v>1.770596468088941</v>
      </c>
      <c r="AI90" s="369">
        <f t="shared" ref="AI90:AV90" si="315">AI12</f>
        <v>1.898022288380431</v>
      </c>
      <c r="AJ90" s="369">
        <f t="shared" si="315"/>
        <v>1.9408320127828211</v>
      </c>
      <c r="AK90" s="369">
        <f t="shared" si="315"/>
        <v>1.9146805194805196</v>
      </c>
      <c r="AL90" s="369">
        <f t="shared" si="315"/>
        <v>1.9146805194805196</v>
      </c>
      <c r="AM90" s="369">
        <f t="shared" si="315"/>
        <v>1.9146805194805196</v>
      </c>
      <c r="AN90" s="369">
        <f t="shared" si="315"/>
        <v>1.9146805194805196</v>
      </c>
      <c r="AO90" s="369">
        <f t="shared" si="315"/>
        <v>1.9146805194805196</v>
      </c>
      <c r="AP90" s="369">
        <f t="shared" si="315"/>
        <v>1.9146805194805196</v>
      </c>
      <c r="AQ90" s="369">
        <f t="shared" si="315"/>
        <v>1.9146805194805196</v>
      </c>
      <c r="AR90" s="369">
        <f t="shared" si="315"/>
        <v>1.9146805194805196</v>
      </c>
      <c r="AS90" s="369">
        <f t="shared" si="315"/>
        <v>1.9146805194805196</v>
      </c>
      <c r="AT90" s="369">
        <f t="shared" si="315"/>
        <v>1.9146805194805196</v>
      </c>
      <c r="AU90" s="369">
        <f t="shared" si="315"/>
        <v>1.9146805194805196</v>
      </c>
      <c r="AV90" s="369">
        <f t="shared" si="315"/>
        <v>1.9146805194805196</v>
      </c>
      <c r="AX90" s="4"/>
      <c r="AY90" s="58">
        <v>250000</v>
      </c>
      <c r="AZ90" s="58">
        <f t="shared" ref="AZ90:AZ103" si="316">AY90</f>
        <v>250000</v>
      </c>
      <c r="BB90" s="234" t="str">
        <f t="shared" ref="BB90:BC90" si="317">AF90</f>
        <v>N/A</v>
      </c>
      <c r="BC90" s="234">
        <f t="shared" si="317"/>
        <v>1.7499199999999999</v>
      </c>
      <c r="BD90" s="234">
        <f t="shared" si="311"/>
        <v>1.770596468088941</v>
      </c>
      <c r="BE90" s="234">
        <f t="shared" ref="BE90:BS90" si="318">AH90</f>
        <v>1.770596468088941</v>
      </c>
      <c r="BF90" s="234">
        <f t="shared" si="318"/>
        <v>1.898022288380431</v>
      </c>
      <c r="BG90" s="234">
        <f t="shared" si="318"/>
        <v>1.9408320127828211</v>
      </c>
      <c r="BH90" s="234">
        <f t="shared" si="318"/>
        <v>1.9146805194805196</v>
      </c>
      <c r="BI90" s="234">
        <f t="shared" si="318"/>
        <v>1.9146805194805196</v>
      </c>
      <c r="BJ90" s="234">
        <f t="shared" si="318"/>
        <v>1.9146805194805196</v>
      </c>
      <c r="BK90" s="234">
        <f t="shared" si="318"/>
        <v>1.9146805194805196</v>
      </c>
      <c r="BL90" s="234">
        <f t="shared" si="318"/>
        <v>1.9146805194805196</v>
      </c>
      <c r="BM90" s="234">
        <f t="shared" si="318"/>
        <v>1.9146805194805196</v>
      </c>
      <c r="BN90" s="234">
        <f t="shared" si="318"/>
        <v>1.9146805194805196</v>
      </c>
      <c r="BO90" s="234">
        <f t="shared" si="318"/>
        <v>1.9146805194805196</v>
      </c>
      <c r="BP90" s="234">
        <f t="shared" si="318"/>
        <v>1.9146805194805196</v>
      </c>
      <c r="BQ90" s="234">
        <f t="shared" si="318"/>
        <v>1.9146805194805196</v>
      </c>
      <c r="BR90" s="234">
        <f t="shared" si="318"/>
        <v>1.9146805194805196</v>
      </c>
      <c r="BS90" s="234">
        <f t="shared" si="318"/>
        <v>1.9146805194805196</v>
      </c>
      <c r="BU90" s="58">
        <v>1000</v>
      </c>
      <c r="BV90" s="58" t="s">
        <v>189</v>
      </c>
      <c r="BW90" s="4">
        <v>0</v>
      </c>
    </row>
    <row r="91" spans="16:164">
      <c r="P91" s="4" t="s">
        <v>835</v>
      </c>
      <c r="Q91" s="4" t="s">
        <v>836</v>
      </c>
      <c r="R91" s="4" t="s">
        <v>837</v>
      </c>
      <c r="AC91" s="355">
        <f t="shared" si="313"/>
        <v>1.0976842980186059</v>
      </c>
      <c r="AD91" s="257">
        <v>250000</v>
      </c>
      <c r="AE91" s="257">
        <v>500000</v>
      </c>
      <c r="AF91" s="234" t="s">
        <v>189</v>
      </c>
      <c r="AG91" s="234">
        <v>1.86</v>
      </c>
      <c r="AH91" s="369">
        <f>AH13</f>
        <v>1.8394824851288829</v>
      </c>
      <c r="AI91" s="369">
        <f t="shared" ref="AI91:AV91" si="319">AI13</f>
        <v>1.9633767349636484</v>
      </c>
      <c r="AJ91" s="369">
        <f t="shared" si="319"/>
        <v>2.0049999999999999</v>
      </c>
      <c r="AK91" s="369">
        <f t="shared" si="319"/>
        <v>2.0049999999999999</v>
      </c>
      <c r="AL91" s="369">
        <f t="shared" si="319"/>
        <v>2.0049999999999999</v>
      </c>
      <c r="AM91" s="369">
        <f t="shared" si="319"/>
        <v>2.0049999999999999</v>
      </c>
      <c r="AN91" s="369">
        <f t="shared" si="319"/>
        <v>2.0049999999999999</v>
      </c>
      <c r="AO91" s="369">
        <f t="shared" si="319"/>
        <v>2.0049999999999999</v>
      </c>
      <c r="AP91" s="369">
        <f t="shared" si="319"/>
        <v>2.0049999999999999</v>
      </c>
      <c r="AQ91" s="369">
        <f t="shared" si="319"/>
        <v>2.0049999999999999</v>
      </c>
      <c r="AR91" s="369">
        <f t="shared" si="319"/>
        <v>2.0049999999999999</v>
      </c>
      <c r="AS91" s="369">
        <f t="shared" si="319"/>
        <v>2.0049999999999999</v>
      </c>
      <c r="AT91" s="369">
        <f t="shared" si="319"/>
        <v>2.0049999999999999</v>
      </c>
      <c r="AU91" s="369">
        <f t="shared" si="319"/>
        <v>2.0049999999999999</v>
      </c>
      <c r="AV91" s="369">
        <f t="shared" si="319"/>
        <v>2.0049999999999999</v>
      </c>
      <c r="AX91" s="4"/>
      <c r="AY91" s="58">
        <v>500000</v>
      </c>
      <c r="AZ91" s="58">
        <f t="shared" si="316"/>
        <v>500000</v>
      </c>
      <c r="BB91" s="234" t="str">
        <f t="shared" ref="BB91:BC91" si="320">AF92</f>
        <v>N/A</v>
      </c>
      <c r="BC91" s="234">
        <f t="shared" si="320"/>
        <v>1.9155999999999997</v>
      </c>
      <c r="BD91" s="234">
        <f t="shared" si="311"/>
        <v>2.0080517047084698</v>
      </c>
      <c r="BE91" s="234">
        <f t="shared" ref="BE91:BS91" si="321">AH92</f>
        <v>2.0080517047084698</v>
      </c>
      <c r="BF91" s="234">
        <f t="shared" si="321"/>
        <v>2.0888901955382235</v>
      </c>
      <c r="BG91" s="234">
        <f t="shared" si="321"/>
        <v>2.1160485336647548</v>
      </c>
      <c r="BH91" s="234">
        <f t="shared" si="321"/>
        <v>2.2062227032255031</v>
      </c>
      <c r="BI91" s="234">
        <f t="shared" si="321"/>
        <v>2.1758877922077922</v>
      </c>
      <c r="BJ91" s="234">
        <f t="shared" si="321"/>
        <v>2.1758877922077922</v>
      </c>
      <c r="BK91" s="234">
        <f t="shared" si="321"/>
        <v>2.1758877922077922</v>
      </c>
      <c r="BL91" s="234">
        <f t="shared" si="321"/>
        <v>2.1758877922077922</v>
      </c>
      <c r="BM91" s="234">
        <f t="shared" si="321"/>
        <v>2.1758877922077922</v>
      </c>
      <c r="BN91" s="234">
        <f t="shared" si="321"/>
        <v>2.1758877922077922</v>
      </c>
      <c r="BO91" s="234">
        <f t="shared" si="321"/>
        <v>2.1758877922077922</v>
      </c>
      <c r="BP91" s="234">
        <f t="shared" si="321"/>
        <v>2.1758877922077922</v>
      </c>
      <c r="BQ91" s="234">
        <f t="shared" si="321"/>
        <v>2.1758877922077922</v>
      </c>
      <c r="BR91" s="234">
        <f t="shared" si="321"/>
        <v>2.1758877922077922</v>
      </c>
      <c r="BS91" s="234">
        <f t="shared" si="321"/>
        <v>2.1758877922077922</v>
      </c>
      <c r="BU91" s="58">
        <v>2500</v>
      </c>
      <c r="BV91" s="58" t="s">
        <v>189</v>
      </c>
      <c r="BW91" s="4">
        <v>0.05</v>
      </c>
    </row>
    <row r="92" spans="16:164">
      <c r="P92" s="4" t="s">
        <v>838</v>
      </c>
      <c r="Q92" s="4" t="s">
        <v>839</v>
      </c>
      <c r="R92" s="4" t="s">
        <v>840</v>
      </c>
      <c r="AC92" s="355">
        <f t="shared" si="313"/>
        <v>1.1427716807041155</v>
      </c>
      <c r="AD92" s="257">
        <v>500000</v>
      </c>
      <c r="AE92" s="257">
        <v>500000</v>
      </c>
      <c r="AF92" s="360" t="s">
        <v>189</v>
      </c>
      <c r="AG92" s="360">
        <f>(AG93-1)*((AG95-1)/(AG96-1))+1</f>
        <v>1.9155999999999997</v>
      </c>
      <c r="AH92" s="369">
        <f>AH15</f>
        <v>2.0080517047084698</v>
      </c>
      <c r="AI92" s="369">
        <f t="shared" ref="AI92:AV92" si="322">AI15</f>
        <v>2.0888901955382235</v>
      </c>
      <c r="AJ92" s="369">
        <f t="shared" si="322"/>
        <v>2.1160485336647548</v>
      </c>
      <c r="AK92" s="369">
        <f t="shared" si="322"/>
        <v>2.2062227032255031</v>
      </c>
      <c r="AL92" s="369">
        <f t="shared" si="322"/>
        <v>2.1758877922077922</v>
      </c>
      <c r="AM92" s="369">
        <f t="shared" si="322"/>
        <v>2.1758877922077922</v>
      </c>
      <c r="AN92" s="369">
        <f t="shared" si="322"/>
        <v>2.1758877922077922</v>
      </c>
      <c r="AO92" s="369">
        <f t="shared" si="322"/>
        <v>2.1758877922077922</v>
      </c>
      <c r="AP92" s="369">
        <f t="shared" si="322"/>
        <v>2.1758877922077922</v>
      </c>
      <c r="AQ92" s="369">
        <f t="shared" si="322"/>
        <v>2.1758877922077922</v>
      </c>
      <c r="AR92" s="369">
        <f t="shared" si="322"/>
        <v>2.1758877922077922</v>
      </c>
      <c r="AS92" s="369">
        <f t="shared" si="322"/>
        <v>2.1758877922077922</v>
      </c>
      <c r="AT92" s="369">
        <f t="shared" si="322"/>
        <v>2.1758877922077922</v>
      </c>
      <c r="AU92" s="369">
        <f t="shared" si="322"/>
        <v>2.1758877922077922</v>
      </c>
      <c r="AV92" s="369">
        <f t="shared" si="322"/>
        <v>2.1758877922077922</v>
      </c>
      <c r="AX92" s="4"/>
      <c r="AY92" s="58">
        <v>750000</v>
      </c>
      <c r="AZ92" s="58">
        <v>750000</v>
      </c>
      <c r="BB92" s="234" t="s">
        <v>189</v>
      </c>
      <c r="BC92" s="234">
        <f>AVERAGE(BC91,BC93)</f>
        <v>2.0027999999999997</v>
      </c>
      <c r="BD92" s="234">
        <f t="shared" si="311"/>
        <v>2.2278495966464726</v>
      </c>
      <c r="BE92" s="234">
        <f t="shared" ref="BE92:BS92" si="323">AVERAGE(BE91,BE93)</f>
        <v>2.2278495966464726</v>
      </c>
      <c r="BF92" s="234">
        <f t="shared" si="323"/>
        <v>2.3171551434312123</v>
      </c>
      <c r="BG92" s="234">
        <f t="shared" si="323"/>
        <v>2.3471580567867152</v>
      </c>
      <c r="BH92" s="234">
        <f t="shared" si="323"/>
        <v>2.446777105037409</v>
      </c>
      <c r="BI92" s="234">
        <f t="shared" si="323"/>
        <v>2.463943896103896</v>
      </c>
      <c r="BJ92" s="234">
        <f t="shared" si="323"/>
        <v>2.463943896103896</v>
      </c>
      <c r="BK92" s="234">
        <f t="shared" si="323"/>
        <v>2.463943896103896</v>
      </c>
      <c r="BL92" s="234">
        <f t="shared" si="323"/>
        <v>2.463943896103896</v>
      </c>
      <c r="BM92" s="234">
        <f t="shared" si="323"/>
        <v>2.463943896103896</v>
      </c>
      <c r="BN92" s="234">
        <f t="shared" si="323"/>
        <v>2.463943896103896</v>
      </c>
      <c r="BO92" s="234">
        <f t="shared" si="323"/>
        <v>2.463943896103896</v>
      </c>
      <c r="BP92" s="234">
        <f t="shared" si="323"/>
        <v>2.463943896103896</v>
      </c>
      <c r="BQ92" s="234">
        <f t="shared" si="323"/>
        <v>2.463943896103896</v>
      </c>
      <c r="BR92" s="234">
        <f t="shared" si="323"/>
        <v>2.463943896103896</v>
      </c>
      <c r="BS92" s="234">
        <f t="shared" si="323"/>
        <v>2.463943896103896</v>
      </c>
      <c r="BU92" s="58">
        <v>5000</v>
      </c>
      <c r="BV92" s="58" t="s">
        <v>189</v>
      </c>
      <c r="BW92" s="4">
        <v>0.13</v>
      </c>
    </row>
    <row r="93" spans="16:164">
      <c r="P93" s="4" t="s">
        <v>841</v>
      </c>
      <c r="Q93" s="4" t="s">
        <v>842</v>
      </c>
      <c r="R93" s="4" t="s">
        <v>843</v>
      </c>
      <c r="AC93" s="355">
        <f t="shared" si="313"/>
        <v>1.1730461650308981</v>
      </c>
      <c r="AD93" s="257">
        <v>500000</v>
      </c>
      <c r="AE93" s="257">
        <v>1000000</v>
      </c>
      <c r="AF93" s="234" t="s">
        <v>189</v>
      </c>
      <c r="AG93" s="234">
        <v>2.0499999999999998</v>
      </c>
      <c r="AH93" s="369">
        <f>AH16</f>
        <v>2.1213931888544892</v>
      </c>
      <c r="AI93" s="369">
        <f t="shared" ref="AI93:AV93" si="324">AI16</f>
        <v>2.1909876160990711</v>
      </c>
      <c r="AJ93" s="369">
        <f t="shared" si="324"/>
        <v>2.2143684210526313</v>
      </c>
      <c r="AK93" s="369">
        <f t="shared" si="324"/>
        <v>2.2919999999999998</v>
      </c>
      <c r="AL93" s="369">
        <f t="shared" si="324"/>
        <v>2.2919999999999998</v>
      </c>
      <c r="AM93" s="369">
        <f t="shared" si="324"/>
        <v>2.2919999999999998</v>
      </c>
      <c r="AN93" s="369">
        <f t="shared" si="324"/>
        <v>2.2919999999999998</v>
      </c>
      <c r="AO93" s="369">
        <f t="shared" si="324"/>
        <v>2.2919999999999998</v>
      </c>
      <c r="AP93" s="369">
        <f t="shared" si="324"/>
        <v>2.2919999999999998</v>
      </c>
      <c r="AQ93" s="369">
        <f t="shared" si="324"/>
        <v>2.2919999999999998</v>
      </c>
      <c r="AR93" s="369">
        <f t="shared" si="324"/>
        <v>2.2919999999999998</v>
      </c>
      <c r="AS93" s="369">
        <f t="shared" si="324"/>
        <v>2.2919999999999998</v>
      </c>
      <c r="AT93" s="369">
        <f t="shared" si="324"/>
        <v>2.2919999999999998</v>
      </c>
      <c r="AU93" s="369">
        <f t="shared" si="324"/>
        <v>2.2919999999999998</v>
      </c>
      <c r="AV93" s="369">
        <f t="shared" si="324"/>
        <v>2.2919999999999998</v>
      </c>
      <c r="AX93" s="4"/>
      <c r="AY93" s="58">
        <v>1000000</v>
      </c>
      <c r="AZ93" s="58">
        <f t="shared" si="316"/>
        <v>1000000</v>
      </c>
      <c r="BB93" s="234" t="s">
        <v>189</v>
      </c>
      <c r="BC93" s="234">
        <f t="shared" ref="BC93" si="325">AG95</f>
        <v>2.09</v>
      </c>
      <c r="BD93" s="234">
        <f t="shared" si="311"/>
        <v>2.447647488584475</v>
      </c>
      <c r="BE93" s="234">
        <f t="shared" ref="BE93:BS93" si="326">AH95</f>
        <v>2.447647488584475</v>
      </c>
      <c r="BF93" s="234">
        <f t="shared" si="326"/>
        <v>2.5454200913242007</v>
      </c>
      <c r="BG93" s="234">
        <f t="shared" si="326"/>
        <v>2.5782675799086756</v>
      </c>
      <c r="BH93" s="234">
        <f t="shared" si="326"/>
        <v>2.6873315068493149</v>
      </c>
      <c r="BI93" s="234">
        <f t="shared" si="326"/>
        <v>2.7519999999999998</v>
      </c>
      <c r="BJ93" s="234">
        <f t="shared" si="326"/>
        <v>2.7519999999999998</v>
      </c>
      <c r="BK93" s="234">
        <f t="shared" si="326"/>
        <v>2.7519999999999998</v>
      </c>
      <c r="BL93" s="234">
        <f t="shared" si="326"/>
        <v>2.7519999999999998</v>
      </c>
      <c r="BM93" s="234">
        <f t="shared" si="326"/>
        <v>2.7519999999999998</v>
      </c>
      <c r="BN93" s="234">
        <f t="shared" si="326"/>
        <v>2.7519999999999998</v>
      </c>
      <c r="BO93" s="234">
        <f t="shared" si="326"/>
        <v>2.7519999999999998</v>
      </c>
      <c r="BP93" s="234">
        <f t="shared" si="326"/>
        <v>2.7519999999999998</v>
      </c>
      <c r="BQ93" s="234">
        <f t="shared" si="326"/>
        <v>2.7519999999999998</v>
      </c>
      <c r="BR93" s="234">
        <f t="shared" si="326"/>
        <v>2.7519999999999998</v>
      </c>
      <c r="BS93" s="234">
        <f t="shared" si="326"/>
        <v>2.7519999999999998</v>
      </c>
      <c r="BU93" s="58">
        <v>10000</v>
      </c>
      <c r="BV93" s="58" t="s">
        <v>189</v>
      </c>
      <c r="BW93" s="4">
        <v>0.18</v>
      </c>
    </row>
    <row r="94" spans="16:164">
      <c r="P94" s="4" t="s">
        <v>844</v>
      </c>
      <c r="Q94" s="4" t="s">
        <v>845</v>
      </c>
      <c r="R94" s="4" t="s">
        <v>846</v>
      </c>
      <c r="AC94" s="355">
        <f t="shared" si="313"/>
        <v>1.2152315242009899</v>
      </c>
      <c r="AD94" s="257">
        <v>500000</v>
      </c>
      <c r="AE94" s="257">
        <v>1500000</v>
      </c>
      <c r="AF94" s="234" t="s">
        <v>189</v>
      </c>
      <c r="AH94" s="369">
        <f>AH17</f>
        <v>2.2521750245821042</v>
      </c>
      <c r="AI94" s="369">
        <f t="shared" ref="AI94:AV94" si="327">AI17</f>
        <v>2.3349685349065878</v>
      </c>
      <c r="AJ94" s="369">
        <f t="shared" si="327"/>
        <v>2.3627836774827924</v>
      </c>
      <c r="AK94" s="369">
        <f t="shared" si="327"/>
        <v>2.4551386430678468</v>
      </c>
      <c r="AL94" s="369">
        <f t="shared" si="327"/>
        <v>2.476</v>
      </c>
      <c r="AM94" s="369">
        <f t="shared" si="327"/>
        <v>2.476</v>
      </c>
      <c r="AN94" s="369">
        <f t="shared" si="327"/>
        <v>2.476</v>
      </c>
      <c r="AO94" s="369">
        <f t="shared" si="327"/>
        <v>2.476</v>
      </c>
      <c r="AP94" s="369">
        <f t="shared" si="327"/>
        <v>2.476</v>
      </c>
      <c r="AQ94" s="369">
        <f t="shared" si="327"/>
        <v>2.476</v>
      </c>
      <c r="AR94" s="369">
        <f t="shared" si="327"/>
        <v>2.476</v>
      </c>
      <c r="AS94" s="369">
        <f t="shared" si="327"/>
        <v>2.476</v>
      </c>
      <c r="AT94" s="369">
        <f t="shared" si="327"/>
        <v>2.476</v>
      </c>
      <c r="AU94" s="369">
        <f t="shared" si="327"/>
        <v>2.476</v>
      </c>
      <c r="AV94" s="369">
        <f t="shared" si="327"/>
        <v>2.476</v>
      </c>
      <c r="AX94" s="4"/>
      <c r="AY94" s="58">
        <v>2000000</v>
      </c>
      <c r="AZ94" s="58">
        <f t="shared" si="316"/>
        <v>2000000</v>
      </c>
      <c r="BB94" s="234">
        <f t="shared" ref="BB94" si="328">AF97</f>
        <v>2.33</v>
      </c>
      <c r="BC94" s="454">
        <f>AC97</f>
        <v>2.9152526354053077</v>
      </c>
      <c r="BD94" s="234">
        <f t="shared" si="311"/>
        <v>2.6665930570701564</v>
      </c>
      <c r="BE94" s="234">
        <f t="shared" ref="BE94:BS94" si="329">AH97</f>
        <v>3.0031861141403127</v>
      </c>
      <c r="BF94" s="234">
        <f t="shared" si="329"/>
        <v>3.0988862231915668</v>
      </c>
      <c r="BG94" s="234">
        <f t="shared" si="329"/>
        <v>3.1310374409305708</v>
      </c>
      <c r="BH94" s="234">
        <f t="shared" si="329"/>
        <v>3.2377895310796077</v>
      </c>
      <c r="BI94" s="234">
        <f t="shared" si="329"/>
        <v>3.3010872410032714</v>
      </c>
      <c r="BJ94" s="234">
        <f t="shared" si="329"/>
        <v>3.4420000000000002</v>
      </c>
      <c r="BK94" s="234">
        <f t="shared" si="329"/>
        <v>3.4420000000000002</v>
      </c>
      <c r="BL94" s="234">
        <f t="shared" si="329"/>
        <v>3.4420000000000002</v>
      </c>
      <c r="BM94" s="234">
        <f t="shared" si="329"/>
        <v>3.4420000000000002</v>
      </c>
      <c r="BN94" s="234">
        <f t="shared" si="329"/>
        <v>3.4420000000000002</v>
      </c>
      <c r="BO94" s="234">
        <f t="shared" si="329"/>
        <v>3.4420000000000002</v>
      </c>
      <c r="BP94" s="234">
        <f t="shared" si="329"/>
        <v>3.4420000000000002</v>
      </c>
      <c r="BQ94" s="234">
        <f t="shared" si="329"/>
        <v>3.4420000000000002</v>
      </c>
      <c r="BR94" s="234">
        <f t="shared" si="329"/>
        <v>3.4420000000000002</v>
      </c>
      <c r="BS94" s="234">
        <f t="shared" si="329"/>
        <v>3.4420000000000002</v>
      </c>
      <c r="BU94" s="58">
        <v>15000</v>
      </c>
      <c r="BV94" s="58" t="s">
        <v>189</v>
      </c>
      <c r="BW94" s="4">
        <v>0.25</v>
      </c>
    </row>
    <row r="95" spans="16:164">
      <c r="P95" s="4" t="s">
        <v>95</v>
      </c>
      <c r="Q95" s="4" t="s">
        <v>847</v>
      </c>
      <c r="R95" s="4" t="s">
        <v>848</v>
      </c>
      <c r="AB95" s="4"/>
      <c r="AC95" s="355">
        <f t="shared" si="313"/>
        <v>1.2814576517629954</v>
      </c>
      <c r="AD95" s="58">
        <v>1000000</v>
      </c>
      <c r="AE95" s="58">
        <v>1000000</v>
      </c>
      <c r="AF95" s="234" t="s">
        <v>189</v>
      </c>
      <c r="AG95" s="234">
        <v>2.09</v>
      </c>
      <c r="AH95" s="369">
        <f>AH18</f>
        <v>2.447647488584475</v>
      </c>
      <c r="AI95" s="369">
        <f t="shared" ref="AI95:AV95" si="330">AI18</f>
        <v>2.5454200913242007</v>
      </c>
      <c r="AJ95" s="369">
        <f t="shared" si="330"/>
        <v>2.5782675799086756</v>
      </c>
      <c r="AK95" s="369">
        <f t="shared" si="330"/>
        <v>2.6873315068493149</v>
      </c>
      <c r="AL95" s="369">
        <f t="shared" si="330"/>
        <v>2.7519999999999998</v>
      </c>
      <c r="AM95" s="369">
        <f t="shared" si="330"/>
        <v>2.7519999999999998</v>
      </c>
      <c r="AN95" s="369">
        <f t="shared" si="330"/>
        <v>2.7519999999999998</v>
      </c>
      <c r="AO95" s="369">
        <f t="shared" si="330"/>
        <v>2.7519999999999998</v>
      </c>
      <c r="AP95" s="369">
        <f t="shared" si="330"/>
        <v>2.7519999999999998</v>
      </c>
      <c r="AQ95" s="369">
        <f t="shared" si="330"/>
        <v>2.7519999999999998</v>
      </c>
      <c r="AR95" s="369">
        <f t="shared" si="330"/>
        <v>2.7519999999999998</v>
      </c>
      <c r="AS95" s="369">
        <f t="shared" si="330"/>
        <v>2.7519999999999998</v>
      </c>
      <c r="AT95" s="369">
        <f t="shared" si="330"/>
        <v>2.7519999999999998</v>
      </c>
      <c r="AU95" s="369">
        <f t="shared" si="330"/>
        <v>2.7519999999999998</v>
      </c>
      <c r="AV95" s="369">
        <f t="shared" si="330"/>
        <v>2.7519999999999998</v>
      </c>
      <c r="AX95" s="4"/>
      <c r="AY95" s="58">
        <v>3000000</v>
      </c>
      <c r="AZ95" s="58">
        <f t="shared" si="316"/>
        <v>3000000</v>
      </c>
      <c r="BB95" s="234">
        <f t="shared" ref="BB95:BB103" si="331">AF99</f>
        <v>2.7</v>
      </c>
      <c r="BC95" s="234" t="str">
        <f t="shared" ref="BC95:BC103" si="332">AG99</f>
        <v>N/A</v>
      </c>
      <c r="BD95" s="234">
        <f t="shared" si="311"/>
        <v>3.0902986536107711</v>
      </c>
      <c r="BE95" s="234">
        <f t="shared" ref="BE95:BE103" si="333">AH99</f>
        <v>3.4805973072215419</v>
      </c>
      <c r="BF95" s="234">
        <f t="shared" ref="BF95:BF103" si="334">AI99</f>
        <v>3.5612741738066096</v>
      </c>
      <c r="BG95" s="234">
        <f t="shared" ref="BG95:BG103" si="335">AJ99</f>
        <v>3.588378212974296</v>
      </c>
      <c r="BH95" s="234">
        <f t="shared" ref="BH95:BH103" si="336">AK99</f>
        <v>3.6783720930232557</v>
      </c>
      <c r="BI95" s="234">
        <f t="shared" ref="BI95:BI103" si="337">AL99</f>
        <v>3.731733170134639</v>
      </c>
      <c r="BJ95" s="234">
        <f t="shared" ref="BJ95:BJ103" si="338">AM99</f>
        <v>3.8505250917992653</v>
      </c>
      <c r="BK95" s="234">
        <f t="shared" ref="BK95:BK103" si="339">AN99</f>
        <v>3.96</v>
      </c>
      <c r="BL95" s="234">
        <f t="shared" ref="BL95:BL103" si="340">AO99</f>
        <v>3.96</v>
      </c>
      <c r="BM95" s="234">
        <f t="shared" ref="BM95:BM103" si="341">AP99</f>
        <v>3.96</v>
      </c>
      <c r="BN95" s="234">
        <f t="shared" ref="BN95:BN103" si="342">AQ99</f>
        <v>3.96</v>
      </c>
      <c r="BO95" s="234">
        <f t="shared" ref="BO95:BO103" si="343">AR99</f>
        <v>3.96</v>
      </c>
      <c r="BP95" s="234">
        <f t="shared" ref="BP95:BP103" si="344">AS99</f>
        <v>3.96</v>
      </c>
      <c r="BQ95" s="234">
        <f t="shared" ref="BQ95:BQ103" si="345">AT99</f>
        <v>3.96</v>
      </c>
      <c r="BR95" s="234">
        <f t="shared" ref="BR95:BR103" si="346">AU99</f>
        <v>3.96</v>
      </c>
      <c r="BS95" s="234">
        <f t="shared" ref="BS95:BS103" si="347">AV99</f>
        <v>3.96</v>
      </c>
      <c r="BU95" s="58">
        <v>25000</v>
      </c>
      <c r="BV95" s="58" t="s">
        <v>189</v>
      </c>
      <c r="BW95" s="4">
        <v>0.31</v>
      </c>
    </row>
    <row r="96" spans="16:164">
      <c r="P96" s="4" t="s">
        <v>849</v>
      </c>
      <c r="Q96" s="4" t="s">
        <v>850</v>
      </c>
      <c r="R96" s="4" t="s">
        <v>851</v>
      </c>
      <c r="AB96" s="4"/>
      <c r="AC96" s="355">
        <f t="shared" si="313"/>
        <v>1.3259260094604095</v>
      </c>
      <c r="AD96" s="58">
        <v>1000000</v>
      </c>
      <c r="AE96" s="58">
        <v>2000000</v>
      </c>
      <c r="AF96" s="234" t="s">
        <v>189</v>
      </c>
      <c r="AG96" s="234">
        <v>2.25</v>
      </c>
      <c r="AH96" s="369">
        <f t="shared" ref="AH96:AV107" si="348">AH19</f>
        <v>2.6215890183028283</v>
      </c>
      <c r="AI96" s="369">
        <f t="shared" si="348"/>
        <v>2.704160149750416</v>
      </c>
      <c r="AJ96" s="369">
        <f t="shared" si="348"/>
        <v>2.7319005823627287</v>
      </c>
      <c r="AK96" s="369">
        <f t="shared" si="348"/>
        <v>2.8240074875207983</v>
      </c>
      <c r="AL96" s="369">
        <f t="shared" si="348"/>
        <v>2.8786214642262893</v>
      </c>
      <c r="AM96" s="369">
        <f t="shared" si="348"/>
        <v>2.9249999999999998</v>
      </c>
      <c r="AN96" s="369">
        <f t="shared" si="348"/>
        <v>2.9249999999999998</v>
      </c>
      <c r="AO96" s="369">
        <f t="shared" si="348"/>
        <v>2.9249999999999998</v>
      </c>
      <c r="AP96" s="369">
        <f t="shared" si="348"/>
        <v>2.9249999999999998</v>
      </c>
      <c r="AQ96" s="369">
        <f t="shared" si="348"/>
        <v>2.9249999999999998</v>
      </c>
      <c r="AR96" s="369">
        <f t="shared" si="348"/>
        <v>2.9249999999999998</v>
      </c>
      <c r="AS96" s="369">
        <f t="shared" si="348"/>
        <v>2.9249999999999998</v>
      </c>
      <c r="AT96" s="369">
        <f t="shared" si="348"/>
        <v>2.9249999999999998</v>
      </c>
      <c r="AU96" s="369">
        <f t="shared" si="348"/>
        <v>2.9249999999999998</v>
      </c>
      <c r="AV96" s="369">
        <f t="shared" si="348"/>
        <v>2.9249999999999998</v>
      </c>
      <c r="AX96" s="4"/>
      <c r="AY96" s="58">
        <v>4000000</v>
      </c>
      <c r="AZ96" s="58">
        <f t="shared" si="316"/>
        <v>4000000</v>
      </c>
      <c r="BB96" s="234">
        <f t="shared" si="331"/>
        <v>3.05</v>
      </c>
      <c r="BC96" s="234" t="str">
        <f t="shared" si="332"/>
        <v>N/A</v>
      </c>
      <c r="BD96" s="234">
        <f t="shared" si="311"/>
        <v>3.4599093391589295</v>
      </c>
      <c r="BE96" s="234">
        <f t="shared" si="333"/>
        <v>3.8698186783178592</v>
      </c>
      <c r="BF96" s="234">
        <f t="shared" si="334"/>
        <v>3.9486821409066084</v>
      </c>
      <c r="BG96" s="234">
        <f t="shared" si="335"/>
        <v>3.9751769524849809</v>
      </c>
      <c r="BH96" s="234">
        <f t="shared" si="336"/>
        <v>4.0631480065537957</v>
      </c>
      <c r="BI96" s="234">
        <f t="shared" si="337"/>
        <v>4.1153096668487166</v>
      </c>
      <c r="BJ96" s="234">
        <f t="shared" si="338"/>
        <v>4.2314314582195518</v>
      </c>
      <c r="BK96" s="234">
        <f t="shared" si="339"/>
        <v>4.3384456581103219</v>
      </c>
      <c r="BL96" s="234">
        <f t="shared" si="340"/>
        <v>4.42</v>
      </c>
      <c r="BM96" s="234">
        <f t="shared" si="341"/>
        <v>4.42</v>
      </c>
      <c r="BN96" s="234">
        <f t="shared" si="342"/>
        <v>4.42</v>
      </c>
      <c r="BO96" s="234">
        <f t="shared" si="343"/>
        <v>4.42</v>
      </c>
      <c r="BP96" s="234">
        <f t="shared" si="344"/>
        <v>4.42</v>
      </c>
      <c r="BQ96" s="234">
        <f t="shared" si="345"/>
        <v>4.42</v>
      </c>
      <c r="BR96" s="234">
        <f t="shared" si="346"/>
        <v>4.42</v>
      </c>
      <c r="BS96" s="234">
        <f t="shared" si="347"/>
        <v>4.42</v>
      </c>
      <c r="BU96" s="58">
        <v>50000</v>
      </c>
      <c r="BV96" s="58" t="s">
        <v>189</v>
      </c>
      <c r="BW96" s="4">
        <v>0.44</v>
      </c>
    </row>
    <row r="97" spans="16:75">
      <c r="P97" s="4" t="s">
        <v>852</v>
      </c>
      <c r="Q97" s="4" t="s">
        <v>853</v>
      </c>
      <c r="R97" s="4" t="s">
        <v>854</v>
      </c>
      <c r="AB97" s="4"/>
      <c r="AC97" s="368">
        <f>AF97*(AG20/AF20)</f>
        <v>2.9152526354053077</v>
      </c>
      <c r="AD97" s="58">
        <v>2000000</v>
      </c>
      <c r="AE97" s="58">
        <v>2000000</v>
      </c>
      <c r="AF97" s="234">
        <v>2.33</v>
      </c>
      <c r="AG97" s="234" t="s">
        <v>189</v>
      </c>
      <c r="AH97" s="369">
        <f t="shared" si="348"/>
        <v>3.0031861141403127</v>
      </c>
      <c r="AI97" s="369">
        <f t="shared" si="348"/>
        <v>3.0988862231915668</v>
      </c>
      <c r="AJ97" s="369">
        <f t="shared" si="348"/>
        <v>3.1310374409305708</v>
      </c>
      <c r="AK97" s="369">
        <f t="shared" si="348"/>
        <v>3.2377895310796077</v>
      </c>
      <c r="AL97" s="369">
        <f t="shared" si="348"/>
        <v>3.3010872410032714</v>
      </c>
      <c r="AM97" s="369">
        <f t="shared" si="348"/>
        <v>3.4420000000000002</v>
      </c>
      <c r="AN97" s="369">
        <f t="shared" si="348"/>
        <v>3.4420000000000002</v>
      </c>
      <c r="AO97" s="369">
        <f t="shared" si="348"/>
        <v>3.4420000000000002</v>
      </c>
      <c r="AP97" s="369">
        <f t="shared" si="348"/>
        <v>3.4420000000000002</v>
      </c>
      <c r="AQ97" s="369">
        <f t="shared" si="348"/>
        <v>3.4420000000000002</v>
      </c>
      <c r="AR97" s="369">
        <f t="shared" si="348"/>
        <v>3.4420000000000002</v>
      </c>
      <c r="AS97" s="369">
        <f t="shared" si="348"/>
        <v>3.4420000000000002</v>
      </c>
      <c r="AT97" s="369">
        <f t="shared" si="348"/>
        <v>3.4420000000000002</v>
      </c>
      <c r="AU97" s="369">
        <f t="shared" si="348"/>
        <v>3.4420000000000002</v>
      </c>
      <c r="AV97" s="369">
        <f t="shared" si="348"/>
        <v>3.4420000000000002</v>
      </c>
      <c r="AX97" s="4"/>
      <c r="AY97" s="58">
        <v>5000000</v>
      </c>
      <c r="AZ97" s="58">
        <f t="shared" si="316"/>
        <v>5000000</v>
      </c>
      <c r="BB97" s="234">
        <f t="shared" si="331"/>
        <v>3.35</v>
      </c>
      <c r="BC97" s="234" t="str">
        <f t="shared" si="332"/>
        <v>N/A</v>
      </c>
      <c r="BD97" s="234">
        <f t="shared" si="311"/>
        <v>3.8035804540967426</v>
      </c>
      <c r="BE97" s="234">
        <f t="shared" si="333"/>
        <v>4.2571609081934847</v>
      </c>
      <c r="BF97" s="234">
        <f t="shared" si="334"/>
        <v>4.3350157946692986</v>
      </c>
      <c r="BG97" s="234">
        <f t="shared" si="335"/>
        <v>4.3611717670286279</v>
      </c>
      <c r="BH97" s="234">
        <f t="shared" si="336"/>
        <v>4.448017769002961</v>
      </c>
      <c r="BI97" s="234">
        <f t="shared" si="337"/>
        <v>4.4995123395853893</v>
      </c>
      <c r="BJ97" s="234">
        <f t="shared" si="338"/>
        <v>4.61414906219151</v>
      </c>
      <c r="BK97" s="234">
        <f t="shared" si="339"/>
        <v>4.7197946692991115</v>
      </c>
      <c r="BL97" s="234">
        <f t="shared" si="340"/>
        <v>4.8003060217176703</v>
      </c>
      <c r="BM97" s="234">
        <f t="shared" si="341"/>
        <v>4.88</v>
      </c>
      <c r="BN97" s="234">
        <f t="shared" si="342"/>
        <v>4.88</v>
      </c>
      <c r="BO97" s="234">
        <f t="shared" si="343"/>
        <v>4.88</v>
      </c>
      <c r="BP97" s="234">
        <f t="shared" si="344"/>
        <v>4.88</v>
      </c>
      <c r="BQ97" s="234">
        <f t="shared" si="345"/>
        <v>4.88</v>
      </c>
      <c r="BR97" s="234">
        <f t="shared" si="346"/>
        <v>4.88</v>
      </c>
      <c r="BS97" s="234">
        <f t="shared" si="347"/>
        <v>4.88</v>
      </c>
      <c r="BU97" s="58">
        <v>100000</v>
      </c>
      <c r="BV97" s="58" t="s">
        <v>189</v>
      </c>
      <c r="BW97" s="4">
        <v>0.6</v>
      </c>
    </row>
    <row r="98" spans="16:75">
      <c r="P98" s="4" t="s">
        <v>855</v>
      </c>
      <c r="Q98" s="4" t="s">
        <v>856</v>
      </c>
      <c r="R98" s="4" t="s">
        <v>857</v>
      </c>
      <c r="AB98" s="4"/>
      <c r="AC98" s="368">
        <f t="shared" ref="AC98:AC107" si="349">AF98*(AG21/AF21)</f>
        <v>3.1224489795918369</v>
      </c>
      <c r="AD98" s="58">
        <v>2000000</v>
      </c>
      <c r="AE98" s="58">
        <v>4000000</v>
      </c>
      <c r="AF98" s="234">
        <v>2.5</v>
      </c>
      <c r="AG98" s="234" t="s">
        <v>189</v>
      </c>
      <c r="AH98" s="369">
        <f t="shared" si="348"/>
        <v>3.1899755102040817</v>
      </c>
      <c r="AI98" s="369">
        <f t="shared" si="348"/>
        <v>3.2848367346938776</v>
      </c>
      <c r="AJ98" s="369">
        <f t="shared" si="348"/>
        <v>3.3167061224489798</v>
      </c>
      <c r="AK98" s="369">
        <f t="shared" si="348"/>
        <v>3.422522448979592</v>
      </c>
      <c r="AL98" s="369">
        <f t="shared" si="348"/>
        <v>3.4852653061224492</v>
      </c>
      <c r="AM98" s="369">
        <f t="shared" si="348"/>
        <v>3.624942857142857</v>
      </c>
      <c r="AN98" s="369">
        <f t="shared" si="348"/>
        <v>3.6720000000000002</v>
      </c>
      <c r="AO98" s="369">
        <f t="shared" si="348"/>
        <v>3.6720000000000002</v>
      </c>
      <c r="AP98" s="369">
        <f t="shared" si="348"/>
        <v>3.6720000000000002</v>
      </c>
      <c r="AQ98" s="369">
        <f t="shared" si="348"/>
        <v>3.6720000000000002</v>
      </c>
      <c r="AR98" s="369">
        <f t="shared" si="348"/>
        <v>3.6720000000000002</v>
      </c>
      <c r="AS98" s="369">
        <f t="shared" si="348"/>
        <v>3.6720000000000002</v>
      </c>
      <c r="AT98" s="369">
        <f t="shared" si="348"/>
        <v>3.6720000000000002</v>
      </c>
      <c r="AU98" s="369">
        <f t="shared" si="348"/>
        <v>3.6720000000000002</v>
      </c>
      <c r="AV98" s="369">
        <f t="shared" si="348"/>
        <v>3.6720000000000002</v>
      </c>
      <c r="AX98" s="4"/>
      <c r="AY98" s="58">
        <v>6000000</v>
      </c>
      <c r="AZ98" s="58">
        <f t="shared" si="316"/>
        <v>6000000</v>
      </c>
      <c r="BB98" s="234">
        <f t="shared" si="331"/>
        <v>3.86</v>
      </c>
      <c r="BC98" s="234" t="str">
        <f t="shared" si="332"/>
        <v>N/A</v>
      </c>
      <c r="BD98" s="234">
        <f t="shared" si="311"/>
        <v>4.2246367020076701</v>
      </c>
      <c r="BE98" s="234">
        <f t="shared" si="333"/>
        <v>4.5892734040153398</v>
      </c>
      <c r="BF98" s="234">
        <f t="shared" si="334"/>
        <v>4.6485763591247462</v>
      </c>
      <c r="BG98" s="234">
        <f t="shared" si="335"/>
        <v>4.6684996616286938</v>
      </c>
      <c r="BH98" s="234">
        <f t="shared" si="336"/>
        <v>4.7346512519738324</v>
      </c>
      <c r="BI98" s="234">
        <f t="shared" si="337"/>
        <v>4.7738752537784794</v>
      </c>
      <c r="BJ98" s="234">
        <f t="shared" si="338"/>
        <v>4.8611953530340628</v>
      </c>
      <c r="BK98" s="234">
        <f t="shared" si="339"/>
        <v>4.941666817053914</v>
      </c>
      <c r="BL98" s="234">
        <f t="shared" si="340"/>
        <v>5.0029932325738775</v>
      </c>
      <c r="BM98" s="234">
        <f t="shared" si="341"/>
        <v>5.0636970448905938</v>
      </c>
      <c r="BN98" s="234">
        <f t="shared" si="342"/>
        <v>5.1230000000000002</v>
      </c>
      <c r="BO98" s="234">
        <f t="shared" si="343"/>
        <v>5.1230000000000002</v>
      </c>
      <c r="BP98" s="234">
        <f t="shared" si="344"/>
        <v>5.1230000000000002</v>
      </c>
      <c r="BQ98" s="234">
        <f t="shared" si="345"/>
        <v>5.1230000000000002</v>
      </c>
      <c r="BR98" s="234">
        <f t="shared" si="346"/>
        <v>5.1230000000000002</v>
      </c>
      <c r="BS98" s="234">
        <f t="shared" si="347"/>
        <v>5.1230000000000002</v>
      </c>
      <c r="BU98" s="58">
        <v>150000</v>
      </c>
      <c r="BV98" s="58" t="s">
        <v>189</v>
      </c>
      <c r="BW98" s="4">
        <v>0.6</v>
      </c>
    </row>
    <row r="99" spans="16:75">
      <c r="P99" s="4" t="s">
        <v>858</v>
      </c>
      <c r="Q99" s="4" t="s">
        <v>859</v>
      </c>
      <c r="R99" s="4" t="s">
        <v>860</v>
      </c>
      <c r="AB99" s="4"/>
      <c r="AC99" s="368">
        <f t="shared" si="349"/>
        <v>3.2717258261933906</v>
      </c>
      <c r="AD99" s="58">
        <v>3000000</v>
      </c>
      <c r="AE99" s="58">
        <v>3000000</v>
      </c>
      <c r="AF99" s="234">
        <v>2.7</v>
      </c>
      <c r="AG99" s="234" t="s">
        <v>189</v>
      </c>
      <c r="AH99" s="369">
        <f t="shared" si="348"/>
        <v>3.4805973072215419</v>
      </c>
      <c r="AI99" s="369">
        <f t="shared" si="348"/>
        <v>3.5612741738066096</v>
      </c>
      <c r="AJ99" s="369">
        <f t="shared" si="348"/>
        <v>3.588378212974296</v>
      </c>
      <c r="AK99" s="369">
        <f t="shared" si="348"/>
        <v>3.6783720930232557</v>
      </c>
      <c r="AL99" s="369">
        <f t="shared" si="348"/>
        <v>3.731733170134639</v>
      </c>
      <c r="AM99" s="369">
        <f t="shared" si="348"/>
        <v>3.8505250917992653</v>
      </c>
      <c r="AN99" s="369">
        <f t="shared" si="348"/>
        <v>3.96</v>
      </c>
      <c r="AO99" s="369">
        <f t="shared" si="348"/>
        <v>3.96</v>
      </c>
      <c r="AP99" s="369">
        <f t="shared" si="348"/>
        <v>3.96</v>
      </c>
      <c r="AQ99" s="369">
        <f t="shared" si="348"/>
        <v>3.96</v>
      </c>
      <c r="AR99" s="369">
        <f t="shared" si="348"/>
        <v>3.96</v>
      </c>
      <c r="AS99" s="369">
        <f t="shared" si="348"/>
        <v>3.96</v>
      </c>
      <c r="AT99" s="369">
        <f t="shared" si="348"/>
        <v>3.96</v>
      </c>
      <c r="AU99" s="369">
        <f t="shared" si="348"/>
        <v>3.96</v>
      </c>
      <c r="AV99" s="369">
        <f t="shared" si="348"/>
        <v>3.96</v>
      </c>
      <c r="AX99" s="4"/>
      <c r="AY99" s="58">
        <v>7000000</v>
      </c>
      <c r="AZ99" s="58">
        <f t="shared" si="316"/>
        <v>7000000</v>
      </c>
      <c r="BB99" s="234">
        <f t="shared" si="331"/>
        <v>4.07</v>
      </c>
      <c r="BC99" s="234" t="str">
        <f t="shared" si="332"/>
        <v>N/A</v>
      </c>
      <c r="BD99" s="234">
        <f t="shared" si="311"/>
        <v>4.4576603134265138</v>
      </c>
      <c r="BE99" s="234">
        <f t="shared" si="333"/>
        <v>4.8453206268530282</v>
      </c>
      <c r="BF99" s="234">
        <f t="shared" si="334"/>
        <v>4.8921185938161793</v>
      </c>
      <c r="BG99" s="234">
        <f t="shared" si="335"/>
        <v>4.9078407454468449</v>
      </c>
      <c r="BH99" s="234">
        <f t="shared" si="336"/>
        <v>4.9600432020330372</v>
      </c>
      <c r="BI99" s="234">
        <f t="shared" si="337"/>
        <v>4.9909961880559086</v>
      </c>
      <c r="BJ99" s="234">
        <f t="shared" si="338"/>
        <v>5.0599034307496824</v>
      </c>
      <c r="BK99" s="234">
        <f t="shared" si="339"/>
        <v>5.123406183820415</v>
      </c>
      <c r="BL99" s="234">
        <f t="shared" si="340"/>
        <v>5.1718009318085558</v>
      </c>
      <c r="BM99" s="234">
        <f t="shared" si="341"/>
        <v>5.2197043625582378</v>
      </c>
      <c r="BN99" s="234">
        <f t="shared" si="342"/>
        <v>5.2665023295213889</v>
      </c>
      <c r="BO99" s="234">
        <f t="shared" si="343"/>
        <v>5.3019999999999996</v>
      </c>
      <c r="BP99" s="234">
        <f t="shared" si="344"/>
        <v>5.3019999999999996</v>
      </c>
      <c r="BQ99" s="234">
        <f t="shared" si="345"/>
        <v>5.3019999999999996</v>
      </c>
      <c r="BR99" s="234">
        <f t="shared" si="346"/>
        <v>5.3019999999999996</v>
      </c>
      <c r="BS99" s="234">
        <f t="shared" si="347"/>
        <v>5.3019999999999996</v>
      </c>
      <c r="BU99" s="58">
        <v>250000</v>
      </c>
      <c r="BV99" s="58" t="s">
        <v>189</v>
      </c>
      <c r="BW99" s="4">
        <v>0.65</v>
      </c>
    </row>
    <row r="100" spans="16:75">
      <c r="P100" s="4" t="s">
        <v>861</v>
      </c>
      <c r="Q100" s="4" t="s">
        <v>862</v>
      </c>
      <c r="R100" s="4" t="s">
        <v>863</v>
      </c>
      <c r="AB100" s="4"/>
      <c r="AC100" s="368">
        <f t="shared" si="349"/>
        <v>3.681321682140906</v>
      </c>
      <c r="AD100" s="58">
        <v>4000000</v>
      </c>
      <c r="AE100" s="58">
        <v>4000000</v>
      </c>
      <c r="AF100" s="234">
        <v>3.05</v>
      </c>
      <c r="AG100" s="234" t="s">
        <v>189</v>
      </c>
      <c r="AH100" s="369">
        <f t="shared" si="348"/>
        <v>3.8698186783178592</v>
      </c>
      <c r="AI100" s="369">
        <f t="shared" si="348"/>
        <v>3.9486821409066084</v>
      </c>
      <c r="AJ100" s="369">
        <f t="shared" si="348"/>
        <v>3.9751769524849809</v>
      </c>
      <c r="AK100" s="369">
        <f t="shared" si="348"/>
        <v>4.0631480065537957</v>
      </c>
      <c r="AL100" s="369">
        <f t="shared" si="348"/>
        <v>4.1153096668487166</v>
      </c>
      <c r="AM100" s="369">
        <f t="shared" si="348"/>
        <v>4.2314314582195518</v>
      </c>
      <c r="AN100" s="369">
        <f t="shared" si="348"/>
        <v>4.3384456581103219</v>
      </c>
      <c r="AO100" s="369">
        <f t="shared" si="348"/>
        <v>4.42</v>
      </c>
      <c r="AP100" s="369">
        <f t="shared" si="348"/>
        <v>4.42</v>
      </c>
      <c r="AQ100" s="369">
        <f t="shared" si="348"/>
        <v>4.42</v>
      </c>
      <c r="AR100" s="369">
        <f t="shared" si="348"/>
        <v>4.42</v>
      </c>
      <c r="AS100" s="369">
        <f t="shared" si="348"/>
        <v>4.42</v>
      </c>
      <c r="AT100" s="369">
        <f t="shared" si="348"/>
        <v>4.42</v>
      </c>
      <c r="AU100" s="369">
        <f t="shared" si="348"/>
        <v>4.42</v>
      </c>
      <c r="AV100" s="369">
        <f t="shared" si="348"/>
        <v>4.42</v>
      </c>
      <c r="AX100" s="4"/>
      <c r="AY100" s="58">
        <v>8000000</v>
      </c>
      <c r="AZ100" s="58">
        <f t="shared" si="316"/>
        <v>8000000</v>
      </c>
      <c r="BB100" s="234">
        <f t="shared" si="331"/>
        <v>4.29</v>
      </c>
      <c r="BC100" s="234" t="str">
        <f t="shared" si="332"/>
        <v>N/A</v>
      </c>
      <c r="BD100" s="234">
        <f t="shared" si="311"/>
        <v>4.7014999999999993</v>
      </c>
      <c r="BE100" s="234">
        <f t="shared" si="333"/>
        <v>5.1129999999999995</v>
      </c>
      <c r="BF100" s="234">
        <f t="shared" si="334"/>
        <v>5.1482918326693223</v>
      </c>
      <c r="BG100" s="234">
        <f t="shared" si="335"/>
        <v>5.1601484063745016</v>
      </c>
      <c r="BH100" s="234">
        <f t="shared" si="336"/>
        <v>5.1995159362549801</v>
      </c>
      <c r="BI100" s="234">
        <f t="shared" si="337"/>
        <v>5.2228585657370514</v>
      </c>
      <c r="BJ100" s="234">
        <f t="shared" si="338"/>
        <v>5.2748237051792826</v>
      </c>
      <c r="BK100" s="234">
        <f t="shared" si="339"/>
        <v>5.3227131474103588</v>
      </c>
      <c r="BL100" s="234">
        <f t="shared" si="340"/>
        <v>5.3592091633466135</v>
      </c>
      <c r="BM100" s="234">
        <f t="shared" si="341"/>
        <v>5.3953346613545818</v>
      </c>
      <c r="BN100" s="234">
        <f t="shared" si="342"/>
        <v>5.4306264940239046</v>
      </c>
      <c r="BO100" s="234">
        <f t="shared" si="343"/>
        <v>5.4573964143426297</v>
      </c>
      <c r="BP100" s="234">
        <f t="shared" si="344"/>
        <v>5.4850000000000003</v>
      </c>
      <c r="BQ100" s="234">
        <f t="shared" si="345"/>
        <v>5.4850000000000003</v>
      </c>
      <c r="BR100" s="234">
        <f t="shared" si="346"/>
        <v>5.4850000000000003</v>
      </c>
      <c r="BS100" s="234">
        <f t="shared" si="347"/>
        <v>5.4850000000000003</v>
      </c>
      <c r="BU100" s="58">
        <v>500000</v>
      </c>
      <c r="BV100" s="58" t="s">
        <v>189</v>
      </c>
      <c r="BW100" s="4">
        <v>0.7</v>
      </c>
    </row>
    <row r="101" spans="16:75">
      <c r="P101" s="4" t="s">
        <v>864</v>
      </c>
      <c r="Q101" s="4" t="s">
        <v>865</v>
      </c>
      <c r="R101" s="4" t="s">
        <v>866</v>
      </c>
      <c r="AB101" s="4"/>
      <c r="AC101" s="368">
        <f t="shared" si="349"/>
        <v>4.034550839091807</v>
      </c>
      <c r="AD101" s="58">
        <v>5000000</v>
      </c>
      <c r="AE101" s="58">
        <v>5000000</v>
      </c>
      <c r="AF101" s="234">
        <v>3.35</v>
      </c>
      <c r="AG101" s="234" t="s">
        <v>189</v>
      </c>
      <c r="AH101" s="369">
        <f t="shared" si="348"/>
        <v>4.2571609081934847</v>
      </c>
      <c r="AI101" s="369">
        <f t="shared" si="348"/>
        <v>4.3350157946692986</v>
      </c>
      <c r="AJ101" s="369">
        <f t="shared" si="348"/>
        <v>4.3611717670286279</v>
      </c>
      <c r="AK101" s="369">
        <f t="shared" si="348"/>
        <v>4.448017769002961</v>
      </c>
      <c r="AL101" s="369">
        <f t="shared" si="348"/>
        <v>4.4995123395853893</v>
      </c>
      <c r="AM101" s="369">
        <f t="shared" si="348"/>
        <v>4.61414906219151</v>
      </c>
      <c r="AN101" s="369">
        <f t="shared" si="348"/>
        <v>4.7197946692991115</v>
      </c>
      <c r="AO101" s="369">
        <f t="shared" si="348"/>
        <v>4.8003060217176703</v>
      </c>
      <c r="AP101" s="369">
        <f t="shared" si="348"/>
        <v>4.88</v>
      </c>
      <c r="AQ101" s="369">
        <f t="shared" si="348"/>
        <v>4.88</v>
      </c>
      <c r="AR101" s="369">
        <f t="shared" si="348"/>
        <v>4.88</v>
      </c>
      <c r="AS101" s="369">
        <f t="shared" si="348"/>
        <v>4.88</v>
      </c>
      <c r="AT101" s="369">
        <f t="shared" si="348"/>
        <v>4.88</v>
      </c>
      <c r="AU101" s="369">
        <f t="shared" si="348"/>
        <v>4.88</v>
      </c>
      <c r="AV101" s="369">
        <f t="shared" si="348"/>
        <v>4.88</v>
      </c>
      <c r="AY101" s="58">
        <v>9000000</v>
      </c>
      <c r="AZ101" s="58">
        <f t="shared" si="316"/>
        <v>9000000</v>
      </c>
      <c r="BB101" s="234">
        <f t="shared" si="331"/>
        <v>4.5</v>
      </c>
      <c r="BC101" s="234" t="str">
        <f t="shared" si="332"/>
        <v>N/A</v>
      </c>
      <c r="BD101" s="234">
        <f t="shared" si="311"/>
        <v>4.921742131209708</v>
      </c>
      <c r="BE101" s="234">
        <f t="shared" si="333"/>
        <v>5.3434842624194161</v>
      </c>
      <c r="BF101" s="234">
        <f t="shared" si="334"/>
        <v>5.3698522942737963</v>
      </c>
      <c r="BG101" s="234">
        <f t="shared" si="335"/>
        <v>5.3787108456579444</v>
      </c>
      <c r="BH101" s="234">
        <f t="shared" si="336"/>
        <v>5.4081240045506256</v>
      </c>
      <c r="BI101" s="234">
        <f t="shared" si="337"/>
        <v>5.4255642775881689</v>
      </c>
      <c r="BJ101" s="234">
        <f t="shared" si="338"/>
        <v>5.4643896473265077</v>
      </c>
      <c r="BK101" s="234">
        <f t="shared" si="339"/>
        <v>5.5001698900265454</v>
      </c>
      <c r="BL101" s="234">
        <f t="shared" si="340"/>
        <v>5.5274376185058784</v>
      </c>
      <c r="BM101" s="234">
        <f t="shared" si="341"/>
        <v>5.5544285172544559</v>
      </c>
      <c r="BN101" s="234">
        <f t="shared" si="342"/>
        <v>5.580796549108836</v>
      </c>
      <c r="BO101" s="234">
        <f t="shared" si="343"/>
        <v>5.6007974971558596</v>
      </c>
      <c r="BP101" s="234">
        <f t="shared" si="344"/>
        <v>5.6214213120970804</v>
      </c>
      <c r="BQ101" s="234">
        <f t="shared" si="345"/>
        <v>5.6390000000000002</v>
      </c>
      <c r="BR101" s="234">
        <f t="shared" si="346"/>
        <v>5.6390000000000002</v>
      </c>
      <c r="BS101" s="234">
        <f t="shared" si="347"/>
        <v>5.6390000000000002</v>
      </c>
      <c r="BU101" t="s">
        <v>572</v>
      </c>
      <c r="BV101" s="4"/>
    </row>
    <row r="102" spans="16:75">
      <c r="P102" s="4" t="s">
        <v>867</v>
      </c>
      <c r="Q102" s="4" t="s">
        <v>868</v>
      </c>
      <c r="R102" s="4" t="s">
        <v>869</v>
      </c>
      <c r="AB102" s="4"/>
      <c r="AC102" s="368">
        <f t="shared" si="349"/>
        <v>4.460812091134672</v>
      </c>
      <c r="AD102" s="58">
        <v>6000000</v>
      </c>
      <c r="AE102" s="58">
        <v>6000000</v>
      </c>
      <c r="AF102" s="234">
        <v>3.86</v>
      </c>
      <c r="AG102" s="234" t="s">
        <v>189</v>
      </c>
      <c r="AH102" s="369">
        <f t="shared" si="348"/>
        <v>4.5892734040153398</v>
      </c>
      <c r="AI102" s="369">
        <f t="shared" si="348"/>
        <v>4.6485763591247462</v>
      </c>
      <c r="AJ102" s="369">
        <f t="shared" si="348"/>
        <v>4.6684996616286938</v>
      </c>
      <c r="AK102" s="369">
        <f t="shared" si="348"/>
        <v>4.7346512519738324</v>
      </c>
      <c r="AL102" s="369">
        <f t="shared" si="348"/>
        <v>4.7738752537784794</v>
      </c>
      <c r="AM102" s="369">
        <f t="shared" si="348"/>
        <v>4.8611953530340628</v>
      </c>
      <c r="AN102" s="369">
        <f t="shared" si="348"/>
        <v>4.941666817053914</v>
      </c>
      <c r="AO102" s="369">
        <f t="shared" si="348"/>
        <v>5.0029932325738775</v>
      </c>
      <c r="AP102" s="369">
        <f t="shared" si="348"/>
        <v>5.0636970448905938</v>
      </c>
      <c r="AQ102" s="369">
        <f t="shared" si="348"/>
        <v>5.1230000000000002</v>
      </c>
      <c r="AR102" s="369">
        <f t="shared" si="348"/>
        <v>5.1230000000000002</v>
      </c>
      <c r="AS102" s="369">
        <f t="shared" si="348"/>
        <v>5.1230000000000002</v>
      </c>
      <c r="AT102" s="369">
        <f t="shared" si="348"/>
        <v>5.1230000000000002</v>
      </c>
      <c r="AU102" s="369">
        <f t="shared" si="348"/>
        <v>5.1230000000000002</v>
      </c>
      <c r="AV102" s="369">
        <f t="shared" si="348"/>
        <v>5.1230000000000002</v>
      </c>
      <c r="AY102" s="58">
        <v>10000000</v>
      </c>
      <c r="AZ102" s="58">
        <f t="shared" si="316"/>
        <v>10000000</v>
      </c>
      <c r="BB102" s="234">
        <f t="shared" si="331"/>
        <v>4.68</v>
      </c>
      <c r="BC102" s="234" t="str">
        <f t="shared" si="332"/>
        <v>N/A</v>
      </c>
      <c r="BD102" s="234">
        <f t="shared" si="311"/>
        <v>5.1133397307622337</v>
      </c>
      <c r="BE102" s="234">
        <f t="shared" si="333"/>
        <v>5.5466794615244677</v>
      </c>
      <c r="BF102" s="234">
        <f t="shared" si="334"/>
        <v>5.5655319265053667</v>
      </c>
      <c r="BG102" s="234">
        <f t="shared" si="335"/>
        <v>5.5718655630343825</v>
      </c>
      <c r="BH102" s="234">
        <f t="shared" si="336"/>
        <v>5.5928952155721303</v>
      </c>
      <c r="BI102" s="234">
        <f t="shared" si="337"/>
        <v>5.6053645624886306</v>
      </c>
      <c r="BJ102" s="234">
        <f t="shared" si="338"/>
        <v>5.6331237038384572</v>
      </c>
      <c r="BK102" s="234">
        <f t="shared" si="339"/>
        <v>5.658705657631435</v>
      </c>
      <c r="BL102" s="234">
        <f t="shared" si="340"/>
        <v>5.6782013825723121</v>
      </c>
      <c r="BM102" s="234">
        <f t="shared" si="341"/>
        <v>5.6974991813716569</v>
      </c>
      <c r="BN102" s="234">
        <f t="shared" si="342"/>
        <v>5.7163516463525559</v>
      </c>
      <c r="BO102" s="234">
        <f t="shared" si="343"/>
        <v>5.7306518100782249</v>
      </c>
      <c r="BP102" s="234">
        <f t="shared" si="344"/>
        <v>5.7453973076223397</v>
      </c>
      <c r="BQ102" s="234">
        <f t="shared" si="345"/>
        <v>5.7579656176096057</v>
      </c>
      <c r="BR102" s="234">
        <f t="shared" si="346"/>
        <v>5.7690000000000001</v>
      </c>
      <c r="BS102" s="234">
        <f t="shared" si="347"/>
        <v>5.7690000000000001</v>
      </c>
    </row>
    <row r="103" spans="16:75">
      <c r="P103" s="4" t="s">
        <v>870</v>
      </c>
      <c r="Q103" s="4" t="s">
        <v>871</v>
      </c>
      <c r="R103" s="4" t="s">
        <v>872</v>
      </c>
      <c r="AB103" s="4"/>
      <c r="AC103" s="368">
        <f t="shared" si="349"/>
        <v>4.5699152901312994</v>
      </c>
      <c r="AD103" s="58">
        <v>7000000</v>
      </c>
      <c r="AE103" s="58">
        <v>7000000</v>
      </c>
      <c r="AF103" s="234">
        <v>4.07</v>
      </c>
      <c r="AG103" s="234" t="s">
        <v>189</v>
      </c>
      <c r="AH103" s="369">
        <f t="shared" si="348"/>
        <v>4.8453206268530282</v>
      </c>
      <c r="AI103" s="369">
        <f t="shared" si="348"/>
        <v>4.8921185938161793</v>
      </c>
      <c r="AJ103" s="369">
        <f t="shared" si="348"/>
        <v>4.9078407454468449</v>
      </c>
      <c r="AK103" s="369">
        <f t="shared" si="348"/>
        <v>4.9600432020330372</v>
      </c>
      <c r="AL103" s="369">
        <f t="shared" si="348"/>
        <v>4.9909961880559086</v>
      </c>
      <c r="AM103" s="369">
        <f t="shared" si="348"/>
        <v>5.0599034307496824</v>
      </c>
      <c r="AN103" s="369">
        <f t="shared" si="348"/>
        <v>5.123406183820415</v>
      </c>
      <c r="AO103" s="369">
        <f t="shared" si="348"/>
        <v>5.1718009318085558</v>
      </c>
      <c r="AP103" s="369">
        <f t="shared" si="348"/>
        <v>5.2197043625582378</v>
      </c>
      <c r="AQ103" s="369">
        <f t="shared" si="348"/>
        <v>5.2665023295213889</v>
      </c>
      <c r="AR103" s="369">
        <f t="shared" si="348"/>
        <v>5.3019999999999996</v>
      </c>
      <c r="AS103" s="369">
        <f t="shared" si="348"/>
        <v>5.3019999999999996</v>
      </c>
      <c r="AT103" s="369">
        <f t="shared" si="348"/>
        <v>5.3019999999999996</v>
      </c>
      <c r="AU103" s="369">
        <f t="shared" si="348"/>
        <v>5.3019999999999996</v>
      </c>
      <c r="AV103" s="369">
        <f t="shared" si="348"/>
        <v>5.3019999999999996</v>
      </c>
      <c r="AY103" s="58">
        <v>15000000</v>
      </c>
      <c r="AZ103" s="58">
        <f t="shared" si="316"/>
        <v>15000000</v>
      </c>
      <c r="BB103" s="234">
        <f t="shared" si="331"/>
        <v>6.2</v>
      </c>
      <c r="BC103" s="234" t="str">
        <f t="shared" si="332"/>
        <v>N/A</v>
      </c>
      <c r="BD103" s="234">
        <f t="shared" si="311"/>
        <v>6.2050200000000002</v>
      </c>
      <c r="BE103" s="234">
        <f t="shared" si="333"/>
        <v>6.2100400000000002</v>
      </c>
      <c r="BF103" s="234">
        <f t="shared" si="334"/>
        <v>6.2138499999999999</v>
      </c>
      <c r="BG103" s="234">
        <f t="shared" si="335"/>
        <v>6.2151300000000003</v>
      </c>
      <c r="BH103" s="234">
        <f t="shared" si="336"/>
        <v>6.2193800000000001</v>
      </c>
      <c r="BI103" s="234">
        <f t="shared" si="337"/>
        <v>6.2218999999999998</v>
      </c>
      <c r="BJ103" s="234">
        <f t="shared" si="338"/>
        <v>6.2275099999999997</v>
      </c>
      <c r="BK103" s="234">
        <f t="shared" si="339"/>
        <v>6.2326800000000002</v>
      </c>
      <c r="BL103" s="234">
        <f t="shared" si="340"/>
        <v>6.2366199999999994</v>
      </c>
      <c r="BM103" s="234">
        <f t="shared" si="341"/>
        <v>6.2405200000000001</v>
      </c>
      <c r="BN103" s="234">
        <f t="shared" si="342"/>
        <v>6.2443299999999997</v>
      </c>
      <c r="BO103" s="234">
        <f t="shared" si="343"/>
        <v>6.2472199999999996</v>
      </c>
      <c r="BP103" s="234">
        <f t="shared" si="344"/>
        <v>6.2501999999999995</v>
      </c>
      <c r="BQ103" s="234">
        <f t="shared" si="345"/>
        <v>6.2527399999999993</v>
      </c>
      <c r="BR103" s="234">
        <f t="shared" si="346"/>
        <v>6.2549699999999993</v>
      </c>
      <c r="BS103" s="234">
        <f t="shared" si="347"/>
        <v>6.2619999999999996</v>
      </c>
    </row>
    <row r="104" spans="16:75">
      <c r="P104" s="4" t="s">
        <v>873</v>
      </c>
      <c r="Q104" s="4" t="s">
        <v>874</v>
      </c>
      <c r="R104" s="4" t="s">
        <v>875</v>
      </c>
      <c r="AB104" s="4"/>
      <c r="AC104" s="368">
        <f t="shared" si="349"/>
        <v>4.6873804780876505</v>
      </c>
      <c r="AD104" s="58">
        <v>8000000</v>
      </c>
      <c r="AE104" s="58">
        <v>8000000</v>
      </c>
      <c r="AF104" s="234">
        <v>4.29</v>
      </c>
      <c r="AG104" s="234" t="s">
        <v>189</v>
      </c>
      <c r="AH104" s="369">
        <f t="shared" si="348"/>
        <v>5.1129999999999995</v>
      </c>
      <c r="AI104" s="369">
        <f t="shared" si="348"/>
        <v>5.1482918326693223</v>
      </c>
      <c r="AJ104" s="369">
        <f t="shared" si="348"/>
        <v>5.1601484063745016</v>
      </c>
      <c r="AK104" s="369">
        <f t="shared" si="348"/>
        <v>5.1995159362549801</v>
      </c>
      <c r="AL104" s="369">
        <f t="shared" si="348"/>
        <v>5.2228585657370514</v>
      </c>
      <c r="AM104" s="369">
        <f t="shared" si="348"/>
        <v>5.2748237051792826</v>
      </c>
      <c r="AN104" s="369">
        <f t="shared" si="348"/>
        <v>5.3227131474103588</v>
      </c>
      <c r="AO104" s="369">
        <f t="shared" si="348"/>
        <v>5.3592091633466135</v>
      </c>
      <c r="AP104" s="369">
        <f t="shared" si="348"/>
        <v>5.3953346613545818</v>
      </c>
      <c r="AQ104" s="369">
        <f t="shared" si="348"/>
        <v>5.4306264940239046</v>
      </c>
      <c r="AR104" s="369">
        <f t="shared" si="348"/>
        <v>5.4573964143426297</v>
      </c>
      <c r="AS104" s="369">
        <f t="shared" si="348"/>
        <v>5.4850000000000003</v>
      </c>
      <c r="AT104" s="369">
        <f t="shared" si="348"/>
        <v>5.4850000000000003</v>
      </c>
      <c r="AU104" s="369">
        <f t="shared" si="348"/>
        <v>5.4850000000000003</v>
      </c>
      <c r="AV104" s="369">
        <f t="shared" si="348"/>
        <v>5.4850000000000003</v>
      </c>
      <c r="AY104" s="4"/>
      <c r="BB104" s="234" t="s">
        <v>2672</v>
      </c>
    </row>
    <row r="105" spans="16:75">
      <c r="P105" s="4" t="s">
        <v>876</v>
      </c>
      <c r="Q105" s="4" t="s">
        <v>877</v>
      </c>
      <c r="R105" s="4" t="s">
        <v>878</v>
      </c>
      <c r="AB105" s="4"/>
      <c r="AC105" s="368">
        <f t="shared" si="349"/>
        <v>4.8114334470989757</v>
      </c>
      <c r="AD105" s="58">
        <v>9000000</v>
      </c>
      <c r="AE105" s="58">
        <v>9000000</v>
      </c>
      <c r="AF105" s="234">
        <v>4.5</v>
      </c>
      <c r="AG105" s="234" t="s">
        <v>189</v>
      </c>
      <c r="AH105" s="369">
        <f t="shared" si="348"/>
        <v>5.3434842624194161</v>
      </c>
      <c r="AI105" s="369">
        <f t="shared" si="348"/>
        <v>5.3698522942737963</v>
      </c>
      <c r="AJ105" s="369">
        <f t="shared" si="348"/>
        <v>5.3787108456579444</v>
      </c>
      <c r="AK105" s="369">
        <f t="shared" si="348"/>
        <v>5.4081240045506256</v>
      </c>
      <c r="AL105" s="369">
        <f t="shared" si="348"/>
        <v>5.4255642775881689</v>
      </c>
      <c r="AM105" s="369">
        <f t="shared" si="348"/>
        <v>5.4643896473265077</v>
      </c>
      <c r="AN105" s="369">
        <f t="shared" si="348"/>
        <v>5.5001698900265454</v>
      </c>
      <c r="AO105" s="369">
        <f t="shared" si="348"/>
        <v>5.5274376185058784</v>
      </c>
      <c r="AP105" s="369">
        <f t="shared" si="348"/>
        <v>5.5544285172544559</v>
      </c>
      <c r="AQ105" s="369">
        <f t="shared" si="348"/>
        <v>5.580796549108836</v>
      </c>
      <c r="AR105" s="369">
        <f t="shared" si="348"/>
        <v>5.6007974971558596</v>
      </c>
      <c r="AS105" s="369">
        <f t="shared" si="348"/>
        <v>5.6214213120970804</v>
      </c>
      <c r="AT105" s="369">
        <f t="shared" si="348"/>
        <v>5.6390000000000002</v>
      </c>
      <c r="AU105" s="369">
        <f t="shared" si="348"/>
        <v>5.6390000000000002</v>
      </c>
      <c r="AV105" s="369">
        <f t="shared" si="348"/>
        <v>5.6390000000000002</v>
      </c>
      <c r="AY105" s="4"/>
    </row>
    <row r="106" spans="16:75">
      <c r="P106" s="4" t="s">
        <v>879</v>
      </c>
      <c r="Q106" s="4" t="s">
        <v>880</v>
      </c>
      <c r="R106" s="4" t="s">
        <v>881</v>
      </c>
      <c r="AB106" s="4"/>
      <c r="AC106" s="368">
        <f t="shared" si="349"/>
        <v>4.9115735855921407</v>
      </c>
      <c r="AD106" s="58">
        <v>10000000</v>
      </c>
      <c r="AE106" s="58">
        <v>10000000</v>
      </c>
      <c r="AF106" s="234">
        <v>4.68</v>
      </c>
      <c r="AG106" s="234" t="s">
        <v>189</v>
      </c>
      <c r="AH106" s="369">
        <f t="shared" si="348"/>
        <v>5.5466794615244677</v>
      </c>
      <c r="AI106" s="369">
        <f t="shared" si="348"/>
        <v>5.5655319265053667</v>
      </c>
      <c r="AJ106" s="369">
        <f t="shared" si="348"/>
        <v>5.5718655630343825</v>
      </c>
      <c r="AK106" s="369">
        <f t="shared" si="348"/>
        <v>5.5928952155721303</v>
      </c>
      <c r="AL106" s="369">
        <f t="shared" si="348"/>
        <v>5.6053645624886306</v>
      </c>
      <c r="AM106" s="369">
        <f t="shared" si="348"/>
        <v>5.6331237038384572</v>
      </c>
      <c r="AN106" s="369">
        <f t="shared" si="348"/>
        <v>5.658705657631435</v>
      </c>
      <c r="AO106" s="369">
        <f t="shared" si="348"/>
        <v>5.6782013825723121</v>
      </c>
      <c r="AP106" s="369">
        <f t="shared" si="348"/>
        <v>5.6974991813716569</v>
      </c>
      <c r="AQ106" s="369">
        <f t="shared" si="348"/>
        <v>5.7163516463525559</v>
      </c>
      <c r="AR106" s="369">
        <f t="shared" si="348"/>
        <v>5.7306518100782249</v>
      </c>
      <c r="AS106" s="369">
        <f t="shared" si="348"/>
        <v>5.7453973076223397</v>
      </c>
      <c r="AT106" s="369">
        <f t="shared" si="348"/>
        <v>5.7579656176096057</v>
      </c>
      <c r="AU106" s="369">
        <f t="shared" si="348"/>
        <v>5.7690000000000001</v>
      </c>
      <c r="AV106" s="369">
        <f t="shared" si="348"/>
        <v>5.7690000000000001</v>
      </c>
      <c r="AY106" s="4"/>
    </row>
    <row r="107" spans="16:75">
      <c r="P107" s="4" t="s">
        <v>882</v>
      </c>
      <c r="Q107" s="4" t="s">
        <v>883</v>
      </c>
      <c r="R107" s="4" t="s">
        <v>884</v>
      </c>
      <c r="AB107" s="4"/>
      <c r="AC107" s="368">
        <f t="shared" si="349"/>
        <v>6.2620000000000005</v>
      </c>
      <c r="AD107" s="58">
        <v>15000000</v>
      </c>
      <c r="AE107" s="58">
        <v>15000000</v>
      </c>
      <c r="AF107" s="234">
        <v>6.2</v>
      </c>
      <c r="AG107" s="234" t="s">
        <v>189</v>
      </c>
      <c r="AH107" s="369">
        <f t="shared" si="348"/>
        <v>6.2100400000000002</v>
      </c>
      <c r="AI107" s="369">
        <f t="shared" si="348"/>
        <v>6.2138499999999999</v>
      </c>
      <c r="AJ107" s="369">
        <f t="shared" si="348"/>
        <v>6.2151300000000003</v>
      </c>
      <c r="AK107" s="369">
        <f t="shared" si="348"/>
        <v>6.2193800000000001</v>
      </c>
      <c r="AL107" s="369">
        <f t="shared" si="348"/>
        <v>6.2218999999999998</v>
      </c>
      <c r="AM107" s="369">
        <f t="shared" si="348"/>
        <v>6.2275099999999997</v>
      </c>
      <c r="AN107" s="369">
        <f t="shared" si="348"/>
        <v>6.2326800000000002</v>
      </c>
      <c r="AO107" s="369">
        <f t="shared" si="348"/>
        <v>6.2366199999999994</v>
      </c>
      <c r="AP107" s="369">
        <f t="shared" si="348"/>
        <v>6.2405200000000001</v>
      </c>
      <c r="AQ107" s="369">
        <f t="shared" si="348"/>
        <v>6.2443299999999997</v>
      </c>
      <c r="AR107" s="369">
        <f t="shared" si="348"/>
        <v>6.2472199999999996</v>
      </c>
      <c r="AS107" s="369">
        <f t="shared" si="348"/>
        <v>6.2501999999999995</v>
      </c>
      <c r="AT107" s="369">
        <f t="shared" si="348"/>
        <v>6.2527399999999993</v>
      </c>
      <c r="AU107" s="369">
        <f t="shared" si="348"/>
        <v>6.2549699999999993</v>
      </c>
      <c r="AV107" s="369">
        <f t="shared" si="348"/>
        <v>6.2619999999999996</v>
      </c>
      <c r="AY107" s="4"/>
    </row>
    <row r="108" spans="16:75">
      <c r="P108" s="4" t="s">
        <v>885</v>
      </c>
      <c r="Q108" s="4" t="s">
        <v>886</v>
      </c>
      <c r="R108" s="4" t="s">
        <v>887</v>
      </c>
      <c r="AB108" s="4"/>
      <c r="AD108" s="58"/>
      <c r="AE108" s="58"/>
      <c r="AY108" s="4" t="s">
        <v>393</v>
      </c>
      <c r="BB108" s="234" t="str">
        <f>BB4</f>
        <v>Claims Expense Inside of Limits</v>
      </c>
    </row>
    <row r="109" spans="16:75">
      <c r="P109" s="4" t="s">
        <v>888</v>
      </c>
      <c r="Q109" s="4" t="s">
        <v>889</v>
      </c>
      <c r="R109" s="4" t="s">
        <v>890</v>
      </c>
      <c r="AD109" s="58" t="s">
        <v>1387</v>
      </c>
      <c r="AE109" s="58"/>
      <c r="AY109" s="58">
        <v>250000</v>
      </c>
      <c r="AZ109" s="58">
        <v>0</v>
      </c>
      <c r="BB109" s="234" t="str">
        <f t="shared" ref="BB109:BC109" si="350">IFERROR(AF91/AF90,"N/A")</f>
        <v>N/A</v>
      </c>
      <c r="BC109" s="234">
        <f t="shared" si="350"/>
        <v>1.062905732833501</v>
      </c>
      <c r="BD109" s="234">
        <f t="shared" ref="BD109:BD113" si="351">AVERAGE(BB109,BE109)</f>
        <v>1.0389055430085052</v>
      </c>
      <c r="BE109" s="234">
        <f t="shared" ref="BE109:BS109" si="352">IFERROR(AH91/AH90,"N/A")</f>
        <v>1.0389055430085052</v>
      </c>
      <c r="BF109" s="234">
        <f t="shared" si="352"/>
        <v>1.0344329184031784</v>
      </c>
      <c r="BG109" s="234">
        <f t="shared" si="352"/>
        <v>1.0330621026418318</v>
      </c>
      <c r="BH109" s="234">
        <f t="shared" si="352"/>
        <v>1.0471720893384266</v>
      </c>
      <c r="BI109" s="234">
        <f t="shared" si="352"/>
        <v>1.0471720893384266</v>
      </c>
      <c r="BJ109" s="234">
        <f t="shared" si="352"/>
        <v>1.0471720893384266</v>
      </c>
      <c r="BK109" s="234">
        <f t="shared" si="352"/>
        <v>1.0471720893384266</v>
      </c>
      <c r="BL109" s="234">
        <f t="shared" si="352"/>
        <v>1.0471720893384266</v>
      </c>
      <c r="BM109" s="234">
        <f t="shared" si="352"/>
        <v>1.0471720893384266</v>
      </c>
      <c r="BN109" s="234">
        <f t="shared" si="352"/>
        <v>1.0471720893384266</v>
      </c>
      <c r="BO109" s="234">
        <f t="shared" si="352"/>
        <v>1.0471720893384266</v>
      </c>
      <c r="BP109" s="234">
        <f t="shared" si="352"/>
        <v>1.0471720893384266</v>
      </c>
      <c r="BQ109" s="234">
        <f t="shared" si="352"/>
        <v>1.0471720893384266</v>
      </c>
      <c r="BR109" s="234">
        <f t="shared" si="352"/>
        <v>1.0471720893384266</v>
      </c>
      <c r="BS109" s="234">
        <f t="shared" si="352"/>
        <v>1.0471720893384266</v>
      </c>
    </row>
    <row r="110" spans="16:75">
      <c r="P110" s="4" t="s">
        <v>891</v>
      </c>
      <c r="Q110" s="4" t="s">
        <v>892</v>
      </c>
      <c r="R110" s="4" t="s">
        <v>893</v>
      </c>
      <c r="AY110" s="58">
        <v>500000</v>
      </c>
      <c r="AZ110" s="58">
        <f t="shared" ref="AZ110:AZ113" si="353">AY110</f>
        <v>500000</v>
      </c>
      <c r="BB110" s="234" t="str">
        <f t="shared" ref="BB110:BC110" si="354">IFERROR(AF93/AF92,"N/A")</f>
        <v>N/A</v>
      </c>
      <c r="BC110" s="234">
        <f t="shared" si="354"/>
        <v>1.0701607851325956</v>
      </c>
      <c r="BD110" s="234">
        <f t="shared" si="351"/>
        <v>1.0564435088400645</v>
      </c>
      <c r="BE110" s="234">
        <f t="shared" ref="BE110:BS110" si="355">IFERROR(AH93/AH92,"N/A")</f>
        <v>1.0564435088400645</v>
      </c>
      <c r="BF110" s="234">
        <f t="shared" si="355"/>
        <v>1.0488763941632371</v>
      </c>
      <c r="BG110" s="234">
        <f t="shared" si="355"/>
        <v>1.0464639094159138</v>
      </c>
      <c r="BH110" s="234">
        <f t="shared" si="355"/>
        <v>1.0388797090380268</v>
      </c>
      <c r="BI110" s="234">
        <f t="shared" si="355"/>
        <v>1.053363141338457</v>
      </c>
      <c r="BJ110" s="234">
        <f t="shared" si="355"/>
        <v>1.053363141338457</v>
      </c>
      <c r="BK110" s="234">
        <f t="shared" si="355"/>
        <v>1.053363141338457</v>
      </c>
      <c r="BL110" s="234">
        <f t="shared" si="355"/>
        <v>1.053363141338457</v>
      </c>
      <c r="BM110" s="234">
        <f t="shared" si="355"/>
        <v>1.053363141338457</v>
      </c>
      <c r="BN110" s="234">
        <f t="shared" si="355"/>
        <v>1.053363141338457</v>
      </c>
      <c r="BO110" s="234">
        <f t="shared" si="355"/>
        <v>1.053363141338457</v>
      </c>
      <c r="BP110" s="234">
        <f t="shared" si="355"/>
        <v>1.053363141338457</v>
      </c>
      <c r="BQ110" s="234">
        <f t="shared" si="355"/>
        <v>1.053363141338457</v>
      </c>
      <c r="BR110" s="234">
        <f t="shared" si="355"/>
        <v>1.053363141338457</v>
      </c>
      <c r="BS110" s="234">
        <f t="shared" si="355"/>
        <v>1.053363141338457</v>
      </c>
    </row>
    <row r="111" spans="16:75">
      <c r="P111" s="4" t="s">
        <v>894</v>
      </c>
      <c r="Q111" s="4" t="s">
        <v>895</v>
      </c>
      <c r="R111" s="4" t="s">
        <v>896</v>
      </c>
      <c r="AY111" s="58">
        <v>750000</v>
      </c>
      <c r="AZ111" s="58">
        <f>AY111</f>
        <v>750000</v>
      </c>
      <c r="BB111" s="364" t="str">
        <f>IFERROR((BB112-BB110)*($AY111-$AY110)/($AY112-$AY110)+BB110,"N/A")</f>
        <v>N/A</v>
      </c>
      <c r="BC111" s="364">
        <f t="shared" ref="BC111" si="356">IFERROR((BC112-BC110)*($AY111-$AY110)/($AY112-$AY110)+BC110,"N/A")</f>
        <v>1.0733579045280204</v>
      </c>
      <c r="BD111" s="364">
        <f t="shared" si="351"/>
        <v>1.0637541443024796</v>
      </c>
      <c r="BE111" s="364">
        <f t="shared" ref="BE111" si="357">IFERROR((BE112-BE110)*($AY111-$AY110)/($AY112-$AY110)+BE110,"N/A")</f>
        <v>1.0637541443024796</v>
      </c>
      <c r="BF111" s="364">
        <f t="shared" ref="BF111" si="358">IFERROR((BF112-BF110)*($AY111-$AY110)/($AY112-$AY110)+BF110,"N/A")</f>
        <v>1.0556197020456253</v>
      </c>
      <c r="BG111" s="364">
        <f t="shared" ref="BG111" si="359">IFERROR((BG112-BG110)*($AY111-$AY110)/($AY112-$AY110)+BG110,"N/A")</f>
        <v>1.0530257983825329</v>
      </c>
      <c r="BH111" s="364">
        <f t="shared" ref="BH111" si="360">IFERROR((BH112-BH110)*($AY111-$AY110)/($AY112-$AY110)+BH110,"N/A")</f>
        <v>1.0448695382634885</v>
      </c>
      <c r="BI111" s="364">
        <f t="shared" ref="BI111" si="361">IFERROR((BI112-BI110)*($AY111-$AY110)/($AY112-$AY110)+BI110,"N/A")</f>
        <v>1.0496869239080167</v>
      </c>
      <c r="BJ111" s="364">
        <f t="shared" ref="BJ111" si="362">IFERROR((BJ112-BJ110)*($AY111-$AY110)/($AY112-$AY110)+BJ110,"N/A")</f>
        <v>1.0581132567157401</v>
      </c>
      <c r="BK111" s="364">
        <f t="shared" ref="BK111" si="363">IFERROR((BK112-BK110)*($AY111-$AY110)/($AY112-$AY110)+BK110,"N/A")</f>
        <v>1.0581132567157401</v>
      </c>
      <c r="BL111" s="364">
        <f t="shared" ref="BL111" si="364">IFERROR((BL112-BL110)*($AY111-$AY110)/($AY112-$AY110)+BL110,"N/A")</f>
        <v>1.0581132567157401</v>
      </c>
      <c r="BM111" s="364">
        <f t="shared" ref="BM111" si="365">IFERROR((BM112-BM110)*($AY111-$AY110)/($AY112-$AY110)+BM110,"N/A")</f>
        <v>1.0581132567157401</v>
      </c>
      <c r="BN111" s="364">
        <f t="shared" ref="BN111" si="366">IFERROR((BN112-BN110)*($AY111-$AY110)/($AY112-$AY110)+BN110,"N/A")</f>
        <v>1.0581132567157401</v>
      </c>
      <c r="BO111" s="364">
        <f t="shared" ref="BO111" si="367">IFERROR((BO112-BO110)*($AY111-$AY110)/($AY112-$AY110)+BO110,"N/A")</f>
        <v>1.0581132567157401</v>
      </c>
      <c r="BP111" s="364">
        <f t="shared" ref="BP111" si="368">IFERROR((BP112-BP110)*($AY111-$AY110)/($AY112-$AY110)+BP110,"N/A")</f>
        <v>1.0581132567157401</v>
      </c>
      <c r="BQ111" s="364">
        <f t="shared" ref="BQ111" si="369">IFERROR((BQ112-BQ110)*($AY111-$AY110)/($AY112-$AY110)+BQ110,"N/A")</f>
        <v>1.0581132567157401</v>
      </c>
      <c r="BR111" s="364">
        <f t="shared" ref="BR111" si="370">IFERROR((BR112-BR110)*($AY111-$AY110)/($AY112-$AY110)+BR110,"N/A")</f>
        <v>1.0581132567157401</v>
      </c>
      <c r="BS111" s="364">
        <f t="shared" ref="BS111" si="371">IFERROR((BS112-BS110)*($AY111-$AY110)/($AY112-$AY110)+BS110,"N/A")</f>
        <v>1.0581132567157401</v>
      </c>
    </row>
    <row r="112" spans="16:75">
      <c r="P112" s="4" t="s">
        <v>897</v>
      </c>
      <c r="Q112" s="4" t="s">
        <v>898</v>
      </c>
      <c r="R112" s="4" t="s">
        <v>899</v>
      </c>
      <c r="AY112" s="58">
        <v>1000000</v>
      </c>
      <c r="AZ112" s="58">
        <f t="shared" si="353"/>
        <v>1000000</v>
      </c>
      <c r="BB112" s="360">
        <f>BB113</f>
        <v>1.0729613733905579</v>
      </c>
      <c r="BC112" s="234">
        <f t="shared" ref="BC112" si="372">IFERROR(AG96/AG95,"N/A")</f>
        <v>1.0765550239234452</v>
      </c>
      <c r="BD112" s="234">
        <f t="shared" si="351"/>
        <v>1.0720130765777263</v>
      </c>
      <c r="BE112" s="234">
        <f t="shared" ref="BE112:BS112" si="373">IFERROR(AH96/AH95,"N/A")</f>
        <v>1.0710647797648947</v>
      </c>
      <c r="BF112" s="234">
        <f t="shared" si="373"/>
        <v>1.0623630099280132</v>
      </c>
      <c r="BG112" s="234">
        <f t="shared" si="373"/>
        <v>1.0595876873491521</v>
      </c>
      <c r="BH112" s="234">
        <f t="shared" si="373"/>
        <v>1.0508593674889501</v>
      </c>
      <c r="BI112" s="234">
        <f t="shared" si="373"/>
        <v>1.0460107064775761</v>
      </c>
      <c r="BJ112" s="234">
        <f t="shared" si="373"/>
        <v>1.0628633720930232</v>
      </c>
      <c r="BK112" s="234">
        <f t="shared" si="373"/>
        <v>1.0628633720930232</v>
      </c>
      <c r="BL112" s="234">
        <f t="shared" si="373"/>
        <v>1.0628633720930232</v>
      </c>
      <c r="BM112" s="234">
        <f t="shared" si="373"/>
        <v>1.0628633720930232</v>
      </c>
      <c r="BN112" s="234">
        <f t="shared" si="373"/>
        <v>1.0628633720930232</v>
      </c>
      <c r="BO112" s="234">
        <f t="shared" si="373"/>
        <v>1.0628633720930232</v>
      </c>
      <c r="BP112" s="234">
        <f t="shared" si="373"/>
        <v>1.0628633720930232</v>
      </c>
      <c r="BQ112" s="234">
        <f t="shared" si="373"/>
        <v>1.0628633720930232</v>
      </c>
      <c r="BR112" s="234">
        <f t="shared" si="373"/>
        <v>1.0628633720930232</v>
      </c>
      <c r="BS112" s="234">
        <f t="shared" si="373"/>
        <v>1.0628633720930232</v>
      </c>
    </row>
    <row r="113" spans="16:71">
      <c r="P113" s="4" t="s">
        <v>900</v>
      </c>
      <c r="Q113" s="4" t="s">
        <v>901</v>
      </c>
      <c r="R113" s="4" t="s">
        <v>902</v>
      </c>
      <c r="AY113" s="58">
        <v>2000000</v>
      </c>
      <c r="AZ113" s="58">
        <f t="shared" si="353"/>
        <v>2000000</v>
      </c>
      <c r="BB113" s="234">
        <f t="shared" ref="BB113:BC113" si="374">IFERROR(AF98/AF97,"N/A")</f>
        <v>1.0729613733905579</v>
      </c>
      <c r="BC113" s="234" t="str">
        <f t="shared" si="374"/>
        <v>N/A</v>
      </c>
      <c r="BD113" s="234">
        <f t="shared" si="351"/>
        <v>1.067579224875161</v>
      </c>
      <c r="BE113" s="234">
        <f t="shared" ref="BE113:BS113" si="375">IFERROR(AH98/AH97,"N/A")</f>
        <v>1.0621970763597643</v>
      </c>
      <c r="BF113" s="234">
        <f t="shared" si="375"/>
        <v>1.0600055949491425</v>
      </c>
      <c r="BG113" s="234">
        <f t="shared" si="375"/>
        <v>1.0592994127413649</v>
      </c>
      <c r="BH113" s="234">
        <f t="shared" si="375"/>
        <v>1.0570552582639265</v>
      </c>
      <c r="BI113" s="234">
        <f t="shared" si="375"/>
        <v>1.0557931528835336</v>
      </c>
      <c r="BJ113" s="234">
        <f t="shared" si="375"/>
        <v>1.0531501618660246</v>
      </c>
      <c r="BK113" s="234">
        <f t="shared" si="375"/>
        <v>1.0668216153399186</v>
      </c>
      <c r="BL113" s="234">
        <f t="shared" si="375"/>
        <v>1.0668216153399186</v>
      </c>
      <c r="BM113" s="234">
        <f t="shared" si="375"/>
        <v>1.0668216153399186</v>
      </c>
      <c r="BN113" s="234">
        <f t="shared" si="375"/>
        <v>1.0668216153399186</v>
      </c>
      <c r="BO113" s="234">
        <f t="shared" si="375"/>
        <v>1.0668216153399186</v>
      </c>
      <c r="BP113" s="234">
        <f t="shared" si="375"/>
        <v>1.0668216153399186</v>
      </c>
      <c r="BQ113" s="234">
        <f t="shared" si="375"/>
        <v>1.0668216153399186</v>
      </c>
      <c r="BR113" s="234">
        <f t="shared" si="375"/>
        <v>1.0668216153399186</v>
      </c>
      <c r="BS113" s="234">
        <f t="shared" si="375"/>
        <v>1.0668216153399186</v>
      </c>
    </row>
    <row r="114" spans="16:71">
      <c r="P114" s="4" t="s">
        <v>903</v>
      </c>
      <c r="Q114" s="4" t="s">
        <v>904</v>
      </c>
      <c r="R114" s="4" t="s">
        <v>905</v>
      </c>
      <c r="AY114" s="58"/>
      <c r="AZ114" s="58"/>
    </row>
    <row r="115" spans="16:71">
      <c r="P115" s="4" t="s">
        <v>906</v>
      </c>
      <c r="Q115" s="4" t="s">
        <v>907</v>
      </c>
      <c r="R115" s="4" t="s">
        <v>908</v>
      </c>
      <c r="AY115" s="4"/>
    </row>
    <row r="116" spans="16:71">
      <c r="P116" s="4" t="s">
        <v>909</v>
      </c>
      <c r="Q116" s="4" t="s">
        <v>910</v>
      </c>
      <c r="R116" s="4" t="s">
        <v>911</v>
      </c>
      <c r="AY116" s="4"/>
    </row>
    <row r="117" spans="16:71">
      <c r="P117" s="4" t="s">
        <v>912</v>
      </c>
      <c r="Q117" s="4" t="s">
        <v>913</v>
      </c>
      <c r="R117" s="4" t="s">
        <v>914</v>
      </c>
      <c r="AY117" s="4" t="s">
        <v>394</v>
      </c>
    </row>
    <row r="118" spans="16:71">
      <c r="P118" s="4" t="s">
        <v>915</v>
      </c>
      <c r="Q118" s="4" t="s">
        <v>916</v>
      </c>
      <c r="R118" s="4" t="s">
        <v>917</v>
      </c>
      <c r="AY118" s="58">
        <v>100000</v>
      </c>
      <c r="AZ118" s="58">
        <v>0</v>
      </c>
      <c r="BB118" s="365">
        <f t="shared" ref="BB118:BS118" si="376">BB36</f>
        <v>1.0009216200995565</v>
      </c>
      <c r="BC118" s="365">
        <f t="shared" si="376"/>
        <v>1.0827276136407775</v>
      </c>
      <c r="BD118" s="365">
        <f t="shared" ref="BD118:BD121" si="377">AVERAGE(BB118,BE118)</f>
        <v>1.0416639778736401</v>
      </c>
      <c r="BE118" s="365">
        <f t="shared" si="376"/>
        <v>1.0824063356477234</v>
      </c>
      <c r="BF118" s="365">
        <f t="shared" si="376"/>
        <v>1.0827276136407775</v>
      </c>
      <c r="BG118" s="365">
        <f t="shared" si="376"/>
        <v>1.0827276136407775</v>
      </c>
      <c r="BH118" s="365">
        <f t="shared" si="376"/>
        <v>1.0827276136407775</v>
      </c>
      <c r="BI118" s="365">
        <f t="shared" si="376"/>
        <v>1.0827276136407775</v>
      </c>
      <c r="BJ118" s="365">
        <f t="shared" si="376"/>
        <v>1.0827276136407775</v>
      </c>
      <c r="BK118" s="365">
        <f t="shared" si="376"/>
        <v>1.0827276136407775</v>
      </c>
      <c r="BL118" s="365">
        <f t="shared" si="376"/>
        <v>1.0827276136407775</v>
      </c>
      <c r="BM118" s="365">
        <f t="shared" si="376"/>
        <v>1.0827276136407775</v>
      </c>
      <c r="BN118" s="365">
        <f t="shared" si="376"/>
        <v>1.0827276136407775</v>
      </c>
      <c r="BO118" s="365">
        <f t="shared" si="376"/>
        <v>1.0827276136407775</v>
      </c>
      <c r="BP118" s="365">
        <f t="shared" si="376"/>
        <v>1.0827276136407775</v>
      </c>
      <c r="BQ118" s="365">
        <f t="shared" si="376"/>
        <v>1.0827276136407775</v>
      </c>
      <c r="BR118" s="365">
        <f t="shared" si="376"/>
        <v>1.0827276136407775</v>
      </c>
      <c r="BS118" s="365">
        <f t="shared" si="376"/>
        <v>1.0827276136407775</v>
      </c>
    </row>
    <row r="119" spans="16:71">
      <c r="P119" s="4" t="s">
        <v>918</v>
      </c>
      <c r="Q119" s="4" t="s">
        <v>919</v>
      </c>
      <c r="R119" s="4" t="s">
        <v>920</v>
      </c>
      <c r="AY119" s="58">
        <v>200000</v>
      </c>
      <c r="AZ119" s="58">
        <f t="shared" ref="AZ119:AZ121" si="378">AY119</f>
        <v>200000</v>
      </c>
      <c r="BB119" s="365">
        <f t="shared" ref="BB119:BS119" si="379">BB37</f>
        <v>1.068655320248568</v>
      </c>
      <c r="BC119" s="365">
        <f t="shared" si="379"/>
        <v>1.1058852785817772</v>
      </c>
      <c r="BD119" s="365">
        <f t="shared" si="377"/>
        <v>1.0761299028748228</v>
      </c>
      <c r="BE119" s="365">
        <f t="shared" si="379"/>
        <v>1.0836044855010774</v>
      </c>
      <c r="BF119" s="365">
        <f t="shared" si="379"/>
        <v>1.0878362554630996</v>
      </c>
      <c r="BG119" s="365">
        <f t="shared" si="379"/>
        <v>1.1058852785817772</v>
      </c>
      <c r="BH119" s="365">
        <f t="shared" si="379"/>
        <v>1.1058852785817772</v>
      </c>
      <c r="BI119" s="365">
        <f t="shared" si="379"/>
        <v>1.1058852785817772</v>
      </c>
      <c r="BJ119" s="365">
        <f t="shared" si="379"/>
        <v>1.1058852785817772</v>
      </c>
      <c r="BK119" s="365">
        <f t="shared" si="379"/>
        <v>1.1058852785817772</v>
      </c>
      <c r="BL119" s="365">
        <f t="shared" si="379"/>
        <v>1.1058852785817772</v>
      </c>
      <c r="BM119" s="365">
        <f t="shared" si="379"/>
        <v>1.1058852785817772</v>
      </c>
      <c r="BN119" s="365">
        <f t="shared" si="379"/>
        <v>1.1058852785817772</v>
      </c>
      <c r="BO119" s="365">
        <f t="shared" si="379"/>
        <v>1.1058852785817772</v>
      </c>
      <c r="BP119" s="365">
        <f t="shared" si="379"/>
        <v>1.1058852785817772</v>
      </c>
      <c r="BQ119" s="365">
        <f t="shared" si="379"/>
        <v>1.1058852785817772</v>
      </c>
      <c r="BR119" s="365">
        <f t="shared" si="379"/>
        <v>1.1058852785817772</v>
      </c>
      <c r="BS119" s="365">
        <f t="shared" si="379"/>
        <v>1.1058852785817772</v>
      </c>
    </row>
    <row r="120" spans="16:71">
      <c r="P120" s="4" t="s">
        <v>921</v>
      </c>
      <c r="Q120" s="4" t="s">
        <v>922</v>
      </c>
      <c r="R120" s="4" t="s">
        <v>923</v>
      </c>
      <c r="AY120" s="58">
        <v>250000</v>
      </c>
      <c r="AZ120" s="58">
        <v>250000</v>
      </c>
      <c r="BB120" s="364">
        <f>IFERROR((BB121-BB119)*($AY120-$AY119)/($AY121-$AY119)+BB119,"N/A")</f>
        <v>1.0794010414424289</v>
      </c>
      <c r="BC120" s="364">
        <f t="shared" ref="BC120" si="380">IFERROR((BC121-BC119)*($AY120-$AY119)/($AY121-$AY119)+BC119,"N/A")</f>
        <v>1.1112254530614591</v>
      </c>
      <c r="BD120" s="364">
        <f t="shared" si="377"/>
        <v>1.0846667420213407</v>
      </c>
      <c r="BE120" s="364">
        <f t="shared" ref="BE120" si="381">IFERROR((BE121-BE119)*($AY120-$AY119)/($AY121-$AY119)+BE119,"N/A")</f>
        <v>1.0899324426002523</v>
      </c>
      <c r="BF120" s="364">
        <f t="shared" ref="BF120" si="382">IFERROR((BF121-BF119)*($AY120-$AY119)/($AY121-$AY119)+BF119,"N/A")</f>
        <v>1.0928307773271027</v>
      </c>
      <c r="BG120" s="364">
        <f t="shared" ref="BG120" si="383">IFERROR((BG121-BG119)*($AY120-$AY119)/($AY121-$AY119)+BG119,"N/A")</f>
        <v>1.1076713714633608</v>
      </c>
      <c r="BH120" s="364">
        <f t="shared" ref="BH120" si="384">IFERROR((BH121-BH119)*($AY120-$AY119)/($AY121-$AY119)+BH119,"N/A")</f>
        <v>1.107041812951244</v>
      </c>
      <c r="BI120" s="364">
        <f t="shared" ref="BI120" si="385">IFERROR((BI121-BI119)*($AY120-$AY119)/($AY121-$AY119)+BI119,"N/A")</f>
        <v>1.1112254530614591</v>
      </c>
      <c r="BJ120" s="364">
        <f t="shared" ref="BJ120" si="386">IFERROR((BJ121-BJ119)*($AY120-$AY119)/($AY121-$AY119)+BJ119,"N/A")</f>
        <v>1.1112254530614591</v>
      </c>
      <c r="BK120" s="364">
        <f t="shared" ref="BK120" si="387">IFERROR((BK121-BK119)*($AY120-$AY119)/($AY121-$AY119)+BK119,"N/A")</f>
        <v>1.1112254530614591</v>
      </c>
      <c r="BL120" s="364">
        <f t="shared" ref="BL120" si="388">IFERROR((BL121-BL119)*($AY120-$AY119)/($AY121-$AY119)+BL119,"N/A")</f>
        <v>1.1112254530614591</v>
      </c>
      <c r="BM120" s="364">
        <f t="shared" ref="BM120" si="389">IFERROR((BM121-BM119)*($AY120-$AY119)/($AY121-$AY119)+BM119,"N/A")</f>
        <v>1.1112254530614591</v>
      </c>
      <c r="BN120" s="364">
        <f t="shared" ref="BN120" si="390">IFERROR((BN121-BN119)*($AY120-$AY119)/($AY121-$AY119)+BN119,"N/A")</f>
        <v>1.1112254530614591</v>
      </c>
      <c r="BO120" s="364">
        <f t="shared" ref="BO120" si="391">IFERROR((BO121-BO119)*($AY120-$AY119)/($AY121-$AY119)+BO119,"N/A")</f>
        <v>1.1112254530614591</v>
      </c>
      <c r="BP120" s="364">
        <f t="shared" ref="BP120" si="392">IFERROR((BP121-BP119)*($AY120-$AY119)/($AY121-$AY119)+BP119,"N/A")</f>
        <v>1.1112254530614591</v>
      </c>
      <c r="BQ120" s="364">
        <f t="shared" ref="BQ120" si="393">IFERROR((BQ121-BQ119)*($AY120-$AY119)/($AY121-$AY119)+BQ119,"N/A")</f>
        <v>1.1112254530614591</v>
      </c>
      <c r="BR120" s="364">
        <f t="shared" ref="BR120" si="394">IFERROR((BR121-BR119)*($AY120-$AY119)/($AY121-$AY119)+BR119,"N/A")</f>
        <v>1.1112254530614591</v>
      </c>
      <c r="BS120" s="364">
        <f t="shared" ref="BS120" si="395">IFERROR((BS121-BS119)*($AY120-$AY119)/($AY121-$AY119)+BS119,"N/A")</f>
        <v>1.1112254530614591</v>
      </c>
    </row>
    <row r="121" spans="16:71">
      <c r="P121" s="4" t="s">
        <v>924</v>
      </c>
      <c r="Q121" s="4" t="s">
        <v>925</v>
      </c>
      <c r="R121" s="4" t="s">
        <v>926</v>
      </c>
      <c r="AY121" s="58">
        <v>500000</v>
      </c>
      <c r="AZ121" s="58">
        <f t="shared" si="378"/>
        <v>500000</v>
      </c>
      <c r="BB121" s="365">
        <f t="shared" ref="BB121:BS121" si="396">BB39</f>
        <v>1.1331296474117338</v>
      </c>
      <c r="BC121" s="365">
        <f t="shared" si="396"/>
        <v>1.137926325459869</v>
      </c>
      <c r="BD121" s="365">
        <f t="shared" si="377"/>
        <v>1.1273509377539304</v>
      </c>
      <c r="BE121" s="365">
        <f t="shared" si="396"/>
        <v>1.1215722280961269</v>
      </c>
      <c r="BF121" s="365">
        <f t="shared" si="396"/>
        <v>1.1178033866471184</v>
      </c>
      <c r="BG121" s="365">
        <f t="shared" si="396"/>
        <v>1.1166018358712786</v>
      </c>
      <c r="BH121" s="365">
        <f t="shared" si="396"/>
        <v>1.1128244847985782</v>
      </c>
      <c r="BI121" s="365">
        <f t="shared" si="396"/>
        <v>1.137926325459869</v>
      </c>
      <c r="BJ121" s="365">
        <f t="shared" si="396"/>
        <v>1.137926325459869</v>
      </c>
      <c r="BK121" s="365">
        <f t="shared" si="396"/>
        <v>1.137926325459869</v>
      </c>
      <c r="BL121" s="365">
        <f t="shared" si="396"/>
        <v>1.137926325459869</v>
      </c>
      <c r="BM121" s="365">
        <f t="shared" si="396"/>
        <v>1.137926325459869</v>
      </c>
      <c r="BN121" s="365">
        <f t="shared" si="396"/>
        <v>1.137926325459869</v>
      </c>
      <c r="BO121" s="365">
        <f t="shared" si="396"/>
        <v>1.137926325459869</v>
      </c>
      <c r="BP121" s="365">
        <f t="shared" si="396"/>
        <v>1.137926325459869</v>
      </c>
      <c r="BQ121" s="365">
        <f t="shared" si="396"/>
        <v>1.137926325459869</v>
      </c>
      <c r="BR121" s="365">
        <f t="shared" si="396"/>
        <v>1.137926325459869</v>
      </c>
      <c r="BS121" s="365">
        <f t="shared" si="396"/>
        <v>1.137926325459869</v>
      </c>
    </row>
    <row r="122" spans="16:71">
      <c r="P122" s="4" t="s">
        <v>927</v>
      </c>
      <c r="Q122" s="4" t="s">
        <v>928</v>
      </c>
      <c r="R122" s="4" t="s">
        <v>929</v>
      </c>
    </row>
    <row r="123" spans="16:71">
      <c r="P123" s="4" t="s">
        <v>930</v>
      </c>
      <c r="Q123" s="4" t="s">
        <v>931</v>
      </c>
      <c r="R123" s="4" t="s">
        <v>932</v>
      </c>
    </row>
    <row r="124" spans="16:71">
      <c r="P124" s="4" t="s">
        <v>933</v>
      </c>
      <c r="Q124" s="4" t="s">
        <v>934</v>
      </c>
      <c r="R124" s="4" t="s">
        <v>935</v>
      </c>
    </row>
    <row r="125" spans="16:71">
      <c r="P125" s="4" t="s">
        <v>936</v>
      </c>
      <c r="Q125" s="4" t="s">
        <v>937</v>
      </c>
      <c r="R125" s="4" t="s">
        <v>938</v>
      </c>
    </row>
    <row r="126" spans="16:71">
      <c r="P126" s="4" t="s">
        <v>939</v>
      </c>
      <c r="Q126" s="4" t="s">
        <v>940</v>
      </c>
      <c r="R126" s="4" t="s">
        <v>941</v>
      </c>
    </row>
    <row r="127" spans="16:71">
      <c r="P127" s="4" t="s">
        <v>942</v>
      </c>
      <c r="Q127" s="4" t="s">
        <v>943</v>
      </c>
      <c r="R127" s="4" t="s">
        <v>944</v>
      </c>
    </row>
    <row r="128" spans="16:71">
      <c r="P128" s="4" t="s">
        <v>945</v>
      </c>
      <c r="Q128" s="4" t="s">
        <v>946</v>
      </c>
      <c r="R128" s="4" t="s">
        <v>947</v>
      </c>
    </row>
    <row r="129" spans="16:18">
      <c r="P129" s="4" t="s">
        <v>948</v>
      </c>
      <c r="Q129" s="4" t="s">
        <v>949</v>
      </c>
      <c r="R129" s="4" t="s">
        <v>950</v>
      </c>
    </row>
    <row r="130" spans="16:18">
      <c r="P130" s="4" t="s">
        <v>951</v>
      </c>
      <c r="Q130" s="4" t="s">
        <v>952</v>
      </c>
      <c r="R130" s="4" t="s">
        <v>953</v>
      </c>
    </row>
    <row r="131" spans="16:18">
      <c r="P131" s="4" t="s">
        <v>954</v>
      </c>
      <c r="Q131" s="4" t="s">
        <v>955</v>
      </c>
      <c r="R131" s="4" t="s">
        <v>956</v>
      </c>
    </row>
    <row r="132" spans="16:18">
      <c r="P132" s="4" t="s">
        <v>957</v>
      </c>
      <c r="Q132" s="4" t="s">
        <v>958</v>
      </c>
      <c r="R132" s="4" t="s">
        <v>959</v>
      </c>
    </row>
    <row r="133" spans="16:18">
      <c r="P133" s="4" t="s">
        <v>960</v>
      </c>
      <c r="Q133" s="4" t="s">
        <v>961</v>
      </c>
      <c r="R133" s="4" t="s">
        <v>962</v>
      </c>
    </row>
    <row r="134" spans="16:18">
      <c r="P134" s="4" t="s">
        <v>963</v>
      </c>
      <c r="Q134" s="4" t="s">
        <v>964</v>
      </c>
      <c r="R134" s="4" t="s">
        <v>965</v>
      </c>
    </row>
    <row r="135" spans="16:18">
      <c r="P135" s="4" t="s">
        <v>966</v>
      </c>
      <c r="Q135" s="4" t="s">
        <v>967</v>
      </c>
      <c r="R135" s="4" t="s">
        <v>968</v>
      </c>
    </row>
    <row r="136" spans="16:18">
      <c r="P136" s="4" t="s">
        <v>969</v>
      </c>
      <c r="Q136" s="4" t="s">
        <v>970</v>
      </c>
      <c r="R136" s="4" t="s">
        <v>971</v>
      </c>
    </row>
    <row r="137" spans="16:18">
      <c r="P137" s="4" t="s">
        <v>972</v>
      </c>
      <c r="Q137" s="4" t="s">
        <v>973</v>
      </c>
      <c r="R137" s="4" t="s">
        <v>974</v>
      </c>
    </row>
    <row r="138" spans="16:18">
      <c r="P138" s="4" t="s">
        <v>975</v>
      </c>
      <c r="Q138" s="4" t="s">
        <v>976</v>
      </c>
      <c r="R138" s="4" t="s">
        <v>977</v>
      </c>
    </row>
    <row r="139" spans="16:18">
      <c r="P139" s="4" t="s">
        <v>978</v>
      </c>
      <c r="Q139" s="4" t="s">
        <v>979</v>
      </c>
      <c r="R139" s="4" t="s">
        <v>980</v>
      </c>
    </row>
    <row r="140" spans="16:18">
      <c r="P140" s="4" t="s">
        <v>981</v>
      </c>
      <c r="Q140" s="4" t="s">
        <v>982</v>
      </c>
      <c r="R140" s="4" t="s">
        <v>983</v>
      </c>
    </row>
    <row r="141" spans="16:18">
      <c r="P141" s="4" t="s">
        <v>984</v>
      </c>
      <c r="Q141" s="4" t="s">
        <v>985</v>
      </c>
      <c r="R141" s="4" t="s">
        <v>986</v>
      </c>
    </row>
    <row r="142" spans="16:18">
      <c r="P142" s="4" t="s">
        <v>987</v>
      </c>
      <c r="Q142" s="4" t="s">
        <v>988</v>
      </c>
      <c r="R142" s="4" t="s">
        <v>989</v>
      </c>
    </row>
    <row r="143" spans="16:18">
      <c r="P143" s="4" t="s">
        <v>990</v>
      </c>
      <c r="Q143" s="4" t="s">
        <v>991</v>
      </c>
      <c r="R143" s="4" t="s">
        <v>992</v>
      </c>
    </row>
    <row r="144" spans="16:18">
      <c r="P144" s="4" t="s">
        <v>993</v>
      </c>
      <c r="Q144" s="4" t="s">
        <v>994</v>
      </c>
      <c r="R144" s="4" t="s">
        <v>995</v>
      </c>
    </row>
    <row r="145" spans="16:18">
      <c r="P145" s="4" t="s">
        <v>996</v>
      </c>
      <c r="Q145" s="4" t="s">
        <v>997</v>
      </c>
      <c r="R145" s="4" t="s">
        <v>998</v>
      </c>
    </row>
    <row r="146" spans="16:18">
      <c r="P146" s="4" t="s">
        <v>999</v>
      </c>
      <c r="Q146" s="4" t="s">
        <v>1000</v>
      </c>
      <c r="R146" s="4" t="s">
        <v>1001</v>
      </c>
    </row>
    <row r="147" spans="16:18">
      <c r="P147" s="4" t="s">
        <v>1002</v>
      </c>
      <c r="Q147" s="4" t="s">
        <v>1003</v>
      </c>
      <c r="R147" s="4" t="s">
        <v>1004</v>
      </c>
    </row>
    <row r="148" spans="16:18">
      <c r="P148" s="4" t="s">
        <v>1005</v>
      </c>
      <c r="Q148" s="4" t="s">
        <v>1006</v>
      </c>
      <c r="R148" s="4" t="s">
        <v>1007</v>
      </c>
    </row>
    <row r="149" spans="16:18">
      <c r="P149" s="4" t="s">
        <v>1008</v>
      </c>
      <c r="Q149" s="4" t="s">
        <v>1009</v>
      </c>
      <c r="R149" s="4" t="s">
        <v>1010</v>
      </c>
    </row>
    <row r="150" spans="16:18">
      <c r="P150" s="4" t="s">
        <v>1011</v>
      </c>
      <c r="Q150" s="4" t="s">
        <v>1012</v>
      </c>
      <c r="R150" s="4" t="s">
        <v>1013</v>
      </c>
    </row>
    <row r="151" spans="16:18">
      <c r="P151" s="4" t="s">
        <v>1014</v>
      </c>
      <c r="Q151" s="4" t="s">
        <v>1015</v>
      </c>
      <c r="R151" s="4" t="s">
        <v>1016</v>
      </c>
    </row>
    <row r="152" spans="16:18">
      <c r="P152" s="4" t="s">
        <v>1017</v>
      </c>
      <c r="Q152" s="4" t="s">
        <v>1018</v>
      </c>
      <c r="R152" s="4" t="s">
        <v>1019</v>
      </c>
    </row>
    <row r="153" spans="16:18">
      <c r="P153" s="4" t="s">
        <v>1020</v>
      </c>
      <c r="Q153" s="4" t="s">
        <v>1021</v>
      </c>
      <c r="R153" s="4" t="s">
        <v>1022</v>
      </c>
    </row>
    <row r="154" spans="16:18">
      <c r="P154" s="4" t="s">
        <v>1023</v>
      </c>
      <c r="Q154" s="4" t="s">
        <v>1024</v>
      </c>
      <c r="R154" s="4" t="s">
        <v>1025</v>
      </c>
    </row>
    <row r="155" spans="16:18">
      <c r="P155" s="4" t="s">
        <v>1026</v>
      </c>
      <c r="Q155" s="4" t="s">
        <v>1027</v>
      </c>
      <c r="R155" s="4" t="s">
        <v>1028</v>
      </c>
    </row>
    <row r="156" spans="16:18">
      <c r="P156" s="4" t="s">
        <v>1029</v>
      </c>
      <c r="Q156" s="4" t="s">
        <v>1030</v>
      </c>
      <c r="R156" s="4" t="s">
        <v>1031</v>
      </c>
    </row>
    <row r="157" spans="16:18">
      <c r="P157" s="4" t="s">
        <v>1032</v>
      </c>
      <c r="Q157" s="4" t="s">
        <v>1033</v>
      </c>
      <c r="R157" s="4" t="s">
        <v>1034</v>
      </c>
    </row>
    <row r="158" spans="16:18">
      <c r="P158" s="4" t="s">
        <v>1035</v>
      </c>
      <c r="Q158" s="4" t="s">
        <v>1036</v>
      </c>
      <c r="R158" s="4" t="s">
        <v>1037</v>
      </c>
    </row>
    <row r="159" spans="16:18">
      <c r="P159" s="4" t="s">
        <v>1038</v>
      </c>
      <c r="Q159" s="4" t="s">
        <v>1039</v>
      </c>
      <c r="R159" s="4" t="s">
        <v>1040</v>
      </c>
    </row>
    <row r="160" spans="16:18">
      <c r="P160" s="4" t="s">
        <v>1041</v>
      </c>
      <c r="Q160" s="4" t="s">
        <v>1042</v>
      </c>
      <c r="R160" s="4" t="s">
        <v>1043</v>
      </c>
    </row>
    <row r="161" spans="16:18">
      <c r="P161" s="4" t="s">
        <v>1044</v>
      </c>
      <c r="Q161" s="4" t="s">
        <v>1045</v>
      </c>
      <c r="R161" s="4" t="s">
        <v>1046</v>
      </c>
    </row>
    <row r="162" spans="16:18">
      <c r="P162" s="4" t="s">
        <v>1047</v>
      </c>
      <c r="Q162" s="4" t="s">
        <v>1048</v>
      </c>
      <c r="R162" s="4" t="s">
        <v>1049</v>
      </c>
    </row>
    <row r="163" spans="16:18">
      <c r="P163" s="4" t="s">
        <v>1050</v>
      </c>
      <c r="Q163" s="4" t="s">
        <v>1051</v>
      </c>
      <c r="R163" s="4" t="s">
        <v>1052</v>
      </c>
    </row>
    <row r="164" spans="16:18">
      <c r="P164" s="4" t="s">
        <v>1053</v>
      </c>
      <c r="Q164" s="4" t="s">
        <v>1054</v>
      </c>
      <c r="R164" s="4" t="s">
        <v>1055</v>
      </c>
    </row>
    <row r="165" spans="16:18">
      <c r="P165" s="4" t="s">
        <v>1056</v>
      </c>
      <c r="Q165" s="4" t="s">
        <v>1057</v>
      </c>
      <c r="R165" s="4" t="s">
        <v>1058</v>
      </c>
    </row>
    <row r="166" spans="16:18">
      <c r="P166" s="4" t="s">
        <v>1059</v>
      </c>
      <c r="Q166" s="4" t="s">
        <v>1060</v>
      </c>
      <c r="R166" s="4" t="s">
        <v>1061</v>
      </c>
    </row>
    <row r="167" spans="16:18">
      <c r="P167" s="4" t="s">
        <v>1062</v>
      </c>
      <c r="Q167" s="4" t="s">
        <v>1063</v>
      </c>
      <c r="R167" s="4" t="s">
        <v>1064</v>
      </c>
    </row>
    <row r="168" spans="16:18">
      <c r="P168" s="4" t="s">
        <v>1065</v>
      </c>
      <c r="Q168" s="4" t="s">
        <v>1066</v>
      </c>
      <c r="R168" s="4" t="s">
        <v>1067</v>
      </c>
    </row>
    <row r="169" spans="16:18">
      <c r="P169" s="4" t="s">
        <v>1068</v>
      </c>
      <c r="Q169" s="4" t="s">
        <v>1069</v>
      </c>
      <c r="R169" s="4" t="s">
        <v>1070</v>
      </c>
    </row>
    <row r="170" spans="16:18">
      <c r="P170" s="4" t="s">
        <v>1071</v>
      </c>
      <c r="Q170" s="4" t="s">
        <v>1072</v>
      </c>
      <c r="R170" s="4" t="s">
        <v>1073</v>
      </c>
    </row>
    <row r="171" spans="16:18">
      <c r="P171" s="4" t="s">
        <v>1074</v>
      </c>
      <c r="Q171" s="4" t="s">
        <v>1075</v>
      </c>
      <c r="R171" s="4" t="s">
        <v>1076</v>
      </c>
    </row>
    <row r="172" spans="16:18">
      <c r="P172" s="4" t="s">
        <v>1077</v>
      </c>
      <c r="Q172" s="4" t="s">
        <v>1078</v>
      </c>
      <c r="R172" s="4" t="s">
        <v>1079</v>
      </c>
    </row>
    <row r="173" spans="16:18">
      <c r="P173" s="4" t="s">
        <v>1080</v>
      </c>
      <c r="Q173" s="4" t="s">
        <v>1081</v>
      </c>
      <c r="R173" s="4" t="s">
        <v>1082</v>
      </c>
    </row>
    <row r="174" spans="16:18">
      <c r="P174" s="4" t="s">
        <v>1083</v>
      </c>
      <c r="Q174" s="4" t="s">
        <v>1084</v>
      </c>
      <c r="R174" s="4" t="s">
        <v>1085</v>
      </c>
    </row>
    <row r="175" spans="16:18">
      <c r="P175" s="4" t="s">
        <v>1086</v>
      </c>
      <c r="Q175" s="4" t="s">
        <v>1087</v>
      </c>
      <c r="R175" s="4" t="s">
        <v>1088</v>
      </c>
    </row>
    <row r="176" spans="16:18">
      <c r="P176" s="4" t="s">
        <v>1089</v>
      </c>
      <c r="Q176" s="4" t="s">
        <v>1090</v>
      </c>
      <c r="R176" s="4" t="s">
        <v>1091</v>
      </c>
    </row>
    <row r="177" spans="16:18">
      <c r="P177" s="4" t="s">
        <v>1092</v>
      </c>
      <c r="Q177" s="4" t="s">
        <v>1093</v>
      </c>
      <c r="R177" s="4" t="s">
        <v>1094</v>
      </c>
    </row>
    <row r="178" spans="16:18">
      <c r="P178" s="4" t="s">
        <v>1095</v>
      </c>
      <c r="Q178" s="4" t="s">
        <v>1096</v>
      </c>
      <c r="R178" s="4" t="s">
        <v>1097</v>
      </c>
    </row>
    <row r="179" spans="16:18">
      <c r="P179" s="4" t="s">
        <v>1098</v>
      </c>
      <c r="Q179" s="4" t="s">
        <v>1099</v>
      </c>
      <c r="R179" s="4" t="s">
        <v>1100</v>
      </c>
    </row>
    <row r="180" spans="16:18">
      <c r="P180" s="4" t="s">
        <v>1101</v>
      </c>
      <c r="Q180" s="4" t="s">
        <v>1102</v>
      </c>
      <c r="R180" s="4" t="s">
        <v>1103</v>
      </c>
    </row>
    <row r="181" spans="16:18">
      <c r="P181" s="4" t="s">
        <v>1104</v>
      </c>
      <c r="Q181" s="4" t="s">
        <v>1105</v>
      </c>
      <c r="R181" s="4" t="s">
        <v>1106</v>
      </c>
    </row>
    <row r="182" spans="16:18">
      <c r="P182" s="4" t="s">
        <v>1107</v>
      </c>
      <c r="Q182" s="4" t="s">
        <v>1108</v>
      </c>
      <c r="R182" s="4" t="s">
        <v>1109</v>
      </c>
    </row>
    <row r="183" spans="16:18">
      <c r="P183" s="4" t="s">
        <v>1110</v>
      </c>
      <c r="Q183" s="4" t="s">
        <v>1111</v>
      </c>
      <c r="R183" s="4" t="s">
        <v>1112</v>
      </c>
    </row>
    <row r="184" spans="16:18">
      <c r="P184" s="4" t="s">
        <v>147</v>
      </c>
      <c r="Q184" s="4" t="s">
        <v>1113</v>
      </c>
      <c r="R184" s="4" t="s">
        <v>1114</v>
      </c>
    </row>
    <row r="185" spans="16:18">
      <c r="P185" s="4" t="s">
        <v>1115</v>
      </c>
      <c r="Q185" s="4" t="s">
        <v>1116</v>
      </c>
      <c r="R185" s="4" t="s">
        <v>1117</v>
      </c>
    </row>
    <row r="186" spans="16:18">
      <c r="P186" s="4" t="s">
        <v>1118</v>
      </c>
      <c r="Q186" s="4" t="s">
        <v>1119</v>
      </c>
      <c r="R186" s="4" t="s">
        <v>1120</v>
      </c>
    </row>
    <row r="187" spans="16:18">
      <c r="P187" s="4" t="s">
        <v>1121</v>
      </c>
      <c r="Q187" s="4" t="s">
        <v>1122</v>
      </c>
      <c r="R187" s="4" t="s">
        <v>1123</v>
      </c>
    </row>
    <row r="188" spans="16:18">
      <c r="P188" s="4" t="s">
        <v>1124</v>
      </c>
      <c r="Q188" s="4" t="s">
        <v>1125</v>
      </c>
      <c r="R188" s="4" t="s">
        <v>1126</v>
      </c>
    </row>
    <row r="189" spans="16:18">
      <c r="P189" s="4" t="s">
        <v>1127</v>
      </c>
      <c r="Q189" s="4" t="s">
        <v>1128</v>
      </c>
      <c r="R189" s="4" t="s">
        <v>1129</v>
      </c>
    </row>
    <row r="190" spans="16:18">
      <c r="P190" s="4" t="s">
        <v>1130</v>
      </c>
      <c r="Q190" s="4" t="s">
        <v>1131</v>
      </c>
      <c r="R190" s="4" t="s">
        <v>1132</v>
      </c>
    </row>
    <row r="191" spans="16:18">
      <c r="P191" s="4" t="s">
        <v>1133</v>
      </c>
      <c r="Q191" s="4" t="s">
        <v>1134</v>
      </c>
      <c r="R191" s="4" t="s">
        <v>1135</v>
      </c>
    </row>
    <row r="192" spans="16:18">
      <c r="P192" s="4" t="s">
        <v>1136</v>
      </c>
      <c r="Q192" s="4" t="s">
        <v>1137</v>
      </c>
      <c r="R192" s="4" t="s">
        <v>1138</v>
      </c>
    </row>
    <row r="193" spans="16:18">
      <c r="P193" s="4" t="s">
        <v>1139</v>
      </c>
      <c r="Q193" s="4" t="s">
        <v>1140</v>
      </c>
      <c r="R193" s="4" t="s">
        <v>1141</v>
      </c>
    </row>
    <row r="194" spans="16:18">
      <c r="P194" s="4" t="s">
        <v>1142</v>
      </c>
      <c r="Q194" s="4" t="s">
        <v>1143</v>
      </c>
      <c r="R194" s="4" t="s">
        <v>1144</v>
      </c>
    </row>
    <row r="195" spans="16:18">
      <c r="P195" s="4" t="s">
        <v>1145</v>
      </c>
      <c r="Q195" s="4" t="s">
        <v>1146</v>
      </c>
      <c r="R195" s="4" t="s">
        <v>1147</v>
      </c>
    </row>
    <row r="196" spans="16:18">
      <c r="P196" s="4" t="s">
        <v>1148</v>
      </c>
      <c r="Q196" s="4" t="s">
        <v>1149</v>
      </c>
      <c r="R196" s="4" t="s">
        <v>1150</v>
      </c>
    </row>
    <row r="197" spans="16:18">
      <c r="P197" s="4" t="s">
        <v>1151</v>
      </c>
      <c r="Q197" s="4" t="s">
        <v>1152</v>
      </c>
      <c r="R197" s="4" t="s">
        <v>1153</v>
      </c>
    </row>
    <row r="198" spans="16:18">
      <c r="P198" s="4" t="s">
        <v>1154</v>
      </c>
      <c r="Q198" s="4" t="s">
        <v>1155</v>
      </c>
      <c r="R198" s="4" t="s">
        <v>1156</v>
      </c>
    </row>
    <row r="199" spans="16:18">
      <c r="P199" s="4" t="s">
        <v>1157</v>
      </c>
      <c r="Q199" s="4" t="s">
        <v>1158</v>
      </c>
      <c r="R199" s="4" t="s">
        <v>1159</v>
      </c>
    </row>
    <row r="200" spans="16:18">
      <c r="P200" s="4" t="s">
        <v>1160</v>
      </c>
      <c r="Q200" s="4" t="s">
        <v>1161</v>
      </c>
      <c r="R200" s="4" t="s">
        <v>1162</v>
      </c>
    </row>
    <row r="201" spans="16:18">
      <c r="P201" s="4" t="s">
        <v>1163</v>
      </c>
      <c r="Q201" s="4" t="s">
        <v>1164</v>
      </c>
      <c r="R201" s="4" t="s">
        <v>1165</v>
      </c>
    </row>
    <row r="202" spans="16:18">
      <c r="P202" s="4" t="s">
        <v>1166</v>
      </c>
      <c r="Q202" s="4" t="s">
        <v>1167</v>
      </c>
      <c r="R202" s="4" t="s">
        <v>1168</v>
      </c>
    </row>
    <row r="203" spans="16:18">
      <c r="P203" s="4" t="s">
        <v>1169</v>
      </c>
      <c r="Q203" s="4" t="s">
        <v>1170</v>
      </c>
      <c r="R203" s="4" t="s">
        <v>1171</v>
      </c>
    </row>
    <row r="204" spans="16:18">
      <c r="P204" s="4" t="s">
        <v>1172</v>
      </c>
      <c r="Q204" s="4" t="s">
        <v>1173</v>
      </c>
      <c r="R204" s="4" t="s">
        <v>1174</v>
      </c>
    </row>
    <row r="205" spans="16:18">
      <c r="P205" s="4" t="s">
        <v>1175</v>
      </c>
      <c r="Q205" s="4" t="s">
        <v>1176</v>
      </c>
      <c r="R205" s="4" t="s">
        <v>1177</v>
      </c>
    </row>
    <row r="206" spans="16:18">
      <c r="P206" s="4" t="s">
        <v>1178</v>
      </c>
      <c r="Q206" s="4" t="s">
        <v>1179</v>
      </c>
      <c r="R206" s="4" t="s">
        <v>1180</v>
      </c>
    </row>
    <row r="207" spans="16:18">
      <c r="P207" s="4" t="s">
        <v>1181</v>
      </c>
      <c r="Q207" s="4" t="s">
        <v>1182</v>
      </c>
      <c r="R207" s="4" t="s">
        <v>1183</v>
      </c>
    </row>
    <row r="208" spans="16:18">
      <c r="P208" s="4" t="s">
        <v>1184</v>
      </c>
      <c r="Q208" s="4" t="s">
        <v>1185</v>
      </c>
      <c r="R208" s="4" t="s">
        <v>1186</v>
      </c>
    </row>
    <row r="209" spans="16:18">
      <c r="P209" s="4" t="s">
        <v>1187</v>
      </c>
      <c r="Q209" s="4" t="s">
        <v>1188</v>
      </c>
      <c r="R209" s="4" t="s">
        <v>1189</v>
      </c>
    </row>
    <row r="210" spans="16:18">
      <c r="P210" s="4" t="s">
        <v>1190</v>
      </c>
      <c r="Q210" s="4" t="s">
        <v>1191</v>
      </c>
      <c r="R210" s="4" t="s">
        <v>1192</v>
      </c>
    </row>
    <row r="211" spans="16:18">
      <c r="P211" s="4" t="s">
        <v>1193</v>
      </c>
      <c r="Q211" s="4" t="s">
        <v>1194</v>
      </c>
      <c r="R211" s="4" t="s">
        <v>1195</v>
      </c>
    </row>
    <row r="212" spans="16:18">
      <c r="P212" s="4" t="s">
        <v>1196</v>
      </c>
      <c r="Q212" s="4" t="s">
        <v>1197</v>
      </c>
      <c r="R212" s="4" t="s">
        <v>1198</v>
      </c>
    </row>
    <row r="213" spans="16:18">
      <c r="P213" s="4" t="s">
        <v>1199</v>
      </c>
      <c r="Q213" s="4" t="s">
        <v>1200</v>
      </c>
      <c r="R213" s="4" t="s">
        <v>1201</v>
      </c>
    </row>
    <row r="214" spans="16:18">
      <c r="P214" s="4" t="s">
        <v>1202</v>
      </c>
      <c r="Q214" s="4" t="s">
        <v>1203</v>
      </c>
      <c r="R214" s="4" t="s">
        <v>1204</v>
      </c>
    </row>
    <row r="215" spans="16:18">
      <c r="P215" s="4" t="s">
        <v>1205</v>
      </c>
      <c r="Q215" s="4" t="s">
        <v>1206</v>
      </c>
      <c r="R215" s="4" t="s">
        <v>1207</v>
      </c>
    </row>
    <row r="216" spans="16:18">
      <c r="P216" s="4" t="s">
        <v>1208</v>
      </c>
      <c r="Q216" s="4" t="s">
        <v>1209</v>
      </c>
      <c r="R216" s="4" t="s">
        <v>1210</v>
      </c>
    </row>
    <row r="217" spans="16:18">
      <c r="P217" s="4" t="s">
        <v>1211</v>
      </c>
      <c r="Q217" s="4" t="s">
        <v>1212</v>
      </c>
      <c r="R217" s="4" t="s">
        <v>1213</v>
      </c>
    </row>
    <row r="218" spans="16:18">
      <c r="P218" s="4" t="s">
        <v>1214</v>
      </c>
      <c r="Q218" s="4" t="s">
        <v>1215</v>
      </c>
      <c r="R218" s="4" t="s">
        <v>1216</v>
      </c>
    </row>
    <row r="219" spans="16:18">
      <c r="P219" s="4" t="s">
        <v>1217</v>
      </c>
      <c r="Q219" s="4" t="s">
        <v>1218</v>
      </c>
      <c r="R219" s="4" t="s">
        <v>1219</v>
      </c>
    </row>
    <row r="220" spans="16:18">
      <c r="P220" s="4" t="s">
        <v>1220</v>
      </c>
      <c r="Q220" s="4" t="s">
        <v>1221</v>
      </c>
      <c r="R220" s="4" t="s">
        <v>1222</v>
      </c>
    </row>
    <row r="221" spans="16:18">
      <c r="P221" s="4" t="s">
        <v>1223</v>
      </c>
      <c r="Q221" s="4" t="s">
        <v>1224</v>
      </c>
      <c r="R221" s="4" t="s">
        <v>1225</v>
      </c>
    </row>
    <row r="222" spans="16:18">
      <c r="P222" s="4" t="s">
        <v>1226</v>
      </c>
      <c r="Q222" s="4" t="s">
        <v>1227</v>
      </c>
      <c r="R222" s="4" t="s">
        <v>1228</v>
      </c>
    </row>
    <row r="223" spans="16:18">
      <c r="P223" s="4" t="s">
        <v>1229</v>
      </c>
      <c r="Q223" s="4" t="s">
        <v>1230</v>
      </c>
      <c r="R223" s="4" t="s">
        <v>1231</v>
      </c>
    </row>
    <row r="224" spans="16:18">
      <c r="P224" s="4" t="s">
        <v>1232</v>
      </c>
      <c r="Q224" s="4" t="s">
        <v>1233</v>
      </c>
      <c r="R224" s="4" t="s">
        <v>1234</v>
      </c>
    </row>
    <row r="225" spans="16:18">
      <c r="P225" s="4" t="s">
        <v>1235</v>
      </c>
      <c r="Q225" s="4" t="s">
        <v>1236</v>
      </c>
      <c r="R225" s="4" t="s">
        <v>1237</v>
      </c>
    </row>
    <row r="226" spans="16:18">
      <c r="P226" s="4" t="s">
        <v>1238</v>
      </c>
      <c r="Q226" s="4" t="s">
        <v>1239</v>
      </c>
      <c r="R226" s="4" t="s">
        <v>1240</v>
      </c>
    </row>
    <row r="227" spans="16:18">
      <c r="P227" s="4" t="s">
        <v>1241</v>
      </c>
      <c r="Q227" s="4" t="s">
        <v>1242</v>
      </c>
      <c r="R227" s="4" t="s">
        <v>1243</v>
      </c>
    </row>
    <row r="228" spans="16:18">
      <c r="P228" s="4" t="s">
        <v>1244</v>
      </c>
      <c r="Q228" s="4" t="s">
        <v>1245</v>
      </c>
      <c r="R228" s="4" t="s">
        <v>1246</v>
      </c>
    </row>
    <row r="229" spans="16:18">
      <c r="P229" s="4" t="s">
        <v>1247</v>
      </c>
      <c r="Q229" s="4" t="s">
        <v>1248</v>
      </c>
      <c r="R229" s="4" t="s">
        <v>1249</v>
      </c>
    </row>
    <row r="230" spans="16:18">
      <c r="P230" s="4" t="s">
        <v>1250</v>
      </c>
      <c r="Q230" s="4" t="s">
        <v>1251</v>
      </c>
      <c r="R230" s="4" t="s">
        <v>1252</v>
      </c>
    </row>
    <row r="231" spans="16:18">
      <c r="P231" s="4" t="s">
        <v>1253</v>
      </c>
      <c r="Q231" s="4" t="s">
        <v>1254</v>
      </c>
      <c r="R231" s="4" t="s">
        <v>1255</v>
      </c>
    </row>
    <row r="232" spans="16:18">
      <c r="P232" s="4" t="s">
        <v>1256</v>
      </c>
      <c r="Q232" s="4" t="s">
        <v>1257</v>
      </c>
      <c r="R232" s="4" t="s">
        <v>1258</v>
      </c>
    </row>
    <row r="233" spans="16:18">
      <c r="P233" s="4" t="s">
        <v>1259</v>
      </c>
      <c r="Q233" s="4" t="s">
        <v>1260</v>
      </c>
      <c r="R233" s="4" t="s">
        <v>1261</v>
      </c>
    </row>
    <row r="234" spans="16:18">
      <c r="P234" s="4" t="s">
        <v>1262</v>
      </c>
      <c r="Q234" s="4" t="s">
        <v>1263</v>
      </c>
      <c r="R234" s="4" t="s">
        <v>1264</v>
      </c>
    </row>
    <row r="235" spans="16:18">
      <c r="P235" s="4" t="s">
        <v>1265</v>
      </c>
      <c r="Q235" s="4" t="s">
        <v>1266</v>
      </c>
      <c r="R235" s="4" t="s">
        <v>1267</v>
      </c>
    </row>
    <row r="236" spans="16:18">
      <c r="P236" s="4" t="s">
        <v>1268</v>
      </c>
      <c r="Q236" s="4" t="s">
        <v>1269</v>
      </c>
      <c r="R236" s="4" t="s">
        <v>1270</v>
      </c>
    </row>
    <row r="237" spans="16:18">
      <c r="P237" s="4" t="s">
        <v>1271</v>
      </c>
      <c r="Q237" s="4" t="s">
        <v>1272</v>
      </c>
      <c r="R237" s="4" t="s">
        <v>1273</v>
      </c>
    </row>
    <row r="238" spans="16:18">
      <c r="P238" s="4" t="s">
        <v>1274</v>
      </c>
      <c r="Q238" s="4" t="s">
        <v>1275</v>
      </c>
      <c r="R238" s="4" t="s">
        <v>1276</v>
      </c>
    </row>
    <row r="239" spans="16:18">
      <c r="P239" s="4" t="s">
        <v>1277</v>
      </c>
      <c r="Q239" s="4" t="s">
        <v>1278</v>
      </c>
      <c r="R239" s="4" t="s">
        <v>1279</v>
      </c>
    </row>
    <row r="240" spans="16:18">
      <c r="P240" s="4" t="s">
        <v>1280</v>
      </c>
      <c r="Q240" s="4" t="s">
        <v>1281</v>
      </c>
      <c r="R240" s="4" t="s">
        <v>1282</v>
      </c>
    </row>
    <row r="241" spans="16:18">
      <c r="P241" s="4" t="s">
        <v>1283</v>
      </c>
      <c r="Q241" s="4" t="s">
        <v>1284</v>
      </c>
      <c r="R241" s="4" t="s">
        <v>1285</v>
      </c>
    </row>
    <row r="242" spans="16:18">
      <c r="P242" s="4" t="s">
        <v>1286</v>
      </c>
      <c r="Q242" s="4" t="s">
        <v>1287</v>
      </c>
      <c r="R242" s="4" t="s">
        <v>1288</v>
      </c>
    </row>
    <row r="243" spans="16:18">
      <c r="P243" s="4" t="s">
        <v>1289</v>
      </c>
      <c r="Q243" s="4" t="s">
        <v>1290</v>
      </c>
      <c r="R243" s="4" t="s">
        <v>1291</v>
      </c>
    </row>
    <row r="244" spans="16:18">
      <c r="P244" s="4" t="s">
        <v>1292</v>
      </c>
      <c r="Q244" s="4" t="s">
        <v>1293</v>
      </c>
      <c r="R244" s="4" t="s">
        <v>1294</v>
      </c>
    </row>
    <row r="245" spans="16:18">
      <c r="P245" s="4" t="s">
        <v>1295</v>
      </c>
      <c r="Q245" s="4" t="s">
        <v>1296</v>
      </c>
      <c r="R245" s="4" t="s">
        <v>1297</v>
      </c>
    </row>
    <row r="246" spans="16:18">
      <c r="P246" s="4" t="s">
        <v>1298</v>
      </c>
      <c r="Q246" s="4" t="s">
        <v>1299</v>
      </c>
      <c r="R246" s="4" t="s">
        <v>1300</v>
      </c>
    </row>
    <row r="247" spans="16:18">
      <c r="P247" s="4" t="s">
        <v>1301</v>
      </c>
      <c r="Q247" s="4" t="s">
        <v>1302</v>
      </c>
      <c r="R247" s="4" t="s">
        <v>1303</v>
      </c>
    </row>
    <row r="248" spans="16:18">
      <c r="P248" s="4" t="s">
        <v>1304</v>
      </c>
      <c r="Q248" s="4" t="s">
        <v>1305</v>
      </c>
      <c r="R248" s="4" t="s">
        <v>1306</v>
      </c>
    </row>
    <row r="249" spans="16:18">
      <c r="P249" s="4" t="s">
        <v>1307</v>
      </c>
      <c r="Q249" s="4" t="s">
        <v>1308</v>
      </c>
      <c r="R249" s="4" t="s">
        <v>1309</v>
      </c>
    </row>
    <row r="250" spans="16:18">
      <c r="P250" s="4" t="s">
        <v>1310</v>
      </c>
      <c r="Q250" s="4" t="s">
        <v>1311</v>
      </c>
      <c r="R250" s="4" t="s">
        <v>1312</v>
      </c>
    </row>
    <row r="251" spans="16:18">
      <c r="P251" s="4" t="s">
        <v>1313</v>
      </c>
      <c r="Q251" s="4" t="s">
        <v>1314</v>
      </c>
      <c r="R251" s="4" t="s">
        <v>1315</v>
      </c>
    </row>
    <row r="252" spans="16:18">
      <c r="P252" s="4" t="s">
        <v>1316</v>
      </c>
      <c r="Q252" s="4" t="s">
        <v>1317</v>
      </c>
      <c r="R252" s="4" t="s">
        <v>1318</v>
      </c>
    </row>
    <row r="253" spans="16:18">
      <c r="P253" s="4" t="s">
        <v>1319</v>
      </c>
      <c r="Q253" s="4" t="s">
        <v>1320</v>
      </c>
      <c r="R253" s="4" t="s">
        <v>1321</v>
      </c>
    </row>
    <row r="254" spans="16:18">
      <c r="P254" s="4" t="s">
        <v>1322</v>
      </c>
      <c r="Q254" s="4" t="s">
        <v>1323</v>
      </c>
      <c r="R254" s="4" t="s">
        <v>1324</v>
      </c>
    </row>
  </sheetData>
  <autoFilter ref="CD5:CI53" xr:uid="{00000000-0009-0000-0000-000002000000}"/>
  <sortState xmlns:xlrd2="http://schemas.microsoft.com/office/spreadsheetml/2017/richdata2" ref="CM6:CN29">
    <sortCondition ref="CM6"/>
  </sortState>
  <mergeCells count="24">
    <mergeCell ref="FP39:FQ39"/>
    <mergeCell ref="FR39:FS39"/>
    <mergeCell ref="FW40:FX40"/>
    <mergeCell ref="FU41:FV41"/>
    <mergeCell ref="FP5:FQ5"/>
    <mergeCell ref="FR5:FS5"/>
    <mergeCell ref="FU22:FV22"/>
    <mergeCell ref="FW21:FX21"/>
    <mergeCell ref="FU6:FV6"/>
    <mergeCell ref="FW6:FX6"/>
    <mergeCell ref="FP20:FQ20"/>
    <mergeCell ref="FR20:FS20"/>
    <mergeCell ref="FI70:FN70"/>
    <mergeCell ref="FI57:FN57"/>
    <mergeCell ref="EZ3:FB3"/>
    <mergeCell ref="EK3:EM3"/>
    <mergeCell ref="EN3:EP3"/>
    <mergeCell ref="EQ3:ES3"/>
    <mergeCell ref="ET3:EV3"/>
    <mergeCell ref="EW3:EY3"/>
    <mergeCell ref="FI4:FN4"/>
    <mergeCell ref="FI19:FN19"/>
    <mergeCell ref="FI38:FN38"/>
    <mergeCell ref="FC3:FE3"/>
  </mergeCells>
  <conditionalFormatting sqref="N8 N12">
    <cfRule type="expression" dxfId="1" priority="19">
      <formula>OR("approved","filing not required")</formula>
    </cfRule>
  </conditionalFormatting>
  <dataValidations count="1">
    <dataValidation type="list" allowBlank="1" showInputMessage="1" showErrorMessage="1" sqref="N6:N60" xr:uid="{00000000-0002-0000-0200-000000000000}">
      <formula1>$X$6:$X$13</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499984740745262"/>
  </sheetPr>
  <dimension ref="A1:U139"/>
  <sheetViews>
    <sheetView zoomScale="70" zoomScaleNormal="70" workbookViewId="0">
      <pane xSplit="1" ySplit="4" topLeftCell="B5" activePane="bottomRight" state="frozen"/>
      <selection pane="topRight" activeCell="B1" sqref="B1"/>
      <selection pane="bottomLeft" activeCell="A3" sqref="A3"/>
      <selection pane="bottomRight" activeCell="B5" sqref="B5"/>
    </sheetView>
  </sheetViews>
  <sheetFormatPr defaultRowHeight="15.75"/>
  <cols>
    <col min="1" max="1" width="6.5703125" style="45" bestFit="1" customWidth="1"/>
    <col min="2" max="2" width="29.140625" style="44" customWidth="1"/>
    <col min="3" max="3" width="35.7109375" style="43" customWidth="1"/>
    <col min="4" max="4" width="15.7109375" style="245" customWidth="1"/>
    <col min="5" max="5" width="20.85546875" style="245" customWidth="1"/>
    <col min="6" max="6" width="13" style="245" bestFit="1" customWidth="1"/>
    <col min="7" max="7" width="29.42578125" style="43" hidden="1" customWidth="1"/>
    <col min="8" max="8" width="9.140625" style="43" hidden="1" customWidth="1"/>
    <col min="9" max="9" width="15.7109375" style="261" customWidth="1"/>
    <col min="10" max="10" width="29.42578125" style="43" hidden="1" customWidth="1"/>
    <col min="11" max="11" width="9.140625" style="43" hidden="1" customWidth="1"/>
    <col min="12" max="13" width="19.42578125" style="43" hidden="1" customWidth="1"/>
    <col min="14" max="14" width="18.85546875" style="43" hidden="1" customWidth="1"/>
    <col min="15" max="15" width="18.85546875" style="459" hidden="1" customWidth="1"/>
    <col min="16" max="16" width="19.28515625" style="43" hidden="1" customWidth="1"/>
    <col min="17" max="17" width="15.28515625" style="459" hidden="1" customWidth="1"/>
    <col min="18" max="18" width="15.28515625" style="43" hidden="1" customWidth="1"/>
    <col min="19" max="19" width="9.140625" style="43" hidden="1" customWidth="1"/>
    <col min="20" max="20" width="12.5703125" style="43" hidden="1" customWidth="1"/>
    <col min="21" max="21" width="9.140625" style="43"/>
    <col min="22" max="16384" width="9.140625" style="34"/>
  </cols>
  <sheetData>
    <row r="1" spans="1:21" ht="17.25">
      <c r="B1" s="54"/>
      <c r="C1" s="55" t="s">
        <v>178</v>
      </c>
      <c r="D1" s="244" t="s">
        <v>189</v>
      </c>
      <c r="E1" s="50"/>
      <c r="F1" s="50"/>
      <c r="G1" s="50"/>
      <c r="H1" s="50"/>
      <c r="I1" s="244">
        <v>1000</v>
      </c>
    </row>
    <row r="2" spans="1:21">
      <c r="B2" s="51" t="s">
        <v>179</v>
      </c>
      <c r="C2" s="53"/>
      <c r="D2" s="53"/>
      <c r="E2" s="53"/>
      <c r="F2" s="53"/>
      <c r="G2" s="50"/>
      <c r="H2" s="50"/>
      <c r="I2" s="258"/>
    </row>
    <row r="3" spans="1:21">
      <c r="B3" s="34"/>
      <c r="C3" s="53"/>
      <c r="D3" s="247" t="s">
        <v>435</v>
      </c>
      <c r="E3" s="354">
        <f>Ranges!N4</f>
        <v>43959</v>
      </c>
      <c r="F3" s="247"/>
      <c r="I3" s="259" t="s">
        <v>437</v>
      </c>
      <c r="J3" s="50"/>
      <c r="L3" s="274" t="s">
        <v>529</v>
      </c>
      <c r="M3" s="274" t="s">
        <v>530</v>
      </c>
      <c r="N3" s="456"/>
      <c r="O3" s="460"/>
      <c r="P3" s="274"/>
      <c r="Q3" s="463"/>
      <c r="R3" s="274"/>
      <c r="T3" s="43" t="s">
        <v>2558</v>
      </c>
    </row>
    <row r="4" spans="1:21" s="49" customFormat="1" ht="17.25">
      <c r="A4" s="46" t="s">
        <v>16</v>
      </c>
      <c r="B4" s="47" t="s">
        <v>46</v>
      </c>
      <c r="C4" s="52" t="s">
        <v>180</v>
      </c>
      <c r="D4" s="246" t="s">
        <v>174</v>
      </c>
      <c r="E4" s="246" t="s">
        <v>453</v>
      </c>
      <c r="F4" s="246" t="s">
        <v>460</v>
      </c>
      <c r="G4" s="48" t="s">
        <v>436</v>
      </c>
      <c r="H4" s="48" t="s">
        <v>436</v>
      </c>
      <c r="I4" s="48" t="s">
        <v>174</v>
      </c>
      <c r="J4" s="48" t="s">
        <v>436</v>
      </c>
      <c r="K4" s="48" t="s">
        <v>436</v>
      </c>
      <c r="L4" s="276" t="s">
        <v>532</v>
      </c>
      <c r="M4" s="276" t="s">
        <v>530</v>
      </c>
      <c r="N4" s="276" t="s">
        <v>2515</v>
      </c>
      <c r="O4" s="276"/>
      <c r="P4" s="276" t="s">
        <v>2517</v>
      </c>
      <c r="Q4" s="276"/>
      <c r="R4" s="276" t="s">
        <v>2521</v>
      </c>
      <c r="S4" s="52" t="s">
        <v>2540</v>
      </c>
      <c r="T4" s="52" t="s">
        <v>2516</v>
      </c>
      <c r="U4" s="52"/>
    </row>
    <row r="6" spans="1:21">
      <c r="A6" s="45" t="s">
        <v>78</v>
      </c>
      <c r="B6" s="44" t="s">
        <v>177</v>
      </c>
      <c r="C6" s="43" t="str">
        <f>IF(ISBLANK(A6),LEFT(C5,2),A6)&amp;"-"&amp;B6</f>
        <v>AL-All</v>
      </c>
      <c r="D6" s="260">
        <v>500</v>
      </c>
      <c r="E6" s="245" t="str">
        <f>VLOOKUP(A6,Ranges!$M:$N,2,FALSE)</f>
        <v>Approved</v>
      </c>
      <c r="F6" s="245" t="str">
        <f>VLOOKUP(E6,Ranges!$X:$Y,2,FALSE)</f>
        <v>OK</v>
      </c>
      <c r="I6" s="260">
        <f>IF(OR(D6="N/a",ISERROR(D6)),$I$1,D6)</f>
        <v>500</v>
      </c>
      <c r="N6" s="43">
        <v>688</v>
      </c>
      <c r="Q6" s="459">
        <v>1436</v>
      </c>
      <c r="R6" s="43">
        <f>Q6*R$135*R$132</f>
        <v>449.32439999999997</v>
      </c>
      <c r="T6" s="43">
        <v>500</v>
      </c>
    </row>
    <row r="7" spans="1:21">
      <c r="C7" s="43" t="str">
        <f t="shared" ref="C7:C70" si="0">IF(ISBLANK(A7),LEFT(C6,2),A7)&amp;"-"&amp;B7</f>
        <v>AL-</v>
      </c>
      <c r="D7" s="260"/>
    </row>
    <row r="8" spans="1:21">
      <c r="A8" s="45" t="s">
        <v>80</v>
      </c>
      <c r="B8" s="44" t="s">
        <v>177</v>
      </c>
      <c r="C8" s="43" t="str">
        <f t="shared" si="0"/>
        <v>AK-All</v>
      </c>
      <c r="D8" s="260">
        <v>800</v>
      </c>
      <c r="E8" s="245" t="str">
        <f>VLOOKUP(A8,Ranges!$M:$N,2,FALSE)</f>
        <v>Submitted</v>
      </c>
      <c r="F8" s="245" t="str">
        <f>VLOOKUP(E8,Ranges!$X:$Y,2,FALSE)</f>
        <v>No</v>
      </c>
      <c r="I8" s="260">
        <f>IF(OR(D8="N/a",ISERROR(D8)),$I$1,D8)</f>
        <v>800</v>
      </c>
      <c r="Q8" s="459">
        <f>2570</f>
        <v>2570</v>
      </c>
      <c r="R8" s="43">
        <f>Q8*R$135*R$132</f>
        <v>804.15299999999991</v>
      </c>
      <c r="T8" s="465">
        <v>800</v>
      </c>
    </row>
    <row r="9" spans="1:21">
      <c r="C9" s="43" t="str">
        <f t="shared" si="0"/>
        <v>AK-</v>
      </c>
      <c r="D9" s="260"/>
    </row>
    <row r="10" spans="1:21">
      <c r="A10" s="45" t="s">
        <v>82</v>
      </c>
      <c r="B10" s="44" t="s">
        <v>177</v>
      </c>
      <c r="C10" s="43" t="str">
        <f t="shared" si="0"/>
        <v>AZ-All</v>
      </c>
      <c r="D10" s="260">
        <v>500</v>
      </c>
      <c r="E10" s="245" t="str">
        <f>VLOOKUP(A10,Ranges!$M:$N,2,FALSE)</f>
        <v>Filing Not Required</v>
      </c>
      <c r="F10" s="245" t="str">
        <f>VLOOKUP(E10,Ranges!$X:$Y,2,FALSE)</f>
        <v>OK</v>
      </c>
      <c r="I10" s="260">
        <f>IF(OR(D10="N/a",ISERROR(D10)),$I$1,D10)</f>
        <v>500</v>
      </c>
      <c r="T10" s="43">
        <v>500</v>
      </c>
    </row>
    <row r="11" spans="1:21">
      <c r="C11" s="43" t="str">
        <f t="shared" si="0"/>
        <v>AZ-</v>
      </c>
      <c r="D11" s="260"/>
    </row>
    <row r="12" spans="1:21">
      <c r="A12" s="45" t="s">
        <v>84</v>
      </c>
      <c r="B12" s="44" t="s">
        <v>177</v>
      </c>
      <c r="C12" s="43" t="str">
        <f t="shared" si="0"/>
        <v>AR-All</v>
      </c>
      <c r="D12" s="260">
        <v>500</v>
      </c>
      <c r="E12" s="245" t="str">
        <f>VLOOKUP(A12,Ranges!$M:$N,2,FALSE)</f>
        <v>Approved</v>
      </c>
      <c r="F12" s="245" t="str">
        <f>VLOOKUP(E12,Ranges!$X:$Y,2,FALSE)</f>
        <v>OK</v>
      </c>
      <c r="I12" s="260">
        <f>IF(OR(D12="N/a",ISERROR(D12)),$I$1,D12)</f>
        <v>500</v>
      </c>
      <c r="L12" s="43">
        <v>500</v>
      </c>
      <c r="M12" s="275">
        <f>(D12-L12)/L12</f>
        <v>0</v>
      </c>
    </row>
    <row r="13" spans="1:21">
      <c r="C13" s="43" t="str">
        <f t="shared" si="0"/>
        <v>AR-</v>
      </c>
      <c r="D13" s="260"/>
    </row>
    <row r="14" spans="1:21">
      <c r="A14" s="45" t="s">
        <v>47</v>
      </c>
      <c r="B14" s="44" t="s">
        <v>175</v>
      </c>
      <c r="C14" s="43" t="str">
        <f t="shared" si="0"/>
        <v>CA-Alameda</v>
      </c>
      <c r="D14" s="260">
        <v>1160</v>
      </c>
      <c r="E14" s="245" t="str">
        <f>VLOOKUP(A14,Ranges!$M:$N,2,FALSE)</f>
        <v>Approved</v>
      </c>
      <c r="F14" s="245" t="str">
        <f>VLOOKUP(E14,Ranges!$X:$Y,2,FALSE)</f>
        <v>OK</v>
      </c>
      <c r="I14" s="260">
        <f t="shared" ref="I14:I17" si="1">IF(OR(D14="N/a",ISERROR(D14)),$I$1,D14)</f>
        <v>1160</v>
      </c>
      <c r="L14" s="43">
        <v>1160</v>
      </c>
      <c r="M14" s="275">
        <f t="shared" ref="M14:M17" si="2">(D14-L14)/L14</f>
        <v>0</v>
      </c>
    </row>
    <row r="15" spans="1:21">
      <c r="B15" s="44" t="s">
        <v>176</v>
      </c>
      <c r="C15" s="43" t="str">
        <f t="shared" si="0"/>
        <v>CA-Contra Costa</v>
      </c>
      <c r="D15" s="260">
        <v>1160</v>
      </c>
      <c r="E15" s="245" t="str">
        <f>E14</f>
        <v>Approved</v>
      </c>
      <c r="F15" s="245" t="str">
        <f>VLOOKUP(E15,Ranges!$X:$Y,2,FALSE)</f>
        <v>OK</v>
      </c>
      <c r="G15" s="34"/>
      <c r="H15" s="34"/>
      <c r="I15" s="260">
        <f t="shared" si="1"/>
        <v>1160</v>
      </c>
      <c r="L15" s="43">
        <v>1160</v>
      </c>
      <c r="M15" s="275">
        <f t="shared" si="2"/>
        <v>0</v>
      </c>
    </row>
    <row r="16" spans="1:21">
      <c r="B16" s="44" t="s">
        <v>48</v>
      </c>
      <c r="C16" s="43" t="str">
        <f t="shared" si="0"/>
        <v>CA-Los Angeles</v>
      </c>
      <c r="D16" s="260">
        <v>1400</v>
      </c>
      <c r="E16" s="245" t="str">
        <f t="shared" ref="E16:E17" si="3">E15</f>
        <v>Approved</v>
      </c>
      <c r="F16" s="245" t="str">
        <f>VLOOKUP(E16,Ranges!$X:$Y,2,FALSE)</f>
        <v>OK</v>
      </c>
      <c r="I16" s="260">
        <f t="shared" si="1"/>
        <v>1400</v>
      </c>
      <c r="L16" s="43">
        <v>1400</v>
      </c>
      <c r="M16" s="275">
        <f t="shared" si="2"/>
        <v>0</v>
      </c>
    </row>
    <row r="17" spans="1:20">
      <c r="B17" s="44" t="s">
        <v>49</v>
      </c>
      <c r="C17" s="43" t="str">
        <f t="shared" si="0"/>
        <v>CA-Rest of CA</v>
      </c>
      <c r="D17" s="260">
        <v>920</v>
      </c>
      <c r="E17" s="245" t="str">
        <f t="shared" si="3"/>
        <v>Approved</v>
      </c>
      <c r="F17" s="245" t="str">
        <f>VLOOKUP(E17,Ranges!$X:$Y,2,FALSE)</f>
        <v>OK</v>
      </c>
      <c r="I17" s="260">
        <f t="shared" si="1"/>
        <v>920</v>
      </c>
      <c r="L17" s="43">
        <v>920</v>
      </c>
      <c r="M17" s="275">
        <f t="shared" si="2"/>
        <v>0</v>
      </c>
    </row>
    <row r="18" spans="1:20">
      <c r="C18" s="43" t="str">
        <f t="shared" si="0"/>
        <v>CA-</v>
      </c>
      <c r="D18" s="260"/>
    </row>
    <row r="19" spans="1:20">
      <c r="A19" s="45" t="s">
        <v>50</v>
      </c>
      <c r="B19" s="44" t="s">
        <v>177</v>
      </c>
      <c r="C19" s="43" t="str">
        <f t="shared" si="0"/>
        <v>CO-All</v>
      </c>
      <c r="D19" s="260">
        <v>570</v>
      </c>
      <c r="E19" s="245" t="str">
        <f>VLOOKUP(A19,Ranges!$M:$N,2,FALSE)</f>
        <v>Approved</v>
      </c>
      <c r="F19" s="245" t="str">
        <f>VLOOKUP(E19,Ranges!$X:$Y,2,FALSE)</f>
        <v>OK</v>
      </c>
      <c r="I19" s="260">
        <f>IF(OR(D19="N/a",ISERROR(D19)),$I$1,D19)</f>
        <v>570</v>
      </c>
      <c r="L19" s="43">
        <v>600</v>
      </c>
      <c r="M19" s="275">
        <f>(D19-L19)/L19</f>
        <v>-0.05</v>
      </c>
    </row>
    <row r="20" spans="1:20">
      <c r="B20" s="36"/>
      <c r="C20" s="43" t="str">
        <f t="shared" si="0"/>
        <v>CO-</v>
      </c>
      <c r="D20" s="260"/>
    </row>
    <row r="21" spans="1:20">
      <c r="A21" s="45" t="s">
        <v>88</v>
      </c>
      <c r="B21" s="44" t="s">
        <v>177</v>
      </c>
      <c r="C21" s="43" t="str">
        <f t="shared" si="0"/>
        <v>CT-All</v>
      </c>
      <c r="D21" s="260">
        <v>600</v>
      </c>
      <c r="E21" s="245" t="str">
        <f>VLOOKUP(A21,Ranges!$M:$N,2,FALSE)</f>
        <v>Submitted</v>
      </c>
      <c r="F21" s="245" t="str">
        <f>VLOOKUP(E21,Ranges!$X:$Y,2,FALSE)</f>
        <v>No</v>
      </c>
      <c r="I21" s="260">
        <f>IF(OR(D21="N/a",ISERROR(D21)),$I$1,D21)</f>
        <v>600</v>
      </c>
      <c r="N21" s="43">
        <v>676</v>
      </c>
      <c r="O21" s="459">
        <v>2506</v>
      </c>
      <c r="P21" s="43">
        <f>O21*$P$135*$P$132</f>
        <v>784.12739999999997</v>
      </c>
      <c r="Q21" s="459">
        <v>1700</v>
      </c>
      <c r="R21" s="43">
        <f>Q21*R$135*R$132</f>
        <v>531.93000000000006</v>
      </c>
      <c r="T21" s="43">
        <v>600</v>
      </c>
    </row>
    <row r="22" spans="1:20">
      <c r="B22" s="36"/>
      <c r="C22" s="43" t="str">
        <f t="shared" si="0"/>
        <v>CT-</v>
      </c>
      <c r="D22" s="260"/>
    </row>
    <row r="23" spans="1:20">
      <c r="A23" s="45" t="s">
        <v>90</v>
      </c>
      <c r="B23" s="44" t="s">
        <v>177</v>
      </c>
      <c r="C23" s="43" t="str">
        <f t="shared" si="0"/>
        <v>DE-All</v>
      </c>
      <c r="D23" s="260">
        <v>550</v>
      </c>
      <c r="E23" s="245" t="str">
        <f>VLOOKUP(A23,Ranges!$M:$N,2,FALSE)</f>
        <v>Approved</v>
      </c>
      <c r="F23" s="245" t="str">
        <f>VLOOKUP(E23,Ranges!$X:$Y,2,FALSE)</f>
        <v>OK</v>
      </c>
      <c r="I23" s="260">
        <f>IF(OR(D23="N/a",ISERROR(D23)),$I$1,D23)</f>
        <v>550</v>
      </c>
      <c r="Q23" s="459">
        <v>1769</v>
      </c>
      <c r="R23" s="43">
        <f>Q23*R$135*R$132</f>
        <v>553.52009999999996</v>
      </c>
      <c r="T23" s="465">
        <v>550</v>
      </c>
    </row>
    <row r="24" spans="1:20">
      <c r="B24" s="36"/>
      <c r="C24" s="43" t="str">
        <f t="shared" si="0"/>
        <v>DE-</v>
      </c>
      <c r="D24" s="260"/>
    </row>
    <row r="25" spans="1:20">
      <c r="A25" s="45" t="s">
        <v>92</v>
      </c>
      <c r="B25" s="44" t="s">
        <v>177</v>
      </c>
      <c r="C25" s="43" t="str">
        <f t="shared" si="0"/>
        <v>DC-All</v>
      </c>
      <c r="D25" s="260">
        <v>600</v>
      </c>
      <c r="E25" s="245" t="str">
        <f>VLOOKUP(A25,Ranges!$M:$N,2,FALSE)</f>
        <v>Approved</v>
      </c>
      <c r="F25" s="245" t="str">
        <f>VLOOKUP(E25,Ranges!$X:$Y,2,FALSE)</f>
        <v>OK</v>
      </c>
      <c r="I25" s="260">
        <f>IF(OR(D25="N/a",ISERROR(D25)),$I$1,D25)</f>
        <v>600</v>
      </c>
      <c r="O25" s="459">
        <v>1763</v>
      </c>
      <c r="P25" s="43">
        <f>O25*$P$135*$P$132</f>
        <v>551.64269999999999</v>
      </c>
      <c r="T25" s="43">
        <v>600</v>
      </c>
    </row>
    <row r="26" spans="1:20">
      <c r="B26" s="36"/>
      <c r="C26" s="43" t="str">
        <f t="shared" si="0"/>
        <v>DC-</v>
      </c>
      <c r="D26" s="260"/>
    </row>
    <row r="27" spans="1:20">
      <c r="A27" s="45" t="s">
        <v>51</v>
      </c>
      <c r="B27" s="36" t="s">
        <v>53</v>
      </c>
      <c r="C27" s="43" t="str">
        <f t="shared" si="0"/>
        <v>FL-Broward</v>
      </c>
      <c r="D27" s="536">
        <v>669</v>
      </c>
      <c r="E27" s="245" t="str">
        <f>VLOOKUP(A27,Ranges!$M:$N,2,FALSE)</f>
        <v>Approved</v>
      </c>
      <c r="F27" s="245" t="str">
        <f>VLOOKUP(E27,Ranges!$X:$Y,2,FALSE)</f>
        <v>OK</v>
      </c>
      <c r="I27" s="260">
        <f t="shared" ref="I27:I38" si="4">IF(OR(D27="N/a",ISERROR(D27)),$I$1,D27)</f>
        <v>669</v>
      </c>
      <c r="L27" s="43">
        <v>704</v>
      </c>
      <c r="M27" s="275">
        <f t="shared" ref="M27:M40" si="5">(D27-L27)/L27</f>
        <v>-4.9715909090909088E-2</v>
      </c>
    </row>
    <row r="28" spans="1:20">
      <c r="B28" s="36" t="s">
        <v>57</v>
      </c>
      <c r="C28" s="43" t="str">
        <f t="shared" si="0"/>
        <v>FL-Hillsborough</v>
      </c>
      <c r="D28" s="536">
        <v>508</v>
      </c>
      <c r="E28" s="245" t="str">
        <f t="shared" ref="E28:E38" si="6">E27</f>
        <v>Approved</v>
      </c>
      <c r="F28" s="245" t="str">
        <f>VLOOKUP(E28,Ranges!$X:$Y,2,FALSE)</f>
        <v>OK</v>
      </c>
      <c r="I28" s="260">
        <f t="shared" si="4"/>
        <v>508</v>
      </c>
      <c r="L28" s="43">
        <v>535</v>
      </c>
      <c r="M28" s="275">
        <f t="shared" si="5"/>
        <v>-5.046728971962617E-2</v>
      </c>
    </row>
    <row r="29" spans="1:20">
      <c r="B29" s="36" t="s">
        <v>60</v>
      </c>
      <c r="C29" s="43" t="str">
        <f t="shared" si="0"/>
        <v>FL-Indian River</v>
      </c>
      <c r="D29" s="536">
        <v>508</v>
      </c>
      <c r="E29" s="245" t="str">
        <f t="shared" si="6"/>
        <v>Approved</v>
      </c>
      <c r="F29" s="245" t="str">
        <f>VLOOKUP(E29,Ranges!$X:$Y,2,FALSE)</f>
        <v>OK</v>
      </c>
      <c r="I29" s="260">
        <f t="shared" si="4"/>
        <v>508</v>
      </c>
      <c r="L29" s="43">
        <v>535</v>
      </c>
      <c r="M29" s="275">
        <f t="shared" si="5"/>
        <v>-5.046728971962617E-2</v>
      </c>
    </row>
    <row r="30" spans="1:20">
      <c r="B30" s="36" t="s">
        <v>62</v>
      </c>
      <c r="C30" s="43" t="str">
        <f t="shared" si="0"/>
        <v>FL-Martin</v>
      </c>
      <c r="D30" s="536">
        <v>508</v>
      </c>
      <c r="E30" s="245" t="str">
        <f t="shared" si="6"/>
        <v>Approved</v>
      </c>
      <c r="F30" s="245" t="str">
        <f>VLOOKUP(E30,Ranges!$X:$Y,2,FALSE)</f>
        <v>OK</v>
      </c>
      <c r="I30" s="260">
        <f t="shared" si="4"/>
        <v>508</v>
      </c>
      <c r="L30" s="43">
        <v>535</v>
      </c>
      <c r="M30" s="275">
        <f t="shared" si="5"/>
        <v>-5.046728971962617E-2</v>
      </c>
    </row>
    <row r="31" spans="1:20">
      <c r="B31" s="35" t="s">
        <v>52</v>
      </c>
      <c r="C31" s="43" t="str">
        <f t="shared" si="0"/>
        <v>FL-Miami-Dade</v>
      </c>
      <c r="D31" s="536">
        <v>669</v>
      </c>
      <c r="E31" s="245" t="str">
        <f t="shared" si="6"/>
        <v>Approved</v>
      </c>
      <c r="F31" s="245" t="str">
        <f>VLOOKUP(E31,Ranges!$X:$Y,2,FALSE)</f>
        <v>OK</v>
      </c>
      <c r="I31" s="260">
        <f t="shared" si="4"/>
        <v>669</v>
      </c>
      <c r="L31" s="43">
        <v>704</v>
      </c>
      <c r="M31" s="275">
        <f t="shared" si="5"/>
        <v>-4.9715909090909088E-2</v>
      </c>
    </row>
    <row r="32" spans="1:20">
      <c r="B32" s="36" t="s">
        <v>58</v>
      </c>
      <c r="C32" s="43" t="str">
        <f t="shared" si="0"/>
        <v>FL-Orange</v>
      </c>
      <c r="D32" s="536">
        <v>508</v>
      </c>
      <c r="E32" s="245" t="str">
        <f t="shared" si="6"/>
        <v>Approved</v>
      </c>
      <c r="F32" s="245" t="str">
        <f>VLOOKUP(E32,Ranges!$X:$Y,2,FALSE)</f>
        <v>OK</v>
      </c>
      <c r="I32" s="260">
        <f t="shared" si="4"/>
        <v>508</v>
      </c>
      <c r="L32" s="43">
        <v>535</v>
      </c>
      <c r="M32" s="275">
        <f t="shared" si="5"/>
        <v>-5.046728971962617E-2</v>
      </c>
    </row>
    <row r="33" spans="1:20">
      <c r="B33" s="36" t="s">
        <v>59</v>
      </c>
      <c r="C33" s="43" t="str">
        <f t="shared" si="0"/>
        <v>FL-Osceola</v>
      </c>
      <c r="D33" s="536">
        <v>508</v>
      </c>
      <c r="E33" s="245" t="str">
        <f t="shared" si="6"/>
        <v>Approved</v>
      </c>
      <c r="F33" s="245" t="str">
        <f>VLOOKUP(E33,Ranges!$X:$Y,2,FALSE)</f>
        <v>OK</v>
      </c>
      <c r="I33" s="260">
        <f t="shared" si="4"/>
        <v>508</v>
      </c>
      <c r="L33" s="43">
        <v>535</v>
      </c>
      <c r="M33" s="275">
        <f t="shared" si="5"/>
        <v>-5.046728971962617E-2</v>
      </c>
    </row>
    <row r="34" spans="1:20">
      <c r="B34" s="36" t="s">
        <v>54</v>
      </c>
      <c r="C34" s="43" t="str">
        <f t="shared" si="0"/>
        <v>FL-Palm Beach</v>
      </c>
      <c r="D34" s="536">
        <v>669</v>
      </c>
      <c r="E34" s="245" t="str">
        <f t="shared" si="6"/>
        <v>Approved</v>
      </c>
      <c r="F34" s="245" t="str">
        <f>VLOOKUP(E34,Ranges!$X:$Y,2,FALSE)</f>
        <v>OK</v>
      </c>
      <c r="I34" s="260">
        <f t="shared" si="4"/>
        <v>669</v>
      </c>
      <c r="L34" s="43">
        <v>704</v>
      </c>
      <c r="M34" s="275">
        <f t="shared" si="5"/>
        <v>-4.9715909090909088E-2</v>
      </c>
    </row>
    <row r="35" spans="1:20">
      <c r="B35" s="36" t="s">
        <v>55</v>
      </c>
      <c r="C35" s="43" t="str">
        <f t="shared" si="0"/>
        <v>FL-Pasco</v>
      </c>
      <c r="D35" s="536">
        <v>508</v>
      </c>
      <c r="E35" s="245" t="str">
        <f t="shared" si="6"/>
        <v>Approved</v>
      </c>
      <c r="F35" s="245" t="str">
        <f>VLOOKUP(E35,Ranges!$X:$Y,2,FALSE)</f>
        <v>OK</v>
      </c>
      <c r="I35" s="260">
        <f t="shared" si="4"/>
        <v>508</v>
      </c>
      <c r="L35" s="43">
        <v>535</v>
      </c>
      <c r="M35" s="275">
        <f t="shared" si="5"/>
        <v>-5.046728971962617E-2</v>
      </c>
    </row>
    <row r="36" spans="1:20">
      <c r="B36" s="36" t="s">
        <v>56</v>
      </c>
      <c r="C36" s="43" t="str">
        <f t="shared" si="0"/>
        <v>FL-Pinellas</v>
      </c>
      <c r="D36" s="536">
        <v>508</v>
      </c>
      <c r="E36" s="245" t="str">
        <f t="shared" si="6"/>
        <v>Approved</v>
      </c>
      <c r="F36" s="245" t="str">
        <f>VLOOKUP(E36,Ranges!$X:$Y,2,FALSE)</f>
        <v>OK</v>
      </c>
      <c r="I36" s="260">
        <f t="shared" si="4"/>
        <v>508</v>
      </c>
      <c r="L36" s="43">
        <v>535</v>
      </c>
      <c r="M36" s="275">
        <f t="shared" si="5"/>
        <v>-5.046728971962617E-2</v>
      </c>
    </row>
    <row r="37" spans="1:20">
      <c r="B37" s="36" t="s">
        <v>63</v>
      </c>
      <c r="C37" s="43" t="str">
        <f t="shared" si="0"/>
        <v>FL-Rest of FL</v>
      </c>
      <c r="D37" s="536">
        <v>462</v>
      </c>
      <c r="E37" s="245" t="str">
        <f t="shared" si="6"/>
        <v>Approved</v>
      </c>
      <c r="F37" s="245" t="str">
        <f>VLOOKUP(E37,Ranges!$X:$Y,2,FALSE)</f>
        <v>OK</v>
      </c>
      <c r="I37" s="260">
        <f t="shared" si="4"/>
        <v>462</v>
      </c>
      <c r="L37" s="43">
        <v>486</v>
      </c>
      <c r="M37" s="275">
        <f t="shared" si="5"/>
        <v>-4.9382716049382713E-2</v>
      </c>
    </row>
    <row r="38" spans="1:20">
      <c r="B38" s="36" t="s">
        <v>61</v>
      </c>
      <c r="C38" s="43" t="str">
        <f t="shared" si="0"/>
        <v>FL-St. Lucie</v>
      </c>
      <c r="D38" s="536">
        <v>508</v>
      </c>
      <c r="E38" s="245" t="str">
        <f t="shared" si="6"/>
        <v>Approved</v>
      </c>
      <c r="F38" s="245" t="str">
        <f>VLOOKUP(E38,Ranges!$X:$Y,2,FALSE)</f>
        <v>OK</v>
      </c>
      <c r="I38" s="260">
        <f t="shared" si="4"/>
        <v>508</v>
      </c>
      <c r="L38" s="43">
        <v>535</v>
      </c>
      <c r="M38" s="275">
        <f t="shared" si="5"/>
        <v>-5.046728971962617E-2</v>
      </c>
    </row>
    <row r="39" spans="1:20">
      <c r="C39" s="43" t="str">
        <f t="shared" si="0"/>
        <v>FL-</v>
      </c>
      <c r="D39" s="260"/>
    </row>
    <row r="40" spans="1:20">
      <c r="A40" s="45" t="s">
        <v>64</v>
      </c>
      <c r="B40" s="44" t="s">
        <v>177</v>
      </c>
      <c r="C40" s="43" t="str">
        <f t="shared" si="0"/>
        <v>GA-All</v>
      </c>
      <c r="D40" s="260">
        <v>455</v>
      </c>
      <c r="E40" s="245" t="str">
        <f>VLOOKUP(A40,Ranges!$M:$N,2,FALSE)</f>
        <v>Approved</v>
      </c>
      <c r="F40" s="245" t="str">
        <f>VLOOKUP(E40,Ranges!$X:$Y,2,FALSE)</f>
        <v>OK</v>
      </c>
      <c r="I40" s="260">
        <f>IF(OR(D40="N/a",ISERROR(D40)),$I$1,D40)</f>
        <v>455</v>
      </c>
      <c r="L40" s="43">
        <v>479</v>
      </c>
      <c r="M40" s="275">
        <f t="shared" si="5"/>
        <v>-5.0104384133611693E-2</v>
      </c>
    </row>
    <row r="41" spans="1:20">
      <c r="B41" s="36"/>
      <c r="C41" s="43" t="str">
        <f t="shared" si="0"/>
        <v>GA-</v>
      </c>
      <c r="D41" s="260"/>
    </row>
    <row r="42" spans="1:20">
      <c r="A42" s="45" t="s">
        <v>96</v>
      </c>
      <c r="B42" s="44" t="s">
        <v>177</v>
      </c>
      <c r="C42" s="43" t="str">
        <f t="shared" si="0"/>
        <v>GU-All</v>
      </c>
      <c r="D42" s="260" t="str">
        <f>D$1</f>
        <v>N/A</v>
      </c>
      <c r="E42" s="245" t="str">
        <f>VLOOKUP(A42,Ranges!$M:$N,2,FALSE)</f>
        <v>To Be Filed</v>
      </c>
      <c r="F42" s="245" t="str">
        <f>VLOOKUP(E42,Ranges!$X:$Y,2,FALSE)</f>
        <v>No</v>
      </c>
      <c r="I42" s="260">
        <f>IF(OR(D42="N/a",ISERROR(D42)),$I$1,D42)</f>
        <v>1000</v>
      </c>
    </row>
    <row r="43" spans="1:20">
      <c r="B43" s="36"/>
      <c r="C43" s="43" t="str">
        <f t="shared" si="0"/>
        <v>GU-</v>
      </c>
      <c r="D43" s="260"/>
    </row>
    <row r="44" spans="1:20">
      <c r="A44" s="45" t="s">
        <v>98</v>
      </c>
      <c r="B44" s="44" t="s">
        <v>177</v>
      </c>
      <c r="C44" s="43" t="str">
        <f t="shared" si="0"/>
        <v>HI-All</v>
      </c>
      <c r="D44" s="260">
        <v>900</v>
      </c>
      <c r="E44" s="245" t="str">
        <f>VLOOKUP(A44,Ranges!$M:$N,2,FALSE)</f>
        <v>Submitted</v>
      </c>
      <c r="F44" s="245" t="str">
        <f>VLOOKUP(E44,Ranges!$X:$Y,2,FALSE)</f>
        <v>No</v>
      </c>
      <c r="I44" s="260">
        <f>IF(OR(D44="N/a",ISERROR(D44)),$I$1,D44)</f>
        <v>900</v>
      </c>
      <c r="N44" s="43">
        <v>945</v>
      </c>
      <c r="Q44" s="459">
        <f>2577</f>
        <v>2577</v>
      </c>
      <c r="R44" s="43">
        <f>Q44*R$135*R$132</f>
        <v>806.3433</v>
      </c>
      <c r="T44" s="43">
        <v>900</v>
      </c>
    </row>
    <row r="45" spans="1:20">
      <c r="B45" s="36"/>
      <c r="C45" s="43" t="str">
        <f t="shared" si="0"/>
        <v>HI-</v>
      </c>
      <c r="D45" s="260"/>
    </row>
    <row r="46" spans="1:20">
      <c r="A46" s="45" t="s">
        <v>100</v>
      </c>
      <c r="B46" s="44" t="s">
        <v>177</v>
      </c>
      <c r="C46" s="43" t="str">
        <f t="shared" si="0"/>
        <v>ID-All</v>
      </c>
      <c r="D46" s="260">
        <v>450</v>
      </c>
      <c r="E46" s="245" t="str">
        <f>VLOOKUP(A46,Ranges!$M:$N,2,FALSE)</f>
        <v>Approved</v>
      </c>
      <c r="F46" s="245" t="str">
        <f>VLOOKUP(E46,Ranges!$X:$Y,2,FALSE)</f>
        <v>OK</v>
      </c>
      <c r="I46" s="260">
        <f>IF(OR(D46="N/a",ISERROR(D46)),$I$1,D46)</f>
        <v>450</v>
      </c>
      <c r="L46" s="43">
        <v>450</v>
      </c>
      <c r="M46" s="275">
        <f t="shared" ref="M46" si="7">(D46-L46)/L46</f>
        <v>0</v>
      </c>
    </row>
    <row r="47" spans="1:20">
      <c r="B47" s="36"/>
      <c r="C47" s="43" t="str">
        <f t="shared" si="0"/>
        <v>ID-</v>
      </c>
      <c r="D47" s="260"/>
    </row>
    <row r="48" spans="1:20">
      <c r="A48" s="45" t="s">
        <v>65</v>
      </c>
      <c r="B48" s="44" t="s">
        <v>66</v>
      </c>
      <c r="C48" s="43" t="str">
        <f t="shared" si="0"/>
        <v>IL-Cook County</v>
      </c>
      <c r="D48" s="260">
        <v>700</v>
      </c>
      <c r="E48" s="245" t="str">
        <f>VLOOKUP(A48,Ranges!$M:$N,2,FALSE)</f>
        <v>Approved</v>
      </c>
      <c r="F48" s="245" t="str">
        <f>VLOOKUP(E48,Ranges!$X:$Y,2,FALSE)</f>
        <v>OK</v>
      </c>
      <c r="G48" s="34"/>
      <c r="H48" s="34"/>
      <c r="I48" s="260">
        <f>IF(OR(D48="N/a",ISERROR(D48)),$I$1,D48)</f>
        <v>700</v>
      </c>
    </row>
    <row r="49" spans="1:20">
      <c r="B49" s="44" t="s">
        <v>67</v>
      </c>
      <c r="C49" s="43" t="str">
        <f t="shared" si="0"/>
        <v>IL-Rest of IL</v>
      </c>
      <c r="D49" s="260">
        <v>550</v>
      </c>
      <c r="E49" s="245" t="str">
        <f>E48</f>
        <v>Approved</v>
      </c>
      <c r="F49" s="245" t="str">
        <f>VLOOKUP(E49,Ranges!$X:$Y,2,FALSE)</f>
        <v>OK</v>
      </c>
      <c r="I49" s="260">
        <f>IF(OR(D49="N/a",ISERROR(D49)),$I$1,D49)</f>
        <v>550</v>
      </c>
    </row>
    <row r="50" spans="1:20">
      <c r="C50" s="43" t="str">
        <f t="shared" si="0"/>
        <v>IL-</v>
      </c>
      <c r="D50" s="260"/>
    </row>
    <row r="51" spans="1:20">
      <c r="A51" s="45" t="s">
        <v>103</v>
      </c>
      <c r="B51" s="44" t="s">
        <v>177</v>
      </c>
      <c r="C51" s="43" t="str">
        <f t="shared" si="0"/>
        <v>IN-All</v>
      </c>
      <c r="D51" s="260">
        <v>350</v>
      </c>
      <c r="E51" s="245" t="str">
        <f>VLOOKUP(A51,Ranges!$M:$N,2,FALSE)</f>
        <v>Approved</v>
      </c>
      <c r="F51" s="245" t="str">
        <f>VLOOKUP(E51,Ranges!$X:$Y,2,FALSE)</f>
        <v>OK</v>
      </c>
      <c r="I51" s="260">
        <f>IF(OR(D51="N/a",ISERROR(D51)),$I$1,D51)</f>
        <v>350</v>
      </c>
      <c r="L51" s="43">
        <v>350</v>
      </c>
      <c r="M51" s="275">
        <f t="shared" ref="M51:M53" si="8">(D51-L51)/L51</f>
        <v>0</v>
      </c>
    </row>
    <row r="52" spans="1:20">
      <c r="B52" s="36"/>
      <c r="C52" s="43" t="str">
        <f t="shared" si="0"/>
        <v>IN-</v>
      </c>
      <c r="D52" s="260"/>
    </row>
    <row r="53" spans="1:20">
      <c r="A53" s="45" t="s">
        <v>105</v>
      </c>
      <c r="B53" s="44" t="s">
        <v>177</v>
      </c>
      <c r="C53" s="43" t="str">
        <f t="shared" si="0"/>
        <v>IA-All</v>
      </c>
      <c r="D53" s="260">
        <v>400</v>
      </c>
      <c r="E53" s="245" t="str">
        <f>VLOOKUP(A53,Ranges!$M:$N,2,FALSE)</f>
        <v>Approved</v>
      </c>
      <c r="F53" s="245" t="str">
        <f>VLOOKUP(E53,Ranges!$X:$Y,2,FALSE)</f>
        <v>OK</v>
      </c>
      <c r="I53" s="260">
        <f>IF(OR(D53="N/a",ISERROR(D53)),$I$1,D53)</f>
        <v>400</v>
      </c>
      <c r="L53" s="43">
        <v>400</v>
      </c>
      <c r="M53" s="275">
        <f t="shared" si="8"/>
        <v>0</v>
      </c>
    </row>
    <row r="54" spans="1:20">
      <c r="B54" s="36"/>
      <c r="C54" s="43" t="str">
        <f t="shared" si="0"/>
        <v>IA-</v>
      </c>
      <c r="D54" s="260"/>
    </row>
    <row r="55" spans="1:20">
      <c r="A55" s="45" t="s">
        <v>107</v>
      </c>
      <c r="B55" s="44" t="s">
        <v>177</v>
      </c>
      <c r="C55" s="43" t="str">
        <f t="shared" si="0"/>
        <v>KS-All</v>
      </c>
      <c r="D55" s="260">
        <v>400</v>
      </c>
      <c r="E55" s="245" t="str">
        <f>VLOOKUP(A55,Ranges!$M:$N,2,FALSE)</f>
        <v>Approved</v>
      </c>
      <c r="F55" s="245" t="str">
        <f>VLOOKUP(E55,Ranges!$X:$Y,2,FALSE)</f>
        <v>OK</v>
      </c>
      <c r="I55" s="260">
        <f>IF(OR(D55="N/a",ISERROR(D55)),$I$1,D55)</f>
        <v>400</v>
      </c>
      <c r="L55" s="43">
        <v>400</v>
      </c>
      <c r="M55" s="275">
        <f t="shared" ref="M55:M57" si="9">(D55-L55)/L55</f>
        <v>0</v>
      </c>
    </row>
    <row r="56" spans="1:20">
      <c r="B56" s="36"/>
      <c r="C56" s="43" t="str">
        <f t="shared" si="0"/>
        <v>KS-</v>
      </c>
      <c r="D56" s="260"/>
    </row>
    <row r="57" spans="1:20">
      <c r="A57" s="45" t="s">
        <v>109</v>
      </c>
      <c r="B57" s="44" t="s">
        <v>177</v>
      </c>
      <c r="C57" s="43" t="str">
        <f t="shared" si="0"/>
        <v>KY-All</v>
      </c>
      <c r="D57" s="260">
        <v>500</v>
      </c>
      <c r="E57" s="245" t="str">
        <f>VLOOKUP(A57,Ranges!$M:$N,2,FALSE)</f>
        <v>Approved</v>
      </c>
      <c r="F57" s="245" t="str">
        <f>VLOOKUP(E57,Ranges!$X:$Y,2,FALSE)</f>
        <v>OK</v>
      </c>
      <c r="I57" s="260">
        <f>IF(OR(D57="N/a",ISERROR(D57)),$I$1,D57)</f>
        <v>500</v>
      </c>
      <c r="L57" s="43">
        <v>500</v>
      </c>
      <c r="M57" s="275">
        <f t="shared" si="9"/>
        <v>0</v>
      </c>
    </row>
    <row r="58" spans="1:20">
      <c r="B58" s="36"/>
      <c r="C58" s="43" t="str">
        <f t="shared" si="0"/>
        <v>KY-</v>
      </c>
      <c r="D58" s="260"/>
    </row>
    <row r="59" spans="1:20">
      <c r="A59" s="45" t="s">
        <v>111</v>
      </c>
      <c r="B59" s="44" t="s">
        <v>177</v>
      </c>
      <c r="C59" s="43" t="str">
        <f t="shared" si="0"/>
        <v>LA-All</v>
      </c>
      <c r="D59" s="260">
        <v>600</v>
      </c>
      <c r="E59" s="245" t="str">
        <f>VLOOKUP(A59,Ranges!$M:$N,2,FALSE)</f>
        <v>Approved</v>
      </c>
      <c r="F59" s="245" t="str">
        <f>VLOOKUP(E59,Ranges!$X:$Y,2,FALSE)</f>
        <v>OK</v>
      </c>
      <c r="I59" s="260">
        <f>IF(OR(D59="N/a",ISERROR(D59)),$I$1,D59)</f>
        <v>600</v>
      </c>
      <c r="Q59" s="459">
        <f>2384</f>
        <v>2384</v>
      </c>
      <c r="R59" s="43">
        <f>Q59*R$135*R$132</f>
        <v>745.95359999999994</v>
      </c>
      <c r="T59" s="43">
        <v>600</v>
      </c>
    </row>
    <row r="60" spans="1:20">
      <c r="B60" s="36"/>
      <c r="C60" s="43" t="str">
        <f t="shared" si="0"/>
        <v>LA-</v>
      </c>
      <c r="D60" s="260"/>
    </row>
    <row r="61" spans="1:20">
      <c r="A61" s="45" t="s">
        <v>113</v>
      </c>
      <c r="B61" s="44" t="s">
        <v>177</v>
      </c>
      <c r="C61" s="43" t="str">
        <f t="shared" si="0"/>
        <v>ME-All</v>
      </c>
      <c r="D61" s="260">
        <v>450</v>
      </c>
      <c r="E61" s="245" t="str">
        <f>VLOOKUP(A61,Ranges!$M:$N,2,FALSE)</f>
        <v>Approved</v>
      </c>
      <c r="F61" s="245" t="str">
        <f>VLOOKUP(E61,Ranges!$X:$Y,2,FALSE)</f>
        <v>OK</v>
      </c>
      <c r="I61" s="260">
        <f>IF(OR(D61="N/a",ISERROR(D61)),$I$1,D61)</f>
        <v>450</v>
      </c>
      <c r="Q61" s="459">
        <v>1472</v>
      </c>
      <c r="R61" s="43">
        <f>Q61*R$135*R$132</f>
        <v>460.58879999999994</v>
      </c>
      <c r="T61" s="43">
        <v>450</v>
      </c>
    </row>
    <row r="62" spans="1:20">
      <c r="B62" s="36"/>
      <c r="C62" s="43" t="str">
        <f t="shared" si="0"/>
        <v>ME-</v>
      </c>
      <c r="D62" s="260"/>
    </row>
    <row r="63" spans="1:20">
      <c r="A63" s="45" t="s">
        <v>115</v>
      </c>
      <c r="B63" s="44" t="s">
        <v>177</v>
      </c>
      <c r="C63" s="43" t="str">
        <f t="shared" si="0"/>
        <v>MD-All</v>
      </c>
      <c r="D63" s="260">
        <v>686</v>
      </c>
      <c r="E63" s="245" t="str">
        <f>VLOOKUP(A63,Ranges!$M:$N,2,FALSE)</f>
        <v>Approved</v>
      </c>
      <c r="F63" s="245" t="str">
        <f>VLOOKUP(E63,Ranges!$X:$Y,2,FALSE)</f>
        <v>OK</v>
      </c>
      <c r="I63" s="260">
        <f>IF(OR(D63="N/a",ISERROR(D63)),$I$1,D63)</f>
        <v>686</v>
      </c>
      <c r="L63" s="43">
        <v>686</v>
      </c>
      <c r="M63" s="275">
        <f t="shared" ref="M63" si="10">(D63-L63)/L63</f>
        <v>0</v>
      </c>
      <c r="O63" s="459">
        <v>2141</v>
      </c>
      <c r="P63" s="43">
        <f>O63*$P$135*$P$132</f>
        <v>669.91889999999989</v>
      </c>
    </row>
    <row r="64" spans="1:20">
      <c r="B64" s="36"/>
      <c r="C64" s="43" t="str">
        <f t="shared" si="0"/>
        <v>MD-</v>
      </c>
      <c r="D64" s="260"/>
    </row>
    <row r="65" spans="1:20">
      <c r="A65" s="45" t="s">
        <v>117</v>
      </c>
      <c r="B65" s="44" t="s">
        <v>177</v>
      </c>
      <c r="C65" s="43" t="str">
        <f t="shared" si="0"/>
        <v>MA-All</v>
      </c>
      <c r="D65" s="260">
        <v>600</v>
      </c>
      <c r="E65" s="245" t="str">
        <f>VLOOKUP(A65,Ranges!$M:$N,2,FALSE)</f>
        <v>Submitted</v>
      </c>
      <c r="F65" s="245" t="str">
        <f>VLOOKUP(E65,Ranges!$X:$Y,2,FALSE)</f>
        <v>No</v>
      </c>
      <c r="I65" s="260">
        <f>IF(OR(D65="N/a",ISERROR(D65)),$I$1,D65)</f>
        <v>600</v>
      </c>
      <c r="N65" s="43">
        <v>640</v>
      </c>
      <c r="O65" s="459">
        <v>1591</v>
      </c>
      <c r="P65" s="43">
        <f>O65*$P$135*$P$132</f>
        <v>497.82389999999992</v>
      </c>
      <c r="Q65" s="459">
        <v>1675</v>
      </c>
      <c r="R65" s="43">
        <f>Q65*R$135*R$132</f>
        <v>524.10749999999996</v>
      </c>
      <c r="T65" s="43">
        <v>600</v>
      </c>
    </row>
    <row r="66" spans="1:20">
      <c r="B66" s="36"/>
      <c r="C66" s="43" t="str">
        <f t="shared" si="0"/>
        <v>MA-</v>
      </c>
      <c r="D66" s="260"/>
    </row>
    <row r="67" spans="1:20">
      <c r="A67" s="45" t="s">
        <v>68</v>
      </c>
      <c r="B67" s="44" t="s">
        <v>177</v>
      </c>
      <c r="C67" s="43" t="str">
        <f t="shared" si="0"/>
        <v>MI-All</v>
      </c>
      <c r="D67" s="260">
        <v>450</v>
      </c>
      <c r="E67" s="245" t="str">
        <f>VLOOKUP(A67,Ranges!$M:$N,2,FALSE)</f>
        <v>Approved</v>
      </c>
      <c r="F67" s="245" t="str">
        <f>VLOOKUP(E67,Ranges!$X:$Y,2,FALSE)</f>
        <v>OK</v>
      </c>
      <c r="I67" s="260">
        <f>IF(OR(D67="N/a",ISERROR(D67)),$I$1,D67)</f>
        <v>450</v>
      </c>
    </row>
    <row r="68" spans="1:20">
      <c r="B68" s="36"/>
      <c r="C68" s="43" t="str">
        <f t="shared" si="0"/>
        <v>MI-</v>
      </c>
      <c r="D68" s="260"/>
    </row>
    <row r="69" spans="1:20">
      <c r="A69" s="45" t="s">
        <v>69</v>
      </c>
      <c r="B69" s="44" t="s">
        <v>177</v>
      </c>
      <c r="C69" s="43" t="str">
        <f t="shared" si="0"/>
        <v>MN-All</v>
      </c>
      <c r="D69" s="260">
        <v>400</v>
      </c>
      <c r="E69" s="245" t="str">
        <f>VLOOKUP(A69,Ranges!$M:$N,2,FALSE)</f>
        <v>Approved</v>
      </c>
      <c r="F69" s="245" t="str">
        <f>VLOOKUP(E69,Ranges!$X:$Y,2,FALSE)</f>
        <v>OK</v>
      </c>
      <c r="I69" s="260">
        <f>IF(OR(D69="N/a",ISERROR(D69)),$I$1,D69)</f>
        <v>400</v>
      </c>
      <c r="L69" s="43">
        <v>400</v>
      </c>
      <c r="M69" s="275">
        <f t="shared" ref="M69" si="11">(D69-L69)/L69</f>
        <v>0</v>
      </c>
    </row>
    <row r="70" spans="1:20">
      <c r="B70" s="36"/>
      <c r="C70" s="43" t="str">
        <f t="shared" si="0"/>
        <v>MN-</v>
      </c>
      <c r="D70" s="260"/>
    </row>
    <row r="71" spans="1:20">
      <c r="A71" s="45" t="s">
        <v>121</v>
      </c>
      <c r="B71" s="44" t="s">
        <v>177</v>
      </c>
      <c r="C71" s="43" t="str">
        <f t="shared" ref="C71:C129" si="12">IF(ISBLANK(A71),LEFT(C70,2),A71)&amp;"-"&amp;B71</f>
        <v>MS-All</v>
      </c>
      <c r="D71" s="260">
        <v>650</v>
      </c>
      <c r="E71" s="245" t="str">
        <f>VLOOKUP(A71,Ranges!$M:$N,2,FALSE)</f>
        <v>Approved</v>
      </c>
      <c r="F71" s="245" t="str">
        <f>VLOOKUP(E71,Ranges!$X:$Y,2,FALSE)</f>
        <v>OK</v>
      </c>
      <c r="I71" s="260">
        <f>IF(OR(D71="N/a",ISERROR(D71)),$I$1,D71)</f>
        <v>650</v>
      </c>
      <c r="N71" s="43">
        <f>1500/Ranges!$AF$18</f>
        <v>684.93150684931504</v>
      </c>
      <c r="Q71" s="459">
        <v>2104</v>
      </c>
      <c r="R71" s="43">
        <f>Q71*R$135*R$132</f>
        <v>658.34159999999997</v>
      </c>
      <c r="T71" s="465">
        <v>650</v>
      </c>
    </row>
    <row r="72" spans="1:20">
      <c r="B72" s="36"/>
      <c r="C72" s="43" t="str">
        <f t="shared" si="12"/>
        <v>MS-</v>
      </c>
      <c r="D72" s="260"/>
    </row>
    <row r="73" spans="1:20">
      <c r="A73" s="45" t="s">
        <v>123</v>
      </c>
      <c r="B73" s="44" t="s">
        <v>177</v>
      </c>
      <c r="C73" s="43" t="str">
        <f t="shared" si="12"/>
        <v>MO-All</v>
      </c>
      <c r="D73" s="260">
        <v>450</v>
      </c>
      <c r="E73" s="245" t="str">
        <f>VLOOKUP(A73,Ranges!$M:$N,2,FALSE)</f>
        <v>Approved</v>
      </c>
      <c r="F73" s="245" t="str">
        <f>VLOOKUP(E73,Ranges!$X:$Y,2,FALSE)</f>
        <v>OK</v>
      </c>
      <c r="I73" s="260">
        <f>IF(OR(D73="N/a",ISERROR(D73)),$I$1,D73)</f>
        <v>450</v>
      </c>
      <c r="L73" s="43">
        <v>450</v>
      </c>
      <c r="M73" s="275">
        <f t="shared" ref="M73" si="13">(D73-L73)/L73</f>
        <v>0</v>
      </c>
    </row>
    <row r="74" spans="1:20">
      <c r="B74" s="36"/>
      <c r="C74" s="43" t="str">
        <f t="shared" si="12"/>
        <v>MO-</v>
      </c>
      <c r="D74" s="260"/>
    </row>
    <row r="75" spans="1:20">
      <c r="A75" s="45" t="s">
        <v>125</v>
      </c>
      <c r="B75" s="44" t="s">
        <v>177</v>
      </c>
      <c r="C75" s="43" t="str">
        <f t="shared" si="12"/>
        <v>MT-All</v>
      </c>
      <c r="D75" s="260">
        <v>700</v>
      </c>
      <c r="E75" s="245" t="str">
        <f>VLOOKUP(A75,Ranges!$M:$N,2,FALSE)</f>
        <v>Approved</v>
      </c>
      <c r="F75" s="245" t="str">
        <f>VLOOKUP(E75,Ranges!$X:$Y,2,FALSE)</f>
        <v>OK</v>
      </c>
      <c r="I75" s="260">
        <f>IF(OR(D75="N/a",ISERROR(D75)),$I$1,D75)</f>
        <v>700</v>
      </c>
      <c r="Q75" s="459">
        <v>1750</v>
      </c>
      <c r="R75" s="43">
        <f>Q75*R$135*R$132</f>
        <v>547.57500000000005</v>
      </c>
      <c r="T75" s="43">
        <v>700</v>
      </c>
    </row>
    <row r="76" spans="1:20">
      <c r="B76" s="36"/>
      <c r="C76" s="43" t="str">
        <f t="shared" si="12"/>
        <v>MT-</v>
      </c>
      <c r="D76" s="260"/>
    </row>
    <row r="77" spans="1:20">
      <c r="A77" s="45" t="s">
        <v>127</v>
      </c>
      <c r="B77" s="44" t="s">
        <v>177</v>
      </c>
      <c r="C77" s="43" t="str">
        <f t="shared" si="12"/>
        <v>NE-All</v>
      </c>
      <c r="D77" s="260">
        <v>400</v>
      </c>
      <c r="E77" s="245" t="str">
        <f>VLOOKUP(A77,Ranges!$M:$N,2,FALSE)</f>
        <v>Approved</v>
      </c>
      <c r="F77" s="245" t="str">
        <f>VLOOKUP(E77,Ranges!$X:$Y,2,FALSE)</f>
        <v>OK</v>
      </c>
      <c r="I77" s="260">
        <f>IF(OR(D77="N/a",ISERROR(D77)),$I$1,D77)</f>
        <v>400</v>
      </c>
      <c r="Q77" s="459">
        <v>1375</v>
      </c>
      <c r="R77" s="43">
        <f>Q77*R$135*R$132</f>
        <v>430.23749999999995</v>
      </c>
      <c r="T77" s="43">
        <v>400</v>
      </c>
    </row>
    <row r="78" spans="1:20">
      <c r="B78" s="36"/>
      <c r="C78" s="43" t="str">
        <f t="shared" si="12"/>
        <v>NE-</v>
      </c>
      <c r="D78" s="260"/>
    </row>
    <row r="79" spans="1:20">
      <c r="A79" s="45" t="s">
        <v>129</v>
      </c>
      <c r="B79" s="44" t="s">
        <v>177</v>
      </c>
      <c r="C79" s="43" t="str">
        <f t="shared" si="12"/>
        <v>NV-All</v>
      </c>
      <c r="D79" s="260">
        <v>575</v>
      </c>
      <c r="E79" s="245" t="str">
        <f>VLOOKUP(A79,Ranges!$M:$N,2,FALSE)</f>
        <v>Approved</v>
      </c>
      <c r="F79" s="245" t="str">
        <f>VLOOKUP(E79,Ranges!$X:$Y,2,FALSE)</f>
        <v>OK</v>
      </c>
      <c r="I79" s="260">
        <f>IF(OR(D79="N/a",ISERROR(D79)),$I$1,D79)</f>
        <v>575</v>
      </c>
      <c r="J79" s="44" t="s">
        <v>2539</v>
      </c>
      <c r="Q79" s="459">
        <v>3129</v>
      </c>
      <c r="R79" s="43">
        <f>Q79*R$135*R$132</f>
        <v>979.06409999999994</v>
      </c>
      <c r="S79" s="44"/>
      <c r="T79" s="43">
        <v>575</v>
      </c>
    </row>
    <row r="80" spans="1:20">
      <c r="B80" s="36"/>
      <c r="C80" s="43" t="str">
        <f t="shared" si="12"/>
        <v>NV-</v>
      </c>
      <c r="D80" s="260"/>
    </row>
    <row r="81" spans="1:20">
      <c r="A81" s="45" t="s">
        <v>131</v>
      </c>
      <c r="B81" s="44" t="s">
        <v>177</v>
      </c>
      <c r="C81" s="43" t="str">
        <f t="shared" si="12"/>
        <v>NH-All</v>
      </c>
      <c r="D81" s="260">
        <v>575</v>
      </c>
      <c r="E81" s="245" t="str">
        <f>VLOOKUP(A81,Ranges!$M:$N,2,FALSE)</f>
        <v>Approved</v>
      </c>
      <c r="F81" s="245" t="str">
        <f>VLOOKUP(E81,Ranges!$X:$Y,2,FALSE)</f>
        <v>OK</v>
      </c>
      <c r="I81" s="260">
        <f>IF(OR(D81="N/a",ISERROR(D81)),$I$1,D81)</f>
        <v>575</v>
      </c>
      <c r="N81" s="43">
        <f>1500/Ranges!$AF$18</f>
        <v>684.93150684931504</v>
      </c>
      <c r="T81" s="43">
        <v>575</v>
      </c>
    </row>
    <row r="82" spans="1:20">
      <c r="B82" s="36"/>
      <c r="C82" s="43" t="str">
        <f t="shared" si="12"/>
        <v>NH-</v>
      </c>
      <c r="D82" s="260"/>
    </row>
    <row r="83" spans="1:20">
      <c r="A83" s="45" t="s">
        <v>133</v>
      </c>
      <c r="B83" s="44" t="s">
        <v>177</v>
      </c>
      <c r="C83" s="43" t="str">
        <f t="shared" si="12"/>
        <v>NJ-All</v>
      </c>
      <c r="D83" s="260">
        <v>900</v>
      </c>
      <c r="E83" s="245" t="str">
        <f>VLOOKUP(A83,Ranges!$M:$N,2,FALSE)</f>
        <v>Approved</v>
      </c>
      <c r="F83" s="245" t="str">
        <f>VLOOKUP(E83,Ranges!$X:$Y,2,FALSE)</f>
        <v>OK</v>
      </c>
      <c r="G83" s="50"/>
      <c r="I83" s="260">
        <f>IF(OR(D83="N/a",ISERROR(D83)),$I$1,D83)</f>
        <v>900</v>
      </c>
      <c r="L83" s="43">
        <v>900</v>
      </c>
      <c r="M83" s="275">
        <f t="shared" ref="M83" si="14">(D83-L83)/L83</f>
        <v>0</v>
      </c>
      <c r="O83" s="459">
        <v>2031</v>
      </c>
      <c r="P83" s="43">
        <f>O83*P$135*P$132</f>
        <v>635.49989999999991</v>
      </c>
    </row>
    <row r="84" spans="1:20">
      <c r="B84" s="36"/>
      <c r="C84" s="43" t="str">
        <f t="shared" si="12"/>
        <v>NJ-</v>
      </c>
      <c r="D84" s="260"/>
    </row>
    <row r="85" spans="1:20">
      <c r="A85" s="45" t="s">
        <v>135</v>
      </c>
      <c r="B85" s="44" t="s">
        <v>177</v>
      </c>
      <c r="C85" s="43" t="str">
        <f t="shared" si="12"/>
        <v>NM-All</v>
      </c>
      <c r="D85" s="260">
        <v>600</v>
      </c>
      <c r="E85" s="245" t="str">
        <f>VLOOKUP(A85,Ranges!$M:$N,2,FALSE)</f>
        <v>Approved</v>
      </c>
      <c r="F85" s="245" t="str">
        <f>VLOOKUP(E85,Ranges!$X:$Y,2,FALSE)</f>
        <v>OK</v>
      </c>
      <c r="I85" s="260">
        <f>IF(OR(D85="N/a",ISERROR(D85)),$I$1,D85)</f>
        <v>600</v>
      </c>
      <c r="J85" s="44" t="s">
        <v>2538</v>
      </c>
      <c r="P85" s="43">
        <v>1925</v>
      </c>
      <c r="Q85" s="459">
        <v>1375</v>
      </c>
      <c r="R85" s="43">
        <f>Q85*R$135*R$132</f>
        <v>430.23749999999995</v>
      </c>
      <c r="S85" s="44"/>
      <c r="T85" s="43">
        <v>600</v>
      </c>
    </row>
    <row r="86" spans="1:20">
      <c r="B86" s="36"/>
      <c r="C86" s="43" t="str">
        <f t="shared" si="12"/>
        <v>NM-</v>
      </c>
      <c r="D86" s="260"/>
    </row>
    <row r="87" spans="1:20">
      <c r="A87" s="45" t="s">
        <v>70</v>
      </c>
      <c r="B87" s="44" t="s">
        <v>71</v>
      </c>
      <c r="C87" s="43" t="str">
        <f t="shared" si="12"/>
        <v>NY-Standard Metro NY</v>
      </c>
      <c r="D87" s="260">
        <v>800</v>
      </c>
      <c r="E87" s="245" t="str">
        <f>VLOOKUP(A87,Ranges!$M:$N,2,FALSE)</f>
        <v>Submitted</v>
      </c>
      <c r="F87" s="245" t="str">
        <f>VLOOKUP(E87,Ranges!$X:$Y,2,FALSE)</f>
        <v>No</v>
      </c>
      <c r="I87" s="260">
        <f t="shared" ref="I87:I88" si="15">IF(OR(D87="N/a",ISERROR(D87)),$I$1,D87)</f>
        <v>800</v>
      </c>
      <c r="L87" s="43">
        <v>800</v>
      </c>
      <c r="M87" s="275">
        <f t="shared" ref="M87:M88" si="16">(D87-L87)/L87</f>
        <v>0</v>
      </c>
      <c r="O87" s="459">
        <v>1697</v>
      </c>
      <c r="P87" s="43">
        <f>O87*$P$135*$P$132</f>
        <v>530.99129999999991</v>
      </c>
    </row>
    <row r="88" spans="1:20">
      <c r="B88" s="44" t="s">
        <v>72</v>
      </c>
      <c r="C88" s="43" t="str">
        <f t="shared" si="12"/>
        <v>NY-Standard Non-Metro NY</v>
      </c>
      <c r="D88" s="260">
        <v>500</v>
      </c>
      <c r="E88" s="245" t="str">
        <f>E87</f>
        <v>Submitted</v>
      </c>
      <c r="F88" s="245" t="str">
        <f>VLOOKUP(E88,Ranges!$X:$Y,2,FALSE)</f>
        <v>No</v>
      </c>
      <c r="I88" s="260">
        <f t="shared" si="15"/>
        <v>500</v>
      </c>
      <c r="L88" s="43">
        <v>500</v>
      </c>
      <c r="M88" s="275">
        <f t="shared" si="16"/>
        <v>0</v>
      </c>
    </row>
    <row r="89" spans="1:20">
      <c r="C89" s="43" t="str">
        <f t="shared" si="12"/>
        <v>NY-</v>
      </c>
      <c r="D89" s="260"/>
    </row>
    <row r="90" spans="1:20">
      <c r="A90" s="45" t="s">
        <v>138</v>
      </c>
      <c r="B90" s="44" t="s">
        <v>177</v>
      </c>
      <c r="C90" s="43" t="str">
        <f t="shared" si="12"/>
        <v>NC-All</v>
      </c>
      <c r="D90" s="260">
        <v>500</v>
      </c>
      <c r="E90" s="245" t="str">
        <f>VLOOKUP(A90,Ranges!$M:$N,2,FALSE)</f>
        <v>Approved</v>
      </c>
      <c r="F90" s="245" t="str">
        <f>VLOOKUP(E90,Ranges!$X:$Y,2,FALSE)</f>
        <v>OK</v>
      </c>
      <c r="I90" s="260">
        <f>IF(OR(D90="N/a",ISERROR(D90)),$I$1,D90)</f>
        <v>500</v>
      </c>
      <c r="N90" s="43">
        <f>1500/Ranges!$AF$18</f>
        <v>684.93150684931504</v>
      </c>
      <c r="Q90" s="459">
        <v>1418</v>
      </c>
      <c r="R90" s="43">
        <f>Q90*R$135*R$132</f>
        <v>443.69219999999996</v>
      </c>
      <c r="T90" s="43">
        <v>500</v>
      </c>
    </row>
    <row r="91" spans="1:20">
      <c r="B91" s="36"/>
      <c r="C91" s="43" t="str">
        <f t="shared" si="12"/>
        <v>NC-</v>
      </c>
      <c r="D91" s="260"/>
    </row>
    <row r="92" spans="1:20">
      <c r="A92" s="45" t="s">
        <v>140</v>
      </c>
      <c r="B92" s="44" t="s">
        <v>177</v>
      </c>
      <c r="C92" s="43" t="str">
        <f t="shared" si="12"/>
        <v>ND-All</v>
      </c>
      <c r="D92" s="260">
        <v>400</v>
      </c>
      <c r="E92" s="245" t="str">
        <f>VLOOKUP(A92,Ranges!$M:$N,2,FALSE)</f>
        <v>Approved</v>
      </c>
      <c r="F92" s="245" t="str">
        <f>VLOOKUP(E92,Ranges!$X:$Y,2,FALSE)</f>
        <v>OK</v>
      </c>
      <c r="I92" s="260">
        <f>IF(OR(D92="N/a",ISERROR(D92)),$I$1,D92)</f>
        <v>400</v>
      </c>
      <c r="Q92" s="459">
        <v>1415</v>
      </c>
      <c r="R92" s="43">
        <f>Q92*R$135*R$132</f>
        <v>442.75349999999997</v>
      </c>
      <c r="T92" s="43">
        <v>400</v>
      </c>
    </row>
    <row r="93" spans="1:20">
      <c r="B93" s="36"/>
      <c r="C93" s="43" t="str">
        <f t="shared" si="12"/>
        <v>ND-</v>
      </c>
      <c r="D93" s="260"/>
    </row>
    <row r="94" spans="1:20">
      <c r="A94" s="45" t="s">
        <v>73</v>
      </c>
      <c r="B94" s="44" t="s">
        <v>177</v>
      </c>
      <c r="C94" s="43" t="str">
        <f t="shared" si="12"/>
        <v>OH-All</v>
      </c>
      <c r="D94" s="260">
        <v>486</v>
      </c>
      <c r="E94" s="245" t="str">
        <f>VLOOKUP(A94,Ranges!$M:$N,2,FALSE)</f>
        <v>Approved</v>
      </c>
      <c r="F94" s="245" t="str">
        <f>VLOOKUP(E94,Ranges!$X:$Y,2,FALSE)</f>
        <v>OK</v>
      </c>
      <c r="I94" s="260">
        <f>IF(OR(D94="N/a",ISERROR(D94)),$I$1,D94)</f>
        <v>486</v>
      </c>
      <c r="L94" s="43">
        <v>512</v>
      </c>
      <c r="M94" s="275">
        <f t="shared" ref="M94" si="17">(D94-L94)/L94</f>
        <v>-5.078125E-2</v>
      </c>
    </row>
    <row r="95" spans="1:20">
      <c r="B95" s="36"/>
      <c r="C95" s="43" t="str">
        <f t="shared" si="12"/>
        <v>OH-</v>
      </c>
      <c r="D95" s="260"/>
    </row>
    <row r="96" spans="1:20">
      <c r="A96" s="45" t="s">
        <v>143</v>
      </c>
      <c r="B96" s="44" t="s">
        <v>177</v>
      </c>
      <c r="C96" s="43" t="str">
        <f t="shared" si="12"/>
        <v>OK-All</v>
      </c>
      <c r="D96" s="260">
        <v>450</v>
      </c>
      <c r="E96" s="245" t="str">
        <f>VLOOKUP(A96,Ranges!$M:$N,2,FALSE)</f>
        <v>Approved</v>
      </c>
      <c r="F96" s="245" t="str">
        <f>VLOOKUP(E96,Ranges!$X:$Y,2,FALSE)</f>
        <v>OK</v>
      </c>
      <c r="I96" s="260">
        <f>IF(OR(D96="N/a",ISERROR(D96)),$I$1,D96)</f>
        <v>450</v>
      </c>
      <c r="Q96" s="459">
        <v>1125</v>
      </c>
      <c r="R96" s="43">
        <f>Q96*R$135*R$132</f>
        <v>352.01249999999999</v>
      </c>
      <c r="T96" s="43">
        <v>450</v>
      </c>
    </row>
    <row r="97" spans="1:20">
      <c r="B97" s="36"/>
      <c r="C97" s="43" t="str">
        <f t="shared" si="12"/>
        <v>OK-</v>
      </c>
      <c r="D97" s="260"/>
    </row>
    <row r="98" spans="1:20">
      <c r="A98" s="45" t="s">
        <v>145</v>
      </c>
      <c r="B98" s="44" t="s">
        <v>177</v>
      </c>
      <c r="C98" s="43" t="str">
        <f t="shared" si="12"/>
        <v>OR-All</v>
      </c>
      <c r="D98" s="260" t="str">
        <f>D$1</f>
        <v>N/A</v>
      </c>
      <c r="E98" s="245" t="str">
        <f>VLOOKUP(A98,Ranges!$M:$N,2,FALSE)</f>
        <v>Not To Be Filed</v>
      </c>
      <c r="F98" s="245" t="str">
        <f>VLOOKUP(E98,Ranges!$X:$Y,2,FALSE)</f>
        <v>No</v>
      </c>
      <c r="I98" s="260">
        <f>IF(OR(D98="N/a",ISERROR(D98)),$I$1,D98)</f>
        <v>1000</v>
      </c>
      <c r="J98" s="44" t="s">
        <v>2571</v>
      </c>
    </row>
    <row r="99" spans="1:20">
      <c r="B99" s="36"/>
      <c r="C99" s="43" t="str">
        <f t="shared" si="12"/>
        <v>OR-</v>
      </c>
      <c r="D99" s="260"/>
    </row>
    <row r="100" spans="1:20">
      <c r="A100" s="45" t="s">
        <v>74</v>
      </c>
      <c r="B100" s="44" t="s">
        <v>177</v>
      </c>
      <c r="C100" s="43" t="str">
        <f t="shared" si="12"/>
        <v>PA-All</v>
      </c>
      <c r="D100" s="260">
        <v>642</v>
      </c>
      <c r="E100" s="245" t="str">
        <f>VLOOKUP(A100,Ranges!$M:$N,2,FALSE)</f>
        <v>Approved</v>
      </c>
      <c r="F100" s="245" t="str">
        <f>VLOOKUP(E100,Ranges!$X:$Y,2,FALSE)</f>
        <v>OK</v>
      </c>
      <c r="I100" s="260">
        <f>IF(OR(D100="N/a",ISERROR(D100)),$I$1,D100)</f>
        <v>642</v>
      </c>
      <c r="L100" s="43">
        <v>676</v>
      </c>
      <c r="M100" s="275">
        <f t="shared" ref="M100" si="18">(D100-L100)/L100</f>
        <v>-5.0295857988165681E-2</v>
      </c>
      <c r="O100" s="459">
        <v>1724</v>
      </c>
      <c r="P100" s="43">
        <f>O100*$P$135*$P$132</f>
        <v>539.43960000000004</v>
      </c>
    </row>
    <row r="101" spans="1:20">
      <c r="B101" s="36"/>
      <c r="C101" s="43" t="str">
        <f t="shared" si="12"/>
        <v>PA-</v>
      </c>
      <c r="D101" s="260"/>
    </row>
    <row r="102" spans="1:20">
      <c r="A102" s="45" t="s">
        <v>148</v>
      </c>
      <c r="B102" s="44" t="s">
        <v>177</v>
      </c>
      <c r="C102" s="43" t="str">
        <f t="shared" si="12"/>
        <v>PR-All</v>
      </c>
      <c r="D102" s="260" t="str">
        <f>D$1</f>
        <v>N/A</v>
      </c>
      <c r="E102" s="245" t="str">
        <f>VLOOKUP(A102,Ranges!$M:$N,2,FALSE)</f>
        <v>To Be Filed</v>
      </c>
      <c r="F102" s="245" t="str">
        <f>VLOOKUP(E102,Ranges!$X:$Y,2,FALSE)</f>
        <v>No</v>
      </c>
      <c r="I102" s="260">
        <f>IF(OR(D102="N/a",ISERROR(D102)),$I$1,D102)</f>
        <v>1000</v>
      </c>
    </row>
    <row r="103" spans="1:20">
      <c r="B103" s="36"/>
      <c r="C103" s="43" t="str">
        <f t="shared" si="12"/>
        <v>PR-</v>
      </c>
      <c r="D103" s="260"/>
    </row>
    <row r="104" spans="1:20">
      <c r="A104" s="45" t="s">
        <v>150</v>
      </c>
      <c r="B104" s="44" t="s">
        <v>177</v>
      </c>
      <c r="C104" s="43" t="str">
        <f t="shared" si="12"/>
        <v>RI-All</v>
      </c>
      <c r="D104" s="260">
        <v>600</v>
      </c>
      <c r="E104" s="245" t="str">
        <f>VLOOKUP(A104,Ranges!$M:$N,2,FALSE)</f>
        <v>Approved</v>
      </c>
      <c r="F104" s="245" t="str">
        <f>VLOOKUP(E104,Ranges!$X:$Y,2,FALSE)</f>
        <v>OK</v>
      </c>
      <c r="I104" s="260">
        <f>IF(OR(D104="N/a",ISERROR(D104)),$I$1,D104)</f>
        <v>600</v>
      </c>
      <c r="N104" s="43">
        <v>734</v>
      </c>
      <c r="O104" s="459">
        <v>1401</v>
      </c>
      <c r="P104" s="43">
        <f>O104*$P$135*$P$132</f>
        <v>438.37289999999996</v>
      </c>
      <c r="Q104" s="459">
        <v>1475</v>
      </c>
      <c r="R104" s="43">
        <f>Q104*R$135*R$132</f>
        <v>461.52750000000003</v>
      </c>
      <c r="T104" s="43">
        <v>600</v>
      </c>
    </row>
    <row r="105" spans="1:20">
      <c r="B105" s="36"/>
      <c r="C105" s="43" t="str">
        <f t="shared" si="12"/>
        <v>RI-</v>
      </c>
      <c r="D105" s="260"/>
    </row>
    <row r="106" spans="1:20">
      <c r="A106" s="45" t="s">
        <v>152</v>
      </c>
      <c r="B106" s="44" t="s">
        <v>177</v>
      </c>
      <c r="C106" s="43" t="str">
        <f t="shared" si="12"/>
        <v>SC-All</v>
      </c>
      <c r="D106" s="260">
        <v>500</v>
      </c>
      <c r="E106" s="245" t="str">
        <f>VLOOKUP(A106,Ranges!$M:$N,2,FALSE)</f>
        <v>Approved</v>
      </c>
      <c r="F106" s="245" t="str">
        <f>VLOOKUP(E106,Ranges!$X:$Y,2,FALSE)</f>
        <v>OK</v>
      </c>
      <c r="I106" s="260">
        <f>IF(OR(D106="N/a",ISERROR(D106)),$I$1,D106)</f>
        <v>500</v>
      </c>
      <c r="N106" s="43">
        <v>748</v>
      </c>
      <c r="T106" s="43">
        <v>500</v>
      </c>
    </row>
    <row r="107" spans="1:20">
      <c r="B107" s="36"/>
      <c r="C107" s="43" t="str">
        <f t="shared" si="12"/>
        <v>SC-</v>
      </c>
      <c r="D107" s="260"/>
    </row>
    <row r="108" spans="1:20">
      <c r="A108" s="45" t="s">
        <v>154</v>
      </c>
      <c r="B108" s="44" t="s">
        <v>177</v>
      </c>
      <c r="C108" s="43" t="str">
        <f t="shared" si="12"/>
        <v>SD-All</v>
      </c>
      <c r="D108" s="260">
        <v>400</v>
      </c>
      <c r="E108" s="245" t="str">
        <f>VLOOKUP(A108,Ranges!$M:$N,2,FALSE)</f>
        <v>Approved</v>
      </c>
      <c r="F108" s="245" t="str">
        <f>VLOOKUP(E108,Ranges!$X:$Y,2,FALSE)</f>
        <v>OK</v>
      </c>
      <c r="I108" s="260">
        <f>IF(OR(D108="N/a",ISERROR(D108)),$I$1,D108)</f>
        <v>400</v>
      </c>
      <c r="T108" s="43">
        <v>400</v>
      </c>
    </row>
    <row r="109" spans="1:20">
      <c r="B109" s="36"/>
      <c r="C109" s="43" t="str">
        <f t="shared" si="12"/>
        <v>SD-</v>
      </c>
      <c r="D109" s="260"/>
    </row>
    <row r="110" spans="1:20">
      <c r="A110" s="45" t="s">
        <v>156</v>
      </c>
      <c r="B110" s="44" t="s">
        <v>177</v>
      </c>
      <c r="C110" s="43" t="str">
        <f t="shared" si="12"/>
        <v>TN-All</v>
      </c>
      <c r="D110" s="260">
        <v>500</v>
      </c>
      <c r="E110" s="245" t="str">
        <f>VLOOKUP(A110,Ranges!$M:$N,2,FALSE)</f>
        <v>Approved</v>
      </c>
      <c r="F110" s="245" t="str">
        <f>VLOOKUP(E110,Ranges!$X:$Y,2,FALSE)</f>
        <v>OK</v>
      </c>
      <c r="I110" s="260">
        <f>IF(OR(D110="N/a",ISERROR(D110)),$I$1,D110)</f>
        <v>500</v>
      </c>
      <c r="L110" s="43">
        <v>500</v>
      </c>
      <c r="M110" s="275">
        <f t="shared" ref="M110" si="19">(D110-L110)/L110</f>
        <v>0</v>
      </c>
    </row>
    <row r="111" spans="1:20">
      <c r="B111" s="36"/>
      <c r="C111" s="43" t="str">
        <f t="shared" si="12"/>
        <v>TN-</v>
      </c>
      <c r="D111" s="260"/>
    </row>
    <row r="112" spans="1:20">
      <c r="A112" s="45" t="s">
        <v>75</v>
      </c>
      <c r="B112" s="44" t="s">
        <v>177</v>
      </c>
      <c r="C112" s="43" t="str">
        <f t="shared" si="12"/>
        <v>TX-All</v>
      </c>
      <c r="D112" s="260">
        <v>713</v>
      </c>
      <c r="E112" s="245" t="str">
        <f>VLOOKUP(A112,Ranges!$M:$N,2,FALSE)</f>
        <v>Filing Not Required</v>
      </c>
      <c r="F112" s="245" t="str">
        <f>VLOOKUP(E112,Ranges!$X:$Y,2,FALSE)</f>
        <v>OK</v>
      </c>
      <c r="I112" s="260">
        <f>IF(OR(D112="N/a",ISERROR(D112)),$I$1,D112)</f>
        <v>713</v>
      </c>
    </row>
    <row r="113" spans="1:20">
      <c r="B113" s="36"/>
      <c r="C113" s="43" t="str">
        <f t="shared" si="12"/>
        <v>TX-</v>
      </c>
      <c r="D113" s="260"/>
    </row>
    <row r="114" spans="1:20">
      <c r="A114" s="45" t="s">
        <v>159</v>
      </c>
      <c r="B114" s="44" t="s">
        <v>177</v>
      </c>
      <c r="C114" s="43" t="str">
        <f t="shared" si="12"/>
        <v>UT-All</v>
      </c>
      <c r="D114" s="260">
        <v>450</v>
      </c>
      <c r="E114" s="245" t="str">
        <f>VLOOKUP(A114,Ranges!$M:$N,2,FALSE)</f>
        <v>Approved</v>
      </c>
      <c r="F114" s="245" t="str">
        <f>VLOOKUP(E114,Ranges!$X:$Y,2,FALSE)</f>
        <v>OK</v>
      </c>
      <c r="I114" s="260">
        <f>IF(OR(D114="N/a",ISERROR(D114)),$I$1,D114)</f>
        <v>450</v>
      </c>
      <c r="L114" s="43">
        <v>450</v>
      </c>
      <c r="M114" s="275">
        <f t="shared" ref="M114" si="20">(D114-L114)/L114</f>
        <v>0</v>
      </c>
    </row>
    <row r="115" spans="1:20">
      <c r="B115" s="36"/>
      <c r="C115" s="43" t="str">
        <f t="shared" si="12"/>
        <v>UT-</v>
      </c>
      <c r="D115" s="260"/>
    </row>
    <row r="116" spans="1:20">
      <c r="A116" s="45" t="s">
        <v>161</v>
      </c>
      <c r="B116" s="44" t="s">
        <v>177</v>
      </c>
      <c r="C116" s="43" t="str">
        <f t="shared" si="12"/>
        <v>VT-All</v>
      </c>
      <c r="D116" s="260">
        <v>575</v>
      </c>
      <c r="E116" s="245" t="str">
        <f>VLOOKUP(A116,Ranges!$M:$N,2,FALSE)</f>
        <v>Approved</v>
      </c>
      <c r="F116" s="245" t="str">
        <f>VLOOKUP(E116,Ranges!$X:$Y,2,FALSE)</f>
        <v>OK</v>
      </c>
      <c r="I116" s="260">
        <f>IF(OR(D116="N/a",ISERROR(D116)),$I$1,D116)</f>
        <v>575</v>
      </c>
      <c r="N116" s="43">
        <v>805</v>
      </c>
      <c r="O116" s="459">
        <v>1455</v>
      </c>
      <c r="P116" s="43">
        <f>O116*$P$135*$P$132</f>
        <v>455.26949999999994</v>
      </c>
      <c r="Q116" s="459">
        <v>1550</v>
      </c>
      <c r="R116" s="43">
        <f>Q116*R$135*R$132</f>
        <v>484.995</v>
      </c>
      <c r="T116" s="43">
        <v>575</v>
      </c>
    </row>
    <row r="117" spans="1:20">
      <c r="B117" s="36"/>
      <c r="C117" s="43" t="str">
        <f t="shared" si="12"/>
        <v>VT-</v>
      </c>
      <c r="D117" s="260"/>
    </row>
    <row r="118" spans="1:20">
      <c r="A118" s="45" t="s">
        <v>163</v>
      </c>
      <c r="B118" s="44" t="s">
        <v>177</v>
      </c>
      <c r="C118" s="43" t="str">
        <f t="shared" si="12"/>
        <v>VI-All</v>
      </c>
      <c r="D118" s="260" t="str">
        <f>D$1</f>
        <v>N/A</v>
      </c>
      <c r="E118" s="245" t="str">
        <f>VLOOKUP(A118,Ranges!$M:$N,2,FALSE)</f>
        <v>To Be Filed</v>
      </c>
      <c r="F118" s="245" t="str">
        <f>VLOOKUP(E118,Ranges!$X:$Y,2,FALSE)</f>
        <v>No</v>
      </c>
      <c r="I118" s="260">
        <f>IF(OR(D118="N/a",ISERROR(D118)),$I$1,D118)</f>
        <v>1000</v>
      </c>
    </row>
    <row r="119" spans="1:20">
      <c r="B119" s="36"/>
      <c r="C119" s="43" t="str">
        <f t="shared" si="12"/>
        <v>VI-</v>
      </c>
      <c r="D119" s="260"/>
    </row>
    <row r="120" spans="1:20">
      <c r="A120" s="45" t="s">
        <v>76</v>
      </c>
      <c r="B120" s="44" t="s">
        <v>177</v>
      </c>
      <c r="C120" s="43" t="str">
        <f t="shared" si="12"/>
        <v>VA-All</v>
      </c>
      <c r="D120" s="260">
        <v>487</v>
      </c>
      <c r="E120" s="245" t="str">
        <f>VLOOKUP(A120,Ranges!$M:$N,2,FALSE)</f>
        <v>Approved</v>
      </c>
      <c r="F120" s="245" t="str">
        <f>VLOOKUP(E120,Ranges!$X:$Y,2,FALSE)</f>
        <v>OK</v>
      </c>
      <c r="I120" s="260">
        <f>IF(OR(D120="N/a",ISERROR(D120)),$I$1,D120)</f>
        <v>487</v>
      </c>
      <c r="L120" s="43">
        <v>513</v>
      </c>
      <c r="M120" s="275">
        <f t="shared" ref="M120" si="21">(D120-L120)/L120</f>
        <v>-5.0682261208576995E-2</v>
      </c>
      <c r="O120" s="459">
        <v>2479</v>
      </c>
      <c r="P120" s="43">
        <f>O120*$P$135*$P$132</f>
        <v>775.67909999999995</v>
      </c>
    </row>
    <row r="121" spans="1:20">
      <c r="B121" s="36"/>
      <c r="C121" s="43" t="str">
        <f t="shared" si="12"/>
        <v>VA-</v>
      </c>
      <c r="D121" s="260"/>
    </row>
    <row r="122" spans="1:20">
      <c r="A122" s="45" t="s">
        <v>166</v>
      </c>
      <c r="B122" s="44" t="s">
        <v>177</v>
      </c>
      <c r="C122" s="43" t="str">
        <f t="shared" si="12"/>
        <v>WA-All</v>
      </c>
      <c r="D122" s="260">
        <v>750</v>
      </c>
      <c r="E122" s="245" t="str">
        <f>VLOOKUP(A122,Ranges!$M:$N,2,FALSE)</f>
        <v>Submitted</v>
      </c>
      <c r="F122" s="245" t="str">
        <f>VLOOKUP(E122,Ranges!$X:$Y,2,FALSE)</f>
        <v>No</v>
      </c>
      <c r="I122" s="260">
        <f>IF(OR(D122="N/a",ISERROR(D122)),$I$1,D122)</f>
        <v>750</v>
      </c>
      <c r="N122" s="43">
        <v>821</v>
      </c>
      <c r="Q122" s="459">
        <v>2519</v>
      </c>
      <c r="R122" s="43">
        <f>Q122*R$135*R$132</f>
        <v>788.19510000000002</v>
      </c>
      <c r="T122" s="465">
        <v>750</v>
      </c>
    </row>
    <row r="123" spans="1:20">
      <c r="B123" s="36"/>
      <c r="C123" s="43" t="str">
        <f t="shared" si="12"/>
        <v>WA-</v>
      </c>
      <c r="D123" s="260"/>
    </row>
    <row r="124" spans="1:20">
      <c r="A124" s="45" t="s">
        <v>168</v>
      </c>
      <c r="B124" s="44" t="s">
        <v>177</v>
      </c>
      <c r="C124" s="43" t="str">
        <f t="shared" si="12"/>
        <v>WV-All</v>
      </c>
      <c r="D124" s="260">
        <v>575</v>
      </c>
      <c r="E124" s="245" t="str">
        <f>VLOOKUP(A124,Ranges!$M:$N,2,FALSE)</f>
        <v>Approved</v>
      </c>
      <c r="F124" s="245" t="str">
        <f>VLOOKUP(E124,Ranges!$X:$Y,2,FALSE)</f>
        <v>OK</v>
      </c>
      <c r="I124" s="260">
        <f>IF(OR(D124="N/a",ISERROR(D124)),$I$1,D124)</f>
        <v>575</v>
      </c>
      <c r="N124" s="43">
        <v>575</v>
      </c>
      <c r="Q124" s="459" t="s">
        <v>189</v>
      </c>
      <c r="R124" s="43" t="s">
        <v>189</v>
      </c>
      <c r="T124" s="43">
        <v>575</v>
      </c>
    </row>
    <row r="125" spans="1:20">
      <c r="B125" s="36"/>
      <c r="C125" s="43" t="str">
        <f t="shared" si="12"/>
        <v>WV-</v>
      </c>
      <c r="D125" s="260"/>
    </row>
    <row r="126" spans="1:20">
      <c r="A126" s="45" t="s">
        <v>170</v>
      </c>
      <c r="B126" s="44" t="s">
        <v>177</v>
      </c>
      <c r="C126" s="43" t="str">
        <f t="shared" si="12"/>
        <v>WI-All</v>
      </c>
      <c r="D126" s="260">
        <v>488</v>
      </c>
      <c r="E126" s="245" t="str">
        <f>VLOOKUP(A126,Ranges!$M:$N,2,FALSE)</f>
        <v>Approved</v>
      </c>
      <c r="F126" s="245" t="str">
        <f>VLOOKUP(E126,Ranges!$X:$Y,2,FALSE)</f>
        <v>OK</v>
      </c>
      <c r="I126" s="260">
        <f>IF(OR(D126="N/a",ISERROR(D126)),$I$1,D126)</f>
        <v>488</v>
      </c>
      <c r="L126" s="43">
        <v>488</v>
      </c>
      <c r="M126" s="275">
        <f t="shared" ref="M126" si="22">(D126-L126)/L126</f>
        <v>0</v>
      </c>
    </row>
    <row r="127" spans="1:20">
      <c r="B127" s="36"/>
      <c r="C127" s="43" t="str">
        <f t="shared" si="12"/>
        <v>WI-</v>
      </c>
      <c r="D127" s="260"/>
    </row>
    <row r="128" spans="1:20">
      <c r="A128" s="45" t="s">
        <v>172</v>
      </c>
      <c r="B128" s="44" t="s">
        <v>177</v>
      </c>
      <c r="C128" s="43" t="str">
        <f t="shared" si="12"/>
        <v>WY-All</v>
      </c>
      <c r="D128" s="260">
        <v>500</v>
      </c>
      <c r="E128" s="245" t="str">
        <f>VLOOKUP(A128,Ranges!$M:$N,2,FALSE)</f>
        <v>Approved</v>
      </c>
      <c r="F128" s="245" t="str">
        <f>VLOOKUP(E128,Ranges!$X:$Y,2,FALSE)</f>
        <v>OK</v>
      </c>
      <c r="I128" s="260">
        <f>IF(OR(D128="N/a",ISERROR(D128)),$I$1,D128)</f>
        <v>500</v>
      </c>
      <c r="T128" s="43">
        <v>500</v>
      </c>
    </row>
    <row r="129" spans="2:18">
      <c r="B129" s="36"/>
      <c r="C129" s="43" t="str">
        <f t="shared" si="12"/>
        <v>WY-</v>
      </c>
    </row>
    <row r="131" spans="2:18">
      <c r="L131" s="140" t="s">
        <v>2537</v>
      </c>
      <c r="P131" s="43" t="s">
        <v>2518</v>
      </c>
      <c r="R131" s="43" t="s">
        <v>2518</v>
      </c>
    </row>
    <row r="132" spans="2:18">
      <c r="L132" s="140">
        <f>AVERAGE(L$2:L$130)</f>
        <v>613.11111111111109</v>
      </c>
      <c r="P132" s="458">
        <v>0.44700000000000001</v>
      </c>
      <c r="Q132" s="464"/>
      <c r="R132" s="458">
        <v>0.44700000000000001</v>
      </c>
    </row>
    <row r="134" spans="2:18">
      <c r="P134" s="43" t="s">
        <v>2519</v>
      </c>
      <c r="R134" s="43" t="s">
        <v>2519</v>
      </c>
    </row>
    <row r="135" spans="2:18">
      <c r="L135" s="140" t="s">
        <v>356</v>
      </c>
      <c r="P135" s="43">
        <v>0.7</v>
      </c>
      <c r="R135" s="43">
        <v>0.7</v>
      </c>
    </row>
    <row r="136" spans="2:18">
      <c r="L136" s="140">
        <f>MIN(L$2:L$130)</f>
        <v>350</v>
      </c>
    </row>
    <row r="137" spans="2:18">
      <c r="P137" s="43" t="s">
        <v>2520</v>
      </c>
      <c r="R137" s="43" t="s">
        <v>2520</v>
      </c>
    </row>
    <row r="138" spans="2:18">
      <c r="L138" s="140" t="s">
        <v>357</v>
      </c>
      <c r="P138" s="43">
        <v>1</v>
      </c>
      <c r="R138" s="43">
        <v>1</v>
      </c>
    </row>
    <row r="139" spans="2:18">
      <c r="L139" s="140">
        <f>MAX(L$2:L$130)</f>
        <v>1400</v>
      </c>
    </row>
  </sheetData>
  <autoFilter ref="A4:M129" xr:uid="{00000000-0009-0000-0000-000003000000}"/>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Ranges!$X$6:$X$13</xm:f>
          </x14:formula1>
          <xm:sqref>F5 F7 F9 F11 F13 F18 F20 F22 F24 F26 F41 F43 F45 F47 F52 F54 F56 F58 F60 F62 F64 F66 F68 F70 F72 F74 F76 F78 F80 F82 F84 F86 F91 F93 F95 F97 F99 F101 F103 F105 F107 F109 F111 F113 F115 F117 F119 F121 F123 F125 F129 F127 F39 F50 E5:E129 F89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7"/>
  </sheetPr>
  <dimension ref="A1:AX34"/>
  <sheetViews>
    <sheetView zoomScale="85" zoomScaleNormal="85" workbookViewId="0">
      <selection activeCell="A2" sqref="A2:B2"/>
    </sheetView>
  </sheetViews>
  <sheetFormatPr defaultRowHeight="15"/>
  <cols>
    <col min="1" max="1" width="30.5703125" bestFit="1" customWidth="1"/>
    <col min="2" max="2" width="35" bestFit="1" customWidth="1"/>
    <col min="3" max="3" width="9.140625" customWidth="1"/>
    <col min="4" max="4" width="2.7109375" style="477" customWidth="1"/>
    <col min="5" max="5" width="14.140625" customWidth="1"/>
    <col min="6" max="6" width="17.85546875" bestFit="1" customWidth="1"/>
    <col min="7" max="7" width="17.5703125" bestFit="1" customWidth="1"/>
    <col min="8" max="8" width="18.85546875" customWidth="1"/>
    <col min="9" max="9" width="19" bestFit="1" customWidth="1"/>
    <col min="10" max="10" width="13.28515625" customWidth="1"/>
    <col min="11" max="11" width="2.7109375" style="477" customWidth="1"/>
    <col min="12" max="12" width="35.42578125" customWidth="1"/>
    <col min="13" max="14" width="11.5703125" customWidth="1"/>
    <col min="15" max="15" width="10.5703125" bestFit="1" customWidth="1"/>
    <col min="18" max="18" width="27.42578125" customWidth="1"/>
    <col min="19" max="19" width="12.28515625" customWidth="1"/>
    <col min="20" max="20" width="15.85546875" customWidth="1"/>
    <col min="21" max="21" width="11.140625" style="4" customWidth="1"/>
    <col min="22" max="22" width="19.28515625" style="4" bestFit="1" customWidth="1"/>
    <col min="23" max="23" width="7.7109375" style="4" customWidth="1"/>
    <col min="24" max="24" width="9.140625" style="4" customWidth="1"/>
    <col min="25" max="25" width="17.140625" style="4" customWidth="1"/>
    <col min="26" max="26" width="10.7109375" style="4" bestFit="1" customWidth="1"/>
    <col min="27" max="27" width="14.28515625" style="4" customWidth="1"/>
    <col min="28" max="28" width="14.85546875" style="4" customWidth="1"/>
    <col min="29" max="29" width="9.140625" style="4" customWidth="1"/>
    <col min="30" max="30" width="8.5703125" style="4" customWidth="1"/>
    <col min="31" max="31" width="27.42578125" customWidth="1"/>
    <col min="32" max="32" width="12.28515625" customWidth="1"/>
    <col min="33" max="33" width="15.85546875" customWidth="1"/>
    <col min="34" max="34" width="11.140625" customWidth="1"/>
    <col min="35" max="35" width="15.42578125" customWidth="1"/>
    <col min="36" max="36" width="7.7109375" customWidth="1"/>
    <col min="37" max="37" width="9.140625" customWidth="1"/>
    <col min="38" max="38" width="12.7109375" customWidth="1"/>
    <col min="39" max="39" width="9.140625" customWidth="1"/>
    <col min="40" max="40" width="12.140625" customWidth="1"/>
    <col min="41" max="41" width="27.42578125" customWidth="1"/>
    <col min="42" max="42" width="12.28515625" customWidth="1"/>
    <col min="43" max="43" width="15.85546875" customWidth="1"/>
    <col min="44" max="44" width="11.140625" customWidth="1"/>
    <col min="45" max="45" width="15.42578125" customWidth="1"/>
    <col min="46" max="46" width="11.140625" customWidth="1"/>
    <col min="47" max="47" width="9.140625" customWidth="1"/>
    <col min="48" max="48" width="12.42578125" customWidth="1"/>
    <col min="49" max="49" width="9.140625" customWidth="1"/>
    <col min="50" max="50" width="11.5703125" customWidth="1"/>
  </cols>
  <sheetData>
    <row r="1" spans="1:50" ht="15.75" thickBot="1">
      <c r="L1" s="629" t="s">
        <v>2661</v>
      </c>
      <c r="M1" s="630"/>
      <c r="N1" s="630"/>
      <c r="O1" s="631"/>
      <c r="R1" s="629" t="s">
        <v>2660</v>
      </c>
      <c r="S1" s="630"/>
      <c r="T1" s="630"/>
      <c r="U1" s="630"/>
      <c r="V1" s="630"/>
      <c r="W1" s="630"/>
      <c r="X1" s="630"/>
      <c r="Y1" s="630"/>
      <c r="Z1" s="630"/>
      <c r="AA1" s="631"/>
    </row>
    <row r="2" spans="1:50" ht="45.75" thickBot="1">
      <c r="A2" s="45" t="s">
        <v>3020</v>
      </c>
      <c r="B2" s="45" t="s">
        <v>2657</v>
      </c>
      <c r="D2" s="478"/>
      <c r="E2" s="480" t="s">
        <v>2633</v>
      </c>
      <c r="F2" s="481" t="s">
        <v>2635</v>
      </c>
      <c r="G2" s="481" t="s">
        <v>2634</v>
      </c>
      <c r="H2" s="482" t="s">
        <v>2636</v>
      </c>
      <c r="I2" s="482" t="s">
        <v>2637</v>
      </c>
      <c r="J2" s="483" t="s">
        <v>2638</v>
      </c>
      <c r="K2" s="478"/>
      <c r="M2" s="493" t="s">
        <v>2639</v>
      </c>
      <c r="N2" s="493" t="s">
        <v>31</v>
      </c>
      <c r="O2" s="493" t="s">
        <v>536</v>
      </c>
      <c r="R2" s="4"/>
      <c r="S2" s="4"/>
      <c r="T2" s="4"/>
      <c r="U2" s="205"/>
      <c r="V2" s="495" t="s">
        <v>387</v>
      </c>
      <c r="W2" s="16"/>
      <c r="X2" s="16"/>
      <c r="Y2" s="16"/>
      <c r="Z2" s="16"/>
      <c r="AA2" s="205"/>
    </row>
    <row r="3" spans="1:50" ht="15.75" thickBot="1">
      <c r="A3" t="s">
        <v>2504</v>
      </c>
      <c r="B3" s="519">
        <f ca="1">Prem_FullTerm</f>
        <v>24646</v>
      </c>
      <c r="D3" s="484"/>
      <c r="E3" s="488" t="s">
        <v>2641</v>
      </c>
      <c r="F3" s="494">
        <f ca="1">B3</f>
        <v>24646</v>
      </c>
      <c r="G3" s="485">
        <f ca="1">Prem_FullTerm</f>
        <v>24646</v>
      </c>
      <c r="H3" s="486">
        <f ca="1">M27*(1+O25)*(1+O21)*(1+O13)*(1+O11)</f>
        <v>24646</v>
      </c>
      <c r="I3" s="486">
        <f ca="1">G3</f>
        <v>24646</v>
      </c>
      <c r="J3" s="487">
        <f t="shared" ref="J3" ca="1" si="0">I3/H3-1</f>
        <v>0</v>
      </c>
      <c r="K3" s="484"/>
      <c r="L3" s="516" t="s">
        <v>16</v>
      </c>
      <c r="M3" s="517" t="str">
        <f>B6</f>
        <v>WY</v>
      </c>
      <c r="N3" s="518" t="str">
        <f>info_st</f>
        <v>WY</v>
      </c>
      <c r="O3" s="493"/>
      <c r="R3" s="63" t="s">
        <v>386</v>
      </c>
      <c r="S3" s="64">
        <f t="array" ref="S3">INDEX(Ranges!$AY$6:$AY$21,MATCH(MIN(ABS(Ranges!$AY$6:$AY$21-Y5)),ABS(Ranges!$AY$6:$AY$21-Y5),0))</f>
        <v>1000000</v>
      </c>
      <c r="T3" s="204" t="str">
        <f>IF(Y5&gt;=S3,"Lower Bound","Upper Bound")</f>
        <v>Lower Bound</v>
      </c>
      <c r="U3" s="205"/>
      <c r="V3" s="66" t="s">
        <v>194</v>
      </c>
      <c r="W3" s="67">
        <f>MATCH(S4,Ranges!$AZ$5:$AZ$21,1)</f>
        <v>7</v>
      </c>
      <c r="X3" s="16" t="s">
        <v>199</v>
      </c>
      <c r="Y3" s="67">
        <f>INDEX(Ranges!$AY$5:$BS$21,W3,1)</f>
        <v>1000000</v>
      </c>
      <c r="Z3" s="16" t="s">
        <v>196</v>
      </c>
      <c r="AA3" s="68">
        <f>INDEX(Ranges!$AZ$5:$BS$21,W3,S$5)</f>
        <v>2.19</v>
      </c>
    </row>
    <row r="4" spans="1:50" ht="15.75" thickBot="1">
      <c r="A4" t="s">
        <v>5</v>
      </c>
      <c r="B4" s="520">
        <f>DATE(YEAR(B5)-1,MONTH(B5),DAY(B5))</f>
        <v>43759</v>
      </c>
      <c r="L4" s="4"/>
      <c r="M4" s="493"/>
      <c r="N4" s="493"/>
      <c r="O4" s="493"/>
      <c r="R4" s="69" t="s">
        <v>396</v>
      </c>
      <c r="S4" s="70">
        <f>INDEX(Ranges!$AZ$5:$BS$21,MATCH(Y5,Ranges!$AZ$5:$AZ$21,1),1)</f>
        <v>1000000</v>
      </c>
      <c r="T4" s="163"/>
      <c r="U4" s="205"/>
      <c r="V4" s="66" t="s">
        <v>195</v>
      </c>
      <c r="W4" s="67">
        <f>IF(W3=17,16,W3+1)</f>
        <v>8</v>
      </c>
      <c r="X4" s="16" t="s">
        <v>200</v>
      </c>
      <c r="Y4" s="67">
        <f>INDEX(Ranges!$AY$5:$BS$21,W4,1)</f>
        <v>2000000</v>
      </c>
      <c r="Z4" s="16" t="s">
        <v>197</v>
      </c>
      <c r="AA4" s="68">
        <f>INDEX(Ranges!$AZ$5:$BS$21,W4,S$5)</f>
        <v>2.7509999999999999</v>
      </c>
    </row>
    <row r="5" spans="1:50" ht="15.75" thickBot="1">
      <c r="A5" t="s">
        <v>8</v>
      </c>
      <c r="B5" s="520">
        <f>info_effdt</f>
        <v>44125</v>
      </c>
      <c r="L5" s="505" t="s">
        <v>186</v>
      </c>
      <c r="M5" s="513">
        <f t="shared" ref="M5:M10" si="1">B8</f>
        <v>1000000</v>
      </c>
      <c r="N5" s="514">
        <f>Limit_Claim</f>
        <v>1000000</v>
      </c>
      <c r="O5" s="507"/>
      <c r="R5" s="164" t="s">
        <v>191</v>
      </c>
      <c r="S5" s="206">
        <f>IF(B10=Ranges!$AH$4,MATCH(B11,Ranges!$AZ$5:$BS$5,0),MATCH(B10,Ranges!$AZ$4:$BS$4,0))</f>
        <v>3</v>
      </c>
      <c r="T5" s="182"/>
      <c r="U5" s="163"/>
      <c r="V5" s="69"/>
      <c r="W5" s="71"/>
      <c r="X5" s="71" t="s">
        <v>192</v>
      </c>
      <c r="Y5" s="70">
        <f>B8</f>
        <v>1000000</v>
      </c>
      <c r="Z5" s="200" t="s">
        <v>389</v>
      </c>
      <c r="AA5" s="201">
        <f>AA3+(Y5-Y3)*(AA4-AA3)/(Y4-Y3)</f>
        <v>2.19</v>
      </c>
    </row>
    <row r="6" spans="1:50">
      <c r="A6" s="4" t="s">
        <v>2853</v>
      </c>
      <c r="B6" s="549" t="str">
        <f>info_st</f>
        <v>WY</v>
      </c>
      <c r="I6" s="4"/>
      <c r="L6" s="508" t="s">
        <v>187</v>
      </c>
      <c r="M6" s="497">
        <f t="shared" si="1"/>
        <v>1000000</v>
      </c>
      <c r="N6" s="498">
        <f>Limit_Agg</f>
        <v>1000000</v>
      </c>
      <c r="O6" s="509"/>
      <c r="R6" s="202" t="s">
        <v>398</v>
      </c>
      <c r="S6" s="181" t="s">
        <v>399</v>
      </c>
      <c r="T6" s="203" t="s">
        <v>397</v>
      </c>
      <c r="U6" s="65"/>
      <c r="V6" s="65"/>
      <c r="W6" s="181"/>
      <c r="Y6" s="492"/>
    </row>
    <row r="7" spans="1:50" ht="15.75" thickBot="1">
      <c r="B7" s="522"/>
      <c r="L7" s="508" t="s">
        <v>193</v>
      </c>
      <c r="M7" s="496" t="str">
        <f t="shared" si="1"/>
        <v>Claims Expense Inside of Limits</v>
      </c>
      <c r="N7" s="499" t="str">
        <f>Limit_ExpTreat</f>
        <v>Claims Expense Inside of Limits</v>
      </c>
      <c r="O7" s="509"/>
      <c r="R7" s="184">
        <v>1</v>
      </c>
      <c r="S7" s="186">
        <v>1</v>
      </c>
      <c r="T7" s="66" t="s">
        <v>199</v>
      </c>
      <c r="U7" s="67">
        <f>IF(U9&lt;2,1,2)</f>
        <v>1</v>
      </c>
      <c r="V7" s="16" t="s">
        <v>196</v>
      </c>
      <c r="W7" s="68">
        <f>VLOOKUP(U7,R$7:S$9,2,FALSE)</f>
        <v>1</v>
      </c>
      <c r="Y7" s="492"/>
    </row>
    <row r="8" spans="1:50" ht="15.75" thickBot="1">
      <c r="A8" s="4" t="s">
        <v>186</v>
      </c>
      <c r="B8" s="519">
        <f>Limit_Claim</f>
        <v>1000000</v>
      </c>
      <c r="F8" s="4"/>
      <c r="G8" s="4"/>
      <c r="H8" s="4"/>
      <c r="L8" s="508" t="s">
        <v>2658</v>
      </c>
      <c r="M8" s="497">
        <f t="shared" si="1"/>
        <v>50000</v>
      </c>
      <c r="N8" s="498">
        <f>Limit_Exp</f>
        <v>50000</v>
      </c>
      <c r="O8" s="509"/>
      <c r="R8" s="184">
        <v>2</v>
      </c>
      <c r="S8" s="68">
        <f>VLOOKUP(B9/R8,Ranges!$AZ$27:$BS$31,$S$5,TRUE)</f>
        <v>1.0796486021061653</v>
      </c>
      <c r="T8" s="66" t="s">
        <v>200</v>
      </c>
      <c r="U8" s="67">
        <f>U7+1</f>
        <v>2</v>
      </c>
      <c r="V8" s="16" t="s">
        <v>197</v>
      </c>
      <c r="W8" s="68">
        <f>VLOOKUP(U8,R$7:S$9,2,FALSE)</f>
        <v>1.0796486021061653</v>
      </c>
      <c r="Y8" s="345" t="s">
        <v>570</v>
      </c>
    </row>
    <row r="9" spans="1:50" ht="15.75" thickBot="1">
      <c r="A9" s="4" t="s">
        <v>187</v>
      </c>
      <c r="B9" s="519">
        <f>Limit_Agg</f>
        <v>1000000</v>
      </c>
      <c r="F9" s="4"/>
      <c r="G9" s="4"/>
      <c r="H9" s="4"/>
      <c r="L9" s="508" t="s">
        <v>201</v>
      </c>
      <c r="M9" s="497">
        <f t="shared" si="1"/>
        <v>1000</v>
      </c>
      <c r="N9" s="498">
        <f>Limit_Ded</f>
        <v>1000</v>
      </c>
      <c r="O9" s="509"/>
      <c r="R9" s="210">
        <v>3</v>
      </c>
      <c r="S9" s="185">
        <f>VLOOKUP(B9/R9,Ranges!$AZ$36:$BS$39,$S$5,TRUE)</f>
        <v>1.0794010414424289</v>
      </c>
      <c r="T9" s="69" t="s">
        <v>192</v>
      </c>
      <c r="U9" s="183">
        <f>B9/B8</f>
        <v>1</v>
      </c>
      <c r="V9" s="200" t="s">
        <v>398</v>
      </c>
      <c r="W9" s="201">
        <f>W7+(U9-U7)*(W8-W7)/(U8-U7)</f>
        <v>1</v>
      </c>
      <c r="Y9" s="346">
        <f>AA5*W9</f>
        <v>2.19</v>
      </c>
    </row>
    <row r="10" spans="1:50" ht="15.75" thickBot="1">
      <c r="A10" s="4" t="s">
        <v>193</v>
      </c>
      <c r="B10" s="521" t="str">
        <f>Limit_ExpTreat</f>
        <v>Claims Expense Inside of Limits</v>
      </c>
      <c r="F10" s="4"/>
      <c r="G10" s="4"/>
      <c r="H10" s="4"/>
      <c r="L10" s="508" t="s">
        <v>205</v>
      </c>
      <c r="M10" s="497" t="str">
        <f t="shared" si="1"/>
        <v>Loss &amp; Claims Expense</v>
      </c>
      <c r="N10" s="498" t="str">
        <f>Rater!J12</f>
        <v>Loss &amp; Claims Expense</v>
      </c>
      <c r="O10" s="509"/>
      <c r="R10" s="66" t="s">
        <v>2716</v>
      </c>
      <c r="S10" s="67">
        <f>MATCH(U12,Ranges!$BU$5:$BU$22,1)</f>
        <v>3</v>
      </c>
      <c r="T10" s="16" t="s">
        <v>2718</v>
      </c>
      <c r="U10" s="67">
        <f>INDEX(Ranges!$BU$5:$BW$22,S10,1)</f>
        <v>1000</v>
      </c>
      <c r="V10" s="16" t="s">
        <v>196</v>
      </c>
      <c r="W10" s="68">
        <f>INDEX(Ranges!$BU$5:$BW$22,S10,S$12)</f>
        <v>4.0000000000000001E-3</v>
      </c>
      <c r="Y10" s="492"/>
    </row>
    <row r="11" spans="1:50" ht="15.75" thickBot="1">
      <c r="A11" s="4" t="s">
        <v>2658</v>
      </c>
      <c r="B11" s="519">
        <f>Limit_Exp</f>
        <v>50000</v>
      </c>
      <c r="L11" s="510" t="s">
        <v>2659</v>
      </c>
      <c r="M11" s="515">
        <f>IF(M3=R13,Y23,IF(M3=R24,Y34,Y12))</f>
        <v>2.1859999999999999</v>
      </c>
      <c r="N11" s="515">
        <f>Rate_ILF</f>
        <v>2.1859999999999999</v>
      </c>
      <c r="O11" s="512">
        <f>N11/M11-1</f>
        <v>0</v>
      </c>
      <c r="R11" s="66" t="s">
        <v>2717</v>
      </c>
      <c r="S11" s="67">
        <f>IF(S10=ROWS(Ranges!$BU$5:$BU$22),ROWS(Ranges!$BU$5:$BU$22)-1,S10+1)</f>
        <v>4</v>
      </c>
      <c r="T11" s="16" t="s">
        <v>2719</v>
      </c>
      <c r="U11" s="67">
        <f>INDEX(Ranges!$BU$5:$BW$22,S11,1)</f>
        <v>2000</v>
      </c>
      <c r="V11" s="16" t="s">
        <v>197</v>
      </c>
      <c r="W11" s="68">
        <f>INDEX(Ranges!$BU$5:$BW$22,S11,S$12)</f>
        <v>1.6E-2</v>
      </c>
      <c r="Y11" s="337" t="s">
        <v>571</v>
      </c>
    </row>
    <row r="12" spans="1:50" ht="15.75" thickBot="1">
      <c r="A12" s="4" t="s">
        <v>201</v>
      </c>
      <c r="B12" s="519">
        <f>Limit_Ded</f>
        <v>1000</v>
      </c>
      <c r="L12" s="4"/>
      <c r="M12" s="4"/>
      <c r="N12" s="4"/>
      <c r="O12" s="4"/>
      <c r="R12" s="69" t="s">
        <v>3006</v>
      </c>
      <c r="S12" s="70">
        <f>IF($B13=Ranges!$BV$5,2,3)</f>
        <v>2</v>
      </c>
      <c r="T12" s="71" t="s">
        <v>3005</v>
      </c>
      <c r="U12" s="70">
        <f>B12</f>
        <v>1000</v>
      </c>
      <c r="V12" s="200" t="s">
        <v>388</v>
      </c>
      <c r="W12" s="201">
        <f>W10+(U12-U10)*(W11-W10)/(U11-U10)</f>
        <v>4.0000000000000001E-3</v>
      </c>
      <c r="Y12" s="338">
        <f>Y9-W12</f>
        <v>2.1859999999999999</v>
      </c>
    </row>
    <row r="13" spans="1:50" ht="15.75" thickBot="1">
      <c r="A13" s="4" t="s">
        <v>205</v>
      </c>
      <c r="B13" s="521" t="str">
        <f>Rater!J12</f>
        <v>Loss &amp; Claims Expense</v>
      </c>
      <c r="F13" s="4"/>
      <c r="G13" s="479"/>
      <c r="L13" s="500" t="s">
        <v>313</v>
      </c>
      <c r="M13" s="554">
        <f>B16</f>
        <v>1.02</v>
      </c>
      <c r="N13" s="554">
        <f>Rate_DedAgg</f>
        <v>1.02</v>
      </c>
      <c r="O13" s="502">
        <f>N13/M13-1</f>
        <v>0</v>
      </c>
      <c r="R13" s="278" t="s">
        <v>70</v>
      </c>
      <c r="S13" s="278"/>
      <c r="T13" s="278"/>
      <c r="U13" s="279"/>
      <c r="V13" s="280" t="s">
        <v>387</v>
      </c>
      <c r="W13" s="281"/>
      <c r="X13" s="281"/>
      <c r="Y13" s="281"/>
      <c r="Z13" s="281"/>
      <c r="AA13" s="282"/>
    </row>
    <row r="14" spans="1:50" ht="15.75" thickBot="1">
      <c r="A14" s="4" t="s">
        <v>2854</v>
      </c>
      <c r="B14" s="521" t="str">
        <f>Rater!F14</f>
        <v>Yes</v>
      </c>
      <c r="F14" s="4"/>
      <c r="G14" s="4"/>
      <c r="R14" s="283" t="s">
        <v>386</v>
      </c>
      <c r="S14" s="284">
        <f t="array" ref="S14">INDEX(Ranges!$AY$48:$AY$63,MATCH(MIN(ABS(Ranges!$AY$48:$AY$63-Y16)),ABS(Ranges!$AY$48:$AY$63-Y16),0))</f>
        <v>1000000</v>
      </c>
      <c r="T14" s="285" t="str">
        <f>IF(Y16&gt;=S14,"Lower Bound","Upper Bound")</f>
        <v>Lower Bound</v>
      </c>
      <c r="U14" s="279"/>
      <c r="V14" s="286" t="s">
        <v>194</v>
      </c>
      <c r="W14" s="287">
        <f>MATCH(S15,Ranges!$AZ$47:$AZ$63,1)</f>
        <v>7</v>
      </c>
      <c r="X14" s="288" t="s">
        <v>199</v>
      </c>
      <c r="Y14" s="287">
        <f>INDEX(Ranges!$AY$47:$BS$63,W14,1)</f>
        <v>1000000</v>
      </c>
      <c r="Z14" s="288" t="s">
        <v>196</v>
      </c>
      <c r="AA14" s="289">
        <f>INDEX(Ranges!$AZ$47:$BS$63,W14,S$16)</f>
        <v>1.94</v>
      </c>
      <c r="AV14" s="492"/>
      <c r="AW14" s="4"/>
      <c r="AX14" s="4"/>
    </row>
    <row r="15" spans="1:50" ht="15.75" thickBot="1">
      <c r="A15" s="4" t="s">
        <v>2855</v>
      </c>
      <c r="B15" s="521" t="str">
        <f>Rater!J14</f>
        <v>Aggregate deductible amount is 2x the per claim deductible</v>
      </c>
      <c r="F15" s="4"/>
      <c r="G15" s="4"/>
      <c r="L15" s="500" t="s">
        <v>2925</v>
      </c>
      <c r="M15" s="554">
        <f>M11*M13</f>
        <v>2.2297199999999999</v>
      </c>
      <c r="N15" s="554">
        <f>N11*N13</f>
        <v>2.2297199999999999</v>
      </c>
      <c r="O15" s="502">
        <f>N15/M15-1</f>
        <v>0</v>
      </c>
      <c r="R15" s="290" t="s">
        <v>396</v>
      </c>
      <c r="S15" s="291">
        <f>INDEX(Ranges!$AZ$47:$BS$63,MATCH(Y16,Ranges!$AZ$47:$AZ$63,1),1)</f>
        <v>1000000</v>
      </c>
      <c r="T15" s="292"/>
      <c r="U15" s="279"/>
      <c r="V15" s="286" t="s">
        <v>195</v>
      </c>
      <c r="W15" s="287">
        <f>IF(W14=17,16,W14+1)</f>
        <v>8</v>
      </c>
      <c r="X15" s="288" t="s">
        <v>200</v>
      </c>
      <c r="Y15" s="287">
        <f>INDEX(Ranges!$AY$47:$BS$63,W15,1)</f>
        <v>2000000</v>
      </c>
      <c r="Z15" s="288" t="s">
        <v>197</v>
      </c>
      <c r="AA15" s="289">
        <f>INDEX(Ranges!$AZ$47:$BS$63,W15,S$16)</f>
        <v>2.2799999999999998</v>
      </c>
    </row>
    <row r="16" spans="1:50" ht="15.75" thickBot="1">
      <c r="A16" s="4" t="s">
        <v>2664</v>
      </c>
      <c r="B16" s="553">
        <f>IF(B14="no",1,VLOOKUP(B15,Ranges!$BY$6:$BZ$8,2,FALSE))</f>
        <v>1.02</v>
      </c>
      <c r="L16" s="4"/>
      <c r="M16" s="4"/>
      <c r="N16" s="4"/>
      <c r="O16" s="4"/>
      <c r="R16" s="293" t="s">
        <v>191</v>
      </c>
      <c r="S16" s="294">
        <f>S5</f>
        <v>3</v>
      </c>
      <c r="T16" s="295"/>
      <c r="U16" s="292"/>
      <c r="V16" s="290"/>
      <c r="W16" s="296"/>
      <c r="X16" s="296" t="s">
        <v>192</v>
      </c>
      <c r="Y16" s="291">
        <f>B8</f>
        <v>1000000</v>
      </c>
      <c r="Z16" s="297" t="s">
        <v>389</v>
      </c>
      <c r="AA16" s="298">
        <f>AA14+(Y16-Y14)*(AA15-AA14)/(Y15-Y14)</f>
        <v>1.94</v>
      </c>
    </row>
    <row r="17" spans="1:47">
      <c r="B17" s="522"/>
      <c r="L17" s="505" t="str">
        <f>A18</f>
        <v>Number of Full Time Lawyers</v>
      </c>
      <c r="M17" s="506">
        <f>B18</f>
        <v>11</v>
      </c>
      <c r="N17" s="506">
        <f>Rate_CountFT</f>
        <v>11</v>
      </c>
      <c r="O17" s="507"/>
      <c r="R17" s="299" t="s">
        <v>398</v>
      </c>
      <c r="S17" s="282" t="s">
        <v>399</v>
      </c>
      <c r="T17" s="280" t="s">
        <v>397</v>
      </c>
      <c r="U17" s="281"/>
      <c r="V17" s="281"/>
      <c r="W17" s="282"/>
      <c r="X17" s="278"/>
      <c r="Y17" s="278"/>
      <c r="Z17" s="278"/>
      <c r="AA17" s="278"/>
    </row>
    <row r="18" spans="1:47" ht="15.75" thickBot="1">
      <c r="A18" t="s">
        <v>2883</v>
      </c>
      <c r="B18" s="521">
        <f>Rate_CountFT</f>
        <v>11</v>
      </c>
      <c r="L18" s="508" t="str">
        <f>A19</f>
        <v>Number of Part Time Lawyers</v>
      </c>
      <c r="M18" s="496">
        <f>B19</f>
        <v>0</v>
      </c>
      <c r="N18" s="496">
        <f>Rate_CountPT</f>
        <v>0</v>
      </c>
      <c r="O18" s="509"/>
      <c r="R18" s="300">
        <v>1</v>
      </c>
      <c r="S18" s="301">
        <v>1</v>
      </c>
      <c r="T18" s="286" t="s">
        <v>199</v>
      </c>
      <c r="U18" s="287">
        <f>IF(U20&lt;2,1,2)</f>
        <v>1</v>
      </c>
      <c r="V18" s="288" t="s">
        <v>196</v>
      </c>
      <c r="W18" s="289">
        <f>VLOOKUP(U18,R$18:S$20,2,FALSE)</f>
        <v>1</v>
      </c>
      <c r="X18" s="278"/>
      <c r="Y18" s="342"/>
      <c r="Z18" s="278"/>
      <c r="AA18" s="278"/>
    </row>
    <row r="19" spans="1:47" ht="15.75" thickBot="1">
      <c r="A19" t="s">
        <v>2884</v>
      </c>
      <c r="B19" s="521">
        <f>Rate_CountPT</f>
        <v>0</v>
      </c>
      <c r="L19" s="508" t="str">
        <f>A21</f>
        <v>Number of Attorneys Working &lt;9 Hrs/Week</v>
      </c>
      <c r="M19" s="496">
        <f>B21</f>
        <v>0</v>
      </c>
      <c r="N19" s="496">
        <f>Rate_CountNW</f>
        <v>0</v>
      </c>
      <c r="O19" s="509"/>
      <c r="R19" s="300">
        <v>2</v>
      </c>
      <c r="S19" s="289">
        <f>VLOOKUP(B9/R19,Ranges!$AZ$69:$BS$73,S$16,TRUE)</f>
        <v>1.0618055935501034</v>
      </c>
      <c r="T19" s="286" t="s">
        <v>200</v>
      </c>
      <c r="U19" s="287">
        <f>U18+1</f>
        <v>2</v>
      </c>
      <c r="V19" s="288" t="s">
        <v>197</v>
      </c>
      <c r="W19" s="289">
        <f>VLOOKUP(U19,R$18:S$20,2,FALSE)</f>
        <v>1.0618055935501034</v>
      </c>
      <c r="X19" s="278"/>
      <c r="Y19" s="343" t="s">
        <v>570</v>
      </c>
      <c r="Z19" s="278"/>
      <c r="AA19" s="278"/>
      <c r="AE19" s="4"/>
      <c r="AF19" s="4"/>
      <c r="AG19" s="4"/>
      <c r="AH19" s="4"/>
      <c r="AI19" s="4"/>
      <c r="AJ19" s="4"/>
      <c r="AK19" s="4"/>
      <c r="AL19" s="4"/>
      <c r="AM19" s="4"/>
      <c r="AN19" s="4"/>
      <c r="AO19" s="4"/>
      <c r="AP19" s="4"/>
      <c r="AQ19" s="4"/>
      <c r="AR19" s="4"/>
      <c r="AS19" s="4"/>
      <c r="AT19" s="4"/>
      <c r="AU19" s="309"/>
    </row>
    <row r="20" spans="1:47" ht="15.75" thickBot="1">
      <c r="A20" t="s">
        <v>2885</v>
      </c>
      <c r="B20" s="552">
        <f>VLOOKUP(info_st,Ranges!$DZ:$EC,2,FALSE)</f>
        <v>0.5</v>
      </c>
      <c r="L20" s="508" t="s">
        <v>2662</v>
      </c>
      <c r="M20" s="496">
        <f>B18+B19+B21</f>
        <v>11</v>
      </c>
      <c r="N20" s="496">
        <f>Rate_CountTotal</f>
        <v>11</v>
      </c>
      <c r="O20" s="509"/>
      <c r="R20" s="302">
        <v>3</v>
      </c>
      <c r="S20" s="303">
        <f>VLOOKUP(B9/R20,Ranges!$AZ$79:$BS$82,S$16,TRUE)</f>
        <v>1.0794010414424289</v>
      </c>
      <c r="T20" s="290" t="s">
        <v>192</v>
      </c>
      <c r="U20" s="304">
        <f>B9/B8</f>
        <v>1</v>
      </c>
      <c r="V20" s="297" t="s">
        <v>398</v>
      </c>
      <c r="W20" s="298">
        <f>W18+(U20-U18)*(W19-W18)/(U19-U18)</f>
        <v>1</v>
      </c>
      <c r="X20" s="278"/>
      <c r="Y20" s="344">
        <f>AA16*W20</f>
        <v>1.94</v>
      </c>
      <c r="Z20" s="278"/>
      <c r="AA20" s="278"/>
      <c r="AE20" s="4"/>
      <c r="AF20" s="4"/>
      <c r="AG20" s="4"/>
      <c r="AH20" s="4"/>
      <c r="AI20" s="4"/>
      <c r="AJ20" s="4"/>
      <c r="AK20" s="4"/>
      <c r="AL20" s="4"/>
      <c r="AM20" s="4"/>
      <c r="AN20" s="4"/>
      <c r="AO20" s="4"/>
      <c r="AP20" s="4"/>
      <c r="AQ20" s="4"/>
      <c r="AR20" s="4"/>
      <c r="AS20" s="4"/>
      <c r="AT20" s="4"/>
      <c r="AU20" s="4"/>
    </row>
    <row r="21" spans="1:47" ht="15.75" thickBot="1">
      <c r="A21" s="4" t="s">
        <v>2882</v>
      </c>
      <c r="B21" s="521">
        <f>Rate_CountNW</f>
        <v>0</v>
      </c>
      <c r="L21" s="565" t="s">
        <v>2663</v>
      </c>
      <c r="M21" s="566">
        <f>B23</f>
        <v>11</v>
      </c>
      <c r="N21" s="566">
        <f>Rate_Count</f>
        <v>11</v>
      </c>
      <c r="O21" s="567">
        <f>N21/M21-1</f>
        <v>0</v>
      </c>
      <c r="R21" s="286" t="s">
        <v>2716</v>
      </c>
      <c r="S21" s="287">
        <f>MATCH(U23,Ranges!$BU$47:$BU$58,1)</f>
        <v>2</v>
      </c>
      <c r="T21" s="288" t="s">
        <v>2718</v>
      </c>
      <c r="U21" s="287">
        <f>INDEX(Ranges!$BU$47:$BW$58,S21,1)</f>
        <v>1000</v>
      </c>
      <c r="V21" s="288" t="s">
        <v>196</v>
      </c>
      <c r="W21" s="289">
        <f>INDEX(Ranges!$BU$47:$BW$58,S21,S$23)</f>
        <v>0.08</v>
      </c>
      <c r="X21" s="278"/>
      <c r="Y21" s="342"/>
      <c r="Z21" s="278"/>
      <c r="AA21" s="278"/>
    </row>
    <row r="22" spans="1:47" ht="15.75" thickBot="1">
      <c r="A22" s="4" t="s">
        <v>2886</v>
      </c>
      <c r="B22" s="552">
        <f>VLOOKUP(info_st,Ranges!$DZ:$EC,4,FALSE)</f>
        <v>0.5</v>
      </c>
      <c r="L22" s="568" t="s">
        <v>287</v>
      </c>
      <c r="M22" s="569">
        <f>INDEX(Ranges!$DO$4:$DR$17,MATCH(M20,Ranges!$DO$4:$DO$17,1),MATCH(Rater!$S$162,Ranges!$DO$4:$DR$4,0))</f>
        <v>0.9</v>
      </c>
      <c r="N22" s="569">
        <f>Rate_Size</f>
        <v>0.9</v>
      </c>
      <c r="O22" s="570"/>
      <c r="R22" s="286" t="s">
        <v>2717</v>
      </c>
      <c r="S22" s="287">
        <f>IF(S21=ROWS(Ranges!$BU$47:$BU$58),ROWS(Ranges!$BU$47:$BU$58)-1,S21+1)</f>
        <v>3</v>
      </c>
      <c r="T22" s="288" t="s">
        <v>2719</v>
      </c>
      <c r="U22" s="287">
        <f>INDEX(Ranges!$BU$47:$BW$58,S22,1)</f>
        <v>2000</v>
      </c>
      <c r="V22" s="288" t="s">
        <v>197</v>
      </c>
      <c r="W22" s="289">
        <f>INDEX(Ranges!$BU$47:$BW$58,S22,S$23)</f>
        <v>0.12</v>
      </c>
      <c r="X22" s="278"/>
      <c r="Y22" s="343" t="s">
        <v>571</v>
      </c>
      <c r="Z22" s="278"/>
      <c r="AA22" s="278"/>
    </row>
    <row r="23" spans="1:47" ht="15.75" thickBot="1">
      <c r="A23" t="s">
        <v>2663</v>
      </c>
      <c r="B23" s="521">
        <f>B18+B19*B20+B21*B22</f>
        <v>11</v>
      </c>
      <c r="L23" s="510" t="s">
        <v>3004</v>
      </c>
      <c r="M23" s="511">
        <f>M22*M21</f>
        <v>9.9</v>
      </c>
      <c r="N23" s="511">
        <f>N22*N21</f>
        <v>9.9</v>
      </c>
      <c r="O23" s="512">
        <f>N23/M23-1</f>
        <v>0</v>
      </c>
      <c r="R23" s="290" t="s">
        <v>3006</v>
      </c>
      <c r="S23" s="291">
        <f>S12</f>
        <v>2</v>
      </c>
      <c r="T23" s="296" t="s">
        <v>3005</v>
      </c>
      <c r="U23" s="291">
        <f>B12</f>
        <v>1000</v>
      </c>
      <c r="V23" s="297" t="s">
        <v>388</v>
      </c>
      <c r="W23" s="298">
        <f>W21+(U23-U21)*(W22-W21)/(U22-U21)</f>
        <v>0.08</v>
      </c>
      <c r="X23" s="278"/>
      <c r="Y23" s="344">
        <f>Y20-W23</f>
        <v>1.8599999999999999</v>
      </c>
      <c r="Z23" s="278"/>
      <c r="AA23" s="278"/>
    </row>
    <row r="24" spans="1:47" ht="15.75" thickBot="1">
      <c r="R24" s="309" t="s">
        <v>133</v>
      </c>
      <c r="S24" s="309"/>
      <c r="T24" s="309"/>
      <c r="U24" s="310"/>
      <c r="V24" s="311" t="s">
        <v>387</v>
      </c>
      <c r="W24" s="312"/>
      <c r="X24" s="312"/>
      <c r="Y24" s="312"/>
      <c r="Z24" s="312"/>
      <c r="AA24" s="313"/>
    </row>
    <row r="25" spans="1:47" ht="15.75" thickBot="1">
      <c r="A25" t="s">
        <v>3014</v>
      </c>
      <c r="B25" s="571">
        <v>1</v>
      </c>
      <c r="L25" s="500" t="s">
        <v>2640</v>
      </c>
      <c r="M25" s="504">
        <f ca="1">IF(YEARFRAC(B4,B5,1)&lt;1,(B5-B4)/365,(B5-B4-SUMPRODUCT((MONTH(ROW(INDIRECT(B4&amp;":"&amp;B5)))=2)*
(DAY(ROW(INDIRECT(B4&amp;":"&amp;B5)))=29)))/365)</f>
        <v>1</v>
      </c>
      <c r="N25" s="504">
        <f ca="1">info_term</f>
        <v>1</v>
      </c>
      <c r="O25" s="502">
        <f ca="1">N25/M25-1</f>
        <v>0</v>
      </c>
      <c r="R25" s="314" t="s">
        <v>386</v>
      </c>
      <c r="S25" s="315">
        <f t="array" ref="S25">INDEX(Ranges!$AY$88:$AY$103,MATCH(MIN(ABS(Ranges!$AY$88:$AY$103-Y27)),ABS(Ranges!$AY$88:$AY$103-Y27),0))</f>
        <v>1000000</v>
      </c>
      <c r="T25" s="316" t="str">
        <f>IF(Y27&gt;=S25,"Lower Bound","Upper Bound")</f>
        <v>Lower Bound</v>
      </c>
      <c r="U25" s="310"/>
      <c r="V25" s="317" t="s">
        <v>194</v>
      </c>
      <c r="W25" s="318">
        <f>MATCH(S26,Ranges!$AZ$87:$AZ$103,1)</f>
        <v>7</v>
      </c>
      <c r="X25" s="319" t="s">
        <v>199</v>
      </c>
      <c r="Y25" s="318">
        <f>INDEX(Ranges!$AY$87:$BS$103,W25,1)</f>
        <v>1000000</v>
      </c>
      <c r="Z25" s="319" t="s">
        <v>196</v>
      </c>
      <c r="AA25" s="320" t="str">
        <f>INDEX(Ranges!$AZ$87:$BS$103,W25,S$27)</f>
        <v>N/A</v>
      </c>
    </row>
    <row r="26" spans="1:47" ht="15.75" thickBot="1">
      <c r="A26" s="4" t="s">
        <v>3015</v>
      </c>
      <c r="B26" s="571">
        <f>B25</f>
        <v>1</v>
      </c>
      <c r="R26" s="321" t="s">
        <v>396</v>
      </c>
      <c r="S26" s="322">
        <f>INDEX(Ranges!$AZ$88:$BS$103,MATCH(Y27,Ranges!$AZ$88:$AZ$103,1),1)</f>
        <v>1000000</v>
      </c>
      <c r="T26" s="323"/>
      <c r="U26" s="310"/>
      <c r="V26" s="317" t="s">
        <v>195</v>
      </c>
      <c r="W26" s="318">
        <f>IF(W25=17,16,W25+1)</f>
        <v>8</v>
      </c>
      <c r="X26" s="319" t="s">
        <v>200</v>
      </c>
      <c r="Y26" s="318">
        <f>INDEX(Ranges!$AY$87:$BS$103,W26,1)</f>
        <v>2000000</v>
      </c>
      <c r="Z26" s="319" t="s">
        <v>197</v>
      </c>
      <c r="AA26" s="320">
        <f>INDEX(Ranges!$AZ$87:$BS$103,W26,S$27)</f>
        <v>2.33</v>
      </c>
    </row>
    <row r="27" spans="1:47" ht="15.75" thickBot="1">
      <c r="L27" s="500" t="s">
        <v>2504</v>
      </c>
      <c r="M27" s="503">
        <f ca="1">B3</f>
        <v>24646</v>
      </c>
      <c r="N27" s="503">
        <f ca="1">Prem_FullTerm</f>
        <v>24646</v>
      </c>
      <c r="O27" s="502">
        <f ca="1">N27/M27-1</f>
        <v>0</v>
      </c>
      <c r="R27" s="324" t="s">
        <v>191</v>
      </c>
      <c r="S27" s="325">
        <f>S5</f>
        <v>3</v>
      </c>
      <c r="T27" s="326"/>
      <c r="U27" s="323"/>
      <c r="V27" s="321"/>
      <c r="W27" s="327"/>
      <c r="X27" s="327" t="s">
        <v>192</v>
      </c>
      <c r="Y27" s="322">
        <f>B8</f>
        <v>1000000</v>
      </c>
      <c r="Z27" s="328" t="s">
        <v>389</v>
      </c>
      <c r="AA27" s="329" t="e">
        <f>AA25+(Y27-Y25)*(AA26-AA25)/(Y26-Y25)</f>
        <v>#VALUE!</v>
      </c>
    </row>
    <row r="28" spans="1:47" ht="15.75" thickBot="1">
      <c r="R28" s="330" t="s">
        <v>398</v>
      </c>
      <c r="S28" s="313" t="s">
        <v>399</v>
      </c>
      <c r="T28" s="311" t="s">
        <v>397</v>
      </c>
      <c r="U28" s="312"/>
      <c r="V28" s="312"/>
      <c r="W28" s="313"/>
      <c r="X28" s="309"/>
      <c r="Y28" s="309"/>
      <c r="Z28" s="309"/>
      <c r="AA28" s="309"/>
    </row>
    <row r="29" spans="1:47" ht="15.75" thickBot="1">
      <c r="L29" s="500" t="s">
        <v>3013</v>
      </c>
      <c r="M29" s="572">
        <f>B26</f>
        <v>1</v>
      </c>
      <c r="N29" s="572">
        <f>B25</f>
        <v>1</v>
      </c>
      <c r="O29" s="502">
        <f>N29/M29-1</f>
        <v>0</v>
      </c>
      <c r="R29" s="331">
        <v>1</v>
      </c>
      <c r="S29" s="332">
        <v>1</v>
      </c>
      <c r="T29" s="317" t="s">
        <v>199</v>
      </c>
      <c r="U29" s="318">
        <f>IF(U31&lt;2,1,2)</f>
        <v>1</v>
      </c>
      <c r="V29" s="319" t="s">
        <v>196</v>
      </c>
      <c r="W29" s="320">
        <f>VLOOKUP(U29,R$29:S$31,2,FALSE)</f>
        <v>1</v>
      </c>
      <c r="X29" s="309"/>
      <c r="Y29" s="339"/>
      <c r="Z29" s="309"/>
      <c r="AA29" s="309"/>
    </row>
    <row r="30" spans="1:47" ht="15.75" thickBot="1">
      <c r="L30" s="4"/>
      <c r="M30" s="4"/>
      <c r="N30" s="4"/>
      <c r="O30" s="4"/>
      <c r="R30" s="331">
        <v>2</v>
      </c>
      <c r="S30" s="320" t="str">
        <f>VLOOKUP(B9/R30,Ranges!$AZ$109:$BS$113,S$27,TRUE)</f>
        <v>N/A</v>
      </c>
      <c r="T30" s="317" t="s">
        <v>200</v>
      </c>
      <c r="U30" s="318">
        <f>U29+1</f>
        <v>2</v>
      </c>
      <c r="V30" s="319" t="s">
        <v>197</v>
      </c>
      <c r="W30" s="320" t="str">
        <f>VLOOKUP(U30,R$29:S$31,2,FALSE)</f>
        <v>N/A</v>
      </c>
      <c r="X30" s="309"/>
      <c r="Y30" s="340" t="s">
        <v>570</v>
      </c>
      <c r="Z30" s="309"/>
      <c r="AA30" s="309"/>
    </row>
    <row r="31" spans="1:47" ht="15.75" thickBot="1">
      <c r="L31" s="500" t="s">
        <v>2642</v>
      </c>
      <c r="M31" s="501"/>
      <c r="N31" s="501"/>
      <c r="O31" s="502">
        <f ca="1">(N27/(M27*(1+O25)*(1+O23)*(1+O15)*(1+O29)))-1</f>
        <v>0</v>
      </c>
      <c r="R31" s="333">
        <v>3</v>
      </c>
      <c r="S31" s="334">
        <f>VLOOKUP(B9/R31,Ranges!$AZ$118:$BS$121,S$27,TRUE)</f>
        <v>1.0794010414424289</v>
      </c>
      <c r="T31" s="321" t="s">
        <v>192</v>
      </c>
      <c r="U31" s="335">
        <f>B9/B8</f>
        <v>1</v>
      </c>
      <c r="V31" s="328" t="s">
        <v>398</v>
      </c>
      <c r="W31" s="329" t="e">
        <f>W29+(U31-U29)*(W30-W29)/(U30-U29)</f>
        <v>#VALUE!</v>
      </c>
      <c r="X31" s="309"/>
      <c r="Y31" s="341" t="e">
        <f>AA27*W31</f>
        <v>#VALUE!</v>
      </c>
      <c r="Z31" s="309"/>
      <c r="AA31" s="309"/>
    </row>
    <row r="32" spans="1:47" ht="15.75" thickBot="1">
      <c r="R32" s="317" t="s">
        <v>2716</v>
      </c>
      <c r="S32" s="318">
        <f>MATCH(U34,Ranges!$BU$89:$BU$100,1)</f>
        <v>2</v>
      </c>
      <c r="T32" s="319" t="s">
        <v>2718</v>
      </c>
      <c r="U32" s="318">
        <f>INDEX(Ranges!$BU$89:$BW$100,S32,1)</f>
        <v>1000</v>
      </c>
      <c r="V32" s="319" t="s">
        <v>196</v>
      </c>
      <c r="W32" s="320">
        <f>INDEX(Ranges!$BU$89:$BW$100,S32,S$34)</f>
        <v>0</v>
      </c>
      <c r="X32" s="309"/>
      <c r="Y32" s="339"/>
      <c r="Z32" s="309"/>
      <c r="AA32" s="309"/>
    </row>
    <row r="33" spans="18:27" ht="15.75" thickBot="1">
      <c r="R33" s="317" t="s">
        <v>2717</v>
      </c>
      <c r="S33" s="318">
        <f>IF(S32=ROWS(Ranges!$BU$89:$BU$100),ROWS(Ranges!$BU$89:$BU$100)-1,S32+1)</f>
        <v>3</v>
      </c>
      <c r="T33" s="319" t="s">
        <v>2719</v>
      </c>
      <c r="U33" s="318">
        <f>INDEX(Ranges!$BU$89:$BW$100,S33,1)</f>
        <v>2500</v>
      </c>
      <c r="V33" s="319" t="s">
        <v>197</v>
      </c>
      <c r="W33" s="320">
        <f>INDEX(Ranges!$BU$89:$BW$100,S33,S$34)</f>
        <v>0.05</v>
      </c>
      <c r="X33" s="309"/>
      <c r="Y33" s="340" t="s">
        <v>571</v>
      </c>
      <c r="Z33" s="309"/>
      <c r="AA33" s="309"/>
    </row>
    <row r="34" spans="18:27" ht="15.75" thickBot="1">
      <c r="R34" s="321" t="s">
        <v>3006</v>
      </c>
      <c r="S34" s="322">
        <f>IF($J12=Ranges!$BV$5,2,3)</f>
        <v>3</v>
      </c>
      <c r="T34" s="327" t="s">
        <v>3005</v>
      </c>
      <c r="U34" s="322">
        <f>B12</f>
        <v>1000</v>
      </c>
      <c r="V34" s="328" t="s">
        <v>388</v>
      </c>
      <c r="W34" s="329">
        <f>W32+(U34-U32)*(W33-W32)/(U33-U32)</f>
        <v>0</v>
      </c>
      <c r="X34" s="309"/>
      <c r="Y34" s="341" t="e">
        <f>Y31-W34</f>
        <v>#VALUE!</v>
      </c>
      <c r="Z34" s="309"/>
      <c r="AA34" s="309"/>
    </row>
  </sheetData>
  <mergeCells count="2">
    <mergeCell ref="R1:AA1"/>
    <mergeCell ref="L1:O1"/>
  </mergeCell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AEDCDCBD-0A83-4A37-8407-465853527395}">
            <xm:f>$B$10&lt;&gt;Ranges!$AA$8</xm:f>
            <x14:dxf>
              <font>
                <color theme="0"/>
              </font>
              <fill>
                <patternFill patternType="none">
                  <bgColor auto="1"/>
                </patternFill>
              </fill>
            </x14:dxf>
          </x14:cfRule>
          <xm:sqref>A11:B11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Ranges!$AA$6:$AA$8</xm:f>
          </x14:formula1>
          <xm:sqref>B10</xm:sqref>
        </x14:dataValidation>
        <x14:dataValidation type="list" allowBlank="1" showInputMessage="1" showErrorMessage="1" xr:uid="{00000000-0002-0000-0400-000001000000}">
          <x14:formula1>
            <xm:f>Ranges!$F$6:$F$7</xm:f>
          </x14:formula1>
          <xm:sqref>B14</xm:sqref>
        </x14:dataValidation>
        <x14:dataValidation type="list" allowBlank="1" showInputMessage="1" showErrorMessage="1" xr:uid="{00000000-0002-0000-0400-000002000000}">
          <x14:formula1>
            <xm:f>Ranges!$M$6:$M$60</xm:f>
          </x14:formula1>
          <xm:sqref>B6</xm:sqref>
        </x14:dataValidation>
        <x14:dataValidation type="list" allowBlank="1" showInputMessage="1" showErrorMessage="1" xr:uid="{00000000-0002-0000-0400-000003000000}">
          <x14:formula1>
            <xm:f>Ranges!$BY$6:$BY$8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B1"/>
  <sheetViews>
    <sheetView workbookViewId="0"/>
  </sheetViews>
  <sheetFormatPr defaultRowHeight="15"/>
  <cols>
    <col min="1" max="1" width="13.5703125" bestFit="1" customWidth="1"/>
  </cols>
  <sheetData>
    <row r="1" spans="1:2">
      <c r="A1" t="s">
        <v>1391</v>
      </c>
      <c r="B1"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S465"/>
  <sheetViews>
    <sheetView zoomScale="60" zoomScaleNormal="60" workbookViewId="0">
      <pane xSplit="1" ySplit="2" topLeftCell="B3" activePane="bottomRight" state="frozen"/>
      <selection pane="topRight" activeCell="B1" sqref="B1"/>
      <selection pane="bottomLeft" activeCell="A3" sqref="A3"/>
      <selection pane="bottomRight" activeCell="D9" sqref="D9"/>
    </sheetView>
  </sheetViews>
  <sheetFormatPr defaultRowHeight="17.25"/>
  <cols>
    <col min="1" max="1" width="2.28515625" style="471" customWidth="1"/>
    <col min="2" max="2" width="15" customWidth="1"/>
    <col min="3" max="3" width="22.42578125" customWidth="1"/>
    <col min="17" max="17" width="28.140625" bestFit="1" customWidth="1"/>
    <col min="18" max="18" width="19.28515625" customWidth="1"/>
  </cols>
  <sheetData>
    <row r="1" spans="1:18" s="4" customFormat="1">
      <c r="A1" s="470" t="s">
        <v>3001</v>
      </c>
    </row>
    <row r="2" spans="1:18" s="4" customFormat="1">
      <c r="A2" s="470"/>
      <c r="B2" s="33" t="s">
        <v>533</v>
      </c>
      <c r="C2" s="33" t="s">
        <v>534</v>
      </c>
      <c r="D2" s="33" t="s">
        <v>536</v>
      </c>
      <c r="Q2" s="33" t="s">
        <v>2872</v>
      </c>
      <c r="R2" s="407" t="s">
        <v>2881</v>
      </c>
    </row>
    <row r="3" spans="1:18" s="4" customFormat="1">
      <c r="A3" s="470"/>
      <c r="B3" s="4" t="s">
        <v>2642</v>
      </c>
      <c r="C3" s="563" t="s">
        <v>3002</v>
      </c>
      <c r="D3" s="563" t="s">
        <v>3003</v>
      </c>
      <c r="Q3" s="563" t="s">
        <v>2642</v>
      </c>
      <c r="R3" s="407"/>
    </row>
    <row r="4" spans="1:18" s="4" customFormat="1">
      <c r="A4" s="470"/>
      <c r="B4" s="4" t="s">
        <v>2642</v>
      </c>
      <c r="C4" s="563" t="s">
        <v>3002</v>
      </c>
      <c r="D4" s="563" t="s">
        <v>3011</v>
      </c>
      <c r="Q4" s="563" t="s">
        <v>2642</v>
      </c>
      <c r="R4" s="407"/>
    </row>
    <row r="5" spans="1:18" s="563" customFormat="1">
      <c r="A5" s="471"/>
      <c r="B5" s="4" t="s">
        <v>2642</v>
      </c>
      <c r="C5" s="563" t="s">
        <v>3007</v>
      </c>
      <c r="D5" s="563" t="s">
        <v>3008</v>
      </c>
      <c r="Q5" s="563" t="s">
        <v>2642</v>
      </c>
      <c r="R5" s="93"/>
    </row>
    <row r="6" spans="1:18" s="563" customFormat="1">
      <c r="A6" s="471"/>
      <c r="B6" s="4" t="s">
        <v>2642</v>
      </c>
      <c r="C6" s="4" t="s">
        <v>3009</v>
      </c>
      <c r="D6" s="563" t="s">
        <v>3010</v>
      </c>
      <c r="Q6" s="563" t="s">
        <v>2642</v>
      </c>
      <c r="R6" s="93"/>
    </row>
    <row r="7" spans="1:18" s="563" customFormat="1">
      <c r="A7" s="471"/>
      <c r="B7" s="4" t="s">
        <v>2642</v>
      </c>
      <c r="C7" s="563" t="s">
        <v>3012</v>
      </c>
      <c r="D7" s="563" t="s">
        <v>3003</v>
      </c>
      <c r="Q7" s="563" t="s">
        <v>2642</v>
      </c>
      <c r="R7" s="93"/>
    </row>
    <row r="8" spans="1:18" s="563" customFormat="1">
      <c r="A8" s="471"/>
      <c r="B8" s="4" t="s">
        <v>2642</v>
      </c>
      <c r="C8" s="563" t="s">
        <v>3019</v>
      </c>
      <c r="D8" s="563" t="s">
        <v>3018</v>
      </c>
      <c r="Q8" s="563" t="s">
        <v>2642</v>
      </c>
      <c r="R8" s="93"/>
    </row>
    <row r="9" spans="1:18" s="563" customFormat="1">
      <c r="A9" s="471"/>
      <c r="B9" s="4" t="s">
        <v>2642</v>
      </c>
      <c r="C9" s="563" t="s">
        <v>3016</v>
      </c>
      <c r="D9" s="563" t="s">
        <v>3017</v>
      </c>
      <c r="Q9" s="563" t="s">
        <v>2642</v>
      </c>
      <c r="R9" s="93"/>
    </row>
    <row r="10" spans="1:18" s="563" customFormat="1">
      <c r="A10" s="471"/>
      <c r="Q10" s="4"/>
      <c r="R10" s="93"/>
    </row>
    <row r="11" spans="1:18" s="563" customFormat="1">
      <c r="A11" s="471"/>
      <c r="Q11" s="4"/>
      <c r="R11" s="93"/>
    </row>
    <row r="12" spans="1:18" s="563" customFormat="1">
      <c r="A12" s="471"/>
      <c r="Q12" s="4"/>
      <c r="R12" s="93"/>
    </row>
    <row r="13" spans="1:18" s="563" customFormat="1">
      <c r="A13" s="471"/>
      <c r="Q13" s="4"/>
      <c r="R13" s="93"/>
    </row>
    <row r="14" spans="1:18" s="563" customFormat="1">
      <c r="A14" s="471"/>
      <c r="Q14" s="4"/>
      <c r="R14" s="93"/>
    </row>
    <row r="15" spans="1:18" s="563" customFormat="1">
      <c r="A15" s="471"/>
      <c r="Q15" s="4"/>
      <c r="R15" s="93"/>
    </row>
    <row r="16" spans="1:18" s="563" customFormat="1">
      <c r="A16" s="471"/>
      <c r="Q16" s="4"/>
      <c r="R16" s="93"/>
    </row>
    <row r="17" spans="1:18" s="563" customFormat="1">
      <c r="A17" s="471"/>
      <c r="Q17" s="4"/>
      <c r="R17" s="93"/>
    </row>
    <row r="18" spans="1:18" s="563" customFormat="1">
      <c r="A18" s="471"/>
      <c r="Q18" s="4"/>
      <c r="R18" s="93"/>
    </row>
    <row r="19" spans="1:18" s="563" customFormat="1">
      <c r="A19" s="471"/>
      <c r="Q19" s="4"/>
      <c r="R19" s="93"/>
    </row>
    <row r="20" spans="1:18" s="563" customFormat="1">
      <c r="A20" s="471"/>
      <c r="Q20" s="4"/>
      <c r="R20" s="93"/>
    </row>
    <row r="21" spans="1:18" s="563" customFormat="1">
      <c r="A21" s="471"/>
      <c r="Q21" s="4"/>
      <c r="R21" s="93"/>
    </row>
    <row r="22" spans="1:18" s="563" customFormat="1">
      <c r="A22" s="471"/>
      <c r="Q22" s="4"/>
      <c r="R22" s="93"/>
    </row>
    <row r="23" spans="1:18" s="563" customFormat="1">
      <c r="A23" s="471"/>
      <c r="Q23" s="4"/>
      <c r="R23" s="93"/>
    </row>
    <row r="24" spans="1:18" s="563" customFormat="1">
      <c r="A24" s="471"/>
      <c r="Q24" s="4"/>
      <c r="R24" s="93"/>
    </row>
    <row r="25" spans="1:18" s="563" customFormat="1">
      <c r="A25" s="471"/>
      <c r="Q25" s="4"/>
      <c r="R25" s="93"/>
    </row>
    <row r="26" spans="1:18" s="563" customFormat="1">
      <c r="A26" s="471"/>
      <c r="Q26" s="4"/>
      <c r="R26" s="93"/>
    </row>
    <row r="27" spans="1:18" s="563" customFormat="1">
      <c r="A27" s="471"/>
      <c r="Q27" s="4"/>
      <c r="R27" s="93"/>
    </row>
    <row r="28" spans="1:18" s="563" customFormat="1">
      <c r="A28" s="471"/>
      <c r="Q28" s="4"/>
      <c r="R28" s="93"/>
    </row>
    <row r="29" spans="1:18" s="563" customFormat="1">
      <c r="A29" s="471"/>
      <c r="Q29" s="4"/>
      <c r="R29" s="93"/>
    </row>
    <row r="30" spans="1:18" s="563" customFormat="1">
      <c r="A30" s="471"/>
      <c r="Q30" s="4"/>
      <c r="R30" s="93"/>
    </row>
    <row r="31" spans="1:18" s="563" customFormat="1">
      <c r="A31" s="471"/>
      <c r="Q31" s="4"/>
      <c r="R31" s="93"/>
    </row>
    <row r="32" spans="1:18" s="563" customFormat="1">
      <c r="A32" s="471"/>
      <c r="Q32" s="4"/>
      <c r="R32" s="93"/>
    </row>
    <row r="33" spans="1:18" s="563" customFormat="1">
      <c r="A33" s="471"/>
      <c r="R33" s="93"/>
    </row>
    <row r="34" spans="1:18" s="563" customFormat="1">
      <c r="A34" s="471"/>
      <c r="R34" s="93"/>
    </row>
    <row r="35" spans="1:18" s="4" customFormat="1">
      <c r="A35" s="470" t="s">
        <v>2958</v>
      </c>
    </row>
    <row r="36" spans="1:18" s="4" customFormat="1">
      <c r="A36" s="470"/>
      <c r="B36" s="33" t="s">
        <v>533</v>
      </c>
      <c r="C36" s="33" t="s">
        <v>534</v>
      </c>
      <c r="D36" s="33" t="s">
        <v>536</v>
      </c>
      <c r="Q36" s="33" t="s">
        <v>2872</v>
      </c>
      <c r="R36" s="407" t="s">
        <v>2881</v>
      </c>
    </row>
    <row r="37" spans="1:18" s="4" customFormat="1">
      <c r="A37" s="470"/>
      <c r="B37" s="4" t="s">
        <v>555</v>
      </c>
      <c r="C37" s="563" t="s">
        <v>2963</v>
      </c>
      <c r="D37" s="563" t="s">
        <v>2966</v>
      </c>
      <c r="Q37" s="563" t="s">
        <v>2931</v>
      </c>
      <c r="R37" s="407"/>
    </row>
    <row r="38" spans="1:18" s="563" customFormat="1">
      <c r="A38" s="471"/>
      <c r="B38" s="563" t="s">
        <v>540</v>
      </c>
      <c r="C38" s="563" t="s">
        <v>2967</v>
      </c>
      <c r="D38" s="563" t="s">
        <v>2968</v>
      </c>
      <c r="Q38" s="4" t="s">
        <v>2880</v>
      </c>
      <c r="R38" s="93" t="s">
        <v>27</v>
      </c>
    </row>
    <row r="39" spans="1:18" s="563" customFormat="1">
      <c r="A39" s="471"/>
      <c r="B39" s="563" t="s">
        <v>540</v>
      </c>
      <c r="C39" s="563" t="s">
        <v>2552</v>
      </c>
      <c r="D39" s="563" t="s">
        <v>2969</v>
      </c>
      <c r="Q39" s="4" t="s">
        <v>2880</v>
      </c>
      <c r="R39" s="93" t="s">
        <v>27</v>
      </c>
    </row>
    <row r="40" spans="1:18" s="563" customFormat="1">
      <c r="A40" s="471"/>
      <c r="B40" s="563" t="s">
        <v>540</v>
      </c>
      <c r="C40" s="563" t="s">
        <v>2552</v>
      </c>
      <c r="D40" s="563" t="s">
        <v>2970</v>
      </c>
      <c r="Q40" s="563" t="s">
        <v>2931</v>
      </c>
      <c r="R40" s="93"/>
    </row>
    <row r="41" spans="1:18" s="563" customFormat="1">
      <c r="A41" s="471"/>
      <c r="R41" s="93"/>
    </row>
    <row r="42" spans="1:18" s="4" customFormat="1">
      <c r="A42" s="471"/>
      <c r="B42" s="4" t="s">
        <v>555</v>
      </c>
      <c r="C42" s="4" t="s">
        <v>2964</v>
      </c>
      <c r="D42" s="4" t="s">
        <v>2959</v>
      </c>
      <c r="Q42" s="4" t="s">
        <v>2876</v>
      </c>
      <c r="R42" s="93" t="s">
        <v>27</v>
      </c>
    </row>
    <row r="43" spans="1:18" s="4" customFormat="1">
      <c r="A43" s="471"/>
      <c r="B43" s="4" t="s">
        <v>555</v>
      </c>
      <c r="C43" s="4" t="s">
        <v>2965</v>
      </c>
      <c r="D43" s="4" t="s">
        <v>2960</v>
      </c>
      <c r="N43" s="527"/>
      <c r="Q43" s="4" t="s">
        <v>2875</v>
      </c>
      <c r="R43" s="93" t="s">
        <v>27</v>
      </c>
    </row>
    <row r="44" spans="1:18" s="4" customFormat="1">
      <c r="A44" s="471"/>
      <c r="B44" s="4" t="s">
        <v>555</v>
      </c>
      <c r="C44" s="4" t="s">
        <v>2961</v>
      </c>
      <c r="D44" s="4" t="s">
        <v>2962</v>
      </c>
      <c r="N44" s="535"/>
      <c r="Q44" s="4" t="s">
        <v>2880</v>
      </c>
      <c r="R44" s="93" t="s">
        <v>27</v>
      </c>
    </row>
    <row r="45" spans="1:18" s="4" customFormat="1">
      <c r="A45" s="471"/>
      <c r="N45" s="532"/>
      <c r="R45" s="93"/>
    </row>
    <row r="46" spans="1:18" s="4" customFormat="1">
      <c r="A46" s="471"/>
      <c r="N46" s="532"/>
      <c r="R46" s="93"/>
    </row>
    <row r="47" spans="1:18" s="4" customFormat="1">
      <c r="A47" s="471"/>
      <c r="B47" s="4" t="s">
        <v>555</v>
      </c>
      <c r="C47" s="4" t="s">
        <v>2972</v>
      </c>
      <c r="D47" s="4" t="s">
        <v>2973</v>
      </c>
      <c r="N47" s="535"/>
      <c r="Q47" s="4" t="s">
        <v>2878</v>
      </c>
      <c r="R47" s="93" t="s">
        <v>27</v>
      </c>
    </row>
    <row r="48" spans="1:18" s="4" customFormat="1">
      <c r="A48" s="471"/>
      <c r="B48" s="4" t="s">
        <v>540</v>
      </c>
      <c r="C48" s="4" t="s">
        <v>575</v>
      </c>
      <c r="D48" s="4" t="s">
        <v>2974</v>
      </c>
      <c r="N48" s="532"/>
      <c r="Q48" s="4" t="s">
        <v>2878</v>
      </c>
      <c r="R48" s="93" t="s">
        <v>27</v>
      </c>
    </row>
    <row r="49" spans="1:19" s="4" customFormat="1">
      <c r="A49" s="471"/>
      <c r="B49" s="4" t="s">
        <v>555</v>
      </c>
      <c r="C49" s="4" t="s">
        <v>2975</v>
      </c>
      <c r="D49" s="4" t="s">
        <v>2974</v>
      </c>
      <c r="N49" s="551"/>
      <c r="Q49" s="4" t="s">
        <v>2878</v>
      </c>
      <c r="R49" s="93" t="s">
        <v>27</v>
      </c>
    </row>
    <row r="50" spans="1:19" s="4" customFormat="1">
      <c r="A50" s="471"/>
      <c r="B50" s="4" t="s">
        <v>555</v>
      </c>
      <c r="C50" s="4" t="s">
        <v>2977</v>
      </c>
      <c r="D50" s="4" t="s">
        <v>2978</v>
      </c>
      <c r="N50" s="556"/>
      <c r="Q50" s="4" t="s">
        <v>2878</v>
      </c>
      <c r="R50" s="93" t="s">
        <v>27</v>
      </c>
    </row>
    <row r="51" spans="1:19" s="4" customFormat="1">
      <c r="A51" s="471"/>
      <c r="B51" s="4" t="s">
        <v>555</v>
      </c>
      <c r="C51" s="4" t="s">
        <v>2712</v>
      </c>
      <c r="D51" s="4" t="s">
        <v>2976</v>
      </c>
      <c r="N51" s="548"/>
      <c r="Q51" s="4" t="s">
        <v>2878</v>
      </c>
      <c r="R51" s="93" t="s">
        <v>27</v>
      </c>
    </row>
    <row r="52" spans="1:19" s="4" customFormat="1">
      <c r="A52" s="471"/>
      <c r="B52" s="4" t="s">
        <v>555</v>
      </c>
      <c r="C52" s="4" t="s">
        <v>2979</v>
      </c>
      <c r="D52" s="4" t="s">
        <v>2980</v>
      </c>
      <c r="N52" s="548"/>
      <c r="Q52" s="4" t="s">
        <v>2878</v>
      </c>
      <c r="R52" s="93" t="s">
        <v>27</v>
      </c>
    </row>
    <row r="53" spans="1:19" s="4" customFormat="1">
      <c r="A53" s="471"/>
      <c r="B53" s="4" t="s">
        <v>555</v>
      </c>
      <c r="C53" s="4" t="s">
        <v>2982</v>
      </c>
      <c r="D53" s="4" t="s">
        <v>2983</v>
      </c>
      <c r="N53" s="548"/>
      <c r="Q53" s="4" t="s">
        <v>2878</v>
      </c>
      <c r="R53" s="93" t="s">
        <v>27</v>
      </c>
    </row>
    <row r="54" spans="1:19" s="4" customFormat="1">
      <c r="A54" s="471"/>
      <c r="B54" s="4" t="s">
        <v>540</v>
      </c>
      <c r="C54" s="4" t="s">
        <v>2984</v>
      </c>
      <c r="D54" s="4" t="s">
        <v>2983</v>
      </c>
      <c r="N54" s="548"/>
      <c r="Q54" s="4" t="s">
        <v>2878</v>
      </c>
      <c r="R54" s="93" t="s">
        <v>27</v>
      </c>
    </row>
    <row r="55" spans="1:19" s="4" customFormat="1">
      <c r="A55" s="471"/>
      <c r="B55" s="4" t="s">
        <v>540</v>
      </c>
      <c r="C55" s="4" t="s">
        <v>2986</v>
      </c>
      <c r="D55" s="4" t="s">
        <v>2987</v>
      </c>
      <c r="N55" s="548"/>
      <c r="Q55" s="4" t="s">
        <v>2878</v>
      </c>
      <c r="R55" s="93" t="s">
        <v>27</v>
      </c>
    </row>
    <row r="56" spans="1:19" s="4" customFormat="1">
      <c r="A56" s="471"/>
      <c r="N56" s="548"/>
      <c r="R56" s="93"/>
    </row>
    <row r="57" spans="1:19" s="4" customFormat="1">
      <c r="A57" s="471"/>
      <c r="B57" s="4" t="s">
        <v>555</v>
      </c>
      <c r="C57" s="4" t="s">
        <v>2990</v>
      </c>
      <c r="D57" s="4" t="s">
        <v>2991</v>
      </c>
      <c r="N57" s="548"/>
      <c r="Q57" s="4" t="s">
        <v>2876</v>
      </c>
      <c r="R57" s="93" t="s">
        <v>27</v>
      </c>
    </row>
    <row r="58" spans="1:19" s="4" customFormat="1">
      <c r="A58" s="471"/>
      <c r="B58" s="4" t="s">
        <v>555</v>
      </c>
      <c r="C58" s="4" t="s">
        <v>2989</v>
      </c>
      <c r="D58" s="4" t="s">
        <v>2992</v>
      </c>
      <c r="N58" s="548"/>
      <c r="Q58" s="4" t="s">
        <v>2876</v>
      </c>
      <c r="R58" s="93" t="s">
        <v>27</v>
      </c>
    </row>
    <row r="59" spans="1:19" s="4" customFormat="1">
      <c r="A59" s="471"/>
      <c r="B59" s="4" t="s">
        <v>555</v>
      </c>
      <c r="C59" s="4" t="s">
        <v>2993</v>
      </c>
      <c r="D59" s="4" t="s">
        <v>2994</v>
      </c>
      <c r="N59" s="548"/>
      <c r="Q59" s="4" t="s">
        <v>2876</v>
      </c>
      <c r="R59" s="93" t="s">
        <v>27</v>
      </c>
    </row>
    <row r="60" spans="1:19" s="4" customFormat="1">
      <c r="A60" s="471"/>
      <c r="B60" s="4" t="s">
        <v>555</v>
      </c>
      <c r="C60" s="4" t="s">
        <v>2995</v>
      </c>
      <c r="D60" s="4" t="s">
        <v>2996</v>
      </c>
      <c r="N60" s="548"/>
      <c r="Q60" s="4" t="s">
        <v>2876</v>
      </c>
      <c r="R60" s="93" t="s">
        <v>27</v>
      </c>
    </row>
    <row r="61" spans="1:19" s="4" customFormat="1">
      <c r="A61" s="471"/>
      <c r="B61" s="4" t="s">
        <v>540</v>
      </c>
      <c r="C61" s="4" t="s">
        <v>2833</v>
      </c>
      <c r="D61" s="4" t="s">
        <v>2994</v>
      </c>
      <c r="N61" s="548"/>
      <c r="Q61" s="4" t="s">
        <v>2876</v>
      </c>
      <c r="R61" s="93" t="s">
        <v>27</v>
      </c>
    </row>
    <row r="62" spans="1:19" s="4" customFormat="1">
      <c r="A62" s="471"/>
      <c r="B62" s="4" t="s">
        <v>555</v>
      </c>
      <c r="C62" s="4" t="s">
        <v>2997</v>
      </c>
      <c r="D62" s="4" t="s">
        <v>2998</v>
      </c>
      <c r="N62" s="548"/>
      <c r="Q62" s="4" t="s">
        <v>2876</v>
      </c>
      <c r="R62" s="93" t="s">
        <v>27</v>
      </c>
      <c r="S62" s="555"/>
    </row>
    <row r="63" spans="1:19" s="4" customFormat="1">
      <c r="A63" s="471"/>
      <c r="B63" s="4" t="s">
        <v>555</v>
      </c>
      <c r="C63" s="4" t="s">
        <v>2999</v>
      </c>
      <c r="D63" s="4" t="s">
        <v>3000</v>
      </c>
      <c r="N63" s="548"/>
      <c r="Q63" s="4" t="s">
        <v>2876</v>
      </c>
      <c r="R63" s="93" t="s">
        <v>27</v>
      </c>
      <c r="S63" s="555"/>
    </row>
    <row r="64" spans="1:19" s="4" customFormat="1">
      <c r="A64" s="471"/>
      <c r="N64" s="548"/>
      <c r="R64" s="93"/>
      <c r="S64" s="555"/>
    </row>
    <row r="65" spans="1:19" s="4" customFormat="1">
      <c r="A65" s="471"/>
      <c r="N65" s="548"/>
      <c r="R65" s="93"/>
      <c r="S65" s="555"/>
    </row>
    <row r="66" spans="1:19" s="4" customFormat="1">
      <c r="A66" s="471"/>
      <c r="N66" s="532"/>
      <c r="R66" s="93"/>
    </row>
    <row r="67" spans="1:19" s="4" customFormat="1">
      <c r="A67" s="471"/>
      <c r="N67" s="532"/>
      <c r="R67" s="93"/>
    </row>
    <row r="68" spans="1:19" s="4" customFormat="1">
      <c r="A68" s="470" t="s">
        <v>2852</v>
      </c>
    </row>
    <row r="69" spans="1:19" s="4" customFormat="1">
      <c r="A69" s="470"/>
      <c r="B69" s="33" t="s">
        <v>533</v>
      </c>
      <c r="C69" s="33" t="s">
        <v>534</v>
      </c>
      <c r="D69" s="33" t="s">
        <v>536</v>
      </c>
      <c r="Q69" s="33" t="s">
        <v>2872</v>
      </c>
      <c r="R69" s="407" t="s">
        <v>2881</v>
      </c>
    </row>
    <row r="70" spans="1:19" s="4" customFormat="1">
      <c r="A70" s="471"/>
      <c r="B70" s="4" t="s">
        <v>2642</v>
      </c>
      <c r="C70" s="4" t="s">
        <v>2856</v>
      </c>
      <c r="D70" s="4" t="s">
        <v>2857</v>
      </c>
      <c r="Q70" s="4" t="s">
        <v>2642</v>
      </c>
      <c r="R70" s="93" t="s">
        <v>27</v>
      </c>
    </row>
    <row r="71" spans="1:19" s="4" customFormat="1">
      <c r="A71" s="471"/>
      <c r="B71" s="4" t="s">
        <v>2642</v>
      </c>
      <c r="C71" s="4" t="s">
        <v>2858</v>
      </c>
      <c r="D71" s="4" t="s">
        <v>2859</v>
      </c>
      <c r="N71" s="562"/>
      <c r="Q71" s="4" t="s">
        <v>2642</v>
      </c>
      <c r="R71" s="93" t="s">
        <v>27</v>
      </c>
    </row>
    <row r="72" spans="1:19" s="4" customFormat="1">
      <c r="A72" s="471"/>
      <c r="B72" s="4" t="s">
        <v>2642</v>
      </c>
      <c r="C72" s="4" t="s">
        <v>2860</v>
      </c>
      <c r="D72" s="4" t="s">
        <v>2861</v>
      </c>
      <c r="N72" s="562"/>
      <c r="Q72" s="4" t="s">
        <v>2642</v>
      </c>
      <c r="R72" s="93" t="s">
        <v>27</v>
      </c>
    </row>
    <row r="73" spans="1:19" s="4" customFormat="1">
      <c r="A73" s="471"/>
      <c r="B73" s="4" t="s">
        <v>2642</v>
      </c>
      <c r="C73" s="4" t="s">
        <v>2862</v>
      </c>
      <c r="D73" s="4" t="s">
        <v>2863</v>
      </c>
      <c r="N73" s="562"/>
      <c r="Q73" s="4" t="s">
        <v>2642</v>
      </c>
      <c r="R73" s="93" t="s">
        <v>27</v>
      </c>
    </row>
    <row r="74" spans="1:19" s="4" customFormat="1">
      <c r="A74" s="471"/>
      <c r="B74" s="4" t="s">
        <v>2642</v>
      </c>
      <c r="C74" s="4" t="s">
        <v>2871</v>
      </c>
      <c r="D74" s="4" t="s">
        <v>2864</v>
      </c>
      <c r="N74" s="562"/>
      <c r="Q74" s="4" t="s">
        <v>2642</v>
      </c>
      <c r="R74" s="93" t="s">
        <v>27</v>
      </c>
    </row>
    <row r="75" spans="1:19" s="4" customFormat="1">
      <c r="A75" s="471"/>
      <c r="B75" s="4" t="s">
        <v>2642</v>
      </c>
      <c r="C75" s="4" t="s">
        <v>2873</v>
      </c>
      <c r="D75" s="4" t="s">
        <v>2874</v>
      </c>
      <c r="N75" s="562"/>
      <c r="Q75" s="4" t="s">
        <v>2642</v>
      </c>
      <c r="R75" s="93" t="s">
        <v>27</v>
      </c>
    </row>
    <row r="76" spans="1:19" s="4" customFormat="1">
      <c r="A76" s="471"/>
      <c r="B76" s="4" t="s">
        <v>2642</v>
      </c>
      <c r="C76" s="4" t="s">
        <v>2887</v>
      </c>
      <c r="D76" s="4" t="s">
        <v>2888</v>
      </c>
      <c r="N76" s="562"/>
      <c r="Q76" s="4" t="s">
        <v>2642</v>
      </c>
      <c r="R76" s="93" t="s">
        <v>27</v>
      </c>
    </row>
    <row r="77" spans="1:19" s="4" customFormat="1">
      <c r="A77" s="471"/>
      <c r="B77" s="4" t="s">
        <v>2642</v>
      </c>
      <c r="C77" s="4" t="s">
        <v>2890</v>
      </c>
      <c r="D77" s="4" t="s">
        <v>2891</v>
      </c>
      <c r="N77" s="562"/>
      <c r="Q77" s="4" t="s">
        <v>2642</v>
      </c>
      <c r="R77" s="93" t="s">
        <v>27</v>
      </c>
    </row>
    <row r="78" spans="1:19" s="4" customFormat="1">
      <c r="A78" s="471"/>
      <c r="B78" s="4" t="s">
        <v>2642</v>
      </c>
      <c r="C78" s="4" t="s">
        <v>2927</v>
      </c>
      <c r="D78" s="4" t="s">
        <v>2926</v>
      </c>
      <c r="N78" s="562"/>
      <c r="Q78" s="4" t="s">
        <v>2642</v>
      </c>
      <c r="R78" s="93" t="s">
        <v>27</v>
      </c>
    </row>
    <row r="79" spans="1:19" s="4" customFormat="1">
      <c r="A79" s="471"/>
      <c r="B79" s="4" t="s">
        <v>2642</v>
      </c>
      <c r="C79" s="4" t="s">
        <v>2928</v>
      </c>
      <c r="D79" s="4" t="s">
        <v>2889</v>
      </c>
      <c r="N79" s="562"/>
      <c r="Q79" s="4" t="s">
        <v>2642</v>
      </c>
      <c r="R79" s="93" t="s">
        <v>27</v>
      </c>
    </row>
    <row r="80" spans="1:19" s="4" customFormat="1">
      <c r="A80" s="471"/>
      <c r="N80" s="562"/>
      <c r="R80" s="93"/>
    </row>
    <row r="81" spans="1:19" s="4" customFormat="1">
      <c r="A81" s="471"/>
      <c r="B81" s="4" t="s">
        <v>555</v>
      </c>
      <c r="C81" s="4" t="s">
        <v>2865</v>
      </c>
      <c r="D81" s="4" t="s">
        <v>2866</v>
      </c>
      <c r="N81" s="562"/>
      <c r="Q81" s="4" t="s">
        <v>2876</v>
      </c>
      <c r="R81" s="93" t="s">
        <v>27</v>
      </c>
    </row>
    <row r="82" spans="1:19" s="4" customFormat="1">
      <c r="A82" s="471"/>
      <c r="B82" s="4" t="s">
        <v>555</v>
      </c>
      <c r="C82" s="4" t="s">
        <v>2867</v>
      </c>
      <c r="D82" s="4" t="s">
        <v>2868</v>
      </c>
      <c r="N82" s="562"/>
      <c r="Q82" s="4" t="s">
        <v>2875</v>
      </c>
      <c r="R82" s="93" t="s">
        <v>27</v>
      </c>
    </row>
    <row r="83" spans="1:19" s="4" customFormat="1">
      <c r="A83" s="471"/>
      <c r="N83" s="562"/>
      <c r="R83" s="93"/>
    </row>
    <row r="84" spans="1:19" s="4" customFormat="1">
      <c r="A84" s="471"/>
      <c r="B84" s="4" t="s">
        <v>540</v>
      </c>
      <c r="C84" s="4" t="s">
        <v>2869</v>
      </c>
      <c r="D84" s="4" t="s">
        <v>2870</v>
      </c>
      <c r="N84" s="562"/>
      <c r="Q84" s="4" t="s">
        <v>2875</v>
      </c>
      <c r="R84" s="93" t="s">
        <v>27</v>
      </c>
    </row>
    <row r="85" spans="1:19" s="4" customFormat="1">
      <c r="A85" s="471"/>
      <c r="N85" s="562"/>
      <c r="R85" s="93"/>
    </row>
    <row r="86" spans="1:19" s="4" customFormat="1">
      <c r="A86" s="471"/>
      <c r="B86" s="4" t="s">
        <v>555</v>
      </c>
      <c r="C86" s="4" t="s">
        <v>2892</v>
      </c>
      <c r="D86" s="4" t="s">
        <v>2894</v>
      </c>
      <c r="N86" s="562"/>
      <c r="Q86" s="4" t="s">
        <v>2876</v>
      </c>
      <c r="R86" s="93" t="s">
        <v>27</v>
      </c>
    </row>
    <row r="87" spans="1:19" s="4" customFormat="1">
      <c r="A87" s="471"/>
      <c r="B87" s="4" t="s">
        <v>555</v>
      </c>
      <c r="C87" s="4" t="s">
        <v>2893</v>
      </c>
      <c r="D87" s="4" t="s">
        <v>2894</v>
      </c>
      <c r="N87" s="562"/>
      <c r="Q87" s="4" t="s">
        <v>2876</v>
      </c>
      <c r="R87" s="93" t="s">
        <v>27</v>
      </c>
    </row>
    <row r="88" spans="1:19" s="4" customFormat="1">
      <c r="A88" s="471"/>
      <c r="B88" s="4" t="s">
        <v>540</v>
      </c>
      <c r="C88" s="4" t="s">
        <v>2833</v>
      </c>
      <c r="D88" s="4" t="s">
        <v>2894</v>
      </c>
      <c r="N88" s="562"/>
      <c r="Q88" s="4" t="s">
        <v>2876</v>
      </c>
      <c r="R88" s="93" t="s">
        <v>27</v>
      </c>
    </row>
    <row r="89" spans="1:19" s="4" customFormat="1">
      <c r="A89" s="471"/>
      <c r="N89" s="562"/>
      <c r="R89" s="93"/>
    </row>
    <row r="90" spans="1:19" s="4" customFormat="1">
      <c r="A90" s="471"/>
      <c r="B90" s="4" t="s">
        <v>555</v>
      </c>
      <c r="C90" s="4" t="s">
        <v>2903</v>
      </c>
      <c r="D90" s="4" t="s">
        <v>2896</v>
      </c>
      <c r="N90" s="562"/>
      <c r="Q90" s="4" t="s">
        <v>2876</v>
      </c>
      <c r="R90" s="93" t="s">
        <v>27</v>
      </c>
      <c r="S90" s="562"/>
    </row>
    <row r="91" spans="1:19" s="4" customFormat="1">
      <c r="A91" s="471"/>
      <c r="B91" s="4" t="s">
        <v>555</v>
      </c>
      <c r="C91" s="4" t="s">
        <v>2902</v>
      </c>
      <c r="D91" s="4" t="s">
        <v>2897</v>
      </c>
      <c r="N91" s="562"/>
      <c r="Q91" s="4" t="s">
        <v>2876</v>
      </c>
      <c r="R91" s="93" t="s">
        <v>27</v>
      </c>
      <c r="S91" s="562"/>
    </row>
    <row r="92" spans="1:19" s="4" customFormat="1">
      <c r="A92" s="471"/>
      <c r="B92" s="4" t="s">
        <v>555</v>
      </c>
      <c r="C92" s="4" t="s">
        <v>2904</v>
      </c>
      <c r="D92" s="4" t="s">
        <v>2898</v>
      </c>
      <c r="N92" s="562"/>
      <c r="Q92" s="4" t="s">
        <v>2880</v>
      </c>
      <c r="R92" s="93" t="s">
        <v>27</v>
      </c>
      <c r="S92" s="562"/>
    </row>
    <row r="93" spans="1:19" s="4" customFormat="1">
      <c r="A93" s="471"/>
      <c r="B93" s="4" t="s">
        <v>555</v>
      </c>
      <c r="C93" s="4" t="s">
        <v>2905</v>
      </c>
      <c r="D93" s="4" t="s">
        <v>2899</v>
      </c>
      <c r="N93" s="562"/>
      <c r="Q93" s="4" t="s">
        <v>2876</v>
      </c>
      <c r="R93" s="93" t="s">
        <v>27</v>
      </c>
      <c r="S93" s="562"/>
    </row>
    <row r="94" spans="1:19" s="4" customFormat="1">
      <c r="A94" s="471"/>
      <c r="B94" s="4" t="s">
        <v>555</v>
      </c>
      <c r="C94" s="4" t="s">
        <v>2906</v>
      </c>
      <c r="D94" s="4" t="s">
        <v>2901</v>
      </c>
      <c r="N94" s="562"/>
      <c r="Q94" s="4" t="s">
        <v>2875</v>
      </c>
      <c r="R94" s="93" t="s">
        <v>27</v>
      </c>
      <c r="S94" s="562"/>
    </row>
    <row r="95" spans="1:19" s="4" customFormat="1">
      <c r="A95" s="471"/>
      <c r="B95" s="4" t="s">
        <v>555</v>
      </c>
      <c r="C95" s="4" t="s">
        <v>2907</v>
      </c>
      <c r="D95" s="4" t="s">
        <v>2900</v>
      </c>
      <c r="N95" s="562"/>
      <c r="Q95" s="4" t="s">
        <v>2879</v>
      </c>
      <c r="R95" s="93" t="s">
        <v>27</v>
      </c>
    </row>
    <row r="96" spans="1:19" s="4" customFormat="1">
      <c r="A96" s="471"/>
      <c r="B96" s="4" t="s">
        <v>555</v>
      </c>
      <c r="C96" s="4" t="s">
        <v>2908</v>
      </c>
      <c r="D96" s="4" t="s">
        <v>2909</v>
      </c>
      <c r="N96" s="562"/>
      <c r="Q96" s="4" t="s">
        <v>2876</v>
      </c>
      <c r="R96" s="93" t="s">
        <v>27</v>
      </c>
    </row>
    <row r="97" spans="1:18" s="4" customFormat="1">
      <c r="A97" s="471"/>
      <c r="B97" s="4" t="s">
        <v>555</v>
      </c>
      <c r="C97" s="4" t="s">
        <v>2892</v>
      </c>
      <c r="D97" s="4" t="s">
        <v>2909</v>
      </c>
      <c r="N97" s="562"/>
      <c r="Q97" s="4" t="s">
        <v>2876</v>
      </c>
      <c r="R97" s="93" t="s">
        <v>27</v>
      </c>
    </row>
    <row r="98" spans="1:18" s="4" customFormat="1">
      <c r="A98" s="471"/>
      <c r="B98" s="4" t="s">
        <v>540</v>
      </c>
      <c r="C98" s="4" t="s">
        <v>2833</v>
      </c>
      <c r="D98" s="4" t="s">
        <v>2909</v>
      </c>
      <c r="N98" s="562"/>
      <c r="Q98" s="4" t="s">
        <v>2876</v>
      </c>
      <c r="R98" s="93" t="s">
        <v>27</v>
      </c>
    </row>
    <row r="99" spans="1:18" s="4" customFormat="1">
      <c r="A99" s="471"/>
      <c r="B99" s="4" t="s">
        <v>555</v>
      </c>
      <c r="C99" s="4" t="s">
        <v>2911</v>
      </c>
      <c r="D99" s="4" t="s">
        <v>2912</v>
      </c>
      <c r="N99" s="562"/>
      <c r="Q99" s="4" t="s">
        <v>2876</v>
      </c>
      <c r="R99" s="93" t="s">
        <v>27</v>
      </c>
    </row>
    <row r="100" spans="1:18" s="4" customFormat="1">
      <c r="A100" s="471"/>
      <c r="B100" s="4" t="s">
        <v>555</v>
      </c>
      <c r="C100" s="4" t="s">
        <v>2913</v>
      </c>
      <c r="D100" s="4" t="s">
        <v>2914</v>
      </c>
      <c r="N100" s="562"/>
      <c r="Q100" s="4" t="s">
        <v>2875</v>
      </c>
      <c r="R100" s="93" t="s">
        <v>27</v>
      </c>
    </row>
    <row r="101" spans="1:18" s="4" customFormat="1">
      <c r="A101" s="471"/>
      <c r="B101" s="4" t="s">
        <v>555</v>
      </c>
      <c r="C101" s="4" t="s">
        <v>2917</v>
      </c>
      <c r="D101" s="4" t="s">
        <v>2918</v>
      </c>
      <c r="N101" s="562"/>
      <c r="Q101" s="4" t="s">
        <v>2875</v>
      </c>
      <c r="R101" s="93" t="s">
        <v>27</v>
      </c>
    </row>
    <row r="102" spans="1:18" s="4" customFormat="1">
      <c r="A102" s="471"/>
      <c r="B102" s="4" t="s">
        <v>540</v>
      </c>
      <c r="C102" s="4" t="s">
        <v>2920</v>
      </c>
      <c r="D102" s="4" t="s">
        <v>2921</v>
      </c>
      <c r="N102" s="562"/>
      <c r="Q102" s="4" t="s">
        <v>2875</v>
      </c>
      <c r="R102" s="93" t="s">
        <v>27</v>
      </c>
    </row>
    <row r="103" spans="1:18" s="4" customFormat="1">
      <c r="A103" s="471"/>
      <c r="B103" s="4" t="s">
        <v>540</v>
      </c>
      <c r="C103" s="4" t="s">
        <v>2922</v>
      </c>
      <c r="D103" s="4" t="s">
        <v>2923</v>
      </c>
      <c r="N103" s="562"/>
      <c r="Q103" s="4" t="s">
        <v>2875</v>
      </c>
      <c r="R103" s="93" t="s">
        <v>27</v>
      </c>
    </row>
    <row r="104" spans="1:18" s="4" customFormat="1">
      <c r="A104" s="471"/>
      <c r="N104" s="562"/>
      <c r="R104" s="93"/>
    </row>
    <row r="105" spans="1:18" s="4" customFormat="1">
      <c r="A105" s="471"/>
      <c r="B105" s="4" t="s">
        <v>555</v>
      </c>
      <c r="C105" s="4" t="s">
        <v>1344</v>
      </c>
      <c r="D105" s="4" t="s">
        <v>2924</v>
      </c>
      <c r="N105" s="555"/>
      <c r="R105" s="93"/>
    </row>
    <row r="106" spans="1:18" s="4" customFormat="1">
      <c r="A106" s="471"/>
      <c r="N106" s="555"/>
      <c r="R106" s="93"/>
    </row>
    <row r="107" spans="1:18" s="4" customFormat="1">
      <c r="A107" s="471"/>
      <c r="B107" s="4" t="s">
        <v>555</v>
      </c>
      <c r="C107" s="4" t="s">
        <v>2929</v>
      </c>
      <c r="D107" s="4" t="s">
        <v>2930</v>
      </c>
      <c r="N107" s="555"/>
      <c r="R107" s="93" t="s">
        <v>2931</v>
      </c>
    </row>
    <row r="108" spans="1:18" s="4" customFormat="1">
      <c r="A108" s="471"/>
      <c r="N108" s="555"/>
      <c r="R108" s="93"/>
    </row>
    <row r="109" spans="1:18" s="4" customFormat="1">
      <c r="A109" s="471"/>
      <c r="B109" s="4" t="s">
        <v>555</v>
      </c>
      <c r="C109" s="4" t="s">
        <v>2932</v>
      </c>
      <c r="D109" s="4" t="s">
        <v>2933</v>
      </c>
      <c r="N109" s="557"/>
      <c r="Q109" s="4" t="s">
        <v>2877</v>
      </c>
      <c r="R109" s="93" t="s">
        <v>27</v>
      </c>
    </row>
    <row r="110" spans="1:18" s="4" customFormat="1">
      <c r="A110" s="471"/>
      <c r="N110" s="557"/>
      <c r="R110" s="93"/>
    </row>
    <row r="111" spans="1:18" s="4" customFormat="1">
      <c r="A111" s="471"/>
      <c r="B111" s="4" t="s">
        <v>25</v>
      </c>
      <c r="C111" s="4" t="s">
        <v>2934</v>
      </c>
      <c r="D111" s="4" t="s">
        <v>2935</v>
      </c>
      <c r="N111" s="557"/>
      <c r="R111" s="93" t="s">
        <v>2931</v>
      </c>
    </row>
    <row r="112" spans="1:18" s="4" customFormat="1">
      <c r="A112" s="471"/>
      <c r="N112" s="559"/>
      <c r="R112" s="93"/>
    </row>
    <row r="113" spans="1:18" s="4" customFormat="1">
      <c r="A113" s="471"/>
      <c r="B113" s="4" t="s">
        <v>555</v>
      </c>
      <c r="C113" s="4" t="s">
        <v>2937</v>
      </c>
      <c r="D113" s="4" t="s">
        <v>2936</v>
      </c>
      <c r="N113" s="548"/>
      <c r="Q113" s="4" t="s">
        <v>2942</v>
      </c>
      <c r="R113" s="93" t="s">
        <v>2895</v>
      </c>
    </row>
    <row r="114" spans="1:18" s="4" customFormat="1">
      <c r="A114" s="471"/>
      <c r="B114" s="4" t="s">
        <v>555</v>
      </c>
      <c r="C114" s="4" t="s">
        <v>2938</v>
      </c>
      <c r="D114" s="4" t="s">
        <v>2939</v>
      </c>
      <c r="N114" s="548"/>
      <c r="Q114" s="4" t="s">
        <v>2942</v>
      </c>
      <c r="R114" s="93" t="s">
        <v>2895</v>
      </c>
    </row>
    <row r="115" spans="1:18" s="4" customFormat="1">
      <c r="A115" s="471"/>
      <c r="B115" s="4" t="s">
        <v>555</v>
      </c>
      <c r="C115" s="4" t="s">
        <v>2940</v>
      </c>
      <c r="D115" s="4" t="s">
        <v>2941</v>
      </c>
      <c r="N115" s="557"/>
      <c r="Q115" s="4" t="s">
        <v>2942</v>
      </c>
      <c r="R115" s="93" t="s">
        <v>2895</v>
      </c>
    </row>
    <row r="116" spans="1:18" s="4" customFormat="1">
      <c r="A116" s="471"/>
      <c r="B116" s="4" t="s">
        <v>540</v>
      </c>
      <c r="C116" s="4" t="s">
        <v>2943</v>
      </c>
      <c r="D116" s="4" t="s">
        <v>2944</v>
      </c>
      <c r="N116" s="557"/>
      <c r="Q116" s="4" t="s">
        <v>2942</v>
      </c>
      <c r="R116" s="93" t="s">
        <v>2931</v>
      </c>
    </row>
    <row r="117" spans="1:18" s="4" customFormat="1">
      <c r="A117" s="471"/>
      <c r="B117" s="4" t="s">
        <v>540</v>
      </c>
      <c r="C117" s="4" t="s">
        <v>2946</v>
      </c>
      <c r="D117" s="4" t="s">
        <v>2947</v>
      </c>
      <c r="N117" s="557"/>
      <c r="Q117" s="4" t="s">
        <v>2942</v>
      </c>
      <c r="R117" s="93" t="s">
        <v>2931</v>
      </c>
    </row>
    <row r="118" spans="1:18" s="4" customFormat="1">
      <c r="A118" s="471"/>
      <c r="B118" s="4" t="s">
        <v>540</v>
      </c>
      <c r="C118" s="4" t="s">
        <v>2948</v>
      </c>
      <c r="D118" s="4" t="s">
        <v>2949</v>
      </c>
      <c r="N118" s="557"/>
      <c r="Q118" s="4" t="s">
        <v>2942</v>
      </c>
      <c r="R118" s="93" t="s">
        <v>2895</v>
      </c>
    </row>
    <row r="119" spans="1:18" s="4" customFormat="1">
      <c r="A119" s="471"/>
      <c r="B119" s="4" t="s">
        <v>540</v>
      </c>
      <c r="C119" s="4" t="s">
        <v>2950</v>
      </c>
      <c r="D119" s="4" t="s">
        <v>2951</v>
      </c>
      <c r="N119" s="557"/>
      <c r="Q119" s="4" t="s">
        <v>2942</v>
      </c>
      <c r="R119" s="93" t="s">
        <v>2895</v>
      </c>
    </row>
    <row r="120" spans="1:18" s="4" customFormat="1">
      <c r="A120" s="471"/>
      <c r="N120" s="557"/>
      <c r="R120" s="93"/>
    </row>
    <row r="121" spans="1:18" s="4" customFormat="1">
      <c r="A121" s="471"/>
      <c r="N121" s="560"/>
      <c r="R121" s="93"/>
    </row>
    <row r="122" spans="1:18" s="4" customFormat="1">
      <c r="A122" s="471"/>
      <c r="B122" s="4" t="s">
        <v>555</v>
      </c>
      <c r="C122" s="4" t="s">
        <v>2952</v>
      </c>
      <c r="N122" s="560"/>
      <c r="R122" s="93" t="s">
        <v>2931</v>
      </c>
    </row>
    <row r="123" spans="1:18" s="4" customFormat="1">
      <c r="A123" s="471"/>
      <c r="B123" s="4" t="s">
        <v>555</v>
      </c>
      <c r="C123" s="4" t="s">
        <v>2953</v>
      </c>
      <c r="D123" s="4" t="s">
        <v>2954</v>
      </c>
      <c r="N123" s="560"/>
      <c r="Q123" s="4" t="s">
        <v>2876</v>
      </c>
      <c r="R123" s="93" t="s">
        <v>2895</v>
      </c>
    </row>
    <row r="124" spans="1:18" s="4" customFormat="1">
      <c r="A124" s="471"/>
      <c r="B124" s="4" t="s">
        <v>540</v>
      </c>
      <c r="C124" s="4" t="s">
        <v>2955</v>
      </c>
      <c r="D124" s="4" t="s">
        <v>2956</v>
      </c>
      <c r="N124" s="560"/>
      <c r="Q124" s="4" t="s">
        <v>2876</v>
      </c>
      <c r="R124" s="93" t="s">
        <v>2931</v>
      </c>
    </row>
    <row r="125" spans="1:18" s="4" customFormat="1">
      <c r="A125" s="471"/>
      <c r="N125" s="560"/>
      <c r="R125" s="93"/>
    </row>
    <row r="126" spans="1:18" s="4" customFormat="1">
      <c r="A126" s="471"/>
      <c r="N126" s="557"/>
      <c r="R126" s="93"/>
    </row>
    <row r="127" spans="1:18" s="4" customFormat="1">
      <c r="A127" s="471"/>
      <c r="N127" s="532"/>
      <c r="R127" s="93"/>
    </row>
    <row r="128" spans="1:18" s="4" customFormat="1">
      <c r="A128" s="471"/>
      <c r="N128" s="535"/>
      <c r="R128" s="93"/>
    </row>
    <row r="129" spans="1:18" s="4" customFormat="1">
      <c r="A129" s="470" t="s">
        <v>2783</v>
      </c>
    </row>
    <row r="130" spans="1:18" s="4" customFormat="1">
      <c r="A130" s="470"/>
      <c r="B130" s="33" t="s">
        <v>533</v>
      </c>
      <c r="C130" s="33" t="s">
        <v>534</v>
      </c>
      <c r="D130" s="33" t="s">
        <v>536</v>
      </c>
      <c r="R130" s="407" t="s">
        <v>2881</v>
      </c>
    </row>
    <row r="131" spans="1:18" s="4" customFormat="1">
      <c r="A131" s="471"/>
      <c r="B131" s="4" t="s">
        <v>555</v>
      </c>
      <c r="C131" s="4" t="s">
        <v>2784</v>
      </c>
      <c r="D131" s="4" t="s">
        <v>2785</v>
      </c>
      <c r="R131" s="93"/>
    </row>
    <row r="132" spans="1:18" s="4" customFormat="1">
      <c r="A132" s="471"/>
      <c r="B132" s="4" t="s">
        <v>540</v>
      </c>
      <c r="C132" s="4" t="s">
        <v>2786</v>
      </c>
      <c r="D132" s="4" t="s">
        <v>2821</v>
      </c>
      <c r="N132" s="548"/>
      <c r="R132" s="474"/>
    </row>
    <row r="133" spans="1:18" s="4" customFormat="1">
      <c r="A133" s="471"/>
      <c r="N133" s="548"/>
      <c r="R133" s="474"/>
    </row>
    <row r="134" spans="1:18" s="4" customFormat="1">
      <c r="A134" s="471"/>
      <c r="B134" s="4" t="s">
        <v>555</v>
      </c>
      <c r="C134" s="4" t="s">
        <v>2788</v>
      </c>
      <c r="D134" s="4" t="s">
        <v>2789</v>
      </c>
      <c r="N134" s="548"/>
      <c r="Q134" s="4" t="s">
        <v>2878</v>
      </c>
      <c r="R134" s="93" t="s">
        <v>27</v>
      </c>
    </row>
    <row r="135" spans="1:18" s="4" customFormat="1">
      <c r="A135" s="471"/>
      <c r="B135" s="4" t="s">
        <v>555</v>
      </c>
      <c r="C135" s="4" t="s">
        <v>2790</v>
      </c>
      <c r="D135" s="4" t="s">
        <v>2791</v>
      </c>
      <c r="N135" s="548"/>
      <c r="Q135" s="4" t="s">
        <v>2877</v>
      </c>
      <c r="R135" s="93" t="s">
        <v>27</v>
      </c>
    </row>
    <row r="136" spans="1:18" s="4" customFormat="1">
      <c r="A136" s="471"/>
      <c r="N136" s="548"/>
      <c r="R136" s="93"/>
    </row>
    <row r="137" spans="1:18" s="4" customFormat="1">
      <c r="A137" s="471"/>
      <c r="B137" s="4" t="s">
        <v>555</v>
      </c>
      <c r="C137" s="4" t="s">
        <v>2792</v>
      </c>
      <c r="D137" s="4" t="s">
        <v>2794</v>
      </c>
      <c r="N137" s="548"/>
      <c r="Q137" s="4" t="s">
        <v>2878</v>
      </c>
      <c r="R137" s="93" t="s">
        <v>27</v>
      </c>
    </row>
    <row r="138" spans="1:18" s="4" customFormat="1">
      <c r="A138" s="471"/>
      <c r="B138" s="4" t="s">
        <v>555</v>
      </c>
      <c r="C138" s="4" t="s">
        <v>2793</v>
      </c>
      <c r="D138" s="4" t="s">
        <v>2795</v>
      </c>
      <c r="N138" s="548"/>
      <c r="R138" s="93"/>
    </row>
    <row r="139" spans="1:18" s="4" customFormat="1">
      <c r="A139" s="471"/>
      <c r="B139" s="4" t="s">
        <v>555</v>
      </c>
      <c r="C139" s="4" t="s">
        <v>2796</v>
      </c>
      <c r="D139" s="4" t="s">
        <v>2797</v>
      </c>
      <c r="N139" s="548"/>
      <c r="R139" s="93"/>
    </row>
    <row r="140" spans="1:18" s="4" customFormat="1">
      <c r="A140" s="471"/>
      <c r="B140" s="4" t="s">
        <v>555</v>
      </c>
      <c r="C140" s="4" t="s">
        <v>2798</v>
      </c>
      <c r="D140" s="4" t="s">
        <v>2799</v>
      </c>
      <c r="N140" s="548"/>
      <c r="Q140" s="4" t="s">
        <v>2880</v>
      </c>
      <c r="R140" s="93" t="s">
        <v>27</v>
      </c>
    </row>
    <row r="141" spans="1:18" s="4" customFormat="1">
      <c r="A141" s="471"/>
      <c r="B141" s="4" t="s">
        <v>555</v>
      </c>
      <c r="C141" s="4" t="s">
        <v>2800</v>
      </c>
      <c r="D141" s="4" t="s">
        <v>2801</v>
      </c>
      <c r="N141" s="548"/>
      <c r="R141" s="93"/>
    </row>
    <row r="142" spans="1:18" s="4" customFormat="1">
      <c r="A142" s="471"/>
      <c r="N142" s="548"/>
      <c r="R142" s="93"/>
    </row>
    <row r="143" spans="1:18" s="4" customFormat="1">
      <c r="A143" s="471"/>
      <c r="B143" s="4" t="s">
        <v>555</v>
      </c>
      <c r="C143" s="4" t="s">
        <v>2804</v>
      </c>
      <c r="D143" s="4" t="s">
        <v>2803</v>
      </c>
      <c r="N143" s="535"/>
      <c r="Q143" s="4" t="s">
        <v>2875</v>
      </c>
      <c r="R143" s="93" t="s">
        <v>27</v>
      </c>
    </row>
    <row r="144" spans="1:18" s="4" customFormat="1">
      <c r="A144" s="471"/>
      <c r="B144" s="4" t="s">
        <v>540</v>
      </c>
      <c r="C144" s="4" t="s">
        <v>2814</v>
      </c>
      <c r="D144" s="4" t="s">
        <v>2816</v>
      </c>
      <c r="N144" s="535"/>
      <c r="Q144" s="4" t="s">
        <v>2875</v>
      </c>
      <c r="R144" s="93" t="s">
        <v>27</v>
      </c>
    </row>
    <row r="145" spans="1:18" s="4" customFormat="1">
      <c r="A145" s="471"/>
      <c r="B145" s="4" t="s">
        <v>540</v>
      </c>
      <c r="C145" s="4" t="s">
        <v>2817</v>
      </c>
      <c r="D145" s="4" t="s">
        <v>2818</v>
      </c>
      <c r="N145" s="535"/>
      <c r="Q145" s="4" t="s">
        <v>2875</v>
      </c>
      <c r="R145" s="93" t="s">
        <v>27</v>
      </c>
    </row>
    <row r="146" spans="1:18" s="4" customFormat="1">
      <c r="A146" s="471"/>
      <c r="N146" s="535"/>
      <c r="R146" s="93"/>
    </row>
    <row r="147" spans="1:18" s="4" customFormat="1">
      <c r="A147" s="471"/>
      <c r="B147" s="4" t="s">
        <v>540</v>
      </c>
      <c r="C147" s="4" t="s">
        <v>2815</v>
      </c>
      <c r="D147" s="4" t="s">
        <v>2787</v>
      </c>
      <c r="N147" s="532"/>
      <c r="R147" s="93"/>
    </row>
    <row r="148" spans="1:18" s="4" customFormat="1">
      <c r="A148" s="471"/>
      <c r="B148" s="4" t="s">
        <v>540</v>
      </c>
      <c r="C148" s="4" t="s">
        <v>2826</v>
      </c>
      <c r="D148" s="4" t="s">
        <v>2827</v>
      </c>
      <c r="N148" s="542"/>
      <c r="R148" s="93"/>
    </row>
    <row r="149" spans="1:18" s="4" customFormat="1">
      <c r="A149" s="471"/>
      <c r="N149" s="535"/>
      <c r="R149" s="93"/>
    </row>
    <row r="150" spans="1:18" s="4" customFormat="1">
      <c r="A150" s="471"/>
      <c r="B150" s="4" t="s">
        <v>555</v>
      </c>
      <c r="C150" s="4" t="s">
        <v>2822</v>
      </c>
      <c r="D150" s="4" t="s">
        <v>2823</v>
      </c>
      <c r="N150" s="542"/>
      <c r="R150" s="93"/>
    </row>
    <row r="151" spans="1:18" s="4" customFormat="1">
      <c r="A151" s="471"/>
      <c r="B151" s="4" t="s">
        <v>555</v>
      </c>
      <c r="C151" s="4" t="s">
        <v>2824</v>
      </c>
      <c r="D151" s="4" t="s">
        <v>2823</v>
      </c>
      <c r="N151" s="542"/>
      <c r="R151" s="93"/>
    </row>
    <row r="152" spans="1:18" s="4" customFormat="1">
      <c r="A152" s="471"/>
      <c r="B152" s="4" t="s">
        <v>540</v>
      </c>
      <c r="C152" s="4" t="s">
        <v>2833</v>
      </c>
      <c r="D152" s="4" t="s">
        <v>2825</v>
      </c>
      <c r="N152" s="542"/>
      <c r="R152" s="93"/>
    </row>
    <row r="153" spans="1:18" s="4" customFormat="1">
      <c r="A153" s="471"/>
      <c r="N153" s="542"/>
      <c r="R153" s="93"/>
    </row>
    <row r="154" spans="1:18" s="4" customFormat="1">
      <c r="A154" s="471"/>
      <c r="B154" s="4" t="s">
        <v>555</v>
      </c>
      <c r="C154" s="4" t="s">
        <v>2837</v>
      </c>
      <c r="D154" s="4" t="s">
        <v>2836</v>
      </c>
      <c r="N154" s="545"/>
      <c r="R154" s="93"/>
    </row>
    <row r="155" spans="1:18" s="4" customFormat="1">
      <c r="A155" s="471"/>
      <c r="B155" s="4" t="s">
        <v>555</v>
      </c>
      <c r="C155" s="4" t="s">
        <v>2838</v>
      </c>
      <c r="D155" s="4" t="s">
        <v>2839</v>
      </c>
      <c r="N155" s="545"/>
      <c r="R155" s="93"/>
    </row>
    <row r="156" spans="1:18" s="4" customFormat="1">
      <c r="A156" s="471"/>
      <c r="B156" s="4" t="s">
        <v>555</v>
      </c>
      <c r="C156" s="4" t="s">
        <v>2843</v>
      </c>
      <c r="D156" s="4" t="s">
        <v>2840</v>
      </c>
      <c r="N156" s="545"/>
      <c r="Q156" s="4" t="s">
        <v>2880</v>
      </c>
      <c r="R156" s="93" t="s">
        <v>27</v>
      </c>
    </row>
    <row r="157" spans="1:18" s="4" customFormat="1">
      <c r="A157" s="471"/>
      <c r="B157" s="4" t="s">
        <v>555</v>
      </c>
      <c r="C157" s="4" t="s">
        <v>2844</v>
      </c>
      <c r="D157" s="4" t="s">
        <v>2841</v>
      </c>
      <c r="N157" s="545"/>
      <c r="R157" s="93"/>
    </row>
    <row r="158" spans="1:18" s="4" customFormat="1">
      <c r="A158" s="471"/>
      <c r="B158" s="4" t="s">
        <v>555</v>
      </c>
      <c r="D158" s="4" t="s">
        <v>2842</v>
      </c>
      <c r="N158" s="545"/>
      <c r="R158" s="93"/>
    </row>
    <row r="159" spans="1:18" s="4" customFormat="1">
      <c r="A159" s="471"/>
      <c r="N159" s="545"/>
      <c r="R159" s="93"/>
    </row>
    <row r="160" spans="1:18" s="4" customFormat="1">
      <c r="A160" s="471"/>
      <c r="B160" s="4" t="s">
        <v>555</v>
      </c>
      <c r="C160" s="4" t="s">
        <v>2832</v>
      </c>
      <c r="D160" s="4" t="s">
        <v>2830</v>
      </c>
      <c r="N160" s="545"/>
      <c r="R160" s="93"/>
    </row>
    <row r="161" spans="1:18" s="4" customFormat="1">
      <c r="A161" s="471"/>
      <c r="B161" s="4" t="s">
        <v>555</v>
      </c>
      <c r="C161" s="4" t="s">
        <v>2829</v>
      </c>
      <c r="D161" s="4" t="s">
        <v>2830</v>
      </c>
      <c r="N161" s="545"/>
      <c r="R161" s="93"/>
    </row>
    <row r="162" spans="1:18" s="4" customFormat="1">
      <c r="A162" s="471"/>
      <c r="B162" s="4" t="s">
        <v>540</v>
      </c>
      <c r="C162" s="4" t="s">
        <v>2833</v>
      </c>
      <c r="D162" s="4" t="s">
        <v>2831</v>
      </c>
      <c r="N162" s="545"/>
      <c r="R162" s="93"/>
    </row>
    <row r="163" spans="1:18" s="4" customFormat="1">
      <c r="A163" s="471"/>
      <c r="N163" s="545"/>
      <c r="R163" s="93"/>
    </row>
    <row r="164" spans="1:18" s="4" customFormat="1">
      <c r="A164" s="471"/>
      <c r="B164" s="4" t="s">
        <v>540</v>
      </c>
      <c r="C164" s="4" t="s">
        <v>2834</v>
      </c>
      <c r="D164" s="4" t="s">
        <v>2835</v>
      </c>
      <c r="N164" s="542"/>
      <c r="R164" s="93"/>
    </row>
    <row r="165" spans="1:18" s="4" customFormat="1">
      <c r="A165" s="471"/>
      <c r="N165" s="532"/>
      <c r="R165" s="93"/>
    </row>
    <row r="166" spans="1:18" s="4" customFormat="1">
      <c r="A166" s="471"/>
      <c r="B166" s="4" t="s">
        <v>555</v>
      </c>
      <c r="C166" s="4" t="s">
        <v>2846</v>
      </c>
      <c r="D166" s="4" t="s">
        <v>2847</v>
      </c>
      <c r="N166" s="546"/>
      <c r="Q166" s="4" t="s">
        <v>2877</v>
      </c>
      <c r="R166" s="93" t="s">
        <v>27</v>
      </c>
    </row>
    <row r="167" spans="1:18" s="4" customFormat="1">
      <c r="A167" s="471"/>
      <c r="B167" s="4" t="s">
        <v>540</v>
      </c>
      <c r="C167" s="4" t="s">
        <v>2850</v>
      </c>
      <c r="D167" s="4" t="s">
        <v>2851</v>
      </c>
      <c r="N167" s="547"/>
      <c r="Q167" s="4" t="s">
        <v>2877</v>
      </c>
      <c r="R167" s="93" t="s">
        <v>27</v>
      </c>
    </row>
    <row r="168" spans="1:18" s="4" customFormat="1">
      <c r="A168" s="471"/>
      <c r="B168" s="4" t="s">
        <v>540</v>
      </c>
      <c r="C168" s="4" t="s">
        <v>2848</v>
      </c>
      <c r="D168" s="4" t="s">
        <v>2849</v>
      </c>
      <c r="N168" s="546"/>
      <c r="Q168" s="4" t="s">
        <v>2877</v>
      </c>
      <c r="R168" s="93" t="s">
        <v>27</v>
      </c>
    </row>
    <row r="169" spans="1:18" s="4" customFormat="1">
      <c r="A169" s="471"/>
      <c r="N169" s="546"/>
      <c r="R169" s="93"/>
    </row>
    <row r="170" spans="1:18" s="4" customFormat="1">
      <c r="A170" s="471"/>
      <c r="N170" s="546"/>
      <c r="R170" s="93"/>
    </row>
    <row r="171" spans="1:18" s="4" customFormat="1">
      <c r="A171" s="471"/>
      <c r="N171" s="527"/>
      <c r="R171" s="93"/>
    </row>
    <row r="172" spans="1:18" s="4" customFormat="1">
      <c r="A172" s="470" t="s">
        <v>2762</v>
      </c>
    </row>
    <row r="173" spans="1:18" s="4" customFormat="1">
      <c r="A173" s="470"/>
      <c r="B173" s="33" t="s">
        <v>533</v>
      </c>
      <c r="C173" s="33" t="s">
        <v>534</v>
      </c>
      <c r="D173" s="33" t="s">
        <v>536</v>
      </c>
      <c r="R173" s="407" t="s">
        <v>2881</v>
      </c>
    </row>
    <row r="174" spans="1:18" s="4" customFormat="1">
      <c r="A174" s="471"/>
      <c r="B174" s="4" t="s">
        <v>555</v>
      </c>
      <c r="C174" s="4" t="s">
        <v>2766</v>
      </c>
      <c r="D174" s="4" t="s">
        <v>2767</v>
      </c>
      <c r="Q174" s="4" t="s">
        <v>2878</v>
      </c>
      <c r="R174" s="93" t="s">
        <v>27</v>
      </c>
    </row>
    <row r="175" spans="1:18" s="4" customFormat="1">
      <c r="A175" s="471"/>
      <c r="B175" s="4" t="s">
        <v>540</v>
      </c>
      <c r="C175" s="4" t="s">
        <v>2768</v>
      </c>
      <c r="D175" s="4" t="s">
        <v>2769</v>
      </c>
      <c r="N175" s="533"/>
      <c r="Q175" s="4" t="s">
        <v>2878</v>
      </c>
      <c r="R175" s="93" t="s">
        <v>27</v>
      </c>
    </row>
    <row r="176" spans="1:18" s="4" customFormat="1">
      <c r="A176" s="471"/>
      <c r="B176" s="4" t="s">
        <v>540</v>
      </c>
      <c r="C176" s="4" t="s">
        <v>2771</v>
      </c>
      <c r="D176" s="4" t="s">
        <v>2772</v>
      </c>
      <c r="N176" s="533"/>
      <c r="Q176" s="4" t="s">
        <v>2878</v>
      </c>
      <c r="R176" s="93" t="s">
        <v>27</v>
      </c>
    </row>
    <row r="177" spans="1:18" s="4" customFormat="1">
      <c r="A177" s="471"/>
      <c r="B177" s="4" t="s">
        <v>540</v>
      </c>
      <c r="C177" s="4" t="s">
        <v>2773</v>
      </c>
      <c r="D177" s="4" t="s">
        <v>2774</v>
      </c>
      <c r="N177" s="533"/>
      <c r="Q177" s="4" t="s">
        <v>2878</v>
      </c>
      <c r="R177" s="93" t="s">
        <v>27</v>
      </c>
    </row>
    <row r="178" spans="1:18" s="4" customFormat="1">
      <c r="A178" s="471"/>
      <c r="B178" s="4" t="s">
        <v>540</v>
      </c>
      <c r="C178" s="4" t="s">
        <v>2775</v>
      </c>
      <c r="D178" s="4" t="s">
        <v>2776</v>
      </c>
      <c r="N178" s="533"/>
      <c r="Q178" s="4" t="s">
        <v>2878</v>
      </c>
      <c r="R178" s="93" t="s">
        <v>27</v>
      </c>
    </row>
    <row r="179" spans="1:18" s="4" customFormat="1">
      <c r="A179" s="471"/>
      <c r="B179" s="4" t="s">
        <v>540</v>
      </c>
      <c r="C179" s="4" t="s">
        <v>2777</v>
      </c>
      <c r="D179" s="4" t="s">
        <v>2778</v>
      </c>
      <c r="N179" s="533"/>
      <c r="Q179" s="4" t="s">
        <v>2878</v>
      </c>
      <c r="R179" s="93" t="s">
        <v>27</v>
      </c>
    </row>
    <row r="180" spans="1:18" s="4" customFormat="1">
      <c r="A180" s="471"/>
      <c r="B180" s="4" t="s">
        <v>540</v>
      </c>
      <c r="C180" s="4" t="s">
        <v>2779</v>
      </c>
      <c r="D180" s="4" t="s">
        <v>2780</v>
      </c>
      <c r="N180" s="533"/>
      <c r="R180" s="474" t="s">
        <v>2674</v>
      </c>
    </row>
    <row r="181" spans="1:18" s="4" customFormat="1">
      <c r="A181" s="471"/>
      <c r="N181" s="533"/>
      <c r="R181" s="93"/>
    </row>
    <row r="182" spans="1:18" s="4" customFormat="1">
      <c r="A182" s="471"/>
      <c r="N182" s="533"/>
      <c r="R182" s="93"/>
    </row>
    <row r="183" spans="1:18" s="4" customFormat="1">
      <c r="A183" s="471"/>
      <c r="N183" s="533"/>
      <c r="R183" s="93"/>
    </row>
    <row r="184" spans="1:18" s="4" customFormat="1">
      <c r="A184" s="470" t="s">
        <v>2701</v>
      </c>
    </row>
    <row r="185" spans="1:18" s="4" customFormat="1">
      <c r="A185" s="470"/>
      <c r="B185" s="33" t="s">
        <v>533</v>
      </c>
      <c r="C185" s="33" t="s">
        <v>534</v>
      </c>
      <c r="D185" s="33" t="s">
        <v>536</v>
      </c>
      <c r="R185" s="407" t="s">
        <v>2881</v>
      </c>
    </row>
    <row r="186" spans="1:18" s="4" customFormat="1">
      <c r="A186" s="471"/>
      <c r="B186" s="4" t="s">
        <v>555</v>
      </c>
      <c r="C186" s="4" t="s">
        <v>2702</v>
      </c>
      <c r="D186" s="4" t="s">
        <v>2703</v>
      </c>
      <c r="R186" s="93"/>
    </row>
    <row r="187" spans="1:18" s="4" customFormat="1">
      <c r="A187" s="471"/>
      <c r="B187" s="4" t="s">
        <v>555</v>
      </c>
      <c r="C187" s="4" t="s">
        <v>2704</v>
      </c>
      <c r="D187" s="4" t="s">
        <v>2705</v>
      </c>
      <c r="N187" s="532"/>
      <c r="R187" s="93"/>
    </row>
    <row r="188" spans="1:18" s="4" customFormat="1">
      <c r="A188" s="471"/>
      <c r="N188" s="532"/>
      <c r="R188" s="93"/>
    </row>
    <row r="189" spans="1:18" s="4" customFormat="1">
      <c r="A189" s="471"/>
      <c r="B189" s="4" t="s">
        <v>540</v>
      </c>
      <c r="C189" s="4" t="s">
        <v>2706</v>
      </c>
      <c r="D189" s="4" t="s">
        <v>2707</v>
      </c>
      <c r="N189" s="527"/>
      <c r="R189" s="474"/>
    </row>
    <row r="190" spans="1:18" s="4" customFormat="1">
      <c r="A190" s="471"/>
      <c r="N190" s="528"/>
      <c r="R190" s="474"/>
    </row>
    <row r="191" spans="1:18" s="4" customFormat="1">
      <c r="A191" s="471"/>
      <c r="B191" s="4" t="s">
        <v>540</v>
      </c>
      <c r="C191" s="4" t="s">
        <v>2708</v>
      </c>
      <c r="D191" s="4" t="s">
        <v>2709</v>
      </c>
      <c r="N191" s="527"/>
      <c r="R191" s="93"/>
    </row>
    <row r="192" spans="1:18" s="4" customFormat="1">
      <c r="A192" s="471"/>
      <c r="B192" s="4" t="s">
        <v>555</v>
      </c>
      <c r="C192" s="4" t="s">
        <v>2710</v>
      </c>
      <c r="D192" s="4" t="s">
        <v>2711</v>
      </c>
      <c r="R192" s="93"/>
    </row>
    <row r="193" spans="1:18" s="4" customFormat="1">
      <c r="A193" s="471"/>
      <c r="N193" s="527"/>
      <c r="R193" s="474"/>
    </row>
    <row r="194" spans="1:18" s="4" customFormat="1">
      <c r="A194" s="471"/>
      <c r="B194" s="4" t="s">
        <v>555</v>
      </c>
      <c r="C194" s="4" t="s">
        <v>2712</v>
      </c>
      <c r="D194" s="4" t="s">
        <v>2714</v>
      </c>
      <c r="N194" s="527"/>
      <c r="Q194" s="4" t="s">
        <v>2878</v>
      </c>
      <c r="R194" s="93" t="s">
        <v>27</v>
      </c>
    </row>
    <row r="195" spans="1:18" s="4" customFormat="1">
      <c r="A195" s="471"/>
      <c r="B195" s="4" t="s">
        <v>555</v>
      </c>
      <c r="C195" s="4" t="s">
        <v>2713</v>
      </c>
      <c r="D195" s="4" t="s">
        <v>2715</v>
      </c>
      <c r="N195" s="527"/>
      <c r="Q195" s="4" t="s">
        <v>2878</v>
      </c>
      <c r="R195" s="93" t="s">
        <v>27</v>
      </c>
    </row>
    <row r="196" spans="1:18" s="4" customFormat="1">
      <c r="A196" s="471"/>
      <c r="B196" s="4" t="s">
        <v>540</v>
      </c>
      <c r="C196" s="4" t="s">
        <v>2720</v>
      </c>
      <c r="D196" s="4" t="s">
        <v>2721</v>
      </c>
      <c r="N196" s="527"/>
      <c r="R196" s="474" t="s">
        <v>2674</v>
      </c>
    </row>
    <row r="197" spans="1:18" s="4" customFormat="1">
      <c r="A197" s="471"/>
      <c r="B197" s="4" t="s">
        <v>540</v>
      </c>
      <c r="C197" s="4" t="s">
        <v>2722</v>
      </c>
      <c r="D197" s="4" t="s">
        <v>2723</v>
      </c>
      <c r="N197" s="527"/>
      <c r="Q197" s="4" t="s">
        <v>2878</v>
      </c>
      <c r="R197" s="93" t="s">
        <v>27</v>
      </c>
    </row>
    <row r="198" spans="1:18" s="4" customFormat="1">
      <c r="A198" s="471"/>
      <c r="N198" s="527"/>
      <c r="R198" s="474"/>
    </row>
    <row r="199" spans="1:18" s="4" customFormat="1">
      <c r="A199" s="471"/>
      <c r="B199" s="4" t="s">
        <v>540</v>
      </c>
      <c r="C199" s="4" t="s">
        <v>2726</v>
      </c>
      <c r="D199" s="4" t="s">
        <v>2728</v>
      </c>
      <c r="N199" s="527"/>
      <c r="Q199" s="4" t="s">
        <v>2878</v>
      </c>
      <c r="R199" s="93" t="s">
        <v>27</v>
      </c>
    </row>
    <row r="200" spans="1:18" s="4" customFormat="1">
      <c r="A200" s="471"/>
      <c r="B200" s="4" t="s">
        <v>540</v>
      </c>
      <c r="C200" s="4" t="s">
        <v>2727</v>
      </c>
      <c r="D200" s="4" t="s">
        <v>2729</v>
      </c>
      <c r="N200" s="527"/>
      <c r="Q200" s="4" t="s">
        <v>2878</v>
      </c>
      <c r="R200" s="93" t="s">
        <v>27</v>
      </c>
    </row>
    <row r="201" spans="1:18" s="4" customFormat="1">
      <c r="A201" s="471"/>
      <c r="B201" s="4" t="s">
        <v>540</v>
      </c>
      <c r="C201" s="4" t="s">
        <v>2730</v>
      </c>
      <c r="D201" s="4" t="s">
        <v>2731</v>
      </c>
      <c r="N201" s="527"/>
      <c r="Q201" s="4" t="s">
        <v>2878</v>
      </c>
      <c r="R201" s="93" t="s">
        <v>27</v>
      </c>
    </row>
    <row r="202" spans="1:18" s="4" customFormat="1">
      <c r="A202" s="471"/>
      <c r="B202" s="4" t="s">
        <v>540</v>
      </c>
      <c r="C202" s="4" t="s">
        <v>2733</v>
      </c>
      <c r="D202" s="4" t="s">
        <v>2734</v>
      </c>
      <c r="N202" s="527"/>
      <c r="Q202" s="4" t="s">
        <v>2878</v>
      </c>
      <c r="R202" s="93" t="s">
        <v>27</v>
      </c>
    </row>
    <row r="203" spans="1:18" s="4" customFormat="1">
      <c r="A203" s="471"/>
      <c r="B203" s="4" t="s">
        <v>540</v>
      </c>
      <c r="C203" s="4" t="s">
        <v>2736</v>
      </c>
      <c r="D203" s="4" t="s">
        <v>2737</v>
      </c>
      <c r="N203" s="527"/>
      <c r="Q203" s="4" t="s">
        <v>2878</v>
      </c>
      <c r="R203" s="93" t="s">
        <v>27</v>
      </c>
    </row>
    <row r="204" spans="1:18" s="4" customFormat="1">
      <c r="A204" s="471"/>
      <c r="B204" s="4" t="s">
        <v>1532</v>
      </c>
      <c r="N204" s="527"/>
      <c r="R204" s="474"/>
    </row>
    <row r="205" spans="1:18" s="4" customFormat="1">
      <c r="A205" s="471"/>
      <c r="B205" s="4" t="s">
        <v>540</v>
      </c>
      <c r="C205" s="4" t="s">
        <v>2740</v>
      </c>
      <c r="D205" s="4" t="s">
        <v>2741</v>
      </c>
      <c r="Q205" s="4" t="s">
        <v>2879</v>
      </c>
      <c r="R205" s="93" t="s">
        <v>27</v>
      </c>
    </row>
    <row r="206" spans="1:18" s="4" customFormat="1">
      <c r="A206" s="471"/>
      <c r="R206" s="93"/>
    </row>
    <row r="207" spans="1:18" s="4" customFormat="1">
      <c r="A207" s="471"/>
      <c r="B207" s="4" t="s">
        <v>2497</v>
      </c>
      <c r="C207" s="4" t="s">
        <v>2743</v>
      </c>
      <c r="D207" s="4" t="s">
        <v>2744</v>
      </c>
      <c r="R207" s="93"/>
    </row>
    <row r="208" spans="1:18" s="4" customFormat="1">
      <c r="A208" s="471"/>
      <c r="B208" s="4" t="s">
        <v>2497</v>
      </c>
      <c r="C208" s="4" t="s">
        <v>2758</v>
      </c>
      <c r="D208" s="4" t="s">
        <v>2759</v>
      </c>
      <c r="R208" s="474" t="s">
        <v>2674</v>
      </c>
    </row>
    <row r="209" spans="1:18" s="4" customFormat="1">
      <c r="A209" s="471"/>
      <c r="R209" s="93"/>
    </row>
    <row r="210" spans="1:18" s="4" customFormat="1">
      <c r="A210" s="471"/>
      <c r="B210" s="4" t="s">
        <v>540</v>
      </c>
      <c r="C210" s="4" t="s">
        <v>2695</v>
      </c>
      <c r="D210" s="4" t="s">
        <v>2745</v>
      </c>
      <c r="Q210" s="4" t="s">
        <v>2880</v>
      </c>
      <c r="R210" s="93" t="s">
        <v>27</v>
      </c>
    </row>
    <row r="211" spans="1:18" s="4" customFormat="1">
      <c r="A211" s="471"/>
      <c r="B211" s="4" t="s">
        <v>540</v>
      </c>
      <c r="C211" s="4" t="s">
        <v>1484</v>
      </c>
      <c r="D211" s="4" t="s">
        <v>2746</v>
      </c>
      <c r="R211" s="474" t="s">
        <v>2674</v>
      </c>
    </row>
    <row r="212" spans="1:18" s="4" customFormat="1">
      <c r="A212" s="471"/>
      <c r="B212" s="4" t="s">
        <v>540</v>
      </c>
      <c r="C212" s="4" t="s">
        <v>1484</v>
      </c>
      <c r="D212" s="4" t="s">
        <v>2747</v>
      </c>
      <c r="Q212" s="4" t="s">
        <v>2880</v>
      </c>
      <c r="R212" s="93" t="s">
        <v>27</v>
      </c>
    </row>
    <row r="213" spans="1:18" s="4" customFormat="1">
      <c r="A213" s="471"/>
      <c r="B213" s="4" t="s">
        <v>540</v>
      </c>
      <c r="C213" s="4" t="s">
        <v>2666</v>
      </c>
      <c r="D213" s="4" t="s">
        <v>2750</v>
      </c>
      <c r="Q213" s="4" t="s">
        <v>2880</v>
      </c>
      <c r="R213" s="93" t="s">
        <v>27</v>
      </c>
    </row>
    <row r="214" spans="1:18" s="4" customFormat="1">
      <c r="A214" s="471"/>
      <c r="B214" s="4" t="s">
        <v>540</v>
      </c>
      <c r="C214" s="4" t="s">
        <v>2748</v>
      </c>
      <c r="D214" s="4" t="s">
        <v>2749</v>
      </c>
      <c r="Q214" s="4" t="s">
        <v>2880</v>
      </c>
      <c r="R214" s="93" t="s">
        <v>27</v>
      </c>
    </row>
    <row r="215" spans="1:18" s="4" customFormat="1">
      <c r="A215" s="471"/>
      <c r="B215" s="4" t="s">
        <v>540</v>
      </c>
      <c r="C215" s="4" t="s">
        <v>2751</v>
      </c>
      <c r="D215" s="4" t="s">
        <v>2752</v>
      </c>
      <c r="Q215" s="4" t="s">
        <v>2880</v>
      </c>
      <c r="R215" s="93" t="s">
        <v>27</v>
      </c>
    </row>
    <row r="216" spans="1:18" s="4" customFormat="1">
      <c r="A216" s="471"/>
      <c r="R216" s="93"/>
    </row>
    <row r="217" spans="1:18" s="4" customFormat="1">
      <c r="A217" s="471"/>
      <c r="B217" s="4" t="s">
        <v>555</v>
      </c>
      <c r="C217" s="4" t="s">
        <v>2753</v>
      </c>
      <c r="D217" s="4" t="s">
        <v>2754</v>
      </c>
      <c r="R217" s="93"/>
    </row>
    <row r="218" spans="1:18" s="4" customFormat="1">
      <c r="A218" s="471"/>
      <c r="B218" s="4" t="s">
        <v>540</v>
      </c>
      <c r="C218" s="4" t="s">
        <v>2755</v>
      </c>
      <c r="D218" s="4" t="s">
        <v>2756</v>
      </c>
      <c r="R218" s="93"/>
    </row>
    <row r="219" spans="1:18" s="4" customFormat="1">
      <c r="A219" s="471"/>
      <c r="R219" s="93"/>
    </row>
    <row r="220" spans="1:18" s="4" customFormat="1">
      <c r="A220" s="471"/>
      <c r="B220" s="4" t="s">
        <v>555</v>
      </c>
      <c r="C220" s="4" t="s">
        <v>1344</v>
      </c>
      <c r="D220" s="4" t="s">
        <v>2761</v>
      </c>
      <c r="R220" s="93"/>
    </row>
    <row r="221" spans="1:18" s="4" customFormat="1">
      <c r="A221" s="471"/>
      <c r="R221" s="93"/>
    </row>
    <row r="222" spans="1:18" s="4" customFormat="1">
      <c r="A222" s="471"/>
      <c r="R222" s="93"/>
    </row>
    <row r="223" spans="1:18" s="4" customFormat="1">
      <c r="A223" s="471"/>
      <c r="R223" s="93"/>
    </row>
    <row r="224" spans="1:18" s="4" customFormat="1">
      <c r="A224" s="471"/>
      <c r="R224" s="93"/>
    </row>
    <row r="225" spans="1:18" s="4" customFormat="1">
      <c r="A225" s="470" t="s">
        <v>2626</v>
      </c>
    </row>
    <row r="226" spans="1:18" s="4" customFormat="1">
      <c r="A226" s="470"/>
      <c r="B226" s="33" t="s">
        <v>533</v>
      </c>
      <c r="C226" s="33" t="s">
        <v>534</v>
      </c>
      <c r="D226" s="33" t="s">
        <v>536</v>
      </c>
      <c r="R226" s="407" t="s">
        <v>2881</v>
      </c>
    </row>
    <row r="227" spans="1:18" s="4" customFormat="1">
      <c r="A227" s="471"/>
      <c r="B227" s="4" t="s">
        <v>555</v>
      </c>
      <c r="C227" s="4" t="s">
        <v>1344</v>
      </c>
      <c r="D227" s="4" t="s">
        <v>2699</v>
      </c>
      <c r="R227" s="93"/>
    </row>
    <row r="228" spans="1:18" s="4" customFormat="1">
      <c r="A228" s="471"/>
      <c r="B228" s="4" t="s">
        <v>555</v>
      </c>
      <c r="C228" s="4" t="s">
        <v>2628</v>
      </c>
      <c r="D228" s="540" t="s">
        <v>2820</v>
      </c>
      <c r="N228" s="466"/>
      <c r="R228" s="93"/>
    </row>
    <row r="229" spans="1:18" s="4" customFormat="1">
      <c r="A229" s="471"/>
      <c r="B229" s="4" t="s">
        <v>555</v>
      </c>
      <c r="C229" s="4" t="s">
        <v>2686</v>
      </c>
      <c r="D229" s="540" t="s">
        <v>2819</v>
      </c>
      <c r="N229" s="466"/>
      <c r="R229" s="93"/>
    </row>
    <row r="230" spans="1:18" s="4" customFormat="1">
      <c r="A230" s="471"/>
      <c r="B230" s="4" t="s">
        <v>555</v>
      </c>
      <c r="C230" s="4" t="s">
        <v>2629</v>
      </c>
      <c r="D230" s="4" t="s">
        <v>2630</v>
      </c>
      <c r="N230" s="476"/>
      <c r="R230" s="93"/>
    </row>
    <row r="231" spans="1:18" s="4" customFormat="1">
      <c r="A231" s="471"/>
      <c r="B231" s="4" t="s">
        <v>555</v>
      </c>
      <c r="C231" s="4" t="s">
        <v>2631</v>
      </c>
      <c r="D231" s="4" t="s">
        <v>2632</v>
      </c>
      <c r="R231" s="93"/>
    </row>
    <row r="232" spans="1:18" s="4" customFormat="1">
      <c r="A232" s="471"/>
      <c r="B232" s="4" t="s">
        <v>2642</v>
      </c>
      <c r="C232" s="4" t="s">
        <v>2643</v>
      </c>
      <c r="D232" s="4" t="s">
        <v>2644</v>
      </c>
      <c r="N232" s="466"/>
      <c r="Q232" s="4" t="s">
        <v>2642</v>
      </c>
      <c r="R232" s="93" t="s">
        <v>27</v>
      </c>
    </row>
    <row r="233" spans="1:18" s="4" customFormat="1">
      <c r="A233" s="471"/>
      <c r="B233" s="4" t="s">
        <v>555</v>
      </c>
      <c r="C233" s="4" t="s">
        <v>2650</v>
      </c>
      <c r="D233" s="4" t="s">
        <v>2651</v>
      </c>
      <c r="N233" s="466"/>
      <c r="Q233" s="4" t="s">
        <v>2879</v>
      </c>
      <c r="R233" s="93" t="s">
        <v>27</v>
      </c>
    </row>
    <row r="234" spans="1:18" s="4" customFormat="1">
      <c r="A234" s="471"/>
      <c r="B234" s="4" t="s">
        <v>540</v>
      </c>
      <c r="C234" s="4" t="s">
        <v>2654</v>
      </c>
      <c r="D234" s="4" t="s">
        <v>2655</v>
      </c>
      <c r="Q234" s="4" t="s">
        <v>2879</v>
      </c>
      <c r="R234" s="93" t="s">
        <v>27</v>
      </c>
    </row>
    <row r="235" spans="1:18" s="4" customFormat="1">
      <c r="A235" s="471"/>
      <c r="B235" s="4" t="s">
        <v>555</v>
      </c>
      <c r="C235" s="4" t="s">
        <v>2656</v>
      </c>
      <c r="D235" s="4" t="s">
        <v>2673</v>
      </c>
      <c r="N235" s="466"/>
      <c r="R235" s="474" t="s">
        <v>2697</v>
      </c>
    </row>
    <row r="236" spans="1:18" s="4" customFormat="1">
      <c r="A236" s="471"/>
      <c r="B236" s="4" t="s">
        <v>540</v>
      </c>
      <c r="C236" s="4" t="s">
        <v>2666</v>
      </c>
      <c r="D236" s="4" t="s">
        <v>2667</v>
      </c>
      <c r="N236" s="466"/>
      <c r="R236" s="474" t="s">
        <v>2674</v>
      </c>
    </row>
    <row r="237" spans="1:18" s="4" customFormat="1">
      <c r="A237" s="471"/>
      <c r="B237" s="4" t="s">
        <v>540</v>
      </c>
      <c r="C237" s="4" t="s">
        <v>2668</v>
      </c>
      <c r="D237" s="4" t="s">
        <v>2669</v>
      </c>
      <c r="N237" s="466"/>
      <c r="R237" s="474" t="s">
        <v>2674</v>
      </c>
    </row>
    <row r="238" spans="1:18" s="4" customFormat="1">
      <c r="A238" s="471"/>
      <c r="B238" s="4" t="s">
        <v>540</v>
      </c>
      <c r="C238" s="4" t="s">
        <v>2670</v>
      </c>
      <c r="D238" s="4" t="s">
        <v>2671</v>
      </c>
      <c r="R238" s="474" t="s">
        <v>2674</v>
      </c>
    </row>
    <row r="239" spans="1:18" s="4" customFormat="1">
      <c r="A239" s="471"/>
      <c r="B239" s="4" t="s">
        <v>555</v>
      </c>
      <c r="C239" s="4" t="s">
        <v>2678</v>
      </c>
      <c r="D239" s="4" t="s">
        <v>2679</v>
      </c>
      <c r="Q239" s="4" t="s">
        <v>2880</v>
      </c>
      <c r="R239" s="93" t="s">
        <v>27</v>
      </c>
    </row>
    <row r="240" spans="1:18" s="4" customFormat="1">
      <c r="A240" s="471"/>
      <c r="B240" s="4" t="s">
        <v>540</v>
      </c>
      <c r="C240" s="4" t="s">
        <v>2680</v>
      </c>
      <c r="D240" s="4" t="s">
        <v>2681</v>
      </c>
      <c r="Q240" s="4" t="s">
        <v>2880</v>
      </c>
      <c r="R240" s="93" t="s">
        <v>27</v>
      </c>
    </row>
    <row r="241" spans="1:18" s="4" customFormat="1">
      <c r="A241" s="471"/>
      <c r="B241" s="4" t="s">
        <v>540</v>
      </c>
      <c r="C241" s="4" t="s">
        <v>2693</v>
      </c>
      <c r="D241" s="4" t="s">
        <v>2694</v>
      </c>
      <c r="Q241" s="4" t="s">
        <v>2880</v>
      </c>
      <c r="R241" s="93" t="s">
        <v>27</v>
      </c>
    </row>
    <row r="242" spans="1:18" s="4" customFormat="1">
      <c r="A242" s="471"/>
      <c r="B242" s="4" t="s">
        <v>555</v>
      </c>
      <c r="C242" s="4" t="s">
        <v>2682</v>
      </c>
      <c r="D242" s="4" t="s">
        <v>2683</v>
      </c>
      <c r="Q242" s="4" t="s">
        <v>2880</v>
      </c>
      <c r="R242" s="93" t="s">
        <v>27</v>
      </c>
    </row>
    <row r="243" spans="1:18" s="4" customFormat="1">
      <c r="A243" s="471"/>
      <c r="B243" s="4" t="s">
        <v>555</v>
      </c>
      <c r="C243" s="4" t="s">
        <v>2684</v>
      </c>
      <c r="D243" s="4" t="s">
        <v>2685</v>
      </c>
      <c r="Q243" s="4" t="s">
        <v>2880</v>
      </c>
      <c r="R243" s="93" t="s">
        <v>27</v>
      </c>
    </row>
    <row r="244" spans="1:18" s="4" customFormat="1">
      <c r="A244" s="471"/>
      <c r="B244" s="4" t="s">
        <v>540</v>
      </c>
      <c r="C244" s="4" t="s">
        <v>2695</v>
      </c>
      <c r="D244" s="4" t="s">
        <v>2696</v>
      </c>
      <c r="Q244" s="4" t="s">
        <v>2880</v>
      </c>
      <c r="R244" s="93" t="s">
        <v>27</v>
      </c>
    </row>
    <row r="245" spans="1:18" s="4" customFormat="1">
      <c r="A245" s="471"/>
      <c r="B245" s="4" t="s">
        <v>540</v>
      </c>
      <c r="C245" s="4" t="s">
        <v>2698</v>
      </c>
      <c r="D245" s="4" t="s">
        <v>2696</v>
      </c>
      <c r="Q245" s="4" t="s">
        <v>2880</v>
      </c>
      <c r="R245" s="93" t="s">
        <v>27</v>
      </c>
    </row>
    <row r="246" spans="1:18" s="4" customFormat="1">
      <c r="A246" s="471"/>
      <c r="B246" s="4" t="s">
        <v>555</v>
      </c>
      <c r="C246" s="4" t="s">
        <v>2687</v>
      </c>
      <c r="D246" s="4" t="s">
        <v>2688</v>
      </c>
      <c r="R246" s="93"/>
    </row>
    <row r="247" spans="1:18" s="4" customFormat="1">
      <c r="A247" s="471"/>
      <c r="B247" s="4" t="s">
        <v>555</v>
      </c>
      <c r="C247" s="4" t="s">
        <v>2689</v>
      </c>
      <c r="D247" s="4" t="s">
        <v>2690</v>
      </c>
      <c r="R247" s="93"/>
    </row>
    <row r="248" spans="1:18" s="4" customFormat="1">
      <c r="A248" s="471"/>
      <c r="B248" s="4" t="s">
        <v>555</v>
      </c>
      <c r="C248" s="4" t="s">
        <v>2691</v>
      </c>
      <c r="D248" s="4" t="s">
        <v>2692</v>
      </c>
      <c r="R248" s="93"/>
    </row>
    <row r="249" spans="1:18" s="4" customFormat="1">
      <c r="A249" s="471"/>
    </row>
    <row r="250" spans="1:18" s="4" customFormat="1">
      <c r="A250" s="471"/>
    </row>
    <row r="251" spans="1:18" s="4" customFormat="1">
      <c r="A251" s="471"/>
    </row>
    <row r="252" spans="1:18" s="4" customFormat="1">
      <c r="A252" s="470" t="s">
        <v>2602</v>
      </c>
    </row>
    <row r="253" spans="1:18" s="4" customFormat="1">
      <c r="A253" s="470"/>
      <c r="B253" s="33" t="s">
        <v>533</v>
      </c>
      <c r="C253" s="33" t="s">
        <v>534</v>
      </c>
      <c r="D253" s="33" t="s">
        <v>536</v>
      </c>
      <c r="R253" s="407" t="s">
        <v>2881</v>
      </c>
    </row>
    <row r="254" spans="1:18" s="4" customFormat="1">
      <c r="A254" s="471"/>
      <c r="B254" s="4" t="s">
        <v>540</v>
      </c>
      <c r="C254" s="4" t="s">
        <v>2603</v>
      </c>
      <c r="D254" s="4" t="s">
        <v>2604</v>
      </c>
    </row>
    <row r="255" spans="1:18" s="4" customFormat="1">
      <c r="A255" s="471"/>
      <c r="B255" s="4" t="s">
        <v>555</v>
      </c>
      <c r="C255" s="4" t="s">
        <v>2605</v>
      </c>
      <c r="D255" s="4" t="s">
        <v>2606</v>
      </c>
    </row>
    <row r="256" spans="1:18" s="4" customFormat="1">
      <c r="A256" s="471"/>
      <c r="B256" s="4" t="s">
        <v>555</v>
      </c>
      <c r="C256" s="4" t="s">
        <v>2607</v>
      </c>
      <c r="D256" s="4" t="s">
        <v>2608</v>
      </c>
      <c r="N256" s="475"/>
    </row>
    <row r="257" spans="1:18" s="4" customFormat="1">
      <c r="A257" s="471"/>
      <c r="B257" s="4" t="s">
        <v>555</v>
      </c>
      <c r="C257" s="4" t="s">
        <v>2609</v>
      </c>
      <c r="D257" s="4" t="s">
        <v>2610</v>
      </c>
      <c r="N257" s="475"/>
      <c r="Q257" s="4" t="s">
        <v>2880</v>
      </c>
      <c r="R257" s="93" t="s">
        <v>27</v>
      </c>
    </row>
    <row r="258" spans="1:18" s="4" customFormat="1">
      <c r="A258" s="471"/>
      <c r="B258" s="4" t="s">
        <v>555</v>
      </c>
      <c r="C258" s="4" t="s">
        <v>2611</v>
      </c>
      <c r="D258" s="4" t="s">
        <v>2612</v>
      </c>
      <c r="N258" s="475"/>
    </row>
    <row r="259" spans="1:18" s="4" customFormat="1">
      <c r="A259" s="471"/>
      <c r="B259" s="4" t="s">
        <v>555</v>
      </c>
      <c r="C259" s="4" t="s">
        <v>2618</v>
      </c>
      <c r="D259" s="4" t="s">
        <v>2614</v>
      </c>
      <c r="N259" s="475"/>
    </row>
    <row r="260" spans="1:18" s="4" customFormat="1">
      <c r="A260" s="471"/>
      <c r="B260" s="4" t="s">
        <v>540</v>
      </c>
      <c r="C260" s="4" t="s">
        <v>2616</v>
      </c>
      <c r="D260" s="4" t="s">
        <v>2617</v>
      </c>
      <c r="N260" s="475"/>
    </row>
    <row r="261" spans="1:18" s="4" customFormat="1">
      <c r="A261" s="471"/>
      <c r="B261" s="4" t="s">
        <v>540</v>
      </c>
      <c r="C261" s="4" t="s">
        <v>2619</v>
      </c>
      <c r="D261" s="4" t="s">
        <v>2622</v>
      </c>
      <c r="N261" s="475"/>
    </row>
    <row r="262" spans="1:18" s="4" customFormat="1">
      <c r="A262" s="471"/>
      <c r="B262" s="4" t="s">
        <v>540</v>
      </c>
      <c r="C262" s="4" t="s">
        <v>2620</v>
      </c>
      <c r="D262" s="4" t="s">
        <v>2623</v>
      </c>
      <c r="N262" s="475"/>
    </row>
    <row r="263" spans="1:18" s="4" customFormat="1">
      <c r="A263" s="471"/>
      <c r="B263" s="4" t="s">
        <v>540</v>
      </c>
      <c r="C263" s="4" t="s">
        <v>2621</v>
      </c>
      <c r="D263" s="4" t="s">
        <v>2624</v>
      </c>
      <c r="N263" s="475"/>
    </row>
    <row r="264" spans="1:18" s="4" customFormat="1">
      <c r="A264" s="471"/>
    </row>
    <row r="265" spans="1:18" s="4" customFormat="1">
      <c r="A265" s="471"/>
    </row>
    <row r="266" spans="1:18" s="4" customFormat="1">
      <c r="A266" s="471"/>
    </row>
    <row r="267" spans="1:18" s="4" customFormat="1">
      <c r="A267" s="470" t="s">
        <v>2576</v>
      </c>
    </row>
    <row r="268" spans="1:18" s="4" customFormat="1">
      <c r="A268" s="470"/>
      <c r="B268" s="33" t="s">
        <v>533</v>
      </c>
      <c r="C268" s="33" t="s">
        <v>534</v>
      </c>
      <c r="D268" s="33" t="s">
        <v>536</v>
      </c>
    </row>
    <row r="269" spans="1:18" s="4" customFormat="1">
      <c r="A269" s="471"/>
      <c r="B269" s="4" t="s">
        <v>540</v>
      </c>
      <c r="C269" s="4" t="s">
        <v>2577</v>
      </c>
      <c r="D269" s="4" t="s">
        <v>2578</v>
      </c>
    </row>
    <row r="270" spans="1:18" s="4" customFormat="1">
      <c r="A270" s="471"/>
      <c r="B270" s="4" t="s">
        <v>555</v>
      </c>
      <c r="C270" s="4" t="s">
        <v>2582</v>
      </c>
      <c r="D270" s="4" t="s">
        <v>2583</v>
      </c>
    </row>
    <row r="271" spans="1:18" s="4" customFormat="1">
      <c r="A271" s="471"/>
      <c r="B271" s="4" t="s">
        <v>555</v>
      </c>
      <c r="C271" s="4" t="s">
        <v>1344</v>
      </c>
      <c r="D271" s="4" t="s">
        <v>2584</v>
      </c>
      <c r="N271" s="473"/>
    </row>
    <row r="272" spans="1:18" s="4" customFormat="1">
      <c r="A272" s="471"/>
      <c r="B272" s="4" t="s">
        <v>555</v>
      </c>
      <c r="C272" s="4" t="s">
        <v>2579</v>
      </c>
      <c r="D272" s="4" t="s">
        <v>2580</v>
      </c>
      <c r="N272" s="473"/>
    </row>
    <row r="273" spans="1:18" s="4" customFormat="1">
      <c r="A273" s="471"/>
      <c r="B273" s="4" t="s">
        <v>555</v>
      </c>
      <c r="C273" s="4" t="s">
        <v>2585</v>
      </c>
      <c r="D273" s="4" t="s">
        <v>2586</v>
      </c>
      <c r="N273" s="473"/>
    </row>
    <row r="274" spans="1:18" s="4" customFormat="1">
      <c r="A274" s="471"/>
      <c r="B274" s="4" t="s">
        <v>555</v>
      </c>
      <c r="C274" s="4" t="s">
        <v>2587</v>
      </c>
      <c r="D274" s="4" t="s">
        <v>2588</v>
      </c>
      <c r="N274" s="473"/>
    </row>
    <row r="275" spans="1:18" s="4" customFormat="1">
      <c r="A275" s="471"/>
      <c r="B275" s="4" t="s">
        <v>555</v>
      </c>
      <c r="C275" s="4" t="s">
        <v>2589</v>
      </c>
      <c r="D275" s="4" t="s">
        <v>2590</v>
      </c>
      <c r="N275" s="473"/>
    </row>
    <row r="276" spans="1:18" s="4" customFormat="1">
      <c r="A276" s="471"/>
      <c r="B276" s="4" t="s">
        <v>555</v>
      </c>
      <c r="C276" s="4" t="s">
        <v>2591</v>
      </c>
      <c r="D276" s="4" t="s">
        <v>2592</v>
      </c>
      <c r="N276" s="473"/>
    </row>
    <row r="277" spans="1:18" s="4" customFormat="1">
      <c r="A277" s="471"/>
      <c r="B277" s="4" t="s">
        <v>555</v>
      </c>
      <c r="C277" s="4" t="s">
        <v>2593</v>
      </c>
      <c r="D277" s="4" t="s">
        <v>2594</v>
      </c>
      <c r="N277" s="473"/>
    </row>
    <row r="278" spans="1:18" s="4" customFormat="1">
      <c r="A278" s="471"/>
      <c r="B278" s="4" t="s">
        <v>540</v>
      </c>
      <c r="C278" s="4" t="s">
        <v>2596</v>
      </c>
      <c r="D278" s="4" t="s">
        <v>2598</v>
      </c>
      <c r="N278" s="473"/>
    </row>
    <row r="279" spans="1:18" s="4" customFormat="1">
      <c r="A279" s="471"/>
      <c r="B279" s="4" t="s">
        <v>540</v>
      </c>
      <c r="C279" s="4" t="s">
        <v>2597</v>
      </c>
      <c r="D279" s="4" t="s">
        <v>2599</v>
      </c>
    </row>
    <row r="280" spans="1:18" s="4" customFormat="1">
      <c r="A280" s="471"/>
      <c r="B280" s="4" t="s">
        <v>540</v>
      </c>
      <c r="C280" s="4" t="s">
        <v>2595</v>
      </c>
      <c r="D280" s="4" t="s">
        <v>2600</v>
      </c>
    </row>
    <row r="281" spans="1:18" s="4" customFormat="1">
      <c r="A281" s="471"/>
    </row>
    <row r="282" spans="1:18" s="4" customFormat="1">
      <c r="A282" s="471"/>
    </row>
    <row r="283" spans="1:18" s="4" customFormat="1">
      <c r="A283" s="471"/>
    </row>
    <row r="284" spans="1:18" s="4" customFormat="1">
      <c r="A284" s="470" t="s">
        <v>2566</v>
      </c>
      <c r="R284" s="407" t="s">
        <v>2881</v>
      </c>
    </row>
    <row r="285" spans="1:18" s="4" customFormat="1">
      <c r="A285" s="470"/>
      <c r="B285" s="33" t="s">
        <v>533</v>
      </c>
      <c r="C285" s="33" t="s">
        <v>534</v>
      </c>
      <c r="D285" s="33" t="s">
        <v>536</v>
      </c>
    </row>
    <row r="286" spans="1:18" s="4" customFormat="1">
      <c r="A286" s="471"/>
      <c r="B286" s="4" t="s">
        <v>540</v>
      </c>
      <c r="C286" s="4" t="s">
        <v>542</v>
      </c>
      <c r="D286" s="4" t="s">
        <v>2568</v>
      </c>
    </row>
    <row r="287" spans="1:18" s="4" customFormat="1">
      <c r="A287" s="471"/>
      <c r="B287" s="4" t="s">
        <v>540</v>
      </c>
      <c r="C287" s="4" t="s">
        <v>2569</v>
      </c>
      <c r="D287" s="4" t="s">
        <v>2570</v>
      </c>
    </row>
    <row r="288" spans="1:18" s="4" customFormat="1">
      <c r="A288" s="471"/>
      <c r="B288" s="4" t="s">
        <v>540</v>
      </c>
      <c r="C288" s="4" t="s">
        <v>2572</v>
      </c>
      <c r="D288" s="4" t="s">
        <v>2573</v>
      </c>
      <c r="Q288" s="4" t="s">
        <v>2878</v>
      </c>
      <c r="R288" s="93" t="s">
        <v>27</v>
      </c>
    </row>
    <row r="289" spans="1:18" s="4" customFormat="1">
      <c r="A289" s="471"/>
      <c r="B289" s="4" t="s">
        <v>540</v>
      </c>
      <c r="C289" s="4" t="s">
        <v>2552</v>
      </c>
      <c r="D289" s="4" t="s">
        <v>2574</v>
      </c>
    </row>
    <row r="290" spans="1:18" s="4" customFormat="1">
      <c r="A290" s="471"/>
    </row>
    <row r="291" spans="1:18" s="4" customFormat="1">
      <c r="A291" s="471"/>
    </row>
    <row r="292" spans="1:18" s="4" customFormat="1">
      <c r="A292" s="471"/>
    </row>
    <row r="293" spans="1:18" s="4" customFormat="1">
      <c r="A293" s="470" t="s">
        <v>2536</v>
      </c>
      <c r="R293" s="407" t="s">
        <v>2881</v>
      </c>
    </row>
    <row r="294" spans="1:18" s="4" customFormat="1">
      <c r="A294" s="470"/>
      <c r="B294" s="33" t="s">
        <v>533</v>
      </c>
      <c r="C294" s="33" t="s">
        <v>534</v>
      </c>
      <c r="D294" s="33" t="s">
        <v>536</v>
      </c>
    </row>
    <row r="295" spans="1:18" s="4" customFormat="1">
      <c r="A295" s="471"/>
      <c r="B295" s="4" t="s">
        <v>555</v>
      </c>
      <c r="C295" s="4" t="s">
        <v>2541</v>
      </c>
      <c r="D295" s="4" t="s">
        <v>2542</v>
      </c>
    </row>
    <row r="296" spans="1:18" s="4" customFormat="1">
      <c r="A296" s="471"/>
      <c r="B296" s="4" t="s">
        <v>555</v>
      </c>
      <c r="C296" s="4" t="s">
        <v>2544</v>
      </c>
      <c r="D296" s="4" t="s">
        <v>2543</v>
      </c>
      <c r="Q296" s="4" t="s">
        <v>2878</v>
      </c>
      <c r="R296" s="93" t="s">
        <v>27</v>
      </c>
    </row>
    <row r="297" spans="1:18" s="4" customFormat="1">
      <c r="A297" s="471"/>
      <c r="B297" s="4" t="s">
        <v>540</v>
      </c>
      <c r="C297" s="4" t="s">
        <v>2545</v>
      </c>
      <c r="D297" s="4" t="s">
        <v>2546</v>
      </c>
      <c r="Q297" s="4" t="s">
        <v>2878</v>
      </c>
      <c r="R297" s="93" t="s">
        <v>27</v>
      </c>
    </row>
    <row r="298" spans="1:18" s="4" customFormat="1">
      <c r="A298" s="471"/>
      <c r="B298" s="4" t="s">
        <v>540</v>
      </c>
      <c r="C298" s="4" t="s">
        <v>2547</v>
      </c>
      <c r="D298" s="4" t="s">
        <v>2548</v>
      </c>
    </row>
    <row r="299" spans="1:18" s="4" customFormat="1">
      <c r="A299" s="471"/>
      <c r="B299" s="4" t="s">
        <v>2549</v>
      </c>
      <c r="C299" s="4" t="s">
        <v>2550</v>
      </c>
      <c r="D299" s="4" t="s">
        <v>2551</v>
      </c>
    </row>
    <row r="300" spans="1:18" s="4" customFormat="1">
      <c r="A300" s="471"/>
      <c r="B300" s="4" t="s">
        <v>540</v>
      </c>
      <c r="C300" s="4" t="s">
        <v>2552</v>
      </c>
      <c r="D300" s="4" t="s">
        <v>2553</v>
      </c>
    </row>
    <row r="301" spans="1:18" s="4" customFormat="1">
      <c r="A301" s="471"/>
      <c r="B301" s="4" t="s">
        <v>540</v>
      </c>
      <c r="C301" s="4" t="s">
        <v>2554</v>
      </c>
      <c r="D301" s="4" t="s">
        <v>2556</v>
      </c>
    </row>
    <row r="302" spans="1:18" s="4" customFormat="1">
      <c r="A302" s="471"/>
      <c r="B302" s="4" t="s">
        <v>540</v>
      </c>
      <c r="C302" s="4" t="s">
        <v>2555</v>
      </c>
      <c r="D302" s="4" t="s">
        <v>2557</v>
      </c>
    </row>
    <row r="303" spans="1:18" s="4" customFormat="1">
      <c r="A303" s="471"/>
      <c r="B303" s="4" t="s">
        <v>540</v>
      </c>
      <c r="C303" s="4" t="s">
        <v>1449</v>
      </c>
      <c r="D303" s="4" t="s">
        <v>2559</v>
      </c>
    </row>
    <row r="304" spans="1:18" s="4" customFormat="1">
      <c r="A304" s="471"/>
      <c r="B304" s="4" t="s">
        <v>535</v>
      </c>
      <c r="C304" s="4" t="s">
        <v>2560</v>
      </c>
      <c r="D304" s="4" t="s">
        <v>2561</v>
      </c>
    </row>
    <row r="305" spans="1:18" s="4" customFormat="1">
      <c r="A305" s="471"/>
      <c r="B305" s="4" t="s">
        <v>540</v>
      </c>
      <c r="C305" s="4" t="s">
        <v>1486</v>
      </c>
      <c r="D305" s="4" t="s">
        <v>2562</v>
      </c>
    </row>
    <row r="306" spans="1:18" s="4" customFormat="1">
      <c r="A306" s="471"/>
      <c r="B306" s="4" t="s">
        <v>540</v>
      </c>
      <c r="C306" s="4" t="s">
        <v>2563</v>
      </c>
      <c r="D306" s="4" t="s">
        <v>2564</v>
      </c>
    </row>
    <row r="307" spans="1:18" s="4" customFormat="1">
      <c r="A307" s="471"/>
    </row>
    <row r="308" spans="1:18" s="4" customFormat="1">
      <c r="A308" s="471"/>
    </row>
    <row r="309" spans="1:18" s="4" customFormat="1">
      <c r="A309" s="470" t="s">
        <v>2522</v>
      </c>
    </row>
    <row r="310" spans="1:18" s="4" customFormat="1">
      <c r="A310" s="470"/>
      <c r="B310" s="33" t="s">
        <v>533</v>
      </c>
      <c r="C310" s="33" t="s">
        <v>534</v>
      </c>
      <c r="D310" s="33" t="s">
        <v>536</v>
      </c>
      <c r="R310" s="33"/>
    </row>
    <row r="311" spans="1:18" s="4" customFormat="1">
      <c r="A311" s="471"/>
      <c r="B311" s="4" t="s">
        <v>540</v>
      </c>
      <c r="C311" s="4" t="s">
        <v>2526</v>
      </c>
      <c r="D311" s="4" t="s">
        <v>2525</v>
      </c>
    </row>
    <row r="312" spans="1:18" s="4" customFormat="1">
      <c r="A312" s="471"/>
      <c r="B312" s="4" t="s">
        <v>555</v>
      </c>
      <c r="C312" s="4" t="s">
        <v>1344</v>
      </c>
      <c r="D312" s="4" t="s">
        <v>2527</v>
      </c>
    </row>
    <row r="313" spans="1:18" s="4" customFormat="1">
      <c r="A313" s="471"/>
      <c r="B313" s="4" t="s">
        <v>540</v>
      </c>
      <c r="C313" s="4" t="s">
        <v>2529</v>
      </c>
      <c r="D313" s="4" t="s">
        <v>2530</v>
      </c>
    </row>
    <row r="314" spans="1:18" s="4" customFormat="1">
      <c r="A314" s="471"/>
      <c r="B314" s="4" t="s">
        <v>540</v>
      </c>
      <c r="C314" s="4" t="s">
        <v>2531</v>
      </c>
      <c r="D314" s="4" t="s">
        <v>2532</v>
      </c>
    </row>
    <row r="315" spans="1:18" s="4" customFormat="1">
      <c r="A315" s="471"/>
      <c r="B315" s="4" t="s">
        <v>540</v>
      </c>
      <c r="C315" s="4" t="s">
        <v>2533</v>
      </c>
      <c r="D315" s="4" t="s">
        <v>2534</v>
      </c>
    </row>
    <row r="316" spans="1:18" s="4" customFormat="1">
      <c r="A316" s="471"/>
    </row>
    <row r="317" spans="1:18" s="4" customFormat="1">
      <c r="A317" s="471"/>
    </row>
    <row r="318" spans="1:18" s="4" customFormat="1">
      <c r="A318" s="471"/>
    </row>
    <row r="319" spans="1:18" s="4" customFormat="1">
      <c r="A319" s="470" t="s">
        <v>1434</v>
      </c>
    </row>
    <row r="320" spans="1:18" s="4" customFormat="1">
      <c r="A320" s="470"/>
      <c r="B320" s="33" t="s">
        <v>533</v>
      </c>
      <c r="C320" s="33" t="s">
        <v>534</v>
      </c>
      <c r="D320" s="33" t="s">
        <v>536</v>
      </c>
      <c r="R320" s="33"/>
    </row>
    <row r="321" spans="1:17" s="4" customFormat="1">
      <c r="A321" s="471"/>
      <c r="B321" s="4" t="s">
        <v>540</v>
      </c>
      <c r="C321" s="4" t="s">
        <v>1435</v>
      </c>
      <c r="D321" s="4" t="s">
        <v>1439</v>
      </c>
    </row>
    <row r="322" spans="1:17" s="4" customFormat="1">
      <c r="A322" s="471"/>
      <c r="B322" s="4" t="s">
        <v>555</v>
      </c>
      <c r="C322" s="4" t="s">
        <v>1436</v>
      </c>
      <c r="D322" s="4" t="s">
        <v>1437</v>
      </c>
    </row>
    <row r="323" spans="1:17" s="4" customFormat="1">
      <c r="A323" s="471"/>
      <c r="B323" s="4" t="s">
        <v>555</v>
      </c>
      <c r="C323" s="4" t="s">
        <v>1450</v>
      </c>
      <c r="D323" s="4" t="s">
        <v>1445</v>
      </c>
    </row>
    <row r="324" spans="1:17" s="4" customFormat="1">
      <c r="A324" s="471"/>
      <c r="B324" s="4" t="s">
        <v>555</v>
      </c>
      <c r="C324" s="4" t="s">
        <v>1446</v>
      </c>
      <c r="D324" s="4" t="s">
        <v>1447</v>
      </c>
    </row>
    <row r="325" spans="1:17" s="4" customFormat="1">
      <c r="A325" s="471"/>
      <c r="B325" s="4" t="s">
        <v>555</v>
      </c>
      <c r="C325" s="4" t="s">
        <v>1452</v>
      </c>
      <c r="D325" s="4" t="s">
        <v>1453</v>
      </c>
    </row>
    <row r="326" spans="1:17" s="4" customFormat="1">
      <c r="A326" s="471"/>
      <c r="B326" s="4" t="s">
        <v>555</v>
      </c>
      <c r="C326" s="4" t="s">
        <v>1456</v>
      </c>
      <c r="D326" s="4" t="s">
        <v>1457</v>
      </c>
    </row>
    <row r="327" spans="1:17" s="4" customFormat="1">
      <c r="A327" s="471"/>
      <c r="B327" s="4" t="s">
        <v>540</v>
      </c>
      <c r="C327" s="4" t="s">
        <v>1449</v>
      </c>
      <c r="D327" s="4" t="s">
        <v>1458</v>
      </c>
    </row>
    <row r="328" spans="1:17" s="4" customFormat="1">
      <c r="A328" s="471"/>
      <c r="B328" s="4" t="s">
        <v>555</v>
      </c>
      <c r="C328" s="4" t="s">
        <v>1460</v>
      </c>
      <c r="D328" s="4" t="s">
        <v>1461</v>
      </c>
    </row>
    <row r="329" spans="1:17" s="4" customFormat="1">
      <c r="A329" s="471"/>
      <c r="B329" s="4" t="s">
        <v>540</v>
      </c>
      <c r="C329" s="4" t="s">
        <v>1473</v>
      </c>
      <c r="D329" s="4" t="s">
        <v>1472</v>
      </c>
    </row>
    <row r="330" spans="1:17" s="4" customFormat="1">
      <c r="A330" s="471"/>
      <c r="B330" s="4" t="s">
        <v>540</v>
      </c>
      <c r="C330" s="4" t="s">
        <v>1474</v>
      </c>
      <c r="D330" s="4" t="s">
        <v>1475</v>
      </c>
    </row>
    <row r="331" spans="1:17" s="4" customFormat="1">
      <c r="A331" s="471"/>
      <c r="B331" s="4" t="s">
        <v>540</v>
      </c>
      <c r="C331" s="4" t="s">
        <v>1476</v>
      </c>
      <c r="D331" s="4" t="s">
        <v>1477</v>
      </c>
    </row>
    <row r="332" spans="1:17" s="4" customFormat="1">
      <c r="A332" s="471"/>
      <c r="B332" s="4" t="s">
        <v>555</v>
      </c>
      <c r="C332" s="4" t="s">
        <v>1344</v>
      </c>
      <c r="D332" s="4" t="s">
        <v>1469</v>
      </c>
      <c r="Q332" s="3"/>
    </row>
    <row r="333" spans="1:17" s="4" customFormat="1">
      <c r="A333" s="471"/>
      <c r="B333" s="4" t="s">
        <v>540</v>
      </c>
      <c r="C333" s="4" t="s">
        <v>1484</v>
      </c>
      <c r="D333" s="4" t="s">
        <v>1485</v>
      </c>
      <c r="Q333" s="3"/>
    </row>
    <row r="334" spans="1:17" s="4" customFormat="1">
      <c r="A334" s="471"/>
      <c r="B334" s="4" t="s">
        <v>540</v>
      </c>
      <c r="C334" s="4" t="s">
        <v>1486</v>
      </c>
      <c r="D334" s="4" t="s">
        <v>1487</v>
      </c>
    </row>
    <row r="335" spans="1:17" s="4" customFormat="1">
      <c r="A335" s="471"/>
      <c r="B335" s="4" t="s">
        <v>540</v>
      </c>
      <c r="C335" s="4" t="s">
        <v>1488</v>
      </c>
      <c r="D335" s="4" t="s">
        <v>1489</v>
      </c>
    </row>
    <row r="336" spans="1:17" s="4" customFormat="1">
      <c r="A336" s="471"/>
      <c r="B336" s="4" t="s">
        <v>555</v>
      </c>
      <c r="C336" s="4" t="s">
        <v>1490</v>
      </c>
      <c r="D336" s="4" t="s">
        <v>2513</v>
      </c>
    </row>
    <row r="337" spans="1:4" s="4" customFormat="1">
      <c r="A337" s="471"/>
      <c r="B337" s="4" t="s">
        <v>540</v>
      </c>
      <c r="C337" s="4" t="s">
        <v>1491</v>
      </c>
      <c r="D337" s="4" t="s">
        <v>1492</v>
      </c>
    </row>
    <row r="338" spans="1:4" s="4" customFormat="1">
      <c r="A338" s="471"/>
      <c r="B338" s="4" t="s">
        <v>540</v>
      </c>
      <c r="C338" s="4" t="s">
        <v>1498</v>
      </c>
      <c r="D338" s="4" t="s">
        <v>1499</v>
      </c>
    </row>
    <row r="339" spans="1:4" s="4" customFormat="1">
      <c r="A339" s="471"/>
      <c r="B339" s="4" t="s">
        <v>540</v>
      </c>
      <c r="C339" s="4" t="s">
        <v>1500</v>
      </c>
      <c r="D339" s="4" t="s">
        <v>1501</v>
      </c>
    </row>
    <row r="340" spans="1:4" s="4" customFormat="1">
      <c r="A340" s="471"/>
      <c r="B340" s="4" t="s">
        <v>540</v>
      </c>
      <c r="C340" s="4" t="s">
        <v>1502</v>
      </c>
      <c r="D340" s="4" t="s">
        <v>1501</v>
      </c>
    </row>
    <row r="341" spans="1:4" s="4" customFormat="1">
      <c r="A341" s="471"/>
      <c r="B341" s="4" t="s">
        <v>540</v>
      </c>
      <c r="C341" s="4" t="s">
        <v>1506</v>
      </c>
      <c r="D341" s="4" t="s">
        <v>1504</v>
      </c>
    </row>
    <row r="342" spans="1:4" s="4" customFormat="1">
      <c r="A342" s="471"/>
      <c r="B342" s="4" t="s">
        <v>540</v>
      </c>
      <c r="C342" s="4" t="s">
        <v>1429</v>
      </c>
      <c r="D342" s="4" t="s">
        <v>1505</v>
      </c>
    </row>
    <row r="343" spans="1:4" s="4" customFormat="1">
      <c r="A343" s="471"/>
      <c r="B343" s="4" t="s">
        <v>540</v>
      </c>
      <c r="C343" s="4" t="s">
        <v>1507</v>
      </c>
      <c r="D343" s="4" t="s">
        <v>1508</v>
      </c>
    </row>
    <row r="344" spans="1:4" s="4" customFormat="1">
      <c r="A344" s="471"/>
      <c r="B344" s="4" t="s">
        <v>540</v>
      </c>
      <c r="C344" s="4" t="s">
        <v>1509</v>
      </c>
      <c r="D344" s="4" t="s">
        <v>1510</v>
      </c>
    </row>
    <row r="345" spans="1:4" s="4" customFormat="1">
      <c r="A345" s="471"/>
      <c r="B345" s="4" t="s">
        <v>540</v>
      </c>
      <c r="C345" s="4" t="s">
        <v>1464</v>
      </c>
      <c r="D345" s="4" t="s">
        <v>1465</v>
      </c>
    </row>
    <row r="346" spans="1:4" s="4" customFormat="1">
      <c r="A346" s="471"/>
      <c r="B346" s="4" t="s">
        <v>540</v>
      </c>
      <c r="C346" s="4" t="s">
        <v>1466</v>
      </c>
      <c r="D346" s="4" t="s">
        <v>1467</v>
      </c>
    </row>
    <row r="347" spans="1:4" s="4" customFormat="1">
      <c r="A347" s="471"/>
      <c r="B347" s="4" t="s">
        <v>555</v>
      </c>
      <c r="C347" s="4" t="s">
        <v>2421</v>
      </c>
      <c r="D347" s="4" t="s">
        <v>2422</v>
      </c>
    </row>
    <row r="348" spans="1:4" s="4" customFormat="1">
      <c r="A348" s="471"/>
      <c r="B348" s="4" t="s">
        <v>2497</v>
      </c>
      <c r="D348" s="4" t="s">
        <v>2499</v>
      </c>
    </row>
    <row r="349" spans="1:4" s="4" customFormat="1">
      <c r="A349" s="471"/>
      <c r="B349" s="4" t="s">
        <v>2498</v>
      </c>
      <c r="D349" s="4" t="s">
        <v>2499</v>
      </c>
    </row>
    <row r="350" spans="1:4" s="4" customFormat="1">
      <c r="A350" s="471"/>
      <c r="B350" s="4" t="s">
        <v>540</v>
      </c>
      <c r="C350" s="4" t="s">
        <v>2502</v>
      </c>
      <c r="D350" s="4" t="s">
        <v>2503</v>
      </c>
    </row>
    <row r="351" spans="1:4" s="4" customFormat="1">
      <c r="A351" s="471"/>
      <c r="B351" s="4" t="s">
        <v>555</v>
      </c>
      <c r="C351" s="4" t="s">
        <v>2511</v>
      </c>
      <c r="D351" s="4" t="s">
        <v>2512</v>
      </c>
    </row>
    <row r="352" spans="1:4" s="4" customFormat="1">
      <c r="A352" s="471"/>
    </row>
    <row r="353" spans="1:4" s="4" customFormat="1">
      <c r="A353" s="471"/>
    </row>
    <row r="354" spans="1:4" s="4" customFormat="1">
      <c r="A354" s="471"/>
    </row>
    <row r="355" spans="1:4" s="4" customFormat="1">
      <c r="A355" s="470" t="s">
        <v>1432</v>
      </c>
    </row>
    <row r="356" spans="1:4" s="4" customFormat="1">
      <c r="A356" s="470"/>
      <c r="B356" s="33" t="s">
        <v>533</v>
      </c>
      <c r="C356" s="33" t="s">
        <v>534</v>
      </c>
      <c r="D356" s="33" t="s">
        <v>536</v>
      </c>
    </row>
    <row r="357" spans="1:4" s="4" customFormat="1">
      <c r="A357" s="471"/>
      <c r="B357" s="4" t="s">
        <v>540</v>
      </c>
      <c r="C357" s="4" t="s">
        <v>1429</v>
      </c>
      <c r="D357" s="4" t="s">
        <v>1430</v>
      </c>
    </row>
    <row r="358" spans="1:4" s="4" customFormat="1">
      <c r="A358" s="471"/>
      <c r="B358" s="4" t="s">
        <v>555</v>
      </c>
      <c r="C358" s="4" t="s">
        <v>1344</v>
      </c>
      <c r="D358" s="4" t="s">
        <v>1431</v>
      </c>
    </row>
    <row r="359" spans="1:4" s="4" customFormat="1">
      <c r="A359" s="471"/>
    </row>
    <row r="360" spans="1:4" s="4" customFormat="1">
      <c r="A360" s="471"/>
    </row>
    <row r="361" spans="1:4" s="4" customFormat="1">
      <c r="A361" s="471"/>
    </row>
    <row r="362" spans="1:4" s="4" customFormat="1">
      <c r="A362" s="470" t="s">
        <v>1412</v>
      </c>
    </row>
    <row r="363" spans="1:4" s="4" customFormat="1">
      <c r="A363" s="470"/>
      <c r="B363" s="33" t="s">
        <v>533</v>
      </c>
      <c r="C363" s="33" t="s">
        <v>534</v>
      </c>
      <c r="D363" s="33" t="s">
        <v>536</v>
      </c>
    </row>
    <row r="364" spans="1:4" s="4" customFormat="1">
      <c r="A364" s="471"/>
      <c r="B364" s="4" t="s">
        <v>540</v>
      </c>
      <c r="C364" s="4" t="s">
        <v>1413</v>
      </c>
      <c r="D364" s="4" t="s">
        <v>1414</v>
      </c>
    </row>
    <row r="365" spans="1:4" s="4" customFormat="1">
      <c r="A365" s="471"/>
      <c r="B365" s="4" t="s">
        <v>540</v>
      </c>
      <c r="C365" s="4" t="s">
        <v>1421</v>
      </c>
      <c r="D365" s="4" t="s">
        <v>1414</v>
      </c>
    </row>
    <row r="366" spans="1:4" s="4" customFormat="1">
      <c r="A366" s="471"/>
      <c r="B366" s="4" t="s">
        <v>540</v>
      </c>
      <c r="C366" s="4" t="s">
        <v>1415</v>
      </c>
      <c r="D366" s="4" t="s">
        <v>1416</v>
      </c>
    </row>
    <row r="367" spans="1:4" s="4" customFormat="1">
      <c r="A367" s="471"/>
      <c r="B367" s="4" t="s">
        <v>540</v>
      </c>
      <c r="C367" s="4" t="s">
        <v>546</v>
      </c>
      <c r="D367" s="4" t="s">
        <v>1417</v>
      </c>
    </row>
    <row r="368" spans="1:4" s="4" customFormat="1">
      <c r="A368" s="471"/>
      <c r="B368" s="4" t="s">
        <v>540</v>
      </c>
      <c r="C368" s="4" t="s">
        <v>1419</v>
      </c>
      <c r="D368" s="4" t="s">
        <v>1420</v>
      </c>
    </row>
    <row r="369" spans="1:4" s="4" customFormat="1">
      <c r="A369" s="471"/>
      <c r="B369" s="4" t="s">
        <v>555</v>
      </c>
      <c r="C369" s="4" t="s">
        <v>1422</v>
      </c>
      <c r="D369" s="4" t="s">
        <v>1428</v>
      </c>
    </row>
    <row r="370" spans="1:4" s="4" customFormat="1">
      <c r="A370" s="471"/>
      <c r="B370" s="4" t="s">
        <v>555</v>
      </c>
      <c r="C370" s="4" t="s">
        <v>1423</v>
      </c>
      <c r="D370" s="4" t="s">
        <v>1428</v>
      </c>
    </row>
    <row r="371" spans="1:4" s="4" customFormat="1">
      <c r="A371" s="471"/>
      <c r="B371" s="4" t="s">
        <v>540</v>
      </c>
      <c r="C371" s="4" t="s">
        <v>1425</v>
      </c>
      <c r="D371" s="4" t="s">
        <v>1424</v>
      </c>
    </row>
    <row r="372" spans="1:4" s="4" customFormat="1">
      <c r="A372" s="471"/>
      <c r="B372" s="4" t="s">
        <v>540</v>
      </c>
      <c r="C372" s="4" t="s">
        <v>1426</v>
      </c>
      <c r="D372" s="4" t="s">
        <v>1427</v>
      </c>
    </row>
    <row r="373" spans="1:4" s="4" customFormat="1">
      <c r="A373" s="471"/>
    </row>
    <row r="374" spans="1:4" s="4" customFormat="1">
      <c r="A374" s="471"/>
    </row>
    <row r="375" spans="1:4" s="4" customFormat="1">
      <c r="A375" s="471"/>
    </row>
    <row r="376" spans="1:4" s="4" customFormat="1">
      <c r="A376" s="470" t="s">
        <v>1408</v>
      </c>
    </row>
    <row r="377" spans="1:4" s="4" customFormat="1">
      <c r="A377" s="470"/>
      <c r="B377" s="33" t="s">
        <v>533</v>
      </c>
      <c r="C377" s="33" t="s">
        <v>534</v>
      </c>
      <c r="D377" s="33" t="s">
        <v>536</v>
      </c>
    </row>
    <row r="378" spans="1:4" s="4" customFormat="1">
      <c r="A378" s="471"/>
      <c r="B378" s="4" t="s">
        <v>555</v>
      </c>
      <c r="C378" s="4" t="s">
        <v>1409</v>
      </c>
      <c r="D378" s="4" t="s">
        <v>1410</v>
      </c>
    </row>
    <row r="379" spans="1:4" s="4" customFormat="1">
      <c r="A379" s="471"/>
    </row>
    <row r="380" spans="1:4" s="4" customFormat="1">
      <c r="A380" s="471"/>
    </row>
    <row r="381" spans="1:4" s="4" customFormat="1">
      <c r="A381" s="471"/>
    </row>
    <row r="382" spans="1:4" s="4" customFormat="1">
      <c r="A382" s="470" t="s">
        <v>1403</v>
      </c>
    </row>
    <row r="383" spans="1:4" s="4" customFormat="1">
      <c r="A383" s="470"/>
      <c r="B383" s="33" t="s">
        <v>533</v>
      </c>
      <c r="C383" s="33" t="s">
        <v>534</v>
      </c>
      <c r="D383" s="33" t="s">
        <v>536</v>
      </c>
    </row>
    <row r="384" spans="1:4" s="4" customFormat="1">
      <c r="A384" s="471"/>
      <c r="B384" s="4" t="s">
        <v>555</v>
      </c>
      <c r="C384" s="4" t="s">
        <v>1404</v>
      </c>
      <c r="D384" s="4" t="s">
        <v>1405</v>
      </c>
    </row>
    <row r="385" spans="1:4" s="4" customFormat="1">
      <c r="A385" s="471"/>
      <c r="B385" s="4" t="s">
        <v>555</v>
      </c>
      <c r="C385" s="4" t="s">
        <v>1344</v>
      </c>
      <c r="D385" s="4" t="s">
        <v>1406</v>
      </c>
    </row>
    <row r="386" spans="1:4" s="4" customFormat="1">
      <c r="A386" s="471"/>
    </row>
    <row r="387" spans="1:4" s="4" customFormat="1">
      <c r="A387" s="471"/>
    </row>
    <row r="388" spans="1:4" s="4" customFormat="1">
      <c r="A388" s="471"/>
    </row>
    <row r="389" spans="1:4" s="4" customFormat="1">
      <c r="A389" s="470" t="s">
        <v>1392</v>
      </c>
    </row>
    <row r="390" spans="1:4" s="4" customFormat="1">
      <c r="A390" s="470"/>
      <c r="B390" s="33" t="s">
        <v>533</v>
      </c>
      <c r="C390" s="33" t="s">
        <v>534</v>
      </c>
      <c r="D390" s="33" t="s">
        <v>536</v>
      </c>
    </row>
    <row r="391" spans="1:4" s="4" customFormat="1">
      <c r="A391" s="471"/>
      <c r="B391" s="4" t="s">
        <v>1393</v>
      </c>
      <c r="C391" s="4" t="s">
        <v>1394</v>
      </c>
      <c r="D391" s="4" t="s">
        <v>1398</v>
      </c>
    </row>
    <row r="392" spans="1:4" s="4" customFormat="1">
      <c r="A392" s="471"/>
      <c r="B392" s="4" t="s">
        <v>555</v>
      </c>
      <c r="C392" s="4" t="s">
        <v>1395</v>
      </c>
      <c r="D392" s="4" t="s">
        <v>1396</v>
      </c>
    </row>
    <row r="393" spans="1:4" s="4" customFormat="1">
      <c r="A393" s="471"/>
      <c r="B393" s="4" t="s">
        <v>555</v>
      </c>
      <c r="C393" s="4" t="s">
        <v>1397</v>
      </c>
      <c r="D393" s="4" t="s">
        <v>1396</v>
      </c>
    </row>
    <row r="394" spans="1:4" s="4" customFormat="1">
      <c r="A394" s="471"/>
      <c r="B394" s="4" t="s">
        <v>555</v>
      </c>
      <c r="C394" s="4" t="s">
        <v>1344</v>
      </c>
      <c r="D394" s="4" t="s">
        <v>1399</v>
      </c>
    </row>
    <row r="395" spans="1:4" s="4" customFormat="1">
      <c r="A395" s="471"/>
      <c r="B395" s="4" t="s">
        <v>25</v>
      </c>
      <c r="C395" s="4" t="s">
        <v>1401</v>
      </c>
      <c r="D395" s="4" t="s">
        <v>1402</v>
      </c>
    </row>
    <row r="396" spans="1:4" s="4" customFormat="1">
      <c r="A396" s="471"/>
    </row>
    <row r="397" spans="1:4" s="4" customFormat="1">
      <c r="A397" s="471"/>
    </row>
    <row r="398" spans="1:4" s="4" customFormat="1">
      <c r="A398" s="471"/>
    </row>
    <row r="399" spans="1:4" s="4" customFormat="1">
      <c r="A399" s="471"/>
    </row>
    <row r="400" spans="1:4" s="4" customFormat="1">
      <c r="A400" s="470" t="s">
        <v>1374</v>
      </c>
    </row>
    <row r="401" spans="1:4" s="4" customFormat="1">
      <c r="A401" s="470"/>
      <c r="B401" s="33" t="s">
        <v>533</v>
      </c>
      <c r="C401" s="33" t="s">
        <v>534</v>
      </c>
      <c r="D401" s="33" t="s">
        <v>536</v>
      </c>
    </row>
    <row r="402" spans="1:4" s="4" customFormat="1">
      <c r="A402" s="471"/>
      <c r="B402" s="4" t="s">
        <v>540</v>
      </c>
      <c r="C402" s="4" t="s">
        <v>1378</v>
      </c>
      <c r="D402" s="4" t="s">
        <v>1385</v>
      </c>
    </row>
    <row r="403" spans="1:4" s="4" customFormat="1">
      <c r="A403" s="471"/>
      <c r="B403" s="4" t="s">
        <v>555</v>
      </c>
      <c r="C403" s="4" t="s">
        <v>1379</v>
      </c>
      <c r="D403" s="4" t="s">
        <v>1385</v>
      </c>
    </row>
    <row r="404" spans="1:4" s="4" customFormat="1">
      <c r="A404" s="471"/>
      <c r="B404" s="4" t="s">
        <v>555</v>
      </c>
      <c r="C404" s="4" t="s">
        <v>1380</v>
      </c>
      <c r="D404" s="4" t="s">
        <v>1385</v>
      </c>
    </row>
    <row r="405" spans="1:4" s="4" customFormat="1">
      <c r="A405" s="471"/>
      <c r="B405" s="4" t="s">
        <v>555</v>
      </c>
      <c r="C405" s="4" t="s">
        <v>1381</v>
      </c>
      <c r="D405" s="4" t="s">
        <v>1385</v>
      </c>
    </row>
    <row r="406" spans="1:4" s="4" customFormat="1">
      <c r="A406" s="471"/>
      <c r="B406" s="4" t="s">
        <v>555</v>
      </c>
      <c r="C406" s="4" t="s">
        <v>1382</v>
      </c>
      <c r="D406" s="4" t="s">
        <v>1385</v>
      </c>
    </row>
    <row r="407" spans="1:4" s="4" customFormat="1">
      <c r="A407" s="471"/>
      <c r="B407" s="4" t="s">
        <v>555</v>
      </c>
      <c r="C407" s="4" t="s">
        <v>1383</v>
      </c>
      <c r="D407" s="4" t="s">
        <v>1385</v>
      </c>
    </row>
    <row r="408" spans="1:4" s="4" customFormat="1">
      <c r="A408" s="471"/>
      <c r="B408" s="4" t="s">
        <v>555</v>
      </c>
      <c r="C408" s="4" t="s">
        <v>1384</v>
      </c>
      <c r="D408" s="4" t="s">
        <v>1385</v>
      </c>
    </row>
    <row r="409" spans="1:4" s="4" customFormat="1">
      <c r="A409" s="471"/>
      <c r="B409" s="4" t="s">
        <v>555</v>
      </c>
      <c r="C409" s="4" t="s">
        <v>1344</v>
      </c>
      <c r="D409" s="4" t="s">
        <v>1386</v>
      </c>
    </row>
    <row r="410" spans="1:4" s="4" customFormat="1">
      <c r="A410" s="471"/>
      <c r="B410" s="4" t="s">
        <v>555</v>
      </c>
      <c r="C410" s="4" t="s">
        <v>1388</v>
      </c>
      <c r="D410" s="4" t="s">
        <v>1389</v>
      </c>
    </row>
    <row r="411" spans="1:4" s="4" customFormat="1">
      <c r="A411" s="471"/>
    </row>
    <row r="412" spans="1:4" s="4" customFormat="1">
      <c r="A412" s="471"/>
    </row>
    <row r="413" spans="1:4" s="4" customFormat="1">
      <c r="A413" s="471"/>
    </row>
    <row r="414" spans="1:4" s="4" customFormat="1">
      <c r="A414" s="471"/>
    </row>
    <row r="415" spans="1:4" s="4" customFormat="1">
      <c r="A415" s="470" t="s">
        <v>1343</v>
      </c>
    </row>
    <row r="416" spans="1:4" s="4" customFormat="1">
      <c r="A416" s="470"/>
      <c r="B416" s="33" t="s">
        <v>533</v>
      </c>
      <c r="C416" s="33" t="s">
        <v>534</v>
      </c>
      <c r="D416" s="33" t="s">
        <v>536</v>
      </c>
    </row>
    <row r="417" spans="1:4" s="4" customFormat="1">
      <c r="A417" s="471"/>
      <c r="B417" s="4" t="s">
        <v>555</v>
      </c>
      <c r="C417" s="4" t="s">
        <v>1344</v>
      </c>
      <c r="D417" s="4" t="s">
        <v>1345</v>
      </c>
    </row>
    <row r="418" spans="1:4" s="4" customFormat="1">
      <c r="A418" s="471"/>
      <c r="B418" s="4" t="s">
        <v>540</v>
      </c>
      <c r="C418" s="4" t="s">
        <v>1347</v>
      </c>
      <c r="D418" s="4" t="s">
        <v>1348</v>
      </c>
    </row>
    <row r="419" spans="1:4" s="4" customFormat="1">
      <c r="A419" s="471"/>
      <c r="B419" s="4" t="s">
        <v>540</v>
      </c>
      <c r="C419" s="4" t="s">
        <v>1349</v>
      </c>
      <c r="D419" s="4" t="s">
        <v>1350</v>
      </c>
    </row>
    <row r="420" spans="1:4" s="4" customFormat="1">
      <c r="A420" s="471"/>
      <c r="B420" s="4" t="s">
        <v>555</v>
      </c>
      <c r="C420" s="4" t="s">
        <v>1351</v>
      </c>
      <c r="D420" s="4" t="s">
        <v>1352</v>
      </c>
    </row>
    <row r="421" spans="1:4" s="4" customFormat="1">
      <c r="A421" s="471"/>
      <c r="B421" s="4" t="s">
        <v>555</v>
      </c>
      <c r="C421" s="4" t="s">
        <v>1354</v>
      </c>
      <c r="D421" s="4" t="s">
        <v>1356</v>
      </c>
    </row>
    <row r="422" spans="1:4" s="4" customFormat="1">
      <c r="A422" s="471"/>
      <c r="B422" s="4" t="s">
        <v>555</v>
      </c>
      <c r="C422" s="4" t="s">
        <v>1355</v>
      </c>
      <c r="D422" s="4" t="s">
        <v>1356</v>
      </c>
    </row>
    <row r="423" spans="1:4" s="4" customFormat="1">
      <c r="A423" s="471"/>
      <c r="B423" s="4" t="s">
        <v>555</v>
      </c>
      <c r="C423" s="4" t="s">
        <v>1358</v>
      </c>
      <c r="D423" s="4" t="s">
        <v>1359</v>
      </c>
    </row>
    <row r="424" spans="1:4" s="4" customFormat="1">
      <c r="A424" s="471"/>
      <c r="B424" s="4" t="s">
        <v>540</v>
      </c>
      <c r="C424" s="4" t="s">
        <v>1360</v>
      </c>
      <c r="D424" s="4" t="s">
        <v>1361</v>
      </c>
    </row>
    <row r="425" spans="1:4" s="4" customFormat="1">
      <c r="A425" s="471"/>
      <c r="B425" s="4" t="s">
        <v>540</v>
      </c>
      <c r="C425" s="4" t="s">
        <v>1362</v>
      </c>
      <c r="D425" s="4" t="s">
        <v>1361</v>
      </c>
    </row>
    <row r="426" spans="1:4" s="4" customFormat="1">
      <c r="A426" s="471"/>
      <c r="B426" s="4" t="s">
        <v>540</v>
      </c>
      <c r="C426" s="4" t="s">
        <v>1363</v>
      </c>
      <c r="D426" s="4" t="s">
        <v>1364</v>
      </c>
    </row>
    <row r="427" spans="1:4" s="4" customFormat="1">
      <c r="A427" s="471"/>
      <c r="B427" s="4" t="s">
        <v>555</v>
      </c>
      <c r="C427" s="4" t="s">
        <v>1371</v>
      </c>
      <c r="D427" s="4" t="s">
        <v>1372</v>
      </c>
    </row>
    <row r="428" spans="1:4" s="4" customFormat="1">
      <c r="A428" s="471"/>
    </row>
    <row r="429" spans="1:4" s="4" customFormat="1">
      <c r="A429" s="471"/>
    </row>
    <row r="430" spans="1:4" s="4" customFormat="1">
      <c r="A430" s="471"/>
    </row>
    <row r="431" spans="1:4">
      <c r="A431" s="470" t="s">
        <v>1337</v>
      </c>
    </row>
    <row r="432" spans="1:4" s="352" customFormat="1">
      <c r="A432" s="472"/>
      <c r="B432" s="352" t="s">
        <v>533</v>
      </c>
      <c r="C432" s="352" t="s">
        <v>534</v>
      </c>
      <c r="D432" s="352" t="s">
        <v>536</v>
      </c>
    </row>
    <row r="433" spans="1:4">
      <c r="B433" t="s">
        <v>535</v>
      </c>
      <c r="C433" t="s">
        <v>563</v>
      </c>
      <c r="D433" t="s">
        <v>551</v>
      </c>
    </row>
    <row r="434" spans="1:4">
      <c r="B434" t="s">
        <v>537</v>
      </c>
      <c r="D434" t="s">
        <v>552</v>
      </c>
    </row>
    <row r="435" spans="1:4" s="4" customFormat="1">
      <c r="A435" s="471"/>
      <c r="B435" s="4" t="s">
        <v>540</v>
      </c>
      <c r="C435" s="4" t="s">
        <v>566</v>
      </c>
    </row>
    <row r="436" spans="1:4" s="4" customFormat="1">
      <c r="A436" s="471"/>
      <c r="B436" s="4" t="s">
        <v>567</v>
      </c>
      <c r="C436" s="4" t="s">
        <v>568</v>
      </c>
      <c r="D436" s="4" t="s">
        <v>569</v>
      </c>
    </row>
    <row r="437" spans="1:4" s="4" customFormat="1">
      <c r="A437" s="471"/>
      <c r="B437" s="4" t="s">
        <v>25</v>
      </c>
      <c r="C437" s="4" t="s">
        <v>1330</v>
      </c>
      <c r="D437" s="4" t="s">
        <v>1331</v>
      </c>
    </row>
    <row r="438" spans="1:4" s="4" customFormat="1">
      <c r="A438" s="471"/>
      <c r="B438" s="4" t="s">
        <v>25</v>
      </c>
      <c r="C438" s="4" t="s">
        <v>1339</v>
      </c>
      <c r="D438" s="4" t="s">
        <v>1340</v>
      </c>
    </row>
    <row r="439" spans="1:4" s="4" customFormat="1">
      <c r="A439" s="471"/>
      <c r="B439" s="4" t="s">
        <v>25</v>
      </c>
      <c r="C439" s="4" t="s">
        <v>1341</v>
      </c>
      <c r="D439" s="4" t="s">
        <v>1342</v>
      </c>
    </row>
    <row r="440" spans="1:4" s="4" customFormat="1">
      <c r="A440" s="471"/>
    </row>
    <row r="441" spans="1:4">
      <c r="B441" t="s">
        <v>540</v>
      </c>
      <c r="C441" t="s">
        <v>541</v>
      </c>
      <c r="D441" t="s">
        <v>550</v>
      </c>
    </row>
    <row r="442" spans="1:4">
      <c r="B442" t="s">
        <v>540</v>
      </c>
      <c r="C442" t="s">
        <v>542</v>
      </c>
      <c r="D442" t="s">
        <v>543</v>
      </c>
    </row>
    <row r="443" spans="1:4">
      <c r="B443" s="4" t="s">
        <v>540</v>
      </c>
      <c r="C443" t="s">
        <v>544</v>
      </c>
      <c r="D443" t="s">
        <v>545</v>
      </c>
    </row>
    <row r="444" spans="1:4">
      <c r="B444" s="4" t="s">
        <v>540</v>
      </c>
      <c r="C444" t="s">
        <v>546</v>
      </c>
      <c r="D444" t="s">
        <v>547</v>
      </c>
    </row>
    <row r="446" spans="1:4" s="4" customFormat="1">
      <c r="A446" s="471"/>
    </row>
    <row r="447" spans="1:4" s="4" customFormat="1">
      <c r="A447" s="471"/>
    </row>
    <row r="448" spans="1:4">
      <c r="B448" t="s">
        <v>555</v>
      </c>
      <c r="C448" t="s">
        <v>548</v>
      </c>
      <c r="D448" t="s">
        <v>549</v>
      </c>
    </row>
    <row r="449" spans="2:4">
      <c r="B449" t="s">
        <v>25</v>
      </c>
      <c r="C449" t="s">
        <v>553</v>
      </c>
      <c r="D449" t="s">
        <v>554</v>
      </c>
    </row>
    <row r="450" spans="2:4">
      <c r="B450" t="s">
        <v>555</v>
      </c>
      <c r="C450" t="s">
        <v>1332</v>
      </c>
      <c r="D450" t="s">
        <v>562</v>
      </c>
    </row>
    <row r="455" spans="2:4">
      <c r="B455" t="s">
        <v>555</v>
      </c>
      <c r="C455" t="s">
        <v>557</v>
      </c>
      <c r="D455" t="s">
        <v>556</v>
      </c>
    </row>
    <row r="460" spans="2:4">
      <c r="B460" s="4" t="s">
        <v>555</v>
      </c>
      <c r="C460" s="4" t="s">
        <v>1333</v>
      </c>
      <c r="D460" s="4" t="s">
        <v>561</v>
      </c>
    </row>
    <row r="461" spans="2:4">
      <c r="B461" t="s">
        <v>555</v>
      </c>
      <c r="C461" t="s">
        <v>1334</v>
      </c>
      <c r="D461" t="s">
        <v>558</v>
      </c>
    </row>
    <row r="462" spans="2:4">
      <c r="B462" t="s">
        <v>559</v>
      </c>
      <c r="C462" t="s">
        <v>573</v>
      </c>
      <c r="D462" t="s">
        <v>565</v>
      </c>
    </row>
    <row r="463" spans="2:4">
      <c r="B463" t="s">
        <v>559</v>
      </c>
      <c r="C463" t="s">
        <v>574</v>
      </c>
      <c r="D463" s="4" t="s">
        <v>560</v>
      </c>
    </row>
    <row r="464" spans="2:4">
      <c r="B464" s="4" t="s">
        <v>559</v>
      </c>
      <c r="C464" t="s">
        <v>575</v>
      </c>
      <c r="D464" s="4" t="s">
        <v>560</v>
      </c>
    </row>
    <row r="465" spans="2:4">
      <c r="B465" t="s">
        <v>559</v>
      </c>
      <c r="C465" t="s">
        <v>576</v>
      </c>
      <c r="D465" t="s">
        <v>577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249977111117893"/>
    <outlinePr summaryBelow="0"/>
    <pageSetUpPr autoPageBreaks="0"/>
  </sheetPr>
  <dimension ref="A1:AI424"/>
  <sheetViews>
    <sheetView showGridLines="0" zoomScale="85" zoomScaleNormal="85" workbookViewId="0">
      <pane xSplit="7" ySplit="10" topLeftCell="H11" activePane="bottomRight" state="frozen"/>
      <selection pane="topRight"/>
      <selection pane="bottomLeft"/>
      <selection pane="bottomRight"/>
    </sheetView>
  </sheetViews>
  <sheetFormatPr defaultRowHeight="15" customHeight="1"/>
  <cols>
    <col min="1" max="1" width="6.28515625" style="414" customWidth="1"/>
    <col min="2" max="2" width="2.85546875" style="414" customWidth="1"/>
    <col min="3" max="3" width="1.140625" style="414" customWidth="1"/>
    <col min="4" max="4" width="21.7109375" style="414" customWidth="1"/>
    <col min="5" max="5" width="3.7109375" style="414" customWidth="1"/>
    <col min="6" max="6" width="3.140625" style="414" customWidth="1"/>
    <col min="7" max="7" width="8.5703125" style="414" customWidth="1"/>
    <col min="8" max="8" width="1.28515625" style="414" customWidth="1"/>
    <col min="9" max="9" width="11.42578125" style="414" customWidth="1"/>
    <col min="10" max="10" width="11.7109375" style="414" customWidth="1"/>
    <col min="11" max="11" width="6.85546875" style="414" customWidth="1"/>
    <col min="12" max="12" width="4.5703125" style="414" customWidth="1"/>
    <col min="13" max="13" width="11.85546875" style="414" customWidth="1"/>
    <col min="14" max="15" width="11.42578125" style="414" customWidth="1"/>
    <col min="16" max="16" width="9.28515625" style="414" bestFit="1" customWidth="1"/>
    <col min="17" max="17" width="1.140625" style="414" customWidth="1"/>
    <col min="18" max="18" width="13" style="414" customWidth="1"/>
    <col min="19" max="19" width="1.5703125" style="414" customWidth="1"/>
    <col min="20" max="20" width="1.140625" style="414" customWidth="1"/>
    <col min="21" max="21" width="9" style="414" customWidth="1"/>
    <col min="22" max="22" width="11.28515625" style="414" bestFit="1" customWidth="1"/>
    <col min="23" max="23" width="35.28515625" style="424" customWidth="1"/>
    <col min="24" max="257" width="6.85546875" style="414" customWidth="1"/>
    <col min="258" max="16384" width="9.140625" style="414"/>
  </cols>
  <sheetData>
    <row r="1" spans="1:35" s="443" customFormat="1" ht="15" customHeight="1">
      <c r="A1" s="442" t="s">
        <v>2420</v>
      </c>
      <c r="B1" s="442"/>
      <c r="C1" s="442"/>
      <c r="D1" s="442"/>
      <c r="E1" s="442"/>
      <c r="F1" s="442"/>
      <c r="G1" s="442"/>
      <c r="H1" s="442"/>
      <c r="I1" s="442"/>
      <c r="J1" s="442"/>
      <c r="K1" s="442"/>
      <c r="L1" s="442"/>
      <c r="M1" s="442"/>
      <c r="N1" s="442"/>
      <c r="O1" s="442"/>
      <c r="P1" s="442"/>
      <c r="Q1" s="442"/>
      <c r="R1" s="442"/>
      <c r="W1" s="417"/>
    </row>
    <row r="2" spans="1:35" s="443" customFormat="1" ht="15" customHeight="1">
      <c r="A2" s="442"/>
      <c r="B2" s="442"/>
      <c r="C2" s="442"/>
      <c r="D2" s="442"/>
      <c r="E2" s="442"/>
      <c r="F2" s="442"/>
      <c r="G2" s="442"/>
      <c r="H2" s="442"/>
      <c r="I2" s="442"/>
      <c r="J2" s="442"/>
      <c r="K2" s="442"/>
      <c r="L2" s="442"/>
      <c r="M2" s="442"/>
      <c r="N2" s="442"/>
      <c r="O2" s="442"/>
      <c r="P2" s="442"/>
      <c r="Q2" s="442"/>
      <c r="R2" s="442"/>
      <c r="W2" s="417"/>
    </row>
    <row r="3" spans="1:35" s="443" customFormat="1" ht="15" customHeight="1">
      <c r="A3" s="442"/>
      <c r="B3" s="442"/>
      <c r="C3" s="442"/>
      <c r="D3" s="442"/>
      <c r="E3" s="442"/>
      <c r="F3" s="442"/>
      <c r="G3" s="442"/>
      <c r="H3" s="442"/>
      <c r="I3" s="442"/>
      <c r="J3" s="442"/>
      <c r="K3" s="442"/>
      <c r="L3" s="442"/>
      <c r="M3" s="442"/>
      <c r="N3" s="442"/>
      <c r="O3" s="442"/>
      <c r="P3" s="442"/>
      <c r="Q3" s="442"/>
      <c r="R3" s="442"/>
      <c r="W3" s="417"/>
    </row>
    <row r="4" spans="1:35" s="443" customFormat="1" ht="15" customHeight="1">
      <c r="W4" s="417"/>
    </row>
    <row r="5" spans="1:35" s="443" customFormat="1" ht="15" customHeight="1">
      <c r="A5" s="442" t="s">
        <v>2419</v>
      </c>
      <c r="B5" s="442"/>
      <c r="C5" s="442"/>
      <c r="D5" s="442"/>
      <c r="E5" s="442"/>
      <c r="F5" s="442"/>
      <c r="G5" s="442"/>
      <c r="H5" s="442"/>
      <c r="I5" s="442"/>
      <c r="J5" s="442"/>
      <c r="K5" s="442"/>
      <c r="L5" s="442"/>
      <c r="M5" s="442"/>
      <c r="N5" s="442"/>
      <c r="O5" s="442"/>
      <c r="P5" s="442"/>
      <c r="Q5" s="442"/>
      <c r="R5" s="442"/>
      <c r="S5" s="442"/>
      <c r="W5" s="417"/>
      <c r="AH5" s="447" t="s">
        <v>2507</v>
      </c>
      <c r="AI5" s="448"/>
    </row>
    <row r="6" spans="1:35" s="443" customFormat="1" ht="15" customHeight="1">
      <c r="W6" s="417"/>
    </row>
    <row r="7" spans="1:35" s="443" customFormat="1" ht="15" customHeight="1">
      <c r="D7" s="440"/>
      <c r="E7" s="440"/>
      <c r="W7" s="417"/>
    </row>
    <row r="8" spans="1:35" ht="15" customHeight="1">
      <c r="A8" s="414">
        <v>1</v>
      </c>
      <c r="B8" s="414">
        <f>A8+1</f>
        <v>2</v>
      </c>
      <c r="C8" s="414">
        <f t="shared" ref="C8:W8" si="0">B8+1</f>
        <v>3</v>
      </c>
      <c r="D8" s="414">
        <f t="shared" si="0"/>
        <v>4</v>
      </c>
      <c r="E8" s="414">
        <f t="shared" si="0"/>
        <v>5</v>
      </c>
      <c r="F8" s="414">
        <f t="shared" si="0"/>
        <v>6</v>
      </c>
      <c r="G8" s="414">
        <f t="shared" si="0"/>
        <v>7</v>
      </c>
      <c r="H8" s="414">
        <f t="shared" si="0"/>
        <v>8</v>
      </c>
      <c r="I8" s="414">
        <f t="shared" si="0"/>
        <v>9</v>
      </c>
      <c r="J8" s="414">
        <f t="shared" si="0"/>
        <v>10</v>
      </c>
      <c r="K8" s="414">
        <f t="shared" si="0"/>
        <v>11</v>
      </c>
      <c r="L8" s="414">
        <f t="shared" si="0"/>
        <v>12</v>
      </c>
      <c r="M8" s="414">
        <f t="shared" si="0"/>
        <v>13</v>
      </c>
      <c r="N8" s="414">
        <f t="shared" si="0"/>
        <v>14</v>
      </c>
      <c r="O8" s="414">
        <f t="shared" si="0"/>
        <v>15</v>
      </c>
      <c r="P8" s="414">
        <f t="shared" si="0"/>
        <v>16</v>
      </c>
      <c r="Q8" s="414">
        <f t="shared" si="0"/>
        <v>17</v>
      </c>
      <c r="R8" s="414">
        <f t="shared" si="0"/>
        <v>18</v>
      </c>
      <c r="S8" s="414">
        <f t="shared" si="0"/>
        <v>19</v>
      </c>
      <c r="T8" s="414">
        <f t="shared" si="0"/>
        <v>20</v>
      </c>
      <c r="U8" s="414">
        <f t="shared" si="0"/>
        <v>21</v>
      </c>
      <c r="V8" s="414">
        <f t="shared" si="0"/>
        <v>22</v>
      </c>
      <c r="W8" s="414">
        <f t="shared" si="0"/>
        <v>23</v>
      </c>
    </row>
    <row r="9" spans="1:35" s="444" customFormat="1" ht="51">
      <c r="A9" s="431" t="s">
        <v>2418</v>
      </c>
      <c r="C9" s="431"/>
      <c r="D9" s="431" t="s">
        <v>2506</v>
      </c>
      <c r="E9" s="431"/>
      <c r="G9" s="432" t="s">
        <v>2411</v>
      </c>
      <c r="I9" s="431" t="s">
        <v>2410</v>
      </c>
      <c r="J9" s="431" t="s">
        <v>2417</v>
      </c>
      <c r="K9" s="431" t="s">
        <v>2416</v>
      </c>
      <c r="L9" s="431"/>
      <c r="M9" s="431" t="s">
        <v>2415</v>
      </c>
      <c r="N9" s="431" t="s">
        <v>2414</v>
      </c>
      <c r="O9" s="431" t="s">
        <v>2413</v>
      </c>
      <c r="P9" s="431" t="s">
        <v>2412</v>
      </c>
      <c r="R9" s="74" t="s">
        <v>2505</v>
      </c>
      <c r="S9" s="431"/>
      <c r="T9" s="431"/>
      <c r="U9" s="431" t="s">
        <v>2742</v>
      </c>
      <c r="V9" s="74" t="s">
        <v>1512</v>
      </c>
      <c r="W9" s="148" t="s">
        <v>2501</v>
      </c>
    </row>
    <row r="10" spans="1:35" s="443" customFormat="1" ht="15" customHeight="1">
      <c r="A10" s="440"/>
      <c r="C10" s="440"/>
      <c r="D10" s="440"/>
      <c r="E10" s="440"/>
      <c r="F10" s="441"/>
      <c r="G10" s="441"/>
      <c r="I10" s="440"/>
      <c r="J10" s="440"/>
      <c r="K10" s="440"/>
      <c r="L10" s="440"/>
      <c r="M10" s="440"/>
      <c r="N10" s="440"/>
      <c r="O10" s="440"/>
      <c r="P10" s="440"/>
      <c r="R10" s="440"/>
      <c r="S10" s="440"/>
      <c r="T10" s="440"/>
      <c r="U10" s="440"/>
      <c r="W10" s="417"/>
    </row>
    <row r="12" spans="1:35" ht="15" customHeight="1">
      <c r="A12" s="416" t="s">
        <v>2409</v>
      </c>
      <c r="B12" s="416"/>
      <c r="C12" s="417" t="s">
        <v>1532</v>
      </c>
      <c r="D12" s="433" t="s">
        <v>2408</v>
      </c>
      <c r="E12" s="433"/>
      <c r="G12" s="416" t="s">
        <v>2407</v>
      </c>
      <c r="I12" s="415" t="s">
        <v>1543</v>
      </c>
      <c r="J12" s="415" t="s">
        <v>1533</v>
      </c>
      <c r="K12" s="415" t="s">
        <v>1533</v>
      </c>
      <c r="L12" s="415"/>
      <c r="M12" s="415" t="s">
        <v>1543</v>
      </c>
      <c r="N12" s="415" t="s">
        <v>1529</v>
      </c>
      <c r="O12" s="415" t="s">
        <v>1529</v>
      </c>
      <c r="P12" s="415" t="s">
        <v>1529</v>
      </c>
      <c r="U12" s="422">
        <f>VALUE(J12)</f>
        <v>0.05</v>
      </c>
      <c r="V12" s="422">
        <f>IF(ISBLANK($J12),"",IF($J12="none",0,IF($U12&gt;13.3%,$U12+2%,IF($U12&lt;=13.3%,$U12*1.15,$U12))))</f>
        <v>5.7499999999999996E-2</v>
      </c>
      <c r="W12" s="424" t="str">
        <f>IF(ISBLANK(A12),"",VLOOKUP(A12,'KY Taxcodes'!$A:$B,2,FALSE))</f>
        <v>Tax charge shall not apply to property used exclusively for religious, educational, or charitable purposes, or property owned by the city.  Indivisible premiums (see tax code "15").</v>
      </c>
    </row>
    <row r="13" spans="1:35" ht="15" customHeight="1">
      <c r="A13" s="416" t="s">
        <v>2406</v>
      </c>
      <c r="B13" s="416"/>
      <c r="C13" s="417" t="s">
        <v>1532</v>
      </c>
      <c r="D13" s="433" t="s">
        <v>2405</v>
      </c>
      <c r="E13" s="433"/>
      <c r="G13" s="416" t="s">
        <v>2404</v>
      </c>
      <c r="I13" s="415" t="s">
        <v>1543</v>
      </c>
      <c r="J13" s="415" t="s">
        <v>1543</v>
      </c>
      <c r="K13" s="415" t="s">
        <v>1543</v>
      </c>
      <c r="L13" s="415"/>
      <c r="M13" s="415" t="s">
        <v>1543</v>
      </c>
      <c r="N13" s="415" t="s">
        <v>1543</v>
      </c>
      <c r="O13" s="415" t="s">
        <v>1543</v>
      </c>
      <c r="P13" s="415" t="s">
        <v>1543</v>
      </c>
      <c r="U13" s="422">
        <f t="shared" ref="U13:U76" si="1">VALUE(J13)</f>
        <v>0.1</v>
      </c>
      <c r="V13" s="422">
        <f t="shared" ref="V13:V26" si="2">IF(ISBLANK($J13),"",IF($J13="none",0,IF($U13&gt;13.3%,$U13+2%,IF($U13&lt;=13.3%,$U13*1.15,$U13))))</f>
        <v>0.11499999999999999</v>
      </c>
    </row>
    <row r="14" spans="1:35" ht="15" customHeight="1">
      <c r="C14" s="417" t="s">
        <v>1532</v>
      </c>
      <c r="D14" s="433" t="s">
        <v>2403</v>
      </c>
      <c r="E14" s="433"/>
      <c r="G14" s="416" t="s">
        <v>2402</v>
      </c>
      <c r="I14" s="415" t="s">
        <v>1543</v>
      </c>
      <c r="J14" s="415" t="s">
        <v>1543</v>
      </c>
      <c r="K14" s="415" t="s">
        <v>1543</v>
      </c>
      <c r="L14" s="415"/>
      <c r="M14" s="415" t="s">
        <v>1543</v>
      </c>
      <c r="N14" s="415" t="s">
        <v>1529</v>
      </c>
      <c r="O14" s="415" t="s">
        <v>1529</v>
      </c>
      <c r="P14" s="415" t="s">
        <v>1543</v>
      </c>
      <c r="R14" s="434">
        <v>5</v>
      </c>
      <c r="S14" s="434"/>
      <c r="U14" s="422">
        <f t="shared" si="1"/>
        <v>0.1</v>
      </c>
      <c r="V14" s="422">
        <f t="shared" si="2"/>
        <v>0.11499999999999999</v>
      </c>
    </row>
    <row r="15" spans="1:35" ht="15" customHeight="1">
      <c r="C15" s="417" t="s">
        <v>1532</v>
      </c>
      <c r="D15" s="433" t="s">
        <v>2401</v>
      </c>
      <c r="E15" s="433"/>
      <c r="G15" s="416" t="s">
        <v>2400</v>
      </c>
      <c r="I15" s="415" t="s">
        <v>1536</v>
      </c>
      <c r="J15" s="415" t="s">
        <v>1536</v>
      </c>
      <c r="K15" s="415" t="s">
        <v>1536</v>
      </c>
      <c r="L15" s="415"/>
      <c r="M15" s="415" t="s">
        <v>1536</v>
      </c>
      <c r="N15" s="415" t="s">
        <v>1536</v>
      </c>
      <c r="O15" s="415" t="s">
        <v>1536</v>
      </c>
      <c r="P15" s="415" t="s">
        <v>1536</v>
      </c>
      <c r="U15" s="422">
        <f t="shared" si="1"/>
        <v>0.06</v>
      </c>
      <c r="V15" s="422">
        <f t="shared" si="2"/>
        <v>6.8999999999999992E-2</v>
      </c>
    </row>
    <row r="16" spans="1:35" ht="15" customHeight="1">
      <c r="C16" s="417" t="s">
        <v>1582</v>
      </c>
      <c r="D16" s="433" t="s">
        <v>2399</v>
      </c>
      <c r="E16" s="433"/>
      <c r="G16" s="416" t="s">
        <v>2398</v>
      </c>
      <c r="I16" s="415" t="s">
        <v>1543</v>
      </c>
      <c r="J16" s="415" t="s">
        <v>1543</v>
      </c>
      <c r="K16" s="415" t="s">
        <v>1533</v>
      </c>
      <c r="L16" s="415"/>
      <c r="M16" s="415" t="s">
        <v>1543</v>
      </c>
      <c r="N16" s="415" t="s">
        <v>1543</v>
      </c>
      <c r="O16" s="415" t="s">
        <v>1543</v>
      </c>
      <c r="P16" s="415" t="s">
        <v>1543</v>
      </c>
      <c r="U16" s="422">
        <f t="shared" si="1"/>
        <v>0.1</v>
      </c>
      <c r="V16" s="422">
        <f t="shared" si="2"/>
        <v>0.11499999999999999</v>
      </c>
    </row>
    <row r="17" spans="1:23" ht="15" customHeight="1">
      <c r="A17" s="416" t="s">
        <v>1609</v>
      </c>
      <c r="B17" s="416"/>
      <c r="C17" s="417" t="s">
        <v>1532</v>
      </c>
      <c r="D17" s="433" t="s">
        <v>2397</v>
      </c>
      <c r="E17" s="433"/>
      <c r="G17" s="416" t="s">
        <v>2396</v>
      </c>
      <c r="I17" s="415" t="s">
        <v>1606</v>
      </c>
      <c r="J17" s="415" t="s">
        <v>1606</v>
      </c>
      <c r="K17" s="415" t="s">
        <v>1606</v>
      </c>
      <c r="L17" s="415"/>
      <c r="M17" s="415" t="s">
        <v>1606</v>
      </c>
      <c r="N17" s="415" t="s">
        <v>1606</v>
      </c>
      <c r="O17" s="415" t="s">
        <v>1606</v>
      </c>
      <c r="P17" s="415" t="s">
        <v>1606</v>
      </c>
      <c r="U17" s="422">
        <f t="shared" si="1"/>
        <v>0.04</v>
      </c>
      <c r="V17" s="422">
        <f t="shared" si="2"/>
        <v>4.5999999999999999E-2</v>
      </c>
    </row>
    <row r="18" spans="1:23" ht="15" customHeight="1">
      <c r="A18" s="416" t="s">
        <v>2395</v>
      </c>
      <c r="B18" s="416"/>
      <c r="C18" s="417" t="s">
        <v>1532</v>
      </c>
      <c r="D18" s="433" t="s">
        <v>2394</v>
      </c>
      <c r="E18" s="433"/>
      <c r="G18" s="416" t="s">
        <v>2393</v>
      </c>
      <c r="I18" s="415" t="s">
        <v>1528</v>
      </c>
      <c r="J18" s="415" t="s">
        <v>1528</v>
      </c>
      <c r="K18" s="415" t="s">
        <v>1528</v>
      </c>
      <c r="L18" s="415"/>
      <c r="M18" s="415" t="s">
        <v>1528</v>
      </c>
      <c r="N18" s="415" t="s">
        <v>1528</v>
      </c>
      <c r="O18" s="415" t="s">
        <v>1528</v>
      </c>
      <c r="P18" s="415" t="s">
        <v>1528</v>
      </c>
      <c r="R18" s="434">
        <v>25</v>
      </c>
      <c r="S18" s="434"/>
      <c r="U18" s="422">
        <f t="shared" si="1"/>
        <v>0.08</v>
      </c>
      <c r="V18" s="422">
        <f t="shared" si="2"/>
        <v>9.1999999999999998E-2</v>
      </c>
    </row>
    <row r="19" spans="1:23" ht="15" customHeight="1">
      <c r="C19" s="417" t="s">
        <v>1532</v>
      </c>
      <c r="D19" s="433" t="s">
        <v>2392</v>
      </c>
      <c r="E19" s="433"/>
      <c r="G19" s="416" t="s">
        <v>2391</v>
      </c>
      <c r="I19" s="415" t="s">
        <v>1543</v>
      </c>
      <c r="J19" s="415" t="s">
        <v>1543</v>
      </c>
      <c r="K19" s="415" t="s">
        <v>1543</v>
      </c>
      <c r="L19" s="415"/>
      <c r="M19" s="415" t="s">
        <v>1543</v>
      </c>
      <c r="N19" s="415" t="s">
        <v>1543</v>
      </c>
      <c r="O19" s="415" t="s">
        <v>1543</v>
      </c>
      <c r="P19" s="415" t="s">
        <v>1543</v>
      </c>
      <c r="U19" s="422">
        <f t="shared" si="1"/>
        <v>0.1</v>
      </c>
      <c r="V19" s="422">
        <f t="shared" si="2"/>
        <v>0.11499999999999999</v>
      </c>
    </row>
    <row r="20" spans="1:23" ht="15" customHeight="1">
      <c r="A20" s="416" t="s">
        <v>595</v>
      </c>
      <c r="B20" s="416"/>
      <c r="C20" s="417" t="s">
        <v>1532</v>
      </c>
      <c r="D20" s="433" t="s">
        <v>2390</v>
      </c>
      <c r="E20" s="433"/>
      <c r="G20" s="416" t="s">
        <v>2389</v>
      </c>
      <c r="I20" s="415" t="s">
        <v>1536</v>
      </c>
      <c r="J20" s="415" t="s">
        <v>1536</v>
      </c>
      <c r="K20" s="415" t="s">
        <v>1536</v>
      </c>
      <c r="L20" s="415"/>
      <c r="M20" s="415" t="s">
        <v>1536</v>
      </c>
      <c r="N20" s="415" t="s">
        <v>1529</v>
      </c>
      <c r="O20" s="415" t="s">
        <v>1529</v>
      </c>
      <c r="P20" s="415" t="s">
        <v>1536</v>
      </c>
      <c r="U20" s="422">
        <f t="shared" si="1"/>
        <v>0.06</v>
      </c>
      <c r="V20" s="422">
        <f t="shared" si="2"/>
        <v>6.8999999999999992E-2</v>
      </c>
    </row>
    <row r="21" spans="1:23" ht="15" customHeight="1">
      <c r="C21" s="417" t="s">
        <v>1532</v>
      </c>
      <c r="D21" s="433" t="s">
        <v>2388</v>
      </c>
      <c r="E21" s="433"/>
      <c r="G21" s="416" t="s">
        <v>2387</v>
      </c>
      <c r="I21" s="415" t="s">
        <v>1622</v>
      </c>
      <c r="J21" s="415" t="s">
        <v>1622</v>
      </c>
      <c r="K21" s="415" t="s">
        <v>1622</v>
      </c>
      <c r="L21" s="415"/>
      <c r="M21" s="415" t="s">
        <v>1622</v>
      </c>
      <c r="N21" s="415" t="s">
        <v>1622</v>
      </c>
      <c r="O21" s="415" t="s">
        <v>1622</v>
      </c>
      <c r="P21" s="415" t="s">
        <v>1622</v>
      </c>
      <c r="U21" s="422">
        <f t="shared" si="1"/>
        <v>0.09</v>
      </c>
      <c r="V21" s="422">
        <f t="shared" si="2"/>
        <v>0.10349999999999999</v>
      </c>
    </row>
    <row r="22" spans="1:23" ht="15" customHeight="1">
      <c r="C22" s="417" t="s">
        <v>1582</v>
      </c>
      <c r="D22" s="433" t="s">
        <v>2386</v>
      </c>
      <c r="E22" s="433"/>
      <c r="G22" s="416" t="s">
        <v>2385</v>
      </c>
      <c r="I22" s="415" t="s">
        <v>1528</v>
      </c>
      <c r="J22" s="415" t="s">
        <v>1528</v>
      </c>
      <c r="K22" s="415" t="s">
        <v>1528</v>
      </c>
      <c r="L22" s="415"/>
      <c r="M22" s="415" t="s">
        <v>1528</v>
      </c>
      <c r="N22" s="415" t="s">
        <v>1529</v>
      </c>
      <c r="O22" s="415" t="s">
        <v>1528</v>
      </c>
      <c r="P22" s="415" t="s">
        <v>1528</v>
      </c>
      <c r="U22" s="422">
        <f t="shared" si="1"/>
        <v>0.08</v>
      </c>
      <c r="V22" s="422">
        <f t="shared" si="2"/>
        <v>9.1999999999999998E-2</v>
      </c>
    </row>
    <row r="23" spans="1:23" ht="15" customHeight="1">
      <c r="C23" s="417" t="s">
        <v>1532</v>
      </c>
      <c r="D23" s="433" t="s">
        <v>2384</v>
      </c>
      <c r="E23" s="433"/>
      <c r="G23" s="416" t="s">
        <v>2383</v>
      </c>
      <c r="I23" s="415" t="s">
        <v>1533</v>
      </c>
      <c r="J23" s="415" t="s">
        <v>1533</v>
      </c>
      <c r="K23" s="415" t="s">
        <v>1533</v>
      </c>
      <c r="L23" s="415"/>
      <c r="M23" s="415" t="s">
        <v>1533</v>
      </c>
      <c r="N23" s="415" t="s">
        <v>1533</v>
      </c>
      <c r="O23" s="415" t="s">
        <v>1533</v>
      </c>
      <c r="P23" s="415" t="s">
        <v>1533</v>
      </c>
      <c r="U23" s="422">
        <f t="shared" si="1"/>
        <v>0.05</v>
      </c>
      <c r="V23" s="422">
        <f t="shared" si="2"/>
        <v>5.7499999999999996E-2</v>
      </c>
    </row>
    <row r="24" spans="1:23" ht="15" customHeight="1">
      <c r="C24" s="417" t="s">
        <v>1532</v>
      </c>
      <c r="D24" s="433" t="s">
        <v>2382</v>
      </c>
      <c r="E24" s="433"/>
      <c r="G24" s="416" t="s">
        <v>2381</v>
      </c>
      <c r="I24" s="415" t="s">
        <v>1533</v>
      </c>
      <c r="J24" s="415" t="s">
        <v>1533</v>
      </c>
      <c r="K24" s="415" t="s">
        <v>1533</v>
      </c>
      <c r="L24" s="415"/>
      <c r="M24" s="415" t="s">
        <v>1533</v>
      </c>
      <c r="N24" s="415" t="s">
        <v>1529</v>
      </c>
      <c r="O24" s="415" t="s">
        <v>1533</v>
      </c>
      <c r="P24" s="415" t="s">
        <v>1533</v>
      </c>
      <c r="U24" s="422">
        <f t="shared" si="1"/>
        <v>0.05</v>
      </c>
      <c r="V24" s="422">
        <f t="shared" si="2"/>
        <v>5.7499999999999996E-2</v>
      </c>
    </row>
    <row r="25" spans="1:23" ht="15" customHeight="1">
      <c r="C25" s="417" t="s">
        <v>1532</v>
      </c>
      <c r="D25" s="433" t="s">
        <v>2380</v>
      </c>
      <c r="E25" s="433"/>
      <c r="G25" s="416" t="s">
        <v>2379</v>
      </c>
      <c r="I25" s="415" t="s">
        <v>1622</v>
      </c>
      <c r="J25" s="415" t="s">
        <v>1622</v>
      </c>
      <c r="K25" s="415" t="s">
        <v>1622</v>
      </c>
      <c r="L25" s="415"/>
      <c r="M25" s="415" t="s">
        <v>1622</v>
      </c>
      <c r="N25" s="415" t="s">
        <v>1622</v>
      </c>
      <c r="O25" s="415" t="s">
        <v>1622</v>
      </c>
      <c r="P25" s="415" t="s">
        <v>1622</v>
      </c>
      <c r="U25" s="422">
        <f t="shared" si="1"/>
        <v>0.09</v>
      </c>
      <c r="V25" s="422">
        <f t="shared" si="2"/>
        <v>0.10349999999999999</v>
      </c>
    </row>
    <row r="26" spans="1:23" ht="15" customHeight="1">
      <c r="C26" s="417" t="s">
        <v>1532</v>
      </c>
      <c r="D26" s="433" t="s">
        <v>2378</v>
      </c>
      <c r="E26" s="433"/>
      <c r="G26" s="416" t="s">
        <v>2377</v>
      </c>
      <c r="I26" s="415" t="s">
        <v>1622</v>
      </c>
      <c r="J26" s="415" t="s">
        <v>1622</v>
      </c>
      <c r="K26" s="415" t="s">
        <v>1622</v>
      </c>
      <c r="L26" s="415"/>
      <c r="M26" s="415" t="s">
        <v>1622</v>
      </c>
      <c r="N26" s="415" t="s">
        <v>1622</v>
      </c>
      <c r="O26" s="415" t="s">
        <v>1622</v>
      </c>
      <c r="P26" s="415" t="s">
        <v>1622</v>
      </c>
      <c r="U26" s="422">
        <f t="shared" si="1"/>
        <v>0.09</v>
      </c>
      <c r="V26" s="422">
        <f t="shared" si="2"/>
        <v>0.10349999999999999</v>
      </c>
    </row>
    <row r="27" spans="1:23" ht="15" customHeight="1">
      <c r="A27" s="416" t="s">
        <v>2376</v>
      </c>
      <c r="B27" s="416"/>
      <c r="C27" s="417" t="s">
        <v>1532</v>
      </c>
      <c r="D27" s="433" t="s">
        <v>2375</v>
      </c>
      <c r="E27" s="433"/>
      <c r="G27" s="416" t="s">
        <v>2374</v>
      </c>
      <c r="I27" s="430" t="s">
        <v>2373</v>
      </c>
      <c r="J27" s="415" t="s">
        <v>2373</v>
      </c>
      <c r="K27" s="415" t="s">
        <v>2373</v>
      </c>
      <c r="L27" s="415"/>
      <c r="M27" s="415" t="s">
        <v>2373</v>
      </c>
      <c r="N27" s="415" t="s">
        <v>2373</v>
      </c>
      <c r="O27" s="415" t="s">
        <v>2373</v>
      </c>
      <c r="P27" s="415" t="s">
        <v>2373</v>
      </c>
      <c r="U27" s="423">
        <v>0.03</v>
      </c>
      <c r="V27" s="423">
        <f>3%*1.15</f>
        <v>3.4499999999999996E-2</v>
      </c>
      <c r="W27" s="424" t="str">
        <f>IF(ISBLANK(A27),"",VLOOKUP(A27,'KY Taxcodes'!$A:$B,2,FALSE))</f>
        <v>Tax charge shall be 7% for non-commercial and 3% for commercial insurance.  Tax charge shall not apply to insurance for cargo and product liability.</v>
      </c>
    </row>
    <row r="28" spans="1:23" ht="15" customHeight="1">
      <c r="A28" s="416" t="s">
        <v>2372</v>
      </c>
      <c r="B28" s="416"/>
      <c r="C28" s="417" t="s">
        <v>1532</v>
      </c>
      <c r="D28" s="433" t="s">
        <v>2371</v>
      </c>
      <c r="E28" s="433"/>
      <c r="G28" s="416" t="s">
        <v>2370</v>
      </c>
      <c r="I28" s="415" t="s">
        <v>1528</v>
      </c>
      <c r="J28" s="415" t="s">
        <v>1528</v>
      </c>
      <c r="K28" s="415" t="s">
        <v>1528</v>
      </c>
      <c r="L28" s="415"/>
      <c r="M28" s="415" t="s">
        <v>1528</v>
      </c>
      <c r="N28" s="415" t="s">
        <v>1606</v>
      </c>
      <c r="O28" s="415" t="s">
        <v>1528</v>
      </c>
      <c r="P28" s="415" t="s">
        <v>1528</v>
      </c>
      <c r="U28" s="422">
        <f t="shared" si="1"/>
        <v>0.08</v>
      </c>
      <c r="V28" s="422">
        <f t="shared" ref="V28:V91" si="3">IF(ISBLANK($J28),"",IF($J28="none",0,IF($U28&gt;13.3%,$U28+2%,IF($U28&lt;=13.3%,$U28*1.15,$U28))))</f>
        <v>9.1999999999999998E-2</v>
      </c>
      <c r="W28" s="424" t="str">
        <f>IF(ISBLANK(A28),"",VLOOKUP(A28,'KY Taxcodes'!$A:$B,2,FALSE))</f>
        <v>Tax charge shall not apply to doctors malpractice insurance.</v>
      </c>
    </row>
    <row r="29" spans="1:23" ht="15" customHeight="1">
      <c r="C29" s="417" t="s">
        <v>1532</v>
      </c>
      <c r="D29" s="433" t="s">
        <v>2369</v>
      </c>
      <c r="E29" s="433"/>
      <c r="G29" s="416" t="s">
        <v>2368</v>
      </c>
      <c r="I29" s="415" t="s">
        <v>2367</v>
      </c>
      <c r="J29" s="415" t="s">
        <v>2367</v>
      </c>
      <c r="K29" s="415" t="s">
        <v>2367</v>
      </c>
      <c r="L29" s="415"/>
      <c r="M29" s="415" t="s">
        <v>2367</v>
      </c>
      <c r="N29" s="415" t="s">
        <v>1529</v>
      </c>
      <c r="O29" s="415" t="s">
        <v>1529</v>
      </c>
      <c r="P29" s="415" t="s">
        <v>2367</v>
      </c>
      <c r="U29" s="422">
        <f t="shared" si="1"/>
        <v>6.9000000000000006E-2</v>
      </c>
      <c r="V29" s="422">
        <f t="shared" si="3"/>
        <v>7.9350000000000004E-2</v>
      </c>
      <c r="W29" s="424" t="str">
        <f>IF(ISBLANK(A29),"",VLOOKUP(A29,'KY Taxcodes'!$A:$B,2,FALSE))</f>
        <v/>
      </c>
    </row>
    <row r="30" spans="1:23" ht="15" customHeight="1">
      <c r="C30" s="417" t="s">
        <v>1532</v>
      </c>
      <c r="D30" s="433" t="s">
        <v>2366</v>
      </c>
      <c r="E30" s="433"/>
      <c r="G30" s="416" t="s">
        <v>2365</v>
      </c>
      <c r="I30" s="415" t="s">
        <v>1752</v>
      </c>
      <c r="J30" s="415" t="s">
        <v>1752</v>
      </c>
      <c r="K30" s="415" t="s">
        <v>1752</v>
      </c>
      <c r="L30" s="415"/>
      <c r="M30" s="415" t="s">
        <v>1752</v>
      </c>
      <c r="N30" s="415" t="s">
        <v>1752</v>
      </c>
      <c r="O30" s="415" t="s">
        <v>1752</v>
      </c>
      <c r="P30" s="415" t="s">
        <v>1752</v>
      </c>
      <c r="R30" s="434">
        <v>5</v>
      </c>
      <c r="S30" s="434"/>
      <c r="U30" s="422">
        <f t="shared" si="1"/>
        <v>0.11</v>
      </c>
      <c r="V30" s="422">
        <f t="shared" si="3"/>
        <v>0.1265</v>
      </c>
      <c r="W30" s="424" t="str">
        <f>IF(ISBLANK(A30),"",VLOOKUP(A30,'KY Taxcodes'!$A:$B,2,FALSE))</f>
        <v/>
      </c>
    </row>
    <row r="31" spans="1:23" ht="15" customHeight="1">
      <c r="C31" s="417" t="s">
        <v>1532</v>
      </c>
      <c r="D31" s="433" t="s">
        <v>2364</v>
      </c>
      <c r="E31" s="433"/>
      <c r="G31" s="416" t="s">
        <v>2363</v>
      </c>
      <c r="I31" s="415" t="s">
        <v>1533</v>
      </c>
      <c r="J31" s="415" t="s">
        <v>1533</v>
      </c>
      <c r="K31" s="415" t="s">
        <v>1533</v>
      </c>
      <c r="L31" s="415"/>
      <c r="M31" s="415" t="s">
        <v>1533</v>
      </c>
      <c r="N31" s="415" t="s">
        <v>1529</v>
      </c>
      <c r="O31" s="415" t="s">
        <v>1533</v>
      </c>
      <c r="P31" s="415" t="s">
        <v>1533</v>
      </c>
      <c r="U31" s="422">
        <f t="shared" si="1"/>
        <v>0.05</v>
      </c>
      <c r="V31" s="422">
        <f t="shared" si="3"/>
        <v>5.7499999999999996E-2</v>
      </c>
      <c r="W31" s="424" t="str">
        <f>IF(ISBLANK(A31),"",VLOOKUP(A31,'KY Taxcodes'!$A:$B,2,FALSE))</f>
        <v/>
      </c>
    </row>
    <row r="32" spans="1:23" ht="15" customHeight="1">
      <c r="A32" s="416" t="s">
        <v>2362</v>
      </c>
      <c r="B32" s="416"/>
      <c r="C32" s="417" t="s">
        <v>1532</v>
      </c>
      <c r="D32" s="433" t="s">
        <v>2361</v>
      </c>
      <c r="E32" s="433"/>
      <c r="G32" s="416" t="s">
        <v>2360</v>
      </c>
      <c r="I32" s="415" t="s">
        <v>1550</v>
      </c>
      <c r="J32" s="415" t="s">
        <v>1550</v>
      </c>
      <c r="K32" s="415" t="s">
        <v>1550</v>
      </c>
      <c r="L32" s="415"/>
      <c r="M32" s="415" t="s">
        <v>1550</v>
      </c>
      <c r="N32" s="415" t="s">
        <v>1529</v>
      </c>
      <c r="O32" s="415" t="s">
        <v>1550</v>
      </c>
      <c r="P32" s="415" t="s">
        <v>1529</v>
      </c>
      <c r="U32" s="422">
        <f t="shared" si="1"/>
        <v>7.0000000000000007E-2</v>
      </c>
      <c r="V32" s="422">
        <f t="shared" si="3"/>
        <v>8.0500000000000002E-2</v>
      </c>
      <c r="W32" s="424" t="str">
        <f>IF(ISBLANK(A32),"",VLOOKUP(A32,'KY Taxcodes'!$A:$B,2,FALSE))</f>
        <v>This county tax has been imposed on all unincorporated areas within this county.  Since all municipalities on this master list are incorporated, this tax will not apply to them.  This county tax was implemented prior to July 13, 1990; therefore,  insurance companies may not take the city credits pursuant to KRS 91A:080 7/13/90.</v>
      </c>
    </row>
    <row r="33" spans="1:23" ht="15" customHeight="1">
      <c r="C33" s="417" t="s">
        <v>1532</v>
      </c>
      <c r="D33" s="433" t="s">
        <v>2359</v>
      </c>
      <c r="E33" s="433"/>
      <c r="G33" s="416" t="s">
        <v>2358</v>
      </c>
      <c r="I33" s="415" t="s">
        <v>1533</v>
      </c>
      <c r="J33" s="415" t="s">
        <v>1533</v>
      </c>
      <c r="K33" s="415" t="s">
        <v>1533</v>
      </c>
      <c r="L33" s="415"/>
      <c r="M33" s="415" t="s">
        <v>1533</v>
      </c>
      <c r="N33" s="415" t="s">
        <v>1529</v>
      </c>
      <c r="O33" s="415" t="s">
        <v>1533</v>
      </c>
      <c r="P33" s="415" t="s">
        <v>1533</v>
      </c>
      <c r="U33" s="422">
        <f t="shared" si="1"/>
        <v>0.05</v>
      </c>
      <c r="V33" s="422">
        <f t="shared" si="3"/>
        <v>5.7499999999999996E-2</v>
      </c>
      <c r="W33" s="424" t="str">
        <f>IF(ISBLANK(A33),"",VLOOKUP(A33,'KY Taxcodes'!$A:$B,2,FALSE))</f>
        <v/>
      </c>
    </row>
    <row r="34" spans="1:23" ht="15" customHeight="1">
      <c r="C34" s="417" t="s">
        <v>1532</v>
      </c>
      <c r="D34" s="433" t="s">
        <v>2357</v>
      </c>
      <c r="E34" s="433"/>
      <c r="G34" s="416" t="s">
        <v>2356</v>
      </c>
      <c r="I34" s="415" t="s">
        <v>1543</v>
      </c>
      <c r="J34" s="415" t="s">
        <v>1543</v>
      </c>
      <c r="K34" s="415" t="s">
        <v>1543</v>
      </c>
      <c r="L34" s="415"/>
      <c r="M34" s="415" t="s">
        <v>1543</v>
      </c>
      <c r="N34" s="415" t="s">
        <v>1543</v>
      </c>
      <c r="O34" s="415" t="s">
        <v>1543</v>
      </c>
      <c r="P34" s="415" t="s">
        <v>1543</v>
      </c>
      <c r="U34" s="422">
        <f t="shared" si="1"/>
        <v>0.1</v>
      </c>
      <c r="V34" s="422">
        <f t="shared" si="3"/>
        <v>0.11499999999999999</v>
      </c>
      <c r="W34" s="424" t="str">
        <f>IF(ISBLANK(A34),"",VLOOKUP(A34,'KY Taxcodes'!$A:$B,2,FALSE))</f>
        <v/>
      </c>
    </row>
    <row r="35" spans="1:23" ht="15" customHeight="1">
      <c r="C35" s="417" t="s">
        <v>1532</v>
      </c>
      <c r="D35" s="433" t="s">
        <v>2355</v>
      </c>
      <c r="E35" s="433"/>
      <c r="G35" s="416" t="s">
        <v>2354</v>
      </c>
      <c r="I35" s="415" t="s">
        <v>1533</v>
      </c>
      <c r="J35" s="415" t="s">
        <v>1533</v>
      </c>
      <c r="K35" s="415" t="s">
        <v>1533</v>
      </c>
      <c r="L35" s="415"/>
      <c r="M35" s="415" t="s">
        <v>1533</v>
      </c>
      <c r="N35" s="415" t="s">
        <v>1533</v>
      </c>
      <c r="O35" s="415" t="s">
        <v>1533</v>
      </c>
      <c r="P35" s="415" t="s">
        <v>1533</v>
      </c>
      <c r="U35" s="422">
        <f t="shared" si="1"/>
        <v>0.05</v>
      </c>
      <c r="V35" s="422">
        <f t="shared" si="3"/>
        <v>5.7499999999999996E-2</v>
      </c>
      <c r="W35" s="424" t="str">
        <f>IF(ISBLANK(A35),"",VLOOKUP(A35,'KY Taxcodes'!$A:$B,2,FALSE))</f>
        <v/>
      </c>
    </row>
    <row r="36" spans="1:23" ht="15" customHeight="1">
      <c r="C36" s="417" t="s">
        <v>1532</v>
      </c>
      <c r="D36" s="433" t="s">
        <v>2353</v>
      </c>
      <c r="E36" s="433"/>
      <c r="G36" s="416" t="s">
        <v>2352</v>
      </c>
      <c r="I36" s="415" t="s">
        <v>1762</v>
      </c>
      <c r="J36" s="415" t="s">
        <v>1762</v>
      </c>
      <c r="K36" s="415" t="s">
        <v>1762</v>
      </c>
      <c r="L36" s="415"/>
      <c r="M36" s="415" t="s">
        <v>1762</v>
      </c>
      <c r="N36" s="415" t="s">
        <v>1762</v>
      </c>
      <c r="O36" s="415" t="s">
        <v>2351</v>
      </c>
      <c r="P36" s="415" t="s">
        <v>1762</v>
      </c>
      <c r="U36" s="422">
        <f t="shared" si="1"/>
        <v>7.4999999999999997E-2</v>
      </c>
      <c r="V36" s="422">
        <f t="shared" si="3"/>
        <v>8.6249999999999993E-2</v>
      </c>
      <c r="W36" s="424" t="str">
        <f>IF(ISBLANK(A36),"",VLOOKUP(A36,'KY Taxcodes'!$A:$B,2,FALSE))</f>
        <v/>
      </c>
    </row>
    <row r="37" spans="1:23" ht="15" customHeight="1">
      <c r="C37" s="417" t="s">
        <v>1532</v>
      </c>
      <c r="D37" s="433" t="s">
        <v>2350</v>
      </c>
      <c r="E37" s="433"/>
      <c r="G37" s="416" t="s">
        <v>2349</v>
      </c>
      <c r="I37" s="415" t="s">
        <v>1536</v>
      </c>
      <c r="J37" s="415" t="s">
        <v>1536</v>
      </c>
      <c r="K37" s="415" t="s">
        <v>1536</v>
      </c>
      <c r="L37" s="415"/>
      <c r="M37" s="415" t="s">
        <v>1536</v>
      </c>
      <c r="N37" s="415" t="s">
        <v>1529</v>
      </c>
      <c r="O37" s="415" t="s">
        <v>1536</v>
      </c>
      <c r="P37" s="415" t="s">
        <v>1536</v>
      </c>
      <c r="U37" s="422">
        <f t="shared" si="1"/>
        <v>0.06</v>
      </c>
      <c r="V37" s="422">
        <f t="shared" si="3"/>
        <v>6.8999999999999992E-2</v>
      </c>
      <c r="W37" s="424" t="str">
        <f>IF(ISBLANK(A37),"",VLOOKUP(A37,'KY Taxcodes'!$A:$B,2,FALSE))</f>
        <v/>
      </c>
    </row>
    <row r="38" spans="1:23" ht="15" customHeight="1">
      <c r="C38" s="417" t="s">
        <v>1582</v>
      </c>
      <c r="D38" s="433" t="s">
        <v>2348</v>
      </c>
      <c r="E38" s="433"/>
      <c r="G38" s="416" t="s">
        <v>2347</v>
      </c>
      <c r="I38" s="415" t="s">
        <v>1762</v>
      </c>
      <c r="J38" s="415" t="s">
        <v>1762</v>
      </c>
      <c r="K38" s="415" t="s">
        <v>1762</v>
      </c>
      <c r="L38" s="415"/>
      <c r="M38" s="415" t="s">
        <v>1762</v>
      </c>
      <c r="N38" s="415" t="s">
        <v>1762</v>
      </c>
      <c r="O38" s="415" t="s">
        <v>1762</v>
      </c>
      <c r="P38" s="415" t="s">
        <v>1762</v>
      </c>
      <c r="U38" s="422">
        <f t="shared" si="1"/>
        <v>7.4999999999999997E-2</v>
      </c>
      <c r="V38" s="422">
        <f t="shared" si="3"/>
        <v>8.6249999999999993E-2</v>
      </c>
      <c r="W38" s="424" t="str">
        <f>IF(ISBLANK(A38),"",VLOOKUP(A38,'KY Taxcodes'!$A:$B,2,FALSE))</f>
        <v/>
      </c>
    </row>
    <row r="39" spans="1:23" ht="15" customHeight="1">
      <c r="C39" s="417" t="s">
        <v>1532</v>
      </c>
      <c r="D39" s="433" t="s">
        <v>2346</v>
      </c>
      <c r="E39" s="433"/>
      <c r="G39" s="416" t="s">
        <v>2345</v>
      </c>
      <c r="I39" s="415" t="s">
        <v>1533</v>
      </c>
      <c r="J39" s="415" t="s">
        <v>1533</v>
      </c>
      <c r="K39" s="415" t="s">
        <v>1533</v>
      </c>
      <c r="L39" s="415"/>
      <c r="M39" s="415" t="s">
        <v>1533</v>
      </c>
      <c r="N39" s="415" t="s">
        <v>1533</v>
      </c>
      <c r="O39" s="415" t="s">
        <v>1533</v>
      </c>
      <c r="P39" s="415" t="s">
        <v>1533</v>
      </c>
      <c r="U39" s="422">
        <f t="shared" si="1"/>
        <v>0.05</v>
      </c>
      <c r="V39" s="422">
        <f t="shared" si="3"/>
        <v>5.7499999999999996E-2</v>
      </c>
      <c r="W39" s="424" t="str">
        <f>IF(ISBLANK(A39),"",VLOOKUP(A39,'KY Taxcodes'!$A:$B,2,FALSE))</f>
        <v/>
      </c>
    </row>
    <row r="40" spans="1:23" ht="15" customHeight="1">
      <c r="C40" s="417" t="s">
        <v>1532</v>
      </c>
      <c r="D40" s="433" t="s">
        <v>2344</v>
      </c>
      <c r="E40" s="433"/>
      <c r="G40" s="416" t="s">
        <v>2343</v>
      </c>
      <c r="I40" s="415" t="s">
        <v>1528</v>
      </c>
      <c r="J40" s="415" t="s">
        <v>1528</v>
      </c>
      <c r="K40" s="415" t="s">
        <v>1528</v>
      </c>
      <c r="L40" s="415"/>
      <c r="M40" s="415" t="s">
        <v>1528</v>
      </c>
      <c r="N40" s="415" t="s">
        <v>1528</v>
      </c>
      <c r="O40" s="415" t="s">
        <v>1528</v>
      </c>
      <c r="P40" s="415" t="s">
        <v>1528</v>
      </c>
      <c r="U40" s="422">
        <f t="shared" si="1"/>
        <v>0.08</v>
      </c>
      <c r="V40" s="422">
        <f t="shared" si="3"/>
        <v>9.1999999999999998E-2</v>
      </c>
      <c r="W40" s="424" t="str">
        <f>IF(ISBLANK(A40),"",VLOOKUP(A40,'KY Taxcodes'!$A:$B,2,FALSE))</f>
        <v/>
      </c>
    </row>
    <row r="41" spans="1:23" ht="15" customHeight="1">
      <c r="A41" s="416" t="s">
        <v>2342</v>
      </c>
      <c r="B41" s="416"/>
      <c r="C41" s="417" t="s">
        <v>1532</v>
      </c>
      <c r="D41" s="433" t="s">
        <v>2341</v>
      </c>
      <c r="E41" s="433"/>
      <c r="G41" s="416" t="s">
        <v>2340</v>
      </c>
      <c r="I41" s="415" t="s">
        <v>1550</v>
      </c>
      <c r="J41" s="415" t="s">
        <v>1551</v>
      </c>
      <c r="K41" s="415" t="s">
        <v>1551</v>
      </c>
      <c r="L41" s="415"/>
      <c r="M41" s="415" t="s">
        <v>1550</v>
      </c>
      <c r="N41" s="415" t="s">
        <v>1551</v>
      </c>
      <c r="O41" s="415" t="s">
        <v>1551</v>
      </c>
      <c r="P41" s="415" t="s">
        <v>1550</v>
      </c>
      <c r="R41" s="434">
        <v>5</v>
      </c>
      <c r="S41" s="434"/>
      <c r="U41" s="422">
        <f t="shared" si="1"/>
        <v>0.02</v>
      </c>
      <c r="V41" s="422">
        <f t="shared" si="3"/>
        <v>2.3E-2</v>
      </c>
      <c r="W41" s="424" t="str">
        <f>IF(ISBLANK(A41),"",VLOOKUP(A41,'KY Taxcodes'!$A:$B,2,FALSE))</f>
        <v>Multiple-line insurance policies, with indivisible premium, are taxed at the rate of 5.5%.  Indivisible premiums (see tax code "15").</v>
      </c>
    </row>
    <row r="42" spans="1:23" ht="15" customHeight="1">
      <c r="C42" s="417" t="s">
        <v>1532</v>
      </c>
      <c r="D42" s="433" t="s">
        <v>2339</v>
      </c>
      <c r="E42" s="433"/>
      <c r="G42" s="416" t="s">
        <v>2338</v>
      </c>
      <c r="I42" s="415" t="s">
        <v>1673</v>
      </c>
      <c r="J42" s="415" t="s">
        <v>1673</v>
      </c>
      <c r="K42" s="415" t="s">
        <v>1673</v>
      </c>
      <c r="L42" s="415"/>
      <c r="M42" s="415" t="s">
        <v>1673</v>
      </c>
      <c r="N42" s="415" t="s">
        <v>1673</v>
      </c>
      <c r="O42" s="415" t="s">
        <v>1673</v>
      </c>
      <c r="P42" s="415" t="s">
        <v>1673</v>
      </c>
      <c r="U42" s="422">
        <f t="shared" si="1"/>
        <v>0.03</v>
      </c>
      <c r="V42" s="422">
        <f t="shared" si="3"/>
        <v>3.4499999999999996E-2</v>
      </c>
      <c r="W42" s="424" t="str">
        <f>IF(ISBLANK(A42),"",VLOOKUP(A42,'KY Taxcodes'!$A:$B,2,FALSE))</f>
        <v/>
      </c>
    </row>
    <row r="43" spans="1:23" ht="15" customHeight="1">
      <c r="C43" s="417" t="s">
        <v>1582</v>
      </c>
      <c r="D43" s="433" t="s">
        <v>2337</v>
      </c>
      <c r="E43" s="433"/>
      <c r="G43" s="416" t="s">
        <v>2336</v>
      </c>
      <c r="I43" s="415" t="s">
        <v>1528</v>
      </c>
      <c r="J43" s="415" t="s">
        <v>1528</v>
      </c>
      <c r="K43" s="415" t="s">
        <v>1528</v>
      </c>
      <c r="L43" s="415"/>
      <c r="M43" s="415" t="s">
        <v>1528</v>
      </c>
      <c r="N43" s="415" t="s">
        <v>1528</v>
      </c>
      <c r="O43" s="415" t="s">
        <v>1528</v>
      </c>
      <c r="P43" s="415" t="s">
        <v>1528</v>
      </c>
      <c r="U43" s="422">
        <f t="shared" si="1"/>
        <v>0.08</v>
      </c>
      <c r="V43" s="422">
        <f t="shared" si="3"/>
        <v>9.1999999999999998E-2</v>
      </c>
      <c r="W43" s="424" t="str">
        <f>IF(ISBLANK(A43),"",VLOOKUP(A43,'KY Taxcodes'!$A:$B,2,FALSE))</f>
        <v/>
      </c>
    </row>
    <row r="44" spans="1:23" ht="15" customHeight="1">
      <c r="A44" s="416" t="s">
        <v>2335</v>
      </c>
      <c r="B44" s="416"/>
      <c r="C44" s="417" t="s">
        <v>1532</v>
      </c>
      <c r="D44" s="433" t="s">
        <v>2334</v>
      </c>
      <c r="E44" s="433"/>
      <c r="G44" s="416" t="s">
        <v>2333</v>
      </c>
      <c r="I44" s="415" t="s">
        <v>1533</v>
      </c>
      <c r="J44" s="415" t="s">
        <v>1533</v>
      </c>
      <c r="K44" s="415" t="s">
        <v>1533</v>
      </c>
      <c r="L44" s="415"/>
      <c r="M44" s="415" t="s">
        <v>1533</v>
      </c>
      <c r="N44" s="415" t="s">
        <v>1529</v>
      </c>
      <c r="O44" s="415" t="s">
        <v>1533</v>
      </c>
      <c r="P44" s="415" t="s">
        <v>1533</v>
      </c>
      <c r="U44" s="422">
        <f t="shared" si="1"/>
        <v>0.05</v>
      </c>
      <c r="V44" s="422">
        <f t="shared" si="3"/>
        <v>5.7499999999999996E-2</v>
      </c>
      <c r="W44" s="424" t="str">
        <f>IF(ISBLANK(A44),"",VLOOKUP(A44,'KY Taxcodes'!$A:$B,2,FALSE))</f>
        <v>This county exempts crop insurance.</v>
      </c>
    </row>
    <row r="45" spans="1:23" ht="15" customHeight="1">
      <c r="C45" s="417" t="s">
        <v>1532</v>
      </c>
      <c r="D45" s="433" t="s">
        <v>2332</v>
      </c>
      <c r="E45" s="433"/>
      <c r="G45" s="416" t="s">
        <v>2331</v>
      </c>
      <c r="I45" s="415" t="s">
        <v>1533</v>
      </c>
      <c r="J45" s="415" t="s">
        <v>1533</v>
      </c>
      <c r="K45" s="415" t="s">
        <v>1533</v>
      </c>
      <c r="L45" s="415"/>
      <c r="M45" s="415" t="s">
        <v>1533</v>
      </c>
      <c r="N45" s="415" t="s">
        <v>1533</v>
      </c>
      <c r="O45" s="415" t="s">
        <v>1533</v>
      </c>
      <c r="P45" s="415" t="s">
        <v>1533</v>
      </c>
      <c r="U45" s="422">
        <f t="shared" si="1"/>
        <v>0.05</v>
      </c>
      <c r="V45" s="422">
        <f t="shared" si="3"/>
        <v>5.7499999999999996E-2</v>
      </c>
      <c r="W45" s="424" t="str">
        <f>IF(ISBLANK(A45),"",VLOOKUP(A45,'KY Taxcodes'!$A:$B,2,FALSE))</f>
        <v/>
      </c>
    </row>
    <row r="46" spans="1:23" ht="15" customHeight="1">
      <c r="C46" s="417" t="s">
        <v>1532</v>
      </c>
      <c r="D46" s="433" t="s">
        <v>2330</v>
      </c>
      <c r="E46" s="433"/>
      <c r="G46" s="416" t="s">
        <v>2329</v>
      </c>
      <c r="I46" s="415" t="s">
        <v>1536</v>
      </c>
      <c r="J46" s="415" t="s">
        <v>1536</v>
      </c>
      <c r="K46" s="415" t="s">
        <v>1536</v>
      </c>
      <c r="L46" s="415"/>
      <c r="M46" s="415" t="s">
        <v>1536</v>
      </c>
      <c r="N46" s="415" t="s">
        <v>1536</v>
      </c>
      <c r="O46" s="415" t="s">
        <v>1536</v>
      </c>
      <c r="P46" s="415" t="s">
        <v>1536</v>
      </c>
      <c r="U46" s="422">
        <f t="shared" si="1"/>
        <v>0.06</v>
      </c>
      <c r="V46" s="422">
        <f t="shared" si="3"/>
        <v>6.8999999999999992E-2</v>
      </c>
      <c r="W46" s="424" t="str">
        <f>IF(ISBLANK(A46),"",VLOOKUP(A46,'KY Taxcodes'!$A:$B,2,FALSE))</f>
        <v/>
      </c>
    </row>
    <row r="47" spans="1:23" ht="15" customHeight="1">
      <c r="C47" s="417" t="s">
        <v>1532</v>
      </c>
      <c r="D47" s="433" t="s">
        <v>2328</v>
      </c>
      <c r="E47" s="433"/>
      <c r="G47" s="416" t="s">
        <v>2327</v>
      </c>
      <c r="I47" s="415" t="s">
        <v>1533</v>
      </c>
      <c r="J47" s="415" t="s">
        <v>1533</v>
      </c>
      <c r="K47" s="415" t="s">
        <v>1533</v>
      </c>
      <c r="L47" s="415"/>
      <c r="M47" s="415" t="s">
        <v>1533</v>
      </c>
      <c r="N47" s="415" t="s">
        <v>1533</v>
      </c>
      <c r="O47" s="415" t="s">
        <v>1533</v>
      </c>
      <c r="P47" s="415" t="s">
        <v>1533</v>
      </c>
      <c r="U47" s="422">
        <f t="shared" si="1"/>
        <v>0.05</v>
      </c>
      <c r="V47" s="422">
        <f t="shared" si="3"/>
        <v>5.7499999999999996E-2</v>
      </c>
      <c r="W47" s="424" t="str">
        <f>IF(ISBLANK(A47),"",VLOOKUP(A47,'KY Taxcodes'!$A:$B,2,FALSE))</f>
        <v/>
      </c>
    </row>
    <row r="48" spans="1:23" ht="15" customHeight="1">
      <c r="C48" s="417" t="s">
        <v>1532</v>
      </c>
      <c r="D48" s="433" t="s">
        <v>2326</v>
      </c>
      <c r="E48" s="433"/>
      <c r="G48" s="416" t="s">
        <v>2325</v>
      </c>
      <c r="I48" s="415" t="s">
        <v>1543</v>
      </c>
      <c r="J48" s="415" t="s">
        <v>1543</v>
      </c>
      <c r="K48" s="415" t="s">
        <v>1543</v>
      </c>
      <c r="L48" s="415"/>
      <c r="M48" s="415" t="s">
        <v>1543</v>
      </c>
      <c r="N48" s="415" t="s">
        <v>1529</v>
      </c>
      <c r="O48" s="415" t="s">
        <v>1529</v>
      </c>
      <c r="P48" s="415" t="s">
        <v>1543</v>
      </c>
      <c r="U48" s="422">
        <f t="shared" si="1"/>
        <v>0.1</v>
      </c>
      <c r="V48" s="422">
        <f t="shared" si="3"/>
        <v>0.11499999999999999</v>
      </c>
      <c r="W48" s="424" t="str">
        <f>IF(ISBLANK(A48),"",VLOOKUP(A48,'KY Taxcodes'!$A:$B,2,FALSE))</f>
        <v/>
      </c>
    </row>
    <row r="49" spans="3:23" ht="15" customHeight="1">
      <c r="C49" s="417" t="s">
        <v>1532</v>
      </c>
      <c r="D49" s="433" t="s">
        <v>2324</v>
      </c>
      <c r="E49" s="433"/>
      <c r="G49" s="416" t="s">
        <v>2323</v>
      </c>
      <c r="I49" s="415" t="s">
        <v>1550</v>
      </c>
      <c r="J49" s="415" t="s">
        <v>1550</v>
      </c>
      <c r="K49" s="415" t="s">
        <v>1550</v>
      </c>
      <c r="L49" s="415"/>
      <c r="M49" s="415" t="s">
        <v>1550</v>
      </c>
      <c r="N49" s="415" t="s">
        <v>1550</v>
      </c>
      <c r="O49" s="415" t="s">
        <v>1550</v>
      </c>
      <c r="P49" s="415" t="s">
        <v>1550</v>
      </c>
      <c r="U49" s="422">
        <f t="shared" si="1"/>
        <v>7.0000000000000007E-2</v>
      </c>
      <c r="V49" s="422">
        <f t="shared" si="3"/>
        <v>8.0500000000000002E-2</v>
      </c>
      <c r="W49" s="424" t="str">
        <f>IF(ISBLANK(A49),"",VLOOKUP(A49,'KY Taxcodes'!$A:$B,2,FALSE))</f>
        <v/>
      </c>
    </row>
    <row r="50" spans="3:23" ht="15" customHeight="1">
      <c r="C50" s="417" t="s">
        <v>1532</v>
      </c>
      <c r="D50" s="433" t="s">
        <v>2322</v>
      </c>
      <c r="E50" s="433"/>
      <c r="G50" s="416" t="s">
        <v>2321</v>
      </c>
      <c r="I50" s="415" t="s">
        <v>1533</v>
      </c>
      <c r="J50" s="415" t="s">
        <v>1533</v>
      </c>
      <c r="K50" s="415" t="s">
        <v>1533</v>
      </c>
      <c r="L50" s="415"/>
      <c r="M50" s="415" t="s">
        <v>1533</v>
      </c>
      <c r="N50" s="415" t="s">
        <v>1529</v>
      </c>
      <c r="O50" s="415" t="s">
        <v>1533</v>
      </c>
      <c r="P50" s="415" t="s">
        <v>1533</v>
      </c>
      <c r="U50" s="422">
        <f t="shared" si="1"/>
        <v>0.05</v>
      </c>
      <c r="V50" s="422">
        <f t="shared" si="3"/>
        <v>5.7499999999999996E-2</v>
      </c>
      <c r="W50" s="424" t="str">
        <f>IF(ISBLANK(A50),"",VLOOKUP(A50,'KY Taxcodes'!$A:$B,2,FALSE))</f>
        <v/>
      </c>
    </row>
    <row r="51" spans="3:23" ht="15" customHeight="1">
      <c r="C51" s="417" t="s">
        <v>1532</v>
      </c>
      <c r="D51" s="433" t="s">
        <v>2320</v>
      </c>
      <c r="E51" s="433"/>
      <c r="G51" s="416" t="s">
        <v>2319</v>
      </c>
      <c r="I51" s="415" t="s">
        <v>1533</v>
      </c>
      <c r="J51" s="415" t="s">
        <v>1533</v>
      </c>
      <c r="K51" s="415" t="s">
        <v>1533</v>
      </c>
      <c r="L51" s="415"/>
      <c r="M51" s="415" t="s">
        <v>1533</v>
      </c>
      <c r="N51" s="415" t="s">
        <v>1533</v>
      </c>
      <c r="O51" s="415" t="s">
        <v>1533</v>
      </c>
      <c r="P51" s="415" t="s">
        <v>1533</v>
      </c>
      <c r="U51" s="422">
        <f t="shared" si="1"/>
        <v>0.05</v>
      </c>
      <c r="V51" s="422">
        <f t="shared" si="3"/>
        <v>5.7499999999999996E-2</v>
      </c>
      <c r="W51" s="424" t="str">
        <f>IF(ISBLANK(A51),"",VLOOKUP(A51,'KY Taxcodes'!$A:$B,2,FALSE))</f>
        <v/>
      </c>
    </row>
    <row r="52" spans="3:23" ht="15" customHeight="1">
      <c r="C52" s="417" t="s">
        <v>1532</v>
      </c>
      <c r="D52" s="433" t="s">
        <v>2318</v>
      </c>
      <c r="E52" s="433"/>
      <c r="G52" s="416" t="s">
        <v>2317</v>
      </c>
      <c r="I52" s="415" t="s">
        <v>1550</v>
      </c>
      <c r="J52" s="415" t="s">
        <v>1550</v>
      </c>
      <c r="K52" s="415" t="s">
        <v>1550</v>
      </c>
      <c r="L52" s="415"/>
      <c r="M52" s="415" t="s">
        <v>1550</v>
      </c>
      <c r="N52" s="415" t="s">
        <v>1550</v>
      </c>
      <c r="O52" s="415" t="s">
        <v>1550</v>
      </c>
      <c r="P52" s="415" t="s">
        <v>1550</v>
      </c>
      <c r="U52" s="422">
        <f t="shared" si="1"/>
        <v>7.0000000000000007E-2</v>
      </c>
      <c r="V52" s="422">
        <f t="shared" si="3"/>
        <v>8.0500000000000002E-2</v>
      </c>
      <c r="W52" s="424" t="str">
        <f>IF(ISBLANK(A52),"",VLOOKUP(A52,'KY Taxcodes'!$A:$B,2,FALSE))</f>
        <v/>
      </c>
    </row>
    <row r="53" spans="3:23" ht="15" customHeight="1">
      <c r="C53" s="417" t="s">
        <v>1532</v>
      </c>
      <c r="D53" s="433" t="s">
        <v>2316</v>
      </c>
      <c r="E53" s="433"/>
      <c r="G53" s="416" t="s">
        <v>2315</v>
      </c>
      <c r="I53" s="415" t="s">
        <v>1533</v>
      </c>
      <c r="J53" s="415" t="s">
        <v>1533</v>
      </c>
      <c r="K53" s="415" t="s">
        <v>1533</v>
      </c>
      <c r="L53" s="415"/>
      <c r="M53" s="415" t="s">
        <v>1533</v>
      </c>
      <c r="N53" s="415" t="s">
        <v>1529</v>
      </c>
      <c r="O53" s="415" t="s">
        <v>1529</v>
      </c>
      <c r="P53" s="415" t="s">
        <v>1533</v>
      </c>
      <c r="U53" s="422">
        <f t="shared" si="1"/>
        <v>0.05</v>
      </c>
      <c r="V53" s="422">
        <f t="shared" si="3"/>
        <v>5.7499999999999996E-2</v>
      </c>
      <c r="W53" s="424" t="str">
        <f>IF(ISBLANK(A53),"",VLOOKUP(A53,'KY Taxcodes'!$A:$B,2,FALSE))</f>
        <v/>
      </c>
    </row>
    <row r="54" spans="3:23" ht="15" customHeight="1">
      <c r="C54" s="417" t="s">
        <v>1532</v>
      </c>
      <c r="D54" s="433" t="s">
        <v>2314</v>
      </c>
      <c r="E54" s="433"/>
      <c r="G54" s="416" t="s">
        <v>2313</v>
      </c>
      <c r="I54" s="415" t="s">
        <v>1543</v>
      </c>
      <c r="J54" s="415" t="s">
        <v>1543</v>
      </c>
      <c r="K54" s="415" t="s">
        <v>1543</v>
      </c>
      <c r="L54" s="415"/>
      <c r="M54" s="415" t="s">
        <v>1543</v>
      </c>
      <c r="N54" s="415" t="s">
        <v>1543</v>
      </c>
      <c r="O54" s="415" t="s">
        <v>1543</v>
      </c>
      <c r="P54" s="415" t="s">
        <v>1543</v>
      </c>
      <c r="U54" s="422">
        <f t="shared" si="1"/>
        <v>0.1</v>
      </c>
      <c r="V54" s="422">
        <f t="shared" si="3"/>
        <v>0.11499999999999999</v>
      </c>
      <c r="W54" s="424" t="str">
        <f>IF(ISBLANK(A54),"",VLOOKUP(A54,'KY Taxcodes'!$A:$B,2,FALSE))</f>
        <v/>
      </c>
    </row>
    <row r="55" spans="3:23" ht="15" customHeight="1">
      <c r="C55" s="417" t="s">
        <v>1532</v>
      </c>
      <c r="D55" s="433" t="s">
        <v>2312</v>
      </c>
      <c r="E55" s="433"/>
      <c r="G55" s="416" t="s">
        <v>2311</v>
      </c>
      <c r="I55" s="415" t="s">
        <v>1543</v>
      </c>
      <c r="J55" s="415" t="s">
        <v>1543</v>
      </c>
      <c r="K55" s="415" t="s">
        <v>1543</v>
      </c>
      <c r="L55" s="415"/>
      <c r="M55" s="415" t="s">
        <v>1543</v>
      </c>
      <c r="N55" s="415" t="s">
        <v>1543</v>
      </c>
      <c r="O55" s="415" t="s">
        <v>1543</v>
      </c>
      <c r="P55" s="415" t="s">
        <v>1543</v>
      </c>
      <c r="U55" s="422">
        <f t="shared" si="1"/>
        <v>0.1</v>
      </c>
      <c r="V55" s="422">
        <f t="shared" si="3"/>
        <v>0.11499999999999999</v>
      </c>
      <c r="W55" s="424" t="str">
        <f>IF(ISBLANK(A55),"",VLOOKUP(A55,'KY Taxcodes'!$A:$B,2,FALSE))</f>
        <v/>
      </c>
    </row>
    <row r="56" spans="3:23" ht="15" customHeight="1">
      <c r="C56" s="417" t="s">
        <v>1532</v>
      </c>
      <c r="D56" s="433" t="s">
        <v>2310</v>
      </c>
      <c r="E56" s="433"/>
      <c r="G56" s="416" t="s">
        <v>2309</v>
      </c>
      <c r="I56" s="415" t="s">
        <v>1622</v>
      </c>
      <c r="J56" s="415" t="s">
        <v>1622</v>
      </c>
      <c r="K56" s="415" t="s">
        <v>1622</v>
      </c>
      <c r="L56" s="415"/>
      <c r="M56" s="415" t="s">
        <v>1622</v>
      </c>
      <c r="N56" s="415" t="s">
        <v>1622</v>
      </c>
      <c r="O56" s="415" t="s">
        <v>1622</v>
      </c>
      <c r="P56" s="415" t="s">
        <v>1622</v>
      </c>
      <c r="R56" s="434">
        <v>5</v>
      </c>
      <c r="S56" s="434"/>
      <c r="U56" s="422">
        <f t="shared" si="1"/>
        <v>0.09</v>
      </c>
      <c r="V56" s="422">
        <f t="shared" si="3"/>
        <v>0.10349999999999999</v>
      </c>
      <c r="W56" s="424" t="str">
        <f>IF(ISBLANK(A56),"",VLOOKUP(A56,'KY Taxcodes'!$A:$B,2,FALSE))</f>
        <v/>
      </c>
    </row>
    <row r="57" spans="3:23" ht="15" customHeight="1">
      <c r="C57" s="417" t="s">
        <v>1532</v>
      </c>
      <c r="D57" s="433" t="s">
        <v>2308</v>
      </c>
      <c r="E57" s="433"/>
      <c r="G57" s="416" t="s">
        <v>2307</v>
      </c>
      <c r="I57" s="415" t="s">
        <v>1543</v>
      </c>
      <c r="J57" s="415" t="s">
        <v>1543</v>
      </c>
      <c r="K57" s="415" t="s">
        <v>1543</v>
      </c>
      <c r="L57" s="415"/>
      <c r="M57" s="415" t="s">
        <v>1543</v>
      </c>
      <c r="N57" s="415" t="s">
        <v>1543</v>
      </c>
      <c r="O57" s="415" t="s">
        <v>1543</v>
      </c>
      <c r="P57" s="415" t="s">
        <v>1543</v>
      </c>
      <c r="U57" s="422">
        <f t="shared" si="1"/>
        <v>0.1</v>
      </c>
      <c r="V57" s="422">
        <f t="shared" si="3"/>
        <v>0.11499999999999999</v>
      </c>
      <c r="W57" s="424" t="str">
        <f>IF(ISBLANK(A57),"",VLOOKUP(A57,'KY Taxcodes'!$A:$B,2,FALSE))</f>
        <v/>
      </c>
    </row>
    <row r="58" spans="3:23" ht="15" customHeight="1">
      <c r="C58" s="417" t="s">
        <v>1532</v>
      </c>
      <c r="D58" s="433" t="s">
        <v>2306</v>
      </c>
      <c r="E58" s="433"/>
      <c r="G58" s="416" t="s">
        <v>2305</v>
      </c>
      <c r="I58" s="415" t="s">
        <v>1536</v>
      </c>
      <c r="J58" s="415" t="s">
        <v>1536</v>
      </c>
      <c r="K58" s="415" t="s">
        <v>1536</v>
      </c>
      <c r="L58" s="415"/>
      <c r="M58" s="415" t="s">
        <v>1536</v>
      </c>
      <c r="N58" s="415" t="s">
        <v>1536</v>
      </c>
      <c r="O58" s="415" t="s">
        <v>1536</v>
      </c>
      <c r="P58" s="415" t="s">
        <v>1536</v>
      </c>
      <c r="U58" s="422">
        <f t="shared" si="1"/>
        <v>0.06</v>
      </c>
      <c r="V58" s="422">
        <f t="shared" si="3"/>
        <v>6.8999999999999992E-2</v>
      </c>
      <c r="W58" s="424" t="str">
        <f>IF(ISBLANK(A58),"",VLOOKUP(A58,'KY Taxcodes'!$A:$B,2,FALSE))</f>
        <v/>
      </c>
    </row>
    <row r="59" spans="3:23" ht="15" customHeight="1">
      <c r="C59" s="417" t="s">
        <v>1532</v>
      </c>
      <c r="D59" s="433" t="s">
        <v>2304</v>
      </c>
      <c r="E59" s="433"/>
      <c r="G59" s="416" t="s">
        <v>2303</v>
      </c>
      <c r="I59" s="415" t="s">
        <v>1590</v>
      </c>
      <c r="J59" s="415" t="s">
        <v>1590</v>
      </c>
      <c r="K59" s="415" t="s">
        <v>1590</v>
      </c>
      <c r="L59" s="415"/>
      <c r="M59" s="415" t="s">
        <v>1590</v>
      </c>
      <c r="N59" s="415" t="s">
        <v>1590</v>
      </c>
      <c r="O59" s="415" t="s">
        <v>1590</v>
      </c>
      <c r="P59" s="415" t="s">
        <v>1590</v>
      </c>
      <c r="U59" s="422">
        <f t="shared" si="1"/>
        <v>0.12</v>
      </c>
      <c r="V59" s="422">
        <f t="shared" si="3"/>
        <v>0.13799999999999998</v>
      </c>
      <c r="W59" s="424" t="str">
        <f>IF(ISBLANK(A59),"",VLOOKUP(A59,'KY Taxcodes'!$A:$B,2,FALSE))</f>
        <v/>
      </c>
    </row>
    <row r="60" spans="3:23" ht="15" customHeight="1">
      <c r="C60" s="417" t="s">
        <v>1532</v>
      </c>
      <c r="D60" s="433" t="s">
        <v>85</v>
      </c>
      <c r="E60" s="433"/>
      <c r="G60" s="416" t="s">
        <v>2302</v>
      </c>
      <c r="I60" s="415" t="s">
        <v>1543</v>
      </c>
      <c r="J60" s="415" t="s">
        <v>1543</v>
      </c>
      <c r="K60" s="415" t="s">
        <v>1543</v>
      </c>
      <c r="L60" s="415"/>
      <c r="M60" s="415" t="s">
        <v>1543</v>
      </c>
      <c r="N60" s="415" t="s">
        <v>1529</v>
      </c>
      <c r="O60" s="415" t="s">
        <v>1543</v>
      </c>
      <c r="P60" s="415" t="s">
        <v>1543</v>
      </c>
      <c r="U60" s="422">
        <f t="shared" si="1"/>
        <v>0.1</v>
      </c>
      <c r="V60" s="422">
        <f t="shared" si="3"/>
        <v>0.11499999999999999</v>
      </c>
      <c r="W60" s="424" t="str">
        <f>IF(ISBLANK(A60),"",VLOOKUP(A60,'KY Taxcodes'!$A:$B,2,FALSE))</f>
        <v/>
      </c>
    </row>
    <row r="61" spans="3:23" ht="15" customHeight="1">
      <c r="C61" s="417" t="s">
        <v>1532</v>
      </c>
      <c r="D61" s="433" t="s">
        <v>2301</v>
      </c>
      <c r="E61" s="433"/>
      <c r="G61" s="416" t="s">
        <v>2300</v>
      </c>
      <c r="I61" s="415" t="s">
        <v>1550</v>
      </c>
      <c r="J61" s="415" t="s">
        <v>1550</v>
      </c>
      <c r="K61" s="415" t="s">
        <v>1550</v>
      </c>
      <c r="L61" s="415"/>
      <c r="M61" s="415" t="s">
        <v>1550</v>
      </c>
      <c r="N61" s="415" t="s">
        <v>1550</v>
      </c>
      <c r="O61" s="415" t="s">
        <v>1550</v>
      </c>
      <c r="P61" s="415" t="s">
        <v>1550</v>
      </c>
      <c r="U61" s="422">
        <f t="shared" si="1"/>
        <v>7.0000000000000007E-2</v>
      </c>
      <c r="V61" s="422">
        <f t="shared" si="3"/>
        <v>8.0500000000000002E-2</v>
      </c>
      <c r="W61" s="424" t="str">
        <f>IF(ISBLANK(A61),"",VLOOKUP(A61,'KY Taxcodes'!$A:$B,2,FALSE))</f>
        <v/>
      </c>
    </row>
    <row r="62" spans="3:23" ht="15" customHeight="1">
      <c r="C62" s="417" t="s">
        <v>1532</v>
      </c>
      <c r="D62" s="433" t="s">
        <v>2299</v>
      </c>
      <c r="E62" s="433"/>
      <c r="G62" s="416" t="s">
        <v>2298</v>
      </c>
      <c r="I62" s="415" t="s">
        <v>1533</v>
      </c>
      <c r="J62" s="415" t="s">
        <v>1533</v>
      </c>
      <c r="K62" s="415" t="s">
        <v>1533</v>
      </c>
      <c r="L62" s="415"/>
      <c r="M62" s="415" t="s">
        <v>1533</v>
      </c>
      <c r="N62" s="415" t="s">
        <v>1533</v>
      </c>
      <c r="O62" s="415" t="s">
        <v>1533</v>
      </c>
      <c r="P62" s="415" t="s">
        <v>1533</v>
      </c>
      <c r="U62" s="422">
        <f t="shared" si="1"/>
        <v>0.05</v>
      </c>
      <c r="V62" s="422">
        <f t="shared" si="3"/>
        <v>5.7499999999999996E-2</v>
      </c>
      <c r="W62" s="424" t="str">
        <f>IF(ISBLANK(A62),"",VLOOKUP(A62,'KY Taxcodes'!$A:$B,2,FALSE))</f>
        <v/>
      </c>
    </row>
    <row r="63" spans="3:23" ht="15" customHeight="1">
      <c r="C63" s="417" t="s">
        <v>1532</v>
      </c>
      <c r="D63" s="433" t="s">
        <v>2297</v>
      </c>
      <c r="E63" s="433"/>
      <c r="G63" s="416" t="s">
        <v>2296</v>
      </c>
      <c r="I63" s="415" t="s">
        <v>1543</v>
      </c>
      <c r="J63" s="415" t="s">
        <v>1543</v>
      </c>
      <c r="K63" s="415" t="s">
        <v>1543</v>
      </c>
      <c r="L63" s="415"/>
      <c r="M63" s="415" t="s">
        <v>1543</v>
      </c>
      <c r="N63" s="415" t="s">
        <v>1529</v>
      </c>
      <c r="O63" s="415" t="s">
        <v>1529</v>
      </c>
      <c r="P63" s="415" t="s">
        <v>1543</v>
      </c>
      <c r="U63" s="422">
        <f t="shared" si="1"/>
        <v>0.1</v>
      </c>
      <c r="V63" s="422">
        <f t="shared" si="3"/>
        <v>0.11499999999999999</v>
      </c>
      <c r="W63" s="424" t="str">
        <f>IF(ISBLANK(A63),"",VLOOKUP(A63,'KY Taxcodes'!$A:$B,2,FALSE))</f>
        <v/>
      </c>
    </row>
    <row r="64" spans="3:23" ht="15" customHeight="1">
      <c r="C64" s="417" t="s">
        <v>1532</v>
      </c>
      <c r="D64" s="433" t="s">
        <v>2295</v>
      </c>
      <c r="E64" s="433"/>
      <c r="G64" s="416" t="s">
        <v>2294</v>
      </c>
      <c r="I64" s="415" t="s">
        <v>1590</v>
      </c>
      <c r="J64" s="415" t="s">
        <v>1590</v>
      </c>
      <c r="K64" s="415" t="s">
        <v>1590</v>
      </c>
      <c r="L64" s="415"/>
      <c r="M64" s="415" t="s">
        <v>1590</v>
      </c>
      <c r="N64" s="415" t="s">
        <v>1590</v>
      </c>
      <c r="O64" s="415" t="s">
        <v>1590</v>
      </c>
      <c r="P64" s="415" t="s">
        <v>1590</v>
      </c>
      <c r="R64" s="434">
        <v>5</v>
      </c>
      <c r="S64" s="434"/>
      <c r="U64" s="422">
        <f t="shared" si="1"/>
        <v>0.12</v>
      </c>
      <c r="V64" s="422">
        <f t="shared" si="3"/>
        <v>0.13799999999999998</v>
      </c>
      <c r="W64" s="424" t="str">
        <f>IF(ISBLANK(A64),"",VLOOKUP(A64,'KY Taxcodes'!$A:$B,2,FALSE))</f>
        <v/>
      </c>
    </row>
    <row r="65" spans="1:23" ht="15" customHeight="1">
      <c r="C65" s="417" t="s">
        <v>1532</v>
      </c>
      <c r="D65" s="433" t="s">
        <v>2293</v>
      </c>
      <c r="E65" s="433"/>
      <c r="G65" s="416" t="s">
        <v>1328</v>
      </c>
      <c r="I65" s="415" t="s">
        <v>1543</v>
      </c>
      <c r="J65" s="415" t="s">
        <v>1543</v>
      </c>
      <c r="K65" s="415" t="s">
        <v>1543</v>
      </c>
      <c r="L65" s="415"/>
      <c r="M65" s="415" t="s">
        <v>1543</v>
      </c>
      <c r="N65" s="415" t="s">
        <v>1543</v>
      </c>
      <c r="O65" s="415" t="s">
        <v>1551</v>
      </c>
      <c r="P65" s="415" t="s">
        <v>1543</v>
      </c>
      <c r="U65" s="422">
        <f t="shared" si="1"/>
        <v>0.1</v>
      </c>
      <c r="V65" s="422">
        <f t="shared" si="3"/>
        <v>0.11499999999999999</v>
      </c>
      <c r="W65" s="424" t="str">
        <f>IF(ISBLANK(A65),"",VLOOKUP(A65,'KY Taxcodes'!$A:$B,2,FALSE))</f>
        <v/>
      </c>
    </row>
    <row r="66" spans="1:23" ht="15" customHeight="1">
      <c r="C66" s="417" t="s">
        <v>1532</v>
      </c>
      <c r="D66" s="433" t="s">
        <v>2292</v>
      </c>
      <c r="E66" s="433"/>
      <c r="G66" s="416" t="s">
        <v>2291</v>
      </c>
      <c r="I66" s="415" t="s">
        <v>1528</v>
      </c>
      <c r="J66" s="415" t="s">
        <v>1528</v>
      </c>
      <c r="K66" s="415" t="s">
        <v>1528</v>
      </c>
      <c r="L66" s="415"/>
      <c r="M66" s="415" t="s">
        <v>1528</v>
      </c>
      <c r="N66" s="415" t="s">
        <v>1529</v>
      </c>
      <c r="O66" s="415" t="s">
        <v>1529</v>
      </c>
      <c r="P66" s="415" t="s">
        <v>1528</v>
      </c>
      <c r="U66" s="422">
        <f t="shared" si="1"/>
        <v>0.08</v>
      </c>
      <c r="V66" s="422">
        <f t="shared" si="3"/>
        <v>9.1999999999999998E-2</v>
      </c>
      <c r="W66" s="424" t="str">
        <f>IF(ISBLANK(A66),"",VLOOKUP(A66,'KY Taxcodes'!$A:$B,2,FALSE))</f>
        <v/>
      </c>
    </row>
    <row r="67" spans="1:23" ht="15" customHeight="1">
      <c r="C67" s="417" t="s">
        <v>1532</v>
      </c>
      <c r="D67" s="433" t="s">
        <v>2290</v>
      </c>
      <c r="E67" s="433"/>
      <c r="G67" s="416" t="s">
        <v>2289</v>
      </c>
      <c r="I67" s="415" t="s">
        <v>2288</v>
      </c>
      <c r="J67" s="415" t="s">
        <v>2288</v>
      </c>
      <c r="K67" s="415" t="s">
        <v>2288</v>
      </c>
      <c r="L67" s="415"/>
      <c r="M67" s="415" t="s">
        <v>2288</v>
      </c>
      <c r="N67" s="415" t="s">
        <v>1529</v>
      </c>
      <c r="O67" s="415" t="s">
        <v>1529</v>
      </c>
      <c r="P67" s="415" t="s">
        <v>1529</v>
      </c>
      <c r="R67" s="434">
        <v>5</v>
      </c>
      <c r="S67" s="434"/>
      <c r="U67" s="422">
        <f t="shared" si="1"/>
        <v>5.1999999999999998E-2</v>
      </c>
      <c r="V67" s="422">
        <f t="shared" si="3"/>
        <v>5.9799999999999992E-2</v>
      </c>
      <c r="W67" s="424" t="str">
        <f>IF(ISBLANK(A67),"",VLOOKUP(A67,'KY Taxcodes'!$A:$B,2,FALSE))</f>
        <v/>
      </c>
    </row>
    <row r="68" spans="1:23" ht="15" customHeight="1">
      <c r="C68" s="417" t="s">
        <v>1532</v>
      </c>
      <c r="D68" s="433" t="s">
        <v>2287</v>
      </c>
      <c r="E68" s="433"/>
      <c r="G68" s="416" t="s">
        <v>2286</v>
      </c>
      <c r="I68" s="415" t="s">
        <v>1762</v>
      </c>
      <c r="J68" s="415" t="s">
        <v>1762</v>
      </c>
      <c r="K68" s="415" t="s">
        <v>1762</v>
      </c>
      <c r="L68" s="415"/>
      <c r="M68" s="415" t="s">
        <v>1762</v>
      </c>
      <c r="N68" s="415" t="s">
        <v>1762</v>
      </c>
      <c r="O68" s="415" t="s">
        <v>1762</v>
      </c>
      <c r="P68" s="415" t="s">
        <v>1762</v>
      </c>
      <c r="R68" s="434">
        <v>5</v>
      </c>
      <c r="S68" s="434"/>
      <c r="U68" s="422">
        <f t="shared" si="1"/>
        <v>7.4999999999999997E-2</v>
      </c>
      <c r="V68" s="422">
        <f t="shared" si="3"/>
        <v>8.6249999999999993E-2</v>
      </c>
      <c r="W68" s="424" t="str">
        <f>IF(ISBLANK(A68),"",VLOOKUP(A68,'KY Taxcodes'!$A:$B,2,FALSE))</f>
        <v/>
      </c>
    </row>
    <row r="69" spans="1:23" ht="15" customHeight="1">
      <c r="C69" s="417" t="s">
        <v>1532</v>
      </c>
      <c r="D69" s="433" t="s">
        <v>2285</v>
      </c>
      <c r="E69" s="433"/>
      <c r="G69" s="416" t="s">
        <v>2284</v>
      </c>
      <c r="I69" s="415" t="s">
        <v>1606</v>
      </c>
      <c r="J69" s="415" t="s">
        <v>1606</v>
      </c>
      <c r="K69" s="415" t="s">
        <v>1606</v>
      </c>
      <c r="L69" s="415"/>
      <c r="M69" s="415" t="s">
        <v>1606</v>
      </c>
      <c r="N69" s="415" t="s">
        <v>1606</v>
      </c>
      <c r="O69" s="415" t="s">
        <v>1606</v>
      </c>
      <c r="P69" s="415" t="s">
        <v>1606</v>
      </c>
      <c r="U69" s="422">
        <f t="shared" si="1"/>
        <v>0.04</v>
      </c>
      <c r="V69" s="422">
        <f t="shared" si="3"/>
        <v>4.5999999999999999E-2</v>
      </c>
      <c r="W69" s="424" t="str">
        <f>IF(ISBLANK(A69),"",VLOOKUP(A69,'KY Taxcodes'!$A:$B,2,FALSE))</f>
        <v/>
      </c>
    </row>
    <row r="70" spans="1:23" ht="15" customHeight="1">
      <c r="C70" s="417" t="s">
        <v>1532</v>
      </c>
      <c r="D70" s="433" t="s">
        <v>2283</v>
      </c>
      <c r="E70" s="433"/>
      <c r="G70" s="416" t="s">
        <v>2282</v>
      </c>
      <c r="I70" s="415" t="s">
        <v>1528</v>
      </c>
      <c r="J70" s="415" t="s">
        <v>1528</v>
      </c>
      <c r="K70" s="415" t="s">
        <v>1528</v>
      </c>
      <c r="L70" s="415"/>
      <c r="M70" s="415" t="s">
        <v>1528</v>
      </c>
      <c r="N70" s="415" t="s">
        <v>1528</v>
      </c>
      <c r="O70" s="415" t="s">
        <v>1528</v>
      </c>
      <c r="P70" s="415" t="s">
        <v>1528</v>
      </c>
      <c r="U70" s="422">
        <f t="shared" si="1"/>
        <v>0.08</v>
      </c>
      <c r="V70" s="422">
        <f t="shared" si="3"/>
        <v>9.1999999999999998E-2</v>
      </c>
      <c r="W70" s="424" t="str">
        <f>IF(ISBLANK(A70),"",VLOOKUP(A70,'KY Taxcodes'!$A:$B,2,FALSE))</f>
        <v/>
      </c>
    </row>
    <row r="71" spans="1:23" ht="15" customHeight="1">
      <c r="C71" s="417" t="s">
        <v>1532</v>
      </c>
      <c r="D71" s="433" t="s">
        <v>2281</v>
      </c>
      <c r="E71" s="433"/>
      <c r="G71" s="416" t="s">
        <v>2280</v>
      </c>
      <c r="I71" s="415" t="s">
        <v>1622</v>
      </c>
      <c r="J71" s="415" t="s">
        <v>1622</v>
      </c>
      <c r="K71" s="415" t="s">
        <v>1622</v>
      </c>
      <c r="L71" s="415"/>
      <c r="M71" s="415" t="s">
        <v>1622</v>
      </c>
      <c r="N71" s="415" t="s">
        <v>1529</v>
      </c>
      <c r="O71" s="415" t="s">
        <v>1529</v>
      </c>
      <c r="P71" s="415" t="s">
        <v>1622</v>
      </c>
      <c r="U71" s="422">
        <f t="shared" si="1"/>
        <v>0.09</v>
      </c>
      <c r="V71" s="422">
        <f t="shared" si="3"/>
        <v>0.10349999999999999</v>
      </c>
      <c r="W71" s="424" t="str">
        <f>IF(ISBLANK(A71),"",VLOOKUP(A71,'KY Taxcodes'!$A:$B,2,FALSE))</f>
        <v/>
      </c>
    </row>
    <row r="72" spans="1:23" ht="15" customHeight="1">
      <c r="C72" s="417" t="s">
        <v>1532</v>
      </c>
      <c r="D72" s="433" t="s">
        <v>2279</v>
      </c>
      <c r="E72" s="433"/>
      <c r="G72" s="416" t="s">
        <v>2278</v>
      </c>
      <c r="I72" s="415" t="s">
        <v>1536</v>
      </c>
      <c r="J72" s="415" t="s">
        <v>1536</v>
      </c>
      <c r="K72" s="415" t="s">
        <v>1536</v>
      </c>
      <c r="L72" s="415"/>
      <c r="M72" s="415" t="s">
        <v>1536</v>
      </c>
      <c r="N72" s="415" t="s">
        <v>1529</v>
      </c>
      <c r="O72" s="415" t="s">
        <v>1529</v>
      </c>
      <c r="P72" s="415" t="s">
        <v>1536</v>
      </c>
      <c r="U72" s="422">
        <f t="shared" si="1"/>
        <v>0.06</v>
      </c>
      <c r="V72" s="422">
        <f t="shared" si="3"/>
        <v>6.8999999999999992E-2</v>
      </c>
      <c r="W72" s="424" t="str">
        <f>IF(ISBLANK(A72),"",VLOOKUP(A72,'KY Taxcodes'!$A:$B,2,FALSE))</f>
        <v/>
      </c>
    </row>
    <row r="73" spans="1:23" ht="15" customHeight="1">
      <c r="C73" s="417" t="s">
        <v>1582</v>
      </c>
      <c r="D73" s="433" t="s">
        <v>2277</v>
      </c>
      <c r="E73" s="433"/>
      <c r="G73" s="416" t="s">
        <v>2276</v>
      </c>
      <c r="I73" s="415" t="s">
        <v>2275</v>
      </c>
      <c r="J73" s="415" t="s">
        <v>2275</v>
      </c>
      <c r="K73" s="415" t="s">
        <v>2275</v>
      </c>
      <c r="L73" s="415"/>
      <c r="M73" s="415" t="s">
        <v>2275</v>
      </c>
      <c r="N73" s="415" t="s">
        <v>2275</v>
      </c>
      <c r="O73" s="415" t="s">
        <v>2275</v>
      </c>
      <c r="P73" s="415" t="s">
        <v>2275</v>
      </c>
      <c r="R73" s="434">
        <v>5</v>
      </c>
      <c r="S73" s="434"/>
      <c r="U73" s="422">
        <f t="shared" si="1"/>
        <v>0.16</v>
      </c>
      <c r="V73" s="422">
        <f t="shared" si="3"/>
        <v>0.18</v>
      </c>
      <c r="W73" s="424" t="str">
        <f>IF(ISBLANK(A73),"",VLOOKUP(A73,'KY Taxcodes'!$A:$B,2,FALSE))</f>
        <v/>
      </c>
    </row>
    <row r="74" spans="1:23" ht="15" customHeight="1">
      <c r="C74" s="417" t="s">
        <v>1532</v>
      </c>
      <c r="D74" s="433" t="s">
        <v>2274</v>
      </c>
      <c r="E74" s="433"/>
      <c r="G74" s="416" t="s">
        <v>2273</v>
      </c>
      <c r="I74" s="415" t="s">
        <v>1528</v>
      </c>
      <c r="J74" s="415" t="s">
        <v>1528</v>
      </c>
      <c r="K74" s="415" t="s">
        <v>1528</v>
      </c>
      <c r="L74" s="415"/>
      <c r="M74" s="415" t="s">
        <v>1528</v>
      </c>
      <c r="N74" s="415" t="s">
        <v>1528</v>
      </c>
      <c r="O74" s="415" t="s">
        <v>1528</v>
      </c>
      <c r="P74" s="415" t="s">
        <v>1529</v>
      </c>
      <c r="U74" s="422">
        <f t="shared" si="1"/>
        <v>0.08</v>
      </c>
      <c r="V74" s="422">
        <f t="shared" si="3"/>
        <v>9.1999999999999998E-2</v>
      </c>
      <c r="W74" s="424" t="str">
        <f>IF(ISBLANK(A74),"",VLOOKUP(A74,'KY Taxcodes'!$A:$B,2,FALSE))</f>
        <v/>
      </c>
    </row>
    <row r="75" spans="1:23" ht="15" customHeight="1">
      <c r="C75" s="417" t="s">
        <v>1532</v>
      </c>
      <c r="D75" s="433" t="s">
        <v>2272</v>
      </c>
      <c r="E75" s="433"/>
      <c r="G75" s="416" t="s">
        <v>2271</v>
      </c>
      <c r="I75" s="415" t="s">
        <v>1536</v>
      </c>
      <c r="J75" s="415" t="s">
        <v>1536</v>
      </c>
      <c r="K75" s="415" t="s">
        <v>1536</v>
      </c>
      <c r="L75" s="415"/>
      <c r="M75" s="415" t="s">
        <v>1536</v>
      </c>
      <c r="N75" s="415" t="s">
        <v>1529</v>
      </c>
      <c r="O75" s="415" t="s">
        <v>1529</v>
      </c>
      <c r="P75" s="415" t="s">
        <v>1536</v>
      </c>
      <c r="U75" s="422">
        <f t="shared" si="1"/>
        <v>0.06</v>
      </c>
      <c r="V75" s="422">
        <f t="shared" si="3"/>
        <v>6.8999999999999992E-2</v>
      </c>
      <c r="W75" s="424" t="str">
        <f>IF(ISBLANK(A75),"",VLOOKUP(A75,'KY Taxcodes'!$A:$B,2,FALSE))</f>
        <v/>
      </c>
    </row>
    <row r="76" spans="1:23" ht="15" customHeight="1">
      <c r="A76" s="416" t="s">
        <v>2270</v>
      </c>
      <c r="B76" s="416"/>
      <c r="C76" s="417" t="s">
        <v>1532</v>
      </c>
      <c r="D76" s="433" t="s">
        <v>2269</v>
      </c>
      <c r="E76" s="433"/>
      <c r="G76" s="416" t="s">
        <v>2268</v>
      </c>
      <c r="I76" s="415" t="s">
        <v>1528</v>
      </c>
      <c r="J76" s="415" t="s">
        <v>1528</v>
      </c>
      <c r="K76" s="415" t="s">
        <v>1528</v>
      </c>
      <c r="L76" s="415"/>
      <c r="M76" s="415" t="s">
        <v>1528</v>
      </c>
      <c r="N76" s="415" t="s">
        <v>1528</v>
      </c>
      <c r="O76" s="415" t="s">
        <v>1528</v>
      </c>
      <c r="P76" s="415" t="s">
        <v>1528</v>
      </c>
      <c r="U76" s="422">
        <f t="shared" si="1"/>
        <v>0.08</v>
      </c>
      <c r="V76" s="422">
        <f t="shared" si="3"/>
        <v>9.1999999999999998E-2</v>
      </c>
      <c r="W76" s="424" t="str">
        <f>IF(ISBLANK(A76),"",VLOOKUP(A76,'KY Taxcodes'!$A:$B,2,FALSE))</f>
        <v>Tax charge shall not apply to property used exclusively for religious, educational purposes, whether public, church, or private.</v>
      </c>
    </row>
    <row r="77" spans="1:23" ht="15" customHeight="1">
      <c r="C77" s="417" t="s">
        <v>1532</v>
      </c>
      <c r="D77" s="433" t="s">
        <v>2267</v>
      </c>
      <c r="E77" s="433"/>
      <c r="G77" s="416" t="s">
        <v>2266</v>
      </c>
      <c r="I77" s="415" t="s">
        <v>1606</v>
      </c>
      <c r="J77" s="415" t="s">
        <v>1606</v>
      </c>
      <c r="K77" s="415" t="s">
        <v>1606</v>
      </c>
      <c r="L77" s="415"/>
      <c r="M77" s="415" t="s">
        <v>1606</v>
      </c>
      <c r="N77" s="415" t="s">
        <v>1529</v>
      </c>
      <c r="O77" s="415" t="s">
        <v>1529</v>
      </c>
      <c r="P77" s="415" t="s">
        <v>1606</v>
      </c>
      <c r="U77" s="422">
        <f t="shared" ref="U77:U140" si="4">VALUE(J77)</f>
        <v>0.04</v>
      </c>
      <c r="V77" s="422">
        <f t="shared" si="3"/>
        <v>4.5999999999999999E-2</v>
      </c>
      <c r="W77" s="424" t="str">
        <f>IF(ISBLANK(A77),"",VLOOKUP(A77,'KY Taxcodes'!$A:$B,2,FALSE))</f>
        <v/>
      </c>
    </row>
    <row r="78" spans="1:23" ht="15" customHeight="1">
      <c r="C78" s="417" t="s">
        <v>1532</v>
      </c>
      <c r="D78" s="433" t="s">
        <v>2265</v>
      </c>
      <c r="E78" s="433"/>
      <c r="G78" s="416" t="s">
        <v>2264</v>
      </c>
      <c r="I78" s="415" t="s">
        <v>1533</v>
      </c>
      <c r="J78" s="415" t="s">
        <v>1533</v>
      </c>
      <c r="K78" s="415" t="s">
        <v>1533</v>
      </c>
      <c r="L78" s="415"/>
      <c r="M78" s="415" t="s">
        <v>1533</v>
      </c>
      <c r="N78" s="415" t="s">
        <v>1533</v>
      </c>
      <c r="O78" s="415" t="s">
        <v>1533</v>
      </c>
      <c r="P78" s="415" t="s">
        <v>1533</v>
      </c>
      <c r="R78" s="434">
        <v>5</v>
      </c>
      <c r="S78" s="434"/>
      <c r="U78" s="422">
        <f t="shared" si="4"/>
        <v>0.05</v>
      </c>
      <c r="V78" s="422">
        <f t="shared" si="3"/>
        <v>5.7499999999999996E-2</v>
      </c>
      <c r="W78" s="424" t="str">
        <f>IF(ISBLANK(A78),"",VLOOKUP(A78,'KY Taxcodes'!$A:$B,2,FALSE))</f>
        <v/>
      </c>
    </row>
    <row r="79" spans="1:23" ht="15" customHeight="1">
      <c r="C79" s="417" t="s">
        <v>1532</v>
      </c>
      <c r="D79" s="433" t="s">
        <v>2263</v>
      </c>
      <c r="E79" s="433"/>
      <c r="G79" s="416" t="s">
        <v>2262</v>
      </c>
      <c r="I79" s="415" t="s">
        <v>1528</v>
      </c>
      <c r="J79" s="415" t="s">
        <v>1528</v>
      </c>
      <c r="K79" s="415" t="s">
        <v>1528</v>
      </c>
      <c r="L79" s="415"/>
      <c r="M79" s="415" t="s">
        <v>1528</v>
      </c>
      <c r="N79" s="415" t="s">
        <v>1529</v>
      </c>
      <c r="O79" s="415" t="s">
        <v>1529</v>
      </c>
      <c r="P79" s="415" t="s">
        <v>1528</v>
      </c>
      <c r="U79" s="422">
        <f t="shared" si="4"/>
        <v>0.08</v>
      </c>
      <c r="V79" s="422">
        <f t="shared" si="3"/>
        <v>9.1999999999999998E-2</v>
      </c>
      <c r="W79" s="424" t="str">
        <f>IF(ISBLANK(A79),"",VLOOKUP(A79,'KY Taxcodes'!$A:$B,2,FALSE))</f>
        <v/>
      </c>
    </row>
    <row r="80" spans="1:23" ht="15" customHeight="1">
      <c r="C80" s="417" t="s">
        <v>1532</v>
      </c>
      <c r="D80" s="433" t="s">
        <v>2261</v>
      </c>
      <c r="E80" s="433"/>
      <c r="G80" s="416" t="s">
        <v>2260</v>
      </c>
      <c r="I80" s="415" t="s">
        <v>1533</v>
      </c>
      <c r="J80" s="415" t="s">
        <v>1533</v>
      </c>
      <c r="K80" s="415" t="s">
        <v>1533</v>
      </c>
      <c r="L80" s="415"/>
      <c r="M80" s="415" t="s">
        <v>1533</v>
      </c>
      <c r="N80" s="415" t="s">
        <v>1529</v>
      </c>
      <c r="O80" s="415" t="s">
        <v>1529</v>
      </c>
      <c r="P80" s="415" t="s">
        <v>1529</v>
      </c>
      <c r="U80" s="422">
        <f t="shared" si="4"/>
        <v>0.05</v>
      </c>
      <c r="V80" s="422">
        <f t="shared" si="3"/>
        <v>5.7499999999999996E-2</v>
      </c>
      <c r="W80" s="424" t="str">
        <f>IF(ISBLANK(A80),"",VLOOKUP(A80,'KY Taxcodes'!$A:$B,2,FALSE))</f>
        <v/>
      </c>
    </row>
    <row r="81" spans="1:23" ht="15" customHeight="1">
      <c r="A81" s="416" t="s">
        <v>601</v>
      </c>
      <c r="B81" s="416"/>
      <c r="C81" s="417" t="s">
        <v>1532</v>
      </c>
      <c r="D81" s="433" t="s">
        <v>2259</v>
      </c>
      <c r="E81" s="433"/>
      <c r="G81" s="416" t="s">
        <v>2258</v>
      </c>
      <c r="I81" s="415" t="s">
        <v>1622</v>
      </c>
      <c r="J81" s="415" t="s">
        <v>1622</v>
      </c>
      <c r="K81" s="415" t="s">
        <v>1622</v>
      </c>
      <c r="L81" s="415"/>
      <c r="M81" s="415" t="s">
        <v>1622</v>
      </c>
      <c r="N81" s="415" t="s">
        <v>1622</v>
      </c>
      <c r="O81" s="415" t="s">
        <v>1529</v>
      </c>
      <c r="P81" s="415" t="s">
        <v>1622</v>
      </c>
      <c r="R81" s="434">
        <v>5</v>
      </c>
      <c r="S81" s="434"/>
      <c r="U81" s="422">
        <f t="shared" si="4"/>
        <v>0.09</v>
      </c>
      <c r="V81" s="422">
        <f t="shared" si="3"/>
        <v>0.10349999999999999</v>
      </c>
      <c r="W81" s="424" t="str">
        <f>IF(ISBLANK(A81),"",VLOOKUP(A81,'KY Taxcodes'!$A:$B,2,FALSE))</f>
        <v>Tax charge shall not apply to premiums collected from all accredited schools and all organized religious organizations; i.e. churches, synagogues, and places where worship services are held on a regular basis; nor premiums paid to any state employee benefit fund created pursuant to KRS Chapter 18A.</v>
      </c>
    </row>
    <row r="82" spans="1:23" ht="15" customHeight="1">
      <c r="C82" s="417" t="s">
        <v>1532</v>
      </c>
      <c r="D82" s="433" t="s">
        <v>2257</v>
      </c>
      <c r="E82" s="433"/>
      <c r="G82" s="416" t="s">
        <v>2256</v>
      </c>
      <c r="I82" s="415" t="s">
        <v>1606</v>
      </c>
      <c r="J82" s="415" t="s">
        <v>1606</v>
      </c>
      <c r="K82" s="415" t="s">
        <v>1606</v>
      </c>
      <c r="L82" s="415"/>
      <c r="M82" s="415" t="s">
        <v>1606</v>
      </c>
      <c r="N82" s="415" t="s">
        <v>1529</v>
      </c>
      <c r="O82" s="415" t="s">
        <v>1606</v>
      </c>
      <c r="P82" s="415" t="s">
        <v>1606</v>
      </c>
      <c r="U82" s="422">
        <f t="shared" si="4"/>
        <v>0.04</v>
      </c>
      <c r="V82" s="422">
        <f t="shared" si="3"/>
        <v>4.5999999999999999E-2</v>
      </c>
      <c r="W82" s="424" t="str">
        <f>IF(ISBLANK(A82),"",VLOOKUP(A82,'KY Taxcodes'!$A:$B,2,FALSE))</f>
        <v/>
      </c>
    </row>
    <row r="83" spans="1:23" ht="15" customHeight="1">
      <c r="C83" s="417" t="s">
        <v>1532</v>
      </c>
      <c r="D83" s="433" t="s">
        <v>2255</v>
      </c>
      <c r="E83" s="433"/>
      <c r="G83" s="416" t="s">
        <v>2254</v>
      </c>
      <c r="I83" s="415" t="s">
        <v>1543</v>
      </c>
      <c r="J83" s="415" t="s">
        <v>1543</v>
      </c>
      <c r="K83" s="415" t="s">
        <v>1543</v>
      </c>
      <c r="L83" s="415"/>
      <c r="M83" s="415" t="s">
        <v>1543</v>
      </c>
      <c r="N83" s="415" t="s">
        <v>1529</v>
      </c>
      <c r="O83" s="415" t="s">
        <v>1529</v>
      </c>
      <c r="P83" s="415" t="s">
        <v>1543</v>
      </c>
      <c r="U83" s="422">
        <f t="shared" si="4"/>
        <v>0.1</v>
      </c>
      <c r="V83" s="422">
        <f t="shared" si="3"/>
        <v>0.11499999999999999</v>
      </c>
      <c r="W83" s="424" t="str">
        <f>IF(ISBLANK(A83),"",VLOOKUP(A83,'KY Taxcodes'!$A:$B,2,FALSE))</f>
        <v/>
      </c>
    </row>
    <row r="84" spans="1:23" ht="15" customHeight="1">
      <c r="C84" s="417" t="s">
        <v>1532</v>
      </c>
      <c r="D84" s="433" t="s">
        <v>2253</v>
      </c>
      <c r="E84" s="433"/>
      <c r="G84" s="416" t="s">
        <v>2252</v>
      </c>
      <c r="I84" s="415" t="s">
        <v>1533</v>
      </c>
      <c r="J84" s="415" t="s">
        <v>1533</v>
      </c>
      <c r="K84" s="415" t="s">
        <v>1533</v>
      </c>
      <c r="L84" s="415"/>
      <c r="M84" s="415" t="s">
        <v>1533</v>
      </c>
      <c r="N84" s="415" t="s">
        <v>1533</v>
      </c>
      <c r="O84" s="415" t="s">
        <v>1533</v>
      </c>
      <c r="P84" s="415" t="s">
        <v>1533</v>
      </c>
      <c r="U84" s="422">
        <f t="shared" si="4"/>
        <v>0.05</v>
      </c>
      <c r="V84" s="422">
        <f t="shared" si="3"/>
        <v>5.7499999999999996E-2</v>
      </c>
      <c r="W84" s="424" t="str">
        <f>IF(ISBLANK(A84),"",VLOOKUP(A84,'KY Taxcodes'!$A:$B,2,FALSE))</f>
        <v/>
      </c>
    </row>
    <row r="85" spans="1:23" ht="15" customHeight="1">
      <c r="C85" s="417" t="s">
        <v>1532</v>
      </c>
      <c r="D85" s="433" t="s">
        <v>2251</v>
      </c>
      <c r="E85" s="433"/>
      <c r="G85" s="416" t="s">
        <v>2250</v>
      </c>
      <c r="I85" s="415" t="s">
        <v>1543</v>
      </c>
      <c r="J85" s="415" t="s">
        <v>1543</v>
      </c>
      <c r="K85" s="415" t="s">
        <v>1543</v>
      </c>
      <c r="L85" s="415"/>
      <c r="M85" s="415" t="s">
        <v>1543</v>
      </c>
      <c r="N85" s="415" t="s">
        <v>1543</v>
      </c>
      <c r="O85" s="415" t="s">
        <v>1543</v>
      </c>
      <c r="P85" s="415" t="s">
        <v>1543</v>
      </c>
      <c r="U85" s="422">
        <f t="shared" si="4"/>
        <v>0.1</v>
      </c>
      <c r="V85" s="422">
        <f t="shared" si="3"/>
        <v>0.11499999999999999</v>
      </c>
      <c r="W85" s="424" t="str">
        <f>IF(ISBLANK(A85),"",VLOOKUP(A85,'KY Taxcodes'!$A:$B,2,FALSE))</f>
        <v/>
      </c>
    </row>
    <row r="86" spans="1:23" ht="15" customHeight="1">
      <c r="C86" s="417" t="s">
        <v>1532</v>
      </c>
      <c r="D86" s="433" t="s">
        <v>2249</v>
      </c>
      <c r="E86" s="433"/>
      <c r="G86" s="416" t="s">
        <v>2248</v>
      </c>
      <c r="I86" s="415" t="s">
        <v>1622</v>
      </c>
      <c r="J86" s="415" t="s">
        <v>1622</v>
      </c>
      <c r="K86" s="415" t="s">
        <v>1622</v>
      </c>
      <c r="L86" s="415"/>
      <c r="M86" s="415" t="s">
        <v>1622</v>
      </c>
      <c r="N86" s="415" t="s">
        <v>1622</v>
      </c>
      <c r="O86" s="415" t="s">
        <v>1622</v>
      </c>
      <c r="P86" s="415" t="s">
        <v>1622</v>
      </c>
      <c r="U86" s="422">
        <f t="shared" si="4"/>
        <v>0.09</v>
      </c>
      <c r="V86" s="422">
        <f t="shared" si="3"/>
        <v>0.10349999999999999</v>
      </c>
      <c r="W86" s="424" t="str">
        <f>IF(ISBLANK(A86),"",VLOOKUP(A86,'KY Taxcodes'!$A:$B,2,FALSE))</f>
        <v/>
      </c>
    </row>
    <row r="87" spans="1:23" ht="15" customHeight="1">
      <c r="C87" s="417" t="s">
        <v>1532</v>
      </c>
      <c r="D87" s="433" t="s">
        <v>2247</v>
      </c>
      <c r="E87" s="433"/>
      <c r="G87" s="416" t="s">
        <v>2246</v>
      </c>
      <c r="I87" s="415" t="s">
        <v>1543</v>
      </c>
      <c r="J87" s="415" t="s">
        <v>1543</v>
      </c>
      <c r="K87" s="415" t="s">
        <v>1543</v>
      </c>
      <c r="L87" s="415"/>
      <c r="M87" s="415" t="s">
        <v>1543</v>
      </c>
      <c r="N87" s="415" t="s">
        <v>1543</v>
      </c>
      <c r="O87" s="415" t="s">
        <v>1543</v>
      </c>
      <c r="P87" s="415" t="s">
        <v>1543</v>
      </c>
      <c r="U87" s="422">
        <f t="shared" si="4"/>
        <v>0.1</v>
      </c>
      <c r="V87" s="422">
        <f t="shared" si="3"/>
        <v>0.11499999999999999</v>
      </c>
      <c r="W87" s="424" t="str">
        <f>IF(ISBLANK(A87),"",VLOOKUP(A87,'KY Taxcodes'!$A:$B,2,FALSE))</f>
        <v/>
      </c>
    </row>
    <row r="88" spans="1:23" ht="15" customHeight="1">
      <c r="C88" s="417" t="s">
        <v>1532</v>
      </c>
      <c r="D88" s="433" t="s">
        <v>2245</v>
      </c>
      <c r="E88" s="433"/>
      <c r="G88" s="416" t="s">
        <v>2244</v>
      </c>
      <c r="I88" s="415" t="s">
        <v>1590</v>
      </c>
      <c r="J88" s="415" t="s">
        <v>1590</v>
      </c>
      <c r="K88" s="415" t="s">
        <v>1590</v>
      </c>
      <c r="L88" s="415"/>
      <c r="M88" s="415" t="s">
        <v>1590</v>
      </c>
      <c r="N88" s="415" t="s">
        <v>1590</v>
      </c>
      <c r="O88" s="415" t="s">
        <v>1590</v>
      </c>
      <c r="P88" s="415" t="s">
        <v>1590</v>
      </c>
      <c r="U88" s="422">
        <f t="shared" si="4"/>
        <v>0.12</v>
      </c>
      <c r="V88" s="422">
        <f t="shared" si="3"/>
        <v>0.13799999999999998</v>
      </c>
      <c r="W88" s="424" t="str">
        <f>IF(ISBLANK(A88),"",VLOOKUP(A88,'KY Taxcodes'!$A:$B,2,FALSE))</f>
        <v/>
      </c>
    </row>
    <row r="89" spans="1:23" ht="15" customHeight="1">
      <c r="A89" s="416" t="s">
        <v>631</v>
      </c>
      <c r="B89" s="416"/>
      <c r="C89" s="417" t="s">
        <v>1532</v>
      </c>
      <c r="D89" s="433" t="s">
        <v>2243</v>
      </c>
      <c r="E89" s="433"/>
      <c r="G89" s="416" t="s">
        <v>1327</v>
      </c>
      <c r="I89" s="415" t="s">
        <v>1590</v>
      </c>
      <c r="J89" s="415" t="s">
        <v>1590</v>
      </c>
      <c r="K89" s="415" t="s">
        <v>1590</v>
      </c>
      <c r="L89" s="415"/>
      <c r="M89" s="415" t="s">
        <v>1590</v>
      </c>
      <c r="N89" s="415" t="s">
        <v>1590</v>
      </c>
      <c r="O89" s="415" t="s">
        <v>1590</v>
      </c>
      <c r="P89" s="415" t="s">
        <v>1590</v>
      </c>
      <c r="U89" s="422">
        <f t="shared" si="4"/>
        <v>0.12</v>
      </c>
      <c r="V89" s="422">
        <f t="shared" si="3"/>
        <v>0.13799999999999998</v>
      </c>
      <c r="W89" s="424" t="str">
        <f>IF(ISBLANK(A89),"",VLOOKUP(A89,'KY Taxcodes'!$A:$B,2,FALSE))</f>
        <v>12% rate will revert to a 10% rate on July 1, 2021.</v>
      </c>
    </row>
    <row r="90" spans="1:23" ht="15" customHeight="1">
      <c r="C90" s="417" t="s">
        <v>1532</v>
      </c>
      <c r="D90" s="433" t="s">
        <v>2242</v>
      </c>
      <c r="E90" s="433"/>
      <c r="G90" s="416" t="s">
        <v>2241</v>
      </c>
      <c r="I90" s="415" t="s">
        <v>1622</v>
      </c>
      <c r="J90" s="415" t="s">
        <v>1622</v>
      </c>
      <c r="K90" s="415" t="s">
        <v>1622</v>
      </c>
      <c r="L90" s="415"/>
      <c r="M90" s="415" t="s">
        <v>1622</v>
      </c>
      <c r="N90" s="415" t="s">
        <v>1622</v>
      </c>
      <c r="O90" s="415" t="s">
        <v>1622</v>
      </c>
      <c r="P90" s="415" t="s">
        <v>1622</v>
      </c>
      <c r="U90" s="422">
        <f t="shared" si="4"/>
        <v>0.09</v>
      </c>
      <c r="V90" s="422">
        <f t="shared" si="3"/>
        <v>0.10349999999999999</v>
      </c>
      <c r="W90" s="424" t="str">
        <f>IF(ISBLANK(A90),"",VLOOKUP(A90,'KY Taxcodes'!$A:$B,2,FALSE))</f>
        <v/>
      </c>
    </row>
    <row r="91" spans="1:23" ht="15" customHeight="1">
      <c r="C91" s="417" t="s">
        <v>1532</v>
      </c>
      <c r="D91" s="433" t="s">
        <v>2240</v>
      </c>
      <c r="E91" s="433"/>
      <c r="G91" s="416" t="s">
        <v>2239</v>
      </c>
      <c r="I91" s="415" t="s">
        <v>2238</v>
      </c>
      <c r="J91" s="415" t="s">
        <v>2238</v>
      </c>
      <c r="K91" s="415" t="s">
        <v>2238</v>
      </c>
      <c r="L91" s="415"/>
      <c r="M91" s="415" t="s">
        <v>2238</v>
      </c>
      <c r="N91" s="415" t="s">
        <v>2238</v>
      </c>
      <c r="O91" s="415" t="s">
        <v>2238</v>
      </c>
      <c r="P91" s="415" t="s">
        <v>2238</v>
      </c>
      <c r="U91" s="422">
        <f t="shared" si="4"/>
        <v>5.8000000000000003E-2</v>
      </c>
      <c r="V91" s="422">
        <f t="shared" si="3"/>
        <v>6.6699999999999995E-2</v>
      </c>
      <c r="W91" s="424" t="str">
        <f>IF(ISBLANK(A91),"",VLOOKUP(A91,'KY Taxcodes'!$A:$B,2,FALSE))</f>
        <v/>
      </c>
    </row>
    <row r="92" spans="1:23" ht="15" customHeight="1">
      <c r="C92" s="417" t="s">
        <v>1532</v>
      </c>
      <c r="D92" s="433" t="s">
        <v>2237</v>
      </c>
      <c r="E92" s="433"/>
      <c r="G92" s="416" t="s">
        <v>2236</v>
      </c>
      <c r="I92" s="415" t="s">
        <v>1533</v>
      </c>
      <c r="J92" s="415" t="s">
        <v>1533</v>
      </c>
      <c r="K92" s="415" t="s">
        <v>1533</v>
      </c>
      <c r="L92" s="415"/>
      <c r="M92" s="415" t="s">
        <v>1533</v>
      </c>
      <c r="N92" s="415" t="s">
        <v>1533</v>
      </c>
      <c r="O92" s="415" t="s">
        <v>1543</v>
      </c>
      <c r="P92" s="415" t="s">
        <v>1533</v>
      </c>
      <c r="U92" s="422">
        <f t="shared" si="4"/>
        <v>0.05</v>
      </c>
      <c r="V92" s="422">
        <f t="shared" ref="V92:V155" si="5">IF(ISBLANK($J92),"",IF($J92="none",0,IF($U92&gt;13.3%,$U92+2%,IF($U92&lt;=13.3%,$U92*1.15,$U92))))</f>
        <v>5.7499999999999996E-2</v>
      </c>
      <c r="W92" s="424" t="str">
        <f>IF(ISBLANK(A92),"",VLOOKUP(A92,'KY Taxcodes'!$A:$B,2,FALSE))</f>
        <v/>
      </c>
    </row>
    <row r="93" spans="1:23" ht="15" customHeight="1">
      <c r="C93" s="417" t="s">
        <v>1532</v>
      </c>
      <c r="D93" s="433" t="s">
        <v>2235</v>
      </c>
      <c r="E93" s="433"/>
      <c r="G93" s="416" t="s">
        <v>2234</v>
      </c>
      <c r="I93" s="415" t="s">
        <v>1543</v>
      </c>
      <c r="J93" s="415" t="s">
        <v>1543</v>
      </c>
      <c r="K93" s="415" t="s">
        <v>1543</v>
      </c>
      <c r="L93" s="415"/>
      <c r="M93" s="415" t="s">
        <v>1543</v>
      </c>
      <c r="N93" s="415" t="s">
        <v>1529</v>
      </c>
      <c r="O93" s="415" t="s">
        <v>1529</v>
      </c>
      <c r="P93" s="415" t="s">
        <v>1543</v>
      </c>
      <c r="U93" s="422">
        <f t="shared" si="4"/>
        <v>0.1</v>
      </c>
      <c r="V93" s="422">
        <f t="shared" si="5"/>
        <v>0.11499999999999999</v>
      </c>
      <c r="W93" s="424" t="str">
        <f>IF(ISBLANK(A93),"",VLOOKUP(A93,'KY Taxcodes'!$A:$B,2,FALSE))</f>
        <v/>
      </c>
    </row>
    <row r="94" spans="1:23" ht="15" customHeight="1">
      <c r="A94" s="416" t="s">
        <v>2233</v>
      </c>
      <c r="B94" s="416"/>
      <c r="C94" s="417" t="s">
        <v>1532</v>
      </c>
      <c r="D94" s="433" t="s">
        <v>2232</v>
      </c>
      <c r="E94" s="433"/>
      <c r="G94" s="416" t="s">
        <v>2231</v>
      </c>
      <c r="I94" s="415" t="s">
        <v>1543</v>
      </c>
      <c r="J94" s="415" t="s">
        <v>1543</v>
      </c>
      <c r="K94" s="415" t="s">
        <v>1543</v>
      </c>
      <c r="L94" s="415"/>
      <c r="M94" s="415" t="s">
        <v>1543</v>
      </c>
      <c r="N94" s="415" t="s">
        <v>1543</v>
      </c>
      <c r="O94" s="415" t="s">
        <v>1543</v>
      </c>
      <c r="P94" s="415" t="s">
        <v>1543</v>
      </c>
      <c r="U94" s="422">
        <f t="shared" si="4"/>
        <v>0.1</v>
      </c>
      <c r="V94" s="422">
        <f t="shared" si="5"/>
        <v>0.11499999999999999</v>
      </c>
      <c r="W94" s="424" t="str">
        <f>IF(ISBLANK(A94),"",VLOOKUP(A94,'KY Taxcodes'!$A:$B,2,FALSE))</f>
        <v>The City of Park Lake has been annexed into the City of Crestwood and will become a part of the City of Crestwood, Oldham County, Kentucky.  The City of Park Lake is no longer a municipal corporation.</v>
      </c>
    </row>
    <row r="95" spans="1:23" ht="15" customHeight="1">
      <c r="A95" s="416" t="s">
        <v>2230</v>
      </c>
      <c r="B95" s="416"/>
      <c r="C95" s="417" t="s">
        <v>1532</v>
      </c>
      <c r="D95" s="433" t="s">
        <v>2229</v>
      </c>
      <c r="E95" s="433"/>
      <c r="G95" s="416" t="s">
        <v>2228</v>
      </c>
      <c r="I95" s="415" t="s">
        <v>1622</v>
      </c>
      <c r="J95" s="415" t="s">
        <v>1622</v>
      </c>
      <c r="K95" s="415" t="s">
        <v>1622</v>
      </c>
      <c r="L95" s="415"/>
      <c r="M95" s="415" t="s">
        <v>1622</v>
      </c>
      <c r="N95" s="415" t="s">
        <v>1622</v>
      </c>
      <c r="O95" s="415" t="s">
        <v>1622</v>
      </c>
      <c r="P95" s="415" t="s">
        <v>1622</v>
      </c>
      <c r="U95" s="422">
        <f t="shared" si="4"/>
        <v>0.09</v>
      </c>
      <c r="V95" s="422">
        <f t="shared" si="5"/>
        <v>0.10349999999999999</v>
      </c>
      <c r="W95" s="424" t="str">
        <f>IF(ISBLANK(A95),"",VLOOKUP(A95,'KY Taxcodes'!$A:$B,2,FALSE))</f>
        <v>Tax charge shall not apply to churches.</v>
      </c>
    </row>
    <row r="96" spans="1:23" ht="15" customHeight="1">
      <c r="C96" s="417" t="s">
        <v>1532</v>
      </c>
      <c r="D96" s="433" t="s">
        <v>2227</v>
      </c>
      <c r="E96" s="433"/>
      <c r="G96" s="416" t="s">
        <v>2226</v>
      </c>
      <c r="I96" s="415" t="s">
        <v>1551</v>
      </c>
      <c r="J96" s="415" t="s">
        <v>1551</v>
      </c>
      <c r="K96" s="415" t="s">
        <v>1551</v>
      </c>
      <c r="L96" s="415"/>
      <c r="M96" s="415" t="s">
        <v>1551</v>
      </c>
      <c r="N96" s="415" t="s">
        <v>1529</v>
      </c>
      <c r="O96" s="415" t="s">
        <v>1529</v>
      </c>
      <c r="P96" s="415" t="s">
        <v>1551</v>
      </c>
      <c r="U96" s="422">
        <f t="shared" si="4"/>
        <v>0.02</v>
      </c>
      <c r="V96" s="422">
        <f t="shared" si="5"/>
        <v>2.3E-2</v>
      </c>
      <c r="W96" s="424" t="str">
        <f>IF(ISBLANK(A96),"",VLOOKUP(A96,'KY Taxcodes'!$A:$B,2,FALSE))</f>
        <v/>
      </c>
    </row>
    <row r="97" spans="1:23" ht="15" customHeight="1">
      <c r="C97" s="417" t="s">
        <v>1532</v>
      </c>
      <c r="D97" s="433" t="s">
        <v>2225</v>
      </c>
      <c r="E97" s="433"/>
      <c r="G97" s="416" t="s">
        <v>2224</v>
      </c>
      <c r="I97" s="415" t="s">
        <v>1543</v>
      </c>
      <c r="J97" s="415" t="s">
        <v>1543</v>
      </c>
      <c r="K97" s="415" t="s">
        <v>1543</v>
      </c>
      <c r="L97" s="415"/>
      <c r="M97" s="415" t="s">
        <v>1543</v>
      </c>
      <c r="N97" s="415" t="s">
        <v>1543</v>
      </c>
      <c r="O97" s="415" t="s">
        <v>1543</v>
      </c>
      <c r="P97" s="415" t="s">
        <v>1543</v>
      </c>
      <c r="U97" s="422">
        <f t="shared" si="4"/>
        <v>0.1</v>
      </c>
      <c r="V97" s="422">
        <f t="shared" si="5"/>
        <v>0.11499999999999999</v>
      </c>
      <c r="W97" s="424" t="str">
        <f>IF(ISBLANK(A97),"",VLOOKUP(A97,'KY Taxcodes'!$A:$B,2,FALSE))</f>
        <v/>
      </c>
    </row>
    <row r="98" spans="1:23" ht="15" customHeight="1">
      <c r="C98" s="417" t="s">
        <v>1532</v>
      </c>
      <c r="D98" s="433" t="s">
        <v>2223</v>
      </c>
      <c r="E98" s="433"/>
      <c r="G98" s="416" t="s">
        <v>2222</v>
      </c>
      <c r="I98" s="415" t="s">
        <v>1533</v>
      </c>
      <c r="J98" s="415" t="s">
        <v>1533</v>
      </c>
      <c r="K98" s="415" t="s">
        <v>1533</v>
      </c>
      <c r="L98" s="415"/>
      <c r="M98" s="415" t="s">
        <v>1533</v>
      </c>
      <c r="N98" s="415" t="s">
        <v>1533</v>
      </c>
      <c r="O98" s="415" t="s">
        <v>1533</v>
      </c>
      <c r="P98" s="415" t="s">
        <v>1533</v>
      </c>
      <c r="U98" s="422">
        <f t="shared" si="4"/>
        <v>0.05</v>
      </c>
      <c r="V98" s="422">
        <f t="shared" si="5"/>
        <v>5.7499999999999996E-2</v>
      </c>
      <c r="W98" s="424" t="str">
        <f>IF(ISBLANK(A98),"",VLOOKUP(A98,'KY Taxcodes'!$A:$B,2,FALSE))</f>
        <v/>
      </c>
    </row>
    <row r="99" spans="1:23" ht="15" customHeight="1">
      <c r="C99" s="417" t="s">
        <v>1532</v>
      </c>
      <c r="D99" s="433" t="s">
        <v>2221</v>
      </c>
      <c r="E99" s="433"/>
      <c r="G99" s="416" t="s">
        <v>2220</v>
      </c>
      <c r="I99" s="415" t="s">
        <v>1528</v>
      </c>
      <c r="J99" s="415" t="s">
        <v>1528</v>
      </c>
      <c r="K99" s="415" t="s">
        <v>1528</v>
      </c>
      <c r="L99" s="415"/>
      <c r="M99" s="415" t="s">
        <v>1528</v>
      </c>
      <c r="N99" s="415" t="s">
        <v>1528</v>
      </c>
      <c r="O99" s="415" t="s">
        <v>1528</v>
      </c>
      <c r="P99" s="415" t="s">
        <v>1528</v>
      </c>
      <c r="U99" s="422">
        <f t="shared" si="4"/>
        <v>0.08</v>
      </c>
      <c r="V99" s="422">
        <f t="shared" si="5"/>
        <v>9.1999999999999998E-2</v>
      </c>
      <c r="W99" s="424" t="str">
        <f>IF(ISBLANK(A99),"",VLOOKUP(A99,'KY Taxcodes'!$A:$B,2,FALSE))</f>
        <v/>
      </c>
    </row>
    <row r="100" spans="1:23" ht="15" customHeight="1">
      <c r="C100" s="417" t="s">
        <v>1532</v>
      </c>
      <c r="D100" s="433" t="s">
        <v>2219</v>
      </c>
      <c r="E100" s="433"/>
      <c r="G100" s="416" t="s">
        <v>2218</v>
      </c>
      <c r="I100" s="415" t="s">
        <v>1536</v>
      </c>
      <c r="J100" s="415" t="s">
        <v>1536</v>
      </c>
      <c r="K100" s="415" t="s">
        <v>1536</v>
      </c>
      <c r="L100" s="415"/>
      <c r="M100" s="415" t="s">
        <v>1536</v>
      </c>
      <c r="N100" s="415" t="s">
        <v>1536</v>
      </c>
      <c r="O100" s="415" t="s">
        <v>1536</v>
      </c>
      <c r="P100" s="415" t="s">
        <v>1536</v>
      </c>
      <c r="U100" s="422">
        <f t="shared" si="4"/>
        <v>0.06</v>
      </c>
      <c r="V100" s="422">
        <f t="shared" si="5"/>
        <v>6.8999999999999992E-2</v>
      </c>
      <c r="W100" s="424" t="str">
        <f>IF(ISBLANK(A100),"",VLOOKUP(A100,'KY Taxcodes'!$A:$B,2,FALSE))</f>
        <v/>
      </c>
    </row>
    <row r="101" spans="1:23" ht="15" customHeight="1">
      <c r="C101" s="417" t="s">
        <v>1532</v>
      </c>
      <c r="D101" s="433" t="s">
        <v>2217</v>
      </c>
      <c r="E101" s="433"/>
      <c r="G101" s="416" t="s">
        <v>2216</v>
      </c>
      <c r="I101" s="415" t="s">
        <v>1528</v>
      </c>
      <c r="J101" s="415" t="s">
        <v>1528</v>
      </c>
      <c r="K101" s="415" t="s">
        <v>1528</v>
      </c>
      <c r="L101" s="415"/>
      <c r="M101" s="415" t="s">
        <v>1528</v>
      </c>
      <c r="N101" s="415" t="s">
        <v>1529</v>
      </c>
      <c r="O101" s="415" t="s">
        <v>1528</v>
      </c>
      <c r="P101" s="415" t="s">
        <v>1528</v>
      </c>
      <c r="U101" s="422">
        <f t="shared" si="4"/>
        <v>0.08</v>
      </c>
      <c r="V101" s="422">
        <f t="shared" si="5"/>
        <v>9.1999999999999998E-2</v>
      </c>
      <c r="W101" s="424" t="str">
        <f>IF(ISBLANK(A101),"",VLOOKUP(A101,'KY Taxcodes'!$A:$B,2,FALSE))</f>
        <v/>
      </c>
    </row>
    <row r="102" spans="1:23" ht="15" customHeight="1">
      <c r="A102" s="416" t="s">
        <v>2215</v>
      </c>
      <c r="B102" s="416"/>
      <c r="C102" s="417" t="s">
        <v>1532</v>
      </c>
      <c r="D102" s="433" t="s">
        <v>2214</v>
      </c>
      <c r="E102" s="433"/>
      <c r="G102" s="416" t="s">
        <v>2213</v>
      </c>
      <c r="I102" s="415" t="s">
        <v>1575</v>
      </c>
      <c r="J102" s="415" t="s">
        <v>1575</v>
      </c>
      <c r="K102" s="415" t="s">
        <v>1575</v>
      </c>
      <c r="L102" s="415"/>
      <c r="M102" s="415" t="s">
        <v>1575</v>
      </c>
      <c r="N102" s="415" t="s">
        <v>2212</v>
      </c>
      <c r="O102" s="415" t="s">
        <v>1529</v>
      </c>
      <c r="P102" s="415" t="s">
        <v>1529</v>
      </c>
      <c r="U102" s="422">
        <f t="shared" si="4"/>
        <v>8.8999999999999996E-2</v>
      </c>
      <c r="V102" s="422">
        <f t="shared" si="5"/>
        <v>0.10234999999999998</v>
      </c>
      <c r="W102" s="531" t="s">
        <v>2437</v>
      </c>
    </row>
    <row r="103" spans="1:23" ht="15" customHeight="1">
      <c r="A103" s="416" t="s">
        <v>1583</v>
      </c>
      <c r="B103" s="416"/>
      <c r="C103" s="417" t="s">
        <v>1532</v>
      </c>
      <c r="D103" s="433" t="s">
        <v>2211</v>
      </c>
      <c r="E103" s="433"/>
      <c r="G103" s="416" t="s">
        <v>2210</v>
      </c>
      <c r="I103" s="415" t="s">
        <v>1543</v>
      </c>
      <c r="J103" s="415" t="s">
        <v>1543</v>
      </c>
      <c r="K103" s="415" t="s">
        <v>1543</v>
      </c>
      <c r="L103" s="415"/>
      <c r="M103" s="415" t="s">
        <v>1543</v>
      </c>
      <c r="N103" s="415" t="s">
        <v>1533</v>
      </c>
      <c r="O103" s="415" t="s">
        <v>1533</v>
      </c>
      <c r="P103" s="415" t="s">
        <v>1543</v>
      </c>
      <c r="U103" s="422">
        <f t="shared" si="4"/>
        <v>0.1</v>
      </c>
      <c r="V103" s="422">
        <f t="shared" si="5"/>
        <v>0.11499999999999999</v>
      </c>
      <c r="W103" s="424" t="str">
        <f>IF(ISBLANK(A103),"",VLOOKUP(A103,'KY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04" spans="1:23" ht="15" customHeight="1">
      <c r="A104" s="416" t="s">
        <v>36</v>
      </c>
      <c r="B104" s="416"/>
      <c r="C104" s="417" t="s">
        <v>1532</v>
      </c>
      <c r="D104" s="433" t="s">
        <v>2209</v>
      </c>
      <c r="E104" s="433"/>
      <c r="G104" s="416" t="s">
        <v>2208</v>
      </c>
      <c r="I104" s="415" t="s">
        <v>1752</v>
      </c>
      <c r="J104" s="415" t="s">
        <v>1752</v>
      </c>
      <c r="K104" s="415" t="s">
        <v>1752</v>
      </c>
      <c r="L104" s="415"/>
      <c r="M104" s="415" t="s">
        <v>1752</v>
      </c>
      <c r="N104" s="415" t="s">
        <v>1529</v>
      </c>
      <c r="O104" s="415" t="s">
        <v>1529</v>
      </c>
      <c r="P104" s="415" t="s">
        <v>1752</v>
      </c>
      <c r="U104" s="422">
        <f t="shared" si="4"/>
        <v>0.11</v>
      </c>
      <c r="V104" s="422">
        <f t="shared" si="5"/>
        <v>0.1265</v>
      </c>
      <c r="W104" s="424" t="str">
        <f>IF(ISBLANK(A104),"",VLOOKUP(A104,'KY Taxcodes'!$A:$B,2,FALSE))</f>
        <v>Tax charge shall not apply to schools, churches, public buildings, nor burial associations for burial service.</v>
      </c>
    </row>
    <row r="105" spans="1:23" ht="15" customHeight="1">
      <c r="C105" s="417" t="s">
        <v>1532</v>
      </c>
      <c r="D105" s="433" t="s">
        <v>2207</v>
      </c>
      <c r="E105" s="433"/>
      <c r="G105" s="416" t="s">
        <v>2206</v>
      </c>
      <c r="I105" s="415" t="s">
        <v>1533</v>
      </c>
      <c r="J105" s="415" t="s">
        <v>1533</v>
      </c>
      <c r="K105" s="415" t="s">
        <v>1533</v>
      </c>
      <c r="L105" s="415"/>
      <c r="M105" s="415" t="s">
        <v>1533</v>
      </c>
      <c r="N105" s="415" t="s">
        <v>1533</v>
      </c>
      <c r="O105" s="415" t="s">
        <v>1533</v>
      </c>
      <c r="P105" s="415" t="s">
        <v>1533</v>
      </c>
      <c r="U105" s="422">
        <f t="shared" si="4"/>
        <v>0.05</v>
      </c>
      <c r="V105" s="422">
        <f t="shared" si="5"/>
        <v>5.7499999999999996E-2</v>
      </c>
      <c r="W105" s="424" t="str">
        <f>IF(ISBLANK(A105),"",VLOOKUP(A105,'KY Taxcodes'!$A:$B,2,FALSE))</f>
        <v/>
      </c>
    </row>
    <row r="106" spans="1:23" ht="15" customHeight="1">
      <c r="C106" s="417" t="s">
        <v>1532</v>
      </c>
      <c r="D106" s="433" t="s">
        <v>2205</v>
      </c>
      <c r="E106" s="433"/>
      <c r="G106" s="416" t="s">
        <v>2204</v>
      </c>
      <c r="I106" s="415" t="s">
        <v>1533</v>
      </c>
      <c r="J106" s="415" t="s">
        <v>1533</v>
      </c>
      <c r="K106" s="415" t="s">
        <v>1533</v>
      </c>
      <c r="L106" s="415"/>
      <c r="M106" s="415" t="s">
        <v>1533</v>
      </c>
      <c r="N106" s="415" t="s">
        <v>1529</v>
      </c>
      <c r="O106" s="415" t="s">
        <v>1533</v>
      </c>
      <c r="P106" s="415" t="s">
        <v>1533</v>
      </c>
      <c r="U106" s="422">
        <f t="shared" si="4"/>
        <v>0.05</v>
      </c>
      <c r="V106" s="422">
        <f t="shared" si="5"/>
        <v>5.7499999999999996E-2</v>
      </c>
      <c r="W106" s="424" t="str">
        <f>IF(ISBLANK(A106),"",VLOOKUP(A106,'KY Taxcodes'!$A:$B,2,FALSE))</f>
        <v/>
      </c>
    </row>
    <row r="107" spans="1:23" ht="15" customHeight="1">
      <c r="C107" s="417" t="s">
        <v>1532</v>
      </c>
      <c r="D107" s="433" t="s">
        <v>2203</v>
      </c>
      <c r="E107" s="433"/>
      <c r="G107" s="416" t="s">
        <v>2202</v>
      </c>
      <c r="I107" s="415" t="s">
        <v>1550</v>
      </c>
      <c r="J107" s="415" t="s">
        <v>1550</v>
      </c>
      <c r="K107" s="415" t="s">
        <v>1550</v>
      </c>
      <c r="L107" s="415"/>
      <c r="M107" s="415" t="s">
        <v>1550</v>
      </c>
      <c r="N107" s="415" t="s">
        <v>1550</v>
      </c>
      <c r="O107" s="415" t="s">
        <v>1550</v>
      </c>
      <c r="P107" s="415" t="s">
        <v>1550</v>
      </c>
      <c r="U107" s="422">
        <f t="shared" si="4"/>
        <v>7.0000000000000007E-2</v>
      </c>
      <c r="V107" s="422">
        <f t="shared" si="5"/>
        <v>8.0500000000000002E-2</v>
      </c>
      <c r="W107" s="424" t="str">
        <f>IF(ISBLANK(A107),"",VLOOKUP(A107,'KY Taxcodes'!$A:$B,2,FALSE))</f>
        <v/>
      </c>
    </row>
    <row r="108" spans="1:23" ht="15" customHeight="1">
      <c r="C108" s="417" t="s">
        <v>1532</v>
      </c>
      <c r="D108" s="433" t="s">
        <v>2201</v>
      </c>
      <c r="E108" s="433"/>
      <c r="G108" s="416" t="s">
        <v>2200</v>
      </c>
      <c r="I108" s="415" t="s">
        <v>1533</v>
      </c>
      <c r="J108" s="415" t="s">
        <v>1533</v>
      </c>
      <c r="K108" s="415" t="s">
        <v>1533</v>
      </c>
      <c r="L108" s="415"/>
      <c r="M108" s="415" t="s">
        <v>1533</v>
      </c>
      <c r="N108" s="415" t="s">
        <v>1533</v>
      </c>
      <c r="O108" s="415" t="s">
        <v>1533</v>
      </c>
      <c r="P108" s="415" t="s">
        <v>1533</v>
      </c>
      <c r="U108" s="422">
        <f t="shared" si="4"/>
        <v>0.05</v>
      </c>
      <c r="V108" s="422">
        <f t="shared" si="5"/>
        <v>5.7499999999999996E-2</v>
      </c>
      <c r="W108" s="424" t="str">
        <f>IF(ISBLANK(A108),"",VLOOKUP(A108,'KY Taxcodes'!$A:$B,2,FALSE))</f>
        <v/>
      </c>
    </row>
    <row r="109" spans="1:23" ht="15" customHeight="1">
      <c r="C109" s="417" t="s">
        <v>1532</v>
      </c>
      <c r="D109" s="433" t="s">
        <v>2199</v>
      </c>
      <c r="E109" s="433"/>
      <c r="G109" s="416" t="s">
        <v>2198</v>
      </c>
      <c r="I109" s="415" t="s">
        <v>2014</v>
      </c>
      <c r="J109" s="415" t="s">
        <v>2014</v>
      </c>
      <c r="K109" s="415" t="s">
        <v>2014</v>
      </c>
      <c r="L109" s="415"/>
      <c r="M109" s="415" t="s">
        <v>2014</v>
      </c>
      <c r="N109" s="415" t="s">
        <v>2014</v>
      </c>
      <c r="O109" s="415" t="s">
        <v>2014</v>
      </c>
      <c r="P109" s="415" t="s">
        <v>2014</v>
      </c>
      <c r="U109" s="422">
        <f t="shared" si="4"/>
        <v>8.5000000000000006E-2</v>
      </c>
      <c r="V109" s="422">
        <f t="shared" si="5"/>
        <v>9.7750000000000004E-2</v>
      </c>
      <c r="W109" s="424" t="str">
        <f>IF(ISBLANK(A109),"",VLOOKUP(A109,'KY Taxcodes'!$A:$B,2,FALSE))</f>
        <v/>
      </c>
    </row>
    <row r="110" spans="1:23" ht="15" customHeight="1">
      <c r="C110" s="417" t="s">
        <v>1532</v>
      </c>
      <c r="D110" s="433" t="s">
        <v>2197</v>
      </c>
      <c r="E110" s="433"/>
      <c r="G110" s="416" t="s">
        <v>2196</v>
      </c>
      <c r="I110" s="415" t="s">
        <v>1543</v>
      </c>
      <c r="J110" s="415" t="s">
        <v>1543</v>
      </c>
      <c r="K110" s="415" t="s">
        <v>1543</v>
      </c>
      <c r="L110" s="415"/>
      <c r="M110" s="415" t="s">
        <v>1543</v>
      </c>
      <c r="N110" s="415" t="s">
        <v>1543</v>
      </c>
      <c r="O110" s="415" t="s">
        <v>1543</v>
      </c>
      <c r="P110" s="415" t="s">
        <v>1543</v>
      </c>
      <c r="U110" s="422">
        <f t="shared" si="4"/>
        <v>0.1</v>
      </c>
      <c r="V110" s="422">
        <f t="shared" si="5"/>
        <v>0.11499999999999999</v>
      </c>
      <c r="W110" s="424" t="str">
        <f>IF(ISBLANK(A110),"",VLOOKUP(A110,'KY Taxcodes'!$A:$B,2,FALSE))</f>
        <v/>
      </c>
    </row>
    <row r="111" spans="1:23" ht="15" customHeight="1">
      <c r="C111" s="417" t="s">
        <v>1532</v>
      </c>
      <c r="D111" s="433" t="s">
        <v>2195</v>
      </c>
      <c r="E111" s="433"/>
      <c r="G111" s="416" t="s">
        <v>2194</v>
      </c>
      <c r="I111" s="415" t="s">
        <v>1543</v>
      </c>
      <c r="J111" s="415" t="s">
        <v>1543</v>
      </c>
      <c r="K111" s="415" t="s">
        <v>1533</v>
      </c>
      <c r="L111" s="415"/>
      <c r="M111" s="415" t="s">
        <v>1543</v>
      </c>
      <c r="N111" s="415" t="s">
        <v>1529</v>
      </c>
      <c r="O111" s="415" t="s">
        <v>1529</v>
      </c>
      <c r="P111" s="415" t="s">
        <v>1543</v>
      </c>
      <c r="R111" s="434">
        <v>5</v>
      </c>
      <c r="S111" s="434"/>
      <c r="U111" s="422">
        <f t="shared" si="4"/>
        <v>0.1</v>
      </c>
      <c r="V111" s="422">
        <f t="shared" si="5"/>
        <v>0.11499999999999999</v>
      </c>
      <c r="W111" s="424" t="str">
        <f>IF(ISBLANK(A111),"",VLOOKUP(A111,'KY Taxcodes'!$A:$B,2,FALSE))</f>
        <v/>
      </c>
    </row>
    <row r="112" spans="1:23" ht="15" customHeight="1">
      <c r="C112" s="417" t="s">
        <v>1532</v>
      </c>
      <c r="D112" s="433" t="s">
        <v>2193</v>
      </c>
      <c r="E112" s="433"/>
      <c r="G112" s="416" t="s">
        <v>2192</v>
      </c>
      <c r="I112" s="415" t="s">
        <v>1550</v>
      </c>
      <c r="J112" s="415" t="s">
        <v>1550</v>
      </c>
      <c r="K112" s="415" t="s">
        <v>1550</v>
      </c>
      <c r="L112" s="415"/>
      <c r="M112" s="415" t="s">
        <v>1550</v>
      </c>
      <c r="N112" s="415" t="s">
        <v>1550</v>
      </c>
      <c r="O112" s="415" t="s">
        <v>1550</v>
      </c>
      <c r="P112" s="415" t="s">
        <v>1550</v>
      </c>
      <c r="U112" s="422">
        <f t="shared" si="4"/>
        <v>7.0000000000000007E-2</v>
      </c>
      <c r="V112" s="422">
        <f t="shared" si="5"/>
        <v>8.0500000000000002E-2</v>
      </c>
      <c r="W112" s="424" t="str">
        <f>IF(ISBLANK(A112),"",VLOOKUP(A112,'KY Taxcodes'!$A:$B,2,FALSE))</f>
        <v/>
      </c>
    </row>
    <row r="113" spans="1:23" ht="15" customHeight="1">
      <c r="A113" s="416" t="s">
        <v>1583</v>
      </c>
      <c r="B113" s="416"/>
      <c r="C113" s="417" t="s">
        <v>1532</v>
      </c>
      <c r="D113" s="433" t="s">
        <v>2191</v>
      </c>
      <c r="E113" s="433"/>
      <c r="G113" s="416" t="s">
        <v>2190</v>
      </c>
      <c r="I113" s="415" t="s">
        <v>1673</v>
      </c>
      <c r="J113" s="415" t="s">
        <v>1673</v>
      </c>
      <c r="K113" s="415" t="s">
        <v>1673</v>
      </c>
      <c r="L113" s="415"/>
      <c r="M113" s="415" t="s">
        <v>1673</v>
      </c>
      <c r="N113" s="415" t="s">
        <v>1673</v>
      </c>
      <c r="O113" s="415" t="s">
        <v>1543</v>
      </c>
      <c r="P113" s="415" t="s">
        <v>1673</v>
      </c>
      <c r="U113" s="422">
        <f t="shared" si="4"/>
        <v>0.03</v>
      </c>
      <c r="V113" s="422">
        <f t="shared" si="5"/>
        <v>3.4499999999999996E-2</v>
      </c>
      <c r="W113" s="424" t="str">
        <f>IF(ISBLANK(A113),"",VLOOKUP(A113,'KY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14" spans="1:23" ht="15" customHeight="1">
      <c r="C114" s="417" t="s">
        <v>1532</v>
      </c>
      <c r="D114" s="433" t="s">
        <v>2189</v>
      </c>
      <c r="E114" s="433"/>
      <c r="G114" s="416" t="s">
        <v>2188</v>
      </c>
      <c r="I114" s="415" t="s">
        <v>1528</v>
      </c>
      <c r="J114" s="415" t="s">
        <v>1528</v>
      </c>
      <c r="K114" s="415" t="s">
        <v>1528</v>
      </c>
      <c r="L114" s="415"/>
      <c r="M114" s="415" t="s">
        <v>1528</v>
      </c>
      <c r="N114" s="415" t="s">
        <v>1529</v>
      </c>
      <c r="O114" s="415" t="s">
        <v>1529</v>
      </c>
      <c r="P114" s="415" t="s">
        <v>1528</v>
      </c>
      <c r="U114" s="422">
        <f t="shared" si="4"/>
        <v>0.08</v>
      </c>
      <c r="V114" s="422">
        <f t="shared" si="5"/>
        <v>9.1999999999999998E-2</v>
      </c>
      <c r="W114" s="424" t="str">
        <f>IF(ISBLANK(A114),"",VLOOKUP(A114,'KY Taxcodes'!$A:$B,2,FALSE))</f>
        <v/>
      </c>
    </row>
    <row r="115" spans="1:23" ht="15" customHeight="1">
      <c r="C115" s="417" t="s">
        <v>1532</v>
      </c>
      <c r="D115" s="433" t="s">
        <v>2187</v>
      </c>
      <c r="E115" s="433"/>
      <c r="G115" s="416" t="s">
        <v>2186</v>
      </c>
      <c r="I115" s="415" t="s">
        <v>1673</v>
      </c>
      <c r="J115" s="415" t="s">
        <v>1673</v>
      </c>
      <c r="K115" s="415" t="s">
        <v>1673</v>
      </c>
      <c r="L115" s="415"/>
      <c r="M115" s="415" t="s">
        <v>1673</v>
      </c>
      <c r="N115" s="415" t="s">
        <v>1529</v>
      </c>
      <c r="O115" s="415" t="s">
        <v>1673</v>
      </c>
      <c r="P115" s="415" t="s">
        <v>1673</v>
      </c>
      <c r="U115" s="422">
        <f t="shared" si="4"/>
        <v>0.03</v>
      </c>
      <c r="V115" s="422">
        <f t="shared" si="5"/>
        <v>3.4499999999999996E-2</v>
      </c>
      <c r="W115" s="424" t="str">
        <f>IF(ISBLANK(A115),"",VLOOKUP(A115,'KY Taxcodes'!$A:$B,2,FALSE))</f>
        <v/>
      </c>
    </row>
    <row r="116" spans="1:23" ht="15" customHeight="1">
      <c r="C116" s="417" t="s">
        <v>1532</v>
      </c>
      <c r="D116" s="433" t="s">
        <v>2185</v>
      </c>
      <c r="E116" s="433"/>
      <c r="G116" s="416" t="s">
        <v>2184</v>
      </c>
      <c r="I116" s="415" t="s">
        <v>1528</v>
      </c>
      <c r="J116" s="415" t="s">
        <v>1528</v>
      </c>
      <c r="K116" s="415" t="s">
        <v>1528</v>
      </c>
      <c r="L116" s="415"/>
      <c r="M116" s="415" t="s">
        <v>1528</v>
      </c>
      <c r="N116" s="415" t="s">
        <v>1529</v>
      </c>
      <c r="O116" s="415" t="s">
        <v>1529</v>
      </c>
      <c r="P116" s="415" t="s">
        <v>1528</v>
      </c>
      <c r="R116" s="434">
        <v>10</v>
      </c>
      <c r="S116" s="434"/>
      <c r="U116" s="422">
        <f t="shared" si="4"/>
        <v>0.08</v>
      </c>
      <c r="V116" s="422">
        <f t="shared" si="5"/>
        <v>9.1999999999999998E-2</v>
      </c>
      <c r="W116" s="424" t="str">
        <f>IF(ISBLANK(A116),"",VLOOKUP(A116,'KY Taxcodes'!$A:$B,2,FALSE))</f>
        <v/>
      </c>
    </row>
    <row r="117" spans="1:23" ht="15" customHeight="1">
      <c r="C117" s="417" t="s">
        <v>1532</v>
      </c>
      <c r="D117" s="433" t="s">
        <v>2183</v>
      </c>
      <c r="E117" s="433"/>
      <c r="G117" s="416" t="s">
        <v>2182</v>
      </c>
      <c r="I117" s="415" t="s">
        <v>1536</v>
      </c>
      <c r="J117" s="415" t="s">
        <v>1536</v>
      </c>
      <c r="K117" s="415" t="s">
        <v>1536</v>
      </c>
      <c r="L117" s="415"/>
      <c r="M117" s="415" t="s">
        <v>1536</v>
      </c>
      <c r="N117" s="415" t="s">
        <v>1529</v>
      </c>
      <c r="O117" s="415" t="s">
        <v>1529</v>
      </c>
      <c r="P117" s="415" t="s">
        <v>1536</v>
      </c>
      <c r="U117" s="422">
        <f t="shared" si="4"/>
        <v>0.06</v>
      </c>
      <c r="V117" s="422">
        <f t="shared" si="5"/>
        <v>6.8999999999999992E-2</v>
      </c>
      <c r="W117" s="424" t="str">
        <f>IF(ISBLANK(A117),"",VLOOKUP(A117,'KY Taxcodes'!$A:$B,2,FALSE))</f>
        <v/>
      </c>
    </row>
    <row r="118" spans="1:23" ht="15" customHeight="1">
      <c r="C118" s="417" t="s">
        <v>1532</v>
      </c>
      <c r="D118" s="433" t="s">
        <v>2181</v>
      </c>
      <c r="E118" s="433"/>
      <c r="G118" s="416" t="s">
        <v>2180</v>
      </c>
      <c r="I118" s="415" t="s">
        <v>1543</v>
      </c>
      <c r="J118" s="415" t="s">
        <v>1543</v>
      </c>
      <c r="K118" s="415" t="s">
        <v>1543</v>
      </c>
      <c r="L118" s="415"/>
      <c r="M118" s="415" t="s">
        <v>1543</v>
      </c>
      <c r="N118" s="415" t="s">
        <v>1543</v>
      </c>
      <c r="O118" s="415" t="s">
        <v>1543</v>
      </c>
      <c r="P118" s="415" t="s">
        <v>1543</v>
      </c>
      <c r="U118" s="422">
        <f t="shared" si="4"/>
        <v>0.1</v>
      </c>
      <c r="V118" s="422">
        <f t="shared" si="5"/>
        <v>0.11499999999999999</v>
      </c>
      <c r="W118" s="424" t="str">
        <f>IF(ISBLANK(A118),"",VLOOKUP(A118,'KY Taxcodes'!$A:$B,2,FALSE))</f>
        <v/>
      </c>
    </row>
    <row r="119" spans="1:23" ht="15" customHeight="1">
      <c r="C119" s="417" t="s">
        <v>1532</v>
      </c>
      <c r="D119" s="433" t="s">
        <v>2179</v>
      </c>
      <c r="E119" s="433"/>
      <c r="G119" s="416" t="s">
        <v>2178</v>
      </c>
      <c r="I119" s="415" t="s">
        <v>1543</v>
      </c>
      <c r="J119" s="415" t="s">
        <v>1543</v>
      </c>
      <c r="K119" s="415" t="s">
        <v>1543</v>
      </c>
      <c r="L119" s="415"/>
      <c r="M119" s="415" t="s">
        <v>1543</v>
      </c>
      <c r="N119" s="415" t="s">
        <v>1543</v>
      </c>
      <c r="O119" s="415" t="s">
        <v>1543</v>
      </c>
      <c r="P119" s="415" t="s">
        <v>1543</v>
      </c>
      <c r="U119" s="422">
        <f t="shared" si="4"/>
        <v>0.1</v>
      </c>
      <c r="V119" s="422">
        <f t="shared" si="5"/>
        <v>0.11499999999999999</v>
      </c>
      <c r="W119" s="424" t="str">
        <f>IF(ISBLANK(A119),"",VLOOKUP(A119,'KY Taxcodes'!$A:$B,2,FALSE))</f>
        <v/>
      </c>
    </row>
    <row r="120" spans="1:23" ht="15" customHeight="1">
      <c r="C120" s="417" t="s">
        <v>1532</v>
      </c>
      <c r="D120" s="433" t="s">
        <v>2177</v>
      </c>
      <c r="E120" s="433"/>
      <c r="G120" s="416" t="s">
        <v>2176</v>
      </c>
      <c r="I120" s="415" t="s">
        <v>1543</v>
      </c>
      <c r="J120" s="415" t="s">
        <v>1543</v>
      </c>
      <c r="K120" s="415" t="s">
        <v>1543</v>
      </c>
      <c r="L120" s="415"/>
      <c r="M120" s="415" t="s">
        <v>1543</v>
      </c>
      <c r="N120" s="415" t="s">
        <v>1543</v>
      </c>
      <c r="O120" s="415" t="s">
        <v>1543</v>
      </c>
      <c r="P120" s="415" t="s">
        <v>1543</v>
      </c>
      <c r="U120" s="422">
        <f t="shared" si="4"/>
        <v>0.1</v>
      </c>
      <c r="V120" s="422">
        <f t="shared" si="5"/>
        <v>0.11499999999999999</v>
      </c>
      <c r="W120" s="424" t="str">
        <f>IF(ISBLANK(A120),"",VLOOKUP(A120,'KY Taxcodes'!$A:$B,2,FALSE))</f>
        <v/>
      </c>
    </row>
    <row r="121" spans="1:23" ht="15" customHeight="1">
      <c r="C121" s="417" t="s">
        <v>1532</v>
      </c>
      <c r="D121" s="433" t="s">
        <v>2175</v>
      </c>
      <c r="E121" s="433"/>
      <c r="G121" s="416" t="s">
        <v>2174</v>
      </c>
      <c r="I121" s="415" t="s">
        <v>1543</v>
      </c>
      <c r="J121" s="415" t="s">
        <v>1543</v>
      </c>
      <c r="K121" s="415" t="s">
        <v>1543</v>
      </c>
      <c r="L121" s="415"/>
      <c r="M121" s="415" t="s">
        <v>1543</v>
      </c>
      <c r="N121" s="415" t="s">
        <v>1543</v>
      </c>
      <c r="O121" s="415" t="s">
        <v>1543</v>
      </c>
      <c r="P121" s="415" t="s">
        <v>1543</v>
      </c>
      <c r="U121" s="422">
        <f t="shared" si="4"/>
        <v>0.1</v>
      </c>
      <c r="V121" s="422">
        <f t="shared" si="5"/>
        <v>0.11499999999999999</v>
      </c>
      <c r="W121" s="424" t="str">
        <f>IF(ISBLANK(A121),"",VLOOKUP(A121,'KY Taxcodes'!$A:$B,2,FALSE))</f>
        <v/>
      </c>
    </row>
    <row r="122" spans="1:23" ht="15" customHeight="1">
      <c r="C122" s="417" t="s">
        <v>1532</v>
      </c>
      <c r="D122" s="433" t="s">
        <v>2173</v>
      </c>
      <c r="E122" s="433"/>
      <c r="G122" s="416" t="s">
        <v>2172</v>
      </c>
      <c r="I122" s="415" t="s">
        <v>1536</v>
      </c>
      <c r="J122" s="415" t="s">
        <v>1536</v>
      </c>
      <c r="K122" s="415" t="s">
        <v>1536</v>
      </c>
      <c r="L122" s="415"/>
      <c r="M122" s="415" t="s">
        <v>1536</v>
      </c>
      <c r="N122" s="415" t="s">
        <v>1529</v>
      </c>
      <c r="O122" s="415" t="s">
        <v>1536</v>
      </c>
      <c r="P122" s="415" t="s">
        <v>1536</v>
      </c>
      <c r="U122" s="422">
        <f t="shared" si="4"/>
        <v>0.06</v>
      </c>
      <c r="V122" s="422">
        <f t="shared" si="5"/>
        <v>6.8999999999999992E-2</v>
      </c>
      <c r="W122" s="424" t="str">
        <f>IF(ISBLANK(A122),"",VLOOKUP(A122,'KY Taxcodes'!$A:$B,2,FALSE))</f>
        <v/>
      </c>
    </row>
    <row r="123" spans="1:23" ht="15" customHeight="1">
      <c r="C123" s="417" t="s">
        <v>1532</v>
      </c>
      <c r="D123" s="433" t="s">
        <v>2171</v>
      </c>
      <c r="E123" s="433"/>
      <c r="G123" s="416" t="s">
        <v>2170</v>
      </c>
      <c r="I123" s="415" t="s">
        <v>1543</v>
      </c>
      <c r="J123" s="415" t="s">
        <v>1543</v>
      </c>
      <c r="K123" s="415" t="s">
        <v>1543</v>
      </c>
      <c r="L123" s="415"/>
      <c r="M123" s="415" t="s">
        <v>1543</v>
      </c>
      <c r="N123" s="415" t="s">
        <v>1543</v>
      </c>
      <c r="O123" s="415" t="s">
        <v>1543</v>
      </c>
      <c r="P123" s="415" t="s">
        <v>1543</v>
      </c>
      <c r="U123" s="422">
        <f t="shared" si="4"/>
        <v>0.1</v>
      </c>
      <c r="V123" s="422">
        <f t="shared" si="5"/>
        <v>0.11499999999999999</v>
      </c>
      <c r="W123" s="424" t="str">
        <f>IF(ISBLANK(A123),"",VLOOKUP(A123,'KY Taxcodes'!$A:$B,2,FALSE))</f>
        <v/>
      </c>
    </row>
    <row r="124" spans="1:23" ht="15" customHeight="1">
      <c r="C124" s="417" t="s">
        <v>1532</v>
      </c>
      <c r="D124" s="433" t="s">
        <v>2169</v>
      </c>
      <c r="E124" s="433"/>
      <c r="G124" s="416" t="s">
        <v>2168</v>
      </c>
      <c r="I124" s="415" t="s">
        <v>2167</v>
      </c>
      <c r="J124" s="415" t="s">
        <v>2167</v>
      </c>
      <c r="K124" s="415" t="s">
        <v>2167</v>
      </c>
      <c r="L124" s="415"/>
      <c r="M124" s="415" t="s">
        <v>2167</v>
      </c>
      <c r="N124" s="415" t="s">
        <v>2167</v>
      </c>
      <c r="O124" s="415" t="s">
        <v>1528</v>
      </c>
      <c r="P124" s="415" t="s">
        <v>2167</v>
      </c>
      <c r="U124" s="422">
        <f t="shared" si="4"/>
        <v>6.3200000000000006E-2</v>
      </c>
      <c r="V124" s="422">
        <f t="shared" si="5"/>
        <v>7.2679999999999995E-2</v>
      </c>
      <c r="W124" s="424" t="str">
        <f>IF(ISBLANK(A124),"",VLOOKUP(A124,'KY Taxcodes'!$A:$B,2,FALSE))</f>
        <v/>
      </c>
    </row>
    <row r="125" spans="1:23" ht="15" customHeight="1">
      <c r="C125" s="417" t="s">
        <v>1532</v>
      </c>
      <c r="D125" s="433" t="s">
        <v>2166</v>
      </c>
      <c r="E125" s="433"/>
      <c r="G125" s="416" t="s">
        <v>2165</v>
      </c>
      <c r="I125" s="415" t="s">
        <v>1533</v>
      </c>
      <c r="J125" s="415" t="s">
        <v>1533</v>
      </c>
      <c r="K125" s="415" t="s">
        <v>1533</v>
      </c>
      <c r="L125" s="415"/>
      <c r="M125" s="415" t="s">
        <v>1533</v>
      </c>
      <c r="N125" s="415" t="s">
        <v>1533</v>
      </c>
      <c r="O125" s="415" t="s">
        <v>1533</v>
      </c>
      <c r="P125" s="415" t="s">
        <v>1533</v>
      </c>
      <c r="U125" s="422">
        <f t="shared" si="4"/>
        <v>0.05</v>
      </c>
      <c r="V125" s="422">
        <f t="shared" si="5"/>
        <v>5.7499999999999996E-2</v>
      </c>
      <c r="W125" s="424" t="str">
        <f>IF(ISBLANK(A125),"",VLOOKUP(A125,'KY Taxcodes'!$A:$B,2,FALSE))</f>
        <v/>
      </c>
    </row>
    <row r="126" spans="1:23" ht="15" customHeight="1">
      <c r="C126" s="417" t="s">
        <v>1532</v>
      </c>
      <c r="D126" s="433" t="s">
        <v>2164</v>
      </c>
      <c r="E126" s="433"/>
      <c r="G126" s="416" t="s">
        <v>2163</v>
      </c>
      <c r="I126" s="415" t="s">
        <v>1528</v>
      </c>
      <c r="J126" s="415" t="s">
        <v>1528</v>
      </c>
      <c r="K126" s="415" t="s">
        <v>1528</v>
      </c>
      <c r="L126" s="415"/>
      <c r="M126" s="415" t="s">
        <v>1528</v>
      </c>
      <c r="N126" s="415" t="s">
        <v>1529</v>
      </c>
      <c r="O126" s="415" t="s">
        <v>2162</v>
      </c>
      <c r="P126" s="415" t="s">
        <v>1528</v>
      </c>
      <c r="R126" s="434">
        <v>5</v>
      </c>
      <c r="S126" s="434"/>
      <c r="U126" s="422">
        <f t="shared" si="4"/>
        <v>0.08</v>
      </c>
      <c r="V126" s="422">
        <f t="shared" si="5"/>
        <v>9.1999999999999998E-2</v>
      </c>
      <c r="W126" s="424" t="str">
        <f>IF(ISBLANK(A126),"",VLOOKUP(A126,'KY Taxcodes'!$A:$B,2,FALSE))</f>
        <v/>
      </c>
    </row>
    <row r="127" spans="1:23" ht="15" customHeight="1">
      <c r="A127" s="416" t="s">
        <v>622</v>
      </c>
      <c r="B127" s="416"/>
      <c r="C127" s="417" t="s">
        <v>1582</v>
      </c>
      <c r="D127" s="433" t="s">
        <v>2161</v>
      </c>
      <c r="E127" s="433"/>
      <c r="G127" s="416" t="s">
        <v>2160</v>
      </c>
      <c r="I127" s="415" t="s">
        <v>1536</v>
      </c>
      <c r="J127" s="415" t="s">
        <v>1536</v>
      </c>
      <c r="K127" s="415" t="s">
        <v>1536</v>
      </c>
      <c r="L127" s="415"/>
      <c r="M127" s="415" t="s">
        <v>1536</v>
      </c>
      <c r="N127" s="415" t="s">
        <v>1529</v>
      </c>
      <c r="O127" s="415" t="s">
        <v>1536</v>
      </c>
      <c r="P127" s="415" t="s">
        <v>1536</v>
      </c>
      <c r="U127" s="422">
        <f t="shared" si="4"/>
        <v>0.06</v>
      </c>
      <c r="V127" s="422">
        <f t="shared" si="5"/>
        <v>6.8999999999999992E-2</v>
      </c>
      <c r="W127" s="424" t="str">
        <f>IF(ISBLANK(A127),"",VLOOKUP(A127,'KY Taxcodes'!$A:$B,2,FALSE))</f>
        <v>Fleming County premium tax shall not apply to the following: (1) premiums for non-licensed farm equipment insurance; (2)  premiums for cargo or product liability insurance; (3) premiums for physician malpractice; (4) premiums for general liabilty insurance to companies and / or businesses with five or more full time employees who work at least forty hours per week; (5) premiums for general liability insurance for umbrella and excess liability policies required to obtain licenses and permits to do interstate and intrastate transit of freight; (6) premiums for property and risk insurance for property owned by the county, city, churches, parsonages, schools and fire departments.</v>
      </c>
    </row>
    <row r="128" spans="1:23" ht="15" customHeight="1">
      <c r="C128" s="417" t="s">
        <v>1532</v>
      </c>
      <c r="D128" s="433" t="s">
        <v>2159</v>
      </c>
      <c r="E128" s="433"/>
      <c r="G128" s="416" t="s">
        <v>2158</v>
      </c>
      <c r="I128" s="415" t="s">
        <v>1533</v>
      </c>
      <c r="J128" s="415" t="s">
        <v>1533</v>
      </c>
      <c r="K128" s="415" t="s">
        <v>1533</v>
      </c>
      <c r="L128" s="415"/>
      <c r="M128" s="415" t="s">
        <v>1533</v>
      </c>
      <c r="N128" s="415" t="s">
        <v>1533</v>
      </c>
      <c r="O128" s="415" t="s">
        <v>1533</v>
      </c>
      <c r="P128" s="415" t="s">
        <v>1533</v>
      </c>
      <c r="U128" s="422">
        <f t="shared" si="4"/>
        <v>0.05</v>
      </c>
      <c r="V128" s="422">
        <f t="shared" si="5"/>
        <v>5.7499999999999996E-2</v>
      </c>
      <c r="W128" s="424" t="str">
        <f>IF(ISBLANK(A128),"",VLOOKUP(A128,'KY Taxcodes'!$A:$B,2,FALSE))</f>
        <v/>
      </c>
    </row>
    <row r="129" spans="1:23" ht="15" customHeight="1">
      <c r="A129" s="416" t="s">
        <v>2157</v>
      </c>
      <c r="B129" s="416"/>
      <c r="C129" s="417" t="s">
        <v>1532</v>
      </c>
      <c r="D129" s="433" t="s">
        <v>2156</v>
      </c>
      <c r="E129" s="433"/>
      <c r="G129" s="416" t="s">
        <v>2155</v>
      </c>
      <c r="I129" s="415" t="s">
        <v>1536</v>
      </c>
      <c r="J129" s="415" t="s">
        <v>1536</v>
      </c>
      <c r="K129" s="415" t="s">
        <v>1536</v>
      </c>
      <c r="L129" s="415"/>
      <c r="M129" s="415" t="s">
        <v>1536</v>
      </c>
      <c r="N129" s="415" t="s">
        <v>1536</v>
      </c>
      <c r="O129" s="415" t="s">
        <v>1536</v>
      </c>
      <c r="P129" s="415" t="s">
        <v>1536</v>
      </c>
      <c r="R129" s="434">
        <v>10</v>
      </c>
      <c r="S129" s="434"/>
      <c r="U129" s="422">
        <f t="shared" si="4"/>
        <v>0.06</v>
      </c>
      <c r="V129" s="422">
        <f t="shared" si="5"/>
        <v>6.8999999999999992E-2</v>
      </c>
      <c r="W129" s="424" t="str">
        <f>IF(ISBLANK(A129),"",VLOOKUP(A129,'KY Taxcodes'!$A:$B,2,FALSE))</f>
        <v>Any refund claims made by any Company submitting payments hereunder to the City of Flemingsburg shall be made no later than two (2) years from the date such payment is made to the City.</v>
      </c>
    </row>
    <row r="130" spans="1:23" ht="15" customHeight="1">
      <c r="C130" s="417" t="s">
        <v>1532</v>
      </c>
      <c r="D130" s="433" t="s">
        <v>2154</v>
      </c>
      <c r="E130" s="433"/>
      <c r="G130" s="416" t="s">
        <v>2153</v>
      </c>
      <c r="I130" s="415" t="s">
        <v>1533</v>
      </c>
      <c r="J130" s="415" t="s">
        <v>1533</v>
      </c>
      <c r="K130" s="415" t="s">
        <v>1533</v>
      </c>
      <c r="L130" s="415"/>
      <c r="M130" s="415" t="s">
        <v>1533</v>
      </c>
      <c r="N130" s="415" t="s">
        <v>1533</v>
      </c>
      <c r="O130" s="415" t="s">
        <v>1533</v>
      </c>
      <c r="P130" s="415" t="s">
        <v>1533</v>
      </c>
      <c r="U130" s="422">
        <f t="shared" si="4"/>
        <v>0.05</v>
      </c>
      <c r="V130" s="422">
        <f t="shared" si="5"/>
        <v>5.7499999999999996E-2</v>
      </c>
      <c r="W130" s="424" t="str">
        <f>IF(ISBLANK(A130),"",VLOOKUP(A130,'KY Taxcodes'!$A:$B,2,FALSE))</f>
        <v/>
      </c>
    </row>
    <row r="131" spans="1:23" ht="15" customHeight="1">
      <c r="A131" s="416" t="s">
        <v>1583</v>
      </c>
      <c r="B131" s="416"/>
      <c r="C131" s="417" t="s">
        <v>1582</v>
      </c>
      <c r="D131" s="433" t="s">
        <v>2152</v>
      </c>
      <c r="E131" s="433"/>
      <c r="G131" s="416" t="s">
        <v>2151</v>
      </c>
      <c r="I131" s="415" t="s">
        <v>1606</v>
      </c>
      <c r="J131" s="415" t="s">
        <v>1606</v>
      </c>
      <c r="K131" s="415" t="s">
        <v>1606</v>
      </c>
      <c r="L131" s="415"/>
      <c r="M131" s="415" t="s">
        <v>1606</v>
      </c>
      <c r="N131" s="415" t="s">
        <v>1606</v>
      </c>
      <c r="O131" s="415" t="s">
        <v>1606</v>
      </c>
      <c r="P131" s="415" t="s">
        <v>1606</v>
      </c>
      <c r="R131" s="434">
        <v>10</v>
      </c>
      <c r="S131" s="434"/>
      <c r="U131" s="422">
        <f t="shared" si="4"/>
        <v>0.04</v>
      </c>
      <c r="V131" s="422">
        <f t="shared" si="5"/>
        <v>4.5999999999999999E-2</v>
      </c>
      <c r="W131" s="424" t="str">
        <f>IF(ISBLANK(A131),"",VLOOKUP(A131,'KY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32" spans="1:23" ht="15" customHeight="1">
      <c r="C132" s="417" t="s">
        <v>1532</v>
      </c>
      <c r="D132" s="433" t="s">
        <v>2150</v>
      </c>
      <c r="E132" s="433"/>
      <c r="G132" s="416" t="s">
        <v>2149</v>
      </c>
      <c r="I132" s="415" t="s">
        <v>1528</v>
      </c>
      <c r="J132" s="415" t="s">
        <v>1528</v>
      </c>
      <c r="K132" s="415" t="s">
        <v>1528</v>
      </c>
      <c r="L132" s="415"/>
      <c r="M132" s="415" t="s">
        <v>1528</v>
      </c>
      <c r="N132" s="415" t="s">
        <v>1528</v>
      </c>
      <c r="O132" s="415" t="s">
        <v>1528</v>
      </c>
      <c r="P132" s="415" t="s">
        <v>1528</v>
      </c>
      <c r="U132" s="422">
        <f t="shared" si="4"/>
        <v>0.08</v>
      </c>
      <c r="V132" s="422">
        <f t="shared" si="5"/>
        <v>9.1999999999999998E-2</v>
      </c>
      <c r="W132" s="424" t="str">
        <f>IF(ISBLANK(A132),"",VLOOKUP(A132,'KY Taxcodes'!$A:$B,2,FALSE))</f>
        <v/>
      </c>
    </row>
    <row r="133" spans="1:23" ht="15" customHeight="1">
      <c r="C133" s="417" t="s">
        <v>1532</v>
      </c>
      <c r="D133" s="433" t="s">
        <v>2148</v>
      </c>
      <c r="E133" s="433"/>
      <c r="G133" s="416" t="s">
        <v>2147</v>
      </c>
      <c r="I133" s="415" t="s">
        <v>1533</v>
      </c>
      <c r="J133" s="415" t="s">
        <v>1533</v>
      </c>
      <c r="K133" s="415" t="s">
        <v>1533</v>
      </c>
      <c r="L133" s="415"/>
      <c r="M133" s="415" t="s">
        <v>1533</v>
      </c>
      <c r="N133" s="415" t="s">
        <v>1533</v>
      </c>
      <c r="O133" s="415" t="s">
        <v>1533</v>
      </c>
      <c r="P133" s="415" t="s">
        <v>1533</v>
      </c>
      <c r="U133" s="422">
        <f t="shared" si="4"/>
        <v>0.05</v>
      </c>
      <c r="V133" s="422">
        <f t="shared" si="5"/>
        <v>5.7499999999999996E-2</v>
      </c>
      <c r="W133" s="424" t="str">
        <f>IF(ISBLANK(A133),"",VLOOKUP(A133,'KY Taxcodes'!$A:$B,2,FALSE))</f>
        <v/>
      </c>
    </row>
    <row r="134" spans="1:23" ht="15" customHeight="1">
      <c r="A134" s="416" t="s">
        <v>1938</v>
      </c>
      <c r="B134" s="416"/>
      <c r="C134" s="417" t="s">
        <v>1532</v>
      </c>
      <c r="D134" s="433" t="s">
        <v>2146</v>
      </c>
      <c r="E134" s="433"/>
      <c r="G134" s="416" t="s">
        <v>2145</v>
      </c>
      <c r="I134" s="415" t="s">
        <v>1550</v>
      </c>
      <c r="J134" s="415" t="s">
        <v>1550</v>
      </c>
      <c r="K134" s="415" t="s">
        <v>1550</v>
      </c>
      <c r="L134" s="415"/>
      <c r="M134" s="415" t="s">
        <v>1550</v>
      </c>
      <c r="N134" s="415" t="s">
        <v>1550</v>
      </c>
      <c r="O134" s="415" t="s">
        <v>1550</v>
      </c>
      <c r="P134" s="415" t="s">
        <v>1550</v>
      </c>
      <c r="U134" s="422">
        <f t="shared" si="4"/>
        <v>7.0000000000000007E-2</v>
      </c>
      <c r="V134" s="422">
        <f t="shared" si="5"/>
        <v>8.0500000000000002E-2</v>
      </c>
      <c r="W134" s="424" t="str">
        <f>IF(ISBLANK(A134),"",VLOOKUP(A134,'KY Taxcodes'!$A:$B,2,FALSE))</f>
        <v>The cities of Keeneland and Whipps Millgate have been incorporated into the city of Lyndon.  Also the city of Crescent Park has merged into the city of Fort Mitchell.</v>
      </c>
    </row>
    <row r="135" spans="1:23" ht="15" customHeight="1">
      <c r="C135" s="417" t="s">
        <v>1532</v>
      </c>
      <c r="D135" s="433" t="s">
        <v>2144</v>
      </c>
      <c r="E135" s="433"/>
      <c r="G135" s="416" t="s">
        <v>2143</v>
      </c>
      <c r="I135" s="415" t="s">
        <v>1543</v>
      </c>
      <c r="J135" s="415" t="s">
        <v>1543</v>
      </c>
      <c r="K135" s="415" t="s">
        <v>1543</v>
      </c>
      <c r="L135" s="415"/>
      <c r="M135" s="415" t="s">
        <v>1543</v>
      </c>
      <c r="N135" s="415" t="s">
        <v>1543</v>
      </c>
      <c r="O135" s="415" t="s">
        <v>1543</v>
      </c>
      <c r="P135" s="415" t="s">
        <v>1543</v>
      </c>
      <c r="U135" s="422">
        <f t="shared" si="4"/>
        <v>0.1</v>
      </c>
      <c r="V135" s="422">
        <f t="shared" si="5"/>
        <v>0.11499999999999999</v>
      </c>
      <c r="W135" s="424" t="str">
        <f>IF(ISBLANK(A135),"",VLOOKUP(A135,'KY Taxcodes'!$A:$B,2,FALSE))</f>
        <v/>
      </c>
    </row>
    <row r="136" spans="1:23" ht="15" customHeight="1">
      <c r="A136" s="416" t="s">
        <v>2142</v>
      </c>
      <c r="B136" s="416"/>
      <c r="C136" s="417" t="s">
        <v>1532</v>
      </c>
      <c r="D136" s="433" t="s">
        <v>2141</v>
      </c>
      <c r="E136" s="433"/>
      <c r="G136" s="416" t="s">
        <v>2140</v>
      </c>
      <c r="I136" s="415" t="s">
        <v>1528</v>
      </c>
      <c r="J136" s="415" t="s">
        <v>1528</v>
      </c>
      <c r="K136" s="415" t="s">
        <v>1528</v>
      </c>
      <c r="L136" s="415"/>
      <c r="M136" s="415" t="s">
        <v>1528</v>
      </c>
      <c r="N136" s="415" t="s">
        <v>1529</v>
      </c>
      <c r="O136" s="415" t="s">
        <v>1528</v>
      </c>
      <c r="P136" s="415" t="s">
        <v>1528</v>
      </c>
      <c r="U136" s="422">
        <f t="shared" si="4"/>
        <v>0.08</v>
      </c>
      <c r="V136" s="422">
        <f t="shared" si="5"/>
        <v>9.1999999999999998E-2</v>
      </c>
      <c r="W136" s="424" t="str">
        <f>IF(ISBLANK(A136),"",VLOOKUP(A136,'KY Taxcodes'!$A:$B,2,FALSE))</f>
        <v>Tax charges shall not apply to premiums paid to insurers of municipal bonds, leases, or other debt instruments issued by or on behalf of a city, county, charter county government, urban county government, consolidated local government, special district nonprofit corporation, or other political subdivision of the Commonwealth.</v>
      </c>
    </row>
    <row r="137" spans="1:23" ht="15" customHeight="1">
      <c r="C137" s="417" t="s">
        <v>1532</v>
      </c>
      <c r="D137" s="433" t="s">
        <v>2139</v>
      </c>
      <c r="E137" s="433"/>
      <c r="G137" s="416" t="s">
        <v>2138</v>
      </c>
      <c r="I137" s="415" t="s">
        <v>1533</v>
      </c>
      <c r="J137" s="415" t="s">
        <v>1533</v>
      </c>
      <c r="K137" s="415" t="s">
        <v>1533</v>
      </c>
      <c r="L137" s="415"/>
      <c r="M137" s="415" t="s">
        <v>1533</v>
      </c>
      <c r="N137" s="415" t="s">
        <v>1533</v>
      </c>
      <c r="O137" s="415" t="s">
        <v>1533</v>
      </c>
      <c r="P137" s="415" t="s">
        <v>1533</v>
      </c>
      <c r="U137" s="422">
        <f t="shared" si="4"/>
        <v>0.05</v>
      </c>
      <c r="V137" s="422">
        <f t="shared" si="5"/>
        <v>5.7499999999999996E-2</v>
      </c>
      <c r="W137" s="424" t="str">
        <f>IF(ISBLANK(A137),"",VLOOKUP(A137,'KY Taxcodes'!$A:$B,2,FALSE))</f>
        <v/>
      </c>
    </row>
    <row r="138" spans="1:23" ht="15" customHeight="1">
      <c r="C138" s="417" t="s">
        <v>1532</v>
      </c>
      <c r="D138" s="433" t="s">
        <v>2137</v>
      </c>
      <c r="E138" s="433"/>
      <c r="G138" s="416" t="s">
        <v>2136</v>
      </c>
      <c r="I138" s="415" t="s">
        <v>1533</v>
      </c>
      <c r="J138" s="415" t="s">
        <v>1533</v>
      </c>
      <c r="K138" s="415" t="s">
        <v>1533</v>
      </c>
      <c r="L138" s="415"/>
      <c r="M138" s="415" t="s">
        <v>1533</v>
      </c>
      <c r="N138" s="415" t="s">
        <v>1529</v>
      </c>
      <c r="O138" s="415" t="s">
        <v>1529</v>
      </c>
      <c r="P138" s="415" t="s">
        <v>1533</v>
      </c>
      <c r="U138" s="422">
        <f t="shared" si="4"/>
        <v>0.05</v>
      </c>
      <c r="V138" s="422">
        <f t="shared" si="5"/>
        <v>5.7499999999999996E-2</v>
      </c>
      <c r="W138" s="424" t="str">
        <f>IF(ISBLANK(A138),"",VLOOKUP(A138,'KY Taxcodes'!$A:$B,2,FALSE))</f>
        <v/>
      </c>
    </row>
    <row r="139" spans="1:23" ht="15" customHeight="1">
      <c r="C139" s="417" t="s">
        <v>1532</v>
      </c>
      <c r="D139" s="433" t="s">
        <v>2135</v>
      </c>
      <c r="E139" s="433"/>
      <c r="G139" s="416" t="s">
        <v>2134</v>
      </c>
      <c r="I139" s="415" t="s">
        <v>1536</v>
      </c>
      <c r="J139" s="415" t="s">
        <v>1536</v>
      </c>
      <c r="K139" s="415" t="s">
        <v>1536</v>
      </c>
      <c r="L139" s="415"/>
      <c r="M139" s="415" t="s">
        <v>1536</v>
      </c>
      <c r="N139" s="415" t="s">
        <v>1536</v>
      </c>
      <c r="O139" s="415" t="s">
        <v>1536</v>
      </c>
      <c r="P139" s="415" t="s">
        <v>1536</v>
      </c>
      <c r="U139" s="422">
        <f t="shared" si="4"/>
        <v>0.06</v>
      </c>
      <c r="V139" s="422">
        <f t="shared" si="5"/>
        <v>6.8999999999999992E-2</v>
      </c>
      <c r="W139" s="424" t="str">
        <f>IF(ISBLANK(A139),"",VLOOKUP(A139,'KY Taxcodes'!$A:$B,2,FALSE))</f>
        <v/>
      </c>
    </row>
    <row r="140" spans="1:23" ht="15" customHeight="1">
      <c r="C140" s="417" t="s">
        <v>1532</v>
      </c>
      <c r="D140" s="433" t="s">
        <v>2133</v>
      </c>
      <c r="E140" s="433"/>
      <c r="G140" s="416" t="s">
        <v>2132</v>
      </c>
      <c r="I140" s="415" t="s">
        <v>1622</v>
      </c>
      <c r="J140" s="415" t="s">
        <v>1622</v>
      </c>
      <c r="K140" s="415" t="s">
        <v>1622</v>
      </c>
      <c r="L140" s="415"/>
      <c r="M140" s="415" t="s">
        <v>1622</v>
      </c>
      <c r="N140" s="415" t="s">
        <v>1622</v>
      </c>
      <c r="O140" s="415" t="s">
        <v>1622</v>
      </c>
      <c r="P140" s="415" t="s">
        <v>1622</v>
      </c>
      <c r="U140" s="422">
        <f t="shared" si="4"/>
        <v>0.09</v>
      </c>
      <c r="V140" s="422">
        <f t="shared" si="5"/>
        <v>0.10349999999999999</v>
      </c>
      <c r="W140" s="424" t="str">
        <f>IF(ISBLANK(A140),"",VLOOKUP(A140,'KY Taxcodes'!$A:$B,2,FALSE))</f>
        <v/>
      </c>
    </row>
    <row r="141" spans="1:23" ht="15" customHeight="1">
      <c r="C141" s="417" t="s">
        <v>1532</v>
      </c>
      <c r="D141" s="433" t="s">
        <v>2131</v>
      </c>
      <c r="E141" s="433"/>
      <c r="G141" s="416" t="s">
        <v>2130</v>
      </c>
      <c r="I141" s="415" t="s">
        <v>1536</v>
      </c>
      <c r="J141" s="415" t="s">
        <v>1536</v>
      </c>
      <c r="K141" s="415" t="s">
        <v>1536</v>
      </c>
      <c r="L141" s="415"/>
      <c r="M141" s="415" t="s">
        <v>1536</v>
      </c>
      <c r="N141" s="415" t="s">
        <v>1529</v>
      </c>
      <c r="O141" s="415" t="s">
        <v>1536</v>
      </c>
      <c r="P141" s="415" t="s">
        <v>1536</v>
      </c>
      <c r="U141" s="422">
        <f t="shared" ref="U141:U204" si="6">VALUE(J141)</f>
        <v>0.06</v>
      </c>
      <c r="V141" s="422">
        <f t="shared" si="5"/>
        <v>6.8999999999999992E-2</v>
      </c>
      <c r="W141" s="424" t="str">
        <f>IF(ISBLANK(A141),"",VLOOKUP(A141,'KY Taxcodes'!$A:$B,2,FALSE))</f>
        <v/>
      </c>
    </row>
    <row r="142" spans="1:23" ht="15" customHeight="1">
      <c r="C142" s="417" t="s">
        <v>1532</v>
      </c>
      <c r="D142" s="433" t="s">
        <v>2129</v>
      </c>
      <c r="E142" s="433"/>
      <c r="G142" s="416" t="s">
        <v>2128</v>
      </c>
      <c r="I142" s="415" t="s">
        <v>1536</v>
      </c>
      <c r="J142" s="415" t="s">
        <v>1536</v>
      </c>
      <c r="K142" s="415" t="s">
        <v>1536</v>
      </c>
      <c r="L142" s="415"/>
      <c r="M142" s="415" t="s">
        <v>1536</v>
      </c>
      <c r="N142" s="415" t="s">
        <v>1529</v>
      </c>
      <c r="O142" s="415" t="s">
        <v>1529</v>
      </c>
      <c r="P142" s="415" t="s">
        <v>1536</v>
      </c>
      <c r="U142" s="422">
        <f t="shared" si="6"/>
        <v>0.06</v>
      </c>
      <c r="V142" s="422">
        <f t="shared" si="5"/>
        <v>6.8999999999999992E-2</v>
      </c>
      <c r="W142" s="424" t="str">
        <f>IF(ISBLANK(A142),"",VLOOKUP(A142,'KY Taxcodes'!$A:$B,2,FALSE))</f>
        <v/>
      </c>
    </row>
    <row r="143" spans="1:23" ht="15" customHeight="1">
      <c r="A143" s="416" t="s">
        <v>1583</v>
      </c>
      <c r="B143" s="416"/>
      <c r="C143" s="417" t="s">
        <v>1532</v>
      </c>
      <c r="D143" s="433" t="s">
        <v>2127</v>
      </c>
      <c r="E143" s="433"/>
      <c r="G143" s="416" t="s">
        <v>2126</v>
      </c>
      <c r="I143" s="415" t="s">
        <v>1533</v>
      </c>
      <c r="J143" s="415" t="s">
        <v>1533</v>
      </c>
      <c r="K143" s="415" t="s">
        <v>1533</v>
      </c>
      <c r="L143" s="415"/>
      <c r="M143" s="415" t="s">
        <v>1533</v>
      </c>
      <c r="N143" s="415" t="s">
        <v>1533</v>
      </c>
      <c r="O143" s="415" t="s">
        <v>1533</v>
      </c>
      <c r="P143" s="415" t="s">
        <v>1533</v>
      </c>
      <c r="U143" s="422">
        <f t="shared" si="6"/>
        <v>0.05</v>
      </c>
      <c r="V143" s="422">
        <f t="shared" si="5"/>
        <v>5.7499999999999996E-2</v>
      </c>
      <c r="W143" s="424" t="str">
        <f>IF(ISBLANK(A143),"",VLOOKUP(A143,'KY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44" spans="1:23" ht="15" customHeight="1">
      <c r="A144" s="416" t="s">
        <v>1609</v>
      </c>
      <c r="B144" s="416"/>
      <c r="C144" s="417" t="s">
        <v>1582</v>
      </c>
      <c r="D144" s="433" t="s">
        <v>2125</v>
      </c>
      <c r="E144" s="433"/>
      <c r="G144" s="416" t="s">
        <v>2124</v>
      </c>
      <c r="I144" s="415" t="s">
        <v>1673</v>
      </c>
      <c r="J144" s="415" t="s">
        <v>1673</v>
      </c>
      <c r="K144" s="415" t="s">
        <v>1673</v>
      </c>
      <c r="L144" s="415"/>
      <c r="M144" s="415" t="s">
        <v>1673</v>
      </c>
      <c r="N144" s="415" t="s">
        <v>1673</v>
      </c>
      <c r="O144" s="415" t="s">
        <v>1673</v>
      </c>
      <c r="P144" s="415" t="s">
        <v>1673</v>
      </c>
      <c r="U144" s="422">
        <f t="shared" si="6"/>
        <v>0.03</v>
      </c>
      <c r="V144" s="422">
        <f t="shared" si="5"/>
        <v>3.4499999999999996E-2</v>
      </c>
      <c r="W144" s="424" t="str">
        <f>IF(ISBLANK(A144),"",VLOOKUP(A144,'KY Taxcodes'!$A:$B,2,FALSE))</f>
        <v>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v>
      </c>
    </row>
    <row r="145" spans="1:23" ht="15" customHeight="1">
      <c r="A145" s="416" t="s">
        <v>2123</v>
      </c>
      <c r="B145" s="416"/>
      <c r="C145" s="417" t="s">
        <v>1532</v>
      </c>
      <c r="D145" s="433" t="s">
        <v>2122</v>
      </c>
      <c r="E145" s="433"/>
      <c r="G145" s="416" t="s">
        <v>2121</v>
      </c>
      <c r="I145" s="415" t="s">
        <v>1673</v>
      </c>
      <c r="J145" s="415" t="s">
        <v>1673</v>
      </c>
      <c r="K145" s="415" t="s">
        <v>1673</v>
      </c>
      <c r="L145" s="415"/>
      <c r="M145" s="415" t="s">
        <v>1673</v>
      </c>
      <c r="N145" s="415" t="s">
        <v>1529</v>
      </c>
      <c r="O145" s="415" t="s">
        <v>1673</v>
      </c>
      <c r="P145" s="415" t="s">
        <v>1673</v>
      </c>
      <c r="R145" s="434">
        <v>10</v>
      </c>
      <c r="S145" s="434"/>
      <c r="U145" s="422">
        <f t="shared" si="6"/>
        <v>0.03</v>
      </c>
      <c r="V145" s="422">
        <f t="shared" si="5"/>
        <v>3.4499999999999996E-2</v>
      </c>
      <c r="W145" s="531" t="s">
        <v>2440</v>
      </c>
    </row>
    <row r="146" spans="1:23" ht="15" customHeight="1">
      <c r="C146" s="417" t="s">
        <v>1532</v>
      </c>
      <c r="D146" s="433" t="s">
        <v>2120</v>
      </c>
      <c r="E146" s="433"/>
      <c r="G146" s="416" t="s">
        <v>2119</v>
      </c>
      <c r="I146" s="415" t="s">
        <v>1550</v>
      </c>
      <c r="J146" s="415" t="s">
        <v>1550</v>
      </c>
      <c r="K146" s="415" t="s">
        <v>1550</v>
      </c>
      <c r="L146" s="415"/>
      <c r="M146" s="415" t="s">
        <v>1550</v>
      </c>
      <c r="N146" s="415" t="s">
        <v>1550</v>
      </c>
      <c r="O146" s="415" t="s">
        <v>1550</v>
      </c>
      <c r="P146" s="415" t="s">
        <v>1550</v>
      </c>
      <c r="U146" s="422">
        <f t="shared" si="6"/>
        <v>7.0000000000000007E-2</v>
      </c>
      <c r="V146" s="422">
        <f t="shared" si="5"/>
        <v>8.0500000000000002E-2</v>
      </c>
      <c r="W146" s="424" t="str">
        <f>IF(ISBLANK(A146),"",VLOOKUP(A146,'KY Taxcodes'!$A:$B,2,FALSE))</f>
        <v/>
      </c>
    </row>
    <row r="147" spans="1:23" ht="15" customHeight="1">
      <c r="C147" s="417" t="s">
        <v>1532</v>
      </c>
      <c r="D147" s="433" t="s">
        <v>2118</v>
      </c>
      <c r="E147" s="433"/>
      <c r="G147" s="416" t="s">
        <v>2117</v>
      </c>
      <c r="I147" s="415" t="s">
        <v>1533</v>
      </c>
      <c r="J147" s="415" t="s">
        <v>1533</v>
      </c>
      <c r="K147" s="415" t="s">
        <v>1533</v>
      </c>
      <c r="L147" s="415"/>
      <c r="M147" s="415" t="s">
        <v>1533</v>
      </c>
      <c r="N147" s="415" t="s">
        <v>1533</v>
      </c>
      <c r="O147" s="415" t="s">
        <v>1533</v>
      </c>
      <c r="P147" s="415" t="s">
        <v>1533</v>
      </c>
      <c r="U147" s="422">
        <f t="shared" si="6"/>
        <v>0.05</v>
      </c>
      <c r="V147" s="422">
        <f t="shared" si="5"/>
        <v>5.7499999999999996E-2</v>
      </c>
      <c r="W147" s="424" t="str">
        <f>IF(ISBLANK(A147),"",VLOOKUP(A147,'KY Taxcodes'!$A:$B,2,FALSE))</f>
        <v/>
      </c>
    </row>
    <row r="148" spans="1:23" ht="15" customHeight="1">
      <c r="C148" s="417" t="s">
        <v>1532</v>
      </c>
      <c r="D148" s="433" t="s">
        <v>2116</v>
      </c>
      <c r="E148" s="433"/>
      <c r="G148" s="416" t="s">
        <v>2115</v>
      </c>
      <c r="I148" s="415" t="s">
        <v>1533</v>
      </c>
      <c r="J148" s="415" t="s">
        <v>1533</v>
      </c>
      <c r="K148" s="415" t="s">
        <v>1533</v>
      </c>
      <c r="L148" s="415"/>
      <c r="M148" s="415" t="s">
        <v>1533</v>
      </c>
      <c r="N148" s="415" t="s">
        <v>1533</v>
      </c>
      <c r="O148" s="415" t="s">
        <v>1533</v>
      </c>
      <c r="P148" s="415" t="s">
        <v>1533</v>
      </c>
      <c r="U148" s="422">
        <f t="shared" si="6"/>
        <v>0.05</v>
      </c>
      <c r="V148" s="422">
        <f t="shared" si="5"/>
        <v>5.7499999999999996E-2</v>
      </c>
      <c r="W148" s="424" t="str">
        <f>IF(ISBLANK(A148),"",VLOOKUP(A148,'KY Taxcodes'!$A:$B,2,FALSE))</f>
        <v/>
      </c>
    </row>
    <row r="149" spans="1:23" ht="15" customHeight="1">
      <c r="C149" s="417" t="s">
        <v>1532</v>
      </c>
      <c r="D149" s="433" t="s">
        <v>2114</v>
      </c>
      <c r="E149" s="433"/>
      <c r="G149" s="416" t="s">
        <v>2113</v>
      </c>
      <c r="I149" s="415" t="s">
        <v>1533</v>
      </c>
      <c r="J149" s="415" t="s">
        <v>1533</v>
      </c>
      <c r="K149" s="415" t="s">
        <v>1533</v>
      </c>
      <c r="L149" s="415"/>
      <c r="M149" s="415" t="s">
        <v>1533</v>
      </c>
      <c r="N149" s="415" t="s">
        <v>1551</v>
      </c>
      <c r="O149" s="415" t="s">
        <v>1551</v>
      </c>
      <c r="P149" s="415" t="s">
        <v>1533</v>
      </c>
      <c r="U149" s="422">
        <f t="shared" si="6"/>
        <v>0.05</v>
      </c>
      <c r="V149" s="422">
        <f t="shared" si="5"/>
        <v>5.7499999999999996E-2</v>
      </c>
      <c r="W149" s="424" t="str">
        <f>IF(ISBLANK(A149),"",VLOOKUP(A149,'KY Taxcodes'!$A:$B,2,FALSE))</f>
        <v/>
      </c>
    </row>
    <row r="150" spans="1:23" ht="15" customHeight="1">
      <c r="C150" s="417" t="s">
        <v>1532</v>
      </c>
      <c r="D150" s="433" t="s">
        <v>2112</v>
      </c>
      <c r="E150" s="433"/>
      <c r="G150" s="416" t="s">
        <v>2111</v>
      </c>
      <c r="I150" s="415" t="s">
        <v>1536</v>
      </c>
      <c r="J150" s="415" t="s">
        <v>1536</v>
      </c>
      <c r="K150" s="415" t="s">
        <v>1536</v>
      </c>
      <c r="L150" s="415"/>
      <c r="M150" s="415" t="s">
        <v>1536</v>
      </c>
      <c r="N150" s="415" t="s">
        <v>1536</v>
      </c>
      <c r="O150" s="415" t="s">
        <v>1536</v>
      </c>
      <c r="P150" s="415" t="s">
        <v>1536</v>
      </c>
      <c r="U150" s="422">
        <f t="shared" si="6"/>
        <v>0.06</v>
      </c>
      <c r="V150" s="422">
        <f t="shared" si="5"/>
        <v>6.8999999999999992E-2</v>
      </c>
      <c r="W150" s="424" t="str">
        <f>IF(ISBLANK(A150),"",VLOOKUP(A150,'KY Taxcodes'!$A:$B,2,FALSE))</f>
        <v/>
      </c>
    </row>
    <row r="151" spans="1:23" ht="15" customHeight="1">
      <c r="C151" s="417" t="s">
        <v>1532</v>
      </c>
      <c r="D151" s="433" t="s">
        <v>2110</v>
      </c>
      <c r="E151" s="433"/>
      <c r="G151" s="416" t="s">
        <v>2109</v>
      </c>
      <c r="I151" s="415" t="s">
        <v>1533</v>
      </c>
      <c r="J151" s="415" t="s">
        <v>1533</v>
      </c>
      <c r="K151" s="415" t="s">
        <v>1533</v>
      </c>
      <c r="L151" s="415"/>
      <c r="M151" s="415" t="s">
        <v>1533</v>
      </c>
      <c r="N151" s="415" t="s">
        <v>1533</v>
      </c>
      <c r="O151" s="415" t="s">
        <v>1533</v>
      </c>
      <c r="P151" s="415" t="s">
        <v>1533</v>
      </c>
      <c r="U151" s="422">
        <f t="shared" si="6"/>
        <v>0.05</v>
      </c>
      <c r="V151" s="422">
        <f t="shared" si="5"/>
        <v>5.7499999999999996E-2</v>
      </c>
      <c r="W151" s="424" t="str">
        <f>IF(ISBLANK(A151),"",VLOOKUP(A151,'KY Taxcodes'!$A:$B,2,FALSE))</f>
        <v/>
      </c>
    </row>
    <row r="152" spans="1:23" ht="15" customHeight="1">
      <c r="C152" s="417" t="s">
        <v>1532</v>
      </c>
      <c r="D152" s="433" t="s">
        <v>2108</v>
      </c>
      <c r="E152" s="433"/>
      <c r="G152" s="416" t="s">
        <v>2107</v>
      </c>
      <c r="I152" s="415" t="s">
        <v>1533</v>
      </c>
      <c r="J152" s="415" t="s">
        <v>1533</v>
      </c>
      <c r="K152" s="415" t="s">
        <v>1533</v>
      </c>
      <c r="L152" s="415"/>
      <c r="M152" s="415" t="s">
        <v>1533</v>
      </c>
      <c r="N152" s="415" t="s">
        <v>1529</v>
      </c>
      <c r="O152" s="415" t="s">
        <v>1533</v>
      </c>
      <c r="P152" s="415" t="s">
        <v>1533</v>
      </c>
      <c r="U152" s="422">
        <f t="shared" si="6"/>
        <v>0.05</v>
      </c>
      <c r="V152" s="422">
        <f t="shared" si="5"/>
        <v>5.7499999999999996E-2</v>
      </c>
      <c r="W152" s="424" t="str">
        <f>IF(ISBLANK(A152),"",VLOOKUP(A152,'KY Taxcodes'!$A:$B,2,FALSE))</f>
        <v/>
      </c>
    </row>
    <row r="153" spans="1:23" ht="15" customHeight="1">
      <c r="C153" s="417" t="s">
        <v>1532</v>
      </c>
      <c r="D153" s="433" t="s">
        <v>2106</v>
      </c>
      <c r="E153" s="433"/>
      <c r="G153" s="416" t="s">
        <v>2105</v>
      </c>
      <c r="I153" s="415" t="s">
        <v>1533</v>
      </c>
      <c r="J153" s="415" t="s">
        <v>1533</v>
      </c>
      <c r="K153" s="415" t="s">
        <v>1533</v>
      </c>
      <c r="L153" s="415"/>
      <c r="M153" s="415" t="s">
        <v>1533</v>
      </c>
      <c r="N153" s="415" t="s">
        <v>1529</v>
      </c>
      <c r="O153" s="415" t="s">
        <v>1529</v>
      </c>
      <c r="P153" s="415" t="s">
        <v>1529</v>
      </c>
      <c r="U153" s="422">
        <f t="shared" si="6"/>
        <v>0.05</v>
      </c>
      <c r="V153" s="422">
        <f t="shared" si="5"/>
        <v>5.7499999999999996E-2</v>
      </c>
      <c r="W153" s="424" t="str">
        <f>IF(ISBLANK(A153),"",VLOOKUP(A153,'KY Taxcodes'!$A:$B,2,FALSE))</f>
        <v/>
      </c>
    </row>
    <row r="154" spans="1:23" ht="15" customHeight="1">
      <c r="C154" s="417" t="s">
        <v>1532</v>
      </c>
      <c r="D154" s="433" t="s">
        <v>2104</v>
      </c>
      <c r="E154" s="433"/>
      <c r="G154" s="416" t="s">
        <v>2103</v>
      </c>
      <c r="I154" s="415" t="s">
        <v>1543</v>
      </c>
      <c r="J154" s="415" t="s">
        <v>1543</v>
      </c>
      <c r="K154" s="415" t="s">
        <v>1543</v>
      </c>
      <c r="L154" s="415"/>
      <c r="M154" s="415" t="s">
        <v>1543</v>
      </c>
      <c r="N154" s="415" t="s">
        <v>1529</v>
      </c>
      <c r="O154" s="415" t="s">
        <v>1543</v>
      </c>
      <c r="P154" s="415" t="s">
        <v>1543</v>
      </c>
      <c r="U154" s="422">
        <f t="shared" si="6"/>
        <v>0.1</v>
      </c>
      <c r="V154" s="422">
        <f t="shared" si="5"/>
        <v>0.11499999999999999</v>
      </c>
      <c r="W154" s="424" t="str">
        <f>IF(ISBLANK(A154),"",VLOOKUP(A154,'KY Taxcodes'!$A:$B,2,FALSE))</f>
        <v/>
      </c>
    </row>
    <row r="155" spans="1:23" ht="15" customHeight="1">
      <c r="C155" s="417" t="s">
        <v>1532</v>
      </c>
      <c r="D155" s="433" t="s">
        <v>2102</v>
      </c>
      <c r="E155" s="433"/>
      <c r="G155" s="416" t="s">
        <v>2101</v>
      </c>
      <c r="I155" s="415" t="s">
        <v>1543</v>
      </c>
      <c r="J155" s="415" t="s">
        <v>1543</v>
      </c>
      <c r="K155" s="415" t="s">
        <v>1543</v>
      </c>
      <c r="L155" s="415"/>
      <c r="M155" s="415" t="s">
        <v>1543</v>
      </c>
      <c r="N155" s="415" t="s">
        <v>1529</v>
      </c>
      <c r="O155" s="415" t="s">
        <v>1543</v>
      </c>
      <c r="P155" s="415" t="s">
        <v>1543</v>
      </c>
      <c r="U155" s="422">
        <f t="shared" si="6"/>
        <v>0.1</v>
      </c>
      <c r="V155" s="422">
        <f t="shared" si="5"/>
        <v>0.11499999999999999</v>
      </c>
      <c r="W155" s="424" t="str">
        <f>IF(ISBLANK(A155),"",VLOOKUP(A155,'KY Taxcodes'!$A:$B,2,FALSE))</f>
        <v/>
      </c>
    </row>
    <row r="156" spans="1:23" ht="15" customHeight="1">
      <c r="C156" s="417" t="s">
        <v>1532</v>
      </c>
      <c r="D156" s="433" t="s">
        <v>2100</v>
      </c>
      <c r="E156" s="433"/>
      <c r="G156" s="416" t="s">
        <v>2099</v>
      </c>
      <c r="I156" s="415" t="s">
        <v>1533</v>
      </c>
      <c r="J156" s="415" t="s">
        <v>1533</v>
      </c>
      <c r="K156" s="415" t="s">
        <v>1533</v>
      </c>
      <c r="L156" s="415"/>
      <c r="M156" s="415" t="s">
        <v>1533</v>
      </c>
      <c r="N156" s="415" t="s">
        <v>1529</v>
      </c>
      <c r="O156" s="415" t="s">
        <v>1533</v>
      </c>
      <c r="P156" s="415" t="s">
        <v>1533</v>
      </c>
      <c r="U156" s="422">
        <f t="shared" si="6"/>
        <v>0.05</v>
      </c>
      <c r="V156" s="422">
        <f t="shared" ref="V156:V219" si="7">IF(ISBLANK($J156),"",IF($J156="none",0,IF($U156&gt;13.3%,$U156+2%,IF($U156&lt;=13.3%,$U156*1.15,$U156))))</f>
        <v>5.7499999999999996E-2</v>
      </c>
      <c r="W156" s="424" t="str">
        <f>IF(ISBLANK(A156),"",VLOOKUP(A156,'KY Taxcodes'!$A:$B,2,FALSE))</f>
        <v/>
      </c>
    </row>
    <row r="157" spans="1:23" ht="15" customHeight="1">
      <c r="C157" s="417" t="s">
        <v>1532</v>
      </c>
      <c r="D157" s="433" t="s">
        <v>2098</v>
      </c>
      <c r="E157" s="433"/>
      <c r="G157" s="416" t="s">
        <v>2097</v>
      </c>
      <c r="I157" s="415" t="s">
        <v>2096</v>
      </c>
      <c r="J157" s="415" t="s">
        <v>2096</v>
      </c>
      <c r="K157" s="415" t="s">
        <v>2096</v>
      </c>
      <c r="L157" s="415"/>
      <c r="M157" s="415" t="s">
        <v>2096</v>
      </c>
      <c r="N157" s="415" t="s">
        <v>1529</v>
      </c>
      <c r="O157" s="415" t="s">
        <v>1529</v>
      </c>
      <c r="P157" s="415" t="s">
        <v>2096</v>
      </c>
      <c r="U157" s="422">
        <f t="shared" si="6"/>
        <v>0.105</v>
      </c>
      <c r="V157" s="422">
        <f t="shared" si="7"/>
        <v>0.12074999999999998</v>
      </c>
      <c r="W157" s="424" t="str">
        <f>IF(ISBLANK(A157),"",VLOOKUP(A157,'KY Taxcodes'!$A:$B,2,FALSE))</f>
        <v/>
      </c>
    </row>
    <row r="158" spans="1:23" ht="15" customHeight="1">
      <c r="A158" s="416" t="s">
        <v>2095</v>
      </c>
      <c r="B158" s="416"/>
      <c r="C158" s="417" t="s">
        <v>1532</v>
      </c>
      <c r="D158" s="433" t="s">
        <v>2094</v>
      </c>
      <c r="E158" s="433"/>
      <c r="G158" s="416" t="s">
        <v>2093</v>
      </c>
      <c r="I158" s="415" t="s">
        <v>1673</v>
      </c>
      <c r="J158" s="415" t="s">
        <v>1673</v>
      </c>
      <c r="K158" s="415" t="s">
        <v>1673</v>
      </c>
      <c r="L158" s="415"/>
      <c r="M158" s="415" t="s">
        <v>1673</v>
      </c>
      <c r="N158" s="415" t="s">
        <v>1529</v>
      </c>
      <c r="O158" s="415" t="s">
        <v>1529</v>
      </c>
      <c r="P158" s="415" t="s">
        <v>1673</v>
      </c>
      <c r="U158" s="422">
        <f t="shared" si="6"/>
        <v>0.03</v>
      </c>
      <c r="V158" s="422">
        <f t="shared" si="7"/>
        <v>3.4499999999999996E-2</v>
      </c>
      <c r="W158" s="531" t="s">
        <v>2453</v>
      </c>
    </row>
    <row r="159" spans="1:23" ht="15" customHeight="1">
      <c r="C159" s="417" t="s">
        <v>1532</v>
      </c>
      <c r="D159" s="433" t="s">
        <v>2092</v>
      </c>
      <c r="E159" s="433"/>
      <c r="G159" s="416" t="s">
        <v>2091</v>
      </c>
      <c r="I159" s="415" t="s">
        <v>1922</v>
      </c>
      <c r="J159" s="415" t="s">
        <v>1922</v>
      </c>
      <c r="K159" s="415" t="s">
        <v>1922</v>
      </c>
      <c r="L159" s="415"/>
      <c r="M159" s="415" t="s">
        <v>1922</v>
      </c>
      <c r="N159" s="415" t="s">
        <v>1529</v>
      </c>
      <c r="O159" s="415" t="s">
        <v>1922</v>
      </c>
      <c r="P159" s="415" t="s">
        <v>1922</v>
      </c>
      <c r="U159" s="422">
        <f t="shared" si="6"/>
        <v>5.7500000000000002E-2</v>
      </c>
      <c r="V159" s="422">
        <f t="shared" si="7"/>
        <v>6.6125000000000003E-2</v>
      </c>
      <c r="W159" s="424" t="str">
        <f>IF(ISBLANK(A159),"",VLOOKUP(A159,'KY Taxcodes'!$A:$B,2,FALSE))</f>
        <v/>
      </c>
    </row>
    <row r="160" spans="1:23" ht="15" customHeight="1">
      <c r="C160" s="417" t="s">
        <v>1532</v>
      </c>
      <c r="D160" s="433" t="s">
        <v>2090</v>
      </c>
      <c r="E160" s="433"/>
      <c r="G160" s="416" t="s">
        <v>2089</v>
      </c>
      <c r="I160" s="415" t="s">
        <v>1543</v>
      </c>
      <c r="J160" s="415" t="s">
        <v>1543</v>
      </c>
      <c r="K160" s="415" t="s">
        <v>1543</v>
      </c>
      <c r="L160" s="415"/>
      <c r="M160" s="415" t="s">
        <v>1543</v>
      </c>
      <c r="N160" s="415" t="s">
        <v>1529</v>
      </c>
      <c r="O160" s="415" t="s">
        <v>1543</v>
      </c>
      <c r="P160" s="415" t="s">
        <v>1543</v>
      </c>
      <c r="U160" s="422">
        <f t="shared" si="6"/>
        <v>0.1</v>
      </c>
      <c r="V160" s="422">
        <f t="shared" si="7"/>
        <v>0.11499999999999999</v>
      </c>
      <c r="W160" s="424" t="str">
        <f>IF(ISBLANK(A160),"",VLOOKUP(A160,'KY Taxcodes'!$A:$B,2,FALSE))</f>
        <v/>
      </c>
    </row>
    <row r="161" spans="1:23" ht="15" customHeight="1">
      <c r="C161" s="417" t="s">
        <v>1532</v>
      </c>
      <c r="D161" s="433" t="s">
        <v>2088</v>
      </c>
      <c r="E161" s="433"/>
      <c r="G161" s="416" t="s">
        <v>2087</v>
      </c>
      <c r="I161" s="415" t="s">
        <v>1528</v>
      </c>
      <c r="J161" s="415" t="s">
        <v>1528</v>
      </c>
      <c r="K161" s="415" t="s">
        <v>1528</v>
      </c>
      <c r="L161" s="415"/>
      <c r="M161" s="415" t="s">
        <v>1528</v>
      </c>
      <c r="N161" s="415" t="s">
        <v>1529</v>
      </c>
      <c r="O161" s="415" t="s">
        <v>1529</v>
      </c>
      <c r="P161" s="415" t="s">
        <v>1529</v>
      </c>
      <c r="R161" s="434">
        <v>5</v>
      </c>
      <c r="S161" s="434"/>
      <c r="U161" s="422">
        <f t="shared" si="6"/>
        <v>0.08</v>
      </c>
      <c r="V161" s="422">
        <f t="shared" si="7"/>
        <v>9.1999999999999998E-2</v>
      </c>
      <c r="W161" s="424" t="str">
        <f>IF(ISBLANK(A161),"",VLOOKUP(A161,'KY Taxcodes'!$A:$B,2,FALSE))</f>
        <v/>
      </c>
    </row>
    <row r="162" spans="1:23" ht="15" customHeight="1">
      <c r="C162" s="417" t="s">
        <v>1532</v>
      </c>
      <c r="D162" s="433" t="s">
        <v>2086</v>
      </c>
      <c r="E162" s="433"/>
      <c r="G162" s="416" t="s">
        <v>2085</v>
      </c>
      <c r="I162" s="415" t="s">
        <v>1752</v>
      </c>
      <c r="J162" s="415" t="s">
        <v>1752</v>
      </c>
      <c r="K162" s="415" t="s">
        <v>1752</v>
      </c>
      <c r="L162" s="415"/>
      <c r="M162" s="415" t="s">
        <v>1752</v>
      </c>
      <c r="N162" s="415" t="s">
        <v>1752</v>
      </c>
      <c r="O162" s="415" t="s">
        <v>1752</v>
      </c>
      <c r="P162" s="415" t="s">
        <v>1752</v>
      </c>
      <c r="U162" s="422">
        <f t="shared" si="6"/>
        <v>0.11</v>
      </c>
      <c r="V162" s="422">
        <f t="shared" si="7"/>
        <v>0.1265</v>
      </c>
      <c r="W162" s="424" t="str">
        <f>IF(ISBLANK(A162),"",VLOOKUP(A162,'KY Taxcodes'!$A:$B,2,FALSE))</f>
        <v/>
      </c>
    </row>
    <row r="163" spans="1:23" ht="15" customHeight="1">
      <c r="C163" s="417" t="s">
        <v>1532</v>
      </c>
      <c r="D163" s="433" t="s">
        <v>2084</v>
      </c>
      <c r="E163" s="433"/>
      <c r="G163" s="416" t="s">
        <v>2083</v>
      </c>
      <c r="I163" s="415" t="s">
        <v>1528</v>
      </c>
      <c r="J163" s="415" t="s">
        <v>1528</v>
      </c>
      <c r="K163" s="415" t="s">
        <v>1528</v>
      </c>
      <c r="L163" s="415"/>
      <c r="M163" s="415" t="s">
        <v>1528</v>
      </c>
      <c r="N163" s="415" t="s">
        <v>1529</v>
      </c>
      <c r="O163" s="415" t="s">
        <v>1533</v>
      </c>
      <c r="P163" s="415" t="s">
        <v>1528</v>
      </c>
      <c r="U163" s="422">
        <f t="shared" si="6"/>
        <v>0.08</v>
      </c>
      <c r="V163" s="422">
        <f t="shared" si="7"/>
        <v>9.1999999999999998E-2</v>
      </c>
      <c r="W163" s="424" t="str">
        <f>IF(ISBLANK(A163),"",VLOOKUP(A163,'KY Taxcodes'!$A:$B,2,FALSE))</f>
        <v/>
      </c>
    </row>
    <row r="164" spans="1:23" ht="15" customHeight="1">
      <c r="C164" s="417" t="s">
        <v>1532</v>
      </c>
      <c r="D164" s="433" t="s">
        <v>2082</v>
      </c>
      <c r="E164" s="433"/>
      <c r="G164" s="416" t="s">
        <v>2081</v>
      </c>
      <c r="I164" s="415" t="s">
        <v>1543</v>
      </c>
      <c r="J164" s="415" t="s">
        <v>1543</v>
      </c>
      <c r="K164" s="415" t="s">
        <v>1543</v>
      </c>
      <c r="L164" s="415"/>
      <c r="M164" s="415" t="s">
        <v>1543</v>
      </c>
      <c r="N164" s="415" t="s">
        <v>1529</v>
      </c>
      <c r="O164" s="415" t="s">
        <v>1543</v>
      </c>
      <c r="P164" s="415" t="s">
        <v>1543</v>
      </c>
      <c r="U164" s="422">
        <f t="shared" si="6"/>
        <v>0.1</v>
      </c>
      <c r="V164" s="422">
        <f t="shared" si="7"/>
        <v>0.11499999999999999</v>
      </c>
      <c r="W164" s="424" t="str">
        <f>IF(ISBLANK(A164),"",VLOOKUP(A164,'KY Taxcodes'!$A:$B,2,FALSE))</f>
        <v/>
      </c>
    </row>
    <row r="165" spans="1:23" ht="15" customHeight="1">
      <c r="C165" s="417" t="s">
        <v>1532</v>
      </c>
      <c r="D165" s="433" t="s">
        <v>2080</v>
      </c>
      <c r="E165" s="433"/>
      <c r="G165" s="416" t="s">
        <v>2079</v>
      </c>
      <c r="I165" s="415" t="s">
        <v>1536</v>
      </c>
      <c r="J165" s="415" t="s">
        <v>1536</v>
      </c>
      <c r="K165" s="415" t="s">
        <v>1536</v>
      </c>
      <c r="L165" s="415"/>
      <c r="M165" s="415" t="s">
        <v>1536</v>
      </c>
      <c r="N165" s="415" t="s">
        <v>1536</v>
      </c>
      <c r="O165" s="415" t="s">
        <v>1529</v>
      </c>
      <c r="P165" s="415" t="s">
        <v>1536</v>
      </c>
      <c r="U165" s="422">
        <f t="shared" si="6"/>
        <v>0.06</v>
      </c>
      <c r="V165" s="422">
        <f t="shared" si="7"/>
        <v>6.8999999999999992E-2</v>
      </c>
      <c r="W165" s="424" t="str">
        <f>IF(ISBLANK(A165),"",VLOOKUP(A165,'KY Taxcodes'!$A:$B,2,FALSE))</f>
        <v/>
      </c>
    </row>
    <row r="166" spans="1:23" ht="15" customHeight="1">
      <c r="C166" s="417" t="s">
        <v>1532</v>
      </c>
      <c r="D166" s="433" t="s">
        <v>2078</v>
      </c>
      <c r="E166" s="433"/>
      <c r="G166" s="416" t="s">
        <v>2077</v>
      </c>
      <c r="I166" s="415" t="s">
        <v>1528</v>
      </c>
      <c r="J166" s="415" t="s">
        <v>1528</v>
      </c>
      <c r="K166" s="415" t="s">
        <v>1528</v>
      </c>
      <c r="L166" s="415"/>
      <c r="M166" s="415" t="s">
        <v>1528</v>
      </c>
      <c r="N166" s="415" t="s">
        <v>1529</v>
      </c>
      <c r="O166" s="415" t="s">
        <v>1528</v>
      </c>
      <c r="P166" s="415" t="s">
        <v>1528</v>
      </c>
      <c r="U166" s="422">
        <f t="shared" si="6"/>
        <v>0.08</v>
      </c>
      <c r="V166" s="422">
        <f t="shared" si="7"/>
        <v>9.1999999999999998E-2</v>
      </c>
      <c r="W166" s="424" t="str">
        <f>IF(ISBLANK(A166),"",VLOOKUP(A166,'KY Taxcodes'!$A:$B,2,FALSE))</f>
        <v/>
      </c>
    </row>
    <row r="167" spans="1:23" ht="15" customHeight="1">
      <c r="C167" s="417" t="s">
        <v>1532</v>
      </c>
      <c r="D167" s="433" t="s">
        <v>2076</v>
      </c>
      <c r="E167" s="433"/>
      <c r="G167" s="416" t="s">
        <v>2075</v>
      </c>
      <c r="I167" s="415" t="s">
        <v>1543</v>
      </c>
      <c r="J167" s="415" t="s">
        <v>1543</v>
      </c>
      <c r="K167" s="415" t="s">
        <v>1543</v>
      </c>
      <c r="L167" s="415"/>
      <c r="M167" s="415" t="s">
        <v>1543</v>
      </c>
      <c r="N167" s="415" t="s">
        <v>1543</v>
      </c>
      <c r="O167" s="415" t="s">
        <v>1543</v>
      </c>
      <c r="P167" s="415" t="s">
        <v>1543</v>
      </c>
      <c r="U167" s="422">
        <f t="shared" si="6"/>
        <v>0.1</v>
      </c>
      <c r="V167" s="422">
        <f t="shared" si="7"/>
        <v>0.11499999999999999</v>
      </c>
      <c r="W167" s="424" t="str">
        <f>IF(ISBLANK(A167),"",VLOOKUP(A167,'KY Taxcodes'!$A:$B,2,FALSE))</f>
        <v/>
      </c>
    </row>
    <row r="168" spans="1:23" ht="15" customHeight="1">
      <c r="C168" s="417" t="s">
        <v>1532</v>
      </c>
      <c r="D168" s="433" t="s">
        <v>2074</v>
      </c>
      <c r="E168" s="433"/>
      <c r="G168" s="416" t="s">
        <v>2073</v>
      </c>
      <c r="I168" s="415" t="s">
        <v>1543</v>
      </c>
      <c r="J168" s="415" t="s">
        <v>1543</v>
      </c>
      <c r="K168" s="415" t="s">
        <v>1543</v>
      </c>
      <c r="L168" s="415"/>
      <c r="M168" s="415" t="s">
        <v>1543</v>
      </c>
      <c r="N168" s="415" t="s">
        <v>1543</v>
      </c>
      <c r="O168" s="415" t="s">
        <v>1543</v>
      </c>
      <c r="P168" s="415" t="s">
        <v>1543</v>
      </c>
      <c r="U168" s="422">
        <f t="shared" si="6"/>
        <v>0.1</v>
      </c>
      <c r="V168" s="422">
        <f t="shared" si="7"/>
        <v>0.11499999999999999</v>
      </c>
      <c r="W168" s="424" t="str">
        <f>IF(ISBLANK(A168),"",VLOOKUP(A168,'KY Taxcodes'!$A:$B,2,FALSE))</f>
        <v/>
      </c>
    </row>
    <row r="169" spans="1:23" ht="15" customHeight="1">
      <c r="C169" s="417" t="s">
        <v>1532</v>
      </c>
      <c r="D169" s="433" t="s">
        <v>2072</v>
      </c>
      <c r="E169" s="433"/>
      <c r="G169" s="416" t="s">
        <v>2071</v>
      </c>
      <c r="I169" s="415" t="s">
        <v>1528</v>
      </c>
      <c r="J169" s="415" t="s">
        <v>1528</v>
      </c>
      <c r="K169" s="415" t="s">
        <v>1528</v>
      </c>
      <c r="L169" s="415"/>
      <c r="M169" s="415" t="s">
        <v>1528</v>
      </c>
      <c r="N169" s="415" t="s">
        <v>1528</v>
      </c>
      <c r="O169" s="415" t="s">
        <v>1529</v>
      </c>
      <c r="P169" s="415" t="s">
        <v>1528</v>
      </c>
      <c r="U169" s="422">
        <f t="shared" si="6"/>
        <v>0.08</v>
      </c>
      <c r="V169" s="422">
        <f t="shared" si="7"/>
        <v>9.1999999999999998E-2</v>
      </c>
      <c r="W169" s="424" t="str">
        <f>IF(ISBLANK(A169),"",VLOOKUP(A169,'KY Taxcodes'!$A:$B,2,FALSE))</f>
        <v/>
      </c>
    </row>
    <row r="170" spans="1:23" ht="15" customHeight="1">
      <c r="C170" s="417" t="s">
        <v>1532</v>
      </c>
      <c r="D170" s="433" t="s">
        <v>2070</v>
      </c>
      <c r="E170" s="433"/>
      <c r="G170" s="416" t="s">
        <v>2069</v>
      </c>
      <c r="I170" s="415" t="s">
        <v>1533</v>
      </c>
      <c r="J170" s="415" t="s">
        <v>1533</v>
      </c>
      <c r="K170" s="415" t="s">
        <v>1533</v>
      </c>
      <c r="L170" s="415"/>
      <c r="M170" s="415" t="s">
        <v>1533</v>
      </c>
      <c r="N170" s="415" t="s">
        <v>1533</v>
      </c>
      <c r="O170" s="415" t="s">
        <v>1533</v>
      </c>
      <c r="P170" s="415" t="s">
        <v>1533</v>
      </c>
      <c r="U170" s="422">
        <f t="shared" si="6"/>
        <v>0.05</v>
      </c>
      <c r="V170" s="422">
        <f t="shared" si="7"/>
        <v>5.7499999999999996E-2</v>
      </c>
      <c r="W170" s="424" t="str">
        <f>IF(ISBLANK(A170),"",VLOOKUP(A170,'KY Taxcodes'!$A:$B,2,FALSE))</f>
        <v/>
      </c>
    </row>
    <row r="171" spans="1:23" ht="15" customHeight="1">
      <c r="C171" s="417" t="s">
        <v>1532</v>
      </c>
      <c r="D171" s="433" t="s">
        <v>2068</v>
      </c>
      <c r="E171" s="433"/>
      <c r="G171" s="416" t="s">
        <v>2067</v>
      </c>
      <c r="I171" s="415" t="s">
        <v>1533</v>
      </c>
      <c r="J171" s="415" t="s">
        <v>1533</v>
      </c>
      <c r="K171" s="415" t="s">
        <v>1533</v>
      </c>
      <c r="L171" s="415"/>
      <c r="M171" s="415" t="s">
        <v>1533</v>
      </c>
      <c r="N171" s="415" t="s">
        <v>1529</v>
      </c>
      <c r="O171" s="415" t="s">
        <v>1529</v>
      </c>
      <c r="P171" s="415" t="s">
        <v>1533</v>
      </c>
      <c r="U171" s="422">
        <f t="shared" si="6"/>
        <v>0.05</v>
      </c>
      <c r="V171" s="422">
        <f t="shared" si="7"/>
        <v>5.7499999999999996E-2</v>
      </c>
      <c r="W171" s="424" t="str">
        <f>IF(ISBLANK(A171),"",VLOOKUP(A171,'KY Taxcodes'!$A:$B,2,FALSE))</f>
        <v/>
      </c>
    </row>
    <row r="172" spans="1:23" ht="15" customHeight="1">
      <c r="C172" s="417" t="s">
        <v>1532</v>
      </c>
      <c r="D172" s="433" t="s">
        <v>2066</v>
      </c>
      <c r="E172" s="433"/>
      <c r="G172" s="416" t="s">
        <v>2065</v>
      </c>
      <c r="I172" s="415" t="s">
        <v>1543</v>
      </c>
      <c r="J172" s="415" t="s">
        <v>1543</v>
      </c>
      <c r="K172" s="415" t="s">
        <v>1543</v>
      </c>
      <c r="L172" s="415"/>
      <c r="M172" s="415" t="s">
        <v>1543</v>
      </c>
      <c r="N172" s="415" t="s">
        <v>1543</v>
      </c>
      <c r="O172" s="415" t="s">
        <v>1543</v>
      </c>
      <c r="P172" s="415" t="s">
        <v>1543</v>
      </c>
      <c r="R172" s="434">
        <v>5</v>
      </c>
      <c r="S172" s="434"/>
      <c r="U172" s="422">
        <f t="shared" si="6"/>
        <v>0.1</v>
      </c>
      <c r="V172" s="422">
        <f t="shared" si="7"/>
        <v>0.11499999999999999</v>
      </c>
      <c r="W172" s="424" t="str">
        <f>IF(ISBLANK(A172),"",VLOOKUP(A172,'KY Taxcodes'!$A:$B,2,FALSE))</f>
        <v/>
      </c>
    </row>
    <row r="173" spans="1:23" ht="15" customHeight="1">
      <c r="A173" s="416" t="s">
        <v>1583</v>
      </c>
      <c r="B173" s="416"/>
      <c r="C173" s="417" t="s">
        <v>1532</v>
      </c>
      <c r="D173" s="433" t="s">
        <v>2064</v>
      </c>
      <c r="E173" s="433"/>
      <c r="G173" s="416" t="s">
        <v>2063</v>
      </c>
      <c r="I173" s="415" t="s">
        <v>2062</v>
      </c>
      <c r="J173" s="415" t="s">
        <v>2062</v>
      </c>
      <c r="K173" s="415" t="s">
        <v>2062</v>
      </c>
      <c r="L173" s="415"/>
      <c r="M173" s="415" t="s">
        <v>2062</v>
      </c>
      <c r="N173" s="415" t="s">
        <v>2062</v>
      </c>
      <c r="O173" s="415" t="s">
        <v>2062</v>
      </c>
      <c r="P173" s="415" t="s">
        <v>2062</v>
      </c>
      <c r="U173" s="422">
        <f t="shared" si="6"/>
        <v>9.7500000000000003E-2</v>
      </c>
      <c r="V173" s="422">
        <f t="shared" si="7"/>
        <v>0.11212499999999999</v>
      </c>
      <c r="W173" s="424" t="str">
        <f>IF(ISBLANK(A173),"",VLOOKUP(A173,'KY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74" spans="1:23" ht="15" customHeight="1">
      <c r="C174" s="417" t="s">
        <v>1532</v>
      </c>
      <c r="D174" s="433" t="s">
        <v>2061</v>
      </c>
      <c r="E174" s="433"/>
      <c r="G174" s="416" t="s">
        <v>2060</v>
      </c>
      <c r="I174" s="415" t="s">
        <v>1533</v>
      </c>
      <c r="J174" s="415" t="s">
        <v>1533</v>
      </c>
      <c r="K174" s="415" t="s">
        <v>1533</v>
      </c>
      <c r="L174" s="415"/>
      <c r="M174" s="415" t="s">
        <v>1533</v>
      </c>
      <c r="N174" s="415" t="s">
        <v>1529</v>
      </c>
      <c r="O174" s="415" t="s">
        <v>1533</v>
      </c>
      <c r="P174" s="415" t="s">
        <v>1533</v>
      </c>
      <c r="U174" s="422">
        <f t="shared" si="6"/>
        <v>0.05</v>
      </c>
      <c r="V174" s="422">
        <f t="shared" si="7"/>
        <v>5.7499999999999996E-2</v>
      </c>
      <c r="W174" s="424" t="str">
        <f>IF(ISBLANK(A174),"",VLOOKUP(A174,'KY Taxcodes'!$A:$B,2,FALSE))</f>
        <v/>
      </c>
    </row>
    <row r="175" spans="1:23" ht="15" customHeight="1">
      <c r="A175" s="416" t="s">
        <v>1609</v>
      </c>
      <c r="B175" s="416"/>
      <c r="C175" s="417" t="s">
        <v>1532</v>
      </c>
      <c r="D175" s="433" t="s">
        <v>2059</v>
      </c>
      <c r="E175" s="433"/>
      <c r="G175" s="416" t="s">
        <v>2058</v>
      </c>
      <c r="I175" s="415" t="s">
        <v>1673</v>
      </c>
      <c r="J175" s="415" t="s">
        <v>1673</v>
      </c>
      <c r="K175" s="415" t="s">
        <v>1673</v>
      </c>
      <c r="L175" s="415"/>
      <c r="M175" s="415" t="s">
        <v>1673</v>
      </c>
      <c r="N175" s="415" t="s">
        <v>1529</v>
      </c>
      <c r="O175" s="415" t="s">
        <v>1529</v>
      </c>
      <c r="P175" s="415" t="s">
        <v>1673</v>
      </c>
      <c r="U175" s="422">
        <f t="shared" si="6"/>
        <v>0.03</v>
      </c>
      <c r="V175" s="422">
        <f t="shared" si="7"/>
        <v>3.4499999999999996E-2</v>
      </c>
      <c r="W175" s="424" t="str">
        <f>IF(ISBLANK(A175),"",VLOOKUP(A175,'KY Taxcodes'!$A:$B,2,FALSE))</f>
        <v>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v>
      </c>
    </row>
    <row r="176" spans="1:23" ht="15" customHeight="1">
      <c r="C176" s="417" t="s">
        <v>1532</v>
      </c>
      <c r="D176" s="433" t="s">
        <v>2057</v>
      </c>
      <c r="E176" s="433"/>
      <c r="G176" s="416" t="s">
        <v>2056</v>
      </c>
      <c r="I176" s="415" t="s">
        <v>1533</v>
      </c>
      <c r="J176" s="415" t="s">
        <v>1533</v>
      </c>
      <c r="K176" s="415" t="s">
        <v>1533</v>
      </c>
      <c r="L176" s="415"/>
      <c r="M176" s="415" t="s">
        <v>1533</v>
      </c>
      <c r="N176" s="415" t="s">
        <v>1529</v>
      </c>
      <c r="O176" s="415" t="s">
        <v>1533</v>
      </c>
      <c r="P176" s="415" t="s">
        <v>1533</v>
      </c>
      <c r="U176" s="422">
        <f t="shared" si="6"/>
        <v>0.05</v>
      </c>
      <c r="V176" s="422">
        <f t="shared" si="7"/>
        <v>5.7499999999999996E-2</v>
      </c>
      <c r="W176" s="424" t="str">
        <f>IF(ISBLANK(A176),"",VLOOKUP(A176,'KY Taxcodes'!$A:$B,2,FALSE))</f>
        <v/>
      </c>
    </row>
    <row r="177" spans="1:23" ht="15" customHeight="1">
      <c r="C177" s="417" t="s">
        <v>1532</v>
      </c>
      <c r="D177" s="433" t="s">
        <v>2055</v>
      </c>
      <c r="E177" s="433"/>
      <c r="G177" s="416" t="s">
        <v>2054</v>
      </c>
      <c r="I177" s="415" t="s">
        <v>1543</v>
      </c>
      <c r="J177" s="415" t="s">
        <v>1543</v>
      </c>
      <c r="K177" s="415" t="s">
        <v>1543</v>
      </c>
      <c r="L177" s="415"/>
      <c r="M177" s="415" t="s">
        <v>1543</v>
      </c>
      <c r="N177" s="415" t="s">
        <v>1529</v>
      </c>
      <c r="O177" s="415" t="s">
        <v>1529</v>
      </c>
      <c r="P177" s="415" t="s">
        <v>1543</v>
      </c>
      <c r="U177" s="422">
        <f t="shared" si="6"/>
        <v>0.1</v>
      </c>
      <c r="V177" s="422">
        <f t="shared" si="7"/>
        <v>0.11499999999999999</v>
      </c>
      <c r="W177" s="424" t="str">
        <f>IF(ISBLANK(A177),"",VLOOKUP(A177,'KY Taxcodes'!$A:$B,2,FALSE))</f>
        <v/>
      </c>
    </row>
    <row r="178" spans="1:23" ht="15" customHeight="1">
      <c r="C178" s="417" t="s">
        <v>1532</v>
      </c>
      <c r="D178" s="433" t="s">
        <v>2053</v>
      </c>
      <c r="E178" s="433"/>
      <c r="G178" s="416" t="s">
        <v>2052</v>
      </c>
      <c r="I178" s="415" t="s">
        <v>1533</v>
      </c>
      <c r="J178" s="415" t="s">
        <v>1533</v>
      </c>
      <c r="K178" s="415" t="s">
        <v>1533</v>
      </c>
      <c r="L178" s="415"/>
      <c r="M178" s="415" t="s">
        <v>1533</v>
      </c>
      <c r="N178" s="415" t="s">
        <v>1529</v>
      </c>
      <c r="O178" s="415" t="s">
        <v>1533</v>
      </c>
      <c r="P178" s="415" t="s">
        <v>1533</v>
      </c>
      <c r="U178" s="422">
        <f t="shared" si="6"/>
        <v>0.05</v>
      </c>
      <c r="V178" s="422">
        <f t="shared" si="7"/>
        <v>5.7499999999999996E-2</v>
      </c>
      <c r="W178" s="424" t="str">
        <f>IF(ISBLANK(A178),"",VLOOKUP(A178,'KY Taxcodes'!$A:$B,2,FALSE))</f>
        <v/>
      </c>
    </row>
    <row r="179" spans="1:23" ht="15" customHeight="1">
      <c r="C179" s="417" t="s">
        <v>1532</v>
      </c>
      <c r="D179" s="433" t="s">
        <v>2051</v>
      </c>
      <c r="E179" s="433"/>
      <c r="G179" s="416" t="s">
        <v>2050</v>
      </c>
      <c r="I179" s="415" t="s">
        <v>1550</v>
      </c>
      <c r="J179" s="415" t="s">
        <v>1550</v>
      </c>
      <c r="K179" s="415" t="s">
        <v>1550</v>
      </c>
      <c r="L179" s="415"/>
      <c r="M179" s="415" t="s">
        <v>1550</v>
      </c>
      <c r="N179" s="415" t="s">
        <v>1529</v>
      </c>
      <c r="O179" s="415" t="s">
        <v>1529</v>
      </c>
      <c r="P179" s="415" t="s">
        <v>1550</v>
      </c>
      <c r="U179" s="422">
        <f t="shared" si="6"/>
        <v>7.0000000000000007E-2</v>
      </c>
      <c r="V179" s="422">
        <f t="shared" si="7"/>
        <v>8.0500000000000002E-2</v>
      </c>
      <c r="W179" s="424" t="str">
        <f>IF(ISBLANK(A179),"",VLOOKUP(A179,'KY Taxcodes'!$A:$B,2,FALSE))</f>
        <v/>
      </c>
    </row>
    <row r="180" spans="1:23" ht="15" customHeight="1">
      <c r="A180" s="416" t="s">
        <v>1583</v>
      </c>
      <c r="B180" s="416"/>
      <c r="C180" s="417" t="s">
        <v>1532</v>
      </c>
      <c r="D180" s="433" t="s">
        <v>2049</v>
      </c>
      <c r="E180" s="433"/>
      <c r="G180" s="416" t="s">
        <v>2048</v>
      </c>
      <c r="I180" s="415" t="s">
        <v>1673</v>
      </c>
      <c r="J180" s="415" t="s">
        <v>1673</v>
      </c>
      <c r="K180" s="415" t="s">
        <v>1673</v>
      </c>
      <c r="L180" s="415"/>
      <c r="M180" s="415" t="s">
        <v>1673</v>
      </c>
      <c r="N180" s="415" t="s">
        <v>1529</v>
      </c>
      <c r="O180" s="415" t="s">
        <v>1673</v>
      </c>
      <c r="P180" s="415" t="s">
        <v>1673</v>
      </c>
      <c r="U180" s="422">
        <f t="shared" si="6"/>
        <v>0.03</v>
      </c>
      <c r="V180" s="422">
        <f t="shared" si="7"/>
        <v>3.4499999999999996E-2</v>
      </c>
      <c r="W180" s="424" t="str">
        <f>IF(ISBLANK(A180),"",VLOOKUP(A180,'KY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81" spans="1:23" ht="15" customHeight="1">
      <c r="A181" s="416" t="s">
        <v>2047</v>
      </c>
      <c r="B181" s="416"/>
      <c r="C181" s="417" t="s">
        <v>1532</v>
      </c>
      <c r="D181" s="433" t="s">
        <v>2046</v>
      </c>
      <c r="E181" s="433"/>
      <c r="G181" s="416" t="s">
        <v>2045</v>
      </c>
      <c r="I181" s="415" t="s">
        <v>1543</v>
      </c>
      <c r="J181" s="415" t="s">
        <v>1543</v>
      </c>
      <c r="K181" s="415" t="s">
        <v>1543</v>
      </c>
      <c r="L181" s="415"/>
      <c r="M181" s="415" t="s">
        <v>1543</v>
      </c>
      <c r="N181" s="415" t="s">
        <v>1543</v>
      </c>
      <c r="O181" s="415" t="s">
        <v>1543</v>
      </c>
      <c r="P181" s="415" t="s">
        <v>1543</v>
      </c>
      <c r="U181" s="422">
        <f t="shared" si="6"/>
        <v>0.1</v>
      </c>
      <c r="V181" s="422">
        <f t="shared" si="7"/>
        <v>0.11499999999999999</v>
      </c>
      <c r="W181" s="424" t="str">
        <f>IF(ISBLANK(A181),"",VLOOKUP(A181,'KY Taxcodes'!$A:$B,2,FALSE))</f>
        <v>Policies of group health insurance provided for City of Hodgenville employees are exempt.</v>
      </c>
    </row>
    <row r="182" spans="1:23" ht="15" customHeight="1">
      <c r="C182" s="417" t="s">
        <v>1532</v>
      </c>
      <c r="D182" s="433" t="s">
        <v>2044</v>
      </c>
      <c r="E182" s="433"/>
      <c r="G182" s="416" t="s">
        <v>2043</v>
      </c>
      <c r="I182" s="415" t="s">
        <v>1533</v>
      </c>
      <c r="J182" s="415" t="s">
        <v>1533</v>
      </c>
      <c r="K182" s="415" t="s">
        <v>1533</v>
      </c>
      <c r="L182" s="415"/>
      <c r="M182" s="415" t="s">
        <v>1533</v>
      </c>
      <c r="N182" s="415" t="s">
        <v>1533</v>
      </c>
      <c r="O182" s="415" t="s">
        <v>1533</v>
      </c>
      <c r="P182" s="415" t="s">
        <v>1533</v>
      </c>
      <c r="U182" s="422">
        <f t="shared" si="6"/>
        <v>0.05</v>
      </c>
      <c r="V182" s="422">
        <f t="shared" si="7"/>
        <v>5.7499999999999996E-2</v>
      </c>
      <c r="W182" s="424" t="str">
        <f>IF(ISBLANK(A182),"",VLOOKUP(A182,'KY Taxcodes'!$A:$B,2,FALSE))</f>
        <v/>
      </c>
    </row>
    <row r="183" spans="1:23" ht="15" customHeight="1">
      <c r="A183" s="416" t="s">
        <v>1583</v>
      </c>
      <c r="B183" s="416"/>
      <c r="C183" s="417" t="s">
        <v>1532</v>
      </c>
      <c r="D183" s="433" t="s">
        <v>2042</v>
      </c>
      <c r="E183" s="433"/>
      <c r="G183" s="416" t="s">
        <v>2041</v>
      </c>
      <c r="I183" s="415" t="s">
        <v>1543</v>
      </c>
      <c r="J183" s="415" t="s">
        <v>1543</v>
      </c>
      <c r="K183" s="415" t="s">
        <v>1543</v>
      </c>
      <c r="L183" s="415"/>
      <c r="M183" s="415" t="s">
        <v>1543</v>
      </c>
      <c r="N183" s="415" t="s">
        <v>1529</v>
      </c>
      <c r="O183" s="415" t="s">
        <v>1543</v>
      </c>
      <c r="P183" s="415" t="s">
        <v>1543</v>
      </c>
      <c r="U183" s="422">
        <f t="shared" si="6"/>
        <v>0.1</v>
      </c>
      <c r="V183" s="422">
        <f t="shared" si="7"/>
        <v>0.11499999999999999</v>
      </c>
      <c r="W183" s="424" t="str">
        <f>IF(ISBLANK(A183),"",VLOOKUP(A183,'KY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184" spans="1:23" ht="15" customHeight="1">
      <c r="C184" s="417" t="s">
        <v>1532</v>
      </c>
      <c r="D184" s="433" t="s">
        <v>2040</v>
      </c>
      <c r="E184" s="433"/>
      <c r="G184" s="416" t="s">
        <v>2039</v>
      </c>
      <c r="I184" s="415" t="s">
        <v>2014</v>
      </c>
      <c r="J184" s="415" t="s">
        <v>2014</v>
      </c>
      <c r="K184" s="415" t="s">
        <v>2014</v>
      </c>
      <c r="L184" s="415"/>
      <c r="M184" s="415" t="s">
        <v>2014</v>
      </c>
      <c r="N184" s="415" t="s">
        <v>2014</v>
      </c>
      <c r="O184" s="415" t="s">
        <v>2014</v>
      </c>
      <c r="P184" s="415" t="s">
        <v>2014</v>
      </c>
      <c r="U184" s="422">
        <f t="shared" si="6"/>
        <v>8.5000000000000006E-2</v>
      </c>
      <c r="V184" s="422">
        <f t="shared" si="7"/>
        <v>9.7750000000000004E-2</v>
      </c>
      <c r="W184" s="424" t="str">
        <f>IF(ISBLANK(A184),"",VLOOKUP(A184,'KY Taxcodes'!$A:$B,2,FALSE))</f>
        <v/>
      </c>
    </row>
    <row r="185" spans="1:23" ht="15" customHeight="1">
      <c r="C185" s="417" t="s">
        <v>1532</v>
      </c>
      <c r="D185" s="433" t="s">
        <v>2038</v>
      </c>
      <c r="E185" s="433"/>
      <c r="G185" s="416" t="s">
        <v>2037</v>
      </c>
      <c r="I185" s="415" t="s">
        <v>1528</v>
      </c>
      <c r="J185" s="415" t="s">
        <v>1528</v>
      </c>
      <c r="K185" s="415" t="s">
        <v>1528</v>
      </c>
      <c r="L185" s="415"/>
      <c r="M185" s="415" t="s">
        <v>1528</v>
      </c>
      <c r="N185" s="415" t="s">
        <v>1528</v>
      </c>
      <c r="O185" s="415" t="s">
        <v>1528</v>
      </c>
      <c r="P185" s="415" t="s">
        <v>1528</v>
      </c>
      <c r="U185" s="422">
        <f t="shared" si="6"/>
        <v>0.08</v>
      </c>
      <c r="V185" s="422">
        <f t="shared" si="7"/>
        <v>9.1999999999999998E-2</v>
      </c>
      <c r="W185" s="424" t="str">
        <f>IF(ISBLANK(A185),"",VLOOKUP(A185,'KY Taxcodes'!$A:$B,2,FALSE))</f>
        <v/>
      </c>
    </row>
    <row r="186" spans="1:23" ht="15" customHeight="1">
      <c r="C186" s="417" t="s">
        <v>1532</v>
      </c>
      <c r="D186" s="433" t="s">
        <v>2036</v>
      </c>
      <c r="E186" s="433"/>
      <c r="G186" s="416" t="s">
        <v>2035</v>
      </c>
      <c r="I186" s="415" t="s">
        <v>1550</v>
      </c>
      <c r="J186" s="415" t="s">
        <v>1550</v>
      </c>
      <c r="K186" s="415" t="s">
        <v>1550</v>
      </c>
      <c r="L186" s="415"/>
      <c r="M186" s="415" t="s">
        <v>1550</v>
      </c>
      <c r="N186" s="415" t="s">
        <v>1529</v>
      </c>
      <c r="O186" s="415" t="s">
        <v>1550</v>
      </c>
      <c r="P186" s="415" t="s">
        <v>1550</v>
      </c>
      <c r="U186" s="422">
        <f t="shared" si="6"/>
        <v>7.0000000000000007E-2</v>
      </c>
      <c r="V186" s="422">
        <f t="shared" si="7"/>
        <v>8.0500000000000002E-2</v>
      </c>
      <c r="W186" s="424" t="str">
        <f>IF(ISBLANK(A186),"",VLOOKUP(A186,'KY Taxcodes'!$A:$B,2,FALSE))</f>
        <v/>
      </c>
    </row>
    <row r="187" spans="1:23" ht="15" customHeight="1">
      <c r="C187" s="417" t="s">
        <v>1532</v>
      </c>
      <c r="D187" s="433" t="s">
        <v>2034</v>
      </c>
      <c r="E187" s="433"/>
      <c r="G187" s="416" t="s">
        <v>2033</v>
      </c>
      <c r="I187" s="415" t="s">
        <v>1533</v>
      </c>
      <c r="J187" s="415" t="s">
        <v>1533</v>
      </c>
      <c r="K187" s="415" t="s">
        <v>1533</v>
      </c>
      <c r="L187" s="415"/>
      <c r="M187" s="415" t="s">
        <v>1533</v>
      </c>
      <c r="N187" s="415" t="s">
        <v>1529</v>
      </c>
      <c r="O187" s="415" t="s">
        <v>1529</v>
      </c>
      <c r="P187" s="415" t="s">
        <v>1533</v>
      </c>
      <c r="U187" s="422">
        <f t="shared" si="6"/>
        <v>0.05</v>
      </c>
      <c r="V187" s="422">
        <f t="shared" si="7"/>
        <v>5.7499999999999996E-2</v>
      </c>
      <c r="W187" s="424" t="str">
        <f>IF(ISBLANK(A187),"",VLOOKUP(A187,'KY Taxcodes'!$A:$B,2,FALSE))</f>
        <v/>
      </c>
    </row>
    <row r="188" spans="1:23" ht="15" customHeight="1">
      <c r="C188" s="417" t="s">
        <v>1532</v>
      </c>
      <c r="D188" s="433" t="s">
        <v>2032</v>
      </c>
      <c r="E188" s="433"/>
      <c r="G188" s="416" t="s">
        <v>2031</v>
      </c>
      <c r="I188" s="415" t="s">
        <v>1528</v>
      </c>
      <c r="J188" s="415" t="s">
        <v>1528</v>
      </c>
      <c r="K188" s="415" t="s">
        <v>1528</v>
      </c>
      <c r="L188" s="415"/>
      <c r="M188" s="415" t="s">
        <v>1528</v>
      </c>
      <c r="N188" s="415" t="s">
        <v>1529</v>
      </c>
      <c r="O188" s="415" t="s">
        <v>1528</v>
      </c>
      <c r="P188" s="415" t="s">
        <v>1528</v>
      </c>
      <c r="U188" s="422">
        <f t="shared" si="6"/>
        <v>0.08</v>
      </c>
      <c r="V188" s="422">
        <f t="shared" si="7"/>
        <v>9.1999999999999998E-2</v>
      </c>
      <c r="W188" s="424" t="str">
        <f>IF(ISBLANK(A188),"",VLOOKUP(A188,'KY Taxcodes'!$A:$B,2,FALSE))</f>
        <v/>
      </c>
    </row>
    <row r="189" spans="1:23" ht="15" customHeight="1">
      <c r="C189" s="417" t="s">
        <v>1532</v>
      </c>
      <c r="D189" s="433" t="s">
        <v>2030</v>
      </c>
      <c r="E189" s="433"/>
      <c r="G189" s="416" t="s">
        <v>2029</v>
      </c>
      <c r="I189" s="415" t="s">
        <v>1533</v>
      </c>
      <c r="J189" s="415" t="s">
        <v>1533</v>
      </c>
      <c r="K189" s="415" t="s">
        <v>1533</v>
      </c>
      <c r="L189" s="415"/>
      <c r="M189" s="415" t="s">
        <v>1533</v>
      </c>
      <c r="N189" s="415" t="s">
        <v>1533</v>
      </c>
      <c r="O189" s="415" t="s">
        <v>1533</v>
      </c>
      <c r="P189" s="415" t="s">
        <v>1533</v>
      </c>
      <c r="U189" s="422">
        <f t="shared" si="6"/>
        <v>0.05</v>
      </c>
      <c r="V189" s="422">
        <f t="shared" si="7"/>
        <v>5.7499999999999996E-2</v>
      </c>
      <c r="W189" s="424" t="str">
        <f>IF(ISBLANK(A189),"",VLOOKUP(A189,'KY Taxcodes'!$A:$B,2,FALSE))</f>
        <v/>
      </c>
    </row>
    <row r="190" spans="1:23" ht="15" customHeight="1">
      <c r="C190" s="417" t="s">
        <v>1532</v>
      </c>
      <c r="D190" s="433" t="s">
        <v>2028</v>
      </c>
      <c r="E190" s="433"/>
      <c r="G190" s="416" t="s">
        <v>2027</v>
      </c>
      <c r="I190" s="415" t="s">
        <v>1536</v>
      </c>
      <c r="J190" s="415" t="s">
        <v>1536</v>
      </c>
      <c r="K190" s="415" t="s">
        <v>1536</v>
      </c>
      <c r="L190" s="415"/>
      <c r="M190" s="415" t="s">
        <v>1536</v>
      </c>
      <c r="N190" s="415" t="s">
        <v>1529</v>
      </c>
      <c r="O190" s="415" t="s">
        <v>1529</v>
      </c>
      <c r="P190" s="415" t="s">
        <v>1536</v>
      </c>
      <c r="U190" s="422">
        <f t="shared" si="6"/>
        <v>0.06</v>
      </c>
      <c r="V190" s="422">
        <f t="shared" si="7"/>
        <v>6.8999999999999992E-2</v>
      </c>
      <c r="W190" s="424" t="str">
        <f>IF(ISBLANK(A190),"",VLOOKUP(A190,'KY Taxcodes'!$A:$B,2,FALSE))</f>
        <v/>
      </c>
    </row>
    <row r="191" spans="1:23" ht="15" customHeight="1">
      <c r="C191" s="417" t="s">
        <v>1532</v>
      </c>
      <c r="D191" s="433" t="s">
        <v>2026</v>
      </c>
      <c r="E191" s="433"/>
      <c r="G191" s="416" t="s">
        <v>2025</v>
      </c>
      <c r="I191" s="415" t="s">
        <v>1606</v>
      </c>
      <c r="J191" s="415" t="s">
        <v>1606</v>
      </c>
      <c r="K191" s="415" t="s">
        <v>1606</v>
      </c>
      <c r="L191" s="415"/>
      <c r="M191" s="415" t="s">
        <v>1606</v>
      </c>
      <c r="N191" s="415" t="s">
        <v>1606</v>
      </c>
      <c r="O191" s="415" t="s">
        <v>1606</v>
      </c>
      <c r="P191" s="415" t="s">
        <v>1606</v>
      </c>
      <c r="U191" s="422">
        <f t="shared" si="6"/>
        <v>0.04</v>
      </c>
      <c r="V191" s="422">
        <f t="shared" si="7"/>
        <v>4.5999999999999999E-2</v>
      </c>
      <c r="W191" s="424" t="str">
        <f>IF(ISBLANK(A191),"",VLOOKUP(A191,'KY Taxcodes'!$A:$B,2,FALSE))</f>
        <v/>
      </c>
    </row>
    <row r="192" spans="1:23" ht="15" customHeight="1">
      <c r="C192" s="417" t="s">
        <v>1532</v>
      </c>
      <c r="D192" s="433" t="s">
        <v>2024</v>
      </c>
      <c r="E192" s="433"/>
      <c r="G192" s="416" t="s">
        <v>2023</v>
      </c>
      <c r="I192" s="415" t="s">
        <v>1533</v>
      </c>
      <c r="J192" s="415" t="s">
        <v>1533</v>
      </c>
      <c r="K192" s="415" t="s">
        <v>1533</v>
      </c>
      <c r="L192" s="415"/>
      <c r="M192" s="415" t="s">
        <v>1533</v>
      </c>
      <c r="N192" s="415" t="s">
        <v>1533</v>
      </c>
      <c r="O192" s="415" t="s">
        <v>1533</v>
      </c>
      <c r="P192" s="415" t="s">
        <v>1533</v>
      </c>
      <c r="U192" s="422">
        <f t="shared" si="6"/>
        <v>0.05</v>
      </c>
      <c r="V192" s="422">
        <f t="shared" si="7"/>
        <v>5.7499999999999996E-2</v>
      </c>
      <c r="W192" s="424" t="str">
        <f>IF(ISBLANK(A192),"",VLOOKUP(A192,'KY Taxcodes'!$A:$B,2,FALSE))</f>
        <v/>
      </c>
    </row>
    <row r="193" spans="1:23" ht="15" customHeight="1">
      <c r="C193" s="417" t="s">
        <v>1532</v>
      </c>
      <c r="D193" s="433" t="s">
        <v>2022</v>
      </c>
      <c r="E193" s="433"/>
      <c r="G193" s="416" t="s">
        <v>2021</v>
      </c>
      <c r="I193" s="415" t="s">
        <v>1543</v>
      </c>
      <c r="J193" s="415" t="s">
        <v>1543</v>
      </c>
      <c r="K193" s="415" t="s">
        <v>1543</v>
      </c>
      <c r="L193" s="415"/>
      <c r="M193" s="415" t="s">
        <v>1543</v>
      </c>
      <c r="N193" s="415" t="s">
        <v>1529</v>
      </c>
      <c r="O193" s="415" t="s">
        <v>1543</v>
      </c>
      <c r="P193" s="415" t="s">
        <v>1543</v>
      </c>
      <c r="R193" s="434">
        <v>5</v>
      </c>
      <c r="S193" s="434"/>
      <c r="U193" s="422">
        <f t="shared" si="6"/>
        <v>0.1</v>
      </c>
      <c r="V193" s="422">
        <f t="shared" si="7"/>
        <v>0.11499999999999999</v>
      </c>
      <c r="W193" s="424" t="str">
        <f>IF(ISBLANK(A193),"",VLOOKUP(A193,'KY Taxcodes'!$A:$B,2,FALSE))</f>
        <v/>
      </c>
    </row>
    <row r="194" spans="1:23" ht="15" customHeight="1">
      <c r="C194" s="417" t="s">
        <v>1532</v>
      </c>
      <c r="D194" s="433" t="s">
        <v>2020</v>
      </c>
      <c r="E194" s="433"/>
      <c r="G194" s="416" t="s">
        <v>2019</v>
      </c>
      <c r="I194" s="415" t="s">
        <v>1543</v>
      </c>
      <c r="J194" s="415" t="s">
        <v>1543</v>
      </c>
      <c r="K194" s="415" t="s">
        <v>1543</v>
      </c>
      <c r="L194" s="415"/>
      <c r="M194" s="415" t="s">
        <v>1543</v>
      </c>
      <c r="N194" s="415" t="s">
        <v>1543</v>
      </c>
      <c r="O194" s="415" t="s">
        <v>1543</v>
      </c>
      <c r="P194" s="415" t="s">
        <v>1543</v>
      </c>
      <c r="U194" s="422">
        <f t="shared" si="6"/>
        <v>0.1</v>
      </c>
      <c r="V194" s="422">
        <f t="shared" si="7"/>
        <v>0.11499999999999999</v>
      </c>
      <c r="W194" s="424" t="str">
        <f>IF(ISBLANK(A194),"",VLOOKUP(A194,'KY Taxcodes'!$A:$B,2,FALSE))</f>
        <v/>
      </c>
    </row>
    <row r="195" spans="1:23" ht="15" customHeight="1">
      <c r="C195" s="417" t="s">
        <v>1532</v>
      </c>
      <c r="D195" s="433" t="s">
        <v>2018</v>
      </c>
      <c r="E195" s="433"/>
      <c r="G195" s="416" t="s">
        <v>2017</v>
      </c>
      <c r="I195" s="415" t="s">
        <v>1752</v>
      </c>
      <c r="J195" s="415" t="s">
        <v>1752</v>
      </c>
      <c r="K195" s="415" t="s">
        <v>1752</v>
      </c>
      <c r="L195" s="415"/>
      <c r="M195" s="415" t="s">
        <v>1752</v>
      </c>
      <c r="N195" s="415" t="s">
        <v>1752</v>
      </c>
      <c r="O195" s="415" t="s">
        <v>1752</v>
      </c>
      <c r="P195" s="415" t="s">
        <v>1752</v>
      </c>
      <c r="U195" s="422">
        <f t="shared" si="6"/>
        <v>0.11</v>
      </c>
      <c r="V195" s="422">
        <f t="shared" si="7"/>
        <v>0.1265</v>
      </c>
      <c r="W195" s="424" t="str">
        <f>IF(ISBLANK(A195),"",VLOOKUP(A195,'KY Taxcodes'!$A:$B,2,FALSE))</f>
        <v/>
      </c>
    </row>
    <row r="196" spans="1:23" ht="15" customHeight="1">
      <c r="C196" s="417" t="s">
        <v>1532</v>
      </c>
      <c r="D196" s="433" t="s">
        <v>2016</v>
      </c>
      <c r="E196" s="433"/>
      <c r="G196" s="416" t="s">
        <v>2015</v>
      </c>
      <c r="I196" s="415" t="s">
        <v>2014</v>
      </c>
      <c r="J196" s="415" t="s">
        <v>2014</v>
      </c>
      <c r="K196" s="415" t="s">
        <v>2014</v>
      </c>
      <c r="L196" s="415"/>
      <c r="M196" s="415" t="s">
        <v>2014</v>
      </c>
      <c r="N196" s="415" t="s">
        <v>1529</v>
      </c>
      <c r="O196" s="415" t="s">
        <v>1529</v>
      </c>
      <c r="P196" s="415" t="s">
        <v>2014</v>
      </c>
      <c r="U196" s="422">
        <f t="shared" si="6"/>
        <v>8.5000000000000006E-2</v>
      </c>
      <c r="V196" s="422">
        <f t="shared" si="7"/>
        <v>9.7750000000000004E-2</v>
      </c>
      <c r="W196" s="424" t="str">
        <f>IF(ISBLANK(A196),"",VLOOKUP(A196,'KY Taxcodes'!$A:$B,2,FALSE))</f>
        <v/>
      </c>
    </row>
    <row r="197" spans="1:23" ht="15" customHeight="1">
      <c r="C197" s="417" t="s">
        <v>1532</v>
      </c>
      <c r="D197" s="433" t="s">
        <v>2013</v>
      </c>
      <c r="E197" s="433"/>
      <c r="G197" s="416" t="s">
        <v>2012</v>
      </c>
      <c r="I197" s="415" t="s">
        <v>1533</v>
      </c>
      <c r="J197" s="415" t="s">
        <v>1533</v>
      </c>
      <c r="K197" s="415" t="s">
        <v>1533</v>
      </c>
      <c r="L197" s="415"/>
      <c r="M197" s="415" t="s">
        <v>1533</v>
      </c>
      <c r="N197" s="415" t="s">
        <v>1529</v>
      </c>
      <c r="O197" s="415" t="s">
        <v>1529</v>
      </c>
      <c r="P197" s="415" t="s">
        <v>1533</v>
      </c>
      <c r="U197" s="422">
        <f t="shared" si="6"/>
        <v>0.05</v>
      </c>
      <c r="V197" s="422">
        <f t="shared" si="7"/>
        <v>5.7499999999999996E-2</v>
      </c>
      <c r="W197" s="424" t="str">
        <f>IF(ISBLANK(A197),"",VLOOKUP(A197,'KY Taxcodes'!$A:$B,2,FALSE))</f>
        <v/>
      </c>
    </row>
    <row r="198" spans="1:23" ht="15" customHeight="1">
      <c r="C198" s="417" t="s">
        <v>1532</v>
      </c>
      <c r="D198" s="433" t="s">
        <v>2011</v>
      </c>
      <c r="E198" s="433"/>
      <c r="G198" s="416" t="s">
        <v>2010</v>
      </c>
      <c r="I198" s="415" t="s">
        <v>1543</v>
      </c>
      <c r="J198" s="415" t="s">
        <v>1543</v>
      </c>
      <c r="K198" s="415" t="s">
        <v>1543</v>
      </c>
      <c r="L198" s="415"/>
      <c r="M198" s="415" t="s">
        <v>1543</v>
      </c>
      <c r="N198" s="415" t="s">
        <v>1543</v>
      </c>
      <c r="O198" s="415" t="s">
        <v>1543</v>
      </c>
      <c r="P198" s="415" t="s">
        <v>1543</v>
      </c>
      <c r="U198" s="422">
        <f t="shared" si="6"/>
        <v>0.1</v>
      </c>
      <c r="V198" s="422">
        <f t="shared" si="7"/>
        <v>0.11499999999999999</v>
      </c>
      <c r="W198" s="424" t="str">
        <f>IF(ISBLANK(A198),"",VLOOKUP(A198,'KY Taxcodes'!$A:$B,2,FALSE))</f>
        <v/>
      </c>
    </row>
    <row r="199" spans="1:23" ht="15" customHeight="1">
      <c r="C199" s="417" t="s">
        <v>1532</v>
      </c>
      <c r="D199" s="433" t="s">
        <v>2009</v>
      </c>
      <c r="E199" s="433"/>
      <c r="G199" s="416" t="s">
        <v>2008</v>
      </c>
      <c r="I199" s="415" t="s">
        <v>1533</v>
      </c>
      <c r="J199" s="415" t="s">
        <v>1533</v>
      </c>
      <c r="K199" s="415" t="s">
        <v>1533</v>
      </c>
      <c r="L199" s="415"/>
      <c r="M199" s="415" t="s">
        <v>1533</v>
      </c>
      <c r="N199" s="415" t="s">
        <v>1529</v>
      </c>
      <c r="O199" s="415" t="s">
        <v>1533</v>
      </c>
      <c r="P199" s="415" t="s">
        <v>1533</v>
      </c>
      <c r="U199" s="422">
        <f t="shared" si="6"/>
        <v>0.05</v>
      </c>
      <c r="V199" s="422">
        <f t="shared" si="7"/>
        <v>5.7499999999999996E-2</v>
      </c>
      <c r="W199" s="424" t="str">
        <f>IF(ISBLANK(A199),"",VLOOKUP(A199,'KY Taxcodes'!$A:$B,2,FALSE))</f>
        <v/>
      </c>
    </row>
    <row r="200" spans="1:23" ht="15" customHeight="1">
      <c r="C200" s="417" t="s">
        <v>1532</v>
      </c>
      <c r="D200" s="433" t="s">
        <v>2007</v>
      </c>
      <c r="E200" s="433"/>
      <c r="G200" s="416" t="s">
        <v>2006</v>
      </c>
      <c r="I200" s="415" t="s">
        <v>1606</v>
      </c>
      <c r="J200" s="415" t="s">
        <v>1606</v>
      </c>
      <c r="K200" s="415" t="s">
        <v>1606</v>
      </c>
      <c r="L200" s="415"/>
      <c r="M200" s="415" t="s">
        <v>1606</v>
      </c>
      <c r="N200" s="415" t="s">
        <v>1529</v>
      </c>
      <c r="O200" s="415" t="s">
        <v>1606</v>
      </c>
      <c r="P200" s="415" t="s">
        <v>1529</v>
      </c>
      <c r="R200" s="434">
        <v>5</v>
      </c>
      <c r="S200" s="434"/>
      <c r="U200" s="422">
        <f t="shared" si="6"/>
        <v>0.04</v>
      </c>
      <c r="V200" s="422">
        <f t="shared" si="7"/>
        <v>4.5999999999999999E-2</v>
      </c>
      <c r="W200" s="424" t="str">
        <f>IF(ISBLANK(A200),"",VLOOKUP(A200,'KY Taxcodes'!$A:$B,2,FALSE))</f>
        <v/>
      </c>
    </row>
    <row r="201" spans="1:23" ht="15" customHeight="1">
      <c r="C201" s="417" t="s">
        <v>1532</v>
      </c>
      <c r="D201" s="433" t="s">
        <v>2005</v>
      </c>
      <c r="E201" s="433"/>
      <c r="G201" s="416" t="s">
        <v>2004</v>
      </c>
      <c r="I201" s="415" t="s">
        <v>1536</v>
      </c>
      <c r="J201" s="415" t="s">
        <v>1536</v>
      </c>
      <c r="K201" s="415" t="s">
        <v>1536</v>
      </c>
      <c r="L201" s="415"/>
      <c r="M201" s="415" t="s">
        <v>1536</v>
      </c>
      <c r="N201" s="415" t="s">
        <v>1536</v>
      </c>
      <c r="O201" s="415" t="s">
        <v>1536</v>
      </c>
      <c r="P201" s="415" t="s">
        <v>1536</v>
      </c>
      <c r="U201" s="422">
        <f t="shared" si="6"/>
        <v>0.06</v>
      </c>
      <c r="V201" s="422">
        <f t="shared" si="7"/>
        <v>6.8999999999999992E-2</v>
      </c>
      <c r="W201" s="424" t="str">
        <f>IF(ISBLANK(A201),"",VLOOKUP(A201,'KY Taxcodes'!$A:$B,2,FALSE))</f>
        <v/>
      </c>
    </row>
    <row r="202" spans="1:23" ht="15" customHeight="1">
      <c r="A202" s="416" t="s">
        <v>616</v>
      </c>
      <c r="B202" s="416"/>
      <c r="C202" s="417" t="s">
        <v>1582</v>
      </c>
      <c r="D202" s="433" t="s">
        <v>2003</v>
      </c>
      <c r="E202" s="433"/>
      <c r="G202" s="416" t="s">
        <v>2002</v>
      </c>
      <c r="I202" s="415" t="s">
        <v>1622</v>
      </c>
      <c r="J202" s="415" t="s">
        <v>1622</v>
      </c>
      <c r="K202" s="415" t="s">
        <v>1622</v>
      </c>
      <c r="L202" s="415"/>
      <c r="M202" s="415" t="s">
        <v>1622</v>
      </c>
      <c r="N202" s="415" t="s">
        <v>1529</v>
      </c>
      <c r="O202" s="415" t="s">
        <v>1622</v>
      </c>
      <c r="P202" s="415" t="s">
        <v>1622</v>
      </c>
      <c r="U202" s="422">
        <f t="shared" si="6"/>
        <v>0.09</v>
      </c>
      <c r="V202" s="422">
        <f t="shared" si="7"/>
        <v>0.10349999999999999</v>
      </c>
      <c r="W202" s="424" t="str">
        <f>IF(ISBLANK(A202),"",VLOOKUP(A202,'KY Taxcodes'!$A:$B,2,FALSE))</f>
        <v>Tax is imposed only on unincorporated areas of the County.</v>
      </c>
    </row>
    <row r="203" spans="1:23" ht="15" customHeight="1">
      <c r="C203" s="417" t="s">
        <v>1532</v>
      </c>
      <c r="D203" s="433" t="s">
        <v>2001</v>
      </c>
      <c r="E203" s="433"/>
      <c r="G203" s="416" t="s">
        <v>2000</v>
      </c>
      <c r="I203" s="415" t="s">
        <v>1590</v>
      </c>
      <c r="J203" s="415" t="s">
        <v>1590</v>
      </c>
      <c r="K203" s="415" t="s">
        <v>1590</v>
      </c>
      <c r="L203" s="415"/>
      <c r="M203" s="415" t="s">
        <v>1590</v>
      </c>
      <c r="N203" s="415" t="s">
        <v>1590</v>
      </c>
      <c r="O203" s="415" t="s">
        <v>1590</v>
      </c>
      <c r="P203" s="415" t="s">
        <v>1590</v>
      </c>
      <c r="U203" s="422">
        <f t="shared" si="6"/>
        <v>0.12</v>
      </c>
      <c r="V203" s="422">
        <f t="shared" si="7"/>
        <v>0.13799999999999998</v>
      </c>
      <c r="W203" s="424" t="str">
        <f>IF(ISBLANK(A203),"",VLOOKUP(A203,'KY Taxcodes'!$A:$B,2,FALSE))</f>
        <v/>
      </c>
    </row>
    <row r="204" spans="1:23" ht="15" customHeight="1">
      <c r="A204" s="416" t="s">
        <v>1999</v>
      </c>
      <c r="B204" s="416"/>
      <c r="C204" s="417" t="s">
        <v>1532</v>
      </c>
      <c r="D204" s="433" t="s">
        <v>1998</v>
      </c>
      <c r="E204" s="433"/>
      <c r="G204" s="416" t="s">
        <v>1997</v>
      </c>
      <c r="I204" s="415" t="s">
        <v>1528</v>
      </c>
      <c r="J204" s="415" t="s">
        <v>1528</v>
      </c>
      <c r="K204" s="415" t="s">
        <v>1528</v>
      </c>
      <c r="L204" s="415"/>
      <c r="M204" s="415" t="s">
        <v>1528</v>
      </c>
      <c r="N204" s="415" t="s">
        <v>1529</v>
      </c>
      <c r="O204" s="415" t="s">
        <v>1529</v>
      </c>
      <c r="P204" s="415" t="s">
        <v>1528</v>
      </c>
      <c r="R204" s="434">
        <v>5</v>
      </c>
      <c r="S204" s="434"/>
      <c r="U204" s="422">
        <f t="shared" si="6"/>
        <v>0.08</v>
      </c>
      <c r="V204" s="422">
        <f t="shared" si="7"/>
        <v>9.1999999999999998E-2</v>
      </c>
      <c r="W204" s="531" t="s">
        <v>2429</v>
      </c>
    </row>
    <row r="205" spans="1:23" ht="15" customHeight="1">
      <c r="C205" s="417" t="s">
        <v>1532</v>
      </c>
      <c r="D205" s="433" t="s">
        <v>1996</v>
      </c>
      <c r="E205" s="433"/>
      <c r="G205" s="416" t="s">
        <v>1995</v>
      </c>
      <c r="I205" s="415" t="s">
        <v>1533</v>
      </c>
      <c r="J205" s="415" t="s">
        <v>1533</v>
      </c>
      <c r="K205" s="415" t="s">
        <v>1533</v>
      </c>
      <c r="L205" s="415"/>
      <c r="M205" s="415" t="s">
        <v>1533</v>
      </c>
      <c r="N205" s="415" t="s">
        <v>1533</v>
      </c>
      <c r="O205" s="415" t="s">
        <v>1529</v>
      </c>
      <c r="P205" s="415" t="s">
        <v>1533</v>
      </c>
      <c r="U205" s="422">
        <f t="shared" ref="U205:U268" si="8">VALUE(J205)</f>
        <v>0.05</v>
      </c>
      <c r="V205" s="422">
        <f t="shared" si="7"/>
        <v>5.7499999999999996E-2</v>
      </c>
      <c r="W205" s="424" t="str">
        <f>IF(ISBLANK(A205),"",VLOOKUP(A205,'KY Taxcodes'!$A:$B,2,FALSE))</f>
        <v/>
      </c>
    </row>
    <row r="206" spans="1:23" ht="15" customHeight="1">
      <c r="A206" s="416" t="s">
        <v>1583</v>
      </c>
      <c r="B206" s="416"/>
      <c r="C206" s="417" t="s">
        <v>1582</v>
      </c>
      <c r="D206" s="433" t="s">
        <v>1994</v>
      </c>
      <c r="E206" s="433"/>
      <c r="G206" s="416" t="s">
        <v>1993</v>
      </c>
      <c r="I206" s="415" t="s">
        <v>1606</v>
      </c>
      <c r="J206" s="415" t="s">
        <v>1606</v>
      </c>
      <c r="K206" s="415" t="s">
        <v>1606</v>
      </c>
      <c r="L206" s="415"/>
      <c r="M206" s="415" t="s">
        <v>1606</v>
      </c>
      <c r="N206" s="415" t="s">
        <v>1529</v>
      </c>
      <c r="O206" s="415" t="s">
        <v>1529</v>
      </c>
      <c r="P206" s="415" t="s">
        <v>1606</v>
      </c>
      <c r="U206" s="422">
        <f t="shared" si="8"/>
        <v>0.04</v>
      </c>
      <c r="V206" s="422">
        <f t="shared" si="7"/>
        <v>4.5999999999999999E-2</v>
      </c>
      <c r="W206" s="424" t="str">
        <f>IF(ISBLANK(A206),"",VLOOKUP(A206,'KY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207" spans="1:23" ht="15" customHeight="1">
      <c r="A207" s="416" t="s">
        <v>1554</v>
      </c>
      <c r="B207" s="416"/>
      <c r="C207" s="417" t="s">
        <v>1532</v>
      </c>
      <c r="D207" s="433" t="s">
        <v>1992</v>
      </c>
      <c r="E207" s="433"/>
      <c r="G207" s="416" t="s">
        <v>1991</v>
      </c>
      <c r="I207" s="415" t="s">
        <v>1543</v>
      </c>
      <c r="J207" s="415" t="s">
        <v>1529</v>
      </c>
      <c r="K207" s="415" t="s">
        <v>1529</v>
      </c>
      <c r="L207" s="415"/>
      <c r="M207" s="415" t="s">
        <v>1529</v>
      </c>
      <c r="N207" s="415" t="s">
        <v>1529</v>
      </c>
      <c r="O207" s="415" t="s">
        <v>1529</v>
      </c>
      <c r="P207" s="415" t="s">
        <v>1529</v>
      </c>
      <c r="R207" s="434">
        <v>5</v>
      </c>
      <c r="S207" s="434"/>
      <c r="U207" s="422" t="e">
        <f t="shared" si="8"/>
        <v>#VALUE!</v>
      </c>
      <c r="V207" s="422">
        <f t="shared" si="7"/>
        <v>0</v>
      </c>
      <c r="W207" s="424" t="str">
        <f>IF(ISBLANK(A207),"",VLOOKUP(A207,'KY Taxcodes'!$A:$B,2,FALSE))</f>
        <v>Indivisible premiums.  Indivisible premium multiple-line policies consist mainly of homeowners and farm owners policies.  Other multiple-line policies have divisible premiums and the appropriate tax for the various lines of insurance is applicable separately.  Since KRS 91A.080 requires a breakdown of all collections by category, indivisible premium multiple-line policies must be broken down giving a weight of two-thirds of the premium to the fire provision and one-third of the premium to the casualty provision before determining the tax.</v>
      </c>
    </row>
    <row r="208" spans="1:23" ht="15" customHeight="1">
      <c r="C208" s="417" t="s">
        <v>1532</v>
      </c>
      <c r="D208" s="433" t="s">
        <v>1990</v>
      </c>
      <c r="E208" s="433"/>
      <c r="G208" s="416" t="s">
        <v>1989</v>
      </c>
      <c r="I208" s="415" t="s">
        <v>1673</v>
      </c>
      <c r="J208" s="415" t="s">
        <v>1673</v>
      </c>
      <c r="K208" s="415" t="s">
        <v>1673</v>
      </c>
      <c r="L208" s="415"/>
      <c r="M208" s="415" t="s">
        <v>1673</v>
      </c>
      <c r="N208" s="415" t="s">
        <v>1529</v>
      </c>
      <c r="O208" s="415" t="s">
        <v>1673</v>
      </c>
      <c r="P208" s="415" t="s">
        <v>1673</v>
      </c>
      <c r="R208" s="434">
        <v>25</v>
      </c>
      <c r="S208" s="434"/>
      <c r="U208" s="422">
        <f t="shared" si="8"/>
        <v>0.03</v>
      </c>
      <c r="V208" s="422">
        <f t="shared" si="7"/>
        <v>3.4499999999999996E-2</v>
      </c>
      <c r="W208" s="424" t="str">
        <f>IF(ISBLANK(A208),"",VLOOKUP(A208,'KY Taxcodes'!$A:$B,2,FALSE))</f>
        <v/>
      </c>
    </row>
    <row r="209" spans="1:23" ht="15" customHeight="1">
      <c r="C209" s="417" t="s">
        <v>1532</v>
      </c>
      <c r="D209" s="433" t="s">
        <v>1988</v>
      </c>
      <c r="E209" s="433"/>
      <c r="G209" s="416" t="s">
        <v>1987</v>
      </c>
      <c r="I209" s="415" t="s">
        <v>1550</v>
      </c>
      <c r="J209" s="415" t="s">
        <v>1550</v>
      </c>
      <c r="K209" s="415" t="s">
        <v>1550</v>
      </c>
      <c r="L209" s="415"/>
      <c r="M209" s="415" t="s">
        <v>1550</v>
      </c>
      <c r="N209" s="415" t="s">
        <v>1550</v>
      </c>
      <c r="O209" s="415" t="s">
        <v>1550</v>
      </c>
      <c r="P209" s="415" t="s">
        <v>1550</v>
      </c>
      <c r="U209" s="422">
        <f t="shared" si="8"/>
        <v>7.0000000000000007E-2</v>
      </c>
      <c r="V209" s="422">
        <f t="shared" si="7"/>
        <v>8.0500000000000002E-2</v>
      </c>
      <c r="W209" s="424" t="str">
        <f>IF(ISBLANK(A209),"",VLOOKUP(A209,'KY Taxcodes'!$A:$B,2,FALSE))</f>
        <v/>
      </c>
    </row>
    <row r="210" spans="1:23" ht="15" customHeight="1">
      <c r="C210" s="417" t="s">
        <v>1532</v>
      </c>
      <c r="D210" s="433" t="s">
        <v>1986</v>
      </c>
      <c r="E210" s="433"/>
      <c r="G210" s="416" t="s">
        <v>1985</v>
      </c>
      <c r="I210" s="415" t="s">
        <v>1543</v>
      </c>
      <c r="J210" s="415" t="s">
        <v>1543</v>
      </c>
      <c r="K210" s="415" t="s">
        <v>1543</v>
      </c>
      <c r="L210" s="415"/>
      <c r="M210" s="415" t="s">
        <v>1543</v>
      </c>
      <c r="N210" s="415" t="s">
        <v>1543</v>
      </c>
      <c r="O210" s="415" t="s">
        <v>1543</v>
      </c>
      <c r="P210" s="415" t="s">
        <v>1543</v>
      </c>
      <c r="U210" s="422">
        <f t="shared" si="8"/>
        <v>0.1</v>
      </c>
      <c r="V210" s="422">
        <f t="shared" si="7"/>
        <v>0.11499999999999999</v>
      </c>
      <c r="W210" s="424" t="str">
        <f>IF(ISBLANK(A210),"",VLOOKUP(A210,'KY Taxcodes'!$A:$B,2,FALSE))</f>
        <v/>
      </c>
    </row>
    <row r="211" spans="1:23" ht="15" customHeight="1">
      <c r="C211" s="417" t="s">
        <v>1532</v>
      </c>
      <c r="D211" s="433" t="s">
        <v>1984</v>
      </c>
      <c r="E211" s="433"/>
      <c r="G211" s="416" t="s">
        <v>1983</v>
      </c>
      <c r="I211" s="415" t="s">
        <v>1528</v>
      </c>
      <c r="J211" s="415" t="s">
        <v>1528</v>
      </c>
      <c r="K211" s="415" t="s">
        <v>1528</v>
      </c>
      <c r="L211" s="415"/>
      <c r="M211" s="415" t="s">
        <v>1528</v>
      </c>
      <c r="N211" s="415" t="s">
        <v>1528</v>
      </c>
      <c r="O211" s="415" t="s">
        <v>1543</v>
      </c>
      <c r="P211" s="415" t="s">
        <v>1528</v>
      </c>
      <c r="U211" s="422">
        <f t="shared" si="8"/>
        <v>0.08</v>
      </c>
      <c r="V211" s="422">
        <f t="shared" si="7"/>
        <v>9.1999999999999998E-2</v>
      </c>
      <c r="W211" s="424" t="str">
        <f>IF(ISBLANK(A211),"",VLOOKUP(A211,'KY Taxcodes'!$A:$B,2,FALSE))</f>
        <v/>
      </c>
    </row>
    <row r="212" spans="1:23" ht="15" customHeight="1">
      <c r="C212" s="417" t="s">
        <v>1532</v>
      </c>
      <c r="D212" s="433" t="s">
        <v>1982</v>
      </c>
      <c r="E212" s="433"/>
      <c r="G212" s="416" t="s">
        <v>1981</v>
      </c>
      <c r="I212" s="415" t="s">
        <v>1543</v>
      </c>
      <c r="J212" s="415" t="s">
        <v>1543</v>
      </c>
      <c r="K212" s="415" t="s">
        <v>1543</v>
      </c>
      <c r="L212" s="415"/>
      <c r="M212" s="415" t="s">
        <v>1543</v>
      </c>
      <c r="N212" s="415" t="s">
        <v>1543</v>
      </c>
      <c r="O212" s="415" t="s">
        <v>1543</v>
      </c>
      <c r="P212" s="415" t="s">
        <v>1543</v>
      </c>
      <c r="U212" s="422">
        <f t="shared" si="8"/>
        <v>0.1</v>
      </c>
      <c r="V212" s="422">
        <f t="shared" si="7"/>
        <v>0.11499999999999999</v>
      </c>
      <c r="W212" s="424" t="str">
        <f>IF(ISBLANK(A212),"",VLOOKUP(A212,'KY Taxcodes'!$A:$B,2,FALSE))</f>
        <v/>
      </c>
    </row>
    <row r="213" spans="1:23" ht="15" customHeight="1">
      <c r="C213" s="417" t="s">
        <v>1532</v>
      </c>
      <c r="D213" s="433" t="s">
        <v>1980</v>
      </c>
      <c r="E213" s="433"/>
      <c r="G213" s="416" t="s">
        <v>1979</v>
      </c>
      <c r="I213" s="415" t="s">
        <v>1533</v>
      </c>
      <c r="J213" s="415" t="s">
        <v>1533</v>
      </c>
      <c r="K213" s="415" t="s">
        <v>1533</v>
      </c>
      <c r="L213" s="415"/>
      <c r="M213" s="415" t="s">
        <v>1533</v>
      </c>
      <c r="N213" s="415" t="s">
        <v>1533</v>
      </c>
      <c r="O213" s="415" t="s">
        <v>1533</v>
      </c>
      <c r="P213" s="415" t="s">
        <v>1533</v>
      </c>
      <c r="U213" s="422">
        <f t="shared" si="8"/>
        <v>0.05</v>
      </c>
      <c r="V213" s="422">
        <f t="shared" si="7"/>
        <v>5.7499999999999996E-2</v>
      </c>
      <c r="W213" s="424" t="str">
        <f>IF(ISBLANK(A213),"",VLOOKUP(A213,'KY Taxcodes'!$A:$B,2,FALSE))</f>
        <v/>
      </c>
    </row>
    <row r="214" spans="1:23" ht="15" customHeight="1">
      <c r="A214" s="416" t="s">
        <v>1609</v>
      </c>
      <c r="B214" s="416"/>
      <c r="C214" s="417" t="s">
        <v>1532</v>
      </c>
      <c r="D214" s="433" t="s">
        <v>1978</v>
      </c>
      <c r="E214" s="433"/>
      <c r="G214" s="416" t="s">
        <v>1977</v>
      </c>
      <c r="I214" s="415" t="s">
        <v>1528</v>
      </c>
      <c r="J214" s="415" t="s">
        <v>1528</v>
      </c>
      <c r="K214" s="415" t="s">
        <v>1528</v>
      </c>
      <c r="L214" s="415"/>
      <c r="M214" s="415" t="s">
        <v>1528</v>
      </c>
      <c r="N214" s="415" t="s">
        <v>1528</v>
      </c>
      <c r="O214" s="415" t="s">
        <v>1528</v>
      </c>
      <c r="P214" s="415" t="s">
        <v>1528</v>
      </c>
      <c r="U214" s="422">
        <f t="shared" si="8"/>
        <v>0.08</v>
      </c>
      <c r="V214" s="422">
        <f t="shared" si="7"/>
        <v>9.1999999999999998E-2</v>
      </c>
      <c r="W214" s="424" t="str">
        <f>IF(ISBLANK(A214),"",VLOOKUP(A214,'KY Taxcodes'!$A:$B,2,FALSE))</f>
        <v>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v>
      </c>
    </row>
    <row r="215" spans="1:23" ht="15" customHeight="1">
      <c r="C215" s="417" t="s">
        <v>1532</v>
      </c>
      <c r="D215" s="433" t="s">
        <v>948</v>
      </c>
      <c r="E215" s="433"/>
      <c r="G215" s="416" t="s">
        <v>1976</v>
      </c>
      <c r="I215" s="415" t="s">
        <v>1543</v>
      </c>
      <c r="J215" s="415" t="s">
        <v>1543</v>
      </c>
      <c r="K215" s="415" t="s">
        <v>1543</v>
      </c>
      <c r="L215" s="415"/>
      <c r="M215" s="415" t="s">
        <v>1543</v>
      </c>
      <c r="N215" s="415" t="s">
        <v>1543</v>
      </c>
      <c r="O215" s="415" t="s">
        <v>1543</v>
      </c>
      <c r="P215" s="415" t="s">
        <v>1543</v>
      </c>
      <c r="U215" s="422">
        <f t="shared" si="8"/>
        <v>0.1</v>
      </c>
      <c r="V215" s="422">
        <f t="shared" si="7"/>
        <v>0.11499999999999999</v>
      </c>
      <c r="W215" s="424" t="str">
        <f>IF(ISBLANK(A215),"",VLOOKUP(A215,'KY Taxcodes'!$A:$B,2,FALSE))</f>
        <v/>
      </c>
    </row>
    <row r="216" spans="1:23" ht="15" customHeight="1">
      <c r="C216" s="417" t="s">
        <v>1532</v>
      </c>
      <c r="D216" s="433" t="s">
        <v>1975</v>
      </c>
      <c r="E216" s="433"/>
      <c r="G216" s="416" t="s">
        <v>1974</v>
      </c>
      <c r="I216" s="415" t="s">
        <v>1533</v>
      </c>
      <c r="J216" s="415" t="s">
        <v>1533</v>
      </c>
      <c r="K216" s="415" t="s">
        <v>1533</v>
      </c>
      <c r="L216" s="415"/>
      <c r="M216" s="415" t="s">
        <v>1533</v>
      </c>
      <c r="N216" s="415" t="s">
        <v>1529</v>
      </c>
      <c r="O216" s="415" t="s">
        <v>1529</v>
      </c>
      <c r="P216" s="415" t="s">
        <v>1533</v>
      </c>
      <c r="U216" s="422">
        <f t="shared" si="8"/>
        <v>0.05</v>
      </c>
      <c r="V216" s="422">
        <f t="shared" si="7"/>
        <v>5.7499999999999996E-2</v>
      </c>
      <c r="W216" s="424" t="str">
        <f>IF(ISBLANK(A216),"",VLOOKUP(A216,'KY Taxcodes'!$A:$B,2,FALSE))</f>
        <v/>
      </c>
    </row>
    <row r="217" spans="1:23" ht="15" customHeight="1">
      <c r="C217" s="417" t="s">
        <v>1532</v>
      </c>
      <c r="D217" s="433" t="s">
        <v>1973</v>
      </c>
      <c r="E217" s="433"/>
      <c r="G217" s="416" t="s">
        <v>1972</v>
      </c>
      <c r="I217" s="415" t="s">
        <v>1528</v>
      </c>
      <c r="J217" s="415" t="s">
        <v>1528</v>
      </c>
      <c r="K217" s="415" t="s">
        <v>1528</v>
      </c>
      <c r="L217" s="415"/>
      <c r="M217" s="415" t="s">
        <v>1528</v>
      </c>
      <c r="N217" s="415" t="s">
        <v>1528</v>
      </c>
      <c r="O217" s="415" t="s">
        <v>1528</v>
      </c>
      <c r="P217" s="415" t="s">
        <v>1528</v>
      </c>
      <c r="R217" s="434">
        <v>5</v>
      </c>
      <c r="S217" s="434"/>
      <c r="U217" s="422">
        <f t="shared" si="8"/>
        <v>0.08</v>
      </c>
      <c r="V217" s="422">
        <f t="shared" si="7"/>
        <v>9.1999999999999998E-2</v>
      </c>
      <c r="W217" s="424" t="str">
        <f>IF(ISBLANK(A217),"",VLOOKUP(A217,'KY Taxcodes'!$A:$B,2,FALSE))</f>
        <v/>
      </c>
    </row>
    <row r="218" spans="1:23" ht="15" customHeight="1">
      <c r="C218" s="417" t="s">
        <v>1532</v>
      </c>
      <c r="D218" s="433" t="s">
        <v>1971</v>
      </c>
      <c r="E218" s="433"/>
      <c r="G218" s="416" t="s">
        <v>1970</v>
      </c>
      <c r="I218" s="415" t="s">
        <v>1536</v>
      </c>
      <c r="J218" s="415" t="s">
        <v>1536</v>
      </c>
      <c r="K218" s="415" t="s">
        <v>1536</v>
      </c>
      <c r="L218" s="415"/>
      <c r="M218" s="415" t="s">
        <v>1536</v>
      </c>
      <c r="N218" s="415" t="s">
        <v>1529</v>
      </c>
      <c r="O218" s="415" t="s">
        <v>1536</v>
      </c>
      <c r="P218" s="415" t="s">
        <v>1536</v>
      </c>
      <c r="U218" s="422">
        <f t="shared" si="8"/>
        <v>0.06</v>
      </c>
      <c r="V218" s="422">
        <f t="shared" si="7"/>
        <v>6.8999999999999992E-2</v>
      </c>
      <c r="W218" s="424" t="str">
        <f>IF(ISBLANK(A218),"",VLOOKUP(A218,'KY Taxcodes'!$A:$B,2,FALSE))</f>
        <v/>
      </c>
    </row>
    <row r="219" spans="1:23" ht="15" customHeight="1">
      <c r="A219" s="416" t="s">
        <v>1969</v>
      </c>
      <c r="B219" s="416"/>
      <c r="C219" s="417" t="s">
        <v>1532</v>
      </c>
      <c r="D219" s="433" t="s">
        <v>1968</v>
      </c>
      <c r="E219" s="433"/>
      <c r="G219" s="416" t="s">
        <v>1967</v>
      </c>
      <c r="I219" s="415" t="s">
        <v>1543</v>
      </c>
      <c r="J219" s="415" t="s">
        <v>1529</v>
      </c>
      <c r="K219" s="415" t="s">
        <v>1533</v>
      </c>
      <c r="L219" s="415"/>
      <c r="M219" s="415" t="s">
        <v>1529</v>
      </c>
      <c r="N219" s="415" t="s">
        <v>1529</v>
      </c>
      <c r="O219" s="415" t="s">
        <v>1529</v>
      </c>
      <c r="P219" s="415" t="s">
        <v>1529</v>
      </c>
      <c r="R219" s="434">
        <v>5</v>
      </c>
      <c r="S219" s="434"/>
      <c r="U219" s="422" t="e">
        <f t="shared" si="8"/>
        <v>#VALUE!</v>
      </c>
      <c r="V219" s="422">
        <f t="shared" si="7"/>
        <v>0</v>
      </c>
      <c r="W219" s="424" t="str">
        <f>IF(ISBLANK(A219),"",VLOOKUP(A219,'KY Taxcodes'!$A:$B,2,FALSE))</f>
        <v>Tax charge shall not apply to property used exclusively for religious, educational, or charitable purposes.  Indivisible premiums (see tax code "15").</v>
      </c>
    </row>
    <row r="220" spans="1:23" ht="15" customHeight="1">
      <c r="A220" s="416" t="s">
        <v>1966</v>
      </c>
      <c r="B220" s="416"/>
      <c r="C220" s="417" t="s">
        <v>1532</v>
      </c>
      <c r="D220" s="433" t="s">
        <v>1965</v>
      </c>
      <c r="E220" s="433"/>
      <c r="G220" s="416" t="s">
        <v>1964</v>
      </c>
      <c r="I220" s="415" t="s">
        <v>1533</v>
      </c>
      <c r="J220" s="415" t="s">
        <v>1533</v>
      </c>
      <c r="K220" s="415" t="s">
        <v>1533</v>
      </c>
      <c r="L220" s="415"/>
      <c r="M220" s="415" t="s">
        <v>1533</v>
      </c>
      <c r="N220" s="415" t="s">
        <v>1533</v>
      </c>
      <c r="O220" s="415" t="s">
        <v>1533</v>
      </c>
      <c r="P220" s="415" t="s">
        <v>1533</v>
      </c>
      <c r="R220" s="434">
        <v>5</v>
      </c>
      <c r="S220" s="434"/>
      <c r="U220" s="422">
        <f t="shared" si="8"/>
        <v>0.05</v>
      </c>
      <c r="V220" s="422">
        <f t="shared" ref="V220:V283" si="9">IF(ISBLANK($J220),"",IF($J220="none",0,IF($U220&gt;13.3%,$U220+2%,IF($U220&lt;=13.3%,$U220*1.15,$U220))))</f>
        <v>5.7499999999999996E-2</v>
      </c>
      <c r="W220" s="424" t="str">
        <f>IF(ISBLANK(A220),"",VLOOKUP(A220,'KY Taxcodes'!$A:$B,2,FALSE))</f>
        <v>This is an Urban County Government, which combines the city of Lexington and the county of Fayette into one government.  This means that there is only one (1) tax payable to the Lexington-Fayette Urban County Government.  Livestock and war risk are excluded from the local government premium tax in this county.</v>
      </c>
    </row>
    <row r="221" spans="1:23" ht="15" customHeight="1">
      <c r="C221" s="417" t="s">
        <v>1532</v>
      </c>
      <c r="D221" s="433" t="s">
        <v>1963</v>
      </c>
      <c r="E221" s="433"/>
      <c r="G221" s="416" t="s">
        <v>1962</v>
      </c>
      <c r="I221" s="415" t="s">
        <v>1528</v>
      </c>
      <c r="J221" s="415" t="s">
        <v>1528</v>
      </c>
      <c r="K221" s="415" t="s">
        <v>1528</v>
      </c>
      <c r="L221" s="415"/>
      <c r="M221" s="415" t="s">
        <v>1528</v>
      </c>
      <c r="N221" s="415" t="s">
        <v>1529</v>
      </c>
      <c r="O221" s="415" t="s">
        <v>1529</v>
      </c>
      <c r="P221" s="415" t="s">
        <v>1528</v>
      </c>
      <c r="U221" s="422">
        <f t="shared" si="8"/>
        <v>0.08</v>
      </c>
      <c r="V221" s="422">
        <f t="shared" si="9"/>
        <v>9.1999999999999998E-2</v>
      </c>
      <c r="W221" s="424" t="str">
        <f>IF(ISBLANK(A221),"",VLOOKUP(A221,'KY Taxcodes'!$A:$B,2,FALSE))</f>
        <v/>
      </c>
    </row>
    <row r="222" spans="1:23" ht="15" customHeight="1">
      <c r="C222" s="417" t="s">
        <v>1532</v>
      </c>
      <c r="D222" s="433" t="s">
        <v>1961</v>
      </c>
      <c r="E222" s="433"/>
      <c r="G222" s="416" t="s">
        <v>1960</v>
      </c>
      <c r="I222" s="415" t="s">
        <v>1533</v>
      </c>
      <c r="J222" s="415" t="s">
        <v>1533</v>
      </c>
      <c r="K222" s="415" t="s">
        <v>1533</v>
      </c>
      <c r="L222" s="415"/>
      <c r="M222" s="415" t="s">
        <v>1533</v>
      </c>
      <c r="N222" s="415" t="s">
        <v>1529</v>
      </c>
      <c r="O222" s="415" t="s">
        <v>1533</v>
      </c>
      <c r="P222" s="415" t="s">
        <v>1533</v>
      </c>
      <c r="U222" s="422">
        <f t="shared" si="8"/>
        <v>0.05</v>
      </c>
      <c r="V222" s="422">
        <f t="shared" si="9"/>
        <v>5.7499999999999996E-2</v>
      </c>
      <c r="W222" s="424" t="str">
        <f>IF(ISBLANK(A222),"",VLOOKUP(A222,'KY Taxcodes'!$A:$B,2,FALSE))</f>
        <v/>
      </c>
    </row>
    <row r="223" spans="1:23" ht="15" customHeight="1">
      <c r="C223" s="417" t="s">
        <v>1532</v>
      </c>
      <c r="D223" s="433" t="s">
        <v>1959</v>
      </c>
      <c r="E223" s="433"/>
      <c r="G223" s="416" t="s">
        <v>1958</v>
      </c>
      <c r="I223" s="415" t="s">
        <v>1543</v>
      </c>
      <c r="J223" s="415" t="s">
        <v>1543</v>
      </c>
      <c r="K223" s="415" t="s">
        <v>1543</v>
      </c>
      <c r="L223" s="415"/>
      <c r="M223" s="415" t="s">
        <v>1543</v>
      </c>
      <c r="N223" s="415" t="s">
        <v>1543</v>
      </c>
      <c r="O223" s="415" t="s">
        <v>1543</v>
      </c>
      <c r="P223" s="415" t="s">
        <v>1543</v>
      </c>
      <c r="U223" s="422">
        <f t="shared" si="8"/>
        <v>0.1</v>
      </c>
      <c r="V223" s="422">
        <f t="shared" si="9"/>
        <v>0.11499999999999999</v>
      </c>
      <c r="W223" s="424" t="str">
        <f>IF(ISBLANK(A223),"",VLOOKUP(A223,'KY Taxcodes'!$A:$B,2,FALSE))</f>
        <v/>
      </c>
    </row>
    <row r="224" spans="1:23" ht="15" customHeight="1">
      <c r="C224" s="417" t="s">
        <v>1532</v>
      </c>
      <c r="D224" s="433" t="s">
        <v>1957</v>
      </c>
      <c r="E224" s="433"/>
      <c r="G224" s="416" t="s">
        <v>1956</v>
      </c>
      <c r="I224" s="415" t="s">
        <v>1550</v>
      </c>
      <c r="J224" s="415" t="s">
        <v>1550</v>
      </c>
      <c r="K224" s="415" t="s">
        <v>1550</v>
      </c>
      <c r="L224" s="415"/>
      <c r="M224" s="415" t="s">
        <v>1550</v>
      </c>
      <c r="N224" s="415" t="s">
        <v>1550</v>
      </c>
      <c r="O224" s="415" t="s">
        <v>1550</v>
      </c>
      <c r="P224" s="415" t="s">
        <v>1550</v>
      </c>
      <c r="U224" s="422">
        <f t="shared" si="8"/>
        <v>7.0000000000000007E-2</v>
      </c>
      <c r="V224" s="422">
        <f t="shared" si="9"/>
        <v>8.0500000000000002E-2</v>
      </c>
      <c r="W224" s="424" t="str">
        <f>IF(ISBLANK(A224),"",VLOOKUP(A224,'KY Taxcodes'!$A:$B,2,FALSE))</f>
        <v/>
      </c>
    </row>
    <row r="225" spans="1:23" ht="15" customHeight="1">
      <c r="C225" s="417" t="s">
        <v>1532</v>
      </c>
      <c r="D225" s="433" t="s">
        <v>1955</v>
      </c>
      <c r="E225" s="433"/>
      <c r="G225" s="416" t="s">
        <v>1954</v>
      </c>
      <c r="I225" s="415" t="s">
        <v>1550</v>
      </c>
      <c r="J225" s="415" t="s">
        <v>1550</v>
      </c>
      <c r="K225" s="415" t="s">
        <v>1550</v>
      </c>
      <c r="L225" s="415"/>
      <c r="M225" s="415" t="s">
        <v>1550</v>
      </c>
      <c r="N225" s="415" t="s">
        <v>1550</v>
      </c>
      <c r="O225" s="415" t="s">
        <v>1550</v>
      </c>
      <c r="P225" s="415" t="s">
        <v>1550</v>
      </c>
      <c r="R225" s="434">
        <v>5</v>
      </c>
      <c r="S225" s="434"/>
      <c r="U225" s="422">
        <f t="shared" si="8"/>
        <v>7.0000000000000007E-2</v>
      </c>
      <c r="V225" s="422">
        <f t="shared" si="9"/>
        <v>8.0500000000000002E-2</v>
      </c>
      <c r="W225" s="424" t="str">
        <f>IF(ISBLANK(A225),"",VLOOKUP(A225,'KY Taxcodes'!$A:$B,2,FALSE))</f>
        <v/>
      </c>
    </row>
    <row r="226" spans="1:23" ht="15" customHeight="1">
      <c r="C226" s="417" t="s">
        <v>1532</v>
      </c>
      <c r="D226" s="433" t="s">
        <v>1953</v>
      </c>
      <c r="E226" s="433"/>
      <c r="G226" s="416" t="s">
        <v>1952</v>
      </c>
      <c r="I226" s="415" t="s">
        <v>1673</v>
      </c>
      <c r="J226" s="415" t="s">
        <v>1673</v>
      </c>
      <c r="K226" s="415" t="s">
        <v>1673</v>
      </c>
      <c r="L226" s="415"/>
      <c r="M226" s="415" t="s">
        <v>1673</v>
      </c>
      <c r="N226" s="415" t="s">
        <v>1673</v>
      </c>
      <c r="O226" s="415" t="s">
        <v>1673</v>
      </c>
      <c r="P226" s="415" t="s">
        <v>1673</v>
      </c>
      <c r="R226" s="434">
        <v>5</v>
      </c>
      <c r="S226" s="434"/>
      <c r="U226" s="422">
        <f t="shared" si="8"/>
        <v>0.03</v>
      </c>
      <c r="V226" s="422">
        <f t="shared" si="9"/>
        <v>3.4499999999999996E-2</v>
      </c>
      <c r="W226" s="424" t="str">
        <f>IF(ISBLANK(A226),"",VLOOKUP(A226,'KY Taxcodes'!$A:$B,2,FALSE))</f>
        <v/>
      </c>
    </row>
    <row r="227" spans="1:23" ht="15" customHeight="1">
      <c r="A227" s="416" t="s">
        <v>1951</v>
      </c>
      <c r="B227" s="416"/>
      <c r="C227" s="417" t="s">
        <v>1532</v>
      </c>
      <c r="D227" s="433" t="s">
        <v>1950</v>
      </c>
      <c r="E227" s="433"/>
      <c r="G227" s="416" t="s">
        <v>1949</v>
      </c>
      <c r="I227" s="415" t="s">
        <v>1528</v>
      </c>
      <c r="J227" s="415" t="s">
        <v>1528</v>
      </c>
      <c r="K227" s="415" t="s">
        <v>1528</v>
      </c>
      <c r="L227" s="415"/>
      <c r="M227" s="415" t="s">
        <v>1528</v>
      </c>
      <c r="N227" s="415" t="s">
        <v>1528</v>
      </c>
      <c r="O227" s="415" t="s">
        <v>1528</v>
      </c>
      <c r="P227" s="415" t="s">
        <v>1528</v>
      </c>
      <c r="R227" s="434">
        <v>25</v>
      </c>
      <c r="S227" s="434"/>
      <c r="U227" s="422">
        <f t="shared" si="8"/>
        <v>0.08</v>
      </c>
      <c r="V227" s="422">
        <f t="shared" si="9"/>
        <v>9.1999999999999998E-2</v>
      </c>
      <c r="W227" s="424" t="str">
        <f>IF(ISBLANK(A227),"",VLOOKUP(A227,'KY Taxcodes'!$A:$B,2,FALSE))</f>
        <v>Tax charge shall not apply to buildings used exclusively for public worship.</v>
      </c>
    </row>
    <row r="228" spans="1:23" ht="15" customHeight="1">
      <c r="A228" s="416" t="s">
        <v>1946</v>
      </c>
      <c r="B228" s="416"/>
      <c r="C228" s="417" t="s">
        <v>1532</v>
      </c>
      <c r="D228" s="435" t="s">
        <v>1948</v>
      </c>
      <c r="E228" s="435"/>
      <c r="G228" s="416" t="s">
        <v>1947</v>
      </c>
      <c r="I228" s="415" t="s">
        <v>1533</v>
      </c>
      <c r="J228" s="415" t="s">
        <v>1533</v>
      </c>
      <c r="K228" s="415" t="s">
        <v>1533</v>
      </c>
      <c r="L228" s="415"/>
      <c r="M228" s="415" t="s">
        <v>1533</v>
      </c>
      <c r="N228" s="415" t="s">
        <v>1533</v>
      </c>
      <c r="O228" s="415" t="s">
        <v>1533</v>
      </c>
      <c r="P228" s="415" t="s">
        <v>1533</v>
      </c>
      <c r="U228" s="422">
        <f t="shared" si="8"/>
        <v>0.05</v>
      </c>
      <c r="V228" s="422">
        <f t="shared" si="9"/>
        <v>5.7499999999999996E-2</v>
      </c>
      <c r="W228" s="424" t="str">
        <f>IF(ISBLANK(A228),"",VLOOKUP(A228,'KY Taxcodes'!$A:$B,2,FALSE))</f>
        <v>Louisville and Jefferson County have merged as Louisville-Jefferson County Metro Government.The Louisville Urban Services District is establlished pursuant to KRS 67C.147 as a separate taxing district encompassing the previous boundaries of the former City of Louisville.</v>
      </c>
    </row>
    <row r="229" spans="1:23" ht="15" customHeight="1">
      <c r="A229" s="416" t="s">
        <v>1946</v>
      </c>
      <c r="B229" s="416"/>
      <c r="C229" s="417" t="s">
        <v>1532</v>
      </c>
      <c r="D229" s="433" t="s">
        <v>1945</v>
      </c>
      <c r="E229" s="433"/>
      <c r="G229" s="416" t="s">
        <v>1326</v>
      </c>
      <c r="I229" s="415" t="s">
        <v>1533</v>
      </c>
      <c r="J229" s="415" t="s">
        <v>1533</v>
      </c>
      <c r="K229" s="415" t="s">
        <v>1533</v>
      </c>
      <c r="L229" s="415"/>
      <c r="M229" s="415" t="s">
        <v>1533</v>
      </c>
      <c r="N229" s="415" t="s">
        <v>1529</v>
      </c>
      <c r="O229" s="415" t="s">
        <v>1533</v>
      </c>
      <c r="P229" s="415" t="s">
        <v>1533</v>
      </c>
      <c r="U229" s="422">
        <f t="shared" si="8"/>
        <v>0.05</v>
      </c>
      <c r="V229" s="422">
        <f t="shared" si="9"/>
        <v>5.7499999999999996E-2</v>
      </c>
      <c r="W229" s="424" t="str">
        <f>IF(ISBLANK(A229),"",VLOOKUP(A229,'KY Taxcodes'!$A:$B,2,FALSE))</f>
        <v>Louisville and Jefferson County have merged as Louisville-Jefferson County Metro Government.The Louisville Urban Services District is establlished pursuant to KRS 67C.147 as a separate taxing district encompassing the previous boundaries of the former City of Louisville.</v>
      </c>
    </row>
    <row r="230" spans="1:23" ht="15" customHeight="1">
      <c r="C230" s="417" t="s">
        <v>1532</v>
      </c>
      <c r="D230" s="433" t="s">
        <v>1944</v>
      </c>
      <c r="E230" s="433"/>
      <c r="G230" s="416" t="s">
        <v>1943</v>
      </c>
      <c r="I230" s="415" t="s">
        <v>1857</v>
      </c>
      <c r="J230" s="415" t="s">
        <v>1857</v>
      </c>
      <c r="K230" s="415" t="s">
        <v>1857</v>
      </c>
      <c r="L230" s="415"/>
      <c r="M230" s="415" t="s">
        <v>1857</v>
      </c>
      <c r="N230" s="415" t="s">
        <v>1857</v>
      </c>
      <c r="O230" s="415" t="s">
        <v>1857</v>
      </c>
      <c r="P230" s="415" t="s">
        <v>1857</v>
      </c>
      <c r="U230" s="422">
        <f t="shared" si="8"/>
        <v>9.1999999999999998E-2</v>
      </c>
      <c r="V230" s="422">
        <f t="shared" si="9"/>
        <v>0.10579999999999999</v>
      </c>
      <c r="W230" s="424" t="str">
        <f>IF(ISBLANK(A230),"",VLOOKUP(A230,'KY Taxcodes'!$A:$B,2,FALSE))</f>
        <v/>
      </c>
    </row>
    <row r="231" spans="1:23" ht="15" customHeight="1">
      <c r="C231" s="417" t="s">
        <v>1582</v>
      </c>
      <c r="D231" s="433" t="s">
        <v>1942</v>
      </c>
      <c r="E231" s="433"/>
      <c r="G231" s="416" t="s">
        <v>1941</v>
      </c>
      <c r="I231" s="415" t="s">
        <v>1590</v>
      </c>
      <c r="J231" s="415" t="s">
        <v>1590</v>
      </c>
      <c r="K231" s="415" t="s">
        <v>1590</v>
      </c>
      <c r="L231" s="415"/>
      <c r="M231" s="415" t="s">
        <v>1590</v>
      </c>
      <c r="N231" s="415" t="s">
        <v>1590</v>
      </c>
      <c r="O231" s="415" t="s">
        <v>1590</v>
      </c>
      <c r="P231" s="415" t="s">
        <v>1590</v>
      </c>
      <c r="U231" s="422">
        <f t="shared" si="8"/>
        <v>0.12</v>
      </c>
      <c r="V231" s="422">
        <f t="shared" si="9"/>
        <v>0.13799999999999998</v>
      </c>
      <c r="W231" s="424" t="str">
        <f>IF(ISBLANK(A231),"",VLOOKUP(A231,'KY Taxcodes'!$A:$B,2,FALSE))</f>
        <v/>
      </c>
    </row>
    <row r="232" spans="1:23" ht="15" customHeight="1">
      <c r="C232" s="417" t="s">
        <v>1532</v>
      </c>
      <c r="D232" s="433" t="s">
        <v>1940</v>
      </c>
      <c r="E232" s="433"/>
      <c r="G232" s="416" t="s">
        <v>1939</v>
      </c>
      <c r="I232" s="415" t="s">
        <v>1528</v>
      </c>
      <c r="J232" s="415" t="s">
        <v>1528</v>
      </c>
      <c r="K232" s="415" t="s">
        <v>1528</v>
      </c>
      <c r="L232" s="415"/>
      <c r="M232" s="415" t="s">
        <v>1528</v>
      </c>
      <c r="N232" s="415" t="s">
        <v>1528</v>
      </c>
      <c r="O232" s="415" t="s">
        <v>1528</v>
      </c>
      <c r="P232" s="415" t="s">
        <v>1528</v>
      </c>
      <c r="U232" s="422">
        <f t="shared" si="8"/>
        <v>0.08</v>
      </c>
      <c r="V232" s="422">
        <f t="shared" si="9"/>
        <v>9.1999999999999998E-2</v>
      </c>
      <c r="W232" s="424" t="str">
        <f>IF(ISBLANK(A232),"",VLOOKUP(A232,'KY Taxcodes'!$A:$B,2,FALSE))</f>
        <v/>
      </c>
    </row>
    <row r="233" spans="1:23" ht="15" customHeight="1">
      <c r="A233" s="416" t="s">
        <v>1938</v>
      </c>
      <c r="B233" s="416"/>
      <c r="C233" s="417" t="s">
        <v>1532</v>
      </c>
      <c r="D233" s="433" t="s">
        <v>1937</v>
      </c>
      <c r="E233" s="433"/>
      <c r="G233" s="416" t="s">
        <v>1936</v>
      </c>
      <c r="I233" s="415" t="s">
        <v>1533</v>
      </c>
      <c r="J233" s="415" t="s">
        <v>1533</v>
      </c>
      <c r="K233" s="415" t="s">
        <v>1533</v>
      </c>
      <c r="L233" s="415"/>
      <c r="M233" s="415" t="s">
        <v>1533</v>
      </c>
      <c r="N233" s="415" t="s">
        <v>1529</v>
      </c>
      <c r="O233" s="415" t="s">
        <v>1533</v>
      </c>
      <c r="P233" s="415" t="s">
        <v>1533</v>
      </c>
      <c r="U233" s="422">
        <f t="shared" si="8"/>
        <v>0.05</v>
      </c>
      <c r="V233" s="422">
        <f t="shared" si="9"/>
        <v>5.7499999999999996E-2</v>
      </c>
      <c r="W233" s="424" t="str">
        <f>IF(ISBLANK(A233),"",VLOOKUP(A233,'KY Taxcodes'!$A:$B,2,FALSE))</f>
        <v>The cities of Keeneland and Whipps Millgate have been incorporated into the city of Lyndon.  Also the city of Crescent Park has merged into the city of Fort Mitchell.</v>
      </c>
    </row>
    <row r="234" spans="1:23" ht="15" customHeight="1">
      <c r="C234" s="417" t="s">
        <v>1532</v>
      </c>
      <c r="D234" s="433" t="s">
        <v>1935</v>
      </c>
      <c r="E234" s="433"/>
      <c r="G234" s="416" t="s">
        <v>1934</v>
      </c>
      <c r="I234" s="415" t="s">
        <v>1533</v>
      </c>
      <c r="J234" s="415" t="s">
        <v>1533</v>
      </c>
      <c r="K234" s="415" t="s">
        <v>1533</v>
      </c>
      <c r="L234" s="415"/>
      <c r="M234" s="415" t="s">
        <v>1533</v>
      </c>
      <c r="N234" s="415" t="s">
        <v>1529</v>
      </c>
      <c r="O234" s="415" t="s">
        <v>1533</v>
      </c>
      <c r="P234" s="415" t="s">
        <v>1533</v>
      </c>
      <c r="U234" s="422">
        <f t="shared" si="8"/>
        <v>0.05</v>
      </c>
      <c r="V234" s="422">
        <f t="shared" si="9"/>
        <v>5.7499999999999996E-2</v>
      </c>
      <c r="W234" s="424" t="str">
        <f>IF(ISBLANK(A234),"",VLOOKUP(A234,'KY Taxcodes'!$A:$B,2,FALSE))</f>
        <v/>
      </c>
    </row>
    <row r="235" spans="1:23" ht="15" customHeight="1">
      <c r="C235" s="417" t="s">
        <v>1532</v>
      </c>
      <c r="D235" s="433" t="s">
        <v>1933</v>
      </c>
      <c r="E235" s="433"/>
      <c r="G235" s="416" t="s">
        <v>1932</v>
      </c>
      <c r="I235" s="415" t="s">
        <v>1543</v>
      </c>
      <c r="J235" s="415" t="s">
        <v>1543</v>
      </c>
      <c r="K235" s="415" t="s">
        <v>1543</v>
      </c>
      <c r="L235" s="415"/>
      <c r="M235" s="415" t="s">
        <v>1543</v>
      </c>
      <c r="N235" s="415" t="s">
        <v>1529</v>
      </c>
      <c r="O235" s="415" t="s">
        <v>1543</v>
      </c>
      <c r="P235" s="415" t="s">
        <v>1543</v>
      </c>
      <c r="U235" s="422">
        <f t="shared" si="8"/>
        <v>0.1</v>
      </c>
      <c r="V235" s="422">
        <f t="shared" si="9"/>
        <v>0.11499999999999999</v>
      </c>
      <c r="W235" s="424" t="str">
        <f>IF(ISBLANK(A235),"",VLOOKUP(A235,'KY Taxcodes'!$A:$B,2,FALSE))</f>
        <v/>
      </c>
    </row>
    <row r="236" spans="1:23" ht="15" customHeight="1">
      <c r="C236" s="417" t="s">
        <v>1532</v>
      </c>
      <c r="D236" s="433" t="s">
        <v>1931</v>
      </c>
      <c r="E236" s="433"/>
      <c r="G236" s="416" t="s">
        <v>1930</v>
      </c>
      <c r="I236" s="415" t="s">
        <v>1606</v>
      </c>
      <c r="J236" s="415" t="s">
        <v>1606</v>
      </c>
      <c r="K236" s="415" t="s">
        <v>1606</v>
      </c>
      <c r="L236" s="415"/>
      <c r="M236" s="415" t="s">
        <v>1606</v>
      </c>
      <c r="N236" s="415" t="s">
        <v>1606</v>
      </c>
      <c r="O236" s="415" t="s">
        <v>1606</v>
      </c>
      <c r="P236" s="415" t="s">
        <v>1606</v>
      </c>
      <c r="U236" s="422">
        <f t="shared" si="8"/>
        <v>0.04</v>
      </c>
      <c r="V236" s="422">
        <f t="shared" si="9"/>
        <v>4.5999999999999999E-2</v>
      </c>
      <c r="W236" s="424" t="str">
        <f>IF(ISBLANK(A236),"",VLOOKUP(A236,'KY Taxcodes'!$A:$B,2,FALSE))</f>
        <v/>
      </c>
    </row>
    <row r="237" spans="1:23" ht="15" customHeight="1">
      <c r="C237" s="417" t="s">
        <v>1532</v>
      </c>
      <c r="D237" s="433" t="s">
        <v>1929</v>
      </c>
      <c r="E237" s="433"/>
      <c r="G237" s="416" t="s">
        <v>1928</v>
      </c>
      <c r="I237" s="415" t="s">
        <v>1533</v>
      </c>
      <c r="J237" s="415" t="s">
        <v>1533</v>
      </c>
      <c r="K237" s="415" t="s">
        <v>1533</v>
      </c>
      <c r="L237" s="415"/>
      <c r="M237" s="415" t="s">
        <v>1533</v>
      </c>
      <c r="N237" s="415" t="s">
        <v>1533</v>
      </c>
      <c r="O237" s="415" t="s">
        <v>1533</v>
      </c>
      <c r="P237" s="415" t="s">
        <v>1533</v>
      </c>
      <c r="U237" s="422">
        <f t="shared" si="8"/>
        <v>0.05</v>
      </c>
      <c r="V237" s="422">
        <f t="shared" si="9"/>
        <v>5.7499999999999996E-2</v>
      </c>
      <c r="W237" s="424" t="str">
        <f>IF(ISBLANK(A237),"",VLOOKUP(A237,'KY Taxcodes'!$A:$B,2,FALSE))</f>
        <v/>
      </c>
    </row>
    <row r="238" spans="1:23" ht="15" customHeight="1">
      <c r="C238" s="417" t="s">
        <v>1532</v>
      </c>
      <c r="D238" s="433" t="s">
        <v>1927</v>
      </c>
      <c r="E238" s="433"/>
      <c r="G238" s="416" t="s">
        <v>1926</v>
      </c>
      <c r="I238" s="415" t="s">
        <v>1606</v>
      </c>
      <c r="J238" s="415" t="s">
        <v>1606</v>
      </c>
      <c r="K238" s="415" t="s">
        <v>1606</v>
      </c>
      <c r="L238" s="415"/>
      <c r="M238" s="415" t="s">
        <v>1606</v>
      </c>
      <c r="N238" s="415" t="s">
        <v>1606</v>
      </c>
      <c r="O238" s="415" t="s">
        <v>1606</v>
      </c>
      <c r="P238" s="415" t="s">
        <v>1606</v>
      </c>
      <c r="U238" s="422">
        <f t="shared" si="8"/>
        <v>0.04</v>
      </c>
      <c r="V238" s="422">
        <f t="shared" si="9"/>
        <v>4.5999999999999999E-2</v>
      </c>
      <c r="W238" s="424" t="str">
        <f>IF(ISBLANK(A238),"",VLOOKUP(A238,'KY Taxcodes'!$A:$B,2,FALSE))</f>
        <v/>
      </c>
    </row>
    <row r="239" spans="1:23" ht="15" customHeight="1">
      <c r="C239" s="417" t="s">
        <v>1532</v>
      </c>
      <c r="D239" s="433" t="s">
        <v>62</v>
      </c>
      <c r="E239" s="433"/>
      <c r="G239" s="416" t="s">
        <v>1925</v>
      </c>
      <c r="I239" s="415" t="s">
        <v>1622</v>
      </c>
      <c r="J239" s="415" t="s">
        <v>1622</v>
      </c>
      <c r="K239" s="415" t="s">
        <v>1622</v>
      </c>
      <c r="L239" s="415"/>
      <c r="M239" s="415" t="s">
        <v>1622</v>
      </c>
      <c r="N239" s="415" t="s">
        <v>1622</v>
      </c>
      <c r="O239" s="415" t="s">
        <v>1622</v>
      </c>
      <c r="P239" s="415" t="s">
        <v>1622</v>
      </c>
      <c r="U239" s="422">
        <f t="shared" si="8"/>
        <v>0.09</v>
      </c>
      <c r="V239" s="422">
        <f t="shared" si="9"/>
        <v>0.10349999999999999</v>
      </c>
      <c r="W239" s="424" t="str">
        <f>IF(ISBLANK(A239),"",VLOOKUP(A239,'KY Taxcodes'!$A:$B,2,FALSE))</f>
        <v/>
      </c>
    </row>
    <row r="240" spans="1:23" ht="15" customHeight="1">
      <c r="C240" s="417" t="s">
        <v>1532</v>
      </c>
      <c r="D240" s="433" t="s">
        <v>1924</v>
      </c>
      <c r="E240" s="433"/>
      <c r="G240" s="416" t="s">
        <v>1923</v>
      </c>
      <c r="I240" s="415" t="s">
        <v>1922</v>
      </c>
      <c r="J240" s="415" t="s">
        <v>1922</v>
      </c>
      <c r="K240" s="415" t="s">
        <v>1922</v>
      </c>
      <c r="L240" s="415"/>
      <c r="M240" s="415" t="s">
        <v>1922</v>
      </c>
      <c r="N240" s="415" t="s">
        <v>1922</v>
      </c>
      <c r="O240" s="415" t="s">
        <v>1922</v>
      </c>
      <c r="P240" s="415" t="s">
        <v>1922</v>
      </c>
      <c r="U240" s="422">
        <f t="shared" si="8"/>
        <v>5.7500000000000002E-2</v>
      </c>
      <c r="V240" s="422">
        <f t="shared" si="9"/>
        <v>6.6125000000000003E-2</v>
      </c>
      <c r="W240" s="424" t="str">
        <f>IF(ISBLANK(A240),"",VLOOKUP(A240,'KY Taxcodes'!$A:$B,2,FALSE))</f>
        <v/>
      </c>
    </row>
    <row r="241" spans="1:23" ht="15" customHeight="1">
      <c r="A241" s="416" t="s">
        <v>628</v>
      </c>
      <c r="B241" s="416"/>
      <c r="C241" s="417" t="s">
        <v>1532</v>
      </c>
      <c r="D241" s="433" t="s">
        <v>1921</v>
      </c>
      <c r="E241" s="433"/>
      <c r="G241" s="416" t="s">
        <v>1920</v>
      </c>
      <c r="I241" s="415" t="s">
        <v>1550</v>
      </c>
      <c r="J241" s="415" t="s">
        <v>1550</v>
      </c>
      <c r="K241" s="415" t="s">
        <v>1550</v>
      </c>
      <c r="L241" s="415"/>
      <c r="M241" s="415" t="s">
        <v>1550</v>
      </c>
      <c r="N241" s="415" t="s">
        <v>1529</v>
      </c>
      <c r="O241" s="415" t="s">
        <v>1550</v>
      </c>
      <c r="P241" s="415" t="s">
        <v>1550</v>
      </c>
      <c r="U241" s="422">
        <f t="shared" si="8"/>
        <v>7.0000000000000007E-2</v>
      </c>
      <c r="V241" s="422">
        <f t="shared" si="9"/>
        <v>8.0500000000000002E-2</v>
      </c>
      <c r="W241" s="424" t="str">
        <f>IF(ISBLANK(A241),"",VLOOKUP(A241,'KY Taxcodes'!$A:$B,2,FALSE))</f>
        <v>Tax charge includes all incorporated and unincorporated areas of the county except for the incorporated area of Maysville.</v>
      </c>
    </row>
    <row r="242" spans="1:23" ht="15" customHeight="1">
      <c r="C242" s="417" t="s">
        <v>1532</v>
      </c>
      <c r="D242" s="433" t="s">
        <v>1919</v>
      </c>
      <c r="E242" s="433"/>
      <c r="G242" s="416" t="s">
        <v>1918</v>
      </c>
      <c r="I242" s="415" t="s">
        <v>1622</v>
      </c>
      <c r="J242" s="415" t="s">
        <v>1622</v>
      </c>
      <c r="K242" s="415" t="s">
        <v>1622</v>
      </c>
      <c r="L242" s="415"/>
      <c r="M242" s="415" t="s">
        <v>1622</v>
      </c>
      <c r="N242" s="415" t="s">
        <v>1622</v>
      </c>
      <c r="O242" s="415" t="s">
        <v>1622</v>
      </c>
      <c r="P242" s="415" t="s">
        <v>1622</v>
      </c>
      <c r="R242" s="434">
        <v>5</v>
      </c>
      <c r="S242" s="434"/>
      <c r="U242" s="422">
        <f t="shared" si="8"/>
        <v>0.09</v>
      </c>
      <c r="V242" s="422">
        <f t="shared" si="9"/>
        <v>0.10349999999999999</v>
      </c>
      <c r="W242" s="424" t="str">
        <f>IF(ISBLANK(A242),"",VLOOKUP(A242,'KY Taxcodes'!$A:$B,2,FALSE))</f>
        <v/>
      </c>
    </row>
    <row r="243" spans="1:23" ht="15" customHeight="1">
      <c r="C243" s="417" t="s">
        <v>1532</v>
      </c>
      <c r="D243" s="433" t="s">
        <v>1917</v>
      </c>
      <c r="E243" s="433"/>
      <c r="G243" s="416" t="s">
        <v>1916</v>
      </c>
      <c r="I243" s="415" t="s">
        <v>1528</v>
      </c>
      <c r="J243" s="415" t="s">
        <v>1528</v>
      </c>
      <c r="K243" s="415" t="s">
        <v>1528</v>
      </c>
      <c r="L243" s="415"/>
      <c r="M243" s="415" t="s">
        <v>1528</v>
      </c>
      <c r="N243" s="415" t="s">
        <v>1529</v>
      </c>
      <c r="O243" s="415" t="s">
        <v>1528</v>
      </c>
      <c r="P243" s="415" t="s">
        <v>1528</v>
      </c>
      <c r="U243" s="422">
        <f t="shared" si="8"/>
        <v>0.08</v>
      </c>
      <c r="V243" s="422">
        <f t="shared" si="9"/>
        <v>9.1999999999999998E-2</v>
      </c>
      <c r="W243" s="424" t="str">
        <f>IF(ISBLANK(A243),"",VLOOKUP(A243,'KY Taxcodes'!$A:$B,2,FALSE))</f>
        <v/>
      </c>
    </row>
    <row r="244" spans="1:23" ht="15" customHeight="1">
      <c r="C244" s="417" t="s">
        <v>1532</v>
      </c>
      <c r="D244" s="433" t="s">
        <v>1915</v>
      </c>
      <c r="E244" s="433"/>
      <c r="G244" s="416" t="s">
        <v>1914</v>
      </c>
      <c r="I244" s="415" t="s">
        <v>1533</v>
      </c>
      <c r="J244" s="415" t="s">
        <v>1533</v>
      </c>
      <c r="K244" s="415" t="s">
        <v>1533</v>
      </c>
      <c r="L244" s="415"/>
      <c r="M244" s="415" t="s">
        <v>1533</v>
      </c>
      <c r="N244" s="415" t="s">
        <v>1533</v>
      </c>
      <c r="O244" s="415" t="s">
        <v>1529</v>
      </c>
      <c r="P244" s="415" t="s">
        <v>1533</v>
      </c>
      <c r="U244" s="422">
        <f t="shared" si="8"/>
        <v>0.05</v>
      </c>
      <c r="V244" s="422">
        <f t="shared" si="9"/>
        <v>5.7499999999999996E-2</v>
      </c>
      <c r="W244" s="424" t="str">
        <f>IF(ISBLANK(A244),"",VLOOKUP(A244,'KY Taxcodes'!$A:$B,2,FALSE))</f>
        <v/>
      </c>
    </row>
    <row r="245" spans="1:23" ht="15" customHeight="1">
      <c r="C245" s="417" t="s">
        <v>1532</v>
      </c>
      <c r="D245" s="433" t="s">
        <v>1913</v>
      </c>
      <c r="E245" s="433"/>
      <c r="G245" s="416" t="s">
        <v>1912</v>
      </c>
      <c r="I245" s="415" t="s">
        <v>1543</v>
      </c>
      <c r="J245" s="415" t="s">
        <v>1543</v>
      </c>
      <c r="K245" s="415" t="s">
        <v>1543</v>
      </c>
      <c r="L245" s="415"/>
      <c r="M245" s="415" t="s">
        <v>1543</v>
      </c>
      <c r="N245" s="415" t="s">
        <v>1543</v>
      </c>
      <c r="O245" s="415" t="s">
        <v>1543</v>
      </c>
      <c r="P245" s="415" t="s">
        <v>1543</v>
      </c>
      <c r="U245" s="422">
        <f t="shared" si="8"/>
        <v>0.1</v>
      </c>
      <c r="V245" s="422">
        <f t="shared" si="9"/>
        <v>0.11499999999999999</v>
      </c>
      <c r="W245" s="424" t="str">
        <f>IF(ISBLANK(A245),"",VLOOKUP(A245,'KY Taxcodes'!$A:$B,2,FALSE))</f>
        <v/>
      </c>
    </row>
    <row r="246" spans="1:23" ht="15" customHeight="1">
      <c r="A246" s="416" t="s">
        <v>1583</v>
      </c>
      <c r="B246" s="416"/>
      <c r="C246" s="417" t="s">
        <v>1532</v>
      </c>
      <c r="D246" s="433" t="s">
        <v>1911</v>
      </c>
      <c r="E246" s="433"/>
      <c r="G246" s="416" t="s">
        <v>1910</v>
      </c>
      <c r="I246" s="415" t="s">
        <v>1533</v>
      </c>
      <c r="J246" s="415" t="s">
        <v>1533</v>
      </c>
      <c r="K246" s="415" t="s">
        <v>1533</v>
      </c>
      <c r="L246" s="415"/>
      <c r="M246" s="415" t="s">
        <v>1533</v>
      </c>
      <c r="N246" s="415" t="s">
        <v>1529</v>
      </c>
      <c r="O246" s="415" t="s">
        <v>1533</v>
      </c>
      <c r="P246" s="415" t="s">
        <v>1533</v>
      </c>
      <c r="U246" s="422">
        <f t="shared" si="8"/>
        <v>0.05</v>
      </c>
      <c r="V246" s="422">
        <f t="shared" si="9"/>
        <v>5.7499999999999996E-2</v>
      </c>
      <c r="W246" s="424" t="str">
        <f>IF(ISBLANK(A246),"",VLOOKUP(A246,'KY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247" spans="1:23" ht="15" customHeight="1">
      <c r="C247" s="417" t="s">
        <v>1532</v>
      </c>
      <c r="D247" s="433" t="s">
        <v>1909</v>
      </c>
      <c r="E247" s="433"/>
      <c r="G247" s="416" t="s">
        <v>1908</v>
      </c>
      <c r="I247" s="415" t="s">
        <v>1533</v>
      </c>
      <c r="J247" s="415" t="s">
        <v>1533</v>
      </c>
      <c r="K247" s="415" t="s">
        <v>1533</v>
      </c>
      <c r="L247" s="415"/>
      <c r="M247" s="415" t="s">
        <v>1533</v>
      </c>
      <c r="N247" s="415" t="s">
        <v>1529</v>
      </c>
      <c r="O247" s="415" t="s">
        <v>1533</v>
      </c>
      <c r="P247" s="415" t="s">
        <v>1533</v>
      </c>
      <c r="U247" s="422">
        <f t="shared" si="8"/>
        <v>0.05</v>
      </c>
      <c r="V247" s="422">
        <f t="shared" si="9"/>
        <v>5.7499999999999996E-2</v>
      </c>
      <c r="W247" s="424" t="str">
        <f>IF(ISBLANK(A247),"",VLOOKUP(A247,'KY Taxcodes'!$A:$B,2,FALSE))</f>
        <v/>
      </c>
    </row>
    <row r="248" spans="1:23" ht="15" customHeight="1">
      <c r="C248" s="417" t="s">
        <v>1532</v>
      </c>
      <c r="D248" s="433" t="s">
        <v>1907</v>
      </c>
      <c r="E248" s="433"/>
      <c r="G248" s="416" t="s">
        <v>1906</v>
      </c>
      <c r="I248" s="415" t="s">
        <v>1533</v>
      </c>
      <c r="J248" s="415" t="s">
        <v>1533</v>
      </c>
      <c r="K248" s="415" t="s">
        <v>1533</v>
      </c>
      <c r="L248" s="415"/>
      <c r="M248" s="415" t="s">
        <v>1533</v>
      </c>
      <c r="N248" s="415" t="s">
        <v>1533</v>
      </c>
      <c r="O248" s="415" t="s">
        <v>1533</v>
      </c>
      <c r="P248" s="415" t="s">
        <v>1533</v>
      </c>
      <c r="U248" s="422">
        <f t="shared" si="8"/>
        <v>0.05</v>
      </c>
      <c r="V248" s="422">
        <f t="shared" si="9"/>
        <v>5.7499999999999996E-2</v>
      </c>
      <c r="W248" s="424" t="str">
        <f>IF(ISBLANK(A248),"",VLOOKUP(A248,'KY Taxcodes'!$A:$B,2,FALSE))</f>
        <v/>
      </c>
    </row>
    <row r="249" spans="1:23" ht="15" customHeight="1">
      <c r="C249" s="417" t="s">
        <v>1532</v>
      </c>
      <c r="D249" s="433" t="s">
        <v>1905</v>
      </c>
      <c r="E249" s="433"/>
      <c r="G249" s="416" t="s">
        <v>1904</v>
      </c>
      <c r="I249" s="415" t="s">
        <v>1533</v>
      </c>
      <c r="J249" s="415" t="s">
        <v>1533</v>
      </c>
      <c r="K249" s="415" t="s">
        <v>1533</v>
      </c>
      <c r="L249" s="415"/>
      <c r="M249" s="415" t="s">
        <v>1533</v>
      </c>
      <c r="N249" s="415" t="s">
        <v>1529</v>
      </c>
      <c r="O249" s="415" t="s">
        <v>1533</v>
      </c>
      <c r="P249" s="415" t="s">
        <v>1533</v>
      </c>
      <c r="U249" s="422">
        <f t="shared" si="8"/>
        <v>0.05</v>
      </c>
      <c r="V249" s="422">
        <f t="shared" si="9"/>
        <v>5.7499999999999996E-2</v>
      </c>
      <c r="W249" s="424" t="str">
        <f>IF(ISBLANK(A249),"",VLOOKUP(A249,'KY Taxcodes'!$A:$B,2,FALSE))</f>
        <v/>
      </c>
    </row>
    <row r="250" spans="1:23" ht="15" customHeight="1">
      <c r="C250" s="417" t="s">
        <v>1532</v>
      </c>
      <c r="D250" s="433" t="s">
        <v>1903</v>
      </c>
      <c r="E250" s="433"/>
      <c r="G250" s="416" t="s">
        <v>1902</v>
      </c>
      <c r="I250" s="415" t="s">
        <v>1543</v>
      </c>
      <c r="J250" s="415" t="s">
        <v>1543</v>
      </c>
      <c r="K250" s="415" t="s">
        <v>1543</v>
      </c>
      <c r="L250" s="415"/>
      <c r="M250" s="415" t="s">
        <v>1543</v>
      </c>
      <c r="N250" s="415" t="s">
        <v>1543</v>
      </c>
      <c r="O250" s="415" t="s">
        <v>1543</v>
      </c>
      <c r="P250" s="415" t="s">
        <v>1543</v>
      </c>
      <c r="R250" s="434">
        <v>5</v>
      </c>
      <c r="S250" s="434"/>
      <c r="U250" s="422">
        <f t="shared" si="8"/>
        <v>0.1</v>
      </c>
      <c r="V250" s="422">
        <f t="shared" si="9"/>
        <v>0.11499999999999999</v>
      </c>
      <c r="W250" s="424" t="str">
        <f>IF(ISBLANK(A250),"",VLOOKUP(A250,'KY Taxcodes'!$A:$B,2,FALSE))</f>
        <v/>
      </c>
    </row>
    <row r="251" spans="1:23" ht="15" customHeight="1">
      <c r="A251" s="416" t="s">
        <v>1583</v>
      </c>
      <c r="B251" s="416"/>
      <c r="C251" s="417" t="s">
        <v>1532</v>
      </c>
      <c r="D251" s="433" t="s">
        <v>1901</v>
      </c>
      <c r="E251" s="433"/>
      <c r="G251" s="416" t="s">
        <v>1900</v>
      </c>
      <c r="I251" s="415" t="s">
        <v>1536</v>
      </c>
      <c r="J251" s="415" t="s">
        <v>1536</v>
      </c>
      <c r="K251" s="415" t="s">
        <v>1536</v>
      </c>
      <c r="L251" s="415"/>
      <c r="M251" s="415" t="s">
        <v>1536</v>
      </c>
      <c r="N251" s="415" t="s">
        <v>1529</v>
      </c>
      <c r="O251" s="415" t="s">
        <v>1529</v>
      </c>
      <c r="P251" s="415" t="s">
        <v>1536</v>
      </c>
      <c r="U251" s="422">
        <f t="shared" si="8"/>
        <v>0.06</v>
      </c>
      <c r="V251" s="422">
        <f t="shared" si="9"/>
        <v>6.8999999999999992E-2</v>
      </c>
      <c r="W251" s="424" t="str">
        <f>IF(ISBLANK(A251),"",VLOOKUP(A251,'KY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252" spans="1:23" ht="15" customHeight="1">
      <c r="C252" s="417" t="s">
        <v>1532</v>
      </c>
      <c r="D252" s="433" t="s">
        <v>1899</v>
      </c>
      <c r="E252" s="433"/>
      <c r="G252" s="416" t="s">
        <v>1898</v>
      </c>
      <c r="I252" s="415" t="s">
        <v>1543</v>
      </c>
      <c r="J252" s="415" t="s">
        <v>1543</v>
      </c>
      <c r="K252" s="415" t="s">
        <v>1543</v>
      </c>
      <c r="L252" s="415"/>
      <c r="M252" s="415" t="s">
        <v>1543</v>
      </c>
      <c r="N252" s="415" t="s">
        <v>1529</v>
      </c>
      <c r="O252" s="415" t="s">
        <v>1543</v>
      </c>
      <c r="P252" s="415" t="s">
        <v>1543</v>
      </c>
      <c r="U252" s="422">
        <f t="shared" si="8"/>
        <v>0.1</v>
      </c>
      <c r="V252" s="422">
        <f t="shared" si="9"/>
        <v>0.11499999999999999</v>
      </c>
      <c r="W252" s="424" t="str">
        <f>IF(ISBLANK(A252),"",VLOOKUP(A252,'KY Taxcodes'!$A:$B,2,FALSE))</f>
        <v/>
      </c>
    </row>
    <row r="253" spans="1:23" ht="15" customHeight="1">
      <c r="C253" s="417" t="s">
        <v>1532</v>
      </c>
      <c r="D253" s="433" t="s">
        <v>1897</v>
      </c>
      <c r="E253" s="433"/>
      <c r="G253" s="416" t="s">
        <v>1896</v>
      </c>
      <c r="I253" s="415" t="s">
        <v>1673</v>
      </c>
      <c r="J253" s="415" t="s">
        <v>1673</v>
      </c>
      <c r="K253" s="415" t="s">
        <v>1673</v>
      </c>
      <c r="L253" s="415"/>
      <c r="M253" s="415" t="s">
        <v>1673</v>
      </c>
      <c r="N253" s="415" t="s">
        <v>1673</v>
      </c>
      <c r="O253" s="415" t="s">
        <v>1551</v>
      </c>
      <c r="P253" s="415" t="s">
        <v>1673</v>
      </c>
      <c r="U253" s="422">
        <f t="shared" si="8"/>
        <v>0.03</v>
      </c>
      <c r="V253" s="422">
        <f t="shared" si="9"/>
        <v>3.4499999999999996E-2</v>
      </c>
      <c r="W253" s="424" t="str">
        <f>IF(ISBLANK(A253),"",VLOOKUP(A253,'KY Taxcodes'!$A:$B,2,FALSE))</f>
        <v/>
      </c>
    </row>
    <row r="254" spans="1:23" ht="15" customHeight="1">
      <c r="C254" s="417" t="s">
        <v>1532</v>
      </c>
      <c r="D254" s="433" t="s">
        <v>1895</v>
      </c>
      <c r="E254" s="433"/>
      <c r="G254" s="416" t="s">
        <v>1894</v>
      </c>
      <c r="I254" s="415" t="s">
        <v>1533</v>
      </c>
      <c r="J254" s="415" t="s">
        <v>1533</v>
      </c>
      <c r="K254" s="415" t="s">
        <v>1533</v>
      </c>
      <c r="L254" s="415"/>
      <c r="M254" s="415" t="s">
        <v>1533</v>
      </c>
      <c r="N254" s="415" t="s">
        <v>1529</v>
      </c>
      <c r="O254" s="415" t="s">
        <v>1533</v>
      </c>
      <c r="P254" s="415" t="s">
        <v>1533</v>
      </c>
      <c r="U254" s="422">
        <f t="shared" si="8"/>
        <v>0.05</v>
      </c>
      <c r="V254" s="422">
        <f t="shared" si="9"/>
        <v>5.7499999999999996E-2</v>
      </c>
      <c r="W254" s="424" t="str">
        <f>IF(ISBLANK(A254),"",VLOOKUP(A254,'KY Taxcodes'!$A:$B,2,FALSE))</f>
        <v/>
      </c>
    </row>
    <row r="255" spans="1:23" ht="15" customHeight="1">
      <c r="C255" s="417" t="s">
        <v>1532</v>
      </c>
      <c r="D255" s="433" t="s">
        <v>1893</v>
      </c>
      <c r="E255" s="433"/>
      <c r="G255" s="416" t="s">
        <v>1892</v>
      </c>
      <c r="I255" s="415" t="s">
        <v>1533</v>
      </c>
      <c r="J255" s="415" t="s">
        <v>1533</v>
      </c>
      <c r="K255" s="415" t="s">
        <v>1533</v>
      </c>
      <c r="L255" s="415"/>
      <c r="M255" s="415" t="s">
        <v>1533</v>
      </c>
      <c r="N255" s="415" t="s">
        <v>1533</v>
      </c>
      <c r="O255" s="415" t="s">
        <v>1533</v>
      </c>
      <c r="P255" s="415" t="s">
        <v>1533</v>
      </c>
      <c r="U255" s="422">
        <f t="shared" si="8"/>
        <v>0.05</v>
      </c>
      <c r="V255" s="422">
        <f t="shared" si="9"/>
        <v>5.7499999999999996E-2</v>
      </c>
      <c r="W255" s="424" t="str">
        <f>IF(ISBLANK(A255),"",VLOOKUP(A255,'KY Taxcodes'!$A:$B,2,FALSE))</f>
        <v/>
      </c>
    </row>
    <row r="256" spans="1:23" ht="15" customHeight="1">
      <c r="A256" s="416" t="s">
        <v>613</v>
      </c>
      <c r="B256" s="416"/>
      <c r="C256" s="417" t="s">
        <v>1532</v>
      </c>
      <c r="D256" s="433" t="s">
        <v>1891</v>
      </c>
      <c r="E256" s="433"/>
      <c r="G256" s="416" t="s">
        <v>1890</v>
      </c>
      <c r="I256" s="415" t="s">
        <v>1590</v>
      </c>
      <c r="J256" s="415" t="s">
        <v>1590</v>
      </c>
      <c r="K256" s="415" t="s">
        <v>1590</v>
      </c>
      <c r="L256" s="415"/>
      <c r="M256" s="415" t="s">
        <v>1590</v>
      </c>
      <c r="N256" s="415" t="s">
        <v>1590</v>
      </c>
      <c r="O256" s="415" t="s">
        <v>1590</v>
      </c>
      <c r="P256" s="415" t="s">
        <v>1590</v>
      </c>
      <c r="R256" s="434">
        <v>5</v>
      </c>
      <c r="S256" s="434"/>
      <c r="U256" s="422">
        <f t="shared" si="8"/>
        <v>0.12</v>
      </c>
      <c r="V256" s="422">
        <f t="shared" si="9"/>
        <v>0.13799999999999998</v>
      </c>
      <c r="W256" s="424" t="str">
        <f>IF(ISBLANK(A256),"",VLOOKUP(A256,'KY Taxcodes'!$A:$B,2,FALSE))</f>
        <v>The city of Millersburg $5.00 minimum fee shall refer to life only.</v>
      </c>
    </row>
    <row r="257" spans="1:23" ht="15" customHeight="1">
      <c r="A257" s="416" t="s">
        <v>1889</v>
      </c>
      <c r="B257" s="416"/>
      <c r="C257" s="417" t="s">
        <v>1582</v>
      </c>
      <c r="D257" s="433" t="s">
        <v>1888</v>
      </c>
      <c r="E257" s="433"/>
      <c r="G257" s="416" t="s">
        <v>1887</v>
      </c>
      <c r="I257" s="415" t="s">
        <v>1528</v>
      </c>
      <c r="J257" s="415" t="s">
        <v>1528</v>
      </c>
      <c r="K257" s="415" t="s">
        <v>1528</v>
      </c>
      <c r="L257" s="415"/>
      <c r="M257" s="415" t="s">
        <v>1528</v>
      </c>
      <c r="N257" s="415" t="s">
        <v>1528</v>
      </c>
      <c r="O257" s="415" t="s">
        <v>1528</v>
      </c>
      <c r="P257" s="415" t="s">
        <v>1528</v>
      </c>
      <c r="U257" s="422">
        <f t="shared" si="8"/>
        <v>0.08</v>
      </c>
      <c r="V257" s="422">
        <f t="shared" si="9"/>
        <v>9.1999999999999998E-2</v>
      </c>
      <c r="W257" s="531" t="s">
        <v>2441</v>
      </c>
    </row>
    <row r="258" spans="1:23" ht="15" customHeight="1">
      <c r="C258" s="417" t="s">
        <v>1532</v>
      </c>
      <c r="D258" s="433" t="s">
        <v>1886</v>
      </c>
      <c r="E258" s="433"/>
      <c r="G258" s="416" t="s">
        <v>1885</v>
      </c>
      <c r="I258" s="415" t="s">
        <v>1533</v>
      </c>
      <c r="J258" s="415" t="s">
        <v>1533</v>
      </c>
      <c r="K258" s="415" t="s">
        <v>1533</v>
      </c>
      <c r="L258" s="415"/>
      <c r="M258" s="415" t="s">
        <v>1533</v>
      </c>
      <c r="N258" s="415" t="s">
        <v>1533</v>
      </c>
      <c r="O258" s="415" t="s">
        <v>1533</v>
      </c>
      <c r="P258" s="415" t="s">
        <v>1533</v>
      </c>
      <c r="U258" s="422">
        <f t="shared" si="8"/>
        <v>0.05</v>
      </c>
      <c r="V258" s="422">
        <f t="shared" si="9"/>
        <v>5.7499999999999996E-2</v>
      </c>
      <c r="W258" s="424" t="str">
        <f>IF(ISBLANK(A258),"",VLOOKUP(A258,'KY Taxcodes'!$A:$B,2,FALSE))</f>
        <v/>
      </c>
    </row>
    <row r="259" spans="1:23" ht="15" customHeight="1">
      <c r="C259" s="417" t="s">
        <v>1532</v>
      </c>
      <c r="D259" s="433" t="s">
        <v>1884</v>
      </c>
      <c r="E259" s="433"/>
      <c r="G259" s="416" t="s">
        <v>1883</v>
      </c>
      <c r="I259" s="415" t="s">
        <v>1536</v>
      </c>
      <c r="J259" s="415" t="s">
        <v>1536</v>
      </c>
      <c r="K259" s="415" t="s">
        <v>1536</v>
      </c>
      <c r="L259" s="415"/>
      <c r="M259" s="415" t="s">
        <v>1536</v>
      </c>
      <c r="N259" s="415" t="s">
        <v>1529</v>
      </c>
      <c r="O259" s="415" t="s">
        <v>1529</v>
      </c>
      <c r="P259" s="415" t="s">
        <v>1536</v>
      </c>
      <c r="R259" s="434">
        <v>5</v>
      </c>
      <c r="S259" s="434"/>
      <c r="U259" s="422">
        <f t="shared" si="8"/>
        <v>0.06</v>
      </c>
      <c r="V259" s="422">
        <f t="shared" si="9"/>
        <v>6.8999999999999992E-2</v>
      </c>
      <c r="W259" s="424" t="str">
        <f>IF(ISBLANK(A259),"",VLOOKUP(A259,'KY Taxcodes'!$A:$B,2,FALSE))</f>
        <v/>
      </c>
    </row>
    <row r="260" spans="1:23" ht="15" customHeight="1">
      <c r="C260" s="417" t="s">
        <v>1532</v>
      </c>
      <c r="D260" s="433" t="s">
        <v>1882</v>
      </c>
      <c r="E260" s="433"/>
      <c r="G260" s="416" t="s">
        <v>1881</v>
      </c>
      <c r="I260" s="415" t="s">
        <v>1762</v>
      </c>
      <c r="J260" s="415" t="s">
        <v>1762</v>
      </c>
      <c r="K260" s="415" t="s">
        <v>1762</v>
      </c>
      <c r="L260" s="415"/>
      <c r="M260" s="415" t="s">
        <v>1762</v>
      </c>
      <c r="N260" s="415" t="s">
        <v>1762</v>
      </c>
      <c r="O260" s="415" t="s">
        <v>1762</v>
      </c>
      <c r="P260" s="415" t="s">
        <v>1762</v>
      </c>
      <c r="U260" s="422">
        <f t="shared" si="8"/>
        <v>7.4999999999999997E-2</v>
      </c>
      <c r="V260" s="422">
        <f t="shared" si="9"/>
        <v>8.6249999999999993E-2</v>
      </c>
      <c r="W260" s="424" t="str">
        <f>IF(ISBLANK(A260),"",VLOOKUP(A260,'KY Taxcodes'!$A:$B,2,FALSE))</f>
        <v/>
      </c>
    </row>
    <row r="261" spans="1:23" ht="15" customHeight="1">
      <c r="A261" s="416" t="s">
        <v>1880</v>
      </c>
      <c r="B261" s="416"/>
      <c r="C261" s="417" t="s">
        <v>1532</v>
      </c>
      <c r="D261" s="433" t="s">
        <v>1879</v>
      </c>
      <c r="E261" s="433"/>
      <c r="G261" s="416" t="s">
        <v>1878</v>
      </c>
      <c r="I261" s="415" t="s">
        <v>1877</v>
      </c>
      <c r="J261" s="415" t="s">
        <v>1877</v>
      </c>
      <c r="K261" s="415" t="s">
        <v>1877</v>
      </c>
      <c r="L261" s="415"/>
      <c r="M261" s="415" t="s">
        <v>1877</v>
      </c>
      <c r="N261" s="415" t="s">
        <v>1529</v>
      </c>
      <c r="O261" s="415" t="s">
        <v>1529</v>
      </c>
      <c r="P261" s="415" t="s">
        <v>1877</v>
      </c>
      <c r="U261" s="422">
        <f t="shared" si="8"/>
        <v>4.4999999999999998E-2</v>
      </c>
      <c r="V261" s="422">
        <f t="shared" si="9"/>
        <v>5.1749999999999997E-2</v>
      </c>
      <c r="W261" s="424" t="str">
        <f>IF(ISBLANK(A261),"",VLOOKUP(A261,'KY Taxcodes'!$A:$B,2,FALSE))</f>
        <v>This county tax has been imposed on all unincorporated areas within this county.  Since all municipalities on the master list are incorporated, this tax will not apply to them.</v>
      </c>
    </row>
    <row r="262" spans="1:23" ht="15" customHeight="1">
      <c r="C262" s="417" t="s">
        <v>1532</v>
      </c>
      <c r="D262" s="433" t="s">
        <v>1876</v>
      </c>
      <c r="E262" s="433"/>
      <c r="G262" s="416" t="s">
        <v>1875</v>
      </c>
      <c r="I262" s="415" t="s">
        <v>1550</v>
      </c>
      <c r="J262" s="415" t="s">
        <v>1550</v>
      </c>
      <c r="K262" s="415" t="s">
        <v>1550</v>
      </c>
      <c r="L262" s="415"/>
      <c r="M262" s="415" t="s">
        <v>1550</v>
      </c>
      <c r="N262" s="415" t="s">
        <v>1529</v>
      </c>
      <c r="O262" s="415" t="s">
        <v>1529</v>
      </c>
      <c r="P262" s="415" t="s">
        <v>1550</v>
      </c>
      <c r="U262" s="422">
        <f t="shared" si="8"/>
        <v>7.0000000000000007E-2</v>
      </c>
      <c r="V262" s="422">
        <f t="shared" si="9"/>
        <v>8.0500000000000002E-2</v>
      </c>
      <c r="W262" s="424" t="str">
        <f>IF(ISBLANK(A262),"",VLOOKUP(A262,'KY Taxcodes'!$A:$B,2,FALSE))</f>
        <v/>
      </c>
    </row>
    <row r="263" spans="1:23" ht="15" customHeight="1">
      <c r="A263" s="416" t="s">
        <v>1554</v>
      </c>
      <c r="B263" s="416"/>
      <c r="C263" s="417" t="s">
        <v>1532</v>
      </c>
      <c r="D263" s="433" t="s">
        <v>1874</v>
      </c>
      <c r="E263" s="433"/>
      <c r="G263" s="416" t="s">
        <v>1873</v>
      </c>
      <c r="I263" s="415" t="s">
        <v>1528</v>
      </c>
      <c r="J263" s="415" t="s">
        <v>1528</v>
      </c>
      <c r="K263" s="415" t="s">
        <v>1528</v>
      </c>
      <c r="L263" s="415"/>
      <c r="M263" s="415" t="s">
        <v>1528</v>
      </c>
      <c r="N263" s="415" t="s">
        <v>1528</v>
      </c>
      <c r="O263" s="415" t="s">
        <v>1528</v>
      </c>
      <c r="P263" s="415" t="s">
        <v>1528</v>
      </c>
      <c r="U263" s="422">
        <f t="shared" si="8"/>
        <v>0.08</v>
      </c>
      <c r="V263" s="422">
        <f t="shared" si="9"/>
        <v>9.1999999999999998E-2</v>
      </c>
      <c r="W263" s="424" t="str">
        <f>IF(ISBLANK(A263),"",VLOOKUP(A263,'KY Taxcodes'!$A:$B,2,FALSE))</f>
        <v>Indivisible premiums.  Indivisible premium multiple-line policies consist mainly of homeowners and farm owners policies.  Other multiple-line policies have divisible premiums and the appropriate tax for the various lines of insurance is applicable separately.  Since KRS 91A.080 requires a breakdown of all collections by category, indivisible premium multiple-line policies must be broken down giving a weight of two-thirds of the premium to the fire provision and one-third of the premium to the casualty provision before determining the tax.</v>
      </c>
    </row>
    <row r="264" spans="1:23" ht="15" customHeight="1">
      <c r="C264" s="417" t="s">
        <v>1532</v>
      </c>
      <c r="D264" s="433" t="s">
        <v>1872</v>
      </c>
      <c r="E264" s="433"/>
      <c r="G264" s="416" t="s">
        <v>1871</v>
      </c>
      <c r="I264" s="415" t="s">
        <v>1543</v>
      </c>
      <c r="J264" s="415" t="s">
        <v>1543</v>
      </c>
      <c r="K264" s="415" t="s">
        <v>1543</v>
      </c>
      <c r="L264" s="415"/>
      <c r="M264" s="415" t="s">
        <v>1543</v>
      </c>
      <c r="N264" s="415" t="s">
        <v>1529</v>
      </c>
      <c r="O264" s="415" t="s">
        <v>1543</v>
      </c>
      <c r="P264" s="415" t="s">
        <v>1543</v>
      </c>
      <c r="U264" s="422">
        <f t="shared" si="8"/>
        <v>0.1</v>
      </c>
      <c r="V264" s="422">
        <f t="shared" si="9"/>
        <v>0.11499999999999999</v>
      </c>
      <c r="W264" s="424" t="str">
        <f>IF(ISBLANK(A264),"",VLOOKUP(A264,'KY Taxcodes'!$A:$B,2,FALSE))</f>
        <v/>
      </c>
    </row>
    <row r="265" spans="1:23" ht="15" customHeight="1">
      <c r="A265" s="416" t="s">
        <v>637</v>
      </c>
      <c r="B265" s="416"/>
      <c r="C265" s="417" t="s">
        <v>1532</v>
      </c>
      <c r="D265" s="433" t="s">
        <v>1870</v>
      </c>
      <c r="E265" s="433"/>
      <c r="G265" s="416" t="s">
        <v>1869</v>
      </c>
      <c r="I265" s="415" t="s">
        <v>1533</v>
      </c>
      <c r="J265" s="415" t="s">
        <v>1533</v>
      </c>
      <c r="K265" s="415" t="s">
        <v>1533</v>
      </c>
      <c r="L265" s="415"/>
      <c r="M265" s="415" t="s">
        <v>1533</v>
      </c>
      <c r="N265" s="415" t="s">
        <v>1529</v>
      </c>
      <c r="O265" s="415" t="s">
        <v>1529</v>
      </c>
      <c r="P265" s="415" t="s">
        <v>1533</v>
      </c>
      <c r="U265" s="422">
        <f t="shared" si="8"/>
        <v>0.05</v>
      </c>
      <c r="V265" s="422">
        <f t="shared" si="9"/>
        <v>5.7499999999999996E-2</v>
      </c>
      <c r="W265" s="424" t="str">
        <f>IF(ISBLANK(A265),"",VLOOKUP(A265,'KY Taxcodes'!$A:$B,2,FALSE))</f>
        <v>Tax charge shall not apply to: (A) Premiums recieved for insuring employees against liability for personal injuries to their employees, or the death of their employees, caused thereby, under provisions of the Workers' Compensation Act.  (B) Premiums for policies of health insurance. (C) Premiums for extended care policies. (D) Premiums for annuities. (E) Premiums for federal flood insurance. (F) Premiums for surety or preformance bonds.  (G) Premiums for crop hail insurance. (H) Premiums for non-lincensed farm equipment insurance.  (I) Premiums for cargo or product liability insurance.  (J) Premiums for malpractice (all types) insurance.  (K) Premiums for life insurance.  (L) Premiums for general liability insurance for umbrella and excess liablility policy required to obtain licenses and permits to do interstate and intrastate transit of freight. (M) Premiums for property and risk insurance for property owned by the county, city, churches, parsonages, school and fire departments.</v>
      </c>
    </row>
    <row r="266" spans="1:23" ht="15" customHeight="1">
      <c r="C266" s="417" t="s">
        <v>1532</v>
      </c>
      <c r="D266" s="433" t="s">
        <v>1868</v>
      </c>
      <c r="E266" s="433"/>
      <c r="G266" s="416" t="s">
        <v>1867</v>
      </c>
      <c r="I266" s="415" t="s">
        <v>1543</v>
      </c>
      <c r="J266" s="415" t="s">
        <v>1543</v>
      </c>
      <c r="K266" s="415" t="s">
        <v>1543</v>
      </c>
      <c r="L266" s="415"/>
      <c r="M266" s="415" t="s">
        <v>1543</v>
      </c>
      <c r="N266" s="415" t="s">
        <v>1543</v>
      </c>
      <c r="O266" s="415" t="s">
        <v>1543</v>
      </c>
      <c r="P266" s="415" t="s">
        <v>1543</v>
      </c>
      <c r="U266" s="422">
        <f t="shared" si="8"/>
        <v>0.1</v>
      </c>
      <c r="V266" s="422">
        <f t="shared" si="9"/>
        <v>0.11499999999999999</v>
      </c>
      <c r="W266" s="424" t="str">
        <f>IF(ISBLANK(A266),"",VLOOKUP(A266,'KY Taxcodes'!$A:$B,2,FALSE))</f>
        <v/>
      </c>
    </row>
    <row r="267" spans="1:23" ht="15" customHeight="1">
      <c r="C267" s="417" t="s">
        <v>1532</v>
      </c>
      <c r="D267" s="433" t="s">
        <v>1866</v>
      </c>
      <c r="E267" s="433"/>
      <c r="G267" s="416" t="s">
        <v>1865</v>
      </c>
      <c r="I267" s="415" t="s">
        <v>1606</v>
      </c>
      <c r="J267" s="415" t="s">
        <v>1606</v>
      </c>
      <c r="K267" s="415" t="s">
        <v>1606</v>
      </c>
      <c r="L267" s="415"/>
      <c r="M267" s="415" t="s">
        <v>1606</v>
      </c>
      <c r="N267" s="415" t="s">
        <v>1606</v>
      </c>
      <c r="O267" s="415" t="s">
        <v>1606</v>
      </c>
      <c r="P267" s="415" t="s">
        <v>1606</v>
      </c>
      <c r="U267" s="422">
        <f t="shared" si="8"/>
        <v>0.04</v>
      </c>
      <c r="V267" s="422">
        <f t="shared" si="9"/>
        <v>4.5999999999999999E-2</v>
      </c>
      <c r="W267" s="424" t="str">
        <f>IF(ISBLANK(A267),"",VLOOKUP(A267,'KY Taxcodes'!$A:$B,2,FALSE))</f>
        <v/>
      </c>
    </row>
    <row r="268" spans="1:23" ht="15" customHeight="1">
      <c r="C268" s="417" t="s">
        <v>1532</v>
      </c>
      <c r="D268" s="433" t="s">
        <v>1864</v>
      </c>
      <c r="E268" s="433"/>
      <c r="G268" s="416" t="s">
        <v>1863</v>
      </c>
      <c r="I268" s="415" t="s">
        <v>1533</v>
      </c>
      <c r="J268" s="415" t="s">
        <v>1533</v>
      </c>
      <c r="K268" s="415" t="s">
        <v>1533</v>
      </c>
      <c r="L268" s="415"/>
      <c r="M268" s="415" t="s">
        <v>1533</v>
      </c>
      <c r="N268" s="415" t="s">
        <v>1529</v>
      </c>
      <c r="O268" s="415" t="s">
        <v>1529</v>
      </c>
      <c r="P268" s="415" t="s">
        <v>1533</v>
      </c>
      <c r="U268" s="422">
        <f t="shared" si="8"/>
        <v>0.05</v>
      </c>
      <c r="V268" s="422">
        <f t="shared" si="9"/>
        <v>5.7499999999999996E-2</v>
      </c>
      <c r="W268" s="424" t="str">
        <f>IF(ISBLANK(A268),"",VLOOKUP(A268,'KY Taxcodes'!$A:$B,2,FALSE))</f>
        <v/>
      </c>
    </row>
    <row r="269" spans="1:23" ht="15" customHeight="1">
      <c r="C269" s="417" t="s">
        <v>1532</v>
      </c>
      <c r="D269" s="433" t="s">
        <v>1862</v>
      </c>
      <c r="E269" s="433"/>
      <c r="G269" s="416" t="s">
        <v>1861</v>
      </c>
      <c r="I269" s="415" t="s">
        <v>1860</v>
      </c>
      <c r="J269" s="415" t="s">
        <v>1860</v>
      </c>
      <c r="K269" s="415" t="s">
        <v>1860</v>
      </c>
      <c r="L269" s="415"/>
      <c r="M269" s="415" t="s">
        <v>1860</v>
      </c>
      <c r="N269" s="415" t="s">
        <v>1860</v>
      </c>
      <c r="O269" s="415" t="s">
        <v>1860</v>
      </c>
      <c r="P269" s="415" t="s">
        <v>1860</v>
      </c>
      <c r="R269" s="434">
        <v>5</v>
      </c>
      <c r="S269" s="434"/>
      <c r="U269" s="422">
        <f t="shared" ref="U269:U332" si="10">VALUE(J269)</f>
        <v>9.5000000000000001E-2</v>
      </c>
      <c r="V269" s="422">
        <f t="shared" si="9"/>
        <v>0.10924999999999999</v>
      </c>
      <c r="W269" s="424" t="str">
        <f>IF(ISBLANK(A269),"",VLOOKUP(A269,'KY Taxcodes'!$A:$B,2,FALSE))</f>
        <v/>
      </c>
    </row>
    <row r="270" spans="1:23" ht="15" customHeight="1">
      <c r="C270" s="417" t="s">
        <v>1532</v>
      </c>
      <c r="D270" s="433" t="s">
        <v>1859</v>
      </c>
      <c r="E270" s="433"/>
      <c r="G270" s="416" t="s">
        <v>1858</v>
      </c>
      <c r="I270" s="415" t="s">
        <v>1857</v>
      </c>
      <c r="J270" s="415" t="s">
        <v>1857</v>
      </c>
      <c r="K270" s="415" t="s">
        <v>1857</v>
      </c>
      <c r="L270" s="415"/>
      <c r="M270" s="415" t="s">
        <v>1857</v>
      </c>
      <c r="N270" s="415" t="s">
        <v>1857</v>
      </c>
      <c r="O270" s="415" t="s">
        <v>1857</v>
      </c>
      <c r="P270" s="415" t="s">
        <v>1857</v>
      </c>
      <c r="U270" s="422">
        <f t="shared" si="10"/>
        <v>9.1999999999999998E-2</v>
      </c>
      <c r="V270" s="422">
        <f t="shared" si="9"/>
        <v>0.10579999999999999</v>
      </c>
      <c r="W270" s="424" t="str">
        <f>IF(ISBLANK(A270),"",VLOOKUP(A270,'KY Taxcodes'!$A:$B,2,FALSE))</f>
        <v/>
      </c>
    </row>
    <row r="271" spans="1:23" ht="15" customHeight="1">
      <c r="C271" s="417" t="s">
        <v>1582</v>
      </c>
      <c r="D271" s="433" t="s">
        <v>1856</v>
      </c>
      <c r="E271" s="433"/>
      <c r="G271" s="416" t="s">
        <v>1855</v>
      </c>
      <c r="I271" s="415" t="s">
        <v>1854</v>
      </c>
      <c r="J271" s="415" t="s">
        <v>1854</v>
      </c>
      <c r="K271" s="415" t="s">
        <v>1854</v>
      </c>
      <c r="L271" s="415"/>
      <c r="M271" s="415" t="s">
        <v>1854</v>
      </c>
      <c r="N271" s="415" t="s">
        <v>1529</v>
      </c>
      <c r="O271" s="415" t="s">
        <v>1529</v>
      </c>
      <c r="P271" s="415" t="s">
        <v>1854</v>
      </c>
      <c r="U271" s="422">
        <f t="shared" si="10"/>
        <v>7.2499999999999995E-2</v>
      </c>
      <c r="V271" s="422">
        <f t="shared" si="9"/>
        <v>8.3374999999999991E-2</v>
      </c>
      <c r="W271" s="424" t="str">
        <f>IF(ISBLANK(A271),"",VLOOKUP(A271,'KY Taxcodes'!$A:$B,2,FALSE))</f>
        <v/>
      </c>
    </row>
    <row r="272" spans="1:23" ht="15" customHeight="1">
      <c r="C272" s="417" t="s">
        <v>1532</v>
      </c>
      <c r="D272" s="433" t="s">
        <v>1853</v>
      </c>
      <c r="E272" s="433"/>
      <c r="G272" s="416" t="s">
        <v>1852</v>
      </c>
      <c r="I272" s="415" t="s">
        <v>1533</v>
      </c>
      <c r="J272" s="415" t="s">
        <v>1533</v>
      </c>
      <c r="K272" s="415" t="s">
        <v>1533</v>
      </c>
      <c r="L272" s="415"/>
      <c r="M272" s="415" t="s">
        <v>1533</v>
      </c>
      <c r="N272" s="415" t="s">
        <v>1529</v>
      </c>
      <c r="O272" s="415" t="s">
        <v>1533</v>
      </c>
      <c r="P272" s="415" t="s">
        <v>1533</v>
      </c>
      <c r="U272" s="422">
        <f t="shared" si="10"/>
        <v>0.05</v>
      </c>
      <c r="V272" s="422">
        <f t="shared" si="9"/>
        <v>5.7499999999999996E-2</v>
      </c>
      <c r="W272" s="424" t="str">
        <f>IF(ISBLANK(A272),"",VLOOKUP(A272,'KY Taxcodes'!$A:$B,2,FALSE))</f>
        <v/>
      </c>
    </row>
    <row r="273" spans="1:23" ht="15" customHeight="1">
      <c r="C273" s="417" t="s">
        <v>1532</v>
      </c>
      <c r="D273" s="433" t="s">
        <v>1851</v>
      </c>
      <c r="E273" s="433"/>
      <c r="G273" s="416" t="s">
        <v>1850</v>
      </c>
      <c r="I273" s="415" t="s">
        <v>1543</v>
      </c>
      <c r="J273" s="415" t="s">
        <v>1543</v>
      </c>
      <c r="K273" s="415" t="s">
        <v>1543</v>
      </c>
      <c r="L273" s="415"/>
      <c r="M273" s="415" t="s">
        <v>1543</v>
      </c>
      <c r="N273" s="415" t="s">
        <v>1529</v>
      </c>
      <c r="O273" s="415" t="s">
        <v>1543</v>
      </c>
      <c r="P273" s="415" t="s">
        <v>1543</v>
      </c>
      <c r="U273" s="422">
        <f t="shared" si="10"/>
        <v>0.1</v>
      </c>
      <c r="V273" s="422">
        <f t="shared" si="9"/>
        <v>0.11499999999999999</v>
      </c>
      <c r="W273" s="424" t="str">
        <f>IF(ISBLANK(A273),"",VLOOKUP(A273,'KY Taxcodes'!$A:$B,2,FALSE))</f>
        <v/>
      </c>
    </row>
    <row r="274" spans="1:23" ht="15" customHeight="1">
      <c r="A274" s="416" t="s">
        <v>625</v>
      </c>
      <c r="B274" s="416"/>
      <c r="C274" s="417" t="s">
        <v>1532</v>
      </c>
      <c r="D274" s="433" t="s">
        <v>1849</v>
      </c>
      <c r="E274" s="433"/>
      <c r="G274" s="416" t="s">
        <v>1848</v>
      </c>
      <c r="I274" s="415" t="s">
        <v>1590</v>
      </c>
      <c r="J274" s="415" t="s">
        <v>1590</v>
      </c>
      <c r="K274" s="415" t="s">
        <v>1590</v>
      </c>
      <c r="L274" s="415"/>
      <c r="M274" s="415" t="s">
        <v>1590</v>
      </c>
      <c r="N274" s="415" t="s">
        <v>1529</v>
      </c>
      <c r="O274" s="415" t="s">
        <v>1590</v>
      </c>
      <c r="P274" s="415" t="s">
        <v>1590</v>
      </c>
      <c r="U274" s="422">
        <f t="shared" si="10"/>
        <v>0.12</v>
      </c>
      <c r="V274" s="422">
        <f t="shared" si="9"/>
        <v>0.13799999999999998</v>
      </c>
      <c r="W274" s="424" t="str">
        <f>IF(ISBLANK(A274),"",VLOOKUP(A274,'KY Taxcodes'!$A:$B,2,FALSE))</f>
        <v>Excludes any license fee or tax imposed upon premium receipts for property used exclusively for religious, educational or charitable purposes.</v>
      </c>
    </row>
    <row r="275" spans="1:23" ht="15" customHeight="1">
      <c r="A275" s="416" t="s">
        <v>38</v>
      </c>
      <c r="B275" s="416"/>
      <c r="C275" s="417" t="s">
        <v>1532</v>
      </c>
      <c r="D275" s="433" t="s">
        <v>1847</v>
      </c>
      <c r="E275" s="433"/>
      <c r="G275" s="416" t="s">
        <v>1846</v>
      </c>
      <c r="I275" s="415" t="s">
        <v>1528</v>
      </c>
      <c r="J275" s="415" t="s">
        <v>1528</v>
      </c>
      <c r="K275" s="415" t="s">
        <v>1528</v>
      </c>
      <c r="L275" s="415"/>
      <c r="M275" s="415" t="s">
        <v>1528</v>
      </c>
      <c r="N275" s="415" t="s">
        <v>1529</v>
      </c>
      <c r="O275" s="415" t="s">
        <v>1529</v>
      </c>
      <c r="P275" s="415" t="s">
        <v>1528</v>
      </c>
      <c r="R275" s="434">
        <v>5</v>
      </c>
      <c r="S275" s="434"/>
      <c r="U275" s="422">
        <f t="shared" si="10"/>
        <v>0.08</v>
      </c>
      <c r="V275" s="422">
        <f t="shared" si="9"/>
        <v>9.1999999999999998E-2</v>
      </c>
      <c r="W275" s="424" t="str">
        <f>IF(ISBLANK(A275),"",VLOOKUP(A275,'KY Taxcodes'!$A:$B,2,FALSE))</f>
        <v>Tax charge shall not apply to crop-hail, flood, bonds, or insurance purchased by the city.</v>
      </c>
    </row>
    <row r="276" spans="1:23" ht="15" customHeight="1">
      <c r="C276" s="417" t="s">
        <v>1532</v>
      </c>
      <c r="D276" s="433" t="s">
        <v>1845</v>
      </c>
      <c r="E276" s="433"/>
      <c r="G276" s="416" t="s">
        <v>1844</v>
      </c>
      <c r="I276" s="415" t="s">
        <v>1595</v>
      </c>
      <c r="J276" s="415" t="s">
        <v>1595</v>
      </c>
      <c r="K276" s="415" t="s">
        <v>1595</v>
      </c>
      <c r="L276" s="415"/>
      <c r="M276" s="415" t="s">
        <v>1543</v>
      </c>
      <c r="N276" s="415" t="s">
        <v>1595</v>
      </c>
      <c r="O276" s="415" t="s">
        <v>1543</v>
      </c>
      <c r="P276" s="415" t="s">
        <v>1543</v>
      </c>
      <c r="U276" s="422">
        <f t="shared" si="10"/>
        <v>0.15</v>
      </c>
      <c r="V276" s="422">
        <f t="shared" si="9"/>
        <v>0.16999999999999998</v>
      </c>
      <c r="W276" s="424" t="str">
        <f>IF(ISBLANK(A276),"",VLOOKUP(A276,'KY Taxcodes'!$A:$B,2,FALSE))</f>
        <v/>
      </c>
    </row>
    <row r="277" spans="1:23" ht="15" customHeight="1">
      <c r="C277" s="417" t="s">
        <v>1582</v>
      </c>
      <c r="D277" s="433" t="s">
        <v>1843</v>
      </c>
      <c r="E277" s="433"/>
      <c r="G277" s="416" t="s">
        <v>1842</v>
      </c>
      <c r="I277" s="415" t="s">
        <v>1673</v>
      </c>
      <c r="J277" s="415" t="s">
        <v>1673</v>
      </c>
      <c r="K277" s="415" t="s">
        <v>1533</v>
      </c>
      <c r="L277" s="415"/>
      <c r="M277" s="415" t="s">
        <v>1533</v>
      </c>
      <c r="N277" s="415" t="s">
        <v>1529</v>
      </c>
      <c r="O277" s="415" t="s">
        <v>1529</v>
      </c>
      <c r="P277" s="415" t="s">
        <v>1533</v>
      </c>
      <c r="U277" s="422">
        <f t="shared" si="10"/>
        <v>0.03</v>
      </c>
      <c r="V277" s="422">
        <f t="shared" si="9"/>
        <v>3.4499999999999996E-2</v>
      </c>
      <c r="W277" s="424" t="str">
        <f>IF(ISBLANK(A277),"",VLOOKUP(A277,'KY Taxcodes'!$A:$B,2,FALSE))</f>
        <v/>
      </c>
    </row>
    <row r="278" spans="1:23" ht="15" customHeight="1">
      <c r="C278" s="417" t="s">
        <v>1582</v>
      </c>
      <c r="D278" s="433" t="s">
        <v>1841</v>
      </c>
      <c r="E278" s="433"/>
      <c r="G278" s="416" t="s">
        <v>1840</v>
      </c>
      <c r="I278" s="415" t="s">
        <v>1543</v>
      </c>
      <c r="J278" s="415" t="s">
        <v>1543</v>
      </c>
      <c r="K278" s="415" t="s">
        <v>1543</v>
      </c>
      <c r="L278" s="415"/>
      <c r="M278" s="415" t="s">
        <v>1543</v>
      </c>
      <c r="N278" s="415" t="s">
        <v>1529</v>
      </c>
      <c r="O278" s="415" t="s">
        <v>1543</v>
      </c>
      <c r="P278" s="415" t="s">
        <v>1543</v>
      </c>
      <c r="U278" s="422">
        <f t="shared" si="10"/>
        <v>0.1</v>
      </c>
      <c r="V278" s="422">
        <f t="shared" si="9"/>
        <v>0.11499999999999999</v>
      </c>
      <c r="W278" s="424" t="str">
        <f>IF(ISBLANK(A278),"",VLOOKUP(A278,'KY Taxcodes'!$A:$B,2,FALSE))</f>
        <v/>
      </c>
    </row>
    <row r="279" spans="1:23" ht="15" customHeight="1">
      <c r="C279" s="417" t="s">
        <v>1532</v>
      </c>
      <c r="D279" s="433" t="s">
        <v>1839</v>
      </c>
      <c r="E279" s="433"/>
      <c r="G279" s="416" t="s">
        <v>1838</v>
      </c>
      <c r="I279" s="415" t="s">
        <v>1533</v>
      </c>
      <c r="J279" s="415" t="s">
        <v>1533</v>
      </c>
      <c r="K279" s="415" t="s">
        <v>1533</v>
      </c>
      <c r="L279" s="415"/>
      <c r="M279" s="415" t="s">
        <v>1533</v>
      </c>
      <c r="N279" s="415" t="s">
        <v>1529</v>
      </c>
      <c r="O279" s="415" t="s">
        <v>1533</v>
      </c>
      <c r="P279" s="415" t="s">
        <v>1533</v>
      </c>
      <c r="U279" s="422">
        <f t="shared" si="10"/>
        <v>0.05</v>
      </c>
      <c r="V279" s="422">
        <f t="shared" si="9"/>
        <v>5.7499999999999996E-2</v>
      </c>
      <c r="W279" s="424" t="str">
        <f>IF(ISBLANK(A279),"",VLOOKUP(A279,'KY Taxcodes'!$A:$B,2,FALSE))</f>
        <v/>
      </c>
    </row>
    <row r="280" spans="1:23" ht="15" customHeight="1">
      <c r="C280" s="417" t="s">
        <v>1532</v>
      </c>
      <c r="D280" s="433" t="s">
        <v>1837</v>
      </c>
      <c r="E280" s="433"/>
      <c r="G280" s="416" t="s">
        <v>1836</v>
      </c>
      <c r="I280" s="415" t="s">
        <v>1622</v>
      </c>
      <c r="J280" s="415" t="s">
        <v>1622</v>
      </c>
      <c r="K280" s="415" t="s">
        <v>1622</v>
      </c>
      <c r="L280" s="415"/>
      <c r="M280" s="415" t="s">
        <v>1622</v>
      </c>
      <c r="N280" s="415" t="s">
        <v>1622</v>
      </c>
      <c r="O280" s="415" t="s">
        <v>1622</v>
      </c>
      <c r="P280" s="415" t="s">
        <v>1622</v>
      </c>
      <c r="U280" s="422">
        <f t="shared" si="10"/>
        <v>0.09</v>
      </c>
      <c r="V280" s="422">
        <f t="shared" si="9"/>
        <v>0.10349999999999999</v>
      </c>
      <c r="W280" s="424" t="str">
        <f>IF(ISBLANK(A280),"",VLOOKUP(A280,'KY Taxcodes'!$A:$B,2,FALSE))</f>
        <v/>
      </c>
    </row>
    <row r="281" spans="1:23" ht="15" customHeight="1">
      <c r="C281" s="417" t="s">
        <v>1532</v>
      </c>
      <c r="D281" s="433" t="s">
        <v>1835</v>
      </c>
      <c r="E281" s="433"/>
      <c r="G281" s="416" t="s">
        <v>1834</v>
      </c>
      <c r="I281" s="415" t="s">
        <v>1533</v>
      </c>
      <c r="J281" s="415" t="s">
        <v>1533</v>
      </c>
      <c r="K281" s="415" t="s">
        <v>1533</v>
      </c>
      <c r="L281" s="415"/>
      <c r="M281" s="415" t="s">
        <v>1533</v>
      </c>
      <c r="N281" s="415" t="s">
        <v>1529</v>
      </c>
      <c r="O281" s="415" t="s">
        <v>1533</v>
      </c>
      <c r="P281" s="415" t="s">
        <v>1533</v>
      </c>
      <c r="U281" s="422">
        <f t="shared" si="10"/>
        <v>0.05</v>
      </c>
      <c r="V281" s="422">
        <f t="shared" si="9"/>
        <v>5.7499999999999996E-2</v>
      </c>
      <c r="W281" s="424" t="str">
        <f>IF(ISBLANK(A281),"",VLOOKUP(A281,'KY Taxcodes'!$A:$B,2,FALSE))</f>
        <v/>
      </c>
    </row>
    <row r="282" spans="1:23" ht="15" customHeight="1">
      <c r="C282" s="417" t="s">
        <v>1532</v>
      </c>
      <c r="D282" s="433" t="s">
        <v>1833</v>
      </c>
      <c r="E282" s="433"/>
      <c r="G282" s="416" t="s">
        <v>1832</v>
      </c>
      <c r="I282" s="415" t="s">
        <v>1543</v>
      </c>
      <c r="J282" s="415" t="s">
        <v>1543</v>
      </c>
      <c r="K282" s="415" t="s">
        <v>1543</v>
      </c>
      <c r="L282" s="415"/>
      <c r="M282" s="415" t="s">
        <v>1543</v>
      </c>
      <c r="N282" s="415" t="s">
        <v>1529</v>
      </c>
      <c r="O282" s="415" t="s">
        <v>1543</v>
      </c>
      <c r="P282" s="415" t="s">
        <v>1543</v>
      </c>
      <c r="U282" s="422">
        <f t="shared" si="10"/>
        <v>0.1</v>
      </c>
      <c r="V282" s="422">
        <f t="shared" si="9"/>
        <v>0.11499999999999999</v>
      </c>
      <c r="W282" s="424" t="str">
        <f>IF(ISBLANK(A282),"",VLOOKUP(A282,'KY Taxcodes'!$A:$B,2,FALSE))</f>
        <v/>
      </c>
    </row>
    <row r="283" spans="1:23" ht="15" customHeight="1">
      <c r="C283" s="417" t="s">
        <v>1532</v>
      </c>
      <c r="D283" s="433" t="s">
        <v>1831</v>
      </c>
      <c r="E283" s="433"/>
      <c r="G283" s="416" t="s">
        <v>1830</v>
      </c>
      <c r="I283" s="415" t="s">
        <v>1533</v>
      </c>
      <c r="J283" s="415" t="s">
        <v>1533</v>
      </c>
      <c r="K283" s="415" t="s">
        <v>1533</v>
      </c>
      <c r="L283" s="415"/>
      <c r="M283" s="415" t="s">
        <v>1533</v>
      </c>
      <c r="N283" s="415" t="s">
        <v>1529</v>
      </c>
      <c r="O283" s="415" t="s">
        <v>1533</v>
      </c>
      <c r="P283" s="415" t="s">
        <v>1533</v>
      </c>
      <c r="U283" s="422">
        <f t="shared" si="10"/>
        <v>0.05</v>
      </c>
      <c r="V283" s="422">
        <f t="shared" si="9"/>
        <v>5.7499999999999996E-2</v>
      </c>
      <c r="W283" s="424" t="str">
        <f>IF(ISBLANK(A283),"",VLOOKUP(A283,'KY Taxcodes'!$A:$B,2,FALSE))</f>
        <v/>
      </c>
    </row>
    <row r="284" spans="1:23" ht="15" customHeight="1">
      <c r="C284" s="417" t="s">
        <v>1532</v>
      </c>
      <c r="D284" s="433" t="s">
        <v>1829</v>
      </c>
      <c r="E284" s="433"/>
      <c r="G284" s="416" t="s">
        <v>1828</v>
      </c>
      <c r="I284" s="415" t="s">
        <v>1543</v>
      </c>
      <c r="J284" s="415" t="s">
        <v>1543</v>
      </c>
      <c r="K284" s="415" t="s">
        <v>1543</v>
      </c>
      <c r="L284" s="415"/>
      <c r="M284" s="415" t="s">
        <v>1543</v>
      </c>
      <c r="N284" s="415" t="s">
        <v>1543</v>
      </c>
      <c r="O284" s="415" t="s">
        <v>1543</v>
      </c>
      <c r="P284" s="415" t="s">
        <v>1543</v>
      </c>
      <c r="U284" s="422">
        <f t="shared" si="10"/>
        <v>0.1</v>
      </c>
      <c r="V284" s="422">
        <f t="shared" ref="V284:V347" si="11">IF(ISBLANK($J284),"",IF($J284="none",0,IF($U284&gt;13.3%,$U284+2%,IF($U284&lt;=13.3%,$U284*1.15,$U284))))</f>
        <v>0.11499999999999999</v>
      </c>
      <c r="W284" s="424" t="str">
        <f>IF(ISBLANK(A284),"",VLOOKUP(A284,'KY Taxcodes'!$A:$B,2,FALSE))</f>
        <v/>
      </c>
    </row>
    <row r="285" spans="1:23" ht="15" customHeight="1">
      <c r="C285" s="417" t="s">
        <v>1532</v>
      </c>
      <c r="D285" s="433" t="s">
        <v>1827</v>
      </c>
      <c r="E285" s="433"/>
      <c r="G285" s="416" t="s">
        <v>1826</v>
      </c>
      <c r="I285" s="415" t="s">
        <v>1533</v>
      </c>
      <c r="J285" s="415" t="s">
        <v>1533</v>
      </c>
      <c r="K285" s="415" t="s">
        <v>1533</v>
      </c>
      <c r="L285" s="415"/>
      <c r="M285" s="415" t="s">
        <v>1533</v>
      </c>
      <c r="N285" s="415" t="s">
        <v>1529</v>
      </c>
      <c r="O285" s="415" t="s">
        <v>1529</v>
      </c>
      <c r="P285" s="415" t="s">
        <v>1533</v>
      </c>
      <c r="U285" s="422">
        <f t="shared" si="10"/>
        <v>0.05</v>
      </c>
      <c r="V285" s="422">
        <f t="shared" si="11"/>
        <v>5.7499999999999996E-2</v>
      </c>
      <c r="W285" s="424" t="str">
        <f>IF(ISBLANK(A285),"",VLOOKUP(A285,'KY Taxcodes'!$A:$B,2,FALSE))</f>
        <v/>
      </c>
    </row>
    <row r="286" spans="1:23" ht="15" customHeight="1">
      <c r="C286" s="417" t="s">
        <v>1532</v>
      </c>
      <c r="D286" s="433" t="s">
        <v>1825</v>
      </c>
      <c r="E286" s="433"/>
      <c r="G286" s="416" t="s">
        <v>1824</v>
      </c>
      <c r="I286" s="415" t="s">
        <v>1533</v>
      </c>
      <c r="J286" s="415" t="s">
        <v>1533</v>
      </c>
      <c r="K286" s="415" t="s">
        <v>1533</v>
      </c>
      <c r="L286" s="415"/>
      <c r="M286" s="415" t="s">
        <v>1533</v>
      </c>
      <c r="N286" s="415" t="s">
        <v>1529</v>
      </c>
      <c r="O286" s="415" t="s">
        <v>1533</v>
      </c>
      <c r="P286" s="415" t="s">
        <v>1533</v>
      </c>
      <c r="U286" s="422">
        <f t="shared" si="10"/>
        <v>0.05</v>
      </c>
      <c r="V286" s="422">
        <f t="shared" si="11"/>
        <v>5.7499999999999996E-2</v>
      </c>
      <c r="W286" s="424" t="str">
        <f>IF(ISBLANK(A286),"",VLOOKUP(A286,'KY Taxcodes'!$A:$B,2,FALSE))</f>
        <v/>
      </c>
    </row>
    <row r="287" spans="1:23" ht="15" customHeight="1">
      <c r="C287" s="417" t="s">
        <v>1532</v>
      </c>
      <c r="D287" s="433" t="s">
        <v>1823</v>
      </c>
      <c r="E287" s="433"/>
      <c r="G287" s="416" t="s">
        <v>1822</v>
      </c>
      <c r="I287" s="415" t="s">
        <v>1543</v>
      </c>
      <c r="J287" s="415" t="s">
        <v>1543</v>
      </c>
      <c r="K287" s="415" t="s">
        <v>1543</v>
      </c>
      <c r="L287" s="415"/>
      <c r="M287" s="415" t="s">
        <v>1543</v>
      </c>
      <c r="N287" s="415" t="s">
        <v>1529</v>
      </c>
      <c r="O287" s="415" t="s">
        <v>1543</v>
      </c>
      <c r="P287" s="415" t="s">
        <v>1543</v>
      </c>
      <c r="U287" s="422">
        <f t="shared" si="10"/>
        <v>0.1</v>
      </c>
      <c r="V287" s="422">
        <f t="shared" si="11"/>
        <v>0.11499999999999999</v>
      </c>
      <c r="W287" s="424" t="str">
        <f>IF(ISBLANK(A287),"",VLOOKUP(A287,'KY Taxcodes'!$A:$B,2,FALSE))</f>
        <v/>
      </c>
    </row>
    <row r="288" spans="1:23" ht="15" customHeight="1">
      <c r="A288" s="416" t="s">
        <v>1821</v>
      </c>
      <c r="B288" s="416"/>
      <c r="C288" s="417" t="s">
        <v>1532</v>
      </c>
      <c r="D288" s="433" t="s">
        <v>1820</v>
      </c>
      <c r="E288" s="433"/>
      <c r="G288" s="416" t="s">
        <v>1819</v>
      </c>
      <c r="I288" s="415" t="s">
        <v>1622</v>
      </c>
      <c r="J288" s="415" t="s">
        <v>1622</v>
      </c>
      <c r="K288" s="415" t="s">
        <v>1622</v>
      </c>
      <c r="L288" s="415"/>
      <c r="M288" s="415" t="s">
        <v>1622</v>
      </c>
      <c r="N288" s="415" t="s">
        <v>1529</v>
      </c>
      <c r="O288" s="415" t="s">
        <v>1529</v>
      </c>
      <c r="P288" s="415" t="s">
        <v>1622</v>
      </c>
      <c r="R288" s="434">
        <v>5</v>
      </c>
      <c r="S288" s="434"/>
      <c r="U288" s="422">
        <f t="shared" si="10"/>
        <v>0.09</v>
      </c>
      <c r="V288" s="422">
        <f t="shared" si="11"/>
        <v>0.10349999999999999</v>
      </c>
      <c r="W288" s="424" t="str">
        <f>IF(ISBLANK(A288),"",VLOOKUP(A288,'KY Taxcodes'!$A:$B,2,FALSE))</f>
        <v>This city imposes a $5.00 per policy minimum tax due quarterly.</v>
      </c>
    </row>
    <row r="289" spans="1:23" ht="15" customHeight="1">
      <c r="C289" s="417" t="s">
        <v>1532</v>
      </c>
      <c r="D289" s="433" t="s">
        <v>1818</v>
      </c>
      <c r="E289" s="433"/>
      <c r="G289" s="416" t="s">
        <v>1817</v>
      </c>
      <c r="I289" s="415" t="s">
        <v>1543</v>
      </c>
      <c r="J289" s="415" t="s">
        <v>1543</v>
      </c>
      <c r="K289" s="415" t="s">
        <v>1543</v>
      </c>
      <c r="L289" s="415"/>
      <c r="M289" s="415" t="s">
        <v>1543</v>
      </c>
      <c r="N289" s="415" t="s">
        <v>1543</v>
      </c>
      <c r="O289" s="415" t="s">
        <v>1543</v>
      </c>
      <c r="P289" s="415" t="s">
        <v>1543</v>
      </c>
      <c r="U289" s="422">
        <f t="shared" si="10"/>
        <v>0.1</v>
      </c>
      <c r="V289" s="422">
        <f t="shared" si="11"/>
        <v>0.11499999999999999</v>
      </c>
      <c r="W289" s="424" t="str">
        <f>IF(ISBLANK(A289),"",VLOOKUP(A289,'KY Taxcodes'!$A:$B,2,FALSE))</f>
        <v/>
      </c>
    </row>
    <row r="290" spans="1:23" ht="15" customHeight="1">
      <c r="A290" s="416" t="s">
        <v>1816</v>
      </c>
      <c r="B290" s="416"/>
      <c r="C290" s="417" t="s">
        <v>1532</v>
      </c>
      <c r="D290" s="433" t="s">
        <v>1815</v>
      </c>
      <c r="E290" s="433"/>
      <c r="G290" s="416" t="s">
        <v>1814</v>
      </c>
      <c r="I290" s="415" t="s">
        <v>1762</v>
      </c>
      <c r="J290" s="415" t="s">
        <v>1762</v>
      </c>
      <c r="K290" s="415" t="s">
        <v>1762</v>
      </c>
      <c r="L290" s="415"/>
      <c r="M290" s="415" t="s">
        <v>1762</v>
      </c>
      <c r="N290" s="415" t="s">
        <v>1529</v>
      </c>
      <c r="O290" s="415" t="s">
        <v>1529</v>
      </c>
      <c r="P290" s="415" t="s">
        <v>1762</v>
      </c>
      <c r="U290" s="422">
        <f t="shared" si="10"/>
        <v>7.4999999999999997E-2</v>
      </c>
      <c r="V290" s="422">
        <f t="shared" si="11"/>
        <v>8.6249999999999993E-2</v>
      </c>
      <c r="W290" s="531" t="s">
        <v>2426</v>
      </c>
    </row>
    <row r="291" spans="1:23" ht="15" customHeight="1">
      <c r="C291" s="417" t="s">
        <v>1532</v>
      </c>
      <c r="D291" s="433" t="s">
        <v>1813</v>
      </c>
      <c r="E291" s="433"/>
      <c r="G291" s="416" t="s">
        <v>1812</v>
      </c>
      <c r="I291" s="415" t="s">
        <v>1543</v>
      </c>
      <c r="J291" s="415" t="s">
        <v>1543</v>
      </c>
      <c r="K291" s="415" t="s">
        <v>1543</v>
      </c>
      <c r="L291" s="415"/>
      <c r="M291" s="415" t="s">
        <v>1543</v>
      </c>
      <c r="N291" s="415" t="s">
        <v>1606</v>
      </c>
      <c r="O291" s="415" t="s">
        <v>1543</v>
      </c>
      <c r="P291" s="415" t="s">
        <v>1543</v>
      </c>
      <c r="U291" s="422">
        <f t="shared" si="10"/>
        <v>0.1</v>
      </c>
      <c r="V291" s="422">
        <f t="shared" si="11"/>
        <v>0.11499999999999999</v>
      </c>
      <c r="W291" s="424" t="str">
        <f>IF(ISBLANK(A291),"",VLOOKUP(A291,'KY Taxcodes'!$A:$B,2,FALSE))</f>
        <v/>
      </c>
    </row>
    <row r="292" spans="1:23" ht="15" customHeight="1">
      <c r="C292" s="417" t="s">
        <v>1532</v>
      </c>
      <c r="D292" s="433" t="s">
        <v>1811</v>
      </c>
      <c r="E292" s="433"/>
      <c r="G292" s="416" t="s">
        <v>1810</v>
      </c>
      <c r="I292" s="415" t="s">
        <v>1528</v>
      </c>
      <c r="J292" s="415" t="s">
        <v>1528</v>
      </c>
      <c r="K292" s="415" t="s">
        <v>1528</v>
      </c>
      <c r="L292" s="415"/>
      <c r="M292" s="415" t="s">
        <v>1528</v>
      </c>
      <c r="N292" s="415" t="s">
        <v>1529</v>
      </c>
      <c r="O292" s="415" t="s">
        <v>1528</v>
      </c>
      <c r="P292" s="415" t="s">
        <v>1529</v>
      </c>
      <c r="R292" s="434">
        <v>5</v>
      </c>
      <c r="S292" s="434"/>
      <c r="U292" s="422">
        <f t="shared" si="10"/>
        <v>0.08</v>
      </c>
      <c r="V292" s="422">
        <f t="shared" si="11"/>
        <v>9.1999999999999998E-2</v>
      </c>
      <c r="W292" s="424" t="str">
        <f>IF(ISBLANK(A292),"",VLOOKUP(A292,'KY Taxcodes'!$A:$B,2,FALSE))</f>
        <v/>
      </c>
    </row>
    <row r="293" spans="1:23" ht="15" customHeight="1">
      <c r="C293" s="417" t="s">
        <v>1532</v>
      </c>
      <c r="D293" s="433" t="s">
        <v>1809</v>
      </c>
      <c r="E293" s="433"/>
      <c r="G293" s="416" t="s">
        <v>1808</v>
      </c>
      <c r="I293" s="415" t="s">
        <v>1550</v>
      </c>
      <c r="J293" s="415" t="s">
        <v>1550</v>
      </c>
      <c r="K293" s="415" t="s">
        <v>1550</v>
      </c>
      <c r="L293" s="415"/>
      <c r="M293" s="415" t="s">
        <v>1550</v>
      </c>
      <c r="N293" s="415" t="s">
        <v>1529</v>
      </c>
      <c r="O293" s="415" t="s">
        <v>1529</v>
      </c>
      <c r="P293" s="415" t="s">
        <v>1550</v>
      </c>
      <c r="U293" s="422">
        <f t="shared" si="10"/>
        <v>7.0000000000000007E-2</v>
      </c>
      <c r="V293" s="422">
        <f t="shared" si="11"/>
        <v>8.0500000000000002E-2</v>
      </c>
      <c r="W293" s="424" t="str">
        <f>IF(ISBLANK(A293),"",VLOOKUP(A293,'KY Taxcodes'!$A:$B,2,FALSE))</f>
        <v/>
      </c>
    </row>
    <row r="294" spans="1:23" ht="15" customHeight="1">
      <c r="C294" s="417" t="s">
        <v>1532</v>
      </c>
      <c r="D294" s="433" t="s">
        <v>1807</v>
      </c>
      <c r="E294" s="433"/>
      <c r="G294" s="416" t="s">
        <v>1806</v>
      </c>
      <c r="I294" s="415" t="s">
        <v>1536</v>
      </c>
      <c r="J294" s="415" t="s">
        <v>1536</v>
      </c>
      <c r="K294" s="415" t="s">
        <v>1536</v>
      </c>
      <c r="L294" s="415"/>
      <c r="M294" s="415" t="s">
        <v>1536</v>
      </c>
      <c r="N294" s="415" t="s">
        <v>1536</v>
      </c>
      <c r="O294" s="415" t="s">
        <v>1536</v>
      </c>
      <c r="P294" s="415" t="s">
        <v>1536</v>
      </c>
      <c r="U294" s="422">
        <f t="shared" si="10"/>
        <v>0.06</v>
      </c>
      <c r="V294" s="422">
        <f t="shared" si="11"/>
        <v>6.8999999999999992E-2</v>
      </c>
      <c r="W294" s="424" t="str">
        <f>IF(ISBLANK(A294),"",VLOOKUP(A294,'KY Taxcodes'!$A:$B,2,FALSE))</f>
        <v/>
      </c>
    </row>
    <row r="295" spans="1:23" ht="15" customHeight="1">
      <c r="A295" s="416" t="s">
        <v>1805</v>
      </c>
      <c r="B295" s="416"/>
      <c r="C295" s="417" t="s">
        <v>1532</v>
      </c>
      <c r="D295" s="433" t="s">
        <v>1804</v>
      </c>
      <c r="E295" s="433"/>
      <c r="G295" s="416" t="s">
        <v>1803</v>
      </c>
      <c r="I295" s="415" t="s">
        <v>1528</v>
      </c>
      <c r="J295" s="415" t="s">
        <v>1528</v>
      </c>
      <c r="K295" s="415" t="s">
        <v>1528</v>
      </c>
      <c r="L295" s="415"/>
      <c r="M295" s="415" t="s">
        <v>1528</v>
      </c>
      <c r="N295" s="415" t="s">
        <v>1529</v>
      </c>
      <c r="O295" s="415" t="s">
        <v>1529</v>
      </c>
      <c r="P295" s="415" t="s">
        <v>1529</v>
      </c>
      <c r="U295" s="422">
        <f t="shared" si="10"/>
        <v>0.08</v>
      </c>
      <c r="V295" s="422">
        <f t="shared" si="11"/>
        <v>9.1999999999999998E-2</v>
      </c>
      <c r="W295" s="424" t="str">
        <f>IF(ISBLANK(A295),"",VLOOKUP(A295,'KY Taxcodes'!$A:$B,2,FALSE))</f>
        <v>Tax charge shall not include premiums paid on property or risks owned by any  federal, state, county, or municipal government, or any agency thereof; premiums paid on property or risks owned by any bona fide religious denomination or sect, or any nationally recognized charitable organization; any and all bonds or fiduciary, surety, or indemnity nature.</v>
      </c>
    </row>
    <row r="296" spans="1:23" ht="15" customHeight="1">
      <c r="C296" s="417" t="s">
        <v>1532</v>
      </c>
      <c r="D296" s="433" t="s">
        <v>1802</v>
      </c>
      <c r="E296" s="433"/>
      <c r="G296" s="416" t="s">
        <v>1801</v>
      </c>
      <c r="I296" s="415" t="s">
        <v>1543</v>
      </c>
      <c r="J296" s="415" t="s">
        <v>1543</v>
      </c>
      <c r="K296" s="415" t="s">
        <v>1543</v>
      </c>
      <c r="L296" s="415"/>
      <c r="M296" s="415" t="s">
        <v>1543</v>
      </c>
      <c r="N296" s="415" t="s">
        <v>1543</v>
      </c>
      <c r="O296" s="415" t="s">
        <v>1543</v>
      </c>
      <c r="P296" s="415" t="s">
        <v>1543</v>
      </c>
      <c r="U296" s="422">
        <f t="shared" si="10"/>
        <v>0.1</v>
      </c>
      <c r="V296" s="422">
        <f t="shared" si="11"/>
        <v>0.11499999999999999</v>
      </c>
      <c r="W296" s="424" t="str">
        <f>IF(ISBLANK(A296),"",VLOOKUP(A296,'KY Taxcodes'!$A:$B,2,FALSE))</f>
        <v/>
      </c>
    </row>
    <row r="297" spans="1:23" ht="15" customHeight="1">
      <c r="C297" s="417" t="s">
        <v>1532</v>
      </c>
      <c r="D297" s="433" t="s">
        <v>1800</v>
      </c>
      <c r="E297" s="433"/>
      <c r="G297" s="416" t="s">
        <v>1799</v>
      </c>
      <c r="I297" s="415" t="s">
        <v>1528</v>
      </c>
      <c r="J297" s="415" t="s">
        <v>1528</v>
      </c>
      <c r="K297" s="415" t="s">
        <v>1528</v>
      </c>
      <c r="L297" s="415"/>
      <c r="M297" s="415" t="s">
        <v>1528</v>
      </c>
      <c r="N297" s="415" t="s">
        <v>1528</v>
      </c>
      <c r="O297" s="415" t="s">
        <v>1528</v>
      </c>
      <c r="P297" s="415" t="s">
        <v>1528</v>
      </c>
      <c r="U297" s="422">
        <f t="shared" si="10"/>
        <v>0.08</v>
      </c>
      <c r="V297" s="422">
        <f t="shared" si="11"/>
        <v>9.1999999999999998E-2</v>
      </c>
      <c r="W297" s="424" t="str">
        <f>IF(ISBLANK(A297),"",VLOOKUP(A297,'KY Taxcodes'!$A:$B,2,FALSE))</f>
        <v/>
      </c>
    </row>
    <row r="298" spans="1:23" ht="15" customHeight="1">
      <c r="A298" s="416" t="s">
        <v>1798</v>
      </c>
      <c r="B298" s="416"/>
      <c r="C298" s="417" t="s">
        <v>1532</v>
      </c>
      <c r="D298" s="433" t="s">
        <v>1797</v>
      </c>
      <c r="E298" s="433"/>
      <c r="G298" s="416" t="s">
        <v>1796</v>
      </c>
      <c r="I298" s="415" t="s">
        <v>1543</v>
      </c>
      <c r="J298" s="415" t="s">
        <v>1543</v>
      </c>
      <c r="K298" s="415" t="s">
        <v>1543</v>
      </c>
      <c r="L298" s="415"/>
      <c r="M298" s="415" t="s">
        <v>1543</v>
      </c>
      <c r="N298" s="415" t="s">
        <v>1543</v>
      </c>
      <c r="O298" s="415" t="s">
        <v>1543</v>
      </c>
      <c r="P298" s="415" t="s">
        <v>1543</v>
      </c>
      <c r="U298" s="422">
        <f t="shared" si="10"/>
        <v>0.1</v>
      </c>
      <c r="V298" s="422">
        <f t="shared" si="11"/>
        <v>0.11499999999999999</v>
      </c>
      <c r="W298" s="424" t="str">
        <f>IF(ISBLANK(A298),"",VLOOKUP(A298,'KY Taxcodes'!$A:$B,2,FALSE))</f>
        <v>Tax charge shall not apply to any policy purchased by the city or any emergency service organization.</v>
      </c>
    </row>
    <row r="299" spans="1:23" ht="15" customHeight="1">
      <c r="C299" s="417" t="s">
        <v>1532</v>
      </c>
      <c r="D299" s="433" t="s">
        <v>1795</v>
      </c>
      <c r="E299" s="433"/>
      <c r="G299" s="416" t="s">
        <v>1794</v>
      </c>
      <c r="I299" s="415" t="s">
        <v>1533</v>
      </c>
      <c r="J299" s="415" t="s">
        <v>1533</v>
      </c>
      <c r="K299" s="415" t="s">
        <v>1533</v>
      </c>
      <c r="L299" s="415"/>
      <c r="M299" s="415" t="s">
        <v>1533</v>
      </c>
      <c r="N299" s="415" t="s">
        <v>1533</v>
      </c>
      <c r="O299" s="415" t="s">
        <v>1533</v>
      </c>
      <c r="P299" s="415" t="s">
        <v>1533</v>
      </c>
      <c r="U299" s="422">
        <f t="shared" si="10"/>
        <v>0.05</v>
      </c>
      <c r="V299" s="422">
        <f t="shared" si="11"/>
        <v>5.7499999999999996E-2</v>
      </c>
      <c r="W299" s="424" t="str">
        <f>IF(ISBLANK(A299),"",VLOOKUP(A299,'KY Taxcodes'!$A:$B,2,FALSE))</f>
        <v/>
      </c>
    </row>
    <row r="300" spans="1:23" ht="15" customHeight="1">
      <c r="C300" s="417" t="s">
        <v>1532</v>
      </c>
      <c r="D300" s="433" t="s">
        <v>1793</v>
      </c>
      <c r="E300" s="433"/>
      <c r="G300" s="416" t="s">
        <v>1792</v>
      </c>
      <c r="I300" s="415" t="s">
        <v>1758</v>
      </c>
      <c r="J300" s="415" t="s">
        <v>1758</v>
      </c>
      <c r="K300" s="415" t="s">
        <v>1758</v>
      </c>
      <c r="L300" s="415"/>
      <c r="M300" s="415" t="s">
        <v>1758</v>
      </c>
      <c r="N300" s="415" t="s">
        <v>1758</v>
      </c>
      <c r="O300" s="415" t="s">
        <v>1758</v>
      </c>
      <c r="P300" s="415" t="s">
        <v>1758</v>
      </c>
      <c r="U300" s="422">
        <f t="shared" si="10"/>
        <v>5.5E-2</v>
      </c>
      <c r="V300" s="422">
        <f t="shared" si="11"/>
        <v>6.3250000000000001E-2</v>
      </c>
      <c r="W300" s="424" t="str">
        <f>IF(ISBLANK(A300),"",VLOOKUP(A300,'KY Taxcodes'!$A:$B,2,FALSE))</f>
        <v/>
      </c>
    </row>
    <row r="301" spans="1:23" ht="15" customHeight="1">
      <c r="C301" s="417" t="s">
        <v>1532</v>
      </c>
      <c r="D301" s="433" t="s">
        <v>1791</v>
      </c>
      <c r="E301" s="433"/>
      <c r="G301" s="416" t="s">
        <v>1790</v>
      </c>
      <c r="I301" s="415" t="s">
        <v>1543</v>
      </c>
      <c r="J301" s="415" t="s">
        <v>1543</v>
      </c>
      <c r="K301" s="415" t="s">
        <v>1543</v>
      </c>
      <c r="L301" s="415"/>
      <c r="M301" s="415" t="s">
        <v>1543</v>
      </c>
      <c r="N301" s="415" t="s">
        <v>1529</v>
      </c>
      <c r="O301" s="415" t="s">
        <v>1543</v>
      </c>
      <c r="P301" s="415" t="s">
        <v>1529</v>
      </c>
      <c r="R301" s="434">
        <v>5</v>
      </c>
      <c r="S301" s="434"/>
      <c r="U301" s="422">
        <f t="shared" si="10"/>
        <v>0.1</v>
      </c>
      <c r="V301" s="422">
        <f t="shared" si="11"/>
        <v>0.11499999999999999</v>
      </c>
      <c r="W301" s="424" t="str">
        <f>IF(ISBLANK(A301),"",VLOOKUP(A301,'KY Taxcodes'!$A:$B,2,FALSE))</f>
        <v/>
      </c>
    </row>
    <row r="302" spans="1:23" ht="15" customHeight="1">
      <c r="A302" s="416" t="s">
        <v>1789</v>
      </c>
      <c r="B302" s="416"/>
      <c r="C302" s="417" t="s">
        <v>1532</v>
      </c>
      <c r="D302" s="433" t="s">
        <v>1788</v>
      </c>
      <c r="E302" s="433"/>
      <c r="G302" s="416" t="s">
        <v>1787</v>
      </c>
      <c r="I302" s="415" t="s">
        <v>1543</v>
      </c>
      <c r="J302" s="415" t="s">
        <v>1543</v>
      </c>
      <c r="K302" s="415" t="s">
        <v>1543</v>
      </c>
      <c r="L302" s="415"/>
      <c r="M302" s="415" t="s">
        <v>1543</v>
      </c>
      <c r="N302" s="415" t="s">
        <v>1543</v>
      </c>
      <c r="O302" s="415" t="s">
        <v>1543</v>
      </c>
      <c r="P302" s="415" t="s">
        <v>1543</v>
      </c>
      <c r="U302" s="422">
        <f t="shared" si="10"/>
        <v>0.1</v>
      </c>
      <c r="V302" s="422">
        <f t="shared" si="11"/>
        <v>0.11499999999999999</v>
      </c>
      <c r="W302" s="424" t="str">
        <f>IF(ISBLANK(A302),"",VLOOKUP(A302,'KY Taxcodes'!$A:$B,2,FALSE))</f>
        <v>Tax charge shall not apply to insurance purchased by the city.</v>
      </c>
    </row>
    <row r="303" spans="1:23" ht="15" customHeight="1">
      <c r="C303" s="417" t="s">
        <v>1532</v>
      </c>
      <c r="D303" s="433" t="s">
        <v>1786</v>
      </c>
      <c r="E303" s="433"/>
      <c r="G303" s="416" t="s">
        <v>1785</v>
      </c>
      <c r="I303" s="415" t="s">
        <v>1528</v>
      </c>
      <c r="J303" s="415" t="s">
        <v>1528</v>
      </c>
      <c r="K303" s="415" t="s">
        <v>1528</v>
      </c>
      <c r="L303" s="415"/>
      <c r="M303" s="415" t="s">
        <v>1528</v>
      </c>
      <c r="N303" s="415" t="s">
        <v>1528</v>
      </c>
      <c r="O303" s="415" t="s">
        <v>1528</v>
      </c>
      <c r="P303" s="415" t="s">
        <v>1528</v>
      </c>
      <c r="U303" s="422">
        <f t="shared" si="10"/>
        <v>0.08</v>
      </c>
      <c r="V303" s="422">
        <f t="shared" si="11"/>
        <v>9.1999999999999998E-2</v>
      </c>
      <c r="W303" s="424" t="str">
        <f>IF(ISBLANK(A303),"",VLOOKUP(A303,'KY Taxcodes'!$A:$B,2,FALSE))</f>
        <v/>
      </c>
    </row>
    <row r="304" spans="1:23" ht="15" customHeight="1">
      <c r="C304" s="417" t="s">
        <v>1532</v>
      </c>
      <c r="D304" s="433" t="s">
        <v>1784</v>
      </c>
      <c r="E304" s="433"/>
      <c r="G304" s="416" t="s">
        <v>1783</v>
      </c>
      <c r="I304" s="415" t="s">
        <v>1533</v>
      </c>
      <c r="J304" s="415" t="s">
        <v>1533</v>
      </c>
      <c r="K304" s="415" t="s">
        <v>1533</v>
      </c>
      <c r="L304" s="415"/>
      <c r="M304" s="415" t="s">
        <v>1533</v>
      </c>
      <c r="N304" s="415" t="s">
        <v>1529</v>
      </c>
      <c r="O304" s="415" t="s">
        <v>1529</v>
      </c>
      <c r="P304" s="415" t="s">
        <v>1533</v>
      </c>
      <c r="U304" s="422">
        <f t="shared" si="10"/>
        <v>0.05</v>
      </c>
      <c r="V304" s="422">
        <f t="shared" si="11"/>
        <v>5.7499999999999996E-2</v>
      </c>
      <c r="W304" s="424" t="str">
        <f>IF(ISBLANK(A304),"",VLOOKUP(A304,'KY Taxcodes'!$A:$B,2,FALSE))</f>
        <v/>
      </c>
    </row>
    <row r="305" spans="1:23" ht="15" customHeight="1">
      <c r="C305" s="417" t="s">
        <v>1532</v>
      </c>
      <c r="D305" s="433" t="s">
        <v>1782</v>
      </c>
      <c r="E305" s="433"/>
      <c r="G305" s="416" t="s">
        <v>1781</v>
      </c>
      <c r="I305" s="415" t="s">
        <v>1533</v>
      </c>
      <c r="J305" s="415" t="s">
        <v>1533</v>
      </c>
      <c r="K305" s="415" t="s">
        <v>1533</v>
      </c>
      <c r="L305" s="415"/>
      <c r="M305" s="415" t="s">
        <v>1533</v>
      </c>
      <c r="N305" s="415" t="s">
        <v>1533</v>
      </c>
      <c r="O305" s="415" t="s">
        <v>1533</v>
      </c>
      <c r="P305" s="415" t="s">
        <v>1533</v>
      </c>
      <c r="U305" s="422">
        <f t="shared" si="10"/>
        <v>0.05</v>
      </c>
      <c r="V305" s="422">
        <f t="shared" si="11"/>
        <v>5.7499999999999996E-2</v>
      </c>
      <c r="W305" s="424" t="str">
        <f>IF(ISBLANK(A305),"",VLOOKUP(A305,'KY Taxcodes'!$A:$B,2,FALSE))</f>
        <v/>
      </c>
    </row>
    <row r="306" spans="1:23" ht="15" customHeight="1">
      <c r="C306" s="417" t="s">
        <v>1532</v>
      </c>
      <c r="D306" s="433" t="s">
        <v>1780</v>
      </c>
      <c r="E306" s="433"/>
      <c r="G306" s="416" t="s">
        <v>1779</v>
      </c>
      <c r="I306" s="415" t="s">
        <v>1543</v>
      </c>
      <c r="J306" s="415" t="s">
        <v>1543</v>
      </c>
      <c r="K306" s="415" t="s">
        <v>1543</v>
      </c>
      <c r="L306" s="415"/>
      <c r="M306" s="415" t="s">
        <v>1543</v>
      </c>
      <c r="N306" s="415" t="s">
        <v>1543</v>
      </c>
      <c r="O306" s="415" t="s">
        <v>1543</v>
      </c>
      <c r="P306" s="415" t="s">
        <v>1543</v>
      </c>
      <c r="R306" s="434">
        <v>5</v>
      </c>
      <c r="S306" s="434"/>
      <c r="U306" s="422">
        <f t="shared" si="10"/>
        <v>0.1</v>
      </c>
      <c r="V306" s="422">
        <f t="shared" si="11"/>
        <v>0.11499999999999999</v>
      </c>
      <c r="W306" s="424" t="str">
        <f>IF(ISBLANK(A306),"",VLOOKUP(A306,'KY Taxcodes'!$A:$B,2,FALSE))</f>
        <v/>
      </c>
    </row>
    <row r="307" spans="1:23" ht="15" customHeight="1">
      <c r="C307" s="417" t="s">
        <v>1532</v>
      </c>
      <c r="D307" s="433" t="s">
        <v>1778</v>
      </c>
      <c r="E307" s="433"/>
      <c r="G307" s="416" t="s">
        <v>1777</v>
      </c>
      <c r="I307" s="415" t="s">
        <v>1533</v>
      </c>
      <c r="J307" s="415" t="s">
        <v>1533</v>
      </c>
      <c r="K307" s="415" t="s">
        <v>1533</v>
      </c>
      <c r="L307" s="415"/>
      <c r="M307" s="415" t="s">
        <v>1533</v>
      </c>
      <c r="N307" s="415" t="s">
        <v>1529</v>
      </c>
      <c r="O307" s="415" t="s">
        <v>1529</v>
      </c>
      <c r="P307" s="415" t="s">
        <v>1533</v>
      </c>
      <c r="U307" s="422">
        <f t="shared" si="10"/>
        <v>0.05</v>
      </c>
      <c r="V307" s="422">
        <f t="shared" si="11"/>
        <v>5.7499999999999996E-2</v>
      </c>
      <c r="W307" s="424" t="str">
        <f>IF(ISBLANK(A307),"",VLOOKUP(A307,'KY Taxcodes'!$A:$B,2,FALSE))</f>
        <v/>
      </c>
    </row>
    <row r="308" spans="1:23" ht="15" customHeight="1">
      <c r="A308" s="416" t="s">
        <v>40</v>
      </c>
      <c r="B308" s="416"/>
      <c r="C308" s="417" t="s">
        <v>1532</v>
      </c>
      <c r="D308" s="433" t="s">
        <v>1776</v>
      </c>
      <c r="E308" s="433"/>
      <c r="G308" s="416" t="s">
        <v>1775</v>
      </c>
      <c r="I308" s="415" t="s">
        <v>1622</v>
      </c>
      <c r="J308" s="415" t="s">
        <v>1622</v>
      </c>
      <c r="K308" s="415" t="s">
        <v>1622</v>
      </c>
      <c r="L308" s="415"/>
      <c r="M308" s="415" t="s">
        <v>1622</v>
      </c>
      <c r="N308" s="415" t="s">
        <v>1622</v>
      </c>
      <c r="O308" s="415" t="s">
        <v>1622</v>
      </c>
      <c r="P308" s="415" t="s">
        <v>1622</v>
      </c>
      <c r="U308" s="422">
        <f t="shared" si="10"/>
        <v>0.09</v>
      </c>
      <c r="V308" s="422">
        <f t="shared" si="11"/>
        <v>0.10349999999999999</v>
      </c>
      <c r="W308" s="424" t="str">
        <f>IF(ISBLANK(A308),"",VLOOKUP(A308,'KY Taxcodes'!$A:$B,2,FALSE))</f>
        <v>Tax charge shall not include premiums paid on property or risks owned by the city; structures actually used as churches, places of worship or parsonages; all high schools and elementary schools whether public, church or private.</v>
      </c>
    </row>
    <row r="309" spans="1:23" ht="15" customHeight="1">
      <c r="C309" s="417" t="s">
        <v>1532</v>
      </c>
      <c r="D309" s="433" t="s">
        <v>1774</v>
      </c>
      <c r="E309" s="433"/>
      <c r="G309" s="416" t="s">
        <v>1773</v>
      </c>
      <c r="I309" s="415" t="s">
        <v>1533</v>
      </c>
      <c r="J309" s="415" t="s">
        <v>1533</v>
      </c>
      <c r="K309" s="415" t="s">
        <v>1533</v>
      </c>
      <c r="L309" s="415"/>
      <c r="M309" s="415" t="s">
        <v>1533</v>
      </c>
      <c r="N309" s="415" t="s">
        <v>1529</v>
      </c>
      <c r="O309" s="415" t="s">
        <v>1533</v>
      </c>
      <c r="P309" s="415" t="s">
        <v>1533</v>
      </c>
      <c r="U309" s="422">
        <f t="shared" si="10"/>
        <v>0.05</v>
      </c>
      <c r="V309" s="422">
        <f t="shared" si="11"/>
        <v>5.7499999999999996E-2</v>
      </c>
      <c r="W309" s="424" t="str">
        <f>IF(ISBLANK(A309),"",VLOOKUP(A309,'KY Taxcodes'!$A:$B,2,FALSE))</f>
        <v/>
      </c>
    </row>
    <row r="310" spans="1:23" ht="15" customHeight="1">
      <c r="A310" s="416" t="s">
        <v>1583</v>
      </c>
      <c r="B310" s="416"/>
      <c r="C310" s="417" t="s">
        <v>1582</v>
      </c>
      <c r="D310" s="433" t="s">
        <v>1772</v>
      </c>
      <c r="E310" s="433"/>
      <c r="G310" s="416" t="s">
        <v>1771</v>
      </c>
      <c r="I310" s="415" t="s">
        <v>1528</v>
      </c>
      <c r="J310" s="415" t="s">
        <v>1528</v>
      </c>
      <c r="K310" s="415" t="s">
        <v>1528</v>
      </c>
      <c r="L310" s="415"/>
      <c r="M310" s="415" t="s">
        <v>1528</v>
      </c>
      <c r="N310" s="415" t="s">
        <v>1528</v>
      </c>
      <c r="O310" s="415" t="s">
        <v>1529</v>
      </c>
      <c r="P310" s="415" t="s">
        <v>1528</v>
      </c>
      <c r="U310" s="422">
        <f t="shared" si="10"/>
        <v>0.08</v>
      </c>
      <c r="V310" s="422">
        <f t="shared" si="11"/>
        <v>9.1999999999999998E-2</v>
      </c>
      <c r="W310" s="424" t="str">
        <f>IF(ISBLANK(A310),"",VLOOKUP(A310,'KY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11" spans="1:23" ht="15" customHeight="1">
      <c r="C311" s="417" t="s">
        <v>1532</v>
      </c>
      <c r="D311" s="433" t="s">
        <v>1770</v>
      </c>
      <c r="E311" s="433"/>
      <c r="G311" s="416" t="s">
        <v>1769</v>
      </c>
      <c r="I311" s="415" t="s">
        <v>1536</v>
      </c>
      <c r="J311" s="415" t="s">
        <v>1536</v>
      </c>
      <c r="K311" s="415" t="s">
        <v>1536</v>
      </c>
      <c r="L311" s="415"/>
      <c r="M311" s="415" t="s">
        <v>1536</v>
      </c>
      <c r="N311" s="415" t="s">
        <v>1536</v>
      </c>
      <c r="O311" s="415" t="s">
        <v>1536</v>
      </c>
      <c r="P311" s="415" t="s">
        <v>1536</v>
      </c>
      <c r="U311" s="422">
        <f t="shared" si="10"/>
        <v>0.06</v>
      </c>
      <c r="V311" s="422">
        <f t="shared" si="11"/>
        <v>6.8999999999999992E-2</v>
      </c>
      <c r="W311" s="424" t="str">
        <f>IF(ISBLANK(A311),"",VLOOKUP(A311,'KY Taxcodes'!$A:$B,2,FALSE))</f>
        <v/>
      </c>
    </row>
    <row r="312" spans="1:23" ht="15" customHeight="1">
      <c r="C312" s="417" t="s">
        <v>1532</v>
      </c>
      <c r="D312" s="433" t="s">
        <v>1768</v>
      </c>
      <c r="E312" s="433"/>
      <c r="G312" s="416" t="s">
        <v>1767</v>
      </c>
      <c r="I312" s="415" t="s">
        <v>1528</v>
      </c>
      <c r="J312" s="415" t="s">
        <v>1528</v>
      </c>
      <c r="K312" s="415" t="s">
        <v>1528</v>
      </c>
      <c r="L312" s="415"/>
      <c r="M312" s="415" t="s">
        <v>1528</v>
      </c>
      <c r="N312" s="415" t="s">
        <v>1528</v>
      </c>
      <c r="O312" s="415" t="s">
        <v>1528</v>
      </c>
      <c r="P312" s="415" t="s">
        <v>1528</v>
      </c>
      <c r="U312" s="422">
        <f t="shared" si="10"/>
        <v>0.08</v>
      </c>
      <c r="V312" s="422">
        <f t="shared" si="11"/>
        <v>9.1999999999999998E-2</v>
      </c>
      <c r="W312" s="424" t="str">
        <f>IF(ISBLANK(A312),"",VLOOKUP(A312,'KY Taxcodes'!$A:$B,2,FALSE))</f>
        <v/>
      </c>
    </row>
    <row r="313" spans="1:23" ht="15" customHeight="1">
      <c r="C313" s="417" t="s">
        <v>1532</v>
      </c>
      <c r="D313" s="433" t="s">
        <v>1766</v>
      </c>
      <c r="E313" s="433"/>
      <c r="G313" s="416" t="s">
        <v>1765</v>
      </c>
      <c r="I313" s="415" t="s">
        <v>1550</v>
      </c>
      <c r="J313" s="415" t="s">
        <v>1550</v>
      </c>
      <c r="K313" s="415" t="s">
        <v>1550</v>
      </c>
      <c r="L313" s="415"/>
      <c r="M313" s="415" t="s">
        <v>1550</v>
      </c>
      <c r="N313" s="415" t="s">
        <v>1550</v>
      </c>
      <c r="O313" s="415" t="s">
        <v>1533</v>
      </c>
      <c r="P313" s="415" t="s">
        <v>1550</v>
      </c>
      <c r="U313" s="422">
        <f t="shared" si="10"/>
        <v>7.0000000000000007E-2</v>
      </c>
      <c r="V313" s="422">
        <f t="shared" si="11"/>
        <v>8.0500000000000002E-2</v>
      </c>
      <c r="W313" s="424" t="str">
        <f>IF(ISBLANK(A313),"",VLOOKUP(A313,'KY Taxcodes'!$A:$B,2,FALSE))</f>
        <v/>
      </c>
    </row>
    <row r="314" spans="1:23" ht="15" customHeight="1">
      <c r="C314" s="417" t="s">
        <v>1532</v>
      </c>
      <c r="D314" s="433" t="s">
        <v>1764</v>
      </c>
      <c r="E314" s="433"/>
      <c r="G314" s="416" t="s">
        <v>1763</v>
      </c>
      <c r="I314" s="415" t="s">
        <v>1762</v>
      </c>
      <c r="J314" s="415" t="s">
        <v>1762</v>
      </c>
      <c r="K314" s="415" t="s">
        <v>1762</v>
      </c>
      <c r="L314" s="415"/>
      <c r="M314" s="415" t="s">
        <v>1762</v>
      </c>
      <c r="N314" s="415" t="s">
        <v>1529</v>
      </c>
      <c r="O314" s="415" t="s">
        <v>1529</v>
      </c>
      <c r="P314" s="415" t="s">
        <v>1762</v>
      </c>
      <c r="U314" s="422">
        <f t="shared" si="10"/>
        <v>7.4999999999999997E-2</v>
      </c>
      <c r="V314" s="422">
        <f t="shared" si="11"/>
        <v>8.6249999999999993E-2</v>
      </c>
      <c r="W314" s="424" t="str">
        <f>IF(ISBLANK(A314),"",VLOOKUP(A314,'KY Taxcodes'!$A:$B,2,FALSE))</f>
        <v/>
      </c>
    </row>
    <row r="315" spans="1:23" ht="15" customHeight="1">
      <c r="A315" s="416" t="s">
        <v>1761</v>
      </c>
      <c r="B315" s="416"/>
      <c r="C315" s="417" t="s">
        <v>1532</v>
      </c>
      <c r="D315" s="433" t="s">
        <v>1760</v>
      </c>
      <c r="E315" s="433"/>
      <c r="G315" s="416" t="s">
        <v>1759</v>
      </c>
      <c r="I315" s="415" t="s">
        <v>1758</v>
      </c>
      <c r="J315" s="415" t="s">
        <v>1758</v>
      </c>
      <c r="K315" s="415" t="s">
        <v>1758</v>
      </c>
      <c r="L315" s="415"/>
      <c r="M315" s="415" t="s">
        <v>1758</v>
      </c>
      <c r="N315" s="415" t="s">
        <v>1529</v>
      </c>
      <c r="O315" s="415" t="s">
        <v>1758</v>
      </c>
      <c r="P315" s="415" t="s">
        <v>1758</v>
      </c>
      <c r="R315" s="434">
        <v>5</v>
      </c>
      <c r="S315" s="434"/>
      <c r="U315" s="422">
        <f t="shared" si="10"/>
        <v>5.5E-2</v>
      </c>
      <c r="V315" s="422">
        <f t="shared" si="11"/>
        <v>6.3250000000000001E-2</v>
      </c>
      <c r="W315" s="531" t="s">
        <v>2757</v>
      </c>
    </row>
    <row r="316" spans="1:23" ht="15" customHeight="1">
      <c r="C316" s="417" t="s">
        <v>1532</v>
      </c>
      <c r="D316" s="433" t="s">
        <v>1757</v>
      </c>
      <c r="E316" s="433"/>
      <c r="G316" s="416" t="s">
        <v>1756</v>
      </c>
      <c r="I316" s="415" t="s">
        <v>1590</v>
      </c>
      <c r="J316" s="415" t="s">
        <v>1590</v>
      </c>
      <c r="K316" s="415" t="s">
        <v>1590</v>
      </c>
      <c r="L316" s="415"/>
      <c r="M316" s="415" t="s">
        <v>1590</v>
      </c>
      <c r="N316" s="415" t="s">
        <v>1590</v>
      </c>
      <c r="O316" s="415" t="s">
        <v>1590</v>
      </c>
      <c r="P316" s="415" t="s">
        <v>1590</v>
      </c>
      <c r="U316" s="422">
        <f t="shared" si="10"/>
        <v>0.12</v>
      </c>
      <c r="V316" s="422">
        <f t="shared" si="11"/>
        <v>0.13799999999999998</v>
      </c>
      <c r="W316" s="424" t="str">
        <f>IF(ISBLANK(A316),"",VLOOKUP(A316,'KY Taxcodes'!$A:$B,2,FALSE))</f>
        <v/>
      </c>
    </row>
    <row r="317" spans="1:23" ht="15" customHeight="1">
      <c r="A317" s="416" t="s">
        <v>1755</v>
      </c>
      <c r="B317" s="416"/>
      <c r="C317" s="417" t="s">
        <v>1532</v>
      </c>
      <c r="D317" s="433" t="s">
        <v>1754</v>
      </c>
      <c r="E317" s="433"/>
      <c r="G317" s="416" t="s">
        <v>1753</v>
      </c>
      <c r="I317" s="415" t="s">
        <v>1752</v>
      </c>
      <c r="J317" s="415" t="s">
        <v>1752</v>
      </c>
      <c r="K317" s="415" t="s">
        <v>1752</v>
      </c>
      <c r="L317" s="415"/>
      <c r="M317" s="415" t="s">
        <v>1752</v>
      </c>
      <c r="N317" s="415" t="s">
        <v>1529</v>
      </c>
      <c r="O317" s="415" t="s">
        <v>1529</v>
      </c>
      <c r="P317" s="415" t="s">
        <v>1752</v>
      </c>
      <c r="U317" s="422">
        <f t="shared" si="10"/>
        <v>0.11</v>
      </c>
      <c r="V317" s="422">
        <f t="shared" si="11"/>
        <v>0.1265</v>
      </c>
      <c r="W317" s="424" t="str">
        <f>IF(ISBLANK(A317),"",VLOOKUP(A317,'KY Taxcodes'!$A:$B,2,FALSE))</f>
        <v>Tax charge shall not include premiums received for insuring the city of Radcliff against any or all liability insurance for city owned property or vehicles.</v>
      </c>
    </row>
    <row r="318" spans="1:23" ht="15" customHeight="1">
      <c r="C318" s="417" t="s">
        <v>1532</v>
      </c>
      <c r="D318" s="433" t="s">
        <v>1751</v>
      </c>
      <c r="E318" s="433"/>
      <c r="G318" s="416" t="s">
        <v>1750</v>
      </c>
      <c r="I318" s="415" t="s">
        <v>1543</v>
      </c>
      <c r="J318" s="415" t="s">
        <v>1543</v>
      </c>
      <c r="K318" s="415" t="s">
        <v>1543</v>
      </c>
      <c r="L318" s="415"/>
      <c r="M318" s="415" t="s">
        <v>1543</v>
      </c>
      <c r="N318" s="415" t="s">
        <v>1543</v>
      </c>
      <c r="O318" s="415" t="s">
        <v>1543</v>
      </c>
      <c r="P318" s="415" t="s">
        <v>1543</v>
      </c>
      <c r="U318" s="422">
        <f t="shared" si="10"/>
        <v>0.1</v>
      </c>
      <c r="V318" s="422">
        <f t="shared" si="11"/>
        <v>0.11499999999999999</v>
      </c>
      <c r="W318" s="424" t="str">
        <f>IF(ISBLANK(A318),"",VLOOKUP(A318,'KY Taxcodes'!$A:$B,2,FALSE))</f>
        <v/>
      </c>
    </row>
    <row r="319" spans="1:23" ht="15" customHeight="1">
      <c r="C319" s="417" t="s">
        <v>1532</v>
      </c>
      <c r="D319" s="433" t="s">
        <v>1749</v>
      </c>
      <c r="E319" s="433"/>
      <c r="G319" s="416" t="s">
        <v>1748</v>
      </c>
      <c r="I319" s="415" t="s">
        <v>1533</v>
      </c>
      <c r="J319" s="415" t="s">
        <v>1533</v>
      </c>
      <c r="K319" s="415" t="s">
        <v>1533</v>
      </c>
      <c r="L319" s="415"/>
      <c r="M319" s="415" t="s">
        <v>1533</v>
      </c>
      <c r="N319" s="415" t="s">
        <v>1529</v>
      </c>
      <c r="O319" s="415" t="s">
        <v>1533</v>
      </c>
      <c r="P319" s="415" t="s">
        <v>1533</v>
      </c>
      <c r="U319" s="422">
        <f t="shared" si="10"/>
        <v>0.05</v>
      </c>
      <c r="V319" s="422">
        <f t="shared" si="11"/>
        <v>5.7499999999999996E-2</v>
      </c>
      <c r="W319" s="424" t="str">
        <f>IF(ISBLANK(A319),"",VLOOKUP(A319,'KY Taxcodes'!$A:$B,2,FALSE))</f>
        <v/>
      </c>
    </row>
    <row r="320" spans="1:23" ht="15" customHeight="1">
      <c r="A320" s="416" t="s">
        <v>1747</v>
      </c>
      <c r="B320" s="416"/>
      <c r="C320" s="417" t="s">
        <v>1532</v>
      </c>
      <c r="D320" s="433" t="s">
        <v>1746</v>
      </c>
      <c r="E320" s="433"/>
      <c r="G320" s="416" t="s">
        <v>1745</v>
      </c>
      <c r="I320" s="415" t="s">
        <v>1528</v>
      </c>
      <c r="J320" s="415" t="s">
        <v>1528</v>
      </c>
      <c r="K320" s="415" t="s">
        <v>1528</v>
      </c>
      <c r="L320" s="415"/>
      <c r="M320" s="415" t="s">
        <v>1528</v>
      </c>
      <c r="N320" s="415" t="s">
        <v>1528</v>
      </c>
      <c r="O320" s="415" t="s">
        <v>1528</v>
      </c>
      <c r="P320" s="415" t="s">
        <v>1528</v>
      </c>
      <c r="U320" s="422">
        <f t="shared" si="10"/>
        <v>0.08</v>
      </c>
      <c r="V320" s="422">
        <f t="shared" si="11"/>
        <v>9.1999999999999998E-2</v>
      </c>
      <c r="W320" s="424" t="str">
        <f>IF(ISBLANK(A320),"",VLOOKUP(A320,'KY Taxcodes'!$A:$B,2,FALSE))</f>
        <v>This city exempts all administrative agencies of that city.</v>
      </c>
    </row>
    <row r="321" spans="1:23" ht="15" customHeight="1">
      <c r="C321" s="417" t="s">
        <v>1532</v>
      </c>
      <c r="D321" s="433" t="s">
        <v>1744</v>
      </c>
      <c r="E321" s="433"/>
      <c r="G321" s="416" t="s">
        <v>1743</v>
      </c>
      <c r="I321" s="415" t="s">
        <v>1543</v>
      </c>
      <c r="J321" s="415" t="s">
        <v>1543</v>
      </c>
      <c r="K321" s="415" t="s">
        <v>1543</v>
      </c>
      <c r="L321" s="415"/>
      <c r="M321" s="415" t="s">
        <v>1543</v>
      </c>
      <c r="N321" s="415" t="s">
        <v>1529</v>
      </c>
      <c r="O321" s="415" t="s">
        <v>1543</v>
      </c>
      <c r="P321" s="415" t="s">
        <v>1543</v>
      </c>
      <c r="U321" s="422">
        <f t="shared" si="10"/>
        <v>0.1</v>
      </c>
      <c r="V321" s="422">
        <f t="shared" si="11"/>
        <v>0.11499999999999999</v>
      </c>
      <c r="W321" s="424" t="str">
        <f>IF(ISBLANK(A321),"",VLOOKUP(A321,'KY Taxcodes'!$A:$B,2,FALSE))</f>
        <v/>
      </c>
    </row>
    <row r="322" spans="1:23" ht="15" customHeight="1">
      <c r="C322" s="417" t="s">
        <v>1532</v>
      </c>
      <c r="D322" s="433" t="s">
        <v>1742</v>
      </c>
      <c r="E322" s="433"/>
      <c r="G322" s="416" t="s">
        <v>1741</v>
      </c>
      <c r="I322" s="415" t="s">
        <v>1533</v>
      </c>
      <c r="J322" s="415" t="s">
        <v>1533</v>
      </c>
      <c r="K322" s="415" t="s">
        <v>1533</v>
      </c>
      <c r="L322" s="415"/>
      <c r="M322" s="415" t="s">
        <v>1533</v>
      </c>
      <c r="N322" s="415" t="s">
        <v>1529</v>
      </c>
      <c r="O322" s="415" t="s">
        <v>1533</v>
      </c>
      <c r="P322" s="415" t="s">
        <v>1533</v>
      </c>
      <c r="U322" s="422">
        <f t="shared" si="10"/>
        <v>0.05</v>
      </c>
      <c r="V322" s="422">
        <f t="shared" si="11"/>
        <v>5.7499999999999996E-2</v>
      </c>
      <c r="W322" s="424" t="str">
        <f>IF(ISBLANK(A322),"",VLOOKUP(A322,'KY Taxcodes'!$A:$B,2,FALSE))</f>
        <v/>
      </c>
    </row>
    <row r="323" spans="1:23" ht="15" customHeight="1">
      <c r="A323" s="416" t="s">
        <v>1583</v>
      </c>
      <c r="B323" s="416"/>
      <c r="C323" s="417" t="s">
        <v>1532</v>
      </c>
      <c r="D323" s="433" t="s">
        <v>1740</v>
      </c>
      <c r="E323" s="433"/>
      <c r="G323" s="416" t="s">
        <v>1739</v>
      </c>
      <c r="I323" s="415" t="s">
        <v>1528</v>
      </c>
      <c r="J323" s="415" t="s">
        <v>1528</v>
      </c>
      <c r="K323" s="415" t="s">
        <v>1528</v>
      </c>
      <c r="L323" s="415"/>
      <c r="M323" s="415" t="s">
        <v>1528</v>
      </c>
      <c r="N323" s="415" t="s">
        <v>1528</v>
      </c>
      <c r="O323" s="415" t="s">
        <v>1528</v>
      </c>
      <c r="P323" s="415" t="s">
        <v>1528</v>
      </c>
      <c r="U323" s="422">
        <f t="shared" si="10"/>
        <v>0.08</v>
      </c>
      <c r="V323" s="422">
        <f t="shared" si="11"/>
        <v>9.1999999999999998E-2</v>
      </c>
      <c r="W323" s="424" t="str">
        <f>IF(ISBLANK(A323),"",VLOOKUP(A323,'KY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24" spans="1:23" ht="15" customHeight="1">
      <c r="A324" s="416" t="s">
        <v>1738</v>
      </c>
      <c r="B324" s="416"/>
      <c r="C324" s="417" t="s">
        <v>1532</v>
      </c>
      <c r="D324" s="433" t="s">
        <v>1737</v>
      </c>
      <c r="E324" s="433"/>
      <c r="G324" s="416" t="s">
        <v>1736</v>
      </c>
      <c r="I324" s="415" t="s">
        <v>1533</v>
      </c>
      <c r="J324" s="415" t="s">
        <v>1533</v>
      </c>
      <c r="K324" s="415" t="s">
        <v>1533</v>
      </c>
      <c r="L324" s="415"/>
      <c r="M324" s="415" t="s">
        <v>1533</v>
      </c>
      <c r="N324" s="415" t="s">
        <v>1529</v>
      </c>
      <c r="O324" s="415" t="s">
        <v>1529</v>
      </c>
      <c r="P324" s="415" t="s">
        <v>1533</v>
      </c>
      <c r="U324" s="422">
        <f t="shared" si="10"/>
        <v>0.05</v>
      </c>
      <c r="V324" s="422">
        <f t="shared" si="11"/>
        <v>5.7499999999999996E-2</v>
      </c>
      <c r="W324" s="424" t="str">
        <f>IF(ISBLANK(A324),"",VLOOKUP(A324,'KY Taxcodes'!$A:$B,2,FALSE))</f>
        <v>Excludes premiums received for: extended care policies, premiums for crop hail insurance, premiums for non-licensed farm equipment insurance, premiums for cargo or product liability insurance, premiums for malpractice insurance (all types), premiums for general liability insurance for umbrella and excess liability policy required to obtain licenses and permits to do interstate and intrastate transit of freight; and premiums for property and risk insurance for property owned by the county, city, churches, personages, schools, and fire departments.</v>
      </c>
    </row>
    <row r="325" spans="1:23" ht="15" customHeight="1">
      <c r="C325" s="417" t="s">
        <v>1532</v>
      </c>
      <c r="D325" s="433" t="s">
        <v>1735</v>
      </c>
      <c r="E325" s="433"/>
      <c r="G325" s="416" t="s">
        <v>1734</v>
      </c>
      <c r="I325" s="415" t="s">
        <v>1606</v>
      </c>
      <c r="J325" s="415" t="s">
        <v>1606</v>
      </c>
      <c r="K325" s="415" t="s">
        <v>1606</v>
      </c>
      <c r="L325" s="415"/>
      <c r="M325" s="415" t="s">
        <v>1606</v>
      </c>
      <c r="N325" s="415" t="s">
        <v>1529</v>
      </c>
      <c r="O325" s="415" t="s">
        <v>1529</v>
      </c>
      <c r="P325" s="415" t="s">
        <v>1606</v>
      </c>
      <c r="U325" s="422">
        <f t="shared" si="10"/>
        <v>0.04</v>
      </c>
      <c r="V325" s="422">
        <f t="shared" si="11"/>
        <v>4.5999999999999999E-2</v>
      </c>
      <c r="W325" s="424" t="str">
        <f>IF(ISBLANK(A325),"",VLOOKUP(A325,'KY Taxcodes'!$A:$B,2,FALSE))</f>
        <v/>
      </c>
    </row>
    <row r="326" spans="1:23" ht="15" customHeight="1">
      <c r="C326" s="417" t="s">
        <v>1532</v>
      </c>
      <c r="D326" s="433" t="s">
        <v>1733</v>
      </c>
      <c r="E326" s="433"/>
      <c r="G326" s="416" t="s">
        <v>1732</v>
      </c>
      <c r="I326" s="415" t="s">
        <v>1536</v>
      </c>
      <c r="J326" s="415" t="s">
        <v>1536</v>
      </c>
      <c r="K326" s="415" t="s">
        <v>1536</v>
      </c>
      <c r="L326" s="415"/>
      <c r="M326" s="415" t="s">
        <v>1536</v>
      </c>
      <c r="N326" s="415" t="s">
        <v>1536</v>
      </c>
      <c r="O326" s="415" t="s">
        <v>1536</v>
      </c>
      <c r="P326" s="415" t="s">
        <v>1536</v>
      </c>
      <c r="U326" s="422">
        <f t="shared" si="10"/>
        <v>0.06</v>
      </c>
      <c r="V326" s="422">
        <f t="shared" si="11"/>
        <v>6.8999999999999992E-2</v>
      </c>
      <c r="W326" s="424" t="str">
        <f>IF(ISBLANK(A326),"",VLOOKUP(A326,'KY Taxcodes'!$A:$B,2,FALSE))</f>
        <v/>
      </c>
    </row>
    <row r="327" spans="1:23" ht="15" customHeight="1">
      <c r="C327" s="417" t="s">
        <v>1532</v>
      </c>
      <c r="D327" s="433" t="s">
        <v>1731</v>
      </c>
      <c r="E327" s="433"/>
      <c r="G327" s="416" t="s">
        <v>1730</v>
      </c>
      <c r="I327" s="415" t="s">
        <v>1533</v>
      </c>
      <c r="J327" s="415" t="s">
        <v>1533</v>
      </c>
      <c r="K327" s="415" t="s">
        <v>1533</v>
      </c>
      <c r="L327" s="415"/>
      <c r="M327" s="415" t="s">
        <v>1533</v>
      </c>
      <c r="N327" s="415" t="s">
        <v>1529</v>
      </c>
      <c r="O327" s="415" t="s">
        <v>1533</v>
      </c>
      <c r="P327" s="415" t="s">
        <v>1533</v>
      </c>
      <c r="U327" s="422">
        <f t="shared" si="10"/>
        <v>0.05</v>
      </c>
      <c r="V327" s="422">
        <f t="shared" si="11"/>
        <v>5.7499999999999996E-2</v>
      </c>
      <c r="W327" s="424" t="str">
        <f>IF(ISBLANK(A327),"",VLOOKUP(A327,'KY Taxcodes'!$A:$B,2,FALSE))</f>
        <v/>
      </c>
    </row>
    <row r="328" spans="1:23" ht="15" customHeight="1">
      <c r="C328" s="417" t="s">
        <v>1532</v>
      </c>
      <c r="D328" s="433" t="s">
        <v>1729</v>
      </c>
      <c r="E328" s="433"/>
      <c r="G328" s="416" t="s">
        <v>1728</v>
      </c>
      <c r="I328" s="415" t="s">
        <v>1533</v>
      </c>
      <c r="J328" s="415" t="s">
        <v>1533</v>
      </c>
      <c r="K328" s="415" t="s">
        <v>1533</v>
      </c>
      <c r="L328" s="415"/>
      <c r="M328" s="415" t="s">
        <v>1533</v>
      </c>
      <c r="N328" s="415" t="s">
        <v>1533</v>
      </c>
      <c r="O328" s="415" t="s">
        <v>1533</v>
      </c>
      <c r="P328" s="415" t="s">
        <v>1533</v>
      </c>
      <c r="U328" s="422">
        <f t="shared" si="10"/>
        <v>0.05</v>
      </c>
      <c r="V328" s="422">
        <f t="shared" si="11"/>
        <v>5.7499999999999996E-2</v>
      </c>
      <c r="W328" s="424" t="str">
        <f>IF(ISBLANK(A328),"",VLOOKUP(A328,'KY Taxcodes'!$A:$B,2,FALSE))</f>
        <v/>
      </c>
    </row>
    <row r="329" spans="1:23" ht="15" customHeight="1">
      <c r="C329" s="417" t="s">
        <v>1532</v>
      </c>
      <c r="D329" s="433" t="s">
        <v>1727</v>
      </c>
      <c r="E329" s="433"/>
      <c r="G329" s="416" t="s">
        <v>1726</v>
      </c>
      <c r="I329" s="415" t="s">
        <v>1543</v>
      </c>
      <c r="J329" s="415" t="s">
        <v>1543</v>
      </c>
      <c r="K329" s="415" t="s">
        <v>1543</v>
      </c>
      <c r="L329" s="415"/>
      <c r="M329" s="415" t="s">
        <v>1543</v>
      </c>
      <c r="N329" s="415" t="s">
        <v>1543</v>
      </c>
      <c r="O329" s="415" t="s">
        <v>1543</v>
      </c>
      <c r="P329" s="415" t="s">
        <v>1543</v>
      </c>
      <c r="U329" s="422">
        <f t="shared" si="10"/>
        <v>0.1</v>
      </c>
      <c r="V329" s="422">
        <f t="shared" si="11"/>
        <v>0.11499999999999999</v>
      </c>
      <c r="W329" s="424" t="str">
        <f>IF(ISBLANK(A329),"",VLOOKUP(A329,'KY Taxcodes'!$A:$B,2,FALSE))</f>
        <v/>
      </c>
    </row>
    <row r="330" spans="1:23" ht="15" customHeight="1">
      <c r="A330" s="416" t="s">
        <v>1725</v>
      </c>
      <c r="B330" s="416"/>
      <c r="C330" s="417" t="s">
        <v>1532</v>
      </c>
      <c r="D330" s="433" t="s">
        <v>1724</v>
      </c>
      <c r="E330" s="433"/>
      <c r="G330" s="416" t="s">
        <v>1723</v>
      </c>
      <c r="I330" s="415" t="s">
        <v>1550</v>
      </c>
      <c r="J330" s="415" t="s">
        <v>1550</v>
      </c>
      <c r="K330" s="415" t="s">
        <v>1550</v>
      </c>
      <c r="L330" s="415"/>
      <c r="M330" s="415" t="s">
        <v>1550</v>
      </c>
      <c r="N330" s="415" t="s">
        <v>1529</v>
      </c>
      <c r="O330" s="415" t="s">
        <v>1529</v>
      </c>
      <c r="P330" s="415" t="s">
        <v>1550</v>
      </c>
      <c r="U330" s="422">
        <f t="shared" si="10"/>
        <v>7.0000000000000007E-2</v>
      </c>
      <c r="V330" s="422">
        <f t="shared" si="11"/>
        <v>8.0500000000000002E-2</v>
      </c>
      <c r="W330" s="424" t="str">
        <f>IF(ISBLANK(A330),"",VLOOKUP(A330,'KY Taxcodes'!$A:$B,2,FALSE))</f>
        <v>Any license fee or tax imposed upon premium receipts shall not include premiums received from churches or religious organizations.</v>
      </c>
    </row>
    <row r="331" spans="1:23" ht="15" customHeight="1">
      <c r="C331" s="417" t="s">
        <v>1532</v>
      </c>
      <c r="D331" s="433" t="s">
        <v>1722</v>
      </c>
      <c r="E331" s="433"/>
      <c r="G331" s="416" t="s">
        <v>1721</v>
      </c>
      <c r="I331" s="415" t="s">
        <v>1550</v>
      </c>
      <c r="J331" s="415" t="s">
        <v>1550</v>
      </c>
      <c r="K331" s="415" t="s">
        <v>1550</v>
      </c>
      <c r="L331" s="415"/>
      <c r="M331" s="415" t="s">
        <v>1550</v>
      </c>
      <c r="N331" s="415" t="s">
        <v>1550</v>
      </c>
      <c r="O331" s="415" t="s">
        <v>1550</v>
      </c>
      <c r="P331" s="415" t="s">
        <v>1550</v>
      </c>
      <c r="U331" s="422">
        <f t="shared" si="10"/>
        <v>7.0000000000000007E-2</v>
      </c>
      <c r="V331" s="422">
        <f t="shared" si="11"/>
        <v>8.0500000000000002E-2</v>
      </c>
      <c r="W331" s="424" t="str">
        <f>IF(ISBLANK(A331),"",VLOOKUP(A331,'KY Taxcodes'!$A:$B,2,FALSE))</f>
        <v/>
      </c>
    </row>
    <row r="332" spans="1:23" ht="15" customHeight="1">
      <c r="C332" s="417" t="s">
        <v>1532</v>
      </c>
      <c r="D332" s="433" t="s">
        <v>1720</v>
      </c>
      <c r="E332" s="433"/>
      <c r="G332" s="416" t="s">
        <v>1719</v>
      </c>
      <c r="I332" s="415" t="s">
        <v>1528</v>
      </c>
      <c r="J332" s="415" t="s">
        <v>1528</v>
      </c>
      <c r="K332" s="415" t="s">
        <v>1528</v>
      </c>
      <c r="L332" s="415"/>
      <c r="M332" s="415" t="s">
        <v>1528</v>
      </c>
      <c r="N332" s="415" t="s">
        <v>1528</v>
      </c>
      <c r="O332" s="415" t="s">
        <v>1528</v>
      </c>
      <c r="P332" s="415" t="s">
        <v>1528</v>
      </c>
      <c r="U332" s="422">
        <f t="shared" si="10"/>
        <v>0.08</v>
      </c>
      <c r="V332" s="422">
        <f t="shared" si="11"/>
        <v>9.1999999999999998E-2</v>
      </c>
      <c r="W332" s="424" t="str">
        <f>IF(ISBLANK(A332),"",VLOOKUP(A332,'KY Taxcodes'!$A:$B,2,FALSE))</f>
        <v/>
      </c>
    </row>
    <row r="333" spans="1:23" ht="15" customHeight="1">
      <c r="C333" s="417" t="s">
        <v>1532</v>
      </c>
      <c r="D333" s="433" t="s">
        <v>1718</v>
      </c>
      <c r="E333" s="433"/>
      <c r="G333" s="416" t="s">
        <v>1717</v>
      </c>
      <c r="I333" s="415" t="s">
        <v>1543</v>
      </c>
      <c r="J333" s="415" t="s">
        <v>1543</v>
      </c>
      <c r="K333" s="415" t="s">
        <v>1543</v>
      </c>
      <c r="L333" s="415"/>
      <c r="M333" s="415" t="s">
        <v>1543</v>
      </c>
      <c r="N333" s="415" t="s">
        <v>1543</v>
      </c>
      <c r="O333" s="415" t="s">
        <v>1543</v>
      </c>
      <c r="P333" s="415" t="s">
        <v>1543</v>
      </c>
      <c r="R333" s="434">
        <v>5</v>
      </c>
      <c r="S333" s="434"/>
      <c r="U333" s="422">
        <f t="shared" ref="U333:U396" si="12">VALUE(J333)</f>
        <v>0.1</v>
      </c>
      <c r="V333" s="422">
        <f t="shared" si="11"/>
        <v>0.11499999999999999</v>
      </c>
      <c r="W333" s="424" t="str">
        <f>IF(ISBLANK(A333),"",VLOOKUP(A333,'KY Taxcodes'!$A:$B,2,FALSE))</f>
        <v/>
      </c>
    </row>
    <row r="334" spans="1:23" ht="15" customHeight="1">
      <c r="A334" s="416" t="s">
        <v>607</v>
      </c>
      <c r="B334" s="416"/>
      <c r="C334" s="417" t="s">
        <v>1532</v>
      </c>
      <c r="D334" s="433" t="s">
        <v>1716</v>
      </c>
      <c r="E334" s="433"/>
      <c r="G334" s="416" t="s">
        <v>1715</v>
      </c>
      <c r="I334" s="415" t="s">
        <v>1528</v>
      </c>
      <c r="J334" s="415" t="s">
        <v>1528</v>
      </c>
      <c r="K334" s="415" t="s">
        <v>1528</v>
      </c>
      <c r="L334" s="415"/>
      <c r="M334" s="415" t="s">
        <v>1528</v>
      </c>
      <c r="N334" s="415" t="s">
        <v>1529</v>
      </c>
      <c r="O334" s="415" t="s">
        <v>1529</v>
      </c>
      <c r="P334" s="415" t="s">
        <v>1529</v>
      </c>
      <c r="U334" s="422">
        <f t="shared" si="12"/>
        <v>0.08</v>
      </c>
      <c r="V334" s="422">
        <f t="shared" si="11"/>
        <v>9.1999999999999998E-2</v>
      </c>
      <c r="W334" s="424" t="str">
        <f>IF(ISBLANK(A334),"",VLOOKUP(A334,'KY Taxcodes'!$A:$B,2,FALSE))</f>
        <v>Tax charge shall not apply to bonds; religious sects; nationally recognized charitable organizations; or on property owned by federal, state, county, or municipal governments.  The Magoffin County rescue squad shall be exempt from paying municipal insurance premium tax.</v>
      </c>
    </row>
    <row r="335" spans="1:23" ht="15" customHeight="1">
      <c r="C335" s="417" t="s">
        <v>1532</v>
      </c>
      <c r="D335" s="433" t="s">
        <v>1714</v>
      </c>
      <c r="E335" s="433"/>
      <c r="G335" s="416" t="s">
        <v>1713</v>
      </c>
      <c r="I335" s="415" t="s">
        <v>1533</v>
      </c>
      <c r="J335" s="415" t="s">
        <v>1533</v>
      </c>
      <c r="K335" s="415" t="s">
        <v>1533</v>
      </c>
      <c r="L335" s="415"/>
      <c r="M335" s="415" t="s">
        <v>1533</v>
      </c>
      <c r="N335" s="415" t="s">
        <v>1533</v>
      </c>
      <c r="O335" s="415" t="s">
        <v>1533</v>
      </c>
      <c r="P335" s="415" t="s">
        <v>1533</v>
      </c>
      <c r="U335" s="422">
        <f t="shared" si="12"/>
        <v>0.05</v>
      </c>
      <c r="V335" s="422">
        <f t="shared" si="11"/>
        <v>5.7499999999999996E-2</v>
      </c>
      <c r="W335" s="424" t="str">
        <f>IF(ISBLANK(A335),"",VLOOKUP(A335,'KY Taxcodes'!$A:$B,2,FALSE))</f>
        <v/>
      </c>
    </row>
    <row r="336" spans="1:23" ht="15" customHeight="1">
      <c r="C336" s="417" t="s">
        <v>1532</v>
      </c>
      <c r="D336" s="433" t="s">
        <v>1712</v>
      </c>
      <c r="E336" s="433"/>
      <c r="G336" s="416" t="s">
        <v>1711</v>
      </c>
      <c r="I336" s="415" t="s">
        <v>1622</v>
      </c>
      <c r="J336" s="415" t="s">
        <v>1622</v>
      </c>
      <c r="K336" s="415" t="s">
        <v>1622</v>
      </c>
      <c r="L336" s="415"/>
      <c r="M336" s="415" t="s">
        <v>1622</v>
      </c>
      <c r="N336" s="415" t="s">
        <v>1622</v>
      </c>
      <c r="O336" s="415" t="s">
        <v>1622</v>
      </c>
      <c r="P336" s="415" t="s">
        <v>1622</v>
      </c>
      <c r="U336" s="422">
        <f t="shared" si="12"/>
        <v>0.09</v>
      </c>
      <c r="V336" s="422">
        <f t="shared" si="11"/>
        <v>0.10349999999999999</v>
      </c>
      <c r="W336" s="424" t="str">
        <f>IF(ISBLANK(A336),"",VLOOKUP(A336,'KY Taxcodes'!$A:$B,2,FALSE))</f>
        <v/>
      </c>
    </row>
    <row r="337" spans="1:23" ht="15" customHeight="1">
      <c r="A337" s="416" t="s">
        <v>1583</v>
      </c>
      <c r="B337" s="416"/>
      <c r="C337" s="417" t="s">
        <v>1582</v>
      </c>
      <c r="D337" s="433" t="s">
        <v>1710</v>
      </c>
      <c r="E337" s="433"/>
      <c r="G337" s="416" t="s">
        <v>1709</v>
      </c>
      <c r="I337" s="415" t="s">
        <v>1533</v>
      </c>
      <c r="J337" s="415" t="s">
        <v>1533</v>
      </c>
      <c r="K337" s="415" t="s">
        <v>1533</v>
      </c>
      <c r="L337" s="415"/>
      <c r="M337" s="415" t="s">
        <v>1533</v>
      </c>
      <c r="N337" s="415" t="s">
        <v>1533</v>
      </c>
      <c r="O337" s="415" t="s">
        <v>1533</v>
      </c>
      <c r="P337" s="415" t="s">
        <v>1533</v>
      </c>
      <c r="U337" s="422">
        <f t="shared" si="12"/>
        <v>0.05</v>
      </c>
      <c r="V337" s="422">
        <f t="shared" si="11"/>
        <v>5.7499999999999996E-2</v>
      </c>
      <c r="W337" s="424" t="str">
        <f>IF(ISBLANK(A337),"",VLOOKUP(A337,'KY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38" spans="1:23" ht="15" customHeight="1">
      <c r="C338" s="417" t="s">
        <v>1532</v>
      </c>
      <c r="D338" s="433" t="s">
        <v>1708</v>
      </c>
      <c r="E338" s="433"/>
      <c r="G338" s="416" t="s">
        <v>1707</v>
      </c>
      <c r="I338" s="415" t="s">
        <v>1550</v>
      </c>
      <c r="J338" s="415" t="s">
        <v>1550</v>
      </c>
      <c r="K338" s="415" t="s">
        <v>1550</v>
      </c>
      <c r="L338" s="415"/>
      <c r="M338" s="415" t="s">
        <v>1550</v>
      </c>
      <c r="N338" s="415" t="s">
        <v>1550</v>
      </c>
      <c r="O338" s="415" t="s">
        <v>1550</v>
      </c>
      <c r="P338" s="415" t="s">
        <v>1550</v>
      </c>
      <c r="U338" s="422">
        <f t="shared" si="12"/>
        <v>7.0000000000000007E-2</v>
      </c>
      <c r="V338" s="422">
        <f t="shared" si="11"/>
        <v>8.0500000000000002E-2</v>
      </c>
      <c r="W338" s="424" t="str">
        <f>IF(ISBLANK(A338),"",VLOOKUP(A338,'KY Taxcodes'!$A:$B,2,FALSE))</f>
        <v/>
      </c>
    </row>
    <row r="339" spans="1:23" ht="15" customHeight="1">
      <c r="C339" s="417" t="s">
        <v>1532</v>
      </c>
      <c r="D339" s="433" t="s">
        <v>1706</v>
      </c>
      <c r="E339" s="433"/>
      <c r="G339" s="416" t="s">
        <v>1705</v>
      </c>
      <c r="I339" s="415" t="s">
        <v>1550</v>
      </c>
      <c r="J339" s="415" t="s">
        <v>1550</v>
      </c>
      <c r="K339" s="415" t="s">
        <v>1550</v>
      </c>
      <c r="L339" s="415"/>
      <c r="M339" s="415" t="s">
        <v>1550</v>
      </c>
      <c r="N339" s="415" t="s">
        <v>1550</v>
      </c>
      <c r="O339" s="415" t="s">
        <v>1550</v>
      </c>
      <c r="P339" s="415" t="s">
        <v>1550</v>
      </c>
      <c r="R339" s="434">
        <v>5</v>
      </c>
      <c r="S339" s="434"/>
      <c r="U339" s="422">
        <f t="shared" si="12"/>
        <v>7.0000000000000007E-2</v>
      </c>
      <c r="V339" s="422">
        <f t="shared" si="11"/>
        <v>8.0500000000000002E-2</v>
      </c>
      <c r="W339" s="424" t="str">
        <f>IF(ISBLANK(A339),"",VLOOKUP(A339,'KY Taxcodes'!$A:$B,2,FALSE))</f>
        <v/>
      </c>
    </row>
    <row r="340" spans="1:23" ht="15" customHeight="1">
      <c r="C340" s="417" t="s">
        <v>1532</v>
      </c>
      <c r="D340" s="433" t="s">
        <v>1704</v>
      </c>
      <c r="E340" s="433"/>
      <c r="G340" s="416" t="s">
        <v>1703</v>
      </c>
      <c r="I340" s="415" t="s">
        <v>1533</v>
      </c>
      <c r="J340" s="415" t="s">
        <v>1533</v>
      </c>
      <c r="K340" s="415" t="s">
        <v>1533</v>
      </c>
      <c r="L340" s="415"/>
      <c r="M340" s="415" t="s">
        <v>1533</v>
      </c>
      <c r="N340" s="415" t="s">
        <v>1533</v>
      </c>
      <c r="O340" s="415" t="s">
        <v>1533</v>
      </c>
      <c r="P340" s="415" t="s">
        <v>1533</v>
      </c>
      <c r="U340" s="422">
        <f t="shared" si="12"/>
        <v>0.05</v>
      </c>
      <c r="V340" s="422">
        <f t="shared" si="11"/>
        <v>5.7499999999999996E-2</v>
      </c>
      <c r="W340" s="424" t="str">
        <f>IF(ISBLANK(A340),"",VLOOKUP(A340,'KY Taxcodes'!$A:$B,2,FALSE))</f>
        <v/>
      </c>
    </row>
    <row r="341" spans="1:23" ht="15" customHeight="1">
      <c r="C341" s="417" t="s">
        <v>1532</v>
      </c>
      <c r="D341" s="433" t="s">
        <v>1702</v>
      </c>
      <c r="E341" s="433"/>
      <c r="G341" s="416" t="s">
        <v>1701</v>
      </c>
      <c r="I341" s="415" t="s">
        <v>1533</v>
      </c>
      <c r="J341" s="415" t="s">
        <v>1533</v>
      </c>
      <c r="K341" s="415" t="s">
        <v>1533</v>
      </c>
      <c r="L341" s="415"/>
      <c r="M341" s="415" t="s">
        <v>1533</v>
      </c>
      <c r="N341" s="415" t="s">
        <v>1533</v>
      </c>
      <c r="O341" s="415" t="s">
        <v>1533</v>
      </c>
      <c r="P341" s="415" t="s">
        <v>1533</v>
      </c>
      <c r="U341" s="422">
        <f t="shared" si="12"/>
        <v>0.05</v>
      </c>
      <c r="V341" s="422">
        <f t="shared" si="11"/>
        <v>5.7499999999999996E-2</v>
      </c>
      <c r="W341" s="424" t="str">
        <f>IF(ISBLANK(A341),"",VLOOKUP(A341,'KY Taxcodes'!$A:$B,2,FALSE))</f>
        <v/>
      </c>
    </row>
    <row r="342" spans="1:23" ht="15" customHeight="1">
      <c r="C342" s="417" t="s">
        <v>1532</v>
      </c>
      <c r="D342" s="433" t="s">
        <v>1700</v>
      </c>
      <c r="E342" s="433"/>
      <c r="G342" s="416" t="s">
        <v>1699</v>
      </c>
      <c r="I342" s="415" t="s">
        <v>1533</v>
      </c>
      <c r="J342" s="415" t="s">
        <v>1533</v>
      </c>
      <c r="K342" s="415" t="s">
        <v>1533</v>
      </c>
      <c r="L342" s="415"/>
      <c r="M342" s="415" t="s">
        <v>1533</v>
      </c>
      <c r="N342" s="415" t="s">
        <v>1529</v>
      </c>
      <c r="O342" s="415" t="s">
        <v>1529</v>
      </c>
      <c r="P342" s="415" t="s">
        <v>1533</v>
      </c>
      <c r="U342" s="422">
        <f t="shared" si="12"/>
        <v>0.05</v>
      </c>
      <c r="V342" s="422">
        <f t="shared" si="11"/>
        <v>5.7499999999999996E-2</v>
      </c>
      <c r="W342" s="424" t="str">
        <f>IF(ISBLANK(A342),"",VLOOKUP(A342,'KY Taxcodes'!$A:$B,2,FALSE))</f>
        <v/>
      </c>
    </row>
    <row r="343" spans="1:23" ht="15" customHeight="1">
      <c r="C343" s="417" t="s">
        <v>1532</v>
      </c>
      <c r="D343" s="433" t="s">
        <v>1698</v>
      </c>
      <c r="E343" s="433"/>
      <c r="G343" s="416" t="s">
        <v>1697</v>
      </c>
      <c r="I343" s="415" t="s">
        <v>1543</v>
      </c>
      <c r="J343" s="415" t="s">
        <v>1543</v>
      </c>
      <c r="K343" s="415" t="s">
        <v>1543</v>
      </c>
      <c r="L343" s="415"/>
      <c r="M343" s="415" t="s">
        <v>1543</v>
      </c>
      <c r="N343" s="415" t="s">
        <v>1529</v>
      </c>
      <c r="O343" s="415" t="s">
        <v>1543</v>
      </c>
      <c r="P343" s="415" t="s">
        <v>1543</v>
      </c>
      <c r="U343" s="422">
        <f t="shared" si="12"/>
        <v>0.1</v>
      </c>
      <c r="V343" s="422">
        <f t="shared" si="11"/>
        <v>0.11499999999999999</v>
      </c>
      <c r="W343" s="424" t="str">
        <f>IF(ISBLANK(A343),"",VLOOKUP(A343,'KY Taxcodes'!$A:$B,2,FALSE))</f>
        <v/>
      </c>
    </row>
    <row r="344" spans="1:23" ht="15" customHeight="1">
      <c r="C344" s="417" t="s">
        <v>1532</v>
      </c>
      <c r="D344" s="433" t="s">
        <v>1696</v>
      </c>
      <c r="E344" s="433"/>
      <c r="G344" s="416" t="s">
        <v>1695</v>
      </c>
      <c r="I344" s="415" t="s">
        <v>1543</v>
      </c>
      <c r="J344" s="415" t="s">
        <v>1543</v>
      </c>
      <c r="K344" s="415" t="s">
        <v>1543</v>
      </c>
      <c r="L344" s="415"/>
      <c r="M344" s="415" t="s">
        <v>1543</v>
      </c>
      <c r="N344" s="415" t="s">
        <v>1529</v>
      </c>
      <c r="O344" s="415" t="s">
        <v>1543</v>
      </c>
      <c r="P344" s="415" t="s">
        <v>1543</v>
      </c>
      <c r="U344" s="422">
        <f t="shared" si="12"/>
        <v>0.1</v>
      </c>
      <c r="V344" s="422">
        <f t="shared" si="11"/>
        <v>0.11499999999999999</v>
      </c>
      <c r="W344" s="424" t="str">
        <f>IF(ISBLANK(A344),"",VLOOKUP(A344,'KY Taxcodes'!$A:$B,2,FALSE))</f>
        <v/>
      </c>
    </row>
    <row r="345" spans="1:23" ht="15" customHeight="1">
      <c r="C345" s="417" t="s">
        <v>1532</v>
      </c>
      <c r="D345" s="433" t="s">
        <v>1694</v>
      </c>
      <c r="E345" s="433"/>
      <c r="G345" s="416" t="s">
        <v>1693</v>
      </c>
      <c r="I345" s="415" t="s">
        <v>1533</v>
      </c>
      <c r="J345" s="415" t="s">
        <v>1533</v>
      </c>
      <c r="K345" s="415" t="s">
        <v>1533</v>
      </c>
      <c r="L345" s="415"/>
      <c r="M345" s="415" t="s">
        <v>1533</v>
      </c>
      <c r="N345" s="415" t="s">
        <v>1533</v>
      </c>
      <c r="O345" s="415" t="s">
        <v>1533</v>
      </c>
      <c r="P345" s="415" t="s">
        <v>1533</v>
      </c>
      <c r="U345" s="422">
        <f t="shared" si="12"/>
        <v>0.05</v>
      </c>
      <c r="V345" s="422">
        <f t="shared" si="11"/>
        <v>5.7499999999999996E-2</v>
      </c>
      <c r="W345" s="424" t="str">
        <f>IF(ISBLANK(A345),"",VLOOKUP(A345,'KY Taxcodes'!$A:$B,2,FALSE))</f>
        <v/>
      </c>
    </row>
    <row r="346" spans="1:23" ht="15" customHeight="1">
      <c r="C346" s="417" t="s">
        <v>1532</v>
      </c>
      <c r="D346" s="433" t="s">
        <v>1692</v>
      </c>
      <c r="E346" s="433"/>
      <c r="G346" s="416" t="s">
        <v>1691</v>
      </c>
      <c r="I346" s="415" t="s">
        <v>1533</v>
      </c>
      <c r="J346" s="415" t="s">
        <v>1533</v>
      </c>
      <c r="K346" s="415" t="s">
        <v>1533</v>
      </c>
      <c r="L346" s="415"/>
      <c r="M346" s="415" t="s">
        <v>1533</v>
      </c>
      <c r="N346" s="415" t="s">
        <v>1533</v>
      </c>
      <c r="O346" s="415" t="s">
        <v>1533</v>
      </c>
      <c r="P346" s="415" t="s">
        <v>1533</v>
      </c>
      <c r="U346" s="422">
        <f t="shared" si="12"/>
        <v>0.05</v>
      </c>
      <c r="V346" s="422">
        <f t="shared" si="11"/>
        <v>5.7499999999999996E-2</v>
      </c>
      <c r="W346" s="424" t="str">
        <f>IF(ISBLANK(A346),"",VLOOKUP(A346,'KY Taxcodes'!$A:$B,2,FALSE))</f>
        <v/>
      </c>
    </row>
    <row r="347" spans="1:23" ht="15" customHeight="1">
      <c r="C347" s="417" t="s">
        <v>1532</v>
      </c>
      <c r="D347" s="433" t="s">
        <v>1690</v>
      </c>
      <c r="E347" s="433"/>
      <c r="G347" s="416" t="s">
        <v>1689</v>
      </c>
      <c r="I347" s="415" t="s">
        <v>1688</v>
      </c>
      <c r="J347" s="415" t="s">
        <v>1688</v>
      </c>
      <c r="K347" s="415" t="s">
        <v>1688</v>
      </c>
      <c r="L347" s="415"/>
      <c r="M347" s="415" t="s">
        <v>1688</v>
      </c>
      <c r="N347" s="415" t="s">
        <v>1529</v>
      </c>
      <c r="O347" s="415" t="s">
        <v>1688</v>
      </c>
      <c r="P347" s="415" t="s">
        <v>1688</v>
      </c>
      <c r="U347" s="422">
        <f t="shared" si="12"/>
        <v>6.5000000000000002E-2</v>
      </c>
      <c r="V347" s="422">
        <f t="shared" si="11"/>
        <v>7.4749999999999997E-2</v>
      </c>
      <c r="W347" s="424" t="str">
        <f>IF(ISBLANK(A347),"",VLOOKUP(A347,'KY Taxcodes'!$A:$B,2,FALSE))</f>
        <v/>
      </c>
    </row>
    <row r="348" spans="1:23" ht="15" customHeight="1">
      <c r="C348" s="417" t="s">
        <v>1532</v>
      </c>
      <c r="D348" s="433" t="s">
        <v>1687</v>
      </c>
      <c r="E348" s="433"/>
      <c r="G348" s="416" t="s">
        <v>1686</v>
      </c>
      <c r="I348" s="415" t="s">
        <v>1536</v>
      </c>
      <c r="J348" s="415" t="s">
        <v>1536</v>
      </c>
      <c r="K348" s="415" t="s">
        <v>1536</v>
      </c>
      <c r="L348" s="415"/>
      <c r="M348" s="415" t="s">
        <v>1529</v>
      </c>
      <c r="N348" s="415" t="s">
        <v>1529</v>
      </c>
      <c r="O348" s="415" t="s">
        <v>1529</v>
      </c>
      <c r="P348" s="415" t="s">
        <v>1529</v>
      </c>
      <c r="U348" s="422">
        <f t="shared" si="12"/>
        <v>0.06</v>
      </c>
      <c r="V348" s="422">
        <f t="shared" ref="V348:V411" si="13">IF(ISBLANK($J348),"",IF($J348="none",0,IF($U348&gt;13.3%,$U348+2%,IF($U348&lt;=13.3%,$U348*1.15,$U348))))</f>
        <v>6.8999999999999992E-2</v>
      </c>
      <c r="W348" s="424" t="str">
        <f>IF(ISBLANK(A348),"",VLOOKUP(A348,'KY Taxcodes'!$A:$B,2,FALSE))</f>
        <v/>
      </c>
    </row>
    <row r="349" spans="1:23" ht="15" customHeight="1">
      <c r="C349" s="417" t="s">
        <v>1532</v>
      </c>
      <c r="D349" s="433" t="s">
        <v>1685</v>
      </c>
      <c r="E349" s="433"/>
      <c r="G349" s="416" t="s">
        <v>1684</v>
      </c>
      <c r="I349" s="415" t="s">
        <v>1550</v>
      </c>
      <c r="J349" s="415" t="s">
        <v>1550</v>
      </c>
      <c r="K349" s="415" t="s">
        <v>1550</v>
      </c>
      <c r="L349" s="415"/>
      <c r="M349" s="415" t="s">
        <v>1550</v>
      </c>
      <c r="N349" s="415" t="s">
        <v>1533</v>
      </c>
      <c r="O349" s="415" t="s">
        <v>1550</v>
      </c>
      <c r="P349" s="415" t="s">
        <v>1550</v>
      </c>
      <c r="U349" s="422">
        <f t="shared" si="12"/>
        <v>7.0000000000000007E-2</v>
      </c>
      <c r="V349" s="422">
        <f t="shared" si="13"/>
        <v>8.0500000000000002E-2</v>
      </c>
      <c r="W349" s="424" t="str">
        <f>IF(ISBLANK(A349),"",VLOOKUP(A349,'KY Taxcodes'!$A:$B,2,FALSE))</f>
        <v/>
      </c>
    </row>
    <row r="350" spans="1:23" ht="15" customHeight="1">
      <c r="C350" s="417" t="s">
        <v>1532</v>
      </c>
      <c r="D350" s="433" t="s">
        <v>1683</v>
      </c>
      <c r="E350" s="433"/>
      <c r="G350" s="416" t="s">
        <v>1682</v>
      </c>
      <c r="I350" s="415" t="s">
        <v>1536</v>
      </c>
      <c r="J350" s="415" t="s">
        <v>1536</v>
      </c>
      <c r="K350" s="415" t="s">
        <v>1536</v>
      </c>
      <c r="L350" s="415"/>
      <c r="M350" s="415" t="s">
        <v>1536</v>
      </c>
      <c r="N350" s="415" t="s">
        <v>1536</v>
      </c>
      <c r="O350" s="415" t="s">
        <v>1536</v>
      </c>
      <c r="P350" s="415" t="s">
        <v>1536</v>
      </c>
      <c r="R350" s="434">
        <v>5</v>
      </c>
      <c r="S350" s="434"/>
      <c r="U350" s="422">
        <f t="shared" si="12"/>
        <v>0.06</v>
      </c>
      <c r="V350" s="422">
        <f t="shared" si="13"/>
        <v>6.8999999999999992E-2</v>
      </c>
      <c r="W350" s="424" t="str">
        <f>IF(ISBLANK(A350),"",VLOOKUP(A350,'KY Taxcodes'!$A:$B,2,FALSE))</f>
        <v/>
      </c>
    </row>
    <row r="351" spans="1:23" ht="15" customHeight="1">
      <c r="C351" s="417" t="s">
        <v>1532</v>
      </c>
      <c r="D351" s="433" t="s">
        <v>1681</v>
      </c>
      <c r="E351" s="433"/>
      <c r="G351" s="416" t="s">
        <v>1680</v>
      </c>
      <c r="I351" s="415" t="s">
        <v>1536</v>
      </c>
      <c r="J351" s="415" t="s">
        <v>1536</v>
      </c>
      <c r="K351" s="415" t="s">
        <v>1536</v>
      </c>
      <c r="L351" s="415"/>
      <c r="M351" s="415" t="s">
        <v>1536</v>
      </c>
      <c r="N351" s="415" t="s">
        <v>1529</v>
      </c>
      <c r="O351" s="415" t="s">
        <v>1529</v>
      </c>
      <c r="P351" s="415" t="s">
        <v>1536</v>
      </c>
      <c r="U351" s="422">
        <f t="shared" si="12"/>
        <v>0.06</v>
      </c>
      <c r="V351" s="422">
        <f t="shared" si="13"/>
        <v>6.8999999999999992E-2</v>
      </c>
      <c r="W351" s="424" t="str">
        <f>IF(ISBLANK(A351),"",VLOOKUP(A351,'KY Taxcodes'!$A:$B,2,FALSE))</f>
        <v/>
      </c>
    </row>
    <row r="352" spans="1:23" ht="15" customHeight="1">
      <c r="C352" s="417" t="s">
        <v>1532</v>
      </c>
      <c r="D352" s="433" t="s">
        <v>1679</v>
      </c>
      <c r="E352" s="433"/>
      <c r="G352" s="416" t="s">
        <v>1678</v>
      </c>
      <c r="I352" s="415" t="s">
        <v>1543</v>
      </c>
      <c r="J352" s="415" t="s">
        <v>1543</v>
      </c>
      <c r="K352" s="415" t="s">
        <v>1543</v>
      </c>
      <c r="L352" s="415"/>
      <c r="M352" s="415" t="s">
        <v>1543</v>
      </c>
      <c r="N352" s="415" t="s">
        <v>1529</v>
      </c>
      <c r="O352" s="415" t="s">
        <v>1529</v>
      </c>
      <c r="P352" s="415" t="s">
        <v>1543</v>
      </c>
      <c r="U352" s="422">
        <f t="shared" si="12"/>
        <v>0.1</v>
      </c>
      <c r="V352" s="422">
        <f t="shared" si="13"/>
        <v>0.11499999999999999</v>
      </c>
      <c r="W352" s="424" t="str">
        <f>IF(ISBLANK(A352),"",VLOOKUP(A352,'KY Taxcodes'!$A:$B,2,FALSE))</f>
        <v/>
      </c>
    </row>
    <row r="353" spans="1:23" ht="15" customHeight="1">
      <c r="C353" s="417" t="s">
        <v>1532</v>
      </c>
      <c r="D353" s="433" t="s">
        <v>1677</v>
      </c>
      <c r="E353" s="433"/>
      <c r="G353" s="416" t="s">
        <v>1676</v>
      </c>
      <c r="I353" s="415" t="s">
        <v>1536</v>
      </c>
      <c r="J353" s="415" t="s">
        <v>1536</v>
      </c>
      <c r="K353" s="415" t="s">
        <v>1536</v>
      </c>
      <c r="L353" s="415"/>
      <c r="M353" s="415" t="s">
        <v>1536</v>
      </c>
      <c r="N353" s="415" t="s">
        <v>1529</v>
      </c>
      <c r="O353" s="415" t="s">
        <v>1536</v>
      </c>
      <c r="P353" s="415" t="s">
        <v>1536</v>
      </c>
      <c r="U353" s="422">
        <f t="shared" si="12"/>
        <v>0.06</v>
      </c>
      <c r="V353" s="422">
        <f t="shared" si="13"/>
        <v>6.8999999999999992E-2</v>
      </c>
      <c r="W353" s="424" t="str">
        <f>IF(ISBLANK(A353),"",VLOOKUP(A353,'KY Taxcodes'!$A:$B,2,FALSE))</f>
        <v/>
      </c>
    </row>
    <row r="354" spans="1:23" ht="15" customHeight="1">
      <c r="C354" s="417" t="s">
        <v>1532</v>
      </c>
      <c r="D354" s="433" t="s">
        <v>1675</v>
      </c>
      <c r="E354" s="433"/>
      <c r="G354" s="416" t="s">
        <v>1674</v>
      </c>
      <c r="I354" s="415" t="s">
        <v>1673</v>
      </c>
      <c r="J354" s="415" t="s">
        <v>1673</v>
      </c>
      <c r="K354" s="415" t="s">
        <v>1673</v>
      </c>
      <c r="L354" s="415"/>
      <c r="M354" s="415" t="s">
        <v>1673</v>
      </c>
      <c r="N354" s="415" t="s">
        <v>1529</v>
      </c>
      <c r="O354" s="415" t="s">
        <v>1529</v>
      </c>
      <c r="P354" s="415" t="s">
        <v>1673</v>
      </c>
      <c r="U354" s="422">
        <f t="shared" si="12"/>
        <v>0.03</v>
      </c>
      <c r="V354" s="422">
        <f t="shared" si="13"/>
        <v>3.4499999999999996E-2</v>
      </c>
      <c r="W354" s="424" t="str">
        <f>IF(ISBLANK(A354),"",VLOOKUP(A354,'KY Taxcodes'!$A:$B,2,FALSE))</f>
        <v/>
      </c>
    </row>
    <row r="355" spans="1:23" ht="15" customHeight="1">
      <c r="C355" s="417" t="s">
        <v>1532</v>
      </c>
      <c r="D355" s="433" t="s">
        <v>1672</v>
      </c>
      <c r="E355" s="433"/>
      <c r="G355" s="416" t="s">
        <v>1671</v>
      </c>
      <c r="I355" s="415" t="s">
        <v>1533</v>
      </c>
      <c r="J355" s="415" t="s">
        <v>1533</v>
      </c>
      <c r="K355" s="415" t="s">
        <v>1533</v>
      </c>
      <c r="L355" s="415"/>
      <c r="M355" s="415" t="s">
        <v>1533</v>
      </c>
      <c r="N355" s="415" t="s">
        <v>1529</v>
      </c>
      <c r="O355" s="415" t="s">
        <v>1533</v>
      </c>
      <c r="P355" s="415" t="s">
        <v>1533</v>
      </c>
      <c r="U355" s="422">
        <f t="shared" si="12"/>
        <v>0.05</v>
      </c>
      <c r="V355" s="422">
        <f t="shared" si="13"/>
        <v>5.7499999999999996E-2</v>
      </c>
      <c r="W355" s="424" t="str">
        <f>IF(ISBLANK(A355),"",VLOOKUP(A355,'KY Taxcodes'!$A:$B,2,FALSE))</f>
        <v/>
      </c>
    </row>
    <row r="356" spans="1:23" ht="15" customHeight="1">
      <c r="A356" s="416" t="s">
        <v>1609</v>
      </c>
      <c r="B356" s="416"/>
      <c r="C356" s="417" t="s">
        <v>1532</v>
      </c>
      <c r="D356" s="433" t="s">
        <v>1670</v>
      </c>
      <c r="E356" s="433"/>
      <c r="G356" s="416" t="s">
        <v>1669</v>
      </c>
      <c r="I356" s="415" t="s">
        <v>1536</v>
      </c>
      <c r="J356" s="415" t="s">
        <v>1536</v>
      </c>
      <c r="K356" s="415" t="s">
        <v>1536</v>
      </c>
      <c r="L356" s="415"/>
      <c r="M356" s="415" t="s">
        <v>1536</v>
      </c>
      <c r="N356" s="415" t="s">
        <v>1536</v>
      </c>
      <c r="O356" s="415" t="s">
        <v>1536</v>
      </c>
      <c r="P356" s="415" t="s">
        <v>1536</v>
      </c>
      <c r="U356" s="422">
        <f t="shared" si="12"/>
        <v>0.06</v>
      </c>
      <c r="V356" s="422">
        <f t="shared" si="13"/>
        <v>6.8999999999999992E-2</v>
      </c>
      <c r="W356" s="424" t="str">
        <f>IF(ISBLANK(A356),"",VLOOKUP(A356,'KY Taxcodes'!$A:$B,2,FALSE))</f>
        <v>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v>
      </c>
    </row>
    <row r="357" spans="1:23" ht="15" customHeight="1">
      <c r="A357" s="416" t="s">
        <v>1583</v>
      </c>
      <c r="B357" s="416"/>
      <c r="C357" s="417" t="s">
        <v>1582</v>
      </c>
      <c r="D357" s="433" t="s">
        <v>1668</v>
      </c>
      <c r="E357" s="433"/>
      <c r="G357" s="416" t="s">
        <v>1667</v>
      </c>
      <c r="I357" s="415" t="s">
        <v>1543</v>
      </c>
      <c r="J357" s="415" t="s">
        <v>1543</v>
      </c>
      <c r="K357" s="415" t="s">
        <v>1543</v>
      </c>
      <c r="L357" s="415"/>
      <c r="M357" s="415" t="s">
        <v>1543</v>
      </c>
      <c r="N357" s="415" t="s">
        <v>1529</v>
      </c>
      <c r="O357" s="415" t="s">
        <v>1529</v>
      </c>
      <c r="P357" s="415" t="s">
        <v>1543</v>
      </c>
      <c r="R357" s="434">
        <v>25</v>
      </c>
      <c r="S357" s="434"/>
      <c r="U357" s="422">
        <f t="shared" si="12"/>
        <v>0.1</v>
      </c>
      <c r="V357" s="422">
        <f t="shared" si="13"/>
        <v>0.11499999999999999</v>
      </c>
      <c r="W357" s="424" t="str">
        <f>IF(ISBLANK(A357),"",VLOOKUP(A357,'KY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58" spans="1:23" ht="15" customHeight="1">
      <c r="A358" s="416" t="s">
        <v>1666</v>
      </c>
      <c r="B358" s="416"/>
      <c r="C358" s="417" t="s">
        <v>1532</v>
      </c>
      <c r="D358" s="433" t="s">
        <v>1665</v>
      </c>
      <c r="E358" s="433"/>
      <c r="G358" s="416" t="s">
        <v>1664</v>
      </c>
      <c r="I358" s="415" t="s">
        <v>1533</v>
      </c>
      <c r="J358" s="415" t="s">
        <v>1533</v>
      </c>
      <c r="K358" s="415" t="s">
        <v>1533</v>
      </c>
      <c r="L358" s="415"/>
      <c r="M358" s="415" t="s">
        <v>1533</v>
      </c>
      <c r="N358" s="415" t="s">
        <v>1533</v>
      </c>
      <c r="O358" s="415" t="s">
        <v>1533</v>
      </c>
      <c r="P358" s="415" t="s">
        <v>1533</v>
      </c>
      <c r="U358" s="422">
        <f t="shared" si="12"/>
        <v>0.05</v>
      </c>
      <c r="V358" s="422">
        <f t="shared" si="13"/>
        <v>5.7499999999999996E-2</v>
      </c>
      <c r="W358" s="424" t="str">
        <f>IF(ISBLANK(A358),"",VLOOKUP(A358,'KY Taxcodes'!$A:$B,2,FALSE))</f>
        <v>The cities of Cherrywood Village, Fairmeade, Plymouth Village and Springlee were incorporated into the city of St. Matthews.</v>
      </c>
    </row>
    <row r="359" spans="1:23" ht="15" customHeight="1">
      <c r="C359" s="417" t="s">
        <v>1532</v>
      </c>
      <c r="D359" s="433" t="s">
        <v>1663</v>
      </c>
      <c r="E359" s="433"/>
      <c r="G359" s="416" t="s">
        <v>1662</v>
      </c>
      <c r="I359" s="415" t="s">
        <v>1533</v>
      </c>
      <c r="J359" s="415" t="s">
        <v>1533</v>
      </c>
      <c r="K359" s="415" t="s">
        <v>1533</v>
      </c>
      <c r="L359" s="415"/>
      <c r="M359" s="415" t="s">
        <v>1533</v>
      </c>
      <c r="N359" s="415" t="s">
        <v>1529</v>
      </c>
      <c r="O359" s="415" t="s">
        <v>1533</v>
      </c>
      <c r="P359" s="415" t="s">
        <v>1533</v>
      </c>
      <c r="U359" s="422">
        <f t="shared" si="12"/>
        <v>0.05</v>
      </c>
      <c r="V359" s="422">
        <f t="shared" si="13"/>
        <v>5.7499999999999996E-2</v>
      </c>
      <c r="W359" s="424" t="str">
        <f>IF(ISBLANK(A359),"",VLOOKUP(A359,'KY Taxcodes'!$A:$B,2,FALSE))</f>
        <v/>
      </c>
    </row>
    <row r="360" spans="1:23" ht="15" customHeight="1">
      <c r="C360" s="417" t="s">
        <v>1532</v>
      </c>
      <c r="D360" s="433" t="s">
        <v>1661</v>
      </c>
      <c r="E360" s="433"/>
      <c r="G360" s="416" t="s">
        <v>1660</v>
      </c>
      <c r="I360" s="415" t="s">
        <v>1536</v>
      </c>
      <c r="J360" s="415" t="s">
        <v>1536</v>
      </c>
      <c r="K360" s="415" t="s">
        <v>1536</v>
      </c>
      <c r="L360" s="415"/>
      <c r="M360" s="415" t="s">
        <v>1536</v>
      </c>
      <c r="N360" s="415" t="s">
        <v>1536</v>
      </c>
      <c r="O360" s="415" t="s">
        <v>1536</v>
      </c>
      <c r="P360" s="415" t="s">
        <v>1536</v>
      </c>
      <c r="U360" s="422">
        <f t="shared" si="12"/>
        <v>0.06</v>
      </c>
      <c r="V360" s="422">
        <f t="shared" si="13"/>
        <v>6.8999999999999992E-2</v>
      </c>
      <c r="W360" s="424" t="str">
        <f>IF(ISBLANK(A360),"",VLOOKUP(A360,'KY Taxcodes'!$A:$B,2,FALSE))</f>
        <v/>
      </c>
    </row>
    <row r="361" spans="1:23" ht="15" customHeight="1">
      <c r="C361" s="417" t="s">
        <v>1532</v>
      </c>
      <c r="D361" s="433" t="s">
        <v>1659</v>
      </c>
      <c r="E361" s="433"/>
      <c r="G361" s="416" t="s">
        <v>1658</v>
      </c>
      <c r="I361" s="415" t="s">
        <v>1622</v>
      </c>
      <c r="J361" s="415" t="s">
        <v>1622</v>
      </c>
      <c r="K361" s="415" t="s">
        <v>1622</v>
      </c>
      <c r="L361" s="415"/>
      <c r="M361" s="415" t="s">
        <v>1622</v>
      </c>
      <c r="N361" s="415" t="s">
        <v>1622</v>
      </c>
      <c r="O361" s="415" t="s">
        <v>1622</v>
      </c>
      <c r="P361" s="415" t="s">
        <v>1622</v>
      </c>
      <c r="U361" s="422">
        <f t="shared" si="12"/>
        <v>0.09</v>
      </c>
      <c r="V361" s="422">
        <f t="shared" si="13"/>
        <v>0.10349999999999999</v>
      </c>
      <c r="W361" s="424" t="str">
        <f>IF(ISBLANK(A361),"",VLOOKUP(A361,'KY Taxcodes'!$A:$B,2,FALSE))</f>
        <v/>
      </c>
    </row>
    <row r="362" spans="1:23" ht="15" customHeight="1">
      <c r="C362" s="417" t="s">
        <v>1532</v>
      </c>
      <c r="D362" s="433" t="s">
        <v>1657</v>
      </c>
      <c r="E362" s="433"/>
      <c r="G362" s="416" t="s">
        <v>1656</v>
      </c>
      <c r="I362" s="415" t="s">
        <v>1533</v>
      </c>
      <c r="J362" s="415" t="s">
        <v>1533</v>
      </c>
      <c r="K362" s="415" t="s">
        <v>1533</v>
      </c>
      <c r="L362" s="415"/>
      <c r="M362" s="415" t="s">
        <v>1533</v>
      </c>
      <c r="N362" s="415" t="s">
        <v>1533</v>
      </c>
      <c r="O362" s="415" t="s">
        <v>1533</v>
      </c>
      <c r="P362" s="415" t="s">
        <v>1533</v>
      </c>
      <c r="U362" s="422">
        <f t="shared" si="12"/>
        <v>0.05</v>
      </c>
      <c r="V362" s="422">
        <f t="shared" si="13"/>
        <v>5.7499999999999996E-2</v>
      </c>
      <c r="W362" s="424" t="str">
        <f>IF(ISBLANK(A362),"",VLOOKUP(A362,'KY Taxcodes'!$A:$B,2,FALSE))</f>
        <v/>
      </c>
    </row>
    <row r="363" spans="1:23" ht="15" customHeight="1">
      <c r="C363" s="417" t="s">
        <v>1532</v>
      </c>
      <c r="D363" s="433" t="s">
        <v>1655</v>
      </c>
      <c r="E363" s="433"/>
      <c r="G363" s="416" t="s">
        <v>1654</v>
      </c>
      <c r="I363" s="415" t="s">
        <v>1550</v>
      </c>
      <c r="J363" s="415" t="s">
        <v>1550</v>
      </c>
      <c r="K363" s="415" t="s">
        <v>1550</v>
      </c>
      <c r="L363" s="415"/>
      <c r="M363" s="415" t="s">
        <v>1550</v>
      </c>
      <c r="N363" s="415" t="s">
        <v>1550</v>
      </c>
      <c r="O363" s="415" t="s">
        <v>1550</v>
      </c>
      <c r="P363" s="415" t="s">
        <v>1550</v>
      </c>
      <c r="U363" s="422">
        <f t="shared" si="12"/>
        <v>7.0000000000000007E-2</v>
      </c>
      <c r="V363" s="422">
        <f t="shared" si="13"/>
        <v>8.0500000000000002E-2</v>
      </c>
      <c r="W363" s="424" t="str">
        <f>IF(ISBLANK(A363),"",VLOOKUP(A363,'KY Taxcodes'!$A:$B,2,FALSE))</f>
        <v/>
      </c>
    </row>
    <row r="364" spans="1:23" ht="15" customHeight="1">
      <c r="C364" s="417" t="s">
        <v>1532</v>
      </c>
      <c r="D364" s="433" t="s">
        <v>1653</v>
      </c>
      <c r="E364" s="433"/>
      <c r="G364" s="416" t="s">
        <v>1652</v>
      </c>
      <c r="I364" s="415" t="s">
        <v>1533</v>
      </c>
      <c r="J364" s="415" t="s">
        <v>1533</v>
      </c>
      <c r="K364" s="415" t="s">
        <v>1533</v>
      </c>
      <c r="L364" s="415"/>
      <c r="M364" s="415" t="s">
        <v>1533</v>
      </c>
      <c r="N364" s="415" t="s">
        <v>1533</v>
      </c>
      <c r="O364" s="415" t="s">
        <v>1533</v>
      </c>
      <c r="P364" s="415" t="s">
        <v>1533</v>
      </c>
      <c r="U364" s="422">
        <f t="shared" si="12"/>
        <v>0.05</v>
      </c>
      <c r="V364" s="422">
        <f t="shared" si="13"/>
        <v>5.7499999999999996E-2</v>
      </c>
      <c r="W364" s="424" t="str">
        <f>IF(ISBLANK(A364),"",VLOOKUP(A364,'KY Taxcodes'!$A:$B,2,FALSE))</f>
        <v/>
      </c>
    </row>
    <row r="365" spans="1:23" ht="15" customHeight="1">
      <c r="C365" s="417" t="s">
        <v>1532</v>
      </c>
      <c r="D365" s="433" t="s">
        <v>1651</v>
      </c>
      <c r="E365" s="433"/>
      <c r="G365" s="416" t="s">
        <v>1650</v>
      </c>
      <c r="I365" s="415" t="s">
        <v>1590</v>
      </c>
      <c r="J365" s="415" t="s">
        <v>1590</v>
      </c>
      <c r="K365" s="415" t="s">
        <v>1590</v>
      </c>
      <c r="L365" s="415"/>
      <c r="M365" s="415" t="s">
        <v>1590</v>
      </c>
      <c r="N365" s="415" t="s">
        <v>1590</v>
      </c>
      <c r="O365" s="415" t="s">
        <v>1590</v>
      </c>
      <c r="P365" s="415" t="s">
        <v>1590</v>
      </c>
      <c r="U365" s="422">
        <f t="shared" si="12"/>
        <v>0.12</v>
      </c>
      <c r="V365" s="422">
        <f t="shared" si="13"/>
        <v>0.13799999999999998</v>
      </c>
      <c r="W365" s="424" t="str">
        <f>IF(ISBLANK(A365),"",VLOOKUP(A365,'KY Taxcodes'!$A:$B,2,FALSE))</f>
        <v/>
      </c>
    </row>
    <row r="366" spans="1:23" ht="15" customHeight="1">
      <c r="C366" s="417" t="s">
        <v>1532</v>
      </c>
      <c r="D366" s="433" t="s">
        <v>1649</v>
      </c>
      <c r="E366" s="433"/>
      <c r="G366" s="416" t="s">
        <v>1648</v>
      </c>
      <c r="I366" s="415" t="s">
        <v>1528</v>
      </c>
      <c r="J366" s="415" t="s">
        <v>1528</v>
      </c>
      <c r="K366" s="415" t="s">
        <v>1528</v>
      </c>
      <c r="L366" s="415"/>
      <c r="M366" s="415" t="s">
        <v>1528</v>
      </c>
      <c r="N366" s="415" t="s">
        <v>1529</v>
      </c>
      <c r="O366" s="415" t="s">
        <v>1528</v>
      </c>
      <c r="P366" s="415" t="s">
        <v>1528</v>
      </c>
      <c r="U366" s="422">
        <f t="shared" si="12"/>
        <v>0.08</v>
      </c>
      <c r="V366" s="422">
        <f t="shared" si="13"/>
        <v>9.1999999999999998E-2</v>
      </c>
      <c r="W366" s="424" t="str">
        <f>IF(ISBLANK(A366),"",VLOOKUP(A366,'KY Taxcodes'!$A:$B,2,FALSE))</f>
        <v/>
      </c>
    </row>
    <row r="367" spans="1:23" ht="15" customHeight="1">
      <c r="C367" s="417" t="s">
        <v>1532</v>
      </c>
      <c r="D367" s="433" t="s">
        <v>1647</v>
      </c>
      <c r="E367" s="433"/>
      <c r="G367" s="416" t="s">
        <v>1646</v>
      </c>
      <c r="I367" s="415" t="s">
        <v>1528</v>
      </c>
      <c r="J367" s="415" t="s">
        <v>1528</v>
      </c>
      <c r="K367" s="415" t="s">
        <v>1528</v>
      </c>
      <c r="L367" s="415"/>
      <c r="M367" s="415" t="s">
        <v>1528</v>
      </c>
      <c r="N367" s="415" t="s">
        <v>1529</v>
      </c>
      <c r="O367" s="415" t="s">
        <v>1528</v>
      </c>
      <c r="P367" s="415" t="s">
        <v>1528</v>
      </c>
      <c r="U367" s="422">
        <f t="shared" si="12"/>
        <v>0.08</v>
      </c>
      <c r="V367" s="422">
        <f t="shared" si="13"/>
        <v>9.1999999999999998E-2</v>
      </c>
      <c r="W367" s="424" t="str">
        <f>IF(ISBLANK(A367),"",VLOOKUP(A367,'KY Taxcodes'!$A:$B,2,FALSE))</f>
        <v/>
      </c>
    </row>
    <row r="368" spans="1:23" ht="15" customHeight="1">
      <c r="C368" s="417" t="s">
        <v>1532</v>
      </c>
      <c r="D368" s="433" t="s">
        <v>1645</v>
      </c>
      <c r="E368" s="433"/>
      <c r="G368" s="416" t="s">
        <v>1644</v>
      </c>
      <c r="I368" s="415" t="s">
        <v>1550</v>
      </c>
      <c r="J368" s="415" t="s">
        <v>1550</v>
      </c>
      <c r="K368" s="415" t="s">
        <v>1550</v>
      </c>
      <c r="L368" s="415"/>
      <c r="M368" s="415" t="s">
        <v>1550</v>
      </c>
      <c r="N368" s="415" t="s">
        <v>1550</v>
      </c>
      <c r="O368" s="415" t="s">
        <v>1550</v>
      </c>
      <c r="P368" s="415" t="s">
        <v>1550</v>
      </c>
      <c r="R368" s="434">
        <v>5</v>
      </c>
      <c r="S368" s="434"/>
      <c r="U368" s="422">
        <f t="shared" si="12"/>
        <v>7.0000000000000007E-2</v>
      </c>
      <c r="V368" s="422">
        <f t="shared" si="13"/>
        <v>8.0500000000000002E-2</v>
      </c>
      <c r="W368" s="424" t="str">
        <f>IF(ISBLANK(A368),"",VLOOKUP(A368,'KY Taxcodes'!$A:$B,2,FALSE))</f>
        <v/>
      </c>
    </row>
    <row r="369" spans="1:23" ht="15" customHeight="1">
      <c r="C369" s="417" t="s">
        <v>1532</v>
      </c>
      <c r="D369" s="433" t="s">
        <v>1643</v>
      </c>
      <c r="E369" s="433"/>
      <c r="G369" s="416" t="s">
        <v>1642</v>
      </c>
      <c r="I369" s="415" t="s">
        <v>1533</v>
      </c>
      <c r="J369" s="415" t="s">
        <v>1533</v>
      </c>
      <c r="K369" s="415" t="s">
        <v>1533</v>
      </c>
      <c r="L369" s="415"/>
      <c r="M369" s="415" t="s">
        <v>1533</v>
      </c>
      <c r="N369" s="415" t="s">
        <v>1529</v>
      </c>
      <c r="O369" s="415" t="s">
        <v>1529</v>
      </c>
      <c r="P369" s="415" t="s">
        <v>1529</v>
      </c>
      <c r="U369" s="422">
        <f t="shared" si="12"/>
        <v>0.05</v>
      </c>
      <c r="V369" s="422">
        <f t="shared" si="13"/>
        <v>5.7499999999999996E-2</v>
      </c>
      <c r="W369" s="424" t="str">
        <f>IF(ISBLANK(A369),"",VLOOKUP(A369,'KY Taxcodes'!$A:$B,2,FALSE))</f>
        <v/>
      </c>
    </row>
    <row r="370" spans="1:23" ht="15" customHeight="1">
      <c r="C370" s="417" t="s">
        <v>1532</v>
      </c>
      <c r="D370" s="433" t="s">
        <v>1641</v>
      </c>
      <c r="E370" s="433"/>
      <c r="G370" s="416" t="s">
        <v>1640</v>
      </c>
      <c r="I370" s="415" t="s">
        <v>1533</v>
      </c>
      <c r="J370" s="415" t="s">
        <v>1533</v>
      </c>
      <c r="K370" s="415" t="s">
        <v>1533</v>
      </c>
      <c r="L370" s="415"/>
      <c r="M370" s="415" t="s">
        <v>1533</v>
      </c>
      <c r="N370" s="415" t="s">
        <v>1529</v>
      </c>
      <c r="O370" s="415" t="s">
        <v>1533</v>
      </c>
      <c r="P370" s="415" t="s">
        <v>1533</v>
      </c>
      <c r="U370" s="422">
        <f t="shared" si="12"/>
        <v>0.05</v>
      </c>
      <c r="V370" s="422">
        <f t="shared" si="13"/>
        <v>5.7499999999999996E-2</v>
      </c>
      <c r="W370" s="424" t="str">
        <f>IF(ISBLANK(A370),"",VLOOKUP(A370,'KY Taxcodes'!$A:$B,2,FALSE))</f>
        <v/>
      </c>
    </row>
    <row r="371" spans="1:23" ht="15" customHeight="1">
      <c r="A371" s="416" t="s">
        <v>592</v>
      </c>
      <c r="B371" s="416"/>
      <c r="C371" s="417" t="s">
        <v>1532</v>
      </c>
      <c r="D371" s="433" t="s">
        <v>1639</v>
      </c>
      <c r="E371" s="433"/>
      <c r="G371" s="416" t="s">
        <v>1638</v>
      </c>
      <c r="I371" s="415" t="s">
        <v>1536</v>
      </c>
      <c r="J371" s="415" t="s">
        <v>1536</v>
      </c>
      <c r="K371" s="415" t="s">
        <v>1536</v>
      </c>
      <c r="L371" s="415"/>
      <c r="M371" s="415" t="s">
        <v>1536</v>
      </c>
      <c r="N371" s="415" t="s">
        <v>1529</v>
      </c>
      <c r="O371" s="415" t="s">
        <v>1529</v>
      </c>
      <c r="P371" s="415" t="s">
        <v>1536</v>
      </c>
      <c r="U371" s="422">
        <f t="shared" si="12"/>
        <v>0.06</v>
      </c>
      <c r="V371" s="422">
        <f t="shared" si="13"/>
        <v>6.8999999999999992E-2</v>
      </c>
      <c r="W371" s="424" t="str">
        <f>IF(ISBLANK(A371),"",VLOOKUP(A371,'KY Taxcodes'!$A:$B,2,FALSE))</f>
        <v>Tax charge shall not apply to crop insurance.</v>
      </c>
    </row>
    <row r="372" spans="1:23" ht="15" customHeight="1">
      <c r="C372" s="417" t="s">
        <v>1532</v>
      </c>
      <c r="D372" s="433" t="s">
        <v>1637</v>
      </c>
      <c r="E372" s="433"/>
      <c r="G372" s="416" t="s">
        <v>1636</v>
      </c>
      <c r="I372" s="415" t="s">
        <v>1533</v>
      </c>
      <c r="J372" s="415" t="s">
        <v>1533</v>
      </c>
      <c r="K372" s="415" t="s">
        <v>1533</v>
      </c>
      <c r="L372" s="415"/>
      <c r="M372" s="415" t="s">
        <v>1533</v>
      </c>
      <c r="N372" s="415" t="s">
        <v>1533</v>
      </c>
      <c r="O372" s="415" t="s">
        <v>1533</v>
      </c>
      <c r="P372" s="415" t="s">
        <v>1533</v>
      </c>
      <c r="U372" s="422">
        <f t="shared" si="12"/>
        <v>0.05</v>
      </c>
      <c r="V372" s="422">
        <f t="shared" si="13"/>
        <v>5.7499999999999996E-2</v>
      </c>
      <c r="W372" s="424" t="str">
        <f>IF(ISBLANK(A372),"",VLOOKUP(A372,'KY Taxcodes'!$A:$B,2,FALSE))</f>
        <v/>
      </c>
    </row>
    <row r="373" spans="1:23" ht="15" customHeight="1">
      <c r="A373" s="416" t="s">
        <v>610</v>
      </c>
      <c r="B373" s="416"/>
      <c r="C373" s="417" t="s">
        <v>1532</v>
      </c>
      <c r="D373" s="433" t="s">
        <v>1635</v>
      </c>
      <c r="E373" s="433"/>
      <c r="G373" s="416" t="s">
        <v>1634</v>
      </c>
      <c r="I373" s="415" t="s">
        <v>1536</v>
      </c>
      <c r="J373" s="415" t="s">
        <v>1536</v>
      </c>
      <c r="K373" s="415" t="s">
        <v>1536</v>
      </c>
      <c r="L373" s="415"/>
      <c r="M373" s="415" t="s">
        <v>1536</v>
      </c>
      <c r="N373" s="415" t="s">
        <v>1529</v>
      </c>
      <c r="O373" s="415" t="s">
        <v>1536</v>
      </c>
      <c r="P373" s="415" t="s">
        <v>1536</v>
      </c>
      <c r="U373" s="422">
        <f t="shared" si="12"/>
        <v>0.06</v>
      </c>
      <c r="V373" s="422">
        <f t="shared" si="13"/>
        <v>6.8999999999999992E-2</v>
      </c>
      <c r="W373" s="424" t="str">
        <f>IF(ISBLANK(A373),"",VLOOKUP(A373,'KY Taxcodes'!$A:$B,2,FALSE))</f>
        <v>Tax charge shall not apply to the city, its officers, agents, or employees while acting in official capacity.</v>
      </c>
    </row>
    <row r="374" spans="1:23" ht="15" customHeight="1">
      <c r="C374" s="417" t="s">
        <v>1532</v>
      </c>
      <c r="D374" s="433" t="s">
        <v>1633</v>
      </c>
      <c r="E374" s="433"/>
      <c r="G374" s="416" t="s">
        <v>1632</v>
      </c>
      <c r="I374" s="415" t="s">
        <v>1536</v>
      </c>
      <c r="J374" s="415" t="s">
        <v>1536</v>
      </c>
      <c r="K374" s="415" t="s">
        <v>1536</v>
      </c>
      <c r="L374" s="415"/>
      <c r="M374" s="415" t="s">
        <v>1536</v>
      </c>
      <c r="N374" s="415" t="s">
        <v>1529</v>
      </c>
      <c r="O374" s="415" t="s">
        <v>1536</v>
      </c>
      <c r="P374" s="415" t="s">
        <v>1536</v>
      </c>
      <c r="U374" s="422">
        <f t="shared" si="12"/>
        <v>0.06</v>
      </c>
      <c r="V374" s="422">
        <f t="shared" si="13"/>
        <v>6.8999999999999992E-2</v>
      </c>
      <c r="W374" s="424" t="str">
        <f>IF(ISBLANK(A374),"",VLOOKUP(A374,'KY Taxcodes'!$A:$B,2,FALSE))</f>
        <v/>
      </c>
    </row>
    <row r="375" spans="1:23" ht="15" customHeight="1">
      <c r="A375" s="416" t="s">
        <v>1631</v>
      </c>
      <c r="B375" s="416"/>
      <c r="C375" s="417" t="s">
        <v>1532</v>
      </c>
      <c r="D375" s="433" t="s">
        <v>1630</v>
      </c>
      <c r="E375" s="433"/>
      <c r="G375" s="416" t="s">
        <v>1629</v>
      </c>
      <c r="I375" s="415" t="s">
        <v>1543</v>
      </c>
      <c r="J375" s="415" t="s">
        <v>1543</v>
      </c>
      <c r="K375" s="415" t="s">
        <v>1543</v>
      </c>
      <c r="L375" s="415"/>
      <c r="M375" s="415" t="s">
        <v>1543</v>
      </c>
      <c r="N375" s="415" t="s">
        <v>1529</v>
      </c>
      <c r="O375" s="415" t="s">
        <v>1543</v>
      </c>
      <c r="P375" s="415" t="s">
        <v>1543</v>
      </c>
      <c r="R375" s="434">
        <v>5</v>
      </c>
      <c r="S375" s="434"/>
      <c r="U375" s="422">
        <f t="shared" si="12"/>
        <v>0.1</v>
      </c>
      <c r="V375" s="422">
        <f t="shared" si="13"/>
        <v>0.11499999999999999</v>
      </c>
      <c r="W375" s="531" t="s">
        <v>2441</v>
      </c>
    </row>
    <row r="376" spans="1:23" ht="15" customHeight="1">
      <c r="C376" s="417" t="s">
        <v>1532</v>
      </c>
      <c r="D376" s="433" t="s">
        <v>1628</v>
      </c>
      <c r="E376" s="433"/>
      <c r="G376" s="416" t="s">
        <v>1627</v>
      </c>
      <c r="I376" s="415" t="s">
        <v>1590</v>
      </c>
      <c r="J376" s="415" t="s">
        <v>1590</v>
      </c>
      <c r="K376" s="415" t="s">
        <v>1590</v>
      </c>
      <c r="L376" s="415"/>
      <c r="M376" s="415" t="s">
        <v>1590</v>
      </c>
      <c r="N376" s="415" t="s">
        <v>1529</v>
      </c>
      <c r="O376" s="415" t="s">
        <v>1529</v>
      </c>
      <c r="P376" s="415" t="s">
        <v>1529</v>
      </c>
      <c r="R376" s="434">
        <v>5</v>
      </c>
      <c r="S376" s="434"/>
      <c r="U376" s="422">
        <f t="shared" si="12"/>
        <v>0.12</v>
      </c>
      <c r="V376" s="422">
        <f t="shared" si="13"/>
        <v>0.13799999999999998</v>
      </c>
      <c r="W376" s="424" t="str">
        <f>IF(ISBLANK(A376),"",VLOOKUP(A376,'KY Taxcodes'!$A:$B,2,FALSE))</f>
        <v/>
      </c>
    </row>
    <row r="377" spans="1:23" ht="15" customHeight="1">
      <c r="C377" s="417" t="s">
        <v>1532</v>
      </c>
      <c r="D377" s="433" t="s">
        <v>1626</v>
      </c>
      <c r="E377" s="433"/>
      <c r="G377" s="416" t="s">
        <v>1625</v>
      </c>
      <c r="I377" s="415" t="s">
        <v>1536</v>
      </c>
      <c r="J377" s="415" t="s">
        <v>1536</v>
      </c>
      <c r="K377" s="415" t="s">
        <v>1536</v>
      </c>
      <c r="L377" s="415"/>
      <c r="M377" s="415" t="s">
        <v>1536</v>
      </c>
      <c r="N377" s="415" t="s">
        <v>1536</v>
      </c>
      <c r="O377" s="415" t="s">
        <v>1529</v>
      </c>
      <c r="P377" s="415" t="s">
        <v>1536</v>
      </c>
      <c r="U377" s="422">
        <f t="shared" si="12"/>
        <v>0.06</v>
      </c>
      <c r="V377" s="422">
        <f t="shared" si="13"/>
        <v>6.8999999999999992E-2</v>
      </c>
      <c r="W377" s="424" t="str">
        <f>IF(ISBLANK(A377),"",VLOOKUP(A377,'KY Taxcodes'!$A:$B,2,FALSE))</f>
        <v/>
      </c>
    </row>
    <row r="378" spans="1:23" ht="15" customHeight="1">
      <c r="C378" s="417" t="s">
        <v>1532</v>
      </c>
      <c r="D378" s="433" t="s">
        <v>1624</v>
      </c>
      <c r="E378" s="433"/>
      <c r="G378" s="416" t="s">
        <v>1623</v>
      </c>
      <c r="I378" s="415" t="s">
        <v>1622</v>
      </c>
      <c r="J378" s="415" t="s">
        <v>1622</v>
      </c>
      <c r="K378" s="415" t="s">
        <v>1622</v>
      </c>
      <c r="L378" s="415"/>
      <c r="M378" s="415" t="s">
        <v>1622</v>
      </c>
      <c r="N378" s="415" t="s">
        <v>1622</v>
      </c>
      <c r="O378" s="415" t="s">
        <v>1622</v>
      </c>
      <c r="P378" s="415" t="s">
        <v>1622</v>
      </c>
      <c r="U378" s="422">
        <f t="shared" si="12"/>
        <v>0.09</v>
      </c>
      <c r="V378" s="422">
        <f t="shared" si="13"/>
        <v>0.10349999999999999</v>
      </c>
      <c r="W378" s="424" t="str">
        <f>IF(ISBLANK(A378),"",VLOOKUP(A378,'KY Taxcodes'!$A:$B,2,FALSE))</f>
        <v/>
      </c>
    </row>
    <row r="379" spans="1:23" ht="15" customHeight="1">
      <c r="C379" s="417" t="s">
        <v>1582</v>
      </c>
      <c r="D379" s="433" t="s">
        <v>1621</v>
      </c>
      <c r="E379" s="433"/>
      <c r="G379" s="416" t="s">
        <v>1620</v>
      </c>
      <c r="I379" s="415" t="s">
        <v>1533</v>
      </c>
      <c r="J379" s="415" t="s">
        <v>1533</v>
      </c>
      <c r="K379" s="415" t="s">
        <v>1533</v>
      </c>
      <c r="L379" s="415"/>
      <c r="M379" s="415" t="s">
        <v>1533</v>
      </c>
      <c r="N379" s="415" t="s">
        <v>1533</v>
      </c>
      <c r="O379" s="415" t="s">
        <v>1533</v>
      </c>
      <c r="P379" s="415" t="s">
        <v>1533</v>
      </c>
      <c r="U379" s="422">
        <f t="shared" si="12"/>
        <v>0.05</v>
      </c>
      <c r="V379" s="422">
        <f t="shared" si="13"/>
        <v>5.7499999999999996E-2</v>
      </c>
      <c r="W379" s="424" t="str">
        <f>IF(ISBLANK(A379),"",VLOOKUP(A379,'KY Taxcodes'!$A:$B,2,FALSE))</f>
        <v/>
      </c>
    </row>
    <row r="380" spans="1:23" ht="15" customHeight="1">
      <c r="A380" s="416" t="s">
        <v>1619</v>
      </c>
      <c r="B380" s="416"/>
      <c r="C380" s="417" t="s">
        <v>1532</v>
      </c>
      <c r="D380" s="433" t="s">
        <v>1618</v>
      </c>
      <c r="E380" s="433"/>
      <c r="G380" s="416" t="s">
        <v>1617</v>
      </c>
      <c r="I380" s="415" t="s">
        <v>1533</v>
      </c>
      <c r="J380" s="415" t="s">
        <v>1533</v>
      </c>
      <c r="K380" s="415" t="s">
        <v>1533</v>
      </c>
      <c r="L380" s="415"/>
      <c r="M380" s="415" t="s">
        <v>1533</v>
      </c>
      <c r="N380" s="415" t="s">
        <v>1529</v>
      </c>
      <c r="O380" s="415" t="s">
        <v>1529</v>
      </c>
      <c r="P380" s="415" t="s">
        <v>1533</v>
      </c>
      <c r="U380" s="422">
        <f t="shared" si="12"/>
        <v>0.05</v>
      </c>
      <c r="V380" s="422">
        <f t="shared" si="13"/>
        <v>5.7499999999999996E-2</v>
      </c>
      <c r="W380" s="424" t="str">
        <f>IF(ISBLANK(A380),"",VLOOKUP(A380,'KY Taxcodes'!$A:$B,2,FALSE))</f>
        <v>Tax charge shall not apply to churches, public school district properties, or properties used exclusively for religious, educational or charitable purposes.</v>
      </c>
    </row>
    <row r="381" spans="1:23" ht="15" customHeight="1">
      <c r="A381" s="416" t="s">
        <v>598</v>
      </c>
      <c r="B381" s="416"/>
      <c r="C381" s="417" t="s">
        <v>1532</v>
      </c>
      <c r="D381" s="433" t="s">
        <v>1616</v>
      </c>
      <c r="E381" s="433"/>
      <c r="G381" s="416" t="s">
        <v>1615</v>
      </c>
      <c r="I381" s="415" t="s">
        <v>1543</v>
      </c>
      <c r="J381" s="415" t="s">
        <v>1543</v>
      </c>
      <c r="K381" s="415" t="s">
        <v>1614</v>
      </c>
      <c r="L381" s="415"/>
      <c r="M381" s="415" t="s">
        <v>1543</v>
      </c>
      <c r="N381" s="415" t="s">
        <v>1529</v>
      </c>
      <c r="O381" s="415" t="s">
        <v>1529</v>
      </c>
      <c r="P381" s="415" t="s">
        <v>1543</v>
      </c>
      <c r="U381" s="422">
        <f t="shared" si="12"/>
        <v>0.1</v>
      </c>
      <c r="V381" s="422">
        <f t="shared" si="13"/>
        <v>0.11499999999999999</v>
      </c>
      <c r="W381" s="424" t="str">
        <f>IF(ISBLANK(A381),"",VLOOKUP(A381,'KY Taxcodes'!$A:$B,2,FALSE))</f>
        <v>Tax charge for automobile shall be 3% on private automobiles of natural persons residing within the corporate limits and 10% on automobile insurance not on private automobiles of natural persons.  Tax charge shall not apply to medical malpractice for any resident or group; bonds; property used exclusively for religious or charitable purposes; or federal, state, county, or municipal governments.</v>
      </c>
    </row>
    <row r="382" spans="1:23" ht="15" customHeight="1">
      <c r="C382" s="417" t="s">
        <v>1532</v>
      </c>
      <c r="D382" s="433" t="s">
        <v>1613</v>
      </c>
      <c r="E382" s="433"/>
      <c r="G382" s="416" t="s">
        <v>1612</v>
      </c>
      <c r="I382" s="415" t="s">
        <v>1533</v>
      </c>
      <c r="J382" s="415" t="s">
        <v>1533</v>
      </c>
      <c r="K382" s="415" t="s">
        <v>1533</v>
      </c>
      <c r="L382" s="415"/>
      <c r="M382" s="415" t="s">
        <v>1533</v>
      </c>
      <c r="N382" s="415" t="s">
        <v>1533</v>
      </c>
      <c r="O382" s="415" t="s">
        <v>1533</v>
      </c>
      <c r="P382" s="415" t="s">
        <v>1533</v>
      </c>
      <c r="U382" s="422">
        <f t="shared" si="12"/>
        <v>0.05</v>
      </c>
      <c r="V382" s="422">
        <f t="shared" si="13"/>
        <v>5.7499999999999996E-2</v>
      </c>
      <c r="W382" s="424" t="str">
        <f>IF(ISBLANK(A382),"",VLOOKUP(A382,'KY Taxcodes'!$A:$B,2,FALSE))</f>
        <v/>
      </c>
    </row>
    <row r="383" spans="1:23" ht="15" customHeight="1">
      <c r="C383" s="417" t="s">
        <v>1532</v>
      </c>
      <c r="D383" s="433" t="s">
        <v>1611</v>
      </c>
      <c r="E383" s="433"/>
      <c r="G383" s="416" t="s">
        <v>1610</v>
      </c>
      <c r="I383" s="415" t="s">
        <v>1536</v>
      </c>
      <c r="J383" s="415" t="s">
        <v>1536</v>
      </c>
      <c r="K383" s="415" t="s">
        <v>1536</v>
      </c>
      <c r="L383" s="415"/>
      <c r="M383" s="415" t="s">
        <v>1529</v>
      </c>
      <c r="N383" s="415" t="s">
        <v>1529</v>
      </c>
      <c r="O383" s="415" t="s">
        <v>1529</v>
      </c>
      <c r="P383" s="415" t="s">
        <v>1529</v>
      </c>
      <c r="U383" s="422">
        <f t="shared" si="12"/>
        <v>0.06</v>
      </c>
      <c r="V383" s="422">
        <f t="shared" si="13"/>
        <v>6.8999999999999992E-2</v>
      </c>
      <c r="W383" s="424" t="str">
        <f>IF(ISBLANK(A383),"",VLOOKUP(A383,'KY Taxcodes'!$A:$B,2,FALSE))</f>
        <v/>
      </c>
    </row>
    <row r="384" spans="1:23" ht="15" customHeight="1">
      <c r="A384" s="416" t="s">
        <v>1609</v>
      </c>
      <c r="B384" s="416"/>
      <c r="C384" s="417" t="s">
        <v>1532</v>
      </c>
      <c r="D384" s="433" t="s">
        <v>1608</v>
      </c>
      <c r="E384" s="433"/>
      <c r="G384" s="416" t="s">
        <v>1607</v>
      </c>
      <c r="I384" s="415" t="s">
        <v>1606</v>
      </c>
      <c r="J384" s="415" t="s">
        <v>1606</v>
      </c>
      <c r="K384" s="415" t="s">
        <v>1606</v>
      </c>
      <c r="L384" s="415"/>
      <c r="M384" s="415" t="s">
        <v>1606</v>
      </c>
      <c r="N384" s="415" t="s">
        <v>1606</v>
      </c>
      <c r="O384" s="415" t="s">
        <v>1606</v>
      </c>
      <c r="P384" s="415" t="s">
        <v>1606</v>
      </c>
      <c r="R384" s="434">
        <v>10</v>
      </c>
      <c r="S384" s="434"/>
      <c r="U384" s="422">
        <f t="shared" si="12"/>
        <v>0.04</v>
      </c>
      <c r="V384" s="422">
        <f t="shared" si="13"/>
        <v>4.5999999999999999E-2</v>
      </c>
      <c r="W384" s="424" t="str">
        <f>IF(ISBLANK(A384),"",VLOOKUP(A384,'KY Taxcodes'!$A:$B,2,FALSE))</f>
        <v>Includes all incorporated and unincorporated areas of the county in which the license fees or taxes were implemented prior to July 13, 1990.  Generally, insurers that pay license fees or taxes under KRS 91A:080 are permitted to credit city license fees or taxes against the same license fees or taxes levied by the county only "...when the license fees or taxes are levied by the county on or after July 13, 1990."  The status of "grandfathered", applies only to counties in which the taxes were levied prior to July 13, 1990.  Therefore, premiums collected on risks located within the cities of the 'grandfathered' counties must also be reported and remitted to the respective counties, using Form LGT-141.  For this schedule, there are three counties this applies to:  (Anderson County--City of Lawrenceburg); (Fulton County--City of Hickman and City of Fulton); (Washington County--City of Springfield).</v>
      </c>
    </row>
    <row r="385" spans="1:23" ht="15" customHeight="1">
      <c r="C385" s="417" t="s">
        <v>1532</v>
      </c>
      <c r="D385" s="433" t="s">
        <v>1605</v>
      </c>
      <c r="E385" s="433"/>
      <c r="G385" s="416" t="s">
        <v>1604</v>
      </c>
      <c r="I385" s="415" t="s">
        <v>1533</v>
      </c>
      <c r="J385" s="415" t="s">
        <v>1533</v>
      </c>
      <c r="K385" s="415" t="s">
        <v>1533</v>
      </c>
      <c r="L385" s="415"/>
      <c r="M385" s="415" t="s">
        <v>1533</v>
      </c>
      <c r="N385" s="415" t="s">
        <v>1529</v>
      </c>
      <c r="O385" s="415" t="s">
        <v>1533</v>
      </c>
      <c r="P385" s="415" t="s">
        <v>1533</v>
      </c>
      <c r="U385" s="422">
        <f t="shared" si="12"/>
        <v>0.05</v>
      </c>
      <c r="V385" s="422">
        <f t="shared" si="13"/>
        <v>5.7499999999999996E-2</v>
      </c>
      <c r="W385" s="424" t="str">
        <f>IF(ISBLANK(A385),"",VLOOKUP(A385,'KY Taxcodes'!$A:$B,2,FALSE))</f>
        <v/>
      </c>
    </row>
    <row r="386" spans="1:23" ht="15" customHeight="1">
      <c r="C386" s="417" t="s">
        <v>1532</v>
      </c>
      <c r="D386" s="433" t="s">
        <v>1603</v>
      </c>
      <c r="E386" s="433"/>
      <c r="G386" s="416" t="s">
        <v>1602</v>
      </c>
      <c r="I386" s="415" t="s">
        <v>1528</v>
      </c>
      <c r="J386" s="415" t="s">
        <v>1528</v>
      </c>
      <c r="K386" s="415" t="s">
        <v>1528</v>
      </c>
      <c r="L386" s="415"/>
      <c r="M386" s="415" t="s">
        <v>1528</v>
      </c>
      <c r="N386" s="415" t="s">
        <v>1528</v>
      </c>
      <c r="O386" s="415" t="s">
        <v>1528</v>
      </c>
      <c r="P386" s="415" t="s">
        <v>1528</v>
      </c>
      <c r="U386" s="422">
        <f t="shared" si="12"/>
        <v>0.08</v>
      </c>
      <c r="V386" s="422">
        <f t="shared" si="13"/>
        <v>9.1999999999999998E-2</v>
      </c>
      <c r="W386" s="424" t="str">
        <f>IF(ISBLANK(A386),"",VLOOKUP(A386,'KY Taxcodes'!$A:$B,2,FALSE))</f>
        <v/>
      </c>
    </row>
    <row r="387" spans="1:23" ht="15" customHeight="1">
      <c r="C387" s="417" t="s">
        <v>1532</v>
      </c>
      <c r="D387" s="433" t="s">
        <v>1601</v>
      </c>
      <c r="E387" s="433"/>
      <c r="G387" s="416" t="s">
        <v>1600</v>
      </c>
      <c r="I387" s="415" t="s">
        <v>1533</v>
      </c>
      <c r="J387" s="415" t="s">
        <v>1533</v>
      </c>
      <c r="K387" s="415" t="s">
        <v>1533</v>
      </c>
      <c r="L387" s="415"/>
      <c r="M387" s="415" t="s">
        <v>1533</v>
      </c>
      <c r="N387" s="415" t="s">
        <v>1529</v>
      </c>
      <c r="O387" s="415" t="s">
        <v>1529</v>
      </c>
      <c r="P387" s="415" t="s">
        <v>1533</v>
      </c>
      <c r="U387" s="422">
        <f t="shared" si="12"/>
        <v>0.05</v>
      </c>
      <c r="V387" s="422">
        <f t="shared" si="13"/>
        <v>5.7499999999999996E-2</v>
      </c>
      <c r="W387" s="424" t="str">
        <f>IF(ISBLANK(A387),"",VLOOKUP(A387,'KY Taxcodes'!$A:$B,2,FALSE))</f>
        <v/>
      </c>
    </row>
    <row r="388" spans="1:23" ht="15" customHeight="1">
      <c r="C388" s="417" t="s">
        <v>1532</v>
      </c>
      <c r="D388" s="433" t="s">
        <v>1599</v>
      </c>
      <c r="E388" s="433"/>
      <c r="G388" s="416" t="s">
        <v>1598</v>
      </c>
      <c r="I388" s="415" t="s">
        <v>1533</v>
      </c>
      <c r="J388" s="415" t="s">
        <v>1533</v>
      </c>
      <c r="K388" s="415" t="s">
        <v>1533</v>
      </c>
      <c r="L388" s="415"/>
      <c r="M388" s="415" t="s">
        <v>1533</v>
      </c>
      <c r="N388" s="415" t="s">
        <v>1533</v>
      </c>
      <c r="O388" s="415" t="s">
        <v>1533</v>
      </c>
      <c r="P388" s="415" t="s">
        <v>1533</v>
      </c>
      <c r="U388" s="422">
        <f t="shared" si="12"/>
        <v>0.05</v>
      </c>
      <c r="V388" s="422">
        <f t="shared" si="13"/>
        <v>5.7499999999999996E-2</v>
      </c>
      <c r="W388" s="424" t="str">
        <f>IF(ISBLANK(A388),"",VLOOKUP(A388,'KY Taxcodes'!$A:$B,2,FALSE))</f>
        <v/>
      </c>
    </row>
    <row r="389" spans="1:23" ht="15" customHeight="1">
      <c r="C389" s="417" t="s">
        <v>1582</v>
      </c>
      <c r="D389" s="433" t="s">
        <v>1597</v>
      </c>
      <c r="E389" s="433"/>
      <c r="G389" s="416" t="s">
        <v>1596</v>
      </c>
      <c r="I389" s="415" t="s">
        <v>1595</v>
      </c>
      <c r="J389" s="415" t="s">
        <v>1595</v>
      </c>
      <c r="K389" s="415" t="s">
        <v>1595</v>
      </c>
      <c r="L389" s="415"/>
      <c r="M389" s="415" t="s">
        <v>1595</v>
      </c>
      <c r="N389" s="415" t="s">
        <v>1595</v>
      </c>
      <c r="O389" s="415" t="s">
        <v>1595</v>
      </c>
      <c r="P389" s="415" t="s">
        <v>1595</v>
      </c>
      <c r="U389" s="422">
        <f t="shared" si="12"/>
        <v>0.15</v>
      </c>
      <c r="V389" s="422">
        <f t="shared" si="13"/>
        <v>0.16999999999999998</v>
      </c>
      <c r="W389" s="424" t="str">
        <f>IF(ISBLANK(A389),"",VLOOKUP(A389,'KY Taxcodes'!$A:$B,2,FALSE))</f>
        <v/>
      </c>
    </row>
    <row r="390" spans="1:23" ht="15" customHeight="1">
      <c r="C390" s="417" t="s">
        <v>1532</v>
      </c>
      <c r="D390" s="433" t="s">
        <v>1594</v>
      </c>
      <c r="E390" s="433"/>
      <c r="G390" s="416" t="s">
        <v>1593</v>
      </c>
      <c r="I390" s="415" t="s">
        <v>1543</v>
      </c>
      <c r="J390" s="415" t="s">
        <v>1543</v>
      </c>
      <c r="K390" s="415" t="s">
        <v>1543</v>
      </c>
      <c r="L390" s="415"/>
      <c r="M390" s="415" t="s">
        <v>1543</v>
      </c>
      <c r="N390" s="415" t="s">
        <v>1543</v>
      </c>
      <c r="O390" s="415" t="s">
        <v>1543</v>
      </c>
      <c r="P390" s="415" t="s">
        <v>1543</v>
      </c>
      <c r="U390" s="422">
        <f t="shared" si="12"/>
        <v>0.1</v>
      </c>
      <c r="V390" s="422">
        <f t="shared" si="13"/>
        <v>0.11499999999999999</v>
      </c>
      <c r="W390" s="424" t="str">
        <f>IF(ISBLANK(A390),"",VLOOKUP(A390,'KY Taxcodes'!$A:$B,2,FALSE))</f>
        <v/>
      </c>
    </row>
    <row r="391" spans="1:23" ht="15" customHeight="1">
      <c r="C391" s="417" t="s">
        <v>1532</v>
      </c>
      <c r="D391" s="433" t="s">
        <v>1592</v>
      </c>
      <c r="E391" s="433"/>
      <c r="G391" s="416" t="s">
        <v>1591</v>
      </c>
      <c r="I391" s="415" t="s">
        <v>1590</v>
      </c>
      <c r="J391" s="415" t="s">
        <v>1590</v>
      </c>
      <c r="K391" s="415" t="s">
        <v>1590</v>
      </c>
      <c r="L391" s="415"/>
      <c r="M391" s="415" t="s">
        <v>1590</v>
      </c>
      <c r="N391" s="415" t="s">
        <v>1529</v>
      </c>
      <c r="O391" s="415" t="s">
        <v>1590</v>
      </c>
      <c r="P391" s="415" t="s">
        <v>1590</v>
      </c>
      <c r="U391" s="422">
        <f t="shared" si="12"/>
        <v>0.12</v>
      </c>
      <c r="V391" s="422">
        <f t="shared" si="13"/>
        <v>0.13799999999999998</v>
      </c>
      <c r="W391" s="424" t="str">
        <f>IF(ISBLANK(A391),"",VLOOKUP(A391,'KY Taxcodes'!$A:$B,2,FALSE))</f>
        <v/>
      </c>
    </row>
    <row r="392" spans="1:23" ht="15" customHeight="1">
      <c r="C392" s="417" t="s">
        <v>1532</v>
      </c>
      <c r="D392" s="433" t="s">
        <v>1589</v>
      </c>
      <c r="E392" s="433"/>
      <c r="G392" s="416" t="s">
        <v>1588</v>
      </c>
      <c r="I392" s="415" t="s">
        <v>1536</v>
      </c>
      <c r="J392" s="415" t="s">
        <v>1536</v>
      </c>
      <c r="K392" s="415" t="s">
        <v>1536</v>
      </c>
      <c r="L392" s="415"/>
      <c r="M392" s="415" t="s">
        <v>1536</v>
      </c>
      <c r="N392" s="415" t="s">
        <v>1536</v>
      </c>
      <c r="O392" s="415" t="s">
        <v>1536</v>
      </c>
      <c r="P392" s="415" t="s">
        <v>1536</v>
      </c>
      <c r="U392" s="422">
        <f t="shared" si="12"/>
        <v>0.06</v>
      </c>
      <c r="V392" s="422">
        <f t="shared" si="13"/>
        <v>6.8999999999999992E-2</v>
      </c>
      <c r="W392" s="424" t="str">
        <f>IF(ISBLANK(A392),"",VLOOKUP(A392,'KY Taxcodes'!$A:$B,2,FALSE))</f>
        <v/>
      </c>
    </row>
    <row r="393" spans="1:23" ht="15" customHeight="1">
      <c r="C393" s="417" t="s">
        <v>1532</v>
      </c>
      <c r="D393" s="433" t="s">
        <v>1587</v>
      </c>
      <c r="E393" s="433"/>
      <c r="G393" s="416" t="s">
        <v>1586</v>
      </c>
      <c r="I393" s="415" t="s">
        <v>1528</v>
      </c>
      <c r="J393" s="415" t="s">
        <v>1528</v>
      </c>
      <c r="K393" s="415" t="s">
        <v>1528</v>
      </c>
      <c r="L393" s="415"/>
      <c r="M393" s="415" t="s">
        <v>1528</v>
      </c>
      <c r="N393" s="415" t="s">
        <v>1529</v>
      </c>
      <c r="O393" s="415" t="s">
        <v>1529</v>
      </c>
      <c r="P393" s="415" t="s">
        <v>1528</v>
      </c>
      <c r="U393" s="422">
        <f t="shared" si="12"/>
        <v>0.08</v>
      </c>
      <c r="V393" s="422">
        <f t="shared" si="13"/>
        <v>9.1999999999999998E-2</v>
      </c>
      <c r="W393" s="424" t="str">
        <f>IF(ISBLANK(A393),"",VLOOKUP(A393,'KY Taxcodes'!$A:$B,2,FALSE))</f>
        <v/>
      </c>
    </row>
    <row r="394" spans="1:23" ht="15" customHeight="1">
      <c r="A394" s="416" t="s">
        <v>1583</v>
      </c>
      <c r="B394" s="416"/>
      <c r="C394" s="417" t="s">
        <v>1582</v>
      </c>
      <c r="D394" s="433" t="s">
        <v>1585</v>
      </c>
      <c r="E394" s="433"/>
      <c r="G394" s="416" t="s">
        <v>1584</v>
      </c>
      <c r="I394" s="415" t="s">
        <v>1533</v>
      </c>
      <c r="J394" s="415" t="s">
        <v>1533</v>
      </c>
      <c r="K394" s="415" t="s">
        <v>1533</v>
      </c>
      <c r="L394" s="415"/>
      <c r="M394" s="415" t="s">
        <v>1533</v>
      </c>
      <c r="N394" s="415" t="s">
        <v>1529</v>
      </c>
      <c r="O394" s="415" t="s">
        <v>1533</v>
      </c>
      <c r="P394" s="415" t="s">
        <v>1533</v>
      </c>
      <c r="U394" s="422">
        <f t="shared" si="12"/>
        <v>0.05</v>
      </c>
      <c r="V394" s="422">
        <f t="shared" si="13"/>
        <v>5.7499999999999996E-2</v>
      </c>
      <c r="W394" s="424" t="str">
        <f>IF(ISBLANK(A394),"",VLOOKUP(A394,'KY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95" spans="1:23" ht="15" customHeight="1">
      <c r="A395" s="416" t="s">
        <v>1583</v>
      </c>
      <c r="B395" s="416"/>
      <c r="C395" s="417" t="s">
        <v>1582</v>
      </c>
      <c r="D395" s="433" t="s">
        <v>1581</v>
      </c>
      <c r="E395" s="433"/>
      <c r="G395" s="416" t="s">
        <v>1580</v>
      </c>
      <c r="I395" s="415" t="s">
        <v>1543</v>
      </c>
      <c r="J395" s="415" t="s">
        <v>1543</v>
      </c>
      <c r="K395" s="415" t="s">
        <v>1543</v>
      </c>
      <c r="L395" s="415"/>
      <c r="M395" s="415" t="s">
        <v>1543</v>
      </c>
      <c r="N395" s="415" t="s">
        <v>1529</v>
      </c>
      <c r="O395" s="415" t="s">
        <v>1529</v>
      </c>
      <c r="P395" s="415" t="s">
        <v>1543</v>
      </c>
      <c r="R395" s="434">
        <v>25</v>
      </c>
      <c r="S395" s="434"/>
      <c r="U395" s="422">
        <f t="shared" si="12"/>
        <v>0.1</v>
      </c>
      <c r="V395" s="422">
        <f t="shared" si="13"/>
        <v>0.11499999999999999</v>
      </c>
      <c r="W395" s="424" t="str">
        <f>IF(ISBLANK(A395),"",VLOOKUP(A395,'KY Taxcodes'!$A:$B,2,FALSE))</f>
        <v>This county tax is imposed pursuant to KRS 91A:080 (7/13/90), and is imposed on all areas of the county. KRS 91A.080 (7/13/90) allows insurance companies to credit city license fees or taxes against the same license fees or taxes levied by the county.  For reporting purposes, where the city has the same or higher tax rate, report to the city on premiums collected for risks located within the city, and no report is necessary to the county on those premiums.  However, where the city tax is less than the county tax, a report must be sent to the city and a credit taken using Form LGT-142, and the balance due, paid to the county.  For this schedule, there are 8 counties that need an LGT-142 filed: (Hopkins County-City of Dawson Springs [Life Only], City of St. Charles [Life Only], City of White Plains [Life Only]); (Meade County-City of Ekron [Except Health &amp; Life]); (Pulaski County-City of Science Hill [Except Health]); (Menifee County-City of Frenchburg [Except Health &amp; Life]); (Trimble County-City of Milton [Except Health]); (Henderson County-City of Robards); (Floyd County-City of Wheelwright [Health Only], City of Prestonsburg [Life Only]; (Knott County-City of Hindman [Except Health &amp; Life]).  See Form LGT-142 for instructions.</v>
      </c>
    </row>
    <row r="396" spans="1:23" ht="15" customHeight="1">
      <c r="C396" s="417" t="s">
        <v>1532</v>
      </c>
      <c r="D396" s="433" t="s">
        <v>1579</v>
      </c>
      <c r="E396" s="433"/>
      <c r="G396" s="416" t="s">
        <v>1578</v>
      </c>
      <c r="I396" s="415" t="s">
        <v>1533</v>
      </c>
      <c r="J396" s="415" t="s">
        <v>1533</v>
      </c>
      <c r="K396" s="415" t="s">
        <v>1533</v>
      </c>
      <c r="L396" s="415"/>
      <c r="M396" s="415" t="s">
        <v>1533</v>
      </c>
      <c r="N396" s="415" t="s">
        <v>1533</v>
      </c>
      <c r="O396" s="415" t="s">
        <v>1533</v>
      </c>
      <c r="P396" s="415" t="s">
        <v>1533</v>
      </c>
      <c r="R396" s="434">
        <v>5</v>
      </c>
      <c r="S396" s="434"/>
      <c r="U396" s="422">
        <f t="shared" si="12"/>
        <v>0.05</v>
      </c>
      <c r="V396" s="422">
        <f t="shared" si="13"/>
        <v>5.7499999999999996E-2</v>
      </c>
      <c r="W396" s="424" t="str">
        <f>IF(ISBLANK(A396),"",VLOOKUP(A396,'KY Taxcodes'!$A:$B,2,FALSE))</f>
        <v/>
      </c>
    </row>
    <row r="397" spans="1:23" ht="15" customHeight="1">
      <c r="A397" s="416" t="s">
        <v>592</v>
      </c>
      <c r="B397" s="416"/>
      <c r="C397" s="417" t="s">
        <v>1532</v>
      </c>
      <c r="D397" s="433" t="s">
        <v>1577</v>
      </c>
      <c r="E397" s="433"/>
      <c r="G397" s="416" t="s">
        <v>1576</v>
      </c>
      <c r="I397" s="415" t="s">
        <v>1575</v>
      </c>
      <c r="J397" s="415" t="s">
        <v>1575</v>
      </c>
      <c r="K397" s="415" t="s">
        <v>1575</v>
      </c>
      <c r="L397" s="415"/>
      <c r="M397" s="415" t="s">
        <v>1575</v>
      </c>
      <c r="N397" s="415" t="s">
        <v>1529</v>
      </c>
      <c r="O397" s="415" t="s">
        <v>1529</v>
      </c>
      <c r="P397" s="415" t="s">
        <v>1529</v>
      </c>
      <c r="U397" s="422">
        <f t="shared" ref="U397:U415" si="14">VALUE(J397)</f>
        <v>8.8999999999999996E-2</v>
      </c>
      <c r="V397" s="422">
        <f t="shared" si="13"/>
        <v>0.10234999999999998</v>
      </c>
      <c r="W397" s="424" t="str">
        <f>IF(ISBLANK(A397),"",VLOOKUP(A397,'KY Taxcodes'!$A:$B,2,FALSE))</f>
        <v>Tax charge shall not apply to crop insurance.</v>
      </c>
    </row>
    <row r="398" spans="1:23" ht="15" customHeight="1">
      <c r="C398" s="417" t="s">
        <v>1532</v>
      </c>
      <c r="D398" s="433" t="s">
        <v>1574</v>
      </c>
      <c r="E398" s="433"/>
      <c r="G398" s="416" t="s">
        <v>1573</v>
      </c>
      <c r="I398" s="415" t="s">
        <v>1572</v>
      </c>
      <c r="J398" s="415" t="s">
        <v>1572</v>
      </c>
      <c r="K398" s="415" t="s">
        <v>1572</v>
      </c>
      <c r="L398" s="415"/>
      <c r="M398" s="415" t="s">
        <v>1572</v>
      </c>
      <c r="N398" s="415" t="s">
        <v>1529</v>
      </c>
      <c r="O398" s="415" t="s">
        <v>1572</v>
      </c>
      <c r="P398" s="415" t="s">
        <v>1572</v>
      </c>
      <c r="U398" s="422">
        <f t="shared" si="14"/>
        <v>6.4000000000000001E-2</v>
      </c>
      <c r="V398" s="422">
        <f t="shared" si="13"/>
        <v>7.3599999999999999E-2</v>
      </c>
      <c r="W398" s="424" t="str">
        <f>IF(ISBLANK(A398),"",VLOOKUP(A398,'KY Taxcodes'!$A:$B,2,FALSE))</f>
        <v/>
      </c>
    </row>
    <row r="399" spans="1:23" ht="15" customHeight="1">
      <c r="C399" s="417" t="s">
        <v>1532</v>
      </c>
      <c r="D399" s="433" t="s">
        <v>1571</v>
      </c>
      <c r="E399" s="433"/>
      <c r="G399" s="416" t="s">
        <v>1570</v>
      </c>
      <c r="I399" s="415" t="s">
        <v>1543</v>
      </c>
      <c r="J399" s="415" t="s">
        <v>1543</v>
      </c>
      <c r="K399" s="415" t="s">
        <v>1543</v>
      </c>
      <c r="L399" s="415"/>
      <c r="M399" s="415" t="s">
        <v>1543</v>
      </c>
      <c r="N399" s="415" t="s">
        <v>1529</v>
      </c>
      <c r="O399" s="415" t="s">
        <v>1543</v>
      </c>
      <c r="P399" s="415" t="s">
        <v>1543</v>
      </c>
      <c r="U399" s="422">
        <f t="shared" si="14"/>
        <v>0.1</v>
      </c>
      <c r="V399" s="422">
        <f t="shared" si="13"/>
        <v>0.11499999999999999</v>
      </c>
      <c r="W399" s="424" t="str">
        <f>IF(ISBLANK(A399),"",VLOOKUP(A399,'KY Taxcodes'!$A:$B,2,FALSE))</f>
        <v/>
      </c>
    </row>
    <row r="400" spans="1:23" ht="15" customHeight="1">
      <c r="C400" s="417" t="s">
        <v>1532</v>
      </c>
      <c r="D400" s="433" t="s">
        <v>1569</v>
      </c>
      <c r="E400" s="433"/>
      <c r="G400" s="416" t="s">
        <v>1568</v>
      </c>
      <c r="I400" s="415" t="s">
        <v>1533</v>
      </c>
      <c r="J400" s="415" t="s">
        <v>1533</v>
      </c>
      <c r="K400" s="415" t="s">
        <v>1533</v>
      </c>
      <c r="L400" s="415"/>
      <c r="M400" s="415" t="s">
        <v>1533</v>
      </c>
      <c r="N400" s="415" t="s">
        <v>1529</v>
      </c>
      <c r="O400" s="415" t="s">
        <v>1533</v>
      </c>
      <c r="P400" s="415" t="s">
        <v>1533</v>
      </c>
      <c r="U400" s="422">
        <f t="shared" si="14"/>
        <v>0.05</v>
      </c>
      <c r="V400" s="422">
        <f t="shared" si="13"/>
        <v>5.7499999999999996E-2</v>
      </c>
      <c r="W400" s="424" t="str">
        <f>IF(ISBLANK(A400),"",VLOOKUP(A400,'KY Taxcodes'!$A:$B,2,FALSE))</f>
        <v/>
      </c>
    </row>
    <row r="401" spans="1:23" ht="15" customHeight="1">
      <c r="C401" s="417" t="s">
        <v>1532</v>
      </c>
      <c r="D401" s="433" t="s">
        <v>1567</v>
      </c>
      <c r="E401" s="433"/>
      <c r="G401" s="416" t="s">
        <v>1566</v>
      </c>
      <c r="I401" s="415" t="s">
        <v>1536</v>
      </c>
      <c r="J401" s="415" t="s">
        <v>1536</v>
      </c>
      <c r="K401" s="415" t="s">
        <v>1536</v>
      </c>
      <c r="L401" s="415"/>
      <c r="M401" s="415" t="s">
        <v>1536</v>
      </c>
      <c r="N401" s="415" t="s">
        <v>1536</v>
      </c>
      <c r="O401" s="415" t="s">
        <v>1536</v>
      </c>
      <c r="P401" s="415" t="s">
        <v>1536</v>
      </c>
      <c r="U401" s="422">
        <f t="shared" si="14"/>
        <v>0.06</v>
      </c>
      <c r="V401" s="422">
        <f t="shared" si="13"/>
        <v>6.8999999999999992E-2</v>
      </c>
      <c r="W401" s="424" t="str">
        <f>IF(ISBLANK(A401),"",VLOOKUP(A401,'KY Taxcodes'!$A:$B,2,FALSE))</f>
        <v/>
      </c>
    </row>
    <row r="402" spans="1:23" ht="15" customHeight="1">
      <c r="C402" s="417" t="s">
        <v>1532</v>
      </c>
      <c r="D402" s="433" t="s">
        <v>1565</v>
      </c>
      <c r="E402" s="433"/>
      <c r="G402" s="416" t="s">
        <v>1564</v>
      </c>
      <c r="I402" s="415" t="s">
        <v>1563</v>
      </c>
      <c r="J402" s="415" t="s">
        <v>1563</v>
      </c>
      <c r="K402" s="415" t="s">
        <v>1563</v>
      </c>
      <c r="L402" s="415"/>
      <c r="M402" s="415" t="s">
        <v>1563</v>
      </c>
      <c r="N402" s="415" t="s">
        <v>1529</v>
      </c>
      <c r="O402" s="415" t="s">
        <v>1529</v>
      </c>
      <c r="P402" s="415" t="s">
        <v>1563</v>
      </c>
      <c r="U402" s="422">
        <f t="shared" si="14"/>
        <v>6.7500000000000004E-2</v>
      </c>
      <c r="V402" s="422">
        <f t="shared" si="13"/>
        <v>7.7625E-2</v>
      </c>
      <c r="W402" s="424" t="str">
        <f>IF(ISBLANK(A402),"",VLOOKUP(A402,'KY Taxcodes'!$A:$B,2,FALSE))</f>
        <v/>
      </c>
    </row>
    <row r="403" spans="1:23" ht="15" customHeight="1">
      <c r="C403" s="417" t="s">
        <v>1532</v>
      </c>
      <c r="D403" s="433" t="s">
        <v>1562</v>
      </c>
      <c r="E403" s="433"/>
      <c r="G403" s="416" t="s">
        <v>1561</v>
      </c>
      <c r="I403" s="415" t="s">
        <v>1550</v>
      </c>
      <c r="J403" s="415" t="s">
        <v>1550</v>
      </c>
      <c r="K403" s="415" t="s">
        <v>1550</v>
      </c>
      <c r="L403" s="415"/>
      <c r="M403" s="415" t="s">
        <v>1550</v>
      </c>
      <c r="N403" s="415" t="s">
        <v>1550</v>
      </c>
      <c r="O403" s="415" t="s">
        <v>1550</v>
      </c>
      <c r="P403" s="415" t="s">
        <v>1550</v>
      </c>
      <c r="U403" s="422">
        <f t="shared" si="14"/>
        <v>7.0000000000000007E-2</v>
      </c>
      <c r="V403" s="422">
        <f t="shared" si="13"/>
        <v>8.0500000000000002E-2</v>
      </c>
      <c r="W403" s="424" t="str">
        <f>IF(ISBLANK(A403),"",VLOOKUP(A403,'KY Taxcodes'!$A:$B,2,FALSE))</f>
        <v/>
      </c>
    </row>
    <row r="404" spans="1:23" ht="15" customHeight="1">
      <c r="C404" s="417" t="s">
        <v>1532</v>
      </c>
      <c r="D404" s="433" t="s">
        <v>1560</v>
      </c>
      <c r="E404" s="433"/>
      <c r="G404" s="416" t="s">
        <v>1559</v>
      </c>
      <c r="I404" s="415" t="s">
        <v>1528</v>
      </c>
      <c r="J404" s="415" t="s">
        <v>1528</v>
      </c>
      <c r="K404" s="415" t="s">
        <v>1528</v>
      </c>
      <c r="L404" s="415"/>
      <c r="M404" s="415" t="s">
        <v>1528</v>
      </c>
      <c r="N404" s="415" t="s">
        <v>1528</v>
      </c>
      <c r="O404" s="415" t="s">
        <v>1528</v>
      </c>
      <c r="P404" s="415" t="s">
        <v>1528</v>
      </c>
      <c r="U404" s="422">
        <f t="shared" si="14"/>
        <v>0.08</v>
      </c>
      <c r="V404" s="422">
        <f t="shared" si="13"/>
        <v>9.1999999999999998E-2</v>
      </c>
      <c r="W404" s="424" t="str">
        <f>IF(ISBLANK(A404),"",VLOOKUP(A404,'KY Taxcodes'!$A:$B,2,FALSE))</f>
        <v/>
      </c>
    </row>
    <row r="405" spans="1:23" ht="15" customHeight="1">
      <c r="C405" s="417" t="s">
        <v>1532</v>
      </c>
      <c r="D405" s="433" t="s">
        <v>1558</v>
      </c>
      <c r="E405" s="433"/>
      <c r="G405" s="416" t="s">
        <v>1557</v>
      </c>
      <c r="I405" s="415" t="s">
        <v>1533</v>
      </c>
      <c r="J405" s="415" t="s">
        <v>1533</v>
      </c>
      <c r="K405" s="415" t="s">
        <v>1533</v>
      </c>
      <c r="L405" s="415"/>
      <c r="M405" s="415" t="s">
        <v>1533</v>
      </c>
      <c r="N405" s="415" t="s">
        <v>1529</v>
      </c>
      <c r="O405" s="415" t="s">
        <v>1533</v>
      </c>
      <c r="P405" s="415" t="s">
        <v>1533</v>
      </c>
      <c r="U405" s="422">
        <f t="shared" si="14"/>
        <v>0.05</v>
      </c>
      <c r="V405" s="422">
        <f t="shared" si="13"/>
        <v>5.7499999999999996E-2</v>
      </c>
      <c r="W405" s="424" t="str">
        <f>IF(ISBLANK(A405),"",VLOOKUP(A405,'KY Taxcodes'!$A:$B,2,FALSE))</f>
        <v/>
      </c>
    </row>
    <row r="406" spans="1:23" ht="15" customHeight="1">
      <c r="C406" s="417" t="s">
        <v>1532</v>
      </c>
      <c r="D406" s="433" t="s">
        <v>1556</v>
      </c>
      <c r="E406" s="433"/>
      <c r="G406" s="416" t="s">
        <v>1555</v>
      </c>
      <c r="I406" s="415" t="s">
        <v>1533</v>
      </c>
      <c r="J406" s="415" t="s">
        <v>1533</v>
      </c>
      <c r="K406" s="415" t="s">
        <v>1533</v>
      </c>
      <c r="L406" s="415"/>
      <c r="M406" s="415" t="s">
        <v>1533</v>
      </c>
      <c r="N406" s="415" t="s">
        <v>1529</v>
      </c>
      <c r="O406" s="415" t="s">
        <v>1529</v>
      </c>
      <c r="P406" s="415" t="s">
        <v>1533</v>
      </c>
      <c r="U406" s="422">
        <f t="shared" si="14"/>
        <v>0.05</v>
      </c>
      <c r="V406" s="422">
        <f t="shared" si="13"/>
        <v>5.7499999999999996E-2</v>
      </c>
      <c r="W406" s="424" t="str">
        <f>IF(ISBLANK(A406),"",VLOOKUP(A406,'KY Taxcodes'!$A:$B,2,FALSE))</f>
        <v/>
      </c>
    </row>
    <row r="407" spans="1:23" ht="15" customHeight="1">
      <c r="A407" s="416" t="s">
        <v>1554</v>
      </c>
      <c r="B407" s="416"/>
      <c r="C407" s="417" t="s">
        <v>1532</v>
      </c>
      <c r="D407" s="433" t="s">
        <v>1553</v>
      </c>
      <c r="E407" s="433"/>
      <c r="G407" s="416" t="s">
        <v>1552</v>
      </c>
      <c r="I407" s="415" t="s">
        <v>1550</v>
      </c>
      <c r="J407" s="415" t="s">
        <v>1551</v>
      </c>
      <c r="K407" s="415" t="s">
        <v>1550</v>
      </c>
      <c r="L407" s="415"/>
      <c r="M407" s="415" t="s">
        <v>1550</v>
      </c>
      <c r="N407" s="415" t="s">
        <v>1551</v>
      </c>
      <c r="O407" s="415" t="s">
        <v>1551</v>
      </c>
      <c r="P407" s="415" t="s">
        <v>1550</v>
      </c>
      <c r="U407" s="422">
        <f t="shared" si="14"/>
        <v>0.02</v>
      </c>
      <c r="V407" s="422">
        <f t="shared" si="13"/>
        <v>2.3E-2</v>
      </c>
      <c r="W407" s="424" t="str">
        <f>IF(ISBLANK(A407),"",VLOOKUP(A407,'KY Taxcodes'!$A:$B,2,FALSE))</f>
        <v>Indivisible premiums.  Indivisible premium multiple-line policies consist mainly of homeowners and farm owners policies.  Other multiple-line policies have divisible premiums and the appropriate tax for the various lines of insurance is applicable separately.  Since KRS 91A.080 requires a breakdown of all collections by category, indivisible premium multiple-line policies must be broken down giving a weight of two-thirds of the premium to the fire provision and one-third of the premium to the casualty provision before determining the tax.</v>
      </c>
    </row>
    <row r="408" spans="1:23" ht="15" customHeight="1">
      <c r="C408" s="417" t="s">
        <v>1532</v>
      </c>
      <c r="D408" s="433" t="s">
        <v>1549</v>
      </c>
      <c r="E408" s="433"/>
      <c r="G408" s="416" t="s">
        <v>1548</v>
      </c>
      <c r="I408" s="415" t="s">
        <v>1533</v>
      </c>
      <c r="J408" s="415" t="s">
        <v>1533</v>
      </c>
      <c r="K408" s="415" t="s">
        <v>1533</v>
      </c>
      <c r="L408" s="415"/>
      <c r="M408" s="415" t="s">
        <v>1533</v>
      </c>
      <c r="N408" s="415" t="s">
        <v>1533</v>
      </c>
      <c r="O408" s="415" t="s">
        <v>1533</v>
      </c>
      <c r="P408" s="415" t="s">
        <v>1533</v>
      </c>
      <c r="U408" s="422">
        <f t="shared" si="14"/>
        <v>0.05</v>
      </c>
      <c r="V408" s="422">
        <f t="shared" si="13"/>
        <v>5.7499999999999996E-2</v>
      </c>
      <c r="W408" s="424" t="str">
        <f>IF(ISBLANK(A408),"",VLOOKUP(A408,'KY Taxcodes'!$A:$B,2,FALSE))</f>
        <v/>
      </c>
    </row>
    <row r="409" spans="1:23" ht="15" customHeight="1">
      <c r="C409" s="417" t="s">
        <v>1532</v>
      </c>
      <c r="D409" s="433" t="s">
        <v>1547</v>
      </c>
      <c r="E409" s="433"/>
      <c r="G409" s="416" t="s">
        <v>1546</v>
      </c>
      <c r="I409" s="415" t="s">
        <v>1528</v>
      </c>
      <c r="J409" s="415" t="s">
        <v>1528</v>
      </c>
      <c r="K409" s="415" t="s">
        <v>1528</v>
      </c>
      <c r="L409" s="415"/>
      <c r="M409" s="415" t="s">
        <v>1528</v>
      </c>
      <c r="N409" s="415" t="s">
        <v>1529</v>
      </c>
      <c r="O409" s="415" t="s">
        <v>1528</v>
      </c>
      <c r="P409" s="415" t="s">
        <v>1528</v>
      </c>
      <c r="U409" s="422">
        <f t="shared" si="14"/>
        <v>0.08</v>
      </c>
      <c r="V409" s="422">
        <f t="shared" si="13"/>
        <v>9.1999999999999998E-2</v>
      </c>
      <c r="W409" s="424" t="str">
        <f>IF(ISBLANK(A409),"",VLOOKUP(A409,'KY Taxcodes'!$A:$B,2,FALSE))</f>
        <v/>
      </c>
    </row>
    <row r="410" spans="1:23" ht="15" customHeight="1">
      <c r="C410" s="417" t="s">
        <v>1532</v>
      </c>
      <c r="D410" s="433" t="s">
        <v>1545</v>
      </c>
      <c r="E410" s="433"/>
      <c r="G410" s="416" t="s">
        <v>1544</v>
      </c>
      <c r="I410" s="415" t="s">
        <v>1543</v>
      </c>
      <c r="J410" s="415" t="s">
        <v>1543</v>
      </c>
      <c r="K410" s="415" t="s">
        <v>1543</v>
      </c>
      <c r="L410" s="415"/>
      <c r="M410" s="415" t="s">
        <v>1543</v>
      </c>
      <c r="N410" s="415" t="s">
        <v>1529</v>
      </c>
      <c r="O410" s="415" t="s">
        <v>1543</v>
      </c>
      <c r="P410" s="415" t="s">
        <v>1543</v>
      </c>
      <c r="U410" s="422">
        <f t="shared" si="14"/>
        <v>0.1</v>
      </c>
      <c r="V410" s="422">
        <f t="shared" si="13"/>
        <v>0.11499999999999999</v>
      </c>
      <c r="W410" s="424" t="str">
        <f>IF(ISBLANK(A410),"",VLOOKUP(A410,'KY Taxcodes'!$A:$B,2,FALSE))</f>
        <v/>
      </c>
    </row>
    <row r="411" spans="1:23" ht="15" customHeight="1">
      <c r="C411" s="417" t="s">
        <v>1532</v>
      </c>
      <c r="D411" s="433" t="s">
        <v>1542</v>
      </c>
      <c r="E411" s="433"/>
      <c r="G411" s="416" t="s">
        <v>1541</v>
      </c>
      <c r="I411" s="415" t="s">
        <v>1533</v>
      </c>
      <c r="J411" s="415" t="s">
        <v>1533</v>
      </c>
      <c r="K411" s="415" t="s">
        <v>1533</v>
      </c>
      <c r="L411" s="415"/>
      <c r="M411" s="415" t="s">
        <v>1533</v>
      </c>
      <c r="N411" s="415" t="s">
        <v>1529</v>
      </c>
      <c r="O411" s="415" t="s">
        <v>1533</v>
      </c>
      <c r="P411" s="415" t="s">
        <v>1533</v>
      </c>
      <c r="U411" s="422">
        <f t="shared" si="14"/>
        <v>0.05</v>
      </c>
      <c r="V411" s="422">
        <f t="shared" si="13"/>
        <v>5.7499999999999996E-2</v>
      </c>
      <c r="W411" s="424" t="str">
        <f>IF(ISBLANK(A411),"",VLOOKUP(A411,'KY Taxcodes'!$A:$B,2,FALSE))</f>
        <v/>
      </c>
    </row>
    <row r="412" spans="1:23" ht="15" customHeight="1">
      <c r="C412" s="417" t="s">
        <v>1532</v>
      </c>
      <c r="D412" s="433" t="s">
        <v>1540</v>
      </c>
      <c r="E412" s="433"/>
      <c r="G412" s="416" t="s">
        <v>1539</v>
      </c>
      <c r="I412" s="415" t="s">
        <v>1528</v>
      </c>
      <c r="J412" s="415" t="s">
        <v>1528</v>
      </c>
      <c r="K412" s="415" t="s">
        <v>1528</v>
      </c>
      <c r="L412" s="415"/>
      <c r="M412" s="415" t="s">
        <v>1528</v>
      </c>
      <c r="N412" s="415" t="s">
        <v>1528</v>
      </c>
      <c r="O412" s="415" t="s">
        <v>1528</v>
      </c>
      <c r="P412" s="415" t="s">
        <v>1528</v>
      </c>
      <c r="U412" s="422">
        <f t="shared" si="14"/>
        <v>0.08</v>
      </c>
      <c r="V412" s="422">
        <f t="shared" ref="V412:V415" si="15">IF(ISBLANK($J412),"",IF($J412="none",0,IF($U412&gt;13.3%,$U412+2%,IF($U412&lt;=13.3%,$U412*1.15,$U412))))</f>
        <v>9.1999999999999998E-2</v>
      </c>
      <c r="W412" s="424" t="str">
        <f>IF(ISBLANK(A412),"",VLOOKUP(A412,'KY Taxcodes'!$A:$B,2,FALSE))</f>
        <v/>
      </c>
    </row>
    <row r="413" spans="1:23" ht="15" customHeight="1">
      <c r="C413" s="417" t="s">
        <v>1532</v>
      </c>
      <c r="D413" s="433" t="s">
        <v>1538</v>
      </c>
      <c r="E413" s="433"/>
      <c r="G413" s="416" t="s">
        <v>1537</v>
      </c>
      <c r="I413" s="415" t="s">
        <v>1536</v>
      </c>
      <c r="J413" s="415" t="s">
        <v>1536</v>
      </c>
      <c r="K413" s="415" t="s">
        <v>1536</v>
      </c>
      <c r="L413" s="415"/>
      <c r="M413" s="415" t="s">
        <v>1536</v>
      </c>
      <c r="N413" s="415" t="s">
        <v>1536</v>
      </c>
      <c r="O413" s="415" t="s">
        <v>1536</v>
      </c>
      <c r="P413" s="415" t="s">
        <v>1536</v>
      </c>
      <c r="U413" s="422">
        <f t="shared" si="14"/>
        <v>0.06</v>
      </c>
      <c r="V413" s="422">
        <f t="shared" si="15"/>
        <v>6.8999999999999992E-2</v>
      </c>
      <c r="W413" s="424" t="str">
        <f>IF(ISBLANK(A413),"",VLOOKUP(A413,'KY Taxcodes'!$A:$B,2,FALSE))</f>
        <v/>
      </c>
    </row>
    <row r="414" spans="1:23" ht="15" customHeight="1">
      <c r="C414" s="417" t="s">
        <v>1532</v>
      </c>
      <c r="D414" s="433" t="s">
        <v>1535</v>
      </c>
      <c r="E414" s="433"/>
      <c r="G414" s="416" t="s">
        <v>1534</v>
      </c>
      <c r="I414" s="415" t="s">
        <v>1533</v>
      </c>
      <c r="J414" s="415" t="s">
        <v>1533</v>
      </c>
      <c r="K414" s="415" t="s">
        <v>1533</v>
      </c>
      <c r="L414" s="415"/>
      <c r="M414" s="415" t="s">
        <v>1533</v>
      </c>
      <c r="N414" s="415" t="s">
        <v>1533</v>
      </c>
      <c r="O414" s="415" t="s">
        <v>1533</v>
      </c>
      <c r="P414" s="415" t="s">
        <v>1533</v>
      </c>
      <c r="U414" s="422">
        <f t="shared" si="14"/>
        <v>0.05</v>
      </c>
      <c r="V414" s="422">
        <f t="shared" si="15"/>
        <v>5.7499999999999996E-2</v>
      </c>
      <c r="W414" s="424" t="str">
        <f>IF(ISBLANK(A414),"",VLOOKUP(A414,'KY Taxcodes'!$A:$B,2,FALSE))</f>
        <v/>
      </c>
    </row>
    <row r="415" spans="1:23" ht="15" customHeight="1">
      <c r="C415" s="417" t="s">
        <v>1532</v>
      </c>
      <c r="D415" s="433" t="s">
        <v>1531</v>
      </c>
      <c r="E415" s="433"/>
      <c r="G415" s="416" t="s">
        <v>1530</v>
      </c>
      <c r="I415" s="415" t="s">
        <v>1528</v>
      </c>
      <c r="J415" s="415" t="s">
        <v>1528</v>
      </c>
      <c r="K415" s="415" t="s">
        <v>1528</v>
      </c>
      <c r="L415" s="415"/>
      <c r="M415" s="415" t="s">
        <v>1528</v>
      </c>
      <c r="N415" s="415" t="s">
        <v>1529</v>
      </c>
      <c r="O415" s="415" t="s">
        <v>1529</v>
      </c>
      <c r="P415" s="415" t="s">
        <v>1528</v>
      </c>
      <c r="U415" s="422">
        <f t="shared" si="14"/>
        <v>0.08</v>
      </c>
      <c r="V415" s="422">
        <f t="shared" si="15"/>
        <v>9.1999999999999998E-2</v>
      </c>
      <c r="W415" s="424" t="str">
        <f>IF(ISBLANK(A415),"",VLOOKUP(A415,'KY Taxcodes'!$A:$B,2,FALSE))</f>
        <v/>
      </c>
    </row>
    <row r="419" spans="1:19" ht="15" customHeight="1">
      <c r="A419" s="431" t="s">
        <v>1527</v>
      </c>
      <c r="B419" s="431"/>
      <c r="C419" s="431"/>
      <c r="D419" s="431"/>
      <c r="E419" s="431"/>
      <c r="F419" s="431"/>
      <c r="G419" s="431"/>
      <c r="H419" s="431"/>
      <c r="I419" s="431"/>
      <c r="J419" s="431"/>
      <c r="K419" s="431"/>
      <c r="L419" s="431"/>
      <c r="M419" s="431"/>
      <c r="N419" s="431"/>
      <c r="O419" s="431"/>
      <c r="P419" s="431"/>
      <c r="Q419" s="431"/>
      <c r="R419" s="431"/>
      <c r="S419" s="431"/>
    </row>
    <row r="420" spans="1:19" ht="15" customHeight="1">
      <c r="A420" s="436" t="s">
        <v>1526</v>
      </c>
      <c r="B420" s="436"/>
      <c r="C420" s="436"/>
      <c r="D420" s="436"/>
      <c r="E420" s="436"/>
      <c r="F420" s="436"/>
      <c r="G420" s="436"/>
      <c r="H420" s="436"/>
      <c r="I420" s="436"/>
      <c r="J420" s="436"/>
      <c r="K420" s="436"/>
      <c r="L420" s="436"/>
      <c r="M420" s="436"/>
      <c r="N420" s="436"/>
      <c r="O420" s="436"/>
      <c r="P420" s="436"/>
      <c r="Q420" s="436"/>
      <c r="R420" s="436"/>
      <c r="S420" s="436"/>
    </row>
    <row r="421" spans="1:19" ht="15" customHeight="1">
      <c r="A421" s="436" t="s">
        <v>1525</v>
      </c>
      <c r="B421" s="436"/>
      <c r="C421" s="436"/>
      <c r="D421" s="436"/>
      <c r="E421" s="436"/>
      <c r="F421" s="436"/>
      <c r="G421" s="436"/>
      <c r="H421" s="436"/>
      <c r="I421" s="436"/>
      <c r="J421" s="436"/>
      <c r="K421" s="436"/>
    </row>
    <row r="423" spans="1:19" ht="15" customHeight="1">
      <c r="A423" s="437" t="s">
        <v>1524</v>
      </c>
      <c r="B423" s="437"/>
      <c r="C423" s="437"/>
      <c r="D423" s="437"/>
      <c r="E423" s="437"/>
      <c r="F423" s="437"/>
      <c r="G423" s="437"/>
      <c r="H423" s="437"/>
      <c r="I423" s="437"/>
      <c r="J423" s="437"/>
      <c r="K423" s="437"/>
      <c r="L423" s="437"/>
      <c r="M423" s="437"/>
      <c r="N423" s="437"/>
      <c r="O423" s="437"/>
      <c r="P423" s="437"/>
      <c r="Q423" s="437"/>
      <c r="R423" s="437"/>
      <c r="S423" s="437"/>
    </row>
    <row r="424" spans="1:19" ht="15" customHeight="1">
      <c r="A424" s="438" t="s">
        <v>1523</v>
      </c>
      <c r="B424" s="438"/>
      <c r="C424" s="438"/>
      <c r="D424" s="438"/>
      <c r="N424" s="439" t="s">
        <v>1522</v>
      </c>
      <c r="O424" s="439"/>
      <c r="P424" s="439"/>
      <c r="Q424" s="439"/>
      <c r="R424" s="439"/>
    </row>
  </sheetData>
  <hyperlinks>
    <hyperlink ref="AH5" r:id="rId1" display="http://insurance.ky.gov/Home.aspx?Div_ID=13" xr:uid="{00000000-0004-0000-0700-000000000000}"/>
  </hyperlinks>
  <pageMargins left="0.5" right="0.5" top="0.5" bottom="0.25" header="0" footer="0"/>
  <pageSetup fitToWidth="0" fitToHeight="0" orientation="landscape" r:id="rId2"/>
  <headerFooter alignWithMargins="0"/>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2" tint="-0.249977111117893"/>
    <outlinePr summaryBelow="0" summaryRight="0"/>
    <pageSetUpPr autoPageBreaks="0"/>
  </sheetPr>
  <dimension ref="A1:D66"/>
  <sheetViews>
    <sheetView workbookViewId="0"/>
  </sheetViews>
  <sheetFormatPr defaultColWidth="6.85546875" defaultRowHeight="12.75" customHeight="1"/>
  <cols>
    <col min="1" max="1" width="6.85546875" style="425" customWidth="1"/>
    <col min="2" max="2" width="37.42578125" style="425" customWidth="1"/>
    <col min="3" max="3" width="6.85546875" style="425"/>
    <col min="4" max="4" width="12" style="425" customWidth="1"/>
    <col min="5" max="16384" width="6.85546875" style="425"/>
  </cols>
  <sheetData>
    <row r="1" spans="1:2" ht="12.75" customHeight="1">
      <c r="A1" s="426" t="s">
        <v>2496</v>
      </c>
      <c r="B1" s="426" t="s">
        <v>2495</v>
      </c>
    </row>
    <row r="2" spans="1:2" ht="12.75" customHeight="1">
      <c r="A2" s="426" t="s">
        <v>36</v>
      </c>
      <c r="B2" s="426" t="s">
        <v>2494</v>
      </c>
    </row>
    <row r="3" spans="1:2" ht="12.75" customHeight="1">
      <c r="A3" s="426" t="s">
        <v>38</v>
      </c>
      <c r="B3" s="426" t="s">
        <v>2493</v>
      </c>
    </row>
    <row r="4" spans="1:2" ht="12.75" customHeight="1">
      <c r="A4" s="426" t="s">
        <v>40</v>
      </c>
      <c r="B4" s="426" t="s">
        <v>2492</v>
      </c>
    </row>
    <row r="5" spans="1:2" ht="12.75" customHeight="1">
      <c r="A5" s="426" t="s">
        <v>42</v>
      </c>
      <c r="B5" s="426" t="s">
        <v>2491</v>
      </c>
    </row>
    <row r="6" spans="1:2" ht="12.75" customHeight="1">
      <c r="A6" s="426" t="s">
        <v>1619</v>
      </c>
      <c r="B6" s="426" t="s">
        <v>2490</v>
      </c>
    </row>
    <row r="7" spans="1:2" ht="12.75" customHeight="1">
      <c r="A7" s="426" t="s">
        <v>1789</v>
      </c>
      <c r="B7" s="426" t="s">
        <v>2489</v>
      </c>
    </row>
    <row r="8" spans="1:2" ht="12.75" customHeight="1">
      <c r="A8" s="426" t="s">
        <v>2342</v>
      </c>
      <c r="B8" s="426" t="s">
        <v>2488</v>
      </c>
    </row>
    <row r="9" spans="1:2" ht="12.75" customHeight="1">
      <c r="A9" s="426" t="s">
        <v>1969</v>
      </c>
      <c r="B9" s="426" t="s">
        <v>2487</v>
      </c>
    </row>
    <row r="10" spans="1:2" ht="12.75" customHeight="1">
      <c r="A10" s="426" t="s">
        <v>2270</v>
      </c>
      <c r="B10" s="426" t="s">
        <v>2486</v>
      </c>
    </row>
    <row r="11" spans="1:2" ht="12.75" customHeight="1">
      <c r="A11" s="426" t="s">
        <v>607</v>
      </c>
      <c r="B11" s="426" t="s">
        <v>2485</v>
      </c>
    </row>
    <row r="12" spans="1:2" ht="12.75" customHeight="1">
      <c r="A12" s="426" t="s">
        <v>2406</v>
      </c>
      <c r="B12" s="426" t="s">
        <v>2484</v>
      </c>
    </row>
    <row r="13" spans="1:2" ht="12.75" customHeight="1">
      <c r="A13" s="426" t="s">
        <v>592</v>
      </c>
      <c r="B13" s="426" t="s">
        <v>2483</v>
      </c>
    </row>
    <row r="14" spans="1:2" ht="12.75" customHeight="1">
      <c r="A14" s="426" t="s">
        <v>2230</v>
      </c>
      <c r="B14" s="426" t="s">
        <v>2482</v>
      </c>
    </row>
    <row r="15" spans="1:2" ht="12.75" customHeight="1">
      <c r="A15" s="426" t="s">
        <v>1554</v>
      </c>
      <c r="B15" s="426" t="s">
        <v>2481</v>
      </c>
    </row>
    <row r="16" spans="1:2" ht="12.75" customHeight="1">
      <c r="A16" s="426" t="s">
        <v>595</v>
      </c>
      <c r="B16" s="426" t="s">
        <v>2480</v>
      </c>
    </row>
    <row r="17" spans="1:2" ht="12.75" customHeight="1">
      <c r="A17" s="426" t="s">
        <v>2372</v>
      </c>
      <c r="B17" s="426" t="s">
        <v>2479</v>
      </c>
    </row>
    <row r="18" spans="1:2" ht="12.75" customHeight="1">
      <c r="A18" s="426" t="s">
        <v>2478</v>
      </c>
      <c r="B18" s="426" t="s">
        <v>2477</v>
      </c>
    </row>
    <row r="19" spans="1:2" ht="12.75" customHeight="1">
      <c r="A19" s="426" t="s">
        <v>2376</v>
      </c>
      <c r="B19" s="426" t="s">
        <v>2476</v>
      </c>
    </row>
    <row r="20" spans="1:2" ht="12.75" customHeight="1">
      <c r="A20" s="426" t="s">
        <v>598</v>
      </c>
      <c r="B20" s="426" t="s">
        <v>2475</v>
      </c>
    </row>
    <row r="21" spans="1:2" ht="12.75" customHeight="1">
      <c r="A21" s="426" t="s">
        <v>2474</v>
      </c>
      <c r="B21" s="426" t="s">
        <v>2473</v>
      </c>
    </row>
    <row r="22" spans="1:2" ht="12.75" customHeight="1">
      <c r="A22" s="426" t="s">
        <v>1880</v>
      </c>
      <c r="B22" s="426" t="s">
        <v>2472</v>
      </c>
    </row>
    <row r="23" spans="1:2" ht="12.75" customHeight="1">
      <c r="A23" s="426" t="s">
        <v>601</v>
      </c>
      <c r="B23" s="426" t="s">
        <v>2471</v>
      </c>
    </row>
    <row r="24" spans="1:2" ht="12.75" customHeight="1">
      <c r="A24" s="426" t="s">
        <v>1805</v>
      </c>
      <c r="B24" s="426" t="s">
        <v>2470</v>
      </c>
    </row>
    <row r="25" spans="1:2" ht="12.75" customHeight="1">
      <c r="A25" s="426" t="s">
        <v>1821</v>
      </c>
      <c r="B25" s="426" t="s">
        <v>2469</v>
      </c>
    </row>
    <row r="26" spans="1:2" ht="12.75" customHeight="1">
      <c r="A26" s="426" t="s">
        <v>2409</v>
      </c>
      <c r="B26" s="426" t="s">
        <v>2468</v>
      </c>
    </row>
    <row r="27" spans="1:2" ht="12.75" customHeight="1">
      <c r="A27" s="426" t="s">
        <v>610</v>
      </c>
      <c r="B27" s="426" t="s">
        <v>2467</v>
      </c>
    </row>
    <row r="28" spans="1:2" ht="12.75" customHeight="1">
      <c r="A28" s="426" t="s">
        <v>1951</v>
      </c>
      <c r="B28" s="426" t="s">
        <v>2466</v>
      </c>
    </row>
    <row r="29" spans="1:2" ht="12.75" customHeight="1">
      <c r="A29" s="426" t="s">
        <v>2335</v>
      </c>
      <c r="B29" s="426" t="s">
        <v>2465</v>
      </c>
    </row>
    <row r="30" spans="1:2" ht="12.75" customHeight="1">
      <c r="A30" s="426" t="s">
        <v>628</v>
      </c>
      <c r="B30" s="426" t="s">
        <v>2464</v>
      </c>
    </row>
    <row r="31" spans="1:2" ht="12.75" customHeight="1">
      <c r="A31" s="426" t="s">
        <v>613</v>
      </c>
      <c r="B31" s="426" t="s">
        <v>2463</v>
      </c>
    </row>
    <row r="32" spans="1:2" ht="12.75" customHeight="1">
      <c r="A32" s="426" t="s">
        <v>1755</v>
      </c>
      <c r="B32" s="426" t="s">
        <v>2462</v>
      </c>
    </row>
    <row r="33" spans="1:2" ht="12.75" customHeight="1">
      <c r="A33" s="426" t="s">
        <v>2461</v>
      </c>
      <c r="B33" s="426" t="s">
        <v>2460</v>
      </c>
    </row>
    <row r="34" spans="1:2" ht="12.75" customHeight="1">
      <c r="A34" s="426" t="s">
        <v>622</v>
      </c>
      <c r="B34" s="426" t="s">
        <v>2459</v>
      </c>
    </row>
    <row r="35" spans="1:2" ht="12.75" customHeight="1">
      <c r="A35" s="426" t="s">
        <v>1725</v>
      </c>
      <c r="B35" s="426" t="s">
        <v>2458</v>
      </c>
    </row>
    <row r="36" spans="1:2" ht="12.75" customHeight="1">
      <c r="A36" s="426" t="s">
        <v>625</v>
      </c>
      <c r="B36" s="426" t="s">
        <v>2457</v>
      </c>
    </row>
    <row r="37" spans="1:2" ht="12.75" customHeight="1">
      <c r="A37" s="426" t="s">
        <v>2395</v>
      </c>
      <c r="B37" s="426" t="s">
        <v>2456</v>
      </c>
    </row>
    <row r="38" spans="1:2" ht="12.75" customHeight="1">
      <c r="A38" s="426" t="s">
        <v>1738</v>
      </c>
      <c r="B38" s="426" t="s">
        <v>2455</v>
      </c>
    </row>
    <row r="39" spans="1:2" ht="12.75" customHeight="1">
      <c r="A39" s="426" t="s">
        <v>2454</v>
      </c>
      <c r="B39" s="426" t="s">
        <v>2453</v>
      </c>
    </row>
    <row r="40" spans="1:2" ht="12.75" customHeight="1">
      <c r="A40" s="426" t="s">
        <v>631</v>
      </c>
      <c r="B40" s="426" t="s">
        <v>2452</v>
      </c>
    </row>
    <row r="41" spans="1:2" ht="12.75" customHeight="1">
      <c r="A41" s="426" t="s">
        <v>2451</v>
      </c>
      <c r="B41" s="426" t="s">
        <v>2450</v>
      </c>
    </row>
    <row r="42" spans="1:2" ht="12.75" customHeight="1">
      <c r="A42" s="426" t="s">
        <v>2449</v>
      </c>
      <c r="B42" s="426" t="s">
        <v>2448</v>
      </c>
    </row>
    <row r="43" spans="1:2" ht="12.75" customHeight="1">
      <c r="A43" s="426" t="s">
        <v>2047</v>
      </c>
      <c r="B43" s="426" t="s">
        <v>2447</v>
      </c>
    </row>
    <row r="44" spans="1:2" ht="12.75" customHeight="1">
      <c r="A44" s="426" t="s">
        <v>634</v>
      </c>
      <c r="B44" s="426" t="s">
        <v>2446</v>
      </c>
    </row>
    <row r="45" spans="1:2" ht="12.75" customHeight="1">
      <c r="A45" s="426" t="s">
        <v>2445</v>
      </c>
      <c r="B45" s="426" t="s">
        <v>2444</v>
      </c>
    </row>
    <row r="46" spans="1:2" ht="12.75" customHeight="1">
      <c r="A46" s="426" t="s">
        <v>637</v>
      </c>
      <c r="B46" s="426" t="s">
        <v>2443</v>
      </c>
    </row>
    <row r="47" spans="1:2" ht="12.75" customHeight="1">
      <c r="A47" s="426" t="s">
        <v>616</v>
      </c>
      <c r="B47" s="426" t="s">
        <v>2442</v>
      </c>
    </row>
    <row r="48" spans="1:2" ht="12.75" customHeight="1">
      <c r="A48" s="426" t="s">
        <v>1583</v>
      </c>
      <c r="B48" s="426" t="s">
        <v>2441</v>
      </c>
    </row>
    <row r="49" spans="1:4" ht="12.75" customHeight="1">
      <c r="A49" s="426" t="s">
        <v>1609</v>
      </c>
      <c r="B49" s="426" t="s">
        <v>2440</v>
      </c>
    </row>
    <row r="50" spans="1:4" ht="12.75" customHeight="1">
      <c r="A50" s="426" t="s">
        <v>499</v>
      </c>
      <c r="B50" s="426" t="s">
        <v>2439</v>
      </c>
    </row>
    <row r="51" spans="1:4" ht="12.75" customHeight="1">
      <c r="A51" s="426" t="s">
        <v>1966</v>
      </c>
      <c r="B51" s="426" t="s">
        <v>2438</v>
      </c>
    </row>
    <row r="52" spans="1:4" ht="12.75" customHeight="1">
      <c r="A52" s="426" t="s">
        <v>2362</v>
      </c>
      <c r="B52" s="426" t="s">
        <v>2437</v>
      </c>
    </row>
    <row r="53" spans="1:4" ht="12.75" customHeight="1">
      <c r="A53" s="426" t="s">
        <v>1747</v>
      </c>
      <c r="B53" s="426" t="s">
        <v>2436</v>
      </c>
    </row>
    <row r="54" spans="1:4" ht="12.75" customHeight="1">
      <c r="A54" s="426" t="s">
        <v>1798</v>
      </c>
      <c r="B54" s="426" t="s">
        <v>2435</v>
      </c>
    </row>
    <row r="55" spans="1:4" ht="12.75" customHeight="1">
      <c r="A55" s="426" t="s">
        <v>1938</v>
      </c>
      <c r="B55" s="426" t="s">
        <v>2434</v>
      </c>
    </row>
    <row r="56" spans="1:4" ht="12.75" customHeight="1">
      <c r="A56" s="426" t="s">
        <v>1666</v>
      </c>
      <c r="B56" s="426" t="s">
        <v>2433</v>
      </c>
    </row>
    <row r="57" spans="1:4" ht="12.75" customHeight="1">
      <c r="A57" s="426" t="s">
        <v>2233</v>
      </c>
      <c r="B57" s="426" t="s">
        <v>2432</v>
      </c>
    </row>
    <row r="58" spans="1:4" ht="12.75" customHeight="1">
      <c r="A58" s="426" t="s">
        <v>2157</v>
      </c>
      <c r="B58" s="426" t="s">
        <v>2431</v>
      </c>
    </row>
    <row r="59" spans="1:4" ht="12.75" customHeight="1">
      <c r="A59" s="426" t="s">
        <v>2430</v>
      </c>
      <c r="B59" s="426" t="s">
        <v>2429</v>
      </c>
    </row>
    <row r="60" spans="1:4" ht="12.75" customHeight="1">
      <c r="A60" s="426" t="s">
        <v>2142</v>
      </c>
      <c r="B60" s="426" t="s">
        <v>2428</v>
      </c>
    </row>
    <row r="61" spans="1:4" ht="12.75" customHeight="1">
      <c r="A61" s="426" t="s">
        <v>2427</v>
      </c>
      <c r="B61" s="426" t="s">
        <v>2426</v>
      </c>
    </row>
    <row r="62" spans="1:4" ht="12.75" customHeight="1">
      <c r="A62" s="426" t="s">
        <v>1946</v>
      </c>
      <c r="B62" s="426" t="s">
        <v>2425</v>
      </c>
    </row>
    <row r="63" spans="1:4" ht="12.75" customHeight="1">
      <c r="A63" s="426" t="s">
        <v>2424</v>
      </c>
      <c r="B63" s="426" t="s">
        <v>1523</v>
      </c>
      <c r="C63" s="426" t="s">
        <v>2423</v>
      </c>
      <c r="D63" s="429">
        <v>43594</v>
      </c>
    </row>
    <row r="66" spans="2:2" ht="12.75" customHeight="1">
      <c r="B66" s="449" t="s">
        <v>2508</v>
      </c>
    </row>
  </sheetData>
  <hyperlinks>
    <hyperlink ref="B66" r:id="rId1" xr:uid="{00000000-0004-0000-0800-000000000000}"/>
  </hyperlinks>
  <pageMargins left="0" right="0" top="0" bottom="0" header="0" footer="0"/>
  <pageSetup fitToWidth="0" fitToHeight="0" orientation="landscape"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B2:F52"/>
  <sheetViews>
    <sheetView zoomScale="85" zoomScaleNormal="85" workbookViewId="0"/>
  </sheetViews>
  <sheetFormatPr defaultRowHeight="15"/>
  <cols>
    <col min="1" max="1" width="2.42578125" customWidth="1"/>
    <col min="2" max="2" width="22.85546875" bestFit="1" customWidth="1"/>
    <col min="3" max="3" width="14.28515625" customWidth="1"/>
    <col min="5" max="5" width="25" bestFit="1" customWidth="1"/>
    <col min="6" max="6" width="14.28515625" customWidth="1"/>
  </cols>
  <sheetData>
    <row r="2" spans="2:6">
      <c r="B2" s="270" t="s">
        <v>473</v>
      </c>
    </row>
    <row r="3" spans="2:6">
      <c r="B3" s="271" t="s">
        <v>474</v>
      </c>
      <c r="C3" s="271" t="str">
        <f>IF(info_polnum="","",info_polnum)</f>
        <v/>
      </c>
      <c r="E3" s="16" t="s">
        <v>480</v>
      </c>
      <c r="F3" s="16"/>
    </row>
    <row r="4" spans="2:6">
      <c r="B4" s="272" t="s">
        <v>475</v>
      </c>
      <c r="C4" s="272" t="str">
        <f>IF(info_polnumprior="","",info_polnumprior)</f>
        <v/>
      </c>
      <c r="E4" s="16" t="s">
        <v>481</v>
      </c>
      <c r="F4" s="16" t="str">
        <f>info_newren</f>
        <v>New</v>
      </c>
    </row>
    <row r="5" spans="2:6">
      <c r="B5" s="272" t="s">
        <v>476</v>
      </c>
      <c r="C5" s="272"/>
      <c r="E5" s="16" t="s">
        <v>477</v>
      </c>
      <c r="F5" s="16"/>
    </row>
    <row r="6" spans="2:6">
      <c r="B6" s="273" t="s">
        <v>482</v>
      </c>
      <c r="E6" s="273" t="s">
        <v>483</v>
      </c>
    </row>
    <row r="7" spans="2:6">
      <c r="B7" s="273" t="s">
        <v>484</v>
      </c>
      <c r="E7" s="273" t="s">
        <v>485</v>
      </c>
    </row>
    <row r="8" spans="2:6">
      <c r="B8" s="273" t="s">
        <v>486</v>
      </c>
    </row>
    <row r="9" spans="2:6">
      <c r="B9" s="273" t="s">
        <v>487</v>
      </c>
      <c r="E9" t="s">
        <v>488</v>
      </c>
    </row>
    <row r="10" spans="2:6">
      <c r="B10" s="273" t="s">
        <v>489</v>
      </c>
    </row>
    <row r="11" spans="2:6">
      <c r="B11" s="273" t="s">
        <v>490</v>
      </c>
      <c r="E11" t="s">
        <v>491</v>
      </c>
      <c r="F11" t="s">
        <v>494</v>
      </c>
    </row>
    <row r="12" spans="2:6">
      <c r="B12" s="273" t="s">
        <v>492</v>
      </c>
      <c r="E12" t="s">
        <v>493</v>
      </c>
      <c r="F12">
        <v>10</v>
      </c>
    </row>
    <row r="14" spans="2:6">
      <c r="B14" t="s">
        <v>495</v>
      </c>
      <c r="C14" t="s">
        <v>315</v>
      </c>
      <c r="D14" t="s">
        <v>496</v>
      </c>
    </row>
    <row r="15" spans="2:6">
      <c r="B15" t="s">
        <v>506</v>
      </c>
    </row>
    <row r="16" spans="2:6">
      <c r="B16" t="s">
        <v>507</v>
      </c>
    </row>
    <row r="18" spans="2:6">
      <c r="B18" t="s">
        <v>502</v>
      </c>
      <c r="C18" t="s">
        <v>501</v>
      </c>
      <c r="E18" t="s">
        <v>497</v>
      </c>
      <c r="F18">
        <v>17</v>
      </c>
    </row>
    <row r="19" spans="2:6">
      <c r="B19" t="s">
        <v>503</v>
      </c>
      <c r="E19" t="s">
        <v>498</v>
      </c>
      <c r="F19">
        <v>317</v>
      </c>
    </row>
    <row r="20" spans="2:6">
      <c r="B20" t="s">
        <v>504</v>
      </c>
      <c r="E20" t="s">
        <v>505</v>
      </c>
      <c r="F20" t="s">
        <v>499</v>
      </c>
    </row>
    <row r="21" spans="2:6">
      <c r="B21" t="s">
        <v>500</v>
      </c>
    </row>
    <row r="23" spans="2:6">
      <c r="B23" s="270" t="s">
        <v>508</v>
      </c>
    </row>
    <row r="24" spans="2:6">
      <c r="B24" t="s">
        <v>510</v>
      </c>
    </row>
    <row r="25" spans="2:6">
      <c r="B25" t="s">
        <v>509</v>
      </c>
      <c r="E25" t="s">
        <v>511</v>
      </c>
    </row>
    <row r="26" spans="2:6">
      <c r="B26" t="s">
        <v>512</v>
      </c>
    </row>
    <row r="27" spans="2:6">
      <c r="B27" t="s">
        <v>513</v>
      </c>
      <c r="C27" t="s">
        <v>315</v>
      </c>
      <c r="D27" t="s">
        <v>496</v>
      </c>
    </row>
    <row r="28" spans="2:6">
      <c r="B28" t="s">
        <v>515</v>
      </c>
    </row>
    <row r="29" spans="2:6">
      <c r="B29" t="s">
        <v>516</v>
      </c>
    </row>
    <row r="30" spans="2:6">
      <c r="B30" t="s">
        <v>514</v>
      </c>
    </row>
    <row r="31" spans="2:6">
      <c r="B31" t="s">
        <v>517</v>
      </c>
    </row>
    <row r="32" spans="2:6">
      <c r="B32" t="s">
        <v>518</v>
      </c>
    </row>
    <row r="33" spans="2:2">
      <c r="B33" t="s">
        <v>519</v>
      </c>
    </row>
    <row r="34" spans="2:2">
      <c r="B34" t="s">
        <v>520</v>
      </c>
    </row>
    <row r="35" spans="2:2">
      <c r="B35" t="s">
        <v>521</v>
      </c>
    </row>
    <row r="40" spans="2:2">
      <c r="B40" s="270" t="s">
        <v>522</v>
      </c>
    </row>
    <row r="41" spans="2:2">
      <c r="B41" t="s">
        <v>523</v>
      </c>
    </row>
    <row r="42" spans="2:2">
      <c r="B42" t="s">
        <v>187</v>
      </c>
    </row>
    <row r="43" spans="2:2">
      <c r="B43" t="s">
        <v>524</v>
      </c>
    </row>
    <row r="44" spans="2:2">
      <c r="B44" t="s">
        <v>313</v>
      </c>
    </row>
    <row r="46" spans="2:2">
      <c r="B46" t="s">
        <v>525</v>
      </c>
    </row>
    <row r="52" spans="2:6">
      <c r="B52" t="s">
        <v>513</v>
      </c>
      <c r="C52" t="s">
        <v>526</v>
      </c>
      <c r="D52" t="s">
        <v>527</v>
      </c>
      <c r="E52" t="s">
        <v>528</v>
      </c>
      <c r="F52" t="s">
        <v>496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108</vt:i4>
      </vt:variant>
    </vt:vector>
  </HeadingPairs>
  <TitlesOfParts>
    <vt:vector size="118" baseType="lpstr">
      <vt:lpstr>Account Info</vt:lpstr>
      <vt:lpstr>Rater</vt:lpstr>
      <vt:lpstr>Ranges</vt:lpstr>
      <vt:lpstr>Base Rates</vt:lpstr>
      <vt:lpstr>Rate Change</vt:lpstr>
      <vt:lpstr>Internal</vt:lpstr>
      <vt:lpstr>Changes</vt:lpstr>
      <vt:lpstr>KY Local Govt Tax Sched</vt:lpstr>
      <vt:lpstr>KY Taxcodes</vt:lpstr>
      <vt:lpstr>Coding</vt:lpstr>
      <vt:lpstr>Ranges!_FilterDatabase</vt:lpstr>
      <vt:lpstr>County</vt:lpstr>
      <vt:lpstr>County_AK</vt:lpstr>
      <vt:lpstr>County_AL</vt:lpstr>
      <vt:lpstr>County_AR</vt:lpstr>
      <vt:lpstr>County_AZ</vt:lpstr>
      <vt:lpstr>County_CA</vt:lpstr>
      <vt:lpstr>County_CO</vt:lpstr>
      <vt:lpstr>County_CT</vt:lpstr>
      <vt:lpstr>County_DC</vt:lpstr>
      <vt:lpstr>County_DE</vt:lpstr>
      <vt:lpstr>County_FL</vt:lpstr>
      <vt:lpstr>County_GA</vt:lpstr>
      <vt:lpstr>County_GU</vt:lpstr>
      <vt:lpstr>County_HI</vt:lpstr>
      <vt:lpstr>County_IA</vt:lpstr>
      <vt:lpstr>County_ID</vt:lpstr>
      <vt:lpstr>County_IL</vt:lpstr>
      <vt:lpstr>County_IN</vt:lpstr>
      <vt:lpstr>County_KS</vt:lpstr>
      <vt:lpstr>County_KY</vt:lpstr>
      <vt:lpstr>County_LA</vt:lpstr>
      <vt:lpstr>County_MA</vt:lpstr>
      <vt:lpstr>County_MD</vt:lpstr>
      <vt:lpstr>County_ME</vt:lpstr>
      <vt:lpstr>County_MI</vt:lpstr>
      <vt:lpstr>County_MN</vt:lpstr>
      <vt:lpstr>County_MO</vt:lpstr>
      <vt:lpstr>County_MS</vt:lpstr>
      <vt:lpstr>County_MT</vt:lpstr>
      <vt:lpstr>County_NC</vt:lpstr>
      <vt:lpstr>County_ND</vt:lpstr>
      <vt:lpstr>County_NE</vt:lpstr>
      <vt:lpstr>County_NH</vt:lpstr>
      <vt:lpstr>County_NJ</vt:lpstr>
      <vt:lpstr>County_NM</vt:lpstr>
      <vt:lpstr>County_NV</vt:lpstr>
      <vt:lpstr>County_NY</vt:lpstr>
      <vt:lpstr>County_OH</vt:lpstr>
      <vt:lpstr>County_OK</vt:lpstr>
      <vt:lpstr>County_OR</vt:lpstr>
      <vt:lpstr>County_PA</vt:lpstr>
      <vt:lpstr>County_PR</vt:lpstr>
      <vt:lpstr>County_RI</vt:lpstr>
      <vt:lpstr>County_SC</vt:lpstr>
      <vt:lpstr>County_SD</vt:lpstr>
      <vt:lpstr>County_TN</vt:lpstr>
      <vt:lpstr>County_TX</vt:lpstr>
      <vt:lpstr>County_UT</vt:lpstr>
      <vt:lpstr>County_VA</vt:lpstr>
      <vt:lpstr>County_VI</vt:lpstr>
      <vt:lpstr>County_VT</vt:lpstr>
      <vt:lpstr>County_WA</vt:lpstr>
      <vt:lpstr>County_WI</vt:lpstr>
      <vt:lpstr>County_WV</vt:lpstr>
      <vt:lpstr>County_WY</vt:lpstr>
      <vt:lpstr>info_address1</vt:lpstr>
      <vt:lpstr>info_address2</vt:lpstr>
      <vt:lpstr>info_admit</vt:lpstr>
      <vt:lpstr>info_city</vt:lpstr>
      <vt:lpstr>info_co</vt:lpstr>
      <vt:lpstr>info_comm</vt:lpstr>
      <vt:lpstr>info_country</vt:lpstr>
      <vt:lpstr>info_effdt</vt:lpstr>
      <vt:lpstr>info_expdt</vt:lpstr>
      <vt:lpstr>info_internal</vt:lpstr>
      <vt:lpstr>info_name</vt:lpstr>
      <vt:lpstr>info_newren</vt:lpstr>
      <vt:lpstr>info_pmtplan</vt:lpstr>
      <vt:lpstr>info_polnum</vt:lpstr>
      <vt:lpstr>info_polnumprior</vt:lpstr>
      <vt:lpstr>info_retrodt</vt:lpstr>
      <vt:lpstr>info_st</vt:lpstr>
      <vt:lpstr>info_state</vt:lpstr>
      <vt:lpstr>info_sub</vt:lpstr>
      <vt:lpstr>info_term</vt:lpstr>
      <vt:lpstr>info_zip</vt:lpstr>
      <vt:lpstr>Limit_Agg</vt:lpstr>
      <vt:lpstr>Limit_Claim</vt:lpstr>
      <vt:lpstr>Limit_Ded</vt:lpstr>
      <vt:lpstr>Limit_Exp</vt:lpstr>
      <vt:lpstr>Limit_ExpTreat</vt:lpstr>
      <vt:lpstr>Prem_Annual</vt:lpstr>
      <vt:lpstr>Prem_Final</vt:lpstr>
      <vt:lpstr>Prem_FullTerm</vt:lpstr>
      <vt:lpstr>Prem_Surcharge</vt:lpstr>
      <vt:lpstr>Rater!Print_Area</vt:lpstr>
      <vt:lpstr>Rater!Print_Titles</vt:lpstr>
      <vt:lpstr>Rate_AOP</vt:lpstr>
      <vt:lpstr>Rate_Base</vt:lpstr>
      <vt:lpstr>Rate_Count</vt:lpstr>
      <vt:lpstr>Rate_CountFT</vt:lpstr>
      <vt:lpstr>Rate_CountNW</vt:lpstr>
      <vt:lpstr>Rate_CountPT</vt:lpstr>
      <vt:lpstr>Rate_CountTotal</vt:lpstr>
      <vt:lpstr>Rate_DedAgg</vt:lpstr>
      <vt:lpstr>Rate_Ed</vt:lpstr>
      <vt:lpstr>Rate_Endorse</vt:lpstr>
      <vt:lpstr>Rate_ERP</vt:lpstr>
      <vt:lpstr>Rate_Exper</vt:lpstr>
      <vt:lpstr>Rate_ILF</vt:lpstr>
      <vt:lpstr>Rate_IRM</vt:lpstr>
      <vt:lpstr>Rate_PPA</vt:lpstr>
      <vt:lpstr>Rate_PriorActs</vt:lpstr>
      <vt:lpstr>Rate_Size</vt:lpstr>
      <vt:lpstr>Rate_Subtot</vt:lpstr>
      <vt:lpstr>Rate_TitleAgency</vt:lpstr>
      <vt:lpstr>version</vt:lpstr>
    </vt:vector>
  </TitlesOfParts>
  <Company>Everest Global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Everest Insurance;Angel Lam-Goon</dc:creator>
  <cp:lastModifiedBy>Mohammed Juned Pasha</cp:lastModifiedBy>
  <cp:lastPrinted>2019-05-30T20:35:44Z</cp:lastPrinted>
  <dcterms:created xsi:type="dcterms:W3CDTF">2019-04-30T13:17:07Z</dcterms:created>
  <dcterms:modified xsi:type="dcterms:W3CDTF">2020-10-20T07:21:40Z</dcterms:modified>
</cp:coreProperties>
</file>